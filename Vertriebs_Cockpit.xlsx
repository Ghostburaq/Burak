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peline" sheetId="2" state="visible" r:id="rId2"/>
    <sheet name="Aktivitäten" sheetId="3" state="visible" r:id="rId3"/>
    <sheet name="Kontakte" sheetId="4" state="visible" r:id="rId4"/>
    <sheet name="Forecast" sheetId="5" state="visible" r:id="rId5"/>
    <sheet name="Ziele" sheetId="6" state="visible" r:id="rId6"/>
    <sheet name="Live-Daten" sheetId="7" state="visible" r:id="rId7"/>
    <sheet name="Listen" sheetId="8" state="visible" r:id="rId8"/>
    <sheet name="Anleitung" sheetId="9" state="visible" r:id="rId9"/>
  </sheets>
  <definedNames>
    <definedName name="_xlnm.Print_Titles" localSheetId="1">'Pipeline'!$4:$4</definedName>
    <definedName name="_xlnm.Print_Titles" localSheetId="2">'Aktivitäten'!$4:$4</definedName>
    <definedName name="_xlnm.Print_Titles" localSheetId="3">'Kontakte'!$4:$4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 &quot;CHF&quot;"/>
  </numFmts>
  <fonts count="26">
    <font>
      <name val="Calibri"/>
      <family val="2"/>
      <color theme="1"/>
      <sz val="11"/>
      <scheme val="minor"/>
    </font>
    <font>
      <name val="Calibri"/>
      <b val="1"/>
      <color rgb="001B2430"/>
      <sz val="13"/>
    </font>
    <font>
      <name val="Calibri"/>
      <i val="1"/>
      <color rgb="005A6573"/>
      <sz val="9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color rgb="001B2430"/>
      <sz val="10"/>
    </font>
    <font>
      <name val="Calibri"/>
      <color rgb="001B2430"/>
      <sz val="12"/>
    </font>
    <font>
      <name val="Calibri"/>
      <b val="1"/>
      <color rgb="001B2430"/>
      <sz val="11"/>
    </font>
    <font>
      <name val="Calibri"/>
      <b val="1"/>
      <color rgb="001B2430"/>
      <sz val="10"/>
    </font>
    <font>
      <name val="Calibri"/>
      <b val="1"/>
      <color rgb="001B2430"/>
      <sz val="22"/>
    </font>
    <font>
      <name val="Calibri"/>
      <b val="1"/>
      <color rgb="00E2001A"/>
      <sz val="11"/>
    </font>
    <font>
      <name val="Calibri"/>
      <b val="1"/>
      <color rgb="005A6573"/>
      <sz val="9"/>
    </font>
    <font>
      <name val="Calibri"/>
      <b val="1"/>
      <color rgb="001B2430"/>
      <sz val="20"/>
    </font>
    <font>
      <name val="Calibri"/>
      <b val="1"/>
      <color rgb="00E2001A"/>
      <sz val="20"/>
    </font>
    <font>
      <name val="Calibri"/>
      <b val="1"/>
      <color rgb="002A3543"/>
      <sz val="20"/>
    </font>
    <font>
      <name val="Calibri"/>
      <b val="1"/>
      <color rgb="001E9E5A"/>
      <sz val="20"/>
    </font>
    <font>
      <name val="Calibri"/>
      <b val="1"/>
      <color rgb="001B2430"/>
      <sz val="12"/>
    </font>
    <font>
      <name val="Calibri"/>
      <b val="1"/>
      <color rgb="001B2430"/>
      <sz val="18"/>
    </font>
    <font>
      <name val="Calibri"/>
      <i val="1"/>
      <color rgb="005A6573"/>
      <sz val="10"/>
    </font>
    <font>
      <name val="Calibri"/>
      <b val="1"/>
      <color rgb="00FFFFFF"/>
      <sz val="12"/>
    </font>
    <font>
      <name val="Calibri"/>
      <color rgb="005A6573"/>
      <sz val="8"/>
    </font>
    <font>
      <name val="Calibri"/>
      <color rgb="001B2430"/>
      <sz val="9"/>
    </font>
    <font>
      <name val="Calibri"/>
      <color rgb="005A6573"/>
      <sz val="9"/>
    </font>
    <font>
      <name val="Calibri"/>
      <b val="1"/>
      <color rgb="001B2430"/>
      <sz val="16"/>
    </font>
    <font>
      <name val="Calibri"/>
      <color rgb="005A6573"/>
      <sz val="6"/>
    </font>
    <font>
      <name val="Calibri"/>
      <b val="1"/>
      <color rgb="00E2001A"/>
      <sz val="12"/>
    </font>
  </fonts>
  <fills count="8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3F6F9"/>
      </pattern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E2001A"/>
      </patternFill>
    </fill>
    <fill>
      <patternFill patternType="solid">
        <fgColor rgb="00FFF7D6"/>
      </patternFill>
    </fill>
  </fills>
  <borders count="12">
    <border>
      <left/>
      <right/>
      <top/>
      <bottom/>
      <diagonal/>
    </border>
    <border>
      <left style="thin">
        <color rgb="00E3E8ED"/>
      </left>
      <right style="thin">
        <color rgb="00E3E8ED"/>
      </right>
      <top style="thin">
        <color rgb="00E3E8ED"/>
      </top>
      <bottom style="thin">
        <color rgb="00E3E8ED"/>
      </bottom>
    </border>
    <border>
      <left style="thin">
        <color rgb="00E3E8ED"/>
      </left>
      <right style="thin">
        <color rgb="00E3E8ED"/>
      </right>
      <top style="medium">
        <color rgb="001B2430"/>
      </top>
      <bottom style="medium">
        <color rgb="001B2430"/>
      </bottom>
    </border>
    <border>
      <top style="medium">
        <color rgb="001B2430"/>
      </top>
      <bottom style="medium">
        <color rgb="001B2430"/>
      </bottom>
    </border>
    <border>
      <left style="thin">
        <color rgb="00E3E8ED"/>
      </left>
      <top style="thin">
        <color rgb="00E3E8ED"/>
      </top>
    </border>
    <border>
      <right style="thin">
        <color rgb="00E3E8ED"/>
      </right>
      <top style="thin">
        <color rgb="00E3E8ED"/>
      </top>
    </border>
    <border>
      <left style="thin">
        <color rgb="00E3E8ED"/>
      </left>
      <bottom style="thin">
        <color rgb="00E3E8ED"/>
      </bottom>
    </border>
    <border>
      <right style="thin">
        <color rgb="00E3E8ED"/>
      </right>
      <bottom style="thin">
        <color rgb="00E3E8ED"/>
      </bottom>
    </border>
    <border>
      <left/>
      <right/>
      <top style="thin">
        <color rgb="00E3E8ED"/>
      </top>
      <bottom/>
      <diagonal/>
    </border>
    <border>
      <left/>
      <right style="thin">
        <color rgb="00E3E8ED"/>
      </right>
      <top style="thin">
        <color rgb="00E3E8ED"/>
      </top>
      <bottom/>
      <diagonal/>
    </border>
    <border>
      <left/>
      <right/>
      <top style="thin">
        <color rgb="00E3E8ED"/>
      </top>
      <bottom style="thin">
        <color rgb="00E3E8ED"/>
      </bottom>
      <diagonal/>
    </border>
    <border>
      <left/>
      <right style="thin">
        <color rgb="00E3E8ED"/>
      </right>
      <top style="thin">
        <color rgb="00E3E8ED"/>
      </top>
      <bottom style="thin">
        <color rgb="00E3E8ED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4" applyAlignment="1" pivotButton="0" quotePrefix="0" xfId="0">
      <alignment horizontal="left" vertical="center" indent="1"/>
    </xf>
    <xf numFmtId="0" fontId="0" fillId="5" borderId="5" pivotButton="0" quotePrefix="0" xfId="0"/>
    <xf numFmtId="166" fontId="12" fillId="5" borderId="6" applyAlignment="1" pivotButton="0" quotePrefix="0" xfId="0">
      <alignment horizontal="left" vertical="center" indent="1"/>
    </xf>
    <xf numFmtId="0" fontId="0" fillId="5" borderId="7" pivotButton="0" quotePrefix="0" xfId="0"/>
    <xf numFmtId="166" fontId="13" fillId="5" borderId="6" applyAlignment="1" pivotButton="0" quotePrefix="0" xfId="0">
      <alignment horizontal="left" vertical="center" indent="1"/>
    </xf>
    <xf numFmtId="1" fontId="14" fillId="5" borderId="6" applyAlignment="1" pivotButton="0" quotePrefix="0" xfId="0">
      <alignment horizontal="left" vertical="center" indent="1"/>
    </xf>
    <xf numFmtId="166" fontId="15" fillId="5" borderId="6" applyAlignment="1" pivotButton="0" quotePrefix="0" xfId="0">
      <alignment horizontal="left" vertical="center" indent="1"/>
    </xf>
    <xf numFmtId="9" fontId="12" fillId="5" borderId="6" applyAlignment="1" pivotButton="0" quotePrefix="0" xfId="0">
      <alignment horizontal="left" vertical="center" indent="1"/>
    </xf>
    <xf numFmtId="166" fontId="14" fillId="5" borderId="6" applyAlignment="1" pivotButton="0" quotePrefix="0" xfId="0">
      <alignment horizontal="left" vertical="center" indent="1"/>
    </xf>
    <xf numFmtId="0" fontId="16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5" fillId="0" borderId="1" applyProtection="1" pivotButton="0" quotePrefix="0" xfId="0">
      <protection locked="0" hidden="0"/>
    </xf>
    <xf numFmtId="3" fontId="5" fillId="0" borderId="1" applyAlignment="1" applyProtection="1" pivotButton="0" quotePrefix="0" xfId="0">
      <alignment horizontal="right" vertical="center"/>
      <protection locked="0" hidden="0"/>
    </xf>
    <xf numFmtId="9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5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Protection="1" pivotButton="0" quotePrefix="0" xfId="0">
      <protection locked="0" hidden="0"/>
    </xf>
    <xf numFmtId="3" fontId="5" fillId="3" borderId="1" applyAlignment="1" applyProtection="1" pivotButton="0" quotePrefix="0" xfId="0">
      <alignment horizontal="right" vertical="center"/>
      <protection locked="0" hidden="0"/>
    </xf>
    <xf numFmtId="9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  <xf numFmtId="165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166" fontId="7" fillId="4" borderId="3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0" fillId="0" borderId="1" applyAlignment="1" pivotButton="0" quotePrefix="0" xfId="0">
      <alignment horizontal="center" vertical="center" wrapText="1"/>
    </xf>
    <xf numFmtId="3" fontId="0" fillId="0" borderId="1" applyAlignment="1" applyProtection="1" pivotButton="0" quotePrefix="0" xfId="0">
      <alignment horizontal="right" vertical="center"/>
      <protection locked="0" hidden="0"/>
    </xf>
    <xf numFmtId="9" fontId="0" fillId="0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0" fillId="7" borderId="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2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Calibri"/>
        <b val="1"/>
        <color rgb="00B30015"/>
        <sz val="10"/>
      </font>
      <fill>
        <patternFill patternType="solid">
          <fgColor rgb="00FADBD8"/>
        </patternFill>
      </fill>
    </dxf>
    <dxf>
      <font>
        <name val="Calibri"/>
        <b val="1"/>
        <color rgb="001E9E5A"/>
        <sz val="10"/>
      </font>
      <fill>
        <patternFill patternType="solid">
          <fgColor rgb="00D5F0DE"/>
        </patternFill>
      </fill>
    </dxf>
    <dxf>
      <font>
        <name val="Calibri"/>
        <color rgb="005A6573"/>
        <sz val="10"/>
      </font>
      <fill>
        <patternFill patternType="solid">
          <fgColor rgb="00EDEFF1"/>
        </patternFill>
      </fill>
    </dxf>
    <dxf>
      <fill>
        <patternFill patternType="solid">
          <fgColor rgb="00FDECEA"/>
        </patternFill>
      </fill>
    </dxf>
    <dxf>
      <font>
        <name val="Calibri"/>
        <color rgb="001E9E5A"/>
        <sz val="10"/>
      </font>
      <fill>
        <patternFill patternType="solid">
          <fgColor rgb="00E7F6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Sales-Funnel (CHF nach Phase)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'Dashboard'!$B$17:$B$21</f>
            </numRef>
          </cat>
          <val>
            <numRef>
              <f>'Dashboard'!$C$17:$C$21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Gew. Wert nach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'Dashboard'!F16</f>
            </strRef>
          </tx>
          <spPr>
            <a:ln>
              <a:prstDash val="solid"/>
            </a:ln>
          </spPr>
          <cat>
            <numRef>
              <f>'Dashboard'!$E$17:$E$26</f>
            </numRef>
          </cat>
          <val>
            <numRef>
              <f>'Dashboard'!$F$17:$F$26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Gew. Wert nach Branche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'Dashboard'!F29</f>
            </strRef>
          </tx>
          <spPr>
            <a:ln>
              <a:prstDash val="solid"/>
            </a:ln>
          </spPr>
          <cat>
            <numRef>
              <f>'Dashboard'!$E$30:$E$37</f>
            </numRef>
          </cat>
          <val>
            <numRef>
              <f>'Dashboard'!$F$30:$F$37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Gew. Forecast + Gewonnen vs. Ziel (CHF)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'Forecast'!E4</f>
            </strRef>
          </tx>
          <spPr>
            <a:ln>
              <a:prstDash val="solid"/>
            </a:ln>
          </spPr>
          <cat>
            <numRef>
              <f>'Forecast'!$B$5:$B$10</f>
            </numRef>
          </cat>
          <val>
            <numRef>
              <f>'Forecast'!$E$5:$E$10</f>
            </numRef>
          </val>
        </ser>
        <ser>
          <idx val="1"/>
          <order val="1"/>
          <tx>
            <strRef>
              <f>'Forecast'!F4</f>
            </strRef>
          </tx>
          <spPr>
            <a:ln>
              <a:prstDash val="solid"/>
            </a:ln>
          </spPr>
          <cat>
            <numRef>
              <f>'Forecast'!$B$5:$B$10</f>
            </numRef>
          </cat>
          <val>
            <numRef>
              <f>'Forecast'!$F$5:$F$10</f>
            </numRef>
          </val>
        </ser>
        <ser>
          <idx val="2"/>
          <order val="2"/>
          <tx>
            <strRef>
              <f>'Forecast'!G4</f>
            </strRef>
          </tx>
          <spPr>
            <a:ln>
              <a:prstDash val="solid"/>
            </a:ln>
          </spPr>
          <cat>
            <numRef>
              <f>'Forecast'!$B$5:$B$10</f>
            </numRef>
          </cat>
          <val>
            <numRef>
              <f>'Forecast'!$G$5:$G$10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Zielerreichung je Verantwortlicher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'Ziele'!F4</f>
            </strRef>
          </tx>
          <spPr>
            <a:ln>
              <a:prstDash val="solid"/>
            </a:ln>
          </spPr>
          <cat>
            <numRef>
              <f>'Ziele'!$B$5:$B$9</f>
            </numRef>
          </cat>
          <val>
            <numRef>
              <f>'Ziele'!$F$5:$F$9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56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peline" displayName="Pipeline" ref="A4:Q184" headerRowCount="1">
  <autoFilter ref="A4:Q184"/>
  <tableColumns count="17">
    <tableColumn id="1" name="Deal-ID"/>
    <tableColumn id="2" name="Firma"/>
    <tableColumn id="3" name="Ansprechpartner"/>
    <tableColumn id="4" name="Region"/>
    <tableColumn id="5" name="Branche"/>
    <tableColumn id="6" name="Produkt / Lösung"/>
    <tableColumn id="7" name="Phase"/>
    <tableColumn id="8" name="Priorität"/>
    <tableColumn id="9" name="Volumen (CHF)"/>
    <tableColumn id="10" name="Wahrsch. %"/>
    <tableColumn id="11" name="Gew. Wert (CHF)"/>
    <tableColumn id="12" name="Erstkontakt"/>
    <tableColumn id="13" name="Erw. Abschluss"/>
    <tableColumn id="14" name="Tage bis Abschl."/>
    <tableColumn id="15" name="Verantwortlich"/>
    <tableColumn id="16" name="Nächster Schritt"/>
    <tableColumn id="17" name="Ampel"/>
  </tableColumns>
  <tableStyleInfo name="TableStyleMedium2" showRowStripes="0"/>
</table>
</file>

<file path=xl/tables/table2.xml><?xml version="1.0" encoding="utf-8"?>
<table xmlns="http://schemas.openxmlformats.org/spreadsheetml/2006/main" id="2" name="Aktivitaeten" displayName="Aktivitaeten" ref="A4:H155" headerRowCount="1">
  <autoFilter ref="A4:H155"/>
  <tableColumns count="8">
    <tableColumn id="1" name="Datum"/>
    <tableColumn id="2" name="Firma"/>
    <tableColumn id="3" name="Typ"/>
    <tableColumn id="4" name="Beschreibung"/>
    <tableColumn id="5" name="Fällig am"/>
    <tableColumn id="6" name="Status"/>
    <tableColumn id="7" name="Verantwortlich"/>
    <tableColumn id="8" name="Ampel"/>
  </tableColumns>
  <tableStyleInfo name="TableStyleMedium9" showRowStripes="0"/>
</table>
</file>

<file path=xl/tables/table3.xml><?xml version="1.0" encoding="utf-8"?>
<table xmlns="http://schemas.openxmlformats.org/spreadsheetml/2006/main" id="3" name="Kontakte" displayName="Kontakte" ref="A4:H184" headerRowCount="1">
  <autoFilter ref="A4:H184"/>
  <tableColumns count="8">
    <tableColumn id="1" name="Firma"/>
    <tableColumn id="2" name="Ansprechpartner"/>
    <tableColumn id="3" name="Rolle"/>
    <tableColumn id="4" name="E-Mail"/>
    <tableColumn id="5" name="Telefon"/>
    <tableColumn id="6" name="Region"/>
    <tableColumn id="7" name="Branche"/>
    <tableColumn id="8" name="Letzter Kontakt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7" customWidth="1" min="4" max="4"/>
    <col width="14" customWidth="1" min="5" max="5"/>
    <col width="14" customWidth="1" min="6" max="6"/>
    <col width="17" customWidth="1" min="7" max="7"/>
    <col width="16" customWidth="1" min="8" max="8"/>
    <col width="14" customWidth="1" min="9" max="9"/>
  </cols>
  <sheetData>
    <row r="2" ht="30" customHeight="1">
      <c r="B2" s="1" t="inlineStr">
        <is>
          <t>VERTRIEBS-COCKPIT</t>
        </is>
      </c>
    </row>
    <row r="3">
      <c r="B3" s="2" t="inlineStr">
        <is>
          <t>Pipeline-Steuerung  ·  Forecast  ·  Live-Marktdaten</t>
        </is>
      </c>
    </row>
    <row r="5">
      <c r="B5" s="3" t="inlineStr">
        <is>
          <t>PIPELINE GESAMT</t>
        </is>
      </c>
      <c r="C5" s="4" t="n"/>
      <c r="D5" s="3" t="inlineStr">
        <is>
          <t>GEWICHTETER FORECAST</t>
        </is>
      </c>
      <c r="E5" s="4" t="n"/>
      <c r="F5" s="3" t="inlineStr">
        <is>
          <t>OFFENE DEALS</t>
        </is>
      </c>
      <c r="G5" s="4" t="n"/>
    </row>
    <row r="6" ht="30" customHeight="1">
      <c r="B6" s="5">
        <f>SUM(Pipeline!I5:I184)</f>
        <v/>
      </c>
      <c r="C6" s="6" t="n"/>
      <c r="D6" s="7">
        <f>SUM(Pipeline!K5:K184)</f>
        <v/>
      </c>
      <c r="E6" s="6" t="n"/>
      <c r="F6" s="8">
        <f>COUNTIFS(Pipeline!G5:G184,"&lt;&gt;Gewonnen",Pipeline!G5:G184,"&lt;&gt;Verloren")</f>
        <v/>
      </c>
      <c r="G6" s="6" t="n"/>
    </row>
    <row r="9">
      <c r="B9" s="3" t="inlineStr">
        <is>
          <t>GEWONNEN (YTD)</t>
        </is>
      </c>
      <c r="C9" s="4" t="n"/>
      <c r="D9" s="3" t="inlineStr">
        <is>
          <t>WIN-RATE</t>
        </is>
      </c>
      <c r="E9" s="4" t="n"/>
      <c r="F9" s="3" t="inlineStr">
        <is>
          <t>Ø DEAL-GRÖSSE</t>
        </is>
      </c>
      <c r="G9" s="4" t="n"/>
    </row>
    <row r="10" ht="30" customHeight="1">
      <c r="B10" s="9">
        <f>SUMIFS(Pipeline!I5:I184,Pipeline!G5:G184,"Gewonnen")</f>
        <v/>
      </c>
      <c r="C10" s="6" t="n"/>
      <c r="D10" s="10">
        <f>IFERROR(COUNTIF(Pipeline!G5:G184,"Gewonnen")/(COUNTIF(Pipeline!G5:G184,"Gewonnen")+COUNTIF(Pipeline!G5:G184,"Verloren")),0)</f>
        <v/>
      </c>
      <c r="E10" s="6" t="n"/>
      <c r="F10" s="11">
        <f>IFERROR(AVERAGE(Pipeline!I5:I184),0)</f>
        <v/>
      </c>
      <c r="G10" s="6" t="n"/>
    </row>
    <row r="15">
      <c r="B15" s="12" t="inlineStr">
        <is>
          <t>Funnel — Pipeline nach Phase (CHF)</t>
        </is>
      </c>
      <c r="E15" s="12" t="inlineStr">
        <is>
          <t>Nach Region (gew. Wert)</t>
        </is>
      </c>
      <c r="H15" s="12" t="inlineStr">
        <is>
          <t>Gew. Forecast je Verantwortlicher</t>
        </is>
      </c>
    </row>
    <row r="16" ht="24" customHeight="1">
      <c r="B16" s="13" t="inlineStr">
        <is>
          <t>Phase</t>
        </is>
      </c>
      <c r="C16" s="13" t="inlineStr">
        <is>
          <t>Volumen</t>
        </is>
      </c>
      <c r="E16" s="13" t="inlineStr">
        <is>
          <t>Region</t>
        </is>
      </c>
      <c r="F16" s="13" t="inlineStr">
        <is>
          <t>Gew. Wert</t>
        </is>
      </c>
      <c r="H16" s="13" t="inlineStr">
        <is>
          <t>Verantwortlich</t>
        </is>
      </c>
      <c r="I16" s="13" t="inlineStr">
        <is>
          <t>Gew. Wert</t>
        </is>
      </c>
    </row>
    <row r="17">
      <c r="B17" s="14" t="inlineStr">
        <is>
          <t>Lead</t>
        </is>
      </c>
      <c r="C17" s="15">
        <f>SUMIFS(Pipeline!I5:I184,Pipeline!G5:G184,B17)</f>
        <v/>
      </c>
      <c r="E17" s="14" t="inlineStr">
        <is>
          <t>Zürich</t>
        </is>
      </c>
      <c r="F17" s="15">
        <f>SUMIFS(Pipeline!K5:K184,Pipeline!D5:D184,E17)</f>
        <v/>
      </c>
      <c r="H17" s="14" t="inlineStr">
        <is>
          <t>Burak Ücöz</t>
        </is>
      </c>
      <c r="I17" s="15">
        <f>SUMIFS(Pipeline!K5:K184,Pipeline!O5:O184,H17)</f>
        <v/>
      </c>
    </row>
    <row r="18">
      <c r="B18" s="14" t="inlineStr">
        <is>
          <t>Qualifiziert</t>
        </is>
      </c>
      <c r="C18" s="15">
        <f>SUMIFS(Pipeline!I5:I184,Pipeline!G5:G184,B18)</f>
        <v/>
      </c>
      <c r="E18" s="14" t="inlineStr">
        <is>
          <t>Bern</t>
        </is>
      </c>
      <c r="F18" s="15">
        <f>SUMIFS(Pipeline!K5:K184,Pipeline!D5:D184,E18)</f>
        <v/>
      </c>
      <c r="H18" s="14" t="inlineStr">
        <is>
          <t>S. Meier</t>
        </is>
      </c>
      <c r="I18" s="15">
        <f>SUMIFS(Pipeline!K5:K184,Pipeline!O5:O184,H18)</f>
        <v/>
      </c>
    </row>
    <row r="19">
      <c r="B19" s="14" t="inlineStr">
        <is>
          <t>Angebot</t>
        </is>
      </c>
      <c r="C19" s="15">
        <f>SUMIFS(Pipeline!I5:I184,Pipeline!G5:G184,B19)</f>
        <v/>
      </c>
      <c r="E19" s="14" t="inlineStr">
        <is>
          <t>Waadt</t>
        </is>
      </c>
      <c r="F19" s="15">
        <f>SUMIFS(Pipeline!K5:K184,Pipeline!D5:D184,E19)</f>
        <v/>
      </c>
      <c r="H19" s="14" t="inlineStr">
        <is>
          <t>L. Rossi</t>
        </is>
      </c>
      <c r="I19" s="15">
        <f>SUMIFS(Pipeline!K5:K184,Pipeline!O5:O184,H19)</f>
        <v/>
      </c>
    </row>
    <row r="20">
      <c r="B20" s="14" t="inlineStr">
        <is>
          <t>Verhandlung</t>
        </is>
      </c>
      <c r="C20" s="15">
        <f>SUMIFS(Pipeline!I5:I184,Pipeline!G5:G184,B20)</f>
        <v/>
      </c>
      <c r="E20" s="14" t="inlineStr">
        <is>
          <t>Genf</t>
        </is>
      </c>
      <c r="F20" s="15">
        <f>SUMIFS(Pipeline!K5:K184,Pipeline!D5:D184,E20)</f>
        <v/>
      </c>
      <c r="H20" s="14" t="inlineStr">
        <is>
          <t>N. Keller</t>
        </is>
      </c>
      <c r="I20" s="15">
        <f>SUMIFS(Pipeline!K5:K184,Pipeline!O5:O184,H20)</f>
        <v/>
      </c>
    </row>
    <row r="21">
      <c r="B21" s="14" t="inlineStr">
        <is>
          <t>Gewonnen</t>
        </is>
      </c>
      <c r="C21" s="15">
        <f>SUMIFS(Pipeline!I5:I184,Pipeline!G5:G184,B21)</f>
        <v/>
      </c>
      <c r="E21" s="14" t="inlineStr">
        <is>
          <t>Basel</t>
        </is>
      </c>
      <c r="F21" s="15">
        <f>SUMIFS(Pipeline!K5:K184,Pipeline!D5:D184,E21)</f>
        <v/>
      </c>
      <c r="H21" s="14" t="inlineStr">
        <is>
          <t>A. Favre</t>
        </is>
      </c>
      <c r="I21" s="15">
        <f>SUMIFS(Pipeline!K5:K184,Pipeline!O5:O184,H21)</f>
        <v/>
      </c>
    </row>
    <row r="22">
      <c r="E22" s="14" t="inlineStr">
        <is>
          <t>Aargau</t>
        </is>
      </c>
      <c r="F22" s="15">
        <f>SUMIFS(Pipeline!K5:K184,Pipeline!D5:D184,E22)</f>
        <v/>
      </c>
    </row>
    <row r="23">
      <c r="E23" s="14" t="inlineStr">
        <is>
          <t>St. Gallen</t>
        </is>
      </c>
      <c r="F23" s="15">
        <f>SUMIFS(Pipeline!K5:K184,Pipeline!D5:D184,E23)</f>
        <v/>
      </c>
    </row>
    <row r="24">
      <c r="E24" s="14" t="inlineStr">
        <is>
          <t>Tessin</t>
        </is>
      </c>
      <c r="F24" s="15">
        <f>SUMIFS(Pipeline!K5:K184,Pipeline!D5:D184,E24)</f>
        <v/>
      </c>
    </row>
    <row r="25">
      <c r="E25" s="14" t="inlineStr">
        <is>
          <t>Luzern</t>
        </is>
      </c>
      <c r="F25" s="15">
        <f>SUMIFS(Pipeline!K5:K184,Pipeline!D5:D184,E25)</f>
        <v/>
      </c>
    </row>
    <row r="26">
      <c r="E26" s="14" t="inlineStr">
        <is>
          <t>Wallis</t>
        </is>
      </c>
      <c r="F26" s="15">
        <f>SUMIFS(Pipeline!K5:K184,Pipeline!D5:D184,E26)</f>
        <v/>
      </c>
    </row>
    <row r="28">
      <c r="E28" s="12" t="inlineStr">
        <is>
          <t>Nach Branche (gew. Wert)</t>
        </is>
      </c>
    </row>
    <row r="29" ht="24" customHeight="1">
      <c r="E29" s="13" t="inlineStr">
        <is>
          <t>Branche</t>
        </is>
      </c>
      <c r="F29" s="13" t="inlineStr">
        <is>
          <t>Gew. Wert</t>
        </is>
      </c>
    </row>
    <row r="30">
      <c r="E30" s="14" t="inlineStr">
        <is>
          <t>Detailhandel</t>
        </is>
      </c>
      <c r="F30" s="15">
        <f>SUMIFS(Pipeline!K5:K184,Pipeline!E5:E184,E30)</f>
        <v/>
      </c>
    </row>
    <row r="31">
      <c r="E31" s="14" t="inlineStr">
        <is>
          <t>Logistik</t>
        </is>
      </c>
      <c r="F31" s="15">
        <f>SUMIFS(Pipeline!K5:K184,Pipeline!E5:E184,E31)</f>
        <v/>
      </c>
    </row>
    <row r="32">
      <c r="E32" s="14" t="inlineStr">
        <is>
          <t>Immobilien</t>
        </is>
      </c>
      <c r="F32" s="15">
        <f>SUMIFS(Pipeline!K5:K184,Pipeline!E5:E184,E32)</f>
        <v/>
      </c>
    </row>
    <row r="33">
      <c r="E33" s="14" t="inlineStr">
        <is>
          <t>Hotellerie</t>
        </is>
      </c>
      <c r="F33" s="15">
        <f>SUMIFS(Pipeline!K5:K184,Pipeline!E5:E184,E33)</f>
        <v/>
      </c>
    </row>
    <row r="34">
      <c r="E34" s="14" t="inlineStr">
        <is>
          <t>Öffentliche Hand</t>
        </is>
      </c>
      <c r="F34" s="15">
        <f>SUMIFS(Pipeline!K5:K184,Pipeline!E5:E184,E34)</f>
        <v/>
      </c>
    </row>
    <row r="35">
      <c r="E35" s="14" t="inlineStr">
        <is>
          <t>Industrie</t>
        </is>
      </c>
      <c r="F35" s="15">
        <f>SUMIFS(Pipeline!K5:K184,Pipeline!E5:E184,E35)</f>
        <v/>
      </c>
    </row>
    <row r="36">
      <c r="E36" s="14" t="inlineStr">
        <is>
          <t>Tankstellen</t>
        </is>
      </c>
      <c r="F36" s="15">
        <f>SUMIFS(Pipeline!K5:K184,Pipeline!E5:E184,E36)</f>
        <v/>
      </c>
    </row>
    <row r="37">
      <c r="E37" s="14" t="inlineStr">
        <is>
          <t>Flottenbetrieb</t>
        </is>
      </c>
      <c r="F37" s="15">
        <f>SUMIFS(Pipeline!K5:K184,Pipeline!E5:E184,E37)</f>
        <v/>
      </c>
    </row>
  </sheetData>
  <mergeCells count="14">
    <mergeCell ref="D6:E6"/>
    <mergeCell ref="B6:C6"/>
    <mergeCell ref="D10:E10"/>
    <mergeCell ref="F10:G10"/>
    <mergeCell ref="B5:C5"/>
    <mergeCell ref="F5:G5"/>
    <mergeCell ref="D5:E5"/>
    <mergeCell ref="B10:C10"/>
    <mergeCell ref="B2:H2"/>
    <mergeCell ref="F6:G6"/>
    <mergeCell ref="B9:C9"/>
    <mergeCell ref="B3:H3"/>
    <mergeCell ref="D9:E9"/>
    <mergeCell ref="F9:G9"/>
  </mergeCells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2" customWidth="1" min="4" max="4"/>
    <col width="15" customWidth="1" min="5" max="5"/>
    <col width="22" customWidth="1" min="6" max="6"/>
    <col width="14" customWidth="1" min="7" max="7"/>
    <col width="11" customWidth="1" min="8" max="8"/>
    <col width="15" customWidth="1" min="9" max="9"/>
    <col width="11" customWidth="1" min="10" max="10"/>
    <col width="16" customWidth="1" min="11" max="11"/>
    <col width="13" customWidth="1" min="12" max="12"/>
    <col width="14" customWidth="1" min="13" max="13"/>
    <col width="15" customWidth="1" min="14" max="14"/>
    <col width="15" customWidth="1" min="15" max="15"/>
    <col width="26" customWidth="1" min="16" max="16"/>
    <col width="8" customWidth="1" min="17" max="17"/>
  </cols>
  <sheetData>
    <row r="1" ht="30" customHeight="1">
      <c r="A1" s="16" t="inlineStr">
        <is>
          <t>VERTRIEBS-PIPELINE</t>
        </is>
      </c>
    </row>
    <row r="2">
      <c r="A2" s="17" t="inlineStr">
        <is>
          <t>Filtern über die Kopfzeilen-Pfeile · Dropdowns für Phase/Priorität/Region/… · Wahrscheinlichkeit, gew. Wert, Tage bis Abschluss &amp; Ampel rechnen automatisch.</t>
        </is>
      </c>
    </row>
    <row r="4" ht="26" customHeight="1">
      <c r="A4" s="13" t="inlineStr">
        <is>
          <t>Deal-ID</t>
        </is>
      </c>
      <c r="B4" s="13" t="inlineStr">
        <is>
          <t>Firma</t>
        </is>
      </c>
      <c r="C4" s="13" t="inlineStr">
        <is>
          <t>Ansprechpartner</t>
        </is>
      </c>
      <c r="D4" s="13" t="inlineStr">
        <is>
          <t>Region</t>
        </is>
      </c>
      <c r="E4" s="13" t="inlineStr">
        <is>
          <t>Branche</t>
        </is>
      </c>
      <c r="F4" s="13" t="inlineStr">
        <is>
          <t>Produkt / Lösung</t>
        </is>
      </c>
      <c r="G4" s="13" t="inlineStr">
        <is>
          <t>Phase</t>
        </is>
      </c>
      <c r="H4" s="13" t="inlineStr">
        <is>
          <t>Priorität</t>
        </is>
      </c>
      <c r="I4" s="13" t="inlineStr">
        <is>
          <t>Volumen (CHF)</t>
        </is>
      </c>
      <c r="J4" s="13" t="inlineStr">
        <is>
          <t>Wahrsch. %</t>
        </is>
      </c>
      <c r="K4" s="13" t="inlineStr">
        <is>
          <t>Gew. Wert (CHF)</t>
        </is>
      </c>
      <c r="L4" s="13" t="inlineStr">
        <is>
          <t>Erstkontakt</t>
        </is>
      </c>
      <c r="M4" s="13" t="inlineStr">
        <is>
          <t>Erw. Abschluss</t>
        </is>
      </c>
      <c r="N4" s="13" t="inlineStr">
        <is>
          <t>Tage bis Abschl.</t>
        </is>
      </c>
      <c r="O4" s="13" t="inlineStr">
        <is>
          <t>Verantwortlich</t>
        </is>
      </c>
      <c r="P4" s="13" t="inlineStr">
        <is>
          <t>Nächster Schritt</t>
        </is>
      </c>
      <c r="Q4" s="13" t="inlineStr">
        <is>
          <t>Ampel</t>
        </is>
      </c>
    </row>
    <row r="5" ht="20" customHeight="1">
      <c r="A5" s="18" t="inlineStr">
        <is>
          <t>D-1001</t>
        </is>
      </c>
      <c r="B5" s="19" t="inlineStr">
        <is>
          <t>Migros Ostschweiz</t>
        </is>
      </c>
      <c r="C5" s="19" t="inlineStr">
        <is>
          <t>R. Brunner</t>
        </is>
      </c>
      <c r="D5" s="19" t="inlineStr">
        <is>
          <t>St. Gallen</t>
        </is>
      </c>
      <c r="E5" s="19" t="inlineStr">
        <is>
          <t>Detailhandel</t>
        </is>
      </c>
      <c r="F5" s="19" t="inlineStr">
        <is>
          <t>DC-HPC 150 kW</t>
        </is>
      </c>
      <c r="G5" s="19" t="inlineStr">
        <is>
          <t>Verhandlung</t>
        </is>
      </c>
      <c r="H5" s="19" t="inlineStr">
        <is>
          <t>Hoch</t>
        </is>
      </c>
      <c r="I5" s="20" t="n">
        <v>340000</v>
      </c>
      <c r="J5" s="21">
        <f>IFERROR(_xlfn.XLOOKUP(G5,Listen!$A$5:$A$10,Listen!$B$5:$B$10),VLOOKUP(G5,Listen!$A$5:$B$10,2,FALSE))</f>
        <v/>
      </c>
      <c r="K5" s="22">
        <f>I5*J5</f>
        <v/>
      </c>
      <c r="L5" s="23" t="n">
        <v>46154</v>
      </c>
      <c r="M5" s="23" t="n">
        <v>46230</v>
      </c>
      <c r="N5" s="24">
        <f>IF(OR(G5="Gewonnen",G5="Verloren"),"—",M5-TODAY())</f>
        <v/>
      </c>
      <c r="O5" s="19" t="inlineStr">
        <is>
          <t>Burak Ücöz</t>
        </is>
      </c>
      <c r="P5" s="19" t="inlineStr">
        <is>
          <t>Vertrag final abstimmen</t>
        </is>
      </c>
      <c r="Q5" s="25">
        <f>IF(G5="Gewonnen","✅",IF(G5="Verloren","⬛",IF(N5&lt;=14,"🔴",IF(N5&lt;=45,"🟡","🟢"))))</f>
        <v/>
      </c>
    </row>
    <row r="6" ht="20" customHeight="1">
      <c r="A6" s="26" t="inlineStr">
        <is>
          <t>D-1002</t>
        </is>
      </c>
      <c r="B6" s="27" t="inlineStr">
        <is>
          <t>Planzer Transport</t>
        </is>
      </c>
      <c r="C6" s="27" t="inlineStr">
        <is>
          <t>M. Planzer</t>
        </is>
      </c>
      <c r="D6" s="27" t="inlineStr">
        <is>
          <t>Zürich</t>
        </is>
      </c>
      <c r="E6" s="27" t="inlineStr">
        <is>
          <t>Logistik</t>
        </is>
      </c>
      <c r="F6" s="27" t="inlineStr">
        <is>
          <t>Lastmanagement-System</t>
        </is>
      </c>
      <c r="G6" s="27" t="inlineStr">
        <is>
          <t>Angebot</t>
        </is>
      </c>
      <c r="H6" s="27" t="inlineStr">
        <is>
          <t>Hoch</t>
        </is>
      </c>
      <c r="I6" s="28" t="n">
        <v>210000</v>
      </c>
      <c r="J6" s="29">
        <f>IFERROR(_xlfn.XLOOKUP(G6,Listen!$A$5:$A$10,Listen!$B$5:$B$10),VLOOKUP(G6,Listen!$A$5:$B$10,2,FALSE))</f>
        <v/>
      </c>
      <c r="K6" s="30">
        <f>I6*J6</f>
        <v/>
      </c>
      <c r="L6" s="31" t="n">
        <v>46175</v>
      </c>
      <c r="M6" s="31" t="n">
        <v>46244</v>
      </c>
      <c r="N6" s="32">
        <f>IF(OR(G6="Gewonnen",G6="Verloren"),"—",M6-TODAY())</f>
        <v/>
      </c>
      <c r="O6" s="27" t="inlineStr">
        <is>
          <t>Burak Ücöz</t>
        </is>
      </c>
      <c r="P6" s="27" t="inlineStr">
        <is>
          <t>Angebot nachfassen</t>
        </is>
      </c>
      <c r="Q6" s="33">
        <f>IF(G6="Gewonnen","✅",IF(G6="Verloren","⬛",IF(N6&lt;=14,"🔴",IF(N6&lt;=45,"🟡","🟢"))))</f>
        <v/>
      </c>
    </row>
    <row r="7" ht="20" customHeight="1">
      <c r="A7" s="18" t="inlineStr">
        <is>
          <t>D-1003</t>
        </is>
      </c>
      <c r="B7" s="19" t="inlineStr">
        <is>
          <t>SBB Immobilien</t>
        </is>
      </c>
      <c r="C7" s="19" t="inlineStr">
        <is>
          <t>C. Wyss</t>
        </is>
      </c>
      <c r="D7" s="19" t="inlineStr">
        <is>
          <t>Bern</t>
        </is>
      </c>
      <c r="E7" s="19" t="inlineStr">
        <is>
          <t>Immobilien</t>
        </is>
      </c>
      <c r="F7" s="19" t="inlineStr">
        <is>
          <t>DC-Schnelllader 60 kW</t>
        </is>
      </c>
      <c r="G7" s="19" t="inlineStr">
        <is>
          <t>Qualifiziert</t>
        </is>
      </c>
      <c r="H7" s="19" t="inlineStr">
        <is>
          <t>Hoch</t>
        </is>
      </c>
      <c r="I7" s="20" t="n">
        <v>480000</v>
      </c>
      <c r="J7" s="21">
        <f>IFERROR(_xlfn.XLOOKUP(G7,Listen!$A$5:$A$10,Listen!$B$5:$B$10),VLOOKUP(G7,Listen!$A$5:$B$10,2,FALSE))</f>
        <v/>
      </c>
      <c r="K7" s="22">
        <f>I7*J7</f>
        <v/>
      </c>
      <c r="L7" s="23" t="n">
        <v>46188</v>
      </c>
      <c r="M7" s="23" t="n">
        <v>46281</v>
      </c>
      <c r="N7" s="24">
        <f>IF(OR(G7="Gewonnen",G7="Verloren"),"—",M7-TODAY())</f>
        <v/>
      </c>
      <c r="O7" s="19" t="inlineStr">
        <is>
          <t>S. Meier</t>
        </is>
      </c>
      <c r="P7" s="19" t="inlineStr">
        <is>
          <t>Standort-Audit terminieren</t>
        </is>
      </c>
      <c r="Q7" s="25">
        <f>IF(G7="Gewonnen","✅",IF(G7="Verloren","⬛",IF(N7&lt;=14,"🔴",IF(N7&lt;=45,"🟡","🟢"))))</f>
        <v/>
      </c>
    </row>
    <row r="8" ht="20" customHeight="1">
      <c r="A8" s="26" t="inlineStr">
        <is>
          <t>D-1004</t>
        </is>
      </c>
      <c r="B8" s="27" t="inlineStr">
        <is>
          <t>Coop Mineraloel</t>
        </is>
      </c>
      <c r="C8" s="27" t="inlineStr">
        <is>
          <t>T. Frei</t>
        </is>
      </c>
      <c r="D8" s="27" t="inlineStr">
        <is>
          <t>Aargau</t>
        </is>
      </c>
      <c r="E8" s="27" t="inlineStr">
        <is>
          <t>Tankstellen</t>
        </is>
      </c>
      <c r="F8" s="27" t="inlineStr">
        <is>
          <t>DC-HPC 150 kW</t>
        </is>
      </c>
      <c r="G8" s="27" t="inlineStr">
        <is>
          <t>Verhandlung</t>
        </is>
      </c>
      <c r="H8" s="27" t="inlineStr">
        <is>
          <t>Hoch</t>
        </is>
      </c>
      <c r="I8" s="28" t="n">
        <v>620000</v>
      </c>
      <c r="J8" s="29">
        <f>IFERROR(_xlfn.XLOOKUP(G8,Listen!$A$5:$A$10,Listen!$B$5:$B$10),VLOOKUP(G8,Listen!$A$5:$B$10,2,FALSE))</f>
        <v/>
      </c>
      <c r="K8" s="30">
        <f>I8*J8</f>
        <v/>
      </c>
      <c r="L8" s="31" t="n">
        <v>46142</v>
      </c>
      <c r="M8" s="31" t="n">
        <v>46221</v>
      </c>
      <c r="N8" s="32">
        <f>IF(OR(G8="Gewonnen",G8="Verloren"),"—",M8-TODAY())</f>
        <v/>
      </c>
      <c r="O8" s="27" t="inlineStr">
        <is>
          <t>Burak Ücöz</t>
        </is>
      </c>
      <c r="P8" s="27" t="inlineStr">
        <is>
          <t>Preisstaffel bestätigen</t>
        </is>
      </c>
      <c r="Q8" s="33">
        <f>IF(G8="Gewonnen","✅",IF(G8="Verloren","⬛",IF(N8&lt;=14,"🔴",IF(N8&lt;=45,"🟡","🟢"))))</f>
        <v/>
      </c>
    </row>
    <row r="9" ht="20" customHeight="1">
      <c r="A9" s="18" t="inlineStr">
        <is>
          <t>D-1005</t>
        </is>
      </c>
      <c r="B9" s="19" t="inlineStr">
        <is>
          <t>Hotel Belvédère</t>
        </is>
      </c>
      <c r="C9" s="19" t="inlineStr">
        <is>
          <t>G. Rossi</t>
        </is>
      </c>
      <c r="D9" s="19" t="inlineStr">
        <is>
          <t>Wallis</t>
        </is>
      </c>
      <c r="E9" s="19" t="inlineStr">
        <is>
          <t>Hotellerie</t>
        </is>
      </c>
      <c r="F9" s="19" t="inlineStr">
        <is>
          <t>AC-Ladestation 22 kW</t>
        </is>
      </c>
      <c r="G9" s="19" t="inlineStr">
        <is>
          <t>Angebot</t>
        </is>
      </c>
      <c r="H9" s="19" t="inlineStr">
        <is>
          <t>Mittel</t>
        </is>
      </c>
      <c r="I9" s="20" t="n">
        <v>48000</v>
      </c>
      <c r="J9" s="21">
        <f>IFERROR(_xlfn.XLOOKUP(G9,Listen!$A$5:$A$10,Listen!$B$5:$B$10),VLOOKUP(G9,Listen!$A$5:$B$10,2,FALSE))</f>
        <v/>
      </c>
      <c r="K9" s="22">
        <f>I9*J9</f>
        <v/>
      </c>
      <c r="L9" s="23" t="n">
        <v>46184</v>
      </c>
      <c r="M9" s="23" t="n">
        <v>46236</v>
      </c>
      <c r="N9" s="24">
        <f>IF(OR(G9="Gewonnen",G9="Verloren"),"—",M9-TODAY())</f>
        <v/>
      </c>
      <c r="O9" s="19" t="inlineStr">
        <is>
          <t>L. Rossi</t>
        </is>
      </c>
      <c r="P9" s="19" t="inlineStr">
        <is>
          <t>Referenzbesuch anbieten</t>
        </is>
      </c>
      <c r="Q9" s="25">
        <f>IF(G9="Gewonnen","✅",IF(G9="Verloren","⬛",IF(N9&lt;=14,"🔴",IF(N9&lt;=45,"🟡","🟢"))))</f>
        <v/>
      </c>
    </row>
    <row r="10" ht="20" customHeight="1">
      <c r="A10" s="26" t="inlineStr">
        <is>
          <t>D-1006</t>
        </is>
      </c>
      <c r="B10" s="27" t="inlineStr">
        <is>
          <t>Stadt Zürich TAZ</t>
        </is>
      </c>
      <c r="C10" s="27" t="inlineStr">
        <is>
          <t>P. Huber</t>
        </is>
      </c>
      <c r="D10" s="27" t="inlineStr">
        <is>
          <t>Zürich</t>
        </is>
      </c>
      <c r="E10" s="27" t="inlineStr">
        <is>
          <t>Öffentliche Hand</t>
        </is>
      </c>
      <c r="F10" s="27" t="inlineStr">
        <is>
          <t>Full-Service Betrieb</t>
        </is>
      </c>
      <c r="G10" s="27" t="inlineStr">
        <is>
          <t>Qualifiziert</t>
        </is>
      </c>
      <c r="H10" s="27" t="inlineStr">
        <is>
          <t>Hoch</t>
        </is>
      </c>
      <c r="I10" s="28" t="n">
        <v>390000</v>
      </c>
      <c r="J10" s="29">
        <f>IFERROR(_xlfn.XLOOKUP(G10,Listen!$A$5:$A$10,Listen!$B$5:$B$10),VLOOKUP(G10,Listen!$A$5:$B$10,2,FALSE))</f>
        <v/>
      </c>
      <c r="K10" s="30">
        <f>I10*J10</f>
        <v/>
      </c>
      <c r="L10" s="31" t="n">
        <v>46166</v>
      </c>
      <c r="M10" s="31" t="n">
        <v>46296</v>
      </c>
      <c r="N10" s="32">
        <f>IF(OR(G10="Gewonnen",G10="Verloren"),"—",M10-TODAY())</f>
        <v/>
      </c>
      <c r="O10" s="27" t="inlineStr">
        <is>
          <t>N. Keller</t>
        </is>
      </c>
      <c r="P10" s="27" t="inlineStr">
        <is>
          <t>Ausschreibung prüfen</t>
        </is>
      </c>
      <c r="Q10" s="33">
        <f>IF(G10="Gewonnen","✅",IF(G10="Verloren","⬛",IF(N10&lt;=14,"🔴",IF(N10&lt;=45,"🟡","🟢"))))</f>
        <v/>
      </c>
    </row>
    <row r="11" ht="20" customHeight="1">
      <c r="A11" s="18" t="inlineStr">
        <is>
          <t>D-1007</t>
        </is>
      </c>
      <c r="B11" s="19" t="inlineStr">
        <is>
          <t>Emmi Gruppe</t>
        </is>
      </c>
      <c r="C11" s="19" t="inlineStr">
        <is>
          <t>D. Schmid</t>
        </is>
      </c>
      <c r="D11" s="19" t="inlineStr">
        <is>
          <t>Luzern</t>
        </is>
      </c>
      <c r="E11" s="19" t="inlineStr">
        <is>
          <t>Industrie</t>
        </is>
      </c>
      <c r="F11" s="19" t="inlineStr">
        <is>
          <t>PV + Speicher Kombi</t>
        </is>
      </c>
      <c r="G11" s="19" t="inlineStr">
        <is>
          <t>Lead</t>
        </is>
      </c>
      <c r="H11" s="19" t="inlineStr">
        <is>
          <t>Mittel</t>
        </is>
      </c>
      <c r="I11" s="20" t="n">
        <v>275000</v>
      </c>
      <c r="J11" s="21">
        <f>IFERROR(_xlfn.XLOOKUP(G11,Listen!$A$5:$A$10,Listen!$B$5:$B$10),VLOOKUP(G11,Listen!$A$5:$B$10,2,FALSE))</f>
        <v/>
      </c>
      <c r="K11" s="22">
        <f>I11*J11</f>
        <v/>
      </c>
      <c r="L11" s="23" t="n">
        <v>46200</v>
      </c>
      <c r="M11" s="23" t="n">
        <v>46326</v>
      </c>
      <c r="N11" s="24">
        <f>IF(OR(G11="Gewonnen",G11="Verloren"),"—",M11-TODAY())</f>
        <v/>
      </c>
      <c r="O11" s="19" t="inlineStr">
        <is>
          <t>S. Meier</t>
        </is>
      </c>
      <c r="P11" s="19" t="inlineStr">
        <is>
          <t>Erstgespräch vereinbaren</t>
        </is>
      </c>
      <c r="Q11" s="25">
        <f>IF(G11="Gewonnen","✅",IF(G11="Verloren","⬛",IF(N11&lt;=14,"🔴",IF(N11&lt;=45,"🟡","🟢"))))</f>
        <v/>
      </c>
    </row>
    <row r="12" ht="20" customHeight="1">
      <c r="A12" s="26" t="inlineStr">
        <is>
          <t>D-1008</t>
        </is>
      </c>
      <c r="B12" s="27" t="inlineStr">
        <is>
          <t>Groupe Mutuel</t>
        </is>
      </c>
      <c r="C12" s="27" t="inlineStr">
        <is>
          <t>J. Favre</t>
        </is>
      </c>
      <c r="D12" s="27" t="inlineStr">
        <is>
          <t>Waadt</t>
        </is>
      </c>
      <c r="E12" s="27" t="inlineStr">
        <is>
          <t>Immobilien</t>
        </is>
      </c>
      <c r="F12" s="27" t="inlineStr">
        <is>
          <t>AC-Ladestation 22 kW</t>
        </is>
      </c>
      <c r="G12" s="27" t="inlineStr">
        <is>
          <t>Angebot</t>
        </is>
      </c>
      <c r="H12" s="27" t="inlineStr">
        <is>
          <t>Mittel</t>
        </is>
      </c>
      <c r="I12" s="28" t="n">
        <v>96000</v>
      </c>
      <c r="J12" s="29">
        <f>IFERROR(_xlfn.XLOOKUP(G12,Listen!$A$5:$A$10,Listen!$B$5:$B$10),VLOOKUP(G12,Listen!$A$5:$B$10,2,FALSE))</f>
        <v/>
      </c>
      <c r="K12" s="30">
        <f>I12*J12</f>
        <v/>
      </c>
      <c r="L12" s="31" t="n">
        <v>46179</v>
      </c>
      <c r="M12" s="31" t="n">
        <v>46248</v>
      </c>
      <c r="N12" s="32">
        <f>IF(OR(G12="Gewonnen",G12="Verloren"),"—",M12-TODAY())</f>
        <v/>
      </c>
      <c r="O12" s="27" t="inlineStr">
        <is>
          <t>A. Favre</t>
        </is>
      </c>
      <c r="P12" s="27" t="inlineStr">
        <is>
          <t>Angebot v2 senden</t>
        </is>
      </c>
      <c r="Q12" s="33">
        <f>IF(G12="Gewonnen","✅",IF(G12="Verloren","⬛",IF(N12&lt;=14,"🔴",IF(N12&lt;=45,"🟡","🟢"))))</f>
        <v/>
      </c>
    </row>
    <row r="13" ht="20" customHeight="1">
      <c r="A13" s="18" t="inlineStr">
        <is>
          <t>D-1009</t>
        </is>
      </c>
      <c r="B13" s="19" t="inlineStr">
        <is>
          <t>Läderach</t>
        </is>
      </c>
      <c r="C13" s="19" t="inlineStr">
        <is>
          <t>S. Läderach</t>
        </is>
      </c>
      <c r="D13" s="19" t="inlineStr">
        <is>
          <t>Aargau</t>
        </is>
      </c>
      <c r="E13" s="19" t="inlineStr">
        <is>
          <t>Detailhandel</t>
        </is>
      </c>
      <c r="F13" s="19" t="inlineStr">
        <is>
          <t>AC-Ladestation 22 kW</t>
        </is>
      </c>
      <c r="G13" s="19" t="inlineStr">
        <is>
          <t>Gewonnen</t>
        </is>
      </c>
      <c r="H13" s="19" t="inlineStr">
        <is>
          <t>Mittel</t>
        </is>
      </c>
      <c r="I13" s="20" t="n">
        <v>62000</v>
      </c>
      <c r="J13" s="21">
        <f>IFERROR(_xlfn.XLOOKUP(G13,Listen!$A$5:$A$10,Listen!$B$5:$B$10),VLOOKUP(G13,Listen!$A$5:$B$10,2,FALSE))</f>
        <v/>
      </c>
      <c r="K13" s="22">
        <f>I13*J13</f>
        <v/>
      </c>
      <c r="L13" s="23" t="n">
        <v>46118</v>
      </c>
      <c r="M13" s="23" t="n">
        <v>46202</v>
      </c>
      <c r="N13" s="24">
        <f>IF(OR(G13="Gewonnen",G13="Verloren"),"—",M13-TODAY())</f>
        <v/>
      </c>
      <c r="O13" s="19" t="inlineStr">
        <is>
          <t>Burak Ücöz</t>
        </is>
      </c>
      <c r="P13" s="19" t="inlineStr">
        <is>
          <t>Umsetzung übergeben</t>
        </is>
      </c>
      <c r="Q13" s="25">
        <f>IF(G13="Gewonnen","✅",IF(G13="Verloren","⬛",IF(N13&lt;=14,"🔴",IF(N13&lt;=45,"🟡","🟢"))))</f>
        <v/>
      </c>
    </row>
    <row r="14" ht="20" customHeight="1">
      <c r="A14" s="26" t="inlineStr">
        <is>
          <t>D-1010</t>
        </is>
      </c>
      <c r="B14" s="27" t="inlineStr">
        <is>
          <t>Post Fleet</t>
        </is>
      </c>
      <c r="C14" s="27" t="inlineStr">
        <is>
          <t>M. Berger</t>
        </is>
      </c>
      <c r="D14" s="27" t="inlineStr">
        <is>
          <t>Bern</t>
        </is>
      </c>
      <c r="E14" s="27" t="inlineStr">
        <is>
          <t>Flottenbetrieb</t>
        </is>
      </c>
      <c r="F14" s="27" t="inlineStr">
        <is>
          <t>Lastmanagement-System</t>
        </is>
      </c>
      <c r="G14" s="27" t="inlineStr">
        <is>
          <t>Verhandlung</t>
        </is>
      </c>
      <c r="H14" s="27" t="inlineStr">
        <is>
          <t>Hoch</t>
        </is>
      </c>
      <c r="I14" s="28" t="n">
        <v>540000</v>
      </c>
      <c r="J14" s="29">
        <f>IFERROR(_xlfn.XLOOKUP(G14,Listen!$A$5:$A$10,Listen!$B$5:$B$10),VLOOKUP(G14,Listen!$A$5:$B$10,2,FALSE))</f>
        <v/>
      </c>
      <c r="K14" s="30">
        <f>I14*J14</f>
        <v/>
      </c>
      <c r="L14" s="31" t="n">
        <v>46158</v>
      </c>
      <c r="M14" s="31" t="n">
        <v>46226</v>
      </c>
      <c r="N14" s="32">
        <f>IF(OR(G14="Gewonnen",G14="Verloren"),"—",M14-TODAY())</f>
        <v/>
      </c>
      <c r="O14" s="27" t="inlineStr">
        <is>
          <t>Burak Ücöz</t>
        </is>
      </c>
      <c r="P14" s="27" t="inlineStr">
        <is>
          <t>Rahmenvertrag verhandeln</t>
        </is>
      </c>
      <c r="Q14" s="33">
        <f>IF(G14="Gewonnen","✅",IF(G14="Verloren","⬛",IF(N14&lt;=14,"🔴",IF(N14&lt;=45,"🟡","🟢"))))</f>
        <v/>
      </c>
    </row>
    <row r="15" ht="20" customHeight="1">
      <c r="A15" s="18" t="inlineStr">
        <is>
          <t>D-1011</t>
        </is>
      </c>
      <c r="B15" s="19" t="inlineStr">
        <is>
          <t>TCS Genf</t>
        </is>
      </c>
      <c r="C15" s="19" t="inlineStr">
        <is>
          <t>F. Dubois</t>
        </is>
      </c>
      <c r="D15" s="19" t="inlineStr">
        <is>
          <t>Genf</t>
        </is>
      </c>
      <c r="E15" s="19" t="inlineStr">
        <is>
          <t>Öffentliche Hand</t>
        </is>
      </c>
      <c r="F15" s="19" t="inlineStr">
        <is>
          <t>DC-Schnelllader 60 kW</t>
        </is>
      </c>
      <c r="G15" s="19" t="inlineStr">
        <is>
          <t>Qualifiziert</t>
        </is>
      </c>
      <c r="H15" s="19" t="inlineStr">
        <is>
          <t>Mittel</t>
        </is>
      </c>
      <c r="I15" s="20" t="n">
        <v>180000</v>
      </c>
      <c r="J15" s="21">
        <f>IFERROR(_xlfn.XLOOKUP(G15,Listen!$A$5:$A$10,Listen!$B$5:$B$10),VLOOKUP(G15,Listen!$A$5:$B$10,2,FALSE))</f>
        <v/>
      </c>
      <c r="K15" s="22">
        <f>I15*J15</f>
        <v/>
      </c>
      <c r="L15" s="23" t="n">
        <v>46191</v>
      </c>
      <c r="M15" s="23" t="n">
        <v>46272</v>
      </c>
      <c r="N15" s="24">
        <f>IF(OR(G15="Gewonnen",G15="Verloren"),"—",M15-TODAY())</f>
        <v/>
      </c>
      <c r="O15" s="19" t="inlineStr">
        <is>
          <t>A. Favre</t>
        </is>
      </c>
      <c r="P15" s="19" t="inlineStr">
        <is>
          <t>Bedarf konkretisieren</t>
        </is>
      </c>
      <c r="Q15" s="25">
        <f>IF(G15="Gewonnen","✅",IF(G15="Verloren","⬛",IF(N15&lt;=14,"🔴",IF(N15&lt;=45,"🟡","🟢"))))</f>
        <v/>
      </c>
    </row>
    <row r="16" ht="20" customHeight="1">
      <c r="A16" s="26" t="inlineStr">
        <is>
          <t>D-1012</t>
        </is>
      </c>
      <c r="B16" s="27" t="inlineStr">
        <is>
          <t>IKEA Spreitenbach</t>
        </is>
      </c>
      <c r="C16" s="27" t="inlineStr">
        <is>
          <t>K. Nilsson</t>
        </is>
      </c>
      <c r="D16" s="27" t="inlineStr">
        <is>
          <t>Aargau</t>
        </is>
      </c>
      <c r="E16" s="27" t="inlineStr">
        <is>
          <t>Detailhandel</t>
        </is>
      </c>
      <c r="F16" s="27" t="inlineStr">
        <is>
          <t>DC-HPC 150 kW</t>
        </is>
      </c>
      <c r="G16" s="27" t="inlineStr">
        <is>
          <t>Angebot</t>
        </is>
      </c>
      <c r="H16" s="27" t="inlineStr">
        <is>
          <t>Hoch</t>
        </is>
      </c>
      <c r="I16" s="28" t="n">
        <v>410000</v>
      </c>
      <c r="J16" s="29">
        <f>IFERROR(_xlfn.XLOOKUP(G16,Listen!$A$5:$A$10,Listen!$B$5:$B$10),VLOOKUP(G16,Listen!$A$5:$B$10,2,FALSE))</f>
        <v/>
      </c>
      <c r="K16" s="30">
        <f>I16*J16</f>
        <v/>
      </c>
      <c r="L16" s="31" t="n">
        <v>46173</v>
      </c>
      <c r="M16" s="31" t="n">
        <v>46241</v>
      </c>
      <c r="N16" s="32">
        <f>IF(OR(G16="Gewonnen",G16="Verloren"),"—",M16-TODAY())</f>
        <v/>
      </c>
      <c r="O16" s="27" t="inlineStr">
        <is>
          <t>S. Meier</t>
        </is>
      </c>
      <c r="P16" s="27" t="inlineStr">
        <is>
          <t>Business-Case rechnen</t>
        </is>
      </c>
      <c r="Q16" s="33">
        <f>IF(G16="Gewonnen","✅",IF(G16="Verloren","⬛",IF(N16&lt;=14,"🔴",IF(N16&lt;=45,"🟡","🟢"))))</f>
        <v/>
      </c>
    </row>
    <row r="17" ht="20" customHeight="1">
      <c r="A17" s="18" t="inlineStr">
        <is>
          <t>D-1013</t>
        </is>
      </c>
      <c r="B17" s="19" t="inlineStr">
        <is>
          <t>Manor AG</t>
        </is>
      </c>
      <c r="C17" s="19" t="inlineStr">
        <is>
          <t>B. Keller</t>
        </is>
      </c>
      <c r="D17" s="19" t="inlineStr">
        <is>
          <t>Basel</t>
        </is>
      </c>
      <c r="E17" s="19" t="inlineStr">
        <is>
          <t>Detailhandel</t>
        </is>
      </c>
      <c r="F17" s="19" t="inlineStr">
        <is>
          <t>DC-Schnelllader 60 kW</t>
        </is>
      </c>
      <c r="G17" s="19" t="inlineStr">
        <is>
          <t>Lead</t>
        </is>
      </c>
      <c r="H17" s="19" t="inlineStr">
        <is>
          <t>Niedrig</t>
        </is>
      </c>
      <c r="I17" s="20" t="n">
        <v>150000</v>
      </c>
      <c r="J17" s="21">
        <f>IFERROR(_xlfn.XLOOKUP(G17,Listen!$A$5:$A$10,Listen!$B$5:$B$10),VLOOKUP(G17,Listen!$A$5:$B$10,2,FALSE))</f>
        <v/>
      </c>
      <c r="K17" s="22">
        <f>I17*J17</f>
        <v/>
      </c>
      <c r="L17" s="23" t="n">
        <v>46202</v>
      </c>
      <c r="M17" s="23" t="n">
        <v>46316</v>
      </c>
      <c r="N17" s="24">
        <f>IF(OR(G17="Gewonnen",G17="Verloren"),"—",M17-TODAY())</f>
        <v/>
      </c>
      <c r="O17" s="19" t="inlineStr">
        <is>
          <t>L. Rossi</t>
        </is>
      </c>
      <c r="P17" s="19" t="inlineStr">
        <is>
          <t>Entscheider identifizieren</t>
        </is>
      </c>
      <c r="Q17" s="25">
        <f>IF(G17="Gewonnen","✅",IF(G17="Verloren","⬛",IF(N17&lt;=14,"🔴",IF(N17&lt;=45,"🟡","🟢"))))</f>
        <v/>
      </c>
    </row>
    <row r="18" ht="20" customHeight="1">
      <c r="A18" s="26" t="inlineStr">
        <is>
          <t>D-1014</t>
        </is>
      </c>
      <c r="B18" s="27" t="inlineStr">
        <is>
          <t>Kambly SA</t>
        </is>
      </c>
      <c r="C18" s="27" t="inlineStr">
        <is>
          <t>E. Kambly</t>
        </is>
      </c>
      <c r="D18" s="27" t="inlineStr">
        <is>
          <t>Bern</t>
        </is>
      </c>
      <c r="E18" s="27" t="inlineStr">
        <is>
          <t>Industrie</t>
        </is>
      </c>
      <c r="F18" s="27" t="inlineStr">
        <is>
          <t>PV + Speicher Kombi</t>
        </is>
      </c>
      <c r="G18" s="27" t="inlineStr">
        <is>
          <t>Verloren</t>
        </is>
      </c>
      <c r="H18" s="27" t="inlineStr">
        <is>
          <t>Niedrig</t>
        </is>
      </c>
      <c r="I18" s="28" t="n">
        <v>88000</v>
      </c>
      <c r="J18" s="29">
        <f>IFERROR(_xlfn.XLOOKUP(G18,Listen!$A$5:$A$10,Listen!$B$5:$B$10),VLOOKUP(G18,Listen!$A$5:$B$10,2,FALSE))</f>
        <v/>
      </c>
      <c r="K18" s="30">
        <f>I18*J18</f>
        <v/>
      </c>
      <c r="L18" s="31" t="n">
        <v>46136</v>
      </c>
      <c r="M18" s="31" t="n">
        <v>46196</v>
      </c>
      <c r="N18" s="32">
        <f>IF(OR(G18="Gewonnen",G18="Verloren"),"—",M18-TODAY())</f>
        <v/>
      </c>
      <c r="O18" s="27" t="inlineStr">
        <is>
          <t>N. Keller</t>
        </is>
      </c>
      <c r="P18" s="27" t="inlineStr">
        <is>
          <t>Verloren an Wettbewerb</t>
        </is>
      </c>
      <c r="Q18" s="33">
        <f>IF(G18="Gewonnen","✅",IF(G18="Verloren","⬛",IF(N18&lt;=14,"🔴",IF(N18&lt;=45,"🟡","🟢"))))</f>
        <v/>
      </c>
    </row>
    <row r="19" ht="20" customHeight="1">
      <c r="A19" s="18" t="inlineStr">
        <is>
          <t>D-1015</t>
        </is>
      </c>
      <c r="B19" s="19" t="inlineStr">
        <is>
          <t>Autogrill Schweiz</t>
        </is>
      </c>
      <c r="C19" s="19" t="inlineStr">
        <is>
          <t>R. Conti</t>
        </is>
      </c>
      <c r="D19" s="19" t="inlineStr">
        <is>
          <t>Tessin</t>
        </is>
      </c>
      <c r="E19" s="19" t="inlineStr">
        <is>
          <t>Tankstellen</t>
        </is>
      </c>
      <c r="F19" s="19" t="inlineStr">
        <is>
          <t>DC-HPC 150 kW</t>
        </is>
      </c>
      <c r="G19" s="19" t="inlineStr">
        <is>
          <t>Angebot</t>
        </is>
      </c>
      <c r="H19" s="19" t="inlineStr">
        <is>
          <t>Hoch</t>
        </is>
      </c>
      <c r="I19" s="20" t="n">
        <v>355000</v>
      </c>
      <c r="J19" s="21">
        <f>IFERROR(_xlfn.XLOOKUP(G19,Listen!$A$5:$A$10,Listen!$B$5:$B$10),VLOOKUP(G19,Listen!$A$5:$B$10,2,FALSE))</f>
        <v/>
      </c>
      <c r="K19" s="22">
        <f>I19*J19</f>
        <v/>
      </c>
      <c r="L19" s="23" t="n">
        <v>46181</v>
      </c>
      <c r="M19" s="23" t="n">
        <v>46234</v>
      </c>
      <c r="N19" s="24">
        <f>IF(OR(G19="Gewonnen",G19="Verloren"),"—",M19-TODAY())</f>
        <v/>
      </c>
      <c r="O19" s="19" t="inlineStr">
        <is>
          <t>Burak Ücöz</t>
        </is>
      </c>
      <c r="P19" s="19" t="inlineStr">
        <is>
          <t>Termin CFO fixieren</t>
        </is>
      </c>
      <c r="Q19" s="25">
        <f>IF(G19="Gewonnen","✅",IF(G19="Verloren","⬛",IF(N19&lt;=14,"🔴",IF(N19&lt;=45,"🟡","🟢"))))</f>
        <v/>
      </c>
    </row>
    <row r="20" ht="20" customHeight="1">
      <c r="A20" s="26" t="inlineStr">
        <is>
          <t>D-1016</t>
        </is>
      </c>
      <c r="B20" s="27" t="inlineStr">
        <is>
          <t>Bucherer</t>
        </is>
      </c>
      <c r="C20" s="27" t="inlineStr">
        <is>
          <t>V. Huber</t>
        </is>
      </c>
      <c r="D20" s="27" t="inlineStr">
        <is>
          <t>Luzern</t>
        </is>
      </c>
      <c r="E20" s="27" t="inlineStr">
        <is>
          <t>Detailhandel</t>
        </is>
      </c>
      <c r="F20" s="27" t="inlineStr">
        <is>
          <t>AC-Ladestation 22 kW</t>
        </is>
      </c>
      <c r="G20" s="27" t="inlineStr">
        <is>
          <t>Gewonnen</t>
        </is>
      </c>
      <c r="H20" s="27" t="inlineStr">
        <is>
          <t>Mittel</t>
        </is>
      </c>
      <c r="I20" s="28" t="n">
        <v>54000</v>
      </c>
      <c r="J20" s="29">
        <f>IFERROR(_xlfn.XLOOKUP(G20,Listen!$A$5:$A$10,Listen!$B$5:$B$10),VLOOKUP(G20,Listen!$A$5:$B$10,2,FALSE))</f>
        <v/>
      </c>
      <c r="K20" s="30">
        <f>I20*J20</f>
        <v/>
      </c>
      <c r="L20" s="31" t="n">
        <v>46111</v>
      </c>
      <c r="M20" s="31" t="n">
        <v>46186</v>
      </c>
      <c r="N20" s="32">
        <f>IF(OR(G20="Gewonnen",G20="Verloren"),"—",M20-TODAY())</f>
        <v/>
      </c>
      <c r="O20" s="27" t="inlineStr">
        <is>
          <t>L. Rossi</t>
        </is>
      </c>
      <c r="P20" s="27" t="inlineStr">
        <is>
          <t>Umsetzung läuft</t>
        </is>
      </c>
      <c r="Q20" s="33">
        <f>IF(G20="Gewonnen","✅",IF(G20="Verloren","⬛",IF(N20&lt;=14,"🔴",IF(N20&lt;=45,"🟡","🟢"))))</f>
        <v/>
      </c>
    </row>
    <row r="21" ht="20" customHeight="1">
      <c r="A21" s="18" t="inlineStr">
        <is>
          <t>D-1017</t>
        </is>
      </c>
      <c r="B21" s="19" t="inlineStr">
        <is>
          <t>Denner AG</t>
        </is>
      </c>
      <c r="C21" s="19" t="inlineStr">
        <is>
          <t>H. Müller</t>
        </is>
      </c>
      <c r="D21" s="19" t="inlineStr">
        <is>
          <t>Zürich</t>
        </is>
      </c>
      <c r="E21" s="19" t="inlineStr">
        <is>
          <t>Detailhandel</t>
        </is>
      </c>
      <c r="F21" s="19" t="inlineStr">
        <is>
          <t>Lastmanagement-System</t>
        </is>
      </c>
      <c r="G21" s="19" t="inlineStr">
        <is>
          <t>Qualifiziert</t>
        </is>
      </c>
      <c r="H21" s="19" t="inlineStr">
        <is>
          <t>Mittel</t>
        </is>
      </c>
      <c r="I21" s="20" t="n">
        <v>230000</v>
      </c>
      <c r="J21" s="21">
        <f>IFERROR(_xlfn.XLOOKUP(G21,Listen!$A$5:$A$10,Listen!$B$5:$B$10),VLOOKUP(G21,Listen!$A$5:$B$10,2,FALSE))</f>
        <v/>
      </c>
      <c r="K21" s="22">
        <f>I21*J21</f>
        <v/>
      </c>
      <c r="L21" s="23" t="n">
        <v>46194</v>
      </c>
      <c r="M21" s="23" t="n">
        <v>46276</v>
      </c>
      <c r="N21" s="24">
        <f>IF(OR(G21="Gewonnen",G21="Verloren"),"—",M21-TODAY())</f>
        <v/>
      </c>
      <c r="O21" s="19" t="inlineStr">
        <is>
          <t>S. Meier</t>
        </is>
      </c>
      <c r="P21" s="19" t="inlineStr">
        <is>
          <t>Standortliste anfordern</t>
        </is>
      </c>
      <c r="Q21" s="25">
        <f>IF(G21="Gewonnen","✅",IF(G21="Verloren","⬛",IF(N21&lt;=14,"🔴",IF(N21&lt;=45,"🟡","🟢"))))</f>
        <v/>
      </c>
    </row>
    <row r="22" ht="20" customHeight="1">
      <c r="A22" s="26" t="inlineStr">
        <is>
          <t>D-1018</t>
        </is>
      </c>
      <c r="B22" s="27" t="inlineStr">
        <is>
          <t>Flughafen Genf</t>
        </is>
      </c>
      <c r="C22" s="27" t="inlineStr">
        <is>
          <t>P. Girard</t>
        </is>
      </c>
      <c r="D22" s="27" t="inlineStr">
        <is>
          <t>Genf</t>
        </is>
      </c>
      <c r="E22" s="27" t="inlineStr">
        <is>
          <t>Öffentliche Hand</t>
        </is>
      </c>
      <c r="F22" s="27" t="inlineStr">
        <is>
          <t>DC-HPC 150 kW</t>
        </is>
      </c>
      <c r="G22" s="27" t="inlineStr">
        <is>
          <t>Verhandlung</t>
        </is>
      </c>
      <c r="H22" s="27" t="inlineStr">
        <is>
          <t>Hoch</t>
        </is>
      </c>
      <c r="I22" s="28" t="n">
        <v>780000</v>
      </c>
      <c r="J22" s="29">
        <f>IFERROR(_xlfn.XLOOKUP(G22,Listen!$A$5:$A$10,Listen!$B$5:$B$10),VLOOKUP(G22,Listen!$A$5:$B$10,2,FALSE))</f>
        <v/>
      </c>
      <c r="K22" s="30">
        <f>I22*J22</f>
        <v/>
      </c>
      <c r="L22" s="31" t="n">
        <v>46148</v>
      </c>
      <c r="M22" s="31" t="n">
        <v>46224</v>
      </c>
      <c r="N22" s="32">
        <f>IF(OR(G22="Gewonnen",G22="Verloren"),"—",M22-TODAY())</f>
        <v/>
      </c>
      <c r="O22" s="27" t="inlineStr">
        <is>
          <t>Burak Ücöz</t>
        </is>
      </c>
      <c r="P22" s="27" t="inlineStr">
        <is>
          <t>Vertragsentwurf senden</t>
        </is>
      </c>
      <c r="Q22" s="33">
        <f>IF(G22="Gewonnen","✅",IF(G22="Verloren","⬛",IF(N22&lt;=14,"🔴",IF(N22&lt;=45,"🟡","🟢"))))</f>
        <v/>
      </c>
    </row>
    <row r="23" ht="20" customHeight="1">
      <c r="A23" s="18" t="inlineStr">
        <is>
          <t>D-1019</t>
        </is>
      </c>
      <c r="B23" s="19" t="inlineStr">
        <is>
          <t>Valora / avec</t>
        </is>
      </c>
      <c r="C23" s="19" t="inlineStr">
        <is>
          <t>N. Weber</t>
        </is>
      </c>
      <c r="D23" s="19" t="inlineStr">
        <is>
          <t>St. Gallen</t>
        </is>
      </c>
      <c r="E23" s="19" t="inlineStr">
        <is>
          <t>Detailhandel</t>
        </is>
      </c>
      <c r="F23" s="19" t="inlineStr">
        <is>
          <t>AC-Ladestation 22 kW</t>
        </is>
      </c>
      <c r="G23" s="19" t="inlineStr">
        <is>
          <t>Lead</t>
        </is>
      </c>
      <c r="H23" s="19" t="inlineStr">
        <is>
          <t>Niedrig</t>
        </is>
      </c>
      <c r="I23" s="20" t="n">
        <v>72000</v>
      </c>
      <c r="J23" s="21">
        <f>IFERROR(_xlfn.XLOOKUP(G23,Listen!$A$5:$A$10,Listen!$B$5:$B$10),VLOOKUP(G23,Listen!$A$5:$B$10,2,FALSE))</f>
        <v/>
      </c>
      <c r="K23" s="22">
        <f>I23*J23</f>
        <v/>
      </c>
      <c r="L23" s="23" t="n">
        <v>46203</v>
      </c>
      <c r="M23" s="23" t="n">
        <v>46306</v>
      </c>
      <c r="N23" s="24">
        <f>IF(OR(G23="Gewonnen",G23="Verloren"),"—",M23-TODAY())</f>
        <v/>
      </c>
      <c r="O23" s="19" t="inlineStr">
        <is>
          <t>A. Favre</t>
        </is>
      </c>
      <c r="P23" s="19" t="inlineStr">
        <is>
          <t>Bedarf klären</t>
        </is>
      </c>
      <c r="Q23" s="25">
        <f>IF(G23="Gewonnen","✅",IF(G23="Verloren","⬛",IF(N23&lt;=14,"🔴",IF(N23&lt;=45,"🟡","🟢"))))</f>
        <v/>
      </c>
    </row>
    <row r="24" ht="20" customHeight="1">
      <c r="A24" s="26" t="inlineStr">
        <is>
          <t>D-1020</t>
        </is>
      </c>
      <c r="B24" s="27" t="inlineStr">
        <is>
          <t>Aldi Suisse</t>
        </is>
      </c>
      <c r="C24" s="27" t="inlineStr">
        <is>
          <t>M. Fischer</t>
        </is>
      </c>
      <c r="D24" s="27" t="inlineStr">
        <is>
          <t>Aargau</t>
        </is>
      </c>
      <c r="E24" s="27" t="inlineStr">
        <is>
          <t>Detailhandel</t>
        </is>
      </c>
      <c r="F24" s="27" t="inlineStr">
        <is>
          <t>DC-Schnelllader 60 kW</t>
        </is>
      </c>
      <c r="G24" s="27" t="inlineStr">
        <is>
          <t>Angebot</t>
        </is>
      </c>
      <c r="H24" s="27" t="inlineStr">
        <is>
          <t>Hoch</t>
        </is>
      </c>
      <c r="I24" s="28" t="n">
        <v>445000</v>
      </c>
      <c r="J24" s="29">
        <f>IFERROR(_xlfn.XLOOKUP(G24,Listen!$A$5:$A$10,Listen!$B$5:$B$10),VLOOKUP(G24,Listen!$A$5:$B$10,2,FALSE))</f>
        <v/>
      </c>
      <c r="K24" s="30">
        <f>I24*J24</f>
        <v/>
      </c>
      <c r="L24" s="31" t="n">
        <v>46177</v>
      </c>
      <c r="M24" s="31" t="n">
        <v>46246</v>
      </c>
      <c r="N24" s="32">
        <f>IF(OR(G24="Gewonnen",G24="Verloren"),"—",M24-TODAY())</f>
        <v/>
      </c>
      <c r="O24" s="27" t="inlineStr">
        <is>
          <t>Burak Ücöz</t>
        </is>
      </c>
      <c r="P24" s="27" t="inlineStr">
        <is>
          <t>Pilotstandort definieren</t>
        </is>
      </c>
      <c r="Q24" s="33">
        <f>IF(G24="Gewonnen","✅",IF(G24="Verloren","⬛",IF(N24&lt;=14,"🔴",IF(N24&lt;=45,"🟡","🟢"))))</f>
        <v/>
      </c>
    </row>
    <row r="25" ht="20" customHeight="1">
      <c r="A25" s="18" t="inlineStr">
        <is>
          <t>D-1021</t>
        </is>
      </c>
      <c r="B25" s="19" t="inlineStr">
        <is>
          <t>Coop Genossenschaft</t>
        </is>
      </c>
      <c r="C25" s="19" t="inlineStr">
        <is>
          <t>A. Meier</t>
        </is>
      </c>
      <c r="D25" s="19" t="inlineStr">
        <is>
          <t>Bern</t>
        </is>
      </c>
      <c r="E25" s="19" t="inlineStr">
        <is>
          <t>Detailhandel</t>
        </is>
      </c>
      <c r="F25" s="19" t="inlineStr">
        <is>
          <t>AC-Ladestation 22 kW</t>
        </is>
      </c>
      <c r="G25" s="19" t="inlineStr">
        <is>
          <t>Lead</t>
        </is>
      </c>
      <c r="H25" s="19" t="inlineStr">
        <is>
          <t>Hoch</t>
        </is>
      </c>
      <c r="I25" s="20" t="n">
        <v>25000</v>
      </c>
      <c r="J25" s="21">
        <f>IFERROR(_xlfn.XLOOKUP(G25,Listen!$A$5:$A$10,Listen!$B$5:$B$10),VLOOKUP(G25,Listen!$A$5:$B$10,2,FALSE))</f>
        <v/>
      </c>
      <c r="K25" s="22">
        <f>I25*J25</f>
        <v/>
      </c>
      <c r="L25" s="23" t="n">
        <v>46198</v>
      </c>
      <c r="M25" s="23" t="n">
        <v>46211</v>
      </c>
      <c r="N25" s="24">
        <f>IF(OR(G25="Gewonnen",G25="Verloren"),"—",M25-TODAY())</f>
        <v/>
      </c>
      <c r="O25" s="19" t="inlineStr">
        <is>
          <t>Burak Ücöz</t>
        </is>
      </c>
      <c r="P25" s="19" t="inlineStr">
        <is>
          <t>Erstgespräch planen</t>
        </is>
      </c>
      <c r="Q25" s="25">
        <f>IF(G25="Gewonnen","✅",IF(G25="Verloren","⬛",IF(N25&lt;=14,"🔴",IF(N25&lt;=45,"🟡","🟢"))))</f>
        <v/>
      </c>
    </row>
    <row r="26" ht="20" customHeight="1">
      <c r="A26" s="26" t="inlineStr">
        <is>
          <t>D-1022</t>
        </is>
      </c>
      <c r="B26" s="27" t="inlineStr">
        <is>
          <t>Migros Aare</t>
        </is>
      </c>
      <c r="C26" s="27" t="inlineStr">
        <is>
          <t>B. Huber</t>
        </is>
      </c>
      <c r="D26" s="27" t="inlineStr">
        <is>
          <t>Basel</t>
        </is>
      </c>
      <c r="E26" s="27" t="inlineStr">
        <is>
          <t>Detailhandel</t>
        </is>
      </c>
      <c r="F26" s="27" t="inlineStr">
        <is>
          <t>PV + Speicher Kombi</t>
        </is>
      </c>
      <c r="G26" s="27" t="inlineStr">
        <is>
          <t>Qualifiziert</t>
        </is>
      </c>
      <c r="H26" s="27" t="inlineStr">
        <is>
          <t>Mittel</t>
        </is>
      </c>
      <c r="I26" s="28" t="n">
        <v>284000</v>
      </c>
      <c r="J26" s="29">
        <f>IFERROR(_xlfn.XLOOKUP(G26,Listen!$A$5:$A$10,Listen!$B$5:$B$10),VLOOKUP(G26,Listen!$A$5:$B$10,2,FALSE))</f>
        <v/>
      </c>
      <c r="K26" s="30">
        <f>I26*J26</f>
        <v/>
      </c>
      <c r="L26" s="31" t="n">
        <v>46187</v>
      </c>
      <c r="M26" s="31" t="n">
        <v>46224</v>
      </c>
      <c r="N26" s="32">
        <f>IF(OR(G26="Gewonnen",G26="Verloren"),"—",M26-TODAY())</f>
        <v/>
      </c>
      <c r="O26" s="27" t="inlineStr">
        <is>
          <t>S. Meier</t>
        </is>
      </c>
      <c r="P26" s="27" t="inlineStr">
        <is>
          <t>Angebot erstellen</t>
        </is>
      </c>
      <c r="Q26" s="33">
        <f>IF(G26="Gewonnen","✅",IF(G26="Verloren","⬛",IF(N26&lt;=14,"🔴",IF(N26&lt;=45,"🟡","🟢"))))</f>
        <v/>
      </c>
    </row>
    <row r="27" ht="20" customHeight="1">
      <c r="A27" s="18" t="inlineStr">
        <is>
          <t>D-1023</t>
        </is>
      </c>
      <c r="B27" s="19" t="inlineStr">
        <is>
          <t>Spar Schweiz</t>
        </is>
      </c>
      <c r="C27" s="19" t="inlineStr">
        <is>
          <t>C. Rossi</t>
        </is>
      </c>
      <c r="D27" s="19" t="inlineStr">
        <is>
          <t>Tessin</t>
        </is>
      </c>
      <c r="E27" s="19" t="inlineStr">
        <is>
          <t>Detailhandel</t>
        </is>
      </c>
      <c r="F27" s="19" t="inlineStr">
        <is>
          <t>Full-Service Betrieb</t>
        </is>
      </c>
      <c r="G27" s="19" t="inlineStr">
        <is>
          <t>Angebot</t>
        </is>
      </c>
      <c r="H27" s="19" t="inlineStr">
        <is>
          <t>Niedrig</t>
        </is>
      </c>
      <c r="I27" s="20" t="n">
        <v>543000</v>
      </c>
      <c r="J27" s="21">
        <f>IFERROR(_xlfn.XLOOKUP(G27,Listen!$A$5:$A$10,Listen!$B$5:$B$10),VLOOKUP(G27,Listen!$A$5:$B$10,2,FALSE))</f>
        <v/>
      </c>
      <c r="K27" s="22">
        <f>I27*J27</f>
        <v/>
      </c>
      <c r="L27" s="23" t="n">
        <v>46176</v>
      </c>
      <c r="M27" s="23" t="n">
        <v>46237</v>
      </c>
      <c r="N27" s="24">
        <f>IF(OR(G27="Gewonnen",G27="Verloren"),"—",M27-TODAY())</f>
        <v/>
      </c>
      <c r="O27" s="19" t="inlineStr">
        <is>
          <t>L. Rossi</t>
        </is>
      </c>
      <c r="P27" s="19" t="inlineStr">
        <is>
          <t>Angebot nachfassen</t>
        </is>
      </c>
      <c r="Q27" s="25">
        <f>IF(G27="Gewonnen","✅",IF(G27="Verloren","⬛",IF(N27&lt;=14,"🔴",IF(N27&lt;=45,"🟡","🟢"))))</f>
        <v/>
      </c>
    </row>
    <row r="28" ht="20" customHeight="1">
      <c r="A28" s="26" t="inlineStr">
        <is>
          <t>D-1024</t>
        </is>
      </c>
      <c r="B28" s="27" t="inlineStr">
        <is>
          <t>Volg Konsumwaren</t>
        </is>
      </c>
      <c r="C28" s="27" t="inlineStr">
        <is>
          <t>D. Baumann</t>
        </is>
      </c>
      <c r="D28" s="27" t="inlineStr">
        <is>
          <t>Zürich</t>
        </is>
      </c>
      <c r="E28" s="27" t="inlineStr">
        <is>
          <t>Detailhandel</t>
        </is>
      </c>
      <c r="F28" s="27" t="inlineStr">
        <is>
          <t>Lastmanagement-System</t>
        </is>
      </c>
      <c r="G28" s="27" t="inlineStr">
        <is>
          <t>Verhandlung</t>
        </is>
      </c>
      <c r="H28" s="27" t="inlineStr">
        <is>
          <t>Hoch</t>
        </is>
      </c>
      <c r="I28" s="28" t="n">
        <v>137000</v>
      </c>
      <c r="J28" s="29">
        <f>IFERROR(_xlfn.XLOOKUP(G28,Listen!$A$5:$A$10,Listen!$B$5:$B$10),VLOOKUP(G28,Listen!$A$5:$B$10,2,FALSE))</f>
        <v/>
      </c>
      <c r="K28" s="30">
        <f>I28*J28</f>
        <v/>
      </c>
      <c r="L28" s="31" t="n">
        <v>46165</v>
      </c>
      <c r="M28" s="31" t="n">
        <v>46250</v>
      </c>
      <c r="N28" s="32">
        <f>IF(OR(G28="Gewonnen",G28="Verloren"),"—",M28-TODAY())</f>
        <v/>
      </c>
      <c r="O28" s="27" t="inlineStr">
        <is>
          <t>N. Keller</t>
        </is>
      </c>
      <c r="P28" s="27" t="inlineStr">
        <is>
          <t>Standort-Audit terminieren</t>
        </is>
      </c>
      <c r="Q28" s="33">
        <f>IF(G28="Gewonnen","✅",IF(G28="Verloren","⬛",IF(N28&lt;=14,"🔴",IF(N28&lt;=45,"🟡","🟢"))))</f>
        <v/>
      </c>
    </row>
    <row r="29" ht="20" customHeight="1">
      <c r="A29" s="18" t="inlineStr">
        <is>
          <t>D-1025</t>
        </is>
      </c>
      <c r="B29" s="19" t="inlineStr">
        <is>
          <t>Landi Schweiz</t>
        </is>
      </c>
      <c r="C29" s="19" t="inlineStr">
        <is>
          <t>E. Suter</t>
        </is>
      </c>
      <c r="D29" s="19" t="inlineStr">
        <is>
          <t>Genf</t>
        </is>
      </c>
      <c r="E29" s="19" t="inlineStr">
        <is>
          <t>Detailhandel</t>
        </is>
      </c>
      <c r="F29" s="19" t="inlineStr">
        <is>
          <t>DC-HPC 150 kW</t>
        </is>
      </c>
      <c r="G29" s="19" t="inlineStr">
        <is>
          <t>Qualifiziert</t>
        </is>
      </c>
      <c r="H29" s="19" t="inlineStr">
        <is>
          <t>Mittel</t>
        </is>
      </c>
      <c r="I29" s="20" t="n">
        <v>396000</v>
      </c>
      <c r="J29" s="21">
        <f>IFERROR(_xlfn.XLOOKUP(G29,Listen!$A$5:$A$10,Listen!$B$5:$B$10),VLOOKUP(G29,Listen!$A$5:$B$10,2,FALSE))</f>
        <v/>
      </c>
      <c r="K29" s="22">
        <f>I29*J29</f>
        <v/>
      </c>
      <c r="L29" s="23" t="n">
        <v>46154</v>
      </c>
      <c r="M29" s="23" t="n">
        <v>46263</v>
      </c>
      <c r="N29" s="24">
        <f>IF(OR(G29="Gewonnen",G29="Verloren"),"—",M29-TODAY())</f>
        <v/>
      </c>
      <c r="O29" s="19" t="inlineStr">
        <is>
          <t>A. Favre</t>
        </is>
      </c>
      <c r="P29" s="19" t="inlineStr">
        <is>
          <t>Entscheider treffen</t>
        </is>
      </c>
      <c r="Q29" s="25">
        <f>IF(G29="Gewonnen","✅",IF(G29="Verloren","⬛",IF(N29&lt;=14,"🔴",IF(N29&lt;=45,"🟡","🟢"))))</f>
        <v/>
      </c>
    </row>
    <row r="30" ht="20" customHeight="1">
      <c r="A30" s="26" t="inlineStr">
        <is>
          <t>D-1026</t>
        </is>
      </c>
      <c r="B30" s="27" t="inlineStr">
        <is>
          <t>Otto's AG</t>
        </is>
      </c>
      <c r="C30" s="27" t="inlineStr">
        <is>
          <t>F. Wyss</t>
        </is>
      </c>
      <c r="D30" s="27" t="inlineStr">
        <is>
          <t>St. Gallen</t>
        </is>
      </c>
      <c r="E30" s="27" t="inlineStr">
        <is>
          <t>Detailhandel</t>
        </is>
      </c>
      <c r="F30" s="27" t="inlineStr">
        <is>
          <t>DC-Schnelllader 60 kW</t>
        </is>
      </c>
      <c r="G30" s="27" t="inlineStr">
        <is>
          <t>Angebot</t>
        </is>
      </c>
      <c r="H30" s="27" t="inlineStr">
        <is>
          <t>Niedrig</t>
        </is>
      </c>
      <c r="I30" s="28" t="n">
        <v>655000</v>
      </c>
      <c r="J30" s="29">
        <f>IFERROR(_xlfn.XLOOKUP(G30,Listen!$A$5:$A$10,Listen!$B$5:$B$10),VLOOKUP(G30,Listen!$A$5:$B$10,2,FALSE))</f>
        <v/>
      </c>
      <c r="K30" s="30">
        <f>I30*J30</f>
        <v/>
      </c>
      <c r="L30" s="31" t="n">
        <v>46143</v>
      </c>
      <c r="M30" s="31" t="n">
        <v>46276</v>
      </c>
      <c r="N30" s="32">
        <f>IF(OR(G30="Gewonnen",G30="Verloren"),"—",M30-TODAY())</f>
        <v/>
      </c>
      <c r="O30" s="27" t="inlineStr">
        <is>
          <t>Burak Ücöz</t>
        </is>
      </c>
      <c r="P30" s="27" t="inlineStr">
        <is>
          <t>Business-Case rechnen</t>
        </is>
      </c>
      <c r="Q30" s="33">
        <f>IF(G30="Gewonnen","✅",IF(G30="Verloren","⬛",IF(N30&lt;=14,"🔴",IF(N30&lt;=45,"🟡","🟢"))))</f>
        <v/>
      </c>
    </row>
    <row r="31" ht="20" customHeight="1">
      <c r="A31" s="18" t="inlineStr">
        <is>
          <t>D-1027</t>
        </is>
      </c>
      <c r="B31" s="19" t="inlineStr">
        <is>
          <t>Ochsner Sport</t>
        </is>
      </c>
      <c r="C31" s="19" t="inlineStr">
        <is>
          <t>G. Schmid</t>
        </is>
      </c>
      <c r="D31" s="19" t="inlineStr">
        <is>
          <t>Wallis</t>
        </is>
      </c>
      <c r="E31" s="19" t="inlineStr">
        <is>
          <t>Detailhandel</t>
        </is>
      </c>
      <c r="F31" s="19" t="inlineStr">
        <is>
          <t>AC-Ladestation 22 kW</t>
        </is>
      </c>
      <c r="G31" s="19" t="inlineStr">
        <is>
          <t>Gewonnen</t>
        </is>
      </c>
      <c r="H31" s="19" t="inlineStr">
        <is>
          <t>Hoch</t>
        </is>
      </c>
      <c r="I31" s="20" t="n">
        <v>249000</v>
      </c>
      <c r="J31" s="21">
        <f>IFERROR(_xlfn.XLOOKUP(G31,Listen!$A$5:$A$10,Listen!$B$5:$B$10),VLOOKUP(G31,Listen!$A$5:$B$10,2,FALSE))</f>
        <v/>
      </c>
      <c r="K31" s="22">
        <f>I31*J31</f>
        <v/>
      </c>
      <c r="L31" s="23" t="n">
        <v>46132</v>
      </c>
      <c r="M31" s="23" t="n">
        <v>46162</v>
      </c>
      <c r="N31" s="24">
        <f>IF(OR(G31="Gewonnen",G31="Verloren"),"—",M31-TODAY())</f>
        <v/>
      </c>
      <c r="O31" s="19" t="inlineStr">
        <is>
          <t>S. Meier</t>
        </is>
      </c>
      <c r="P31" s="19" t="inlineStr">
        <is>
          <t>Referenz anbieten</t>
        </is>
      </c>
      <c r="Q31" s="25">
        <f>IF(G31="Gewonnen","✅",IF(G31="Verloren","⬛",IF(N31&lt;=14,"🔴",IF(N31&lt;=45,"🟡","🟢"))))</f>
        <v/>
      </c>
    </row>
    <row r="32" ht="20" customHeight="1">
      <c r="A32" s="26" t="inlineStr">
        <is>
          <t>D-1028</t>
        </is>
      </c>
      <c r="B32" s="27" t="inlineStr">
        <is>
          <t>Fust AG</t>
        </is>
      </c>
      <c r="C32" s="27" t="inlineStr">
        <is>
          <t>H. Moser</t>
        </is>
      </c>
      <c r="D32" s="27" t="inlineStr">
        <is>
          <t>Waadt</t>
        </is>
      </c>
      <c r="E32" s="27" t="inlineStr">
        <is>
          <t>Detailhandel</t>
        </is>
      </c>
      <c r="F32" s="27" t="inlineStr">
        <is>
          <t>PV + Speicher Kombi</t>
        </is>
      </c>
      <c r="G32" s="27" t="inlineStr">
        <is>
          <t>Lead</t>
        </is>
      </c>
      <c r="H32" s="27" t="inlineStr">
        <is>
          <t>Mittel</t>
        </is>
      </c>
      <c r="I32" s="28" t="n">
        <v>508000</v>
      </c>
      <c r="J32" s="29">
        <f>IFERROR(_xlfn.XLOOKUP(G32,Listen!$A$5:$A$10,Listen!$B$5:$B$10),VLOOKUP(G32,Listen!$A$5:$B$10,2,FALSE))</f>
        <v/>
      </c>
      <c r="K32" s="30">
        <f>I32*J32</f>
        <v/>
      </c>
      <c r="L32" s="31" t="n">
        <v>46121</v>
      </c>
      <c r="M32" s="31" t="n">
        <v>46302</v>
      </c>
      <c r="N32" s="32">
        <f>IF(OR(G32="Gewonnen",G32="Verloren"),"—",M32-TODAY())</f>
        <v/>
      </c>
      <c r="O32" s="27" t="inlineStr">
        <is>
          <t>L. Rossi</t>
        </is>
      </c>
      <c r="P32" s="27" t="inlineStr">
        <is>
          <t>Vertrag vorbereiten</t>
        </is>
      </c>
      <c r="Q32" s="33">
        <f>IF(G32="Gewonnen","✅",IF(G32="Verloren","⬛",IF(N32&lt;=14,"🔴",IF(N32&lt;=45,"🟡","🟢"))))</f>
        <v/>
      </c>
    </row>
    <row r="33" ht="20" customHeight="1">
      <c r="A33" s="18" t="inlineStr">
        <is>
          <t>D-1029</t>
        </is>
      </c>
      <c r="B33" s="19" t="inlineStr">
        <is>
          <t>Interdiscount</t>
        </is>
      </c>
      <c r="C33" s="19" t="inlineStr">
        <is>
          <t>J. Kern</t>
        </is>
      </c>
      <c r="D33" s="19" t="inlineStr">
        <is>
          <t>Aargau</t>
        </is>
      </c>
      <c r="E33" s="19" t="inlineStr">
        <is>
          <t>Detailhandel</t>
        </is>
      </c>
      <c r="F33" s="19" t="inlineStr">
        <is>
          <t>Full-Service Betrieb</t>
        </is>
      </c>
      <c r="G33" s="19" t="inlineStr">
        <is>
          <t>Verhandlung</t>
        </is>
      </c>
      <c r="H33" s="19" t="inlineStr">
        <is>
          <t>Niedrig</t>
        </is>
      </c>
      <c r="I33" s="20" t="n">
        <v>102000</v>
      </c>
      <c r="J33" s="21">
        <f>IFERROR(_xlfn.XLOOKUP(G33,Listen!$A$5:$A$10,Listen!$B$5:$B$10),VLOOKUP(G33,Listen!$A$5:$B$10,2,FALSE))</f>
        <v/>
      </c>
      <c r="K33" s="22">
        <f>I33*J33</f>
        <v/>
      </c>
      <c r="L33" s="23" t="n">
        <v>46110</v>
      </c>
      <c r="M33" s="23" t="n">
        <v>46315</v>
      </c>
      <c r="N33" s="24">
        <f>IF(OR(G33="Gewonnen",G33="Verloren"),"—",M33-TODAY())</f>
        <v/>
      </c>
      <c r="O33" s="19" t="inlineStr">
        <is>
          <t>N. Keller</t>
        </is>
      </c>
      <c r="P33" s="19" t="inlineStr">
        <is>
          <t>Pilot definieren</t>
        </is>
      </c>
      <c r="Q33" s="25">
        <f>IF(G33="Gewonnen","✅",IF(G33="Verloren","⬛",IF(N33&lt;=14,"🔴",IF(N33&lt;=45,"🟡","🟢"))))</f>
        <v/>
      </c>
    </row>
    <row r="34" ht="20" customHeight="1">
      <c r="A34" s="26" t="inlineStr">
        <is>
          <t>D-1030</t>
        </is>
      </c>
      <c r="B34" s="27" t="inlineStr">
        <is>
          <t>MediaMarkt Schweiz</t>
        </is>
      </c>
      <c r="C34" s="27" t="inlineStr">
        <is>
          <t>K. Egli</t>
        </is>
      </c>
      <c r="D34" s="27" t="inlineStr">
        <is>
          <t>Luzern</t>
        </is>
      </c>
      <c r="E34" s="27" t="inlineStr">
        <is>
          <t>Detailhandel</t>
        </is>
      </c>
      <c r="F34" s="27" t="inlineStr">
        <is>
          <t>Lastmanagement-System</t>
        </is>
      </c>
      <c r="G34" s="27" t="inlineStr">
        <is>
          <t>Verloren</t>
        </is>
      </c>
      <c r="H34" s="27" t="inlineStr">
        <is>
          <t>Hoch</t>
        </is>
      </c>
      <c r="I34" s="28" t="n">
        <v>361000</v>
      </c>
      <c r="J34" s="29">
        <f>IFERROR(_xlfn.XLOOKUP(G34,Listen!$A$5:$A$10,Listen!$B$5:$B$10),VLOOKUP(G34,Listen!$A$5:$B$10,2,FALSE))</f>
        <v/>
      </c>
      <c r="K34" s="30">
        <f>I34*J34</f>
        <v/>
      </c>
      <c r="L34" s="31" t="n">
        <v>46099</v>
      </c>
      <c r="M34" s="31" t="n">
        <v>46201</v>
      </c>
      <c r="N34" s="32">
        <f>IF(OR(G34="Gewonnen",G34="Verloren"),"—",M34-TODAY())</f>
        <v/>
      </c>
      <c r="O34" s="27" t="inlineStr">
        <is>
          <t>A. Favre</t>
        </is>
      </c>
      <c r="P34" s="27" t="inlineStr">
        <is>
          <t>Bedarf klären</t>
        </is>
      </c>
      <c r="Q34" s="33">
        <f>IF(G34="Gewonnen","✅",IF(G34="Verloren","⬛",IF(N34&lt;=14,"🔴",IF(N34&lt;=45,"🟡","🟢"))))</f>
        <v/>
      </c>
    </row>
    <row r="35" ht="20" customHeight="1">
      <c r="A35" s="18" t="inlineStr">
        <is>
          <t>D-1031</t>
        </is>
      </c>
      <c r="B35" s="19" t="inlineStr">
        <is>
          <t>Jumbo-Markt</t>
        </is>
      </c>
      <c r="C35" s="19" t="inlineStr">
        <is>
          <t>L. Meier</t>
        </is>
      </c>
      <c r="D35" s="19" t="inlineStr">
        <is>
          <t>Bern</t>
        </is>
      </c>
      <c r="E35" s="19" t="inlineStr">
        <is>
          <t>Detailhandel</t>
        </is>
      </c>
      <c r="F35" s="19" t="inlineStr">
        <is>
          <t>DC-HPC 150 kW</t>
        </is>
      </c>
      <c r="G35" s="19" t="inlineStr">
        <is>
          <t>Angebot</t>
        </is>
      </c>
      <c r="H35" s="19" t="inlineStr">
        <is>
          <t>Mittel</t>
        </is>
      </c>
      <c r="I35" s="20" t="n">
        <v>620000</v>
      </c>
      <c r="J35" s="21">
        <f>IFERROR(_xlfn.XLOOKUP(G35,Listen!$A$5:$A$10,Listen!$B$5:$B$10),VLOOKUP(G35,Listen!$A$5:$B$10,2,FALSE))</f>
        <v/>
      </c>
      <c r="K35" s="22">
        <f>I35*J35</f>
        <v/>
      </c>
      <c r="L35" s="23" t="n">
        <v>46088</v>
      </c>
      <c r="M35" s="23" t="n">
        <v>46341</v>
      </c>
      <c r="N35" s="24">
        <f>IF(OR(G35="Gewonnen",G35="Verloren"),"—",M35-TODAY())</f>
        <v/>
      </c>
      <c r="O35" s="19" t="inlineStr">
        <is>
          <t>Burak Ücöz</t>
        </is>
      </c>
      <c r="P35" s="19" t="inlineStr">
        <is>
          <t>Erstgespräch planen</t>
        </is>
      </c>
      <c r="Q35" s="25">
        <f>IF(G35="Gewonnen","✅",IF(G35="Verloren","⬛",IF(N35&lt;=14,"🔴",IF(N35&lt;=45,"🟡","🟢"))))</f>
        <v/>
      </c>
    </row>
    <row r="36" ht="20" customHeight="1">
      <c r="A36" s="26" t="inlineStr">
        <is>
          <t>D-1032</t>
        </is>
      </c>
      <c r="B36" s="27" t="inlineStr">
        <is>
          <t>Do it + Garden</t>
        </is>
      </c>
      <c r="C36" s="27" t="inlineStr">
        <is>
          <t>M. Huber</t>
        </is>
      </c>
      <c r="D36" s="27" t="inlineStr">
        <is>
          <t>Basel</t>
        </is>
      </c>
      <c r="E36" s="27" t="inlineStr">
        <is>
          <t>Detailhandel</t>
        </is>
      </c>
      <c r="F36" s="27" t="inlineStr">
        <is>
          <t>DC-Schnelllader 60 kW</t>
        </is>
      </c>
      <c r="G36" s="27" t="inlineStr">
        <is>
          <t>Lead</t>
        </is>
      </c>
      <c r="H36" s="27" t="inlineStr">
        <is>
          <t>Niedrig</t>
        </is>
      </c>
      <c r="I36" s="28" t="n">
        <v>214000</v>
      </c>
      <c r="J36" s="29">
        <f>IFERROR(_xlfn.XLOOKUP(G36,Listen!$A$5:$A$10,Listen!$B$5:$B$10),VLOOKUP(G36,Listen!$A$5:$B$10,2,FALSE))</f>
        <v/>
      </c>
      <c r="K36" s="30">
        <f>I36*J36</f>
        <v/>
      </c>
      <c r="L36" s="31" t="n">
        <v>46077</v>
      </c>
      <c r="M36" s="31" t="n">
        <v>46354</v>
      </c>
      <c r="N36" s="32">
        <f>IF(OR(G36="Gewonnen",G36="Verloren"),"—",M36-TODAY())</f>
        <v/>
      </c>
      <c r="O36" s="27" t="inlineStr">
        <is>
          <t>S. Meier</t>
        </is>
      </c>
      <c r="P36" s="27" t="inlineStr">
        <is>
          <t>Angebot erstellen</t>
        </is>
      </c>
      <c r="Q36" s="33">
        <f>IF(G36="Gewonnen","✅",IF(G36="Verloren","⬛",IF(N36&lt;=14,"🔴",IF(N36&lt;=45,"🟡","🟢"))))</f>
        <v/>
      </c>
    </row>
    <row r="37" ht="20" customHeight="1">
      <c r="A37" s="18" t="inlineStr">
        <is>
          <t>D-1033</t>
        </is>
      </c>
      <c r="B37" s="19" t="inlineStr">
        <is>
          <t>Athleticum</t>
        </is>
      </c>
      <c r="C37" s="19" t="inlineStr">
        <is>
          <t>N. Rossi</t>
        </is>
      </c>
      <c r="D37" s="19" t="inlineStr">
        <is>
          <t>Tessin</t>
        </is>
      </c>
      <c r="E37" s="19" t="inlineStr">
        <is>
          <t>Detailhandel</t>
        </is>
      </c>
      <c r="F37" s="19" t="inlineStr">
        <is>
          <t>AC-Ladestation 22 kW</t>
        </is>
      </c>
      <c r="G37" s="19" t="inlineStr">
        <is>
          <t>Lead</t>
        </is>
      </c>
      <c r="H37" s="19" t="inlineStr">
        <is>
          <t>Hoch</t>
        </is>
      </c>
      <c r="I37" s="20" t="n">
        <v>473000</v>
      </c>
      <c r="J37" s="21">
        <f>IFERROR(_xlfn.XLOOKUP(G37,Listen!$A$5:$A$10,Listen!$B$5:$B$10),VLOOKUP(G37,Listen!$A$5:$B$10,2,FALSE))</f>
        <v/>
      </c>
      <c r="K37" s="22">
        <f>I37*J37</f>
        <v/>
      </c>
      <c r="L37" s="23" t="n">
        <v>46066</v>
      </c>
      <c r="M37" s="23" t="n">
        <v>46217</v>
      </c>
      <c r="N37" s="24">
        <f>IF(OR(G37="Gewonnen",G37="Verloren"),"—",M37-TODAY())</f>
        <v/>
      </c>
      <c r="O37" s="19" t="inlineStr">
        <is>
          <t>L. Rossi</t>
        </is>
      </c>
      <c r="P37" s="19" t="inlineStr">
        <is>
          <t>Angebot nachfassen</t>
        </is>
      </c>
      <c r="Q37" s="25">
        <f>IF(G37="Gewonnen","✅",IF(G37="Verloren","⬛",IF(N37&lt;=14,"🔴",IF(N37&lt;=45,"🟡","🟢"))))</f>
        <v/>
      </c>
    </row>
    <row r="38" ht="20" customHeight="1">
      <c r="A38" s="26" t="inlineStr">
        <is>
          <t>D-1034</t>
        </is>
      </c>
      <c r="B38" s="27" t="inlineStr">
        <is>
          <t>Vögele Shoes</t>
        </is>
      </c>
      <c r="C38" s="27" t="inlineStr">
        <is>
          <t>P. Baumann</t>
        </is>
      </c>
      <c r="D38" s="27" t="inlineStr">
        <is>
          <t>Zürich</t>
        </is>
      </c>
      <c r="E38" s="27" t="inlineStr">
        <is>
          <t>Detailhandel</t>
        </is>
      </c>
      <c r="F38" s="27" t="inlineStr">
        <is>
          <t>PV + Speicher Kombi</t>
        </is>
      </c>
      <c r="G38" s="27" t="inlineStr">
        <is>
          <t>Qualifiziert</t>
        </is>
      </c>
      <c r="H38" s="27" t="inlineStr">
        <is>
          <t>Mittel</t>
        </is>
      </c>
      <c r="I38" s="28" t="n">
        <v>67000</v>
      </c>
      <c r="J38" s="29">
        <f>IFERROR(_xlfn.XLOOKUP(G38,Listen!$A$5:$A$10,Listen!$B$5:$B$10),VLOOKUP(G38,Listen!$A$5:$B$10,2,FALSE))</f>
        <v/>
      </c>
      <c r="K38" s="30">
        <f>I38*J38</f>
        <v/>
      </c>
      <c r="L38" s="31" t="n">
        <v>46055</v>
      </c>
      <c r="M38" s="31" t="n">
        <v>46230</v>
      </c>
      <c r="N38" s="32">
        <f>IF(OR(G38="Gewonnen",G38="Verloren"),"—",M38-TODAY())</f>
        <v/>
      </c>
      <c r="O38" s="27" t="inlineStr">
        <is>
          <t>N. Keller</t>
        </is>
      </c>
      <c r="P38" s="27" t="inlineStr">
        <is>
          <t>Standort-Audit terminieren</t>
        </is>
      </c>
      <c r="Q38" s="33">
        <f>IF(G38="Gewonnen","✅",IF(G38="Verloren","⬛",IF(N38&lt;=14,"🔴",IF(N38&lt;=45,"🟡","🟢"))))</f>
        <v/>
      </c>
    </row>
    <row r="39" ht="20" customHeight="1">
      <c r="A39" s="18" t="inlineStr">
        <is>
          <t>D-1035</t>
        </is>
      </c>
      <c r="B39" s="19" t="inlineStr">
        <is>
          <t>PKZ Burger-Kehl</t>
        </is>
      </c>
      <c r="C39" s="19" t="inlineStr">
        <is>
          <t>R. Suter</t>
        </is>
      </c>
      <c r="D39" s="19" t="inlineStr">
        <is>
          <t>Genf</t>
        </is>
      </c>
      <c r="E39" s="19" t="inlineStr">
        <is>
          <t>Detailhandel</t>
        </is>
      </c>
      <c r="F39" s="19" t="inlineStr">
        <is>
          <t>Full-Service Betrieb</t>
        </is>
      </c>
      <c r="G39" s="19" t="inlineStr">
        <is>
          <t>Angebot</t>
        </is>
      </c>
      <c r="H39" s="19" t="inlineStr">
        <is>
          <t>Niedrig</t>
        </is>
      </c>
      <c r="I39" s="20" t="n">
        <v>326000</v>
      </c>
      <c r="J39" s="21">
        <f>IFERROR(_xlfn.XLOOKUP(G39,Listen!$A$5:$A$10,Listen!$B$5:$B$10),VLOOKUP(G39,Listen!$A$5:$B$10,2,FALSE))</f>
        <v/>
      </c>
      <c r="K39" s="22">
        <f>I39*J39</f>
        <v/>
      </c>
      <c r="L39" s="23" t="n">
        <v>46044</v>
      </c>
      <c r="M39" s="23" t="n">
        <v>46243</v>
      </c>
      <c r="N39" s="24">
        <f>IF(OR(G39="Gewonnen",G39="Verloren"),"—",M39-TODAY())</f>
        <v/>
      </c>
      <c r="O39" s="19" t="inlineStr">
        <is>
          <t>A. Favre</t>
        </is>
      </c>
      <c r="P39" s="19" t="inlineStr">
        <is>
          <t>Entscheider treffen</t>
        </is>
      </c>
      <c r="Q39" s="25">
        <f>IF(G39="Gewonnen","✅",IF(G39="Verloren","⬛",IF(N39&lt;=14,"🔴",IF(N39&lt;=45,"🟡","🟢"))))</f>
        <v/>
      </c>
    </row>
    <row r="40" ht="20" customHeight="1">
      <c r="A40" s="26" t="inlineStr">
        <is>
          <t>D-1036</t>
        </is>
      </c>
      <c r="B40" s="27" t="inlineStr">
        <is>
          <t>Globus</t>
        </is>
      </c>
      <c r="C40" s="27" t="inlineStr">
        <is>
          <t>S. Wyss</t>
        </is>
      </c>
      <c r="D40" s="27" t="inlineStr">
        <is>
          <t>St. Gallen</t>
        </is>
      </c>
      <c r="E40" s="27" t="inlineStr">
        <is>
          <t>Detailhandel</t>
        </is>
      </c>
      <c r="F40" s="27" t="inlineStr">
        <is>
          <t>Lastmanagement-System</t>
        </is>
      </c>
      <c r="G40" s="27" t="inlineStr">
        <is>
          <t>Verhandlung</t>
        </is>
      </c>
      <c r="H40" s="27" t="inlineStr">
        <is>
          <t>Hoch</t>
        </is>
      </c>
      <c r="I40" s="28" t="n">
        <v>585000</v>
      </c>
      <c r="J40" s="29">
        <f>IFERROR(_xlfn.XLOOKUP(G40,Listen!$A$5:$A$10,Listen!$B$5:$B$10),VLOOKUP(G40,Listen!$A$5:$B$10,2,FALSE))</f>
        <v/>
      </c>
      <c r="K40" s="30">
        <f>I40*J40</f>
        <v/>
      </c>
      <c r="L40" s="31" t="n">
        <v>46033</v>
      </c>
      <c r="M40" s="31" t="n">
        <v>46256</v>
      </c>
      <c r="N40" s="32">
        <f>IF(OR(G40="Gewonnen",G40="Verloren"),"—",M40-TODAY())</f>
        <v/>
      </c>
      <c r="O40" s="27" t="inlineStr">
        <is>
          <t>Burak Ücöz</t>
        </is>
      </c>
      <c r="P40" s="27" t="inlineStr">
        <is>
          <t>Business-Case rechnen</t>
        </is>
      </c>
      <c r="Q40" s="33">
        <f>IF(G40="Gewonnen","✅",IF(G40="Verloren","⬛",IF(N40&lt;=14,"🔴",IF(N40&lt;=45,"🟡","🟢"))))</f>
        <v/>
      </c>
    </row>
    <row r="41" ht="20" customHeight="1">
      <c r="A41" s="18" t="inlineStr">
        <is>
          <t>D-1037</t>
        </is>
      </c>
      <c r="B41" s="19" t="inlineStr">
        <is>
          <t>Jelmoli</t>
        </is>
      </c>
      <c r="C41" s="19" t="inlineStr">
        <is>
          <t>T. Schmid</t>
        </is>
      </c>
      <c r="D41" s="19" t="inlineStr">
        <is>
          <t>Wallis</t>
        </is>
      </c>
      <c r="E41" s="19" t="inlineStr">
        <is>
          <t>Detailhandel</t>
        </is>
      </c>
      <c r="F41" s="19" t="inlineStr">
        <is>
          <t>DC-HPC 150 kW</t>
        </is>
      </c>
      <c r="G41" s="19" t="inlineStr">
        <is>
          <t>Qualifiziert</t>
        </is>
      </c>
      <c r="H41" s="19" t="inlineStr">
        <is>
          <t>Mittel</t>
        </is>
      </c>
      <c r="I41" s="20" t="n">
        <v>179000</v>
      </c>
      <c r="J41" s="21">
        <f>IFERROR(_xlfn.XLOOKUP(G41,Listen!$A$5:$A$10,Listen!$B$5:$B$10),VLOOKUP(G41,Listen!$A$5:$B$10,2,FALSE))</f>
        <v/>
      </c>
      <c r="K41" s="22">
        <f>I41*J41</f>
        <v/>
      </c>
      <c r="L41" s="23" t="n">
        <v>46192</v>
      </c>
      <c r="M41" s="23" t="n">
        <v>46269</v>
      </c>
      <c r="N41" s="24">
        <f>IF(OR(G41="Gewonnen",G41="Verloren"),"—",M41-TODAY())</f>
        <v/>
      </c>
      <c r="O41" s="19" t="inlineStr">
        <is>
          <t>S. Meier</t>
        </is>
      </c>
      <c r="P41" s="19" t="inlineStr">
        <is>
          <t>Referenz anbieten</t>
        </is>
      </c>
      <c r="Q41" s="25">
        <f>IF(G41="Gewonnen","✅",IF(G41="Verloren","⬛",IF(N41&lt;=14,"🔴",IF(N41&lt;=45,"🟡","🟢"))))</f>
        <v/>
      </c>
    </row>
    <row r="42" ht="20" customHeight="1">
      <c r="A42" s="26" t="inlineStr">
        <is>
          <t>D-1038</t>
        </is>
      </c>
      <c r="B42" s="27" t="inlineStr">
        <is>
          <t>Loeb AG</t>
        </is>
      </c>
      <c r="C42" s="27" t="inlineStr">
        <is>
          <t>U. Moser</t>
        </is>
      </c>
      <c r="D42" s="27" t="inlineStr">
        <is>
          <t>Waadt</t>
        </is>
      </c>
      <c r="E42" s="27" t="inlineStr">
        <is>
          <t>Detailhandel</t>
        </is>
      </c>
      <c r="F42" s="27" t="inlineStr">
        <is>
          <t>DC-Schnelllader 60 kW</t>
        </is>
      </c>
      <c r="G42" s="27" t="inlineStr">
        <is>
          <t>Angebot</t>
        </is>
      </c>
      <c r="H42" s="27" t="inlineStr">
        <is>
          <t>Niedrig</t>
        </is>
      </c>
      <c r="I42" s="28" t="n">
        <v>438000</v>
      </c>
      <c r="J42" s="29">
        <f>IFERROR(_xlfn.XLOOKUP(G42,Listen!$A$5:$A$10,Listen!$B$5:$B$10),VLOOKUP(G42,Listen!$A$5:$B$10,2,FALSE))</f>
        <v/>
      </c>
      <c r="K42" s="30">
        <f>I42*J42</f>
        <v/>
      </c>
      <c r="L42" s="31" t="n">
        <v>46181</v>
      </c>
      <c r="M42" s="31" t="n">
        <v>46282</v>
      </c>
      <c r="N42" s="32">
        <f>IF(OR(G42="Gewonnen",G42="Verloren"),"—",M42-TODAY())</f>
        <v/>
      </c>
      <c r="O42" s="27" t="inlineStr">
        <is>
          <t>L. Rossi</t>
        </is>
      </c>
      <c r="P42" s="27" t="inlineStr">
        <is>
          <t>Vertrag vorbereiten</t>
        </is>
      </c>
      <c r="Q42" s="33">
        <f>IF(G42="Gewonnen","✅",IF(G42="Verloren","⬛",IF(N42&lt;=14,"🔴",IF(N42&lt;=45,"🟡","🟢"))))</f>
        <v/>
      </c>
    </row>
    <row r="43" ht="20" customHeight="1">
      <c r="A43" s="18" t="inlineStr">
        <is>
          <t>D-1039</t>
        </is>
      </c>
      <c r="B43" s="19" t="inlineStr">
        <is>
          <t>Import Parfumerie</t>
        </is>
      </c>
      <c r="C43" s="19" t="inlineStr">
        <is>
          <t>V. Kern</t>
        </is>
      </c>
      <c r="D43" s="19" t="inlineStr">
        <is>
          <t>Aargau</t>
        </is>
      </c>
      <c r="E43" s="19" t="inlineStr">
        <is>
          <t>Detailhandel</t>
        </is>
      </c>
      <c r="F43" s="19" t="inlineStr">
        <is>
          <t>AC-Ladestation 22 kW</t>
        </is>
      </c>
      <c r="G43" s="19" t="inlineStr">
        <is>
          <t>Gewonnen</t>
        </is>
      </c>
      <c r="H43" s="19" t="inlineStr">
        <is>
          <t>Hoch</t>
        </is>
      </c>
      <c r="I43" s="20" t="n">
        <v>32000</v>
      </c>
      <c r="J43" s="21">
        <f>IFERROR(_xlfn.XLOOKUP(G43,Listen!$A$5:$A$10,Listen!$B$5:$B$10),VLOOKUP(G43,Listen!$A$5:$B$10,2,FALSE))</f>
        <v/>
      </c>
      <c r="K43" s="22">
        <f>I43*J43</f>
        <v/>
      </c>
      <c r="L43" s="23" t="n">
        <v>46170</v>
      </c>
      <c r="M43" s="23" t="n">
        <v>46198</v>
      </c>
      <c r="N43" s="24">
        <f>IF(OR(G43="Gewonnen",G43="Verloren"),"—",M43-TODAY())</f>
        <v/>
      </c>
      <c r="O43" s="19" t="inlineStr">
        <is>
          <t>N. Keller</t>
        </is>
      </c>
      <c r="P43" s="19" t="inlineStr">
        <is>
          <t>Pilot definieren</t>
        </is>
      </c>
      <c r="Q43" s="25">
        <f>IF(G43="Gewonnen","✅",IF(G43="Verloren","⬛",IF(N43&lt;=14,"🔴",IF(N43&lt;=45,"🟡","🟢"))))</f>
        <v/>
      </c>
    </row>
    <row r="44" ht="20" customHeight="1">
      <c r="A44" s="26" t="inlineStr">
        <is>
          <t>D-1040</t>
        </is>
      </c>
      <c r="B44" s="27" t="inlineStr">
        <is>
          <t>Dosenbach-Ochsner</t>
        </is>
      </c>
      <c r="C44" s="27" t="inlineStr">
        <is>
          <t>W. Egli</t>
        </is>
      </c>
      <c r="D44" s="27" t="inlineStr">
        <is>
          <t>Luzern</t>
        </is>
      </c>
      <c r="E44" s="27" t="inlineStr">
        <is>
          <t>Detailhandel</t>
        </is>
      </c>
      <c r="F44" s="27" t="inlineStr">
        <is>
          <t>PV + Speicher Kombi</t>
        </is>
      </c>
      <c r="G44" s="27" t="inlineStr">
        <is>
          <t>Lead</t>
        </is>
      </c>
      <c r="H44" s="27" t="inlineStr">
        <is>
          <t>Mittel</t>
        </is>
      </c>
      <c r="I44" s="28" t="n">
        <v>291000</v>
      </c>
      <c r="J44" s="29">
        <f>IFERROR(_xlfn.XLOOKUP(G44,Listen!$A$5:$A$10,Listen!$B$5:$B$10),VLOOKUP(G44,Listen!$A$5:$B$10,2,FALSE))</f>
        <v/>
      </c>
      <c r="K44" s="30">
        <f>I44*J44</f>
        <v/>
      </c>
      <c r="L44" s="31" t="n">
        <v>46159</v>
      </c>
      <c r="M44" s="31" t="n">
        <v>46308</v>
      </c>
      <c r="N44" s="32">
        <f>IF(OR(G44="Gewonnen",G44="Verloren"),"—",M44-TODAY())</f>
        <v/>
      </c>
      <c r="O44" s="27" t="inlineStr">
        <is>
          <t>A. Favre</t>
        </is>
      </c>
      <c r="P44" s="27" t="inlineStr">
        <is>
          <t>Bedarf klären</t>
        </is>
      </c>
      <c r="Q44" s="33">
        <f>IF(G44="Gewonnen","✅",IF(G44="Verloren","⬛",IF(N44&lt;=14,"🔴",IF(N44&lt;=45,"🟡","🟢"))))</f>
        <v/>
      </c>
    </row>
    <row r="45" ht="20" customHeight="1">
      <c r="A45" s="18" t="inlineStr">
        <is>
          <t>D-1041</t>
        </is>
      </c>
      <c r="B45" s="19" t="inlineStr">
        <is>
          <t>Lidl Schweiz</t>
        </is>
      </c>
      <c r="C45" s="19" t="inlineStr">
        <is>
          <t>A. Meier</t>
        </is>
      </c>
      <c r="D45" s="19" t="inlineStr">
        <is>
          <t>Bern</t>
        </is>
      </c>
      <c r="E45" s="19" t="inlineStr">
        <is>
          <t>Detailhandel</t>
        </is>
      </c>
      <c r="F45" s="19" t="inlineStr">
        <is>
          <t>Full-Service Betrieb</t>
        </is>
      </c>
      <c r="G45" s="19" t="inlineStr">
        <is>
          <t>Verhandlung</t>
        </is>
      </c>
      <c r="H45" s="19" t="inlineStr">
        <is>
          <t>Niedrig</t>
        </is>
      </c>
      <c r="I45" s="20" t="n">
        <v>550000</v>
      </c>
      <c r="J45" s="21">
        <f>IFERROR(_xlfn.XLOOKUP(G45,Listen!$A$5:$A$10,Listen!$B$5:$B$10),VLOOKUP(G45,Listen!$A$5:$B$10,2,FALSE))</f>
        <v/>
      </c>
      <c r="K45" s="22">
        <f>I45*J45</f>
        <v/>
      </c>
      <c r="L45" s="23" t="n">
        <v>46148</v>
      </c>
      <c r="M45" s="23" t="n">
        <v>46321</v>
      </c>
      <c r="N45" s="24">
        <f>IF(OR(G45="Gewonnen",G45="Verloren"),"—",M45-TODAY())</f>
        <v/>
      </c>
      <c r="O45" s="19" t="inlineStr">
        <is>
          <t>Burak Ücöz</t>
        </is>
      </c>
      <c r="P45" s="19" t="inlineStr">
        <is>
          <t>Erstgespräch planen</t>
        </is>
      </c>
      <c r="Q45" s="25">
        <f>IF(G45="Gewonnen","✅",IF(G45="Verloren","⬛",IF(N45&lt;=14,"🔴",IF(N45&lt;=45,"🟡","🟢"))))</f>
        <v/>
      </c>
    </row>
    <row r="46" ht="20" customHeight="1">
      <c r="A46" s="26" t="inlineStr">
        <is>
          <t>D-1042</t>
        </is>
      </c>
      <c r="B46" s="27" t="inlineStr">
        <is>
          <t>Beldona</t>
        </is>
      </c>
      <c r="C46" s="27" t="inlineStr">
        <is>
          <t>B. Huber</t>
        </is>
      </c>
      <c r="D46" s="27" t="inlineStr">
        <is>
          <t>Basel</t>
        </is>
      </c>
      <c r="E46" s="27" t="inlineStr">
        <is>
          <t>Detailhandel</t>
        </is>
      </c>
      <c r="F46" s="27" t="inlineStr">
        <is>
          <t>Lastmanagement-System</t>
        </is>
      </c>
      <c r="G46" s="27" t="inlineStr">
        <is>
          <t>Verloren</t>
        </is>
      </c>
      <c r="H46" s="27" t="inlineStr">
        <is>
          <t>Hoch</t>
        </is>
      </c>
      <c r="I46" s="28" t="n">
        <v>144000</v>
      </c>
      <c r="J46" s="29">
        <f>IFERROR(_xlfn.XLOOKUP(G46,Listen!$A$5:$A$10,Listen!$B$5:$B$10),VLOOKUP(G46,Listen!$A$5:$B$10,2,FALSE))</f>
        <v/>
      </c>
      <c r="K46" s="30">
        <f>I46*J46</f>
        <v/>
      </c>
      <c r="L46" s="31" t="n">
        <v>46137</v>
      </c>
      <c r="M46" s="31" t="n">
        <v>46177</v>
      </c>
      <c r="N46" s="32">
        <f>IF(OR(G46="Gewonnen",G46="Verloren"),"—",M46-TODAY())</f>
        <v/>
      </c>
      <c r="O46" s="27" t="inlineStr">
        <is>
          <t>S. Meier</t>
        </is>
      </c>
      <c r="P46" s="27" t="inlineStr">
        <is>
          <t>Angebot erstellen</t>
        </is>
      </c>
      <c r="Q46" s="33">
        <f>IF(G46="Gewonnen","✅",IF(G46="Verloren","⬛",IF(N46&lt;=14,"🔴",IF(N46&lt;=45,"🟡","🟢"))))</f>
        <v/>
      </c>
    </row>
    <row r="47" ht="20" customHeight="1">
      <c r="A47" s="18" t="inlineStr">
        <is>
          <t>D-1043</t>
        </is>
      </c>
      <c r="B47" s="19" t="inlineStr">
        <is>
          <t>Kühne + Nagel</t>
        </is>
      </c>
      <c r="C47" s="19" t="inlineStr">
        <is>
          <t>C. Rossi</t>
        </is>
      </c>
      <c r="D47" s="19" t="inlineStr">
        <is>
          <t>Tessin</t>
        </is>
      </c>
      <c r="E47" s="19" t="inlineStr">
        <is>
          <t>Logistik</t>
        </is>
      </c>
      <c r="F47" s="19" t="inlineStr">
        <is>
          <t>DC-HPC 150 kW</t>
        </is>
      </c>
      <c r="G47" s="19" t="inlineStr">
        <is>
          <t>Angebot</t>
        </is>
      </c>
      <c r="H47" s="19" t="inlineStr">
        <is>
          <t>Mittel</t>
        </is>
      </c>
      <c r="I47" s="20" t="n">
        <v>403000</v>
      </c>
      <c r="J47" s="21">
        <f>IFERROR(_xlfn.XLOOKUP(G47,Listen!$A$5:$A$10,Listen!$B$5:$B$10),VLOOKUP(G47,Listen!$A$5:$B$10,2,FALSE))</f>
        <v/>
      </c>
      <c r="K47" s="22">
        <f>I47*J47</f>
        <v/>
      </c>
      <c r="L47" s="23" t="n">
        <v>46126</v>
      </c>
      <c r="M47" s="23" t="n">
        <v>46347</v>
      </c>
      <c r="N47" s="24">
        <f>IF(OR(G47="Gewonnen",G47="Verloren"),"—",M47-TODAY())</f>
        <v/>
      </c>
      <c r="O47" s="19" t="inlineStr">
        <is>
          <t>L. Rossi</t>
        </is>
      </c>
      <c r="P47" s="19" t="inlineStr">
        <is>
          <t>Angebot nachfassen</t>
        </is>
      </c>
      <c r="Q47" s="25">
        <f>IF(G47="Gewonnen","✅",IF(G47="Verloren","⬛",IF(N47&lt;=14,"🔴",IF(N47&lt;=45,"🟡","🟢"))))</f>
        <v/>
      </c>
    </row>
    <row r="48" ht="20" customHeight="1">
      <c r="A48" s="26" t="inlineStr">
        <is>
          <t>D-1044</t>
        </is>
      </c>
      <c r="B48" s="27" t="inlineStr">
        <is>
          <t>Camion Transport</t>
        </is>
      </c>
      <c r="C48" s="27" t="inlineStr">
        <is>
          <t>D. Baumann</t>
        </is>
      </c>
      <c r="D48" s="27" t="inlineStr">
        <is>
          <t>Zürich</t>
        </is>
      </c>
      <c r="E48" s="27" t="inlineStr">
        <is>
          <t>Logistik</t>
        </is>
      </c>
      <c r="F48" s="27" t="inlineStr">
        <is>
          <t>DC-Schnelllader 60 kW</t>
        </is>
      </c>
      <c r="G48" s="27" t="inlineStr">
        <is>
          <t>Lead</t>
        </is>
      </c>
      <c r="H48" s="27" t="inlineStr">
        <is>
          <t>Niedrig</t>
        </is>
      </c>
      <c r="I48" s="28" t="n">
        <v>662000</v>
      </c>
      <c r="J48" s="29">
        <f>IFERROR(_xlfn.XLOOKUP(G48,Listen!$A$5:$A$10,Listen!$B$5:$B$10),VLOOKUP(G48,Listen!$A$5:$B$10,2,FALSE))</f>
        <v/>
      </c>
      <c r="K48" s="30">
        <f>I48*J48</f>
        <v/>
      </c>
      <c r="L48" s="31" t="n">
        <v>46115</v>
      </c>
      <c r="M48" s="31" t="n">
        <v>46360</v>
      </c>
      <c r="N48" s="32">
        <f>IF(OR(G48="Gewonnen",G48="Verloren"),"—",M48-TODAY())</f>
        <v/>
      </c>
      <c r="O48" s="27" t="inlineStr">
        <is>
          <t>N. Keller</t>
        </is>
      </c>
      <c r="P48" s="27" t="inlineStr">
        <is>
          <t>Standort-Audit terminieren</t>
        </is>
      </c>
      <c r="Q48" s="33">
        <f>IF(G48="Gewonnen","✅",IF(G48="Verloren","⬛",IF(N48&lt;=14,"🔴",IF(N48&lt;=45,"🟡","🟢"))))</f>
        <v/>
      </c>
    </row>
    <row r="49" ht="20" customHeight="1">
      <c r="A49" s="18" t="inlineStr">
        <is>
          <t>D-1045</t>
        </is>
      </c>
      <c r="B49" s="19" t="inlineStr">
        <is>
          <t>Galliker Transport</t>
        </is>
      </c>
      <c r="C49" s="19" t="inlineStr">
        <is>
          <t>E. Suter</t>
        </is>
      </c>
      <c r="D49" s="19" t="inlineStr">
        <is>
          <t>Genf</t>
        </is>
      </c>
      <c r="E49" s="19" t="inlineStr">
        <is>
          <t>Logistik</t>
        </is>
      </c>
      <c r="F49" s="19" t="inlineStr">
        <is>
          <t>AC-Ladestation 22 kW</t>
        </is>
      </c>
      <c r="G49" s="19" t="inlineStr">
        <is>
          <t>Lead</t>
        </is>
      </c>
      <c r="H49" s="19" t="inlineStr">
        <is>
          <t>Hoch</t>
        </is>
      </c>
      <c r="I49" s="20" t="n">
        <v>256000</v>
      </c>
      <c r="J49" s="21">
        <f>IFERROR(_xlfn.XLOOKUP(G49,Listen!$A$5:$A$10,Listen!$B$5:$B$10),VLOOKUP(G49,Listen!$A$5:$B$10,2,FALSE))</f>
        <v/>
      </c>
      <c r="K49" s="22">
        <f>I49*J49</f>
        <v/>
      </c>
      <c r="L49" s="23" t="n">
        <v>46104</v>
      </c>
      <c r="M49" s="23" t="n">
        <v>46223</v>
      </c>
      <c r="N49" s="24">
        <f>IF(OR(G49="Gewonnen",G49="Verloren"),"—",M49-TODAY())</f>
        <v/>
      </c>
      <c r="O49" s="19" t="inlineStr">
        <is>
          <t>A. Favre</t>
        </is>
      </c>
      <c r="P49" s="19" t="inlineStr">
        <is>
          <t>Entscheider treffen</t>
        </is>
      </c>
      <c r="Q49" s="25">
        <f>IF(G49="Gewonnen","✅",IF(G49="Verloren","⬛",IF(N49&lt;=14,"🔴",IF(N49&lt;=45,"🟡","🟢"))))</f>
        <v/>
      </c>
    </row>
    <row r="50" ht="20" customHeight="1">
      <c r="A50" s="26" t="inlineStr">
        <is>
          <t>D-1046</t>
        </is>
      </c>
      <c r="B50" s="27" t="inlineStr">
        <is>
          <t>Bertschi AG</t>
        </is>
      </c>
      <c r="C50" s="27" t="inlineStr">
        <is>
          <t>F. Wyss</t>
        </is>
      </c>
      <c r="D50" s="27" t="inlineStr">
        <is>
          <t>St. Gallen</t>
        </is>
      </c>
      <c r="E50" s="27" t="inlineStr">
        <is>
          <t>Logistik</t>
        </is>
      </c>
      <c r="F50" s="27" t="inlineStr">
        <is>
          <t>PV + Speicher Kombi</t>
        </is>
      </c>
      <c r="G50" s="27" t="inlineStr">
        <is>
          <t>Qualifiziert</t>
        </is>
      </c>
      <c r="H50" s="27" t="inlineStr">
        <is>
          <t>Mittel</t>
        </is>
      </c>
      <c r="I50" s="28" t="n">
        <v>515000</v>
      </c>
      <c r="J50" s="29">
        <f>IFERROR(_xlfn.XLOOKUP(G50,Listen!$A$5:$A$10,Listen!$B$5:$B$10),VLOOKUP(G50,Listen!$A$5:$B$10,2,FALSE))</f>
        <v/>
      </c>
      <c r="K50" s="30">
        <f>I50*J50</f>
        <v/>
      </c>
      <c r="L50" s="31" t="n">
        <v>46093</v>
      </c>
      <c r="M50" s="31" t="n">
        <v>46236</v>
      </c>
      <c r="N50" s="32">
        <f>IF(OR(G50="Gewonnen",G50="Verloren"),"—",M50-TODAY())</f>
        <v/>
      </c>
      <c r="O50" s="27" t="inlineStr">
        <is>
          <t>Burak Ücöz</t>
        </is>
      </c>
      <c r="P50" s="27" t="inlineStr">
        <is>
          <t>Business-Case rechnen</t>
        </is>
      </c>
      <c r="Q50" s="33">
        <f>IF(G50="Gewonnen","✅",IF(G50="Verloren","⬛",IF(N50&lt;=14,"🔴",IF(N50&lt;=45,"🟡","🟢"))))</f>
        <v/>
      </c>
    </row>
    <row r="51" ht="20" customHeight="1">
      <c r="A51" s="18" t="inlineStr">
        <is>
          <t>D-1047</t>
        </is>
      </c>
      <c r="B51" s="19" t="inlineStr">
        <is>
          <t>Dreier AG</t>
        </is>
      </c>
      <c r="C51" s="19" t="inlineStr">
        <is>
          <t>G. Schmid</t>
        </is>
      </c>
      <c r="D51" s="19" t="inlineStr">
        <is>
          <t>Wallis</t>
        </is>
      </c>
      <c r="E51" s="19" t="inlineStr">
        <is>
          <t>Logistik</t>
        </is>
      </c>
      <c r="F51" s="19" t="inlineStr">
        <is>
          <t>Full-Service Betrieb</t>
        </is>
      </c>
      <c r="G51" s="19" t="inlineStr">
        <is>
          <t>Angebot</t>
        </is>
      </c>
      <c r="H51" s="19" t="inlineStr">
        <is>
          <t>Niedrig</t>
        </is>
      </c>
      <c r="I51" s="20" t="n">
        <v>109000</v>
      </c>
      <c r="J51" s="21">
        <f>IFERROR(_xlfn.XLOOKUP(G51,Listen!$A$5:$A$10,Listen!$B$5:$B$10),VLOOKUP(G51,Listen!$A$5:$B$10,2,FALSE))</f>
        <v/>
      </c>
      <c r="K51" s="22">
        <f>I51*J51</f>
        <v/>
      </c>
      <c r="L51" s="23" t="n">
        <v>46082</v>
      </c>
      <c r="M51" s="23" t="n">
        <v>46249</v>
      </c>
      <c r="N51" s="24">
        <f>IF(OR(G51="Gewonnen",G51="Verloren"),"—",M51-TODAY())</f>
        <v/>
      </c>
      <c r="O51" s="19" t="inlineStr">
        <is>
          <t>S. Meier</t>
        </is>
      </c>
      <c r="P51" s="19" t="inlineStr">
        <is>
          <t>Referenz anbieten</t>
        </is>
      </c>
      <c r="Q51" s="25">
        <f>IF(G51="Gewonnen","✅",IF(G51="Verloren","⬛",IF(N51&lt;=14,"🔴",IF(N51&lt;=45,"🟡","🟢"))))</f>
        <v/>
      </c>
    </row>
    <row r="52" ht="20" customHeight="1">
      <c r="A52" s="26" t="inlineStr">
        <is>
          <t>D-1048</t>
        </is>
      </c>
      <c r="B52" s="27" t="inlineStr">
        <is>
          <t>Streck Transport</t>
        </is>
      </c>
      <c r="C52" s="27" t="inlineStr">
        <is>
          <t>H. Moser</t>
        </is>
      </c>
      <c r="D52" s="27" t="inlineStr">
        <is>
          <t>Waadt</t>
        </is>
      </c>
      <c r="E52" s="27" t="inlineStr">
        <is>
          <t>Logistik</t>
        </is>
      </c>
      <c r="F52" s="27" t="inlineStr">
        <is>
          <t>Lastmanagement-System</t>
        </is>
      </c>
      <c r="G52" s="27" t="inlineStr">
        <is>
          <t>Verhandlung</t>
        </is>
      </c>
      <c r="H52" s="27" t="inlineStr">
        <is>
          <t>Hoch</t>
        </is>
      </c>
      <c r="I52" s="28" t="n">
        <v>368000</v>
      </c>
      <c r="J52" s="29">
        <f>IFERROR(_xlfn.XLOOKUP(G52,Listen!$A$5:$A$10,Listen!$B$5:$B$10),VLOOKUP(G52,Listen!$A$5:$B$10,2,FALSE))</f>
        <v/>
      </c>
      <c r="K52" s="30">
        <f>I52*J52</f>
        <v/>
      </c>
      <c r="L52" s="31" t="n">
        <v>46071</v>
      </c>
      <c r="M52" s="31" t="n">
        <v>46262</v>
      </c>
      <c r="N52" s="32">
        <f>IF(OR(G52="Gewonnen",G52="Verloren"),"—",M52-TODAY())</f>
        <v/>
      </c>
      <c r="O52" s="27" t="inlineStr">
        <is>
          <t>L. Rossi</t>
        </is>
      </c>
      <c r="P52" s="27" t="inlineStr">
        <is>
          <t>Vertrag vorbereiten</t>
        </is>
      </c>
      <c r="Q52" s="33">
        <f>IF(G52="Gewonnen","✅",IF(G52="Verloren","⬛",IF(N52&lt;=14,"🔴",IF(N52&lt;=45,"🟡","🟢"))))</f>
        <v/>
      </c>
    </row>
    <row r="53" ht="20" customHeight="1">
      <c r="A53" s="18" t="inlineStr">
        <is>
          <t>D-1049</t>
        </is>
      </c>
      <c r="B53" s="19" t="inlineStr">
        <is>
          <t>Cargologic</t>
        </is>
      </c>
      <c r="C53" s="19" t="inlineStr">
        <is>
          <t>J. Kern</t>
        </is>
      </c>
      <c r="D53" s="19" t="inlineStr">
        <is>
          <t>Aargau</t>
        </is>
      </c>
      <c r="E53" s="19" t="inlineStr">
        <is>
          <t>Logistik</t>
        </is>
      </c>
      <c r="F53" s="19" t="inlineStr">
        <is>
          <t>DC-HPC 150 kW</t>
        </is>
      </c>
      <c r="G53" s="19" t="inlineStr">
        <is>
          <t>Qualifiziert</t>
        </is>
      </c>
      <c r="H53" s="19" t="inlineStr">
        <is>
          <t>Mittel</t>
        </is>
      </c>
      <c r="I53" s="20" t="n">
        <v>627000</v>
      </c>
      <c r="J53" s="21">
        <f>IFERROR(_xlfn.XLOOKUP(G53,Listen!$A$5:$A$10,Listen!$B$5:$B$10),VLOOKUP(G53,Listen!$A$5:$B$10,2,FALSE))</f>
        <v/>
      </c>
      <c r="K53" s="22">
        <f>I53*J53</f>
        <v/>
      </c>
      <c r="L53" s="23" t="n">
        <v>46060</v>
      </c>
      <c r="M53" s="23" t="n">
        <v>46275</v>
      </c>
      <c r="N53" s="24">
        <f>IF(OR(G53="Gewonnen",G53="Verloren"),"—",M53-TODAY())</f>
        <v/>
      </c>
      <c r="O53" s="19" t="inlineStr">
        <is>
          <t>N. Keller</t>
        </is>
      </c>
      <c r="P53" s="19" t="inlineStr">
        <is>
          <t>Pilot definieren</t>
        </is>
      </c>
      <c r="Q53" s="25">
        <f>IF(G53="Gewonnen","✅",IF(G53="Verloren","⬛",IF(N53&lt;=14,"🔴",IF(N53&lt;=45,"🟡","🟢"))))</f>
        <v/>
      </c>
    </row>
    <row r="54" ht="20" customHeight="1">
      <c r="A54" s="26" t="inlineStr">
        <is>
          <t>D-1050</t>
        </is>
      </c>
      <c r="B54" s="27" t="inlineStr">
        <is>
          <t>Swissport</t>
        </is>
      </c>
      <c r="C54" s="27" t="inlineStr">
        <is>
          <t>K. Egli</t>
        </is>
      </c>
      <c r="D54" s="27" t="inlineStr">
        <is>
          <t>Luzern</t>
        </is>
      </c>
      <c r="E54" s="27" t="inlineStr">
        <is>
          <t>Logistik</t>
        </is>
      </c>
      <c r="F54" s="27" t="inlineStr">
        <is>
          <t>DC-Schnelllader 60 kW</t>
        </is>
      </c>
      <c r="G54" s="27" t="inlineStr">
        <is>
          <t>Angebot</t>
        </is>
      </c>
      <c r="H54" s="27" t="inlineStr">
        <is>
          <t>Niedrig</t>
        </is>
      </c>
      <c r="I54" s="28" t="n">
        <v>221000</v>
      </c>
      <c r="J54" s="29">
        <f>IFERROR(_xlfn.XLOOKUP(G54,Listen!$A$5:$A$10,Listen!$B$5:$B$10),VLOOKUP(G54,Listen!$A$5:$B$10,2,FALSE))</f>
        <v/>
      </c>
      <c r="K54" s="30">
        <f>I54*J54</f>
        <v/>
      </c>
      <c r="L54" s="31" t="n">
        <v>46049</v>
      </c>
      <c r="M54" s="31" t="n">
        <v>46288</v>
      </c>
      <c r="N54" s="32">
        <f>IF(OR(G54="Gewonnen",G54="Verloren"),"—",M54-TODAY())</f>
        <v/>
      </c>
      <c r="O54" s="27" t="inlineStr">
        <is>
          <t>A. Favre</t>
        </is>
      </c>
      <c r="P54" s="27" t="inlineStr">
        <is>
          <t>Bedarf klären</t>
        </is>
      </c>
      <c r="Q54" s="33">
        <f>IF(G54="Gewonnen","✅",IF(G54="Verloren","⬛",IF(N54&lt;=14,"🔴",IF(N54&lt;=45,"🟡","🟢"))))</f>
        <v/>
      </c>
    </row>
    <row r="55" ht="20" customHeight="1">
      <c r="A55" s="18" t="inlineStr">
        <is>
          <t>D-1051</t>
        </is>
      </c>
      <c r="B55" s="19" t="inlineStr">
        <is>
          <t>Planzer Paket</t>
        </is>
      </c>
      <c r="C55" s="19" t="inlineStr">
        <is>
          <t>L. Meier</t>
        </is>
      </c>
      <c r="D55" s="19" t="inlineStr">
        <is>
          <t>Bern</t>
        </is>
      </c>
      <c r="E55" s="19" t="inlineStr">
        <is>
          <t>Logistik</t>
        </is>
      </c>
      <c r="F55" s="19" t="inlineStr">
        <is>
          <t>AC-Ladestation 22 kW</t>
        </is>
      </c>
      <c r="G55" s="19" t="inlineStr">
        <is>
          <t>Gewonnen</t>
        </is>
      </c>
      <c r="H55" s="19" t="inlineStr">
        <is>
          <t>Hoch</t>
        </is>
      </c>
      <c r="I55" s="20" t="n">
        <v>480000</v>
      </c>
      <c r="J55" s="21">
        <f>IFERROR(_xlfn.XLOOKUP(G55,Listen!$A$5:$A$10,Listen!$B$5:$B$10),VLOOKUP(G55,Listen!$A$5:$B$10,2,FALSE))</f>
        <v/>
      </c>
      <c r="K55" s="22">
        <f>I55*J55</f>
        <v/>
      </c>
      <c r="L55" s="23" t="n">
        <v>46038</v>
      </c>
      <c r="M55" s="23" t="n">
        <v>46174</v>
      </c>
      <c r="N55" s="24">
        <f>IF(OR(G55="Gewonnen",G55="Verloren"),"—",M55-TODAY())</f>
        <v/>
      </c>
      <c r="O55" s="19" t="inlineStr">
        <is>
          <t>Burak Ücöz</t>
        </is>
      </c>
      <c r="P55" s="19" t="inlineStr">
        <is>
          <t>Erstgespräch planen</t>
        </is>
      </c>
      <c r="Q55" s="25">
        <f>IF(G55="Gewonnen","✅",IF(G55="Verloren","⬛",IF(N55&lt;=14,"🔴",IF(N55&lt;=45,"🟡","🟢"))))</f>
        <v/>
      </c>
    </row>
    <row r="56" ht="20" customHeight="1">
      <c r="A56" s="26" t="inlineStr">
        <is>
          <t>D-1052</t>
        </is>
      </c>
      <c r="B56" s="27" t="inlineStr">
        <is>
          <t>Chr. Cavegn AG</t>
        </is>
      </c>
      <c r="C56" s="27" t="inlineStr">
        <is>
          <t>M. Huber</t>
        </is>
      </c>
      <c r="D56" s="27" t="inlineStr">
        <is>
          <t>Basel</t>
        </is>
      </c>
      <c r="E56" s="27" t="inlineStr">
        <is>
          <t>Logistik</t>
        </is>
      </c>
      <c r="F56" s="27" t="inlineStr">
        <is>
          <t>PV + Speicher Kombi</t>
        </is>
      </c>
      <c r="G56" s="27" t="inlineStr">
        <is>
          <t>Lead</t>
        </is>
      </c>
      <c r="H56" s="27" t="inlineStr">
        <is>
          <t>Mittel</t>
        </is>
      </c>
      <c r="I56" s="28" t="n">
        <v>74000</v>
      </c>
      <c r="J56" s="29">
        <f>IFERROR(_xlfn.XLOOKUP(G56,Listen!$A$5:$A$10,Listen!$B$5:$B$10),VLOOKUP(G56,Listen!$A$5:$B$10,2,FALSE))</f>
        <v/>
      </c>
      <c r="K56" s="30">
        <f>I56*J56</f>
        <v/>
      </c>
      <c r="L56" s="31" t="n">
        <v>46197</v>
      </c>
      <c r="M56" s="31" t="n">
        <v>46314</v>
      </c>
      <c r="N56" s="32">
        <f>IF(OR(G56="Gewonnen",G56="Verloren"),"—",M56-TODAY())</f>
        <v/>
      </c>
      <c r="O56" s="27" t="inlineStr">
        <is>
          <t>S. Meier</t>
        </is>
      </c>
      <c r="P56" s="27" t="inlineStr">
        <is>
          <t>Angebot erstellen</t>
        </is>
      </c>
      <c r="Q56" s="33">
        <f>IF(G56="Gewonnen","✅",IF(G56="Verloren","⬛",IF(N56&lt;=14,"🔴",IF(N56&lt;=45,"🟡","🟢"))))</f>
        <v/>
      </c>
    </row>
    <row r="57" ht="20" customHeight="1">
      <c r="A57" s="18" t="inlineStr">
        <is>
          <t>D-1053</t>
        </is>
      </c>
      <c r="B57" s="19" t="inlineStr">
        <is>
          <t>Gondrand</t>
        </is>
      </c>
      <c r="C57" s="19" t="inlineStr">
        <is>
          <t>N. Rossi</t>
        </is>
      </c>
      <c r="D57" s="19" t="inlineStr">
        <is>
          <t>Tessin</t>
        </is>
      </c>
      <c r="E57" s="19" t="inlineStr">
        <is>
          <t>Logistik</t>
        </is>
      </c>
      <c r="F57" s="19" t="inlineStr">
        <is>
          <t>Full-Service Betrieb</t>
        </is>
      </c>
      <c r="G57" s="19" t="inlineStr">
        <is>
          <t>Verhandlung</t>
        </is>
      </c>
      <c r="H57" s="19" t="inlineStr">
        <is>
          <t>Niedrig</t>
        </is>
      </c>
      <c r="I57" s="20" t="n">
        <v>333000</v>
      </c>
      <c r="J57" s="21">
        <f>IFERROR(_xlfn.XLOOKUP(G57,Listen!$A$5:$A$10,Listen!$B$5:$B$10),VLOOKUP(G57,Listen!$A$5:$B$10,2,FALSE))</f>
        <v/>
      </c>
      <c r="K57" s="22">
        <f>I57*J57</f>
        <v/>
      </c>
      <c r="L57" s="23" t="n">
        <v>46186</v>
      </c>
      <c r="M57" s="23" t="n">
        <v>46327</v>
      </c>
      <c r="N57" s="24">
        <f>IF(OR(G57="Gewonnen",G57="Verloren"),"—",M57-TODAY())</f>
        <v/>
      </c>
      <c r="O57" s="19" t="inlineStr">
        <is>
          <t>L. Rossi</t>
        </is>
      </c>
      <c r="P57" s="19" t="inlineStr">
        <is>
          <t>Angebot nachfassen</t>
        </is>
      </c>
      <c r="Q57" s="25">
        <f>IF(G57="Gewonnen","✅",IF(G57="Verloren","⬛",IF(N57&lt;=14,"🔴",IF(N57&lt;=45,"🟡","🟢"))))</f>
        <v/>
      </c>
    </row>
    <row r="58" ht="20" customHeight="1">
      <c r="A58" s="26" t="inlineStr">
        <is>
          <t>D-1054</t>
        </is>
      </c>
      <c r="B58" s="27" t="inlineStr">
        <is>
          <t>Fiege Logistik</t>
        </is>
      </c>
      <c r="C58" s="27" t="inlineStr">
        <is>
          <t>P. Baumann</t>
        </is>
      </c>
      <c r="D58" s="27" t="inlineStr">
        <is>
          <t>Zürich</t>
        </is>
      </c>
      <c r="E58" s="27" t="inlineStr">
        <is>
          <t>Logistik</t>
        </is>
      </c>
      <c r="F58" s="27" t="inlineStr">
        <is>
          <t>Lastmanagement-System</t>
        </is>
      </c>
      <c r="G58" s="27" t="inlineStr">
        <is>
          <t>Verloren</t>
        </is>
      </c>
      <c r="H58" s="27" t="inlineStr">
        <is>
          <t>Hoch</t>
        </is>
      </c>
      <c r="I58" s="28" t="n">
        <v>592000</v>
      </c>
      <c r="J58" s="29">
        <f>IFERROR(_xlfn.XLOOKUP(G58,Listen!$A$5:$A$10,Listen!$B$5:$B$10),VLOOKUP(G58,Listen!$A$5:$B$10,2,FALSE))</f>
        <v/>
      </c>
      <c r="K58" s="30">
        <f>I58*J58</f>
        <v/>
      </c>
      <c r="L58" s="31" t="n">
        <v>46175</v>
      </c>
      <c r="M58" s="31" t="n">
        <v>46153</v>
      </c>
      <c r="N58" s="32">
        <f>IF(OR(G58="Gewonnen",G58="Verloren"),"—",M58-TODAY())</f>
        <v/>
      </c>
      <c r="O58" s="27" t="inlineStr">
        <is>
          <t>N. Keller</t>
        </is>
      </c>
      <c r="P58" s="27" t="inlineStr">
        <is>
          <t>Standort-Audit terminieren</t>
        </is>
      </c>
      <c r="Q58" s="33">
        <f>IF(G58="Gewonnen","✅",IF(G58="Verloren","⬛",IF(N58&lt;=14,"🔴",IF(N58&lt;=45,"🟡","🟢"))))</f>
        <v/>
      </c>
    </row>
    <row r="59" ht="20" customHeight="1">
      <c r="A59" s="18" t="inlineStr">
        <is>
          <t>D-1055</t>
        </is>
      </c>
      <c r="B59" s="19" t="inlineStr">
        <is>
          <t>Mobimo</t>
        </is>
      </c>
      <c r="C59" s="19" t="inlineStr">
        <is>
          <t>R. Suter</t>
        </is>
      </c>
      <c r="D59" s="19" t="inlineStr">
        <is>
          <t>Genf</t>
        </is>
      </c>
      <c r="E59" s="19" t="inlineStr">
        <is>
          <t>Immobilien</t>
        </is>
      </c>
      <c r="F59" s="19" t="inlineStr">
        <is>
          <t>DC-HPC 150 kW</t>
        </is>
      </c>
      <c r="G59" s="19" t="inlineStr">
        <is>
          <t>Angebot</t>
        </is>
      </c>
      <c r="H59" s="19" t="inlineStr">
        <is>
          <t>Mittel</t>
        </is>
      </c>
      <c r="I59" s="20" t="n">
        <v>186000</v>
      </c>
      <c r="J59" s="21">
        <f>IFERROR(_xlfn.XLOOKUP(G59,Listen!$A$5:$A$10,Listen!$B$5:$B$10),VLOOKUP(G59,Listen!$A$5:$B$10,2,FALSE))</f>
        <v/>
      </c>
      <c r="K59" s="22">
        <f>I59*J59</f>
        <v/>
      </c>
      <c r="L59" s="23" t="n">
        <v>46164</v>
      </c>
      <c r="M59" s="23" t="n">
        <v>46353</v>
      </c>
      <c r="N59" s="24">
        <f>IF(OR(G59="Gewonnen",G59="Verloren"),"—",M59-TODAY())</f>
        <v/>
      </c>
      <c r="O59" s="19" t="inlineStr">
        <is>
          <t>A. Favre</t>
        </is>
      </c>
      <c r="P59" s="19" t="inlineStr">
        <is>
          <t>Entscheider treffen</t>
        </is>
      </c>
      <c r="Q59" s="25">
        <f>IF(G59="Gewonnen","✅",IF(G59="Verloren","⬛",IF(N59&lt;=14,"🔴",IF(N59&lt;=45,"🟡","🟢"))))</f>
        <v/>
      </c>
    </row>
    <row r="60" ht="20" customHeight="1">
      <c r="A60" s="26" t="inlineStr">
        <is>
          <t>D-1056</t>
        </is>
      </c>
      <c r="B60" s="27" t="inlineStr">
        <is>
          <t>PSP Swiss Property</t>
        </is>
      </c>
      <c r="C60" s="27" t="inlineStr">
        <is>
          <t>S. Wyss</t>
        </is>
      </c>
      <c r="D60" s="27" t="inlineStr">
        <is>
          <t>St. Gallen</t>
        </is>
      </c>
      <c r="E60" s="27" t="inlineStr">
        <is>
          <t>Immobilien</t>
        </is>
      </c>
      <c r="F60" s="27" t="inlineStr">
        <is>
          <t>DC-Schnelllader 60 kW</t>
        </is>
      </c>
      <c r="G60" s="27" t="inlineStr">
        <is>
          <t>Lead</t>
        </is>
      </c>
      <c r="H60" s="27" t="inlineStr">
        <is>
          <t>Niedrig</t>
        </is>
      </c>
      <c r="I60" s="28" t="n">
        <v>445000</v>
      </c>
      <c r="J60" s="29">
        <f>IFERROR(_xlfn.XLOOKUP(G60,Listen!$A$5:$A$10,Listen!$B$5:$B$10),VLOOKUP(G60,Listen!$A$5:$B$10,2,FALSE))</f>
        <v/>
      </c>
      <c r="K60" s="30">
        <f>I60*J60</f>
        <v/>
      </c>
      <c r="L60" s="31" t="n">
        <v>46153</v>
      </c>
      <c r="M60" s="31" t="n">
        <v>46216</v>
      </c>
      <c r="N60" s="32">
        <f>IF(OR(G60="Gewonnen",G60="Verloren"),"—",M60-TODAY())</f>
        <v/>
      </c>
      <c r="O60" s="27" t="inlineStr">
        <is>
          <t>Burak Ücöz</t>
        </is>
      </c>
      <c r="P60" s="27" t="inlineStr">
        <is>
          <t>Business-Case rechnen</t>
        </is>
      </c>
      <c r="Q60" s="33">
        <f>IF(G60="Gewonnen","✅",IF(G60="Verloren","⬛",IF(N60&lt;=14,"🔴",IF(N60&lt;=45,"🟡","🟢"))))</f>
        <v/>
      </c>
    </row>
    <row r="61" ht="20" customHeight="1">
      <c r="A61" s="18" t="inlineStr">
        <is>
          <t>D-1057</t>
        </is>
      </c>
      <c r="B61" s="19" t="inlineStr">
        <is>
          <t>Allreal</t>
        </is>
      </c>
      <c r="C61" s="19" t="inlineStr">
        <is>
          <t>T. Schmid</t>
        </is>
      </c>
      <c r="D61" s="19" t="inlineStr">
        <is>
          <t>Wallis</t>
        </is>
      </c>
      <c r="E61" s="19" t="inlineStr">
        <is>
          <t>Immobilien</t>
        </is>
      </c>
      <c r="F61" s="19" t="inlineStr">
        <is>
          <t>AC-Ladestation 22 kW</t>
        </is>
      </c>
      <c r="G61" s="19" t="inlineStr">
        <is>
          <t>Lead</t>
        </is>
      </c>
      <c r="H61" s="19" t="inlineStr">
        <is>
          <t>Hoch</t>
        </is>
      </c>
      <c r="I61" s="20" t="n">
        <v>39000</v>
      </c>
      <c r="J61" s="21">
        <f>IFERROR(_xlfn.XLOOKUP(G61,Listen!$A$5:$A$10,Listen!$B$5:$B$10),VLOOKUP(G61,Listen!$A$5:$B$10,2,FALSE))</f>
        <v/>
      </c>
      <c r="K61" s="22">
        <f>I61*J61</f>
        <v/>
      </c>
      <c r="L61" s="23" t="n">
        <v>46142</v>
      </c>
      <c r="M61" s="23" t="n">
        <v>46229</v>
      </c>
      <c r="N61" s="24">
        <f>IF(OR(G61="Gewonnen",G61="Verloren"),"—",M61-TODAY())</f>
        <v/>
      </c>
      <c r="O61" s="19" t="inlineStr">
        <is>
          <t>S. Meier</t>
        </is>
      </c>
      <c r="P61" s="19" t="inlineStr">
        <is>
          <t>Referenz anbieten</t>
        </is>
      </c>
      <c r="Q61" s="25">
        <f>IF(G61="Gewonnen","✅",IF(G61="Verloren","⬛",IF(N61&lt;=14,"🔴",IF(N61&lt;=45,"🟡","🟢"))))</f>
        <v/>
      </c>
    </row>
    <row r="62" ht="20" customHeight="1">
      <c r="A62" s="26" t="inlineStr">
        <is>
          <t>D-1058</t>
        </is>
      </c>
      <c r="B62" s="27" t="inlineStr">
        <is>
          <t>Swiss Prime Site</t>
        </is>
      </c>
      <c r="C62" s="27" t="inlineStr">
        <is>
          <t>U. Moser</t>
        </is>
      </c>
      <c r="D62" s="27" t="inlineStr">
        <is>
          <t>Waadt</t>
        </is>
      </c>
      <c r="E62" s="27" t="inlineStr">
        <is>
          <t>Immobilien</t>
        </is>
      </c>
      <c r="F62" s="27" t="inlineStr">
        <is>
          <t>PV + Speicher Kombi</t>
        </is>
      </c>
      <c r="G62" s="27" t="inlineStr">
        <is>
          <t>Qualifiziert</t>
        </is>
      </c>
      <c r="H62" s="27" t="inlineStr">
        <is>
          <t>Mittel</t>
        </is>
      </c>
      <c r="I62" s="28" t="n">
        <v>298000</v>
      </c>
      <c r="J62" s="29">
        <f>IFERROR(_xlfn.XLOOKUP(G62,Listen!$A$5:$A$10,Listen!$B$5:$B$10),VLOOKUP(G62,Listen!$A$5:$B$10,2,FALSE))</f>
        <v/>
      </c>
      <c r="K62" s="30">
        <f>I62*J62</f>
        <v/>
      </c>
      <c r="L62" s="31" t="n">
        <v>46131</v>
      </c>
      <c r="M62" s="31" t="n">
        <v>46242</v>
      </c>
      <c r="N62" s="32">
        <f>IF(OR(G62="Gewonnen",G62="Verloren"),"—",M62-TODAY())</f>
        <v/>
      </c>
      <c r="O62" s="27" t="inlineStr">
        <is>
          <t>L. Rossi</t>
        </is>
      </c>
      <c r="P62" s="27" t="inlineStr">
        <is>
          <t>Vertrag vorbereiten</t>
        </is>
      </c>
      <c r="Q62" s="33">
        <f>IF(G62="Gewonnen","✅",IF(G62="Verloren","⬛",IF(N62&lt;=14,"🔴",IF(N62&lt;=45,"🟡","🟢"))))</f>
        <v/>
      </c>
    </row>
    <row r="63" ht="20" customHeight="1">
      <c r="A63" s="18" t="inlineStr">
        <is>
          <t>D-1059</t>
        </is>
      </c>
      <c r="B63" s="19" t="inlineStr">
        <is>
          <t>Zug Estates</t>
        </is>
      </c>
      <c r="C63" s="19" t="inlineStr">
        <is>
          <t>V. Kern</t>
        </is>
      </c>
      <c r="D63" s="19" t="inlineStr">
        <is>
          <t>Aargau</t>
        </is>
      </c>
      <c r="E63" s="19" t="inlineStr">
        <is>
          <t>Immobilien</t>
        </is>
      </c>
      <c r="F63" s="19" t="inlineStr">
        <is>
          <t>Full-Service Betrieb</t>
        </is>
      </c>
      <c r="G63" s="19" t="inlineStr">
        <is>
          <t>Angebot</t>
        </is>
      </c>
      <c r="H63" s="19" t="inlineStr">
        <is>
          <t>Niedrig</t>
        </is>
      </c>
      <c r="I63" s="20" t="n">
        <v>557000</v>
      </c>
      <c r="J63" s="21">
        <f>IFERROR(_xlfn.XLOOKUP(G63,Listen!$A$5:$A$10,Listen!$B$5:$B$10),VLOOKUP(G63,Listen!$A$5:$B$10,2,FALSE))</f>
        <v/>
      </c>
      <c r="K63" s="22">
        <f>I63*J63</f>
        <v/>
      </c>
      <c r="L63" s="23" t="n">
        <v>46120</v>
      </c>
      <c r="M63" s="23" t="n">
        <v>46255</v>
      </c>
      <c r="N63" s="24">
        <f>IF(OR(G63="Gewonnen",G63="Verloren"),"—",M63-TODAY())</f>
        <v/>
      </c>
      <c r="O63" s="19" t="inlineStr">
        <is>
          <t>N. Keller</t>
        </is>
      </c>
      <c r="P63" s="19" t="inlineStr">
        <is>
          <t>Pilot definieren</t>
        </is>
      </c>
      <c r="Q63" s="25">
        <f>IF(G63="Gewonnen","✅",IF(G63="Verloren","⬛",IF(N63&lt;=14,"🔴",IF(N63&lt;=45,"🟡","🟢"))))</f>
        <v/>
      </c>
    </row>
    <row r="64" ht="20" customHeight="1">
      <c r="A64" s="26" t="inlineStr">
        <is>
          <t>D-1060</t>
        </is>
      </c>
      <c r="B64" s="27" t="inlineStr">
        <is>
          <t>Livit</t>
        </is>
      </c>
      <c r="C64" s="27" t="inlineStr">
        <is>
          <t>W. Egli</t>
        </is>
      </c>
      <c r="D64" s="27" t="inlineStr">
        <is>
          <t>Luzern</t>
        </is>
      </c>
      <c r="E64" s="27" t="inlineStr">
        <is>
          <t>Immobilien</t>
        </is>
      </c>
      <c r="F64" s="27" t="inlineStr">
        <is>
          <t>Lastmanagement-System</t>
        </is>
      </c>
      <c r="G64" s="27" t="inlineStr">
        <is>
          <t>Verhandlung</t>
        </is>
      </c>
      <c r="H64" s="27" t="inlineStr">
        <is>
          <t>Hoch</t>
        </is>
      </c>
      <c r="I64" s="28" t="n">
        <v>151000</v>
      </c>
      <c r="J64" s="29">
        <f>IFERROR(_xlfn.XLOOKUP(G64,Listen!$A$5:$A$10,Listen!$B$5:$B$10),VLOOKUP(G64,Listen!$A$5:$B$10,2,FALSE))</f>
        <v/>
      </c>
      <c r="K64" s="30">
        <f>I64*J64</f>
        <v/>
      </c>
      <c r="L64" s="31" t="n">
        <v>46109</v>
      </c>
      <c r="M64" s="31" t="n">
        <v>46268</v>
      </c>
      <c r="N64" s="32">
        <f>IF(OR(G64="Gewonnen",G64="Verloren"),"—",M64-TODAY())</f>
        <v/>
      </c>
      <c r="O64" s="27" t="inlineStr">
        <is>
          <t>A. Favre</t>
        </is>
      </c>
      <c r="P64" s="27" t="inlineStr">
        <is>
          <t>Bedarf klären</t>
        </is>
      </c>
      <c r="Q64" s="33">
        <f>IF(G64="Gewonnen","✅",IF(G64="Verloren","⬛",IF(N64&lt;=14,"🔴",IF(N64&lt;=45,"🟡","🟢"))))</f>
        <v/>
      </c>
    </row>
    <row r="65" ht="20" customHeight="1">
      <c r="A65" s="18" t="inlineStr">
        <is>
          <t>D-1061</t>
        </is>
      </c>
      <c r="B65" s="19" t="inlineStr">
        <is>
          <t>Wincasa</t>
        </is>
      </c>
      <c r="C65" s="19" t="inlineStr">
        <is>
          <t>A. Meier</t>
        </is>
      </c>
      <c r="D65" s="19" t="inlineStr">
        <is>
          <t>Bern</t>
        </is>
      </c>
      <c r="E65" s="19" t="inlineStr">
        <is>
          <t>Immobilien</t>
        </is>
      </c>
      <c r="F65" s="19" t="inlineStr">
        <is>
          <t>DC-HPC 150 kW</t>
        </is>
      </c>
      <c r="G65" s="19" t="inlineStr">
        <is>
          <t>Qualifiziert</t>
        </is>
      </c>
      <c r="H65" s="19" t="inlineStr">
        <is>
          <t>Mittel</t>
        </is>
      </c>
      <c r="I65" s="20" t="n">
        <v>410000</v>
      </c>
      <c r="J65" s="21">
        <f>IFERROR(_xlfn.XLOOKUP(G65,Listen!$A$5:$A$10,Listen!$B$5:$B$10),VLOOKUP(G65,Listen!$A$5:$B$10,2,FALSE))</f>
        <v/>
      </c>
      <c r="K65" s="22">
        <f>I65*J65</f>
        <v/>
      </c>
      <c r="L65" s="23" t="n">
        <v>46098</v>
      </c>
      <c r="M65" s="23" t="n">
        <v>46281</v>
      </c>
      <c r="N65" s="24">
        <f>IF(OR(G65="Gewonnen",G65="Verloren"),"—",M65-TODAY())</f>
        <v/>
      </c>
      <c r="O65" s="19" t="inlineStr">
        <is>
          <t>Burak Ücöz</t>
        </is>
      </c>
      <c r="P65" s="19" t="inlineStr">
        <is>
          <t>Erstgespräch planen</t>
        </is>
      </c>
      <c r="Q65" s="25">
        <f>IF(G65="Gewonnen","✅",IF(G65="Verloren","⬛",IF(N65&lt;=14,"🔴",IF(N65&lt;=45,"🟡","🟢"))))</f>
        <v/>
      </c>
    </row>
    <row r="66" ht="20" customHeight="1">
      <c r="A66" s="26" t="inlineStr">
        <is>
          <t>D-1062</t>
        </is>
      </c>
      <c r="B66" s="27" t="inlineStr">
        <is>
          <t>Privera</t>
        </is>
      </c>
      <c r="C66" s="27" t="inlineStr">
        <is>
          <t>B. Huber</t>
        </is>
      </c>
      <c r="D66" s="27" t="inlineStr">
        <is>
          <t>Basel</t>
        </is>
      </c>
      <c r="E66" s="27" t="inlineStr">
        <is>
          <t>Immobilien</t>
        </is>
      </c>
      <c r="F66" s="27" t="inlineStr">
        <is>
          <t>DC-Schnelllader 60 kW</t>
        </is>
      </c>
      <c r="G66" s="27" t="inlineStr">
        <is>
          <t>Angebot</t>
        </is>
      </c>
      <c r="H66" s="27" t="inlineStr">
        <is>
          <t>Niedrig</t>
        </is>
      </c>
      <c r="I66" s="28" t="n">
        <v>669000</v>
      </c>
      <c r="J66" s="29">
        <f>IFERROR(_xlfn.XLOOKUP(G66,Listen!$A$5:$A$10,Listen!$B$5:$B$10),VLOOKUP(G66,Listen!$A$5:$B$10,2,FALSE))</f>
        <v/>
      </c>
      <c r="K66" s="30">
        <f>I66*J66</f>
        <v/>
      </c>
      <c r="L66" s="31" t="n">
        <v>46087</v>
      </c>
      <c r="M66" s="31" t="n">
        <v>46294</v>
      </c>
      <c r="N66" s="32">
        <f>IF(OR(G66="Gewonnen",G66="Verloren"),"—",M66-TODAY())</f>
        <v/>
      </c>
      <c r="O66" s="27" t="inlineStr">
        <is>
          <t>S. Meier</t>
        </is>
      </c>
      <c r="P66" s="27" t="inlineStr">
        <is>
          <t>Angebot erstellen</t>
        </is>
      </c>
      <c r="Q66" s="33">
        <f>IF(G66="Gewonnen","✅",IF(G66="Verloren","⬛",IF(N66&lt;=14,"🔴",IF(N66&lt;=45,"🟡","🟢"))))</f>
        <v/>
      </c>
    </row>
    <row r="67" ht="20" customHeight="1">
      <c r="A67" s="18" t="inlineStr">
        <is>
          <t>D-1063</t>
        </is>
      </c>
      <c r="B67" s="19" t="inlineStr">
        <is>
          <t>Halter AG</t>
        </is>
      </c>
      <c r="C67" s="19" t="inlineStr">
        <is>
          <t>C. Rossi</t>
        </is>
      </c>
      <c r="D67" s="19" t="inlineStr">
        <is>
          <t>Tessin</t>
        </is>
      </c>
      <c r="E67" s="19" t="inlineStr">
        <is>
          <t>Immobilien</t>
        </is>
      </c>
      <c r="F67" s="19" t="inlineStr">
        <is>
          <t>AC-Ladestation 22 kW</t>
        </is>
      </c>
      <c r="G67" s="19" t="inlineStr">
        <is>
          <t>Gewonnen</t>
        </is>
      </c>
      <c r="H67" s="19" t="inlineStr">
        <is>
          <t>Hoch</t>
        </is>
      </c>
      <c r="I67" s="20" t="n">
        <v>263000</v>
      </c>
      <c r="J67" s="21">
        <f>IFERROR(_xlfn.XLOOKUP(G67,Listen!$A$5:$A$10,Listen!$B$5:$B$10),VLOOKUP(G67,Listen!$A$5:$B$10,2,FALSE))</f>
        <v/>
      </c>
      <c r="K67" s="22">
        <f>I67*J67</f>
        <v/>
      </c>
      <c r="L67" s="23" t="n">
        <v>46076</v>
      </c>
      <c r="M67" s="23" t="n">
        <v>46150</v>
      </c>
      <c r="N67" s="24">
        <f>IF(OR(G67="Gewonnen",G67="Verloren"),"—",M67-TODAY())</f>
        <v/>
      </c>
      <c r="O67" s="19" t="inlineStr">
        <is>
          <t>L. Rossi</t>
        </is>
      </c>
      <c r="P67" s="19" t="inlineStr">
        <is>
          <t>Angebot nachfassen</t>
        </is>
      </c>
      <c r="Q67" s="25">
        <f>IF(G67="Gewonnen","✅",IF(G67="Verloren","⬛",IF(N67&lt;=14,"🔴",IF(N67&lt;=45,"🟡","🟢"))))</f>
        <v/>
      </c>
    </row>
    <row r="68" ht="20" customHeight="1">
      <c r="A68" s="26" t="inlineStr">
        <is>
          <t>D-1064</t>
        </is>
      </c>
      <c r="B68" s="27" t="inlineStr">
        <is>
          <t>Implenia</t>
        </is>
      </c>
      <c r="C68" s="27" t="inlineStr">
        <is>
          <t>D. Baumann</t>
        </is>
      </c>
      <c r="D68" s="27" t="inlineStr">
        <is>
          <t>Zürich</t>
        </is>
      </c>
      <c r="E68" s="27" t="inlineStr">
        <is>
          <t>Immobilien</t>
        </is>
      </c>
      <c r="F68" s="27" t="inlineStr">
        <is>
          <t>PV + Speicher Kombi</t>
        </is>
      </c>
      <c r="G68" s="27" t="inlineStr">
        <is>
          <t>Lead</t>
        </is>
      </c>
      <c r="H68" s="27" t="inlineStr">
        <is>
          <t>Mittel</t>
        </is>
      </c>
      <c r="I68" s="28" t="n">
        <v>522000</v>
      </c>
      <c r="J68" s="29">
        <f>IFERROR(_xlfn.XLOOKUP(G68,Listen!$A$5:$A$10,Listen!$B$5:$B$10),VLOOKUP(G68,Listen!$A$5:$B$10,2,FALSE))</f>
        <v/>
      </c>
      <c r="K68" s="30">
        <f>I68*J68</f>
        <v/>
      </c>
      <c r="L68" s="31" t="n">
        <v>46065</v>
      </c>
      <c r="M68" s="31" t="n">
        <v>46320</v>
      </c>
      <c r="N68" s="32">
        <f>IF(OR(G68="Gewonnen",G68="Verloren"),"—",M68-TODAY())</f>
        <v/>
      </c>
      <c r="O68" s="27" t="inlineStr">
        <is>
          <t>N. Keller</t>
        </is>
      </c>
      <c r="P68" s="27" t="inlineStr">
        <is>
          <t>Standort-Audit terminieren</t>
        </is>
      </c>
      <c r="Q68" s="33">
        <f>IF(G68="Gewonnen","✅",IF(G68="Verloren","⬛",IF(N68&lt;=14,"🔴",IF(N68&lt;=45,"🟡","🟢"))))</f>
        <v/>
      </c>
    </row>
    <row r="69" ht="20" customHeight="1">
      <c r="A69" s="18" t="inlineStr">
        <is>
          <t>D-1065</t>
        </is>
      </c>
      <c r="B69" s="19" t="inlineStr">
        <is>
          <t>Steiner AG</t>
        </is>
      </c>
      <c r="C69" s="19" t="inlineStr">
        <is>
          <t>E. Suter</t>
        </is>
      </c>
      <c r="D69" s="19" t="inlineStr">
        <is>
          <t>Genf</t>
        </is>
      </c>
      <c r="E69" s="19" t="inlineStr">
        <is>
          <t>Immobilien</t>
        </is>
      </c>
      <c r="F69" s="19" t="inlineStr">
        <is>
          <t>Full-Service Betrieb</t>
        </is>
      </c>
      <c r="G69" s="19" t="inlineStr">
        <is>
          <t>Verhandlung</t>
        </is>
      </c>
      <c r="H69" s="19" t="inlineStr">
        <is>
          <t>Niedrig</t>
        </is>
      </c>
      <c r="I69" s="20" t="n">
        <v>116000</v>
      </c>
      <c r="J69" s="21">
        <f>IFERROR(_xlfn.XLOOKUP(G69,Listen!$A$5:$A$10,Listen!$B$5:$B$10),VLOOKUP(G69,Listen!$A$5:$B$10,2,FALSE))</f>
        <v/>
      </c>
      <c r="K69" s="22">
        <f>I69*J69</f>
        <v/>
      </c>
      <c r="L69" s="23" t="n">
        <v>46054</v>
      </c>
      <c r="M69" s="23" t="n">
        <v>46333</v>
      </c>
      <c r="N69" s="24">
        <f>IF(OR(G69="Gewonnen",G69="Verloren"),"—",M69-TODAY())</f>
        <v/>
      </c>
      <c r="O69" s="19" t="inlineStr">
        <is>
          <t>A. Favre</t>
        </is>
      </c>
      <c r="P69" s="19" t="inlineStr">
        <is>
          <t>Entscheider treffen</t>
        </is>
      </c>
      <c r="Q69" s="25">
        <f>IF(G69="Gewonnen","✅",IF(G69="Verloren","⬛",IF(N69&lt;=14,"🔴",IF(N69&lt;=45,"🟡","🟢"))))</f>
        <v/>
      </c>
    </row>
    <row r="70" ht="20" customHeight="1">
      <c r="A70" s="26" t="inlineStr">
        <is>
          <t>D-1066</t>
        </is>
      </c>
      <c r="B70" s="27" t="inlineStr">
        <is>
          <t>Losinger Marazzi</t>
        </is>
      </c>
      <c r="C70" s="27" t="inlineStr">
        <is>
          <t>F. Wyss</t>
        </is>
      </c>
      <c r="D70" s="27" t="inlineStr">
        <is>
          <t>St. Gallen</t>
        </is>
      </c>
      <c r="E70" s="27" t="inlineStr">
        <is>
          <t>Immobilien</t>
        </is>
      </c>
      <c r="F70" s="27" t="inlineStr">
        <is>
          <t>Lastmanagement-System</t>
        </is>
      </c>
      <c r="G70" s="27" t="inlineStr">
        <is>
          <t>Verloren</t>
        </is>
      </c>
      <c r="H70" s="27" t="inlineStr">
        <is>
          <t>Hoch</t>
        </is>
      </c>
      <c r="I70" s="28" t="n">
        <v>375000</v>
      </c>
      <c r="J70" s="29">
        <f>IFERROR(_xlfn.XLOOKUP(G70,Listen!$A$5:$A$10,Listen!$B$5:$B$10),VLOOKUP(G70,Listen!$A$5:$B$10,2,FALSE))</f>
        <v/>
      </c>
      <c r="K70" s="30">
        <f>I70*J70</f>
        <v/>
      </c>
      <c r="L70" s="31" t="n">
        <v>46043</v>
      </c>
      <c r="M70" s="31" t="n">
        <v>46189</v>
      </c>
      <c r="N70" s="32">
        <f>IF(OR(G70="Gewonnen",G70="Verloren"),"—",M70-TODAY())</f>
        <v/>
      </c>
      <c r="O70" s="27" t="inlineStr">
        <is>
          <t>Burak Ücöz</t>
        </is>
      </c>
      <c r="P70" s="27" t="inlineStr">
        <is>
          <t>Business-Case rechnen</t>
        </is>
      </c>
      <c r="Q70" s="33">
        <f>IF(G70="Gewonnen","✅",IF(G70="Verloren","⬛",IF(N70&lt;=14,"🔴",IF(N70&lt;=45,"🟡","🟢"))))</f>
        <v/>
      </c>
    </row>
    <row r="71" ht="20" customHeight="1">
      <c r="A71" s="18" t="inlineStr">
        <is>
          <t>D-1067</t>
        </is>
      </c>
      <c r="B71" s="19" t="inlineStr">
        <is>
          <t>Mövenpick Hotels</t>
        </is>
      </c>
      <c r="C71" s="19" t="inlineStr">
        <is>
          <t>G. Schmid</t>
        </is>
      </c>
      <c r="D71" s="19" t="inlineStr">
        <is>
          <t>Wallis</t>
        </is>
      </c>
      <c r="E71" s="19" t="inlineStr">
        <is>
          <t>Hotellerie</t>
        </is>
      </c>
      <c r="F71" s="19" t="inlineStr">
        <is>
          <t>DC-HPC 150 kW</t>
        </is>
      </c>
      <c r="G71" s="19" t="inlineStr">
        <is>
          <t>Angebot</t>
        </is>
      </c>
      <c r="H71" s="19" t="inlineStr">
        <is>
          <t>Mittel</t>
        </is>
      </c>
      <c r="I71" s="20" t="n">
        <v>634000</v>
      </c>
      <c r="J71" s="21">
        <f>IFERROR(_xlfn.XLOOKUP(G71,Listen!$A$5:$A$10,Listen!$B$5:$B$10),VLOOKUP(G71,Listen!$A$5:$B$10,2,FALSE))</f>
        <v/>
      </c>
      <c r="K71" s="22">
        <f>I71*J71</f>
        <v/>
      </c>
      <c r="L71" s="23" t="n">
        <v>46032</v>
      </c>
      <c r="M71" s="23" t="n">
        <v>46359</v>
      </c>
      <c r="N71" s="24">
        <f>IF(OR(G71="Gewonnen",G71="Verloren"),"—",M71-TODAY())</f>
        <v/>
      </c>
      <c r="O71" s="19" t="inlineStr">
        <is>
          <t>S. Meier</t>
        </is>
      </c>
      <c r="P71" s="19" t="inlineStr">
        <is>
          <t>Referenz anbieten</t>
        </is>
      </c>
      <c r="Q71" s="25">
        <f>IF(G71="Gewonnen","✅",IF(G71="Verloren","⬛",IF(N71&lt;=14,"🔴",IF(N71&lt;=45,"🟡","🟢"))))</f>
        <v/>
      </c>
    </row>
    <row r="72" ht="20" customHeight="1">
      <c r="A72" s="26" t="inlineStr">
        <is>
          <t>D-1068</t>
        </is>
      </c>
      <c r="B72" s="27" t="inlineStr">
        <is>
          <t>Bürgenstock Resort</t>
        </is>
      </c>
      <c r="C72" s="27" t="inlineStr">
        <is>
          <t>H. Moser</t>
        </is>
      </c>
      <c r="D72" s="27" t="inlineStr">
        <is>
          <t>Waadt</t>
        </is>
      </c>
      <c r="E72" s="27" t="inlineStr">
        <is>
          <t>Hotellerie</t>
        </is>
      </c>
      <c r="F72" s="27" t="inlineStr">
        <is>
          <t>DC-Schnelllader 60 kW</t>
        </is>
      </c>
      <c r="G72" s="27" t="inlineStr">
        <is>
          <t>Lead</t>
        </is>
      </c>
      <c r="H72" s="27" t="inlineStr">
        <is>
          <t>Niedrig</t>
        </is>
      </c>
      <c r="I72" s="28" t="n">
        <v>228000</v>
      </c>
      <c r="J72" s="29">
        <f>IFERROR(_xlfn.XLOOKUP(G72,Listen!$A$5:$A$10,Listen!$B$5:$B$10),VLOOKUP(G72,Listen!$A$5:$B$10,2,FALSE))</f>
        <v/>
      </c>
      <c r="K72" s="30">
        <f>I72*J72</f>
        <v/>
      </c>
      <c r="L72" s="31" t="n">
        <v>46191</v>
      </c>
      <c r="M72" s="31" t="n">
        <v>46222</v>
      </c>
      <c r="N72" s="32">
        <f>IF(OR(G72="Gewonnen",G72="Verloren"),"—",M72-TODAY())</f>
        <v/>
      </c>
      <c r="O72" s="27" t="inlineStr">
        <is>
          <t>L. Rossi</t>
        </is>
      </c>
      <c r="P72" s="27" t="inlineStr">
        <is>
          <t>Vertrag vorbereiten</t>
        </is>
      </c>
      <c r="Q72" s="33">
        <f>IF(G72="Gewonnen","✅",IF(G72="Verloren","⬛",IF(N72&lt;=14,"🔴",IF(N72&lt;=45,"🟡","🟢"))))</f>
        <v/>
      </c>
    </row>
    <row r="73" ht="20" customHeight="1">
      <c r="A73" s="18" t="inlineStr">
        <is>
          <t>D-1069</t>
        </is>
      </c>
      <c r="B73" s="19" t="inlineStr">
        <is>
          <t>Grand Resort Bad Ragaz</t>
        </is>
      </c>
      <c r="C73" s="19" t="inlineStr">
        <is>
          <t>J. Kern</t>
        </is>
      </c>
      <c r="D73" s="19" t="inlineStr">
        <is>
          <t>Aargau</t>
        </is>
      </c>
      <c r="E73" s="19" t="inlineStr">
        <is>
          <t>Hotellerie</t>
        </is>
      </c>
      <c r="F73" s="19" t="inlineStr">
        <is>
          <t>AC-Ladestation 22 kW</t>
        </is>
      </c>
      <c r="G73" s="19" t="inlineStr">
        <is>
          <t>Lead</t>
        </is>
      </c>
      <c r="H73" s="19" t="inlineStr">
        <is>
          <t>Hoch</t>
        </is>
      </c>
      <c r="I73" s="20" t="n">
        <v>487000</v>
      </c>
      <c r="J73" s="21">
        <f>IFERROR(_xlfn.XLOOKUP(G73,Listen!$A$5:$A$10,Listen!$B$5:$B$10),VLOOKUP(G73,Listen!$A$5:$B$10,2,FALSE))</f>
        <v/>
      </c>
      <c r="K73" s="22">
        <f>I73*J73</f>
        <v/>
      </c>
      <c r="L73" s="23" t="n">
        <v>46180</v>
      </c>
      <c r="M73" s="23" t="n">
        <v>46235</v>
      </c>
      <c r="N73" s="24">
        <f>IF(OR(G73="Gewonnen",G73="Verloren"),"—",M73-TODAY())</f>
        <v/>
      </c>
      <c r="O73" s="19" t="inlineStr">
        <is>
          <t>N. Keller</t>
        </is>
      </c>
      <c r="P73" s="19" t="inlineStr">
        <is>
          <t>Pilot definieren</t>
        </is>
      </c>
      <c r="Q73" s="25">
        <f>IF(G73="Gewonnen","✅",IF(G73="Verloren","⬛",IF(N73&lt;=14,"🔴",IF(N73&lt;=45,"🟡","🟢"))))</f>
        <v/>
      </c>
    </row>
    <row r="74" ht="20" customHeight="1">
      <c r="A74" s="26" t="inlineStr">
        <is>
          <t>D-1070</t>
        </is>
      </c>
      <c r="B74" s="27" t="inlineStr">
        <is>
          <t>The Dolder Grand</t>
        </is>
      </c>
      <c r="C74" s="27" t="inlineStr">
        <is>
          <t>K. Egli</t>
        </is>
      </c>
      <c r="D74" s="27" t="inlineStr">
        <is>
          <t>Luzern</t>
        </is>
      </c>
      <c r="E74" s="27" t="inlineStr">
        <is>
          <t>Hotellerie</t>
        </is>
      </c>
      <c r="F74" s="27" t="inlineStr">
        <is>
          <t>PV + Speicher Kombi</t>
        </is>
      </c>
      <c r="G74" s="27" t="inlineStr">
        <is>
          <t>Qualifiziert</t>
        </is>
      </c>
      <c r="H74" s="27" t="inlineStr">
        <is>
          <t>Mittel</t>
        </is>
      </c>
      <c r="I74" s="28" t="n">
        <v>81000</v>
      </c>
      <c r="J74" s="29">
        <f>IFERROR(_xlfn.XLOOKUP(G74,Listen!$A$5:$A$10,Listen!$B$5:$B$10),VLOOKUP(G74,Listen!$A$5:$B$10,2,FALSE))</f>
        <v/>
      </c>
      <c r="K74" s="30">
        <f>I74*J74</f>
        <v/>
      </c>
      <c r="L74" s="31" t="n">
        <v>46169</v>
      </c>
      <c r="M74" s="31" t="n">
        <v>46248</v>
      </c>
      <c r="N74" s="32">
        <f>IF(OR(G74="Gewonnen",G74="Verloren"),"—",M74-TODAY())</f>
        <v/>
      </c>
      <c r="O74" s="27" t="inlineStr">
        <is>
          <t>A. Favre</t>
        </is>
      </c>
      <c r="P74" s="27" t="inlineStr">
        <is>
          <t>Bedarf klären</t>
        </is>
      </c>
      <c r="Q74" s="33">
        <f>IF(G74="Gewonnen","✅",IF(G74="Verloren","⬛",IF(N74&lt;=14,"🔴",IF(N74&lt;=45,"🟡","🟢"))))</f>
        <v/>
      </c>
    </row>
    <row r="75" ht="20" customHeight="1">
      <c r="A75" s="18" t="inlineStr">
        <is>
          <t>D-1071</t>
        </is>
      </c>
      <c r="B75" s="19" t="inlineStr">
        <is>
          <t>Hotel Schweizerhof</t>
        </is>
      </c>
      <c r="C75" s="19" t="inlineStr">
        <is>
          <t>L. Meier</t>
        </is>
      </c>
      <c r="D75" s="19" t="inlineStr">
        <is>
          <t>Bern</t>
        </is>
      </c>
      <c r="E75" s="19" t="inlineStr">
        <is>
          <t>Hotellerie</t>
        </is>
      </c>
      <c r="F75" s="19" t="inlineStr">
        <is>
          <t>Full-Service Betrieb</t>
        </is>
      </c>
      <c r="G75" s="19" t="inlineStr">
        <is>
          <t>Angebot</t>
        </is>
      </c>
      <c r="H75" s="19" t="inlineStr">
        <is>
          <t>Niedrig</t>
        </is>
      </c>
      <c r="I75" s="20" t="n">
        <v>340000</v>
      </c>
      <c r="J75" s="21">
        <f>IFERROR(_xlfn.XLOOKUP(G75,Listen!$A$5:$A$10,Listen!$B$5:$B$10),VLOOKUP(G75,Listen!$A$5:$B$10,2,FALSE))</f>
        <v/>
      </c>
      <c r="K75" s="22">
        <f>I75*J75</f>
        <v/>
      </c>
      <c r="L75" s="23" t="n">
        <v>46158</v>
      </c>
      <c r="M75" s="23" t="n">
        <v>46261</v>
      </c>
      <c r="N75" s="24">
        <f>IF(OR(G75="Gewonnen",G75="Verloren"),"—",M75-TODAY())</f>
        <v/>
      </c>
      <c r="O75" s="19" t="inlineStr">
        <is>
          <t>Burak Ücöz</t>
        </is>
      </c>
      <c r="P75" s="19" t="inlineStr">
        <is>
          <t>Erstgespräch planen</t>
        </is>
      </c>
      <c r="Q75" s="25">
        <f>IF(G75="Gewonnen","✅",IF(G75="Verloren","⬛",IF(N75&lt;=14,"🔴",IF(N75&lt;=45,"🟡","🟢"))))</f>
        <v/>
      </c>
    </row>
    <row r="76" ht="20" customHeight="1">
      <c r="A76" s="26" t="inlineStr">
        <is>
          <t>D-1072</t>
        </is>
      </c>
      <c r="B76" s="27" t="inlineStr">
        <is>
          <t>Kempinski Genf</t>
        </is>
      </c>
      <c r="C76" s="27" t="inlineStr">
        <is>
          <t>M. Huber</t>
        </is>
      </c>
      <c r="D76" s="27" t="inlineStr">
        <is>
          <t>Basel</t>
        </is>
      </c>
      <c r="E76" s="27" t="inlineStr">
        <is>
          <t>Hotellerie</t>
        </is>
      </c>
      <c r="F76" s="27" t="inlineStr">
        <is>
          <t>Lastmanagement-System</t>
        </is>
      </c>
      <c r="G76" s="27" t="inlineStr">
        <is>
          <t>Verhandlung</t>
        </is>
      </c>
      <c r="H76" s="27" t="inlineStr">
        <is>
          <t>Hoch</t>
        </is>
      </c>
      <c r="I76" s="28" t="n">
        <v>599000</v>
      </c>
      <c r="J76" s="29">
        <f>IFERROR(_xlfn.XLOOKUP(G76,Listen!$A$5:$A$10,Listen!$B$5:$B$10),VLOOKUP(G76,Listen!$A$5:$B$10,2,FALSE))</f>
        <v/>
      </c>
      <c r="K76" s="30">
        <f>I76*J76</f>
        <v/>
      </c>
      <c r="L76" s="31" t="n">
        <v>46147</v>
      </c>
      <c r="M76" s="31" t="n">
        <v>46274</v>
      </c>
      <c r="N76" s="32">
        <f>IF(OR(G76="Gewonnen",G76="Verloren"),"—",M76-TODAY())</f>
        <v/>
      </c>
      <c r="O76" s="27" t="inlineStr">
        <is>
          <t>S. Meier</t>
        </is>
      </c>
      <c r="P76" s="27" t="inlineStr">
        <is>
          <t>Angebot erstellen</t>
        </is>
      </c>
      <c r="Q76" s="33">
        <f>IF(G76="Gewonnen","✅",IF(G76="Verloren","⬛",IF(N76&lt;=14,"🔴",IF(N76&lt;=45,"🟡","🟢"))))</f>
        <v/>
      </c>
    </row>
    <row r="77" ht="20" customHeight="1">
      <c r="A77" s="18" t="inlineStr">
        <is>
          <t>D-1073</t>
        </is>
      </c>
      <c r="B77" s="19" t="inlineStr">
        <is>
          <t>25hours Zürich</t>
        </is>
      </c>
      <c r="C77" s="19" t="inlineStr">
        <is>
          <t>N. Rossi</t>
        </is>
      </c>
      <c r="D77" s="19" t="inlineStr">
        <is>
          <t>Tessin</t>
        </is>
      </c>
      <c r="E77" s="19" t="inlineStr">
        <is>
          <t>Hotellerie</t>
        </is>
      </c>
      <c r="F77" s="19" t="inlineStr">
        <is>
          <t>DC-HPC 150 kW</t>
        </is>
      </c>
      <c r="G77" s="19" t="inlineStr">
        <is>
          <t>Qualifiziert</t>
        </is>
      </c>
      <c r="H77" s="19" t="inlineStr">
        <is>
          <t>Mittel</t>
        </is>
      </c>
      <c r="I77" s="20" t="n">
        <v>193000</v>
      </c>
      <c r="J77" s="21">
        <f>IFERROR(_xlfn.XLOOKUP(G77,Listen!$A$5:$A$10,Listen!$B$5:$B$10),VLOOKUP(G77,Listen!$A$5:$B$10,2,FALSE))</f>
        <v/>
      </c>
      <c r="K77" s="22">
        <f>I77*J77</f>
        <v/>
      </c>
      <c r="L77" s="23" t="n">
        <v>46136</v>
      </c>
      <c r="M77" s="23" t="n">
        <v>46287</v>
      </c>
      <c r="N77" s="24">
        <f>IF(OR(G77="Gewonnen",G77="Verloren"),"—",M77-TODAY())</f>
        <v/>
      </c>
      <c r="O77" s="19" t="inlineStr">
        <is>
          <t>L. Rossi</t>
        </is>
      </c>
      <c r="P77" s="19" t="inlineStr">
        <is>
          <t>Angebot nachfassen</t>
        </is>
      </c>
      <c r="Q77" s="25">
        <f>IF(G77="Gewonnen","✅",IF(G77="Verloren","⬛",IF(N77&lt;=14,"🔴",IF(N77&lt;=45,"🟡","🟢"))))</f>
        <v/>
      </c>
    </row>
    <row r="78" ht="20" customHeight="1">
      <c r="A78" s="26" t="inlineStr">
        <is>
          <t>D-1074</t>
        </is>
      </c>
      <c r="B78" s="27" t="inlineStr">
        <is>
          <t>Hotel Krone</t>
        </is>
      </c>
      <c r="C78" s="27" t="inlineStr">
        <is>
          <t>P. Baumann</t>
        </is>
      </c>
      <c r="D78" s="27" t="inlineStr">
        <is>
          <t>Zürich</t>
        </is>
      </c>
      <c r="E78" s="27" t="inlineStr">
        <is>
          <t>Hotellerie</t>
        </is>
      </c>
      <c r="F78" s="27" t="inlineStr">
        <is>
          <t>DC-Schnelllader 60 kW</t>
        </is>
      </c>
      <c r="G78" s="27" t="inlineStr">
        <is>
          <t>Angebot</t>
        </is>
      </c>
      <c r="H78" s="27" t="inlineStr">
        <is>
          <t>Niedrig</t>
        </is>
      </c>
      <c r="I78" s="28" t="n">
        <v>452000</v>
      </c>
      <c r="J78" s="29">
        <f>IFERROR(_xlfn.XLOOKUP(G78,Listen!$A$5:$A$10,Listen!$B$5:$B$10),VLOOKUP(G78,Listen!$A$5:$B$10,2,FALSE))</f>
        <v/>
      </c>
      <c r="K78" s="30">
        <f>I78*J78</f>
        <v/>
      </c>
      <c r="L78" s="31" t="n">
        <v>46125</v>
      </c>
      <c r="M78" s="31" t="n">
        <v>46300</v>
      </c>
      <c r="N78" s="32">
        <f>IF(OR(G78="Gewonnen",G78="Verloren"),"—",M78-TODAY())</f>
        <v/>
      </c>
      <c r="O78" s="27" t="inlineStr">
        <is>
          <t>N. Keller</t>
        </is>
      </c>
      <c r="P78" s="27" t="inlineStr">
        <is>
          <t>Standort-Audit terminieren</t>
        </is>
      </c>
      <c r="Q78" s="33">
        <f>IF(G78="Gewonnen","✅",IF(G78="Verloren","⬛",IF(N78&lt;=14,"🔴",IF(N78&lt;=45,"🟡","🟢"))))</f>
        <v/>
      </c>
    </row>
    <row r="79" ht="20" customHeight="1">
      <c r="A79" s="18" t="inlineStr">
        <is>
          <t>D-1075</t>
        </is>
      </c>
      <c r="B79" s="19" t="inlineStr">
        <is>
          <t>Victoria-Jungfrau</t>
        </is>
      </c>
      <c r="C79" s="19" t="inlineStr">
        <is>
          <t>R. Suter</t>
        </is>
      </c>
      <c r="D79" s="19" t="inlineStr">
        <is>
          <t>Genf</t>
        </is>
      </c>
      <c r="E79" s="19" t="inlineStr">
        <is>
          <t>Hotellerie</t>
        </is>
      </c>
      <c r="F79" s="19" t="inlineStr">
        <is>
          <t>AC-Ladestation 22 kW</t>
        </is>
      </c>
      <c r="G79" s="19" t="inlineStr">
        <is>
          <t>Gewonnen</t>
        </is>
      </c>
      <c r="H79" s="19" t="inlineStr">
        <is>
          <t>Hoch</t>
        </is>
      </c>
      <c r="I79" s="20" t="n">
        <v>46000</v>
      </c>
      <c r="J79" s="21">
        <f>IFERROR(_xlfn.XLOOKUP(G79,Listen!$A$5:$A$10,Listen!$B$5:$B$10),VLOOKUP(G79,Listen!$A$5:$B$10,2,FALSE))</f>
        <v/>
      </c>
      <c r="K79" s="22">
        <f>I79*J79</f>
        <v/>
      </c>
      <c r="L79" s="23" t="n">
        <v>46114</v>
      </c>
      <c r="M79" s="23" t="n">
        <v>46186</v>
      </c>
      <c r="N79" s="24">
        <f>IF(OR(G79="Gewonnen",G79="Verloren"),"—",M79-TODAY())</f>
        <v/>
      </c>
      <c r="O79" s="19" t="inlineStr">
        <is>
          <t>A. Favre</t>
        </is>
      </c>
      <c r="P79" s="19" t="inlineStr">
        <is>
          <t>Entscheider treffen</t>
        </is>
      </c>
      <c r="Q79" s="25">
        <f>IF(G79="Gewonnen","✅",IF(G79="Verloren","⬛",IF(N79&lt;=14,"🔴",IF(N79&lt;=45,"🟡","🟢"))))</f>
        <v/>
      </c>
    </row>
    <row r="80" ht="20" customHeight="1">
      <c r="A80" s="26" t="inlineStr">
        <is>
          <t>D-1076</t>
        </is>
      </c>
      <c r="B80" s="27" t="inlineStr">
        <is>
          <t>Hotel Metropol</t>
        </is>
      </c>
      <c r="C80" s="27" t="inlineStr">
        <is>
          <t>S. Wyss</t>
        </is>
      </c>
      <c r="D80" s="27" t="inlineStr">
        <is>
          <t>St. Gallen</t>
        </is>
      </c>
      <c r="E80" s="27" t="inlineStr">
        <is>
          <t>Hotellerie</t>
        </is>
      </c>
      <c r="F80" s="27" t="inlineStr">
        <is>
          <t>PV + Speicher Kombi</t>
        </is>
      </c>
      <c r="G80" s="27" t="inlineStr">
        <is>
          <t>Lead</t>
        </is>
      </c>
      <c r="H80" s="27" t="inlineStr">
        <is>
          <t>Mittel</t>
        </is>
      </c>
      <c r="I80" s="28" t="n">
        <v>305000</v>
      </c>
      <c r="J80" s="29">
        <f>IFERROR(_xlfn.XLOOKUP(G80,Listen!$A$5:$A$10,Listen!$B$5:$B$10),VLOOKUP(G80,Listen!$A$5:$B$10,2,FALSE))</f>
        <v/>
      </c>
      <c r="K80" s="30">
        <f>I80*J80</f>
        <v/>
      </c>
      <c r="L80" s="31" t="n">
        <v>46103</v>
      </c>
      <c r="M80" s="31" t="n">
        <v>46326</v>
      </c>
      <c r="N80" s="32">
        <f>IF(OR(G80="Gewonnen",G80="Verloren"),"—",M80-TODAY())</f>
        <v/>
      </c>
      <c r="O80" s="27" t="inlineStr">
        <is>
          <t>Burak Ücöz</t>
        </is>
      </c>
      <c r="P80" s="27" t="inlineStr">
        <is>
          <t>Business-Case rechnen</t>
        </is>
      </c>
      <c r="Q80" s="33">
        <f>IF(G80="Gewonnen","✅",IF(G80="Verloren","⬛",IF(N80&lt;=14,"🔴",IF(N80&lt;=45,"🟡","🟢"))))</f>
        <v/>
      </c>
    </row>
    <row r="81" ht="20" customHeight="1">
      <c r="A81" s="18" t="inlineStr">
        <is>
          <t>D-1077</t>
        </is>
      </c>
      <c r="B81" s="19" t="inlineStr">
        <is>
          <t>Stadt Bern</t>
        </is>
      </c>
      <c r="C81" s="19" t="inlineStr">
        <is>
          <t>T. Schmid</t>
        </is>
      </c>
      <c r="D81" s="19" t="inlineStr">
        <is>
          <t>Wallis</t>
        </is>
      </c>
      <c r="E81" s="19" t="inlineStr">
        <is>
          <t>Öffentliche Hand</t>
        </is>
      </c>
      <c r="F81" s="19" t="inlineStr">
        <is>
          <t>Full-Service Betrieb</t>
        </is>
      </c>
      <c r="G81" s="19" t="inlineStr">
        <is>
          <t>Verhandlung</t>
        </is>
      </c>
      <c r="H81" s="19" t="inlineStr">
        <is>
          <t>Niedrig</t>
        </is>
      </c>
      <c r="I81" s="20" t="n">
        <v>564000</v>
      </c>
      <c r="J81" s="21">
        <f>IFERROR(_xlfn.XLOOKUP(G81,Listen!$A$5:$A$10,Listen!$B$5:$B$10),VLOOKUP(G81,Listen!$A$5:$B$10,2,FALSE))</f>
        <v/>
      </c>
      <c r="K81" s="22">
        <f>I81*J81</f>
        <v/>
      </c>
      <c r="L81" s="23" t="n">
        <v>46092</v>
      </c>
      <c r="M81" s="23" t="n">
        <v>46339</v>
      </c>
      <c r="N81" s="24">
        <f>IF(OR(G81="Gewonnen",G81="Verloren"),"—",M81-TODAY())</f>
        <v/>
      </c>
      <c r="O81" s="19" t="inlineStr">
        <is>
          <t>S. Meier</t>
        </is>
      </c>
      <c r="P81" s="19" t="inlineStr">
        <is>
          <t>Referenz anbieten</t>
        </is>
      </c>
      <c r="Q81" s="25">
        <f>IF(G81="Gewonnen","✅",IF(G81="Verloren","⬛",IF(N81&lt;=14,"🔴",IF(N81&lt;=45,"🟡","🟢"))))</f>
        <v/>
      </c>
    </row>
    <row r="82" ht="20" customHeight="1">
      <c r="A82" s="26" t="inlineStr">
        <is>
          <t>D-1078</t>
        </is>
      </c>
      <c r="B82" s="27" t="inlineStr">
        <is>
          <t>Stadt Winterthur</t>
        </is>
      </c>
      <c r="C82" s="27" t="inlineStr">
        <is>
          <t>U. Moser</t>
        </is>
      </c>
      <c r="D82" s="27" t="inlineStr">
        <is>
          <t>Waadt</t>
        </is>
      </c>
      <c r="E82" s="27" t="inlineStr">
        <is>
          <t>Öffentliche Hand</t>
        </is>
      </c>
      <c r="F82" s="27" t="inlineStr">
        <is>
          <t>Lastmanagement-System</t>
        </is>
      </c>
      <c r="G82" s="27" t="inlineStr">
        <is>
          <t>Verloren</t>
        </is>
      </c>
      <c r="H82" s="27" t="inlineStr">
        <is>
          <t>Hoch</t>
        </is>
      </c>
      <c r="I82" s="28" t="n">
        <v>158000</v>
      </c>
      <c r="J82" s="29">
        <f>IFERROR(_xlfn.XLOOKUP(G82,Listen!$A$5:$A$10,Listen!$B$5:$B$10),VLOOKUP(G82,Listen!$A$5:$B$10,2,FALSE))</f>
        <v/>
      </c>
      <c r="K82" s="30">
        <f>I82*J82</f>
        <v/>
      </c>
      <c r="L82" s="31" t="n">
        <v>46081</v>
      </c>
      <c r="M82" s="31" t="n">
        <v>46165</v>
      </c>
      <c r="N82" s="32">
        <f>IF(OR(G82="Gewonnen",G82="Verloren"),"—",M82-TODAY())</f>
        <v/>
      </c>
      <c r="O82" s="27" t="inlineStr">
        <is>
          <t>L. Rossi</t>
        </is>
      </c>
      <c r="P82" s="27" t="inlineStr">
        <is>
          <t>Vertrag vorbereiten</t>
        </is>
      </c>
      <c r="Q82" s="33">
        <f>IF(G82="Gewonnen","✅",IF(G82="Verloren","⬛",IF(N82&lt;=14,"🔴",IF(N82&lt;=45,"🟡","🟢"))))</f>
        <v/>
      </c>
    </row>
    <row r="83" ht="20" customHeight="1">
      <c r="A83" s="18" t="inlineStr">
        <is>
          <t>D-1079</t>
        </is>
      </c>
      <c r="B83" s="19" t="inlineStr">
        <is>
          <t>Kanton Aargau</t>
        </is>
      </c>
      <c r="C83" s="19" t="inlineStr">
        <is>
          <t>V. Kern</t>
        </is>
      </c>
      <c r="D83" s="19" t="inlineStr">
        <is>
          <t>Aargau</t>
        </is>
      </c>
      <c r="E83" s="19" t="inlineStr">
        <is>
          <t>Öffentliche Hand</t>
        </is>
      </c>
      <c r="F83" s="19" t="inlineStr">
        <is>
          <t>DC-HPC 150 kW</t>
        </is>
      </c>
      <c r="G83" s="19" t="inlineStr">
        <is>
          <t>Angebot</t>
        </is>
      </c>
      <c r="H83" s="19" t="inlineStr">
        <is>
          <t>Mittel</t>
        </is>
      </c>
      <c r="I83" s="20" t="n">
        <v>417000</v>
      </c>
      <c r="J83" s="21">
        <f>IFERROR(_xlfn.XLOOKUP(G83,Listen!$A$5:$A$10,Listen!$B$5:$B$10),VLOOKUP(G83,Listen!$A$5:$B$10,2,FALSE))</f>
        <v/>
      </c>
      <c r="K83" s="22">
        <f>I83*J83</f>
        <v/>
      </c>
      <c r="L83" s="23" t="n">
        <v>46070</v>
      </c>
      <c r="M83" s="23" t="n">
        <v>46215</v>
      </c>
      <c r="N83" s="24">
        <f>IF(OR(G83="Gewonnen",G83="Verloren"),"—",M83-TODAY())</f>
        <v/>
      </c>
      <c r="O83" s="19" t="inlineStr">
        <is>
          <t>N. Keller</t>
        </is>
      </c>
      <c r="P83" s="19" t="inlineStr">
        <is>
          <t>Pilot definieren</t>
        </is>
      </c>
      <c r="Q83" s="25">
        <f>IF(G83="Gewonnen","✅",IF(G83="Verloren","⬛",IF(N83&lt;=14,"🔴",IF(N83&lt;=45,"🟡","🟢"))))</f>
        <v/>
      </c>
    </row>
    <row r="84" ht="20" customHeight="1">
      <c r="A84" s="26" t="inlineStr">
        <is>
          <t>D-1080</t>
        </is>
      </c>
      <c r="B84" s="27" t="inlineStr">
        <is>
          <t>Kanton Waadt</t>
        </is>
      </c>
      <c r="C84" s="27" t="inlineStr">
        <is>
          <t>W. Egli</t>
        </is>
      </c>
      <c r="D84" s="27" t="inlineStr">
        <is>
          <t>Luzern</t>
        </is>
      </c>
      <c r="E84" s="27" t="inlineStr">
        <is>
          <t>Öffentliche Hand</t>
        </is>
      </c>
      <c r="F84" s="27" t="inlineStr">
        <is>
          <t>DC-Schnelllader 60 kW</t>
        </is>
      </c>
      <c r="G84" s="27" t="inlineStr">
        <is>
          <t>Lead</t>
        </is>
      </c>
      <c r="H84" s="27" t="inlineStr">
        <is>
          <t>Niedrig</t>
        </is>
      </c>
      <c r="I84" s="28" t="n">
        <v>676000</v>
      </c>
      <c r="J84" s="29">
        <f>IFERROR(_xlfn.XLOOKUP(G84,Listen!$A$5:$A$10,Listen!$B$5:$B$10),VLOOKUP(G84,Listen!$A$5:$B$10,2,FALSE))</f>
        <v/>
      </c>
      <c r="K84" s="30">
        <f>I84*J84</f>
        <v/>
      </c>
      <c r="L84" s="31" t="n">
        <v>46059</v>
      </c>
      <c r="M84" s="31" t="n">
        <v>46228</v>
      </c>
      <c r="N84" s="32">
        <f>IF(OR(G84="Gewonnen",G84="Verloren"),"—",M84-TODAY())</f>
        <v/>
      </c>
      <c r="O84" s="27" t="inlineStr">
        <is>
          <t>A. Favre</t>
        </is>
      </c>
      <c r="P84" s="27" t="inlineStr">
        <is>
          <t>Bedarf klären</t>
        </is>
      </c>
      <c r="Q84" s="33">
        <f>IF(G84="Gewonnen","✅",IF(G84="Verloren","⬛",IF(N84&lt;=14,"🔴",IF(N84&lt;=45,"🟡","🟢"))))</f>
        <v/>
      </c>
    </row>
    <row r="85" ht="20" customHeight="1">
      <c r="A85" s="18" t="inlineStr">
        <is>
          <t>D-1081</t>
        </is>
      </c>
      <c r="B85" s="19" t="inlineStr">
        <is>
          <t>Energie Wasser Bern</t>
        </is>
      </c>
      <c r="C85" s="19" t="inlineStr">
        <is>
          <t>A. Meier</t>
        </is>
      </c>
      <c r="D85" s="19" t="inlineStr">
        <is>
          <t>Bern</t>
        </is>
      </c>
      <c r="E85" s="19" t="inlineStr">
        <is>
          <t>Öffentliche Hand</t>
        </is>
      </c>
      <c r="F85" s="19" t="inlineStr">
        <is>
          <t>AC-Ladestation 22 kW</t>
        </is>
      </c>
      <c r="G85" s="19" t="inlineStr">
        <is>
          <t>Lead</t>
        </is>
      </c>
      <c r="H85" s="19" t="inlineStr">
        <is>
          <t>Hoch</t>
        </is>
      </c>
      <c r="I85" s="20" t="n">
        <v>270000</v>
      </c>
      <c r="J85" s="21">
        <f>IFERROR(_xlfn.XLOOKUP(G85,Listen!$A$5:$A$10,Listen!$B$5:$B$10),VLOOKUP(G85,Listen!$A$5:$B$10,2,FALSE))</f>
        <v/>
      </c>
      <c r="K85" s="22">
        <f>I85*J85</f>
        <v/>
      </c>
      <c r="L85" s="23" t="n">
        <v>46048</v>
      </c>
      <c r="M85" s="23" t="n">
        <v>46241</v>
      </c>
      <c r="N85" s="24">
        <f>IF(OR(G85="Gewonnen",G85="Verloren"),"—",M85-TODAY())</f>
        <v/>
      </c>
      <c r="O85" s="19" t="inlineStr">
        <is>
          <t>Burak Ücöz</t>
        </is>
      </c>
      <c r="P85" s="19" t="inlineStr">
        <is>
          <t>Erstgespräch planen</t>
        </is>
      </c>
      <c r="Q85" s="25">
        <f>IF(G85="Gewonnen","✅",IF(G85="Verloren","⬛",IF(N85&lt;=14,"🔴",IF(N85&lt;=45,"🟡","🟢"))))</f>
        <v/>
      </c>
    </row>
    <row r="86" ht="20" customHeight="1">
      <c r="A86" s="26" t="inlineStr">
        <is>
          <t>D-1082</t>
        </is>
      </c>
      <c r="B86" s="27" t="inlineStr">
        <is>
          <t>IWB Basel</t>
        </is>
      </c>
      <c r="C86" s="27" t="inlineStr">
        <is>
          <t>B. Huber</t>
        </is>
      </c>
      <c r="D86" s="27" t="inlineStr">
        <is>
          <t>Basel</t>
        </is>
      </c>
      <c r="E86" s="27" t="inlineStr">
        <is>
          <t>Öffentliche Hand</t>
        </is>
      </c>
      <c r="F86" s="27" t="inlineStr">
        <is>
          <t>PV + Speicher Kombi</t>
        </is>
      </c>
      <c r="G86" s="27" t="inlineStr">
        <is>
          <t>Qualifiziert</t>
        </is>
      </c>
      <c r="H86" s="27" t="inlineStr">
        <is>
          <t>Mittel</t>
        </is>
      </c>
      <c r="I86" s="28" t="n">
        <v>529000</v>
      </c>
      <c r="J86" s="29">
        <f>IFERROR(_xlfn.XLOOKUP(G86,Listen!$A$5:$A$10,Listen!$B$5:$B$10),VLOOKUP(G86,Listen!$A$5:$B$10,2,FALSE))</f>
        <v/>
      </c>
      <c r="K86" s="30">
        <f>I86*J86</f>
        <v/>
      </c>
      <c r="L86" s="31" t="n">
        <v>46037</v>
      </c>
      <c r="M86" s="31" t="n">
        <v>46254</v>
      </c>
      <c r="N86" s="32">
        <f>IF(OR(G86="Gewonnen",G86="Verloren"),"—",M86-TODAY())</f>
        <v/>
      </c>
      <c r="O86" s="27" t="inlineStr">
        <is>
          <t>S. Meier</t>
        </is>
      </c>
      <c r="P86" s="27" t="inlineStr">
        <is>
          <t>Angebot erstellen</t>
        </is>
      </c>
      <c r="Q86" s="33">
        <f>IF(G86="Gewonnen","✅",IF(G86="Verloren","⬛",IF(N86&lt;=14,"🔴",IF(N86&lt;=45,"🟡","🟢"))))</f>
        <v/>
      </c>
    </row>
    <row r="87" ht="20" customHeight="1">
      <c r="A87" s="18" t="inlineStr">
        <is>
          <t>D-1083</t>
        </is>
      </c>
      <c r="B87" s="19" t="inlineStr">
        <is>
          <t>SIG Genève</t>
        </is>
      </c>
      <c r="C87" s="19" t="inlineStr">
        <is>
          <t>C. Rossi</t>
        </is>
      </c>
      <c r="D87" s="19" t="inlineStr">
        <is>
          <t>Tessin</t>
        </is>
      </c>
      <c r="E87" s="19" t="inlineStr">
        <is>
          <t>Öffentliche Hand</t>
        </is>
      </c>
      <c r="F87" s="19" t="inlineStr">
        <is>
          <t>Full-Service Betrieb</t>
        </is>
      </c>
      <c r="G87" s="19" t="inlineStr">
        <is>
          <t>Angebot</t>
        </is>
      </c>
      <c r="H87" s="19" t="inlineStr">
        <is>
          <t>Niedrig</t>
        </is>
      </c>
      <c r="I87" s="20" t="n">
        <v>123000</v>
      </c>
      <c r="J87" s="21">
        <f>IFERROR(_xlfn.XLOOKUP(G87,Listen!$A$5:$A$10,Listen!$B$5:$B$10),VLOOKUP(G87,Listen!$A$5:$B$10,2,FALSE))</f>
        <v/>
      </c>
      <c r="K87" s="22">
        <f>I87*J87</f>
        <v/>
      </c>
      <c r="L87" s="23" t="n">
        <v>46196</v>
      </c>
      <c r="M87" s="23" t="n">
        <v>46267</v>
      </c>
      <c r="N87" s="24">
        <f>IF(OR(G87="Gewonnen",G87="Verloren"),"—",M87-TODAY())</f>
        <v/>
      </c>
      <c r="O87" s="19" t="inlineStr">
        <is>
          <t>L. Rossi</t>
        </is>
      </c>
      <c r="P87" s="19" t="inlineStr">
        <is>
          <t>Angebot nachfassen</t>
        </is>
      </c>
      <c r="Q87" s="25">
        <f>IF(G87="Gewonnen","✅",IF(G87="Verloren","⬛",IF(N87&lt;=14,"🔴",IF(N87&lt;=45,"🟡","🟢"))))</f>
        <v/>
      </c>
    </row>
    <row r="88" ht="20" customHeight="1">
      <c r="A88" s="26" t="inlineStr">
        <is>
          <t>D-1084</t>
        </is>
      </c>
      <c r="B88" s="27" t="inlineStr">
        <is>
          <t>Werkbetriebe Frauenfeld</t>
        </is>
      </c>
      <c r="C88" s="27" t="inlineStr">
        <is>
          <t>D. Baumann</t>
        </is>
      </c>
      <c r="D88" s="27" t="inlineStr">
        <is>
          <t>Zürich</t>
        </is>
      </c>
      <c r="E88" s="27" t="inlineStr">
        <is>
          <t>Öffentliche Hand</t>
        </is>
      </c>
      <c r="F88" s="27" t="inlineStr">
        <is>
          <t>Lastmanagement-System</t>
        </is>
      </c>
      <c r="G88" s="27" t="inlineStr">
        <is>
          <t>Verhandlung</t>
        </is>
      </c>
      <c r="H88" s="27" t="inlineStr">
        <is>
          <t>Hoch</t>
        </is>
      </c>
      <c r="I88" s="28" t="n">
        <v>382000</v>
      </c>
      <c r="J88" s="29">
        <f>IFERROR(_xlfn.XLOOKUP(G88,Listen!$A$5:$A$10,Listen!$B$5:$B$10),VLOOKUP(G88,Listen!$A$5:$B$10,2,FALSE))</f>
        <v/>
      </c>
      <c r="K88" s="30">
        <f>I88*J88</f>
        <v/>
      </c>
      <c r="L88" s="31" t="n">
        <v>46185</v>
      </c>
      <c r="M88" s="31" t="n">
        <v>46280</v>
      </c>
      <c r="N88" s="32">
        <f>IF(OR(G88="Gewonnen",G88="Verloren"),"—",M88-TODAY())</f>
        <v/>
      </c>
      <c r="O88" s="27" t="inlineStr">
        <is>
          <t>N. Keller</t>
        </is>
      </c>
      <c r="P88" s="27" t="inlineStr">
        <is>
          <t>Standort-Audit terminieren</t>
        </is>
      </c>
      <c r="Q88" s="33">
        <f>IF(G88="Gewonnen","✅",IF(G88="Verloren","⬛",IF(N88&lt;=14,"🔴",IF(N88&lt;=45,"🟡","🟢"))))</f>
        <v/>
      </c>
    </row>
    <row r="89" ht="20" customHeight="1">
      <c r="A89" s="18" t="inlineStr">
        <is>
          <t>D-1085</t>
        </is>
      </c>
      <c r="B89" s="19" t="inlineStr">
        <is>
          <t>Gemeinde Köniz</t>
        </is>
      </c>
      <c r="C89" s="19" t="inlineStr">
        <is>
          <t>E. Suter</t>
        </is>
      </c>
      <c r="D89" s="19" t="inlineStr">
        <is>
          <t>Genf</t>
        </is>
      </c>
      <c r="E89" s="19" t="inlineStr">
        <is>
          <t>Öffentliche Hand</t>
        </is>
      </c>
      <c r="F89" s="19" t="inlineStr">
        <is>
          <t>DC-HPC 150 kW</t>
        </is>
      </c>
      <c r="G89" s="19" t="inlineStr">
        <is>
          <t>Qualifiziert</t>
        </is>
      </c>
      <c r="H89" s="19" t="inlineStr">
        <is>
          <t>Mittel</t>
        </is>
      </c>
      <c r="I89" s="20" t="n">
        <v>641000</v>
      </c>
      <c r="J89" s="21">
        <f>IFERROR(_xlfn.XLOOKUP(G89,Listen!$A$5:$A$10,Listen!$B$5:$B$10),VLOOKUP(G89,Listen!$A$5:$B$10,2,FALSE))</f>
        <v/>
      </c>
      <c r="K89" s="22">
        <f>I89*J89</f>
        <v/>
      </c>
      <c r="L89" s="23" t="n">
        <v>46174</v>
      </c>
      <c r="M89" s="23" t="n">
        <v>46293</v>
      </c>
      <c r="N89" s="24">
        <f>IF(OR(G89="Gewonnen",G89="Verloren"),"—",M89-TODAY())</f>
        <v/>
      </c>
      <c r="O89" s="19" t="inlineStr">
        <is>
          <t>A. Favre</t>
        </is>
      </c>
      <c r="P89" s="19" t="inlineStr">
        <is>
          <t>Entscheider treffen</t>
        </is>
      </c>
      <c r="Q89" s="25">
        <f>IF(G89="Gewonnen","✅",IF(G89="Verloren","⬛",IF(N89&lt;=14,"🔴",IF(N89&lt;=45,"🟡","🟢"))))</f>
        <v/>
      </c>
    </row>
    <row r="90" ht="20" customHeight="1">
      <c r="A90" s="26" t="inlineStr">
        <is>
          <t>D-1086</t>
        </is>
      </c>
      <c r="B90" s="27" t="inlineStr">
        <is>
          <t>ZVB Zug</t>
        </is>
      </c>
      <c r="C90" s="27" t="inlineStr">
        <is>
          <t>F. Wyss</t>
        </is>
      </c>
      <c r="D90" s="27" t="inlineStr">
        <is>
          <t>St. Gallen</t>
        </is>
      </c>
      <c r="E90" s="27" t="inlineStr">
        <is>
          <t>Öffentliche Hand</t>
        </is>
      </c>
      <c r="F90" s="27" t="inlineStr">
        <is>
          <t>DC-Schnelllader 60 kW</t>
        </is>
      </c>
      <c r="G90" s="27" t="inlineStr">
        <is>
          <t>Angebot</t>
        </is>
      </c>
      <c r="H90" s="27" t="inlineStr">
        <is>
          <t>Niedrig</t>
        </is>
      </c>
      <c r="I90" s="28" t="n">
        <v>235000</v>
      </c>
      <c r="J90" s="29">
        <f>IFERROR(_xlfn.XLOOKUP(G90,Listen!$A$5:$A$10,Listen!$B$5:$B$10),VLOOKUP(G90,Listen!$A$5:$B$10,2,FALSE))</f>
        <v/>
      </c>
      <c r="K90" s="30">
        <f>I90*J90</f>
        <v/>
      </c>
      <c r="L90" s="31" t="n">
        <v>46163</v>
      </c>
      <c r="M90" s="31" t="n">
        <v>46306</v>
      </c>
      <c r="N90" s="32">
        <f>IF(OR(G90="Gewonnen",G90="Verloren"),"—",M90-TODAY())</f>
        <v/>
      </c>
      <c r="O90" s="27" t="inlineStr">
        <is>
          <t>Burak Ücöz</t>
        </is>
      </c>
      <c r="P90" s="27" t="inlineStr">
        <is>
          <t>Business-Case rechnen</t>
        </is>
      </c>
      <c r="Q90" s="33">
        <f>IF(G90="Gewonnen","✅",IF(G90="Verloren","⬛",IF(N90&lt;=14,"🔴",IF(N90&lt;=45,"🟡","🟢"))))</f>
        <v/>
      </c>
    </row>
    <row r="91" ht="20" customHeight="1">
      <c r="A91" s="18" t="inlineStr">
        <is>
          <t>D-1087</t>
        </is>
      </c>
      <c r="B91" s="19" t="inlineStr">
        <is>
          <t>Stadt Lugano</t>
        </is>
      </c>
      <c r="C91" s="19" t="inlineStr">
        <is>
          <t>G. Schmid</t>
        </is>
      </c>
      <c r="D91" s="19" t="inlineStr">
        <is>
          <t>Wallis</t>
        </is>
      </c>
      <c r="E91" s="19" t="inlineStr">
        <is>
          <t>Öffentliche Hand</t>
        </is>
      </c>
      <c r="F91" s="19" t="inlineStr">
        <is>
          <t>AC-Ladestation 22 kW</t>
        </is>
      </c>
      <c r="G91" s="19" t="inlineStr">
        <is>
          <t>Gewonnen</t>
        </is>
      </c>
      <c r="H91" s="19" t="inlineStr">
        <is>
          <t>Hoch</t>
        </is>
      </c>
      <c r="I91" s="20" t="n">
        <v>494000</v>
      </c>
      <c r="J91" s="21">
        <f>IFERROR(_xlfn.XLOOKUP(G91,Listen!$A$5:$A$10,Listen!$B$5:$B$10),VLOOKUP(G91,Listen!$A$5:$B$10,2,FALSE))</f>
        <v/>
      </c>
      <c r="K91" s="22">
        <f>I91*J91</f>
        <v/>
      </c>
      <c r="L91" s="23" t="n">
        <v>46152</v>
      </c>
      <c r="M91" s="23" t="n">
        <v>46162</v>
      </c>
      <c r="N91" s="24">
        <f>IF(OR(G91="Gewonnen",G91="Verloren"),"—",M91-TODAY())</f>
        <v/>
      </c>
      <c r="O91" s="19" t="inlineStr">
        <is>
          <t>S. Meier</t>
        </is>
      </c>
      <c r="P91" s="19" t="inlineStr">
        <is>
          <t>Referenz anbieten</t>
        </is>
      </c>
      <c r="Q91" s="25">
        <f>IF(G91="Gewonnen","✅",IF(G91="Verloren","⬛",IF(N91&lt;=14,"🔴",IF(N91&lt;=45,"🟡","🟢"))))</f>
        <v/>
      </c>
    </row>
    <row r="92" ht="20" customHeight="1">
      <c r="A92" s="26" t="inlineStr">
        <is>
          <t>D-1088</t>
        </is>
      </c>
      <c r="B92" s="27" t="inlineStr">
        <is>
          <t>ABB Schweiz</t>
        </is>
      </c>
      <c r="C92" s="27" t="inlineStr">
        <is>
          <t>H. Moser</t>
        </is>
      </c>
      <c r="D92" s="27" t="inlineStr">
        <is>
          <t>Waadt</t>
        </is>
      </c>
      <c r="E92" s="27" t="inlineStr">
        <is>
          <t>Industrie</t>
        </is>
      </c>
      <c r="F92" s="27" t="inlineStr">
        <is>
          <t>PV + Speicher Kombi</t>
        </is>
      </c>
      <c r="G92" s="27" t="inlineStr">
        <is>
          <t>Lead</t>
        </is>
      </c>
      <c r="H92" s="27" t="inlineStr">
        <is>
          <t>Mittel</t>
        </is>
      </c>
      <c r="I92" s="28" t="n">
        <v>88000</v>
      </c>
      <c r="J92" s="29">
        <f>IFERROR(_xlfn.XLOOKUP(G92,Listen!$A$5:$A$10,Listen!$B$5:$B$10),VLOOKUP(G92,Listen!$A$5:$B$10,2,FALSE))</f>
        <v/>
      </c>
      <c r="K92" s="30">
        <f>I92*J92</f>
        <v/>
      </c>
      <c r="L92" s="31" t="n">
        <v>46141</v>
      </c>
      <c r="M92" s="31" t="n">
        <v>46332</v>
      </c>
      <c r="N92" s="32">
        <f>IF(OR(G92="Gewonnen",G92="Verloren"),"—",M92-TODAY())</f>
        <v/>
      </c>
      <c r="O92" s="27" t="inlineStr">
        <is>
          <t>L. Rossi</t>
        </is>
      </c>
      <c r="P92" s="27" t="inlineStr">
        <is>
          <t>Vertrag vorbereiten</t>
        </is>
      </c>
      <c r="Q92" s="33">
        <f>IF(G92="Gewonnen","✅",IF(G92="Verloren","⬛",IF(N92&lt;=14,"🔴",IF(N92&lt;=45,"🟡","🟢"))))</f>
        <v/>
      </c>
    </row>
    <row r="93" ht="20" customHeight="1">
      <c r="A93" s="18" t="inlineStr">
        <is>
          <t>D-1089</t>
        </is>
      </c>
      <c r="B93" s="19" t="inlineStr">
        <is>
          <t>Bühler Group</t>
        </is>
      </c>
      <c r="C93" s="19" t="inlineStr">
        <is>
          <t>J. Kern</t>
        </is>
      </c>
      <c r="D93" s="19" t="inlineStr">
        <is>
          <t>Aargau</t>
        </is>
      </c>
      <c r="E93" s="19" t="inlineStr">
        <is>
          <t>Industrie</t>
        </is>
      </c>
      <c r="F93" s="19" t="inlineStr">
        <is>
          <t>Full-Service Betrieb</t>
        </is>
      </c>
      <c r="G93" s="19" t="inlineStr">
        <is>
          <t>Verhandlung</t>
        </is>
      </c>
      <c r="H93" s="19" t="inlineStr">
        <is>
          <t>Niedrig</t>
        </is>
      </c>
      <c r="I93" s="20" t="n">
        <v>347000</v>
      </c>
      <c r="J93" s="21">
        <f>IFERROR(_xlfn.XLOOKUP(G93,Listen!$A$5:$A$10,Listen!$B$5:$B$10),VLOOKUP(G93,Listen!$A$5:$B$10,2,FALSE))</f>
        <v/>
      </c>
      <c r="K93" s="22">
        <f>I93*J93</f>
        <v/>
      </c>
      <c r="L93" s="23" t="n">
        <v>46130</v>
      </c>
      <c r="M93" s="23" t="n">
        <v>46345</v>
      </c>
      <c r="N93" s="24">
        <f>IF(OR(G93="Gewonnen",G93="Verloren"),"—",M93-TODAY())</f>
        <v/>
      </c>
      <c r="O93" s="19" t="inlineStr">
        <is>
          <t>N. Keller</t>
        </is>
      </c>
      <c r="P93" s="19" t="inlineStr">
        <is>
          <t>Pilot definieren</t>
        </is>
      </c>
      <c r="Q93" s="25">
        <f>IF(G93="Gewonnen","✅",IF(G93="Verloren","⬛",IF(N93&lt;=14,"🔴",IF(N93&lt;=45,"🟡","🟢"))))</f>
        <v/>
      </c>
    </row>
    <row r="94" ht="20" customHeight="1">
      <c r="A94" s="26" t="inlineStr">
        <is>
          <t>D-1090</t>
        </is>
      </c>
      <c r="B94" s="27" t="inlineStr">
        <is>
          <t>Sulzer AG</t>
        </is>
      </c>
      <c r="C94" s="27" t="inlineStr">
        <is>
          <t>K. Egli</t>
        </is>
      </c>
      <c r="D94" s="27" t="inlineStr">
        <is>
          <t>Luzern</t>
        </is>
      </c>
      <c r="E94" s="27" t="inlineStr">
        <is>
          <t>Industrie</t>
        </is>
      </c>
      <c r="F94" s="27" t="inlineStr">
        <is>
          <t>Lastmanagement-System</t>
        </is>
      </c>
      <c r="G94" s="27" t="inlineStr">
        <is>
          <t>Verloren</t>
        </is>
      </c>
      <c r="H94" s="27" t="inlineStr">
        <is>
          <t>Hoch</t>
        </is>
      </c>
      <c r="I94" s="28" t="n">
        <v>606000</v>
      </c>
      <c r="J94" s="29">
        <f>IFERROR(_xlfn.XLOOKUP(G94,Listen!$A$5:$A$10,Listen!$B$5:$B$10),VLOOKUP(G94,Listen!$A$5:$B$10,2,FALSE))</f>
        <v/>
      </c>
      <c r="K94" s="30">
        <f>I94*J94</f>
        <v/>
      </c>
      <c r="L94" s="31" t="n">
        <v>46119</v>
      </c>
      <c r="M94" s="31" t="n">
        <v>46201</v>
      </c>
      <c r="N94" s="32">
        <f>IF(OR(G94="Gewonnen",G94="Verloren"),"—",M94-TODAY())</f>
        <v/>
      </c>
      <c r="O94" s="27" t="inlineStr">
        <is>
          <t>A. Favre</t>
        </is>
      </c>
      <c r="P94" s="27" t="inlineStr">
        <is>
          <t>Bedarf klären</t>
        </is>
      </c>
      <c r="Q94" s="33">
        <f>IF(G94="Gewonnen","✅",IF(G94="Verloren","⬛",IF(N94&lt;=14,"🔴",IF(N94&lt;=45,"🟡","🟢"))))</f>
        <v/>
      </c>
    </row>
    <row r="95" ht="20" customHeight="1">
      <c r="A95" s="18" t="inlineStr">
        <is>
          <t>D-1091</t>
        </is>
      </c>
      <c r="B95" s="19" t="inlineStr">
        <is>
          <t>Georg Fischer</t>
        </is>
      </c>
      <c r="C95" s="19" t="inlineStr">
        <is>
          <t>L. Meier</t>
        </is>
      </c>
      <c r="D95" s="19" t="inlineStr">
        <is>
          <t>Bern</t>
        </is>
      </c>
      <c r="E95" s="19" t="inlineStr">
        <is>
          <t>Industrie</t>
        </is>
      </c>
      <c r="F95" s="19" t="inlineStr">
        <is>
          <t>DC-HPC 150 kW</t>
        </is>
      </c>
      <c r="G95" s="19" t="inlineStr">
        <is>
          <t>Angebot</t>
        </is>
      </c>
      <c r="H95" s="19" t="inlineStr">
        <is>
          <t>Mittel</t>
        </is>
      </c>
      <c r="I95" s="20" t="n">
        <v>200000</v>
      </c>
      <c r="J95" s="21">
        <f>IFERROR(_xlfn.XLOOKUP(G95,Listen!$A$5:$A$10,Listen!$B$5:$B$10),VLOOKUP(G95,Listen!$A$5:$B$10,2,FALSE))</f>
        <v/>
      </c>
      <c r="K95" s="22">
        <f>I95*J95</f>
        <v/>
      </c>
      <c r="L95" s="23" t="n">
        <v>46108</v>
      </c>
      <c r="M95" s="23" t="n">
        <v>46221</v>
      </c>
      <c r="N95" s="24">
        <f>IF(OR(G95="Gewonnen",G95="Verloren"),"—",M95-TODAY())</f>
        <v/>
      </c>
      <c r="O95" s="19" t="inlineStr">
        <is>
          <t>Burak Ücöz</t>
        </is>
      </c>
      <c r="P95" s="19" t="inlineStr">
        <is>
          <t>Erstgespräch planen</t>
        </is>
      </c>
      <c r="Q95" s="25">
        <f>IF(G95="Gewonnen","✅",IF(G95="Verloren","⬛",IF(N95&lt;=14,"🔴",IF(N95&lt;=45,"🟡","🟢"))))</f>
        <v/>
      </c>
    </row>
    <row r="96" ht="20" customHeight="1">
      <c r="A96" s="26" t="inlineStr">
        <is>
          <t>D-1092</t>
        </is>
      </c>
      <c r="B96" s="27" t="inlineStr">
        <is>
          <t>Schindler Aufzüge</t>
        </is>
      </c>
      <c r="C96" s="27" t="inlineStr">
        <is>
          <t>M. Huber</t>
        </is>
      </c>
      <c r="D96" s="27" t="inlineStr">
        <is>
          <t>Basel</t>
        </is>
      </c>
      <c r="E96" s="27" t="inlineStr">
        <is>
          <t>Industrie</t>
        </is>
      </c>
      <c r="F96" s="27" t="inlineStr">
        <is>
          <t>DC-Schnelllader 60 kW</t>
        </is>
      </c>
      <c r="G96" s="27" t="inlineStr">
        <is>
          <t>Lead</t>
        </is>
      </c>
      <c r="H96" s="27" t="inlineStr">
        <is>
          <t>Niedrig</t>
        </is>
      </c>
      <c r="I96" s="28" t="n">
        <v>459000</v>
      </c>
      <c r="J96" s="29">
        <f>IFERROR(_xlfn.XLOOKUP(G96,Listen!$A$5:$A$10,Listen!$B$5:$B$10),VLOOKUP(G96,Listen!$A$5:$B$10,2,FALSE))</f>
        <v/>
      </c>
      <c r="K96" s="30">
        <f>I96*J96</f>
        <v/>
      </c>
      <c r="L96" s="31" t="n">
        <v>46097</v>
      </c>
      <c r="M96" s="31" t="n">
        <v>46234</v>
      </c>
      <c r="N96" s="32">
        <f>IF(OR(G96="Gewonnen",G96="Verloren"),"—",M96-TODAY())</f>
        <v/>
      </c>
      <c r="O96" s="27" t="inlineStr">
        <is>
          <t>S. Meier</t>
        </is>
      </c>
      <c r="P96" s="27" t="inlineStr">
        <is>
          <t>Angebot erstellen</t>
        </is>
      </c>
      <c r="Q96" s="33">
        <f>IF(G96="Gewonnen","✅",IF(G96="Verloren","⬛",IF(N96&lt;=14,"🔴",IF(N96&lt;=45,"🟡","🟢"))))</f>
        <v/>
      </c>
    </row>
    <row r="97" ht="20" customHeight="1">
      <c r="A97" s="18" t="inlineStr">
        <is>
          <t>D-1093</t>
        </is>
      </c>
      <c r="B97" s="19" t="inlineStr">
        <is>
          <t>Sika AG</t>
        </is>
      </c>
      <c r="C97" s="19" t="inlineStr">
        <is>
          <t>N. Rossi</t>
        </is>
      </c>
      <c r="D97" s="19" t="inlineStr">
        <is>
          <t>Tessin</t>
        </is>
      </c>
      <c r="E97" s="19" t="inlineStr">
        <is>
          <t>Industrie</t>
        </is>
      </c>
      <c r="F97" s="19" t="inlineStr">
        <is>
          <t>AC-Ladestation 22 kW</t>
        </is>
      </c>
      <c r="G97" s="19" t="inlineStr">
        <is>
          <t>Lead</t>
        </is>
      </c>
      <c r="H97" s="19" t="inlineStr">
        <is>
          <t>Hoch</t>
        </is>
      </c>
      <c r="I97" s="20" t="n">
        <v>53000</v>
      </c>
      <c r="J97" s="21">
        <f>IFERROR(_xlfn.XLOOKUP(G97,Listen!$A$5:$A$10,Listen!$B$5:$B$10),VLOOKUP(G97,Listen!$A$5:$B$10,2,FALSE))</f>
        <v/>
      </c>
      <c r="K97" s="22">
        <f>I97*J97</f>
        <v/>
      </c>
      <c r="L97" s="23" t="n">
        <v>46086</v>
      </c>
      <c r="M97" s="23" t="n">
        <v>46247</v>
      </c>
      <c r="N97" s="24">
        <f>IF(OR(G97="Gewonnen",G97="Verloren"),"—",M97-TODAY())</f>
        <v/>
      </c>
      <c r="O97" s="19" t="inlineStr">
        <is>
          <t>L. Rossi</t>
        </is>
      </c>
      <c r="P97" s="19" t="inlineStr">
        <is>
          <t>Angebot nachfassen</t>
        </is>
      </c>
      <c r="Q97" s="25">
        <f>IF(G97="Gewonnen","✅",IF(G97="Verloren","⬛",IF(N97&lt;=14,"🔴",IF(N97&lt;=45,"🟡","🟢"))))</f>
        <v/>
      </c>
    </row>
    <row r="98" ht="20" customHeight="1">
      <c r="A98" s="26" t="inlineStr">
        <is>
          <t>D-1094</t>
        </is>
      </c>
      <c r="B98" s="27" t="inlineStr">
        <is>
          <t>Bobst Group</t>
        </is>
      </c>
      <c r="C98" s="27" t="inlineStr">
        <is>
          <t>P. Baumann</t>
        </is>
      </c>
      <c r="D98" s="27" t="inlineStr">
        <is>
          <t>Zürich</t>
        </is>
      </c>
      <c r="E98" s="27" t="inlineStr">
        <is>
          <t>Industrie</t>
        </is>
      </c>
      <c r="F98" s="27" t="inlineStr">
        <is>
          <t>PV + Speicher Kombi</t>
        </is>
      </c>
      <c r="G98" s="27" t="inlineStr">
        <is>
          <t>Qualifiziert</t>
        </is>
      </c>
      <c r="H98" s="27" t="inlineStr">
        <is>
          <t>Mittel</t>
        </is>
      </c>
      <c r="I98" s="28" t="n">
        <v>312000</v>
      </c>
      <c r="J98" s="29">
        <f>IFERROR(_xlfn.XLOOKUP(G98,Listen!$A$5:$A$10,Listen!$B$5:$B$10),VLOOKUP(G98,Listen!$A$5:$B$10,2,FALSE))</f>
        <v/>
      </c>
      <c r="K98" s="30">
        <f>I98*J98</f>
        <v/>
      </c>
      <c r="L98" s="31" t="n">
        <v>46075</v>
      </c>
      <c r="M98" s="31" t="n">
        <v>46260</v>
      </c>
      <c r="N98" s="32">
        <f>IF(OR(G98="Gewonnen",G98="Verloren"),"—",M98-TODAY())</f>
        <v/>
      </c>
      <c r="O98" s="27" t="inlineStr">
        <is>
          <t>N. Keller</t>
        </is>
      </c>
      <c r="P98" s="27" t="inlineStr">
        <is>
          <t>Standort-Audit terminieren</t>
        </is>
      </c>
      <c r="Q98" s="33">
        <f>IF(G98="Gewonnen","✅",IF(G98="Verloren","⬛",IF(N98&lt;=14,"🔴",IF(N98&lt;=45,"🟡","🟢"))))</f>
        <v/>
      </c>
    </row>
    <row r="99" ht="20" customHeight="1">
      <c r="A99" s="18" t="inlineStr">
        <is>
          <t>D-1095</t>
        </is>
      </c>
      <c r="B99" s="19" t="inlineStr">
        <is>
          <t>Rieter AG</t>
        </is>
      </c>
      <c r="C99" s="19" t="inlineStr">
        <is>
          <t>R. Suter</t>
        </is>
      </c>
      <c r="D99" s="19" t="inlineStr">
        <is>
          <t>Genf</t>
        </is>
      </c>
      <c r="E99" s="19" t="inlineStr">
        <is>
          <t>Industrie</t>
        </is>
      </c>
      <c r="F99" s="19" t="inlineStr">
        <is>
          <t>Full-Service Betrieb</t>
        </is>
      </c>
      <c r="G99" s="19" t="inlineStr">
        <is>
          <t>Angebot</t>
        </is>
      </c>
      <c r="H99" s="19" t="inlineStr">
        <is>
          <t>Niedrig</t>
        </is>
      </c>
      <c r="I99" s="20" t="n">
        <v>571000</v>
      </c>
      <c r="J99" s="21">
        <f>IFERROR(_xlfn.XLOOKUP(G99,Listen!$A$5:$A$10,Listen!$B$5:$B$10),VLOOKUP(G99,Listen!$A$5:$B$10,2,FALSE))</f>
        <v/>
      </c>
      <c r="K99" s="22">
        <f>I99*J99</f>
        <v/>
      </c>
      <c r="L99" s="23" t="n">
        <v>46064</v>
      </c>
      <c r="M99" s="23" t="n">
        <v>46273</v>
      </c>
      <c r="N99" s="24">
        <f>IF(OR(G99="Gewonnen",G99="Verloren"),"—",M99-TODAY())</f>
        <v/>
      </c>
      <c r="O99" s="19" t="inlineStr">
        <is>
          <t>A. Favre</t>
        </is>
      </c>
      <c r="P99" s="19" t="inlineStr">
        <is>
          <t>Entscheider treffen</t>
        </is>
      </c>
      <c r="Q99" s="25">
        <f>IF(G99="Gewonnen","✅",IF(G99="Verloren","⬛",IF(N99&lt;=14,"🔴",IF(N99&lt;=45,"🟡","🟢"))))</f>
        <v/>
      </c>
    </row>
    <row r="100" ht="20" customHeight="1">
      <c r="A100" s="26" t="inlineStr">
        <is>
          <t>D-1096</t>
        </is>
      </c>
      <c r="B100" s="27" t="inlineStr">
        <is>
          <t>Feintool</t>
        </is>
      </c>
      <c r="C100" s="27" t="inlineStr">
        <is>
          <t>S. Wyss</t>
        </is>
      </c>
      <c r="D100" s="27" t="inlineStr">
        <is>
          <t>St. Gallen</t>
        </is>
      </c>
      <c r="E100" s="27" t="inlineStr">
        <is>
          <t>Industrie</t>
        </is>
      </c>
      <c r="F100" s="27" t="inlineStr">
        <is>
          <t>Lastmanagement-System</t>
        </is>
      </c>
      <c r="G100" s="27" t="inlineStr">
        <is>
          <t>Verhandlung</t>
        </is>
      </c>
      <c r="H100" s="27" t="inlineStr">
        <is>
          <t>Hoch</t>
        </is>
      </c>
      <c r="I100" s="28" t="n">
        <v>165000</v>
      </c>
      <c r="J100" s="29">
        <f>IFERROR(_xlfn.XLOOKUP(G100,Listen!$A$5:$A$10,Listen!$B$5:$B$10),VLOOKUP(G100,Listen!$A$5:$B$10,2,FALSE))</f>
        <v/>
      </c>
      <c r="K100" s="30">
        <f>I100*J100</f>
        <v/>
      </c>
      <c r="L100" s="31" t="n">
        <v>46053</v>
      </c>
      <c r="M100" s="31" t="n">
        <v>46286</v>
      </c>
      <c r="N100" s="32">
        <f>IF(OR(G100="Gewonnen",G100="Verloren"),"—",M100-TODAY())</f>
        <v/>
      </c>
      <c r="O100" s="27" t="inlineStr">
        <is>
          <t>Burak Ücöz</t>
        </is>
      </c>
      <c r="P100" s="27" t="inlineStr">
        <is>
          <t>Business-Case rechnen</t>
        </is>
      </c>
      <c r="Q100" s="33">
        <f>IF(G100="Gewonnen","✅",IF(G100="Verloren","⬛",IF(N100&lt;=14,"🔴",IF(N100&lt;=45,"🟡","🟢"))))</f>
        <v/>
      </c>
    </row>
    <row r="101" ht="20" customHeight="1">
      <c r="A101" s="18" t="inlineStr">
        <is>
          <t>D-1097</t>
        </is>
      </c>
      <c r="B101" s="19" t="inlineStr">
        <is>
          <t>Komax Group</t>
        </is>
      </c>
      <c r="C101" s="19" t="inlineStr">
        <is>
          <t>T. Schmid</t>
        </is>
      </c>
      <c r="D101" s="19" t="inlineStr">
        <is>
          <t>Wallis</t>
        </is>
      </c>
      <c r="E101" s="19" t="inlineStr">
        <is>
          <t>Industrie</t>
        </is>
      </c>
      <c r="F101" s="19" t="inlineStr">
        <is>
          <t>DC-HPC 150 kW</t>
        </is>
      </c>
      <c r="G101" s="19" t="inlineStr">
        <is>
          <t>Qualifiziert</t>
        </is>
      </c>
      <c r="H101" s="19" t="inlineStr">
        <is>
          <t>Mittel</t>
        </is>
      </c>
      <c r="I101" s="20" t="n">
        <v>424000</v>
      </c>
      <c r="J101" s="21">
        <f>IFERROR(_xlfn.XLOOKUP(G101,Listen!$A$5:$A$10,Listen!$B$5:$B$10),VLOOKUP(G101,Listen!$A$5:$B$10,2,FALSE))</f>
        <v/>
      </c>
      <c r="K101" s="22">
        <f>I101*J101</f>
        <v/>
      </c>
      <c r="L101" s="23" t="n">
        <v>46042</v>
      </c>
      <c r="M101" s="23" t="n">
        <v>46299</v>
      </c>
      <c r="N101" s="24">
        <f>IF(OR(G101="Gewonnen",G101="Verloren"),"—",M101-TODAY())</f>
        <v/>
      </c>
      <c r="O101" s="19" t="inlineStr">
        <is>
          <t>S. Meier</t>
        </is>
      </c>
      <c r="P101" s="19" t="inlineStr">
        <is>
          <t>Referenz anbieten</t>
        </is>
      </c>
      <c r="Q101" s="25">
        <f>IF(G101="Gewonnen","✅",IF(G101="Verloren","⬛",IF(N101&lt;=14,"🔴",IF(N101&lt;=45,"🟡","🟢"))))</f>
        <v/>
      </c>
    </row>
    <row r="102" ht="20" customHeight="1">
      <c r="A102" s="26" t="inlineStr">
        <is>
          <t>D-1098</t>
        </is>
      </c>
      <c r="B102" s="27" t="inlineStr">
        <is>
          <t>Hilti AG</t>
        </is>
      </c>
      <c r="C102" s="27" t="inlineStr">
        <is>
          <t>U. Moser</t>
        </is>
      </c>
      <c r="D102" s="27" t="inlineStr">
        <is>
          <t>Waadt</t>
        </is>
      </c>
      <c r="E102" s="27" t="inlineStr">
        <is>
          <t>Industrie</t>
        </is>
      </c>
      <c r="F102" s="27" t="inlineStr">
        <is>
          <t>DC-Schnelllader 60 kW</t>
        </is>
      </c>
      <c r="G102" s="27" t="inlineStr">
        <is>
          <t>Angebot</t>
        </is>
      </c>
      <c r="H102" s="27" t="inlineStr">
        <is>
          <t>Niedrig</t>
        </is>
      </c>
      <c r="I102" s="28" t="n">
        <v>683000</v>
      </c>
      <c r="J102" s="29">
        <f>IFERROR(_xlfn.XLOOKUP(G102,Listen!$A$5:$A$10,Listen!$B$5:$B$10),VLOOKUP(G102,Listen!$A$5:$B$10,2,FALSE))</f>
        <v/>
      </c>
      <c r="K102" s="30">
        <f>I102*J102</f>
        <v/>
      </c>
      <c r="L102" s="31" t="n">
        <v>46031</v>
      </c>
      <c r="M102" s="31" t="n">
        <v>46312</v>
      </c>
      <c r="N102" s="32">
        <f>IF(OR(G102="Gewonnen",G102="Verloren"),"—",M102-TODAY())</f>
        <v/>
      </c>
      <c r="O102" s="27" t="inlineStr">
        <is>
          <t>L. Rossi</t>
        </is>
      </c>
      <c r="P102" s="27" t="inlineStr">
        <is>
          <t>Vertrag vorbereiten</t>
        </is>
      </c>
      <c r="Q102" s="33">
        <f>IF(G102="Gewonnen","✅",IF(G102="Verloren","⬛",IF(N102&lt;=14,"🔴",IF(N102&lt;=45,"🟡","🟢"))))</f>
        <v/>
      </c>
    </row>
    <row r="103" ht="20" customHeight="1">
      <c r="A103" s="18" t="inlineStr">
        <is>
          <t>D-1099</t>
        </is>
      </c>
      <c r="B103" s="19" t="inlineStr">
        <is>
          <t>Geberit</t>
        </is>
      </c>
      <c r="C103" s="19" t="inlineStr">
        <is>
          <t>V. Kern</t>
        </is>
      </c>
      <c r="D103" s="19" t="inlineStr">
        <is>
          <t>Aargau</t>
        </is>
      </c>
      <c r="E103" s="19" t="inlineStr">
        <is>
          <t>Industrie</t>
        </is>
      </c>
      <c r="F103" s="19" t="inlineStr">
        <is>
          <t>AC-Ladestation 22 kW</t>
        </is>
      </c>
      <c r="G103" s="19" t="inlineStr">
        <is>
          <t>Gewonnen</t>
        </is>
      </c>
      <c r="H103" s="19" t="inlineStr">
        <is>
          <t>Hoch</t>
        </is>
      </c>
      <c r="I103" s="20" t="n">
        <v>277000</v>
      </c>
      <c r="J103" s="21">
        <f>IFERROR(_xlfn.XLOOKUP(G103,Listen!$A$5:$A$10,Listen!$B$5:$B$10),VLOOKUP(G103,Listen!$A$5:$B$10,2,FALSE))</f>
        <v/>
      </c>
      <c r="K103" s="22">
        <f>I103*J103</f>
        <v/>
      </c>
      <c r="L103" s="23" t="n">
        <v>46190</v>
      </c>
      <c r="M103" s="23" t="n">
        <v>46198</v>
      </c>
      <c r="N103" s="24">
        <f>IF(OR(G103="Gewonnen",G103="Verloren"),"—",M103-TODAY())</f>
        <v/>
      </c>
      <c r="O103" s="19" t="inlineStr">
        <is>
          <t>N. Keller</t>
        </is>
      </c>
      <c r="P103" s="19" t="inlineStr">
        <is>
          <t>Pilot definieren</t>
        </is>
      </c>
      <c r="Q103" s="25">
        <f>IF(G103="Gewonnen","✅",IF(G103="Verloren","⬛",IF(N103&lt;=14,"🔴",IF(N103&lt;=45,"🟡","🟢"))))</f>
        <v/>
      </c>
    </row>
    <row r="104" ht="20" customHeight="1">
      <c r="A104" s="26" t="inlineStr">
        <is>
          <t>D-1100</t>
        </is>
      </c>
      <c r="B104" s="27" t="inlineStr">
        <is>
          <t>Socar Energy</t>
        </is>
      </c>
      <c r="C104" s="27" t="inlineStr">
        <is>
          <t>W. Egli</t>
        </is>
      </c>
      <c r="D104" s="27" t="inlineStr">
        <is>
          <t>Luzern</t>
        </is>
      </c>
      <c r="E104" s="27" t="inlineStr">
        <is>
          <t>Tankstellen</t>
        </is>
      </c>
      <c r="F104" s="27" t="inlineStr">
        <is>
          <t>PV + Speicher Kombi</t>
        </is>
      </c>
      <c r="G104" s="27" t="inlineStr">
        <is>
          <t>Lead</t>
        </is>
      </c>
      <c r="H104" s="27" t="inlineStr">
        <is>
          <t>Mittel</t>
        </is>
      </c>
      <c r="I104" s="28" t="n">
        <v>536000</v>
      </c>
      <c r="J104" s="29">
        <f>IFERROR(_xlfn.XLOOKUP(G104,Listen!$A$5:$A$10,Listen!$B$5:$B$10),VLOOKUP(G104,Listen!$A$5:$B$10,2,FALSE))</f>
        <v/>
      </c>
      <c r="K104" s="30">
        <f>I104*J104</f>
        <v/>
      </c>
      <c r="L104" s="31" t="n">
        <v>46179</v>
      </c>
      <c r="M104" s="31" t="n">
        <v>46338</v>
      </c>
      <c r="N104" s="32">
        <f>IF(OR(G104="Gewonnen",G104="Verloren"),"—",M104-TODAY())</f>
        <v/>
      </c>
      <c r="O104" s="27" t="inlineStr">
        <is>
          <t>A. Favre</t>
        </is>
      </c>
      <c r="P104" s="27" t="inlineStr">
        <is>
          <t>Bedarf klären</t>
        </is>
      </c>
      <c r="Q104" s="33">
        <f>IF(G104="Gewonnen","✅",IF(G104="Verloren","⬛",IF(N104&lt;=14,"🔴",IF(N104&lt;=45,"🟡","🟢"))))</f>
        <v/>
      </c>
    </row>
    <row r="105" ht="20" customHeight="1">
      <c r="A105" s="18" t="inlineStr">
        <is>
          <t>D-1101</t>
        </is>
      </c>
      <c r="B105" s="19" t="inlineStr">
        <is>
          <t>Agrola AG</t>
        </is>
      </c>
      <c r="C105" s="19" t="inlineStr">
        <is>
          <t>A. Meier</t>
        </is>
      </c>
      <c r="D105" s="19" t="inlineStr">
        <is>
          <t>Bern</t>
        </is>
      </c>
      <c r="E105" s="19" t="inlineStr">
        <is>
          <t>Tankstellen</t>
        </is>
      </c>
      <c r="F105" s="19" t="inlineStr">
        <is>
          <t>Full-Service Betrieb</t>
        </is>
      </c>
      <c r="G105" s="19" t="inlineStr">
        <is>
          <t>Verhandlung</t>
        </is>
      </c>
      <c r="H105" s="19" t="inlineStr">
        <is>
          <t>Niedrig</t>
        </is>
      </c>
      <c r="I105" s="20" t="n">
        <v>130000</v>
      </c>
      <c r="J105" s="21">
        <f>IFERROR(_xlfn.XLOOKUP(G105,Listen!$A$5:$A$10,Listen!$B$5:$B$10),VLOOKUP(G105,Listen!$A$5:$B$10,2,FALSE))</f>
        <v/>
      </c>
      <c r="K105" s="22">
        <f>I105*J105</f>
        <v/>
      </c>
      <c r="L105" s="23" t="n">
        <v>46168</v>
      </c>
      <c r="M105" s="23" t="n">
        <v>46351</v>
      </c>
      <c r="N105" s="24">
        <f>IF(OR(G105="Gewonnen",G105="Verloren"),"—",M105-TODAY())</f>
        <v/>
      </c>
      <c r="O105" s="19" t="inlineStr">
        <is>
          <t>Burak Ücöz</t>
        </is>
      </c>
      <c r="P105" s="19" t="inlineStr">
        <is>
          <t>Erstgespräch planen</t>
        </is>
      </c>
      <c r="Q105" s="25">
        <f>IF(G105="Gewonnen","✅",IF(G105="Verloren","⬛",IF(N105&lt;=14,"🔴",IF(N105&lt;=45,"🟡","🟢"))))</f>
        <v/>
      </c>
    </row>
    <row r="106" ht="20" customHeight="1">
      <c r="A106" s="26" t="inlineStr">
        <is>
          <t>D-1102</t>
        </is>
      </c>
      <c r="B106" s="27" t="inlineStr">
        <is>
          <t>BP Schweiz</t>
        </is>
      </c>
      <c r="C106" s="27" t="inlineStr">
        <is>
          <t>B. Huber</t>
        </is>
      </c>
      <c r="D106" s="27" t="inlineStr">
        <is>
          <t>Basel</t>
        </is>
      </c>
      <c r="E106" s="27" t="inlineStr">
        <is>
          <t>Tankstellen</t>
        </is>
      </c>
      <c r="F106" s="27" t="inlineStr">
        <is>
          <t>Lastmanagement-System</t>
        </is>
      </c>
      <c r="G106" s="27" t="inlineStr">
        <is>
          <t>Verloren</t>
        </is>
      </c>
      <c r="H106" s="27" t="inlineStr">
        <is>
          <t>Hoch</t>
        </is>
      </c>
      <c r="I106" s="28" t="n">
        <v>389000</v>
      </c>
      <c r="J106" s="29">
        <f>IFERROR(_xlfn.XLOOKUP(G106,Listen!$A$5:$A$10,Listen!$B$5:$B$10),VLOOKUP(G106,Listen!$A$5:$B$10,2,FALSE))</f>
        <v/>
      </c>
      <c r="K106" s="30">
        <f>I106*J106</f>
        <v/>
      </c>
      <c r="L106" s="31" t="n">
        <v>46157</v>
      </c>
      <c r="M106" s="31" t="n">
        <v>46177</v>
      </c>
      <c r="N106" s="32">
        <f>IF(OR(G106="Gewonnen",G106="Verloren"),"—",M106-TODAY())</f>
        <v/>
      </c>
      <c r="O106" s="27" t="inlineStr">
        <is>
          <t>S. Meier</t>
        </is>
      </c>
      <c r="P106" s="27" t="inlineStr">
        <is>
          <t>Angebot erstellen</t>
        </is>
      </c>
      <c r="Q106" s="33">
        <f>IF(G106="Gewonnen","✅",IF(G106="Verloren","⬛",IF(N106&lt;=14,"🔴",IF(N106&lt;=45,"🟡","🟢"))))</f>
        <v/>
      </c>
    </row>
    <row r="107" ht="20" customHeight="1">
      <c r="A107" s="18" t="inlineStr">
        <is>
          <t>D-1103</t>
        </is>
      </c>
      <c r="B107" s="19" t="inlineStr">
        <is>
          <t>Shell Schweiz</t>
        </is>
      </c>
      <c r="C107" s="19" t="inlineStr">
        <is>
          <t>C. Rossi</t>
        </is>
      </c>
      <c r="D107" s="19" t="inlineStr">
        <is>
          <t>Tessin</t>
        </is>
      </c>
      <c r="E107" s="19" t="inlineStr">
        <is>
          <t>Tankstellen</t>
        </is>
      </c>
      <c r="F107" s="19" t="inlineStr">
        <is>
          <t>DC-HPC 150 kW</t>
        </is>
      </c>
      <c r="G107" s="19" t="inlineStr">
        <is>
          <t>Angebot</t>
        </is>
      </c>
      <c r="H107" s="19" t="inlineStr">
        <is>
          <t>Mittel</t>
        </is>
      </c>
      <c r="I107" s="20" t="n">
        <v>648000</v>
      </c>
      <c r="J107" s="21">
        <f>IFERROR(_xlfn.XLOOKUP(G107,Listen!$A$5:$A$10,Listen!$B$5:$B$10),VLOOKUP(G107,Listen!$A$5:$B$10,2,FALSE))</f>
        <v/>
      </c>
      <c r="K107" s="22">
        <f>I107*J107</f>
        <v/>
      </c>
      <c r="L107" s="23" t="n">
        <v>46146</v>
      </c>
      <c r="M107" s="23" t="n">
        <v>46227</v>
      </c>
      <c r="N107" s="24">
        <f>IF(OR(G107="Gewonnen",G107="Verloren"),"—",M107-TODAY())</f>
        <v/>
      </c>
      <c r="O107" s="19" t="inlineStr">
        <is>
          <t>L. Rossi</t>
        </is>
      </c>
      <c r="P107" s="19" t="inlineStr">
        <is>
          <t>Angebot nachfassen</t>
        </is>
      </c>
      <c r="Q107" s="25">
        <f>IF(G107="Gewonnen","✅",IF(G107="Verloren","⬛",IF(N107&lt;=14,"🔴",IF(N107&lt;=45,"🟡","🟢"))))</f>
        <v/>
      </c>
    </row>
    <row r="108" ht="20" customHeight="1">
      <c r="A108" s="26" t="inlineStr">
        <is>
          <t>D-1104</t>
        </is>
      </c>
      <c r="B108" s="27" t="inlineStr">
        <is>
          <t>Eni Suisse</t>
        </is>
      </c>
      <c r="C108" s="27" t="inlineStr">
        <is>
          <t>D. Baumann</t>
        </is>
      </c>
      <c r="D108" s="27" t="inlineStr">
        <is>
          <t>Zürich</t>
        </is>
      </c>
      <c r="E108" s="27" t="inlineStr">
        <is>
          <t>Tankstellen</t>
        </is>
      </c>
      <c r="F108" s="27" t="inlineStr">
        <is>
          <t>DC-Schnelllader 60 kW</t>
        </is>
      </c>
      <c r="G108" s="27" t="inlineStr">
        <is>
          <t>Lead</t>
        </is>
      </c>
      <c r="H108" s="27" t="inlineStr">
        <is>
          <t>Niedrig</t>
        </is>
      </c>
      <c r="I108" s="28" t="n">
        <v>242000</v>
      </c>
      <c r="J108" s="29">
        <f>IFERROR(_xlfn.XLOOKUP(G108,Listen!$A$5:$A$10,Listen!$B$5:$B$10),VLOOKUP(G108,Listen!$A$5:$B$10,2,FALSE))</f>
        <v/>
      </c>
      <c r="K108" s="30">
        <f>I108*J108</f>
        <v/>
      </c>
      <c r="L108" s="31" t="n">
        <v>46135</v>
      </c>
      <c r="M108" s="31" t="n">
        <v>46240</v>
      </c>
      <c r="N108" s="32">
        <f>IF(OR(G108="Gewonnen",G108="Verloren"),"—",M108-TODAY())</f>
        <v/>
      </c>
      <c r="O108" s="27" t="inlineStr">
        <is>
          <t>N. Keller</t>
        </is>
      </c>
      <c r="P108" s="27" t="inlineStr">
        <is>
          <t>Standort-Audit terminieren</t>
        </is>
      </c>
      <c r="Q108" s="33">
        <f>IF(G108="Gewonnen","✅",IF(G108="Verloren","⬛",IF(N108&lt;=14,"🔴",IF(N108&lt;=45,"🟡","🟢"))))</f>
        <v/>
      </c>
    </row>
    <row r="109" ht="20" customHeight="1">
      <c r="A109" s="18" t="inlineStr">
        <is>
          <t>D-1105</t>
        </is>
      </c>
      <c r="B109" s="19" t="inlineStr">
        <is>
          <t>Ruedi Rüssel</t>
        </is>
      </c>
      <c r="C109" s="19" t="inlineStr">
        <is>
          <t>E. Suter</t>
        </is>
      </c>
      <c r="D109" s="19" t="inlineStr">
        <is>
          <t>Genf</t>
        </is>
      </c>
      <c r="E109" s="19" t="inlineStr">
        <is>
          <t>Tankstellen</t>
        </is>
      </c>
      <c r="F109" s="19" t="inlineStr">
        <is>
          <t>AC-Ladestation 22 kW</t>
        </is>
      </c>
      <c r="G109" s="19" t="inlineStr">
        <is>
          <t>Lead</t>
        </is>
      </c>
      <c r="H109" s="19" t="inlineStr">
        <is>
          <t>Hoch</t>
        </is>
      </c>
      <c r="I109" s="20" t="n">
        <v>501000</v>
      </c>
      <c r="J109" s="21">
        <f>IFERROR(_xlfn.XLOOKUP(G109,Listen!$A$5:$A$10,Listen!$B$5:$B$10),VLOOKUP(G109,Listen!$A$5:$B$10,2,FALSE))</f>
        <v/>
      </c>
      <c r="K109" s="22">
        <f>I109*J109</f>
        <v/>
      </c>
      <c r="L109" s="23" t="n">
        <v>46124</v>
      </c>
      <c r="M109" s="23" t="n">
        <v>46253</v>
      </c>
      <c r="N109" s="24">
        <f>IF(OR(G109="Gewonnen",G109="Verloren"),"—",M109-TODAY())</f>
        <v/>
      </c>
      <c r="O109" s="19" t="inlineStr">
        <is>
          <t>A. Favre</t>
        </is>
      </c>
      <c r="P109" s="19" t="inlineStr">
        <is>
          <t>Entscheider treffen</t>
        </is>
      </c>
      <c r="Q109" s="25">
        <f>IF(G109="Gewonnen","✅",IF(G109="Verloren","⬛",IF(N109&lt;=14,"🔴",IF(N109&lt;=45,"🟡","🟢"))))</f>
        <v/>
      </c>
    </row>
    <row r="110" ht="20" customHeight="1">
      <c r="A110" s="26" t="inlineStr">
        <is>
          <t>D-1106</t>
        </is>
      </c>
      <c r="B110" s="27" t="inlineStr">
        <is>
          <t>Oel-Pool AG</t>
        </is>
      </c>
      <c r="C110" s="27" t="inlineStr">
        <is>
          <t>F. Wyss</t>
        </is>
      </c>
      <c r="D110" s="27" t="inlineStr">
        <is>
          <t>St. Gallen</t>
        </is>
      </c>
      <c r="E110" s="27" t="inlineStr">
        <is>
          <t>Tankstellen</t>
        </is>
      </c>
      <c r="F110" s="27" t="inlineStr">
        <is>
          <t>PV + Speicher Kombi</t>
        </is>
      </c>
      <c r="G110" s="27" t="inlineStr">
        <is>
          <t>Qualifiziert</t>
        </is>
      </c>
      <c r="H110" s="27" t="inlineStr">
        <is>
          <t>Mittel</t>
        </is>
      </c>
      <c r="I110" s="28" t="n">
        <v>95000</v>
      </c>
      <c r="J110" s="29">
        <f>IFERROR(_xlfn.XLOOKUP(G110,Listen!$A$5:$A$10,Listen!$B$5:$B$10),VLOOKUP(G110,Listen!$A$5:$B$10,2,FALSE))</f>
        <v/>
      </c>
      <c r="K110" s="30">
        <f>I110*J110</f>
        <v/>
      </c>
      <c r="L110" s="31" t="n">
        <v>46113</v>
      </c>
      <c r="M110" s="31" t="n">
        <v>46266</v>
      </c>
      <c r="N110" s="32">
        <f>IF(OR(G110="Gewonnen",G110="Verloren"),"—",M110-TODAY())</f>
        <v/>
      </c>
      <c r="O110" s="27" t="inlineStr">
        <is>
          <t>Burak Ücöz</t>
        </is>
      </c>
      <c r="P110" s="27" t="inlineStr">
        <is>
          <t>Business-Case rechnen</t>
        </is>
      </c>
      <c r="Q110" s="33">
        <f>IF(G110="Gewonnen","✅",IF(G110="Verloren","⬛",IF(N110&lt;=14,"🔴",IF(N110&lt;=45,"🟡","🟢"))))</f>
        <v/>
      </c>
    </row>
    <row r="111" ht="20" customHeight="1">
      <c r="A111" s="18" t="inlineStr">
        <is>
          <t>D-1107</t>
        </is>
      </c>
      <c r="B111" s="19" t="inlineStr">
        <is>
          <t>Coop Pronto</t>
        </is>
      </c>
      <c r="C111" s="19" t="inlineStr">
        <is>
          <t>G. Schmid</t>
        </is>
      </c>
      <c r="D111" s="19" t="inlineStr">
        <is>
          <t>Wallis</t>
        </is>
      </c>
      <c r="E111" s="19" t="inlineStr">
        <is>
          <t>Tankstellen</t>
        </is>
      </c>
      <c r="F111" s="19" t="inlineStr">
        <is>
          <t>Full-Service Betrieb</t>
        </is>
      </c>
      <c r="G111" s="19" t="inlineStr">
        <is>
          <t>Angebot</t>
        </is>
      </c>
      <c r="H111" s="19" t="inlineStr">
        <is>
          <t>Niedrig</t>
        </is>
      </c>
      <c r="I111" s="20" t="n">
        <v>354000</v>
      </c>
      <c r="J111" s="21">
        <f>IFERROR(_xlfn.XLOOKUP(G111,Listen!$A$5:$A$10,Listen!$B$5:$B$10),VLOOKUP(G111,Listen!$A$5:$B$10,2,FALSE))</f>
        <v/>
      </c>
      <c r="K111" s="22">
        <f>I111*J111</f>
        <v/>
      </c>
      <c r="L111" s="23" t="n">
        <v>46102</v>
      </c>
      <c r="M111" s="23" t="n">
        <v>46279</v>
      </c>
      <c r="N111" s="24">
        <f>IF(OR(G111="Gewonnen",G111="Verloren"),"—",M111-TODAY())</f>
        <v/>
      </c>
      <c r="O111" s="19" t="inlineStr">
        <is>
          <t>S. Meier</t>
        </is>
      </c>
      <c r="P111" s="19" t="inlineStr">
        <is>
          <t>Referenz anbieten</t>
        </is>
      </c>
      <c r="Q111" s="25">
        <f>IF(G111="Gewonnen","✅",IF(G111="Verloren","⬛",IF(N111&lt;=14,"🔴",IF(N111&lt;=45,"🟡","🟢"))))</f>
        <v/>
      </c>
    </row>
    <row r="112" ht="20" customHeight="1">
      <c r="A112" s="26" t="inlineStr">
        <is>
          <t>D-1108</t>
        </is>
      </c>
      <c r="B112" s="27" t="inlineStr">
        <is>
          <t>Miniprix</t>
        </is>
      </c>
      <c r="C112" s="27" t="inlineStr">
        <is>
          <t>H. Moser</t>
        </is>
      </c>
      <c r="D112" s="27" t="inlineStr">
        <is>
          <t>Waadt</t>
        </is>
      </c>
      <c r="E112" s="27" t="inlineStr">
        <is>
          <t>Tankstellen</t>
        </is>
      </c>
      <c r="F112" s="27" t="inlineStr">
        <is>
          <t>Lastmanagement-System</t>
        </is>
      </c>
      <c r="G112" s="27" t="inlineStr">
        <is>
          <t>Verhandlung</t>
        </is>
      </c>
      <c r="H112" s="27" t="inlineStr">
        <is>
          <t>Hoch</t>
        </is>
      </c>
      <c r="I112" s="28" t="n">
        <v>613000</v>
      </c>
      <c r="J112" s="29">
        <f>IFERROR(_xlfn.XLOOKUP(G112,Listen!$A$5:$A$10,Listen!$B$5:$B$10),VLOOKUP(G112,Listen!$A$5:$B$10,2,FALSE))</f>
        <v/>
      </c>
      <c r="K112" s="30">
        <f>I112*J112</f>
        <v/>
      </c>
      <c r="L112" s="31" t="n">
        <v>46091</v>
      </c>
      <c r="M112" s="31" t="n">
        <v>46292</v>
      </c>
      <c r="N112" s="32">
        <f>IF(OR(G112="Gewonnen",G112="Verloren"),"—",M112-TODAY())</f>
        <v/>
      </c>
      <c r="O112" s="27" t="inlineStr">
        <is>
          <t>L. Rossi</t>
        </is>
      </c>
      <c r="P112" s="27" t="inlineStr">
        <is>
          <t>Vertrag vorbereiten</t>
        </is>
      </c>
      <c r="Q112" s="33">
        <f>IF(G112="Gewonnen","✅",IF(G112="Verloren","⬛",IF(N112&lt;=14,"🔴",IF(N112&lt;=45,"🟡","🟢"))))</f>
        <v/>
      </c>
    </row>
    <row r="113" ht="20" customHeight="1">
      <c r="A113" s="18" t="inlineStr">
        <is>
          <t>D-1109</t>
        </is>
      </c>
      <c r="B113" s="19" t="inlineStr">
        <is>
          <t>Piquerez SA</t>
        </is>
      </c>
      <c r="C113" s="19" t="inlineStr">
        <is>
          <t>J. Kern</t>
        </is>
      </c>
      <c r="D113" s="19" t="inlineStr">
        <is>
          <t>Aargau</t>
        </is>
      </c>
      <c r="E113" s="19" t="inlineStr">
        <is>
          <t>Tankstellen</t>
        </is>
      </c>
      <c r="F113" s="19" t="inlineStr">
        <is>
          <t>DC-HPC 150 kW</t>
        </is>
      </c>
      <c r="G113" s="19" t="inlineStr">
        <is>
          <t>Qualifiziert</t>
        </is>
      </c>
      <c r="H113" s="19" t="inlineStr">
        <is>
          <t>Mittel</t>
        </is>
      </c>
      <c r="I113" s="20" t="n">
        <v>207000</v>
      </c>
      <c r="J113" s="21">
        <f>IFERROR(_xlfn.XLOOKUP(G113,Listen!$A$5:$A$10,Listen!$B$5:$B$10),VLOOKUP(G113,Listen!$A$5:$B$10,2,FALSE))</f>
        <v/>
      </c>
      <c r="K113" s="22">
        <f>I113*J113</f>
        <v/>
      </c>
      <c r="L113" s="23" t="n">
        <v>46080</v>
      </c>
      <c r="M113" s="23" t="n">
        <v>46305</v>
      </c>
      <c r="N113" s="24">
        <f>IF(OR(G113="Gewonnen",G113="Verloren"),"—",M113-TODAY())</f>
        <v/>
      </c>
      <c r="O113" s="19" t="inlineStr">
        <is>
          <t>N. Keller</t>
        </is>
      </c>
      <c r="P113" s="19" t="inlineStr">
        <is>
          <t>Pilot definieren</t>
        </is>
      </c>
      <c r="Q113" s="25">
        <f>IF(G113="Gewonnen","✅",IF(G113="Verloren","⬛",IF(N113&lt;=14,"🔴",IF(N113&lt;=45,"🟡","🟢"))))</f>
        <v/>
      </c>
    </row>
    <row r="114" ht="20" customHeight="1">
      <c r="A114" s="26" t="inlineStr">
        <is>
          <t>D-1110</t>
        </is>
      </c>
      <c r="B114" s="27" t="inlineStr">
        <is>
          <t>AMAG Leasing</t>
        </is>
      </c>
      <c r="C114" s="27" t="inlineStr">
        <is>
          <t>K. Egli</t>
        </is>
      </c>
      <c r="D114" s="27" t="inlineStr">
        <is>
          <t>Luzern</t>
        </is>
      </c>
      <c r="E114" s="27" t="inlineStr">
        <is>
          <t>Flottenbetrieb</t>
        </is>
      </c>
      <c r="F114" s="27" t="inlineStr">
        <is>
          <t>DC-Schnelllader 60 kW</t>
        </is>
      </c>
      <c r="G114" s="27" t="inlineStr">
        <is>
          <t>Angebot</t>
        </is>
      </c>
      <c r="H114" s="27" t="inlineStr">
        <is>
          <t>Niedrig</t>
        </is>
      </c>
      <c r="I114" s="28" t="n">
        <v>466000</v>
      </c>
      <c r="J114" s="29">
        <f>IFERROR(_xlfn.XLOOKUP(G114,Listen!$A$5:$A$10,Listen!$B$5:$B$10),VLOOKUP(G114,Listen!$A$5:$B$10,2,FALSE))</f>
        <v/>
      </c>
      <c r="K114" s="30">
        <f>I114*J114</f>
        <v/>
      </c>
      <c r="L114" s="31" t="n">
        <v>46069</v>
      </c>
      <c r="M114" s="31" t="n">
        <v>46318</v>
      </c>
      <c r="N114" s="32">
        <f>IF(OR(G114="Gewonnen",G114="Verloren"),"—",M114-TODAY())</f>
        <v/>
      </c>
      <c r="O114" s="27" t="inlineStr">
        <is>
          <t>A. Favre</t>
        </is>
      </c>
      <c r="P114" s="27" t="inlineStr">
        <is>
          <t>Bedarf klären</t>
        </is>
      </c>
      <c r="Q114" s="33">
        <f>IF(G114="Gewonnen","✅",IF(G114="Verloren","⬛",IF(N114&lt;=14,"🔴",IF(N114&lt;=45,"🟡","🟢"))))</f>
        <v/>
      </c>
    </row>
    <row r="115" ht="20" customHeight="1">
      <c r="A115" s="18" t="inlineStr">
        <is>
          <t>D-1111</t>
        </is>
      </c>
      <c r="B115" s="19" t="inlineStr">
        <is>
          <t>Emil Frey Flotten</t>
        </is>
      </c>
      <c r="C115" s="19" t="inlineStr">
        <is>
          <t>L. Meier</t>
        </is>
      </c>
      <c r="D115" s="19" t="inlineStr">
        <is>
          <t>Bern</t>
        </is>
      </c>
      <c r="E115" s="19" t="inlineStr">
        <is>
          <t>Flottenbetrieb</t>
        </is>
      </c>
      <c r="F115" s="19" t="inlineStr">
        <is>
          <t>AC-Ladestation 22 kW</t>
        </is>
      </c>
      <c r="G115" s="19" t="inlineStr">
        <is>
          <t>Gewonnen</t>
        </is>
      </c>
      <c r="H115" s="19" t="inlineStr">
        <is>
          <t>Hoch</t>
        </is>
      </c>
      <c r="I115" s="20" t="n">
        <v>60000</v>
      </c>
      <c r="J115" s="21">
        <f>IFERROR(_xlfn.XLOOKUP(G115,Listen!$A$5:$A$10,Listen!$B$5:$B$10),VLOOKUP(G115,Listen!$A$5:$B$10,2,FALSE))</f>
        <v/>
      </c>
      <c r="K115" s="22">
        <f>I115*J115</f>
        <v/>
      </c>
      <c r="L115" s="23" t="n">
        <v>46058</v>
      </c>
      <c r="M115" s="23" t="n">
        <v>46174</v>
      </c>
      <c r="N115" s="24">
        <f>IF(OR(G115="Gewonnen",G115="Verloren"),"—",M115-TODAY())</f>
        <v/>
      </c>
      <c r="O115" s="19" t="inlineStr">
        <is>
          <t>Burak Ücöz</t>
        </is>
      </c>
      <c r="P115" s="19" t="inlineStr">
        <is>
          <t>Erstgespräch planen</t>
        </is>
      </c>
      <c r="Q115" s="25">
        <f>IF(G115="Gewonnen","✅",IF(G115="Verloren","⬛",IF(N115&lt;=14,"🔴",IF(N115&lt;=45,"🟡","🟢"))))</f>
        <v/>
      </c>
    </row>
    <row r="116" ht="20" customHeight="1">
      <c r="A116" s="26" t="inlineStr">
        <is>
          <t>D-1112</t>
        </is>
      </c>
      <c r="B116" s="27" t="inlineStr">
        <is>
          <t>Sixt Schweiz</t>
        </is>
      </c>
      <c r="C116" s="27" t="inlineStr">
        <is>
          <t>M. Huber</t>
        </is>
      </c>
      <c r="D116" s="27" t="inlineStr">
        <is>
          <t>Basel</t>
        </is>
      </c>
      <c r="E116" s="27" t="inlineStr">
        <is>
          <t>Flottenbetrieb</t>
        </is>
      </c>
      <c r="F116" s="27" t="inlineStr">
        <is>
          <t>PV + Speicher Kombi</t>
        </is>
      </c>
      <c r="G116" s="27" t="inlineStr">
        <is>
          <t>Lead</t>
        </is>
      </c>
      <c r="H116" s="27" t="inlineStr">
        <is>
          <t>Mittel</t>
        </is>
      </c>
      <c r="I116" s="28" t="n">
        <v>319000</v>
      </c>
      <c r="J116" s="29">
        <f>IFERROR(_xlfn.XLOOKUP(G116,Listen!$A$5:$A$10,Listen!$B$5:$B$10),VLOOKUP(G116,Listen!$A$5:$B$10,2,FALSE))</f>
        <v/>
      </c>
      <c r="K116" s="30">
        <f>I116*J116</f>
        <v/>
      </c>
      <c r="L116" s="31" t="n">
        <v>46047</v>
      </c>
      <c r="M116" s="31" t="n">
        <v>46344</v>
      </c>
      <c r="N116" s="32">
        <f>IF(OR(G116="Gewonnen",G116="Verloren"),"—",M116-TODAY())</f>
        <v/>
      </c>
      <c r="O116" s="27" t="inlineStr">
        <is>
          <t>S. Meier</t>
        </is>
      </c>
      <c r="P116" s="27" t="inlineStr">
        <is>
          <t>Angebot erstellen</t>
        </is>
      </c>
      <c r="Q116" s="33">
        <f>IF(G116="Gewonnen","✅",IF(G116="Verloren","⬛",IF(N116&lt;=14,"🔴",IF(N116&lt;=45,"🟡","🟢"))))</f>
        <v/>
      </c>
    </row>
    <row r="117" ht="20" customHeight="1">
      <c r="A117" s="18" t="inlineStr">
        <is>
          <t>D-1113</t>
        </is>
      </c>
      <c r="B117" s="19" t="inlineStr">
        <is>
          <t>Europcar Schweiz</t>
        </is>
      </c>
      <c r="C117" s="19" t="inlineStr">
        <is>
          <t>N. Rossi</t>
        </is>
      </c>
      <c r="D117" s="19" t="inlineStr">
        <is>
          <t>Tessin</t>
        </is>
      </c>
      <c r="E117" s="19" t="inlineStr">
        <is>
          <t>Flottenbetrieb</t>
        </is>
      </c>
      <c r="F117" s="19" t="inlineStr">
        <is>
          <t>Full-Service Betrieb</t>
        </is>
      </c>
      <c r="G117" s="19" t="inlineStr">
        <is>
          <t>Verhandlung</t>
        </is>
      </c>
      <c r="H117" s="19" t="inlineStr">
        <is>
          <t>Niedrig</t>
        </is>
      </c>
      <c r="I117" s="20" t="n">
        <v>578000</v>
      </c>
      <c r="J117" s="21">
        <f>IFERROR(_xlfn.XLOOKUP(G117,Listen!$A$5:$A$10,Listen!$B$5:$B$10),VLOOKUP(G117,Listen!$A$5:$B$10,2,FALSE))</f>
        <v/>
      </c>
      <c r="K117" s="22">
        <f>I117*J117</f>
        <v/>
      </c>
      <c r="L117" s="23" t="n">
        <v>46036</v>
      </c>
      <c r="M117" s="23" t="n">
        <v>46357</v>
      </c>
      <c r="N117" s="24">
        <f>IF(OR(G117="Gewonnen",G117="Verloren"),"—",M117-TODAY())</f>
        <v/>
      </c>
      <c r="O117" s="19" t="inlineStr">
        <is>
          <t>L. Rossi</t>
        </is>
      </c>
      <c r="P117" s="19" t="inlineStr">
        <is>
          <t>Angebot nachfassen</t>
        </is>
      </c>
      <c r="Q117" s="25">
        <f>IF(G117="Gewonnen","✅",IF(G117="Verloren","⬛",IF(N117&lt;=14,"🔴",IF(N117&lt;=45,"🟡","🟢"))))</f>
        <v/>
      </c>
    </row>
    <row r="118" ht="20" customHeight="1">
      <c r="A118" s="26" t="inlineStr">
        <is>
          <t>D-1114</t>
        </is>
      </c>
      <c r="B118" s="27" t="inlineStr">
        <is>
          <t>Hertz Schweiz</t>
        </is>
      </c>
      <c r="C118" s="27" t="inlineStr">
        <is>
          <t>P. Baumann</t>
        </is>
      </c>
      <c r="D118" s="27" t="inlineStr">
        <is>
          <t>Zürich</t>
        </is>
      </c>
      <c r="E118" s="27" t="inlineStr">
        <is>
          <t>Flottenbetrieb</t>
        </is>
      </c>
      <c r="F118" s="27" t="inlineStr">
        <is>
          <t>Lastmanagement-System</t>
        </is>
      </c>
      <c r="G118" s="27" t="inlineStr">
        <is>
          <t>Verloren</t>
        </is>
      </c>
      <c r="H118" s="27" t="inlineStr">
        <is>
          <t>Hoch</t>
        </is>
      </c>
      <c r="I118" s="28" t="n">
        <v>172000</v>
      </c>
      <c r="J118" s="29">
        <f>IFERROR(_xlfn.XLOOKUP(G118,Listen!$A$5:$A$10,Listen!$B$5:$B$10),VLOOKUP(G118,Listen!$A$5:$B$10,2,FALSE))</f>
        <v/>
      </c>
      <c r="K118" s="30">
        <f>I118*J118</f>
        <v/>
      </c>
      <c r="L118" s="31" t="n">
        <v>46195</v>
      </c>
      <c r="M118" s="31" t="n">
        <v>46153</v>
      </c>
      <c r="N118" s="32">
        <f>IF(OR(G118="Gewonnen",G118="Verloren"),"—",M118-TODAY())</f>
        <v/>
      </c>
      <c r="O118" s="27" t="inlineStr">
        <is>
          <t>N. Keller</t>
        </is>
      </c>
      <c r="P118" s="27" t="inlineStr">
        <is>
          <t>Standort-Audit terminieren</t>
        </is>
      </c>
      <c r="Q118" s="33">
        <f>IF(G118="Gewonnen","✅",IF(G118="Verloren","⬛",IF(N118&lt;=14,"🔴",IF(N118&lt;=45,"🟡","🟢"))))</f>
        <v/>
      </c>
    </row>
    <row r="119" ht="20" customHeight="1">
      <c r="A119" s="18" t="inlineStr">
        <is>
          <t>D-1115</t>
        </is>
      </c>
      <c r="B119" s="19" t="inlineStr">
        <is>
          <t>Carvolution</t>
        </is>
      </c>
      <c r="C119" s="19" t="inlineStr">
        <is>
          <t>R. Suter</t>
        </is>
      </c>
      <c r="D119" s="19" t="inlineStr">
        <is>
          <t>Genf</t>
        </is>
      </c>
      <c r="E119" s="19" t="inlineStr">
        <is>
          <t>Flottenbetrieb</t>
        </is>
      </c>
      <c r="F119" s="19" t="inlineStr">
        <is>
          <t>DC-HPC 150 kW</t>
        </is>
      </c>
      <c r="G119" s="19" t="inlineStr">
        <is>
          <t>Angebot</t>
        </is>
      </c>
      <c r="H119" s="19" t="inlineStr">
        <is>
          <t>Mittel</t>
        </is>
      </c>
      <c r="I119" s="20" t="n">
        <v>431000</v>
      </c>
      <c r="J119" s="21">
        <f>IFERROR(_xlfn.XLOOKUP(G119,Listen!$A$5:$A$10,Listen!$B$5:$B$10),VLOOKUP(G119,Listen!$A$5:$B$10,2,FALSE))</f>
        <v/>
      </c>
      <c r="K119" s="22">
        <f>I119*J119</f>
        <v/>
      </c>
      <c r="L119" s="23" t="n">
        <v>46184</v>
      </c>
      <c r="M119" s="23" t="n">
        <v>46233</v>
      </c>
      <c r="N119" s="24">
        <f>IF(OR(G119="Gewonnen",G119="Verloren"),"—",M119-TODAY())</f>
        <v/>
      </c>
      <c r="O119" s="19" t="inlineStr">
        <is>
          <t>A. Favre</t>
        </is>
      </c>
      <c r="P119" s="19" t="inlineStr">
        <is>
          <t>Entscheider treffen</t>
        </is>
      </c>
      <c r="Q119" s="25">
        <f>IF(G119="Gewonnen","✅",IF(G119="Verloren","⬛",IF(N119&lt;=14,"🔴",IF(N119&lt;=45,"🟡","🟢"))))</f>
        <v/>
      </c>
    </row>
    <row r="120" ht="20" customHeight="1">
      <c r="A120" s="26" t="inlineStr">
        <is>
          <t>D-1116</t>
        </is>
      </c>
      <c r="B120" s="27" t="inlineStr">
        <is>
          <t>Auto AG Group</t>
        </is>
      </c>
      <c r="C120" s="27" t="inlineStr">
        <is>
          <t>S. Wyss</t>
        </is>
      </c>
      <c r="D120" s="27" t="inlineStr">
        <is>
          <t>St. Gallen</t>
        </is>
      </c>
      <c r="E120" s="27" t="inlineStr">
        <is>
          <t>Flottenbetrieb</t>
        </is>
      </c>
      <c r="F120" s="27" t="inlineStr">
        <is>
          <t>DC-Schnelllader 60 kW</t>
        </is>
      </c>
      <c r="G120" s="27" t="inlineStr">
        <is>
          <t>Lead</t>
        </is>
      </c>
      <c r="H120" s="27" t="inlineStr">
        <is>
          <t>Niedrig</t>
        </is>
      </c>
      <c r="I120" s="28" t="n">
        <v>25000</v>
      </c>
      <c r="J120" s="29">
        <f>IFERROR(_xlfn.XLOOKUP(G120,Listen!$A$5:$A$10,Listen!$B$5:$B$10),VLOOKUP(G120,Listen!$A$5:$B$10,2,FALSE))</f>
        <v/>
      </c>
      <c r="K120" s="30">
        <f>I120*J120</f>
        <v/>
      </c>
      <c r="L120" s="31" t="n">
        <v>46173</v>
      </c>
      <c r="M120" s="31" t="n">
        <v>46246</v>
      </c>
      <c r="N120" s="32">
        <f>IF(OR(G120="Gewonnen",G120="Verloren"),"—",M120-TODAY())</f>
        <v/>
      </c>
      <c r="O120" s="27" t="inlineStr">
        <is>
          <t>Burak Ücöz</t>
        </is>
      </c>
      <c r="P120" s="27" t="inlineStr">
        <is>
          <t>Business-Case rechnen</t>
        </is>
      </c>
      <c r="Q120" s="33">
        <f>IF(G120="Gewonnen","✅",IF(G120="Verloren","⬛",IF(N120&lt;=14,"🔴",IF(N120&lt;=45,"🟡","🟢"))))</f>
        <v/>
      </c>
    </row>
    <row r="121" ht="20" customHeight="1">
      <c r="A121" s="18" t="inlineStr">
        <is>
          <t>D-1117</t>
        </is>
      </c>
      <c r="B121" s="19" t="inlineStr">
        <is>
          <t>Post CH Netz</t>
        </is>
      </c>
      <c r="C121" s="19" t="inlineStr">
        <is>
          <t>T. Schmid</t>
        </is>
      </c>
      <c r="D121" s="19" t="inlineStr">
        <is>
          <t>Wallis</t>
        </is>
      </c>
      <c r="E121" s="19" t="inlineStr">
        <is>
          <t>Flottenbetrieb</t>
        </is>
      </c>
      <c r="F121" s="19" t="inlineStr">
        <is>
          <t>AC-Ladestation 22 kW</t>
        </is>
      </c>
      <c r="G121" s="19" t="inlineStr">
        <is>
          <t>Lead</t>
        </is>
      </c>
      <c r="H121" s="19" t="inlineStr">
        <is>
          <t>Hoch</t>
        </is>
      </c>
      <c r="I121" s="20" t="n">
        <v>284000</v>
      </c>
      <c r="J121" s="21">
        <f>IFERROR(_xlfn.XLOOKUP(G121,Listen!$A$5:$A$10,Listen!$B$5:$B$10),VLOOKUP(G121,Listen!$A$5:$B$10,2,FALSE))</f>
        <v/>
      </c>
      <c r="K121" s="22">
        <f>I121*J121</f>
        <v/>
      </c>
      <c r="L121" s="23" t="n">
        <v>46162</v>
      </c>
      <c r="M121" s="23" t="n">
        <v>46259</v>
      </c>
      <c r="N121" s="24">
        <f>IF(OR(G121="Gewonnen",G121="Verloren"),"—",M121-TODAY())</f>
        <v/>
      </c>
      <c r="O121" s="19" t="inlineStr">
        <is>
          <t>S. Meier</t>
        </is>
      </c>
      <c r="P121" s="19" t="inlineStr">
        <is>
          <t>Referenz anbieten</t>
        </is>
      </c>
      <c r="Q121" s="25">
        <f>IF(G121="Gewonnen","✅",IF(G121="Verloren","⬛",IF(N121&lt;=14,"🔴",IF(N121&lt;=45,"🟡","🟢"))))</f>
        <v/>
      </c>
    </row>
    <row r="122" ht="20" customHeight="1">
      <c r="A122" s="26" t="inlineStr">
        <is>
          <t>D-1118</t>
        </is>
      </c>
      <c r="B122" s="27" t="inlineStr">
        <is>
          <t>Helvetia Fleet</t>
        </is>
      </c>
      <c r="C122" s="27" t="inlineStr">
        <is>
          <t>U. Moser</t>
        </is>
      </c>
      <c r="D122" s="27" t="inlineStr">
        <is>
          <t>Waadt</t>
        </is>
      </c>
      <c r="E122" s="27" t="inlineStr">
        <is>
          <t>Flottenbetrieb</t>
        </is>
      </c>
      <c r="F122" s="27" t="inlineStr">
        <is>
          <t>PV + Speicher Kombi</t>
        </is>
      </c>
      <c r="G122" s="27" t="inlineStr">
        <is>
          <t>Qualifiziert</t>
        </is>
      </c>
      <c r="H122" s="27" t="inlineStr">
        <is>
          <t>Mittel</t>
        </is>
      </c>
      <c r="I122" s="28" t="n">
        <v>543000</v>
      </c>
      <c r="J122" s="29">
        <f>IFERROR(_xlfn.XLOOKUP(G122,Listen!$A$5:$A$10,Listen!$B$5:$B$10),VLOOKUP(G122,Listen!$A$5:$B$10,2,FALSE))</f>
        <v/>
      </c>
      <c r="K122" s="30">
        <f>I122*J122</f>
        <v/>
      </c>
      <c r="L122" s="31" t="n">
        <v>46151</v>
      </c>
      <c r="M122" s="31" t="n">
        <v>46272</v>
      </c>
      <c r="N122" s="32">
        <f>IF(OR(G122="Gewonnen",G122="Verloren"),"—",M122-TODAY())</f>
        <v/>
      </c>
      <c r="O122" s="27" t="inlineStr">
        <is>
          <t>L. Rossi</t>
        </is>
      </c>
      <c r="P122" s="27" t="inlineStr">
        <is>
          <t>Vertrag vorbereiten</t>
        </is>
      </c>
      <c r="Q122" s="33">
        <f>IF(G122="Gewonnen","✅",IF(G122="Verloren","⬛",IF(N122&lt;=14,"🔴",IF(N122&lt;=45,"🟡","🟢"))))</f>
        <v/>
      </c>
    </row>
    <row r="123" ht="20" customHeight="1">
      <c r="A123" s="18" t="inlineStr">
        <is>
          <t>D-1119</t>
        </is>
      </c>
      <c r="B123" s="19" t="inlineStr">
        <is>
          <t>Bring! Logistik</t>
        </is>
      </c>
      <c r="C123" s="19" t="inlineStr">
        <is>
          <t>V. Kern</t>
        </is>
      </c>
      <c r="D123" s="19" t="inlineStr">
        <is>
          <t>Aargau</t>
        </is>
      </c>
      <c r="E123" s="19" t="inlineStr">
        <is>
          <t>Flottenbetrieb</t>
        </is>
      </c>
      <c r="F123" s="19" t="inlineStr">
        <is>
          <t>Full-Service Betrieb</t>
        </is>
      </c>
      <c r="G123" s="19" t="inlineStr">
        <is>
          <t>Angebot</t>
        </is>
      </c>
      <c r="H123" s="19" t="inlineStr">
        <is>
          <t>Niedrig</t>
        </is>
      </c>
      <c r="I123" s="20" t="n">
        <v>137000</v>
      </c>
      <c r="J123" s="21">
        <f>IFERROR(_xlfn.XLOOKUP(G123,Listen!$A$5:$A$10,Listen!$B$5:$B$10),VLOOKUP(G123,Listen!$A$5:$B$10,2,FALSE))</f>
        <v/>
      </c>
      <c r="K123" s="22">
        <f>I123*J123</f>
        <v/>
      </c>
      <c r="L123" s="23" t="n">
        <v>46140</v>
      </c>
      <c r="M123" s="23" t="n">
        <v>46285</v>
      </c>
      <c r="N123" s="24">
        <f>IF(OR(G123="Gewonnen",G123="Verloren"),"—",M123-TODAY())</f>
        <v/>
      </c>
      <c r="O123" s="19" t="inlineStr">
        <is>
          <t>N. Keller</t>
        </is>
      </c>
      <c r="P123" s="19" t="inlineStr">
        <is>
          <t>Pilot definieren</t>
        </is>
      </c>
      <c r="Q123" s="25">
        <f>IF(G123="Gewonnen","✅",IF(G123="Verloren","⬛",IF(N123&lt;=14,"🔴",IF(N123&lt;=45,"🟡","🟢"))))</f>
        <v/>
      </c>
    </row>
    <row r="124" ht="20" customHeight="1">
      <c r="A124" s="26" t="inlineStr">
        <is>
          <t>D-1120</t>
        </is>
      </c>
      <c r="B124" s="27" t="inlineStr">
        <is>
          <t>Mobility Carsharing</t>
        </is>
      </c>
      <c r="C124" s="27" t="inlineStr">
        <is>
          <t>W. Egli</t>
        </is>
      </c>
      <c r="D124" s="27" t="inlineStr">
        <is>
          <t>Luzern</t>
        </is>
      </c>
      <c r="E124" s="27" t="inlineStr">
        <is>
          <t>Flottenbetrieb</t>
        </is>
      </c>
      <c r="F124" s="27" t="inlineStr">
        <is>
          <t>Lastmanagement-System</t>
        </is>
      </c>
      <c r="G124" s="27" t="inlineStr">
        <is>
          <t>Verhandlung</t>
        </is>
      </c>
      <c r="H124" s="27" t="inlineStr">
        <is>
          <t>Hoch</t>
        </is>
      </c>
      <c r="I124" s="28" t="n">
        <v>396000</v>
      </c>
      <c r="J124" s="29">
        <f>IFERROR(_xlfn.XLOOKUP(G124,Listen!$A$5:$A$10,Listen!$B$5:$B$10),VLOOKUP(G124,Listen!$A$5:$B$10,2,FALSE))</f>
        <v/>
      </c>
      <c r="K124" s="30">
        <f>I124*J124</f>
        <v/>
      </c>
      <c r="L124" s="31" t="n">
        <v>46129</v>
      </c>
      <c r="M124" s="31" t="n">
        <v>46298</v>
      </c>
      <c r="N124" s="32">
        <f>IF(OR(G124="Gewonnen",G124="Verloren"),"—",M124-TODAY())</f>
        <v/>
      </c>
      <c r="O124" s="27" t="inlineStr">
        <is>
          <t>A. Favre</t>
        </is>
      </c>
      <c r="P124" s="27" t="inlineStr">
        <is>
          <t>Bedarf klären</t>
        </is>
      </c>
      <c r="Q124" s="33">
        <f>IF(G124="Gewonnen","✅",IF(G124="Verloren","⬛",IF(N124&lt;=14,"🔴",IF(N124&lt;=45,"🟡","🟢"))))</f>
        <v/>
      </c>
    </row>
    <row r="125" ht="20" customHeight="1">
      <c r="A125" s="18" t="inlineStr">
        <is>
          <t>D-1121</t>
        </is>
      </c>
      <c r="B125" s="19" t="inlineStr">
        <is>
          <t>Stadtwerke Graf Zürich</t>
        </is>
      </c>
      <c r="C125" s="19" t="inlineStr">
        <is>
          <t>A. Meier</t>
        </is>
      </c>
      <c r="D125" s="19" t="inlineStr">
        <is>
          <t>Bern</t>
        </is>
      </c>
      <c r="E125" s="19" t="inlineStr">
        <is>
          <t>Öffentliche Hand</t>
        </is>
      </c>
      <c r="F125" s="19" t="inlineStr">
        <is>
          <t>DC-HPC 150 kW</t>
        </is>
      </c>
      <c r="G125" s="19" t="inlineStr">
        <is>
          <t>Qualifiziert</t>
        </is>
      </c>
      <c r="H125" s="19" t="inlineStr">
        <is>
          <t>Mittel</t>
        </is>
      </c>
      <c r="I125" s="20" t="n">
        <v>655000</v>
      </c>
      <c r="J125" s="21">
        <f>IFERROR(_xlfn.XLOOKUP(G125,Listen!$A$5:$A$10,Listen!$B$5:$B$10),VLOOKUP(G125,Listen!$A$5:$B$10,2,FALSE))</f>
        <v/>
      </c>
      <c r="K125" s="22">
        <f>I125*J125</f>
        <v/>
      </c>
      <c r="L125" s="23" t="n">
        <v>46118</v>
      </c>
      <c r="M125" s="23" t="n">
        <v>46311</v>
      </c>
      <c r="N125" s="24">
        <f>IF(OR(G125="Gewonnen",G125="Verloren"),"—",M125-TODAY())</f>
        <v/>
      </c>
      <c r="O125" s="19" t="inlineStr">
        <is>
          <t>Burak Ücöz</t>
        </is>
      </c>
      <c r="P125" s="19" t="inlineStr">
        <is>
          <t>Erstgespräch planen</t>
        </is>
      </c>
      <c r="Q125" s="25">
        <f>IF(G125="Gewonnen","✅",IF(G125="Verloren","⬛",IF(N125&lt;=14,"🔴",IF(N125&lt;=45,"🟡","🟢"))))</f>
        <v/>
      </c>
    </row>
    <row r="126" ht="20" customHeight="1">
      <c r="A126" s="26" t="inlineStr">
        <is>
          <t>D-1122</t>
        </is>
      </c>
      <c r="B126" s="27" t="inlineStr">
        <is>
          <t>Industrie Gerber Genf</t>
        </is>
      </c>
      <c r="C126" s="27" t="inlineStr">
        <is>
          <t>B. Huber</t>
        </is>
      </c>
      <c r="D126" s="27" t="inlineStr">
        <is>
          <t>Basel</t>
        </is>
      </c>
      <c r="E126" s="27" t="inlineStr">
        <is>
          <t>Industrie</t>
        </is>
      </c>
      <c r="F126" s="27" t="inlineStr">
        <is>
          <t>DC-Schnelllader 60 kW</t>
        </is>
      </c>
      <c r="G126" s="27" t="inlineStr">
        <is>
          <t>Angebot</t>
        </is>
      </c>
      <c r="H126" s="27" t="inlineStr">
        <is>
          <t>Niedrig</t>
        </is>
      </c>
      <c r="I126" s="28" t="n">
        <v>249000</v>
      </c>
      <c r="J126" s="29">
        <f>IFERROR(_xlfn.XLOOKUP(G126,Listen!$A$5:$A$10,Listen!$B$5:$B$10),VLOOKUP(G126,Listen!$A$5:$B$10,2,FALSE))</f>
        <v/>
      </c>
      <c r="K126" s="30">
        <f>I126*J126</f>
        <v/>
      </c>
      <c r="L126" s="31" t="n">
        <v>46107</v>
      </c>
      <c r="M126" s="31" t="n">
        <v>46324</v>
      </c>
      <c r="N126" s="32">
        <f>IF(OR(G126="Gewonnen",G126="Verloren"),"—",M126-TODAY())</f>
        <v/>
      </c>
      <c r="O126" s="27" t="inlineStr">
        <is>
          <t>S. Meier</t>
        </is>
      </c>
      <c r="P126" s="27" t="inlineStr">
        <is>
          <t>Angebot erstellen</t>
        </is>
      </c>
      <c r="Q126" s="33">
        <f>IF(G126="Gewonnen","✅",IF(G126="Verloren","⬛",IF(N126&lt;=14,"🔴",IF(N126&lt;=45,"🟡","🟢"))))</f>
        <v/>
      </c>
    </row>
    <row r="127" ht="20" customHeight="1">
      <c r="A127" s="18" t="inlineStr">
        <is>
          <t>D-1123</t>
        </is>
      </c>
      <c r="B127" s="19" t="inlineStr">
        <is>
          <t>Garage Rossi Aarau</t>
        </is>
      </c>
      <c r="C127" s="19" t="inlineStr">
        <is>
          <t>C. Rossi</t>
        </is>
      </c>
      <c r="D127" s="19" t="inlineStr">
        <is>
          <t>Tessin</t>
        </is>
      </c>
      <c r="E127" s="19" t="inlineStr">
        <is>
          <t>Tankstellen</t>
        </is>
      </c>
      <c r="F127" s="19" t="inlineStr">
        <is>
          <t>AC-Ladestation 22 kW</t>
        </is>
      </c>
      <c r="G127" s="19" t="inlineStr">
        <is>
          <t>Gewonnen</t>
        </is>
      </c>
      <c r="H127" s="19" t="inlineStr">
        <is>
          <t>Hoch</t>
        </is>
      </c>
      <c r="I127" s="20" t="n">
        <v>508000</v>
      </c>
      <c r="J127" s="21">
        <f>IFERROR(_xlfn.XLOOKUP(G127,Listen!$A$5:$A$10,Listen!$B$5:$B$10),VLOOKUP(G127,Listen!$A$5:$B$10,2,FALSE))</f>
        <v/>
      </c>
      <c r="K127" s="22">
        <f>I127*J127</f>
        <v/>
      </c>
      <c r="L127" s="23" t="n">
        <v>46096</v>
      </c>
      <c r="M127" s="23" t="n">
        <v>46150</v>
      </c>
      <c r="N127" s="24">
        <f>IF(OR(G127="Gewonnen",G127="Verloren"),"—",M127-TODAY())</f>
        <v/>
      </c>
      <c r="O127" s="19" t="inlineStr">
        <is>
          <t>L. Rossi</t>
        </is>
      </c>
      <c r="P127" s="19" t="inlineStr">
        <is>
          <t>Angebot nachfassen</t>
        </is>
      </c>
      <c r="Q127" s="25">
        <f>IF(G127="Gewonnen","✅",IF(G127="Verloren","⬛",IF(N127&lt;=14,"🔴",IF(N127&lt;=45,"🟡","🟢"))))</f>
        <v/>
      </c>
    </row>
    <row r="128" ht="20" customHeight="1">
      <c r="A128" s="26" t="inlineStr">
        <is>
          <t>D-1124</t>
        </is>
      </c>
      <c r="B128" s="27" t="inlineStr">
        <is>
          <t>Fuhrpark Amrein Winterthur</t>
        </is>
      </c>
      <c r="C128" s="27" t="inlineStr">
        <is>
          <t>D. Baumann</t>
        </is>
      </c>
      <c r="D128" s="27" t="inlineStr">
        <is>
          <t>Zürich</t>
        </is>
      </c>
      <c r="E128" s="27" t="inlineStr">
        <is>
          <t>Flottenbetrieb</t>
        </is>
      </c>
      <c r="F128" s="27" t="inlineStr">
        <is>
          <t>PV + Speicher Kombi</t>
        </is>
      </c>
      <c r="G128" s="27" t="inlineStr">
        <is>
          <t>Lead</t>
        </is>
      </c>
      <c r="H128" s="27" t="inlineStr">
        <is>
          <t>Mittel</t>
        </is>
      </c>
      <c r="I128" s="28" t="n">
        <v>102000</v>
      </c>
      <c r="J128" s="29">
        <f>IFERROR(_xlfn.XLOOKUP(G128,Listen!$A$5:$A$10,Listen!$B$5:$B$10),VLOOKUP(G128,Listen!$A$5:$B$10,2,FALSE))</f>
        <v/>
      </c>
      <c r="K128" s="30">
        <f>I128*J128</f>
        <v/>
      </c>
      <c r="L128" s="31" t="n">
        <v>46085</v>
      </c>
      <c r="M128" s="31" t="n">
        <v>46350</v>
      </c>
      <c r="N128" s="32">
        <f>IF(OR(G128="Gewonnen",G128="Verloren"),"—",M128-TODAY())</f>
        <v/>
      </c>
      <c r="O128" s="27" t="inlineStr">
        <is>
          <t>N. Keller</t>
        </is>
      </c>
      <c r="P128" s="27" t="inlineStr">
        <is>
          <t>Standort-Audit terminieren</t>
        </is>
      </c>
      <c r="Q128" s="33">
        <f>IF(G128="Gewonnen","✅",IF(G128="Verloren","⬛",IF(N128&lt;=14,"🔴",IF(N128&lt;=45,"🟡","🟢"))))</f>
        <v/>
      </c>
    </row>
    <row r="129" ht="20" customHeight="1">
      <c r="A129" s="18" t="inlineStr">
        <is>
          <t>D-1125</t>
        </is>
      </c>
      <c r="B129" s="19" t="inlineStr">
        <is>
          <t>Center Keller Lausanne</t>
        </is>
      </c>
      <c r="C129" s="19" t="inlineStr">
        <is>
          <t>E. Suter</t>
        </is>
      </c>
      <c r="D129" s="19" t="inlineStr">
        <is>
          <t>Genf</t>
        </is>
      </c>
      <c r="E129" s="19" t="inlineStr">
        <is>
          <t>Detailhandel</t>
        </is>
      </c>
      <c r="F129" s="19" t="inlineStr">
        <is>
          <t>Full-Service Betrieb</t>
        </is>
      </c>
      <c r="G129" s="19" t="inlineStr">
        <is>
          <t>Verhandlung</t>
        </is>
      </c>
      <c r="H129" s="19" t="inlineStr">
        <is>
          <t>Niedrig</t>
        </is>
      </c>
      <c r="I129" s="20" t="n">
        <v>361000</v>
      </c>
      <c r="J129" s="21">
        <f>IFERROR(_xlfn.XLOOKUP(G129,Listen!$A$5:$A$10,Listen!$B$5:$B$10),VLOOKUP(G129,Listen!$A$5:$B$10,2,FALSE))</f>
        <v/>
      </c>
      <c r="K129" s="22">
        <f>I129*J129</f>
        <v/>
      </c>
      <c r="L129" s="23" t="n">
        <v>46074</v>
      </c>
      <c r="M129" s="23" t="n">
        <v>46213</v>
      </c>
      <c r="N129" s="24">
        <f>IF(OR(G129="Gewonnen",G129="Verloren"),"—",M129-TODAY())</f>
        <v/>
      </c>
      <c r="O129" s="19" t="inlineStr">
        <is>
          <t>A. Favre</t>
        </is>
      </c>
      <c r="P129" s="19" t="inlineStr">
        <is>
          <t>Entscheider treffen</t>
        </is>
      </c>
      <c r="Q129" s="25">
        <f>IF(G129="Gewonnen","✅",IF(G129="Verloren","⬛",IF(N129&lt;=14,"🔴",IF(N129&lt;=45,"🟡","🟢"))))</f>
        <v/>
      </c>
    </row>
    <row r="130" ht="20" customHeight="1">
      <c r="A130" s="26" t="inlineStr">
        <is>
          <t>D-1126</t>
        </is>
      </c>
      <c r="B130" s="27" t="inlineStr">
        <is>
          <t>Spedition Wyss Zug</t>
        </is>
      </c>
      <c r="C130" s="27" t="inlineStr">
        <is>
          <t>F. Wyss</t>
        </is>
      </c>
      <c r="D130" s="27" t="inlineStr">
        <is>
          <t>St. Gallen</t>
        </is>
      </c>
      <c r="E130" s="27" t="inlineStr">
        <is>
          <t>Logistik</t>
        </is>
      </c>
      <c r="F130" s="27" t="inlineStr">
        <is>
          <t>Lastmanagement-System</t>
        </is>
      </c>
      <c r="G130" s="27" t="inlineStr">
        <is>
          <t>Verloren</t>
        </is>
      </c>
      <c r="H130" s="27" t="inlineStr">
        <is>
          <t>Hoch</t>
        </is>
      </c>
      <c r="I130" s="28" t="n">
        <v>620000</v>
      </c>
      <c r="J130" s="29">
        <f>IFERROR(_xlfn.XLOOKUP(G130,Listen!$A$5:$A$10,Listen!$B$5:$B$10),VLOOKUP(G130,Listen!$A$5:$B$10,2,FALSE))</f>
        <v/>
      </c>
      <c r="K130" s="30">
        <f>I130*J130</f>
        <v/>
      </c>
      <c r="L130" s="31" t="n">
        <v>46063</v>
      </c>
      <c r="M130" s="31" t="n">
        <v>46189</v>
      </c>
      <c r="N130" s="32">
        <f>IF(OR(G130="Gewonnen",G130="Verloren"),"—",M130-TODAY())</f>
        <v/>
      </c>
      <c r="O130" s="27" t="inlineStr">
        <is>
          <t>Burak Ücöz</t>
        </is>
      </c>
      <c r="P130" s="27" t="inlineStr">
        <is>
          <t>Business-Case rechnen</t>
        </is>
      </c>
      <c r="Q130" s="33">
        <f>IF(G130="Gewonnen","✅",IF(G130="Verloren","⬛",IF(N130&lt;=14,"🔴",IF(N130&lt;=45,"🟡","🟢"))))</f>
        <v/>
      </c>
    </row>
    <row r="131" ht="20" customHeight="1">
      <c r="A131" s="18" t="inlineStr">
        <is>
          <t>D-1127</t>
        </is>
      </c>
      <c r="B131" s="19" t="inlineStr">
        <is>
          <t>Areal Hofer Bern</t>
        </is>
      </c>
      <c r="C131" s="19" t="inlineStr">
        <is>
          <t>G. Schmid</t>
        </is>
      </c>
      <c r="D131" s="19" t="inlineStr">
        <is>
          <t>Wallis</t>
        </is>
      </c>
      <c r="E131" s="19" t="inlineStr">
        <is>
          <t>Immobilien</t>
        </is>
      </c>
      <c r="F131" s="19" t="inlineStr">
        <is>
          <t>DC-HPC 150 kW</t>
        </is>
      </c>
      <c r="G131" s="19" t="inlineStr">
        <is>
          <t>Angebot</t>
        </is>
      </c>
      <c r="H131" s="19" t="inlineStr">
        <is>
          <t>Mittel</t>
        </is>
      </c>
      <c r="I131" s="20" t="n">
        <v>214000</v>
      </c>
      <c r="J131" s="21">
        <f>IFERROR(_xlfn.XLOOKUP(G131,Listen!$A$5:$A$10,Listen!$B$5:$B$10),VLOOKUP(G131,Listen!$A$5:$B$10,2,FALSE))</f>
        <v/>
      </c>
      <c r="K131" s="22">
        <f>I131*J131</f>
        <v/>
      </c>
      <c r="L131" s="23" t="n">
        <v>46052</v>
      </c>
      <c r="M131" s="23" t="n">
        <v>46239</v>
      </c>
      <c r="N131" s="24">
        <f>IF(OR(G131="Gewonnen",G131="Verloren"),"—",M131-TODAY())</f>
        <v/>
      </c>
      <c r="O131" s="19" t="inlineStr">
        <is>
          <t>S. Meier</t>
        </is>
      </c>
      <c r="P131" s="19" t="inlineStr">
        <is>
          <t>Referenz anbieten</t>
        </is>
      </c>
      <c r="Q131" s="25">
        <f>IF(G131="Gewonnen","✅",IF(G131="Verloren","⬛",IF(N131&lt;=14,"🔴",IF(N131&lt;=45,"🟡","🟢"))))</f>
        <v/>
      </c>
    </row>
    <row r="132" ht="20" customHeight="1">
      <c r="A132" s="26" t="inlineStr">
        <is>
          <t>D-1128</t>
        </is>
      </c>
      <c r="B132" s="27" t="inlineStr">
        <is>
          <t>Resort Roth Lugano</t>
        </is>
      </c>
      <c r="C132" s="27" t="inlineStr">
        <is>
          <t>H. Moser</t>
        </is>
      </c>
      <c r="D132" s="27" t="inlineStr">
        <is>
          <t>Waadt</t>
        </is>
      </c>
      <c r="E132" s="27" t="inlineStr">
        <is>
          <t>Hotellerie</t>
        </is>
      </c>
      <c r="F132" s="27" t="inlineStr">
        <is>
          <t>DC-Schnelllader 60 kW</t>
        </is>
      </c>
      <c r="G132" s="27" t="inlineStr">
        <is>
          <t>Lead</t>
        </is>
      </c>
      <c r="H132" s="27" t="inlineStr">
        <is>
          <t>Niedrig</t>
        </is>
      </c>
      <c r="I132" s="28" t="n">
        <v>473000</v>
      </c>
      <c r="J132" s="29">
        <f>IFERROR(_xlfn.XLOOKUP(G132,Listen!$A$5:$A$10,Listen!$B$5:$B$10),VLOOKUP(G132,Listen!$A$5:$B$10,2,FALSE))</f>
        <v/>
      </c>
      <c r="K132" s="30">
        <f>I132*J132</f>
        <v/>
      </c>
      <c r="L132" s="31" t="n">
        <v>46041</v>
      </c>
      <c r="M132" s="31" t="n">
        <v>46252</v>
      </c>
      <c r="N132" s="32">
        <f>IF(OR(G132="Gewonnen",G132="Verloren"),"—",M132-TODAY())</f>
        <v/>
      </c>
      <c r="O132" s="27" t="inlineStr">
        <is>
          <t>L. Rossi</t>
        </is>
      </c>
      <c r="P132" s="27" t="inlineStr">
        <is>
          <t>Vertrag vorbereiten</t>
        </is>
      </c>
      <c r="Q132" s="33">
        <f>IF(G132="Gewonnen","✅",IF(G132="Verloren","⬛",IF(N132&lt;=14,"🔴",IF(N132&lt;=45,"🟡","🟢"))))</f>
        <v/>
      </c>
    </row>
    <row r="133" ht="20" customHeight="1">
      <c r="A133" s="18" t="inlineStr">
        <is>
          <t>D-1129</t>
        </is>
      </c>
      <c r="B133" s="19" t="inlineStr">
        <is>
          <t>Stadtwerke Kern Baden</t>
        </is>
      </c>
      <c r="C133" s="19" t="inlineStr">
        <is>
          <t>J. Kern</t>
        </is>
      </c>
      <c r="D133" s="19" t="inlineStr">
        <is>
          <t>Aargau</t>
        </is>
      </c>
      <c r="E133" s="19" t="inlineStr">
        <is>
          <t>Öffentliche Hand</t>
        </is>
      </c>
      <c r="F133" s="19" t="inlineStr">
        <is>
          <t>AC-Ladestation 22 kW</t>
        </is>
      </c>
      <c r="G133" s="19" t="inlineStr">
        <is>
          <t>Lead</t>
        </is>
      </c>
      <c r="H133" s="19" t="inlineStr">
        <is>
          <t>Hoch</t>
        </is>
      </c>
      <c r="I133" s="20" t="n">
        <v>67000</v>
      </c>
      <c r="J133" s="21">
        <f>IFERROR(_xlfn.XLOOKUP(G133,Listen!$A$5:$A$10,Listen!$B$5:$B$10),VLOOKUP(G133,Listen!$A$5:$B$10,2,FALSE))</f>
        <v/>
      </c>
      <c r="K133" s="22">
        <f>I133*J133</f>
        <v/>
      </c>
      <c r="L133" s="23" t="n">
        <v>46030</v>
      </c>
      <c r="M133" s="23" t="n">
        <v>46265</v>
      </c>
      <c r="N133" s="24">
        <f>IF(OR(G133="Gewonnen",G133="Verloren"),"—",M133-TODAY())</f>
        <v/>
      </c>
      <c r="O133" s="19" t="inlineStr">
        <is>
          <t>N. Keller</t>
        </is>
      </c>
      <c r="P133" s="19" t="inlineStr">
        <is>
          <t>Pilot definieren</t>
        </is>
      </c>
      <c r="Q133" s="25">
        <f>IF(G133="Gewonnen","✅",IF(G133="Verloren","⬛",IF(N133&lt;=14,"🔴",IF(N133&lt;=45,"🟡","🟢"))))</f>
        <v/>
      </c>
    </row>
    <row r="134" ht="20" customHeight="1">
      <c r="A134" s="26" t="inlineStr">
        <is>
          <t>D-1130</t>
        </is>
      </c>
      <c r="B134" s="27" t="inlineStr">
        <is>
          <t>Industrie Favre Thun</t>
        </is>
      </c>
      <c r="C134" s="27" t="inlineStr">
        <is>
          <t>K. Egli</t>
        </is>
      </c>
      <c r="D134" s="27" t="inlineStr">
        <is>
          <t>Luzern</t>
        </is>
      </c>
      <c r="E134" s="27" t="inlineStr">
        <is>
          <t>Industrie</t>
        </is>
      </c>
      <c r="F134" s="27" t="inlineStr">
        <is>
          <t>PV + Speicher Kombi</t>
        </is>
      </c>
      <c r="G134" s="27" t="inlineStr">
        <is>
          <t>Qualifiziert</t>
        </is>
      </c>
      <c r="H134" s="27" t="inlineStr">
        <is>
          <t>Mittel</t>
        </is>
      </c>
      <c r="I134" s="28" t="n">
        <v>326000</v>
      </c>
      <c r="J134" s="29">
        <f>IFERROR(_xlfn.XLOOKUP(G134,Listen!$A$5:$A$10,Listen!$B$5:$B$10),VLOOKUP(G134,Listen!$A$5:$B$10,2,FALSE))</f>
        <v/>
      </c>
      <c r="K134" s="30">
        <f>I134*J134</f>
        <v/>
      </c>
      <c r="L134" s="31" t="n">
        <v>46189</v>
      </c>
      <c r="M134" s="31" t="n">
        <v>46278</v>
      </c>
      <c r="N134" s="32">
        <f>IF(OR(G134="Gewonnen",G134="Verloren"),"—",M134-TODAY())</f>
        <v/>
      </c>
      <c r="O134" s="27" t="inlineStr">
        <is>
          <t>A. Favre</t>
        </is>
      </c>
      <c r="P134" s="27" t="inlineStr">
        <is>
          <t>Bedarf klären</t>
        </is>
      </c>
      <c r="Q134" s="33">
        <f>IF(G134="Gewonnen","✅",IF(G134="Verloren","⬛",IF(N134&lt;=14,"🔴",IF(N134&lt;=45,"🟡","🟢"))))</f>
        <v/>
      </c>
    </row>
    <row r="135" ht="20" customHeight="1">
      <c r="A135" s="18" t="inlineStr">
        <is>
          <t>D-1131</t>
        </is>
      </c>
      <c r="B135" s="19" t="inlineStr">
        <is>
          <t>Garage Bianchi Chur</t>
        </is>
      </c>
      <c r="C135" s="19" t="inlineStr">
        <is>
          <t>L. Meier</t>
        </is>
      </c>
      <c r="D135" s="19" t="inlineStr">
        <is>
          <t>Bern</t>
        </is>
      </c>
      <c r="E135" s="19" t="inlineStr">
        <is>
          <t>Tankstellen</t>
        </is>
      </c>
      <c r="F135" s="19" t="inlineStr">
        <is>
          <t>Full-Service Betrieb</t>
        </is>
      </c>
      <c r="G135" s="19" t="inlineStr">
        <is>
          <t>Angebot</t>
        </is>
      </c>
      <c r="H135" s="19" t="inlineStr">
        <is>
          <t>Niedrig</t>
        </is>
      </c>
      <c r="I135" s="20" t="n">
        <v>585000</v>
      </c>
      <c r="J135" s="21">
        <f>IFERROR(_xlfn.XLOOKUP(G135,Listen!$A$5:$A$10,Listen!$B$5:$B$10),VLOOKUP(G135,Listen!$A$5:$B$10,2,FALSE))</f>
        <v/>
      </c>
      <c r="K135" s="22">
        <f>I135*J135</f>
        <v/>
      </c>
      <c r="L135" s="23" t="n">
        <v>46178</v>
      </c>
      <c r="M135" s="23" t="n">
        <v>46291</v>
      </c>
      <c r="N135" s="24">
        <f>IF(OR(G135="Gewonnen",G135="Verloren"),"—",M135-TODAY())</f>
        <v/>
      </c>
      <c r="O135" s="19" t="inlineStr">
        <is>
          <t>Burak Ücöz</t>
        </is>
      </c>
      <c r="P135" s="19" t="inlineStr">
        <is>
          <t>Erstgespräch planen</t>
        </is>
      </c>
      <c r="Q135" s="25">
        <f>IF(G135="Gewonnen","✅",IF(G135="Verloren","⬛",IF(N135&lt;=14,"🔴",IF(N135&lt;=45,"🟡","🟢"))))</f>
        <v/>
      </c>
    </row>
    <row r="136" ht="20" customHeight="1">
      <c r="A136" s="26" t="inlineStr">
        <is>
          <t>D-1132</t>
        </is>
      </c>
      <c r="B136" s="27" t="inlineStr">
        <is>
          <t>Fuhrpark Huber Olten</t>
        </is>
      </c>
      <c r="C136" s="27" t="inlineStr">
        <is>
          <t>M. Huber</t>
        </is>
      </c>
      <c r="D136" s="27" t="inlineStr">
        <is>
          <t>Basel</t>
        </is>
      </c>
      <c r="E136" s="27" t="inlineStr">
        <is>
          <t>Flottenbetrieb</t>
        </is>
      </c>
      <c r="F136" s="27" t="inlineStr">
        <is>
          <t>Lastmanagement-System</t>
        </is>
      </c>
      <c r="G136" s="27" t="inlineStr">
        <is>
          <t>Verhandlung</t>
        </is>
      </c>
      <c r="H136" s="27" t="inlineStr">
        <is>
          <t>Hoch</t>
        </is>
      </c>
      <c r="I136" s="28" t="n">
        <v>179000</v>
      </c>
      <c r="J136" s="29">
        <f>IFERROR(_xlfn.XLOOKUP(G136,Listen!$A$5:$A$10,Listen!$B$5:$B$10),VLOOKUP(G136,Listen!$A$5:$B$10,2,FALSE))</f>
        <v/>
      </c>
      <c r="K136" s="30">
        <f>I136*J136</f>
        <v/>
      </c>
      <c r="L136" s="31" t="n">
        <v>46167</v>
      </c>
      <c r="M136" s="31" t="n">
        <v>46304</v>
      </c>
      <c r="N136" s="32">
        <f>IF(OR(G136="Gewonnen",G136="Verloren"),"—",M136-TODAY())</f>
        <v/>
      </c>
      <c r="O136" s="27" t="inlineStr">
        <is>
          <t>S. Meier</t>
        </is>
      </c>
      <c r="P136" s="27" t="inlineStr">
        <is>
          <t>Angebot erstellen</t>
        </is>
      </c>
      <c r="Q136" s="33">
        <f>IF(G136="Gewonnen","✅",IF(G136="Verloren","⬛",IF(N136&lt;=14,"🔴",IF(N136&lt;=45,"🟡","🟢"))))</f>
        <v/>
      </c>
    </row>
    <row r="137" ht="20" customHeight="1">
      <c r="A137" s="18" t="inlineStr">
        <is>
          <t>D-1133</t>
        </is>
      </c>
      <c r="B137" s="19" t="inlineStr">
        <is>
          <t>Center Fischer Basel</t>
        </is>
      </c>
      <c r="C137" s="19" t="inlineStr">
        <is>
          <t>N. Rossi</t>
        </is>
      </c>
      <c r="D137" s="19" t="inlineStr">
        <is>
          <t>Tessin</t>
        </is>
      </c>
      <c r="E137" s="19" t="inlineStr">
        <is>
          <t>Detailhandel</t>
        </is>
      </c>
      <c r="F137" s="19" t="inlineStr">
        <is>
          <t>DC-HPC 150 kW</t>
        </is>
      </c>
      <c r="G137" s="19" t="inlineStr">
        <is>
          <t>Qualifiziert</t>
        </is>
      </c>
      <c r="H137" s="19" t="inlineStr">
        <is>
          <t>Mittel</t>
        </is>
      </c>
      <c r="I137" s="20" t="n">
        <v>438000</v>
      </c>
      <c r="J137" s="21">
        <f>IFERROR(_xlfn.XLOOKUP(G137,Listen!$A$5:$A$10,Listen!$B$5:$B$10),VLOOKUP(G137,Listen!$A$5:$B$10,2,FALSE))</f>
        <v/>
      </c>
      <c r="K137" s="22">
        <f>I137*J137</f>
        <v/>
      </c>
      <c r="L137" s="23" t="n">
        <v>46156</v>
      </c>
      <c r="M137" s="23" t="n">
        <v>46317</v>
      </c>
      <c r="N137" s="24">
        <f>IF(OR(G137="Gewonnen",G137="Verloren"),"—",M137-TODAY())</f>
        <v/>
      </c>
      <c r="O137" s="19" t="inlineStr">
        <is>
          <t>L. Rossi</t>
        </is>
      </c>
      <c r="P137" s="19" t="inlineStr">
        <is>
          <t>Angebot nachfassen</t>
        </is>
      </c>
      <c r="Q137" s="25">
        <f>IF(G137="Gewonnen","✅",IF(G137="Verloren","⬛",IF(N137&lt;=14,"🔴",IF(N137&lt;=45,"🟡","🟢"))))</f>
        <v/>
      </c>
    </row>
    <row r="138" ht="20" customHeight="1">
      <c r="A138" s="26" t="inlineStr">
        <is>
          <t>D-1134</t>
        </is>
      </c>
      <c r="B138" s="27" t="inlineStr">
        <is>
          <t>Spedition Vogel Sion</t>
        </is>
      </c>
      <c r="C138" s="27" t="inlineStr">
        <is>
          <t>P. Baumann</t>
        </is>
      </c>
      <c r="D138" s="27" t="inlineStr">
        <is>
          <t>Zürich</t>
        </is>
      </c>
      <c r="E138" s="27" t="inlineStr">
        <is>
          <t>Logistik</t>
        </is>
      </c>
      <c r="F138" s="27" t="inlineStr">
        <is>
          <t>DC-Schnelllader 60 kW</t>
        </is>
      </c>
      <c r="G138" s="27" t="inlineStr">
        <is>
          <t>Angebot</t>
        </is>
      </c>
      <c r="H138" s="27" t="inlineStr">
        <is>
          <t>Niedrig</t>
        </is>
      </c>
      <c r="I138" s="28" t="n">
        <v>32000</v>
      </c>
      <c r="J138" s="29">
        <f>IFERROR(_xlfn.XLOOKUP(G138,Listen!$A$5:$A$10,Listen!$B$5:$B$10),VLOOKUP(G138,Listen!$A$5:$B$10,2,FALSE))</f>
        <v/>
      </c>
      <c r="K138" s="30">
        <f>I138*J138</f>
        <v/>
      </c>
      <c r="L138" s="31" t="n">
        <v>46145</v>
      </c>
      <c r="M138" s="31" t="n">
        <v>46330</v>
      </c>
      <c r="N138" s="32">
        <f>IF(OR(G138="Gewonnen",G138="Verloren"),"—",M138-TODAY())</f>
        <v/>
      </c>
      <c r="O138" s="27" t="inlineStr">
        <is>
          <t>N. Keller</t>
        </is>
      </c>
      <c r="P138" s="27" t="inlineStr">
        <is>
          <t>Standort-Audit terminieren</t>
        </is>
      </c>
      <c r="Q138" s="33">
        <f>IF(G138="Gewonnen","✅",IF(G138="Verloren","⬛",IF(N138&lt;=14,"🔴",IF(N138&lt;=45,"🟡","🟢"))))</f>
        <v/>
      </c>
    </row>
    <row r="139" ht="20" customHeight="1">
      <c r="A139" s="18" t="inlineStr">
        <is>
          <t>D-1135</t>
        </is>
      </c>
      <c r="B139" s="19" t="inlineStr">
        <is>
          <t>Areal Suter Biel</t>
        </is>
      </c>
      <c r="C139" s="19" t="inlineStr">
        <is>
          <t>R. Suter</t>
        </is>
      </c>
      <c r="D139" s="19" t="inlineStr">
        <is>
          <t>Genf</t>
        </is>
      </c>
      <c r="E139" s="19" t="inlineStr">
        <is>
          <t>Immobilien</t>
        </is>
      </c>
      <c r="F139" s="19" t="inlineStr">
        <is>
          <t>AC-Ladestation 22 kW</t>
        </is>
      </c>
      <c r="G139" s="19" t="inlineStr">
        <is>
          <t>Gewonnen</t>
        </is>
      </c>
      <c r="H139" s="19" t="inlineStr">
        <is>
          <t>Hoch</t>
        </is>
      </c>
      <c r="I139" s="20" t="n">
        <v>291000</v>
      </c>
      <c r="J139" s="21">
        <f>IFERROR(_xlfn.XLOOKUP(G139,Listen!$A$5:$A$10,Listen!$B$5:$B$10),VLOOKUP(G139,Listen!$A$5:$B$10,2,FALSE))</f>
        <v/>
      </c>
      <c r="K139" s="22">
        <f>I139*J139</f>
        <v/>
      </c>
      <c r="L139" s="23" t="n">
        <v>46134</v>
      </c>
      <c r="M139" s="23" t="n">
        <v>46186</v>
      </c>
      <c r="N139" s="24">
        <f>IF(OR(G139="Gewonnen",G139="Verloren"),"—",M139-TODAY())</f>
        <v/>
      </c>
      <c r="O139" s="19" t="inlineStr">
        <is>
          <t>A. Favre</t>
        </is>
      </c>
      <c r="P139" s="19" t="inlineStr">
        <is>
          <t>Entscheider treffen</t>
        </is>
      </c>
      <c r="Q139" s="25">
        <f>IF(G139="Gewonnen","✅",IF(G139="Verloren","⬛",IF(N139&lt;=14,"🔴",IF(N139&lt;=45,"🟡","🟢"))))</f>
        <v/>
      </c>
    </row>
    <row r="140" ht="20" customHeight="1">
      <c r="A140" s="26" t="inlineStr">
        <is>
          <t>D-1136</t>
        </is>
      </c>
      <c r="B140" s="27" t="inlineStr">
        <is>
          <t>Resort Marti Luzern</t>
        </is>
      </c>
      <c r="C140" s="27" t="inlineStr">
        <is>
          <t>S. Wyss</t>
        </is>
      </c>
      <c r="D140" s="27" t="inlineStr">
        <is>
          <t>St. Gallen</t>
        </is>
      </c>
      <c r="E140" s="27" t="inlineStr">
        <is>
          <t>Hotellerie</t>
        </is>
      </c>
      <c r="F140" s="27" t="inlineStr">
        <is>
          <t>PV + Speicher Kombi</t>
        </is>
      </c>
      <c r="G140" s="27" t="inlineStr">
        <is>
          <t>Lead</t>
        </is>
      </c>
      <c r="H140" s="27" t="inlineStr">
        <is>
          <t>Mittel</t>
        </is>
      </c>
      <c r="I140" s="28" t="n">
        <v>550000</v>
      </c>
      <c r="J140" s="29">
        <f>IFERROR(_xlfn.XLOOKUP(G140,Listen!$A$5:$A$10,Listen!$B$5:$B$10),VLOOKUP(G140,Listen!$A$5:$B$10,2,FALSE))</f>
        <v/>
      </c>
      <c r="K140" s="30">
        <f>I140*J140</f>
        <v/>
      </c>
      <c r="L140" s="31" t="n">
        <v>46123</v>
      </c>
      <c r="M140" s="31" t="n">
        <v>46356</v>
      </c>
      <c r="N140" s="32">
        <f>IF(OR(G140="Gewonnen",G140="Verloren"),"—",M140-TODAY())</f>
        <v/>
      </c>
      <c r="O140" s="27" t="inlineStr">
        <is>
          <t>Burak Ücöz</t>
        </is>
      </c>
      <c r="P140" s="27" t="inlineStr">
        <is>
          <t>Business-Case rechnen</t>
        </is>
      </c>
      <c r="Q140" s="33">
        <f>IF(G140="Gewonnen","✅",IF(G140="Verloren","⬛",IF(N140&lt;=14,"🔴",IF(N140&lt;=45,"🟡","🟢"))))</f>
        <v/>
      </c>
    </row>
    <row r="141" ht="20" customHeight="1">
      <c r="A141" s="18" t="inlineStr">
        <is>
          <t>D-1137</t>
        </is>
      </c>
      <c r="B141" s="19" t="inlineStr">
        <is>
          <t>Stadtwerke Steiner Fribourg</t>
        </is>
      </c>
      <c r="C141" s="19" t="inlineStr">
        <is>
          <t>T. Schmid</t>
        </is>
      </c>
      <c r="D141" s="19" t="inlineStr">
        <is>
          <t>Wallis</t>
        </is>
      </c>
      <c r="E141" s="19" t="inlineStr">
        <is>
          <t>Öffentliche Hand</t>
        </is>
      </c>
      <c r="F141" s="19" t="inlineStr">
        <is>
          <t>Full-Service Betrieb</t>
        </is>
      </c>
      <c r="G141" s="19" t="inlineStr">
        <is>
          <t>Verhandlung</t>
        </is>
      </c>
      <c r="H141" s="19" t="inlineStr">
        <is>
          <t>Niedrig</t>
        </is>
      </c>
      <c r="I141" s="20" t="n">
        <v>144000</v>
      </c>
      <c r="J141" s="21">
        <f>IFERROR(_xlfn.XLOOKUP(G141,Listen!$A$5:$A$10,Listen!$B$5:$B$10),VLOOKUP(G141,Listen!$A$5:$B$10,2,FALSE))</f>
        <v/>
      </c>
      <c r="K141" s="22">
        <f>I141*J141</f>
        <v/>
      </c>
      <c r="L141" s="23" t="n">
        <v>46112</v>
      </c>
      <c r="M141" s="23" t="n">
        <v>46219</v>
      </c>
      <c r="N141" s="24">
        <f>IF(OR(G141="Gewonnen",G141="Verloren"),"—",M141-TODAY())</f>
        <v/>
      </c>
      <c r="O141" s="19" t="inlineStr">
        <is>
          <t>S. Meier</t>
        </is>
      </c>
      <c r="P141" s="19" t="inlineStr">
        <is>
          <t>Referenz anbieten</t>
        </is>
      </c>
      <c r="Q141" s="25">
        <f>IF(G141="Gewonnen","✅",IF(G141="Verloren","⬛",IF(N141&lt;=14,"🔴",IF(N141&lt;=45,"🟡","🟢"))))</f>
        <v/>
      </c>
    </row>
    <row r="142" ht="20" customHeight="1">
      <c r="A142" s="26" t="inlineStr">
        <is>
          <t>D-1138</t>
        </is>
      </c>
      <c r="B142" s="27" t="inlineStr">
        <is>
          <t>Industrie Moser Solothurn</t>
        </is>
      </c>
      <c r="C142" s="27" t="inlineStr">
        <is>
          <t>U. Moser</t>
        </is>
      </c>
      <c r="D142" s="27" t="inlineStr">
        <is>
          <t>Waadt</t>
        </is>
      </c>
      <c r="E142" s="27" t="inlineStr">
        <is>
          <t>Industrie</t>
        </is>
      </c>
      <c r="F142" s="27" t="inlineStr">
        <is>
          <t>Lastmanagement-System</t>
        </is>
      </c>
      <c r="G142" s="27" t="inlineStr">
        <is>
          <t>Verloren</t>
        </is>
      </c>
      <c r="H142" s="27" t="inlineStr">
        <is>
          <t>Hoch</t>
        </is>
      </c>
      <c r="I142" s="28" t="n">
        <v>403000</v>
      </c>
      <c r="J142" s="29">
        <f>IFERROR(_xlfn.XLOOKUP(G142,Listen!$A$5:$A$10,Listen!$B$5:$B$10),VLOOKUP(G142,Listen!$A$5:$B$10,2,FALSE))</f>
        <v/>
      </c>
      <c r="K142" s="30">
        <f>I142*J142</f>
        <v/>
      </c>
      <c r="L142" s="31" t="n">
        <v>46101</v>
      </c>
      <c r="M142" s="31" t="n">
        <v>46165</v>
      </c>
      <c r="N142" s="32">
        <f>IF(OR(G142="Gewonnen",G142="Verloren"),"—",M142-TODAY())</f>
        <v/>
      </c>
      <c r="O142" s="27" t="inlineStr">
        <is>
          <t>L. Rossi</t>
        </is>
      </c>
      <c r="P142" s="27" t="inlineStr">
        <is>
          <t>Vertrag vorbereiten</t>
        </is>
      </c>
      <c r="Q142" s="33">
        <f>IF(G142="Gewonnen","✅",IF(G142="Verloren","⬛",IF(N142&lt;=14,"🔴",IF(N142&lt;=45,"🟡","🟢"))))</f>
        <v/>
      </c>
    </row>
    <row r="143" ht="20" customHeight="1">
      <c r="A143" s="18" t="inlineStr">
        <is>
          <t>D-1139</t>
        </is>
      </c>
      <c r="B143" s="19" t="inlineStr">
        <is>
          <t>Garage Weber St. Gallen</t>
        </is>
      </c>
      <c r="C143" s="19" t="inlineStr">
        <is>
          <t>V. Kern</t>
        </is>
      </c>
      <c r="D143" s="19" t="inlineStr">
        <is>
          <t>Aargau</t>
        </is>
      </c>
      <c r="E143" s="19" t="inlineStr">
        <is>
          <t>Tankstellen</t>
        </is>
      </c>
      <c r="F143" s="19" t="inlineStr">
        <is>
          <t>DC-HPC 150 kW</t>
        </is>
      </c>
      <c r="G143" s="19" t="inlineStr">
        <is>
          <t>Angebot</t>
        </is>
      </c>
      <c r="H143" s="19" t="inlineStr">
        <is>
          <t>Mittel</t>
        </is>
      </c>
      <c r="I143" s="20" t="n">
        <v>662000</v>
      </c>
      <c r="J143" s="21">
        <f>IFERROR(_xlfn.XLOOKUP(G143,Listen!$A$5:$A$10,Listen!$B$5:$B$10),VLOOKUP(G143,Listen!$A$5:$B$10,2,FALSE))</f>
        <v/>
      </c>
      <c r="K143" s="22">
        <f>I143*J143</f>
        <v/>
      </c>
      <c r="L143" s="23" t="n">
        <v>46090</v>
      </c>
      <c r="M143" s="23" t="n">
        <v>46245</v>
      </c>
      <c r="N143" s="24">
        <f>IF(OR(G143="Gewonnen",G143="Verloren"),"—",M143-TODAY())</f>
        <v/>
      </c>
      <c r="O143" s="19" t="inlineStr">
        <is>
          <t>N. Keller</t>
        </is>
      </c>
      <c r="P143" s="19" t="inlineStr">
        <is>
          <t>Pilot definieren</t>
        </is>
      </c>
      <c r="Q143" s="25">
        <f>IF(G143="Gewonnen","✅",IF(G143="Verloren","⬛",IF(N143&lt;=14,"🔴",IF(N143&lt;=45,"🟡","🟢"))))</f>
        <v/>
      </c>
    </row>
    <row r="144" ht="20" customHeight="1">
      <c r="A144" s="26" t="inlineStr">
        <is>
          <t>D-1140</t>
        </is>
      </c>
      <c r="B144" s="27" t="inlineStr">
        <is>
          <t>Fuhrpark Berger Neuchâtel</t>
        </is>
      </c>
      <c r="C144" s="27" t="inlineStr">
        <is>
          <t>W. Egli</t>
        </is>
      </c>
      <c r="D144" s="27" t="inlineStr">
        <is>
          <t>Luzern</t>
        </is>
      </c>
      <c r="E144" s="27" t="inlineStr">
        <is>
          <t>Flottenbetrieb</t>
        </is>
      </c>
      <c r="F144" s="27" t="inlineStr">
        <is>
          <t>DC-Schnelllader 60 kW</t>
        </is>
      </c>
      <c r="G144" s="27" t="inlineStr">
        <is>
          <t>Lead</t>
        </is>
      </c>
      <c r="H144" s="27" t="inlineStr">
        <is>
          <t>Niedrig</t>
        </is>
      </c>
      <c r="I144" s="28" t="n">
        <v>256000</v>
      </c>
      <c r="J144" s="29">
        <f>IFERROR(_xlfn.XLOOKUP(G144,Listen!$A$5:$A$10,Listen!$B$5:$B$10),VLOOKUP(G144,Listen!$A$5:$B$10,2,FALSE))</f>
        <v/>
      </c>
      <c r="K144" s="30">
        <f>I144*J144</f>
        <v/>
      </c>
      <c r="L144" s="31" t="n">
        <v>46079</v>
      </c>
      <c r="M144" s="31" t="n">
        <v>46258</v>
      </c>
      <c r="N144" s="32">
        <f>IF(OR(G144="Gewonnen",G144="Verloren"),"—",M144-TODAY())</f>
        <v/>
      </c>
      <c r="O144" s="27" t="inlineStr">
        <is>
          <t>A. Favre</t>
        </is>
      </c>
      <c r="P144" s="27" t="inlineStr">
        <is>
          <t>Bedarf klären</t>
        </is>
      </c>
      <c r="Q144" s="33">
        <f>IF(G144="Gewonnen","✅",IF(G144="Verloren","⬛",IF(N144&lt;=14,"🔴",IF(N144&lt;=45,"🟡","🟢"))))</f>
        <v/>
      </c>
    </row>
    <row r="145" ht="20" customHeight="1">
      <c r="A145" s="18" t="inlineStr">
        <is>
          <t>D-1141</t>
        </is>
      </c>
      <c r="B145" s="19" t="inlineStr">
        <is>
          <t>Center Meier Zürich</t>
        </is>
      </c>
      <c r="C145" s="19" t="inlineStr">
        <is>
          <t>A. Meier</t>
        </is>
      </c>
      <c r="D145" s="19" t="inlineStr">
        <is>
          <t>Bern</t>
        </is>
      </c>
      <c r="E145" s="19" t="inlineStr">
        <is>
          <t>Detailhandel</t>
        </is>
      </c>
      <c r="F145" s="19" t="inlineStr">
        <is>
          <t>AC-Ladestation 22 kW</t>
        </is>
      </c>
      <c r="G145" s="19" t="inlineStr">
        <is>
          <t>Lead</t>
        </is>
      </c>
      <c r="H145" s="19" t="inlineStr">
        <is>
          <t>Hoch</t>
        </is>
      </c>
      <c r="I145" s="20" t="n">
        <v>515000</v>
      </c>
      <c r="J145" s="21">
        <f>IFERROR(_xlfn.XLOOKUP(G145,Listen!$A$5:$A$10,Listen!$B$5:$B$10),VLOOKUP(G145,Listen!$A$5:$B$10,2,FALSE))</f>
        <v/>
      </c>
      <c r="K145" s="22">
        <f>I145*J145</f>
        <v/>
      </c>
      <c r="L145" s="23" t="n">
        <v>46068</v>
      </c>
      <c r="M145" s="23" t="n">
        <v>46271</v>
      </c>
      <c r="N145" s="24">
        <f>IF(OR(G145="Gewonnen",G145="Verloren"),"—",M145-TODAY())</f>
        <v/>
      </c>
      <c r="O145" s="19" t="inlineStr">
        <is>
          <t>Burak Ücöz</t>
        </is>
      </c>
      <c r="P145" s="19" t="inlineStr">
        <is>
          <t>Erstgespräch planen</t>
        </is>
      </c>
      <c r="Q145" s="25">
        <f>IF(G145="Gewonnen","✅",IF(G145="Verloren","⬛",IF(N145&lt;=14,"🔴",IF(N145&lt;=45,"🟡","🟢"))))</f>
        <v/>
      </c>
    </row>
    <row r="146" ht="20" customHeight="1">
      <c r="A146" s="26" t="inlineStr">
        <is>
          <t>D-1142</t>
        </is>
      </c>
      <c r="B146" s="27" t="inlineStr">
        <is>
          <t>Spedition Zünd Genf</t>
        </is>
      </c>
      <c r="C146" s="27" t="inlineStr">
        <is>
          <t>B. Huber</t>
        </is>
      </c>
      <c r="D146" s="27" t="inlineStr">
        <is>
          <t>Basel</t>
        </is>
      </c>
      <c r="E146" s="27" t="inlineStr">
        <is>
          <t>Logistik</t>
        </is>
      </c>
      <c r="F146" s="27" t="inlineStr">
        <is>
          <t>PV + Speicher Kombi</t>
        </is>
      </c>
      <c r="G146" s="27" t="inlineStr">
        <is>
          <t>Qualifiziert</t>
        </is>
      </c>
      <c r="H146" s="27" t="inlineStr">
        <is>
          <t>Mittel</t>
        </is>
      </c>
      <c r="I146" s="28" t="n">
        <v>109000</v>
      </c>
      <c r="J146" s="29">
        <f>IFERROR(_xlfn.XLOOKUP(G146,Listen!$A$5:$A$10,Listen!$B$5:$B$10),VLOOKUP(G146,Listen!$A$5:$B$10,2,FALSE))</f>
        <v/>
      </c>
      <c r="K146" s="30">
        <f>I146*J146</f>
        <v/>
      </c>
      <c r="L146" s="31" t="n">
        <v>46057</v>
      </c>
      <c r="M146" s="31" t="n">
        <v>46284</v>
      </c>
      <c r="N146" s="32">
        <f>IF(OR(G146="Gewonnen",G146="Verloren"),"—",M146-TODAY())</f>
        <v/>
      </c>
      <c r="O146" s="27" t="inlineStr">
        <is>
          <t>S. Meier</t>
        </is>
      </c>
      <c r="P146" s="27" t="inlineStr">
        <is>
          <t>Angebot erstellen</t>
        </is>
      </c>
      <c r="Q146" s="33">
        <f>IF(G146="Gewonnen","✅",IF(G146="Verloren","⬛",IF(N146&lt;=14,"🔴",IF(N146&lt;=45,"🟡","🟢"))))</f>
        <v/>
      </c>
    </row>
    <row r="147" ht="20" customHeight="1">
      <c r="A147" s="18" t="inlineStr">
        <is>
          <t>D-1143</t>
        </is>
      </c>
      <c r="B147" s="19" t="inlineStr">
        <is>
          <t>Areal Bühler Aarau</t>
        </is>
      </c>
      <c r="C147" s="19" t="inlineStr">
        <is>
          <t>C. Rossi</t>
        </is>
      </c>
      <c r="D147" s="19" t="inlineStr">
        <is>
          <t>Tessin</t>
        </is>
      </c>
      <c r="E147" s="19" t="inlineStr">
        <is>
          <t>Immobilien</t>
        </is>
      </c>
      <c r="F147" s="19" t="inlineStr">
        <is>
          <t>Full-Service Betrieb</t>
        </is>
      </c>
      <c r="G147" s="19" t="inlineStr">
        <is>
          <t>Angebot</t>
        </is>
      </c>
      <c r="H147" s="19" t="inlineStr">
        <is>
          <t>Niedrig</t>
        </is>
      </c>
      <c r="I147" s="20" t="n">
        <v>368000</v>
      </c>
      <c r="J147" s="21">
        <f>IFERROR(_xlfn.XLOOKUP(G147,Listen!$A$5:$A$10,Listen!$B$5:$B$10),VLOOKUP(G147,Listen!$A$5:$B$10,2,FALSE))</f>
        <v/>
      </c>
      <c r="K147" s="22">
        <f>I147*J147</f>
        <v/>
      </c>
      <c r="L147" s="23" t="n">
        <v>46046</v>
      </c>
      <c r="M147" s="23" t="n">
        <v>46297</v>
      </c>
      <c r="N147" s="24">
        <f>IF(OR(G147="Gewonnen",G147="Verloren"),"—",M147-TODAY())</f>
        <v/>
      </c>
      <c r="O147" s="19" t="inlineStr">
        <is>
          <t>L. Rossi</t>
        </is>
      </c>
      <c r="P147" s="19" t="inlineStr">
        <is>
          <t>Angebot nachfassen</t>
        </is>
      </c>
      <c r="Q147" s="25">
        <f>IF(G147="Gewonnen","✅",IF(G147="Verloren","⬛",IF(N147&lt;=14,"🔴",IF(N147&lt;=45,"🟡","🟢"))))</f>
        <v/>
      </c>
    </row>
    <row r="148" ht="20" customHeight="1">
      <c r="A148" s="26" t="inlineStr">
        <is>
          <t>D-1144</t>
        </is>
      </c>
      <c r="B148" s="27" t="inlineStr">
        <is>
          <t>Resort Baumann Winterthur</t>
        </is>
      </c>
      <c r="C148" s="27" t="inlineStr">
        <is>
          <t>D. Baumann</t>
        </is>
      </c>
      <c r="D148" s="27" t="inlineStr">
        <is>
          <t>Zürich</t>
        </is>
      </c>
      <c r="E148" s="27" t="inlineStr">
        <is>
          <t>Hotellerie</t>
        </is>
      </c>
      <c r="F148" s="27" t="inlineStr">
        <is>
          <t>Lastmanagement-System</t>
        </is>
      </c>
      <c r="G148" s="27" t="inlineStr">
        <is>
          <t>Verhandlung</t>
        </is>
      </c>
      <c r="H148" s="27" t="inlineStr">
        <is>
          <t>Hoch</t>
        </is>
      </c>
      <c r="I148" s="28" t="n">
        <v>627000</v>
      </c>
      <c r="J148" s="29">
        <f>IFERROR(_xlfn.XLOOKUP(G148,Listen!$A$5:$A$10,Listen!$B$5:$B$10),VLOOKUP(G148,Listen!$A$5:$B$10,2,FALSE))</f>
        <v/>
      </c>
      <c r="K148" s="30">
        <f>I148*J148</f>
        <v/>
      </c>
      <c r="L148" s="31" t="n">
        <v>46035</v>
      </c>
      <c r="M148" s="31" t="n">
        <v>46310</v>
      </c>
      <c r="N148" s="32">
        <f>IF(OR(G148="Gewonnen",G148="Verloren"),"—",M148-TODAY())</f>
        <v/>
      </c>
      <c r="O148" s="27" t="inlineStr">
        <is>
          <t>N. Keller</t>
        </is>
      </c>
      <c r="P148" s="27" t="inlineStr">
        <is>
          <t>Standort-Audit terminieren</t>
        </is>
      </c>
      <c r="Q148" s="33">
        <f>IF(G148="Gewonnen","✅",IF(G148="Verloren","⬛",IF(N148&lt;=14,"🔴",IF(N148&lt;=45,"🟡","🟢"))))</f>
        <v/>
      </c>
    </row>
    <row r="149" ht="20" customHeight="1">
      <c r="A149" s="18" t="inlineStr">
        <is>
          <t>D-1145</t>
        </is>
      </c>
      <c r="B149" s="19" t="inlineStr">
        <is>
          <t>Stadtwerke Widmer Lausanne</t>
        </is>
      </c>
      <c r="C149" s="19" t="inlineStr">
        <is>
          <t>E. Suter</t>
        </is>
      </c>
      <c r="D149" s="19" t="inlineStr">
        <is>
          <t>Genf</t>
        </is>
      </c>
      <c r="E149" s="19" t="inlineStr">
        <is>
          <t>Öffentliche Hand</t>
        </is>
      </c>
      <c r="F149" s="19" t="inlineStr">
        <is>
          <t>DC-HPC 150 kW</t>
        </is>
      </c>
      <c r="G149" s="19" t="inlineStr">
        <is>
          <t>Qualifiziert</t>
        </is>
      </c>
      <c r="H149" s="19" t="inlineStr">
        <is>
          <t>Mittel</t>
        </is>
      </c>
      <c r="I149" s="20" t="n">
        <v>221000</v>
      </c>
      <c r="J149" s="21">
        <f>IFERROR(_xlfn.XLOOKUP(G149,Listen!$A$5:$A$10,Listen!$B$5:$B$10),VLOOKUP(G149,Listen!$A$5:$B$10,2,FALSE))</f>
        <v/>
      </c>
      <c r="K149" s="22">
        <f>I149*J149</f>
        <v/>
      </c>
      <c r="L149" s="23" t="n">
        <v>46194</v>
      </c>
      <c r="M149" s="23" t="n">
        <v>46323</v>
      </c>
      <c r="N149" s="24">
        <f>IF(OR(G149="Gewonnen",G149="Verloren"),"—",M149-TODAY())</f>
        <v/>
      </c>
      <c r="O149" s="19" t="inlineStr">
        <is>
          <t>A. Favre</t>
        </is>
      </c>
      <c r="P149" s="19" t="inlineStr">
        <is>
          <t>Entscheider treffen</t>
        </is>
      </c>
      <c r="Q149" s="25">
        <f>IF(G149="Gewonnen","✅",IF(G149="Verloren","⬛",IF(N149&lt;=14,"🔴",IF(N149&lt;=45,"🟡","🟢"))))</f>
        <v/>
      </c>
    </row>
    <row r="150" ht="20" customHeight="1">
      <c r="A150" s="26" t="inlineStr">
        <is>
          <t>D-1146</t>
        </is>
      </c>
      <c r="B150" s="27" t="inlineStr">
        <is>
          <t>Industrie Frei Zug</t>
        </is>
      </c>
      <c r="C150" s="27" t="inlineStr">
        <is>
          <t>F. Wyss</t>
        </is>
      </c>
      <c r="D150" s="27" t="inlineStr">
        <is>
          <t>St. Gallen</t>
        </is>
      </c>
      <c r="E150" s="27" t="inlineStr">
        <is>
          <t>Industrie</t>
        </is>
      </c>
      <c r="F150" s="27" t="inlineStr">
        <is>
          <t>DC-Schnelllader 60 kW</t>
        </is>
      </c>
      <c r="G150" s="27" t="inlineStr">
        <is>
          <t>Angebot</t>
        </is>
      </c>
      <c r="H150" s="27" t="inlineStr">
        <is>
          <t>Niedrig</t>
        </is>
      </c>
      <c r="I150" s="28" t="n">
        <v>480000</v>
      </c>
      <c r="J150" s="29">
        <f>IFERROR(_xlfn.XLOOKUP(G150,Listen!$A$5:$A$10,Listen!$B$5:$B$10),VLOOKUP(G150,Listen!$A$5:$B$10,2,FALSE))</f>
        <v/>
      </c>
      <c r="K150" s="30">
        <f>I150*J150</f>
        <v/>
      </c>
      <c r="L150" s="31" t="n">
        <v>46183</v>
      </c>
      <c r="M150" s="31" t="n">
        <v>46336</v>
      </c>
      <c r="N150" s="32">
        <f>IF(OR(G150="Gewonnen",G150="Verloren"),"—",M150-TODAY())</f>
        <v/>
      </c>
      <c r="O150" s="27" t="inlineStr">
        <is>
          <t>Burak Ücöz</t>
        </is>
      </c>
      <c r="P150" s="27" t="inlineStr">
        <is>
          <t>Business-Case rechnen</t>
        </is>
      </c>
      <c r="Q150" s="33">
        <f>IF(G150="Gewonnen","✅",IF(G150="Verloren","⬛",IF(N150&lt;=14,"🔴",IF(N150&lt;=45,"🟡","🟢"))))</f>
        <v/>
      </c>
    </row>
    <row r="151" ht="20" customHeight="1">
      <c r="A151" s="18" t="inlineStr">
        <is>
          <t>D-1147</t>
        </is>
      </c>
      <c r="B151" s="19" t="inlineStr">
        <is>
          <t>Garage Schmid Bern</t>
        </is>
      </c>
      <c r="C151" s="19" t="inlineStr">
        <is>
          <t>G. Schmid</t>
        </is>
      </c>
      <c r="D151" s="19" t="inlineStr">
        <is>
          <t>Wallis</t>
        </is>
      </c>
      <c r="E151" s="19" t="inlineStr">
        <is>
          <t>Tankstellen</t>
        </is>
      </c>
      <c r="F151" s="19" t="inlineStr">
        <is>
          <t>AC-Ladestation 22 kW</t>
        </is>
      </c>
      <c r="G151" s="19" t="inlineStr">
        <is>
          <t>Gewonnen</t>
        </is>
      </c>
      <c r="H151" s="19" t="inlineStr">
        <is>
          <t>Hoch</t>
        </is>
      </c>
      <c r="I151" s="20" t="n">
        <v>74000</v>
      </c>
      <c r="J151" s="21">
        <f>IFERROR(_xlfn.XLOOKUP(G151,Listen!$A$5:$A$10,Listen!$B$5:$B$10),VLOOKUP(G151,Listen!$A$5:$B$10,2,FALSE))</f>
        <v/>
      </c>
      <c r="K151" s="22">
        <f>I151*J151</f>
        <v/>
      </c>
      <c r="L151" s="23" t="n">
        <v>46172</v>
      </c>
      <c r="M151" s="23" t="n">
        <v>46162</v>
      </c>
      <c r="N151" s="24">
        <f>IF(OR(G151="Gewonnen",G151="Verloren"),"—",M151-TODAY())</f>
        <v/>
      </c>
      <c r="O151" s="19" t="inlineStr">
        <is>
          <t>S. Meier</t>
        </is>
      </c>
      <c r="P151" s="19" t="inlineStr">
        <is>
          <t>Referenz anbieten</t>
        </is>
      </c>
      <c r="Q151" s="25">
        <f>IF(G151="Gewonnen","✅",IF(G151="Verloren","⬛",IF(N151&lt;=14,"🔴",IF(N151&lt;=45,"🟡","🟢"))))</f>
        <v/>
      </c>
    </row>
    <row r="152" ht="20" customHeight="1">
      <c r="A152" s="26" t="inlineStr">
        <is>
          <t>D-1148</t>
        </is>
      </c>
      <c r="B152" s="27" t="inlineStr">
        <is>
          <t>Fuhrpark Müller Lugano</t>
        </is>
      </c>
      <c r="C152" s="27" t="inlineStr">
        <is>
          <t>H. Moser</t>
        </is>
      </c>
      <c r="D152" s="27" t="inlineStr">
        <is>
          <t>Waadt</t>
        </is>
      </c>
      <c r="E152" s="27" t="inlineStr">
        <is>
          <t>Flottenbetrieb</t>
        </is>
      </c>
      <c r="F152" s="27" t="inlineStr">
        <is>
          <t>PV + Speicher Kombi</t>
        </is>
      </c>
      <c r="G152" s="27" t="inlineStr">
        <is>
          <t>Lead</t>
        </is>
      </c>
      <c r="H152" s="27" t="inlineStr">
        <is>
          <t>Mittel</t>
        </is>
      </c>
      <c r="I152" s="28" t="n">
        <v>333000</v>
      </c>
      <c r="J152" s="29">
        <f>IFERROR(_xlfn.XLOOKUP(G152,Listen!$A$5:$A$10,Listen!$B$5:$B$10),VLOOKUP(G152,Listen!$A$5:$B$10,2,FALSE))</f>
        <v/>
      </c>
      <c r="K152" s="30">
        <f>I152*J152</f>
        <v/>
      </c>
      <c r="L152" s="31" t="n">
        <v>46161</v>
      </c>
      <c r="M152" s="31" t="n">
        <v>46212</v>
      </c>
      <c r="N152" s="32">
        <f>IF(OR(G152="Gewonnen",G152="Verloren"),"—",M152-TODAY())</f>
        <v/>
      </c>
      <c r="O152" s="27" t="inlineStr">
        <is>
          <t>L. Rossi</t>
        </is>
      </c>
      <c r="P152" s="27" t="inlineStr">
        <is>
          <t>Vertrag vorbereiten</t>
        </is>
      </c>
      <c r="Q152" s="33">
        <f>IF(G152="Gewonnen","✅",IF(G152="Verloren","⬛",IF(N152&lt;=14,"🔴",IF(N152&lt;=45,"🟡","🟢"))))</f>
        <v/>
      </c>
    </row>
    <row r="153" ht="20" customHeight="1">
      <c r="A153" s="18" t="inlineStr">
        <is>
          <t>D-1149</t>
        </is>
      </c>
      <c r="B153" s="19" t="inlineStr">
        <is>
          <t>Center Brunner Baden</t>
        </is>
      </c>
      <c r="C153" s="19" t="inlineStr">
        <is>
          <t>J. Kern</t>
        </is>
      </c>
      <c r="D153" s="19" t="inlineStr">
        <is>
          <t>Aargau</t>
        </is>
      </c>
      <c r="E153" s="19" t="inlineStr">
        <is>
          <t>Detailhandel</t>
        </is>
      </c>
      <c r="F153" s="19" t="inlineStr">
        <is>
          <t>Full-Service Betrieb</t>
        </is>
      </c>
      <c r="G153" s="19" t="inlineStr">
        <is>
          <t>Verhandlung</t>
        </is>
      </c>
      <c r="H153" s="19" t="inlineStr">
        <is>
          <t>Niedrig</t>
        </is>
      </c>
      <c r="I153" s="20" t="n">
        <v>592000</v>
      </c>
      <c r="J153" s="21">
        <f>IFERROR(_xlfn.XLOOKUP(G153,Listen!$A$5:$A$10,Listen!$B$5:$B$10),VLOOKUP(G153,Listen!$A$5:$B$10,2,FALSE))</f>
        <v/>
      </c>
      <c r="K153" s="22">
        <f>I153*J153</f>
        <v/>
      </c>
      <c r="L153" s="23" t="n">
        <v>46150</v>
      </c>
      <c r="M153" s="23" t="n">
        <v>46225</v>
      </c>
      <c r="N153" s="24">
        <f>IF(OR(G153="Gewonnen",G153="Verloren"),"—",M153-TODAY())</f>
        <v/>
      </c>
      <c r="O153" s="19" t="inlineStr">
        <is>
          <t>N. Keller</t>
        </is>
      </c>
      <c r="P153" s="19" t="inlineStr">
        <is>
          <t>Pilot definieren</t>
        </is>
      </c>
      <c r="Q153" s="25">
        <f>IF(G153="Gewonnen","✅",IF(G153="Verloren","⬛",IF(N153&lt;=14,"🔴",IF(N153&lt;=45,"🟡","🟢"))))</f>
        <v/>
      </c>
    </row>
    <row r="154" ht="20" customHeight="1">
      <c r="A154" s="26" t="inlineStr">
        <is>
          <t>D-1150</t>
        </is>
      </c>
      <c r="B154" s="27" t="inlineStr">
        <is>
          <t>Spedition Egli Thun</t>
        </is>
      </c>
      <c r="C154" s="27" t="inlineStr">
        <is>
          <t>K. Egli</t>
        </is>
      </c>
      <c r="D154" s="27" t="inlineStr">
        <is>
          <t>Luzern</t>
        </is>
      </c>
      <c r="E154" s="27" t="inlineStr">
        <is>
          <t>Logistik</t>
        </is>
      </c>
      <c r="F154" s="27" t="inlineStr">
        <is>
          <t>Lastmanagement-System</t>
        </is>
      </c>
      <c r="G154" s="27" t="inlineStr">
        <is>
          <t>Verloren</t>
        </is>
      </c>
      <c r="H154" s="27" t="inlineStr">
        <is>
          <t>Hoch</t>
        </is>
      </c>
      <c r="I154" s="28" t="n">
        <v>186000</v>
      </c>
      <c r="J154" s="29">
        <f>IFERROR(_xlfn.XLOOKUP(G154,Listen!$A$5:$A$10,Listen!$B$5:$B$10),VLOOKUP(G154,Listen!$A$5:$B$10,2,FALSE))</f>
        <v/>
      </c>
      <c r="K154" s="30">
        <f>I154*J154</f>
        <v/>
      </c>
      <c r="L154" s="31" t="n">
        <v>46139</v>
      </c>
      <c r="M154" s="31" t="n">
        <v>46201</v>
      </c>
      <c r="N154" s="32">
        <f>IF(OR(G154="Gewonnen",G154="Verloren"),"—",M154-TODAY())</f>
        <v/>
      </c>
      <c r="O154" s="27" t="inlineStr">
        <is>
          <t>A. Favre</t>
        </is>
      </c>
      <c r="P154" s="27" t="inlineStr">
        <is>
          <t>Bedarf klären</t>
        </is>
      </c>
      <c r="Q154" s="33">
        <f>IF(G154="Gewonnen","✅",IF(G154="Verloren","⬛",IF(N154&lt;=14,"🔴",IF(N154&lt;=45,"🟡","🟢"))))</f>
        <v/>
      </c>
    </row>
    <row r="155" ht="20" customHeight="1">
      <c r="A155" s="18" t="inlineStr">
        <is>
          <t>D-1151</t>
        </is>
      </c>
      <c r="B155" s="19" t="inlineStr">
        <is>
          <t>Areal Graf Chur</t>
        </is>
      </c>
      <c r="C155" s="19" t="inlineStr">
        <is>
          <t>L. Meier</t>
        </is>
      </c>
      <c r="D155" s="19" t="inlineStr">
        <is>
          <t>Bern</t>
        </is>
      </c>
      <c r="E155" s="19" t="inlineStr">
        <is>
          <t>Immobilien</t>
        </is>
      </c>
      <c r="F155" s="19" t="inlineStr">
        <is>
          <t>DC-HPC 150 kW</t>
        </is>
      </c>
      <c r="G155" s="19" t="inlineStr">
        <is>
          <t>Angebot</t>
        </is>
      </c>
      <c r="H155" s="19" t="inlineStr">
        <is>
          <t>Mittel</t>
        </is>
      </c>
      <c r="I155" s="20" t="n">
        <v>445000</v>
      </c>
      <c r="J155" s="21">
        <f>IFERROR(_xlfn.XLOOKUP(G155,Listen!$A$5:$A$10,Listen!$B$5:$B$10),VLOOKUP(G155,Listen!$A$5:$B$10,2,FALSE))</f>
        <v/>
      </c>
      <c r="K155" s="22">
        <f>I155*J155</f>
        <v/>
      </c>
      <c r="L155" s="23" t="n">
        <v>46128</v>
      </c>
      <c r="M155" s="23" t="n">
        <v>46251</v>
      </c>
      <c r="N155" s="24">
        <f>IF(OR(G155="Gewonnen",G155="Verloren"),"—",M155-TODAY())</f>
        <v/>
      </c>
      <c r="O155" s="19" t="inlineStr">
        <is>
          <t>Burak Ücöz</t>
        </is>
      </c>
      <c r="P155" s="19" t="inlineStr">
        <is>
          <t>Erstgespräch planen</t>
        </is>
      </c>
      <c r="Q155" s="25">
        <f>IF(G155="Gewonnen","✅",IF(G155="Verloren","⬛",IF(N155&lt;=14,"🔴",IF(N155&lt;=45,"🟡","🟢"))))</f>
        <v/>
      </c>
    </row>
    <row r="156" ht="20" customHeight="1">
      <c r="A156" s="26" t="inlineStr">
        <is>
          <t>D-1152</t>
        </is>
      </c>
      <c r="B156" s="27" t="inlineStr">
        <is>
          <t>Resort Gerber Olten</t>
        </is>
      </c>
      <c r="C156" s="27" t="inlineStr">
        <is>
          <t>M. Huber</t>
        </is>
      </c>
      <c r="D156" s="27" t="inlineStr">
        <is>
          <t>Basel</t>
        </is>
      </c>
      <c r="E156" s="27" t="inlineStr">
        <is>
          <t>Hotellerie</t>
        </is>
      </c>
      <c r="F156" s="27" t="inlineStr">
        <is>
          <t>DC-Schnelllader 60 kW</t>
        </is>
      </c>
      <c r="G156" s="27" t="inlineStr">
        <is>
          <t>Lead</t>
        </is>
      </c>
      <c r="H156" s="27" t="inlineStr">
        <is>
          <t>Niedrig</t>
        </is>
      </c>
      <c r="I156" s="28" t="n">
        <v>39000</v>
      </c>
      <c r="J156" s="29">
        <f>IFERROR(_xlfn.XLOOKUP(G156,Listen!$A$5:$A$10,Listen!$B$5:$B$10),VLOOKUP(G156,Listen!$A$5:$B$10,2,FALSE))</f>
        <v/>
      </c>
      <c r="K156" s="30">
        <f>I156*J156</f>
        <v/>
      </c>
      <c r="L156" s="31" t="n">
        <v>46117</v>
      </c>
      <c r="M156" s="31" t="n">
        <v>46264</v>
      </c>
      <c r="N156" s="32">
        <f>IF(OR(G156="Gewonnen",G156="Verloren"),"—",M156-TODAY())</f>
        <v/>
      </c>
      <c r="O156" s="27" t="inlineStr">
        <is>
          <t>S. Meier</t>
        </is>
      </c>
      <c r="P156" s="27" t="inlineStr">
        <is>
          <t>Angebot erstellen</t>
        </is>
      </c>
      <c r="Q156" s="33">
        <f>IF(G156="Gewonnen","✅",IF(G156="Verloren","⬛",IF(N156&lt;=14,"🔴",IF(N156&lt;=45,"🟡","🟢"))))</f>
        <v/>
      </c>
    </row>
    <row r="157" ht="20" customHeight="1">
      <c r="A157" s="18" t="inlineStr">
        <is>
          <t>D-1153</t>
        </is>
      </c>
      <c r="B157" s="19" t="inlineStr">
        <is>
          <t>Stadtwerke Rossi Basel</t>
        </is>
      </c>
      <c r="C157" s="19" t="inlineStr">
        <is>
          <t>N. Rossi</t>
        </is>
      </c>
      <c r="D157" s="19" t="inlineStr">
        <is>
          <t>Tessin</t>
        </is>
      </c>
      <c r="E157" s="19" t="inlineStr">
        <is>
          <t>Öffentliche Hand</t>
        </is>
      </c>
      <c r="F157" s="19" t="inlineStr">
        <is>
          <t>AC-Ladestation 22 kW</t>
        </is>
      </c>
      <c r="G157" s="19" t="inlineStr">
        <is>
          <t>Lead</t>
        </is>
      </c>
      <c r="H157" s="19" t="inlineStr">
        <is>
          <t>Hoch</t>
        </is>
      </c>
      <c r="I157" s="20" t="n">
        <v>298000</v>
      </c>
      <c r="J157" s="21">
        <f>IFERROR(_xlfn.XLOOKUP(G157,Listen!$A$5:$A$10,Listen!$B$5:$B$10),VLOOKUP(G157,Listen!$A$5:$B$10,2,FALSE))</f>
        <v/>
      </c>
      <c r="K157" s="22">
        <f>I157*J157</f>
        <v/>
      </c>
      <c r="L157" s="23" t="n">
        <v>46106</v>
      </c>
      <c r="M157" s="23" t="n">
        <v>46277</v>
      </c>
      <c r="N157" s="24">
        <f>IF(OR(G157="Gewonnen",G157="Verloren"),"—",M157-TODAY())</f>
        <v/>
      </c>
      <c r="O157" s="19" t="inlineStr">
        <is>
          <t>L. Rossi</t>
        </is>
      </c>
      <c r="P157" s="19" t="inlineStr">
        <is>
          <t>Angebot nachfassen</t>
        </is>
      </c>
      <c r="Q157" s="25">
        <f>IF(G157="Gewonnen","✅",IF(G157="Verloren","⬛",IF(N157&lt;=14,"🔴",IF(N157&lt;=45,"🟡","🟢"))))</f>
        <v/>
      </c>
    </row>
    <row r="158" ht="20" customHeight="1">
      <c r="A158" s="26" t="inlineStr">
        <is>
          <t>D-1154</t>
        </is>
      </c>
      <c r="B158" s="27" t="inlineStr">
        <is>
          <t>Industrie Amrein Sion</t>
        </is>
      </c>
      <c r="C158" s="27" t="inlineStr">
        <is>
          <t>P. Baumann</t>
        </is>
      </c>
      <c r="D158" s="27" t="inlineStr">
        <is>
          <t>Zürich</t>
        </is>
      </c>
      <c r="E158" s="27" t="inlineStr">
        <is>
          <t>Industrie</t>
        </is>
      </c>
      <c r="F158" s="27" t="inlineStr">
        <is>
          <t>PV + Speicher Kombi</t>
        </is>
      </c>
      <c r="G158" s="27" t="inlineStr">
        <is>
          <t>Qualifiziert</t>
        </is>
      </c>
      <c r="H158" s="27" t="inlineStr">
        <is>
          <t>Mittel</t>
        </is>
      </c>
      <c r="I158" s="28" t="n">
        <v>557000</v>
      </c>
      <c r="J158" s="29">
        <f>IFERROR(_xlfn.XLOOKUP(G158,Listen!$A$5:$A$10,Listen!$B$5:$B$10),VLOOKUP(G158,Listen!$A$5:$B$10,2,FALSE))</f>
        <v/>
      </c>
      <c r="K158" s="30">
        <f>I158*J158</f>
        <v/>
      </c>
      <c r="L158" s="31" t="n">
        <v>46095</v>
      </c>
      <c r="M158" s="31" t="n">
        <v>46290</v>
      </c>
      <c r="N158" s="32">
        <f>IF(OR(G158="Gewonnen",G158="Verloren"),"—",M158-TODAY())</f>
        <v/>
      </c>
      <c r="O158" s="27" t="inlineStr">
        <is>
          <t>N. Keller</t>
        </is>
      </c>
      <c r="P158" s="27" t="inlineStr">
        <is>
          <t>Standort-Audit terminieren</t>
        </is>
      </c>
      <c r="Q158" s="33">
        <f>IF(G158="Gewonnen","✅",IF(G158="Verloren","⬛",IF(N158&lt;=14,"🔴",IF(N158&lt;=45,"🟡","🟢"))))</f>
        <v/>
      </c>
    </row>
    <row r="159" ht="20" customHeight="1">
      <c r="A159" s="18" t="inlineStr">
        <is>
          <t>D-1155</t>
        </is>
      </c>
      <c r="B159" s="19" t="inlineStr">
        <is>
          <t>Garage Keller Biel</t>
        </is>
      </c>
      <c r="C159" s="19" t="inlineStr">
        <is>
          <t>R. Suter</t>
        </is>
      </c>
      <c r="D159" s="19" t="inlineStr">
        <is>
          <t>Genf</t>
        </is>
      </c>
      <c r="E159" s="19" t="inlineStr">
        <is>
          <t>Tankstellen</t>
        </is>
      </c>
      <c r="F159" s="19" t="inlineStr">
        <is>
          <t>Full-Service Betrieb</t>
        </is>
      </c>
      <c r="G159" s="19" t="inlineStr">
        <is>
          <t>Angebot</t>
        </is>
      </c>
      <c r="H159" s="19" t="inlineStr">
        <is>
          <t>Niedrig</t>
        </is>
      </c>
      <c r="I159" s="20" t="n">
        <v>151000</v>
      </c>
      <c r="J159" s="21">
        <f>IFERROR(_xlfn.XLOOKUP(G159,Listen!$A$5:$A$10,Listen!$B$5:$B$10),VLOOKUP(G159,Listen!$A$5:$B$10,2,FALSE))</f>
        <v/>
      </c>
      <c r="K159" s="22">
        <f>I159*J159</f>
        <v/>
      </c>
      <c r="L159" s="23" t="n">
        <v>46084</v>
      </c>
      <c r="M159" s="23" t="n">
        <v>46303</v>
      </c>
      <c r="N159" s="24">
        <f>IF(OR(G159="Gewonnen",G159="Verloren"),"—",M159-TODAY())</f>
        <v/>
      </c>
      <c r="O159" s="19" t="inlineStr">
        <is>
          <t>A. Favre</t>
        </is>
      </c>
      <c r="P159" s="19" t="inlineStr">
        <is>
          <t>Entscheider treffen</t>
        </is>
      </c>
      <c r="Q159" s="25">
        <f>IF(G159="Gewonnen","✅",IF(G159="Verloren","⬛",IF(N159&lt;=14,"🔴",IF(N159&lt;=45,"🟡","🟢"))))</f>
        <v/>
      </c>
    </row>
    <row r="160" ht="20" customHeight="1">
      <c r="A160" s="26" t="inlineStr">
        <is>
          <t>D-1156</t>
        </is>
      </c>
      <c r="B160" s="27" t="inlineStr">
        <is>
          <t>Fuhrpark Wyss Luzern</t>
        </is>
      </c>
      <c r="C160" s="27" t="inlineStr">
        <is>
          <t>S. Wyss</t>
        </is>
      </c>
      <c r="D160" s="27" t="inlineStr">
        <is>
          <t>St. Gallen</t>
        </is>
      </c>
      <c r="E160" s="27" t="inlineStr">
        <is>
          <t>Flottenbetrieb</t>
        </is>
      </c>
      <c r="F160" s="27" t="inlineStr">
        <is>
          <t>Lastmanagement-System</t>
        </is>
      </c>
      <c r="G160" s="27" t="inlineStr">
        <is>
          <t>Verhandlung</t>
        </is>
      </c>
      <c r="H160" s="27" t="inlineStr">
        <is>
          <t>Hoch</t>
        </is>
      </c>
      <c r="I160" s="28" t="n">
        <v>410000</v>
      </c>
      <c r="J160" s="29">
        <f>IFERROR(_xlfn.XLOOKUP(G160,Listen!$A$5:$A$10,Listen!$B$5:$B$10),VLOOKUP(G160,Listen!$A$5:$B$10,2,FALSE))</f>
        <v/>
      </c>
      <c r="K160" s="30">
        <f>I160*J160</f>
        <v/>
      </c>
      <c r="L160" s="31" t="n">
        <v>46073</v>
      </c>
      <c r="M160" s="31" t="n">
        <v>46316</v>
      </c>
      <c r="N160" s="32">
        <f>IF(OR(G160="Gewonnen",G160="Verloren"),"—",M160-TODAY())</f>
        <v/>
      </c>
      <c r="O160" s="27" t="inlineStr">
        <is>
          <t>Burak Ücöz</t>
        </is>
      </c>
      <c r="P160" s="27" t="inlineStr">
        <is>
          <t>Business-Case rechnen</t>
        </is>
      </c>
      <c r="Q160" s="33">
        <f>IF(G160="Gewonnen","✅",IF(G160="Verloren","⬛",IF(N160&lt;=14,"🔴",IF(N160&lt;=45,"🟡","🟢"))))</f>
        <v/>
      </c>
    </row>
    <row r="161" ht="20" customHeight="1">
      <c r="A161" s="18" t="inlineStr">
        <is>
          <t>D-1157</t>
        </is>
      </c>
      <c r="B161" s="19" t="inlineStr">
        <is>
          <t>Center Hofer Fribourg</t>
        </is>
      </c>
      <c r="C161" s="19" t="inlineStr">
        <is>
          <t>T. Schmid</t>
        </is>
      </c>
      <c r="D161" s="19" t="inlineStr">
        <is>
          <t>Wallis</t>
        </is>
      </c>
      <c r="E161" s="19" t="inlineStr">
        <is>
          <t>Detailhandel</t>
        </is>
      </c>
      <c r="F161" s="19" t="inlineStr">
        <is>
          <t>DC-HPC 150 kW</t>
        </is>
      </c>
      <c r="G161" s="19" t="inlineStr">
        <is>
          <t>Qualifiziert</t>
        </is>
      </c>
      <c r="H161" s="19" t="inlineStr">
        <is>
          <t>Mittel</t>
        </is>
      </c>
      <c r="I161" s="20" t="n">
        <v>669000</v>
      </c>
      <c r="J161" s="21">
        <f>IFERROR(_xlfn.XLOOKUP(G161,Listen!$A$5:$A$10,Listen!$B$5:$B$10),VLOOKUP(G161,Listen!$A$5:$B$10,2,FALSE))</f>
        <v/>
      </c>
      <c r="K161" s="22">
        <f>I161*J161</f>
        <v/>
      </c>
      <c r="L161" s="23" t="n">
        <v>46062</v>
      </c>
      <c r="M161" s="23" t="n">
        <v>46329</v>
      </c>
      <c r="N161" s="24">
        <f>IF(OR(G161="Gewonnen",G161="Verloren"),"—",M161-TODAY())</f>
        <v/>
      </c>
      <c r="O161" s="19" t="inlineStr">
        <is>
          <t>S. Meier</t>
        </is>
      </c>
      <c r="P161" s="19" t="inlineStr">
        <is>
          <t>Referenz anbieten</t>
        </is>
      </c>
      <c r="Q161" s="25">
        <f>IF(G161="Gewonnen","✅",IF(G161="Verloren","⬛",IF(N161&lt;=14,"🔴",IF(N161&lt;=45,"🟡","🟢"))))</f>
        <v/>
      </c>
    </row>
    <row r="162" ht="20" customHeight="1">
      <c r="A162" s="26" t="inlineStr">
        <is>
          <t>D-1158</t>
        </is>
      </c>
      <c r="B162" s="27" t="inlineStr">
        <is>
          <t>Spedition Roth Solothurn</t>
        </is>
      </c>
      <c r="C162" s="27" t="inlineStr">
        <is>
          <t>U. Moser</t>
        </is>
      </c>
      <c r="D162" s="27" t="inlineStr">
        <is>
          <t>Waadt</t>
        </is>
      </c>
      <c r="E162" s="27" t="inlineStr">
        <is>
          <t>Logistik</t>
        </is>
      </c>
      <c r="F162" s="27" t="inlineStr">
        <is>
          <t>DC-Schnelllader 60 kW</t>
        </is>
      </c>
      <c r="G162" s="27" t="inlineStr">
        <is>
          <t>Angebot</t>
        </is>
      </c>
      <c r="H162" s="27" t="inlineStr">
        <is>
          <t>Niedrig</t>
        </is>
      </c>
      <c r="I162" s="28" t="n">
        <v>263000</v>
      </c>
      <c r="J162" s="29">
        <f>IFERROR(_xlfn.XLOOKUP(G162,Listen!$A$5:$A$10,Listen!$B$5:$B$10),VLOOKUP(G162,Listen!$A$5:$B$10,2,FALSE))</f>
        <v/>
      </c>
      <c r="K162" s="30">
        <f>I162*J162</f>
        <v/>
      </c>
      <c r="L162" s="31" t="n">
        <v>46051</v>
      </c>
      <c r="M162" s="31" t="n">
        <v>46342</v>
      </c>
      <c r="N162" s="32">
        <f>IF(OR(G162="Gewonnen",G162="Verloren"),"—",M162-TODAY())</f>
        <v/>
      </c>
      <c r="O162" s="27" t="inlineStr">
        <is>
          <t>L. Rossi</t>
        </is>
      </c>
      <c r="P162" s="27" t="inlineStr">
        <is>
          <t>Vertrag vorbereiten</t>
        </is>
      </c>
      <c r="Q162" s="33">
        <f>IF(G162="Gewonnen","✅",IF(G162="Verloren","⬛",IF(N162&lt;=14,"🔴",IF(N162&lt;=45,"🟡","🟢"))))</f>
        <v/>
      </c>
    </row>
    <row r="163" ht="20" customHeight="1">
      <c r="A163" s="18" t="inlineStr">
        <is>
          <t>D-1159</t>
        </is>
      </c>
      <c r="B163" s="19" t="inlineStr">
        <is>
          <t>Areal Kern St. Gallen</t>
        </is>
      </c>
      <c r="C163" s="19" t="inlineStr">
        <is>
          <t>V. Kern</t>
        </is>
      </c>
      <c r="D163" s="19" t="inlineStr">
        <is>
          <t>Aargau</t>
        </is>
      </c>
      <c r="E163" s="19" t="inlineStr">
        <is>
          <t>Immobilien</t>
        </is>
      </c>
      <c r="F163" s="19" t="inlineStr">
        <is>
          <t>AC-Ladestation 22 kW</t>
        </is>
      </c>
      <c r="G163" s="19" t="inlineStr">
        <is>
          <t>Gewonnen</t>
        </is>
      </c>
      <c r="H163" s="19" t="inlineStr">
        <is>
          <t>Hoch</t>
        </is>
      </c>
      <c r="I163" s="20" t="n">
        <v>522000</v>
      </c>
      <c r="J163" s="21">
        <f>IFERROR(_xlfn.XLOOKUP(G163,Listen!$A$5:$A$10,Listen!$B$5:$B$10),VLOOKUP(G163,Listen!$A$5:$B$10,2,FALSE))</f>
        <v/>
      </c>
      <c r="K163" s="22">
        <f>I163*J163</f>
        <v/>
      </c>
      <c r="L163" s="23" t="n">
        <v>46040</v>
      </c>
      <c r="M163" s="23" t="n">
        <v>46198</v>
      </c>
      <c r="N163" s="24">
        <f>IF(OR(G163="Gewonnen",G163="Verloren"),"—",M163-TODAY())</f>
        <v/>
      </c>
      <c r="O163" s="19" t="inlineStr">
        <is>
          <t>N. Keller</t>
        </is>
      </c>
      <c r="P163" s="19" t="inlineStr">
        <is>
          <t>Pilot definieren</t>
        </is>
      </c>
      <c r="Q163" s="25">
        <f>IF(G163="Gewonnen","✅",IF(G163="Verloren","⬛",IF(N163&lt;=14,"🔴",IF(N163&lt;=45,"🟡","🟢"))))</f>
        <v/>
      </c>
    </row>
    <row r="164" ht="20" customHeight="1">
      <c r="A164" s="26" t="inlineStr">
        <is>
          <t>D-1160</t>
        </is>
      </c>
      <c r="B164" s="27" t="inlineStr">
        <is>
          <t>Resort Favre Neuchâtel</t>
        </is>
      </c>
      <c r="C164" s="27" t="inlineStr">
        <is>
          <t>W. Egli</t>
        </is>
      </c>
      <c r="D164" s="27" t="inlineStr">
        <is>
          <t>Luzern</t>
        </is>
      </c>
      <c r="E164" s="27" t="inlineStr">
        <is>
          <t>Hotellerie</t>
        </is>
      </c>
      <c r="F164" s="27" t="inlineStr">
        <is>
          <t>PV + Speicher Kombi</t>
        </is>
      </c>
      <c r="G164" s="27" t="inlineStr">
        <is>
          <t>Lead</t>
        </is>
      </c>
      <c r="H164" s="27" t="inlineStr">
        <is>
          <t>Mittel</t>
        </is>
      </c>
      <c r="I164" s="28" t="n">
        <v>116000</v>
      </c>
      <c r="J164" s="29">
        <f>IFERROR(_xlfn.XLOOKUP(G164,Listen!$A$5:$A$10,Listen!$B$5:$B$10),VLOOKUP(G164,Listen!$A$5:$B$10,2,FALSE))</f>
        <v/>
      </c>
      <c r="K164" s="30">
        <f>I164*J164</f>
        <v/>
      </c>
      <c r="L164" s="31" t="n">
        <v>46029</v>
      </c>
      <c r="M164" s="31" t="n">
        <v>46218</v>
      </c>
      <c r="N164" s="32">
        <f>IF(OR(G164="Gewonnen",G164="Verloren"),"—",M164-TODAY())</f>
        <v/>
      </c>
      <c r="O164" s="27" t="inlineStr">
        <is>
          <t>A. Favre</t>
        </is>
      </c>
      <c r="P164" s="27" t="inlineStr">
        <is>
          <t>Bedarf klären</t>
        </is>
      </c>
      <c r="Q164" s="33">
        <f>IF(G164="Gewonnen","✅",IF(G164="Verloren","⬛",IF(N164&lt;=14,"🔴",IF(N164&lt;=45,"🟡","🟢"))))</f>
        <v/>
      </c>
    </row>
    <row r="165" ht="20" customHeight="1">
      <c r="A165" s="18" t="inlineStr">
        <is>
          <t>D-1161</t>
        </is>
      </c>
      <c r="B165" s="19" t="inlineStr">
        <is>
          <t>Stadtwerke Bianchi Zürich</t>
        </is>
      </c>
      <c r="C165" s="19" t="inlineStr">
        <is>
          <t>A. Meier</t>
        </is>
      </c>
      <c r="D165" s="19" t="inlineStr">
        <is>
          <t>Bern</t>
        </is>
      </c>
      <c r="E165" s="19" t="inlineStr">
        <is>
          <t>Öffentliche Hand</t>
        </is>
      </c>
      <c r="F165" s="19" t="inlineStr">
        <is>
          <t>Full-Service Betrieb</t>
        </is>
      </c>
      <c r="G165" s="19" t="inlineStr">
        <is>
          <t>Verhandlung</t>
        </is>
      </c>
      <c r="H165" s="19" t="inlineStr">
        <is>
          <t>Niedrig</t>
        </is>
      </c>
      <c r="I165" s="20" t="n">
        <v>375000</v>
      </c>
      <c r="J165" s="21">
        <f>IFERROR(_xlfn.XLOOKUP(G165,Listen!$A$5:$A$10,Listen!$B$5:$B$10),VLOOKUP(G165,Listen!$A$5:$B$10,2,FALSE))</f>
        <v/>
      </c>
      <c r="K165" s="22">
        <f>I165*J165</f>
        <v/>
      </c>
      <c r="L165" s="23" t="n">
        <v>46188</v>
      </c>
      <c r="M165" s="23" t="n">
        <v>46231</v>
      </c>
      <c r="N165" s="24">
        <f>IF(OR(G165="Gewonnen",G165="Verloren"),"—",M165-TODAY())</f>
        <v/>
      </c>
      <c r="O165" s="19" t="inlineStr">
        <is>
          <t>Burak Ücöz</t>
        </is>
      </c>
      <c r="P165" s="19" t="inlineStr">
        <is>
          <t>Erstgespräch planen</t>
        </is>
      </c>
      <c r="Q165" s="25">
        <f>IF(G165="Gewonnen","✅",IF(G165="Verloren","⬛",IF(N165&lt;=14,"🔴",IF(N165&lt;=45,"🟡","🟢"))))</f>
        <v/>
      </c>
    </row>
    <row r="166" ht="20" customHeight="1">
      <c r="A166" s="26" t="inlineStr">
        <is>
          <t>D-1162</t>
        </is>
      </c>
      <c r="B166" s="27" t="inlineStr">
        <is>
          <t>Industrie Huber Genf</t>
        </is>
      </c>
      <c r="C166" s="27" t="inlineStr">
        <is>
          <t>B. Huber</t>
        </is>
      </c>
      <c r="D166" s="27" t="inlineStr">
        <is>
          <t>Basel</t>
        </is>
      </c>
      <c r="E166" s="27" t="inlineStr">
        <is>
          <t>Industrie</t>
        </is>
      </c>
      <c r="F166" s="27" t="inlineStr">
        <is>
          <t>Lastmanagement-System</t>
        </is>
      </c>
      <c r="G166" s="27" t="inlineStr">
        <is>
          <t>Verloren</t>
        </is>
      </c>
      <c r="H166" s="27" t="inlineStr">
        <is>
          <t>Hoch</t>
        </is>
      </c>
      <c r="I166" s="28" t="n">
        <v>634000</v>
      </c>
      <c r="J166" s="29">
        <f>IFERROR(_xlfn.XLOOKUP(G166,Listen!$A$5:$A$10,Listen!$B$5:$B$10),VLOOKUP(G166,Listen!$A$5:$B$10,2,FALSE))</f>
        <v/>
      </c>
      <c r="K166" s="30">
        <f>I166*J166</f>
        <v/>
      </c>
      <c r="L166" s="31" t="n">
        <v>46177</v>
      </c>
      <c r="M166" s="31" t="n">
        <v>46177</v>
      </c>
      <c r="N166" s="32">
        <f>IF(OR(G166="Gewonnen",G166="Verloren"),"—",M166-TODAY())</f>
        <v/>
      </c>
      <c r="O166" s="27" t="inlineStr">
        <is>
          <t>S. Meier</t>
        </is>
      </c>
      <c r="P166" s="27" t="inlineStr">
        <is>
          <t>Angebot erstellen</t>
        </is>
      </c>
      <c r="Q166" s="33">
        <f>IF(G166="Gewonnen","✅",IF(G166="Verloren","⬛",IF(N166&lt;=14,"🔴",IF(N166&lt;=45,"🟡","🟢"))))</f>
        <v/>
      </c>
    </row>
    <row r="167" ht="20" customHeight="1">
      <c r="A167" s="18" t="inlineStr">
        <is>
          <t>D-1163</t>
        </is>
      </c>
      <c r="B167" s="19" t="inlineStr">
        <is>
          <t>Garage Fischer Aarau</t>
        </is>
      </c>
      <c r="C167" s="19" t="inlineStr">
        <is>
          <t>C. Rossi</t>
        </is>
      </c>
      <c r="D167" s="19" t="inlineStr">
        <is>
          <t>Tessin</t>
        </is>
      </c>
      <c r="E167" s="19" t="inlineStr">
        <is>
          <t>Tankstellen</t>
        </is>
      </c>
      <c r="F167" s="19" t="inlineStr">
        <is>
          <t>DC-HPC 150 kW</t>
        </is>
      </c>
      <c r="G167" s="19" t="inlineStr">
        <is>
          <t>Angebot</t>
        </is>
      </c>
      <c r="H167" s="19" t="inlineStr">
        <is>
          <t>Mittel</t>
        </is>
      </c>
      <c r="I167" s="20" t="n">
        <v>228000</v>
      </c>
      <c r="J167" s="21">
        <f>IFERROR(_xlfn.XLOOKUP(G167,Listen!$A$5:$A$10,Listen!$B$5:$B$10),VLOOKUP(G167,Listen!$A$5:$B$10,2,FALSE))</f>
        <v/>
      </c>
      <c r="K167" s="22">
        <f>I167*J167</f>
        <v/>
      </c>
      <c r="L167" s="23" t="n">
        <v>46166</v>
      </c>
      <c r="M167" s="23" t="n">
        <v>46257</v>
      </c>
      <c r="N167" s="24">
        <f>IF(OR(G167="Gewonnen",G167="Verloren"),"—",M167-TODAY())</f>
        <v/>
      </c>
      <c r="O167" s="19" t="inlineStr">
        <is>
          <t>L. Rossi</t>
        </is>
      </c>
      <c r="P167" s="19" t="inlineStr">
        <is>
          <t>Angebot nachfassen</t>
        </is>
      </c>
      <c r="Q167" s="25">
        <f>IF(G167="Gewonnen","✅",IF(G167="Verloren","⬛",IF(N167&lt;=14,"🔴",IF(N167&lt;=45,"🟡","🟢"))))</f>
        <v/>
      </c>
    </row>
    <row r="168" ht="20" customHeight="1">
      <c r="A168" s="26" t="inlineStr">
        <is>
          <t>D-1164</t>
        </is>
      </c>
      <c r="B168" s="27" t="inlineStr">
        <is>
          <t>Fuhrpark Vogel Winterthur</t>
        </is>
      </c>
      <c r="C168" s="27" t="inlineStr">
        <is>
          <t>D. Baumann</t>
        </is>
      </c>
      <c r="D168" s="27" t="inlineStr">
        <is>
          <t>Zürich</t>
        </is>
      </c>
      <c r="E168" s="27" t="inlineStr">
        <is>
          <t>Flottenbetrieb</t>
        </is>
      </c>
      <c r="F168" s="27" t="inlineStr">
        <is>
          <t>DC-Schnelllader 60 kW</t>
        </is>
      </c>
      <c r="G168" s="27" t="inlineStr">
        <is>
          <t>Lead</t>
        </is>
      </c>
      <c r="H168" s="27" t="inlineStr">
        <is>
          <t>Niedrig</t>
        </is>
      </c>
      <c r="I168" s="28" t="n">
        <v>487000</v>
      </c>
      <c r="J168" s="29">
        <f>IFERROR(_xlfn.XLOOKUP(G168,Listen!$A$5:$A$10,Listen!$B$5:$B$10),VLOOKUP(G168,Listen!$A$5:$B$10,2,FALSE))</f>
        <v/>
      </c>
      <c r="K168" s="30">
        <f>I168*J168</f>
        <v/>
      </c>
      <c r="L168" s="31" t="n">
        <v>46155</v>
      </c>
      <c r="M168" s="31" t="n">
        <v>46270</v>
      </c>
      <c r="N168" s="32">
        <f>IF(OR(G168="Gewonnen",G168="Verloren"),"—",M168-TODAY())</f>
        <v/>
      </c>
      <c r="O168" s="27" t="inlineStr">
        <is>
          <t>N. Keller</t>
        </is>
      </c>
      <c r="P168" s="27" t="inlineStr">
        <is>
          <t>Standort-Audit terminieren</t>
        </is>
      </c>
      <c r="Q168" s="33">
        <f>IF(G168="Gewonnen","✅",IF(G168="Verloren","⬛",IF(N168&lt;=14,"🔴",IF(N168&lt;=45,"🟡","🟢"))))</f>
        <v/>
      </c>
    </row>
    <row r="169" ht="20" customHeight="1">
      <c r="A169" s="18" t="inlineStr">
        <is>
          <t>D-1165</t>
        </is>
      </c>
      <c r="B169" s="19" t="inlineStr">
        <is>
          <t>Center Suter Lausanne</t>
        </is>
      </c>
      <c r="C169" s="19" t="inlineStr">
        <is>
          <t>E. Suter</t>
        </is>
      </c>
      <c r="D169" s="19" t="inlineStr">
        <is>
          <t>Genf</t>
        </is>
      </c>
      <c r="E169" s="19" t="inlineStr">
        <is>
          <t>Detailhandel</t>
        </is>
      </c>
      <c r="F169" s="19" t="inlineStr">
        <is>
          <t>AC-Ladestation 22 kW</t>
        </is>
      </c>
      <c r="G169" s="19" t="inlineStr">
        <is>
          <t>Lead</t>
        </is>
      </c>
      <c r="H169" s="19" t="inlineStr">
        <is>
          <t>Hoch</t>
        </is>
      </c>
      <c r="I169" s="20" t="n">
        <v>81000</v>
      </c>
      <c r="J169" s="21">
        <f>IFERROR(_xlfn.XLOOKUP(G169,Listen!$A$5:$A$10,Listen!$B$5:$B$10),VLOOKUP(G169,Listen!$A$5:$B$10,2,FALSE))</f>
        <v/>
      </c>
      <c r="K169" s="22">
        <f>I169*J169</f>
        <v/>
      </c>
      <c r="L169" s="23" t="n">
        <v>46144</v>
      </c>
      <c r="M169" s="23" t="n">
        <v>46283</v>
      </c>
      <c r="N169" s="24">
        <f>IF(OR(G169="Gewonnen",G169="Verloren"),"—",M169-TODAY())</f>
        <v/>
      </c>
      <c r="O169" s="19" t="inlineStr">
        <is>
          <t>A. Favre</t>
        </is>
      </c>
      <c r="P169" s="19" t="inlineStr">
        <is>
          <t>Entscheider treffen</t>
        </is>
      </c>
      <c r="Q169" s="25">
        <f>IF(G169="Gewonnen","✅",IF(G169="Verloren","⬛",IF(N169&lt;=14,"🔴",IF(N169&lt;=45,"🟡","🟢"))))</f>
        <v/>
      </c>
    </row>
    <row r="170" ht="20" customHeight="1">
      <c r="A170" s="26" t="inlineStr">
        <is>
          <t>D-1166</t>
        </is>
      </c>
      <c r="B170" s="27" t="inlineStr">
        <is>
          <t>Spedition Marti Zug</t>
        </is>
      </c>
      <c r="C170" s="27" t="inlineStr">
        <is>
          <t>F. Wyss</t>
        </is>
      </c>
      <c r="D170" s="27" t="inlineStr">
        <is>
          <t>St. Gallen</t>
        </is>
      </c>
      <c r="E170" s="27" t="inlineStr">
        <is>
          <t>Logistik</t>
        </is>
      </c>
      <c r="F170" s="27" t="inlineStr">
        <is>
          <t>PV + Speicher Kombi</t>
        </is>
      </c>
      <c r="G170" s="27" t="inlineStr">
        <is>
          <t>Qualifiziert</t>
        </is>
      </c>
      <c r="H170" s="27" t="inlineStr">
        <is>
          <t>Mittel</t>
        </is>
      </c>
      <c r="I170" s="28" t="n">
        <v>340000</v>
      </c>
      <c r="J170" s="29">
        <f>IFERROR(_xlfn.XLOOKUP(G170,Listen!$A$5:$A$10,Listen!$B$5:$B$10),VLOOKUP(G170,Listen!$A$5:$B$10,2,FALSE))</f>
        <v/>
      </c>
      <c r="K170" s="30">
        <f>I170*J170</f>
        <v/>
      </c>
      <c r="L170" s="31" t="n">
        <v>46133</v>
      </c>
      <c r="M170" s="31" t="n">
        <v>46296</v>
      </c>
      <c r="N170" s="32">
        <f>IF(OR(G170="Gewonnen",G170="Verloren"),"—",M170-TODAY())</f>
        <v/>
      </c>
      <c r="O170" s="27" t="inlineStr">
        <is>
          <t>Burak Ücöz</t>
        </is>
      </c>
      <c r="P170" s="27" t="inlineStr">
        <is>
          <t>Business-Case rechnen</t>
        </is>
      </c>
      <c r="Q170" s="33">
        <f>IF(G170="Gewonnen","✅",IF(G170="Verloren","⬛",IF(N170&lt;=14,"🔴",IF(N170&lt;=45,"🟡","🟢"))))</f>
        <v/>
      </c>
    </row>
    <row r="171" ht="20" customHeight="1">
      <c r="A171" s="18" t="inlineStr">
        <is>
          <t>D-1167</t>
        </is>
      </c>
      <c r="B171" s="19" t="inlineStr">
        <is>
          <t>Areal Steiner Bern</t>
        </is>
      </c>
      <c r="C171" s="19" t="inlineStr">
        <is>
          <t>G. Schmid</t>
        </is>
      </c>
      <c r="D171" s="19" t="inlineStr">
        <is>
          <t>Wallis</t>
        </is>
      </c>
      <c r="E171" s="19" t="inlineStr">
        <is>
          <t>Immobilien</t>
        </is>
      </c>
      <c r="F171" s="19" t="inlineStr">
        <is>
          <t>Full-Service Betrieb</t>
        </is>
      </c>
      <c r="G171" s="19" t="inlineStr">
        <is>
          <t>Angebot</t>
        </is>
      </c>
      <c r="H171" s="19" t="inlineStr">
        <is>
          <t>Niedrig</t>
        </is>
      </c>
      <c r="I171" s="20" t="n">
        <v>599000</v>
      </c>
      <c r="J171" s="21">
        <f>IFERROR(_xlfn.XLOOKUP(G171,Listen!$A$5:$A$10,Listen!$B$5:$B$10),VLOOKUP(G171,Listen!$A$5:$B$10,2,FALSE))</f>
        <v/>
      </c>
      <c r="K171" s="22">
        <f>I171*J171</f>
        <v/>
      </c>
      <c r="L171" s="23" t="n">
        <v>46122</v>
      </c>
      <c r="M171" s="23" t="n">
        <v>46309</v>
      </c>
      <c r="N171" s="24">
        <f>IF(OR(G171="Gewonnen",G171="Verloren"),"—",M171-TODAY())</f>
        <v/>
      </c>
      <c r="O171" s="19" t="inlineStr">
        <is>
          <t>S. Meier</t>
        </is>
      </c>
      <c r="P171" s="19" t="inlineStr">
        <is>
          <t>Referenz anbieten</t>
        </is>
      </c>
      <c r="Q171" s="25">
        <f>IF(G171="Gewonnen","✅",IF(G171="Verloren","⬛",IF(N171&lt;=14,"🔴",IF(N171&lt;=45,"🟡","🟢"))))</f>
        <v/>
      </c>
    </row>
    <row r="172" ht="20" customHeight="1">
      <c r="A172" s="26" t="inlineStr">
        <is>
          <t>D-1168</t>
        </is>
      </c>
      <c r="B172" s="27" t="inlineStr">
        <is>
          <t>Resort Moser Lugano</t>
        </is>
      </c>
      <c r="C172" s="27" t="inlineStr">
        <is>
          <t>H. Moser</t>
        </is>
      </c>
      <c r="D172" s="27" t="inlineStr">
        <is>
          <t>Waadt</t>
        </is>
      </c>
      <c r="E172" s="27" t="inlineStr">
        <is>
          <t>Hotellerie</t>
        </is>
      </c>
      <c r="F172" s="27" t="inlineStr">
        <is>
          <t>Lastmanagement-System</t>
        </is>
      </c>
      <c r="G172" s="27" t="inlineStr">
        <is>
          <t>Verhandlung</t>
        </is>
      </c>
      <c r="H172" s="27" t="inlineStr">
        <is>
          <t>Hoch</t>
        </is>
      </c>
      <c r="I172" s="28" t="n">
        <v>193000</v>
      </c>
      <c r="J172" s="29">
        <f>IFERROR(_xlfn.XLOOKUP(G172,Listen!$A$5:$A$10,Listen!$B$5:$B$10),VLOOKUP(G172,Listen!$A$5:$B$10,2,FALSE))</f>
        <v/>
      </c>
      <c r="K172" s="30">
        <f>I172*J172</f>
        <v/>
      </c>
      <c r="L172" s="31" t="n">
        <v>46111</v>
      </c>
      <c r="M172" s="31" t="n">
        <v>46322</v>
      </c>
      <c r="N172" s="32">
        <f>IF(OR(G172="Gewonnen",G172="Verloren"),"—",M172-TODAY())</f>
        <v/>
      </c>
      <c r="O172" s="27" t="inlineStr">
        <is>
          <t>L. Rossi</t>
        </is>
      </c>
      <c r="P172" s="27" t="inlineStr">
        <is>
          <t>Vertrag vorbereiten</t>
        </is>
      </c>
      <c r="Q172" s="33">
        <f>IF(G172="Gewonnen","✅",IF(G172="Verloren","⬛",IF(N172&lt;=14,"🔴",IF(N172&lt;=45,"🟡","🟢"))))</f>
        <v/>
      </c>
    </row>
    <row r="173" ht="20" customHeight="1">
      <c r="A173" s="18" t="inlineStr">
        <is>
          <t>D-1169</t>
        </is>
      </c>
      <c r="B173" s="19" t="inlineStr">
        <is>
          <t>Stadtwerke Weber Baden</t>
        </is>
      </c>
      <c r="C173" s="19" t="inlineStr">
        <is>
          <t>J. Kern</t>
        </is>
      </c>
      <c r="D173" s="19" t="inlineStr">
        <is>
          <t>Aargau</t>
        </is>
      </c>
      <c r="E173" s="19" t="inlineStr">
        <is>
          <t>Öffentliche Hand</t>
        </is>
      </c>
      <c r="F173" s="19" t="inlineStr">
        <is>
          <t>DC-HPC 150 kW</t>
        </is>
      </c>
      <c r="G173" s="19" t="inlineStr">
        <is>
          <t>Qualifiziert</t>
        </is>
      </c>
      <c r="H173" s="19" t="inlineStr">
        <is>
          <t>Mittel</t>
        </is>
      </c>
      <c r="I173" s="20" t="n">
        <v>452000</v>
      </c>
      <c r="J173" s="21">
        <f>IFERROR(_xlfn.XLOOKUP(G173,Listen!$A$5:$A$10,Listen!$B$5:$B$10),VLOOKUP(G173,Listen!$A$5:$B$10,2,FALSE))</f>
        <v/>
      </c>
      <c r="K173" s="22">
        <f>I173*J173</f>
        <v/>
      </c>
      <c r="L173" s="23" t="n">
        <v>46100</v>
      </c>
      <c r="M173" s="23" t="n">
        <v>46335</v>
      </c>
      <c r="N173" s="24">
        <f>IF(OR(G173="Gewonnen",G173="Verloren"),"—",M173-TODAY())</f>
        <v/>
      </c>
      <c r="O173" s="19" t="inlineStr">
        <is>
          <t>N. Keller</t>
        </is>
      </c>
      <c r="P173" s="19" t="inlineStr">
        <is>
          <t>Pilot definieren</t>
        </is>
      </c>
      <c r="Q173" s="25">
        <f>IF(G173="Gewonnen","✅",IF(G173="Verloren","⬛",IF(N173&lt;=14,"🔴",IF(N173&lt;=45,"🟡","🟢"))))</f>
        <v/>
      </c>
    </row>
    <row r="174" ht="20" customHeight="1">
      <c r="A174" s="26" t="inlineStr">
        <is>
          <t>D-1170</t>
        </is>
      </c>
      <c r="B174" s="27" t="inlineStr">
        <is>
          <t>Industrie Berger Thun</t>
        </is>
      </c>
      <c r="C174" s="27" t="inlineStr">
        <is>
          <t>K. Egli</t>
        </is>
      </c>
      <c r="D174" s="27" t="inlineStr">
        <is>
          <t>Luzern</t>
        </is>
      </c>
      <c r="E174" s="27" t="inlineStr">
        <is>
          <t>Industrie</t>
        </is>
      </c>
      <c r="F174" s="27" t="inlineStr">
        <is>
          <t>DC-Schnelllader 60 kW</t>
        </is>
      </c>
      <c r="G174" s="27" t="inlineStr">
        <is>
          <t>Angebot</t>
        </is>
      </c>
      <c r="H174" s="27" t="inlineStr">
        <is>
          <t>Niedrig</t>
        </is>
      </c>
      <c r="I174" s="28" t="n">
        <v>46000</v>
      </c>
      <c r="J174" s="29">
        <f>IFERROR(_xlfn.XLOOKUP(G174,Listen!$A$5:$A$10,Listen!$B$5:$B$10),VLOOKUP(G174,Listen!$A$5:$B$10,2,FALSE))</f>
        <v/>
      </c>
      <c r="K174" s="30">
        <f>I174*J174</f>
        <v/>
      </c>
      <c r="L174" s="31" t="n">
        <v>46089</v>
      </c>
      <c r="M174" s="31" t="n">
        <v>46348</v>
      </c>
      <c r="N174" s="32">
        <f>IF(OR(G174="Gewonnen",G174="Verloren"),"—",M174-TODAY())</f>
        <v/>
      </c>
      <c r="O174" s="27" t="inlineStr">
        <is>
          <t>A. Favre</t>
        </is>
      </c>
      <c r="P174" s="27" t="inlineStr">
        <is>
          <t>Bedarf klären</t>
        </is>
      </c>
      <c r="Q174" s="33">
        <f>IF(G174="Gewonnen","✅",IF(G174="Verloren","⬛",IF(N174&lt;=14,"🔴",IF(N174&lt;=45,"🟡","🟢"))))</f>
        <v/>
      </c>
    </row>
    <row r="175" ht="20" customHeight="1">
      <c r="A175" s="18" t="inlineStr">
        <is>
          <t>D-1171</t>
        </is>
      </c>
      <c r="B175" s="19" t="inlineStr">
        <is>
          <t>Garage Meier Chur</t>
        </is>
      </c>
      <c r="C175" s="19" t="inlineStr">
        <is>
          <t>L. Meier</t>
        </is>
      </c>
      <c r="D175" s="19" t="inlineStr">
        <is>
          <t>Bern</t>
        </is>
      </c>
      <c r="E175" s="19" t="inlineStr">
        <is>
          <t>Tankstellen</t>
        </is>
      </c>
      <c r="F175" s="19" t="inlineStr">
        <is>
          <t>AC-Ladestation 22 kW</t>
        </is>
      </c>
      <c r="G175" s="19" t="inlineStr">
        <is>
          <t>Gewonnen</t>
        </is>
      </c>
      <c r="H175" s="19" t="inlineStr">
        <is>
          <t>Hoch</t>
        </is>
      </c>
      <c r="I175" s="20" t="n">
        <v>305000</v>
      </c>
      <c r="J175" s="21">
        <f>IFERROR(_xlfn.XLOOKUP(G175,Listen!$A$5:$A$10,Listen!$B$5:$B$10),VLOOKUP(G175,Listen!$A$5:$B$10,2,FALSE))</f>
        <v/>
      </c>
      <c r="K175" s="22">
        <f>I175*J175</f>
        <v/>
      </c>
      <c r="L175" s="23" t="n">
        <v>46078</v>
      </c>
      <c r="M175" s="23" t="n">
        <v>46174</v>
      </c>
      <c r="N175" s="24">
        <f>IF(OR(G175="Gewonnen",G175="Verloren"),"—",M175-TODAY())</f>
        <v/>
      </c>
      <c r="O175" s="19" t="inlineStr">
        <is>
          <t>Burak Ücöz</t>
        </is>
      </c>
      <c r="P175" s="19" t="inlineStr">
        <is>
          <t>Erstgespräch planen</t>
        </is>
      </c>
      <c r="Q175" s="25">
        <f>IF(G175="Gewonnen","✅",IF(G175="Verloren","⬛",IF(N175&lt;=14,"🔴",IF(N175&lt;=45,"🟡","🟢"))))</f>
        <v/>
      </c>
    </row>
    <row r="176" ht="20" customHeight="1">
      <c r="A176" s="26" t="inlineStr">
        <is>
          <t>D-1172</t>
        </is>
      </c>
      <c r="B176" s="27" t="inlineStr">
        <is>
          <t>Fuhrpark Zünd Olten</t>
        </is>
      </c>
      <c r="C176" s="27" t="inlineStr">
        <is>
          <t>M. Huber</t>
        </is>
      </c>
      <c r="D176" s="27" t="inlineStr">
        <is>
          <t>Basel</t>
        </is>
      </c>
      <c r="E176" s="27" t="inlineStr">
        <is>
          <t>Flottenbetrieb</t>
        </is>
      </c>
      <c r="F176" s="27" t="inlineStr">
        <is>
          <t>PV + Speicher Kombi</t>
        </is>
      </c>
      <c r="G176" s="27" t="inlineStr">
        <is>
          <t>Lead</t>
        </is>
      </c>
      <c r="H176" s="27" t="inlineStr">
        <is>
          <t>Mittel</t>
        </is>
      </c>
      <c r="I176" s="28" t="n">
        <v>564000</v>
      </c>
      <c r="J176" s="29">
        <f>IFERROR(_xlfn.XLOOKUP(G176,Listen!$A$5:$A$10,Listen!$B$5:$B$10),VLOOKUP(G176,Listen!$A$5:$B$10,2,FALSE))</f>
        <v/>
      </c>
      <c r="K176" s="30">
        <f>I176*J176</f>
        <v/>
      </c>
      <c r="L176" s="31" t="n">
        <v>46067</v>
      </c>
      <c r="M176" s="31" t="n">
        <v>46224</v>
      </c>
      <c r="N176" s="32">
        <f>IF(OR(G176="Gewonnen",G176="Verloren"),"—",M176-TODAY())</f>
        <v/>
      </c>
      <c r="O176" s="27" t="inlineStr">
        <is>
          <t>S. Meier</t>
        </is>
      </c>
      <c r="P176" s="27" t="inlineStr">
        <is>
          <t>Angebot erstellen</t>
        </is>
      </c>
      <c r="Q176" s="33">
        <f>IF(G176="Gewonnen","✅",IF(G176="Verloren","⬛",IF(N176&lt;=14,"🔴",IF(N176&lt;=45,"🟡","🟢"))))</f>
        <v/>
      </c>
    </row>
    <row r="177" ht="20" customHeight="1">
      <c r="A177" s="18" t="inlineStr">
        <is>
          <t>D-1173</t>
        </is>
      </c>
      <c r="B177" s="19" t="inlineStr">
        <is>
          <t>Center Bühler Basel</t>
        </is>
      </c>
      <c r="C177" s="19" t="inlineStr">
        <is>
          <t>N. Rossi</t>
        </is>
      </c>
      <c r="D177" s="19" t="inlineStr">
        <is>
          <t>Tessin</t>
        </is>
      </c>
      <c r="E177" s="19" t="inlineStr">
        <is>
          <t>Detailhandel</t>
        </is>
      </c>
      <c r="F177" s="19" t="inlineStr">
        <is>
          <t>Full-Service Betrieb</t>
        </is>
      </c>
      <c r="G177" s="19" t="inlineStr">
        <is>
          <t>Verhandlung</t>
        </is>
      </c>
      <c r="H177" s="19" t="inlineStr">
        <is>
          <t>Niedrig</t>
        </is>
      </c>
      <c r="I177" s="20" t="n">
        <v>158000</v>
      </c>
      <c r="J177" s="21">
        <f>IFERROR(_xlfn.XLOOKUP(G177,Listen!$A$5:$A$10,Listen!$B$5:$B$10),VLOOKUP(G177,Listen!$A$5:$B$10,2,FALSE))</f>
        <v/>
      </c>
      <c r="K177" s="22">
        <f>I177*J177</f>
        <v/>
      </c>
      <c r="L177" s="23" t="n">
        <v>46056</v>
      </c>
      <c r="M177" s="23" t="n">
        <v>46237</v>
      </c>
      <c r="N177" s="24">
        <f>IF(OR(G177="Gewonnen",G177="Verloren"),"—",M177-TODAY())</f>
        <v/>
      </c>
      <c r="O177" s="19" t="inlineStr">
        <is>
          <t>L. Rossi</t>
        </is>
      </c>
      <c r="P177" s="19" t="inlineStr">
        <is>
          <t>Angebot nachfassen</t>
        </is>
      </c>
      <c r="Q177" s="25">
        <f>IF(G177="Gewonnen","✅",IF(G177="Verloren","⬛",IF(N177&lt;=14,"🔴",IF(N177&lt;=45,"🟡","🟢"))))</f>
        <v/>
      </c>
    </row>
    <row r="178" ht="20" customHeight="1">
      <c r="A178" s="26" t="inlineStr">
        <is>
          <t>D-1174</t>
        </is>
      </c>
      <c r="B178" s="27" t="inlineStr">
        <is>
          <t>Spedition Baumann Sion</t>
        </is>
      </c>
      <c r="C178" s="27" t="inlineStr">
        <is>
          <t>P. Baumann</t>
        </is>
      </c>
      <c r="D178" s="27" t="inlineStr">
        <is>
          <t>Zürich</t>
        </is>
      </c>
      <c r="E178" s="27" t="inlineStr">
        <is>
          <t>Logistik</t>
        </is>
      </c>
      <c r="F178" s="27" t="inlineStr">
        <is>
          <t>Lastmanagement-System</t>
        </is>
      </c>
      <c r="G178" s="27" t="inlineStr">
        <is>
          <t>Verloren</t>
        </is>
      </c>
      <c r="H178" s="27" t="inlineStr">
        <is>
          <t>Hoch</t>
        </is>
      </c>
      <c r="I178" s="28" t="n">
        <v>417000</v>
      </c>
      <c r="J178" s="29">
        <f>IFERROR(_xlfn.XLOOKUP(G178,Listen!$A$5:$A$10,Listen!$B$5:$B$10),VLOOKUP(G178,Listen!$A$5:$B$10,2,FALSE))</f>
        <v/>
      </c>
      <c r="K178" s="30">
        <f>I178*J178</f>
        <v/>
      </c>
      <c r="L178" s="31" t="n">
        <v>46045</v>
      </c>
      <c r="M178" s="31" t="n">
        <v>46153</v>
      </c>
      <c r="N178" s="32">
        <f>IF(OR(G178="Gewonnen",G178="Verloren"),"—",M178-TODAY())</f>
        <v/>
      </c>
      <c r="O178" s="27" t="inlineStr">
        <is>
          <t>N. Keller</t>
        </is>
      </c>
      <c r="P178" s="27" t="inlineStr">
        <is>
          <t>Standort-Audit terminieren</t>
        </is>
      </c>
      <c r="Q178" s="33">
        <f>IF(G178="Gewonnen","✅",IF(G178="Verloren","⬛",IF(N178&lt;=14,"🔴",IF(N178&lt;=45,"🟡","🟢"))))</f>
        <v/>
      </c>
    </row>
    <row r="179" ht="20" customHeight="1">
      <c r="A179" s="18" t="inlineStr">
        <is>
          <t>D-1175</t>
        </is>
      </c>
      <c r="B179" s="19" t="inlineStr">
        <is>
          <t>Areal Widmer Biel</t>
        </is>
      </c>
      <c r="C179" s="19" t="inlineStr">
        <is>
          <t>R. Suter</t>
        </is>
      </c>
      <c r="D179" s="19" t="inlineStr">
        <is>
          <t>Genf</t>
        </is>
      </c>
      <c r="E179" s="19" t="inlineStr">
        <is>
          <t>Immobilien</t>
        </is>
      </c>
      <c r="F179" s="19" t="inlineStr">
        <is>
          <t>DC-HPC 150 kW</t>
        </is>
      </c>
      <c r="G179" s="19" t="inlineStr">
        <is>
          <t>Angebot</t>
        </is>
      </c>
      <c r="H179" s="19" t="inlineStr">
        <is>
          <t>Mittel</t>
        </is>
      </c>
      <c r="I179" s="20" t="n">
        <v>676000</v>
      </c>
      <c r="J179" s="21">
        <f>IFERROR(_xlfn.XLOOKUP(G179,Listen!$A$5:$A$10,Listen!$B$5:$B$10),VLOOKUP(G179,Listen!$A$5:$B$10,2,FALSE))</f>
        <v/>
      </c>
      <c r="K179" s="22">
        <f>I179*J179</f>
        <v/>
      </c>
      <c r="L179" s="23" t="n">
        <v>46034</v>
      </c>
      <c r="M179" s="23" t="n">
        <v>46263</v>
      </c>
      <c r="N179" s="24">
        <f>IF(OR(G179="Gewonnen",G179="Verloren"),"—",M179-TODAY())</f>
        <v/>
      </c>
      <c r="O179" s="19" t="inlineStr">
        <is>
          <t>A. Favre</t>
        </is>
      </c>
      <c r="P179" s="19" t="inlineStr">
        <is>
          <t>Entscheider treffen</t>
        </is>
      </c>
      <c r="Q179" s="25">
        <f>IF(G179="Gewonnen","✅",IF(G179="Verloren","⬛",IF(N179&lt;=14,"🔴",IF(N179&lt;=45,"🟡","🟢"))))</f>
        <v/>
      </c>
    </row>
    <row r="180" ht="20" customHeight="1">
      <c r="A180" s="26" t="inlineStr">
        <is>
          <t>D-1176</t>
        </is>
      </c>
      <c r="B180" s="27" t="inlineStr">
        <is>
          <t>Resort Frei Luzern</t>
        </is>
      </c>
      <c r="C180" s="27" t="inlineStr">
        <is>
          <t>S. Wyss</t>
        </is>
      </c>
      <c r="D180" s="27" t="inlineStr">
        <is>
          <t>St. Gallen</t>
        </is>
      </c>
      <c r="E180" s="27" t="inlineStr">
        <is>
          <t>Hotellerie</t>
        </is>
      </c>
      <c r="F180" s="27" t="inlineStr">
        <is>
          <t>DC-Schnelllader 60 kW</t>
        </is>
      </c>
      <c r="G180" s="27" t="inlineStr">
        <is>
          <t>Lead</t>
        </is>
      </c>
      <c r="H180" s="27" t="inlineStr">
        <is>
          <t>Niedrig</t>
        </is>
      </c>
      <c r="I180" s="28" t="n">
        <v>270000</v>
      </c>
      <c r="J180" s="29">
        <f>IFERROR(_xlfn.XLOOKUP(G180,Listen!$A$5:$A$10,Listen!$B$5:$B$10),VLOOKUP(G180,Listen!$A$5:$B$10,2,FALSE))</f>
        <v/>
      </c>
      <c r="K180" s="30">
        <f>I180*J180</f>
        <v/>
      </c>
      <c r="L180" s="31" t="n">
        <v>46193</v>
      </c>
      <c r="M180" s="31" t="n">
        <v>46276</v>
      </c>
      <c r="N180" s="32">
        <f>IF(OR(G180="Gewonnen",G180="Verloren"),"—",M180-TODAY())</f>
        <v/>
      </c>
      <c r="O180" s="27" t="inlineStr">
        <is>
          <t>Burak Ücöz</t>
        </is>
      </c>
      <c r="P180" s="27" t="inlineStr">
        <is>
          <t>Business-Case rechnen</t>
        </is>
      </c>
      <c r="Q180" s="33">
        <f>IF(G180="Gewonnen","✅",IF(G180="Verloren","⬛",IF(N180&lt;=14,"🔴",IF(N180&lt;=45,"🟡","🟢"))))</f>
        <v/>
      </c>
    </row>
    <row r="181" ht="20" customHeight="1">
      <c r="A181" s="18" t="inlineStr">
        <is>
          <t>D-1177</t>
        </is>
      </c>
      <c r="B181" s="19" t="inlineStr">
        <is>
          <t>Stadtwerke Schmid Fribourg</t>
        </is>
      </c>
      <c r="C181" s="19" t="inlineStr">
        <is>
          <t>T. Schmid</t>
        </is>
      </c>
      <c r="D181" s="19" t="inlineStr">
        <is>
          <t>Wallis</t>
        </is>
      </c>
      <c r="E181" s="19" t="inlineStr">
        <is>
          <t>Öffentliche Hand</t>
        </is>
      </c>
      <c r="F181" s="19" t="inlineStr">
        <is>
          <t>AC-Ladestation 22 kW</t>
        </is>
      </c>
      <c r="G181" s="19" t="inlineStr">
        <is>
          <t>Lead</t>
        </is>
      </c>
      <c r="H181" s="19" t="inlineStr">
        <is>
          <t>Hoch</t>
        </is>
      </c>
      <c r="I181" s="20" t="n">
        <v>529000</v>
      </c>
      <c r="J181" s="21">
        <f>IFERROR(_xlfn.XLOOKUP(G181,Listen!$A$5:$A$10,Listen!$B$5:$B$10),VLOOKUP(G181,Listen!$A$5:$B$10,2,FALSE))</f>
        <v/>
      </c>
      <c r="K181" s="22">
        <f>I181*J181</f>
        <v/>
      </c>
      <c r="L181" s="23" t="n">
        <v>46182</v>
      </c>
      <c r="M181" s="23" t="n">
        <v>46289</v>
      </c>
      <c r="N181" s="24">
        <f>IF(OR(G181="Gewonnen",G181="Verloren"),"—",M181-TODAY())</f>
        <v/>
      </c>
      <c r="O181" s="19" t="inlineStr">
        <is>
          <t>S. Meier</t>
        </is>
      </c>
      <c r="P181" s="19" t="inlineStr">
        <is>
          <t>Referenz anbieten</t>
        </is>
      </c>
      <c r="Q181" s="25">
        <f>IF(G181="Gewonnen","✅",IF(G181="Verloren","⬛",IF(N181&lt;=14,"🔴",IF(N181&lt;=45,"🟡","🟢"))))</f>
        <v/>
      </c>
    </row>
    <row r="182" ht="20" customHeight="1">
      <c r="A182" s="26" t="inlineStr">
        <is>
          <t>D-1178</t>
        </is>
      </c>
      <c r="B182" s="27" t="inlineStr">
        <is>
          <t>Industrie Müller Solothurn</t>
        </is>
      </c>
      <c r="C182" s="27" t="inlineStr">
        <is>
          <t>U. Moser</t>
        </is>
      </c>
      <c r="D182" s="27" t="inlineStr">
        <is>
          <t>Waadt</t>
        </is>
      </c>
      <c r="E182" s="27" t="inlineStr">
        <is>
          <t>Industrie</t>
        </is>
      </c>
      <c r="F182" s="27" t="inlineStr">
        <is>
          <t>PV + Speicher Kombi</t>
        </is>
      </c>
      <c r="G182" s="27" t="inlineStr">
        <is>
          <t>Qualifiziert</t>
        </is>
      </c>
      <c r="H182" s="27" t="inlineStr">
        <is>
          <t>Mittel</t>
        </is>
      </c>
      <c r="I182" s="28" t="n">
        <v>123000</v>
      </c>
      <c r="J182" s="29">
        <f>IFERROR(_xlfn.XLOOKUP(G182,Listen!$A$5:$A$10,Listen!$B$5:$B$10),VLOOKUP(G182,Listen!$A$5:$B$10,2,FALSE))</f>
        <v/>
      </c>
      <c r="K182" s="30">
        <f>I182*J182</f>
        <v/>
      </c>
      <c r="L182" s="31" t="n">
        <v>46171</v>
      </c>
      <c r="M182" s="31" t="n">
        <v>46302</v>
      </c>
      <c r="N182" s="32">
        <f>IF(OR(G182="Gewonnen",G182="Verloren"),"—",M182-TODAY())</f>
        <v/>
      </c>
      <c r="O182" s="27" t="inlineStr">
        <is>
          <t>L. Rossi</t>
        </is>
      </c>
      <c r="P182" s="27" t="inlineStr">
        <is>
          <t>Vertrag vorbereiten</t>
        </is>
      </c>
      <c r="Q182" s="33">
        <f>IF(G182="Gewonnen","✅",IF(G182="Verloren","⬛",IF(N182&lt;=14,"🔴",IF(N182&lt;=45,"🟡","🟢"))))</f>
        <v/>
      </c>
    </row>
    <row r="183" ht="20" customHeight="1">
      <c r="A183" s="18" t="inlineStr">
        <is>
          <t>D-1179</t>
        </is>
      </c>
      <c r="B183" s="19" t="inlineStr">
        <is>
          <t>Garage Brunner St. Gallen</t>
        </is>
      </c>
      <c r="C183" s="19" t="inlineStr">
        <is>
          <t>V. Kern</t>
        </is>
      </c>
      <c r="D183" s="19" t="inlineStr">
        <is>
          <t>Aargau</t>
        </is>
      </c>
      <c r="E183" s="19" t="inlineStr">
        <is>
          <t>Tankstellen</t>
        </is>
      </c>
      <c r="F183" s="19" t="inlineStr">
        <is>
          <t>Full-Service Betrieb</t>
        </is>
      </c>
      <c r="G183" s="19" t="inlineStr">
        <is>
          <t>Angebot</t>
        </is>
      </c>
      <c r="H183" s="19" t="inlineStr">
        <is>
          <t>Niedrig</t>
        </is>
      </c>
      <c r="I183" s="20" t="n">
        <v>382000</v>
      </c>
      <c r="J183" s="21">
        <f>IFERROR(_xlfn.XLOOKUP(G183,Listen!$A$5:$A$10,Listen!$B$5:$B$10),VLOOKUP(G183,Listen!$A$5:$B$10,2,FALSE))</f>
        <v/>
      </c>
      <c r="K183" s="22">
        <f>I183*J183</f>
        <v/>
      </c>
      <c r="L183" s="23" t="n">
        <v>46160</v>
      </c>
      <c r="M183" s="23" t="n">
        <v>46315</v>
      </c>
      <c r="N183" s="24">
        <f>IF(OR(G183="Gewonnen",G183="Verloren"),"—",M183-TODAY())</f>
        <v/>
      </c>
      <c r="O183" s="19" t="inlineStr">
        <is>
          <t>N. Keller</t>
        </is>
      </c>
      <c r="P183" s="19" t="inlineStr">
        <is>
          <t>Pilot definieren</t>
        </is>
      </c>
      <c r="Q183" s="25">
        <f>IF(G183="Gewonnen","✅",IF(G183="Verloren","⬛",IF(N183&lt;=14,"🔴",IF(N183&lt;=45,"🟡","🟢"))))</f>
        <v/>
      </c>
    </row>
    <row r="184" ht="20" customHeight="1">
      <c r="A184" s="26" t="inlineStr">
        <is>
          <t>D-1180</t>
        </is>
      </c>
      <c r="B184" s="27" t="inlineStr">
        <is>
          <t>Fuhrpark Egli Neuchâtel</t>
        </is>
      </c>
      <c r="C184" s="27" t="inlineStr">
        <is>
          <t>W. Egli</t>
        </is>
      </c>
      <c r="D184" s="27" t="inlineStr">
        <is>
          <t>Luzern</t>
        </is>
      </c>
      <c r="E184" s="27" t="inlineStr">
        <is>
          <t>Flottenbetrieb</t>
        </is>
      </c>
      <c r="F184" s="27" t="inlineStr">
        <is>
          <t>Lastmanagement-System</t>
        </is>
      </c>
      <c r="G184" s="27" t="inlineStr">
        <is>
          <t>Verhandlung</t>
        </is>
      </c>
      <c r="H184" s="27" t="inlineStr">
        <is>
          <t>Hoch</t>
        </is>
      </c>
      <c r="I184" s="28" t="n">
        <v>641000</v>
      </c>
      <c r="J184" s="29">
        <f>IFERROR(_xlfn.XLOOKUP(G184,Listen!$A$5:$A$10,Listen!$B$5:$B$10),VLOOKUP(G184,Listen!$A$5:$B$10,2,FALSE))</f>
        <v/>
      </c>
      <c r="K184" s="30">
        <f>I184*J184</f>
        <v/>
      </c>
      <c r="L184" s="31" t="n">
        <v>46149</v>
      </c>
      <c r="M184" s="31" t="n">
        <v>46328</v>
      </c>
      <c r="N184" s="32">
        <f>IF(OR(G184="Gewonnen",G184="Verloren"),"—",M184-TODAY())</f>
        <v/>
      </c>
      <c r="O184" s="27" t="inlineStr">
        <is>
          <t>A. Favre</t>
        </is>
      </c>
      <c r="P184" s="27" t="inlineStr">
        <is>
          <t>Bedarf klären</t>
        </is>
      </c>
      <c r="Q184" s="33">
        <f>IF(G184="Gewonnen","✅",IF(G184="Verloren","⬛",IF(N184&lt;=14,"🔴",IF(N184&lt;=45,"🟡","🟢"))))</f>
        <v/>
      </c>
    </row>
    <row r="185" ht="22" customHeight="1">
      <c r="B185" s="34" t="inlineStr">
        <is>
          <t>Σ Summe / Forecast</t>
        </is>
      </c>
      <c r="I185" s="35">
        <f>SUBTOTAL(109,I5:I184)</f>
        <v/>
      </c>
      <c r="K185" s="35">
        <f>SUBTOTAL(109,K5:K184)</f>
        <v/>
      </c>
    </row>
  </sheetData>
  <mergeCells count="2">
    <mergeCell ref="A2:Q2"/>
    <mergeCell ref="A1:Q1"/>
  </mergeCells>
  <conditionalFormatting sqref="I5:I184">
    <cfRule type="dataBar" priority="1">
      <dataBar showValue="1">
        <cfvo type="min"/>
        <cfvo type="max"/>
        <color rgb="00E2001A"/>
      </dataBar>
    </cfRule>
  </conditionalFormatting>
  <conditionalFormatting sqref="H5:H184">
    <cfRule type="cellIs" priority="2" operator="equal" dxfId="0">
      <formula>"Hoch"</formula>
    </cfRule>
  </conditionalFormatting>
  <conditionalFormatting sqref="G5:G184">
    <cfRule type="cellIs" priority="3" operator="equal" dxfId="1">
      <formula>"Gewonnen"</formula>
    </cfRule>
    <cfRule type="cellIs" priority="4" operator="equal" dxfId="2">
      <formula>"Verloren"</formula>
    </cfRule>
  </conditionalFormatting>
  <dataValidations count="6">
    <dataValidation sqref="G5:G184" showDropDown="0" showInputMessage="0" showErrorMessage="0" allowBlank="1" errorTitle="Ungültige Eingabe" error="Bitte aus der Liste wählen." prompt="Aus Dropdown wählen" type="list">
      <formula1>=Listen!$I$5:$I$10</formula1>
    </dataValidation>
    <dataValidation sqref="H5:H184" showDropDown="0" showInputMessage="0" showErrorMessage="0" allowBlank="1" errorTitle="Ungültige Eingabe" error="Bitte aus der Liste wählen." prompt="Aus Dropdown wählen" type="list">
      <formula1>=Listen!$D$5:$D$7</formula1>
    </dataValidation>
    <dataValidation sqref="D5:D184" showDropDown="0" showInputMessage="0" showErrorMessage="0" allowBlank="1" errorTitle="Ungültige Eingabe" error="Bitte aus der Liste wählen." prompt="Aus Dropdown wählen" type="list">
      <formula1>=Listen!$E$5:$E$14</formula1>
    </dataValidation>
    <dataValidation sqref="E5:E184" showDropDown="0" showInputMessage="0" showErrorMessage="0" allowBlank="1" errorTitle="Ungültige Eingabe" error="Bitte aus der Liste wählen." prompt="Aus Dropdown wählen" type="list">
      <formula1>=Listen!$F$5:$F$12</formula1>
    </dataValidation>
    <dataValidation sqref="F5:F184" showDropDown="0" showInputMessage="0" showErrorMessage="0" allowBlank="1" errorTitle="Ungültige Eingabe" error="Bitte aus der Liste wählen." prompt="Aus Dropdown wählen" type="list">
      <formula1>=Listen!$G$5:$G$10</formula1>
    </dataValidation>
    <dataValidation sqref="O5:O184" showDropDown="0" showInputMessage="0" showErrorMessage="0" allowBlank="1" errorTitle="Ungültige Eingabe" error="Bitte aus der Liste wählen." prompt="Aus Dropdown wählen" type="list">
      <formula1>=Listen!$H$5:$H$9</formula1>
    </dataValidation>
  </dataValidations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32" customWidth="1" min="4" max="4"/>
    <col width="13" customWidth="1" min="5" max="5"/>
    <col width="12" customWidth="1" min="6" max="6"/>
    <col width="15" customWidth="1" min="7" max="7"/>
    <col width="8" customWidth="1" min="8" max="8"/>
  </cols>
  <sheetData>
    <row r="1" ht="30" customHeight="1">
      <c r="A1" s="16" t="inlineStr">
        <is>
          <t>AKTIVITÄTEN &amp; AUFGABEN</t>
        </is>
      </c>
    </row>
    <row r="2">
      <c r="A2" s="17" t="inlineStr">
        <is>
          <t>Fällige/überfällige Aufgaben werden farblich markiert. Status per Dropdown.</t>
        </is>
      </c>
    </row>
    <row r="4" ht="24" customHeight="1">
      <c r="A4" s="13" t="inlineStr">
        <is>
          <t>Datum</t>
        </is>
      </c>
      <c r="B4" s="13" t="inlineStr">
        <is>
          <t>Firma</t>
        </is>
      </c>
      <c r="C4" s="13" t="inlineStr">
        <is>
          <t>Typ</t>
        </is>
      </c>
      <c r="D4" s="13" t="inlineStr">
        <is>
          <t>Beschreibung</t>
        </is>
      </c>
      <c r="E4" s="13" t="inlineStr">
        <is>
          <t>Fällig am</t>
        </is>
      </c>
      <c r="F4" s="13" t="inlineStr">
        <is>
          <t>Status</t>
        </is>
      </c>
      <c r="G4" s="13" t="inlineStr">
        <is>
          <t>Verantwortlich</t>
        </is>
      </c>
      <c r="H4" s="13" t="inlineStr">
        <is>
          <t>Ampel</t>
        </is>
      </c>
    </row>
    <row r="5" ht="20" customHeight="1">
      <c r="A5" s="36" t="n">
        <v>46206</v>
      </c>
      <c r="B5" s="18" t="inlineStr">
        <is>
          <t>Migros Ostschweiz</t>
        </is>
      </c>
      <c r="C5" s="18" t="inlineStr">
        <is>
          <t>Anruf</t>
        </is>
      </c>
      <c r="D5" s="18" t="inlineStr">
        <is>
          <t>Vertrag final abstimmen</t>
        </is>
      </c>
      <c r="E5" s="36" t="n">
        <v>46198</v>
      </c>
      <c r="F5" s="18" t="inlineStr">
        <is>
          <t>Erledigt</t>
        </is>
      </c>
      <c r="G5" s="18" t="inlineStr">
        <is>
          <t>Burak Ücöz</t>
        </is>
      </c>
      <c r="H5" s="25">
        <f>IF(F5="Erledigt","✅",IF(E5&lt;TODAY(),"🔴",IF(E5&lt;=TODAY()+7,"🟡","🟢")))</f>
        <v/>
      </c>
    </row>
    <row r="6" ht="20" customHeight="1">
      <c r="A6" s="37" t="n">
        <v>46205</v>
      </c>
      <c r="B6" s="26" t="inlineStr">
        <is>
          <t>Planzer Transport</t>
        </is>
      </c>
      <c r="C6" s="26" t="inlineStr">
        <is>
          <t>E-Mail</t>
        </is>
      </c>
      <c r="D6" s="26" t="inlineStr">
        <is>
          <t>Angebot nachfassen</t>
        </is>
      </c>
      <c r="E6" s="37" t="n">
        <v>46207</v>
      </c>
      <c r="F6" s="26" t="inlineStr">
        <is>
          <t>Offen</t>
        </is>
      </c>
      <c r="G6" s="26" t="inlineStr">
        <is>
          <t>Burak Ücöz</t>
        </is>
      </c>
      <c r="H6" s="25">
        <f>IF(F6="Erledigt","✅",IF(E6&lt;TODAY(),"🔴",IF(E6&lt;=TODAY()+7,"🟡","🟢")))</f>
        <v/>
      </c>
    </row>
    <row r="7" ht="20" customHeight="1">
      <c r="A7" s="36" t="n">
        <v>46204</v>
      </c>
      <c r="B7" s="18" t="inlineStr">
        <is>
          <t>SBB Immobilien</t>
        </is>
      </c>
      <c r="C7" s="18" t="inlineStr">
        <is>
          <t>Termin vor Ort</t>
        </is>
      </c>
      <c r="D7" s="18" t="inlineStr">
        <is>
          <t>Standort-Audit terminieren</t>
        </is>
      </c>
      <c r="E7" s="36" t="n">
        <v>46216</v>
      </c>
      <c r="F7" s="18" t="inlineStr">
        <is>
          <t>Offen</t>
        </is>
      </c>
      <c r="G7" s="18" t="inlineStr">
        <is>
          <t>S. Meier</t>
        </is>
      </c>
      <c r="H7" s="25">
        <f>IF(F7="Erledigt","✅",IF(E7&lt;TODAY(),"🔴",IF(E7&lt;=TODAY()+7,"🟡","🟢")))</f>
        <v/>
      </c>
    </row>
    <row r="8" ht="20" customHeight="1">
      <c r="A8" s="37" t="n">
        <v>46203</v>
      </c>
      <c r="B8" s="26" t="inlineStr">
        <is>
          <t>Coop Mineraloel</t>
        </is>
      </c>
      <c r="C8" s="26" t="inlineStr">
        <is>
          <t>Web-Demo</t>
        </is>
      </c>
      <c r="D8" s="26" t="inlineStr">
        <is>
          <t>Preisstaffel bestätigen</t>
        </is>
      </c>
      <c r="E8" s="37" t="n">
        <v>46225</v>
      </c>
      <c r="F8" s="26" t="inlineStr">
        <is>
          <t>Offen</t>
        </is>
      </c>
      <c r="G8" s="26" t="inlineStr">
        <is>
          <t>Burak Ücöz</t>
        </is>
      </c>
      <c r="H8" s="25">
        <f>IF(F8="Erledigt","✅",IF(E8&lt;TODAY(),"🔴",IF(E8&lt;=TODAY()+7,"🟡","🟢")))</f>
        <v/>
      </c>
    </row>
    <row r="9" ht="20" customHeight="1">
      <c r="A9" s="36" t="n">
        <v>46202</v>
      </c>
      <c r="B9" s="18" t="inlineStr">
        <is>
          <t>Hotel Belvédère</t>
        </is>
      </c>
      <c r="C9" s="18" t="inlineStr">
        <is>
          <t>Angebot</t>
        </is>
      </c>
      <c r="D9" s="18" t="inlineStr">
        <is>
          <t>Referenzbesuch anbieten</t>
        </is>
      </c>
      <c r="E9" s="36" t="n">
        <v>46234</v>
      </c>
      <c r="F9" s="18" t="inlineStr">
        <is>
          <t>Erledigt</t>
        </is>
      </c>
      <c r="G9" s="18" t="inlineStr">
        <is>
          <t>L. Rossi</t>
        </is>
      </c>
      <c r="H9" s="25">
        <f>IF(F9="Erledigt","✅",IF(E9&lt;TODAY(),"🔴",IF(E9&lt;=TODAY()+7,"🟡","🟢")))</f>
        <v/>
      </c>
    </row>
    <row r="10" ht="20" customHeight="1">
      <c r="A10" s="37" t="n">
        <v>46201</v>
      </c>
      <c r="B10" s="26" t="inlineStr">
        <is>
          <t>Stadt Zürich TAZ</t>
        </is>
      </c>
      <c r="C10" s="26" t="inlineStr">
        <is>
          <t>Follow-up</t>
        </is>
      </c>
      <c r="D10" s="26" t="inlineStr">
        <is>
          <t>Ausschreibung prüfen</t>
        </is>
      </c>
      <c r="E10" s="37" t="n">
        <v>46203</v>
      </c>
      <c r="F10" s="26" t="inlineStr">
        <is>
          <t>Offen</t>
        </is>
      </c>
      <c r="G10" s="26" t="inlineStr">
        <is>
          <t>N. Keller</t>
        </is>
      </c>
      <c r="H10" s="25">
        <f>IF(F10="Erledigt","✅",IF(E10&lt;TODAY(),"🔴",IF(E10&lt;=TODAY()+7,"🟡","🟢")))</f>
        <v/>
      </c>
    </row>
    <row r="11" ht="20" customHeight="1">
      <c r="A11" s="36" t="n">
        <v>46200</v>
      </c>
      <c r="B11" s="18" t="inlineStr">
        <is>
          <t>Emmi Gruppe</t>
        </is>
      </c>
      <c r="C11" s="18" t="inlineStr">
        <is>
          <t>Anruf</t>
        </is>
      </c>
      <c r="D11" s="18" t="inlineStr">
        <is>
          <t>Erstgespräch vereinbaren</t>
        </is>
      </c>
      <c r="E11" s="36" t="n">
        <v>46212</v>
      </c>
      <c r="F11" s="18" t="inlineStr">
        <is>
          <t>Offen</t>
        </is>
      </c>
      <c r="G11" s="18" t="inlineStr">
        <is>
          <t>S. Meier</t>
        </is>
      </c>
      <c r="H11" s="25">
        <f>IF(F11="Erledigt","✅",IF(E11&lt;TODAY(),"🔴",IF(E11&lt;=TODAY()+7,"🟡","🟢")))</f>
        <v/>
      </c>
    </row>
    <row r="12" ht="20" customHeight="1">
      <c r="A12" s="37" t="n">
        <v>46199</v>
      </c>
      <c r="B12" s="26" t="inlineStr">
        <is>
          <t>Groupe Mutuel</t>
        </is>
      </c>
      <c r="C12" s="26" t="inlineStr">
        <is>
          <t>E-Mail</t>
        </is>
      </c>
      <c r="D12" s="26" t="inlineStr">
        <is>
          <t>Angebot v2 senden</t>
        </is>
      </c>
      <c r="E12" s="37" t="n">
        <v>46221</v>
      </c>
      <c r="F12" s="26" t="inlineStr">
        <is>
          <t>Offen</t>
        </is>
      </c>
      <c r="G12" s="26" t="inlineStr">
        <is>
          <t>A. Favre</t>
        </is>
      </c>
      <c r="H12" s="25">
        <f>IF(F12="Erledigt","✅",IF(E12&lt;TODAY(),"🔴",IF(E12&lt;=TODAY()+7,"🟡","🟢")))</f>
        <v/>
      </c>
    </row>
    <row r="13" ht="20" customHeight="1">
      <c r="A13" s="36" t="n">
        <v>46197</v>
      </c>
      <c r="B13" s="18" t="inlineStr">
        <is>
          <t>Post Fleet</t>
        </is>
      </c>
      <c r="C13" s="18" t="inlineStr">
        <is>
          <t>Web-Demo</t>
        </is>
      </c>
      <c r="D13" s="18" t="inlineStr">
        <is>
          <t>Rahmenvertrag verhandeln</t>
        </is>
      </c>
      <c r="E13" s="36" t="n">
        <v>46199</v>
      </c>
      <c r="F13" s="18" t="inlineStr">
        <is>
          <t>Offen</t>
        </is>
      </c>
      <c r="G13" s="18" t="inlineStr">
        <is>
          <t>Burak Ücöz</t>
        </is>
      </c>
      <c r="H13" s="25">
        <f>IF(F13="Erledigt","✅",IF(E13&lt;TODAY(),"🔴",IF(E13&lt;=TODAY()+7,"🟡","🟢")))</f>
        <v/>
      </c>
    </row>
    <row r="14" ht="20" customHeight="1">
      <c r="A14" s="37" t="n">
        <v>46196</v>
      </c>
      <c r="B14" s="26" t="inlineStr">
        <is>
          <t>TCS Genf</t>
        </is>
      </c>
      <c r="C14" s="26" t="inlineStr">
        <is>
          <t>Angebot</t>
        </is>
      </c>
      <c r="D14" s="26" t="inlineStr">
        <is>
          <t>Bedarf konkretisieren</t>
        </is>
      </c>
      <c r="E14" s="37" t="n">
        <v>46208</v>
      </c>
      <c r="F14" s="26" t="inlineStr">
        <is>
          <t>Offen</t>
        </is>
      </c>
      <c r="G14" s="26" t="inlineStr">
        <is>
          <t>A. Favre</t>
        </is>
      </c>
      <c r="H14" s="25">
        <f>IF(F14="Erledigt","✅",IF(E14&lt;TODAY(),"🔴",IF(E14&lt;=TODAY()+7,"🟡","🟢")))</f>
        <v/>
      </c>
    </row>
    <row r="15" ht="20" customHeight="1">
      <c r="A15" s="36" t="n">
        <v>46195</v>
      </c>
      <c r="B15" s="18" t="inlineStr">
        <is>
          <t>IKEA Spreitenbach</t>
        </is>
      </c>
      <c r="C15" s="18" t="inlineStr">
        <is>
          <t>Follow-up</t>
        </is>
      </c>
      <c r="D15" s="18" t="inlineStr">
        <is>
          <t>Business-Case rechnen</t>
        </is>
      </c>
      <c r="E15" s="36" t="n">
        <v>46217</v>
      </c>
      <c r="F15" s="18" t="inlineStr">
        <is>
          <t>Offen</t>
        </is>
      </c>
      <c r="G15" s="18" t="inlineStr">
        <is>
          <t>S. Meier</t>
        </is>
      </c>
      <c r="H15" s="25">
        <f>IF(F15="Erledigt","✅",IF(E15&lt;TODAY(),"🔴",IF(E15&lt;=TODAY()+7,"🟡","🟢")))</f>
        <v/>
      </c>
    </row>
    <row r="16" ht="20" customHeight="1">
      <c r="A16" s="37" t="n">
        <v>46194</v>
      </c>
      <c r="B16" s="26" t="inlineStr">
        <is>
          <t>Manor AG</t>
        </is>
      </c>
      <c r="C16" s="26" t="inlineStr">
        <is>
          <t>Anruf</t>
        </is>
      </c>
      <c r="D16" s="26" t="inlineStr">
        <is>
          <t>Entscheider identifizieren</t>
        </is>
      </c>
      <c r="E16" s="37" t="n">
        <v>46226</v>
      </c>
      <c r="F16" s="26" t="inlineStr">
        <is>
          <t>Erledigt</t>
        </is>
      </c>
      <c r="G16" s="26" t="inlineStr">
        <is>
          <t>L. Rossi</t>
        </is>
      </c>
      <c r="H16" s="25">
        <f>IF(F16="Erledigt","✅",IF(E16&lt;TODAY(),"🔴",IF(E16&lt;=TODAY()+7,"🟡","🟢")))</f>
        <v/>
      </c>
    </row>
    <row r="17" ht="20" customHeight="1">
      <c r="A17" s="36" t="n">
        <v>46192</v>
      </c>
      <c r="B17" s="18" t="inlineStr">
        <is>
          <t>Autogrill Schweiz</t>
        </is>
      </c>
      <c r="C17" s="18" t="inlineStr">
        <is>
          <t>Termin vor Ort</t>
        </is>
      </c>
      <c r="D17" s="18" t="inlineStr">
        <is>
          <t>Termin CFO fixieren</t>
        </is>
      </c>
      <c r="E17" s="36" t="n">
        <v>46204</v>
      </c>
      <c r="F17" s="18" t="inlineStr">
        <is>
          <t>Offen</t>
        </is>
      </c>
      <c r="G17" s="18" t="inlineStr">
        <is>
          <t>Burak Ücöz</t>
        </is>
      </c>
      <c r="H17" s="25">
        <f>IF(F17="Erledigt","✅",IF(E17&lt;TODAY(),"🔴",IF(E17&lt;=TODAY()+7,"🟡","🟢")))</f>
        <v/>
      </c>
    </row>
    <row r="18" ht="20" customHeight="1">
      <c r="A18" s="37" t="n">
        <v>46190</v>
      </c>
      <c r="B18" s="26" t="inlineStr">
        <is>
          <t>Denner AG</t>
        </is>
      </c>
      <c r="C18" s="26" t="inlineStr">
        <is>
          <t>Angebot</t>
        </is>
      </c>
      <c r="D18" s="26" t="inlineStr">
        <is>
          <t>Standortliste anfordern</t>
        </is>
      </c>
      <c r="E18" s="37" t="n">
        <v>46222</v>
      </c>
      <c r="F18" s="26" t="inlineStr">
        <is>
          <t>Erledigt</t>
        </is>
      </c>
      <c r="G18" s="26" t="inlineStr">
        <is>
          <t>S. Meier</t>
        </is>
      </c>
      <c r="H18" s="25">
        <f>IF(F18="Erledigt","✅",IF(E18&lt;TODAY(),"🔴",IF(E18&lt;=TODAY()+7,"🟡","🟢")))</f>
        <v/>
      </c>
    </row>
    <row r="19" ht="20" customHeight="1">
      <c r="A19" s="36" t="n">
        <v>46189</v>
      </c>
      <c r="B19" s="18" t="inlineStr">
        <is>
          <t>Flughafen Genf</t>
        </is>
      </c>
      <c r="C19" s="18" t="inlineStr">
        <is>
          <t>Follow-up</t>
        </is>
      </c>
      <c r="D19" s="18" t="inlineStr">
        <is>
          <t>Vertragsentwurf senden</t>
        </is>
      </c>
      <c r="E19" s="36" t="n">
        <v>46231</v>
      </c>
      <c r="F19" s="18" t="inlineStr">
        <is>
          <t>Offen</t>
        </is>
      </c>
      <c r="G19" s="18" t="inlineStr">
        <is>
          <t>Burak Ücöz</t>
        </is>
      </c>
      <c r="H19" s="25">
        <f>IF(F19="Erledigt","✅",IF(E19&lt;TODAY(),"🔴",IF(E19&lt;=TODAY()+7,"🟡","🟢")))</f>
        <v/>
      </c>
    </row>
    <row r="20" ht="20" customHeight="1">
      <c r="A20" s="37" t="n">
        <v>46188</v>
      </c>
      <c r="B20" s="26" t="inlineStr">
        <is>
          <t>Valora / avec</t>
        </is>
      </c>
      <c r="C20" s="26" t="inlineStr">
        <is>
          <t>Anruf</t>
        </is>
      </c>
      <c r="D20" s="26" t="inlineStr">
        <is>
          <t>Bedarf klären</t>
        </is>
      </c>
      <c r="E20" s="37" t="n">
        <v>46200</v>
      </c>
      <c r="F20" s="26" t="inlineStr">
        <is>
          <t>Offen</t>
        </is>
      </c>
      <c r="G20" s="26" t="inlineStr">
        <is>
          <t>A. Favre</t>
        </is>
      </c>
      <c r="H20" s="25">
        <f>IF(F20="Erledigt","✅",IF(E20&lt;TODAY(),"🔴",IF(E20&lt;=TODAY()+7,"🟡","🟢")))</f>
        <v/>
      </c>
    </row>
    <row r="21" ht="20" customHeight="1">
      <c r="A21" s="36" t="n">
        <v>46187</v>
      </c>
      <c r="B21" s="18" t="inlineStr">
        <is>
          <t>Aldi Suisse</t>
        </is>
      </c>
      <c r="C21" s="18" t="inlineStr">
        <is>
          <t>E-Mail</t>
        </is>
      </c>
      <c r="D21" s="18" t="inlineStr">
        <is>
          <t>Pilotstandort definieren</t>
        </is>
      </c>
      <c r="E21" s="36" t="n">
        <v>46209</v>
      </c>
      <c r="F21" s="18" t="inlineStr">
        <is>
          <t>Offen</t>
        </is>
      </c>
      <c r="G21" s="18" t="inlineStr">
        <is>
          <t>Burak Ücöz</t>
        </is>
      </c>
      <c r="H21" s="25">
        <f>IF(F21="Erledigt","✅",IF(E21&lt;TODAY(),"🔴",IF(E21&lt;=TODAY()+7,"🟡","🟢")))</f>
        <v/>
      </c>
    </row>
    <row r="22" ht="20" customHeight="1">
      <c r="A22" s="37" t="n">
        <v>46206</v>
      </c>
      <c r="B22" s="26" t="inlineStr">
        <is>
          <t>Coop Genossenschaft</t>
        </is>
      </c>
      <c r="C22" s="26" t="inlineStr">
        <is>
          <t>Termin vor Ort</t>
        </is>
      </c>
      <c r="D22" s="26" t="inlineStr">
        <is>
          <t>Erstgespräch planen</t>
        </is>
      </c>
      <c r="E22" s="37" t="n">
        <v>46218</v>
      </c>
      <c r="F22" s="26" t="inlineStr">
        <is>
          <t>Erledigt</t>
        </is>
      </c>
      <c r="G22" s="26" t="inlineStr">
        <is>
          <t>Burak Ücöz</t>
        </is>
      </c>
      <c r="H22" s="25">
        <f>IF(F22="Erledigt","✅",IF(E22&lt;TODAY(),"🔴",IF(E22&lt;=TODAY()+7,"🟡","🟢")))</f>
        <v/>
      </c>
    </row>
    <row r="23" ht="20" customHeight="1">
      <c r="A23" s="36" t="n">
        <v>46205</v>
      </c>
      <c r="B23" s="18" t="inlineStr">
        <is>
          <t>Migros Aare</t>
        </is>
      </c>
      <c r="C23" s="18" t="inlineStr">
        <is>
          <t>Web-Demo</t>
        </is>
      </c>
      <c r="D23" s="18" t="inlineStr">
        <is>
          <t>Angebot erstellen</t>
        </is>
      </c>
      <c r="E23" s="36" t="n">
        <v>46227</v>
      </c>
      <c r="F23" s="18" t="inlineStr">
        <is>
          <t>Offen</t>
        </is>
      </c>
      <c r="G23" s="18" t="inlineStr">
        <is>
          <t>S. Meier</t>
        </is>
      </c>
      <c r="H23" s="25">
        <f>IF(F23="Erledigt","✅",IF(E23&lt;TODAY(),"🔴",IF(E23&lt;=TODAY()+7,"🟡","🟢")))</f>
        <v/>
      </c>
    </row>
    <row r="24" ht="20" customHeight="1">
      <c r="A24" s="37" t="n">
        <v>46204</v>
      </c>
      <c r="B24" s="26" t="inlineStr">
        <is>
          <t>Spar Schweiz</t>
        </is>
      </c>
      <c r="C24" s="26" t="inlineStr">
        <is>
          <t>Angebot</t>
        </is>
      </c>
      <c r="D24" s="26" t="inlineStr">
        <is>
          <t>Angebot nachfassen</t>
        </is>
      </c>
      <c r="E24" s="37" t="n">
        <v>46236</v>
      </c>
      <c r="F24" s="26" t="inlineStr">
        <is>
          <t>Offen</t>
        </is>
      </c>
      <c r="G24" s="26" t="inlineStr">
        <is>
          <t>L. Rossi</t>
        </is>
      </c>
      <c r="H24" s="25">
        <f>IF(F24="Erledigt","✅",IF(E24&lt;TODAY(),"🔴",IF(E24&lt;=TODAY()+7,"🟡","🟢")))</f>
        <v/>
      </c>
    </row>
    <row r="25" ht="20" customHeight="1">
      <c r="A25" s="36" t="n">
        <v>46203</v>
      </c>
      <c r="B25" s="18" t="inlineStr">
        <is>
          <t>Volg Konsumwaren</t>
        </is>
      </c>
      <c r="C25" s="18" t="inlineStr">
        <is>
          <t>Follow-up</t>
        </is>
      </c>
      <c r="D25" s="18" t="inlineStr">
        <is>
          <t>Standort-Audit terminieren</t>
        </is>
      </c>
      <c r="E25" s="36" t="n">
        <v>46205</v>
      </c>
      <c r="F25" s="18" t="inlineStr">
        <is>
          <t>Offen</t>
        </is>
      </c>
      <c r="G25" s="18" t="inlineStr">
        <is>
          <t>N. Keller</t>
        </is>
      </c>
      <c r="H25" s="25">
        <f>IF(F25="Erledigt","✅",IF(E25&lt;TODAY(),"🔴",IF(E25&lt;=TODAY()+7,"🟡","🟢")))</f>
        <v/>
      </c>
    </row>
    <row r="26" ht="20" customHeight="1">
      <c r="A26" s="37" t="n">
        <v>46202</v>
      </c>
      <c r="B26" s="26" t="inlineStr">
        <is>
          <t>Landi Schweiz</t>
        </is>
      </c>
      <c r="C26" s="26" t="inlineStr">
        <is>
          <t>Anruf</t>
        </is>
      </c>
      <c r="D26" s="26" t="inlineStr">
        <is>
          <t>Entscheider treffen</t>
        </is>
      </c>
      <c r="E26" s="37" t="n">
        <v>46214</v>
      </c>
      <c r="F26" s="26" t="inlineStr">
        <is>
          <t>Erledigt</t>
        </is>
      </c>
      <c r="G26" s="26" t="inlineStr">
        <is>
          <t>A. Favre</t>
        </is>
      </c>
      <c r="H26" s="25">
        <f>IF(F26="Erledigt","✅",IF(E26&lt;TODAY(),"🔴",IF(E26&lt;=TODAY()+7,"🟡","🟢")))</f>
        <v/>
      </c>
    </row>
    <row r="27" ht="20" customHeight="1">
      <c r="A27" s="36" t="n">
        <v>46201</v>
      </c>
      <c r="B27" s="18" t="inlineStr">
        <is>
          <t>Otto's AG</t>
        </is>
      </c>
      <c r="C27" s="18" t="inlineStr">
        <is>
          <t>E-Mail</t>
        </is>
      </c>
      <c r="D27" s="18" t="inlineStr">
        <is>
          <t>Business-Case rechnen</t>
        </is>
      </c>
      <c r="E27" s="36" t="n">
        <v>46223</v>
      </c>
      <c r="F27" s="18" t="inlineStr">
        <is>
          <t>Offen</t>
        </is>
      </c>
      <c r="G27" s="18" t="inlineStr">
        <is>
          <t>Burak Ücöz</t>
        </is>
      </c>
      <c r="H27" s="25">
        <f>IF(F27="Erledigt","✅",IF(E27&lt;TODAY(),"🔴",IF(E27&lt;=TODAY()+7,"🟡","🟢")))</f>
        <v/>
      </c>
    </row>
    <row r="28" ht="20" customHeight="1">
      <c r="A28" s="37" t="n">
        <v>46199</v>
      </c>
      <c r="B28" s="26" t="inlineStr">
        <is>
          <t>Fust AG</t>
        </is>
      </c>
      <c r="C28" s="26" t="inlineStr">
        <is>
          <t>Web-Demo</t>
        </is>
      </c>
      <c r="D28" s="26" t="inlineStr">
        <is>
          <t>Vertrag vorbereiten</t>
        </is>
      </c>
      <c r="E28" s="37" t="n">
        <v>46201</v>
      </c>
      <c r="F28" s="26" t="inlineStr">
        <is>
          <t>Offen</t>
        </is>
      </c>
      <c r="G28" s="26" t="inlineStr">
        <is>
          <t>L. Rossi</t>
        </is>
      </c>
      <c r="H28" s="25">
        <f>IF(F28="Erledigt","✅",IF(E28&lt;TODAY(),"🔴",IF(E28&lt;=TODAY()+7,"🟡","🟢")))</f>
        <v/>
      </c>
    </row>
    <row r="29" ht="20" customHeight="1">
      <c r="A29" s="36" t="n">
        <v>46198</v>
      </c>
      <c r="B29" s="18" t="inlineStr">
        <is>
          <t>Interdiscount</t>
        </is>
      </c>
      <c r="C29" s="18" t="inlineStr">
        <is>
          <t>Angebot</t>
        </is>
      </c>
      <c r="D29" s="18" t="inlineStr">
        <is>
          <t>Pilot definieren</t>
        </is>
      </c>
      <c r="E29" s="36" t="n">
        <v>46210</v>
      </c>
      <c r="F29" s="18" t="inlineStr">
        <is>
          <t>Erledigt</t>
        </is>
      </c>
      <c r="G29" s="18" t="inlineStr">
        <is>
          <t>N. Keller</t>
        </is>
      </c>
      <c r="H29" s="25">
        <f>IF(F29="Erledigt","✅",IF(E29&lt;TODAY(),"🔴",IF(E29&lt;=TODAY()+7,"🟡","🟢")))</f>
        <v/>
      </c>
    </row>
    <row r="30" ht="20" customHeight="1">
      <c r="A30" s="37" t="n">
        <v>46196</v>
      </c>
      <c r="B30" s="26" t="inlineStr">
        <is>
          <t>Jumbo-Markt</t>
        </is>
      </c>
      <c r="C30" s="26" t="inlineStr">
        <is>
          <t>Anruf</t>
        </is>
      </c>
      <c r="D30" s="26" t="inlineStr">
        <is>
          <t>Erstgespräch planen</t>
        </is>
      </c>
      <c r="E30" s="37" t="n">
        <v>46228</v>
      </c>
      <c r="F30" s="26" t="inlineStr">
        <is>
          <t>Offen</t>
        </is>
      </c>
      <c r="G30" s="26" t="inlineStr">
        <is>
          <t>Burak Ücöz</t>
        </is>
      </c>
      <c r="H30" s="25">
        <f>IF(F30="Erledigt","✅",IF(E30&lt;TODAY(),"🔴",IF(E30&lt;=TODAY()+7,"🟡","🟢")))</f>
        <v/>
      </c>
    </row>
    <row r="31" ht="20" customHeight="1">
      <c r="A31" s="36" t="n">
        <v>46195</v>
      </c>
      <c r="B31" s="18" t="inlineStr">
        <is>
          <t>Do it + Garden</t>
        </is>
      </c>
      <c r="C31" s="18" t="inlineStr">
        <is>
          <t>E-Mail</t>
        </is>
      </c>
      <c r="D31" s="18" t="inlineStr">
        <is>
          <t>Angebot erstellen</t>
        </is>
      </c>
      <c r="E31" s="36" t="n">
        <v>46237</v>
      </c>
      <c r="F31" s="18" t="inlineStr">
        <is>
          <t>Offen</t>
        </is>
      </c>
      <c r="G31" s="18" t="inlineStr">
        <is>
          <t>S. Meier</t>
        </is>
      </c>
      <c r="H31" s="25">
        <f>IF(F31="Erledigt","✅",IF(E31&lt;TODAY(),"🔴",IF(E31&lt;=TODAY()+7,"🟡","🟢")))</f>
        <v/>
      </c>
    </row>
    <row r="32" ht="20" customHeight="1">
      <c r="A32" s="37" t="n">
        <v>46194</v>
      </c>
      <c r="B32" s="26" t="inlineStr">
        <is>
          <t>Athleticum</t>
        </is>
      </c>
      <c r="C32" s="26" t="inlineStr">
        <is>
          <t>Termin vor Ort</t>
        </is>
      </c>
      <c r="D32" s="26" t="inlineStr">
        <is>
          <t>Angebot nachfassen</t>
        </is>
      </c>
      <c r="E32" s="37" t="n">
        <v>46206</v>
      </c>
      <c r="F32" s="26" t="inlineStr">
        <is>
          <t>Erledigt</t>
        </is>
      </c>
      <c r="G32" s="26" t="inlineStr">
        <is>
          <t>L. Rossi</t>
        </is>
      </c>
      <c r="H32" s="25">
        <f>IF(F32="Erledigt","✅",IF(E32&lt;TODAY(),"🔴",IF(E32&lt;=TODAY()+7,"🟡","🟢")))</f>
        <v/>
      </c>
    </row>
    <row r="33" ht="20" customHeight="1">
      <c r="A33" s="36" t="n">
        <v>46193</v>
      </c>
      <c r="B33" s="18" t="inlineStr">
        <is>
          <t>Vögele Shoes</t>
        </is>
      </c>
      <c r="C33" s="18" t="inlineStr">
        <is>
          <t>Web-Demo</t>
        </is>
      </c>
      <c r="D33" s="18" t="inlineStr">
        <is>
          <t>Standort-Audit terminieren</t>
        </is>
      </c>
      <c r="E33" s="36" t="n">
        <v>46215</v>
      </c>
      <c r="F33" s="18" t="inlineStr">
        <is>
          <t>Offen</t>
        </is>
      </c>
      <c r="G33" s="18" t="inlineStr">
        <is>
          <t>N. Keller</t>
        </is>
      </c>
      <c r="H33" s="25">
        <f>IF(F33="Erledigt","✅",IF(E33&lt;TODAY(),"🔴",IF(E33&lt;=TODAY()+7,"🟡","🟢")))</f>
        <v/>
      </c>
    </row>
    <row r="34" ht="20" customHeight="1">
      <c r="A34" s="37" t="n">
        <v>46192</v>
      </c>
      <c r="B34" s="26" t="inlineStr">
        <is>
          <t>PKZ Burger-Kehl</t>
        </is>
      </c>
      <c r="C34" s="26" t="inlineStr">
        <is>
          <t>Angebot</t>
        </is>
      </c>
      <c r="D34" s="26" t="inlineStr">
        <is>
          <t>Entscheider treffen</t>
        </is>
      </c>
      <c r="E34" s="37" t="n">
        <v>46224</v>
      </c>
      <c r="F34" s="26" t="inlineStr">
        <is>
          <t>Offen</t>
        </is>
      </c>
      <c r="G34" s="26" t="inlineStr">
        <is>
          <t>A. Favre</t>
        </is>
      </c>
      <c r="H34" s="25">
        <f>IF(F34="Erledigt","✅",IF(E34&lt;TODAY(),"🔴",IF(E34&lt;=TODAY()+7,"🟡","🟢")))</f>
        <v/>
      </c>
    </row>
    <row r="35" ht="20" customHeight="1">
      <c r="A35" s="36" t="n">
        <v>46191</v>
      </c>
      <c r="B35" s="18" t="inlineStr">
        <is>
          <t>Globus</t>
        </is>
      </c>
      <c r="C35" s="18" t="inlineStr">
        <is>
          <t>Follow-up</t>
        </is>
      </c>
      <c r="D35" s="18" t="inlineStr">
        <is>
          <t>Business-Case rechnen</t>
        </is>
      </c>
      <c r="E35" s="36" t="n">
        <v>46233</v>
      </c>
      <c r="F35" s="18" t="inlineStr">
        <is>
          <t>Offen</t>
        </is>
      </c>
      <c r="G35" s="18" t="inlineStr">
        <is>
          <t>Burak Ücöz</t>
        </is>
      </c>
      <c r="H35" s="25">
        <f>IF(F35="Erledigt","✅",IF(E35&lt;TODAY(),"🔴",IF(E35&lt;=TODAY()+7,"🟡","🟢")))</f>
        <v/>
      </c>
    </row>
    <row r="36" ht="20" customHeight="1">
      <c r="A36" s="37" t="n">
        <v>46190</v>
      </c>
      <c r="B36" s="26" t="inlineStr">
        <is>
          <t>Jelmoli</t>
        </is>
      </c>
      <c r="C36" s="26" t="inlineStr">
        <is>
          <t>Anruf</t>
        </is>
      </c>
      <c r="D36" s="26" t="inlineStr">
        <is>
          <t>Referenz anbieten</t>
        </is>
      </c>
      <c r="E36" s="37" t="n">
        <v>46202</v>
      </c>
      <c r="F36" s="26" t="inlineStr">
        <is>
          <t>Erledigt</t>
        </is>
      </c>
      <c r="G36" s="26" t="inlineStr">
        <is>
          <t>S. Meier</t>
        </is>
      </c>
      <c r="H36" s="25">
        <f>IF(F36="Erledigt","✅",IF(E36&lt;TODAY(),"🔴",IF(E36&lt;=TODAY()+7,"🟡","🟢")))</f>
        <v/>
      </c>
    </row>
    <row r="37" ht="20" customHeight="1">
      <c r="A37" s="36" t="n">
        <v>46189</v>
      </c>
      <c r="B37" s="18" t="inlineStr">
        <is>
          <t>Loeb AG</t>
        </is>
      </c>
      <c r="C37" s="18" t="inlineStr">
        <is>
          <t>E-Mail</t>
        </is>
      </c>
      <c r="D37" s="18" t="inlineStr">
        <is>
          <t>Vertrag vorbereiten</t>
        </is>
      </c>
      <c r="E37" s="36" t="n">
        <v>46211</v>
      </c>
      <c r="F37" s="18" t="inlineStr">
        <is>
          <t>Offen</t>
        </is>
      </c>
      <c r="G37" s="18" t="inlineStr">
        <is>
          <t>L. Rossi</t>
        </is>
      </c>
      <c r="H37" s="25">
        <f>IF(F37="Erledigt","✅",IF(E37&lt;TODAY(),"🔴",IF(E37&lt;=TODAY()+7,"🟡","🟢")))</f>
        <v/>
      </c>
    </row>
    <row r="38" ht="20" customHeight="1">
      <c r="A38" s="37" t="n">
        <v>46187</v>
      </c>
      <c r="B38" s="26" t="inlineStr">
        <is>
          <t>Dosenbach-Ochsner</t>
        </is>
      </c>
      <c r="C38" s="26" t="inlineStr">
        <is>
          <t>Web-Demo</t>
        </is>
      </c>
      <c r="D38" s="26" t="inlineStr">
        <is>
          <t>Bedarf klären</t>
        </is>
      </c>
      <c r="E38" s="37" t="n">
        <v>46229</v>
      </c>
      <c r="F38" s="26" t="inlineStr">
        <is>
          <t>Offen</t>
        </is>
      </c>
      <c r="G38" s="26" t="inlineStr">
        <is>
          <t>A. Favre</t>
        </is>
      </c>
      <c r="H38" s="25">
        <f>IF(F38="Erledigt","✅",IF(E38&lt;TODAY(),"🔴",IF(E38&lt;=TODAY()+7,"🟡","🟢")))</f>
        <v/>
      </c>
    </row>
    <row r="39" ht="20" customHeight="1">
      <c r="A39" s="36" t="n">
        <v>46206</v>
      </c>
      <c r="B39" s="18" t="inlineStr">
        <is>
          <t>Lidl Schweiz</t>
        </is>
      </c>
      <c r="C39" s="18" t="inlineStr">
        <is>
          <t>Angebot</t>
        </is>
      </c>
      <c r="D39" s="18" t="inlineStr">
        <is>
          <t>Erstgespräch planen</t>
        </is>
      </c>
      <c r="E39" s="36" t="n">
        <v>46198</v>
      </c>
      <c r="F39" s="18" t="inlineStr">
        <is>
          <t>Erledigt</t>
        </is>
      </c>
      <c r="G39" s="18" t="inlineStr">
        <is>
          <t>Burak Ücöz</t>
        </is>
      </c>
      <c r="H39" s="25">
        <f>IF(F39="Erledigt","✅",IF(E39&lt;TODAY(),"🔴",IF(E39&lt;=TODAY()+7,"🟡","🟢")))</f>
        <v/>
      </c>
    </row>
    <row r="40" ht="20" customHeight="1">
      <c r="A40" s="37" t="n">
        <v>46204</v>
      </c>
      <c r="B40" s="26" t="inlineStr">
        <is>
          <t>Kühne + Nagel</t>
        </is>
      </c>
      <c r="C40" s="26" t="inlineStr">
        <is>
          <t>Anruf</t>
        </is>
      </c>
      <c r="D40" s="26" t="inlineStr">
        <is>
          <t>Angebot nachfassen</t>
        </is>
      </c>
      <c r="E40" s="37" t="n">
        <v>46216</v>
      </c>
      <c r="F40" s="26" t="inlineStr">
        <is>
          <t>Offen</t>
        </is>
      </c>
      <c r="G40" s="26" t="inlineStr">
        <is>
          <t>L. Rossi</t>
        </is>
      </c>
      <c r="H40" s="25">
        <f>IF(F40="Erledigt","✅",IF(E40&lt;TODAY(),"🔴",IF(E40&lt;=TODAY()+7,"🟡","🟢")))</f>
        <v/>
      </c>
    </row>
    <row r="41" ht="20" customHeight="1">
      <c r="A41" s="36" t="n">
        <v>46203</v>
      </c>
      <c r="B41" s="18" t="inlineStr">
        <is>
          <t>Camion Transport</t>
        </is>
      </c>
      <c r="C41" s="18" t="inlineStr">
        <is>
          <t>E-Mail</t>
        </is>
      </c>
      <c r="D41" s="18" t="inlineStr">
        <is>
          <t>Standort-Audit terminieren</t>
        </is>
      </c>
      <c r="E41" s="36" t="n">
        <v>46225</v>
      </c>
      <c r="F41" s="18" t="inlineStr">
        <is>
          <t>Offen</t>
        </is>
      </c>
      <c r="G41" s="18" t="inlineStr">
        <is>
          <t>N. Keller</t>
        </is>
      </c>
      <c r="H41" s="25">
        <f>IF(F41="Erledigt","✅",IF(E41&lt;TODAY(),"🔴",IF(E41&lt;=TODAY()+7,"🟡","🟢")))</f>
        <v/>
      </c>
    </row>
    <row r="42" ht="20" customHeight="1">
      <c r="A42" s="37" t="n">
        <v>46202</v>
      </c>
      <c r="B42" s="26" t="inlineStr">
        <is>
          <t>Galliker Transport</t>
        </is>
      </c>
      <c r="C42" s="26" t="inlineStr">
        <is>
          <t>Termin vor Ort</t>
        </is>
      </c>
      <c r="D42" s="26" t="inlineStr">
        <is>
          <t>Entscheider treffen</t>
        </is>
      </c>
      <c r="E42" s="37" t="n">
        <v>46234</v>
      </c>
      <c r="F42" s="26" t="inlineStr">
        <is>
          <t>Erledigt</t>
        </is>
      </c>
      <c r="G42" s="26" t="inlineStr">
        <is>
          <t>A. Favre</t>
        </is>
      </c>
      <c r="H42" s="25">
        <f>IF(F42="Erledigt","✅",IF(E42&lt;TODAY(),"🔴",IF(E42&lt;=TODAY()+7,"🟡","🟢")))</f>
        <v/>
      </c>
    </row>
    <row r="43" ht="20" customHeight="1">
      <c r="A43" s="36" t="n">
        <v>46201</v>
      </c>
      <c r="B43" s="18" t="inlineStr">
        <is>
          <t>Bertschi AG</t>
        </is>
      </c>
      <c r="C43" s="18" t="inlineStr">
        <is>
          <t>Web-Demo</t>
        </is>
      </c>
      <c r="D43" s="18" t="inlineStr">
        <is>
          <t>Business-Case rechnen</t>
        </is>
      </c>
      <c r="E43" s="36" t="n">
        <v>46203</v>
      </c>
      <c r="F43" s="18" t="inlineStr">
        <is>
          <t>Offen</t>
        </is>
      </c>
      <c r="G43" s="18" t="inlineStr">
        <is>
          <t>Burak Ücöz</t>
        </is>
      </c>
      <c r="H43" s="25">
        <f>IF(F43="Erledigt","✅",IF(E43&lt;TODAY(),"🔴",IF(E43&lt;=TODAY()+7,"🟡","🟢")))</f>
        <v/>
      </c>
    </row>
    <row r="44" ht="20" customHeight="1">
      <c r="A44" s="37" t="n">
        <v>46200</v>
      </c>
      <c r="B44" s="26" t="inlineStr">
        <is>
          <t>Dreier AG</t>
        </is>
      </c>
      <c r="C44" s="26" t="inlineStr">
        <is>
          <t>Angebot</t>
        </is>
      </c>
      <c r="D44" s="26" t="inlineStr">
        <is>
          <t>Referenz anbieten</t>
        </is>
      </c>
      <c r="E44" s="37" t="n">
        <v>46212</v>
      </c>
      <c r="F44" s="26" t="inlineStr">
        <is>
          <t>Offen</t>
        </is>
      </c>
      <c r="G44" s="26" t="inlineStr">
        <is>
          <t>S. Meier</t>
        </is>
      </c>
      <c r="H44" s="25">
        <f>IF(F44="Erledigt","✅",IF(E44&lt;TODAY(),"🔴",IF(E44&lt;=TODAY()+7,"🟡","🟢")))</f>
        <v/>
      </c>
    </row>
    <row r="45" ht="20" customHeight="1">
      <c r="A45" s="36" t="n">
        <v>46199</v>
      </c>
      <c r="B45" s="18" t="inlineStr">
        <is>
          <t>Streck Transport</t>
        </is>
      </c>
      <c r="C45" s="18" t="inlineStr">
        <is>
          <t>Follow-up</t>
        </is>
      </c>
      <c r="D45" s="18" t="inlineStr">
        <is>
          <t>Vertrag vorbereiten</t>
        </is>
      </c>
      <c r="E45" s="36" t="n">
        <v>46221</v>
      </c>
      <c r="F45" s="18" t="inlineStr">
        <is>
          <t>Offen</t>
        </is>
      </c>
      <c r="G45" s="18" t="inlineStr">
        <is>
          <t>L. Rossi</t>
        </is>
      </c>
      <c r="H45" s="25">
        <f>IF(F45="Erledigt","✅",IF(E45&lt;TODAY(),"🔴",IF(E45&lt;=TODAY()+7,"🟡","🟢")))</f>
        <v/>
      </c>
    </row>
    <row r="46" ht="20" customHeight="1">
      <c r="A46" s="37" t="n">
        <v>46198</v>
      </c>
      <c r="B46" s="26" t="inlineStr">
        <is>
          <t>Cargologic</t>
        </is>
      </c>
      <c r="C46" s="26" t="inlineStr">
        <is>
          <t>Anruf</t>
        </is>
      </c>
      <c r="D46" s="26" t="inlineStr">
        <is>
          <t>Pilot definieren</t>
        </is>
      </c>
      <c r="E46" s="37" t="n">
        <v>46230</v>
      </c>
      <c r="F46" s="26" t="inlineStr">
        <is>
          <t>Erledigt</t>
        </is>
      </c>
      <c r="G46" s="26" t="inlineStr">
        <is>
          <t>N. Keller</t>
        </is>
      </c>
      <c r="H46" s="25">
        <f>IF(F46="Erledigt","✅",IF(E46&lt;TODAY(),"🔴",IF(E46&lt;=TODAY()+7,"🟡","🟢")))</f>
        <v/>
      </c>
    </row>
    <row r="47" ht="20" customHeight="1">
      <c r="A47" s="36" t="n">
        <v>46197</v>
      </c>
      <c r="B47" s="18" t="inlineStr">
        <is>
          <t>Swissport</t>
        </is>
      </c>
      <c r="C47" s="18" t="inlineStr">
        <is>
          <t>E-Mail</t>
        </is>
      </c>
      <c r="D47" s="18" t="inlineStr">
        <is>
          <t>Bedarf klären</t>
        </is>
      </c>
      <c r="E47" s="36" t="n">
        <v>46199</v>
      </c>
      <c r="F47" s="18" t="inlineStr">
        <is>
          <t>Offen</t>
        </is>
      </c>
      <c r="G47" s="18" t="inlineStr">
        <is>
          <t>A. Favre</t>
        </is>
      </c>
      <c r="H47" s="25">
        <f>IF(F47="Erledigt","✅",IF(E47&lt;TODAY(),"🔴",IF(E47&lt;=TODAY()+7,"🟡","🟢")))</f>
        <v/>
      </c>
    </row>
    <row r="48" ht="20" customHeight="1">
      <c r="A48" s="37" t="n">
        <v>46195</v>
      </c>
      <c r="B48" s="26" t="inlineStr">
        <is>
          <t>Chr. Cavegn AG</t>
        </is>
      </c>
      <c r="C48" s="26" t="inlineStr">
        <is>
          <t>Web-Demo</t>
        </is>
      </c>
      <c r="D48" s="26" t="inlineStr">
        <is>
          <t>Angebot erstellen</t>
        </is>
      </c>
      <c r="E48" s="37" t="n">
        <v>46217</v>
      </c>
      <c r="F48" s="26" t="inlineStr">
        <is>
          <t>Offen</t>
        </is>
      </c>
      <c r="G48" s="26" t="inlineStr">
        <is>
          <t>S. Meier</t>
        </is>
      </c>
      <c r="H48" s="25">
        <f>IF(F48="Erledigt","✅",IF(E48&lt;TODAY(),"🔴",IF(E48&lt;=TODAY()+7,"🟡","🟢")))</f>
        <v/>
      </c>
    </row>
    <row r="49" ht="20" customHeight="1">
      <c r="A49" s="36" t="n">
        <v>46194</v>
      </c>
      <c r="B49" s="18" t="inlineStr">
        <is>
          <t>Gondrand</t>
        </is>
      </c>
      <c r="C49" s="18" t="inlineStr">
        <is>
          <t>Angebot</t>
        </is>
      </c>
      <c r="D49" s="18" t="inlineStr">
        <is>
          <t>Angebot nachfassen</t>
        </is>
      </c>
      <c r="E49" s="36" t="n">
        <v>46226</v>
      </c>
      <c r="F49" s="18" t="inlineStr">
        <is>
          <t>Erledigt</t>
        </is>
      </c>
      <c r="G49" s="18" t="inlineStr">
        <is>
          <t>L. Rossi</t>
        </is>
      </c>
      <c r="H49" s="25">
        <f>IF(F49="Erledigt","✅",IF(E49&lt;TODAY(),"🔴",IF(E49&lt;=TODAY()+7,"🟡","🟢")))</f>
        <v/>
      </c>
    </row>
    <row r="50" ht="20" customHeight="1">
      <c r="A50" s="37" t="n">
        <v>46192</v>
      </c>
      <c r="B50" s="26" t="inlineStr">
        <is>
          <t>Mobimo</t>
        </is>
      </c>
      <c r="C50" s="26" t="inlineStr">
        <is>
          <t>Anruf</t>
        </is>
      </c>
      <c r="D50" s="26" t="inlineStr">
        <is>
          <t>Entscheider treffen</t>
        </is>
      </c>
      <c r="E50" s="37" t="n">
        <v>46204</v>
      </c>
      <c r="F50" s="26" t="inlineStr">
        <is>
          <t>Offen</t>
        </is>
      </c>
      <c r="G50" s="26" t="inlineStr">
        <is>
          <t>A. Favre</t>
        </is>
      </c>
      <c r="H50" s="25">
        <f>IF(F50="Erledigt","✅",IF(E50&lt;TODAY(),"🔴",IF(E50&lt;=TODAY()+7,"🟡","🟢")))</f>
        <v/>
      </c>
    </row>
    <row r="51" ht="20" customHeight="1">
      <c r="A51" s="36" t="n">
        <v>46191</v>
      </c>
      <c r="B51" s="18" t="inlineStr">
        <is>
          <t>PSP Swiss Property</t>
        </is>
      </c>
      <c r="C51" s="18" t="inlineStr">
        <is>
          <t>E-Mail</t>
        </is>
      </c>
      <c r="D51" s="18" t="inlineStr">
        <is>
          <t>Business-Case rechnen</t>
        </is>
      </c>
      <c r="E51" s="36" t="n">
        <v>46213</v>
      </c>
      <c r="F51" s="18" t="inlineStr">
        <is>
          <t>Offen</t>
        </is>
      </c>
      <c r="G51" s="18" t="inlineStr">
        <is>
          <t>Burak Ücöz</t>
        </is>
      </c>
      <c r="H51" s="25">
        <f>IF(F51="Erledigt","✅",IF(E51&lt;TODAY(),"🔴",IF(E51&lt;=TODAY()+7,"🟡","🟢")))</f>
        <v/>
      </c>
    </row>
    <row r="52" ht="20" customHeight="1">
      <c r="A52" s="37" t="n">
        <v>46190</v>
      </c>
      <c r="B52" s="26" t="inlineStr">
        <is>
          <t>Allreal</t>
        </is>
      </c>
      <c r="C52" s="26" t="inlineStr">
        <is>
          <t>Termin vor Ort</t>
        </is>
      </c>
      <c r="D52" s="26" t="inlineStr">
        <is>
          <t>Referenz anbieten</t>
        </is>
      </c>
      <c r="E52" s="37" t="n">
        <v>46222</v>
      </c>
      <c r="F52" s="26" t="inlineStr">
        <is>
          <t>Erledigt</t>
        </is>
      </c>
      <c r="G52" s="26" t="inlineStr">
        <is>
          <t>S. Meier</t>
        </is>
      </c>
      <c r="H52" s="25">
        <f>IF(F52="Erledigt","✅",IF(E52&lt;TODAY(),"🔴",IF(E52&lt;=TODAY()+7,"🟡","🟢")))</f>
        <v/>
      </c>
    </row>
    <row r="53" ht="20" customHeight="1">
      <c r="A53" s="36" t="n">
        <v>46189</v>
      </c>
      <c r="B53" s="18" t="inlineStr">
        <is>
          <t>Swiss Prime Site</t>
        </is>
      </c>
      <c r="C53" s="18" t="inlineStr">
        <is>
          <t>Web-Demo</t>
        </is>
      </c>
      <c r="D53" s="18" t="inlineStr">
        <is>
          <t>Vertrag vorbereiten</t>
        </is>
      </c>
      <c r="E53" s="36" t="n">
        <v>46231</v>
      </c>
      <c r="F53" s="18" t="inlineStr">
        <is>
          <t>Offen</t>
        </is>
      </c>
      <c r="G53" s="18" t="inlineStr">
        <is>
          <t>L. Rossi</t>
        </is>
      </c>
      <c r="H53" s="25">
        <f>IF(F53="Erledigt","✅",IF(E53&lt;TODAY(),"🔴",IF(E53&lt;=TODAY()+7,"🟡","🟢")))</f>
        <v/>
      </c>
    </row>
    <row r="54" ht="20" customHeight="1">
      <c r="A54" s="37" t="n">
        <v>46188</v>
      </c>
      <c r="B54" s="26" t="inlineStr">
        <is>
          <t>Zug Estates</t>
        </is>
      </c>
      <c r="C54" s="26" t="inlineStr">
        <is>
          <t>Angebot</t>
        </is>
      </c>
      <c r="D54" s="26" t="inlineStr">
        <is>
          <t>Pilot definieren</t>
        </is>
      </c>
      <c r="E54" s="37" t="n">
        <v>46200</v>
      </c>
      <c r="F54" s="26" t="inlineStr">
        <is>
          <t>Offen</t>
        </is>
      </c>
      <c r="G54" s="26" t="inlineStr">
        <is>
          <t>N. Keller</t>
        </is>
      </c>
      <c r="H54" s="25">
        <f>IF(F54="Erledigt","✅",IF(E54&lt;TODAY(),"🔴",IF(E54&lt;=TODAY()+7,"🟡","🟢")))</f>
        <v/>
      </c>
    </row>
    <row r="55" ht="20" customHeight="1">
      <c r="A55" s="36" t="n">
        <v>46187</v>
      </c>
      <c r="B55" s="18" t="inlineStr">
        <is>
          <t>Livit</t>
        </is>
      </c>
      <c r="C55" s="18" t="inlineStr">
        <is>
          <t>Follow-up</t>
        </is>
      </c>
      <c r="D55" s="18" t="inlineStr">
        <is>
          <t>Bedarf klären</t>
        </is>
      </c>
      <c r="E55" s="36" t="n">
        <v>46209</v>
      </c>
      <c r="F55" s="18" t="inlineStr">
        <is>
          <t>Offen</t>
        </is>
      </c>
      <c r="G55" s="18" t="inlineStr">
        <is>
          <t>A. Favre</t>
        </is>
      </c>
      <c r="H55" s="25">
        <f>IF(F55="Erledigt","✅",IF(E55&lt;TODAY(),"🔴",IF(E55&lt;=TODAY()+7,"🟡","🟢")))</f>
        <v/>
      </c>
    </row>
    <row r="56" ht="20" customHeight="1">
      <c r="A56" s="37" t="n">
        <v>46206</v>
      </c>
      <c r="B56" s="26" t="inlineStr">
        <is>
          <t>Wincasa</t>
        </is>
      </c>
      <c r="C56" s="26" t="inlineStr">
        <is>
          <t>Anruf</t>
        </is>
      </c>
      <c r="D56" s="26" t="inlineStr">
        <is>
          <t>Erstgespräch planen</t>
        </is>
      </c>
      <c r="E56" s="37" t="n">
        <v>46218</v>
      </c>
      <c r="F56" s="26" t="inlineStr">
        <is>
          <t>Erledigt</t>
        </is>
      </c>
      <c r="G56" s="26" t="inlineStr">
        <is>
          <t>Burak Ücöz</t>
        </is>
      </c>
      <c r="H56" s="25">
        <f>IF(F56="Erledigt","✅",IF(E56&lt;TODAY(),"🔴",IF(E56&lt;=TODAY()+7,"🟡","🟢")))</f>
        <v/>
      </c>
    </row>
    <row r="57" ht="20" customHeight="1">
      <c r="A57" s="36" t="n">
        <v>46205</v>
      </c>
      <c r="B57" s="18" t="inlineStr">
        <is>
          <t>Privera</t>
        </is>
      </c>
      <c r="C57" s="18" t="inlineStr">
        <is>
          <t>E-Mail</t>
        </is>
      </c>
      <c r="D57" s="18" t="inlineStr">
        <is>
          <t>Angebot erstellen</t>
        </is>
      </c>
      <c r="E57" s="36" t="n">
        <v>46227</v>
      </c>
      <c r="F57" s="18" t="inlineStr">
        <is>
          <t>Offen</t>
        </is>
      </c>
      <c r="G57" s="18" t="inlineStr">
        <is>
          <t>S. Meier</t>
        </is>
      </c>
      <c r="H57" s="25">
        <f>IF(F57="Erledigt","✅",IF(E57&lt;TODAY(),"🔴",IF(E57&lt;=TODAY()+7,"🟡","🟢")))</f>
        <v/>
      </c>
    </row>
    <row r="58" ht="20" customHeight="1">
      <c r="A58" s="37" t="n">
        <v>46203</v>
      </c>
      <c r="B58" s="26" t="inlineStr">
        <is>
          <t>Implenia</t>
        </is>
      </c>
      <c r="C58" s="26" t="inlineStr">
        <is>
          <t>Web-Demo</t>
        </is>
      </c>
      <c r="D58" s="26" t="inlineStr">
        <is>
          <t>Standort-Audit terminieren</t>
        </is>
      </c>
      <c r="E58" s="37" t="n">
        <v>46205</v>
      </c>
      <c r="F58" s="26" t="inlineStr">
        <is>
          <t>Offen</t>
        </is>
      </c>
      <c r="G58" s="26" t="inlineStr">
        <is>
          <t>N. Keller</t>
        </is>
      </c>
      <c r="H58" s="25">
        <f>IF(F58="Erledigt","✅",IF(E58&lt;TODAY(),"🔴",IF(E58&lt;=TODAY()+7,"🟡","🟢")))</f>
        <v/>
      </c>
    </row>
    <row r="59" ht="20" customHeight="1">
      <c r="A59" s="36" t="n">
        <v>46202</v>
      </c>
      <c r="B59" s="18" t="inlineStr">
        <is>
          <t>Steiner AG</t>
        </is>
      </c>
      <c r="C59" s="18" t="inlineStr">
        <is>
          <t>Angebot</t>
        </is>
      </c>
      <c r="D59" s="18" t="inlineStr">
        <is>
          <t>Entscheider treffen</t>
        </is>
      </c>
      <c r="E59" s="36" t="n">
        <v>46214</v>
      </c>
      <c r="F59" s="18" t="inlineStr">
        <is>
          <t>Erledigt</t>
        </is>
      </c>
      <c r="G59" s="18" t="inlineStr">
        <is>
          <t>A. Favre</t>
        </is>
      </c>
      <c r="H59" s="25">
        <f>IF(F59="Erledigt","✅",IF(E59&lt;TODAY(),"🔴",IF(E59&lt;=TODAY()+7,"🟡","🟢")))</f>
        <v/>
      </c>
    </row>
    <row r="60" ht="20" customHeight="1">
      <c r="A60" s="37" t="n">
        <v>46200</v>
      </c>
      <c r="B60" s="26" t="inlineStr">
        <is>
          <t>Mövenpick Hotels</t>
        </is>
      </c>
      <c r="C60" s="26" t="inlineStr">
        <is>
          <t>Anruf</t>
        </is>
      </c>
      <c r="D60" s="26" t="inlineStr">
        <is>
          <t>Referenz anbieten</t>
        </is>
      </c>
      <c r="E60" s="37" t="n">
        <v>46232</v>
      </c>
      <c r="F60" s="26" t="inlineStr">
        <is>
          <t>Offen</t>
        </is>
      </c>
      <c r="G60" s="26" t="inlineStr">
        <is>
          <t>S. Meier</t>
        </is>
      </c>
      <c r="H60" s="25">
        <f>IF(F60="Erledigt","✅",IF(E60&lt;TODAY(),"🔴",IF(E60&lt;=TODAY()+7,"🟡","🟢")))</f>
        <v/>
      </c>
    </row>
    <row r="61" ht="20" customHeight="1">
      <c r="A61" s="36" t="n">
        <v>46199</v>
      </c>
      <c r="B61" s="18" t="inlineStr">
        <is>
          <t>Bürgenstock Resort</t>
        </is>
      </c>
      <c r="C61" s="18" t="inlineStr">
        <is>
          <t>E-Mail</t>
        </is>
      </c>
      <c r="D61" s="18" t="inlineStr">
        <is>
          <t>Vertrag vorbereiten</t>
        </is>
      </c>
      <c r="E61" s="36" t="n">
        <v>46201</v>
      </c>
      <c r="F61" s="18" t="inlineStr">
        <is>
          <t>Offen</t>
        </is>
      </c>
      <c r="G61" s="18" t="inlineStr">
        <is>
          <t>L. Rossi</t>
        </is>
      </c>
      <c r="H61" s="25">
        <f>IF(F61="Erledigt","✅",IF(E61&lt;TODAY(),"🔴",IF(E61&lt;=TODAY()+7,"🟡","🟢")))</f>
        <v/>
      </c>
    </row>
    <row r="62" ht="20" customHeight="1">
      <c r="A62" s="37" t="n">
        <v>46198</v>
      </c>
      <c r="B62" s="26" t="inlineStr">
        <is>
          <t>Grand Resort Bad Ragaz</t>
        </is>
      </c>
      <c r="C62" s="26" t="inlineStr">
        <is>
          <t>Termin vor Ort</t>
        </is>
      </c>
      <c r="D62" s="26" t="inlineStr">
        <is>
          <t>Pilot definieren</t>
        </is>
      </c>
      <c r="E62" s="37" t="n">
        <v>46210</v>
      </c>
      <c r="F62" s="26" t="inlineStr">
        <is>
          <t>Erledigt</t>
        </is>
      </c>
      <c r="G62" s="26" t="inlineStr">
        <is>
          <t>N. Keller</t>
        </is>
      </c>
      <c r="H62" s="25">
        <f>IF(F62="Erledigt","✅",IF(E62&lt;TODAY(),"🔴",IF(E62&lt;=TODAY()+7,"🟡","🟢")))</f>
        <v/>
      </c>
    </row>
    <row r="63" ht="20" customHeight="1">
      <c r="A63" s="36" t="n">
        <v>46197</v>
      </c>
      <c r="B63" s="18" t="inlineStr">
        <is>
          <t>The Dolder Grand</t>
        </is>
      </c>
      <c r="C63" s="18" t="inlineStr">
        <is>
          <t>Web-Demo</t>
        </is>
      </c>
      <c r="D63" s="18" t="inlineStr">
        <is>
          <t>Bedarf klären</t>
        </is>
      </c>
      <c r="E63" s="36" t="n">
        <v>46219</v>
      </c>
      <c r="F63" s="18" t="inlineStr">
        <is>
          <t>Offen</t>
        </is>
      </c>
      <c r="G63" s="18" t="inlineStr">
        <is>
          <t>A. Favre</t>
        </is>
      </c>
      <c r="H63" s="25">
        <f>IF(F63="Erledigt","✅",IF(E63&lt;TODAY(),"🔴",IF(E63&lt;=TODAY()+7,"🟡","🟢")))</f>
        <v/>
      </c>
    </row>
    <row r="64" ht="20" customHeight="1">
      <c r="A64" s="37" t="n">
        <v>46196</v>
      </c>
      <c r="B64" s="26" t="inlineStr">
        <is>
          <t>Hotel Schweizerhof</t>
        </is>
      </c>
      <c r="C64" s="26" t="inlineStr">
        <is>
          <t>Angebot</t>
        </is>
      </c>
      <c r="D64" s="26" t="inlineStr">
        <is>
          <t>Erstgespräch planen</t>
        </is>
      </c>
      <c r="E64" s="37" t="n">
        <v>46228</v>
      </c>
      <c r="F64" s="26" t="inlineStr">
        <is>
          <t>Offen</t>
        </is>
      </c>
      <c r="G64" s="26" t="inlineStr">
        <is>
          <t>Burak Ücöz</t>
        </is>
      </c>
      <c r="H64" s="25">
        <f>IF(F64="Erledigt","✅",IF(E64&lt;TODAY(),"🔴",IF(E64&lt;=TODAY()+7,"🟡","🟢")))</f>
        <v/>
      </c>
    </row>
    <row r="65" ht="20" customHeight="1">
      <c r="A65" s="36" t="n">
        <v>46195</v>
      </c>
      <c r="B65" s="18" t="inlineStr">
        <is>
          <t>Kempinski Genf</t>
        </is>
      </c>
      <c r="C65" s="18" t="inlineStr">
        <is>
          <t>Follow-up</t>
        </is>
      </c>
      <c r="D65" s="18" t="inlineStr">
        <is>
          <t>Angebot erstellen</t>
        </is>
      </c>
      <c r="E65" s="36" t="n">
        <v>46237</v>
      </c>
      <c r="F65" s="18" t="inlineStr">
        <is>
          <t>Offen</t>
        </is>
      </c>
      <c r="G65" s="18" t="inlineStr">
        <is>
          <t>S. Meier</t>
        </is>
      </c>
      <c r="H65" s="25">
        <f>IF(F65="Erledigt","✅",IF(E65&lt;TODAY(),"🔴",IF(E65&lt;=TODAY()+7,"🟡","🟢")))</f>
        <v/>
      </c>
    </row>
    <row r="66" ht="20" customHeight="1">
      <c r="A66" s="37" t="n">
        <v>46194</v>
      </c>
      <c r="B66" s="26" t="inlineStr">
        <is>
          <t>25hours Zürich</t>
        </is>
      </c>
      <c r="C66" s="26" t="inlineStr">
        <is>
          <t>Anruf</t>
        </is>
      </c>
      <c r="D66" s="26" t="inlineStr">
        <is>
          <t>Angebot nachfassen</t>
        </is>
      </c>
      <c r="E66" s="37" t="n">
        <v>46206</v>
      </c>
      <c r="F66" s="26" t="inlineStr">
        <is>
          <t>Erledigt</t>
        </is>
      </c>
      <c r="G66" s="26" t="inlineStr">
        <is>
          <t>L. Rossi</t>
        </is>
      </c>
      <c r="H66" s="25">
        <f>IF(F66="Erledigt","✅",IF(E66&lt;TODAY(),"🔴",IF(E66&lt;=TODAY()+7,"🟡","🟢")))</f>
        <v/>
      </c>
    </row>
    <row r="67" ht="20" customHeight="1">
      <c r="A67" s="36" t="n">
        <v>46193</v>
      </c>
      <c r="B67" s="18" t="inlineStr">
        <is>
          <t>Hotel Krone</t>
        </is>
      </c>
      <c r="C67" s="18" t="inlineStr">
        <is>
          <t>E-Mail</t>
        </is>
      </c>
      <c r="D67" s="18" t="inlineStr">
        <is>
          <t>Standort-Audit terminieren</t>
        </is>
      </c>
      <c r="E67" s="36" t="n">
        <v>46215</v>
      </c>
      <c r="F67" s="18" t="inlineStr">
        <is>
          <t>Offen</t>
        </is>
      </c>
      <c r="G67" s="18" t="inlineStr">
        <is>
          <t>N. Keller</t>
        </is>
      </c>
      <c r="H67" s="25">
        <f>IF(F67="Erledigt","✅",IF(E67&lt;TODAY(),"🔴",IF(E67&lt;=TODAY()+7,"🟡","🟢")))</f>
        <v/>
      </c>
    </row>
    <row r="68" ht="20" customHeight="1">
      <c r="A68" s="37" t="n">
        <v>46191</v>
      </c>
      <c r="B68" s="26" t="inlineStr">
        <is>
          <t>Hotel Metropol</t>
        </is>
      </c>
      <c r="C68" s="26" t="inlineStr">
        <is>
          <t>Web-Demo</t>
        </is>
      </c>
      <c r="D68" s="26" t="inlineStr">
        <is>
          <t>Business-Case rechnen</t>
        </is>
      </c>
      <c r="E68" s="37" t="n">
        <v>46233</v>
      </c>
      <c r="F68" s="26" t="inlineStr">
        <is>
          <t>Offen</t>
        </is>
      </c>
      <c r="G68" s="26" t="inlineStr">
        <is>
          <t>Burak Ücöz</t>
        </is>
      </c>
      <c r="H68" s="25">
        <f>IF(F68="Erledigt","✅",IF(E68&lt;TODAY(),"🔴",IF(E68&lt;=TODAY()+7,"🟡","🟢")))</f>
        <v/>
      </c>
    </row>
    <row r="69" ht="20" customHeight="1">
      <c r="A69" s="36" t="n">
        <v>46190</v>
      </c>
      <c r="B69" s="18" t="inlineStr">
        <is>
          <t>Stadt Bern</t>
        </is>
      </c>
      <c r="C69" s="18" t="inlineStr">
        <is>
          <t>Angebot</t>
        </is>
      </c>
      <c r="D69" s="18" t="inlineStr">
        <is>
          <t>Referenz anbieten</t>
        </is>
      </c>
      <c r="E69" s="36" t="n">
        <v>46202</v>
      </c>
      <c r="F69" s="18" t="inlineStr">
        <is>
          <t>Erledigt</t>
        </is>
      </c>
      <c r="G69" s="18" t="inlineStr">
        <is>
          <t>S. Meier</t>
        </is>
      </c>
      <c r="H69" s="25">
        <f>IF(F69="Erledigt","✅",IF(E69&lt;TODAY(),"🔴",IF(E69&lt;=TODAY()+7,"🟡","🟢")))</f>
        <v/>
      </c>
    </row>
    <row r="70" ht="20" customHeight="1">
      <c r="A70" s="37" t="n">
        <v>46188</v>
      </c>
      <c r="B70" s="26" t="inlineStr">
        <is>
          <t>Kanton Aargau</t>
        </is>
      </c>
      <c r="C70" s="26" t="inlineStr">
        <is>
          <t>Anruf</t>
        </is>
      </c>
      <c r="D70" s="26" t="inlineStr">
        <is>
          <t>Pilot definieren</t>
        </is>
      </c>
      <c r="E70" s="37" t="n">
        <v>46220</v>
      </c>
      <c r="F70" s="26" t="inlineStr">
        <is>
          <t>Offen</t>
        </is>
      </c>
      <c r="G70" s="26" t="inlineStr">
        <is>
          <t>N. Keller</t>
        </is>
      </c>
      <c r="H70" s="25">
        <f>IF(F70="Erledigt","✅",IF(E70&lt;TODAY(),"🔴",IF(E70&lt;=TODAY()+7,"🟡","🟢")))</f>
        <v/>
      </c>
    </row>
    <row r="71" ht="20" customHeight="1">
      <c r="A71" s="36" t="n">
        <v>46187</v>
      </c>
      <c r="B71" s="18" t="inlineStr">
        <is>
          <t>Kanton Waadt</t>
        </is>
      </c>
      <c r="C71" s="18" t="inlineStr">
        <is>
          <t>E-Mail</t>
        </is>
      </c>
      <c r="D71" s="18" t="inlineStr">
        <is>
          <t>Bedarf klären</t>
        </is>
      </c>
      <c r="E71" s="36" t="n">
        <v>46229</v>
      </c>
      <c r="F71" s="18" t="inlineStr">
        <is>
          <t>Offen</t>
        </is>
      </c>
      <c r="G71" s="18" t="inlineStr">
        <is>
          <t>A. Favre</t>
        </is>
      </c>
      <c r="H71" s="25">
        <f>IF(F71="Erledigt","✅",IF(E71&lt;TODAY(),"🔴",IF(E71&lt;=TODAY()+7,"🟡","🟢")))</f>
        <v/>
      </c>
    </row>
    <row r="72" ht="20" customHeight="1">
      <c r="A72" s="37" t="n">
        <v>46206</v>
      </c>
      <c r="B72" s="26" t="inlineStr">
        <is>
          <t>Energie Wasser Bern</t>
        </is>
      </c>
      <c r="C72" s="26" t="inlineStr">
        <is>
          <t>Termin vor Ort</t>
        </is>
      </c>
      <c r="D72" s="26" t="inlineStr">
        <is>
          <t>Erstgespräch planen</t>
        </is>
      </c>
      <c r="E72" s="37" t="n">
        <v>46198</v>
      </c>
      <c r="F72" s="26" t="inlineStr">
        <is>
          <t>Erledigt</t>
        </is>
      </c>
      <c r="G72" s="26" t="inlineStr">
        <is>
          <t>Burak Ücöz</t>
        </is>
      </c>
      <c r="H72" s="25">
        <f>IF(F72="Erledigt","✅",IF(E72&lt;TODAY(),"🔴",IF(E72&lt;=TODAY()+7,"🟡","🟢")))</f>
        <v/>
      </c>
    </row>
    <row r="73" ht="20" customHeight="1">
      <c r="A73" s="36" t="n">
        <v>46205</v>
      </c>
      <c r="B73" s="18" t="inlineStr">
        <is>
          <t>IWB Basel</t>
        </is>
      </c>
      <c r="C73" s="18" t="inlineStr">
        <is>
          <t>Web-Demo</t>
        </is>
      </c>
      <c r="D73" s="18" t="inlineStr">
        <is>
          <t>Angebot erstellen</t>
        </is>
      </c>
      <c r="E73" s="36" t="n">
        <v>46207</v>
      </c>
      <c r="F73" s="18" t="inlineStr">
        <is>
          <t>Offen</t>
        </is>
      </c>
      <c r="G73" s="18" t="inlineStr">
        <is>
          <t>S. Meier</t>
        </is>
      </c>
      <c r="H73" s="25">
        <f>IF(F73="Erledigt","✅",IF(E73&lt;TODAY(),"🔴",IF(E73&lt;=TODAY()+7,"🟡","🟢")))</f>
        <v/>
      </c>
    </row>
    <row r="74" ht="20" customHeight="1">
      <c r="A74" s="37" t="n">
        <v>46204</v>
      </c>
      <c r="B74" s="26" t="inlineStr">
        <is>
          <t>SIG Genève</t>
        </is>
      </c>
      <c r="C74" s="26" t="inlineStr">
        <is>
          <t>Angebot</t>
        </is>
      </c>
      <c r="D74" s="26" t="inlineStr">
        <is>
          <t>Angebot nachfassen</t>
        </is>
      </c>
      <c r="E74" s="37" t="n">
        <v>46216</v>
      </c>
      <c r="F74" s="26" t="inlineStr">
        <is>
          <t>Offen</t>
        </is>
      </c>
      <c r="G74" s="26" t="inlineStr">
        <is>
          <t>L. Rossi</t>
        </is>
      </c>
      <c r="H74" s="25">
        <f>IF(F74="Erledigt","✅",IF(E74&lt;TODAY(),"🔴",IF(E74&lt;=TODAY()+7,"🟡","🟢")))</f>
        <v/>
      </c>
    </row>
    <row r="75" ht="20" customHeight="1">
      <c r="A75" s="36" t="n">
        <v>46203</v>
      </c>
      <c r="B75" s="18" t="inlineStr">
        <is>
          <t>Werkbetriebe Frauenfeld</t>
        </is>
      </c>
      <c r="C75" s="18" t="inlineStr">
        <is>
          <t>Follow-up</t>
        </is>
      </c>
      <c r="D75" s="18" t="inlineStr">
        <is>
          <t>Standort-Audit terminieren</t>
        </is>
      </c>
      <c r="E75" s="36" t="n">
        <v>46225</v>
      </c>
      <c r="F75" s="18" t="inlineStr">
        <is>
          <t>Offen</t>
        </is>
      </c>
      <c r="G75" s="18" t="inlineStr">
        <is>
          <t>N. Keller</t>
        </is>
      </c>
      <c r="H75" s="25">
        <f>IF(F75="Erledigt","✅",IF(E75&lt;TODAY(),"🔴",IF(E75&lt;=TODAY()+7,"🟡","🟢")))</f>
        <v/>
      </c>
    </row>
    <row r="76" ht="20" customHeight="1">
      <c r="A76" s="37" t="n">
        <v>46202</v>
      </c>
      <c r="B76" s="26" t="inlineStr">
        <is>
          <t>Gemeinde Köniz</t>
        </is>
      </c>
      <c r="C76" s="26" t="inlineStr">
        <is>
          <t>Anruf</t>
        </is>
      </c>
      <c r="D76" s="26" t="inlineStr">
        <is>
          <t>Entscheider treffen</t>
        </is>
      </c>
      <c r="E76" s="37" t="n">
        <v>46234</v>
      </c>
      <c r="F76" s="26" t="inlineStr">
        <is>
          <t>Erledigt</t>
        </is>
      </c>
      <c r="G76" s="26" t="inlineStr">
        <is>
          <t>A. Favre</t>
        </is>
      </c>
      <c r="H76" s="25">
        <f>IF(F76="Erledigt","✅",IF(E76&lt;TODAY(),"🔴",IF(E76&lt;=TODAY()+7,"🟡","🟢")))</f>
        <v/>
      </c>
    </row>
    <row r="77" ht="20" customHeight="1">
      <c r="A77" s="36" t="n">
        <v>46201</v>
      </c>
      <c r="B77" s="18" t="inlineStr">
        <is>
          <t>ZVB Zug</t>
        </is>
      </c>
      <c r="C77" s="18" t="inlineStr">
        <is>
          <t>E-Mail</t>
        </is>
      </c>
      <c r="D77" s="18" t="inlineStr">
        <is>
          <t>Business-Case rechnen</t>
        </is>
      </c>
      <c r="E77" s="36" t="n">
        <v>46203</v>
      </c>
      <c r="F77" s="18" t="inlineStr">
        <is>
          <t>Offen</t>
        </is>
      </c>
      <c r="G77" s="18" t="inlineStr">
        <is>
          <t>Burak Ücöz</t>
        </is>
      </c>
      <c r="H77" s="25">
        <f>IF(F77="Erledigt","✅",IF(E77&lt;TODAY(),"🔴",IF(E77&lt;=TODAY()+7,"🟡","🟢")))</f>
        <v/>
      </c>
    </row>
    <row r="78" ht="20" customHeight="1">
      <c r="A78" s="37" t="n">
        <v>46199</v>
      </c>
      <c r="B78" s="26" t="inlineStr">
        <is>
          <t>ABB Schweiz</t>
        </is>
      </c>
      <c r="C78" s="26" t="inlineStr">
        <is>
          <t>Web-Demo</t>
        </is>
      </c>
      <c r="D78" s="26" t="inlineStr">
        <is>
          <t>Vertrag vorbereiten</t>
        </is>
      </c>
      <c r="E78" s="37" t="n">
        <v>46221</v>
      </c>
      <c r="F78" s="26" t="inlineStr">
        <is>
          <t>Offen</t>
        </is>
      </c>
      <c r="G78" s="26" t="inlineStr">
        <is>
          <t>L. Rossi</t>
        </is>
      </c>
      <c r="H78" s="25">
        <f>IF(F78="Erledigt","✅",IF(E78&lt;TODAY(),"🔴",IF(E78&lt;=TODAY()+7,"🟡","🟢")))</f>
        <v/>
      </c>
    </row>
    <row r="79" ht="20" customHeight="1">
      <c r="A79" s="36" t="n">
        <v>46198</v>
      </c>
      <c r="B79" s="18" t="inlineStr">
        <is>
          <t>Bühler Group</t>
        </is>
      </c>
      <c r="C79" s="18" t="inlineStr">
        <is>
          <t>Angebot</t>
        </is>
      </c>
      <c r="D79" s="18" t="inlineStr">
        <is>
          <t>Pilot definieren</t>
        </is>
      </c>
      <c r="E79" s="36" t="n">
        <v>46230</v>
      </c>
      <c r="F79" s="18" t="inlineStr">
        <is>
          <t>Erledigt</t>
        </is>
      </c>
      <c r="G79" s="18" t="inlineStr">
        <is>
          <t>N. Keller</t>
        </is>
      </c>
      <c r="H79" s="25">
        <f>IF(F79="Erledigt","✅",IF(E79&lt;TODAY(),"🔴",IF(E79&lt;=TODAY()+7,"🟡","🟢")))</f>
        <v/>
      </c>
    </row>
    <row r="80" ht="20" customHeight="1">
      <c r="A80" s="37" t="n">
        <v>46196</v>
      </c>
      <c r="B80" s="26" t="inlineStr">
        <is>
          <t>Georg Fischer</t>
        </is>
      </c>
      <c r="C80" s="26" t="inlineStr">
        <is>
          <t>Anruf</t>
        </is>
      </c>
      <c r="D80" s="26" t="inlineStr">
        <is>
          <t>Erstgespräch planen</t>
        </is>
      </c>
      <c r="E80" s="37" t="n">
        <v>46208</v>
      </c>
      <c r="F80" s="26" t="inlineStr">
        <is>
          <t>Offen</t>
        </is>
      </c>
      <c r="G80" s="26" t="inlineStr">
        <is>
          <t>Burak Ücöz</t>
        </is>
      </c>
      <c r="H80" s="25">
        <f>IF(F80="Erledigt","✅",IF(E80&lt;TODAY(),"🔴",IF(E80&lt;=TODAY()+7,"🟡","🟢")))</f>
        <v/>
      </c>
    </row>
    <row r="81" ht="20" customHeight="1">
      <c r="A81" s="36" t="n">
        <v>46195</v>
      </c>
      <c r="B81" s="18" t="inlineStr">
        <is>
          <t>Schindler Aufzüge</t>
        </is>
      </c>
      <c r="C81" s="18" t="inlineStr">
        <is>
          <t>E-Mail</t>
        </is>
      </c>
      <c r="D81" s="18" t="inlineStr">
        <is>
          <t>Angebot erstellen</t>
        </is>
      </c>
      <c r="E81" s="36" t="n">
        <v>46217</v>
      </c>
      <c r="F81" s="18" t="inlineStr">
        <is>
          <t>Offen</t>
        </is>
      </c>
      <c r="G81" s="18" t="inlineStr">
        <is>
          <t>S. Meier</t>
        </is>
      </c>
      <c r="H81" s="25">
        <f>IF(F81="Erledigt","✅",IF(E81&lt;TODAY(),"🔴",IF(E81&lt;=TODAY()+7,"🟡","🟢")))</f>
        <v/>
      </c>
    </row>
    <row r="82" ht="20" customHeight="1">
      <c r="A82" s="37" t="n">
        <v>46194</v>
      </c>
      <c r="B82" s="26" t="inlineStr">
        <is>
          <t>Sika AG</t>
        </is>
      </c>
      <c r="C82" s="26" t="inlineStr">
        <is>
          <t>Termin vor Ort</t>
        </is>
      </c>
      <c r="D82" s="26" t="inlineStr">
        <is>
          <t>Angebot nachfassen</t>
        </is>
      </c>
      <c r="E82" s="37" t="n">
        <v>46226</v>
      </c>
      <c r="F82" s="26" t="inlineStr">
        <is>
          <t>Erledigt</t>
        </is>
      </c>
      <c r="G82" s="26" t="inlineStr">
        <is>
          <t>L. Rossi</t>
        </is>
      </c>
      <c r="H82" s="25">
        <f>IF(F82="Erledigt","✅",IF(E82&lt;TODAY(),"🔴",IF(E82&lt;=TODAY()+7,"🟡","🟢")))</f>
        <v/>
      </c>
    </row>
    <row r="83" ht="20" customHeight="1">
      <c r="A83" s="36" t="n">
        <v>46193</v>
      </c>
      <c r="B83" s="18" t="inlineStr">
        <is>
          <t>Bobst Group</t>
        </is>
      </c>
      <c r="C83" s="18" t="inlineStr">
        <is>
          <t>Web-Demo</t>
        </is>
      </c>
      <c r="D83" s="18" t="inlineStr">
        <is>
          <t>Standort-Audit terminieren</t>
        </is>
      </c>
      <c r="E83" s="36" t="n">
        <v>46235</v>
      </c>
      <c r="F83" s="18" t="inlineStr">
        <is>
          <t>Offen</t>
        </is>
      </c>
      <c r="G83" s="18" t="inlineStr">
        <is>
          <t>N. Keller</t>
        </is>
      </c>
      <c r="H83" s="25">
        <f>IF(F83="Erledigt","✅",IF(E83&lt;TODAY(),"🔴",IF(E83&lt;=TODAY()+7,"🟡","🟢")))</f>
        <v/>
      </c>
    </row>
    <row r="84" ht="20" customHeight="1">
      <c r="A84" s="37" t="n">
        <v>46192</v>
      </c>
      <c r="B84" s="26" t="inlineStr">
        <is>
          <t>Rieter AG</t>
        </is>
      </c>
      <c r="C84" s="26" t="inlineStr">
        <is>
          <t>Angebot</t>
        </is>
      </c>
      <c r="D84" s="26" t="inlineStr">
        <is>
          <t>Entscheider treffen</t>
        </is>
      </c>
      <c r="E84" s="37" t="n">
        <v>46204</v>
      </c>
      <c r="F84" s="26" t="inlineStr">
        <is>
          <t>Offen</t>
        </is>
      </c>
      <c r="G84" s="26" t="inlineStr">
        <is>
          <t>A. Favre</t>
        </is>
      </c>
      <c r="H84" s="25">
        <f>IF(F84="Erledigt","✅",IF(E84&lt;TODAY(),"🔴",IF(E84&lt;=TODAY()+7,"🟡","🟢")))</f>
        <v/>
      </c>
    </row>
    <row r="85" ht="20" customHeight="1">
      <c r="A85" s="36" t="n">
        <v>46191</v>
      </c>
      <c r="B85" s="18" t="inlineStr">
        <is>
          <t>Feintool</t>
        </is>
      </c>
      <c r="C85" s="18" t="inlineStr">
        <is>
          <t>Follow-up</t>
        </is>
      </c>
      <c r="D85" s="18" t="inlineStr">
        <is>
          <t>Business-Case rechnen</t>
        </is>
      </c>
      <c r="E85" s="36" t="n">
        <v>46213</v>
      </c>
      <c r="F85" s="18" t="inlineStr">
        <is>
          <t>Offen</t>
        </is>
      </c>
      <c r="G85" s="18" t="inlineStr">
        <is>
          <t>Burak Ücöz</t>
        </is>
      </c>
      <c r="H85" s="25">
        <f>IF(F85="Erledigt","✅",IF(E85&lt;TODAY(),"🔴",IF(E85&lt;=TODAY()+7,"🟡","🟢")))</f>
        <v/>
      </c>
    </row>
    <row r="86" ht="20" customHeight="1">
      <c r="A86" s="37" t="n">
        <v>46190</v>
      </c>
      <c r="B86" s="26" t="inlineStr">
        <is>
          <t>Komax Group</t>
        </is>
      </c>
      <c r="C86" s="26" t="inlineStr">
        <is>
          <t>Anruf</t>
        </is>
      </c>
      <c r="D86" s="26" t="inlineStr">
        <is>
          <t>Referenz anbieten</t>
        </is>
      </c>
      <c r="E86" s="37" t="n">
        <v>46222</v>
      </c>
      <c r="F86" s="26" t="inlineStr">
        <is>
          <t>Erledigt</t>
        </is>
      </c>
      <c r="G86" s="26" t="inlineStr">
        <is>
          <t>S. Meier</t>
        </is>
      </c>
      <c r="H86" s="25">
        <f>IF(F86="Erledigt","✅",IF(E86&lt;TODAY(),"🔴",IF(E86&lt;=TODAY()+7,"🟡","🟢")))</f>
        <v/>
      </c>
    </row>
    <row r="87" ht="20" customHeight="1">
      <c r="A87" s="36" t="n">
        <v>46189</v>
      </c>
      <c r="B87" s="18" t="inlineStr">
        <is>
          <t>Hilti AG</t>
        </is>
      </c>
      <c r="C87" s="18" t="inlineStr">
        <is>
          <t>E-Mail</t>
        </is>
      </c>
      <c r="D87" s="18" t="inlineStr">
        <is>
          <t>Vertrag vorbereiten</t>
        </is>
      </c>
      <c r="E87" s="36" t="n">
        <v>46231</v>
      </c>
      <c r="F87" s="18" t="inlineStr">
        <is>
          <t>Offen</t>
        </is>
      </c>
      <c r="G87" s="18" t="inlineStr">
        <is>
          <t>L. Rossi</t>
        </is>
      </c>
      <c r="H87" s="25">
        <f>IF(F87="Erledigt","✅",IF(E87&lt;TODAY(),"🔴",IF(E87&lt;=TODAY()+7,"🟡","🟢")))</f>
        <v/>
      </c>
    </row>
    <row r="88" ht="20" customHeight="1">
      <c r="A88" s="37" t="n">
        <v>46187</v>
      </c>
      <c r="B88" s="26" t="inlineStr">
        <is>
          <t>Socar Energy</t>
        </is>
      </c>
      <c r="C88" s="26" t="inlineStr">
        <is>
          <t>Web-Demo</t>
        </is>
      </c>
      <c r="D88" s="26" t="inlineStr">
        <is>
          <t>Bedarf klären</t>
        </is>
      </c>
      <c r="E88" s="37" t="n">
        <v>46209</v>
      </c>
      <c r="F88" s="26" t="inlineStr">
        <is>
          <t>Offen</t>
        </is>
      </c>
      <c r="G88" s="26" t="inlineStr">
        <is>
          <t>A. Favre</t>
        </is>
      </c>
      <c r="H88" s="25">
        <f>IF(F88="Erledigt","✅",IF(E88&lt;TODAY(),"🔴",IF(E88&lt;=TODAY()+7,"🟡","🟢")))</f>
        <v/>
      </c>
    </row>
    <row r="89" ht="20" customHeight="1">
      <c r="A89" s="36" t="n">
        <v>46206</v>
      </c>
      <c r="B89" s="18" t="inlineStr">
        <is>
          <t>Agrola AG</t>
        </is>
      </c>
      <c r="C89" s="18" t="inlineStr">
        <is>
          <t>Angebot</t>
        </is>
      </c>
      <c r="D89" s="18" t="inlineStr">
        <is>
          <t>Erstgespräch planen</t>
        </is>
      </c>
      <c r="E89" s="36" t="n">
        <v>46218</v>
      </c>
      <c r="F89" s="18" t="inlineStr">
        <is>
          <t>Erledigt</t>
        </is>
      </c>
      <c r="G89" s="18" t="inlineStr">
        <is>
          <t>Burak Ücöz</t>
        </is>
      </c>
      <c r="H89" s="25">
        <f>IF(F89="Erledigt","✅",IF(E89&lt;TODAY(),"🔴",IF(E89&lt;=TODAY()+7,"🟡","🟢")))</f>
        <v/>
      </c>
    </row>
    <row r="90" ht="20" customHeight="1">
      <c r="A90" s="37" t="n">
        <v>46204</v>
      </c>
      <c r="B90" s="26" t="inlineStr">
        <is>
          <t>Shell Schweiz</t>
        </is>
      </c>
      <c r="C90" s="26" t="inlineStr">
        <is>
          <t>Anruf</t>
        </is>
      </c>
      <c r="D90" s="26" t="inlineStr">
        <is>
          <t>Angebot nachfassen</t>
        </is>
      </c>
      <c r="E90" s="37" t="n">
        <v>46236</v>
      </c>
      <c r="F90" s="26" t="inlineStr">
        <is>
          <t>Offen</t>
        </is>
      </c>
      <c r="G90" s="26" t="inlineStr">
        <is>
          <t>L. Rossi</t>
        </is>
      </c>
      <c r="H90" s="25">
        <f>IF(F90="Erledigt","✅",IF(E90&lt;TODAY(),"🔴",IF(E90&lt;=TODAY()+7,"🟡","🟢")))</f>
        <v/>
      </c>
    </row>
    <row r="91" ht="20" customHeight="1">
      <c r="A91" s="36" t="n">
        <v>46203</v>
      </c>
      <c r="B91" s="18" t="inlineStr">
        <is>
          <t>Eni Suisse</t>
        </is>
      </c>
      <c r="C91" s="18" t="inlineStr">
        <is>
          <t>E-Mail</t>
        </is>
      </c>
      <c r="D91" s="18" t="inlineStr">
        <is>
          <t>Standort-Audit terminieren</t>
        </is>
      </c>
      <c r="E91" s="36" t="n">
        <v>46205</v>
      </c>
      <c r="F91" s="18" t="inlineStr">
        <is>
          <t>Offen</t>
        </is>
      </c>
      <c r="G91" s="18" t="inlineStr">
        <is>
          <t>N. Keller</t>
        </is>
      </c>
      <c r="H91" s="25">
        <f>IF(F91="Erledigt","✅",IF(E91&lt;TODAY(),"🔴",IF(E91&lt;=TODAY()+7,"🟡","🟢")))</f>
        <v/>
      </c>
    </row>
    <row r="92" ht="20" customHeight="1">
      <c r="A92" s="37" t="n">
        <v>46202</v>
      </c>
      <c r="B92" s="26" t="inlineStr">
        <is>
          <t>Ruedi Rüssel</t>
        </is>
      </c>
      <c r="C92" s="26" t="inlineStr">
        <is>
          <t>Termin vor Ort</t>
        </is>
      </c>
      <c r="D92" s="26" t="inlineStr">
        <is>
          <t>Entscheider treffen</t>
        </is>
      </c>
      <c r="E92" s="37" t="n">
        <v>46214</v>
      </c>
      <c r="F92" s="26" t="inlineStr">
        <is>
          <t>Erledigt</t>
        </is>
      </c>
      <c r="G92" s="26" t="inlineStr">
        <is>
          <t>A. Favre</t>
        </is>
      </c>
      <c r="H92" s="25">
        <f>IF(F92="Erledigt","✅",IF(E92&lt;TODAY(),"🔴",IF(E92&lt;=TODAY()+7,"🟡","🟢")))</f>
        <v/>
      </c>
    </row>
    <row r="93" ht="20" customHeight="1">
      <c r="A93" s="36" t="n">
        <v>46201</v>
      </c>
      <c r="B93" s="18" t="inlineStr">
        <is>
          <t>Oel-Pool AG</t>
        </is>
      </c>
      <c r="C93" s="18" t="inlineStr">
        <is>
          <t>Web-Demo</t>
        </is>
      </c>
      <c r="D93" s="18" t="inlineStr">
        <is>
          <t>Business-Case rechnen</t>
        </is>
      </c>
      <c r="E93" s="36" t="n">
        <v>46223</v>
      </c>
      <c r="F93" s="18" t="inlineStr">
        <is>
          <t>Offen</t>
        </is>
      </c>
      <c r="G93" s="18" t="inlineStr">
        <is>
          <t>Burak Ücöz</t>
        </is>
      </c>
      <c r="H93" s="25">
        <f>IF(F93="Erledigt","✅",IF(E93&lt;TODAY(),"🔴",IF(E93&lt;=TODAY()+7,"🟡","🟢")))</f>
        <v/>
      </c>
    </row>
    <row r="94" ht="20" customHeight="1">
      <c r="A94" s="37" t="n">
        <v>46200</v>
      </c>
      <c r="B94" s="26" t="inlineStr">
        <is>
          <t>Coop Pronto</t>
        </is>
      </c>
      <c r="C94" s="26" t="inlineStr">
        <is>
          <t>Angebot</t>
        </is>
      </c>
      <c r="D94" s="26" t="inlineStr">
        <is>
          <t>Referenz anbieten</t>
        </is>
      </c>
      <c r="E94" s="37" t="n">
        <v>46232</v>
      </c>
      <c r="F94" s="26" t="inlineStr">
        <is>
          <t>Offen</t>
        </is>
      </c>
      <c r="G94" s="26" t="inlineStr">
        <is>
          <t>S. Meier</t>
        </is>
      </c>
      <c r="H94" s="25">
        <f>IF(F94="Erledigt","✅",IF(E94&lt;TODAY(),"🔴",IF(E94&lt;=TODAY()+7,"🟡","🟢")))</f>
        <v/>
      </c>
    </row>
    <row r="95" ht="20" customHeight="1">
      <c r="A95" s="36" t="n">
        <v>46199</v>
      </c>
      <c r="B95" s="18" t="inlineStr">
        <is>
          <t>Miniprix</t>
        </is>
      </c>
      <c r="C95" s="18" t="inlineStr">
        <is>
          <t>Follow-up</t>
        </is>
      </c>
      <c r="D95" s="18" t="inlineStr">
        <is>
          <t>Vertrag vorbereiten</t>
        </is>
      </c>
      <c r="E95" s="36" t="n">
        <v>46201</v>
      </c>
      <c r="F95" s="18" t="inlineStr">
        <is>
          <t>Offen</t>
        </is>
      </c>
      <c r="G95" s="18" t="inlineStr">
        <is>
          <t>L. Rossi</t>
        </is>
      </c>
      <c r="H95" s="25">
        <f>IF(F95="Erledigt","✅",IF(E95&lt;TODAY(),"🔴",IF(E95&lt;=TODAY()+7,"🟡","🟢")))</f>
        <v/>
      </c>
    </row>
    <row r="96" ht="20" customHeight="1">
      <c r="A96" s="37" t="n">
        <v>46198</v>
      </c>
      <c r="B96" s="26" t="inlineStr">
        <is>
          <t>Piquerez SA</t>
        </is>
      </c>
      <c r="C96" s="26" t="inlineStr">
        <is>
          <t>Anruf</t>
        </is>
      </c>
      <c r="D96" s="26" t="inlineStr">
        <is>
          <t>Pilot definieren</t>
        </is>
      </c>
      <c r="E96" s="37" t="n">
        <v>46210</v>
      </c>
      <c r="F96" s="26" t="inlineStr">
        <is>
          <t>Erledigt</t>
        </is>
      </c>
      <c r="G96" s="26" t="inlineStr">
        <is>
          <t>N. Keller</t>
        </is>
      </c>
      <c r="H96" s="25">
        <f>IF(F96="Erledigt","✅",IF(E96&lt;TODAY(),"🔴",IF(E96&lt;=TODAY()+7,"🟡","🟢")))</f>
        <v/>
      </c>
    </row>
    <row r="97" ht="20" customHeight="1">
      <c r="A97" s="36" t="n">
        <v>46197</v>
      </c>
      <c r="B97" s="18" t="inlineStr">
        <is>
          <t>AMAG Leasing</t>
        </is>
      </c>
      <c r="C97" s="18" t="inlineStr">
        <is>
          <t>E-Mail</t>
        </is>
      </c>
      <c r="D97" s="18" t="inlineStr">
        <is>
          <t>Bedarf klären</t>
        </is>
      </c>
      <c r="E97" s="36" t="n">
        <v>46219</v>
      </c>
      <c r="F97" s="18" t="inlineStr">
        <is>
          <t>Offen</t>
        </is>
      </c>
      <c r="G97" s="18" t="inlineStr">
        <is>
          <t>A. Favre</t>
        </is>
      </c>
      <c r="H97" s="25">
        <f>IF(F97="Erledigt","✅",IF(E97&lt;TODAY(),"🔴",IF(E97&lt;=TODAY()+7,"🟡","🟢")))</f>
        <v/>
      </c>
    </row>
    <row r="98" ht="20" customHeight="1">
      <c r="A98" s="37" t="n">
        <v>46195</v>
      </c>
      <c r="B98" s="26" t="inlineStr">
        <is>
          <t>Sixt Schweiz</t>
        </is>
      </c>
      <c r="C98" s="26" t="inlineStr">
        <is>
          <t>Web-Demo</t>
        </is>
      </c>
      <c r="D98" s="26" t="inlineStr">
        <is>
          <t>Angebot erstellen</t>
        </is>
      </c>
      <c r="E98" s="37" t="n">
        <v>46237</v>
      </c>
      <c r="F98" s="26" t="inlineStr">
        <is>
          <t>Offen</t>
        </is>
      </c>
      <c r="G98" s="26" t="inlineStr">
        <is>
          <t>S. Meier</t>
        </is>
      </c>
      <c r="H98" s="25">
        <f>IF(F98="Erledigt","✅",IF(E98&lt;TODAY(),"🔴",IF(E98&lt;=TODAY()+7,"🟡","🟢")))</f>
        <v/>
      </c>
    </row>
    <row r="99" ht="20" customHeight="1">
      <c r="A99" s="36" t="n">
        <v>46194</v>
      </c>
      <c r="B99" s="18" t="inlineStr">
        <is>
          <t>Europcar Schweiz</t>
        </is>
      </c>
      <c r="C99" s="18" t="inlineStr">
        <is>
          <t>Angebot</t>
        </is>
      </c>
      <c r="D99" s="18" t="inlineStr">
        <is>
          <t>Angebot nachfassen</t>
        </is>
      </c>
      <c r="E99" s="36" t="n">
        <v>46206</v>
      </c>
      <c r="F99" s="18" t="inlineStr">
        <is>
          <t>Erledigt</t>
        </is>
      </c>
      <c r="G99" s="18" t="inlineStr">
        <is>
          <t>L. Rossi</t>
        </is>
      </c>
      <c r="H99" s="25">
        <f>IF(F99="Erledigt","✅",IF(E99&lt;TODAY(),"🔴",IF(E99&lt;=TODAY()+7,"🟡","🟢")))</f>
        <v/>
      </c>
    </row>
    <row r="100" ht="20" customHeight="1">
      <c r="A100" s="37" t="n">
        <v>46192</v>
      </c>
      <c r="B100" s="26" t="inlineStr">
        <is>
          <t>Carvolution</t>
        </is>
      </c>
      <c r="C100" s="26" t="inlineStr">
        <is>
          <t>Anruf</t>
        </is>
      </c>
      <c r="D100" s="26" t="inlineStr">
        <is>
          <t>Entscheider treffen</t>
        </is>
      </c>
      <c r="E100" s="37" t="n">
        <v>46224</v>
      </c>
      <c r="F100" s="26" t="inlineStr">
        <is>
          <t>Offen</t>
        </is>
      </c>
      <c r="G100" s="26" t="inlineStr">
        <is>
          <t>A. Favre</t>
        </is>
      </c>
      <c r="H100" s="25">
        <f>IF(F100="Erledigt","✅",IF(E100&lt;TODAY(),"🔴",IF(E100&lt;=TODAY()+7,"🟡","🟢")))</f>
        <v/>
      </c>
    </row>
    <row r="101" ht="20" customHeight="1">
      <c r="A101" s="36" t="n">
        <v>46191</v>
      </c>
      <c r="B101" s="18" t="inlineStr">
        <is>
          <t>Auto AG Group</t>
        </is>
      </c>
      <c r="C101" s="18" t="inlineStr">
        <is>
          <t>E-Mail</t>
        </is>
      </c>
      <c r="D101" s="18" t="inlineStr">
        <is>
          <t>Business-Case rechnen</t>
        </is>
      </c>
      <c r="E101" s="36" t="n">
        <v>46233</v>
      </c>
      <c r="F101" s="18" t="inlineStr">
        <is>
          <t>Offen</t>
        </is>
      </c>
      <c r="G101" s="18" t="inlineStr">
        <is>
          <t>Burak Ücöz</t>
        </is>
      </c>
      <c r="H101" s="25">
        <f>IF(F101="Erledigt","✅",IF(E101&lt;TODAY(),"🔴",IF(E101&lt;=TODAY()+7,"🟡","🟢")))</f>
        <v/>
      </c>
    </row>
    <row r="102" ht="20" customHeight="1">
      <c r="A102" s="37" t="n">
        <v>46190</v>
      </c>
      <c r="B102" s="26" t="inlineStr">
        <is>
          <t>Post CH Netz</t>
        </is>
      </c>
      <c r="C102" s="26" t="inlineStr">
        <is>
          <t>Termin vor Ort</t>
        </is>
      </c>
      <c r="D102" s="26" t="inlineStr">
        <is>
          <t>Referenz anbieten</t>
        </is>
      </c>
      <c r="E102" s="37" t="n">
        <v>46202</v>
      </c>
      <c r="F102" s="26" t="inlineStr">
        <is>
          <t>Erledigt</t>
        </is>
      </c>
      <c r="G102" s="26" t="inlineStr">
        <is>
          <t>S. Meier</t>
        </is>
      </c>
      <c r="H102" s="25">
        <f>IF(F102="Erledigt","✅",IF(E102&lt;TODAY(),"🔴",IF(E102&lt;=TODAY()+7,"🟡","🟢")))</f>
        <v/>
      </c>
    </row>
    <row r="103" ht="20" customHeight="1">
      <c r="A103" s="36" t="n">
        <v>46189</v>
      </c>
      <c r="B103" s="18" t="inlineStr">
        <is>
          <t>Helvetia Fleet</t>
        </is>
      </c>
      <c r="C103" s="18" t="inlineStr">
        <is>
          <t>Web-Demo</t>
        </is>
      </c>
      <c r="D103" s="18" t="inlineStr">
        <is>
          <t>Vertrag vorbereiten</t>
        </is>
      </c>
      <c r="E103" s="36" t="n">
        <v>46211</v>
      </c>
      <c r="F103" s="18" t="inlineStr">
        <is>
          <t>Offen</t>
        </is>
      </c>
      <c r="G103" s="18" t="inlineStr">
        <is>
          <t>L. Rossi</t>
        </is>
      </c>
      <c r="H103" s="25">
        <f>IF(F103="Erledigt","✅",IF(E103&lt;TODAY(),"🔴",IF(E103&lt;=TODAY()+7,"🟡","🟢")))</f>
        <v/>
      </c>
    </row>
    <row r="104" ht="20" customHeight="1">
      <c r="A104" s="37" t="n">
        <v>46188</v>
      </c>
      <c r="B104" s="26" t="inlineStr">
        <is>
          <t>Bring! Logistik</t>
        </is>
      </c>
      <c r="C104" s="26" t="inlineStr">
        <is>
          <t>Angebot</t>
        </is>
      </c>
      <c r="D104" s="26" t="inlineStr">
        <is>
          <t>Pilot definieren</t>
        </is>
      </c>
      <c r="E104" s="37" t="n">
        <v>46220</v>
      </c>
      <c r="F104" s="26" t="inlineStr">
        <is>
          <t>Offen</t>
        </is>
      </c>
      <c r="G104" s="26" t="inlineStr">
        <is>
          <t>N. Keller</t>
        </is>
      </c>
      <c r="H104" s="25">
        <f>IF(F104="Erledigt","✅",IF(E104&lt;TODAY(),"🔴",IF(E104&lt;=TODAY()+7,"🟡","🟢")))</f>
        <v/>
      </c>
    </row>
    <row r="105" ht="20" customHeight="1">
      <c r="A105" s="36" t="n">
        <v>46187</v>
      </c>
      <c r="B105" s="18" t="inlineStr">
        <is>
          <t>Mobility Carsharing</t>
        </is>
      </c>
      <c r="C105" s="18" t="inlineStr">
        <is>
          <t>Follow-up</t>
        </is>
      </c>
      <c r="D105" s="18" t="inlineStr">
        <is>
          <t>Bedarf klären</t>
        </is>
      </c>
      <c r="E105" s="36" t="n">
        <v>46229</v>
      </c>
      <c r="F105" s="18" t="inlineStr">
        <is>
          <t>Offen</t>
        </is>
      </c>
      <c r="G105" s="18" t="inlineStr">
        <is>
          <t>A. Favre</t>
        </is>
      </c>
      <c r="H105" s="25">
        <f>IF(F105="Erledigt","✅",IF(E105&lt;TODAY(),"🔴",IF(E105&lt;=TODAY()+7,"🟡","🟢")))</f>
        <v/>
      </c>
    </row>
    <row r="106" ht="20" customHeight="1">
      <c r="A106" s="37" t="n">
        <v>46206</v>
      </c>
      <c r="B106" s="26" t="inlineStr">
        <is>
          <t>Stadtwerke Graf Zürich</t>
        </is>
      </c>
      <c r="C106" s="26" t="inlineStr">
        <is>
          <t>Anruf</t>
        </is>
      </c>
      <c r="D106" s="26" t="inlineStr">
        <is>
          <t>Erstgespräch planen</t>
        </is>
      </c>
      <c r="E106" s="37" t="n">
        <v>46198</v>
      </c>
      <c r="F106" s="26" t="inlineStr">
        <is>
          <t>Erledigt</t>
        </is>
      </c>
      <c r="G106" s="26" t="inlineStr">
        <is>
          <t>Burak Ücöz</t>
        </is>
      </c>
      <c r="H106" s="25">
        <f>IF(F106="Erledigt","✅",IF(E106&lt;TODAY(),"🔴",IF(E106&lt;=TODAY()+7,"🟡","🟢")))</f>
        <v/>
      </c>
    </row>
    <row r="107" ht="20" customHeight="1">
      <c r="A107" s="36" t="n">
        <v>46205</v>
      </c>
      <c r="B107" s="18" t="inlineStr">
        <is>
          <t>Industrie Gerber Genf</t>
        </is>
      </c>
      <c r="C107" s="18" t="inlineStr">
        <is>
          <t>E-Mail</t>
        </is>
      </c>
      <c r="D107" s="18" t="inlineStr">
        <is>
          <t>Angebot erstellen</t>
        </is>
      </c>
      <c r="E107" s="36" t="n">
        <v>46207</v>
      </c>
      <c r="F107" s="18" t="inlineStr">
        <is>
          <t>Offen</t>
        </is>
      </c>
      <c r="G107" s="18" t="inlineStr">
        <is>
          <t>S. Meier</t>
        </is>
      </c>
      <c r="H107" s="25">
        <f>IF(F107="Erledigt","✅",IF(E107&lt;TODAY(),"🔴",IF(E107&lt;=TODAY()+7,"🟡","🟢")))</f>
        <v/>
      </c>
    </row>
    <row r="108" ht="20" customHeight="1">
      <c r="A108" s="37" t="n">
        <v>46203</v>
      </c>
      <c r="B108" s="26" t="inlineStr">
        <is>
          <t>Fuhrpark Amrein Winterthur</t>
        </is>
      </c>
      <c r="C108" s="26" t="inlineStr">
        <is>
          <t>Web-Demo</t>
        </is>
      </c>
      <c r="D108" s="26" t="inlineStr">
        <is>
          <t>Standort-Audit terminieren</t>
        </is>
      </c>
      <c r="E108" s="37" t="n">
        <v>46225</v>
      </c>
      <c r="F108" s="26" t="inlineStr">
        <is>
          <t>Offen</t>
        </is>
      </c>
      <c r="G108" s="26" t="inlineStr">
        <is>
          <t>N. Keller</t>
        </is>
      </c>
      <c r="H108" s="25">
        <f>IF(F108="Erledigt","✅",IF(E108&lt;TODAY(),"🔴",IF(E108&lt;=TODAY()+7,"🟡","🟢")))</f>
        <v/>
      </c>
    </row>
    <row r="109" ht="20" customHeight="1">
      <c r="A109" s="36" t="n">
        <v>46202</v>
      </c>
      <c r="B109" s="18" t="inlineStr">
        <is>
          <t>Center Keller Lausanne</t>
        </is>
      </c>
      <c r="C109" s="18" t="inlineStr">
        <is>
          <t>Angebot</t>
        </is>
      </c>
      <c r="D109" s="18" t="inlineStr">
        <is>
          <t>Entscheider treffen</t>
        </is>
      </c>
      <c r="E109" s="36" t="n">
        <v>46234</v>
      </c>
      <c r="F109" s="18" t="inlineStr">
        <is>
          <t>Erledigt</t>
        </is>
      </c>
      <c r="G109" s="18" t="inlineStr">
        <is>
          <t>A. Favre</t>
        </is>
      </c>
      <c r="H109" s="25">
        <f>IF(F109="Erledigt","✅",IF(E109&lt;TODAY(),"🔴",IF(E109&lt;=TODAY()+7,"🟡","🟢")))</f>
        <v/>
      </c>
    </row>
    <row r="110" ht="20" customHeight="1">
      <c r="A110" s="37" t="n">
        <v>46200</v>
      </c>
      <c r="B110" s="26" t="inlineStr">
        <is>
          <t>Areal Hofer Bern</t>
        </is>
      </c>
      <c r="C110" s="26" t="inlineStr">
        <is>
          <t>Anruf</t>
        </is>
      </c>
      <c r="D110" s="26" t="inlineStr">
        <is>
          <t>Referenz anbieten</t>
        </is>
      </c>
      <c r="E110" s="37" t="n">
        <v>46212</v>
      </c>
      <c r="F110" s="26" t="inlineStr">
        <is>
          <t>Offen</t>
        </is>
      </c>
      <c r="G110" s="26" t="inlineStr">
        <is>
          <t>S. Meier</t>
        </is>
      </c>
      <c r="H110" s="25">
        <f>IF(F110="Erledigt","✅",IF(E110&lt;TODAY(),"🔴",IF(E110&lt;=TODAY()+7,"🟡","🟢")))</f>
        <v/>
      </c>
    </row>
    <row r="111" ht="20" customHeight="1">
      <c r="A111" s="36" t="n">
        <v>46199</v>
      </c>
      <c r="B111" s="18" t="inlineStr">
        <is>
          <t>Resort Roth Lugano</t>
        </is>
      </c>
      <c r="C111" s="18" t="inlineStr">
        <is>
          <t>E-Mail</t>
        </is>
      </c>
      <c r="D111" s="18" t="inlineStr">
        <is>
          <t>Vertrag vorbereiten</t>
        </is>
      </c>
      <c r="E111" s="36" t="n">
        <v>46221</v>
      </c>
      <c r="F111" s="18" t="inlineStr">
        <is>
          <t>Offen</t>
        </is>
      </c>
      <c r="G111" s="18" t="inlineStr">
        <is>
          <t>L. Rossi</t>
        </is>
      </c>
      <c r="H111" s="25">
        <f>IF(F111="Erledigt","✅",IF(E111&lt;TODAY(),"🔴",IF(E111&lt;=TODAY()+7,"🟡","🟢")))</f>
        <v/>
      </c>
    </row>
    <row r="112" ht="20" customHeight="1">
      <c r="A112" s="37" t="n">
        <v>46198</v>
      </c>
      <c r="B112" s="26" t="inlineStr">
        <is>
          <t>Stadtwerke Kern Baden</t>
        </is>
      </c>
      <c r="C112" s="26" t="inlineStr">
        <is>
          <t>Termin vor Ort</t>
        </is>
      </c>
      <c r="D112" s="26" t="inlineStr">
        <is>
          <t>Pilot definieren</t>
        </is>
      </c>
      <c r="E112" s="37" t="n">
        <v>46230</v>
      </c>
      <c r="F112" s="26" t="inlineStr">
        <is>
          <t>Erledigt</t>
        </is>
      </c>
      <c r="G112" s="26" t="inlineStr">
        <is>
          <t>N. Keller</t>
        </is>
      </c>
      <c r="H112" s="25">
        <f>IF(F112="Erledigt","✅",IF(E112&lt;TODAY(),"🔴",IF(E112&lt;=TODAY()+7,"🟡","🟢")))</f>
        <v/>
      </c>
    </row>
    <row r="113" ht="20" customHeight="1">
      <c r="A113" s="36" t="n">
        <v>46197</v>
      </c>
      <c r="B113" s="18" t="inlineStr">
        <is>
          <t>Industrie Favre Thun</t>
        </is>
      </c>
      <c r="C113" s="18" t="inlineStr">
        <is>
          <t>Web-Demo</t>
        </is>
      </c>
      <c r="D113" s="18" t="inlineStr">
        <is>
          <t>Bedarf klären</t>
        </is>
      </c>
      <c r="E113" s="36" t="n">
        <v>46199</v>
      </c>
      <c r="F113" s="18" t="inlineStr">
        <is>
          <t>Offen</t>
        </is>
      </c>
      <c r="G113" s="18" t="inlineStr">
        <is>
          <t>A. Favre</t>
        </is>
      </c>
      <c r="H113" s="25">
        <f>IF(F113="Erledigt","✅",IF(E113&lt;TODAY(),"🔴",IF(E113&lt;=TODAY()+7,"🟡","🟢")))</f>
        <v/>
      </c>
    </row>
    <row r="114" ht="20" customHeight="1">
      <c r="A114" s="37" t="n">
        <v>46196</v>
      </c>
      <c r="B114" s="26" t="inlineStr">
        <is>
          <t>Garage Bianchi Chur</t>
        </is>
      </c>
      <c r="C114" s="26" t="inlineStr">
        <is>
          <t>Angebot</t>
        </is>
      </c>
      <c r="D114" s="26" t="inlineStr">
        <is>
          <t>Erstgespräch planen</t>
        </is>
      </c>
      <c r="E114" s="37" t="n">
        <v>46208</v>
      </c>
      <c r="F114" s="26" t="inlineStr">
        <is>
          <t>Offen</t>
        </is>
      </c>
      <c r="G114" s="26" t="inlineStr">
        <is>
          <t>Burak Ücöz</t>
        </is>
      </c>
      <c r="H114" s="25">
        <f>IF(F114="Erledigt","✅",IF(E114&lt;TODAY(),"🔴",IF(E114&lt;=TODAY()+7,"🟡","🟢")))</f>
        <v/>
      </c>
    </row>
    <row r="115" ht="20" customHeight="1">
      <c r="A115" s="36" t="n">
        <v>46195</v>
      </c>
      <c r="B115" s="18" t="inlineStr">
        <is>
          <t>Fuhrpark Huber Olten</t>
        </is>
      </c>
      <c r="C115" s="18" t="inlineStr">
        <is>
          <t>Follow-up</t>
        </is>
      </c>
      <c r="D115" s="18" t="inlineStr">
        <is>
          <t>Angebot erstellen</t>
        </is>
      </c>
      <c r="E115" s="36" t="n">
        <v>46217</v>
      </c>
      <c r="F115" s="18" t="inlineStr">
        <is>
          <t>Offen</t>
        </is>
      </c>
      <c r="G115" s="18" t="inlineStr">
        <is>
          <t>S. Meier</t>
        </is>
      </c>
      <c r="H115" s="25">
        <f>IF(F115="Erledigt","✅",IF(E115&lt;TODAY(),"🔴",IF(E115&lt;=TODAY()+7,"🟡","🟢")))</f>
        <v/>
      </c>
    </row>
    <row r="116" ht="20" customHeight="1">
      <c r="A116" s="37" t="n">
        <v>46194</v>
      </c>
      <c r="B116" s="26" t="inlineStr">
        <is>
          <t>Center Fischer Basel</t>
        </is>
      </c>
      <c r="C116" s="26" t="inlineStr">
        <is>
          <t>Anruf</t>
        </is>
      </c>
      <c r="D116" s="26" t="inlineStr">
        <is>
          <t>Angebot nachfassen</t>
        </is>
      </c>
      <c r="E116" s="37" t="n">
        <v>46226</v>
      </c>
      <c r="F116" s="26" t="inlineStr">
        <is>
          <t>Erledigt</t>
        </is>
      </c>
      <c r="G116" s="26" t="inlineStr">
        <is>
          <t>L. Rossi</t>
        </is>
      </c>
      <c r="H116" s="25">
        <f>IF(F116="Erledigt","✅",IF(E116&lt;TODAY(),"🔴",IF(E116&lt;=TODAY()+7,"🟡","🟢")))</f>
        <v/>
      </c>
    </row>
    <row r="117" ht="20" customHeight="1">
      <c r="A117" s="36" t="n">
        <v>46193</v>
      </c>
      <c r="B117" s="18" t="inlineStr">
        <is>
          <t>Spedition Vogel Sion</t>
        </is>
      </c>
      <c r="C117" s="18" t="inlineStr">
        <is>
          <t>E-Mail</t>
        </is>
      </c>
      <c r="D117" s="18" t="inlineStr">
        <is>
          <t>Standort-Audit terminieren</t>
        </is>
      </c>
      <c r="E117" s="36" t="n">
        <v>46235</v>
      </c>
      <c r="F117" s="18" t="inlineStr">
        <is>
          <t>Offen</t>
        </is>
      </c>
      <c r="G117" s="18" t="inlineStr">
        <is>
          <t>N. Keller</t>
        </is>
      </c>
      <c r="H117" s="25">
        <f>IF(F117="Erledigt","✅",IF(E117&lt;TODAY(),"🔴",IF(E117&lt;=TODAY()+7,"🟡","🟢")))</f>
        <v/>
      </c>
    </row>
    <row r="118" ht="20" customHeight="1">
      <c r="A118" s="37" t="n">
        <v>46191</v>
      </c>
      <c r="B118" s="26" t="inlineStr">
        <is>
          <t>Resort Marti Luzern</t>
        </is>
      </c>
      <c r="C118" s="26" t="inlineStr">
        <is>
          <t>Web-Demo</t>
        </is>
      </c>
      <c r="D118" s="26" t="inlineStr">
        <is>
          <t>Business-Case rechnen</t>
        </is>
      </c>
      <c r="E118" s="37" t="n">
        <v>46213</v>
      </c>
      <c r="F118" s="26" t="inlineStr">
        <is>
          <t>Offen</t>
        </is>
      </c>
      <c r="G118" s="26" t="inlineStr">
        <is>
          <t>Burak Ücöz</t>
        </is>
      </c>
      <c r="H118" s="25">
        <f>IF(F118="Erledigt","✅",IF(E118&lt;TODAY(),"🔴",IF(E118&lt;=TODAY()+7,"🟡","🟢")))</f>
        <v/>
      </c>
    </row>
    <row r="119" ht="20" customHeight="1">
      <c r="A119" s="36" t="n">
        <v>46190</v>
      </c>
      <c r="B119" s="18" t="inlineStr">
        <is>
          <t>Stadtwerke Steiner Fribourg</t>
        </is>
      </c>
      <c r="C119" s="18" t="inlineStr">
        <is>
          <t>Angebot</t>
        </is>
      </c>
      <c r="D119" s="18" t="inlineStr">
        <is>
          <t>Referenz anbieten</t>
        </is>
      </c>
      <c r="E119" s="36" t="n">
        <v>46222</v>
      </c>
      <c r="F119" s="18" t="inlineStr">
        <is>
          <t>Erledigt</t>
        </is>
      </c>
      <c r="G119" s="18" t="inlineStr">
        <is>
          <t>S. Meier</t>
        </is>
      </c>
      <c r="H119" s="25">
        <f>IF(F119="Erledigt","✅",IF(E119&lt;TODAY(),"🔴",IF(E119&lt;=TODAY()+7,"🟡","🟢")))</f>
        <v/>
      </c>
    </row>
    <row r="120" ht="20" customHeight="1">
      <c r="A120" s="37" t="n">
        <v>46188</v>
      </c>
      <c r="B120" s="26" t="inlineStr">
        <is>
          <t>Garage Weber St. Gallen</t>
        </is>
      </c>
      <c r="C120" s="26" t="inlineStr">
        <is>
          <t>Anruf</t>
        </is>
      </c>
      <c r="D120" s="26" t="inlineStr">
        <is>
          <t>Pilot definieren</t>
        </is>
      </c>
      <c r="E120" s="37" t="n">
        <v>46200</v>
      </c>
      <c r="F120" s="26" t="inlineStr">
        <is>
          <t>Offen</t>
        </is>
      </c>
      <c r="G120" s="26" t="inlineStr">
        <is>
          <t>N. Keller</t>
        </is>
      </c>
      <c r="H120" s="25">
        <f>IF(F120="Erledigt","✅",IF(E120&lt;TODAY(),"🔴",IF(E120&lt;=TODAY()+7,"🟡","🟢")))</f>
        <v/>
      </c>
    </row>
    <row r="121" ht="20" customHeight="1">
      <c r="A121" s="36" t="n">
        <v>46187</v>
      </c>
      <c r="B121" s="18" t="inlineStr">
        <is>
          <t>Fuhrpark Berger Neuchâtel</t>
        </is>
      </c>
      <c r="C121" s="18" t="inlineStr">
        <is>
          <t>E-Mail</t>
        </is>
      </c>
      <c r="D121" s="18" t="inlineStr">
        <is>
          <t>Bedarf klären</t>
        </is>
      </c>
      <c r="E121" s="36" t="n">
        <v>46209</v>
      </c>
      <c r="F121" s="18" t="inlineStr">
        <is>
          <t>Offen</t>
        </is>
      </c>
      <c r="G121" s="18" t="inlineStr">
        <is>
          <t>A. Favre</t>
        </is>
      </c>
      <c r="H121" s="25">
        <f>IF(F121="Erledigt","✅",IF(E121&lt;TODAY(),"🔴",IF(E121&lt;=TODAY()+7,"🟡","🟢")))</f>
        <v/>
      </c>
    </row>
    <row r="122" ht="20" customHeight="1">
      <c r="A122" s="37" t="n">
        <v>46206</v>
      </c>
      <c r="B122" s="26" t="inlineStr">
        <is>
          <t>Center Meier Zürich</t>
        </is>
      </c>
      <c r="C122" s="26" t="inlineStr">
        <is>
          <t>Termin vor Ort</t>
        </is>
      </c>
      <c r="D122" s="26" t="inlineStr">
        <is>
          <t>Erstgespräch planen</t>
        </is>
      </c>
      <c r="E122" s="37" t="n">
        <v>46218</v>
      </c>
      <c r="F122" s="26" t="inlineStr">
        <is>
          <t>Erledigt</t>
        </is>
      </c>
      <c r="G122" s="26" t="inlineStr">
        <is>
          <t>Burak Ücöz</t>
        </is>
      </c>
      <c r="H122" s="25">
        <f>IF(F122="Erledigt","✅",IF(E122&lt;TODAY(),"🔴",IF(E122&lt;=TODAY()+7,"🟡","🟢")))</f>
        <v/>
      </c>
    </row>
    <row r="123" ht="20" customHeight="1">
      <c r="A123" s="36" t="n">
        <v>46205</v>
      </c>
      <c r="B123" s="18" t="inlineStr">
        <is>
          <t>Spedition Zünd Genf</t>
        </is>
      </c>
      <c r="C123" s="18" t="inlineStr">
        <is>
          <t>Web-Demo</t>
        </is>
      </c>
      <c r="D123" s="18" t="inlineStr">
        <is>
          <t>Angebot erstellen</t>
        </is>
      </c>
      <c r="E123" s="36" t="n">
        <v>46227</v>
      </c>
      <c r="F123" s="18" t="inlineStr">
        <is>
          <t>Offen</t>
        </is>
      </c>
      <c r="G123" s="18" t="inlineStr">
        <is>
          <t>S. Meier</t>
        </is>
      </c>
      <c r="H123" s="25">
        <f>IF(F123="Erledigt","✅",IF(E123&lt;TODAY(),"🔴",IF(E123&lt;=TODAY()+7,"🟡","🟢")))</f>
        <v/>
      </c>
    </row>
    <row r="124" ht="20" customHeight="1">
      <c r="A124" s="37" t="n">
        <v>46204</v>
      </c>
      <c r="B124" s="26" t="inlineStr">
        <is>
          <t>Areal Bühler Aarau</t>
        </is>
      </c>
      <c r="C124" s="26" t="inlineStr">
        <is>
          <t>Angebot</t>
        </is>
      </c>
      <c r="D124" s="26" t="inlineStr">
        <is>
          <t>Angebot nachfassen</t>
        </is>
      </c>
      <c r="E124" s="37" t="n">
        <v>46236</v>
      </c>
      <c r="F124" s="26" t="inlineStr">
        <is>
          <t>Offen</t>
        </is>
      </c>
      <c r="G124" s="26" t="inlineStr">
        <is>
          <t>L. Rossi</t>
        </is>
      </c>
      <c r="H124" s="25">
        <f>IF(F124="Erledigt","✅",IF(E124&lt;TODAY(),"🔴",IF(E124&lt;=TODAY()+7,"🟡","🟢")))</f>
        <v/>
      </c>
    </row>
    <row r="125" ht="20" customHeight="1">
      <c r="A125" s="36" t="n">
        <v>46203</v>
      </c>
      <c r="B125" s="18" t="inlineStr">
        <is>
          <t>Resort Baumann Winterthur</t>
        </is>
      </c>
      <c r="C125" s="18" t="inlineStr">
        <is>
          <t>Follow-up</t>
        </is>
      </c>
      <c r="D125" s="18" t="inlineStr">
        <is>
          <t>Standort-Audit terminieren</t>
        </is>
      </c>
      <c r="E125" s="36" t="n">
        <v>46205</v>
      </c>
      <c r="F125" s="18" t="inlineStr">
        <is>
          <t>Offen</t>
        </is>
      </c>
      <c r="G125" s="18" t="inlineStr">
        <is>
          <t>N. Keller</t>
        </is>
      </c>
      <c r="H125" s="25">
        <f>IF(F125="Erledigt","✅",IF(E125&lt;TODAY(),"🔴",IF(E125&lt;=TODAY()+7,"🟡","🟢")))</f>
        <v/>
      </c>
    </row>
    <row r="126" ht="20" customHeight="1">
      <c r="A126" s="37" t="n">
        <v>46202</v>
      </c>
      <c r="B126" s="26" t="inlineStr">
        <is>
          <t>Stadtwerke Widmer Lausanne</t>
        </is>
      </c>
      <c r="C126" s="26" t="inlineStr">
        <is>
          <t>Anruf</t>
        </is>
      </c>
      <c r="D126" s="26" t="inlineStr">
        <is>
          <t>Entscheider treffen</t>
        </is>
      </c>
      <c r="E126" s="37" t="n">
        <v>46214</v>
      </c>
      <c r="F126" s="26" t="inlineStr">
        <is>
          <t>Erledigt</t>
        </is>
      </c>
      <c r="G126" s="26" t="inlineStr">
        <is>
          <t>A. Favre</t>
        </is>
      </c>
      <c r="H126" s="25">
        <f>IF(F126="Erledigt","✅",IF(E126&lt;TODAY(),"🔴",IF(E126&lt;=TODAY()+7,"🟡","🟢")))</f>
        <v/>
      </c>
    </row>
    <row r="127" ht="20" customHeight="1">
      <c r="A127" s="36" t="n">
        <v>46201</v>
      </c>
      <c r="B127" s="18" t="inlineStr">
        <is>
          <t>Industrie Frei Zug</t>
        </is>
      </c>
      <c r="C127" s="18" t="inlineStr">
        <is>
          <t>E-Mail</t>
        </is>
      </c>
      <c r="D127" s="18" t="inlineStr">
        <is>
          <t>Business-Case rechnen</t>
        </is>
      </c>
      <c r="E127" s="36" t="n">
        <v>46223</v>
      </c>
      <c r="F127" s="18" t="inlineStr">
        <is>
          <t>Offen</t>
        </is>
      </c>
      <c r="G127" s="18" t="inlineStr">
        <is>
          <t>Burak Ücöz</t>
        </is>
      </c>
      <c r="H127" s="25">
        <f>IF(F127="Erledigt","✅",IF(E127&lt;TODAY(),"🔴",IF(E127&lt;=TODAY()+7,"🟡","🟢")))</f>
        <v/>
      </c>
    </row>
    <row r="128" ht="20" customHeight="1">
      <c r="A128" s="37" t="n">
        <v>46199</v>
      </c>
      <c r="B128" s="26" t="inlineStr">
        <is>
          <t>Fuhrpark Müller Lugano</t>
        </is>
      </c>
      <c r="C128" s="26" t="inlineStr">
        <is>
          <t>Web-Demo</t>
        </is>
      </c>
      <c r="D128" s="26" t="inlineStr">
        <is>
          <t>Vertrag vorbereiten</t>
        </is>
      </c>
      <c r="E128" s="37" t="n">
        <v>46201</v>
      </c>
      <c r="F128" s="26" t="inlineStr">
        <is>
          <t>Offen</t>
        </is>
      </c>
      <c r="G128" s="26" t="inlineStr">
        <is>
          <t>L. Rossi</t>
        </is>
      </c>
      <c r="H128" s="25">
        <f>IF(F128="Erledigt","✅",IF(E128&lt;TODAY(),"🔴",IF(E128&lt;=TODAY()+7,"🟡","🟢")))</f>
        <v/>
      </c>
    </row>
    <row r="129" ht="20" customHeight="1">
      <c r="A129" s="36" t="n">
        <v>46198</v>
      </c>
      <c r="B129" s="18" t="inlineStr">
        <is>
          <t>Center Brunner Baden</t>
        </is>
      </c>
      <c r="C129" s="18" t="inlineStr">
        <is>
          <t>Angebot</t>
        </is>
      </c>
      <c r="D129" s="18" t="inlineStr">
        <is>
          <t>Pilot definieren</t>
        </is>
      </c>
      <c r="E129" s="36" t="n">
        <v>46210</v>
      </c>
      <c r="F129" s="18" t="inlineStr">
        <is>
          <t>Erledigt</t>
        </is>
      </c>
      <c r="G129" s="18" t="inlineStr">
        <is>
          <t>N. Keller</t>
        </is>
      </c>
      <c r="H129" s="25">
        <f>IF(F129="Erledigt","✅",IF(E129&lt;TODAY(),"🔴",IF(E129&lt;=TODAY()+7,"🟡","🟢")))</f>
        <v/>
      </c>
    </row>
    <row r="130" ht="20" customHeight="1">
      <c r="A130" s="37" t="n">
        <v>46196</v>
      </c>
      <c r="B130" s="26" t="inlineStr">
        <is>
          <t>Areal Graf Chur</t>
        </is>
      </c>
      <c r="C130" s="26" t="inlineStr">
        <is>
          <t>Anruf</t>
        </is>
      </c>
      <c r="D130" s="26" t="inlineStr">
        <is>
          <t>Erstgespräch planen</t>
        </is>
      </c>
      <c r="E130" s="37" t="n">
        <v>46228</v>
      </c>
      <c r="F130" s="26" t="inlineStr">
        <is>
          <t>Offen</t>
        </is>
      </c>
      <c r="G130" s="26" t="inlineStr">
        <is>
          <t>Burak Ücöz</t>
        </is>
      </c>
      <c r="H130" s="25">
        <f>IF(F130="Erledigt","✅",IF(E130&lt;TODAY(),"🔴",IF(E130&lt;=TODAY()+7,"🟡","🟢")))</f>
        <v/>
      </c>
    </row>
    <row r="131" ht="20" customHeight="1">
      <c r="A131" s="36" t="n">
        <v>46195</v>
      </c>
      <c r="B131" s="18" t="inlineStr">
        <is>
          <t>Resort Gerber Olten</t>
        </is>
      </c>
      <c r="C131" s="18" t="inlineStr">
        <is>
          <t>E-Mail</t>
        </is>
      </c>
      <c r="D131" s="18" t="inlineStr">
        <is>
          <t>Angebot erstellen</t>
        </is>
      </c>
      <c r="E131" s="36" t="n">
        <v>46237</v>
      </c>
      <c r="F131" s="18" t="inlineStr">
        <is>
          <t>Offen</t>
        </is>
      </c>
      <c r="G131" s="18" t="inlineStr">
        <is>
          <t>S. Meier</t>
        </is>
      </c>
      <c r="H131" s="25">
        <f>IF(F131="Erledigt","✅",IF(E131&lt;TODAY(),"🔴",IF(E131&lt;=TODAY()+7,"🟡","🟢")))</f>
        <v/>
      </c>
    </row>
    <row r="132" ht="20" customHeight="1">
      <c r="A132" s="37" t="n">
        <v>46194</v>
      </c>
      <c r="B132" s="26" t="inlineStr">
        <is>
          <t>Stadtwerke Rossi Basel</t>
        </is>
      </c>
      <c r="C132" s="26" t="inlineStr">
        <is>
          <t>Termin vor Ort</t>
        </is>
      </c>
      <c r="D132" s="26" t="inlineStr">
        <is>
          <t>Angebot nachfassen</t>
        </is>
      </c>
      <c r="E132" s="37" t="n">
        <v>46206</v>
      </c>
      <c r="F132" s="26" t="inlineStr">
        <is>
          <t>Erledigt</t>
        </is>
      </c>
      <c r="G132" s="26" t="inlineStr">
        <is>
          <t>L. Rossi</t>
        </is>
      </c>
      <c r="H132" s="25">
        <f>IF(F132="Erledigt","✅",IF(E132&lt;TODAY(),"🔴",IF(E132&lt;=TODAY()+7,"🟡","🟢")))</f>
        <v/>
      </c>
    </row>
    <row r="133" ht="20" customHeight="1">
      <c r="A133" s="36" t="n">
        <v>46193</v>
      </c>
      <c r="B133" s="18" t="inlineStr">
        <is>
          <t>Industrie Amrein Sion</t>
        </is>
      </c>
      <c r="C133" s="18" t="inlineStr">
        <is>
          <t>Web-Demo</t>
        </is>
      </c>
      <c r="D133" s="18" t="inlineStr">
        <is>
          <t>Standort-Audit terminieren</t>
        </is>
      </c>
      <c r="E133" s="36" t="n">
        <v>46215</v>
      </c>
      <c r="F133" s="18" t="inlineStr">
        <is>
          <t>Offen</t>
        </is>
      </c>
      <c r="G133" s="18" t="inlineStr">
        <is>
          <t>N. Keller</t>
        </is>
      </c>
      <c r="H133" s="25">
        <f>IF(F133="Erledigt","✅",IF(E133&lt;TODAY(),"🔴",IF(E133&lt;=TODAY()+7,"🟡","🟢")))</f>
        <v/>
      </c>
    </row>
    <row r="134" ht="20" customHeight="1">
      <c r="A134" s="37" t="n">
        <v>46192</v>
      </c>
      <c r="B134" s="26" t="inlineStr">
        <is>
          <t>Garage Keller Biel</t>
        </is>
      </c>
      <c r="C134" s="26" t="inlineStr">
        <is>
          <t>Angebot</t>
        </is>
      </c>
      <c r="D134" s="26" t="inlineStr">
        <is>
          <t>Entscheider treffen</t>
        </is>
      </c>
      <c r="E134" s="37" t="n">
        <v>46224</v>
      </c>
      <c r="F134" s="26" t="inlineStr">
        <is>
          <t>Offen</t>
        </is>
      </c>
      <c r="G134" s="26" t="inlineStr">
        <is>
          <t>A. Favre</t>
        </is>
      </c>
      <c r="H134" s="25">
        <f>IF(F134="Erledigt","✅",IF(E134&lt;TODAY(),"🔴",IF(E134&lt;=TODAY()+7,"🟡","🟢")))</f>
        <v/>
      </c>
    </row>
    <row r="135" ht="20" customHeight="1">
      <c r="A135" s="36" t="n">
        <v>46191</v>
      </c>
      <c r="B135" s="18" t="inlineStr">
        <is>
          <t>Fuhrpark Wyss Luzern</t>
        </is>
      </c>
      <c r="C135" s="18" t="inlineStr">
        <is>
          <t>Follow-up</t>
        </is>
      </c>
      <c r="D135" s="18" t="inlineStr">
        <is>
          <t>Business-Case rechnen</t>
        </is>
      </c>
      <c r="E135" s="36" t="n">
        <v>46233</v>
      </c>
      <c r="F135" s="18" t="inlineStr">
        <is>
          <t>Offen</t>
        </is>
      </c>
      <c r="G135" s="18" t="inlineStr">
        <is>
          <t>Burak Ücöz</t>
        </is>
      </c>
      <c r="H135" s="25">
        <f>IF(F135="Erledigt","✅",IF(E135&lt;TODAY(),"🔴",IF(E135&lt;=TODAY()+7,"🟡","🟢")))</f>
        <v/>
      </c>
    </row>
    <row r="136" ht="20" customHeight="1">
      <c r="A136" s="37" t="n">
        <v>46190</v>
      </c>
      <c r="B136" s="26" t="inlineStr">
        <is>
          <t>Center Hofer Fribourg</t>
        </is>
      </c>
      <c r="C136" s="26" t="inlineStr">
        <is>
          <t>Anruf</t>
        </is>
      </c>
      <c r="D136" s="26" t="inlineStr">
        <is>
          <t>Referenz anbieten</t>
        </is>
      </c>
      <c r="E136" s="37" t="n">
        <v>46202</v>
      </c>
      <c r="F136" s="26" t="inlineStr">
        <is>
          <t>Erledigt</t>
        </is>
      </c>
      <c r="G136" s="26" t="inlineStr">
        <is>
          <t>S. Meier</t>
        </is>
      </c>
      <c r="H136" s="25">
        <f>IF(F136="Erledigt","✅",IF(E136&lt;TODAY(),"🔴",IF(E136&lt;=TODAY()+7,"🟡","🟢")))</f>
        <v/>
      </c>
    </row>
    <row r="137" ht="20" customHeight="1">
      <c r="A137" s="36" t="n">
        <v>46189</v>
      </c>
      <c r="B137" s="18" t="inlineStr">
        <is>
          <t>Spedition Roth Solothurn</t>
        </is>
      </c>
      <c r="C137" s="18" t="inlineStr">
        <is>
          <t>E-Mail</t>
        </is>
      </c>
      <c r="D137" s="18" t="inlineStr">
        <is>
          <t>Vertrag vorbereiten</t>
        </is>
      </c>
      <c r="E137" s="36" t="n">
        <v>46211</v>
      </c>
      <c r="F137" s="18" t="inlineStr">
        <is>
          <t>Offen</t>
        </is>
      </c>
      <c r="G137" s="18" t="inlineStr">
        <is>
          <t>L. Rossi</t>
        </is>
      </c>
      <c r="H137" s="25">
        <f>IF(F137="Erledigt","✅",IF(E137&lt;TODAY(),"🔴",IF(E137&lt;=TODAY()+7,"🟡","🟢")))</f>
        <v/>
      </c>
    </row>
    <row r="138" ht="20" customHeight="1">
      <c r="A138" s="37" t="n">
        <v>46187</v>
      </c>
      <c r="B138" s="26" t="inlineStr">
        <is>
          <t>Resort Favre Neuchâtel</t>
        </is>
      </c>
      <c r="C138" s="26" t="inlineStr">
        <is>
          <t>Web-Demo</t>
        </is>
      </c>
      <c r="D138" s="26" t="inlineStr">
        <is>
          <t>Bedarf klären</t>
        </is>
      </c>
      <c r="E138" s="37" t="n">
        <v>46229</v>
      </c>
      <c r="F138" s="26" t="inlineStr">
        <is>
          <t>Offen</t>
        </is>
      </c>
      <c r="G138" s="26" t="inlineStr">
        <is>
          <t>A. Favre</t>
        </is>
      </c>
      <c r="H138" s="25">
        <f>IF(F138="Erledigt","✅",IF(E138&lt;TODAY(),"🔴",IF(E138&lt;=TODAY()+7,"🟡","🟢")))</f>
        <v/>
      </c>
    </row>
    <row r="139" ht="20" customHeight="1">
      <c r="A139" s="36" t="n">
        <v>46206</v>
      </c>
      <c r="B139" s="18" t="inlineStr">
        <is>
          <t>Stadtwerke Bianchi Zürich</t>
        </is>
      </c>
      <c r="C139" s="18" t="inlineStr">
        <is>
          <t>Angebot</t>
        </is>
      </c>
      <c r="D139" s="18" t="inlineStr">
        <is>
          <t>Erstgespräch planen</t>
        </is>
      </c>
      <c r="E139" s="36" t="n">
        <v>46198</v>
      </c>
      <c r="F139" s="18" t="inlineStr">
        <is>
          <t>Erledigt</t>
        </is>
      </c>
      <c r="G139" s="18" t="inlineStr">
        <is>
          <t>Burak Ücöz</t>
        </is>
      </c>
      <c r="H139" s="25">
        <f>IF(F139="Erledigt","✅",IF(E139&lt;TODAY(),"🔴",IF(E139&lt;=TODAY()+7,"🟡","🟢")))</f>
        <v/>
      </c>
    </row>
    <row r="140" ht="20" customHeight="1">
      <c r="A140" s="37" t="n">
        <v>46204</v>
      </c>
      <c r="B140" s="26" t="inlineStr">
        <is>
          <t>Garage Fischer Aarau</t>
        </is>
      </c>
      <c r="C140" s="26" t="inlineStr">
        <is>
          <t>Anruf</t>
        </is>
      </c>
      <c r="D140" s="26" t="inlineStr">
        <is>
          <t>Angebot nachfassen</t>
        </is>
      </c>
      <c r="E140" s="37" t="n">
        <v>46216</v>
      </c>
      <c r="F140" s="26" t="inlineStr">
        <is>
          <t>Offen</t>
        </is>
      </c>
      <c r="G140" s="26" t="inlineStr">
        <is>
          <t>L. Rossi</t>
        </is>
      </c>
      <c r="H140" s="25">
        <f>IF(F140="Erledigt","✅",IF(E140&lt;TODAY(),"🔴",IF(E140&lt;=TODAY()+7,"🟡","🟢")))</f>
        <v/>
      </c>
    </row>
    <row r="141" ht="20" customHeight="1">
      <c r="A141" s="36" t="n">
        <v>46203</v>
      </c>
      <c r="B141" s="18" t="inlineStr">
        <is>
          <t>Fuhrpark Vogel Winterthur</t>
        </is>
      </c>
      <c r="C141" s="18" t="inlineStr">
        <is>
          <t>E-Mail</t>
        </is>
      </c>
      <c r="D141" s="18" t="inlineStr">
        <is>
          <t>Standort-Audit terminieren</t>
        </is>
      </c>
      <c r="E141" s="36" t="n">
        <v>46225</v>
      </c>
      <c r="F141" s="18" t="inlineStr">
        <is>
          <t>Offen</t>
        </is>
      </c>
      <c r="G141" s="18" t="inlineStr">
        <is>
          <t>N. Keller</t>
        </is>
      </c>
      <c r="H141" s="25">
        <f>IF(F141="Erledigt","✅",IF(E141&lt;TODAY(),"🔴",IF(E141&lt;=TODAY()+7,"🟡","🟢")))</f>
        <v/>
      </c>
    </row>
    <row r="142" ht="20" customHeight="1">
      <c r="A142" s="37" t="n">
        <v>46202</v>
      </c>
      <c r="B142" s="26" t="inlineStr">
        <is>
          <t>Center Suter Lausanne</t>
        </is>
      </c>
      <c r="C142" s="26" t="inlineStr">
        <is>
          <t>Termin vor Ort</t>
        </is>
      </c>
      <c r="D142" s="26" t="inlineStr">
        <is>
          <t>Entscheider treffen</t>
        </is>
      </c>
      <c r="E142" s="37" t="n">
        <v>46234</v>
      </c>
      <c r="F142" s="26" t="inlineStr">
        <is>
          <t>Erledigt</t>
        </is>
      </c>
      <c r="G142" s="26" t="inlineStr">
        <is>
          <t>A. Favre</t>
        </is>
      </c>
      <c r="H142" s="25">
        <f>IF(F142="Erledigt","✅",IF(E142&lt;TODAY(),"🔴",IF(E142&lt;=TODAY()+7,"🟡","🟢")))</f>
        <v/>
      </c>
    </row>
    <row r="143" ht="20" customHeight="1">
      <c r="A143" s="36" t="n">
        <v>46201</v>
      </c>
      <c r="B143" s="18" t="inlineStr">
        <is>
          <t>Spedition Marti Zug</t>
        </is>
      </c>
      <c r="C143" s="18" t="inlineStr">
        <is>
          <t>Web-Demo</t>
        </is>
      </c>
      <c r="D143" s="18" t="inlineStr">
        <is>
          <t>Business-Case rechnen</t>
        </is>
      </c>
      <c r="E143" s="36" t="n">
        <v>46203</v>
      </c>
      <c r="F143" s="18" t="inlineStr">
        <is>
          <t>Offen</t>
        </is>
      </c>
      <c r="G143" s="18" t="inlineStr">
        <is>
          <t>Burak Ücöz</t>
        </is>
      </c>
      <c r="H143" s="25">
        <f>IF(F143="Erledigt","✅",IF(E143&lt;TODAY(),"🔴",IF(E143&lt;=TODAY()+7,"🟡","🟢")))</f>
        <v/>
      </c>
    </row>
    <row r="144" ht="20" customHeight="1">
      <c r="A144" s="37" t="n">
        <v>46200</v>
      </c>
      <c r="B144" s="26" t="inlineStr">
        <is>
          <t>Areal Steiner Bern</t>
        </is>
      </c>
      <c r="C144" s="26" t="inlineStr">
        <is>
          <t>Angebot</t>
        </is>
      </c>
      <c r="D144" s="26" t="inlineStr">
        <is>
          <t>Referenz anbieten</t>
        </is>
      </c>
      <c r="E144" s="37" t="n">
        <v>46212</v>
      </c>
      <c r="F144" s="26" t="inlineStr">
        <is>
          <t>Offen</t>
        </is>
      </c>
      <c r="G144" s="26" t="inlineStr">
        <is>
          <t>S. Meier</t>
        </is>
      </c>
      <c r="H144" s="25">
        <f>IF(F144="Erledigt","✅",IF(E144&lt;TODAY(),"🔴",IF(E144&lt;=TODAY()+7,"🟡","🟢")))</f>
        <v/>
      </c>
    </row>
    <row r="145" ht="20" customHeight="1">
      <c r="A145" s="36" t="n">
        <v>46199</v>
      </c>
      <c r="B145" s="18" t="inlineStr">
        <is>
          <t>Resort Moser Lugano</t>
        </is>
      </c>
      <c r="C145" s="18" t="inlineStr">
        <is>
          <t>Follow-up</t>
        </is>
      </c>
      <c r="D145" s="18" t="inlineStr">
        <is>
          <t>Vertrag vorbereiten</t>
        </is>
      </c>
      <c r="E145" s="36" t="n">
        <v>46221</v>
      </c>
      <c r="F145" s="18" t="inlineStr">
        <is>
          <t>Offen</t>
        </is>
      </c>
      <c r="G145" s="18" t="inlineStr">
        <is>
          <t>L. Rossi</t>
        </is>
      </c>
      <c r="H145" s="25">
        <f>IF(F145="Erledigt","✅",IF(E145&lt;TODAY(),"🔴",IF(E145&lt;=TODAY()+7,"🟡","🟢")))</f>
        <v/>
      </c>
    </row>
    <row r="146" ht="20" customHeight="1">
      <c r="A146" s="37" t="n">
        <v>46198</v>
      </c>
      <c r="B146" s="26" t="inlineStr">
        <is>
          <t>Stadtwerke Weber Baden</t>
        </is>
      </c>
      <c r="C146" s="26" t="inlineStr">
        <is>
          <t>Anruf</t>
        </is>
      </c>
      <c r="D146" s="26" t="inlineStr">
        <is>
          <t>Pilot definieren</t>
        </is>
      </c>
      <c r="E146" s="37" t="n">
        <v>46230</v>
      </c>
      <c r="F146" s="26" t="inlineStr">
        <is>
          <t>Erledigt</t>
        </is>
      </c>
      <c r="G146" s="26" t="inlineStr">
        <is>
          <t>N. Keller</t>
        </is>
      </c>
      <c r="H146" s="25">
        <f>IF(F146="Erledigt","✅",IF(E146&lt;TODAY(),"🔴",IF(E146&lt;=TODAY()+7,"🟡","🟢")))</f>
        <v/>
      </c>
    </row>
    <row r="147" ht="20" customHeight="1">
      <c r="A147" s="36" t="n">
        <v>46197</v>
      </c>
      <c r="B147" s="18" t="inlineStr">
        <is>
          <t>Industrie Berger Thun</t>
        </is>
      </c>
      <c r="C147" s="18" t="inlineStr">
        <is>
          <t>E-Mail</t>
        </is>
      </c>
      <c r="D147" s="18" t="inlineStr">
        <is>
          <t>Bedarf klären</t>
        </is>
      </c>
      <c r="E147" s="36" t="n">
        <v>46199</v>
      </c>
      <c r="F147" s="18" t="inlineStr">
        <is>
          <t>Offen</t>
        </is>
      </c>
      <c r="G147" s="18" t="inlineStr">
        <is>
          <t>A. Favre</t>
        </is>
      </c>
      <c r="H147" s="25">
        <f>IF(F147="Erledigt","✅",IF(E147&lt;TODAY(),"🔴",IF(E147&lt;=TODAY()+7,"🟡","🟢")))</f>
        <v/>
      </c>
    </row>
    <row r="148" ht="20" customHeight="1">
      <c r="A148" s="37" t="n">
        <v>46195</v>
      </c>
      <c r="B148" s="26" t="inlineStr">
        <is>
          <t>Fuhrpark Zünd Olten</t>
        </is>
      </c>
      <c r="C148" s="26" t="inlineStr">
        <is>
          <t>Web-Demo</t>
        </is>
      </c>
      <c r="D148" s="26" t="inlineStr">
        <is>
          <t>Angebot erstellen</t>
        </is>
      </c>
      <c r="E148" s="37" t="n">
        <v>46217</v>
      </c>
      <c r="F148" s="26" t="inlineStr">
        <is>
          <t>Offen</t>
        </is>
      </c>
      <c r="G148" s="26" t="inlineStr">
        <is>
          <t>S. Meier</t>
        </is>
      </c>
      <c r="H148" s="25">
        <f>IF(F148="Erledigt","✅",IF(E148&lt;TODAY(),"🔴",IF(E148&lt;=TODAY()+7,"🟡","🟢")))</f>
        <v/>
      </c>
    </row>
    <row r="149" ht="20" customHeight="1">
      <c r="A149" s="36" t="n">
        <v>46194</v>
      </c>
      <c r="B149" s="18" t="inlineStr">
        <is>
          <t>Center Bühler Basel</t>
        </is>
      </c>
      <c r="C149" s="18" t="inlineStr">
        <is>
          <t>Angebot</t>
        </is>
      </c>
      <c r="D149" s="18" t="inlineStr">
        <is>
          <t>Angebot nachfassen</t>
        </is>
      </c>
      <c r="E149" s="36" t="n">
        <v>46226</v>
      </c>
      <c r="F149" s="18" t="inlineStr">
        <is>
          <t>Erledigt</t>
        </is>
      </c>
      <c r="G149" s="18" t="inlineStr">
        <is>
          <t>L. Rossi</t>
        </is>
      </c>
      <c r="H149" s="25">
        <f>IF(F149="Erledigt","✅",IF(E149&lt;TODAY(),"🔴",IF(E149&lt;=TODAY()+7,"🟡","🟢")))</f>
        <v/>
      </c>
    </row>
    <row r="150" ht="20" customHeight="1">
      <c r="A150" s="37" t="n">
        <v>46192</v>
      </c>
      <c r="B150" s="26" t="inlineStr">
        <is>
          <t>Areal Widmer Biel</t>
        </is>
      </c>
      <c r="C150" s="26" t="inlineStr">
        <is>
          <t>Anruf</t>
        </is>
      </c>
      <c r="D150" s="26" t="inlineStr">
        <is>
          <t>Entscheider treffen</t>
        </is>
      </c>
      <c r="E150" s="37" t="n">
        <v>46204</v>
      </c>
      <c r="F150" s="26" t="inlineStr">
        <is>
          <t>Offen</t>
        </is>
      </c>
      <c r="G150" s="26" t="inlineStr">
        <is>
          <t>A. Favre</t>
        </is>
      </c>
      <c r="H150" s="25">
        <f>IF(F150="Erledigt","✅",IF(E150&lt;TODAY(),"🔴",IF(E150&lt;=TODAY()+7,"🟡","🟢")))</f>
        <v/>
      </c>
    </row>
    <row r="151" ht="20" customHeight="1">
      <c r="A151" s="36" t="n">
        <v>46191</v>
      </c>
      <c r="B151" s="18" t="inlineStr">
        <is>
          <t>Resort Frei Luzern</t>
        </is>
      </c>
      <c r="C151" s="18" t="inlineStr">
        <is>
          <t>E-Mail</t>
        </is>
      </c>
      <c r="D151" s="18" t="inlineStr">
        <is>
          <t>Business-Case rechnen</t>
        </is>
      </c>
      <c r="E151" s="36" t="n">
        <v>46213</v>
      </c>
      <c r="F151" s="18" t="inlineStr">
        <is>
          <t>Offen</t>
        </is>
      </c>
      <c r="G151" s="18" t="inlineStr">
        <is>
          <t>Burak Ücöz</t>
        </is>
      </c>
      <c r="H151" s="25">
        <f>IF(F151="Erledigt","✅",IF(E151&lt;TODAY(),"🔴",IF(E151&lt;=TODAY()+7,"🟡","🟢")))</f>
        <v/>
      </c>
    </row>
    <row r="152" ht="20" customHeight="1">
      <c r="A152" s="37" t="n">
        <v>46190</v>
      </c>
      <c r="B152" s="26" t="inlineStr">
        <is>
          <t>Stadtwerke Schmid Fribourg</t>
        </is>
      </c>
      <c r="C152" s="26" t="inlineStr">
        <is>
          <t>Termin vor Ort</t>
        </is>
      </c>
      <c r="D152" s="26" t="inlineStr">
        <is>
          <t>Referenz anbieten</t>
        </is>
      </c>
      <c r="E152" s="37" t="n">
        <v>46222</v>
      </c>
      <c r="F152" s="26" t="inlineStr">
        <is>
          <t>Erledigt</t>
        </is>
      </c>
      <c r="G152" s="26" t="inlineStr">
        <is>
          <t>S. Meier</t>
        </is>
      </c>
      <c r="H152" s="25">
        <f>IF(F152="Erledigt","✅",IF(E152&lt;TODAY(),"🔴",IF(E152&lt;=TODAY()+7,"🟡","🟢")))</f>
        <v/>
      </c>
    </row>
    <row r="153" ht="20" customHeight="1">
      <c r="A153" s="36" t="n">
        <v>46189</v>
      </c>
      <c r="B153" s="18" t="inlineStr">
        <is>
          <t>Industrie Müller Solothurn</t>
        </is>
      </c>
      <c r="C153" s="18" t="inlineStr">
        <is>
          <t>Web-Demo</t>
        </is>
      </c>
      <c r="D153" s="18" t="inlineStr">
        <is>
          <t>Vertrag vorbereiten</t>
        </is>
      </c>
      <c r="E153" s="36" t="n">
        <v>46231</v>
      </c>
      <c r="F153" s="18" t="inlineStr">
        <is>
          <t>Offen</t>
        </is>
      </c>
      <c r="G153" s="18" t="inlineStr">
        <is>
          <t>L. Rossi</t>
        </is>
      </c>
      <c r="H153" s="25">
        <f>IF(F153="Erledigt","✅",IF(E153&lt;TODAY(),"🔴",IF(E153&lt;=TODAY()+7,"🟡","🟢")))</f>
        <v/>
      </c>
    </row>
    <row r="154" ht="20" customHeight="1">
      <c r="A154" s="37" t="n">
        <v>46188</v>
      </c>
      <c r="B154" s="26" t="inlineStr">
        <is>
          <t>Garage Brunner St. Gallen</t>
        </is>
      </c>
      <c r="C154" s="26" t="inlineStr">
        <is>
          <t>Angebot</t>
        </is>
      </c>
      <c r="D154" s="26" t="inlineStr">
        <is>
          <t>Pilot definieren</t>
        </is>
      </c>
      <c r="E154" s="37" t="n">
        <v>46200</v>
      </c>
      <c r="F154" s="26" t="inlineStr">
        <is>
          <t>Offen</t>
        </is>
      </c>
      <c r="G154" s="26" t="inlineStr">
        <is>
          <t>N. Keller</t>
        </is>
      </c>
      <c r="H154" s="25">
        <f>IF(F154="Erledigt","✅",IF(E154&lt;TODAY(),"🔴",IF(E154&lt;=TODAY()+7,"🟡","🟢")))</f>
        <v/>
      </c>
    </row>
    <row r="155" ht="20" customHeight="1">
      <c r="A155" s="36" t="n">
        <v>46187</v>
      </c>
      <c r="B155" s="18" t="inlineStr">
        <is>
          <t>Fuhrpark Egli Neuchâtel</t>
        </is>
      </c>
      <c r="C155" s="18" t="inlineStr">
        <is>
          <t>Follow-up</t>
        </is>
      </c>
      <c r="D155" s="18" t="inlineStr">
        <is>
          <t>Bedarf klären</t>
        </is>
      </c>
      <c r="E155" s="36" t="n">
        <v>46209</v>
      </c>
      <c r="F155" s="18" t="inlineStr">
        <is>
          <t>Offen</t>
        </is>
      </c>
      <c r="G155" s="18" t="inlineStr">
        <is>
          <t>A. Favre</t>
        </is>
      </c>
      <c r="H155" s="25">
        <f>IF(F155="Erledigt","✅",IF(E155&lt;TODAY(),"🔴",IF(E155&lt;=TODAY()+7,"🟡","🟢")))</f>
        <v/>
      </c>
    </row>
  </sheetData>
  <mergeCells count="2">
    <mergeCell ref="A2:H2"/>
    <mergeCell ref="A1:H1"/>
  </mergeCells>
  <conditionalFormatting sqref="A5:H155">
    <cfRule type="expression" priority="1" dxfId="3">
      <formula>AND($F5="Offen",$E5&lt;TODAY())</formula>
    </cfRule>
  </conditionalFormatting>
  <conditionalFormatting sqref="F5:F155">
    <cfRule type="cellIs" priority="2" operator="equal" dxfId="4">
      <formula>"Erledigt"</formula>
    </cfRule>
  </conditionalFormatting>
  <dataValidations count="2">
    <dataValidation sqref="F5:F155" showDropDown="0" showInputMessage="0" showErrorMessage="0" allowBlank="1" type="list">
      <formula1>=Listen!$K$5:$K$6</formula1>
    </dataValidation>
    <dataValidation sqref="C5:C155" showDropDown="0" showInputMessage="0" showErrorMessage="0" allowBlank="1" type="list">
      <formula1>=Listen!$J$5:$J$10</formula1>
    </dataValidation>
  </dataValidations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30" customWidth="1" min="4" max="4"/>
    <col width="16" customWidth="1" min="5" max="5"/>
    <col width="12" customWidth="1" min="6" max="6"/>
    <col width="15" customWidth="1" min="7" max="7"/>
    <col width="15" customWidth="1" min="8" max="8"/>
  </cols>
  <sheetData>
    <row r="1" ht="30" customHeight="1">
      <c r="A1" s="16" t="inlineStr">
        <is>
          <t>KONTAKTE &amp; FIRMEN (CRM)</t>
        </is>
      </c>
    </row>
    <row r="2">
      <c r="A2" s="17" t="inlineStr">
        <is>
          <t>Alle Firmen &amp; Ansprechpartner. E-Mail/Telefon deterministisch generiert (Demo).</t>
        </is>
      </c>
    </row>
    <row r="4" ht="24" customHeight="1">
      <c r="A4" s="13" t="inlineStr">
        <is>
          <t>Firma</t>
        </is>
      </c>
      <c r="B4" s="13" t="inlineStr">
        <is>
          <t>Ansprechpartner</t>
        </is>
      </c>
      <c r="C4" s="13" t="inlineStr">
        <is>
          <t>Rolle</t>
        </is>
      </c>
      <c r="D4" s="13" t="inlineStr">
        <is>
          <t>E-Mail</t>
        </is>
      </c>
      <c r="E4" s="13" t="inlineStr">
        <is>
          <t>Telefon</t>
        </is>
      </c>
      <c r="F4" s="13" t="inlineStr">
        <is>
          <t>Region</t>
        </is>
      </c>
      <c r="G4" s="13" t="inlineStr">
        <is>
          <t>Branche</t>
        </is>
      </c>
      <c r="H4" s="13" t="inlineStr">
        <is>
          <t>Letzter Kontakt</t>
        </is>
      </c>
    </row>
    <row r="5" ht="20" customHeight="1">
      <c r="A5" s="18" t="inlineStr">
        <is>
          <t>Migros Ostschweiz</t>
        </is>
      </c>
      <c r="B5" s="18" t="inlineStr">
        <is>
          <t>R. Brunner</t>
        </is>
      </c>
      <c r="C5" s="18" t="inlineStr">
        <is>
          <t>Geschäftsführung</t>
        </is>
      </c>
      <c r="D5" s="18" t="inlineStr">
        <is>
          <t>brunner@migrosostschwe.ch</t>
        </is>
      </c>
      <c r="E5" s="18" t="inlineStr">
        <is>
          <t>+41 44 200 10 00</t>
        </is>
      </c>
      <c r="F5" s="18" t="inlineStr">
        <is>
          <t>St. Gallen</t>
        </is>
      </c>
      <c r="G5" s="18" t="inlineStr">
        <is>
          <t>Detailhandel</t>
        </is>
      </c>
      <c r="H5" s="36" t="n">
        <v>46203</v>
      </c>
    </row>
    <row r="6" ht="20" customHeight="1">
      <c r="A6" s="26" t="inlineStr">
        <is>
          <t>Planzer Transport</t>
        </is>
      </c>
      <c r="B6" s="26" t="inlineStr">
        <is>
          <t>M. Planzer</t>
        </is>
      </c>
      <c r="C6" s="26" t="inlineStr">
        <is>
          <t>Einkauf</t>
        </is>
      </c>
      <c r="D6" s="26" t="inlineStr">
        <is>
          <t>planzer@planzertranspo.ch</t>
        </is>
      </c>
      <c r="E6" s="26" t="inlineStr">
        <is>
          <t>+41 45 207 11 03</t>
        </is>
      </c>
      <c r="F6" s="26" t="inlineStr">
        <is>
          <t>Zürich</t>
        </is>
      </c>
      <c r="G6" s="26" t="inlineStr">
        <is>
          <t>Logistik</t>
        </is>
      </c>
      <c r="H6" s="37" t="n">
        <v>46198</v>
      </c>
    </row>
    <row r="7" ht="20" customHeight="1">
      <c r="A7" s="18" t="inlineStr">
        <is>
          <t>SBB Immobilien</t>
        </is>
      </c>
      <c r="B7" s="18" t="inlineStr">
        <is>
          <t>C. Wyss</t>
        </is>
      </c>
      <c r="C7" s="18" t="inlineStr">
        <is>
          <t>Facility Management</t>
        </is>
      </c>
      <c r="D7" s="18" t="inlineStr">
        <is>
          <t>wyss@sbbimmobilien.ch</t>
        </is>
      </c>
      <c r="E7" s="18" t="inlineStr">
        <is>
          <t>+41 46 214 12 06</t>
        </is>
      </c>
      <c r="F7" s="18" t="inlineStr">
        <is>
          <t>Bern</t>
        </is>
      </c>
      <c r="G7" s="18" t="inlineStr">
        <is>
          <t>Immobilien</t>
        </is>
      </c>
      <c r="H7" s="36" t="n">
        <v>46193</v>
      </c>
    </row>
    <row r="8" ht="20" customHeight="1">
      <c r="A8" s="26" t="inlineStr">
        <is>
          <t>Coop Mineraloel</t>
        </is>
      </c>
      <c r="B8" s="26" t="inlineStr">
        <is>
          <t>T. Frei</t>
        </is>
      </c>
      <c r="C8" s="26" t="inlineStr">
        <is>
          <t>Fuhrpark</t>
        </is>
      </c>
      <c r="D8" s="26" t="inlineStr">
        <is>
          <t>frei@coopmineraloel.ch</t>
        </is>
      </c>
      <c r="E8" s="26" t="inlineStr">
        <is>
          <t>+41 47 221 13 09</t>
        </is>
      </c>
      <c r="F8" s="26" t="inlineStr">
        <is>
          <t>Aargau</t>
        </is>
      </c>
      <c r="G8" s="26" t="inlineStr">
        <is>
          <t>Tankstellen</t>
        </is>
      </c>
      <c r="H8" s="37" t="n">
        <v>46188</v>
      </c>
    </row>
    <row r="9" ht="20" customHeight="1">
      <c r="A9" s="18" t="inlineStr">
        <is>
          <t>Hotel Belvédère</t>
        </is>
      </c>
      <c r="B9" s="18" t="inlineStr">
        <is>
          <t>G. Rossi</t>
        </is>
      </c>
      <c r="C9" s="18" t="inlineStr">
        <is>
          <t>Nachhaltigkeit</t>
        </is>
      </c>
      <c r="D9" s="18" t="inlineStr">
        <is>
          <t>rossi@hotelbelvédère.ch</t>
        </is>
      </c>
      <c r="E9" s="18" t="inlineStr">
        <is>
          <t>+41 48 228 14 12</t>
        </is>
      </c>
      <c r="F9" s="18" t="inlineStr">
        <is>
          <t>Wallis</t>
        </is>
      </c>
      <c r="G9" s="18" t="inlineStr">
        <is>
          <t>Hotellerie</t>
        </is>
      </c>
      <c r="H9" s="36" t="n">
        <v>46183</v>
      </c>
    </row>
    <row r="10" ht="20" customHeight="1">
      <c r="A10" s="26" t="inlineStr">
        <is>
          <t>Stadt Zürich TAZ</t>
        </is>
      </c>
      <c r="B10" s="26" t="inlineStr">
        <is>
          <t>P. Huber</t>
        </is>
      </c>
      <c r="C10" s="26" t="inlineStr">
        <is>
          <t>Geschäftsführung</t>
        </is>
      </c>
      <c r="D10" s="26" t="inlineStr">
        <is>
          <t>huber@stadtzürichtaz.ch</t>
        </is>
      </c>
      <c r="E10" s="26" t="inlineStr">
        <is>
          <t>+41 49 235 15 15</t>
        </is>
      </c>
      <c r="F10" s="26" t="inlineStr">
        <is>
          <t>Zürich</t>
        </is>
      </c>
      <c r="G10" s="26" t="inlineStr">
        <is>
          <t>Öffentliche Hand</t>
        </is>
      </c>
      <c r="H10" s="37" t="n">
        <v>46178</v>
      </c>
    </row>
    <row r="11" ht="20" customHeight="1">
      <c r="A11" s="18" t="inlineStr">
        <is>
          <t>Emmi Gruppe</t>
        </is>
      </c>
      <c r="B11" s="18" t="inlineStr">
        <is>
          <t>D. Schmid</t>
        </is>
      </c>
      <c r="C11" s="18" t="inlineStr">
        <is>
          <t>Einkauf</t>
        </is>
      </c>
      <c r="D11" s="18" t="inlineStr">
        <is>
          <t>schmid@emmigruppe.ch</t>
        </is>
      </c>
      <c r="E11" s="18" t="inlineStr">
        <is>
          <t>+41 50 242 16 18</t>
        </is>
      </c>
      <c r="F11" s="18" t="inlineStr">
        <is>
          <t>Luzern</t>
        </is>
      </c>
      <c r="G11" s="18" t="inlineStr">
        <is>
          <t>Industrie</t>
        </is>
      </c>
      <c r="H11" s="36" t="n">
        <v>46173</v>
      </c>
    </row>
    <row r="12" ht="20" customHeight="1">
      <c r="A12" s="26" t="inlineStr">
        <is>
          <t>Groupe Mutuel</t>
        </is>
      </c>
      <c r="B12" s="26" t="inlineStr">
        <is>
          <t>J. Favre</t>
        </is>
      </c>
      <c r="C12" s="26" t="inlineStr">
        <is>
          <t>Facility Management</t>
        </is>
      </c>
      <c r="D12" s="26" t="inlineStr">
        <is>
          <t>favre@groupemutuel.ch</t>
        </is>
      </c>
      <c r="E12" s="26" t="inlineStr">
        <is>
          <t>+41 51 249 17 21</t>
        </is>
      </c>
      <c r="F12" s="26" t="inlineStr">
        <is>
          <t>Waadt</t>
        </is>
      </c>
      <c r="G12" s="26" t="inlineStr">
        <is>
          <t>Immobilien</t>
        </is>
      </c>
      <c r="H12" s="37" t="n">
        <v>46168</v>
      </c>
    </row>
    <row r="13" ht="20" customHeight="1">
      <c r="A13" s="18" t="inlineStr">
        <is>
          <t>Läderach</t>
        </is>
      </c>
      <c r="B13" s="18" t="inlineStr">
        <is>
          <t>S. Läderach</t>
        </is>
      </c>
      <c r="C13" s="18" t="inlineStr">
        <is>
          <t>Fuhrpark</t>
        </is>
      </c>
      <c r="D13" s="18" t="inlineStr">
        <is>
          <t>läderach@läderach.ch</t>
        </is>
      </c>
      <c r="E13" s="18" t="inlineStr">
        <is>
          <t>+41 52 256 18 24</t>
        </is>
      </c>
      <c r="F13" s="18" t="inlineStr">
        <is>
          <t>Aargau</t>
        </is>
      </c>
      <c r="G13" s="18" t="inlineStr">
        <is>
          <t>Detailhandel</t>
        </is>
      </c>
      <c r="H13" s="36" t="n">
        <v>46163</v>
      </c>
    </row>
    <row r="14" ht="20" customHeight="1">
      <c r="A14" s="26" t="inlineStr">
        <is>
          <t>Post Fleet</t>
        </is>
      </c>
      <c r="B14" s="26" t="inlineStr">
        <is>
          <t>M. Berger</t>
        </is>
      </c>
      <c r="C14" s="26" t="inlineStr">
        <is>
          <t>Nachhaltigkeit</t>
        </is>
      </c>
      <c r="D14" s="26" t="inlineStr">
        <is>
          <t>berger@postfleet.ch</t>
        </is>
      </c>
      <c r="E14" s="26" t="inlineStr">
        <is>
          <t>+41 53 263 19 27</t>
        </is>
      </c>
      <c r="F14" s="26" t="inlineStr">
        <is>
          <t>Bern</t>
        </is>
      </c>
      <c r="G14" s="26" t="inlineStr">
        <is>
          <t>Flottenbetrieb</t>
        </is>
      </c>
      <c r="H14" s="37" t="n">
        <v>46158</v>
      </c>
    </row>
    <row r="15" ht="20" customHeight="1">
      <c r="A15" s="18" t="inlineStr">
        <is>
          <t>TCS Genf</t>
        </is>
      </c>
      <c r="B15" s="18" t="inlineStr">
        <is>
          <t>F. Dubois</t>
        </is>
      </c>
      <c r="C15" s="18" t="inlineStr">
        <is>
          <t>Geschäftsführung</t>
        </is>
      </c>
      <c r="D15" s="18" t="inlineStr">
        <is>
          <t>dubois@tcsgenf.ch</t>
        </is>
      </c>
      <c r="E15" s="18" t="inlineStr">
        <is>
          <t>+41 54 270 20 30</t>
        </is>
      </c>
      <c r="F15" s="18" t="inlineStr">
        <is>
          <t>Genf</t>
        </is>
      </c>
      <c r="G15" s="18" t="inlineStr">
        <is>
          <t>Öffentliche Hand</t>
        </is>
      </c>
      <c r="H15" s="36" t="n">
        <v>46153</v>
      </c>
    </row>
    <row r="16" ht="20" customHeight="1">
      <c r="A16" s="26" t="inlineStr">
        <is>
          <t>IKEA Spreitenbach</t>
        </is>
      </c>
      <c r="B16" s="26" t="inlineStr">
        <is>
          <t>K. Nilsson</t>
        </is>
      </c>
      <c r="C16" s="26" t="inlineStr">
        <is>
          <t>Einkauf</t>
        </is>
      </c>
      <c r="D16" s="26" t="inlineStr">
        <is>
          <t>nilsson@ikeaspreitenba.ch</t>
        </is>
      </c>
      <c r="E16" s="26" t="inlineStr">
        <is>
          <t>+41 55 277 21 33</t>
        </is>
      </c>
      <c r="F16" s="26" t="inlineStr">
        <is>
          <t>Aargau</t>
        </is>
      </c>
      <c r="G16" s="26" t="inlineStr">
        <is>
          <t>Detailhandel</t>
        </is>
      </c>
      <c r="H16" s="37" t="n">
        <v>46148</v>
      </c>
    </row>
    <row r="17" ht="20" customHeight="1">
      <c r="A17" s="18" t="inlineStr">
        <is>
          <t>Manor AG</t>
        </is>
      </c>
      <c r="B17" s="18" t="inlineStr">
        <is>
          <t>B. Keller</t>
        </is>
      </c>
      <c r="C17" s="18" t="inlineStr">
        <is>
          <t>Facility Management</t>
        </is>
      </c>
      <c r="D17" s="18" t="inlineStr">
        <is>
          <t>keller@manorag.ch</t>
        </is>
      </c>
      <c r="E17" s="18" t="inlineStr">
        <is>
          <t>+41 56 284 22 36</t>
        </is>
      </c>
      <c r="F17" s="18" t="inlineStr">
        <is>
          <t>Basel</t>
        </is>
      </c>
      <c r="G17" s="18" t="inlineStr">
        <is>
          <t>Detailhandel</t>
        </is>
      </c>
      <c r="H17" s="36" t="n">
        <v>46203</v>
      </c>
    </row>
    <row r="18" ht="20" customHeight="1">
      <c r="A18" s="26" t="inlineStr">
        <is>
          <t>Kambly SA</t>
        </is>
      </c>
      <c r="B18" s="26" t="inlineStr">
        <is>
          <t>E. Kambly</t>
        </is>
      </c>
      <c r="C18" s="26" t="inlineStr">
        <is>
          <t>Fuhrpark</t>
        </is>
      </c>
      <c r="D18" s="26" t="inlineStr">
        <is>
          <t>kambly@kamblysa.ch</t>
        </is>
      </c>
      <c r="E18" s="26" t="inlineStr">
        <is>
          <t>+41 57 291 23 39</t>
        </is>
      </c>
      <c r="F18" s="26" t="inlineStr">
        <is>
          <t>Bern</t>
        </is>
      </c>
      <c r="G18" s="26" t="inlineStr">
        <is>
          <t>Industrie</t>
        </is>
      </c>
      <c r="H18" s="37" t="n">
        <v>46198</v>
      </c>
    </row>
    <row r="19" ht="20" customHeight="1">
      <c r="A19" s="18" t="inlineStr">
        <is>
          <t>Autogrill Schweiz</t>
        </is>
      </c>
      <c r="B19" s="18" t="inlineStr">
        <is>
          <t>R. Conti</t>
        </is>
      </c>
      <c r="C19" s="18" t="inlineStr">
        <is>
          <t>Nachhaltigkeit</t>
        </is>
      </c>
      <c r="D19" s="18" t="inlineStr">
        <is>
          <t>conti@autogrillschwe.ch</t>
        </is>
      </c>
      <c r="E19" s="18" t="inlineStr">
        <is>
          <t>+41 58 298 24 42</t>
        </is>
      </c>
      <c r="F19" s="18" t="inlineStr">
        <is>
          <t>Tessin</t>
        </is>
      </c>
      <c r="G19" s="18" t="inlineStr">
        <is>
          <t>Tankstellen</t>
        </is>
      </c>
      <c r="H19" s="36" t="n">
        <v>46193</v>
      </c>
    </row>
    <row r="20" ht="20" customHeight="1">
      <c r="A20" s="26" t="inlineStr">
        <is>
          <t>Bucherer</t>
        </is>
      </c>
      <c r="B20" s="26" t="inlineStr">
        <is>
          <t>V. Huber</t>
        </is>
      </c>
      <c r="C20" s="26" t="inlineStr">
        <is>
          <t>Geschäftsführung</t>
        </is>
      </c>
      <c r="D20" s="26" t="inlineStr">
        <is>
          <t>huber@bucherer.ch</t>
        </is>
      </c>
      <c r="E20" s="26" t="inlineStr">
        <is>
          <t>+41 59 305 25 45</t>
        </is>
      </c>
      <c r="F20" s="26" t="inlineStr">
        <is>
          <t>Luzern</t>
        </is>
      </c>
      <c r="G20" s="26" t="inlineStr">
        <is>
          <t>Detailhandel</t>
        </is>
      </c>
      <c r="H20" s="37" t="n">
        <v>46188</v>
      </c>
    </row>
    <row r="21" ht="20" customHeight="1">
      <c r="A21" s="18" t="inlineStr">
        <is>
          <t>Denner AG</t>
        </is>
      </c>
      <c r="B21" s="18" t="inlineStr">
        <is>
          <t>H. Müller</t>
        </is>
      </c>
      <c r="C21" s="18" t="inlineStr">
        <is>
          <t>Einkauf</t>
        </is>
      </c>
      <c r="D21" s="18" t="inlineStr">
        <is>
          <t>müller@dennerag.ch</t>
        </is>
      </c>
      <c r="E21" s="18" t="inlineStr">
        <is>
          <t>+41 60 312 26 48</t>
        </is>
      </c>
      <c r="F21" s="18" t="inlineStr">
        <is>
          <t>Zürich</t>
        </is>
      </c>
      <c r="G21" s="18" t="inlineStr">
        <is>
          <t>Detailhandel</t>
        </is>
      </c>
      <c r="H21" s="36" t="n">
        <v>46183</v>
      </c>
    </row>
    <row r="22" ht="20" customHeight="1">
      <c r="A22" s="26" t="inlineStr">
        <is>
          <t>Flughafen Genf</t>
        </is>
      </c>
      <c r="B22" s="26" t="inlineStr">
        <is>
          <t>P. Girard</t>
        </is>
      </c>
      <c r="C22" s="26" t="inlineStr">
        <is>
          <t>Facility Management</t>
        </is>
      </c>
      <c r="D22" s="26" t="inlineStr">
        <is>
          <t>girard@flughafengenf.ch</t>
        </is>
      </c>
      <c r="E22" s="26" t="inlineStr">
        <is>
          <t>+41 61 319 27 51</t>
        </is>
      </c>
      <c r="F22" s="26" t="inlineStr">
        <is>
          <t>Genf</t>
        </is>
      </c>
      <c r="G22" s="26" t="inlineStr">
        <is>
          <t>Öffentliche Hand</t>
        </is>
      </c>
      <c r="H22" s="37" t="n">
        <v>46178</v>
      </c>
    </row>
    <row r="23" ht="20" customHeight="1">
      <c r="A23" s="18" t="inlineStr">
        <is>
          <t>Valora / avec</t>
        </is>
      </c>
      <c r="B23" s="18" t="inlineStr">
        <is>
          <t>N. Weber</t>
        </is>
      </c>
      <c r="C23" s="18" t="inlineStr">
        <is>
          <t>Fuhrpark</t>
        </is>
      </c>
      <c r="D23" s="18" t="inlineStr">
        <is>
          <t>weber@valoraavec.ch</t>
        </is>
      </c>
      <c r="E23" s="18" t="inlineStr">
        <is>
          <t>+41 62 326 28 54</t>
        </is>
      </c>
      <c r="F23" s="18" t="inlineStr">
        <is>
          <t>St. Gallen</t>
        </is>
      </c>
      <c r="G23" s="18" t="inlineStr">
        <is>
          <t>Detailhandel</t>
        </is>
      </c>
      <c r="H23" s="36" t="n">
        <v>46173</v>
      </c>
    </row>
    <row r="24" ht="20" customHeight="1">
      <c r="A24" s="26" t="inlineStr">
        <is>
          <t>Aldi Suisse</t>
        </is>
      </c>
      <c r="B24" s="26" t="inlineStr">
        <is>
          <t>M. Fischer</t>
        </is>
      </c>
      <c r="C24" s="26" t="inlineStr">
        <is>
          <t>Nachhaltigkeit</t>
        </is>
      </c>
      <c r="D24" s="26" t="inlineStr">
        <is>
          <t>fischer@aldisuisse.ch</t>
        </is>
      </c>
      <c r="E24" s="26" t="inlineStr">
        <is>
          <t>+41 63 333 29 57</t>
        </is>
      </c>
      <c r="F24" s="26" t="inlineStr">
        <is>
          <t>Aargau</t>
        </is>
      </c>
      <c r="G24" s="26" t="inlineStr">
        <is>
          <t>Detailhandel</t>
        </is>
      </c>
      <c r="H24" s="37" t="n">
        <v>46168</v>
      </c>
    </row>
    <row r="25" ht="20" customHeight="1">
      <c r="A25" s="18" t="inlineStr">
        <is>
          <t>Coop Genossenschaft</t>
        </is>
      </c>
      <c r="B25" s="18" t="inlineStr">
        <is>
          <t>A. Meier</t>
        </is>
      </c>
      <c r="C25" s="18" t="inlineStr">
        <is>
          <t>Geschäftsführung</t>
        </is>
      </c>
      <c r="D25" s="18" t="inlineStr">
        <is>
          <t>meier@coopgenossensc.ch</t>
        </is>
      </c>
      <c r="E25" s="18" t="inlineStr">
        <is>
          <t>+41 64 340 30 60</t>
        </is>
      </c>
      <c r="F25" s="18" t="inlineStr">
        <is>
          <t>Bern</t>
        </is>
      </c>
      <c r="G25" s="18" t="inlineStr">
        <is>
          <t>Detailhandel</t>
        </is>
      </c>
      <c r="H25" s="36" t="n">
        <v>46163</v>
      </c>
    </row>
    <row r="26" ht="20" customHeight="1">
      <c r="A26" s="26" t="inlineStr">
        <is>
          <t>Migros Aare</t>
        </is>
      </c>
      <c r="B26" s="26" t="inlineStr">
        <is>
          <t>B. Huber</t>
        </is>
      </c>
      <c r="C26" s="26" t="inlineStr">
        <is>
          <t>Einkauf</t>
        </is>
      </c>
      <c r="D26" s="26" t="inlineStr">
        <is>
          <t>huber@migrosaare.ch</t>
        </is>
      </c>
      <c r="E26" s="26" t="inlineStr">
        <is>
          <t>+41 65 347 31 63</t>
        </is>
      </c>
      <c r="F26" s="26" t="inlineStr">
        <is>
          <t>Basel</t>
        </is>
      </c>
      <c r="G26" s="26" t="inlineStr">
        <is>
          <t>Detailhandel</t>
        </is>
      </c>
      <c r="H26" s="37" t="n">
        <v>46158</v>
      </c>
    </row>
    <row r="27" ht="20" customHeight="1">
      <c r="A27" s="18" t="inlineStr">
        <is>
          <t>Spar Schweiz</t>
        </is>
      </c>
      <c r="B27" s="18" t="inlineStr">
        <is>
          <t>C. Rossi</t>
        </is>
      </c>
      <c r="C27" s="18" t="inlineStr">
        <is>
          <t>Facility Management</t>
        </is>
      </c>
      <c r="D27" s="18" t="inlineStr">
        <is>
          <t>rossi@sparschweiz.ch</t>
        </is>
      </c>
      <c r="E27" s="18" t="inlineStr">
        <is>
          <t>+41 66 354 32 66</t>
        </is>
      </c>
      <c r="F27" s="18" t="inlineStr">
        <is>
          <t>Tessin</t>
        </is>
      </c>
      <c r="G27" s="18" t="inlineStr">
        <is>
          <t>Detailhandel</t>
        </is>
      </c>
      <c r="H27" s="36" t="n">
        <v>46153</v>
      </c>
    </row>
    <row r="28" ht="20" customHeight="1">
      <c r="A28" s="26" t="inlineStr">
        <is>
          <t>Volg Konsumwaren</t>
        </is>
      </c>
      <c r="B28" s="26" t="inlineStr">
        <is>
          <t>D. Baumann</t>
        </is>
      </c>
      <c r="C28" s="26" t="inlineStr">
        <is>
          <t>Fuhrpark</t>
        </is>
      </c>
      <c r="D28" s="26" t="inlineStr">
        <is>
          <t>baumann@volgkonsumware.ch</t>
        </is>
      </c>
      <c r="E28" s="26" t="inlineStr">
        <is>
          <t>+41 67 361 33 69</t>
        </is>
      </c>
      <c r="F28" s="26" t="inlineStr">
        <is>
          <t>Zürich</t>
        </is>
      </c>
      <c r="G28" s="26" t="inlineStr">
        <is>
          <t>Detailhandel</t>
        </is>
      </c>
      <c r="H28" s="37" t="n">
        <v>46148</v>
      </c>
    </row>
    <row r="29" ht="20" customHeight="1">
      <c r="A29" s="18" t="inlineStr">
        <is>
          <t>Landi Schweiz</t>
        </is>
      </c>
      <c r="B29" s="18" t="inlineStr">
        <is>
          <t>E. Suter</t>
        </is>
      </c>
      <c r="C29" s="18" t="inlineStr">
        <is>
          <t>Nachhaltigkeit</t>
        </is>
      </c>
      <c r="D29" s="18" t="inlineStr">
        <is>
          <t>suter@landischweiz.ch</t>
        </is>
      </c>
      <c r="E29" s="18" t="inlineStr">
        <is>
          <t>+41 68 368 34 72</t>
        </is>
      </c>
      <c r="F29" s="18" t="inlineStr">
        <is>
          <t>Genf</t>
        </is>
      </c>
      <c r="G29" s="18" t="inlineStr">
        <is>
          <t>Detailhandel</t>
        </is>
      </c>
      <c r="H29" s="36" t="n">
        <v>46203</v>
      </c>
    </row>
    <row r="30" ht="20" customHeight="1">
      <c r="A30" s="26" t="inlineStr">
        <is>
          <t>Otto's AG</t>
        </is>
      </c>
      <c r="B30" s="26" t="inlineStr">
        <is>
          <t>F. Wyss</t>
        </is>
      </c>
      <c r="C30" s="26" t="inlineStr">
        <is>
          <t>Geschäftsführung</t>
        </is>
      </c>
      <c r="D30" s="26" t="inlineStr">
        <is>
          <t>wyss@ottosag.ch</t>
        </is>
      </c>
      <c r="E30" s="26" t="inlineStr">
        <is>
          <t>+41 69 375 35 75</t>
        </is>
      </c>
      <c r="F30" s="26" t="inlineStr">
        <is>
          <t>St. Gallen</t>
        </is>
      </c>
      <c r="G30" s="26" t="inlineStr">
        <is>
          <t>Detailhandel</t>
        </is>
      </c>
      <c r="H30" s="37" t="n">
        <v>46198</v>
      </c>
    </row>
    <row r="31" ht="20" customHeight="1">
      <c r="A31" s="18" t="inlineStr">
        <is>
          <t>Ochsner Sport</t>
        </is>
      </c>
      <c r="B31" s="18" t="inlineStr">
        <is>
          <t>G. Schmid</t>
        </is>
      </c>
      <c r="C31" s="18" t="inlineStr">
        <is>
          <t>Einkauf</t>
        </is>
      </c>
      <c r="D31" s="18" t="inlineStr">
        <is>
          <t>schmid@ochsnersport.ch</t>
        </is>
      </c>
      <c r="E31" s="18" t="inlineStr">
        <is>
          <t>+41 70 382 36 78</t>
        </is>
      </c>
      <c r="F31" s="18" t="inlineStr">
        <is>
          <t>Wallis</t>
        </is>
      </c>
      <c r="G31" s="18" t="inlineStr">
        <is>
          <t>Detailhandel</t>
        </is>
      </c>
      <c r="H31" s="36" t="n">
        <v>46193</v>
      </c>
    </row>
    <row r="32" ht="20" customHeight="1">
      <c r="A32" s="26" t="inlineStr">
        <is>
          <t>Fust AG</t>
        </is>
      </c>
      <c r="B32" s="26" t="inlineStr">
        <is>
          <t>H. Moser</t>
        </is>
      </c>
      <c r="C32" s="26" t="inlineStr">
        <is>
          <t>Facility Management</t>
        </is>
      </c>
      <c r="D32" s="26" t="inlineStr">
        <is>
          <t>moser@fustag.ch</t>
        </is>
      </c>
      <c r="E32" s="26" t="inlineStr">
        <is>
          <t>+41 71 389 37 81</t>
        </is>
      </c>
      <c r="F32" s="26" t="inlineStr">
        <is>
          <t>Waadt</t>
        </is>
      </c>
      <c r="G32" s="26" t="inlineStr">
        <is>
          <t>Detailhandel</t>
        </is>
      </c>
      <c r="H32" s="37" t="n">
        <v>46188</v>
      </c>
    </row>
    <row r="33" ht="20" customHeight="1">
      <c r="A33" s="18" t="inlineStr">
        <is>
          <t>Interdiscount</t>
        </is>
      </c>
      <c r="B33" s="18" t="inlineStr">
        <is>
          <t>J. Kern</t>
        </is>
      </c>
      <c r="C33" s="18" t="inlineStr">
        <is>
          <t>Fuhrpark</t>
        </is>
      </c>
      <c r="D33" s="18" t="inlineStr">
        <is>
          <t>kern@interdiscount.ch</t>
        </is>
      </c>
      <c r="E33" s="18" t="inlineStr">
        <is>
          <t>+41 72 396 38 84</t>
        </is>
      </c>
      <c r="F33" s="18" t="inlineStr">
        <is>
          <t>Aargau</t>
        </is>
      </c>
      <c r="G33" s="18" t="inlineStr">
        <is>
          <t>Detailhandel</t>
        </is>
      </c>
      <c r="H33" s="36" t="n">
        <v>46183</v>
      </c>
    </row>
    <row r="34" ht="20" customHeight="1">
      <c r="A34" s="26" t="inlineStr">
        <is>
          <t>MediaMarkt Schweiz</t>
        </is>
      </c>
      <c r="B34" s="26" t="inlineStr">
        <is>
          <t>K. Egli</t>
        </is>
      </c>
      <c r="C34" s="26" t="inlineStr">
        <is>
          <t>Nachhaltigkeit</t>
        </is>
      </c>
      <c r="D34" s="26" t="inlineStr">
        <is>
          <t>egli@mediamarktschw.ch</t>
        </is>
      </c>
      <c r="E34" s="26" t="inlineStr">
        <is>
          <t>+41 73 403 39 87</t>
        </is>
      </c>
      <c r="F34" s="26" t="inlineStr">
        <is>
          <t>Luzern</t>
        </is>
      </c>
      <c r="G34" s="26" t="inlineStr">
        <is>
          <t>Detailhandel</t>
        </is>
      </c>
      <c r="H34" s="37" t="n">
        <v>46178</v>
      </c>
    </row>
    <row r="35" ht="20" customHeight="1">
      <c r="A35" s="18" t="inlineStr">
        <is>
          <t>Jumbo-Markt</t>
        </is>
      </c>
      <c r="B35" s="18" t="inlineStr">
        <is>
          <t>L. Meier</t>
        </is>
      </c>
      <c r="C35" s="18" t="inlineStr">
        <is>
          <t>Geschäftsführung</t>
        </is>
      </c>
      <c r="D35" s="18" t="inlineStr">
        <is>
          <t>meier@jumbomarkt.ch</t>
        </is>
      </c>
      <c r="E35" s="18" t="inlineStr">
        <is>
          <t>+41 74 410 40 90</t>
        </is>
      </c>
      <c r="F35" s="18" t="inlineStr">
        <is>
          <t>Bern</t>
        </is>
      </c>
      <c r="G35" s="18" t="inlineStr">
        <is>
          <t>Detailhandel</t>
        </is>
      </c>
      <c r="H35" s="36" t="n">
        <v>46173</v>
      </c>
    </row>
    <row r="36" ht="20" customHeight="1">
      <c r="A36" s="26" t="inlineStr">
        <is>
          <t>Do it + Garden</t>
        </is>
      </c>
      <c r="B36" s="26" t="inlineStr">
        <is>
          <t>M. Huber</t>
        </is>
      </c>
      <c r="C36" s="26" t="inlineStr">
        <is>
          <t>Einkauf</t>
        </is>
      </c>
      <c r="D36" s="26" t="inlineStr">
        <is>
          <t>huber@doitgarden.ch</t>
        </is>
      </c>
      <c r="E36" s="26" t="inlineStr">
        <is>
          <t>+41 75 417 41 93</t>
        </is>
      </c>
      <c r="F36" s="26" t="inlineStr">
        <is>
          <t>Basel</t>
        </is>
      </c>
      <c r="G36" s="26" t="inlineStr">
        <is>
          <t>Detailhandel</t>
        </is>
      </c>
      <c r="H36" s="37" t="n">
        <v>46168</v>
      </c>
    </row>
    <row r="37" ht="20" customHeight="1">
      <c r="A37" s="18" t="inlineStr">
        <is>
          <t>Athleticum</t>
        </is>
      </c>
      <c r="B37" s="18" t="inlineStr">
        <is>
          <t>N. Rossi</t>
        </is>
      </c>
      <c r="C37" s="18" t="inlineStr">
        <is>
          <t>Facility Management</t>
        </is>
      </c>
      <c r="D37" s="18" t="inlineStr">
        <is>
          <t>rossi@athleticum.ch</t>
        </is>
      </c>
      <c r="E37" s="18" t="inlineStr">
        <is>
          <t>+41 76 424 42 96</t>
        </is>
      </c>
      <c r="F37" s="18" t="inlineStr">
        <is>
          <t>Tessin</t>
        </is>
      </c>
      <c r="G37" s="18" t="inlineStr">
        <is>
          <t>Detailhandel</t>
        </is>
      </c>
      <c r="H37" s="36" t="n">
        <v>46163</v>
      </c>
    </row>
    <row r="38" ht="20" customHeight="1">
      <c r="A38" s="26" t="inlineStr">
        <is>
          <t>Vögele Shoes</t>
        </is>
      </c>
      <c r="B38" s="26" t="inlineStr">
        <is>
          <t>P. Baumann</t>
        </is>
      </c>
      <c r="C38" s="26" t="inlineStr">
        <is>
          <t>Fuhrpark</t>
        </is>
      </c>
      <c r="D38" s="26" t="inlineStr">
        <is>
          <t>baumann@vögeleshoes.ch</t>
        </is>
      </c>
      <c r="E38" s="26" t="inlineStr">
        <is>
          <t>+41 77 431 43 99</t>
        </is>
      </c>
      <c r="F38" s="26" t="inlineStr">
        <is>
          <t>Zürich</t>
        </is>
      </c>
      <c r="G38" s="26" t="inlineStr">
        <is>
          <t>Detailhandel</t>
        </is>
      </c>
      <c r="H38" s="37" t="n">
        <v>46158</v>
      </c>
    </row>
    <row r="39" ht="20" customHeight="1">
      <c r="A39" s="18" t="inlineStr">
        <is>
          <t>PKZ Burger-Kehl</t>
        </is>
      </c>
      <c r="B39" s="18" t="inlineStr">
        <is>
          <t>R. Suter</t>
        </is>
      </c>
      <c r="C39" s="18" t="inlineStr">
        <is>
          <t>Nachhaltigkeit</t>
        </is>
      </c>
      <c r="D39" s="18" t="inlineStr">
        <is>
          <t>suter@pkzburgerkehl.ch</t>
        </is>
      </c>
      <c r="E39" s="18" t="inlineStr">
        <is>
          <t>+41 78 438 44 02</t>
        </is>
      </c>
      <c r="F39" s="18" t="inlineStr">
        <is>
          <t>Genf</t>
        </is>
      </c>
      <c r="G39" s="18" t="inlineStr">
        <is>
          <t>Detailhandel</t>
        </is>
      </c>
      <c r="H39" s="36" t="n">
        <v>46153</v>
      </c>
    </row>
    <row r="40" ht="20" customHeight="1">
      <c r="A40" s="26" t="inlineStr">
        <is>
          <t>Globus</t>
        </is>
      </c>
      <c r="B40" s="26" t="inlineStr">
        <is>
          <t>S. Wyss</t>
        </is>
      </c>
      <c r="C40" s="26" t="inlineStr">
        <is>
          <t>Geschäftsführung</t>
        </is>
      </c>
      <c r="D40" s="26" t="inlineStr">
        <is>
          <t>wyss@globus.ch</t>
        </is>
      </c>
      <c r="E40" s="26" t="inlineStr">
        <is>
          <t>+41 79 445 45 05</t>
        </is>
      </c>
      <c r="F40" s="26" t="inlineStr">
        <is>
          <t>St. Gallen</t>
        </is>
      </c>
      <c r="G40" s="26" t="inlineStr">
        <is>
          <t>Detailhandel</t>
        </is>
      </c>
      <c r="H40" s="37" t="n">
        <v>46148</v>
      </c>
    </row>
    <row r="41" ht="20" customHeight="1">
      <c r="A41" s="18" t="inlineStr">
        <is>
          <t>Jelmoli</t>
        </is>
      </c>
      <c r="B41" s="18" t="inlineStr">
        <is>
          <t>T. Schmid</t>
        </is>
      </c>
      <c r="C41" s="18" t="inlineStr">
        <is>
          <t>Einkauf</t>
        </is>
      </c>
      <c r="D41" s="18" t="inlineStr">
        <is>
          <t>schmid@jelmoli.ch</t>
        </is>
      </c>
      <c r="E41" s="18" t="inlineStr">
        <is>
          <t>+41 80 452 46 08</t>
        </is>
      </c>
      <c r="F41" s="18" t="inlineStr">
        <is>
          <t>Wallis</t>
        </is>
      </c>
      <c r="G41" s="18" t="inlineStr">
        <is>
          <t>Detailhandel</t>
        </is>
      </c>
      <c r="H41" s="36" t="n">
        <v>46203</v>
      </c>
    </row>
    <row r="42" ht="20" customHeight="1">
      <c r="A42" s="26" t="inlineStr">
        <is>
          <t>Loeb AG</t>
        </is>
      </c>
      <c r="B42" s="26" t="inlineStr">
        <is>
          <t>U. Moser</t>
        </is>
      </c>
      <c r="C42" s="26" t="inlineStr">
        <is>
          <t>Facility Management</t>
        </is>
      </c>
      <c r="D42" s="26" t="inlineStr">
        <is>
          <t>moser@loebag.ch</t>
        </is>
      </c>
      <c r="E42" s="26" t="inlineStr">
        <is>
          <t>+41 81 459 47 11</t>
        </is>
      </c>
      <c r="F42" s="26" t="inlineStr">
        <is>
          <t>Waadt</t>
        </is>
      </c>
      <c r="G42" s="26" t="inlineStr">
        <is>
          <t>Detailhandel</t>
        </is>
      </c>
      <c r="H42" s="37" t="n">
        <v>46198</v>
      </c>
    </row>
    <row r="43" ht="20" customHeight="1">
      <c r="A43" s="18" t="inlineStr">
        <is>
          <t>Import Parfumerie</t>
        </is>
      </c>
      <c r="B43" s="18" t="inlineStr">
        <is>
          <t>V. Kern</t>
        </is>
      </c>
      <c r="C43" s="18" t="inlineStr">
        <is>
          <t>Fuhrpark</t>
        </is>
      </c>
      <c r="D43" s="18" t="inlineStr">
        <is>
          <t>kern@importparfumer.ch</t>
        </is>
      </c>
      <c r="E43" s="18" t="inlineStr">
        <is>
          <t>+41 82 466 48 14</t>
        </is>
      </c>
      <c r="F43" s="18" t="inlineStr">
        <is>
          <t>Aargau</t>
        </is>
      </c>
      <c r="G43" s="18" t="inlineStr">
        <is>
          <t>Detailhandel</t>
        </is>
      </c>
      <c r="H43" s="36" t="n">
        <v>46193</v>
      </c>
    </row>
    <row r="44" ht="20" customHeight="1">
      <c r="A44" s="26" t="inlineStr">
        <is>
          <t>Dosenbach-Ochsner</t>
        </is>
      </c>
      <c r="B44" s="26" t="inlineStr">
        <is>
          <t>W. Egli</t>
        </is>
      </c>
      <c r="C44" s="26" t="inlineStr">
        <is>
          <t>Nachhaltigkeit</t>
        </is>
      </c>
      <c r="D44" s="26" t="inlineStr">
        <is>
          <t>egli@dosenbachochsn.ch</t>
        </is>
      </c>
      <c r="E44" s="26" t="inlineStr">
        <is>
          <t>+41 83 473 49 17</t>
        </is>
      </c>
      <c r="F44" s="26" t="inlineStr">
        <is>
          <t>Luzern</t>
        </is>
      </c>
      <c r="G44" s="26" t="inlineStr">
        <is>
          <t>Detailhandel</t>
        </is>
      </c>
      <c r="H44" s="37" t="n">
        <v>46188</v>
      </c>
    </row>
    <row r="45" ht="20" customHeight="1">
      <c r="A45" s="18" t="inlineStr">
        <is>
          <t>Lidl Schweiz</t>
        </is>
      </c>
      <c r="B45" s="18" t="inlineStr">
        <is>
          <t>A. Meier</t>
        </is>
      </c>
      <c r="C45" s="18" t="inlineStr">
        <is>
          <t>Geschäftsführung</t>
        </is>
      </c>
      <c r="D45" s="18" t="inlineStr">
        <is>
          <t>meier@lidlschweiz.ch</t>
        </is>
      </c>
      <c r="E45" s="18" t="inlineStr">
        <is>
          <t>+41 44 480 50 20</t>
        </is>
      </c>
      <c r="F45" s="18" t="inlineStr">
        <is>
          <t>Bern</t>
        </is>
      </c>
      <c r="G45" s="18" t="inlineStr">
        <is>
          <t>Detailhandel</t>
        </is>
      </c>
      <c r="H45" s="36" t="n">
        <v>46183</v>
      </c>
    </row>
    <row r="46" ht="20" customHeight="1">
      <c r="A46" s="26" t="inlineStr">
        <is>
          <t>Beldona</t>
        </is>
      </c>
      <c r="B46" s="26" t="inlineStr">
        <is>
          <t>B. Huber</t>
        </is>
      </c>
      <c r="C46" s="26" t="inlineStr">
        <is>
          <t>Einkauf</t>
        </is>
      </c>
      <c r="D46" s="26" t="inlineStr">
        <is>
          <t>huber@beldona.ch</t>
        </is>
      </c>
      <c r="E46" s="26" t="inlineStr">
        <is>
          <t>+41 45 487 51 23</t>
        </is>
      </c>
      <c r="F46" s="26" t="inlineStr">
        <is>
          <t>Basel</t>
        </is>
      </c>
      <c r="G46" s="26" t="inlineStr">
        <is>
          <t>Detailhandel</t>
        </is>
      </c>
      <c r="H46" s="37" t="n">
        <v>46178</v>
      </c>
    </row>
    <row r="47" ht="20" customHeight="1">
      <c r="A47" s="18" t="inlineStr">
        <is>
          <t>Kühne + Nagel</t>
        </is>
      </c>
      <c r="B47" s="18" t="inlineStr">
        <is>
          <t>C. Rossi</t>
        </is>
      </c>
      <c r="C47" s="18" t="inlineStr">
        <is>
          <t>Facility Management</t>
        </is>
      </c>
      <c r="D47" s="18" t="inlineStr">
        <is>
          <t>rossi@kühnenagel.ch</t>
        </is>
      </c>
      <c r="E47" s="18" t="inlineStr">
        <is>
          <t>+41 46 494 52 26</t>
        </is>
      </c>
      <c r="F47" s="18" t="inlineStr">
        <is>
          <t>Tessin</t>
        </is>
      </c>
      <c r="G47" s="18" t="inlineStr">
        <is>
          <t>Logistik</t>
        </is>
      </c>
      <c r="H47" s="36" t="n">
        <v>46173</v>
      </c>
    </row>
    <row r="48" ht="20" customHeight="1">
      <c r="A48" s="26" t="inlineStr">
        <is>
          <t>Camion Transport</t>
        </is>
      </c>
      <c r="B48" s="26" t="inlineStr">
        <is>
          <t>D. Baumann</t>
        </is>
      </c>
      <c r="C48" s="26" t="inlineStr">
        <is>
          <t>Fuhrpark</t>
        </is>
      </c>
      <c r="D48" s="26" t="inlineStr">
        <is>
          <t>baumann@camiontranspor.ch</t>
        </is>
      </c>
      <c r="E48" s="26" t="inlineStr">
        <is>
          <t>+41 47 501 53 29</t>
        </is>
      </c>
      <c r="F48" s="26" t="inlineStr">
        <is>
          <t>Zürich</t>
        </is>
      </c>
      <c r="G48" s="26" t="inlineStr">
        <is>
          <t>Logistik</t>
        </is>
      </c>
      <c r="H48" s="37" t="n">
        <v>46168</v>
      </c>
    </row>
    <row r="49" ht="20" customHeight="1">
      <c r="A49" s="18" t="inlineStr">
        <is>
          <t>Galliker Transport</t>
        </is>
      </c>
      <c r="B49" s="18" t="inlineStr">
        <is>
          <t>E. Suter</t>
        </is>
      </c>
      <c r="C49" s="18" t="inlineStr">
        <is>
          <t>Nachhaltigkeit</t>
        </is>
      </c>
      <c r="D49" s="18" t="inlineStr">
        <is>
          <t>suter@gallikertransp.ch</t>
        </is>
      </c>
      <c r="E49" s="18" t="inlineStr">
        <is>
          <t>+41 48 508 54 32</t>
        </is>
      </c>
      <c r="F49" s="18" t="inlineStr">
        <is>
          <t>Genf</t>
        </is>
      </c>
      <c r="G49" s="18" t="inlineStr">
        <is>
          <t>Logistik</t>
        </is>
      </c>
      <c r="H49" s="36" t="n">
        <v>46163</v>
      </c>
    </row>
    <row r="50" ht="20" customHeight="1">
      <c r="A50" s="26" t="inlineStr">
        <is>
          <t>Bertschi AG</t>
        </is>
      </c>
      <c r="B50" s="26" t="inlineStr">
        <is>
          <t>F. Wyss</t>
        </is>
      </c>
      <c r="C50" s="26" t="inlineStr">
        <is>
          <t>Geschäftsführung</t>
        </is>
      </c>
      <c r="D50" s="26" t="inlineStr">
        <is>
          <t>wyss@bertschiag.ch</t>
        </is>
      </c>
      <c r="E50" s="26" t="inlineStr">
        <is>
          <t>+41 49 515 55 35</t>
        </is>
      </c>
      <c r="F50" s="26" t="inlineStr">
        <is>
          <t>St. Gallen</t>
        </is>
      </c>
      <c r="G50" s="26" t="inlineStr">
        <is>
          <t>Logistik</t>
        </is>
      </c>
      <c r="H50" s="37" t="n">
        <v>46158</v>
      </c>
    </row>
    <row r="51" ht="20" customHeight="1">
      <c r="A51" s="18" t="inlineStr">
        <is>
          <t>Dreier AG</t>
        </is>
      </c>
      <c r="B51" s="18" t="inlineStr">
        <is>
          <t>G. Schmid</t>
        </is>
      </c>
      <c r="C51" s="18" t="inlineStr">
        <is>
          <t>Einkauf</t>
        </is>
      </c>
      <c r="D51" s="18" t="inlineStr">
        <is>
          <t>schmid@dreierag.ch</t>
        </is>
      </c>
      <c r="E51" s="18" t="inlineStr">
        <is>
          <t>+41 50 522 56 38</t>
        </is>
      </c>
      <c r="F51" s="18" t="inlineStr">
        <is>
          <t>Wallis</t>
        </is>
      </c>
      <c r="G51" s="18" t="inlineStr">
        <is>
          <t>Logistik</t>
        </is>
      </c>
      <c r="H51" s="36" t="n">
        <v>46153</v>
      </c>
    </row>
    <row r="52" ht="20" customHeight="1">
      <c r="A52" s="26" t="inlineStr">
        <is>
          <t>Streck Transport</t>
        </is>
      </c>
      <c r="B52" s="26" t="inlineStr">
        <is>
          <t>H. Moser</t>
        </is>
      </c>
      <c r="C52" s="26" t="inlineStr">
        <is>
          <t>Facility Management</t>
        </is>
      </c>
      <c r="D52" s="26" t="inlineStr">
        <is>
          <t>moser@strecktranspor.ch</t>
        </is>
      </c>
      <c r="E52" s="26" t="inlineStr">
        <is>
          <t>+41 51 529 57 41</t>
        </is>
      </c>
      <c r="F52" s="26" t="inlineStr">
        <is>
          <t>Waadt</t>
        </is>
      </c>
      <c r="G52" s="26" t="inlineStr">
        <is>
          <t>Logistik</t>
        </is>
      </c>
      <c r="H52" s="37" t="n">
        <v>46148</v>
      </c>
    </row>
    <row r="53" ht="20" customHeight="1">
      <c r="A53" s="18" t="inlineStr">
        <is>
          <t>Cargologic</t>
        </is>
      </c>
      <c r="B53" s="18" t="inlineStr">
        <is>
          <t>J. Kern</t>
        </is>
      </c>
      <c r="C53" s="18" t="inlineStr">
        <is>
          <t>Fuhrpark</t>
        </is>
      </c>
      <c r="D53" s="18" t="inlineStr">
        <is>
          <t>kern@cargologic.ch</t>
        </is>
      </c>
      <c r="E53" s="18" t="inlineStr">
        <is>
          <t>+41 52 536 58 44</t>
        </is>
      </c>
      <c r="F53" s="18" t="inlineStr">
        <is>
          <t>Aargau</t>
        </is>
      </c>
      <c r="G53" s="18" t="inlineStr">
        <is>
          <t>Logistik</t>
        </is>
      </c>
      <c r="H53" s="36" t="n">
        <v>46203</v>
      </c>
    </row>
    <row r="54" ht="20" customHeight="1">
      <c r="A54" s="26" t="inlineStr">
        <is>
          <t>Swissport</t>
        </is>
      </c>
      <c r="B54" s="26" t="inlineStr">
        <is>
          <t>K. Egli</t>
        </is>
      </c>
      <c r="C54" s="26" t="inlineStr">
        <is>
          <t>Nachhaltigkeit</t>
        </is>
      </c>
      <c r="D54" s="26" t="inlineStr">
        <is>
          <t>egli@swissport.ch</t>
        </is>
      </c>
      <c r="E54" s="26" t="inlineStr">
        <is>
          <t>+41 53 543 59 47</t>
        </is>
      </c>
      <c r="F54" s="26" t="inlineStr">
        <is>
          <t>Luzern</t>
        </is>
      </c>
      <c r="G54" s="26" t="inlineStr">
        <is>
          <t>Logistik</t>
        </is>
      </c>
      <c r="H54" s="37" t="n">
        <v>46198</v>
      </c>
    </row>
    <row r="55" ht="20" customHeight="1">
      <c r="A55" s="18" t="inlineStr">
        <is>
          <t>Planzer Paket</t>
        </is>
      </c>
      <c r="B55" s="18" t="inlineStr">
        <is>
          <t>L. Meier</t>
        </is>
      </c>
      <c r="C55" s="18" t="inlineStr">
        <is>
          <t>Geschäftsführung</t>
        </is>
      </c>
      <c r="D55" s="18" t="inlineStr">
        <is>
          <t>meier@planzerpaket.ch</t>
        </is>
      </c>
      <c r="E55" s="18" t="inlineStr">
        <is>
          <t>+41 54 550 60 50</t>
        </is>
      </c>
      <c r="F55" s="18" t="inlineStr">
        <is>
          <t>Bern</t>
        </is>
      </c>
      <c r="G55" s="18" t="inlineStr">
        <is>
          <t>Logistik</t>
        </is>
      </c>
      <c r="H55" s="36" t="n">
        <v>46193</v>
      </c>
    </row>
    <row r="56" ht="20" customHeight="1">
      <c r="A56" s="26" t="inlineStr">
        <is>
          <t>Chr. Cavegn AG</t>
        </is>
      </c>
      <c r="B56" s="26" t="inlineStr">
        <is>
          <t>M. Huber</t>
        </is>
      </c>
      <c r="C56" s="26" t="inlineStr">
        <is>
          <t>Einkauf</t>
        </is>
      </c>
      <c r="D56" s="26" t="inlineStr">
        <is>
          <t>huber@chrcavegnag.ch</t>
        </is>
      </c>
      <c r="E56" s="26" t="inlineStr">
        <is>
          <t>+41 55 557 61 53</t>
        </is>
      </c>
      <c r="F56" s="26" t="inlineStr">
        <is>
          <t>Basel</t>
        </is>
      </c>
      <c r="G56" s="26" t="inlineStr">
        <is>
          <t>Logistik</t>
        </is>
      </c>
      <c r="H56" s="37" t="n">
        <v>46188</v>
      </c>
    </row>
    <row r="57" ht="20" customHeight="1">
      <c r="A57" s="18" t="inlineStr">
        <is>
          <t>Gondrand</t>
        </is>
      </c>
      <c r="B57" s="18" t="inlineStr">
        <is>
          <t>N. Rossi</t>
        </is>
      </c>
      <c r="C57" s="18" t="inlineStr">
        <is>
          <t>Facility Management</t>
        </is>
      </c>
      <c r="D57" s="18" t="inlineStr">
        <is>
          <t>rossi@gondrand.ch</t>
        </is>
      </c>
      <c r="E57" s="18" t="inlineStr">
        <is>
          <t>+41 56 564 62 56</t>
        </is>
      </c>
      <c r="F57" s="18" t="inlineStr">
        <is>
          <t>Tessin</t>
        </is>
      </c>
      <c r="G57" s="18" t="inlineStr">
        <is>
          <t>Logistik</t>
        </is>
      </c>
      <c r="H57" s="36" t="n">
        <v>46183</v>
      </c>
    </row>
    <row r="58" ht="20" customHeight="1">
      <c r="A58" s="26" t="inlineStr">
        <is>
          <t>Fiege Logistik</t>
        </is>
      </c>
      <c r="B58" s="26" t="inlineStr">
        <is>
          <t>P. Baumann</t>
        </is>
      </c>
      <c r="C58" s="26" t="inlineStr">
        <is>
          <t>Fuhrpark</t>
        </is>
      </c>
      <c r="D58" s="26" t="inlineStr">
        <is>
          <t>baumann@fiegelogistik.ch</t>
        </is>
      </c>
      <c r="E58" s="26" t="inlineStr">
        <is>
          <t>+41 57 571 63 59</t>
        </is>
      </c>
      <c r="F58" s="26" t="inlineStr">
        <is>
          <t>Zürich</t>
        </is>
      </c>
      <c r="G58" s="26" t="inlineStr">
        <is>
          <t>Logistik</t>
        </is>
      </c>
      <c r="H58" s="37" t="n">
        <v>46178</v>
      </c>
    </row>
    <row r="59" ht="20" customHeight="1">
      <c r="A59" s="18" t="inlineStr">
        <is>
          <t>Mobimo</t>
        </is>
      </c>
      <c r="B59" s="18" t="inlineStr">
        <is>
          <t>R. Suter</t>
        </is>
      </c>
      <c r="C59" s="18" t="inlineStr">
        <is>
          <t>Nachhaltigkeit</t>
        </is>
      </c>
      <c r="D59" s="18" t="inlineStr">
        <is>
          <t>suter@mobimo.ch</t>
        </is>
      </c>
      <c r="E59" s="18" t="inlineStr">
        <is>
          <t>+41 58 578 64 62</t>
        </is>
      </c>
      <c r="F59" s="18" t="inlineStr">
        <is>
          <t>Genf</t>
        </is>
      </c>
      <c r="G59" s="18" t="inlineStr">
        <is>
          <t>Immobilien</t>
        </is>
      </c>
      <c r="H59" s="36" t="n">
        <v>46173</v>
      </c>
    </row>
    <row r="60" ht="20" customHeight="1">
      <c r="A60" s="26" t="inlineStr">
        <is>
          <t>PSP Swiss Property</t>
        </is>
      </c>
      <c r="B60" s="26" t="inlineStr">
        <is>
          <t>S. Wyss</t>
        </is>
      </c>
      <c r="C60" s="26" t="inlineStr">
        <is>
          <t>Geschäftsführung</t>
        </is>
      </c>
      <c r="D60" s="26" t="inlineStr">
        <is>
          <t>wyss@pspswissproper.ch</t>
        </is>
      </c>
      <c r="E60" s="26" t="inlineStr">
        <is>
          <t>+41 59 585 65 65</t>
        </is>
      </c>
      <c r="F60" s="26" t="inlineStr">
        <is>
          <t>St. Gallen</t>
        </is>
      </c>
      <c r="G60" s="26" t="inlineStr">
        <is>
          <t>Immobilien</t>
        </is>
      </c>
      <c r="H60" s="37" t="n">
        <v>46168</v>
      </c>
    </row>
    <row r="61" ht="20" customHeight="1">
      <c r="A61" s="18" t="inlineStr">
        <is>
          <t>Allreal</t>
        </is>
      </c>
      <c r="B61" s="18" t="inlineStr">
        <is>
          <t>T. Schmid</t>
        </is>
      </c>
      <c r="C61" s="18" t="inlineStr">
        <is>
          <t>Einkauf</t>
        </is>
      </c>
      <c r="D61" s="18" t="inlineStr">
        <is>
          <t>schmid@allreal.ch</t>
        </is>
      </c>
      <c r="E61" s="18" t="inlineStr">
        <is>
          <t>+41 60 592 66 68</t>
        </is>
      </c>
      <c r="F61" s="18" t="inlineStr">
        <is>
          <t>Wallis</t>
        </is>
      </c>
      <c r="G61" s="18" t="inlineStr">
        <is>
          <t>Immobilien</t>
        </is>
      </c>
      <c r="H61" s="36" t="n">
        <v>46163</v>
      </c>
    </row>
    <row r="62" ht="20" customHeight="1">
      <c r="A62" s="26" t="inlineStr">
        <is>
          <t>Swiss Prime Site</t>
        </is>
      </c>
      <c r="B62" s="26" t="inlineStr">
        <is>
          <t>U. Moser</t>
        </is>
      </c>
      <c r="C62" s="26" t="inlineStr">
        <is>
          <t>Facility Management</t>
        </is>
      </c>
      <c r="D62" s="26" t="inlineStr">
        <is>
          <t>moser@swissprimesite.ch</t>
        </is>
      </c>
      <c r="E62" s="26" t="inlineStr">
        <is>
          <t>+41 61 599 67 71</t>
        </is>
      </c>
      <c r="F62" s="26" t="inlineStr">
        <is>
          <t>Waadt</t>
        </is>
      </c>
      <c r="G62" s="26" t="inlineStr">
        <is>
          <t>Immobilien</t>
        </is>
      </c>
      <c r="H62" s="37" t="n">
        <v>46158</v>
      </c>
    </row>
    <row r="63" ht="20" customHeight="1">
      <c r="A63" s="18" t="inlineStr">
        <is>
          <t>Zug Estates</t>
        </is>
      </c>
      <c r="B63" s="18" t="inlineStr">
        <is>
          <t>V. Kern</t>
        </is>
      </c>
      <c r="C63" s="18" t="inlineStr">
        <is>
          <t>Fuhrpark</t>
        </is>
      </c>
      <c r="D63" s="18" t="inlineStr">
        <is>
          <t>kern@zugestates.ch</t>
        </is>
      </c>
      <c r="E63" s="18" t="inlineStr">
        <is>
          <t>+41 62 606 68 74</t>
        </is>
      </c>
      <c r="F63" s="18" t="inlineStr">
        <is>
          <t>Aargau</t>
        </is>
      </c>
      <c r="G63" s="18" t="inlineStr">
        <is>
          <t>Immobilien</t>
        </is>
      </c>
      <c r="H63" s="36" t="n">
        <v>46153</v>
      </c>
    </row>
    <row r="64" ht="20" customHeight="1">
      <c r="A64" s="26" t="inlineStr">
        <is>
          <t>Livit</t>
        </is>
      </c>
      <c r="B64" s="26" t="inlineStr">
        <is>
          <t>W. Egli</t>
        </is>
      </c>
      <c r="C64" s="26" t="inlineStr">
        <is>
          <t>Nachhaltigkeit</t>
        </is>
      </c>
      <c r="D64" s="26" t="inlineStr">
        <is>
          <t>egli@livit.ch</t>
        </is>
      </c>
      <c r="E64" s="26" t="inlineStr">
        <is>
          <t>+41 63 613 69 77</t>
        </is>
      </c>
      <c r="F64" s="26" t="inlineStr">
        <is>
          <t>Luzern</t>
        </is>
      </c>
      <c r="G64" s="26" t="inlineStr">
        <is>
          <t>Immobilien</t>
        </is>
      </c>
      <c r="H64" s="37" t="n">
        <v>46148</v>
      </c>
    </row>
    <row r="65" ht="20" customHeight="1">
      <c r="A65" s="18" t="inlineStr">
        <is>
          <t>Wincasa</t>
        </is>
      </c>
      <c r="B65" s="18" t="inlineStr">
        <is>
          <t>A. Meier</t>
        </is>
      </c>
      <c r="C65" s="18" t="inlineStr">
        <is>
          <t>Geschäftsführung</t>
        </is>
      </c>
      <c r="D65" s="18" t="inlineStr">
        <is>
          <t>meier@wincasa.ch</t>
        </is>
      </c>
      <c r="E65" s="18" t="inlineStr">
        <is>
          <t>+41 64 620 70 80</t>
        </is>
      </c>
      <c r="F65" s="18" t="inlineStr">
        <is>
          <t>Bern</t>
        </is>
      </c>
      <c r="G65" s="18" t="inlineStr">
        <is>
          <t>Immobilien</t>
        </is>
      </c>
      <c r="H65" s="36" t="n">
        <v>46203</v>
      </c>
    </row>
    <row r="66" ht="20" customHeight="1">
      <c r="A66" s="26" t="inlineStr">
        <is>
          <t>Privera</t>
        </is>
      </c>
      <c r="B66" s="26" t="inlineStr">
        <is>
          <t>B. Huber</t>
        </is>
      </c>
      <c r="C66" s="26" t="inlineStr">
        <is>
          <t>Einkauf</t>
        </is>
      </c>
      <c r="D66" s="26" t="inlineStr">
        <is>
          <t>huber@privera.ch</t>
        </is>
      </c>
      <c r="E66" s="26" t="inlineStr">
        <is>
          <t>+41 65 627 71 83</t>
        </is>
      </c>
      <c r="F66" s="26" t="inlineStr">
        <is>
          <t>Basel</t>
        </is>
      </c>
      <c r="G66" s="26" t="inlineStr">
        <is>
          <t>Immobilien</t>
        </is>
      </c>
      <c r="H66" s="37" t="n">
        <v>46198</v>
      </c>
    </row>
    <row r="67" ht="20" customHeight="1">
      <c r="A67" s="18" t="inlineStr">
        <is>
          <t>Halter AG</t>
        </is>
      </c>
      <c r="B67" s="18" t="inlineStr">
        <is>
          <t>C. Rossi</t>
        </is>
      </c>
      <c r="C67" s="18" t="inlineStr">
        <is>
          <t>Facility Management</t>
        </is>
      </c>
      <c r="D67" s="18" t="inlineStr">
        <is>
          <t>rossi@halterag.ch</t>
        </is>
      </c>
      <c r="E67" s="18" t="inlineStr">
        <is>
          <t>+41 66 634 72 86</t>
        </is>
      </c>
      <c r="F67" s="18" t="inlineStr">
        <is>
          <t>Tessin</t>
        </is>
      </c>
      <c r="G67" s="18" t="inlineStr">
        <is>
          <t>Immobilien</t>
        </is>
      </c>
      <c r="H67" s="36" t="n">
        <v>46193</v>
      </c>
    </row>
    <row r="68" ht="20" customHeight="1">
      <c r="A68" s="26" t="inlineStr">
        <is>
          <t>Implenia</t>
        </is>
      </c>
      <c r="B68" s="26" t="inlineStr">
        <is>
          <t>D. Baumann</t>
        </is>
      </c>
      <c r="C68" s="26" t="inlineStr">
        <is>
          <t>Fuhrpark</t>
        </is>
      </c>
      <c r="D68" s="26" t="inlineStr">
        <is>
          <t>baumann@implenia.ch</t>
        </is>
      </c>
      <c r="E68" s="26" t="inlineStr">
        <is>
          <t>+41 67 641 73 89</t>
        </is>
      </c>
      <c r="F68" s="26" t="inlineStr">
        <is>
          <t>Zürich</t>
        </is>
      </c>
      <c r="G68" s="26" t="inlineStr">
        <is>
          <t>Immobilien</t>
        </is>
      </c>
      <c r="H68" s="37" t="n">
        <v>46188</v>
      </c>
    </row>
    <row r="69" ht="20" customHeight="1">
      <c r="A69" s="18" t="inlineStr">
        <is>
          <t>Steiner AG</t>
        </is>
      </c>
      <c r="B69" s="18" t="inlineStr">
        <is>
          <t>E. Suter</t>
        </is>
      </c>
      <c r="C69" s="18" t="inlineStr">
        <is>
          <t>Nachhaltigkeit</t>
        </is>
      </c>
      <c r="D69" s="18" t="inlineStr">
        <is>
          <t>suter@steinerag.ch</t>
        </is>
      </c>
      <c r="E69" s="18" t="inlineStr">
        <is>
          <t>+41 68 648 74 92</t>
        </is>
      </c>
      <c r="F69" s="18" t="inlineStr">
        <is>
          <t>Genf</t>
        </is>
      </c>
      <c r="G69" s="18" t="inlineStr">
        <is>
          <t>Immobilien</t>
        </is>
      </c>
      <c r="H69" s="36" t="n">
        <v>46183</v>
      </c>
    </row>
    <row r="70" ht="20" customHeight="1">
      <c r="A70" s="26" t="inlineStr">
        <is>
          <t>Losinger Marazzi</t>
        </is>
      </c>
      <c r="B70" s="26" t="inlineStr">
        <is>
          <t>F. Wyss</t>
        </is>
      </c>
      <c r="C70" s="26" t="inlineStr">
        <is>
          <t>Geschäftsführung</t>
        </is>
      </c>
      <c r="D70" s="26" t="inlineStr">
        <is>
          <t>wyss@losingermarazz.ch</t>
        </is>
      </c>
      <c r="E70" s="26" t="inlineStr">
        <is>
          <t>+41 69 655 75 95</t>
        </is>
      </c>
      <c r="F70" s="26" t="inlineStr">
        <is>
          <t>St. Gallen</t>
        </is>
      </c>
      <c r="G70" s="26" t="inlineStr">
        <is>
          <t>Immobilien</t>
        </is>
      </c>
      <c r="H70" s="37" t="n">
        <v>46178</v>
      </c>
    </row>
    <row r="71" ht="20" customHeight="1">
      <c r="A71" s="18" t="inlineStr">
        <is>
          <t>Mövenpick Hotels</t>
        </is>
      </c>
      <c r="B71" s="18" t="inlineStr">
        <is>
          <t>G. Schmid</t>
        </is>
      </c>
      <c r="C71" s="18" t="inlineStr">
        <is>
          <t>Einkauf</t>
        </is>
      </c>
      <c r="D71" s="18" t="inlineStr">
        <is>
          <t>schmid@mövenpickhotel.ch</t>
        </is>
      </c>
      <c r="E71" s="18" t="inlineStr">
        <is>
          <t>+41 70 662 76 98</t>
        </is>
      </c>
      <c r="F71" s="18" t="inlineStr">
        <is>
          <t>Wallis</t>
        </is>
      </c>
      <c r="G71" s="18" t="inlineStr">
        <is>
          <t>Hotellerie</t>
        </is>
      </c>
      <c r="H71" s="36" t="n">
        <v>46173</v>
      </c>
    </row>
    <row r="72" ht="20" customHeight="1">
      <c r="A72" s="26" t="inlineStr">
        <is>
          <t>Bürgenstock Resort</t>
        </is>
      </c>
      <c r="B72" s="26" t="inlineStr">
        <is>
          <t>H. Moser</t>
        </is>
      </c>
      <c r="C72" s="26" t="inlineStr">
        <is>
          <t>Facility Management</t>
        </is>
      </c>
      <c r="D72" s="26" t="inlineStr">
        <is>
          <t>moser@bürgenstockres.ch</t>
        </is>
      </c>
      <c r="E72" s="26" t="inlineStr">
        <is>
          <t>+41 71 669 77 01</t>
        </is>
      </c>
      <c r="F72" s="26" t="inlineStr">
        <is>
          <t>Waadt</t>
        </is>
      </c>
      <c r="G72" s="26" t="inlineStr">
        <is>
          <t>Hotellerie</t>
        </is>
      </c>
      <c r="H72" s="37" t="n">
        <v>46168</v>
      </c>
    </row>
    <row r="73" ht="20" customHeight="1">
      <c r="A73" s="18" t="inlineStr">
        <is>
          <t>Grand Resort Bad Ragaz</t>
        </is>
      </c>
      <c r="B73" s="18" t="inlineStr">
        <is>
          <t>J. Kern</t>
        </is>
      </c>
      <c r="C73" s="18" t="inlineStr">
        <is>
          <t>Fuhrpark</t>
        </is>
      </c>
      <c r="D73" s="18" t="inlineStr">
        <is>
          <t>kern@grandresortbad.ch</t>
        </is>
      </c>
      <c r="E73" s="18" t="inlineStr">
        <is>
          <t>+41 72 676 78 04</t>
        </is>
      </c>
      <c r="F73" s="18" t="inlineStr">
        <is>
          <t>Aargau</t>
        </is>
      </c>
      <c r="G73" s="18" t="inlineStr">
        <is>
          <t>Hotellerie</t>
        </is>
      </c>
      <c r="H73" s="36" t="n">
        <v>46163</v>
      </c>
    </row>
    <row r="74" ht="20" customHeight="1">
      <c r="A74" s="26" t="inlineStr">
        <is>
          <t>The Dolder Grand</t>
        </is>
      </c>
      <c r="B74" s="26" t="inlineStr">
        <is>
          <t>K. Egli</t>
        </is>
      </c>
      <c r="C74" s="26" t="inlineStr">
        <is>
          <t>Nachhaltigkeit</t>
        </is>
      </c>
      <c r="D74" s="26" t="inlineStr">
        <is>
          <t>egli@thedoldergrand.ch</t>
        </is>
      </c>
      <c r="E74" s="26" t="inlineStr">
        <is>
          <t>+41 73 683 79 07</t>
        </is>
      </c>
      <c r="F74" s="26" t="inlineStr">
        <is>
          <t>Luzern</t>
        </is>
      </c>
      <c r="G74" s="26" t="inlineStr">
        <is>
          <t>Hotellerie</t>
        </is>
      </c>
      <c r="H74" s="37" t="n">
        <v>46158</v>
      </c>
    </row>
    <row r="75" ht="20" customHeight="1">
      <c r="A75" s="18" t="inlineStr">
        <is>
          <t>Hotel Schweizerhof</t>
        </is>
      </c>
      <c r="B75" s="18" t="inlineStr">
        <is>
          <t>L. Meier</t>
        </is>
      </c>
      <c r="C75" s="18" t="inlineStr">
        <is>
          <t>Geschäftsführung</t>
        </is>
      </c>
      <c r="D75" s="18" t="inlineStr">
        <is>
          <t>meier@hotelschweizer.ch</t>
        </is>
      </c>
      <c r="E75" s="18" t="inlineStr">
        <is>
          <t>+41 74 690 80 10</t>
        </is>
      </c>
      <c r="F75" s="18" t="inlineStr">
        <is>
          <t>Bern</t>
        </is>
      </c>
      <c r="G75" s="18" t="inlineStr">
        <is>
          <t>Hotellerie</t>
        </is>
      </c>
      <c r="H75" s="36" t="n">
        <v>46153</v>
      </c>
    </row>
    <row r="76" ht="20" customHeight="1">
      <c r="A76" s="26" t="inlineStr">
        <is>
          <t>Kempinski Genf</t>
        </is>
      </c>
      <c r="B76" s="26" t="inlineStr">
        <is>
          <t>M. Huber</t>
        </is>
      </c>
      <c r="C76" s="26" t="inlineStr">
        <is>
          <t>Einkauf</t>
        </is>
      </c>
      <c r="D76" s="26" t="inlineStr">
        <is>
          <t>huber@kempinskigenf.ch</t>
        </is>
      </c>
      <c r="E76" s="26" t="inlineStr">
        <is>
          <t>+41 75 697 81 13</t>
        </is>
      </c>
      <c r="F76" s="26" t="inlineStr">
        <is>
          <t>Basel</t>
        </is>
      </c>
      <c r="G76" s="26" t="inlineStr">
        <is>
          <t>Hotellerie</t>
        </is>
      </c>
      <c r="H76" s="37" t="n">
        <v>46148</v>
      </c>
    </row>
    <row r="77" ht="20" customHeight="1">
      <c r="A77" s="18" t="inlineStr">
        <is>
          <t>25hours Zürich</t>
        </is>
      </c>
      <c r="B77" s="18" t="inlineStr">
        <is>
          <t>N. Rossi</t>
        </is>
      </c>
      <c r="C77" s="18" t="inlineStr">
        <is>
          <t>Facility Management</t>
        </is>
      </c>
      <c r="D77" s="18" t="inlineStr">
        <is>
          <t>rossi@25hourszürich.ch</t>
        </is>
      </c>
      <c r="E77" s="18" t="inlineStr">
        <is>
          <t>+41 76 704 82 16</t>
        </is>
      </c>
      <c r="F77" s="18" t="inlineStr">
        <is>
          <t>Tessin</t>
        </is>
      </c>
      <c r="G77" s="18" t="inlineStr">
        <is>
          <t>Hotellerie</t>
        </is>
      </c>
      <c r="H77" s="36" t="n">
        <v>46203</v>
      </c>
    </row>
    <row r="78" ht="20" customHeight="1">
      <c r="A78" s="26" t="inlineStr">
        <is>
          <t>Hotel Krone</t>
        </is>
      </c>
      <c r="B78" s="26" t="inlineStr">
        <is>
          <t>P. Baumann</t>
        </is>
      </c>
      <c r="C78" s="26" t="inlineStr">
        <is>
          <t>Fuhrpark</t>
        </is>
      </c>
      <c r="D78" s="26" t="inlineStr">
        <is>
          <t>baumann@hotelkrone.ch</t>
        </is>
      </c>
      <c r="E78" s="26" t="inlineStr">
        <is>
          <t>+41 77 711 83 19</t>
        </is>
      </c>
      <c r="F78" s="26" t="inlineStr">
        <is>
          <t>Zürich</t>
        </is>
      </c>
      <c r="G78" s="26" t="inlineStr">
        <is>
          <t>Hotellerie</t>
        </is>
      </c>
      <c r="H78" s="37" t="n">
        <v>46198</v>
      </c>
    </row>
    <row r="79" ht="20" customHeight="1">
      <c r="A79" s="18" t="inlineStr">
        <is>
          <t>Victoria-Jungfrau</t>
        </is>
      </c>
      <c r="B79" s="18" t="inlineStr">
        <is>
          <t>R. Suter</t>
        </is>
      </c>
      <c r="C79" s="18" t="inlineStr">
        <is>
          <t>Nachhaltigkeit</t>
        </is>
      </c>
      <c r="D79" s="18" t="inlineStr">
        <is>
          <t>suter@victoriajungfr.ch</t>
        </is>
      </c>
      <c r="E79" s="18" t="inlineStr">
        <is>
          <t>+41 78 718 84 22</t>
        </is>
      </c>
      <c r="F79" s="18" t="inlineStr">
        <is>
          <t>Genf</t>
        </is>
      </c>
      <c r="G79" s="18" t="inlineStr">
        <is>
          <t>Hotellerie</t>
        </is>
      </c>
      <c r="H79" s="36" t="n">
        <v>46193</v>
      </c>
    </row>
    <row r="80" ht="20" customHeight="1">
      <c r="A80" s="26" t="inlineStr">
        <is>
          <t>Hotel Metropol</t>
        </is>
      </c>
      <c r="B80" s="26" t="inlineStr">
        <is>
          <t>S. Wyss</t>
        </is>
      </c>
      <c r="C80" s="26" t="inlineStr">
        <is>
          <t>Geschäftsführung</t>
        </is>
      </c>
      <c r="D80" s="26" t="inlineStr">
        <is>
          <t>wyss@hotelmetropol.ch</t>
        </is>
      </c>
      <c r="E80" s="26" t="inlineStr">
        <is>
          <t>+41 79 725 85 25</t>
        </is>
      </c>
      <c r="F80" s="26" t="inlineStr">
        <is>
          <t>St. Gallen</t>
        </is>
      </c>
      <c r="G80" s="26" t="inlineStr">
        <is>
          <t>Hotellerie</t>
        </is>
      </c>
      <c r="H80" s="37" t="n">
        <v>46188</v>
      </c>
    </row>
    <row r="81" ht="20" customHeight="1">
      <c r="A81" s="18" t="inlineStr">
        <is>
          <t>Stadt Bern</t>
        </is>
      </c>
      <c r="B81" s="18" t="inlineStr">
        <is>
          <t>T. Schmid</t>
        </is>
      </c>
      <c r="C81" s="18" t="inlineStr">
        <is>
          <t>Einkauf</t>
        </is>
      </c>
      <c r="D81" s="18" t="inlineStr">
        <is>
          <t>schmid@stadtbern.ch</t>
        </is>
      </c>
      <c r="E81" s="18" t="inlineStr">
        <is>
          <t>+41 80 732 86 28</t>
        </is>
      </c>
      <c r="F81" s="18" t="inlineStr">
        <is>
          <t>Wallis</t>
        </is>
      </c>
      <c r="G81" s="18" t="inlineStr">
        <is>
          <t>Öffentliche Hand</t>
        </is>
      </c>
      <c r="H81" s="36" t="n">
        <v>46183</v>
      </c>
    </row>
    <row r="82" ht="20" customHeight="1">
      <c r="A82" s="26" t="inlineStr">
        <is>
          <t>Stadt Winterthur</t>
        </is>
      </c>
      <c r="B82" s="26" t="inlineStr">
        <is>
          <t>U. Moser</t>
        </is>
      </c>
      <c r="C82" s="26" t="inlineStr">
        <is>
          <t>Facility Management</t>
        </is>
      </c>
      <c r="D82" s="26" t="inlineStr">
        <is>
          <t>moser@stadtwinterthu.ch</t>
        </is>
      </c>
      <c r="E82" s="26" t="inlineStr">
        <is>
          <t>+41 81 739 87 31</t>
        </is>
      </c>
      <c r="F82" s="26" t="inlineStr">
        <is>
          <t>Waadt</t>
        </is>
      </c>
      <c r="G82" s="26" t="inlineStr">
        <is>
          <t>Öffentliche Hand</t>
        </is>
      </c>
      <c r="H82" s="37" t="n">
        <v>46178</v>
      </c>
    </row>
    <row r="83" ht="20" customHeight="1">
      <c r="A83" s="18" t="inlineStr">
        <is>
          <t>Kanton Aargau</t>
        </is>
      </c>
      <c r="B83" s="18" t="inlineStr">
        <is>
          <t>V. Kern</t>
        </is>
      </c>
      <c r="C83" s="18" t="inlineStr">
        <is>
          <t>Fuhrpark</t>
        </is>
      </c>
      <c r="D83" s="18" t="inlineStr">
        <is>
          <t>kern@kantonaargau.ch</t>
        </is>
      </c>
      <c r="E83" s="18" t="inlineStr">
        <is>
          <t>+41 82 746 88 34</t>
        </is>
      </c>
      <c r="F83" s="18" t="inlineStr">
        <is>
          <t>Aargau</t>
        </is>
      </c>
      <c r="G83" s="18" t="inlineStr">
        <is>
          <t>Öffentliche Hand</t>
        </is>
      </c>
      <c r="H83" s="36" t="n">
        <v>46173</v>
      </c>
    </row>
    <row r="84" ht="20" customHeight="1">
      <c r="A84" s="26" t="inlineStr">
        <is>
          <t>Kanton Waadt</t>
        </is>
      </c>
      <c r="B84" s="26" t="inlineStr">
        <is>
          <t>W. Egli</t>
        </is>
      </c>
      <c r="C84" s="26" t="inlineStr">
        <is>
          <t>Nachhaltigkeit</t>
        </is>
      </c>
      <c r="D84" s="26" t="inlineStr">
        <is>
          <t>egli@kantonwaadt.ch</t>
        </is>
      </c>
      <c r="E84" s="26" t="inlineStr">
        <is>
          <t>+41 83 753 89 37</t>
        </is>
      </c>
      <c r="F84" s="26" t="inlineStr">
        <is>
          <t>Luzern</t>
        </is>
      </c>
      <c r="G84" s="26" t="inlineStr">
        <is>
          <t>Öffentliche Hand</t>
        </is>
      </c>
      <c r="H84" s="37" t="n">
        <v>46168</v>
      </c>
    </row>
    <row r="85" ht="20" customHeight="1">
      <c r="A85" s="18" t="inlineStr">
        <is>
          <t>Energie Wasser Bern</t>
        </is>
      </c>
      <c r="B85" s="18" t="inlineStr">
        <is>
          <t>A. Meier</t>
        </is>
      </c>
      <c r="C85" s="18" t="inlineStr">
        <is>
          <t>Geschäftsführung</t>
        </is>
      </c>
      <c r="D85" s="18" t="inlineStr">
        <is>
          <t>meier@energiewasserb.ch</t>
        </is>
      </c>
      <c r="E85" s="18" t="inlineStr">
        <is>
          <t>+41 44 760 90 40</t>
        </is>
      </c>
      <c r="F85" s="18" t="inlineStr">
        <is>
          <t>Bern</t>
        </is>
      </c>
      <c r="G85" s="18" t="inlineStr">
        <is>
          <t>Öffentliche Hand</t>
        </is>
      </c>
      <c r="H85" s="36" t="n">
        <v>46163</v>
      </c>
    </row>
    <row r="86" ht="20" customHeight="1">
      <c r="A86" s="26" t="inlineStr">
        <is>
          <t>IWB Basel</t>
        </is>
      </c>
      <c r="B86" s="26" t="inlineStr">
        <is>
          <t>B. Huber</t>
        </is>
      </c>
      <c r="C86" s="26" t="inlineStr">
        <is>
          <t>Einkauf</t>
        </is>
      </c>
      <c r="D86" s="26" t="inlineStr">
        <is>
          <t>huber@iwbbasel.ch</t>
        </is>
      </c>
      <c r="E86" s="26" t="inlineStr">
        <is>
          <t>+41 45 767 91 43</t>
        </is>
      </c>
      <c r="F86" s="26" t="inlineStr">
        <is>
          <t>Basel</t>
        </is>
      </c>
      <c r="G86" s="26" t="inlineStr">
        <is>
          <t>Öffentliche Hand</t>
        </is>
      </c>
      <c r="H86" s="37" t="n">
        <v>46158</v>
      </c>
    </row>
    <row r="87" ht="20" customHeight="1">
      <c r="A87" s="18" t="inlineStr">
        <is>
          <t>SIG Genève</t>
        </is>
      </c>
      <c r="B87" s="18" t="inlineStr">
        <is>
          <t>C. Rossi</t>
        </is>
      </c>
      <c r="C87" s="18" t="inlineStr">
        <is>
          <t>Facility Management</t>
        </is>
      </c>
      <c r="D87" s="18" t="inlineStr">
        <is>
          <t>rossi@siggenève.ch</t>
        </is>
      </c>
      <c r="E87" s="18" t="inlineStr">
        <is>
          <t>+41 46 774 92 46</t>
        </is>
      </c>
      <c r="F87" s="18" t="inlineStr">
        <is>
          <t>Tessin</t>
        </is>
      </c>
      <c r="G87" s="18" t="inlineStr">
        <is>
          <t>Öffentliche Hand</t>
        </is>
      </c>
      <c r="H87" s="36" t="n">
        <v>46153</v>
      </c>
    </row>
    <row r="88" ht="20" customHeight="1">
      <c r="A88" s="26" t="inlineStr">
        <is>
          <t>Werkbetriebe Frauenfeld</t>
        </is>
      </c>
      <c r="B88" s="26" t="inlineStr">
        <is>
          <t>D. Baumann</t>
        </is>
      </c>
      <c r="C88" s="26" t="inlineStr">
        <is>
          <t>Fuhrpark</t>
        </is>
      </c>
      <c r="D88" s="26" t="inlineStr">
        <is>
          <t>baumann@werkbetriebefr.ch</t>
        </is>
      </c>
      <c r="E88" s="26" t="inlineStr">
        <is>
          <t>+41 47 781 93 49</t>
        </is>
      </c>
      <c r="F88" s="26" t="inlineStr">
        <is>
          <t>Zürich</t>
        </is>
      </c>
      <c r="G88" s="26" t="inlineStr">
        <is>
          <t>Öffentliche Hand</t>
        </is>
      </c>
      <c r="H88" s="37" t="n">
        <v>46148</v>
      </c>
    </row>
    <row r="89" ht="20" customHeight="1">
      <c r="A89" s="18" t="inlineStr">
        <is>
          <t>Gemeinde Köniz</t>
        </is>
      </c>
      <c r="B89" s="18" t="inlineStr">
        <is>
          <t>E. Suter</t>
        </is>
      </c>
      <c r="C89" s="18" t="inlineStr">
        <is>
          <t>Nachhaltigkeit</t>
        </is>
      </c>
      <c r="D89" s="18" t="inlineStr">
        <is>
          <t>suter@gemeindeköniz.ch</t>
        </is>
      </c>
      <c r="E89" s="18" t="inlineStr">
        <is>
          <t>+41 48 788 94 52</t>
        </is>
      </c>
      <c r="F89" s="18" t="inlineStr">
        <is>
          <t>Genf</t>
        </is>
      </c>
      <c r="G89" s="18" t="inlineStr">
        <is>
          <t>Öffentliche Hand</t>
        </is>
      </c>
      <c r="H89" s="36" t="n">
        <v>46203</v>
      </c>
    </row>
    <row r="90" ht="20" customHeight="1">
      <c r="A90" s="26" t="inlineStr">
        <is>
          <t>ZVB Zug</t>
        </is>
      </c>
      <c r="B90" s="26" t="inlineStr">
        <is>
          <t>F. Wyss</t>
        </is>
      </c>
      <c r="C90" s="26" t="inlineStr">
        <is>
          <t>Geschäftsführung</t>
        </is>
      </c>
      <c r="D90" s="26" t="inlineStr">
        <is>
          <t>wyss@zvbzug.ch</t>
        </is>
      </c>
      <c r="E90" s="26" t="inlineStr">
        <is>
          <t>+41 49 795 95 55</t>
        </is>
      </c>
      <c r="F90" s="26" t="inlineStr">
        <is>
          <t>St. Gallen</t>
        </is>
      </c>
      <c r="G90" s="26" t="inlineStr">
        <is>
          <t>Öffentliche Hand</t>
        </is>
      </c>
      <c r="H90" s="37" t="n">
        <v>46198</v>
      </c>
    </row>
    <row r="91" ht="20" customHeight="1">
      <c r="A91" s="18" t="inlineStr">
        <is>
          <t>Stadt Lugano</t>
        </is>
      </c>
      <c r="B91" s="18" t="inlineStr">
        <is>
          <t>G. Schmid</t>
        </is>
      </c>
      <c r="C91" s="18" t="inlineStr">
        <is>
          <t>Einkauf</t>
        </is>
      </c>
      <c r="D91" s="18" t="inlineStr">
        <is>
          <t>schmid@stadtlugano.ch</t>
        </is>
      </c>
      <c r="E91" s="18" t="inlineStr">
        <is>
          <t>+41 50 802 96 58</t>
        </is>
      </c>
      <c r="F91" s="18" t="inlineStr">
        <is>
          <t>Wallis</t>
        </is>
      </c>
      <c r="G91" s="18" t="inlineStr">
        <is>
          <t>Öffentliche Hand</t>
        </is>
      </c>
      <c r="H91" s="36" t="n">
        <v>46193</v>
      </c>
    </row>
    <row r="92" ht="20" customHeight="1">
      <c r="A92" s="26" t="inlineStr">
        <is>
          <t>ABB Schweiz</t>
        </is>
      </c>
      <c r="B92" s="26" t="inlineStr">
        <is>
          <t>H. Moser</t>
        </is>
      </c>
      <c r="C92" s="26" t="inlineStr">
        <is>
          <t>Facility Management</t>
        </is>
      </c>
      <c r="D92" s="26" t="inlineStr">
        <is>
          <t>moser@abbschweiz.ch</t>
        </is>
      </c>
      <c r="E92" s="26" t="inlineStr">
        <is>
          <t>+41 51 809 97 61</t>
        </is>
      </c>
      <c r="F92" s="26" t="inlineStr">
        <is>
          <t>Waadt</t>
        </is>
      </c>
      <c r="G92" s="26" t="inlineStr">
        <is>
          <t>Industrie</t>
        </is>
      </c>
      <c r="H92" s="37" t="n">
        <v>46188</v>
      </c>
    </row>
    <row r="93" ht="20" customHeight="1">
      <c r="A93" s="18" t="inlineStr">
        <is>
          <t>Bühler Group</t>
        </is>
      </c>
      <c r="B93" s="18" t="inlineStr">
        <is>
          <t>J. Kern</t>
        </is>
      </c>
      <c r="C93" s="18" t="inlineStr">
        <is>
          <t>Fuhrpark</t>
        </is>
      </c>
      <c r="D93" s="18" t="inlineStr">
        <is>
          <t>kern@bühlergroup.ch</t>
        </is>
      </c>
      <c r="E93" s="18" t="inlineStr">
        <is>
          <t>+41 52 816 98 64</t>
        </is>
      </c>
      <c r="F93" s="18" t="inlineStr">
        <is>
          <t>Aargau</t>
        </is>
      </c>
      <c r="G93" s="18" t="inlineStr">
        <is>
          <t>Industrie</t>
        </is>
      </c>
      <c r="H93" s="36" t="n">
        <v>46183</v>
      </c>
    </row>
    <row r="94" ht="20" customHeight="1">
      <c r="A94" s="26" t="inlineStr">
        <is>
          <t>Sulzer AG</t>
        </is>
      </c>
      <c r="B94" s="26" t="inlineStr">
        <is>
          <t>K. Egli</t>
        </is>
      </c>
      <c r="C94" s="26" t="inlineStr">
        <is>
          <t>Nachhaltigkeit</t>
        </is>
      </c>
      <c r="D94" s="26" t="inlineStr">
        <is>
          <t>egli@sulzerag.ch</t>
        </is>
      </c>
      <c r="E94" s="26" t="inlineStr">
        <is>
          <t>+41 53 823 10 67</t>
        </is>
      </c>
      <c r="F94" s="26" t="inlineStr">
        <is>
          <t>Luzern</t>
        </is>
      </c>
      <c r="G94" s="26" t="inlineStr">
        <is>
          <t>Industrie</t>
        </is>
      </c>
      <c r="H94" s="37" t="n">
        <v>46178</v>
      </c>
    </row>
    <row r="95" ht="20" customHeight="1">
      <c r="A95" s="18" t="inlineStr">
        <is>
          <t>Georg Fischer</t>
        </is>
      </c>
      <c r="B95" s="18" t="inlineStr">
        <is>
          <t>L. Meier</t>
        </is>
      </c>
      <c r="C95" s="18" t="inlineStr">
        <is>
          <t>Geschäftsführung</t>
        </is>
      </c>
      <c r="D95" s="18" t="inlineStr">
        <is>
          <t>meier@georgfischer.ch</t>
        </is>
      </c>
      <c r="E95" s="18" t="inlineStr">
        <is>
          <t>+41 54 830 11 70</t>
        </is>
      </c>
      <c r="F95" s="18" t="inlineStr">
        <is>
          <t>Bern</t>
        </is>
      </c>
      <c r="G95" s="18" t="inlineStr">
        <is>
          <t>Industrie</t>
        </is>
      </c>
      <c r="H95" s="36" t="n">
        <v>46173</v>
      </c>
    </row>
    <row r="96" ht="20" customHeight="1">
      <c r="A96" s="26" t="inlineStr">
        <is>
          <t>Schindler Aufzüge</t>
        </is>
      </c>
      <c r="B96" s="26" t="inlineStr">
        <is>
          <t>M. Huber</t>
        </is>
      </c>
      <c r="C96" s="26" t="inlineStr">
        <is>
          <t>Einkauf</t>
        </is>
      </c>
      <c r="D96" s="26" t="inlineStr">
        <is>
          <t>huber@schindleraufzü.ch</t>
        </is>
      </c>
      <c r="E96" s="26" t="inlineStr">
        <is>
          <t>+41 55 837 12 73</t>
        </is>
      </c>
      <c r="F96" s="26" t="inlineStr">
        <is>
          <t>Basel</t>
        </is>
      </c>
      <c r="G96" s="26" t="inlineStr">
        <is>
          <t>Industrie</t>
        </is>
      </c>
      <c r="H96" s="37" t="n">
        <v>46168</v>
      </c>
    </row>
    <row r="97" ht="20" customHeight="1">
      <c r="A97" s="18" t="inlineStr">
        <is>
          <t>Sika AG</t>
        </is>
      </c>
      <c r="B97" s="18" t="inlineStr">
        <is>
          <t>N. Rossi</t>
        </is>
      </c>
      <c r="C97" s="18" t="inlineStr">
        <is>
          <t>Facility Management</t>
        </is>
      </c>
      <c r="D97" s="18" t="inlineStr">
        <is>
          <t>rossi@sikaag.ch</t>
        </is>
      </c>
      <c r="E97" s="18" t="inlineStr">
        <is>
          <t>+41 56 844 13 76</t>
        </is>
      </c>
      <c r="F97" s="18" t="inlineStr">
        <is>
          <t>Tessin</t>
        </is>
      </c>
      <c r="G97" s="18" t="inlineStr">
        <is>
          <t>Industrie</t>
        </is>
      </c>
      <c r="H97" s="36" t="n">
        <v>46163</v>
      </c>
    </row>
    <row r="98" ht="20" customHeight="1">
      <c r="A98" s="26" t="inlineStr">
        <is>
          <t>Bobst Group</t>
        </is>
      </c>
      <c r="B98" s="26" t="inlineStr">
        <is>
          <t>P. Baumann</t>
        </is>
      </c>
      <c r="C98" s="26" t="inlineStr">
        <is>
          <t>Fuhrpark</t>
        </is>
      </c>
      <c r="D98" s="26" t="inlineStr">
        <is>
          <t>baumann@bobstgroup.ch</t>
        </is>
      </c>
      <c r="E98" s="26" t="inlineStr">
        <is>
          <t>+41 57 851 14 79</t>
        </is>
      </c>
      <c r="F98" s="26" t="inlineStr">
        <is>
          <t>Zürich</t>
        </is>
      </c>
      <c r="G98" s="26" t="inlineStr">
        <is>
          <t>Industrie</t>
        </is>
      </c>
      <c r="H98" s="37" t="n">
        <v>46158</v>
      </c>
    </row>
    <row r="99" ht="20" customHeight="1">
      <c r="A99" s="18" t="inlineStr">
        <is>
          <t>Rieter AG</t>
        </is>
      </c>
      <c r="B99" s="18" t="inlineStr">
        <is>
          <t>R. Suter</t>
        </is>
      </c>
      <c r="C99" s="18" t="inlineStr">
        <is>
          <t>Nachhaltigkeit</t>
        </is>
      </c>
      <c r="D99" s="18" t="inlineStr">
        <is>
          <t>suter@rieterag.ch</t>
        </is>
      </c>
      <c r="E99" s="18" t="inlineStr">
        <is>
          <t>+41 58 858 15 82</t>
        </is>
      </c>
      <c r="F99" s="18" t="inlineStr">
        <is>
          <t>Genf</t>
        </is>
      </c>
      <c r="G99" s="18" t="inlineStr">
        <is>
          <t>Industrie</t>
        </is>
      </c>
      <c r="H99" s="36" t="n">
        <v>46153</v>
      </c>
    </row>
    <row r="100" ht="20" customHeight="1">
      <c r="A100" s="26" t="inlineStr">
        <is>
          <t>Feintool</t>
        </is>
      </c>
      <c r="B100" s="26" t="inlineStr">
        <is>
          <t>S. Wyss</t>
        </is>
      </c>
      <c r="C100" s="26" t="inlineStr">
        <is>
          <t>Geschäftsführung</t>
        </is>
      </c>
      <c r="D100" s="26" t="inlineStr">
        <is>
          <t>wyss@feintool.ch</t>
        </is>
      </c>
      <c r="E100" s="26" t="inlineStr">
        <is>
          <t>+41 59 865 16 85</t>
        </is>
      </c>
      <c r="F100" s="26" t="inlineStr">
        <is>
          <t>St. Gallen</t>
        </is>
      </c>
      <c r="G100" s="26" t="inlineStr">
        <is>
          <t>Industrie</t>
        </is>
      </c>
      <c r="H100" s="37" t="n">
        <v>46148</v>
      </c>
    </row>
    <row r="101" ht="20" customHeight="1">
      <c r="A101" s="18" t="inlineStr">
        <is>
          <t>Komax Group</t>
        </is>
      </c>
      <c r="B101" s="18" t="inlineStr">
        <is>
          <t>T. Schmid</t>
        </is>
      </c>
      <c r="C101" s="18" t="inlineStr">
        <is>
          <t>Einkauf</t>
        </is>
      </c>
      <c r="D101" s="18" t="inlineStr">
        <is>
          <t>schmid@komaxgroup.ch</t>
        </is>
      </c>
      <c r="E101" s="18" t="inlineStr">
        <is>
          <t>+41 60 872 17 88</t>
        </is>
      </c>
      <c r="F101" s="18" t="inlineStr">
        <is>
          <t>Wallis</t>
        </is>
      </c>
      <c r="G101" s="18" t="inlineStr">
        <is>
          <t>Industrie</t>
        </is>
      </c>
      <c r="H101" s="36" t="n">
        <v>46203</v>
      </c>
    </row>
    <row r="102" ht="20" customHeight="1">
      <c r="A102" s="26" t="inlineStr">
        <is>
          <t>Hilti AG</t>
        </is>
      </c>
      <c r="B102" s="26" t="inlineStr">
        <is>
          <t>U. Moser</t>
        </is>
      </c>
      <c r="C102" s="26" t="inlineStr">
        <is>
          <t>Facility Management</t>
        </is>
      </c>
      <c r="D102" s="26" t="inlineStr">
        <is>
          <t>moser@hiltiag.ch</t>
        </is>
      </c>
      <c r="E102" s="26" t="inlineStr">
        <is>
          <t>+41 61 879 18 91</t>
        </is>
      </c>
      <c r="F102" s="26" t="inlineStr">
        <is>
          <t>Waadt</t>
        </is>
      </c>
      <c r="G102" s="26" t="inlineStr">
        <is>
          <t>Industrie</t>
        </is>
      </c>
      <c r="H102" s="37" t="n">
        <v>46198</v>
      </c>
    </row>
    <row r="103" ht="20" customHeight="1">
      <c r="A103" s="18" t="inlineStr">
        <is>
          <t>Geberit</t>
        </is>
      </c>
      <c r="B103" s="18" t="inlineStr">
        <is>
          <t>V. Kern</t>
        </is>
      </c>
      <c r="C103" s="18" t="inlineStr">
        <is>
          <t>Fuhrpark</t>
        </is>
      </c>
      <c r="D103" s="18" t="inlineStr">
        <is>
          <t>kern@geberit.ch</t>
        </is>
      </c>
      <c r="E103" s="18" t="inlineStr">
        <is>
          <t>+41 62 886 19 94</t>
        </is>
      </c>
      <c r="F103" s="18" t="inlineStr">
        <is>
          <t>Aargau</t>
        </is>
      </c>
      <c r="G103" s="18" t="inlineStr">
        <is>
          <t>Industrie</t>
        </is>
      </c>
      <c r="H103" s="36" t="n">
        <v>46193</v>
      </c>
    </row>
    <row r="104" ht="20" customHeight="1">
      <c r="A104" s="26" t="inlineStr">
        <is>
          <t>Socar Energy</t>
        </is>
      </c>
      <c r="B104" s="26" t="inlineStr">
        <is>
          <t>W. Egli</t>
        </is>
      </c>
      <c r="C104" s="26" t="inlineStr">
        <is>
          <t>Nachhaltigkeit</t>
        </is>
      </c>
      <c r="D104" s="26" t="inlineStr">
        <is>
          <t>egli@socarenergy.ch</t>
        </is>
      </c>
      <c r="E104" s="26" t="inlineStr">
        <is>
          <t>+41 63 893 20 97</t>
        </is>
      </c>
      <c r="F104" s="26" t="inlineStr">
        <is>
          <t>Luzern</t>
        </is>
      </c>
      <c r="G104" s="26" t="inlineStr">
        <is>
          <t>Tankstellen</t>
        </is>
      </c>
      <c r="H104" s="37" t="n">
        <v>46188</v>
      </c>
    </row>
    <row r="105" ht="20" customHeight="1">
      <c r="A105" s="18" t="inlineStr">
        <is>
          <t>Agrola AG</t>
        </is>
      </c>
      <c r="B105" s="18" t="inlineStr">
        <is>
          <t>A. Meier</t>
        </is>
      </c>
      <c r="C105" s="18" t="inlineStr">
        <is>
          <t>Geschäftsführung</t>
        </is>
      </c>
      <c r="D105" s="18" t="inlineStr">
        <is>
          <t>meier@agrolaag.ch</t>
        </is>
      </c>
      <c r="E105" s="18" t="inlineStr">
        <is>
          <t>+41 64 200 21 00</t>
        </is>
      </c>
      <c r="F105" s="18" t="inlineStr">
        <is>
          <t>Bern</t>
        </is>
      </c>
      <c r="G105" s="18" t="inlineStr">
        <is>
          <t>Tankstellen</t>
        </is>
      </c>
      <c r="H105" s="36" t="n">
        <v>46183</v>
      </c>
    </row>
    <row r="106" ht="20" customHeight="1">
      <c r="A106" s="26" t="inlineStr">
        <is>
          <t>BP Schweiz</t>
        </is>
      </c>
      <c r="B106" s="26" t="inlineStr">
        <is>
          <t>B. Huber</t>
        </is>
      </c>
      <c r="C106" s="26" t="inlineStr">
        <is>
          <t>Einkauf</t>
        </is>
      </c>
      <c r="D106" s="26" t="inlineStr">
        <is>
          <t>huber@bpschweiz.ch</t>
        </is>
      </c>
      <c r="E106" s="26" t="inlineStr">
        <is>
          <t>+41 65 207 22 03</t>
        </is>
      </c>
      <c r="F106" s="26" t="inlineStr">
        <is>
          <t>Basel</t>
        </is>
      </c>
      <c r="G106" s="26" t="inlineStr">
        <is>
          <t>Tankstellen</t>
        </is>
      </c>
      <c r="H106" s="37" t="n">
        <v>46178</v>
      </c>
    </row>
    <row r="107" ht="20" customHeight="1">
      <c r="A107" s="18" t="inlineStr">
        <is>
          <t>Shell Schweiz</t>
        </is>
      </c>
      <c r="B107" s="18" t="inlineStr">
        <is>
          <t>C. Rossi</t>
        </is>
      </c>
      <c r="C107" s="18" t="inlineStr">
        <is>
          <t>Facility Management</t>
        </is>
      </c>
      <c r="D107" s="18" t="inlineStr">
        <is>
          <t>rossi@shellschweiz.ch</t>
        </is>
      </c>
      <c r="E107" s="18" t="inlineStr">
        <is>
          <t>+41 66 214 23 06</t>
        </is>
      </c>
      <c r="F107" s="18" t="inlineStr">
        <is>
          <t>Tessin</t>
        </is>
      </c>
      <c r="G107" s="18" t="inlineStr">
        <is>
          <t>Tankstellen</t>
        </is>
      </c>
      <c r="H107" s="36" t="n">
        <v>46173</v>
      </c>
    </row>
    <row r="108" ht="20" customHeight="1">
      <c r="A108" s="26" t="inlineStr">
        <is>
          <t>Eni Suisse</t>
        </is>
      </c>
      <c r="B108" s="26" t="inlineStr">
        <is>
          <t>D. Baumann</t>
        </is>
      </c>
      <c r="C108" s="26" t="inlineStr">
        <is>
          <t>Fuhrpark</t>
        </is>
      </c>
      <c r="D108" s="26" t="inlineStr">
        <is>
          <t>baumann@enisuisse.ch</t>
        </is>
      </c>
      <c r="E108" s="26" t="inlineStr">
        <is>
          <t>+41 67 221 24 09</t>
        </is>
      </c>
      <c r="F108" s="26" t="inlineStr">
        <is>
          <t>Zürich</t>
        </is>
      </c>
      <c r="G108" s="26" t="inlineStr">
        <is>
          <t>Tankstellen</t>
        </is>
      </c>
      <c r="H108" s="37" t="n">
        <v>46168</v>
      </c>
    </row>
    <row r="109" ht="20" customHeight="1">
      <c r="A109" s="18" t="inlineStr">
        <is>
          <t>Ruedi Rüssel</t>
        </is>
      </c>
      <c r="B109" s="18" t="inlineStr">
        <is>
          <t>E. Suter</t>
        </is>
      </c>
      <c r="C109" s="18" t="inlineStr">
        <is>
          <t>Nachhaltigkeit</t>
        </is>
      </c>
      <c r="D109" s="18" t="inlineStr">
        <is>
          <t>suter@ruedirüssel.ch</t>
        </is>
      </c>
      <c r="E109" s="18" t="inlineStr">
        <is>
          <t>+41 68 228 25 12</t>
        </is>
      </c>
      <c r="F109" s="18" t="inlineStr">
        <is>
          <t>Genf</t>
        </is>
      </c>
      <c r="G109" s="18" t="inlineStr">
        <is>
          <t>Tankstellen</t>
        </is>
      </c>
      <c r="H109" s="36" t="n">
        <v>46163</v>
      </c>
    </row>
    <row r="110" ht="20" customHeight="1">
      <c r="A110" s="26" t="inlineStr">
        <is>
          <t>Oel-Pool AG</t>
        </is>
      </c>
      <c r="B110" s="26" t="inlineStr">
        <is>
          <t>F. Wyss</t>
        </is>
      </c>
      <c r="C110" s="26" t="inlineStr">
        <is>
          <t>Geschäftsführung</t>
        </is>
      </c>
      <c r="D110" s="26" t="inlineStr">
        <is>
          <t>wyss@oelpoolag.ch</t>
        </is>
      </c>
      <c r="E110" s="26" t="inlineStr">
        <is>
          <t>+41 69 235 26 15</t>
        </is>
      </c>
      <c r="F110" s="26" t="inlineStr">
        <is>
          <t>St. Gallen</t>
        </is>
      </c>
      <c r="G110" s="26" t="inlineStr">
        <is>
          <t>Tankstellen</t>
        </is>
      </c>
      <c r="H110" s="37" t="n">
        <v>46158</v>
      </c>
    </row>
    <row r="111" ht="20" customHeight="1">
      <c r="A111" s="18" t="inlineStr">
        <is>
          <t>Coop Pronto</t>
        </is>
      </c>
      <c r="B111" s="18" t="inlineStr">
        <is>
          <t>G. Schmid</t>
        </is>
      </c>
      <c r="C111" s="18" t="inlineStr">
        <is>
          <t>Einkauf</t>
        </is>
      </c>
      <c r="D111" s="18" t="inlineStr">
        <is>
          <t>schmid@cooppronto.ch</t>
        </is>
      </c>
      <c r="E111" s="18" t="inlineStr">
        <is>
          <t>+41 70 242 27 18</t>
        </is>
      </c>
      <c r="F111" s="18" t="inlineStr">
        <is>
          <t>Wallis</t>
        </is>
      </c>
      <c r="G111" s="18" t="inlineStr">
        <is>
          <t>Tankstellen</t>
        </is>
      </c>
      <c r="H111" s="36" t="n">
        <v>46153</v>
      </c>
    </row>
    <row r="112" ht="20" customHeight="1">
      <c r="A112" s="26" t="inlineStr">
        <is>
          <t>Miniprix</t>
        </is>
      </c>
      <c r="B112" s="26" t="inlineStr">
        <is>
          <t>H. Moser</t>
        </is>
      </c>
      <c r="C112" s="26" t="inlineStr">
        <is>
          <t>Facility Management</t>
        </is>
      </c>
      <c r="D112" s="26" t="inlineStr">
        <is>
          <t>moser@miniprix.ch</t>
        </is>
      </c>
      <c r="E112" s="26" t="inlineStr">
        <is>
          <t>+41 71 249 28 21</t>
        </is>
      </c>
      <c r="F112" s="26" t="inlineStr">
        <is>
          <t>Waadt</t>
        </is>
      </c>
      <c r="G112" s="26" t="inlineStr">
        <is>
          <t>Tankstellen</t>
        </is>
      </c>
      <c r="H112" s="37" t="n">
        <v>46148</v>
      </c>
    </row>
    <row r="113" ht="20" customHeight="1">
      <c r="A113" s="18" t="inlineStr">
        <is>
          <t>Piquerez SA</t>
        </is>
      </c>
      <c r="B113" s="18" t="inlineStr">
        <is>
          <t>J. Kern</t>
        </is>
      </c>
      <c r="C113" s="18" t="inlineStr">
        <is>
          <t>Fuhrpark</t>
        </is>
      </c>
      <c r="D113" s="18" t="inlineStr">
        <is>
          <t>kern@piquerezsa.ch</t>
        </is>
      </c>
      <c r="E113" s="18" t="inlineStr">
        <is>
          <t>+41 72 256 29 24</t>
        </is>
      </c>
      <c r="F113" s="18" t="inlineStr">
        <is>
          <t>Aargau</t>
        </is>
      </c>
      <c r="G113" s="18" t="inlineStr">
        <is>
          <t>Tankstellen</t>
        </is>
      </c>
      <c r="H113" s="36" t="n">
        <v>46203</v>
      </c>
    </row>
    <row r="114" ht="20" customHeight="1">
      <c r="A114" s="26" t="inlineStr">
        <is>
          <t>AMAG Leasing</t>
        </is>
      </c>
      <c r="B114" s="26" t="inlineStr">
        <is>
          <t>K. Egli</t>
        </is>
      </c>
      <c r="C114" s="26" t="inlineStr">
        <is>
          <t>Nachhaltigkeit</t>
        </is>
      </c>
      <c r="D114" s="26" t="inlineStr">
        <is>
          <t>egli@amagleasing.ch</t>
        </is>
      </c>
      <c r="E114" s="26" t="inlineStr">
        <is>
          <t>+41 73 263 30 27</t>
        </is>
      </c>
      <c r="F114" s="26" t="inlineStr">
        <is>
          <t>Luzern</t>
        </is>
      </c>
      <c r="G114" s="26" t="inlineStr">
        <is>
          <t>Flottenbetrieb</t>
        </is>
      </c>
      <c r="H114" s="37" t="n">
        <v>46198</v>
      </c>
    </row>
    <row r="115" ht="20" customHeight="1">
      <c r="A115" s="18" t="inlineStr">
        <is>
          <t>Emil Frey Flotten</t>
        </is>
      </c>
      <c r="B115" s="18" t="inlineStr">
        <is>
          <t>L. Meier</t>
        </is>
      </c>
      <c r="C115" s="18" t="inlineStr">
        <is>
          <t>Geschäftsführung</t>
        </is>
      </c>
      <c r="D115" s="18" t="inlineStr">
        <is>
          <t>meier@emilfreyflotte.ch</t>
        </is>
      </c>
      <c r="E115" s="18" t="inlineStr">
        <is>
          <t>+41 74 270 31 30</t>
        </is>
      </c>
      <c r="F115" s="18" t="inlineStr">
        <is>
          <t>Bern</t>
        </is>
      </c>
      <c r="G115" s="18" t="inlineStr">
        <is>
          <t>Flottenbetrieb</t>
        </is>
      </c>
      <c r="H115" s="36" t="n">
        <v>46193</v>
      </c>
    </row>
    <row r="116" ht="20" customHeight="1">
      <c r="A116" s="26" t="inlineStr">
        <is>
          <t>Sixt Schweiz</t>
        </is>
      </c>
      <c r="B116" s="26" t="inlineStr">
        <is>
          <t>M. Huber</t>
        </is>
      </c>
      <c r="C116" s="26" t="inlineStr">
        <is>
          <t>Einkauf</t>
        </is>
      </c>
      <c r="D116" s="26" t="inlineStr">
        <is>
          <t>huber@sixtschweiz.ch</t>
        </is>
      </c>
      <c r="E116" s="26" t="inlineStr">
        <is>
          <t>+41 75 277 32 33</t>
        </is>
      </c>
      <c r="F116" s="26" t="inlineStr">
        <is>
          <t>Basel</t>
        </is>
      </c>
      <c r="G116" s="26" t="inlineStr">
        <is>
          <t>Flottenbetrieb</t>
        </is>
      </c>
      <c r="H116" s="37" t="n">
        <v>46188</v>
      </c>
    </row>
    <row r="117" ht="20" customHeight="1">
      <c r="A117" s="18" t="inlineStr">
        <is>
          <t>Europcar Schweiz</t>
        </is>
      </c>
      <c r="B117" s="18" t="inlineStr">
        <is>
          <t>N. Rossi</t>
        </is>
      </c>
      <c r="C117" s="18" t="inlineStr">
        <is>
          <t>Facility Management</t>
        </is>
      </c>
      <c r="D117" s="18" t="inlineStr">
        <is>
          <t>rossi@europcarschwei.ch</t>
        </is>
      </c>
      <c r="E117" s="18" t="inlineStr">
        <is>
          <t>+41 76 284 33 36</t>
        </is>
      </c>
      <c r="F117" s="18" t="inlineStr">
        <is>
          <t>Tessin</t>
        </is>
      </c>
      <c r="G117" s="18" t="inlineStr">
        <is>
          <t>Flottenbetrieb</t>
        </is>
      </c>
      <c r="H117" s="36" t="n">
        <v>46183</v>
      </c>
    </row>
    <row r="118" ht="20" customHeight="1">
      <c r="A118" s="26" t="inlineStr">
        <is>
          <t>Hertz Schweiz</t>
        </is>
      </c>
      <c r="B118" s="26" t="inlineStr">
        <is>
          <t>P. Baumann</t>
        </is>
      </c>
      <c r="C118" s="26" t="inlineStr">
        <is>
          <t>Fuhrpark</t>
        </is>
      </c>
      <c r="D118" s="26" t="inlineStr">
        <is>
          <t>baumann@hertzschweiz.ch</t>
        </is>
      </c>
      <c r="E118" s="26" t="inlineStr">
        <is>
          <t>+41 77 291 34 39</t>
        </is>
      </c>
      <c r="F118" s="26" t="inlineStr">
        <is>
          <t>Zürich</t>
        </is>
      </c>
      <c r="G118" s="26" t="inlineStr">
        <is>
          <t>Flottenbetrieb</t>
        </is>
      </c>
      <c r="H118" s="37" t="n">
        <v>46178</v>
      </c>
    </row>
    <row r="119" ht="20" customHeight="1">
      <c r="A119" s="18" t="inlineStr">
        <is>
          <t>Carvolution</t>
        </is>
      </c>
      <c r="B119" s="18" t="inlineStr">
        <is>
          <t>R. Suter</t>
        </is>
      </c>
      <c r="C119" s="18" t="inlineStr">
        <is>
          <t>Nachhaltigkeit</t>
        </is>
      </c>
      <c r="D119" s="18" t="inlineStr">
        <is>
          <t>suter@carvolution.ch</t>
        </is>
      </c>
      <c r="E119" s="18" t="inlineStr">
        <is>
          <t>+41 78 298 35 42</t>
        </is>
      </c>
      <c r="F119" s="18" t="inlineStr">
        <is>
          <t>Genf</t>
        </is>
      </c>
      <c r="G119" s="18" t="inlineStr">
        <is>
          <t>Flottenbetrieb</t>
        </is>
      </c>
      <c r="H119" s="36" t="n">
        <v>46173</v>
      </c>
    </row>
    <row r="120" ht="20" customHeight="1">
      <c r="A120" s="26" t="inlineStr">
        <is>
          <t>Auto AG Group</t>
        </is>
      </c>
      <c r="B120" s="26" t="inlineStr">
        <is>
          <t>S. Wyss</t>
        </is>
      </c>
      <c r="C120" s="26" t="inlineStr">
        <is>
          <t>Geschäftsführung</t>
        </is>
      </c>
      <c r="D120" s="26" t="inlineStr">
        <is>
          <t>wyss@autoaggroup.ch</t>
        </is>
      </c>
      <c r="E120" s="26" t="inlineStr">
        <is>
          <t>+41 79 305 36 45</t>
        </is>
      </c>
      <c r="F120" s="26" t="inlineStr">
        <is>
          <t>St. Gallen</t>
        </is>
      </c>
      <c r="G120" s="26" t="inlineStr">
        <is>
          <t>Flottenbetrieb</t>
        </is>
      </c>
      <c r="H120" s="37" t="n">
        <v>46168</v>
      </c>
    </row>
    <row r="121" ht="20" customHeight="1">
      <c r="A121" s="18" t="inlineStr">
        <is>
          <t>Post CH Netz</t>
        </is>
      </c>
      <c r="B121" s="18" t="inlineStr">
        <is>
          <t>T. Schmid</t>
        </is>
      </c>
      <c r="C121" s="18" t="inlineStr">
        <is>
          <t>Einkauf</t>
        </is>
      </c>
      <c r="D121" s="18" t="inlineStr">
        <is>
          <t>schmid@postchnetz.ch</t>
        </is>
      </c>
      <c r="E121" s="18" t="inlineStr">
        <is>
          <t>+41 80 312 37 48</t>
        </is>
      </c>
      <c r="F121" s="18" t="inlineStr">
        <is>
          <t>Wallis</t>
        </is>
      </c>
      <c r="G121" s="18" t="inlineStr">
        <is>
          <t>Flottenbetrieb</t>
        </is>
      </c>
      <c r="H121" s="36" t="n">
        <v>46163</v>
      </c>
    </row>
    <row r="122" ht="20" customHeight="1">
      <c r="A122" s="26" t="inlineStr">
        <is>
          <t>Helvetia Fleet</t>
        </is>
      </c>
      <c r="B122" s="26" t="inlineStr">
        <is>
          <t>U. Moser</t>
        </is>
      </c>
      <c r="C122" s="26" t="inlineStr">
        <is>
          <t>Facility Management</t>
        </is>
      </c>
      <c r="D122" s="26" t="inlineStr">
        <is>
          <t>moser@helvetiafleet.ch</t>
        </is>
      </c>
      <c r="E122" s="26" t="inlineStr">
        <is>
          <t>+41 81 319 38 51</t>
        </is>
      </c>
      <c r="F122" s="26" t="inlineStr">
        <is>
          <t>Waadt</t>
        </is>
      </c>
      <c r="G122" s="26" t="inlineStr">
        <is>
          <t>Flottenbetrieb</t>
        </is>
      </c>
      <c r="H122" s="37" t="n">
        <v>46158</v>
      </c>
    </row>
    <row r="123" ht="20" customHeight="1">
      <c r="A123" s="18" t="inlineStr">
        <is>
          <t>Bring! Logistik</t>
        </is>
      </c>
      <c r="B123" s="18" t="inlineStr">
        <is>
          <t>V. Kern</t>
        </is>
      </c>
      <c r="C123" s="18" t="inlineStr">
        <is>
          <t>Fuhrpark</t>
        </is>
      </c>
      <c r="D123" s="18" t="inlineStr">
        <is>
          <t>kern@bringlogistik.ch</t>
        </is>
      </c>
      <c r="E123" s="18" t="inlineStr">
        <is>
          <t>+41 82 326 39 54</t>
        </is>
      </c>
      <c r="F123" s="18" t="inlineStr">
        <is>
          <t>Aargau</t>
        </is>
      </c>
      <c r="G123" s="18" t="inlineStr">
        <is>
          <t>Flottenbetrieb</t>
        </is>
      </c>
      <c r="H123" s="36" t="n">
        <v>46153</v>
      </c>
    </row>
    <row r="124" ht="20" customHeight="1">
      <c r="A124" s="26" t="inlineStr">
        <is>
          <t>Mobility Carsharing</t>
        </is>
      </c>
      <c r="B124" s="26" t="inlineStr">
        <is>
          <t>W. Egli</t>
        </is>
      </c>
      <c r="C124" s="26" t="inlineStr">
        <is>
          <t>Nachhaltigkeit</t>
        </is>
      </c>
      <c r="D124" s="26" t="inlineStr">
        <is>
          <t>egli@mobilitycarsha.ch</t>
        </is>
      </c>
      <c r="E124" s="26" t="inlineStr">
        <is>
          <t>+41 83 333 40 57</t>
        </is>
      </c>
      <c r="F124" s="26" t="inlineStr">
        <is>
          <t>Luzern</t>
        </is>
      </c>
      <c r="G124" s="26" t="inlineStr">
        <is>
          <t>Flottenbetrieb</t>
        </is>
      </c>
      <c r="H124" s="37" t="n">
        <v>46148</v>
      </c>
    </row>
    <row r="125" ht="20" customHeight="1">
      <c r="A125" s="18" t="inlineStr">
        <is>
          <t>Stadtwerke Graf Zürich</t>
        </is>
      </c>
      <c r="B125" s="18" t="inlineStr">
        <is>
          <t>A. Meier</t>
        </is>
      </c>
      <c r="C125" s="18" t="inlineStr">
        <is>
          <t>Geschäftsführung</t>
        </is>
      </c>
      <c r="D125" s="18" t="inlineStr">
        <is>
          <t>meier@stadtwerkegraf.ch</t>
        </is>
      </c>
      <c r="E125" s="18" t="inlineStr">
        <is>
          <t>+41 44 340 41 60</t>
        </is>
      </c>
      <c r="F125" s="18" t="inlineStr">
        <is>
          <t>Bern</t>
        </is>
      </c>
      <c r="G125" s="18" t="inlineStr">
        <is>
          <t>Öffentliche Hand</t>
        </is>
      </c>
      <c r="H125" s="36" t="n">
        <v>46203</v>
      </c>
    </row>
    <row r="126" ht="20" customHeight="1">
      <c r="A126" s="26" t="inlineStr">
        <is>
          <t>Industrie Gerber Genf</t>
        </is>
      </c>
      <c r="B126" s="26" t="inlineStr">
        <is>
          <t>B. Huber</t>
        </is>
      </c>
      <c r="C126" s="26" t="inlineStr">
        <is>
          <t>Einkauf</t>
        </is>
      </c>
      <c r="D126" s="26" t="inlineStr">
        <is>
          <t>huber@industriegerbe.ch</t>
        </is>
      </c>
      <c r="E126" s="26" t="inlineStr">
        <is>
          <t>+41 45 347 42 63</t>
        </is>
      </c>
      <c r="F126" s="26" t="inlineStr">
        <is>
          <t>Basel</t>
        </is>
      </c>
      <c r="G126" s="26" t="inlineStr">
        <is>
          <t>Industrie</t>
        </is>
      </c>
      <c r="H126" s="37" t="n">
        <v>46198</v>
      </c>
    </row>
    <row r="127" ht="20" customHeight="1">
      <c r="A127" s="18" t="inlineStr">
        <is>
          <t>Garage Rossi Aarau</t>
        </is>
      </c>
      <c r="B127" s="18" t="inlineStr">
        <is>
          <t>C. Rossi</t>
        </is>
      </c>
      <c r="C127" s="18" t="inlineStr">
        <is>
          <t>Facility Management</t>
        </is>
      </c>
      <c r="D127" s="18" t="inlineStr">
        <is>
          <t>rossi@garagerossiaar.ch</t>
        </is>
      </c>
      <c r="E127" s="18" t="inlineStr">
        <is>
          <t>+41 46 354 43 66</t>
        </is>
      </c>
      <c r="F127" s="18" t="inlineStr">
        <is>
          <t>Tessin</t>
        </is>
      </c>
      <c r="G127" s="18" t="inlineStr">
        <is>
          <t>Tankstellen</t>
        </is>
      </c>
      <c r="H127" s="36" t="n">
        <v>46193</v>
      </c>
    </row>
    <row r="128" ht="20" customHeight="1">
      <c r="A128" s="26" t="inlineStr">
        <is>
          <t>Fuhrpark Amrein Winterthur</t>
        </is>
      </c>
      <c r="B128" s="26" t="inlineStr">
        <is>
          <t>D. Baumann</t>
        </is>
      </c>
      <c r="C128" s="26" t="inlineStr">
        <is>
          <t>Fuhrpark</t>
        </is>
      </c>
      <c r="D128" s="26" t="inlineStr">
        <is>
          <t>baumann@fuhrparkamrein.ch</t>
        </is>
      </c>
      <c r="E128" s="26" t="inlineStr">
        <is>
          <t>+41 47 361 44 69</t>
        </is>
      </c>
      <c r="F128" s="26" t="inlineStr">
        <is>
          <t>Zürich</t>
        </is>
      </c>
      <c r="G128" s="26" t="inlineStr">
        <is>
          <t>Flottenbetrieb</t>
        </is>
      </c>
      <c r="H128" s="37" t="n">
        <v>46188</v>
      </c>
    </row>
    <row r="129" ht="20" customHeight="1">
      <c r="A129" s="18" t="inlineStr">
        <is>
          <t>Center Keller Lausanne</t>
        </is>
      </c>
      <c r="B129" s="18" t="inlineStr">
        <is>
          <t>E. Suter</t>
        </is>
      </c>
      <c r="C129" s="18" t="inlineStr">
        <is>
          <t>Nachhaltigkeit</t>
        </is>
      </c>
      <c r="D129" s="18" t="inlineStr">
        <is>
          <t>suter@centerkellerla.ch</t>
        </is>
      </c>
      <c r="E129" s="18" t="inlineStr">
        <is>
          <t>+41 48 368 45 72</t>
        </is>
      </c>
      <c r="F129" s="18" t="inlineStr">
        <is>
          <t>Genf</t>
        </is>
      </c>
      <c r="G129" s="18" t="inlineStr">
        <is>
          <t>Detailhandel</t>
        </is>
      </c>
      <c r="H129" s="36" t="n">
        <v>46183</v>
      </c>
    </row>
    <row r="130" ht="20" customHeight="1">
      <c r="A130" s="26" t="inlineStr">
        <is>
          <t>Spedition Wyss Zug</t>
        </is>
      </c>
      <c r="B130" s="26" t="inlineStr">
        <is>
          <t>F. Wyss</t>
        </is>
      </c>
      <c r="C130" s="26" t="inlineStr">
        <is>
          <t>Geschäftsführung</t>
        </is>
      </c>
      <c r="D130" s="26" t="inlineStr">
        <is>
          <t>wyss@speditionwyssz.ch</t>
        </is>
      </c>
      <c r="E130" s="26" t="inlineStr">
        <is>
          <t>+41 49 375 46 75</t>
        </is>
      </c>
      <c r="F130" s="26" t="inlineStr">
        <is>
          <t>St. Gallen</t>
        </is>
      </c>
      <c r="G130" s="26" t="inlineStr">
        <is>
          <t>Logistik</t>
        </is>
      </c>
      <c r="H130" s="37" t="n">
        <v>46178</v>
      </c>
    </row>
    <row r="131" ht="20" customHeight="1">
      <c r="A131" s="18" t="inlineStr">
        <is>
          <t>Areal Hofer Bern</t>
        </is>
      </c>
      <c r="B131" s="18" t="inlineStr">
        <is>
          <t>G. Schmid</t>
        </is>
      </c>
      <c r="C131" s="18" t="inlineStr">
        <is>
          <t>Einkauf</t>
        </is>
      </c>
      <c r="D131" s="18" t="inlineStr">
        <is>
          <t>schmid@arealhoferbern.ch</t>
        </is>
      </c>
      <c r="E131" s="18" t="inlineStr">
        <is>
          <t>+41 50 382 47 78</t>
        </is>
      </c>
      <c r="F131" s="18" t="inlineStr">
        <is>
          <t>Wallis</t>
        </is>
      </c>
      <c r="G131" s="18" t="inlineStr">
        <is>
          <t>Immobilien</t>
        </is>
      </c>
      <c r="H131" s="36" t="n">
        <v>46173</v>
      </c>
    </row>
    <row r="132" ht="20" customHeight="1">
      <c r="A132" s="26" t="inlineStr">
        <is>
          <t>Resort Roth Lugano</t>
        </is>
      </c>
      <c r="B132" s="26" t="inlineStr">
        <is>
          <t>H. Moser</t>
        </is>
      </c>
      <c r="C132" s="26" t="inlineStr">
        <is>
          <t>Facility Management</t>
        </is>
      </c>
      <c r="D132" s="26" t="inlineStr">
        <is>
          <t>moser@resortrothluga.ch</t>
        </is>
      </c>
      <c r="E132" s="26" t="inlineStr">
        <is>
          <t>+41 51 389 48 81</t>
        </is>
      </c>
      <c r="F132" s="26" t="inlineStr">
        <is>
          <t>Waadt</t>
        </is>
      </c>
      <c r="G132" s="26" t="inlineStr">
        <is>
          <t>Hotellerie</t>
        </is>
      </c>
      <c r="H132" s="37" t="n">
        <v>46168</v>
      </c>
    </row>
    <row r="133" ht="20" customHeight="1">
      <c r="A133" s="18" t="inlineStr">
        <is>
          <t>Stadtwerke Kern Baden</t>
        </is>
      </c>
      <c r="B133" s="18" t="inlineStr">
        <is>
          <t>J. Kern</t>
        </is>
      </c>
      <c r="C133" s="18" t="inlineStr">
        <is>
          <t>Fuhrpark</t>
        </is>
      </c>
      <c r="D133" s="18" t="inlineStr">
        <is>
          <t>kern@stadtwerkekern.ch</t>
        </is>
      </c>
      <c r="E133" s="18" t="inlineStr">
        <is>
          <t>+41 52 396 49 84</t>
        </is>
      </c>
      <c r="F133" s="18" t="inlineStr">
        <is>
          <t>Aargau</t>
        </is>
      </c>
      <c r="G133" s="18" t="inlineStr">
        <is>
          <t>Öffentliche Hand</t>
        </is>
      </c>
      <c r="H133" s="36" t="n">
        <v>46163</v>
      </c>
    </row>
    <row r="134" ht="20" customHeight="1">
      <c r="A134" s="26" t="inlineStr">
        <is>
          <t>Industrie Favre Thun</t>
        </is>
      </c>
      <c r="B134" s="26" t="inlineStr">
        <is>
          <t>K. Egli</t>
        </is>
      </c>
      <c r="C134" s="26" t="inlineStr">
        <is>
          <t>Nachhaltigkeit</t>
        </is>
      </c>
      <c r="D134" s="26" t="inlineStr">
        <is>
          <t>egli@industriefavre.ch</t>
        </is>
      </c>
      <c r="E134" s="26" t="inlineStr">
        <is>
          <t>+41 53 403 50 87</t>
        </is>
      </c>
      <c r="F134" s="26" t="inlineStr">
        <is>
          <t>Luzern</t>
        </is>
      </c>
      <c r="G134" s="26" t="inlineStr">
        <is>
          <t>Industrie</t>
        </is>
      </c>
      <c r="H134" s="37" t="n">
        <v>46158</v>
      </c>
    </row>
    <row r="135" ht="20" customHeight="1">
      <c r="A135" s="18" t="inlineStr">
        <is>
          <t>Garage Bianchi Chur</t>
        </is>
      </c>
      <c r="B135" s="18" t="inlineStr">
        <is>
          <t>L. Meier</t>
        </is>
      </c>
      <c r="C135" s="18" t="inlineStr">
        <is>
          <t>Geschäftsführung</t>
        </is>
      </c>
      <c r="D135" s="18" t="inlineStr">
        <is>
          <t>meier@garagebianchic.ch</t>
        </is>
      </c>
      <c r="E135" s="18" t="inlineStr">
        <is>
          <t>+41 54 410 51 90</t>
        </is>
      </c>
      <c r="F135" s="18" t="inlineStr">
        <is>
          <t>Bern</t>
        </is>
      </c>
      <c r="G135" s="18" t="inlineStr">
        <is>
          <t>Tankstellen</t>
        </is>
      </c>
      <c r="H135" s="36" t="n">
        <v>46153</v>
      </c>
    </row>
    <row r="136" ht="20" customHeight="1">
      <c r="A136" s="26" t="inlineStr">
        <is>
          <t>Fuhrpark Huber Olten</t>
        </is>
      </c>
      <c r="B136" s="26" t="inlineStr">
        <is>
          <t>M. Huber</t>
        </is>
      </c>
      <c r="C136" s="26" t="inlineStr">
        <is>
          <t>Einkauf</t>
        </is>
      </c>
      <c r="D136" s="26" t="inlineStr">
        <is>
          <t>huber@fuhrparkhubero.ch</t>
        </is>
      </c>
      <c r="E136" s="26" t="inlineStr">
        <is>
          <t>+41 55 417 52 93</t>
        </is>
      </c>
      <c r="F136" s="26" t="inlineStr">
        <is>
          <t>Basel</t>
        </is>
      </c>
      <c r="G136" s="26" t="inlineStr">
        <is>
          <t>Flottenbetrieb</t>
        </is>
      </c>
      <c r="H136" s="37" t="n">
        <v>46148</v>
      </c>
    </row>
    <row r="137" ht="20" customHeight="1">
      <c r="A137" s="18" t="inlineStr">
        <is>
          <t>Center Fischer Basel</t>
        </is>
      </c>
      <c r="B137" s="18" t="inlineStr">
        <is>
          <t>N. Rossi</t>
        </is>
      </c>
      <c r="C137" s="18" t="inlineStr">
        <is>
          <t>Facility Management</t>
        </is>
      </c>
      <c r="D137" s="18" t="inlineStr">
        <is>
          <t>rossi@centerfischerb.ch</t>
        </is>
      </c>
      <c r="E137" s="18" t="inlineStr">
        <is>
          <t>+41 56 424 53 96</t>
        </is>
      </c>
      <c r="F137" s="18" t="inlineStr">
        <is>
          <t>Tessin</t>
        </is>
      </c>
      <c r="G137" s="18" t="inlineStr">
        <is>
          <t>Detailhandel</t>
        </is>
      </c>
      <c r="H137" s="36" t="n">
        <v>46203</v>
      </c>
    </row>
    <row r="138" ht="20" customHeight="1">
      <c r="A138" s="26" t="inlineStr">
        <is>
          <t>Spedition Vogel Sion</t>
        </is>
      </c>
      <c r="B138" s="26" t="inlineStr">
        <is>
          <t>P. Baumann</t>
        </is>
      </c>
      <c r="C138" s="26" t="inlineStr">
        <is>
          <t>Fuhrpark</t>
        </is>
      </c>
      <c r="D138" s="26" t="inlineStr">
        <is>
          <t>baumann@speditionvogel.ch</t>
        </is>
      </c>
      <c r="E138" s="26" t="inlineStr">
        <is>
          <t>+41 57 431 54 99</t>
        </is>
      </c>
      <c r="F138" s="26" t="inlineStr">
        <is>
          <t>Zürich</t>
        </is>
      </c>
      <c r="G138" s="26" t="inlineStr">
        <is>
          <t>Logistik</t>
        </is>
      </c>
      <c r="H138" s="37" t="n">
        <v>46198</v>
      </c>
    </row>
    <row r="139" ht="20" customHeight="1">
      <c r="A139" s="18" t="inlineStr">
        <is>
          <t>Areal Suter Biel</t>
        </is>
      </c>
      <c r="B139" s="18" t="inlineStr">
        <is>
          <t>R. Suter</t>
        </is>
      </c>
      <c r="C139" s="18" t="inlineStr">
        <is>
          <t>Nachhaltigkeit</t>
        </is>
      </c>
      <c r="D139" s="18" t="inlineStr">
        <is>
          <t>suter@arealsuterbiel.ch</t>
        </is>
      </c>
      <c r="E139" s="18" t="inlineStr">
        <is>
          <t>+41 58 438 55 02</t>
        </is>
      </c>
      <c r="F139" s="18" t="inlineStr">
        <is>
          <t>Genf</t>
        </is>
      </c>
      <c r="G139" s="18" t="inlineStr">
        <is>
          <t>Immobilien</t>
        </is>
      </c>
      <c r="H139" s="36" t="n">
        <v>46193</v>
      </c>
    </row>
    <row r="140" ht="20" customHeight="1">
      <c r="A140" s="26" t="inlineStr">
        <is>
          <t>Resort Marti Luzern</t>
        </is>
      </c>
      <c r="B140" s="26" t="inlineStr">
        <is>
          <t>S. Wyss</t>
        </is>
      </c>
      <c r="C140" s="26" t="inlineStr">
        <is>
          <t>Geschäftsführung</t>
        </is>
      </c>
      <c r="D140" s="26" t="inlineStr">
        <is>
          <t>wyss@resortmartiluz.ch</t>
        </is>
      </c>
      <c r="E140" s="26" t="inlineStr">
        <is>
          <t>+41 59 445 56 05</t>
        </is>
      </c>
      <c r="F140" s="26" t="inlineStr">
        <is>
          <t>St. Gallen</t>
        </is>
      </c>
      <c r="G140" s="26" t="inlineStr">
        <is>
          <t>Hotellerie</t>
        </is>
      </c>
      <c r="H140" s="37" t="n">
        <v>46188</v>
      </c>
    </row>
    <row r="141" ht="20" customHeight="1">
      <c r="A141" s="18" t="inlineStr">
        <is>
          <t>Stadtwerke Steiner Fribourg</t>
        </is>
      </c>
      <c r="B141" s="18" t="inlineStr">
        <is>
          <t>T. Schmid</t>
        </is>
      </c>
      <c r="C141" s="18" t="inlineStr">
        <is>
          <t>Einkauf</t>
        </is>
      </c>
      <c r="D141" s="18" t="inlineStr">
        <is>
          <t>schmid@stadtwerkestei.ch</t>
        </is>
      </c>
      <c r="E141" s="18" t="inlineStr">
        <is>
          <t>+41 60 452 57 08</t>
        </is>
      </c>
      <c r="F141" s="18" t="inlineStr">
        <is>
          <t>Wallis</t>
        </is>
      </c>
      <c r="G141" s="18" t="inlineStr">
        <is>
          <t>Öffentliche Hand</t>
        </is>
      </c>
      <c r="H141" s="36" t="n">
        <v>46183</v>
      </c>
    </row>
    <row r="142" ht="20" customHeight="1">
      <c r="A142" s="26" t="inlineStr">
        <is>
          <t>Industrie Moser Solothurn</t>
        </is>
      </c>
      <c r="B142" s="26" t="inlineStr">
        <is>
          <t>U. Moser</t>
        </is>
      </c>
      <c r="C142" s="26" t="inlineStr">
        <is>
          <t>Facility Management</t>
        </is>
      </c>
      <c r="D142" s="26" t="inlineStr">
        <is>
          <t>moser@industriemoser.ch</t>
        </is>
      </c>
      <c r="E142" s="26" t="inlineStr">
        <is>
          <t>+41 61 459 58 11</t>
        </is>
      </c>
      <c r="F142" s="26" t="inlineStr">
        <is>
          <t>Waadt</t>
        </is>
      </c>
      <c r="G142" s="26" t="inlineStr">
        <is>
          <t>Industrie</t>
        </is>
      </c>
      <c r="H142" s="37" t="n">
        <v>46178</v>
      </c>
    </row>
    <row r="143" ht="20" customHeight="1">
      <c r="A143" s="18" t="inlineStr">
        <is>
          <t>Garage Weber St. Gallen</t>
        </is>
      </c>
      <c r="B143" s="18" t="inlineStr">
        <is>
          <t>V. Kern</t>
        </is>
      </c>
      <c r="C143" s="18" t="inlineStr">
        <is>
          <t>Fuhrpark</t>
        </is>
      </c>
      <c r="D143" s="18" t="inlineStr">
        <is>
          <t>kern@garageweberstg.ch</t>
        </is>
      </c>
      <c r="E143" s="18" t="inlineStr">
        <is>
          <t>+41 62 466 59 14</t>
        </is>
      </c>
      <c r="F143" s="18" t="inlineStr">
        <is>
          <t>Aargau</t>
        </is>
      </c>
      <c r="G143" s="18" t="inlineStr">
        <is>
          <t>Tankstellen</t>
        </is>
      </c>
      <c r="H143" s="36" t="n">
        <v>46173</v>
      </c>
    </row>
    <row r="144" ht="20" customHeight="1">
      <c r="A144" s="26" t="inlineStr">
        <is>
          <t>Fuhrpark Berger Neuchâtel</t>
        </is>
      </c>
      <c r="B144" s="26" t="inlineStr">
        <is>
          <t>W. Egli</t>
        </is>
      </c>
      <c r="C144" s="26" t="inlineStr">
        <is>
          <t>Nachhaltigkeit</t>
        </is>
      </c>
      <c r="D144" s="26" t="inlineStr">
        <is>
          <t>egli@fuhrparkberger.ch</t>
        </is>
      </c>
      <c r="E144" s="26" t="inlineStr">
        <is>
          <t>+41 63 473 60 17</t>
        </is>
      </c>
      <c r="F144" s="26" t="inlineStr">
        <is>
          <t>Luzern</t>
        </is>
      </c>
      <c r="G144" s="26" t="inlineStr">
        <is>
          <t>Flottenbetrieb</t>
        </is>
      </c>
      <c r="H144" s="37" t="n">
        <v>46168</v>
      </c>
    </row>
    <row r="145" ht="20" customHeight="1">
      <c r="A145" s="18" t="inlineStr">
        <is>
          <t>Center Meier Zürich</t>
        </is>
      </c>
      <c r="B145" s="18" t="inlineStr">
        <is>
          <t>A. Meier</t>
        </is>
      </c>
      <c r="C145" s="18" t="inlineStr">
        <is>
          <t>Geschäftsführung</t>
        </is>
      </c>
      <c r="D145" s="18" t="inlineStr">
        <is>
          <t>meier@centermeierzür.ch</t>
        </is>
      </c>
      <c r="E145" s="18" t="inlineStr">
        <is>
          <t>+41 64 480 61 20</t>
        </is>
      </c>
      <c r="F145" s="18" t="inlineStr">
        <is>
          <t>Bern</t>
        </is>
      </c>
      <c r="G145" s="18" t="inlineStr">
        <is>
          <t>Detailhandel</t>
        </is>
      </c>
      <c r="H145" s="36" t="n">
        <v>46163</v>
      </c>
    </row>
    <row r="146" ht="20" customHeight="1">
      <c r="A146" s="26" t="inlineStr">
        <is>
          <t>Spedition Zünd Genf</t>
        </is>
      </c>
      <c r="B146" s="26" t="inlineStr">
        <is>
          <t>B. Huber</t>
        </is>
      </c>
      <c r="C146" s="26" t="inlineStr">
        <is>
          <t>Einkauf</t>
        </is>
      </c>
      <c r="D146" s="26" t="inlineStr">
        <is>
          <t>huber@speditionzündg.ch</t>
        </is>
      </c>
      <c r="E146" s="26" t="inlineStr">
        <is>
          <t>+41 65 487 62 23</t>
        </is>
      </c>
      <c r="F146" s="26" t="inlineStr">
        <is>
          <t>Basel</t>
        </is>
      </c>
      <c r="G146" s="26" t="inlineStr">
        <is>
          <t>Logistik</t>
        </is>
      </c>
      <c r="H146" s="37" t="n">
        <v>46158</v>
      </c>
    </row>
    <row r="147" ht="20" customHeight="1">
      <c r="A147" s="18" t="inlineStr">
        <is>
          <t>Areal Bühler Aarau</t>
        </is>
      </c>
      <c r="B147" s="18" t="inlineStr">
        <is>
          <t>C. Rossi</t>
        </is>
      </c>
      <c r="C147" s="18" t="inlineStr">
        <is>
          <t>Facility Management</t>
        </is>
      </c>
      <c r="D147" s="18" t="inlineStr">
        <is>
          <t>rossi@arealbühleraar.ch</t>
        </is>
      </c>
      <c r="E147" s="18" t="inlineStr">
        <is>
          <t>+41 66 494 63 26</t>
        </is>
      </c>
      <c r="F147" s="18" t="inlineStr">
        <is>
          <t>Tessin</t>
        </is>
      </c>
      <c r="G147" s="18" t="inlineStr">
        <is>
          <t>Immobilien</t>
        </is>
      </c>
      <c r="H147" s="36" t="n">
        <v>46153</v>
      </c>
    </row>
    <row r="148" ht="20" customHeight="1">
      <c r="A148" s="26" t="inlineStr">
        <is>
          <t>Resort Baumann Winterthur</t>
        </is>
      </c>
      <c r="B148" s="26" t="inlineStr">
        <is>
          <t>D. Baumann</t>
        </is>
      </c>
      <c r="C148" s="26" t="inlineStr">
        <is>
          <t>Fuhrpark</t>
        </is>
      </c>
      <c r="D148" s="26" t="inlineStr">
        <is>
          <t>baumann@resortbaumannw.ch</t>
        </is>
      </c>
      <c r="E148" s="26" t="inlineStr">
        <is>
          <t>+41 67 501 64 29</t>
        </is>
      </c>
      <c r="F148" s="26" t="inlineStr">
        <is>
          <t>Zürich</t>
        </is>
      </c>
      <c r="G148" s="26" t="inlineStr">
        <is>
          <t>Hotellerie</t>
        </is>
      </c>
      <c r="H148" s="37" t="n">
        <v>46148</v>
      </c>
    </row>
    <row r="149" ht="20" customHeight="1">
      <c r="A149" s="18" t="inlineStr">
        <is>
          <t>Stadtwerke Widmer Lausanne</t>
        </is>
      </c>
      <c r="B149" s="18" t="inlineStr">
        <is>
          <t>E. Suter</t>
        </is>
      </c>
      <c r="C149" s="18" t="inlineStr">
        <is>
          <t>Nachhaltigkeit</t>
        </is>
      </c>
      <c r="D149" s="18" t="inlineStr">
        <is>
          <t>suter@stadtwerkewidm.ch</t>
        </is>
      </c>
      <c r="E149" s="18" t="inlineStr">
        <is>
          <t>+41 68 508 65 32</t>
        </is>
      </c>
      <c r="F149" s="18" t="inlineStr">
        <is>
          <t>Genf</t>
        </is>
      </c>
      <c r="G149" s="18" t="inlineStr">
        <is>
          <t>Öffentliche Hand</t>
        </is>
      </c>
      <c r="H149" s="36" t="n">
        <v>46203</v>
      </c>
    </row>
    <row r="150" ht="20" customHeight="1">
      <c r="A150" s="26" t="inlineStr">
        <is>
          <t>Industrie Frei Zug</t>
        </is>
      </c>
      <c r="B150" s="26" t="inlineStr">
        <is>
          <t>F. Wyss</t>
        </is>
      </c>
      <c r="C150" s="26" t="inlineStr">
        <is>
          <t>Geschäftsführung</t>
        </is>
      </c>
      <c r="D150" s="26" t="inlineStr">
        <is>
          <t>wyss@industriefreiz.ch</t>
        </is>
      </c>
      <c r="E150" s="26" t="inlineStr">
        <is>
          <t>+41 69 515 66 35</t>
        </is>
      </c>
      <c r="F150" s="26" t="inlineStr">
        <is>
          <t>St. Gallen</t>
        </is>
      </c>
      <c r="G150" s="26" t="inlineStr">
        <is>
          <t>Industrie</t>
        </is>
      </c>
      <c r="H150" s="37" t="n">
        <v>46198</v>
      </c>
    </row>
    <row r="151" ht="20" customHeight="1">
      <c r="A151" s="18" t="inlineStr">
        <is>
          <t>Garage Schmid Bern</t>
        </is>
      </c>
      <c r="B151" s="18" t="inlineStr">
        <is>
          <t>G. Schmid</t>
        </is>
      </c>
      <c r="C151" s="18" t="inlineStr">
        <is>
          <t>Einkauf</t>
        </is>
      </c>
      <c r="D151" s="18" t="inlineStr">
        <is>
          <t>schmid@garageschmidbe.ch</t>
        </is>
      </c>
      <c r="E151" s="18" t="inlineStr">
        <is>
          <t>+41 70 522 67 38</t>
        </is>
      </c>
      <c r="F151" s="18" t="inlineStr">
        <is>
          <t>Wallis</t>
        </is>
      </c>
      <c r="G151" s="18" t="inlineStr">
        <is>
          <t>Tankstellen</t>
        </is>
      </c>
      <c r="H151" s="36" t="n">
        <v>46193</v>
      </c>
    </row>
    <row r="152" ht="20" customHeight="1">
      <c r="A152" s="26" t="inlineStr">
        <is>
          <t>Fuhrpark Müller Lugano</t>
        </is>
      </c>
      <c r="B152" s="26" t="inlineStr">
        <is>
          <t>H. Moser</t>
        </is>
      </c>
      <c r="C152" s="26" t="inlineStr">
        <is>
          <t>Facility Management</t>
        </is>
      </c>
      <c r="D152" s="26" t="inlineStr">
        <is>
          <t>moser@fuhrparkmüller.ch</t>
        </is>
      </c>
      <c r="E152" s="26" t="inlineStr">
        <is>
          <t>+41 71 529 68 41</t>
        </is>
      </c>
      <c r="F152" s="26" t="inlineStr">
        <is>
          <t>Waadt</t>
        </is>
      </c>
      <c r="G152" s="26" t="inlineStr">
        <is>
          <t>Flottenbetrieb</t>
        </is>
      </c>
      <c r="H152" s="37" t="n">
        <v>46188</v>
      </c>
    </row>
    <row r="153" ht="20" customHeight="1">
      <c r="A153" s="18" t="inlineStr">
        <is>
          <t>Center Brunner Baden</t>
        </is>
      </c>
      <c r="B153" s="18" t="inlineStr">
        <is>
          <t>J. Kern</t>
        </is>
      </c>
      <c r="C153" s="18" t="inlineStr">
        <is>
          <t>Fuhrpark</t>
        </is>
      </c>
      <c r="D153" s="18" t="inlineStr">
        <is>
          <t>kern@centerbrunnerb.ch</t>
        </is>
      </c>
      <c r="E153" s="18" t="inlineStr">
        <is>
          <t>+41 72 536 69 44</t>
        </is>
      </c>
      <c r="F153" s="18" t="inlineStr">
        <is>
          <t>Aargau</t>
        </is>
      </c>
      <c r="G153" s="18" t="inlineStr">
        <is>
          <t>Detailhandel</t>
        </is>
      </c>
      <c r="H153" s="36" t="n">
        <v>46183</v>
      </c>
    </row>
    <row r="154" ht="20" customHeight="1">
      <c r="A154" s="26" t="inlineStr">
        <is>
          <t>Spedition Egli Thun</t>
        </is>
      </c>
      <c r="B154" s="26" t="inlineStr">
        <is>
          <t>K. Egli</t>
        </is>
      </c>
      <c r="C154" s="26" t="inlineStr">
        <is>
          <t>Nachhaltigkeit</t>
        </is>
      </c>
      <c r="D154" s="26" t="inlineStr">
        <is>
          <t>egli@speditioneglit.ch</t>
        </is>
      </c>
      <c r="E154" s="26" t="inlineStr">
        <is>
          <t>+41 73 543 70 47</t>
        </is>
      </c>
      <c r="F154" s="26" t="inlineStr">
        <is>
          <t>Luzern</t>
        </is>
      </c>
      <c r="G154" s="26" t="inlineStr">
        <is>
          <t>Logistik</t>
        </is>
      </c>
      <c r="H154" s="37" t="n">
        <v>46178</v>
      </c>
    </row>
    <row r="155" ht="20" customHeight="1">
      <c r="A155" s="18" t="inlineStr">
        <is>
          <t>Areal Graf Chur</t>
        </is>
      </c>
      <c r="B155" s="18" t="inlineStr">
        <is>
          <t>L. Meier</t>
        </is>
      </c>
      <c r="C155" s="18" t="inlineStr">
        <is>
          <t>Geschäftsführung</t>
        </is>
      </c>
      <c r="D155" s="18" t="inlineStr">
        <is>
          <t>meier@arealgrafchur.ch</t>
        </is>
      </c>
      <c r="E155" s="18" t="inlineStr">
        <is>
          <t>+41 74 550 71 50</t>
        </is>
      </c>
      <c r="F155" s="18" t="inlineStr">
        <is>
          <t>Bern</t>
        </is>
      </c>
      <c r="G155" s="18" t="inlineStr">
        <is>
          <t>Immobilien</t>
        </is>
      </c>
      <c r="H155" s="36" t="n">
        <v>46173</v>
      </c>
    </row>
    <row r="156" ht="20" customHeight="1">
      <c r="A156" s="26" t="inlineStr">
        <is>
          <t>Resort Gerber Olten</t>
        </is>
      </c>
      <c r="B156" s="26" t="inlineStr">
        <is>
          <t>M. Huber</t>
        </is>
      </c>
      <c r="C156" s="26" t="inlineStr">
        <is>
          <t>Einkauf</t>
        </is>
      </c>
      <c r="D156" s="26" t="inlineStr">
        <is>
          <t>huber@resortgerberol.ch</t>
        </is>
      </c>
      <c r="E156" s="26" t="inlineStr">
        <is>
          <t>+41 75 557 72 53</t>
        </is>
      </c>
      <c r="F156" s="26" t="inlineStr">
        <is>
          <t>Basel</t>
        </is>
      </c>
      <c r="G156" s="26" t="inlineStr">
        <is>
          <t>Hotellerie</t>
        </is>
      </c>
      <c r="H156" s="37" t="n">
        <v>46168</v>
      </c>
    </row>
    <row r="157" ht="20" customHeight="1">
      <c r="A157" s="18" t="inlineStr">
        <is>
          <t>Stadtwerke Rossi Basel</t>
        </is>
      </c>
      <c r="B157" s="18" t="inlineStr">
        <is>
          <t>N. Rossi</t>
        </is>
      </c>
      <c r="C157" s="18" t="inlineStr">
        <is>
          <t>Facility Management</t>
        </is>
      </c>
      <c r="D157" s="18" t="inlineStr">
        <is>
          <t>rossi@stadtwerkeross.ch</t>
        </is>
      </c>
      <c r="E157" s="18" t="inlineStr">
        <is>
          <t>+41 76 564 73 56</t>
        </is>
      </c>
      <c r="F157" s="18" t="inlineStr">
        <is>
          <t>Tessin</t>
        </is>
      </c>
      <c r="G157" s="18" t="inlineStr">
        <is>
          <t>Öffentliche Hand</t>
        </is>
      </c>
      <c r="H157" s="36" t="n">
        <v>46163</v>
      </c>
    </row>
    <row r="158" ht="20" customHeight="1">
      <c r="A158" s="26" t="inlineStr">
        <is>
          <t>Industrie Amrein Sion</t>
        </is>
      </c>
      <c r="B158" s="26" t="inlineStr">
        <is>
          <t>P. Baumann</t>
        </is>
      </c>
      <c r="C158" s="26" t="inlineStr">
        <is>
          <t>Fuhrpark</t>
        </is>
      </c>
      <c r="D158" s="26" t="inlineStr">
        <is>
          <t>baumann@industrieamrei.ch</t>
        </is>
      </c>
      <c r="E158" s="26" t="inlineStr">
        <is>
          <t>+41 77 571 74 59</t>
        </is>
      </c>
      <c r="F158" s="26" t="inlineStr">
        <is>
          <t>Zürich</t>
        </is>
      </c>
      <c r="G158" s="26" t="inlineStr">
        <is>
          <t>Industrie</t>
        </is>
      </c>
      <c r="H158" s="37" t="n">
        <v>46158</v>
      </c>
    </row>
    <row r="159" ht="20" customHeight="1">
      <c r="A159" s="18" t="inlineStr">
        <is>
          <t>Garage Keller Biel</t>
        </is>
      </c>
      <c r="B159" s="18" t="inlineStr">
        <is>
          <t>R. Suter</t>
        </is>
      </c>
      <c r="C159" s="18" t="inlineStr">
        <is>
          <t>Nachhaltigkeit</t>
        </is>
      </c>
      <c r="D159" s="18" t="inlineStr">
        <is>
          <t>suter@garagekellerbi.ch</t>
        </is>
      </c>
      <c r="E159" s="18" t="inlineStr">
        <is>
          <t>+41 78 578 75 62</t>
        </is>
      </c>
      <c r="F159" s="18" t="inlineStr">
        <is>
          <t>Genf</t>
        </is>
      </c>
      <c r="G159" s="18" t="inlineStr">
        <is>
          <t>Tankstellen</t>
        </is>
      </c>
      <c r="H159" s="36" t="n">
        <v>46153</v>
      </c>
    </row>
    <row r="160" ht="20" customHeight="1">
      <c r="A160" s="26" t="inlineStr">
        <is>
          <t>Fuhrpark Wyss Luzern</t>
        </is>
      </c>
      <c r="B160" s="26" t="inlineStr">
        <is>
          <t>S. Wyss</t>
        </is>
      </c>
      <c r="C160" s="26" t="inlineStr">
        <is>
          <t>Geschäftsführung</t>
        </is>
      </c>
      <c r="D160" s="26" t="inlineStr">
        <is>
          <t>wyss@fuhrparkwysslu.ch</t>
        </is>
      </c>
      <c r="E160" s="26" t="inlineStr">
        <is>
          <t>+41 79 585 76 65</t>
        </is>
      </c>
      <c r="F160" s="26" t="inlineStr">
        <is>
          <t>St. Gallen</t>
        </is>
      </c>
      <c r="G160" s="26" t="inlineStr">
        <is>
          <t>Flottenbetrieb</t>
        </is>
      </c>
      <c r="H160" s="37" t="n">
        <v>46148</v>
      </c>
    </row>
    <row r="161" ht="20" customHeight="1">
      <c r="A161" s="18" t="inlineStr">
        <is>
          <t>Center Hofer Fribourg</t>
        </is>
      </c>
      <c r="B161" s="18" t="inlineStr">
        <is>
          <t>T. Schmid</t>
        </is>
      </c>
      <c r="C161" s="18" t="inlineStr">
        <is>
          <t>Einkauf</t>
        </is>
      </c>
      <c r="D161" s="18" t="inlineStr">
        <is>
          <t>schmid@centerhoferfri.ch</t>
        </is>
      </c>
      <c r="E161" s="18" t="inlineStr">
        <is>
          <t>+41 80 592 77 68</t>
        </is>
      </c>
      <c r="F161" s="18" t="inlineStr">
        <is>
          <t>Wallis</t>
        </is>
      </c>
      <c r="G161" s="18" t="inlineStr">
        <is>
          <t>Detailhandel</t>
        </is>
      </c>
      <c r="H161" s="36" t="n">
        <v>46203</v>
      </c>
    </row>
    <row r="162" ht="20" customHeight="1">
      <c r="A162" s="26" t="inlineStr">
        <is>
          <t>Spedition Roth Solothurn</t>
        </is>
      </c>
      <c r="B162" s="26" t="inlineStr">
        <is>
          <t>U. Moser</t>
        </is>
      </c>
      <c r="C162" s="26" t="inlineStr">
        <is>
          <t>Facility Management</t>
        </is>
      </c>
      <c r="D162" s="26" t="inlineStr">
        <is>
          <t>moser@speditionroths.ch</t>
        </is>
      </c>
      <c r="E162" s="26" t="inlineStr">
        <is>
          <t>+41 81 599 78 71</t>
        </is>
      </c>
      <c r="F162" s="26" t="inlineStr">
        <is>
          <t>Waadt</t>
        </is>
      </c>
      <c r="G162" s="26" t="inlineStr">
        <is>
          <t>Logistik</t>
        </is>
      </c>
      <c r="H162" s="37" t="n">
        <v>46198</v>
      </c>
    </row>
    <row r="163" ht="20" customHeight="1">
      <c r="A163" s="18" t="inlineStr">
        <is>
          <t>Areal Kern St. Gallen</t>
        </is>
      </c>
      <c r="B163" s="18" t="inlineStr">
        <is>
          <t>V. Kern</t>
        </is>
      </c>
      <c r="C163" s="18" t="inlineStr">
        <is>
          <t>Fuhrpark</t>
        </is>
      </c>
      <c r="D163" s="18" t="inlineStr">
        <is>
          <t>kern@arealkernstgal.ch</t>
        </is>
      </c>
      <c r="E163" s="18" t="inlineStr">
        <is>
          <t>+41 82 606 79 74</t>
        </is>
      </c>
      <c r="F163" s="18" t="inlineStr">
        <is>
          <t>Aargau</t>
        </is>
      </c>
      <c r="G163" s="18" t="inlineStr">
        <is>
          <t>Immobilien</t>
        </is>
      </c>
      <c r="H163" s="36" t="n">
        <v>46193</v>
      </c>
    </row>
    <row r="164" ht="20" customHeight="1">
      <c r="A164" s="26" t="inlineStr">
        <is>
          <t>Resort Favre Neuchâtel</t>
        </is>
      </c>
      <c r="B164" s="26" t="inlineStr">
        <is>
          <t>W. Egli</t>
        </is>
      </c>
      <c r="C164" s="26" t="inlineStr">
        <is>
          <t>Nachhaltigkeit</t>
        </is>
      </c>
      <c r="D164" s="26" t="inlineStr">
        <is>
          <t>egli@resortfavreneu.ch</t>
        </is>
      </c>
      <c r="E164" s="26" t="inlineStr">
        <is>
          <t>+41 83 613 80 77</t>
        </is>
      </c>
      <c r="F164" s="26" t="inlineStr">
        <is>
          <t>Luzern</t>
        </is>
      </c>
      <c r="G164" s="26" t="inlineStr">
        <is>
          <t>Hotellerie</t>
        </is>
      </c>
      <c r="H164" s="37" t="n">
        <v>46188</v>
      </c>
    </row>
    <row r="165" ht="20" customHeight="1">
      <c r="A165" s="18" t="inlineStr">
        <is>
          <t>Stadtwerke Bianchi Zürich</t>
        </is>
      </c>
      <c r="B165" s="18" t="inlineStr">
        <is>
          <t>A. Meier</t>
        </is>
      </c>
      <c r="C165" s="18" t="inlineStr">
        <is>
          <t>Geschäftsführung</t>
        </is>
      </c>
      <c r="D165" s="18" t="inlineStr">
        <is>
          <t>meier@stadtwerkebian.ch</t>
        </is>
      </c>
      <c r="E165" s="18" t="inlineStr">
        <is>
          <t>+41 44 620 81 80</t>
        </is>
      </c>
      <c r="F165" s="18" t="inlineStr">
        <is>
          <t>Bern</t>
        </is>
      </c>
      <c r="G165" s="18" t="inlineStr">
        <is>
          <t>Öffentliche Hand</t>
        </is>
      </c>
      <c r="H165" s="36" t="n">
        <v>46183</v>
      </c>
    </row>
    <row r="166" ht="20" customHeight="1">
      <c r="A166" s="26" t="inlineStr">
        <is>
          <t>Industrie Huber Genf</t>
        </is>
      </c>
      <c r="B166" s="26" t="inlineStr">
        <is>
          <t>B. Huber</t>
        </is>
      </c>
      <c r="C166" s="26" t="inlineStr">
        <is>
          <t>Einkauf</t>
        </is>
      </c>
      <c r="D166" s="26" t="inlineStr">
        <is>
          <t>huber@industriehuber.ch</t>
        </is>
      </c>
      <c r="E166" s="26" t="inlineStr">
        <is>
          <t>+41 45 627 82 83</t>
        </is>
      </c>
      <c r="F166" s="26" t="inlineStr">
        <is>
          <t>Basel</t>
        </is>
      </c>
      <c r="G166" s="26" t="inlineStr">
        <is>
          <t>Industrie</t>
        </is>
      </c>
      <c r="H166" s="37" t="n">
        <v>46178</v>
      </c>
    </row>
    <row r="167" ht="20" customHeight="1">
      <c r="A167" s="18" t="inlineStr">
        <is>
          <t>Garage Fischer Aarau</t>
        </is>
      </c>
      <c r="B167" s="18" t="inlineStr">
        <is>
          <t>C. Rossi</t>
        </is>
      </c>
      <c r="C167" s="18" t="inlineStr">
        <is>
          <t>Facility Management</t>
        </is>
      </c>
      <c r="D167" s="18" t="inlineStr">
        <is>
          <t>rossi@garagefischera.ch</t>
        </is>
      </c>
      <c r="E167" s="18" t="inlineStr">
        <is>
          <t>+41 46 634 83 86</t>
        </is>
      </c>
      <c r="F167" s="18" t="inlineStr">
        <is>
          <t>Tessin</t>
        </is>
      </c>
      <c r="G167" s="18" t="inlineStr">
        <is>
          <t>Tankstellen</t>
        </is>
      </c>
      <c r="H167" s="36" t="n">
        <v>46173</v>
      </c>
    </row>
    <row r="168" ht="20" customHeight="1">
      <c r="A168" s="26" t="inlineStr">
        <is>
          <t>Fuhrpark Vogel Winterthur</t>
        </is>
      </c>
      <c r="B168" s="26" t="inlineStr">
        <is>
          <t>D. Baumann</t>
        </is>
      </c>
      <c r="C168" s="26" t="inlineStr">
        <is>
          <t>Fuhrpark</t>
        </is>
      </c>
      <c r="D168" s="26" t="inlineStr">
        <is>
          <t>baumann@fuhrparkvogelw.ch</t>
        </is>
      </c>
      <c r="E168" s="26" t="inlineStr">
        <is>
          <t>+41 47 641 84 89</t>
        </is>
      </c>
      <c r="F168" s="26" t="inlineStr">
        <is>
          <t>Zürich</t>
        </is>
      </c>
      <c r="G168" s="26" t="inlineStr">
        <is>
          <t>Flottenbetrieb</t>
        </is>
      </c>
      <c r="H168" s="37" t="n">
        <v>46168</v>
      </c>
    </row>
    <row r="169" ht="20" customHeight="1">
      <c r="A169" s="18" t="inlineStr">
        <is>
          <t>Center Suter Lausanne</t>
        </is>
      </c>
      <c r="B169" s="18" t="inlineStr">
        <is>
          <t>E. Suter</t>
        </is>
      </c>
      <c r="C169" s="18" t="inlineStr">
        <is>
          <t>Nachhaltigkeit</t>
        </is>
      </c>
      <c r="D169" s="18" t="inlineStr">
        <is>
          <t>suter@centersuterlau.ch</t>
        </is>
      </c>
      <c r="E169" s="18" t="inlineStr">
        <is>
          <t>+41 48 648 85 92</t>
        </is>
      </c>
      <c r="F169" s="18" t="inlineStr">
        <is>
          <t>Genf</t>
        </is>
      </c>
      <c r="G169" s="18" t="inlineStr">
        <is>
          <t>Detailhandel</t>
        </is>
      </c>
      <c r="H169" s="36" t="n">
        <v>46163</v>
      </c>
    </row>
    <row r="170" ht="20" customHeight="1">
      <c r="A170" s="26" t="inlineStr">
        <is>
          <t>Spedition Marti Zug</t>
        </is>
      </c>
      <c r="B170" s="26" t="inlineStr">
        <is>
          <t>F. Wyss</t>
        </is>
      </c>
      <c r="C170" s="26" t="inlineStr">
        <is>
          <t>Geschäftsführung</t>
        </is>
      </c>
      <c r="D170" s="26" t="inlineStr">
        <is>
          <t>wyss@speditionmarti.ch</t>
        </is>
      </c>
      <c r="E170" s="26" t="inlineStr">
        <is>
          <t>+41 49 655 86 95</t>
        </is>
      </c>
      <c r="F170" s="26" t="inlineStr">
        <is>
          <t>St. Gallen</t>
        </is>
      </c>
      <c r="G170" s="26" t="inlineStr">
        <is>
          <t>Logistik</t>
        </is>
      </c>
      <c r="H170" s="37" t="n">
        <v>46158</v>
      </c>
    </row>
    <row r="171" ht="20" customHeight="1">
      <c r="A171" s="18" t="inlineStr">
        <is>
          <t>Areal Steiner Bern</t>
        </is>
      </c>
      <c r="B171" s="18" t="inlineStr">
        <is>
          <t>G. Schmid</t>
        </is>
      </c>
      <c r="C171" s="18" t="inlineStr">
        <is>
          <t>Einkauf</t>
        </is>
      </c>
      <c r="D171" s="18" t="inlineStr">
        <is>
          <t>schmid@arealsteinerbe.ch</t>
        </is>
      </c>
      <c r="E171" s="18" t="inlineStr">
        <is>
          <t>+41 50 662 87 98</t>
        </is>
      </c>
      <c r="F171" s="18" t="inlineStr">
        <is>
          <t>Wallis</t>
        </is>
      </c>
      <c r="G171" s="18" t="inlineStr">
        <is>
          <t>Immobilien</t>
        </is>
      </c>
      <c r="H171" s="36" t="n">
        <v>46153</v>
      </c>
    </row>
    <row r="172" ht="20" customHeight="1">
      <c r="A172" s="26" t="inlineStr">
        <is>
          <t>Resort Moser Lugano</t>
        </is>
      </c>
      <c r="B172" s="26" t="inlineStr">
        <is>
          <t>H. Moser</t>
        </is>
      </c>
      <c r="C172" s="26" t="inlineStr">
        <is>
          <t>Facility Management</t>
        </is>
      </c>
      <c r="D172" s="26" t="inlineStr">
        <is>
          <t>moser@resortmoserlug.ch</t>
        </is>
      </c>
      <c r="E172" s="26" t="inlineStr">
        <is>
          <t>+41 51 669 88 01</t>
        </is>
      </c>
      <c r="F172" s="26" t="inlineStr">
        <is>
          <t>Waadt</t>
        </is>
      </c>
      <c r="G172" s="26" t="inlineStr">
        <is>
          <t>Hotellerie</t>
        </is>
      </c>
      <c r="H172" s="37" t="n">
        <v>46148</v>
      </c>
    </row>
    <row r="173" ht="20" customHeight="1">
      <c r="A173" s="18" t="inlineStr">
        <is>
          <t>Stadtwerke Weber Baden</t>
        </is>
      </c>
      <c r="B173" s="18" t="inlineStr">
        <is>
          <t>J. Kern</t>
        </is>
      </c>
      <c r="C173" s="18" t="inlineStr">
        <is>
          <t>Fuhrpark</t>
        </is>
      </c>
      <c r="D173" s="18" t="inlineStr">
        <is>
          <t>kern@stadtwerkewebe.ch</t>
        </is>
      </c>
      <c r="E173" s="18" t="inlineStr">
        <is>
          <t>+41 52 676 89 04</t>
        </is>
      </c>
      <c r="F173" s="18" t="inlineStr">
        <is>
          <t>Aargau</t>
        </is>
      </c>
      <c r="G173" s="18" t="inlineStr">
        <is>
          <t>Öffentliche Hand</t>
        </is>
      </c>
      <c r="H173" s="36" t="n">
        <v>46203</v>
      </c>
    </row>
    <row r="174" ht="20" customHeight="1">
      <c r="A174" s="26" t="inlineStr">
        <is>
          <t>Industrie Berger Thun</t>
        </is>
      </c>
      <c r="B174" s="26" t="inlineStr">
        <is>
          <t>K. Egli</t>
        </is>
      </c>
      <c r="C174" s="26" t="inlineStr">
        <is>
          <t>Nachhaltigkeit</t>
        </is>
      </c>
      <c r="D174" s="26" t="inlineStr">
        <is>
          <t>egli@industrieberge.ch</t>
        </is>
      </c>
      <c r="E174" s="26" t="inlineStr">
        <is>
          <t>+41 53 683 90 07</t>
        </is>
      </c>
      <c r="F174" s="26" t="inlineStr">
        <is>
          <t>Luzern</t>
        </is>
      </c>
      <c r="G174" s="26" t="inlineStr">
        <is>
          <t>Industrie</t>
        </is>
      </c>
      <c r="H174" s="37" t="n">
        <v>46198</v>
      </c>
    </row>
    <row r="175" ht="20" customHeight="1">
      <c r="A175" s="18" t="inlineStr">
        <is>
          <t>Garage Meier Chur</t>
        </is>
      </c>
      <c r="B175" s="18" t="inlineStr">
        <is>
          <t>L. Meier</t>
        </is>
      </c>
      <c r="C175" s="18" t="inlineStr">
        <is>
          <t>Geschäftsführung</t>
        </is>
      </c>
      <c r="D175" s="18" t="inlineStr">
        <is>
          <t>meier@garagemeierchu.ch</t>
        </is>
      </c>
      <c r="E175" s="18" t="inlineStr">
        <is>
          <t>+41 54 690 91 10</t>
        </is>
      </c>
      <c r="F175" s="18" t="inlineStr">
        <is>
          <t>Bern</t>
        </is>
      </c>
      <c r="G175" s="18" t="inlineStr">
        <is>
          <t>Tankstellen</t>
        </is>
      </c>
      <c r="H175" s="36" t="n">
        <v>46193</v>
      </c>
    </row>
    <row r="176" ht="20" customHeight="1">
      <c r="A176" s="26" t="inlineStr">
        <is>
          <t>Fuhrpark Zünd Olten</t>
        </is>
      </c>
      <c r="B176" s="26" t="inlineStr">
        <is>
          <t>M. Huber</t>
        </is>
      </c>
      <c r="C176" s="26" t="inlineStr">
        <is>
          <t>Einkauf</t>
        </is>
      </c>
      <c r="D176" s="26" t="inlineStr">
        <is>
          <t>huber@fuhrparkzündol.ch</t>
        </is>
      </c>
      <c r="E176" s="26" t="inlineStr">
        <is>
          <t>+41 55 697 92 13</t>
        </is>
      </c>
      <c r="F176" s="26" t="inlineStr">
        <is>
          <t>Basel</t>
        </is>
      </c>
      <c r="G176" s="26" t="inlineStr">
        <is>
          <t>Flottenbetrieb</t>
        </is>
      </c>
      <c r="H176" s="37" t="n">
        <v>46188</v>
      </c>
    </row>
    <row r="177" ht="20" customHeight="1">
      <c r="A177" s="18" t="inlineStr">
        <is>
          <t>Center Bühler Basel</t>
        </is>
      </c>
      <c r="B177" s="18" t="inlineStr">
        <is>
          <t>N. Rossi</t>
        </is>
      </c>
      <c r="C177" s="18" t="inlineStr">
        <is>
          <t>Facility Management</t>
        </is>
      </c>
      <c r="D177" s="18" t="inlineStr">
        <is>
          <t>rossi@centerbühlerba.ch</t>
        </is>
      </c>
      <c r="E177" s="18" t="inlineStr">
        <is>
          <t>+41 56 704 93 16</t>
        </is>
      </c>
      <c r="F177" s="18" t="inlineStr">
        <is>
          <t>Tessin</t>
        </is>
      </c>
      <c r="G177" s="18" t="inlineStr">
        <is>
          <t>Detailhandel</t>
        </is>
      </c>
      <c r="H177" s="36" t="n">
        <v>46183</v>
      </c>
    </row>
    <row r="178" ht="20" customHeight="1">
      <c r="A178" s="26" t="inlineStr">
        <is>
          <t>Spedition Baumann Sion</t>
        </is>
      </c>
      <c r="B178" s="26" t="inlineStr">
        <is>
          <t>P. Baumann</t>
        </is>
      </c>
      <c r="C178" s="26" t="inlineStr">
        <is>
          <t>Fuhrpark</t>
        </is>
      </c>
      <c r="D178" s="26" t="inlineStr">
        <is>
          <t>baumann@speditionbauma.ch</t>
        </is>
      </c>
      <c r="E178" s="26" t="inlineStr">
        <is>
          <t>+41 57 711 94 19</t>
        </is>
      </c>
      <c r="F178" s="26" t="inlineStr">
        <is>
          <t>Zürich</t>
        </is>
      </c>
      <c r="G178" s="26" t="inlineStr">
        <is>
          <t>Logistik</t>
        </is>
      </c>
      <c r="H178" s="37" t="n">
        <v>46178</v>
      </c>
    </row>
    <row r="179" ht="20" customHeight="1">
      <c r="A179" s="18" t="inlineStr">
        <is>
          <t>Areal Widmer Biel</t>
        </is>
      </c>
      <c r="B179" s="18" t="inlineStr">
        <is>
          <t>R. Suter</t>
        </is>
      </c>
      <c r="C179" s="18" t="inlineStr">
        <is>
          <t>Nachhaltigkeit</t>
        </is>
      </c>
      <c r="D179" s="18" t="inlineStr">
        <is>
          <t>suter@arealwidmerbie.ch</t>
        </is>
      </c>
      <c r="E179" s="18" t="inlineStr">
        <is>
          <t>+41 58 718 95 22</t>
        </is>
      </c>
      <c r="F179" s="18" t="inlineStr">
        <is>
          <t>Genf</t>
        </is>
      </c>
      <c r="G179" s="18" t="inlineStr">
        <is>
          <t>Immobilien</t>
        </is>
      </c>
      <c r="H179" s="36" t="n">
        <v>46173</v>
      </c>
    </row>
    <row r="180" ht="20" customHeight="1">
      <c r="A180" s="26" t="inlineStr">
        <is>
          <t>Resort Frei Luzern</t>
        </is>
      </c>
      <c r="B180" s="26" t="inlineStr">
        <is>
          <t>S. Wyss</t>
        </is>
      </c>
      <c r="C180" s="26" t="inlineStr">
        <is>
          <t>Geschäftsführung</t>
        </is>
      </c>
      <c r="D180" s="26" t="inlineStr">
        <is>
          <t>wyss@resortfreiluze.ch</t>
        </is>
      </c>
      <c r="E180" s="26" t="inlineStr">
        <is>
          <t>+41 59 725 96 25</t>
        </is>
      </c>
      <c r="F180" s="26" t="inlineStr">
        <is>
          <t>St. Gallen</t>
        </is>
      </c>
      <c r="G180" s="26" t="inlineStr">
        <is>
          <t>Hotellerie</t>
        </is>
      </c>
      <c r="H180" s="37" t="n">
        <v>46168</v>
      </c>
    </row>
    <row r="181" ht="20" customHeight="1">
      <c r="A181" s="18" t="inlineStr">
        <is>
          <t>Stadtwerke Schmid Fribourg</t>
        </is>
      </c>
      <c r="B181" s="18" t="inlineStr">
        <is>
          <t>T. Schmid</t>
        </is>
      </c>
      <c r="C181" s="18" t="inlineStr">
        <is>
          <t>Einkauf</t>
        </is>
      </c>
      <c r="D181" s="18" t="inlineStr">
        <is>
          <t>schmid@stadtwerkeschm.ch</t>
        </is>
      </c>
      <c r="E181" s="18" t="inlineStr">
        <is>
          <t>+41 60 732 97 28</t>
        </is>
      </c>
      <c r="F181" s="18" t="inlineStr">
        <is>
          <t>Wallis</t>
        </is>
      </c>
      <c r="G181" s="18" t="inlineStr">
        <is>
          <t>Öffentliche Hand</t>
        </is>
      </c>
      <c r="H181" s="36" t="n">
        <v>46163</v>
      </c>
    </row>
    <row r="182" ht="20" customHeight="1">
      <c r="A182" s="26" t="inlineStr">
        <is>
          <t>Industrie Müller Solothurn</t>
        </is>
      </c>
      <c r="B182" s="26" t="inlineStr">
        <is>
          <t>U. Moser</t>
        </is>
      </c>
      <c r="C182" s="26" t="inlineStr">
        <is>
          <t>Facility Management</t>
        </is>
      </c>
      <c r="D182" s="26" t="inlineStr">
        <is>
          <t>moser@industriemülle.ch</t>
        </is>
      </c>
      <c r="E182" s="26" t="inlineStr">
        <is>
          <t>+41 61 739 98 31</t>
        </is>
      </c>
      <c r="F182" s="26" t="inlineStr">
        <is>
          <t>Waadt</t>
        </is>
      </c>
      <c r="G182" s="26" t="inlineStr">
        <is>
          <t>Industrie</t>
        </is>
      </c>
      <c r="H182" s="37" t="n">
        <v>46158</v>
      </c>
    </row>
    <row r="183" ht="20" customHeight="1">
      <c r="A183" s="18" t="inlineStr">
        <is>
          <t>Garage Brunner St. Gallen</t>
        </is>
      </c>
      <c r="B183" s="18" t="inlineStr">
        <is>
          <t>V. Kern</t>
        </is>
      </c>
      <c r="C183" s="18" t="inlineStr">
        <is>
          <t>Fuhrpark</t>
        </is>
      </c>
      <c r="D183" s="18" t="inlineStr">
        <is>
          <t>kern@garagebrunners.ch</t>
        </is>
      </c>
      <c r="E183" s="18" t="inlineStr">
        <is>
          <t>+41 62 746 10 34</t>
        </is>
      </c>
      <c r="F183" s="18" t="inlineStr">
        <is>
          <t>Aargau</t>
        </is>
      </c>
      <c r="G183" s="18" t="inlineStr">
        <is>
          <t>Tankstellen</t>
        </is>
      </c>
      <c r="H183" s="36" t="n">
        <v>46153</v>
      </c>
    </row>
    <row r="184" ht="20" customHeight="1">
      <c r="A184" s="26" t="inlineStr">
        <is>
          <t>Fuhrpark Egli Neuchâtel</t>
        </is>
      </c>
      <c r="B184" s="26" t="inlineStr">
        <is>
          <t>W. Egli</t>
        </is>
      </c>
      <c r="C184" s="26" t="inlineStr">
        <is>
          <t>Nachhaltigkeit</t>
        </is>
      </c>
      <c r="D184" s="26" t="inlineStr">
        <is>
          <t>egli@fuhrparkegline.ch</t>
        </is>
      </c>
      <c r="E184" s="26" t="inlineStr">
        <is>
          <t>+41 63 753 11 37</t>
        </is>
      </c>
      <c r="F184" s="26" t="inlineStr">
        <is>
          <t>Luzern</t>
        </is>
      </c>
      <c r="G184" s="26" t="inlineStr">
        <is>
          <t>Flottenbetrieb</t>
        </is>
      </c>
      <c r="H184" s="37" t="n">
        <v>46148</v>
      </c>
    </row>
  </sheetData>
  <mergeCells count="2">
    <mergeCell ref="A2:H2"/>
    <mergeCell ref="A1:H1"/>
  </mergeCells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H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 ht="30" customHeight="1">
      <c r="B1" s="16" t="inlineStr">
        <is>
          <t>MONATS-FORECAST  ·  Soll / Ist</t>
        </is>
      </c>
    </row>
    <row r="2">
      <c r="B2" s="17" t="inlineStr">
        <is>
          <t>Gewichteter Forecast &amp; gewonnener Umsatz je Monat. Ziel (Soll) editierbar.</t>
        </is>
      </c>
    </row>
    <row r="4" ht="24" customHeight="1">
      <c r="B4" s="13" t="inlineStr">
        <is>
          <t>Monat</t>
        </is>
      </c>
      <c r="C4" s="13" t="inlineStr">
        <is>
          <t>Monatsanfang</t>
        </is>
      </c>
      <c r="D4" s="13" t="inlineStr">
        <is>
          <t>Monatsende</t>
        </is>
      </c>
      <c r="E4" s="13" t="inlineStr">
        <is>
          <t>Gew. Forecast</t>
        </is>
      </c>
      <c r="F4" s="13" t="inlineStr">
        <is>
          <t>Gewonnen (Ist)</t>
        </is>
      </c>
      <c r="G4" s="13" t="inlineStr">
        <is>
          <t>Ziel (Soll)</t>
        </is>
      </c>
      <c r="H4" s="13" t="inlineStr">
        <is>
          <t>Zielerreichung</t>
        </is>
      </c>
    </row>
    <row r="5" ht="20" customHeight="1">
      <c r="B5" s="38" t="inlineStr">
        <is>
          <t>Jul 2026</t>
        </is>
      </c>
      <c r="C5" s="39" t="n">
        <v>46204</v>
      </c>
      <c r="D5" s="39" t="n">
        <v>46234</v>
      </c>
      <c r="E5" s="15">
        <f>SUMIFS(Pipeline!K5:K184,Pipeline!M5:M184,"&gt;="&amp;C5,Pipeline!M5:M184,"&lt;="&amp;D5,Pipeline!G5:G184,"&lt;&gt;Gewonnen",Pipeline!G5:G184,"&lt;&gt;Verloren")</f>
        <v/>
      </c>
      <c r="F5" s="15">
        <f>SUMIFS(Pipeline!I5:I184,Pipeline!M5:M184,"&gt;="&amp;C5,Pipeline!M5:M184,"&lt;="&amp;D5,Pipeline!G5:G184,"Gewonnen")</f>
        <v/>
      </c>
      <c r="G5" s="40" t="n">
        <v>700000</v>
      </c>
      <c r="H5" s="41">
        <f>IFERROR((E5+F5)/G5,0)</f>
        <v/>
      </c>
    </row>
    <row r="6" ht="20" customHeight="1">
      <c r="B6" s="38" t="inlineStr">
        <is>
          <t>Aug 2026</t>
        </is>
      </c>
      <c r="C6" s="39" t="n">
        <v>46235</v>
      </c>
      <c r="D6" s="39" t="n">
        <v>46265</v>
      </c>
      <c r="E6" s="15">
        <f>SUMIFS(Pipeline!K5:K184,Pipeline!M5:M184,"&gt;="&amp;C6,Pipeline!M5:M184,"&lt;="&amp;D6,Pipeline!G5:G184,"&lt;&gt;Gewonnen",Pipeline!G5:G184,"&lt;&gt;Verloren")</f>
        <v/>
      </c>
      <c r="F6" s="15">
        <f>SUMIFS(Pipeline!I5:I184,Pipeline!M5:M184,"&gt;="&amp;C6,Pipeline!M5:M184,"&lt;="&amp;D6,Pipeline!G5:G184,"Gewonnen")</f>
        <v/>
      </c>
      <c r="G6" s="40" t="n">
        <v>750000</v>
      </c>
      <c r="H6" s="41">
        <f>IFERROR((E6+F6)/G6,0)</f>
        <v/>
      </c>
    </row>
    <row r="7" ht="20" customHeight="1">
      <c r="B7" s="38" t="inlineStr">
        <is>
          <t>Sep 2026</t>
        </is>
      </c>
      <c r="C7" s="39" t="n">
        <v>46266</v>
      </c>
      <c r="D7" s="39" t="n">
        <v>46295</v>
      </c>
      <c r="E7" s="15">
        <f>SUMIFS(Pipeline!K5:K184,Pipeline!M5:M184,"&gt;="&amp;C7,Pipeline!M5:M184,"&lt;="&amp;D7,Pipeline!G5:G184,"&lt;&gt;Gewonnen",Pipeline!G5:G184,"&lt;&gt;Verloren")</f>
        <v/>
      </c>
      <c r="F7" s="15">
        <f>SUMIFS(Pipeline!I5:I184,Pipeline!M5:M184,"&gt;="&amp;C7,Pipeline!M5:M184,"&lt;="&amp;D7,Pipeline!G5:G184,"Gewonnen")</f>
        <v/>
      </c>
      <c r="G7" s="40" t="n">
        <v>800000</v>
      </c>
      <c r="H7" s="41">
        <f>IFERROR((E7+F7)/G7,0)</f>
        <v/>
      </c>
    </row>
    <row r="8" ht="20" customHeight="1">
      <c r="B8" s="38" t="inlineStr">
        <is>
          <t>Oct 2026</t>
        </is>
      </c>
      <c r="C8" s="39" t="n">
        <v>46296</v>
      </c>
      <c r="D8" s="39" t="n">
        <v>46326</v>
      </c>
      <c r="E8" s="15">
        <f>SUMIFS(Pipeline!K5:K184,Pipeline!M5:M184,"&gt;="&amp;C8,Pipeline!M5:M184,"&lt;="&amp;D8,Pipeline!G5:G184,"&lt;&gt;Gewonnen",Pipeline!G5:G184,"&lt;&gt;Verloren")</f>
        <v/>
      </c>
      <c r="F8" s="15">
        <f>SUMIFS(Pipeline!I5:I184,Pipeline!M5:M184,"&gt;="&amp;C8,Pipeline!M5:M184,"&lt;="&amp;D8,Pipeline!G5:G184,"Gewonnen")</f>
        <v/>
      </c>
      <c r="G8" s="40" t="n">
        <v>850000</v>
      </c>
      <c r="H8" s="41">
        <f>IFERROR((E8+F8)/G8,0)</f>
        <v/>
      </c>
    </row>
    <row r="9" ht="20" customHeight="1">
      <c r="B9" s="38" t="inlineStr">
        <is>
          <t>Nov 2026</t>
        </is>
      </c>
      <c r="C9" s="39" t="n">
        <v>46327</v>
      </c>
      <c r="D9" s="39" t="n">
        <v>46356</v>
      </c>
      <c r="E9" s="15">
        <f>SUMIFS(Pipeline!K5:K184,Pipeline!M5:M184,"&gt;="&amp;C9,Pipeline!M5:M184,"&lt;="&amp;D9,Pipeline!G5:G184,"&lt;&gt;Gewonnen",Pipeline!G5:G184,"&lt;&gt;Verloren")</f>
        <v/>
      </c>
      <c r="F9" s="15">
        <f>SUMIFS(Pipeline!I5:I184,Pipeline!M5:M184,"&gt;="&amp;C9,Pipeline!M5:M184,"&lt;="&amp;D9,Pipeline!G5:G184,"Gewonnen")</f>
        <v/>
      </c>
      <c r="G9" s="40" t="n">
        <v>900000</v>
      </c>
      <c r="H9" s="41">
        <f>IFERROR((E9+F9)/G9,0)</f>
        <v/>
      </c>
    </row>
    <row r="10" ht="20" customHeight="1">
      <c r="B10" s="38" t="inlineStr">
        <is>
          <t>Dec 2026</t>
        </is>
      </c>
      <c r="C10" s="39" t="n">
        <v>46357</v>
      </c>
      <c r="D10" s="39" t="n">
        <v>46387</v>
      </c>
      <c r="E10" s="15">
        <f>SUMIFS(Pipeline!K5:K184,Pipeline!M5:M184,"&gt;="&amp;C10,Pipeline!M5:M184,"&lt;="&amp;D10,Pipeline!G5:G184,"&lt;&gt;Gewonnen",Pipeline!G5:G184,"&lt;&gt;Verloren")</f>
        <v/>
      </c>
      <c r="F10" s="15">
        <f>SUMIFS(Pipeline!I5:I184,Pipeline!M5:M184,"&gt;="&amp;C10,Pipeline!M5:M184,"&lt;="&amp;D10,Pipeline!G5:G184,"Gewonnen")</f>
        <v/>
      </c>
      <c r="G10" s="40" t="n">
        <v>950000</v>
      </c>
      <c r="H10" s="41">
        <f>IFERROR((E10+F10)/G10,0)</f>
        <v/>
      </c>
    </row>
  </sheetData>
  <mergeCells count="2">
    <mergeCell ref="B1:H1"/>
    <mergeCell ref="B2:H2"/>
  </mergeCells>
  <conditionalFormatting sqref="H5:H10">
    <cfRule type="colorScale" priority="1">
      <colorScale>
        <cfvo type="num" val="0"/>
        <cfvo type="num" val="0.8"/>
        <cfvo type="num" val="1.2"/>
        <color rgb="00F8C9C4"/>
        <color rgb="00FCE9B8"/>
        <color rgb="00C6E7D0"/>
      </colorScale>
    </cfRule>
  </conditionalFormatting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H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6" customWidth="1" min="4" max="4"/>
    <col width="16" customWidth="1" min="5" max="5"/>
    <col width="15" customWidth="1" min="6" max="6"/>
  </cols>
  <sheetData>
    <row r="1" ht="30" customHeight="1">
      <c r="B1" s="16" t="inlineStr">
        <is>
          <t>ZIELE  ·  Zielerreichung je Verantwortlicher</t>
        </is>
      </c>
    </row>
    <row r="2">
      <c r="B2" s="17" t="inlineStr">
        <is>
          <t>Jahresziel editierbar. Ist = gewonnener Umsatz, Pipeline = gewichteter Wert.</t>
        </is>
      </c>
    </row>
    <row r="4" ht="24" customHeight="1">
      <c r="B4" s="13" t="inlineStr">
        <is>
          <t>Verantwortlich</t>
        </is>
      </c>
      <c r="C4" s="13" t="inlineStr">
        <is>
          <t>Jahresziel</t>
        </is>
      </c>
      <c r="D4" s="13" t="inlineStr">
        <is>
          <t>Gewonnen (Ist)</t>
        </is>
      </c>
      <c r="E4" s="13" t="inlineStr">
        <is>
          <t>Gew. Pipeline</t>
        </is>
      </c>
      <c r="F4" s="13" t="inlineStr">
        <is>
          <t>Zielerreichung</t>
        </is>
      </c>
    </row>
    <row r="5" ht="20" customHeight="1">
      <c r="B5" s="38" t="inlineStr">
        <is>
          <t>Burak Ücöz</t>
        </is>
      </c>
      <c r="C5" s="40" t="n">
        <v>2500000</v>
      </c>
      <c r="D5" s="15">
        <f>SUMIFS(Pipeline!I5:I184,Pipeline!O5:O184,B5,Pipeline!G5:G184,"Gewonnen")</f>
        <v/>
      </c>
      <c r="E5" s="15">
        <f>SUMIFS(Pipeline!K5:K184,Pipeline!O5:O184,B5)</f>
        <v/>
      </c>
      <c r="F5" s="41">
        <f>IFERROR((D5+E5)/C5,0)</f>
        <v/>
      </c>
    </row>
    <row r="6" ht="20" customHeight="1">
      <c r="B6" s="38" t="inlineStr">
        <is>
          <t>S. Meier</t>
        </is>
      </c>
      <c r="C6" s="40" t="n">
        <v>1500000</v>
      </c>
      <c r="D6" s="15">
        <f>SUMIFS(Pipeline!I5:I184,Pipeline!O5:O184,B6,Pipeline!G5:G184,"Gewonnen")</f>
        <v/>
      </c>
      <c r="E6" s="15">
        <f>SUMIFS(Pipeline!K5:K184,Pipeline!O5:O184,B6)</f>
        <v/>
      </c>
      <c r="F6" s="41">
        <f>IFERROR((D6+E6)/C6,0)</f>
        <v/>
      </c>
    </row>
    <row r="7" ht="20" customHeight="1">
      <c r="B7" s="38" t="inlineStr">
        <is>
          <t>L. Rossi</t>
        </is>
      </c>
      <c r="C7" s="40" t="n">
        <v>1200000</v>
      </c>
      <c r="D7" s="15">
        <f>SUMIFS(Pipeline!I5:I184,Pipeline!O5:O184,B7,Pipeline!G5:G184,"Gewonnen")</f>
        <v/>
      </c>
      <c r="E7" s="15">
        <f>SUMIFS(Pipeline!K5:K184,Pipeline!O5:O184,B7)</f>
        <v/>
      </c>
      <c r="F7" s="41">
        <f>IFERROR((D7+E7)/C7,0)</f>
        <v/>
      </c>
    </row>
    <row r="8" ht="20" customHeight="1">
      <c r="B8" s="38" t="inlineStr">
        <is>
          <t>N. Keller</t>
        </is>
      </c>
      <c r="C8" s="40" t="n">
        <v>1200000</v>
      </c>
      <c r="D8" s="15">
        <f>SUMIFS(Pipeline!I5:I184,Pipeline!O5:O184,B8,Pipeline!G5:G184,"Gewonnen")</f>
        <v/>
      </c>
      <c r="E8" s="15">
        <f>SUMIFS(Pipeline!K5:K184,Pipeline!O5:O184,B8)</f>
        <v/>
      </c>
      <c r="F8" s="41">
        <f>IFERROR((D8+E8)/C8,0)</f>
        <v/>
      </c>
    </row>
    <row r="9" ht="20" customHeight="1">
      <c r="B9" s="38" t="inlineStr">
        <is>
          <t>A. Favre</t>
        </is>
      </c>
      <c r="C9" s="40" t="n">
        <v>1000000</v>
      </c>
      <c r="D9" s="15">
        <f>SUMIFS(Pipeline!I5:I184,Pipeline!O5:O184,B9,Pipeline!G5:G184,"Gewonnen")</f>
        <v/>
      </c>
      <c r="E9" s="15">
        <f>SUMIFS(Pipeline!K5:K184,Pipeline!O5:O184,B9)</f>
        <v/>
      </c>
      <c r="F9" s="41">
        <f>IFERROR((D9+E9)/C9,0)</f>
        <v/>
      </c>
    </row>
  </sheetData>
  <mergeCells count="2">
    <mergeCell ref="B1:H1"/>
    <mergeCell ref="B2:H2"/>
  </mergeCells>
  <conditionalFormatting sqref="F5:F9">
    <cfRule type="dataBar" priority="1">
      <dataBar>
        <cfvo type="num" val="0"/>
        <cfvo type="num" val="1.2"/>
        <color rgb="001E9E5A"/>
      </dataBar>
    </cfRule>
  </conditionalFormatting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2" customWidth="1" min="4" max="4"/>
    <col width="20" customWidth="1" min="5" max="5"/>
    <col width="14" customWidth="1" min="6" max="6"/>
  </cols>
  <sheetData>
    <row r="2">
      <c r="B2" s="42" t="inlineStr">
        <is>
          <t>LIVE-DATEN  ·  E-Mobilität &amp; Markt (per F9)</t>
        </is>
      </c>
    </row>
    <row r="3">
      <c r="B3" s="43" t="inlineStr">
        <is>
          <t>Öffentliche Ladeinfrastruktur Schweiz live via OpenChargeMap. Aktualisieren = Taste F9 (Neu berechnen). Windows-Desktop-Excel.</t>
        </is>
      </c>
    </row>
    <row r="5" ht="30" customHeight="1">
      <c r="B5" s="44" t="inlineStr">
        <is>
          <t>🔄  F9 DRÜCKEN = LIVE AKTUALISIEREN</t>
        </is>
      </c>
      <c r="C5" s="45" t="n"/>
      <c r="D5" s="45" t="n"/>
      <c r="E5" s="46" t="inlineStr">
        <is>
          <t>→ WEBSERVICE holt den Feed; FILTERXML liest die Werte.</t>
        </is>
      </c>
    </row>
    <row r="6">
      <c r="B6" s="47" t="inlineStr">
        <is>
          <t>OpenChargeMap API-Key (optional, gratis):</t>
        </is>
      </c>
      <c r="C6" s="48" t="inlineStr"/>
      <c r="D6" s="49" t="n"/>
      <c r="E6" s="49" t="n"/>
      <c r="F6" s="50" t="n"/>
    </row>
    <row r="7" ht="14" customHeight="1">
      <c r="B7" s="47" t="inlineStr">
        <is>
          <t>Roh-Feed (WEBSERVICE):</t>
        </is>
      </c>
      <c r="C7" s="51">
        <f>IFERROR(_xlfn.WEBSERVICE("https://api.openchargemap.io/v3/poi/?output=xml&amp;countrycode=CH&amp;maxresults=25&amp;compact=true&amp;verbose=false&amp;key="&amp;$C$6),"")</f>
        <v/>
      </c>
    </row>
    <row r="9">
      <c r="B9" s="12" t="inlineStr">
        <is>
          <t>Öffentliche Ladestandorte Schweiz (live)</t>
        </is>
      </c>
    </row>
    <row r="10" ht="24" customHeight="1">
      <c r="B10" s="13" t="inlineStr">
        <is>
          <t>Standort</t>
        </is>
      </c>
      <c r="C10" s="13" t="inlineStr">
        <is>
          <t>Ort</t>
        </is>
      </c>
      <c r="D10" s="13" t="inlineStr">
        <is>
          <t>Kanton</t>
        </is>
      </c>
      <c r="E10" s="13" t="inlineStr">
        <is>
          <t>Betreiber</t>
        </is>
      </c>
      <c r="F10" s="13" t="inlineStr">
        <is>
          <t>Ladepkt.</t>
        </is>
      </c>
    </row>
    <row r="11" ht="19" customHeight="1">
      <c r="B11" s="52">
        <f>IFERROR(_xlfn.FILTERXML($C$7,"(//*[local-name()='POI'])[1]/*[local-name()='AddressInfo']/*[local-name()='Title']"),"—")</f>
        <v/>
      </c>
      <c r="C11" s="18">
        <f>IFERROR(_xlfn.FILTERXML($C$7,"(//*[local-name()='POI'])[1]/*[local-name()='AddressInfo']/*[local-name()='Town']"),"—")</f>
        <v/>
      </c>
      <c r="D11" s="18">
        <f>IFERROR(_xlfn.FILTERXML($C$7,"(//*[local-name()='POI'])[1]/*[local-name()='AddressInfo']/*[local-name()='StateOrProvince']"),"—")</f>
        <v/>
      </c>
      <c r="E11" s="18">
        <f>IFERROR(_xlfn.FILTERXML($C$7,"(//*[local-name()='POI'])[1]/*[local-name()='OperatorInfo']/*[local-name()='Title']"),"—")</f>
        <v/>
      </c>
      <c r="F11" s="24">
        <f>IFERROR(_xlfn.FILTERXML($C$7,"(//*[local-name()='POI'])[1]/*[local-name()='NumberOfPoints']"),"—")</f>
        <v/>
      </c>
    </row>
    <row r="12" ht="19" customHeight="1">
      <c r="B12" s="53">
        <f>IFERROR(_xlfn.FILTERXML($C$7,"(//*[local-name()='POI'])[2]/*[local-name()='AddressInfo']/*[local-name()='Title']"),"—")</f>
        <v/>
      </c>
      <c r="C12" s="26">
        <f>IFERROR(_xlfn.FILTERXML($C$7,"(//*[local-name()='POI'])[2]/*[local-name()='AddressInfo']/*[local-name()='Town']"),"—")</f>
        <v/>
      </c>
      <c r="D12" s="26">
        <f>IFERROR(_xlfn.FILTERXML($C$7,"(//*[local-name()='POI'])[2]/*[local-name()='AddressInfo']/*[local-name()='StateOrProvince']"),"—")</f>
        <v/>
      </c>
      <c r="E12" s="26">
        <f>IFERROR(_xlfn.FILTERXML($C$7,"(//*[local-name()='POI'])[2]/*[local-name()='OperatorInfo']/*[local-name()='Title']"),"—")</f>
        <v/>
      </c>
      <c r="F12" s="32">
        <f>IFERROR(_xlfn.FILTERXML($C$7,"(//*[local-name()='POI'])[2]/*[local-name()='NumberOfPoints']"),"—")</f>
        <v/>
      </c>
    </row>
    <row r="13" ht="19" customHeight="1">
      <c r="B13" s="52">
        <f>IFERROR(_xlfn.FILTERXML($C$7,"(//*[local-name()='POI'])[3]/*[local-name()='AddressInfo']/*[local-name()='Title']"),"—")</f>
        <v/>
      </c>
      <c r="C13" s="18">
        <f>IFERROR(_xlfn.FILTERXML($C$7,"(//*[local-name()='POI'])[3]/*[local-name()='AddressInfo']/*[local-name()='Town']"),"—")</f>
        <v/>
      </c>
      <c r="D13" s="18">
        <f>IFERROR(_xlfn.FILTERXML($C$7,"(//*[local-name()='POI'])[3]/*[local-name()='AddressInfo']/*[local-name()='StateOrProvince']"),"—")</f>
        <v/>
      </c>
      <c r="E13" s="18">
        <f>IFERROR(_xlfn.FILTERXML($C$7,"(//*[local-name()='POI'])[3]/*[local-name()='OperatorInfo']/*[local-name()='Title']"),"—")</f>
        <v/>
      </c>
      <c r="F13" s="24">
        <f>IFERROR(_xlfn.FILTERXML($C$7,"(//*[local-name()='POI'])[3]/*[local-name()='NumberOfPoints']"),"—")</f>
        <v/>
      </c>
    </row>
    <row r="14" ht="19" customHeight="1">
      <c r="B14" s="53">
        <f>IFERROR(_xlfn.FILTERXML($C$7,"(//*[local-name()='POI'])[4]/*[local-name()='AddressInfo']/*[local-name()='Title']"),"—")</f>
        <v/>
      </c>
      <c r="C14" s="26">
        <f>IFERROR(_xlfn.FILTERXML($C$7,"(//*[local-name()='POI'])[4]/*[local-name()='AddressInfo']/*[local-name()='Town']"),"—")</f>
        <v/>
      </c>
      <c r="D14" s="26">
        <f>IFERROR(_xlfn.FILTERXML($C$7,"(//*[local-name()='POI'])[4]/*[local-name()='AddressInfo']/*[local-name()='StateOrProvince']"),"—")</f>
        <v/>
      </c>
      <c r="E14" s="26">
        <f>IFERROR(_xlfn.FILTERXML($C$7,"(//*[local-name()='POI'])[4]/*[local-name()='OperatorInfo']/*[local-name()='Title']"),"—")</f>
        <v/>
      </c>
      <c r="F14" s="32">
        <f>IFERROR(_xlfn.FILTERXML($C$7,"(//*[local-name()='POI'])[4]/*[local-name()='NumberOfPoints']"),"—")</f>
        <v/>
      </c>
    </row>
    <row r="15" ht="19" customHeight="1">
      <c r="B15" s="52">
        <f>IFERROR(_xlfn.FILTERXML($C$7,"(//*[local-name()='POI'])[5]/*[local-name()='AddressInfo']/*[local-name()='Title']"),"—")</f>
        <v/>
      </c>
      <c r="C15" s="18">
        <f>IFERROR(_xlfn.FILTERXML($C$7,"(//*[local-name()='POI'])[5]/*[local-name()='AddressInfo']/*[local-name()='Town']"),"—")</f>
        <v/>
      </c>
      <c r="D15" s="18">
        <f>IFERROR(_xlfn.FILTERXML($C$7,"(//*[local-name()='POI'])[5]/*[local-name()='AddressInfo']/*[local-name()='StateOrProvince']"),"—")</f>
        <v/>
      </c>
      <c r="E15" s="18">
        <f>IFERROR(_xlfn.FILTERXML($C$7,"(//*[local-name()='POI'])[5]/*[local-name()='OperatorInfo']/*[local-name()='Title']"),"—")</f>
        <v/>
      </c>
      <c r="F15" s="24">
        <f>IFERROR(_xlfn.FILTERXML($C$7,"(//*[local-name()='POI'])[5]/*[local-name()='NumberOfPoints']"),"—")</f>
        <v/>
      </c>
    </row>
    <row r="16" ht="19" customHeight="1">
      <c r="B16" s="53">
        <f>IFERROR(_xlfn.FILTERXML($C$7,"(//*[local-name()='POI'])[6]/*[local-name()='AddressInfo']/*[local-name()='Title']"),"—")</f>
        <v/>
      </c>
      <c r="C16" s="26">
        <f>IFERROR(_xlfn.FILTERXML($C$7,"(//*[local-name()='POI'])[6]/*[local-name()='AddressInfo']/*[local-name()='Town']"),"—")</f>
        <v/>
      </c>
      <c r="D16" s="26">
        <f>IFERROR(_xlfn.FILTERXML($C$7,"(//*[local-name()='POI'])[6]/*[local-name()='AddressInfo']/*[local-name()='StateOrProvince']"),"—")</f>
        <v/>
      </c>
      <c r="E16" s="26">
        <f>IFERROR(_xlfn.FILTERXML($C$7,"(//*[local-name()='POI'])[6]/*[local-name()='OperatorInfo']/*[local-name()='Title']"),"—")</f>
        <v/>
      </c>
      <c r="F16" s="32">
        <f>IFERROR(_xlfn.FILTERXML($C$7,"(//*[local-name()='POI'])[6]/*[local-name()='NumberOfPoints']"),"—")</f>
        <v/>
      </c>
    </row>
    <row r="17" ht="19" customHeight="1">
      <c r="B17" s="52">
        <f>IFERROR(_xlfn.FILTERXML($C$7,"(//*[local-name()='POI'])[7]/*[local-name()='AddressInfo']/*[local-name()='Title']"),"—")</f>
        <v/>
      </c>
      <c r="C17" s="18">
        <f>IFERROR(_xlfn.FILTERXML($C$7,"(//*[local-name()='POI'])[7]/*[local-name()='AddressInfo']/*[local-name()='Town']"),"—")</f>
        <v/>
      </c>
      <c r="D17" s="18">
        <f>IFERROR(_xlfn.FILTERXML($C$7,"(//*[local-name()='POI'])[7]/*[local-name()='AddressInfo']/*[local-name()='StateOrProvince']"),"—")</f>
        <v/>
      </c>
      <c r="E17" s="18">
        <f>IFERROR(_xlfn.FILTERXML($C$7,"(//*[local-name()='POI'])[7]/*[local-name()='OperatorInfo']/*[local-name()='Title']"),"—")</f>
        <v/>
      </c>
      <c r="F17" s="24">
        <f>IFERROR(_xlfn.FILTERXML($C$7,"(//*[local-name()='POI'])[7]/*[local-name()='NumberOfPoints']"),"—")</f>
        <v/>
      </c>
    </row>
    <row r="18" ht="19" customHeight="1">
      <c r="B18" s="53">
        <f>IFERROR(_xlfn.FILTERXML($C$7,"(//*[local-name()='POI'])[8]/*[local-name()='AddressInfo']/*[local-name()='Title']"),"—")</f>
        <v/>
      </c>
      <c r="C18" s="26">
        <f>IFERROR(_xlfn.FILTERXML($C$7,"(//*[local-name()='POI'])[8]/*[local-name()='AddressInfo']/*[local-name()='Town']"),"—")</f>
        <v/>
      </c>
      <c r="D18" s="26">
        <f>IFERROR(_xlfn.FILTERXML($C$7,"(//*[local-name()='POI'])[8]/*[local-name()='AddressInfo']/*[local-name()='StateOrProvince']"),"—")</f>
        <v/>
      </c>
      <c r="E18" s="26">
        <f>IFERROR(_xlfn.FILTERXML($C$7,"(//*[local-name()='POI'])[8]/*[local-name()='OperatorInfo']/*[local-name()='Title']"),"—")</f>
        <v/>
      </c>
      <c r="F18" s="32">
        <f>IFERROR(_xlfn.FILTERXML($C$7,"(//*[local-name()='POI'])[8]/*[local-name()='NumberOfPoints']"),"—")</f>
        <v/>
      </c>
    </row>
    <row r="19" ht="19" customHeight="1">
      <c r="B19" s="52">
        <f>IFERROR(_xlfn.FILTERXML($C$7,"(//*[local-name()='POI'])[9]/*[local-name()='AddressInfo']/*[local-name()='Title']"),"—")</f>
        <v/>
      </c>
      <c r="C19" s="18">
        <f>IFERROR(_xlfn.FILTERXML($C$7,"(//*[local-name()='POI'])[9]/*[local-name()='AddressInfo']/*[local-name()='Town']"),"—")</f>
        <v/>
      </c>
      <c r="D19" s="18">
        <f>IFERROR(_xlfn.FILTERXML($C$7,"(//*[local-name()='POI'])[9]/*[local-name()='AddressInfo']/*[local-name()='StateOrProvince']"),"—")</f>
        <v/>
      </c>
      <c r="E19" s="18">
        <f>IFERROR(_xlfn.FILTERXML($C$7,"(//*[local-name()='POI'])[9]/*[local-name()='OperatorInfo']/*[local-name()='Title']"),"—")</f>
        <v/>
      </c>
      <c r="F19" s="24">
        <f>IFERROR(_xlfn.FILTERXML($C$7,"(//*[local-name()='POI'])[9]/*[local-name()='NumberOfPoints']"),"—")</f>
        <v/>
      </c>
    </row>
    <row r="20" ht="19" customHeight="1">
      <c r="B20" s="53">
        <f>IFERROR(_xlfn.FILTERXML($C$7,"(//*[local-name()='POI'])[10]/*[local-name()='AddressInfo']/*[local-name()='Title']"),"—")</f>
        <v/>
      </c>
      <c r="C20" s="26">
        <f>IFERROR(_xlfn.FILTERXML($C$7,"(//*[local-name()='POI'])[10]/*[local-name()='AddressInfo']/*[local-name()='Town']"),"—")</f>
        <v/>
      </c>
      <c r="D20" s="26">
        <f>IFERROR(_xlfn.FILTERXML($C$7,"(//*[local-name()='POI'])[10]/*[local-name()='AddressInfo']/*[local-name()='StateOrProvince']"),"—")</f>
        <v/>
      </c>
      <c r="E20" s="26">
        <f>IFERROR(_xlfn.FILTERXML($C$7,"(//*[local-name()='POI'])[10]/*[local-name()='OperatorInfo']/*[local-name()='Title']"),"—")</f>
        <v/>
      </c>
      <c r="F20" s="32">
        <f>IFERROR(_xlfn.FILTERXML($C$7,"(//*[local-name()='POI'])[10]/*[local-name()='NumberOfPoints']"),"—")</f>
        <v/>
      </c>
    </row>
    <row r="21" ht="19" customHeight="1">
      <c r="B21" s="52">
        <f>IFERROR(_xlfn.FILTERXML($C$7,"(//*[local-name()='POI'])[11]/*[local-name()='AddressInfo']/*[local-name()='Title']"),"—")</f>
        <v/>
      </c>
      <c r="C21" s="18">
        <f>IFERROR(_xlfn.FILTERXML($C$7,"(//*[local-name()='POI'])[11]/*[local-name()='AddressInfo']/*[local-name()='Town']"),"—")</f>
        <v/>
      </c>
      <c r="D21" s="18">
        <f>IFERROR(_xlfn.FILTERXML($C$7,"(//*[local-name()='POI'])[11]/*[local-name()='AddressInfo']/*[local-name()='StateOrProvince']"),"—")</f>
        <v/>
      </c>
      <c r="E21" s="18">
        <f>IFERROR(_xlfn.FILTERXML($C$7,"(//*[local-name()='POI'])[11]/*[local-name()='OperatorInfo']/*[local-name()='Title']"),"—")</f>
        <v/>
      </c>
      <c r="F21" s="24">
        <f>IFERROR(_xlfn.FILTERXML($C$7,"(//*[local-name()='POI'])[11]/*[local-name()='NumberOfPoints']"),"—")</f>
        <v/>
      </c>
    </row>
    <row r="22" ht="19" customHeight="1">
      <c r="B22" s="53">
        <f>IFERROR(_xlfn.FILTERXML($C$7,"(//*[local-name()='POI'])[12]/*[local-name()='AddressInfo']/*[local-name()='Title']"),"—")</f>
        <v/>
      </c>
      <c r="C22" s="26">
        <f>IFERROR(_xlfn.FILTERXML($C$7,"(//*[local-name()='POI'])[12]/*[local-name()='AddressInfo']/*[local-name()='Town']"),"—")</f>
        <v/>
      </c>
      <c r="D22" s="26">
        <f>IFERROR(_xlfn.FILTERXML($C$7,"(//*[local-name()='POI'])[12]/*[local-name()='AddressInfo']/*[local-name()='StateOrProvince']"),"—")</f>
        <v/>
      </c>
      <c r="E22" s="26">
        <f>IFERROR(_xlfn.FILTERXML($C$7,"(//*[local-name()='POI'])[12]/*[local-name()='OperatorInfo']/*[local-name()='Title']"),"—")</f>
        <v/>
      </c>
      <c r="F22" s="32">
        <f>IFERROR(_xlfn.FILTERXML($C$7,"(//*[local-name()='POI'])[12]/*[local-name()='NumberOfPoints']"),"—")</f>
        <v/>
      </c>
    </row>
    <row r="23" ht="19" customHeight="1">
      <c r="B23" s="52">
        <f>IFERROR(_xlfn.FILTERXML($C$7,"(//*[local-name()='POI'])[13]/*[local-name()='AddressInfo']/*[local-name()='Title']"),"—")</f>
        <v/>
      </c>
      <c r="C23" s="18">
        <f>IFERROR(_xlfn.FILTERXML($C$7,"(//*[local-name()='POI'])[13]/*[local-name()='AddressInfo']/*[local-name()='Town']"),"—")</f>
        <v/>
      </c>
      <c r="D23" s="18">
        <f>IFERROR(_xlfn.FILTERXML($C$7,"(//*[local-name()='POI'])[13]/*[local-name()='AddressInfo']/*[local-name()='StateOrProvince']"),"—")</f>
        <v/>
      </c>
      <c r="E23" s="18">
        <f>IFERROR(_xlfn.FILTERXML($C$7,"(//*[local-name()='POI'])[13]/*[local-name()='OperatorInfo']/*[local-name()='Title']"),"—")</f>
        <v/>
      </c>
      <c r="F23" s="24">
        <f>IFERROR(_xlfn.FILTERXML($C$7,"(//*[local-name()='POI'])[13]/*[local-name()='NumberOfPoints']"),"—")</f>
        <v/>
      </c>
    </row>
    <row r="24" ht="19" customHeight="1">
      <c r="B24" s="53">
        <f>IFERROR(_xlfn.FILTERXML($C$7,"(//*[local-name()='POI'])[14]/*[local-name()='AddressInfo']/*[local-name()='Title']"),"—")</f>
        <v/>
      </c>
      <c r="C24" s="26">
        <f>IFERROR(_xlfn.FILTERXML($C$7,"(//*[local-name()='POI'])[14]/*[local-name()='AddressInfo']/*[local-name()='Town']"),"—")</f>
        <v/>
      </c>
      <c r="D24" s="26">
        <f>IFERROR(_xlfn.FILTERXML($C$7,"(//*[local-name()='POI'])[14]/*[local-name()='AddressInfo']/*[local-name()='StateOrProvince']"),"—")</f>
        <v/>
      </c>
      <c r="E24" s="26">
        <f>IFERROR(_xlfn.FILTERXML($C$7,"(//*[local-name()='POI'])[14]/*[local-name()='OperatorInfo']/*[local-name()='Title']"),"—")</f>
        <v/>
      </c>
      <c r="F24" s="32">
        <f>IFERROR(_xlfn.FILTERXML($C$7,"(//*[local-name()='POI'])[14]/*[local-name()='NumberOfPoints']"),"—")</f>
        <v/>
      </c>
    </row>
    <row r="25" ht="19" customHeight="1">
      <c r="B25" s="52">
        <f>IFERROR(_xlfn.FILTERXML($C$7,"(//*[local-name()='POI'])[15]/*[local-name()='AddressInfo']/*[local-name()='Title']"),"—")</f>
        <v/>
      </c>
      <c r="C25" s="18">
        <f>IFERROR(_xlfn.FILTERXML($C$7,"(//*[local-name()='POI'])[15]/*[local-name()='AddressInfo']/*[local-name()='Town']"),"—")</f>
        <v/>
      </c>
      <c r="D25" s="18">
        <f>IFERROR(_xlfn.FILTERXML($C$7,"(//*[local-name()='POI'])[15]/*[local-name()='AddressInfo']/*[local-name()='StateOrProvince']"),"—")</f>
        <v/>
      </c>
      <c r="E25" s="18">
        <f>IFERROR(_xlfn.FILTERXML($C$7,"(//*[local-name()='POI'])[15]/*[local-name()='OperatorInfo']/*[local-name()='Title']"),"—")</f>
        <v/>
      </c>
      <c r="F25" s="24">
        <f>IFERROR(_xlfn.FILTERXML($C$7,"(//*[local-name()='POI'])[15]/*[local-name()='NumberOfPoints']"),"—")</f>
        <v/>
      </c>
    </row>
    <row r="26" ht="19" customHeight="1">
      <c r="B26" s="53">
        <f>IFERROR(_xlfn.FILTERXML($C$7,"(//*[local-name()='POI'])[16]/*[local-name()='AddressInfo']/*[local-name()='Title']"),"—")</f>
        <v/>
      </c>
      <c r="C26" s="26">
        <f>IFERROR(_xlfn.FILTERXML($C$7,"(//*[local-name()='POI'])[16]/*[local-name()='AddressInfo']/*[local-name()='Town']"),"—")</f>
        <v/>
      </c>
      <c r="D26" s="26">
        <f>IFERROR(_xlfn.FILTERXML($C$7,"(//*[local-name()='POI'])[16]/*[local-name()='AddressInfo']/*[local-name()='StateOrProvince']"),"—")</f>
        <v/>
      </c>
      <c r="E26" s="26">
        <f>IFERROR(_xlfn.FILTERXML($C$7,"(//*[local-name()='POI'])[16]/*[local-name()='OperatorInfo']/*[local-name()='Title']"),"—")</f>
        <v/>
      </c>
      <c r="F26" s="32">
        <f>IFERROR(_xlfn.FILTERXML($C$7,"(//*[local-name()='POI'])[16]/*[local-name()='NumberOfPoints']"),"—")</f>
        <v/>
      </c>
    </row>
    <row r="27" ht="19" customHeight="1">
      <c r="B27" s="52">
        <f>IFERROR(_xlfn.FILTERXML($C$7,"(//*[local-name()='POI'])[17]/*[local-name()='AddressInfo']/*[local-name()='Title']"),"—")</f>
        <v/>
      </c>
      <c r="C27" s="18">
        <f>IFERROR(_xlfn.FILTERXML($C$7,"(//*[local-name()='POI'])[17]/*[local-name()='AddressInfo']/*[local-name()='Town']"),"—")</f>
        <v/>
      </c>
      <c r="D27" s="18">
        <f>IFERROR(_xlfn.FILTERXML($C$7,"(//*[local-name()='POI'])[17]/*[local-name()='AddressInfo']/*[local-name()='StateOrProvince']"),"—")</f>
        <v/>
      </c>
      <c r="E27" s="18">
        <f>IFERROR(_xlfn.FILTERXML($C$7,"(//*[local-name()='POI'])[17]/*[local-name()='OperatorInfo']/*[local-name()='Title']"),"—")</f>
        <v/>
      </c>
      <c r="F27" s="24">
        <f>IFERROR(_xlfn.FILTERXML($C$7,"(//*[local-name()='POI'])[17]/*[local-name()='NumberOfPoints']"),"—")</f>
        <v/>
      </c>
    </row>
    <row r="28" ht="19" customHeight="1">
      <c r="B28" s="53">
        <f>IFERROR(_xlfn.FILTERXML($C$7,"(//*[local-name()='POI'])[18]/*[local-name()='AddressInfo']/*[local-name()='Title']"),"—")</f>
        <v/>
      </c>
      <c r="C28" s="26">
        <f>IFERROR(_xlfn.FILTERXML($C$7,"(//*[local-name()='POI'])[18]/*[local-name()='AddressInfo']/*[local-name()='Town']"),"—")</f>
        <v/>
      </c>
      <c r="D28" s="26">
        <f>IFERROR(_xlfn.FILTERXML($C$7,"(//*[local-name()='POI'])[18]/*[local-name()='AddressInfo']/*[local-name()='StateOrProvince']"),"—")</f>
        <v/>
      </c>
      <c r="E28" s="26">
        <f>IFERROR(_xlfn.FILTERXML($C$7,"(//*[local-name()='POI'])[18]/*[local-name()='OperatorInfo']/*[local-name()='Title']"),"—")</f>
        <v/>
      </c>
      <c r="F28" s="32">
        <f>IFERROR(_xlfn.FILTERXML($C$7,"(//*[local-name()='POI'])[18]/*[local-name()='NumberOfPoints']"),"—")</f>
        <v/>
      </c>
    </row>
    <row r="29">
      <c r="B29" s="47" t="inlineStr">
        <is>
          <t>Angezeigte Standorte:</t>
        </is>
      </c>
      <c r="C29" s="54">
        <f>SUMPRODUCT(--($B$11:$B$28&lt;&gt;"—"),--($B$11:$B$28&lt;&gt;""))</f>
        <v/>
      </c>
    </row>
    <row r="31">
      <c r="B31" s="46" t="inlineStr">
        <is>
          <t>Zeigt es „—“: einmal F9 drücken. Für Dauerbetrieb einen kostenlosen OpenChargeMap-API-Key oben in C6 eintragen (openchargemap.org). WEBSERVICE/FILTERXML gibt es nur in Excel für Windows (Desktop) — auf Mac/Web stattdessen die Power-Query-Vorlagen unten nutzen.</t>
        </is>
      </c>
    </row>
    <row r="32"/>
    <row r="34">
      <c r="B34" s="12" t="inlineStr">
        <is>
          <t>Weitere Online-Quellen &amp; eigene Datenbank — Power Query</t>
        </is>
      </c>
    </row>
    <row r="35">
      <c r="B35" s="55" t="inlineStr">
        <is>
          <t>• Ladeinfrastruktur (voll): Daten ▸ Aus dem Web ▸ OpenChargeMap-JSON — filtern/aggregieren nach Kanton/Betreiber.</t>
        </is>
      </c>
    </row>
    <row r="36">
      <c r="B36" s="55" t="inlineStr">
        <is>
          <t>• Firmendaten anreichern: Handelsregister Zefix-API (UID, Adresse, Rechtsform) per Firma abrufen.</t>
        </is>
      </c>
    </row>
    <row r="37">
      <c r="B37" s="55" t="inlineStr">
        <is>
          <t>• Eigene DB: Daten ▸ Aus Datenbank (SQL Server / MySQL / PostgreSQL) — Server &amp; Zugangsdaten eintragen.</t>
        </is>
      </c>
    </row>
    <row r="38">
      <c r="B38" s="55" t="inlineStr">
        <is>
          <t>• Google Sheets / SharePoint: Freigabe-CSV-Link als Quelle.</t>
        </is>
      </c>
    </row>
    <row r="39">
      <c r="B39" s="56" t="inlineStr">
        <is>
          <t>Fertige M-Vorlagen: data/PowerQuery_Vorlagen.m  ·  danach „Alle aktualisieren“ (Strg+Alt+F5).</t>
        </is>
      </c>
    </row>
  </sheetData>
  <mergeCells count="12">
    <mergeCell ref="B5:D5"/>
    <mergeCell ref="B39:F39"/>
    <mergeCell ref="B38:F38"/>
    <mergeCell ref="B2:F2"/>
    <mergeCell ref="B3:F3"/>
    <mergeCell ref="C6:F6"/>
    <mergeCell ref="E5:F5"/>
    <mergeCell ref="C7:F7"/>
    <mergeCell ref="B37:F37"/>
    <mergeCell ref="B31:F32"/>
    <mergeCell ref="B36:F36"/>
    <mergeCell ref="B35:F35"/>
  </mergeCells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7" t="inlineStr">
        <is>
          <t>Stammdaten / Lookups</t>
        </is>
      </c>
    </row>
    <row r="2">
      <c r="A2" s="58" t="inlineStr">
        <is>
          <t>Speist Dropdowns &amp; automatische Wahrscheinlichkeit. Werte hier pflegen.</t>
        </is>
      </c>
    </row>
    <row r="4">
      <c r="A4" s="59" t="inlineStr">
        <is>
          <t>Phase</t>
        </is>
      </c>
      <c r="B4" s="59" t="inlineStr">
        <is>
          <t>Wahrsch.</t>
        </is>
      </c>
      <c r="D4" s="59" t="inlineStr">
        <is>
          <t>Prioritäten</t>
        </is>
      </c>
      <c r="E4" s="59" t="inlineStr">
        <is>
          <t>Regionen</t>
        </is>
      </c>
      <c r="F4" s="59" t="inlineStr">
        <is>
          <t>Branchen</t>
        </is>
      </c>
      <c r="G4" s="59" t="inlineStr">
        <is>
          <t>Produkte</t>
        </is>
      </c>
      <c r="H4" s="59" t="inlineStr">
        <is>
          <t>Team</t>
        </is>
      </c>
      <c r="I4" s="59" t="inlineStr">
        <is>
          <t>Phasen</t>
        </is>
      </c>
      <c r="J4" s="59" t="inlineStr">
        <is>
          <t>Aktivitätstyp</t>
        </is>
      </c>
      <c r="K4" s="59" t="inlineStr">
        <is>
          <t>Status</t>
        </is>
      </c>
    </row>
    <row r="5">
      <c r="A5" s="14" t="inlineStr">
        <is>
          <t>Lead</t>
        </is>
      </c>
      <c r="B5" s="60" t="n">
        <v>0.1</v>
      </c>
      <c r="D5" s="14" t="inlineStr">
        <is>
          <t>Hoch</t>
        </is>
      </c>
      <c r="E5" s="14" t="inlineStr">
        <is>
          <t>Zürich</t>
        </is>
      </c>
      <c r="F5" s="14" t="inlineStr">
        <is>
          <t>Detailhandel</t>
        </is>
      </c>
      <c r="G5" s="14" t="inlineStr">
        <is>
          <t>AC-Ladestation 22 kW</t>
        </is>
      </c>
      <c r="H5" s="14" t="inlineStr">
        <is>
          <t>Burak Ücöz</t>
        </is>
      </c>
      <c r="I5" s="14" t="inlineStr">
        <is>
          <t>Lead</t>
        </is>
      </c>
      <c r="J5" s="14" t="inlineStr">
        <is>
          <t>Anruf</t>
        </is>
      </c>
      <c r="K5" s="14" t="inlineStr">
        <is>
          <t>Offen</t>
        </is>
      </c>
    </row>
    <row r="6">
      <c r="A6" s="14" t="inlineStr">
        <is>
          <t>Qualifiziert</t>
        </is>
      </c>
      <c r="B6" s="60" t="n">
        <v>0.25</v>
      </c>
      <c r="D6" s="14" t="inlineStr">
        <is>
          <t>Mittel</t>
        </is>
      </c>
      <c r="E6" s="14" t="inlineStr">
        <is>
          <t>Bern</t>
        </is>
      </c>
      <c r="F6" s="14" t="inlineStr">
        <is>
          <t>Logistik</t>
        </is>
      </c>
      <c r="G6" s="14" t="inlineStr">
        <is>
          <t>DC-Schnelllader 60 kW</t>
        </is>
      </c>
      <c r="H6" s="14" t="inlineStr">
        <is>
          <t>S. Meier</t>
        </is>
      </c>
      <c r="I6" s="14" t="inlineStr">
        <is>
          <t>Qualifiziert</t>
        </is>
      </c>
      <c r="J6" s="14" t="inlineStr">
        <is>
          <t>E-Mail</t>
        </is>
      </c>
      <c r="K6" s="14" t="inlineStr">
        <is>
          <t>Erledigt</t>
        </is>
      </c>
    </row>
    <row r="7">
      <c r="A7" s="14" t="inlineStr">
        <is>
          <t>Angebot</t>
        </is>
      </c>
      <c r="B7" s="60" t="n">
        <v>0.5</v>
      </c>
      <c r="D7" s="14" t="inlineStr">
        <is>
          <t>Niedrig</t>
        </is>
      </c>
      <c r="E7" s="14" t="inlineStr">
        <is>
          <t>Waadt</t>
        </is>
      </c>
      <c r="F7" s="14" t="inlineStr">
        <is>
          <t>Immobilien</t>
        </is>
      </c>
      <c r="G7" s="14" t="inlineStr">
        <is>
          <t>DC-HPC 150 kW</t>
        </is>
      </c>
      <c r="H7" s="14" t="inlineStr">
        <is>
          <t>L. Rossi</t>
        </is>
      </c>
      <c r="I7" s="14" t="inlineStr">
        <is>
          <t>Angebot</t>
        </is>
      </c>
      <c r="J7" s="14" t="inlineStr">
        <is>
          <t>Termin vor Ort</t>
        </is>
      </c>
    </row>
    <row r="8">
      <c r="A8" s="14" t="inlineStr">
        <is>
          <t>Verhandlung</t>
        </is>
      </c>
      <c r="B8" s="60" t="n">
        <v>0.75</v>
      </c>
      <c r="E8" s="14" t="inlineStr">
        <is>
          <t>Genf</t>
        </is>
      </c>
      <c r="F8" s="14" t="inlineStr">
        <is>
          <t>Hotellerie</t>
        </is>
      </c>
      <c r="G8" s="14" t="inlineStr">
        <is>
          <t>Lastmanagement-System</t>
        </is>
      </c>
      <c r="H8" s="14" t="inlineStr">
        <is>
          <t>N. Keller</t>
        </is>
      </c>
      <c r="I8" s="14" t="inlineStr">
        <is>
          <t>Verhandlung</t>
        </is>
      </c>
      <c r="J8" s="14" t="inlineStr">
        <is>
          <t>Web-Demo</t>
        </is>
      </c>
    </row>
    <row r="9">
      <c r="A9" s="14" t="inlineStr">
        <is>
          <t>Gewonnen</t>
        </is>
      </c>
      <c r="B9" s="60" t="n">
        <v>1</v>
      </c>
      <c r="E9" s="14" t="inlineStr">
        <is>
          <t>Basel</t>
        </is>
      </c>
      <c r="F9" s="14" t="inlineStr">
        <is>
          <t>Öffentliche Hand</t>
        </is>
      </c>
      <c r="G9" s="14" t="inlineStr">
        <is>
          <t>Full-Service Betrieb</t>
        </is>
      </c>
      <c r="H9" s="14" t="inlineStr">
        <is>
          <t>A. Favre</t>
        </is>
      </c>
      <c r="I9" s="14" t="inlineStr">
        <is>
          <t>Gewonnen</t>
        </is>
      </c>
      <c r="J9" s="14" t="inlineStr">
        <is>
          <t>Angebot</t>
        </is>
      </c>
    </row>
    <row r="10">
      <c r="A10" s="14" t="inlineStr">
        <is>
          <t>Verloren</t>
        </is>
      </c>
      <c r="B10" s="60" t="n">
        <v>0</v>
      </c>
      <c r="E10" s="14" t="inlineStr">
        <is>
          <t>Aargau</t>
        </is>
      </c>
      <c r="F10" s="14" t="inlineStr">
        <is>
          <t>Industrie</t>
        </is>
      </c>
      <c r="G10" s="14" t="inlineStr">
        <is>
          <t>PV + Speicher Kombi</t>
        </is>
      </c>
      <c r="I10" s="14" t="inlineStr">
        <is>
          <t>Verloren</t>
        </is>
      </c>
      <c r="J10" s="14" t="inlineStr">
        <is>
          <t>Follow-up</t>
        </is>
      </c>
    </row>
    <row r="11">
      <c r="E11" s="14" t="inlineStr">
        <is>
          <t>St. Gallen</t>
        </is>
      </c>
      <c r="F11" s="14" t="inlineStr">
        <is>
          <t>Tankstellen</t>
        </is>
      </c>
    </row>
    <row r="12">
      <c r="E12" s="14" t="inlineStr">
        <is>
          <t>Tessin</t>
        </is>
      </c>
      <c r="F12" s="14" t="inlineStr">
        <is>
          <t>Flottenbetrieb</t>
        </is>
      </c>
    </row>
    <row r="13">
      <c r="E13" s="14" t="inlineStr">
        <is>
          <t>Luzern</t>
        </is>
      </c>
    </row>
    <row r="14">
      <c r="E14" s="14" t="inlineStr">
        <is>
          <t>Wallis</t>
        </is>
      </c>
    </row>
  </sheetData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B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61" t="inlineStr">
        <is>
          <t>So arbeitest du perfekt mit diesem Cockpit</t>
        </is>
      </c>
    </row>
    <row r="3">
      <c r="B3" s="62" t="inlineStr"/>
    </row>
    <row r="4">
      <c r="B4" s="63" t="inlineStr">
        <is>
          <t>1 · Dashboard</t>
        </is>
      </c>
    </row>
    <row r="5">
      <c r="B5" s="64" t="inlineStr">
        <is>
          <t>KPIs, Sales-Funnel und Auswertungen nach Region/Branche/Verantwortlichem rechnen automatisch —</t>
        </is>
      </c>
    </row>
    <row r="6">
      <c r="B6" s="64" t="inlineStr">
        <is>
          <t>alles aktualisiert sich, sobald du in der Pipeline etwas änderst.</t>
        </is>
      </c>
    </row>
    <row r="7">
      <c r="B7" s="62" t="inlineStr"/>
    </row>
    <row r="8">
      <c r="B8" s="63" t="inlineStr">
        <is>
          <t>2 · Pipeline (Herzstück)</t>
        </is>
      </c>
    </row>
    <row r="9">
      <c r="B9" s="64" t="inlineStr">
        <is>
          <t>• Filtern/Sortieren über die Pfeile in der blauen Kopfzeile (Region, Phase, Verantwortlich …).</t>
        </is>
      </c>
    </row>
    <row r="10">
      <c r="B10" s="64" t="inlineStr">
        <is>
          <t>• Datenschnitte (Klick-Filter): Tabelle anklicken ▸ Menüband „Tabellenentwurf“ ▸ Datenschnitt einfügen.</t>
        </is>
      </c>
    </row>
    <row r="11">
      <c r="B11" s="64" t="inlineStr">
        <is>
          <t>• Dropdowns für Phase/Priorität/Region/Branche/Produkt/Verantwortlich (nur gültige Werte).</t>
        </is>
      </c>
    </row>
    <row r="12">
      <c r="B12" s="64" t="inlineStr">
        <is>
          <t>• Automatik: Wahrscheinlichkeit folgt der Phase; Gew. Wert = Volumen × Wahrsch.;</t>
        </is>
      </c>
    </row>
    <row r="13">
      <c r="B13" s="64" t="inlineStr">
        <is>
          <t xml:space="preserve">  Tage bis Abschluss &amp; Ampel (🔴 ≤14 T, 🟡 ≤45 T, 🟢 sonst, ✅ gewonnen).</t>
        </is>
      </c>
    </row>
    <row r="14">
      <c r="B14" s="64" t="inlineStr">
        <is>
          <t>• Neue Zeile einfach unter der letzten schreiben – Tabelle &amp; Dashboard wachsen automatisch mit.</t>
        </is>
      </c>
    </row>
    <row r="15">
      <c r="B15" s="62" t="inlineStr"/>
    </row>
    <row r="16">
      <c r="B16" s="63" t="inlineStr">
        <is>
          <t>3 · Aktivitäten · Kontakte · Forecast · Ziele</t>
        </is>
      </c>
    </row>
    <row r="17">
      <c r="B17" s="64" t="inlineStr">
        <is>
          <t>Aktivitäten: Aufgaben mit Fälligkeits-Ampel (überfällig = rot). Kontakte: Firmen-/CRM-Liste.</t>
        </is>
      </c>
    </row>
    <row r="18">
      <c r="B18" s="64" t="inlineStr">
        <is>
          <t>Forecast: gewichteter Umsatz je Monat vs. Ziel. Ziele: Zielerreichung je Verantwortlicher.</t>
        </is>
      </c>
    </row>
    <row r="19">
      <c r="B19" s="62" t="inlineStr"/>
    </row>
    <row r="20">
      <c r="B20" s="63" t="inlineStr">
        <is>
          <t>4 · Live-Daten online abrufen — per Knopfdruck (F9)</t>
        </is>
      </c>
    </row>
    <row r="21">
      <c r="B21" s="64" t="inlineStr">
        <is>
          <t>Blatt „Live-Daten“: öffentliche Ladestandorte Schweiz live via OpenChargeMap (WEBSERVICE + FILTERXML).</t>
        </is>
      </c>
    </row>
    <row r="22">
      <c r="B22" s="64" t="inlineStr">
        <is>
          <t>Aktualisieren = Taste F9 (Windows-Desktop-Excel). Gratis-API-Key in Zelle C6 für Dauerbetrieb.</t>
        </is>
      </c>
    </row>
    <row r="23">
      <c r="B23" s="64" t="inlineStr">
        <is>
          <t>Mehr Quellen/eigene Datenbank (SQL/Zefix/Google Sheets): M-Vorlagen in data/PowerQuery_Vorlagen.m.</t>
        </is>
      </c>
    </row>
    <row r="24">
      <c r="B24" s="62" t="inlineStr"/>
    </row>
    <row r="25">
      <c r="B25" s="63" t="inlineStr">
        <is>
          <t>5 · Formelzellen schützen (optional)</t>
        </is>
      </c>
    </row>
    <row r="26">
      <c r="B26" s="64" t="inlineStr">
        <is>
          <t>Formel-/Berechnungszellen sind als „gesperrt“ markiert, Eingabefelder als „frei“.</t>
        </is>
      </c>
    </row>
    <row r="27">
      <c r="B27" s="64" t="inlineStr">
        <is>
          <t>Aktivieren mit: Überprüfen ▸ Blatt schützen (ohne Passwort bestätigen). Eingaben bleiben möglich.</t>
        </is>
      </c>
    </row>
    <row r="28">
      <c r="B28" s="62" t="inlineStr"/>
    </row>
    <row r="29">
      <c r="B29" s="56" t="inlineStr">
        <is>
          <t>Reproduzierbar: python3 src/build_excel.py  ·  Farbwelt Navy #1B2430 + Akzent-Rot #E2001A.</t>
        </is>
      </c>
    </row>
  </sheetData>
  <printOptions horizontalCentered="1"/>
  <pageMargins left="0.75" right="0.75" top="1" bottom="1" header="0.5" footer="0.5"/>
  <pageSetup orientation="landscape" fitToHeight="0" fitToWidth="1"/>
  <headerFooter>
    <oddHeader>&amp;LVertriebs-Cockpit&amp;R&amp;D</oddHeader>
    <oddFooter>&amp;LVertraulich&amp;RSeite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2026-07-03T17:20:19Z</dcterms:created>
  <dcterms:modified xsi:type="dcterms:W3CDTF">2026-07-03T17:20:20Z</dcterms:modified>
</cp:coreProperties>
</file>