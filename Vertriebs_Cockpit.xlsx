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ipeline" sheetId="2" state="visible" r:id="rId2"/>
    <sheet name="Aktivitäten" sheetId="3" state="visible" r:id="rId3"/>
    <sheet name="Kontakte" sheetId="4" state="visible" r:id="rId4"/>
    <sheet name="Forecast" sheetId="5" state="visible" r:id="rId5"/>
    <sheet name="Ziele" sheetId="6" state="visible" r:id="rId6"/>
    <sheet name="Live-Daten" sheetId="7" state="visible" r:id="rId7"/>
    <sheet name="Listen" sheetId="8" state="visible" r:id="rId8"/>
    <sheet name="Anleitung" sheetId="9" state="visible" r:id="rId9"/>
  </sheets>
  <definedNames>
    <definedName name="_xlnm.Print_Titles" localSheetId="1">'Pipeline'!$4:$4</definedName>
    <definedName name="_xlnm.Print_Titles" localSheetId="2">'Aktivitäten'!$4:$4</definedName>
    <definedName name="_xlnm.Print_Titles" localSheetId="3">'Kontakte'!$4:$4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,##0 &quot;CHF&quot;"/>
  </numFmts>
  <fonts count="26">
    <font>
      <name val="Calibri"/>
      <family val="2"/>
      <color theme="1"/>
      <sz val="11"/>
      <scheme val="minor"/>
    </font>
    <font>
      <name val="Calibri"/>
      <b val="1"/>
      <color rgb="001B2430"/>
      <sz val="13"/>
    </font>
    <font>
      <name val="Calibri"/>
      <i val="1"/>
      <color rgb="005A6573"/>
      <sz val="9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color rgb="001B2430"/>
      <sz val="10"/>
    </font>
    <font>
      <name val="Calibri"/>
      <color rgb="001B2430"/>
      <sz val="12"/>
    </font>
    <font>
      <name val="Calibri"/>
      <b val="1"/>
      <color rgb="001B2430"/>
      <sz val="11"/>
    </font>
    <font>
      <name val="Calibri"/>
      <b val="1"/>
      <color rgb="001B2430"/>
      <sz val="10"/>
    </font>
    <font>
      <name val="Calibri"/>
      <b val="1"/>
      <color rgb="001B2430"/>
      <sz val="22"/>
    </font>
    <font>
      <name val="Calibri"/>
      <b val="1"/>
      <color rgb="00E2001A"/>
      <sz val="11"/>
    </font>
    <font>
      <name val="Calibri"/>
      <b val="1"/>
      <color rgb="005A6573"/>
      <sz val="9"/>
    </font>
    <font>
      <name val="Calibri"/>
      <b val="1"/>
      <color rgb="001B2430"/>
      <sz val="20"/>
    </font>
    <font>
      <name val="Calibri"/>
      <b val="1"/>
      <color rgb="00E2001A"/>
      <sz val="20"/>
    </font>
    <font>
      <name val="Calibri"/>
      <b val="1"/>
      <color rgb="002A3543"/>
      <sz val="20"/>
    </font>
    <font>
      <name val="Calibri"/>
      <b val="1"/>
      <color rgb="001E9E5A"/>
      <sz val="20"/>
    </font>
    <font>
      <name val="Calibri"/>
      <b val="1"/>
      <color rgb="001B2430"/>
      <sz val="12"/>
    </font>
    <font>
      <name val="Calibri"/>
      <b val="1"/>
      <color rgb="001B2430"/>
      <sz val="18"/>
    </font>
    <font>
      <name val="Calibri"/>
      <i val="1"/>
      <color rgb="005A6573"/>
      <sz val="10"/>
    </font>
    <font>
      <name val="Calibri"/>
      <b val="1"/>
      <color rgb="00FFFFFF"/>
      <sz val="12"/>
    </font>
    <font>
      <name val="Calibri"/>
      <color rgb="005A6573"/>
      <sz val="8"/>
    </font>
    <font>
      <name val="Calibri"/>
      <color rgb="001B2430"/>
      <sz val="9"/>
    </font>
    <font>
      <name val="Calibri"/>
      <color rgb="005A6573"/>
      <sz val="9"/>
    </font>
    <font>
      <name val="Calibri"/>
      <b val="1"/>
      <color rgb="001B2430"/>
      <sz val="16"/>
    </font>
    <font>
      <name val="Calibri"/>
      <color rgb="005A6573"/>
      <sz val="6"/>
    </font>
    <font>
      <name val="Calibri"/>
      <b val="1"/>
      <color rgb="00E2001A"/>
      <sz val="12"/>
    </font>
  </fonts>
  <fills count="8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F3F6F9"/>
      </pattern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E2001A"/>
      </patternFill>
    </fill>
    <fill>
      <patternFill patternType="solid">
        <fgColor rgb="00FFF7D6"/>
      </patternFill>
    </fill>
  </fills>
  <borders count="12">
    <border>
      <left/>
      <right/>
      <top/>
      <bottom/>
      <diagonal/>
    </border>
    <border>
      <left style="thin">
        <color rgb="00E3E8ED"/>
      </left>
      <right style="thin">
        <color rgb="00E3E8ED"/>
      </right>
      <top style="thin">
        <color rgb="00E3E8ED"/>
      </top>
      <bottom style="thin">
        <color rgb="00E3E8ED"/>
      </bottom>
    </border>
    <border>
      <left style="thin">
        <color rgb="00E3E8ED"/>
      </left>
      <right style="thin">
        <color rgb="00E3E8ED"/>
      </right>
      <top style="medium">
        <color rgb="001B2430"/>
      </top>
      <bottom style="medium">
        <color rgb="001B2430"/>
      </bottom>
    </border>
    <border>
      <top style="medium">
        <color rgb="001B2430"/>
      </top>
      <bottom style="medium">
        <color rgb="001B2430"/>
      </bottom>
    </border>
    <border>
      <left style="thin">
        <color rgb="00E3E8ED"/>
      </left>
      <top style="thin">
        <color rgb="00E3E8ED"/>
      </top>
    </border>
    <border>
      <right style="thin">
        <color rgb="00E3E8ED"/>
      </right>
      <top style="thin">
        <color rgb="00E3E8ED"/>
      </top>
    </border>
    <border>
      <left style="thin">
        <color rgb="00E3E8ED"/>
      </left>
      <bottom style="thin">
        <color rgb="00E3E8ED"/>
      </bottom>
    </border>
    <border>
      <right style="thin">
        <color rgb="00E3E8ED"/>
      </right>
      <bottom style="thin">
        <color rgb="00E3E8ED"/>
      </bottom>
    </border>
    <border>
      <left/>
      <right/>
      <top style="thin">
        <color rgb="00E3E8ED"/>
      </top>
      <bottom/>
      <diagonal/>
    </border>
    <border>
      <left/>
      <right style="thin">
        <color rgb="00E3E8ED"/>
      </right>
      <top style="thin">
        <color rgb="00E3E8ED"/>
      </top>
      <bottom/>
      <diagonal/>
    </border>
    <border>
      <left/>
      <right/>
      <top style="thin">
        <color rgb="00E3E8ED"/>
      </top>
      <bottom style="thin">
        <color rgb="00E3E8ED"/>
      </bottom>
      <diagonal/>
    </border>
    <border>
      <left/>
      <right style="thin">
        <color rgb="00E3E8ED"/>
      </right>
      <top style="thin">
        <color rgb="00E3E8ED"/>
      </top>
      <bottom style="thin">
        <color rgb="00E3E8ED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4" applyAlignment="1" pivotButton="0" quotePrefix="0" xfId="0">
      <alignment horizontal="left" vertical="center" indent="1"/>
    </xf>
    <xf numFmtId="0" fontId="0" fillId="5" borderId="5" pivotButton="0" quotePrefix="0" xfId="0"/>
    <xf numFmtId="166" fontId="12" fillId="5" borderId="6" applyAlignment="1" pivotButton="0" quotePrefix="0" xfId="0">
      <alignment horizontal="left" vertical="center" indent="1"/>
    </xf>
    <xf numFmtId="0" fontId="0" fillId="5" borderId="7" pivotButton="0" quotePrefix="0" xfId="0"/>
    <xf numFmtId="166" fontId="13" fillId="5" borderId="6" applyAlignment="1" pivotButton="0" quotePrefix="0" xfId="0">
      <alignment horizontal="left" vertical="center" indent="1"/>
    </xf>
    <xf numFmtId="1" fontId="14" fillId="5" borderId="6" applyAlignment="1" pivotButton="0" quotePrefix="0" xfId="0">
      <alignment horizontal="left" vertical="center" indent="1"/>
    </xf>
    <xf numFmtId="166" fontId="15" fillId="5" borderId="6" applyAlignment="1" pivotButton="0" quotePrefix="0" xfId="0">
      <alignment horizontal="left" vertical="center" indent="1"/>
    </xf>
    <xf numFmtId="9" fontId="12" fillId="5" borderId="6" applyAlignment="1" pivotButton="0" quotePrefix="0" xfId="0">
      <alignment horizontal="left" vertical="center" indent="1"/>
    </xf>
    <xf numFmtId="166" fontId="14" fillId="5" borderId="6" applyAlignment="1" pivotButton="0" quotePrefix="0" xfId="0">
      <alignment horizontal="left" vertical="center" indent="1"/>
    </xf>
    <xf numFmtId="0" fontId="16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5" fillId="0" borderId="1" pivotButton="0" quotePrefix="0" xfId="0"/>
    <xf numFmtId="0" fontId="5" fillId="0" borderId="1" applyProtection="1" pivotButton="0" quotePrefix="0" xfId="0">
      <protection locked="0" hidden="0"/>
    </xf>
    <xf numFmtId="3" fontId="5" fillId="0" borderId="1" applyAlignment="1" applyProtection="1" pivotButton="0" quotePrefix="0" xfId="0">
      <alignment horizontal="right" vertical="center"/>
      <protection locked="0" hidden="0"/>
    </xf>
    <xf numFmtId="9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165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3" borderId="1" applyProtection="1" pivotButton="0" quotePrefix="0" xfId="0">
      <protection locked="0" hidden="0"/>
    </xf>
    <xf numFmtId="3" fontId="5" fillId="3" borderId="1" applyAlignment="1" applyProtection="1" pivotButton="0" quotePrefix="0" xfId="0">
      <alignment horizontal="right" vertical="center"/>
      <protection locked="0" hidden="0"/>
    </xf>
    <xf numFmtId="9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right" vertical="center"/>
    </xf>
    <xf numFmtId="165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7" fillId="4" borderId="3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0" fillId="0" borderId="1" applyAlignment="1" pivotButton="0" quotePrefix="0" xfId="0">
      <alignment horizontal="center" vertical="center" wrapText="1"/>
    </xf>
    <xf numFmtId="3" fontId="0" fillId="0" borderId="1" applyAlignment="1" applyProtection="1" pivotButton="0" quotePrefix="0" xfId="0">
      <alignment horizontal="right" vertical="center"/>
      <protection locked="0" hidden="0"/>
    </xf>
    <xf numFmtId="9" fontId="0" fillId="0" borderId="1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0" fillId="7" borderId="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2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B30015"/>
        <sz val="10"/>
      </font>
      <fill>
        <patternFill patternType="solid">
          <fgColor rgb="00FADBD8"/>
        </patternFill>
      </fill>
    </dxf>
    <dxf>
      <font>
        <name val="Calibri"/>
        <b val="1"/>
        <color rgb="001E9E5A"/>
        <sz val="10"/>
      </font>
      <fill>
        <patternFill patternType="solid">
          <fgColor rgb="00D5F0DE"/>
        </patternFill>
      </fill>
    </dxf>
    <dxf>
      <font>
        <name val="Calibri"/>
        <color rgb="005A6573"/>
        <sz val="10"/>
      </font>
      <fill>
        <patternFill patternType="solid">
          <fgColor rgb="00EDEFF1"/>
        </patternFill>
      </fill>
    </dxf>
    <dxf>
      <fill>
        <patternFill patternType="solid">
          <fgColor rgb="00FDECEA"/>
        </patternFill>
      </fill>
    </dxf>
    <dxf>
      <font>
        <name val="Calibri"/>
        <color rgb="001E9E5A"/>
        <sz val="10"/>
      </font>
      <fill>
        <patternFill patternType="solid">
          <fgColor rgb="00E7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Sales-Funnel (CHF nach Phase)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'Dashboard'!$B$17:$B$21</f>
            </numRef>
          </cat>
          <val>
            <numRef>
              <f>'Dashboard'!$C$17:$C$21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Gew. Wert nach Region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'Dashboard'!F16</f>
            </strRef>
          </tx>
          <spPr>
            <a:ln>
              <a:prstDash val="solid"/>
            </a:ln>
          </spPr>
          <cat>
            <numRef>
              <f>'Dashboard'!$E$17:$E$26</f>
            </numRef>
          </cat>
          <val>
            <numRef>
              <f>'Dashboard'!$F$17:$F$26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Gew. Wert nach Branche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>
              <a:prstDash val="solid"/>
            </a:ln>
          </spPr>
          <cat>
            <numRef>
              <f>'Dashboard'!$E$30:$E$37</f>
            </numRef>
          </cat>
          <val>
            <numRef>
              <f>'Dashboard'!$F$30:$F$37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Gew. Forecast + Gewonnen vs. Ziel (CHF)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'Forecast'!E4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'Forecast'!$E$5:$E$10</f>
            </numRef>
          </val>
        </ser>
        <ser>
          <idx val="1"/>
          <order val="1"/>
          <tx>
            <strRef>
              <f>'Forecast'!F4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'Forecast'!$F$5:$F$10</f>
            </numRef>
          </val>
        </ser>
        <ser>
          <idx val="2"/>
          <order val="2"/>
          <tx>
            <strRef>
              <f>'Forecast'!G4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'Forecast'!$G$5:$G$10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Zielerreichung je Verantwortlicher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'Ziele'!F4</f>
            </strRef>
          </tx>
          <spPr>
            <a:ln>
              <a:prstDash val="solid"/>
            </a:ln>
          </spPr>
          <cat>
            <numRef>
              <f>'Ziele'!$B$5:$B$9</f>
            </numRef>
          </cat>
          <val>
            <numRef>
              <f>'Ziele'!$F$5:$F$9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39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56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peline" displayName="Pipeline" ref="A4:Q46" headerRowCount="1">
  <autoFilter ref="A4:Q46"/>
  <tableColumns count="17">
    <tableColumn id="1" name="Deal-ID"/>
    <tableColumn id="2" name="Firma"/>
    <tableColumn id="3" name="Ansprechpartner"/>
    <tableColumn id="4" name="Region"/>
    <tableColumn id="5" name="Branche"/>
    <tableColumn id="6" name="Produkt / Lösung"/>
    <tableColumn id="7" name="Phase"/>
    <tableColumn id="8" name="Priorität"/>
    <tableColumn id="9" name="Volumen (CHF)"/>
    <tableColumn id="10" name="Wahrsch. %"/>
    <tableColumn id="11" name="Gew. Wert (CHF)"/>
    <tableColumn id="12" name="Erstkontakt"/>
    <tableColumn id="13" name="Erw. Abschluss"/>
    <tableColumn id="14" name="Tage bis Abschl."/>
    <tableColumn id="15" name="Verantwortlich"/>
    <tableColumn id="16" name="Nächster Schritt"/>
    <tableColumn id="17" name="Ampel"/>
  </tableColumns>
  <tableStyleInfo name="TableStyleMedium2" showRowStripes="0"/>
</table>
</file>

<file path=xl/tables/table2.xml><?xml version="1.0" encoding="utf-8"?>
<table xmlns="http://schemas.openxmlformats.org/spreadsheetml/2006/main" id="2" name="Aktivitaeten" displayName="Aktivitaeten" ref="A4:H38" headerRowCount="1">
  <autoFilter ref="A4:H38"/>
  <tableColumns count="8">
    <tableColumn id="1" name="Datum"/>
    <tableColumn id="2" name="Firma"/>
    <tableColumn id="3" name="Typ"/>
    <tableColumn id="4" name="Beschreibung"/>
    <tableColumn id="5" name="Fällig am"/>
    <tableColumn id="6" name="Status"/>
    <tableColumn id="7" name="Verantwortlich"/>
    <tableColumn id="8" name="Ampel"/>
  </tableColumns>
  <tableStyleInfo name="TableStyleMedium9" showRowStripes="0"/>
</table>
</file>

<file path=xl/tables/table3.xml><?xml version="1.0" encoding="utf-8"?>
<table xmlns="http://schemas.openxmlformats.org/spreadsheetml/2006/main" id="3" name="Kontakte" displayName="Kontakte" ref="A4:H46" headerRowCount="1">
  <autoFilter ref="A4:H46"/>
  <tableColumns count="8">
    <tableColumn id="1" name="Firma"/>
    <tableColumn id="2" name="Ansprechpartner"/>
    <tableColumn id="3" name="Rolle"/>
    <tableColumn id="4" name="E-Mail"/>
    <tableColumn id="5" name="Telefon"/>
    <tableColumn id="6" name="Region"/>
    <tableColumn id="7" name="Branche"/>
    <tableColumn id="8" name="Letzter Kontakt"/>
  </tableColumns>
  <tableStyleInfo name="TableStyleMedium4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7" customWidth="1" min="4" max="4"/>
    <col width="14" customWidth="1" min="5" max="5"/>
    <col width="14" customWidth="1" min="6" max="6"/>
    <col width="17" customWidth="1" min="7" max="7"/>
    <col width="16" customWidth="1" min="8" max="8"/>
    <col width="14" customWidth="1" min="9" max="9"/>
  </cols>
  <sheetData>
    <row r="2" ht="30" customHeight="1">
      <c r="B2" s="1" t="inlineStr">
        <is>
          <t>VERTRIEBS-COCKPIT</t>
        </is>
      </c>
    </row>
    <row r="3">
      <c r="B3" s="2" t="inlineStr">
        <is>
          <t>Pipeline-Steuerung  ·  Forecast  ·  Live-Marktdaten</t>
        </is>
      </c>
    </row>
    <row r="5">
      <c r="B5" s="3" t="inlineStr">
        <is>
          <t>PIPELINE GESAMT</t>
        </is>
      </c>
      <c r="C5" s="4" t="n"/>
      <c r="D5" s="3" t="inlineStr">
        <is>
          <t>GEWICHTETER FORECAST</t>
        </is>
      </c>
      <c r="E5" s="4" t="n"/>
      <c r="F5" s="3" t="inlineStr">
        <is>
          <t>OFFENE DEALS</t>
        </is>
      </c>
      <c r="G5" s="4" t="n"/>
    </row>
    <row r="6" ht="30" customHeight="1">
      <c r="B6" s="5">
        <f>SUM(Pipeline!I5:I46)</f>
        <v/>
      </c>
      <c r="C6" s="6" t="n"/>
      <c r="D6" s="7">
        <f>SUM(Pipeline!K5:K46)</f>
        <v/>
      </c>
      <c r="E6" s="6" t="n"/>
      <c r="F6" s="8">
        <f>COUNTIFS(Pipeline!G5:G46,"&lt;&gt;Gewonnen",Pipeline!G5:G46,"&lt;&gt;Verloren")</f>
        <v/>
      </c>
      <c r="G6" s="6" t="n"/>
    </row>
    <row r="9">
      <c r="B9" s="3" t="inlineStr">
        <is>
          <t>GEWONNEN (YTD)</t>
        </is>
      </c>
      <c r="C9" s="4" t="n"/>
      <c r="D9" s="3" t="inlineStr">
        <is>
          <t>WIN-RATE</t>
        </is>
      </c>
      <c r="E9" s="4" t="n"/>
      <c r="F9" s="3" t="inlineStr">
        <is>
          <t>Ø DEAL-GRÖSSE</t>
        </is>
      </c>
      <c r="G9" s="4" t="n"/>
    </row>
    <row r="10" ht="30" customHeight="1">
      <c r="B10" s="9">
        <f>SUMIFS(Pipeline!I5:I46,Pipeline!G5:G46,"Gewonnen")</f>
        <v/>
      </c>
      <c r="C10" s="6" t="n"/>
      <c r="D10" s="10">
        <f>IFERROR(COUNTIF(Pipeline!G5:G46,"Gewonnen")/(COUNTIF(Pipeline!G5:G46,"Gewonnen")+COUNTIF(Pipeline!G5:G46,"Verloren")),0)</f>
        <v/>
      </c>
      <c r="E10" s="6" t="n"/>
      <c r="F10" s="11">
        <f>IFERROR(AVERAGE(Pipeline!I5:I46),0)</f>
        <v/>
      </c>
      <c r="G10" s="6" t="n"/>
    </row>
    <row r="15">
      <c r="B15" s="12" t="inlineStr">
        <is>
          <t>Funnel — Pipeline nach Phase (CHF)</t>
        </is>
      </c>
      <c r="E15" s="12" t="inlineStr">
        <is>
          <t>Nach Region (gew. Wert)</t>
        </is>
      </c>
      <c r="H15" s="12" t="inlineStr">
        <is>
          <t>Gew. Forecast je Verantwortlicher</t>
        </is>
      </c>
    </row>
    <row r="16" ht="24" customHeight="1">
      <c r="B16" s="13" t="inlineStr">
        <is>
          <t>Phase</t>
        </is>
      </c>
      <c r="C16" s="13" t="inlineStr">
        <is>
          <t>Volumen</t>
        </is>
      </c>
      <c r="E16" s="13" t="inlineStr">
        <is>
          <t>Region</t>
        </is>
      </c>
      <c r="F16" s="13" t="inlineStr">
        <is>
          <t>Gew. Wert</t>
        </is>
      </c>
      <c r="H16" s="13" t="inlineStr">
        <is>
          <t>Verantwortlich</t>
        </is>
      </c>
      <c r="I16" s="13" t="inlineStr">
        <is>
          <t>Gew. Wert</t>
        </is>
      </c>
    </row>
    <row r="17">
      <c r="B17" s="14" t="inlineStr">
        <is>
          <t>Lead</t>
        </is>
      </c>
      <c r="C17" s="15">
        <f>SUMIFS(Pipeline!I5:I46,Pipeline!G5:G46,B17)</f>
        <v/>
      </c>
      <c r="E17" s="14" t="inlineStr">
        <is>
          <t>Zürich</t>
        </is>
      </c>
      <c r="F17" s="15">
        <f>SUMIFS(Pipeline!K5:K46,Pipeline!D5:D46,E17)</f>
        <v/>
      </c>
      <c r="H17" s="14" t="inlineStr">
        <is>
          <t>Burak Ücöz</t>
        </is>
      </c>
      <c r="I17" s="15">
        <f>SUMIFS(Pipeline!K5:K46,Pipeline!O5:O46,H17)</f>
        <v/>
      </c>
    </row>
    <row r="18">
      <c r="B18" s="14" t="inlineStr">
        <is>
          <t>Qualifiziert</t>
        </is>
      </c>
      <c r="C18" s="15">
        <f>SUMIFS(Pipeline!I5:I46,Pipeline!G5:G46,B18)</f>
        <v/>
      </c>
      <c r="E18" s="14" t="inlineStr">
        <is>
          <t>Bern</t>
        </is>
      </c>
      <c r="F18" s="15">
        <f>SUMIFS(Pipeline!K5:K46,Pipeline!D5:D46,E18)</f>
        <v/>
      </c>
      <c r="H18" s="14" t="inlineStr">
        <is>
          <t>S. Meier</t>
        </is>
      </c>
      <c r="I18" s="15">
        <f>SUMIFS(Pipeline!K5:K46,Pipeline!O5:O46,H18)</f>
        <v/>
      </c>
    </row>
    <row r="19">
      <c r="B19" s="14" t="inlineStr">
        <is>
          <t>Angebot</t>
        </is>
      </c>
      <c r="C19" s="15">
        <f>SUMIFS(Pipeline!I5:I46,Pipeline!G5:G46,B19)</f>
        <v/>
      </c>
      <c r="E19" s="14" t="inlineStr">
        <is>
          <t>Waadt</t>
        </is>
      </c>
      <c r="F19" s="15">
        <f>SUMIFS(Pipeline!K5:K46,Pipeline!D5:D46,E19)</f>
        <v/>
      </c>
      <c r="H19" s="14" t="inlineStr">
        <is>
          <t>L. Rossi</t>
        </is>
      </c>
      <c r="I19" s="15">
        <f>SUMIFS(Pipeline!K5:K46,Pipeline!O5:O46,H19)</f>
        <v/>
      </c>
    </row>
    <row r="20">
      <c r="B20" s="14" t="inlineStr">
        <is>
          <t>Verhandlung</t>
        </is>
      </c>
      <c r="C20" s="15">
        <f>SUMIFS(Pipeline!I5:I46,Pipeline!G5:G46,B20)</f>
        <v/>
      </c>
      <c r="E20" s="14" t="inlineStr">
        <is>
          <t>Genf</t>
        </is>
      </c>
      <c r="F20" s="15">
        <f>SUMIFS(Pipeline!K5:K46,Pipeline!D5:D46,E20)</f>
        <v/>
      </c>
      <c r="H20" s="14" t="inlineStr">
        <is>
          <t>N. Keller</t>
        </is>
      </c>
      <c r="I20" s="15">
        <f>SUMIFS(Pipeline!K5:K46,Pipeline!O5:O46,H20)</f>
        <v/>
      </c>
    </row>
    <row r="21">
      <c r="B21" s="14" t="inlineStr">
        <is>
          <t>Gewonnen</t>
        </is>
      </c>
      <c r="C21" s="15">
        <f>SUMIFS(Pipeline!I5:I46,Pipeline!G5:G46,B21)</f>
        <v/>
      </c>
      <c r="E21" s="14" t="inlineStr">
        <is>
          <t>Basel</t>
        </is>
      </c>
      <c r="F21" s="15">
        <f>SUMIFS(Pipeline!K5:K46,Pipeline!D5:D46,E21)</f>
        <v/>
      </c>
      <c r="H21" s="14" t="inlineStr">
        <is>
          <t>A. Favre</t>
        </is>
      </c>
      <c r="I21" s="15">
        <f>SUMIFS(Pipeline!K5:K46,Pipeline!O5:O46,H21)</f>
        <v/>
      </c>
    </row>
    <row r="22">
      <c r="E22" s="14" t="inlineStr">
        <is>
          <t>Aargau</t>
        </is>
      </c>
      <c r="F22" s="15">
        <f>SUMIFS(Pipeline!K5:K46,Pipeline!D5:D46,E22)</f>
        <v/>
      </c>
    </row>
    <row r="23">
      <c r="E23" s="14" t="inlineStr">
        <is>
          <t>St. Gallen</t>
        </is>
      </c>
      <c r="F23" s="15">
        <f>SUMIFS(Pipeline!K5:K46,Pipeline!D5:D46,E23)</f>
        <v/>
      </c>
    </row>
    <row r="24">
      <c r="E24" s="14" t="inlineStr">
        <is>
          <t>Tessin</t>
        </is>
      </c>
      <c r="F24" s="15">
        <f>SUMIFS(Pipeline!K5:K46,Pipeline!D5:D46,E24)</f>
        <v/>
      </c>
    </row>
    <row r="25">
      <c r="E25" s="14" t="inlineStr">
        <is>
          <t>Luzern</t>
        </is>
      </c>
      <c r="F25" s="15">
        <f>SUMIFS(Pipeline!K5:K46,Pipeline!D5:D46,E25)</f>
        <v/>
      </c>
    </row>
    <row r="26">
      <c r="E26" s="14" t="inlineStr">
        <is>
          <t>Wallis</t>
        </is>
      </c>
      <c r="F26" s="15">
        <f>SUMIFS(Pipeline!K5:K46,Pipeline!D5:D46,E26)</f>
        <v/>
      </c>
    </row>
    <row r="28">
      <c r="E28" s="12" t="inlineStr">
        <is>
          <t>Nach Branche (gew. Wert)</t>
        </is>
      </c>
    </row>
    <row r="29" ht="24" customHeight="1">
      <c r="E29" s="13" t="inlineStr">
        <is>
          <t>Branche</t>
        </is>
      </c>
      <c r="F29" s="13" t="inlineStr">
        <is>
          <t>Gew. Wert</t>
        </is>
      </c>
    </row>
    <row r="30">
      <c r="E30" s="14" t="inlineStr">
        <is>
          <t>Detailhandel</t>
        </is>
      </c>
      <c r="F30" s="15">
        <f>SUMIFS(Pipeline!K5:K46,Pipeline!E5:E46,E30)</f>
        <v/>
      </c>
    </row>
    <row r="31">
      <c r="E31" s="14" t="inlineStr">
        <is>
          <t>Logistik</t>
        </is>
      </c>
      <c r="F31" s="15">
        <f>SUMIFS(Pipeline!K5:K46,Pipeline!E5:E46,E31)</f>
        <v/>
      </c>
    </row>
    <row r="32">
      <c r="E32" s="14" t="inlineStr">
        <is>
          <t>Immobilien</t>
        </is>
      </c>
      <c r="F32" s="15">
        <f>SUMIFS(Pipeline!K5:K46,Pipeline!E5:E46,E32)</f>
        <v/>
      </c>
    </row>
    <row r="33">
      <c r="E33" s="14" t="inlineStr">
        <is>
          <t>Hotellerie</t>
        </is>
      </c>
      <c r="F33" s="15">
        <f>SUMIFS(Pipeline!K5:K46,Pipeline!E5:E46,E33)</f>
        <v/>
      </c>
    </row>
    <row r="34">
      <c r="E34" s="14" t="inlineStr">
        <is>
          <t>Öffentliche Hand</t>
        </is>
      </c>
      <c r="F34" s="15">
        <f>SUMIFS(Pipeline!K5:K46,Pipeline!E5:E46,E34)</f>
        <v/>
      </c>
    </row>
    <row r="35">
      <c r="E35" s="14" t="inlineStr">
        <is>
          <t>Industrie</t>
        </is>
      </c>
      <c r="F35" s="15">
        <f>SUMIFS(Pipeline!K5:K46,Pipeline!E5:E46,E35)</f>
        <v/>
      </c>
    </row>
    <row r="36">
      <c r="E36" s="14" t="inlineStr">
        <is>
          <t>Tankstellen</t>
        </is>
      </c>
      <c r="F36" s="15">
        <f>SUMIFS(Pipeline!K5:K46,Pipeline!E5:E46,E36)</f>
        <v/>
      </c>
    </row>
    <row r="37">
      <c r="E37" s="14" t="inlineStr">
        <is>
          <t>Flottenbetrieb</t>
        </is>
      </c>
      <c r="F37" s="15">
        <f>SUMIFS(Pipeline!K5:K46,Pipeline!E5:E46,E37)</f>
        <v/>
      </c>
    </row>
  </sheetData>
  <mergeCells count="14">
    <mergeCell ref="D6:E6"/>
    <mergeCell ref="B6:C6"/>
    <mergeCell ref="D10:E10"/>
    <mergeCell ref="F10:G10"/>
    <mergeCell ref="B5:C5"/>
    <mergeCell ref="F5:G5"/>
    <mergeCell ref="D5:E5"/>
    <mergeCell ref="B10:C10"/>
    <mergeCell ref="B2:H2"/>
    <mergeCell ref="F6:G6"/>
    <mergeCell ref="B9:C9"/>
    <mergeCell ref="B3:H3"/>
    <mergeCell ref="D9:E9"/>
    <mergeCell ref="F9:G9"/>
  </mergeCells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12" customWidth="1" min="4" max="4"/>
    <col width="15" customWidth="1" min="5" max="5"/>
    <col width="22" customWidth="1" min="6" max="6"/>
    <col width="14" customWidth="1" min="7" max="7"/>
    <col width="11" customWidth="1" min="8" max="8"/>
    <col width="15" customWidth="1" min="9" max="9"/>
    <col width="11" customWidth="1" min="10" max="10"/>
    <col width="16" customWidth="1" min="11" max="11"/>
    <col width="13" customWidth="1" min="12" max="12"/>
    <col width="14" customWidth="1" min="13" max="13"/>
    <col width="15" customWidth="1" min="14" max="14"/>
    <col width="15" customWidth="1" min="15" max="15"/>
    <col width="26" customWidth="1" min="16" max="16"/>
    <col width="8" customWidth="1" min="17" max="17"/>
  </cols>
  <sheetData>
    <row r="1" ht="30" customHeight="1">
      <c r="A1" s="16" t="inlineStr">
        <is>
          <t>VERTRIEBS-PIPELINE</t>
        </is>
      </c>
    </row>
    <row r="2">
      <c r="A2" s="17" t="inlineStr">
        <is>
          <t>Filtern über die Kopfzeilen-Pfeile · Dropdowns für Phase/Priorität/Region/… · Wahrscheinlichkeit, gew. Wert, Tage bis Abschluss &amp; Ampel rechnen automatisch.</t>
        </is>
      </c>
    </row>
    <row r="4" ht="26" customHeight="1">
      <c r="A4" s="13" t="inlineStr">
        <is>
          <t>Deal-ID</t>
        </is>
      </c>
      <c r="B4" s="13" t="inlineStr">
        <is>
          <t>Firma</t>
        </is>
      </c>
      <c r="C4" s="13" t="inlineStr">
        <is>
          <t>Ansprechpartner</t>
        </is>
      </c>
      <c r="D4" s="13" t="inlineStr">
        <is>
          <t>Region</t>
        </is>
      </c>
      <c r="E4" s="13" t="inlineStr">
        <is>
          <t>Branche</t>
        </is>
      </c>
      <c r="F4" s="13" t="inlineStr">
        <is>
          <t>Produkt / Lösung</t>
        </is>
      </c>
      <c r="G4" s="13" t="inlineStr">
        <is>
          <t>Phase</t>
        </is>
      </c>
      <c r="H4" s="13" t="inlineStr">
        <is>
          <t>Priorität</t>
        </is>
      </c>
      <c r="I4" s="13" t="inlineStr">
        <is>
          <t>Volumen (CHF)</t>
        </is>
      </c>
      <c r="J4" s="13" t="inlineStr">
        <is>
          <t>Wahrsch. %</t>
        </is>
      </c>
      <c r="K4" s="13" t="inlineStr">
        <is>
          <t>Gew. Wert (CHF)</t>
        </is>
      </c>
      <c r="L4" s="13" t="inlineStr">
        <is>
          <t>Erstkontakt</t>
        </is>
      </c>
      <c r="M4" s="13" t="inlineStr">
        <is>
          <t>Erw. Abschluss</t>
        </is>
      </c>
      <c r="N4" s="13" t="inlineStr">
        <is>
          <t>Tage bis Abschl.</t>
        </is>
      </c>
      <c r="O4" s="13" t="inlineStr">
        <is>
          <t>Verantwortlich</t>
        </is>
      </c>
      <c r="P4" s="13" t="inlineStr">
        <is>
          <t>Nächster Schritt</t>
        </is>
      </c>
      <c r="Q4" s="13" t="inlineStr">
        <is>
          <t>Ampel</t>
        </is>
      </c>
    </row>
    <row r="5" ht="20" customHeight="1">
      <c r="A5" s="18" t="inlineStr">
        <is>
          <t>D-1001</t>
        </is>
      </c>
      <c r="B5" s="19" t="inlineStr">
        <is>
          <t>Migros Ostschweiz</t>
        </is>
      </c>
      <c r="C5" s="19" t="inlineStr">
        <is>
          <t>R. Brunner</t>
        </is>
      </c>
      <c r="D5" s="19" t="inlineStr">
        <is>
          <t>St. Gallen</t>
        </is>
      </c>
      <c r="E5" s="19" t="inlineStr">
        <is>
          <t>Detailhandel</t>
        </is>
      </c>
      <c r="F5" s="19" t="inlineStr">
        <is>
          <t>DC-HPC 150 kW</t>
        </is>
      </c>
      <c r="G5" s="19" t="inlineStr">
        <is>
          <t>Verhandlung</t>
        </is>
      </c>
      <c r="H5" s="19" t="inlineStr">
        <is>
          <t>Hoch</t>
        </is>
      </c>
      <c r="I5" s="20" t="n">
        <v>340000</v>
      </c>
      <c r="J5" s="21">
        <f>IFERROR(_xlfn.XLOOKUP(G5,Listen!$A$5:$A$10,Listen!$B$5:$B$10),VLOOKUP(G5,Listen!$A$5:$B$10,2,FALSE))</f>
        <v/>
      </c>
      <c r="K5" s="22">
        <f>I5*J5</f>
        <v/>
      </c>
      <c r="L5" s="23" t="n">
        <v>46154</v>
      </c>
      <c r="M5" s="23" t="n">
        <v>46230</v>
      </c>
      <c r="N5" s="24">
        <f>IF(OR(G5="Gewonnen",G5="Verloren"),"—",M5-TODAY())</f>
        <v/>
      </c>
      <c r="O5" s="19" t="inlineStr">
        <is>
          <t>Burak Ücöz</t>
        </is>
      </c>
      <c r="P5" s="19" t="inlineStr">
        <is>
          <t>Vertrag final abstimmen</t>
        </is>
      </c>
      <c r="Q5" s="25">
        <f>IF(G5="Gewonnen","✅",IF(G5="Verloren","⬛",IF(N5&lt;=14,"🔴",IF(N5&lt;=45,"🟡","🟢"))))</f>
        <v/>
      </c>
    </row>
    <row r="6" ht="20" customHeight="1">
      <c r="A6" s="26" t="inlineStr">
        <is>
          <t>D-1002</t>
        </is>
      </c>
      <c r="B6" s="27" t="inlineStr">
        <is>
          <t>Planzer Transport</t>
        </is>
      </c>
      <c r="C6" s="27" t="inlineStr">
        <is>
          <t>M. Planzer</t>
        </is>
      </c>
      <c r="D6" s="27" t="inlineStr">
        <is>
          <t>Zürich</t>
        </is>
      </c>
      <c r="E6" s="27" t="inlineStr">
        <is>
          <t>Logistik</t>
        </is>
      </c>
      <c r="F6" s="27" t="inlineStr">
        <is>
          <t>Lastmanagement-System</t>
        </is>
      </c>
      <c r="G6" s="27" t="inlineStr">
        <is>
          <t>Angebot</t>
        </is>
      </c>
      <c r="H6" s="27" t="inlineStr">
        <is>
          <t>Hoch</t>
        </is>
      </c>
      <c r="I6" s="28" t="n">
        <v>210000</v>
      </c>
      <c r="J6" s="29">
        <f>IFERROR(_xlfn.XLOOKUP(G6,Listen!$A$5:$A$10,Listen!$B$5:$B$10),VLOOKUP(G6,Listen!$A$5:$B$10,2,FALSE))</f>
        <v/>
      </c>
      <c r="K6" s="30">
        <f>I6*J6</f>
        <v/>
      </c>
      <c r="L6" s="31" t="n">
        <v>46175</v>
      </c>
      <c r="M6" s="31" t="n">
        <v>46244</v>
      </c>
      <c r="N6" s="32">
        <f>IF(OR(G6="Gewonnen",G6="Verloren"),"—",M6-TODAY())</f>
        <v/>
      </c>
      <c r="O6" s="27" t="inlineStr">
        <is>
          <t>Burak Ücöz</t>
        </is>
      </c>
      <c r="P6" s="27" t="inlineStr">
        <is>
          <t>Angebot nachfassen</t>
        </is>
      </c>
      <c r="Q6" s="33">
        <f>IF(G6="Gewonnen","✅",IF(G6="Verloren","⬛",IF(N6&lt;=14,"🔴",IF(N6&lt;=45,"🟡","🟢"))))</f>
        <v/>
      </c>
    </row>
    <row r="7" ht="20" customHeight="1">
      <c r="A7" s="18" t="inlineStr">
        <is>
          <t>D-1003</t>
        </is>
      </c>
      <c r="B7" s="19" t="inlineStr">
        <is>
          <t>SBB Immobilien</t>
        </is>
      </c>
      <c r="C7" s="19" t="inlineStr">
        <is>
          <t>C. Wyss</t>
        </is>
      </c>
      <c r="D7" s="19" t="inlineStr">
        <is>
          <t>Bern</t>
        </is>
      </c>
      <c r="E7" s="19" t="inlineStr">
        <is>
          <t>Immobilien</t>
        </is>
      </c>
      <c r="F7" s="19" t="inlineStr">
        <is>
          <t>DC-Schnelllader 60 kW</t>
        </is>
      </c>
      <c r="G7" s="19" t="inlineStr">
        <is>
          <t>Qualifiziert</t>
        </is>
      </c>
      <c r="H7" s="19" t="inlineStr">
        <is>
          <t>Hoch</t>
        </is>
      </c>
      <c r="I7" s="20" t="n">
        <v>480000</v>
      </c>
      <c r="J7" s="21">
        <f>IFERROR(_xlfn.XLOOKUP(G7,Listen!$A$5:$A$10,Listen!$B$5:$B$10),VLOOKUP(G7,Listen!$A$5:$B$10,2,FALSE))</f>
        <v/>
      </c>
      <c r="K7" s="22">
        <f>I7*J7</f>
        <v/>
      </c>
      <c r="L7" s="23" t="n">
        <v>46188</v>
      </c>
      <c r="M7" s="23" t="n">
        <v>46281</v>
      </c>
      <c r="N7" s="24">
        <f>IF(OR(G7="Gewonnen",G7="Verloren"),"—",M7-TODAY())</f>
        <v/>
      </c>
      <c r="O7" s="19" t="inlineStr">
        <is>
          <t>S. Meier</t>
        </is>
      </c>
      <c r="P7" s="19" t="inlineStr">
        <is>
          <t>Standort-Audit terminieren</t>
        </is>
      </c>
      <c r="Q7" s="25">
        <f>IF(G7="Gewonnen","✅",IF(G7="Verloren","⬛",IF(N7&lt;=14,"🔴",IF(N7&lt;=45,"🟡","🟢"))))</f>
        <v/>
      </c>
    </row>
    <row r="8" ht="20" customHeight="1">
      <c r="A8" s="26" t="inlineStr">
        <is>
          <t>D-1004</t>
        </is>
      </c>
      <c r="B8" s="27" t="inlineStr">
        <is>
          <t>Coop Mineraloel</t>
        </is>
      </c>
      <c r="C8" s="27" t="inlineStr">
        <is>
          <t>T. Frei</t>
        </is>
      </c>
      <c r="D8" s="27" t="inlineStr">
        <is>
          <t>Aargau</t>
        </is>
      </c>
      <c r="E8" s="27" t="inlineStr">
        <is>
          <t>Tankstellen</t>
        </is>
      </c>
      <c r="F8" s="27" t="inlineStr">
        <is>
          <t>DC-HPC 150 kW</t>
        </is>
      </c>
      <c r="G8" s="27" t="inlineStr">
        <is>
          <t>Verhandlung</t>
        </is>
      </c>
      <c r="H8" s="27" t="inlineStr">
        <is>
          <t>Hoch</t>
        </is>
      </c>
      <c r="I8" s="28" t="n">
        <v>620000</v>
      </c>
      <c r="J8" s="29">
        <f>IFERROR(_xlfn.XLOOKUP(G8,Listen!$A$5:$A$10,Listen!$B$5:$B$10),VLOOKUP(G8,Listen!$A$5:$B$10,2,FALSE))</f>
        <v/>
      </c>
      <c r="K8" s="30">
        <f>I8*J8</f>
        <v/>
      </c>
      <c r="L8" s="31" t="n">
        <v>46142</v>
      </c>
      <c r="M8" s="31" t="n">
        <v>46221</v>
      </c>
      <c r="N8" s="32">
        <f>IF(OR(G8="Gewonnen",G8="Verloren"),"—",M8-TODAY())</f>
        <v/>
      </c>
      <c r="O8" s="27" t="inlineStr">
        <is>
          <t>Burak Ücöz</t>
        </is>
      </c>
      <c r="P8" s="27" t="inlineStr">
        <is>
          <t>Preisstaffel bestätigen</t>
        </is>
      </c>
      <c r="Q8" s="33">
        <f>IF(G8="Gewonnen","✅",IF(G8="Verloren","⬛",IF(N8&lt;=14,"🔴",IF(N8&lt;=45,"🟡","🟢"))))</f>
        <v/>
      </c>
    </row>
    <row r="9" ht="20" customHeight="1">
      <c r="A9" s="18" t="inlineStr">
        <is>
          <t>D-1005</t>
        </is>
      </c>
      <c r="B9" s="19" t="inlineStr">
        <is>
          <t>Hotel Belvédère</t>
        </is>
      </c>
      <c r="C9" s="19" t="inlineStr">
        <is>
          <t>G. Rossi</t>
        </is>
      </c>
      <c r="D9" s="19" t="inlineStr">
        <is>
          <t>Wallis</t>
        </is>
      </c>
      <c r="E9" s="19" t="inlineStr">
        <is>
          <t>Hotellerie</t>
        </is>
      </c>
      <c r="F9" s="19" t="inlineStr">
        <is>
          <t>AC-Ladestation 22 kW</t>
        </is>
      </c>
      <c r="G9" s="19" t="inlineStr">
        <is>
          <t>Angebot</t>
        </is>
      </c>
      <c r="H9" s="19" t="inlineStr">
        <is>
          <t>Mittel</t>
        </is>
      </c>
      <c r="I9" s="20" t="n">
        <v>48000</v>
      </c>
      <c r="J9" s="21">
        <f>IFERROR(_xlfn.XLOOKUP(G9,Listen!$A$5:$A$10,Listen!$B$5:$B$10),VLOOKUP(G9,Listen!$A$5:$B$10,2,FALSE))</f>
        <v/>
      </c>
      <c r="K9" s="22">
        <f>I9*J9</f>
        <v/>
      </c>
      <c r="L9" s="23" t="n">
        <v>46184</v>
      </c>
      <c r="M9" s="23" t="n">
        <v>46236</v>
      </c>
      <c r="N9" s="24">
        <f>IF(OR(G9="Gewonnen",G9="Verloren"),"—",M9-TODAY())</f>
        <v/>
      </c>
      <c r="O9" s="19" t="inlineStr">
        <is>
          <t>L. Rossi</t>
        </is>
      </c>
      <c r="P9" s="19" t="inlineStr">
        <is>
          <t>Referenzbesuch anbieten</t>
        </is>
      </c>
      <c r="Q9" s="25">
        <f>IF(G9="Gewonnen","✅",IF(G9="Verloren","⬛",IF(N9&lt;=14,"🔴",IF(N9&lt;=45,"🟡","🟢"))))</f>
        <v/>
      </c>
    </row>
    <row r="10" ht="20" customHeight="1">
      <c r="A10" s="26" t="inlineStr">
        <is>
          <t>D-1006</t>
        </is>
      </c>
      <c r="B10" s="27" t="inlineStr">
        <is>
          <t>Stadt Zürich TAZ</t>
        </is>
      </c>
      <c r="C10" s="27" t="inlineStr">
        <is>
          <t>P. Huber</t>
        </is>
      </c>
      <c r="D10" s="27" t="inlineStr">
        <is>
          <t>Zürich</t>
        </is>
      </c>
      <c r="E10" s="27" t="inlineStr">
        <is>
          <t>Öffentliche Hand</t>
        </is>
      </c>
      <c r="F10" s="27" t="inlineStr">
        <is>
          <t>Full-Service Betrieb</t>
        </is>
      </c>
      <c r="G10" s="27" t="inlineStr">
        <is>
          <t>Qualifiziert</t>
        </is>
      </c>
      <c r="H10" s="27" t="inlineStr">
        <is>
          <t>Hoch</t>
        </is>
      </c>
      <c r="I10" s="28" t="n">
        <v>390000</v>
      </c>
      <c r="J10" s="29">
        <f>IFERROR(_xlfn.XLOOKUP(G10,Listen!$A$5:$A$10,Listen!$B$5:$B$10),VLOOKUP(G10,Listen!$A$5:$B$10,2,FALSE))</f>
        <v/>
      </c>
      <c r="K10" s="30">
        <f>I10*J10</f>
        <v/>
      </c>
      <c r="L10" s="31" t="n">
        <v>46166</v>
      </c>
      <c r="M10" s="31" t="n">
        <v>46296</v>
      </c>
      <c r="N10" s="32">
        <f>IF(OR(G10="Gewonnen",G10="Verloren"),"—",M10-TODAY())</f>
        <v/>
      </c>
      <c r="O10" s="27" t="inlineStr">
        <is>
          <t>N. Keller</t>
        </is>
      </c>
      <c r="P10" s="27" t="inlineStr">
        <is>
          <t>Ausschreibung prüfen</t>
        </is>
      </c>
      <c r="Q10" s="33">
        <f>IF(G10="Gewonnen","✅",IF(G10="Verloren","⬛",IF(N10&lt;=14,"🔴",IF(N10&lt;=45,"🟡","🟢"))))</f>
        <v/>
      </c>
    </row>
    <row r="11" ht="20" customHeight="1">
      <c r="A11" s="18" t="inlineStr">
        <is>
          <t>D-1007</t>
        </is>
      </c>
      <c r="B11" s="19" t="inlineStr">
        <is>
          <t>Emmi Gruppe</t>
        </is>
      </c>
      <c r="C11" s="19" t="inlineStr">
        <is>
          <t>D. Schmid</t>
        </is>
      </c>
      <c r="D11" s="19" t="inlineStr">
        <is>
          <t>Luzern</t>
        </is>
      </c>
      <c r="E11" s="19" t="inlineStr">
        <is>
          <t>Industrie</t>
        </is>
      </c>
      <c r="F11" s="19" t="inlineStr">
        <is>
          <t>PV + Speicher Kombi</t>
        </is>
      </c>
      <c r="G11" s="19" t="inlineStr">
        <is>
          <t>Lead</t>
        </is>
      </c>
      <c r="H11" s="19" t="inlineStr">
        <is>
          <t>Mittel</t>
        </is>
      </c>
      <c r="I11" s="20" t="n">
        <v>275000</v>
      </c>
      <c r="J11" s="21">
        <f>IFERROR(_xlfn.XLOOKUP(G11,Listen!$A$5:$A$10,Listen!$B$5:$B$10),VLOOKUP(G11,Listen!$A$5:$B$10,2,FALSE))</f>
        <v/>
      </c>
      <c r="K11" s="22">
        <f>I11*J11</f>
        <v/>
      </c>
      <c r="L11" s="23" t="n">
        <v>46200</v>
      </c>
      <c r="M11" s="23" t="n">
        <v>46326</v>
      </c>
      <c r="N11" s="24">
        <f>IF(OR(G11="Gewonnen",G11="Verloren"),"—",M11-TODAY())</f>
        <v/>
      </c>
      <c r="O11" s="19" t="inlineStr">
        <is>
          <t>S. Meier</t>
        </is>
      </c>
      <c r="P11" s="19" t="inlineStr">
        <is>
          <t>Erstgespräch vereinbaren</t>
        </is>
      </c>
      <c r="Q11" s="25">
        <f>IF(G11="Gewonnen","✅",IF(G11="Verloren","⬛",IF(N11&lt;=14,"🔴",IF(N11&lt;=45,"🟡","🟢"))))</f>
        <v/>
      </c>
    </row>
    <row r="12" ht="20" customHeight="1">
      <c r="A12" s="26" t="inlineStr">
        <is>
          <t>D-1008</t>
        </is>
      </c>
      <c r="B12" s="27" t="inlineStr">
        <is>
          <t>Groupe Mutuel</t>
        </is>
      </c>
      <c r="C12" s="27" t="inlineStr">
        <is>
          <t>J. Favre</t>
        </is>
      </c>
      <c r="D12" s="27" t="inlineStr">
        <is>
          <t>Waadt</t>
        </is>
      </c>
      <c r="E12" s="27" t="inlineStr">
        <is>
          <t>Immobilien</t>
        </is>
      </c>
      <c r="F12" s="27" t="inlineStr">
        <is>
          <t>AC-Ladestation 22 kW</t>
        </is>
      </c>
      <c r="G12" s="27" t="inlineStr">
        <is>
          <t>Angebot</t>
        </is>
      </c>
      <c r="H12" s="27" t="inlineStr">
        <is>
          <t>Mittel</t>
        </is>
      </c>
      <c r="I12" s="28" t="n">
        <v>96000</v>
      </c>
      <c r="J12" s="29">
        <f>IFERROR(_xlfn.XLOOKUP(G12,Listen!$A$5:$A$10,Listen!$B$5:$B$10),VLOOKUP(G12,Listen!$A$5:$B$10,2,FALSE))</f>
        <v/>
      </c>
      <c r="K12" s="30">
        <f>I12*J12</f>
        <v/>
      </c>
      <c r="L12" s="31" t="n">
        <v>46179</v>
      </c>
      <c r="M12" s="31" t="n">
        <v>46248</v>
      </c>
      <c r="N12" s="32">
        <f>IF(OR(G12="Gewonnen",G12="Verloren"),"—",M12-TODAY())</f>
        <v/>
      </c>
      <c r="O12" s="27" t="inlineStr">
        <is>
          <t>A. Favre</t>
        </is>
      </c>
      <c r="P12" s="27" t="inlineStr">
        <is>
          <t>Angebot v2 senden</t>
        </is>
      </c>
      <c r="Q12" s="33">
        <f>IF(G12="Gewonnen","✅",IF(G12="Verloren","⬛",IF(N12&lt;=14,"🔴",IF(N12&lt;=45,"🟡","🟢"))))</f>
        <v/>
      </c>
    </row>
    <row r="13" ht="20" customHeight="1">
      <c r="A13" s="18" t="inlineStr">
        <is>
          <t>D-1009</t>
        </is>
      </c>
      <c r="B13" s="19" t="inlineStr">
        <is>
          <t>Läderach</t>
        </is>
      </c>
      <c r="C13" s="19" t="inlineStr">
        <is>
          <t>S. Läderach</t>
        </is>
      </c>
      <c r="D13" s="19" t="inlineStr">
        <is>
          <t>Aargau</t>
        </is>
      </c>
      <c r="E13" s="19" t="inlineStr">
        <is>
          <t>Detailhandel</t>
        </is>
      </c>
      <c r="F13" s="19" t="inlineStr">
        <is>
          <t>AC-Ladestation 22 kW</t>
        </is>
      </c>
      <c r="G13" s="19" t="inlineStr">
        <is>
          <t>Gewonnen</t>
        </is>
      </c>
      <c r="H13" s="19" t="inlineStr">
        <is>
          <t>Mittel</t>
        </is>
      </c>
      <c r="I13" s="20" t="n">
        <v>62000</v>
      </c>
      <c r="J13" s="21">
        <f>IFERROR(_xlfn.XLOOKUP(G13,Listen!$A$5:$A$10,Listen!$B$5:$B$10),VLOOKUP(G13,Listen!$A$5:$B$10,2,FALSE))</f>
        <v/>
      </c>
      <c r="K13" s="22">
        <f>I13*J13</f>
        <v/>
      </c>
      <c r="L13" s="23" t="n">
        <v>46118</v>
      </c>
      <c r="M13" s="23" t="n">
        <v>46202</v>
      </c>
      <c r="N13" s="24">
        <f>IF(OR(G13="Gewonnen",G13="Verloren"),"—",M13-TODAY())</f>
        <v/>
      </c>
      <c r="O13" s="19" t="inlineStr">
        <is>
          <t>Burak Ücöz</t>
        </is>
      </c>
      <c r="P13" s="19" t="inlineStr">
        <is>
          <t>Umsetzung übergeben</t>
        </is>
      </c>
      <c r="Q13" s="25">
        <f>IF(G13="Gewonnen","✅",IF(G13="Verloren","⬛",IF(N13&lt;=14,"🔴",IF(N13&lt;=45,"🟡","🟢"))))</f>
        <v/>
      </c>
    </row>
    <row r="14" ht="20" customHeight="1">
      <c r="A14" s="26" t="inlineStr">
        <is>
          <t>D-1010</t>
        </is>
      </c>
      <c r="B14" s="27" t="inlineStr">
        <is>
          <t>Post Fleet</t>
        </is>
      </c>
      <c r="C14" s="27" t="inlineStr">
        <is>
          <t>M. Berger</t>
        </is>
      </c>
      <c r="D14" s="27" t="inlineStr">
        <is>
          <t>Bern</t>
        </is>
      </c>
      <c r="E14" s="27" t="inlineStr">
        <is>
          <t>Flottenbetrieb</t>
        </is>
      </c>
      <c r="F14" s="27" t="inlineStr">
        <is>
          <t>Lastmanagement-System</t>
        </is>
      </c>
      <c r="G14" s="27" t="inlineStr">
        <is>
          <t>Verhandlung</t>
        </is>
      </c>
      <c r="H14" s="27" t="inlineStr">
        <is>
          <t>Hoch</t>
        </is>
      </c>
      <c r="I14" s="28" t="n">
        <v>540000</v>
      </c>
      <c r="J14" s="29">
        <f>IFERROR(_xlfn.XLOOKUP(G14,Listen!$A$5:$A$10,Listen!$B$5:$B$10),VLOOKUP(G14,Listen!$A$5:$B$10,2,FALSE))</f>
        <v/>
      </c>
      <c r="K14" s="30">
        <f>I14*J14</f>
        <v/>
      </c>
      <c r="L14" s="31" t="n">
        <v>46158</v>
      </c>
      <c r="M14" s="31" t="n">
        <v>46226</v>
      </c>
      <c r="N14" s="32">
        <f>IF(OR(G14="Gewonnen",G14="Verloren"),"—",M14-TODAY())</f>
        <v/>
      </c>
      <c r="O14" s="27" t="inlineStr">
        <is>
          <t>Burak Ücöz</t>
        </is>
      </c>
      <c r="P14" s="27" t="inlineStr">
        <is>
          <t>Rahmenvertrag verhandeln</t>
        </is>
      </c>
      <c r="Q14" s="33">
        <f>IF(G14="Gewonnen","✅",IF(G14="Verloren","⬛",IF(N14&lt;=14,"🔴",IF(N14&lt;=45,"🟡","🟢"))))</f>
        <v/>
      </c>
    </row>
    <row r="15" ht="20" customHeight="1">
      <c r="A15" s="18" t="inlineStr">
        <is>
          <t>D-1011</t>
        </is>
      </c>
      <c r="B15" s="19" t="inlineStr">
        <is>
          <t>TCS Genf</t>
        </is>
      </c>
      <c r="C15" s="19" t="inlineStr">
        <is>
          <t>F. Dubois</t>
        </is>
      </c>
      <c r="D15" s="19" t="inlineStr">
        <is>
          <t>Genf</t>
        </is>
      </c>
      <c r="E15" s="19" t="inlineStr">
        <is>
          <t>Öffentliche Hand</t>
        </is>
      </c>
      <c r="F15" s="19" t="inlineStr">
        <is>
          <t>DC-Schnelllader 60 kW</t>
        </is>
      </c>
      <c r="G15" s="19" t="inlineStr">
        <is>
          <t>Qualifiziert</t>
        </is>
      </c>
      <c r="H15" s="19" t="inlineStr">
        <is>
          <t>Mittel</t>
        </is>
      </c>
      <c r="I15" s="20" t="n">
        <v>180000</v>
      </c>
      <c r="J15" s="21">
        <f>IFERROR(_xlfn.XLOOKUP(G15,Listen!$A$5:$A$10,Listen!$B$5:$B$10),VLOOKUP(G15,Listen!$A$5:$B$10,2,FALSE))</f>
        <v/>
      </c>
      <c r="K15" s="22">
        <f>I15*J15</f>
        <v/>
      </c>
      <c r="L15" s="23" t="n">
        <v>46191</v>
      </c>
      <c r="M15" s="23" t="n">
        <v>46272</v>
      </c>
      <c r="N15" s="24">
        <f>IF(OR(G15="Gewonnen",G15="Verloren"),"—",M15-TODAY())</f>
        <v/>
      </c>
      <c r="O15" s="19" t="inlineStr">
        <is>
          <t>A. Favre</t>
        </is>
      </c>
      <c r="P15" s="19" t="inlineStr">
        <is>
          <t>Bedarf konkretisieren</t>
        </is>
      </c>
      <c r="Q15" s="25">
        <f>IF(G15="Gewonnen","✅",IF(G15="Verloren","⬛",IF(N15&lt;=14,"🔴",IF(N15&lt;=45,"🟡","🟢"))))</f>
        <v/>
      </c>
    </row>
    <row r="16" ht="20" customHeight="1">
      <c r="A16" s="26" t="inlineStr">
        <is>
          <t>D-1012</t>
        </is>
      </c>
      <c r="B16" s="27" t="inlineStr">
        <is>
          <t>IKEA Spreitenbach</t>
        </is>
      </c>
      <c r="C16" s="27" t="inlineStr">
        <is>
          <t>K. Nilsson</t>
        </is>
      </c>
      <c r="D16" s="27" t="inlineStr">
        <is>
          <t>Aargau</t>
        </is>
      </c>
      <c r="E16" s="27" t="inlineStr">
        <is>
          <t>Detailhandel</t>
        </is>
      </c>
      <c r="F16" s="27" t="inlineStr">
        <is>
          <t>DC-HPC 150 kW</t>
        </is>
      </c>
      <c r="G16" s="27" t="inlineStr">
        <is>
          <t>Angebot</t>
        </is>
      </c>
      <c r="H16" s="27" t="inlineStr">
        <is>
          <t>Hoch</t>
        </is>
      </c>
      <c r="I16" s="28" t="n">
        <v>410000</v>
      </c>
      <c r="J16" s="29">
        <f>IFERROR(_xlfn.XLOOKUP(G16,Listen!$A$5:$A$10,Listen!$B$5:$B$10),VLOOKUP(G16,Listen!$A$5:$B$10,2,FALSE))</f>
        <v/>
      </c>
      <c r="K16" s="30">
        <f>I16*J16</f>
        <v/>
      </c>
      <c r="L16" s="31" t="n">
        <v>46173</v>
      </c>
      <c r="M16" s="31" t="n">
        <v>46241</v>
      </c>
      <c r="N16" s="32">
        <f>IF(OR(G16="Gewonnen",G16="Verloren"),"—",M16-TODAY())</f>
        <v/>
      </c>
      <c r="O16" s="27" t="inlineStr">
        <is>
          <t>S. Meier</t>
        </is>
      </c>
      <c r="P16" s="27" t="inlineStr">
        <is>
          <t>Business-Case rechnen</t>
        </is>
      </c>
      <c r="Q16" s="33">
        <f>IF(G16="Gewonnen","✅",IF(G16="Verloren","⬛",IF(N16&lt;=14,"🔴",IF(N16&lt;=45,"🟡","🟢"))))</f>
        <v/>
      </c>
    </row>
    <row r="17" ht="20" customHeight="1">
      <c r="A17" s="18" t="inlineStr">
        <is>
          <t>D-1013</t>
        </is>
      </c>
      <c r="B17" s="19" t="inlineStr">
        <is>
          <t>Manor AG</t>
        </is>
      </c>
      <c r="C17" s="19" t="inlineStr">
        <is>
          <t>B. Keller</t>
        </is>
      </c>
      <c r="D17" s="19" t="inlineStr">
        <is>
          <t>Basel</t>
        </is>
      </c>
      <c r="E17" s="19" t="inlineStr">
        <is>
          <t>Detailhandel</t>
        </is>
      </c>
      <c r="F17" s="19" t="inlineStr">
        <is>
          <t>DC-Schnelllader 60 kW</t>
        </is>
      </c>
      <c r="G17" s="19" t="inlineStr">
        <is>
          <t>Lead</t>
        </is>
      </c>
      <c r="H17" s="19" t="inlineStr">
        <is>
          <t>Niedrig</t>
        </is>
      </c>
      <c r="I17" s="20" t="n">
        <v>150000</v>
      </c>
      <c r="J17" s="21">
        <f>IFERROR(_xlfn.XLOOKUP(G17,Listen!$A$5:$A$10,Listen!$B$5:$B$10),VLOOKUP(G17,Listen!$A$5:$B$10,2,FALSE))</f>
        <v/>
      </c>
      <c r="K17" s="22">
        <f>I17*J17</f>
        <v/>
      </c>
      <c r="L17" s="23" t="n">
        <v>46202</v>
      </c>
      <c r="M17" s="23" t="n">
        <v>46316</v>
      </c>
      <c r="N17" s="24">
        <f>IF(OR(G17="Gewonnen",G17="Verloren"),"—",M17-TODAY())</f>
        <v/>
      </c>
      <c r="O17" s="19" t="inlineStr">
        <is>
          <t>L. Rossi</t>
        </is>
      </c>
      <c r="P17" s="19" t="inlineStr">
        <is>
          <t>Entscheider identifizieren</t>
        </is>
      </c>
      <c r="Q17" s="25">
        <f>IF(G17="Gewonnen","✅",IF(G17="Verloren","⬛",IF(N17&lt;=14,"🔴",IF(N17&lt;=45,"🟡","🟢"))))</f>
        <v/>
      </c>
    </row>
    <row r="18" ht="20" customHeight="1">
      <c r="A18" s="26" t="inlineStr">
        <is>
          <t>D-1014</t>
        </is>
      </c>
      <c r="B18" s="27" t="inlineStr">
        <is>
          <t>Kambly SA</t>
        </is>
      </c>
      <c r="C18" s="27" t="inlineStr">
        <is>
          <t>E. Kambly</t>
        </is>
      </c>
      <c r="D18" s="27" t="inlineStr">
        <is>
          <t>Bern</t>
        </is>
      </c>
      <c r="E18" s="27" t="inlineStr">
        <is>
          <t>Industrie</t>
        </is>
      </c>
      <c r="F18" s="27" t="inlineStr">
        <is>
          <t>PV + Speicher Kombi</t>
        </is>
      </c>
      <c r="G18" s="27" t="inlineStr">
        <is>
          <t>Verloren</t>
        </is>
      </c>
      <c r="H18" s="27" t="inlineStr">
        <is>
          <t>Niedrig</t>
        </is>
      </c>
      <c r="I18" s="28" t="n">
        <v>88000</v>
      </c>
      <c r="J18" s="29">
        <f>IFERROR(_xlfn.XLOOKUP(G18,Listen!$A$5:$A$10,Listen!$B$5:$B$10),VLOOKUP(G18,Listen!$A$5:$B$10,2,FALSE))</f>
        <v/>
      </c>
      <c r="K18" s="30">
        <f>I18*J18</f>
        <v/>
      </c>
      <c r="L18" s="31" t="n">
        <v>46136</v>
      </c>
      <c r="M18" s="31" t="n">
        <v>46196</v>
      </c>
      <c r="N18" s="32">
        <f>IF(OR(G18="Gewonnen",G18="Verloren"),"—",M18-TODAY())</f>
        <v/>
      </c>
      <c r="O18" s="27" t="inlineStr">
        <is>
          <t>N. Keller</t>
        </is>
      </c>
      <c r="P18" s="27" t="inlineStr">
        <is>
          <t>Verloren an Wettbewerb</t>
        </is>
      </c>
      <c r="Q18" s="33">
        <f>IF(G18="Gewonnen","✅",IF(G18="Verloren","⬛",IF(N18&lt;=14,"🔴",IF(N18&lt;=45,"🟡","🟢"))))</f>
        <v/>
      </c>
    </row>
    <row r="19" ht="20" customHeight="1">
      <c r="A19" s="18" t="inlineStr">
        <is>
          <t>D-1015</t>
        </is>
      </c>
      <c r="B19" s="19" t="inlineStr">
        <is>
          <t>Autogrill Schweiz</t>
        </is>
      </c>
      <c r="C19" s="19" t="inlineStr">
        <is>
          <t>R. Conti</t>
        </is>
      </c>
      <c r="D19" s="19" t="inlineStr">
        <is>
          <t>Tessin</t>
        </is>
      </c>
      <c r="E19" s="19" t="inlineStr">
        <is>
          <t>Tankstellen</t>
        </is>
      </c>
      <c r="F19" s="19" t="inlineStr">
        <is>
          <t>DC-HPC 150 kW</t>
        </is>
      </c>
      <c r="G19" s="19" t="inlineStr">
        <is>
          <t>Angebot</t>
        </is>
      </c>
      <c r="H19" s="19" t="inlineStr">
        <is>
          <t>Hoch</t>
        </is>
      </c>
      <c r="I19" s="20" t="n">
        <v>355000</v>
      </c>
      <c r="J19" s="21">
        <f>IFERROR(_xlfn.XLOOKUP(G19,Listen!$A$5:$A$10,Listen!$B$5:$B$10),VLOOKUP(G19,Listen!$A$5:$B$10,2,FALSE))</f>
        <v/>
      </c>
      <c r="K19" s="22">
        <f>I19*J19</f>
        <v/>
      </c>
      <c r="L19" s="23" t="n">
        <v>46181</v>
      </c>
      <c r="M19" s="23" t="n">
        <v>46234</v>
      </c>
      <c r="N19" s="24">
        <f>IF(OR(G19="Gewonnen",G19="Verloren"),"—",M19-TODAY())</f>
        <v/>
      </c>
      <c r="O19" s="19" t="inlineStr">
        <is>
          <t>Burak Ücöz</t>
        </is>
      </c>
      <c r="P19" s="19" t="inlineStr">
        <is>
          <t>Termin CFO fixieren</t>
        </is>
      </c>
      <c r="Q19" s="25">
        <f>IF(G19="Gewonnen","✅",IF(G19="Verloren","⬛",IF(N19&lt;=14,"🔴",IF(N19&lt;=45,"🟡","🟢"))))</f>
        <v/>
      </c>
    </row>
    <row r="20" ht="20" customHeight="1">
      <c r="A20" s="26" t="inlineStr">
        <is>
          <t>D-1016</t>
        </is>
      </c>
      <c r="B20" s="27" t="inlineStr">
        <is>
          <t>Bucherer</t>
        </is>
      </c>
      <c r="C20" s="27" t="inlineStr">
        <is>
          <t>V. Huber</t>
        </is>
      </c>
      <c r="D20" s="27" t="inlineStr">
        <is>
          <t>Luzern</t>
        </is>
      </c>
      <c r="E20" s="27" t="inlineStr">
        <is>
          <t>Detailhandel</t>
        </is>
      </c>
      <c r="F20" s="27" t="inlineStr">
        <is>
          <t>AC-Ladestation 22 kW</t>
        </is>
      </c>
      <c r="G20" s="27" t="inlineStr">
        <is>
          <t>Gewonnen</t>
        </is>
      </c>
      <c r="H20" s="27" t="inlineStr">
        <is>
          <t>Mittel</t>
        </is>
      </c>
      <c r="I20" s="28" t="n">
        <v>54000</v>
      </c>
      <c r="J20" s="29">
        <f>IFERROR(_xlfn.XLOOKUP(G20,Listen!$A$5:$A$10,Listen!$B$5:$B$10),VLOOKUP(G20,Listen!$A$5:$B$10,2,FALSE))</f>
        <v/>
      </c>
      <c r="K20" s="30">
        <f>I20*J20</f>
        <v/>
      </c>
      <c r="L20" s="31" t="n">
        <v>46111</v>
      </c>
      <c r="M20" s="31" t="n">
        <v>46186</v>
      </c>
      <c r="N20" s="32">
        <f>IF(OR(G20="Gewonnen",G20="Verloren"),"—",M20-TODAY())</f>
        <v/>
      </c>
      <c r="O20" s="27" t="inlineStr">
        <is>
          <t>L. Rossi</t>
        </is>
      </c>
      <c r="P20" s="27" t="inlineStr">
        <is>
          <t>Umsetzung läuft</t>
        </is>
      </c>
      <c r="Q20" s="33">
        <f>IF(G20="Gewonnen","✅",IF(G20="Verloren","⬛",IF(N20&lt;=14,"🔴",IF(N20&lt;=45,"🟡","🟢"))))</f>
        <v/>
      </c>
    </row>
    <row r="21" ht="20" customHeight="1">
      <c r="A21" s="18" t="inlineStr">
        <is>
          <t>D-1017</t>
        </is>
      </c>
      <c r="B21" s="19" t="inlineStr">
        <is>
          <t>Denner AG</t>
        </is>
      </c>
      <c r="C21" s="19" t="inlineStr">
        <is>
          <t>H. Müller</t>
        </is>
      </c>
      <c r="D21" s="19" t="inlineStr">
        <is>
          <t>Zürich</t>
        </is>
      </c>
      <c r="E21" s="19" t="inlineStr">
        <is>
          <t>Detailhandel</t>
        </is>
      </c>
      <c r="F21" s="19" t="inlineStr">
        <is>
          <t>Lastmanagement-System</t>
        </is>
      </c>
      <c r="G21" s="19" t="inlineStr">
        <is>
          <t>Qualifiziert</t>
        </is>
      </c>
      <c r="H21" s="19" t="inlineStr">
        <is>
          <t>Mittel</t>
        </is>
      </c>
      <c r="I21" s="20" t="n">
        <v>230000</v>
      </c>
      <c r="J21" s="21">
        <f>IFERROR(_xlfn.XLOOKUP(G21,Listen!$A$5:$A$10,Listen!$B$5:$B$10),VLOOKUP(G21,Listen!$A$5:$B$10,2,FALSE))</f>
        <v/>
      </c>
      <c r="K21" s="22">
        <f>I21*J21</f>
        <v/>
      </c>
      <c r="L21" s="23" t="n">
        <v>46194</v>
      </c>
      <c r="M21" s="23" t="n">
        <v>46276</v>
      </c>
      <c r="N21" s="24">
        <f>IF(OR(G21="Gewonnen",G21="Verloren"),"—",M21-TODAY())</f>
        <v/>
      </c>
      <c r="O21" s="19" t="inlineStr">
        <is>
          <t>S. Meier</t>
        </is>
      </c>
      <c r="P21" s="19" t="inlineStr">
        <is>
          <t>Standortliste anfordern</t>
        </is>
      </c>
      <c r="Q21" s="25">
        <f>IF(G21="Gewonnen","✅",IF(G21="Verloren","⬛",IF(N21&lt;=14,"🔴",IF(N21&lt;=45,"🟡","🟢"))))</f>
        <v/>
      </c>
    </row>
    <row r="22" ht="20" customHeight="1">
      <c r="A22" s="26" t="inlineStr">
        <is>
          <t>D-1018</t>
        </is>
      </c>
      <c r="B22" s="27" t="inlineStr">
        <is>
          <t>Flughafen Genf</t>
        </is>
      </c>
      <c r="C22" s="27" t="inlineStr">
        <is>
          <t>P. Girard</t>
        </is>
      </c>
      <c r="D22" s="27" t="inlineStr">
        <is>
          <t>Genf</t>
        </is>
      </c>
      <c r="E22" s="27" t="inlineStr">
        <is>
          <t>Öffentliche Hand</t>
        </is>
      </c>
      <c r="F22" s="27" t="inlineStr">
        <is>
          <t>DC-HPC 150 kW</t>
        </is>
      </c>
      <c r="G22" s="27" t="inlineStr">
        <is>
          <t>Verhandlung</t>
        </is>
      </c>
      <c r="H22" s="27" t="inlineStr">
        <is>
          <t>Hoch</t>
        </is>
      </c>
      <c r="I22" s="28" t="n">
        <v>780000</v>
      </c>
      <c r="J22" s="29">
        <f>IFERROR(_xlfn.XLOOKUP(G22,Listen!$A$5:$A$10,Listen!$B$5:$B$10),VLOOKUP(G22,Listen!$A$5:$B$10,2,FALSE))</f>
        <v/>
      </c>
      <c r="K22" s="30">
        <f>I22*J22</f>
        <v/>
      </c>
      <c r="L22" s="31" t="n">
        <v>46148</v>
      </c>
      <c r="M22" s="31" t="n">
        <v>46224</v>
      </c>
      <c r="N22" s="32">
        <f>IF(OR(G22="Gewonnen",G22="Verloren"),"—",M22-TODAY())</f>
        <v/>
      </c>
      <c r="O22" s="27" t="inlineStr">
        <is>
          <t>Burak Ücöz</t>
        </is>
      </c>
      <c r="P22" s="27" t="inlineStr">
        <is>
          <t>Vertragsentwurf senden</t>
        </is>
      </c>
      <c r="Q22" s="33">
        <f>IF(G22="Gewonnen","✅",IF(G22="Verloren","⬛",IF(N22&lt;=14,"🔴",IF(N22&lt;=45,"🟡","🟢"))))</f>
        <v/>
      </c>
    </row>
    <row r="23" ht="20" customHeight="1">
      <c r="A23" s="18" t="inlineStr">
        <is>
          <t>D-1019</t>
        </is>
      </c>
      <c r="B23" s="19" t="inlineStr">
        <is>
          <t>Valora / avec</t>
        </is>
      </c>
      <c r="C23" s="19" t="inlineStr">
        <is>
          <t>N. Weber</t>
        </is>
      </c>
      <c r="D23" s="19" t="inlineStr">
        <is>
          <t>St. Gallen</t>
        </is>
      </c>
      <c r="E23" s="19" t="inlineStr">
        <is>
          <t>Detailhandel</t>
        </is>
      </c>
      <c r="F23" s="19" t="inlineStr">
        <is>
          <t>AC-Ladestation 22 kW</t>
        </is>
      </c>
      <c r="G23" s="19" t="inlineStr">
        <is>
          <t>Lead</t>
        </is>
      </c>
      <c r="H23" s="19" t="inlineStr">
        <is>
          <t>Niedrig</t>
        </is>
      </c>
      <c r="I23" s="20" t="n">
        <v>72000</v>
      </c>
      <c r="J23" s="21">
        <f>IFERROR(_xlfn.XLOOKUP(G23,Listen!$A$5:$A$10,Listen!$B$5:$B$10),VLOOKUP(G23,Listen!$A$5:$B$10,2,FALSE))</f>
        <v/>
      </c>
      <c r="K23" s="22">
        <f>I23*J23</f>
        <v/>
      </c>
      <c r="L23" s="23" t="n">
        <v>46203</v>
      </c>
      <c r="M23" s="23" t="n">
        <v>46306</v>
      </c>
      <c r="N23" s="24">
        <f>IF(OR(G23="Gewonnen",G23="Verloren"),"—",M23-TODAY())</f>
        <v/>
      </c>
      <c r="O23" s="19" t="inlineStr">
        <is>
          <t>A. Favre</t>
        </is>
      </c>
      <c r="P23" s="19" t="inlineStr">
        <is>
          <t>Bedarf klären</t>
        </is>
      </c>
      <c r="Q23" s="25">
        <f>IF(G23="Gewonnen","✅",IF(G23="Verloren","⬛",IF(N23&lt;=14,"🔴",IF(N23&lt;=45,"🟡","🟢"))))</f>
        <v/>
      </c>
    </row>
    <row r="24" ht="20" customHeight="1">
      <c r="A24" s="26" t="inlineStr">
        <is>
          <t>D-1020</t>
        </is>
      </c>
      <c r="B24" s="27" t="inlineStr">
        <is>
          <t>Aldi Suisse</t>
        </is>
      </c>
      <c r="C24" s="27" t="inlineStr">
        <is>
          <t>M. Fischer</t>
        </is>
      </c>
      <c r="D24" s="27" t="inlineStr">
        <is>
          <t>Aargau</t>
        </is>
      </c>
      <c r="E24" s="27" t="inlineStr">
        <is>
          <t>Detailhandel</t>
        </is>
      </c>
      <c r="F24" s="27" t="inlineStr">
        <is>
          <t>DC-Schnelllader 60 kW</t>
        </is>
      </c>
      <c r="G24" s="27" t="inlineStr">
        <is>
          <t>Angebot</t>
        </is>
      </c>
      <c r="H24" s="27" t="inlineStr">
        <is>
          <t>Hoch</t>
        </is>
      </c>
      <c r="I24" s="28" t="n">
        <v>445000</v>
      </c>
      <c r="J24" s="29">
        <f>IFERROR(_xlfn.XLOOKUP(G24,Listen!$A$5:$A$10,Listen!$B$5:$B$10),VLOOKUP(G24,Listen!$A$5:$B$10,2,FALSE))</f>
        <v/>
      </c>
      <c r="K24" s="30">
        <f>I24*J24</f>
        <v/>
      </c>
      <c r="L24" s="31" t="n">
        <v>46177</v>
      </c>
      <c r="M24" s="31" t="n">
        <v>46246</v>
      </c>
      <c r="N24" s="32">
        <f>IF(OR(G24="Gewonnen",G24="Verloren"),"—",M24-TODAY())</f>
        <v/>
      </c>
      <c r="O24" s="27" t="inlineStr">
        <is>
          <t>Burak Ücöz</t>
        </is>
      </c>
      <c r="P24" s="27" t="inlineStr">
        <is>
          <t>Pilotstandort definieren</t>
        </is>
      </c>
      <c r="Q24" s="33">
        <f>IF(G24="Gewonnen","✅",IF(G24="Verloren","⬛",IF(N24&lt;=14,"🔴",IF(N24&lt;=45,"🟡","🟢"))))</f>
        <v/>
      </c>
    </row>
    <row r="25" ht="20" customHeight="1">
      <c r="A25" s="18" t="inlineStr">
        <is>
          <t>D-1021</t>
        </is>
      </c>
      <c r="B25" s="19" t="inlineStr">
        <is>
          <t>Lidl Schweiz</t>
        </is>
      </c>
      <c r="C25" s="19" t="inlineStr">
        <is>
          <t>T. Wagner</t>
        </is>
      </c>
      <c r="D25" s="19" t="inlineStr">
        <is>
          <t>Bern</t>
        </is>
      </c>
      <c r="E25" s="19" t="inlineStr">
        <is>
          <t>Detailhandel</t>
        </is>
      </c>
      <c r="F25" s="19" t="inlineStr">
        <is>
          <t>AC-Ladestation 22 kW</t>
        </is>
      </c>
      <c r="G25" s="19" t="inlineStr">
        <is>
          <t>Qualifiziert</t>
        </is>
      </c>
      <c r="H25" s="19" t="inlineStr">
        <is>
          <t>Hoch</t>
        </is>
      </c>
      <c r="I25" s="20" t="n">
        <v>40000</v>
      </c>
      <c r="J25" s="21">
        <f>IFERROR(_xlfn.XLOOKUP(G25,Listen!$A$5:$A$10,Listen!$B$5:$B$10),VLOOKUP(G25,Listen!$A$5:$B$10,2,FALSE))</f>
        <v/>
      </c>
      <c r="K25" s="22">
        <f>I25*J25</f>
        <v/>
      </c>
      <c r="L25" s="23" t="n">
        <v>46198</v>
      </c>
      <c r="M25" s="23" t="n">
        <v>46191</v>
      </c>
      <c r="N25" s="24">
        <f>IF(OR(G25="Gewonnen",G25="Verloren"),"—",M25-TODAY())</f>
        <v/>
      </c>
      <c r="O25" s="19" t="inlineStr">
        <is>
          <t>Burak Ücöz</t>
        </is>
      </c>
      <c r="P25" s="19" t="inlineStr">
        <is>
          <t>Erstgespräch planen</t>
        </is>
      </c>
      <c r="Q25" s="25">
        <f>IF(G25="Gewonnen","✅",IF(G25="Verloren","⬛",IF(N25&lt;=14,"🔴",IF(N25&lt;=45,"🟡","🟢"))))</f>
        <v/>
      </c>
    </row>
    <row r="26" ht="20" customHeight="1">
      <c r="A26" s="26" t="inlineStr">
        <is>
          <t>D-1022</t>
        </is>
      </c>
      <c r="B26" s="27" t="inlineStr">
        <is>
          <t>Galenica</t>
        </is>
      </c>
      <c r="C26" s="27" t="inlineStr">
        <is>
          <t>S. Baumann</t>
        </is>
      </c>
      <c r="D26" s="27" t="inlineStr">
        <is>
          <t>Basel</t>
        </is>
      </c>
      <c r="E26" s="27" t="inlineStr">
        <is>
          <t>Flottenbetrieb</t>
        </is>
      </c>
      <c r="F26" s="27" t="inlineStr">
        <is>
          <t>PV + Speicher Kombi</t>
        </is>
      </c>
      <c r="G26" s="27" t="inlineStr">
        <is>
          <t>Verhandlung</t>
        </is>
      </c>
      <c r="H26" s="27" t="inlineStr">
        <is>
          <t>Mittel</t>
        </is>
      </c>
      <c r="I26" s="28" t="n">
        <v>336000</v>
      </c>
      <c r="J26" s="29">
        <f>IFERROR(_xlfn.XLOOKUP(G26,Listen!$A$5:$A$10,Listen!$B$5:$B$10),VLOOKUP(G26,Listen!$A$5:$B$10,2,FALSE))</f>
        <v/>
      </c>
      <c r="K26" s="30">
        <f>I26*J26</f>
        <v/>
      </c>
      <c r="L26" s="31" t="n">
        <v>46187</v>
      </c>
      <c r="M26" s="31" t="n">
        <v>46204</v>
      </c>
      <c r="N26" s="32">
        <f>IF(OR(G26="Gewonnen",G26="Verloren"),"—",M26-TODAY())</f>
        <v/>
      </c>
      <c r="O26" s="27" t="inlineStr">
        <is>
          <t>S. Meier</t>
        </is>
      </c>
      <c r="P26" s="27" t="inlineStr">
        <is>
          <t>Angebot erstellen</t>
        </is>
      </c>
      <c r="Q26" s="33">
        <f>IF(G26="Gewonnen","✅",IF(G26="Verloren","⬛",IF(N26&lt;=14,"🔴",IF(N26&lt;=45,"🟡","🟢"))))</f>
        <v/>
      </c>
    </row>
    <row r="27" ht="20" customHeight="1">
      <c r="A27" s="18" t="inlineStr">
        <is>
          <t>D-1023</t>
        </is>
      </c>
      <c r="B27" s="19" t="inlineStr">
        <is>
          <t>Swisscom Immobilien</t>
        </is>
      </c>
      <c r="C27" s="19" t="inlineStr">
        <is>
          <t>R. Meier</t>
        </is>
      </c>
      <c r="D27" s="19" t="inlineStr">
        <is>
          <t>Tessin</t>
        </is>
      </c>
      <c r="E27" s="19" t="inlineStr">
        <is>
          <t>Tankstellen</t>
        </is>
      </c>
      <c r="F27" s="19" t="inlineStr">
        <is>
          <t>Full-Service Betrieb</t>
        </is>
      </c>
      <c r="G27" s="19" t="inlineStr">
        <is>
          <t>Lead</t>
        </is>
      </c>
      <c r="H27" s="19" t="inlineStr">
        <is>
          <t>Niedrig</t>
        </is>
      </c>
      <c r="I27" s="20" t="n">
        <v>152000</v>
      </c>
      <c r="J27" s="21">
        <f>IFERROR(_xlfn.XLOOKUP(G27,Listen!$A$5:$A$10,Listen!$B$5:$B$10),VLOOKUP(G27,Listen!$A$5:$B$10,2,FALSE))</f>
        <v/>
      </c>
      <c r="K27" s="22">
        <f>I27*J27</f>
        <v/>
      </c>
      <c r="L27" s="23" t="n">
        <v>46176</v>
      </c>
      <c r="M27" s="23" t="n">
        <v>46217</v>
      </c>
      <c r="N27" s="24">
        <f>IF(OR(G27="Gewonnen",G27="Verloren"),"—",M27-TODAY())</f>
        <v/>
      </c>
      <c r="O27" s="19" t="inlineStr">
        <is>
          <t>L. Rossi</t>
        </is>
      </c>
      <c r="P27" s="19" t="inlineStr">
        <is>
          <t>Nachfassen</t>
        </is>
      </c>
      <c r="Q27" s="25">
        <f>IF(G27="Gewonnen","✅",IF(G27="Verloren","⬛",IF(N27&lt;=14,"🔴",IF(N27&lt;=45,"🟡","🟢"))))</f>
        <v/>
      </c>
    </row>
    <row r="28" ht="20" customHeight="1">
      <c r="A28" s="26" t="inlineStr">
        <is>
          <t>D-1024</t>
        </is>
      </c>
      <c r="B28" s="27" t="inlineStr">
        <is>
          <t>Kuoni Reisen</t>
        </is>
      </c>
      <c r="C28" s="27" t="inlineStr">
        <is>
          <t>L. Steiner</t>
        </is>
      </c>
      <c r="D28" s="27" t="inlineStr">
        <is>
          <t>Zürich</t>
        </is>
      </c>
      <c r="E28" s="27" t="inlineStr">
        <is>
          <t>Industrie</t>
        </is>
      </c>
      <c r="F28" s="27" t="inlineStr">
        <is>
          <t>Lastmanagement-System</t>
        </is>
      </c>
      <c r="G28" s="27" t="inlineStr">
        <is>
          <t>Angebot</t>
        </is>
      </c>
      <c r="H28" s="27" t="inlineStr">
        <is>
          <t>Hoch</t>
        </is>
      </c>
      <c r="I28" s="28" t="n">
        <v>448000</v>
      </c>
      <c r="J28" s="29">
        <f>IFERROR(_xlfn.XLOOKUP(G28,Listen!$A$5:$A$10,Listen!$B$5:$B$10),VLOOKUP(G28,Listen!$A$5:$B$10,2,FALSE))</f>
        <v/>
      </c>
      <c r="K28" s="30">
        <f>I28*J28</f>
        <v/>
      </c>
      <c r="L28" s="31" t="n">
        <v>46165</v>
      </c>
      <c r="M28" s="31" t="n">
        <v>46230</v>
      </c>
      <c r="N28" s="32">
        <f>IF(OR(G28="Gewonnen",G28="Verloren"),"—",M28-TODAY())</f>
        <v/>
      </c>
      <c r="O28" s="27" t="inlineStr">
        <is>
          <t>N. Keller</t>
        </is>
      </c>
      <c r="P28" s="27" t="inlineStr">
        <is>
          <t>Standort prüfen</t>
        </is>
      </c>
      <c r="Q28" s="33">
        <f>IF(G28="Gewonnen","✅",IF(G28="Verloren","⬛",IF(N28&lt;=14,"🔴",IF(N28&lt;=45,"🟡","🟢"))))</f>
        <v/>
      </c>
    </row>
    <row r="29" ht="20" customHeight="1">
      <c r="A29" s="18" t="inlineStr">
        <is>
          <t>D-1025</t>
        </is>
      </c>
      <c r="B29" s="19" t="inlineStr">
        <is>
          <t>Hilti AG</t>
        </is>
      </c>
      <c r="C29" s="19" t="inlineStr">
        <is>
          <t>M. Anliker</t>
        </is>
      </c>
      <c r="D29" s="19" t="inlineStr">
        <is>
          <t>Genf</t>
        </is>
      </c>
      <c r="E29" s="19" t="inlineStr">
        <is>
          <t>Öffentliche Hand</t>
        </is>
      </c>
      <c r="F29" s="19" t="inlineStr">
        <is>
          <t>DC-HPC 150 kW</t>
        </is>
      </c>
      <c r="G29" s="19" t="inlineStr">
        <is>
          <t>Verloren</t>
        </is>
      </c>
      <c r="H29" s="19" t="inlineStr">
        <is>
          <t>Mittel</t>
        </is>
      </c>
      <c r="I29" s="20" t="n">
        <v>264000</v>
      </c>
      <c r="J29" s="21">
        <f>IFERROR(_xlfn.XLOOKUP(G29,Listen!$A$5:$A$10,Listen!$B$5:$B$10),VLOOKUP(G29,Listen!$A$5:$B$10,2,FALSE))</f>
        <v/>
      </c>
      <c r="K29" s="22">
        <f>I29*J29</f>
        <v/>
      </c>
      <c r="L29" s="23" t="n">
        <v>46154</v>
      </c>
      <c r="M29" s="23" t="n">
        <v>46243</v>
      </c>
      <c r="N29" s="24">
        <f>IF(OR(G29="Gewonnen",G29="Verloren"),"—",M29-TODAY())</f>
        <v/>
      </c>
      <c r="O29" s="19" t="inlineStr">
        <is>
          <t>A. Favre</t>
        </is>
      </c>
      <c r="P29" s="19" t="inlineStr">
        <is>
          <t>Entscheider treffen</t>
        </is>
      </c>
      <c r="Q29" s="25">
        <f>IF(G29="Gewonnen","✅",IF(G29="Verloren","⬛",IF(N29&lt;=14,"🔴",IF(N29&lt;=45,"🟡","🟢"))))</f>
        <v/>
      </c>
    </row>
    <row r="30" ht="20" customHeight="1">
      <c r="A30" s="26" t="inlineStr">
        <is>
          <t>D-1026</t>
        </is>
      </c>
      <c r="B30" s="27" t="inlineStr">
        <is>
          <t>Geberit</t>
        </is>
      </c>
      <c r="C30" s="27" t="inlineStr">
        <is>
          <t>D. Frei</t>
        </is>
      </c>
      <c r="D30" s="27" t="inlineStr">
        <is>
          <t>St. Gallen</t>
        </is>
      </c>
      <c r="E30" s="27" t="inlineStr">
        <is>
          <t>Hotellerie</t>
        </is>
      </c>
      <c r="F30" s="27" t="inlineStr">
        <is>
          <t>DC-Schnelllader 60 kW</t>
        </is>
      </c>
      <c r="G30" s="27" t="inlineStr">
        <is>
          <t>Qualifiziert</t>
        </is>
      </c>
      <c r="H30" s="27" t="inlineStr">
        <is>
          <t>Niedrig</t>
        </is>
      </c>
      <c r="I30" s="28" t="n">
        <v>80000</v>
      </c>
      <c r="J30" s="29">
        <f>IFERROR(_xlfn.XLOOKUP(G30,Listen!$A$5:$A$10,Listen!$B$5:$B$10),VLOOKUP(G30,Listen!$A$5:$B$10,2,FALSE))</f>
        <v/>
      </c>
      <c r="K30" s="30">
        <f>I30*J30</f>
        <v/>
      </c>
      <c r="L30" s="31" t="n">
        <v>46143</v>
      </c>
      <c r="M30" s="31" t="n">
        <v>46256</v>
      </c>
      <c r="N30" s="32">
        <f>IF(OR(G30="Gewonnen",G30="Verloren"),"—",M30-TODAY())</f>
        <v/>
      </c>
      <c r="O30" s="27" t="inlineStr">
        <is>
          <t>Burak Ücöz</t>
        </is>
      </c>
      <c r="P30" s="27" t="inlineStr">
        <is>
          <t>Abschluss vorbereiten</t>
        </is>
      </c>
      <c r="Q30" s="33">
        <f>IF(G30="Gewonnen","✅",IF(G30="Verloren","⬛",IF(N30&lt;=14,"🔴",IF(N30&lt;=45,"🟡","🟢"))))</f>
        <v/>
      </c>
    </row>
    <row r="31" ht="20" customHeight="1">
      <c r="A31" s="18" t="inlineStr">
        <is>
          <t>D-1027</t>
        </is>
      </c>
      <c r="B31" s="19" t="inlineStr">
        <is>
          <t>Ricola</t>
        </is>
      </c>
      <c r="C31" s="19" t="inlineStr">
        <is>
          <t>P. Richterich</t>
        </is>
      </c>
      <c r="D31" s="19" t="inlineStr">
        <is>
          <t>Wallis</t>
        </is>
      </c>
      <c r="E31" s="19" t="inlineStr">
        <is>
          <t>Immobilien</t>
        </is>
      </c>
      <c r="F31" s="19" t="inlineStr">
        <is>
          <t>AC-Ladestation 22 kW</t>
        </is>
      </c>
      <c r="G31" s="19" t="inlineStr">
        <is>
          <t>Verhandlung</t>
        </is>
      </c>
      <c r="H31" s="19" t="inlineStr">
        <is>
          <t>Hoch</t>
        </is>
      </c>
      <c r="I31" s="20" t="n">
        <v>376000</v>
      </c>
      <c r="J31" s="21">
        <f>IFERROR(_xlfn.XLOOKUP(G31,Listen!$A$5:$A$10,Listen!$B$5:$B$10),VLOOKUP(G31,Listen!$A$5:$B$10,2,FALSE))</f>
        <v/>
      </c>
      <c r="K31" s="22">
        <f>I31*J31</f>
        <v/>
      </c>
      <c r="L31" s="23" t="n">
        <v>46132</v>
      </c>
      <c r="M31" s="23" t="n">
        <v>46269</v>
      </c>
      <c r="N31" s="24">
        <f>IF(OR(G31="Gewonnen",G31="Verloren"),"—",M31-TODAY())</f>
        <v/>
      </c>
      <c r="O31" s="19" t="inlineStr">
        <is>
          <t>S. Meier</t>
        </is>
      </c>
      <c r="P31" s="19" t="inlineStr">
        <is>
          <t>Erstgespräch planen</t>
        </is>
      </c>
      <c r="Q31" s="25">
        <f>IF(G31="Gewonnen","✅",IF(G31="Verloren","⬛",IF(N31&lt;=14,"🔴",IF(N31&lt;=45,"🟡","🟢"))))</f>
        <v/>
      </c>
    </row>
    <row r="32" ht="20" customHeight="1">
      <c r="A32" s="26" t="inlineStr">
        <is>
          <t>D-1028</t>
        </is>
      </c>
      <c r="B32" s="27" t="inlineStr">
        <is>
          <t>Victorinox</t>
        </is>
      </c>
      <c r="C32" s="27" t="inlineStr">
        <is>
          <t>C. Elsener</t>
        </is>
      </c>
      <c r="D32" s="27" t="inlineStr">
        <is>
          <t>Waadt</t>
        </is>
      </c>
      <c r="E32" s="27" t="inlineStr">
        <is>
          <t>Logistik</t>
        </is>
      </c>
      <c r="F32" s="27" t="inlineStr">
        <is>
          <t>PV + Speicher Kombi</t>
        </is>
      </c>
      <c r="G32" s="27" t="inlineStr">
        <is>
          <t>Lead</t>
        </is>
      </c>
      <c r="H32" s="27" t="inlineStr">
        <is>
          <t>Mittel</t>
        </is>
      </c>
      <c r="I32" s="28" t="n">
        <v>192000</v>
      </c>
      <c r="J32" s="29">
        <f>IFERROR(_xlfn.XLOOKUP(G32,Listen!$A$5:$A$10,Listen!$B$5:$B$10),VLOOKUP(G32,Listen!$A$5:$B$10,2,FALSE))</f>
        <v/>
      </c>
      <c r="K32" s="30">
        <f>I32*J32</f>
        <v/>
      </c>
      <c r="L32" s="31" t="n">
        <v>46121</v>
      </c>
      <c r="M32" s="31" t="n">
        <v>46282</v>
      </c>
      <c r="N32" s="32">
        <f>IF(OR(G32="Gewonnen",G32="Verloren"),"—",M32-TODAY())</f>
        <v/>
      </c>
      <c r="O32" s="27" t="inlineStr">
        <is>
          <t>L. Rossi</t>
        </is>
      </c>
      <c r="P32" s="27" t="inlineStr">
        <is>
          <t>Angebot erstellen</t>
        </is>
      </c>
      <c r="Q32" s="33">
        <f>IF(G32="Gewonnen","✅",IF(G32="Verloren","⬛",IF(N32&lt;=14,"🔴",IF(N32&lt;=45,"🟡","🟢"))))</f>
        <v/>
      </c>
    </row>
    <row r="33" ht="20" customHeight="1">
      <c r="A33" s="18" t="inlineStr">
        <is>
          <t>D-1029</t>
        </is>
      </c>
      <c r="B33" s="19" t="inlineStr">
        <is>
          <t>Stadler Rail</t>
        </is>
      </c>
      <c r="C33" s="19" t="inlineStr">
        <is>
          <t>F. Ahlburg</t>
        </is>
      </c>
      <c r="D33" s="19" t="inlineStr">
        <is>
          <t>Aargau</t>
        </is>
      </c>
      <c r="E33" s="19" t="inlineStr">
        <is>
          <t>Detailhandel</t>
        </is>
      </c>
      <c r="F33" s="19" t="inlineStr">
        <is>
          <t>Full-Service Betrieb</t>
        </is>
      </c>
      <c r="G33" s="19" t="inlineStr">
        <is>
          <t>Angebot</t>
        </is>
      </c>
      <c r="H33" s="19" t="inlineStr">
        <is>
          <t>Niedrig</t>
        </is>
      </c>
      <c r="I33" s="20" t="n">
        <v>488000</v>
      </c>
      <c r="J33" s="21">
        <f>IFERROR(_xlfn.XLOOKUP(G33,Listen!$A$5:$A$10,Listen!$B$5:$B$10),VLOOKUP(G33,Listen!$A$5:$B$10,2,FALSE))</f>
        <v/>
      </c>
      <c r="K33" s="22">
        <f>I33*J33</f>
        <v/>
      </c>
      <c r="L33" s="23" t="n">
        <v>46110</v>
      </c>
      <c r="M33" s="23" t="n">
        <v>46295</v>
      </c>
      <c r="N33" s="24">
        <f>IF(OR(G33="Gewonnen",G33="Verloren"),"—",M33-TODAY())</f>
        <v/>
      </c>
      <c r="O33" s="19" t="inlineStr">
        <is>
          <t>N. Keller</t>
        </is>
      </c>
      <c r="P33" s="19" t="inlineStr">
        <is>
          <t>Nachfassen</t>
        </is>
      </c>
      <c r="Q33" s="25">
        <f>IF(G33="Gewonnen","✅",IF(G33="Verloren","⬛",IF(N33&lt;=14,"🔴",IF(N33&lt;=45,"🟡","🟢"))))</f>
        <v/>
      </c>
    </row>
    <row r="34" ht="20" customHeight="1">
      <c r="A34" s="26" t="inlineStr">
        <is>
          <t>D-1030</t>
        </is>
      </c>
      <c r="B34" s="27" t="inlineStr">
        <is>
          <t>Mobility Carsharing</t>
        </is>
      </c>
      <c r="C34" s="27" t="inlineStr">
        <is>
          <t>A. Suter</t>
        </is>
      </c>
      <c r="D34" s="27" t="inlineStr">
        <is>
          <t>Luzern</t>
        </is>
      </c>
      <c r="E34" s="27" t="inlineStr">
        <is>
          <t>Flottenbetrieb</t>
        </is>
      </c>
      <c r="F34" s="27" t="inlineStr">
        <is>
          <t>Lastmanagement-System</t>
        </is>
      </c>
      <c r="G34" s="27" t="inlineStr">
        <is>
          <t>Gewonnen</t>
        </is>
      </c>
      <c r="H34" s="27" t="inlineStr">
        <is>
          <t>Hoch</t>
        </is>
      </c>
      <c r="I34" s="28" t="n">
        <v>304000</v>
      </c>
      <c r="J34" s="29">
        <f>IFERROR(_xlfn.XLOOKUP(G34,Listen!$A$5:$A$10,Listen!$B$5:$B$10),VLOOKUP(G34,Listen!$A$5:$B$10,2,FALSE))</f>
        <v/>
      </c>
      <c r="K34" s="30">
        <f>I34*J34</f>
        <v/>
      </c>
      <c r="L34" s="31" t="n">
        <v>46189</v>
      </c>
      <c r="M34" s="31" t="n">
        <v>46308</v>
      </c>
      <c r="N34" s="32">
        <f>IF(OR(G34="Gewonnen",G34="Verloren"),"—",M34-TODAY())</f>
        <v/>
      </c>
      <c r="O34" s="27" t="inlineStr">
        <is>
          <t>A. Favre</t>
        </is>
      </c>
      <c r="P34" s="27" t="inlineStr">
        <is>
          <t>Standort prüfen</t>
        </is>
      </c>
      <c r="Q34" s="33">
        <f>IF(G34="Gewonnen","✅",IF(G34="Verloren","⬛",IF(N34&lt;=14,"🔴",IF(N34&lt;=45,"🟡","🟢"))))</f>
        <v/>
      </c>
    </row>
    <row r="35" ht="20" customHeight="1">
      <c r="A35" s="18" t="inlineStr">
        <is>
          <t>D-1031</t>
        </is>
      </c>
      <c r="B35" s="19" t="inlineStr">
        <is>
          <t>Migrol AG</t>
        </is>
      </c>
      <c r="C35" s="19" t="inlineStr">
        <is>
          <t>B. Lehmann</t>
        </is>
      </c>
      <c r="D35" s="19" t="inlineStr">
        <is>
          <t>Bern</t>
        </is>
      </c>
      <c r="E35" s="19" t="inlineStr">
        <is>
          <t>Tankstellen</t>
        </is>
      </c>
      <c r="F35" s="19" t="inlineStr">
        <is>
          <t>DC-HPC 150 kW</t>
        </is>
      </c>
      <c r="G35" s="19" t="inlineStr">
        <is>
          <t>Qualifiziert</t>
        </is>
      </c>
      <c r="H35" s="19" t="inlineStr">
        <is>
          <t>Mittel</t>
        </is>
      </c>
      <c r="I35" s="20" t="n">
        <v>120000</v>
      </c>
      <c r="J35" s="21">
        <f>IFERROR(_xlfn.XLOOKUP(G35,Listen!$A$5:$A$10,Listen!$B$5:$B$10),VLOOKUP(G35,Listen!$A$5:$B$10,2,FALSE))</f>
        <v/>
      </c>
      <c r="K35" s="22">
        <f>I35*J35</f>
        <v/>
      </c>
      <c r="L35" s="23" t="n">
        <v>46178</v>
      </c>
      <c r="M35" s="23" t="n">
        <v>46201</v>
      </c>
      <c r="N35" s="24">
        <f>IF(OR(G35="Gewonnen",G35="Verloren"),"—",M35-TODAY())</f>
        <v/>
      </c>
      <c r="O35" s="19" t="inlineStr">
        <is>
          <t>Burak Ücöz</t>
        </is>
      </c>
      <c r="P35" s="19" t="inlineStr">
        <is>
          <t>Entscheider treffen</t>
        </is>
      </c>
      <c r="Q35" s="25">
        <f>IF(G35="Gewonnen","✅",IF(G35="Verloren","⬛",IF(N35&lt;=14,"🔴",IF(N35&lt;=45,"🟡","🟢"))))</f>
        <v/>
      </c>
    </row>
    <row r="36" ht="20" customHeight="1">
      <c r="A36" s="26" t="inlineStr">
        <is>
          <t>D-1032</t>
        </is>
      </c>
      <c r="B36" s="27" t="inlineStr">
        <is>
          <t>Tamoil</t>
        </is>
      </c>
      <c r="C36" s="27" t="inlineStr">
        <is>
          <t>N. Rossi</t>
        </is>
      </c>
      <c r="D36" s="27" t="inlineStr">
        <is>
          <t>Basel</t>
        </is>
      </c>
      <c r="E36" s="27" t="inlineStr">
        <is>
          <t>Industrie</t>
        </is>
      </c>
      <c r="F36" s="27" t="inlineStr">
        <is>
          <t>DC-Schnelllader 60 kW</t>
        </is>
      </c>
      <c r="G36" s="27" t="inlineStr">
        <is>
          <t>Verhandlung</t>
        </is>
      </c>
      <c r="H36" s="27" t="inlineStr">
        <is>
          <t>Niedrig</t>
        </is>
      </c>
      <c r="I36" s="28" t="n">
        <v>416000</v>
      </c>
      <c r="J36" s="29">
        <f>IFERROR(_xlfn.XLOOKUP(G36,Listen!$A$5:$A$10,Listen!$B$5:$B$10),VLOOKUP(G36,Listen!$A$5:$B$10,2,FALSE))</f>
        <v/>
      </c>
      <c r="K36" s="30">
        <f>I36*J36</f>
        <v/>
      </c>
      <c r="L36" s="31" t="n">
        <v>46167</v>
      </c>
      <c r="M36" s="31" t="n">
        <v>46214</v>
      </c>
      <c r="N36" s="32">
        <f>IF(OR(G36="Gewonnen",G36="Verloren"),"—",M36-TODAY())</f>
        <v/>
      </c>
      <c r="O36" s="27" t="inlineStr">
        <is>
          <t>S. Meier</t>
        </is>
      </c>
      <c r="P36" s="27" t="inlineStr">
        <is>
          <t>Abschluss vorbereiten</t>
        </is>
      </c>
      <c r="Q36" s="33">
        <f>IF(G36="Gewonnen","✅",IF(G36="Verloren","⬛",IF(N36&lt;=14,"🔴",IF(N36&lt;=45,"🟡","🟢"))))</f>
        <v/>
      </c>
    </row>
    <row r="37" ht="20" customHeight="1">
      <c r="A37" s="18" t="inlineStr">
        <is>
          <t>D-1033</t>
        </is>
      </c>
      <c r="B37" s="19" t="inlineStr">
        <is>
          <t>Hotel Bellevue Bern</t>
        </is>
      </c>
      <c r="C37" s="19" t="inlineStr">
        <is>
          <t>G. Wyss</t>
        </is>
      </c>
      <c r="D37" s="19" t="inlineStr">
        <is>
          <t>Tessin</t>
        </is>
      </c>
      <c r="E37" s="19" t="inlineStr">
        <is>
          <t>Öffentliche Hand</t>
        </is>
      </c>
      <c r="F37" s="19" t="inlineStr">
        <is>
          <t>AC-Ladestation 22 kW</t>
        </is>
      </c>
      <c r="G37" s="19" t="inlineStr">
        <is>
          <t>Lead</t>
        </is>
      </c>
      <c r="H37" s="19" t="inlineStr">
        <is>
          <t>Hoch</t>
        </is>
      </c>
      <c r="I37" s="20" t="n">
        <v>232000</v>
      </c>
      <c r="J37" s="21">
        <f>IFERROR(_xlfn.XLOOKUP(G37,Listen!$A$5:$A$10,Listen!$B$5:$B$10),VLOOKUP(G37,Listen!$A$5:$B$10,2,FALSE))</f>
        <v/>
      </c>
      <c r="K37" s="22">
        <f>I37*J37</f>
        <v/>
      </c>
      <c r="L37" s="23" t="n">
        <v>46156</v>
      </c>
      <c r="M37" s="23" t="n">
        <v>46227</v>
      </c>
      <c r="N37" s="24">
        <f>IF(OR(G37="Gewonnen",G37="Verloren"),"—",M37-TODAY())</f>
        <v/>
      </c>
      <c r="O37" s="19" t="inlineStr">
        <is>
          <t>L. Rossi</t>
        </is>
      </c>
      <c r="P37" s="19" t="inlineStr">
        <is>
          <t>Erstgespräch planen</t>
        </is>
      </c>
      <c r="Q37" s="25">
        <f>IF(G37="Gewonnen","✅",IF(G37="Verloren","⬛",IF(N37&lt;=14,"🔴",IF(N37&lt;=45,"🟡","🟢"))))</f>
        <v/>
      </c>
    </row>
    <row r="38" ht="20" customHeight="1">
      <c r="A38" s="26" t="inlineStr">
        <is>
          <t>D-1034</t>
        </is>
      </c>
      <c r="B38" s="27" t="inlineStr">
        <is>
          <t>Kongresshaus Zürich</t>
        </is>
      </c>
      <c r="C38" s="27" t="inlineStr">
        <is>
          <t>V. Keller</t>
        </is>
      </c>
      <c r="D38" s="27" t="inlineStr">
        <is>
          <t>Zürich</t>
        </is>
      </c>
      <c r="E38" s="27" t="inlineStr">
        <is>
          <t>Hotellerie</t>
        </is>
      </c>
      <c r="F38" s="27" t="inlineStr">
        <is>
          <t>PV + Speicher Kombi</t>
        </is>
      </c>
      <c r="G38" s="27" t="inlineStr">
        <is>
          <t>Verloren</t>
        </is>
      </c>
      <c r="H38" s="27" t="inlineStr">
        <is>
          <t>Mittel</t>
        </is>
      </c>
      <c r="I38" s="28" t="n">
        <v>48000</v>
      </c>
      <c r="J38" s="29">
        <f>IFERROR(_xlfn.XLOOKUP(G38,Listen!$A$5:$A$10,Listen!$B$5:$B$10),VLOOKUP(G38,Listen!$A$5:$B$10,2,FALSE))</f>
        <v/>
      </c>
      <c r="K38" s="30">
        <f>I38*J38</f>
        <v/>
      </c>
      <c r="L38" s="31" t="n">
        <v>46145</v>
      </c>
      <c r="M38" s="31" t="n">
        <v>46240</v>
      </c>
      <c r="N38" s="32">
        <f>IF(OR(G38="Gewonnen",G38="Verloren"),"—",M38-TODAY())</f>
        <v/>
      </c>
      <c r="O38" s="27" t="inlineStr">
        <is>
          <t>N. Keller</t>
        </is>
      </c>
      <c r="P38" s="27" t="inlineStr">
        <is>
          <t>Angebot erstellen</t>
        </is>
      </c>
      <c r="Q38" s="33">
        <f>IF(G38="Gewonnen","✅",IF(G38="Verloren","⬛",IF(N38&lt;=14,"🔴",IF(N38&lt;=45,"🟡","🟢"))))</f>
        <v/>
      </c>
    </row>
    <row r="39" ht="20" customHeight="1">
      <c r="A39" s="18" t="inlineStr">
        <is>
          <t>D-1035</t>
        </is>
      </c>
      <c r="B39" s="19" t="inlineStr">
        <is>
          <t>Universität Basel</t>
        </is>
      </c>
      <c r="C39" s="19" t="inlineStr">
        <is>
          <t>H. Roth</t>
        </is>
      </c>
      <c r="D39" s="19" t="inlineStr">
        <is>
          <t>Genf</t>
        </is>
      </c>
      <c r="E39" s="19" t="inlineStr">
        <is>
          <t>Immobilien</t>
        </is>
      </c>
      <c r="F39" s="19" t="inlineStr">
        <is>
          <t>Full-Service Betrieb</t>
        </is>
      </c>
      <c r="G39" s="19" t="inlineStr">
        <is>
          <t>Gewonnen</t>
        </is>
      </c>
      <c r="H39" s="19" t="inlineStr">
        <is>
          <t>Niedrig</t>
        </is>
      </c>
      <c r="I39" s="20" t="n">
        <v>344000</v>
      </c>
      <c r="J39" s="21">
        <f>IFERROR(_xlfn.XLOOKUP(G39,Listen!$A$5:$A$10,Listen!$B$5:$B$10),VLOOKUP(G39,Listen!$A$5:$B$10,2,FALSE))</f>
        <v/>
      </c>
      <c r="K39" s="22">
        <f>I39*J39</f>
        <v/>
      </c>
      <c r="L39" s="23" t="n">
        <v>46134</v>
      </c>
      <c r="M39" s="23" t="n">
        <v>46253</v>
      </c>
      <c r="N39" s="24">
        <f>IF(OR(G39="Gewonnen",G39="Verloren"),"—",M39-TODAY())</f>
        <v/>
      </c>
      <c r="O39" s="19" t="inlineStr">
        <is>
          <t>A. Favre</t>
        </is>
      </c>
      <c r="P39" s="19" t="inlineStr">
        <is>
          <t>Nachfassen</t>
        </is>
      </c>
      <c r="Q39" s="25">
        <f>IF(G39="Gewonnen","✅",IF(G39="Verloren","⬛",IF(N39&lt;=14,"🔴",IF(N39&lt;=45,"🟡","🟢"))))</f>
        <v/>
      </c>
    </row>
    <row r="40" ht="20" customHeight="1">
      <c r="A40" s="26" t="inlineStr">
        <is>
          <t>D-1036</t>
        </is>
      </c>
      <c r="B40" s="27" t="inlineStr">
        <is>
          <t>Kantonsspital Aarau</t>
        </is>
      </c>
      <c r="C40" s="27" t="inlineStr">
        <is>
          <t>E. Bosshard</t>
        </is>
      </c>
      <c r="D40" s="27" t="inlineStr">
        <is>
          <t>St. Gallen</t>
        </is>
      </c>
      <c r="E40" s="27" t="inlineStr">
        <is>
          <t>Logistik</t>
        </is>
      </c>
      <c r="F40" s="27" t="inlineStr">
        <is>
          <t>Lastmanagement-System</t>
        </is>
      </c>
      <c r="G40" s="27" t="inlineStr">
        <is>
          <t>Qualifiziert</t>
        </is>
      </c>
      <c r="H40" s="27" t="inlineStr">
        <is>
          <t>Hoch</t>
        </is>
      </c>
      <c r="I40" s="28" t="n">
        <v>160000</v>
      </c>
      <c r="J40" s="29">
        <f>IFERROR(_xlfn.XLOOKUP(G40,Listen!$A$5:$A$10,Listen!$B$5:$B$10),VLOOKUP(G40,Listen!$A$5:$B$10,2,FALSE))</f>
        <v/>
      </c>
      <c r="K40" s="30">
        <f>I40*J40</f>
        <v/>
      </c>
      <c r="L40" s="31" t="n">
        <v>46123</v>
      </c>
      <c r="M40" s="31" t="n">
        <v>46266</v>
      </c>
      <c r="N40" s="32">
        <f>IF(OR(G40="Gewonnen",G40="Verloren"),"—",M40-TODAY())</f>
        <v/>
      </c>
      <c r="O40" s="27" t="inlineStr">
        <is>
          <t>Burak Ücöz</t>
        </is>
      </c>
      <c r="P40" s="27" t="inlineStr">
        <is>
          <t>Standort prüfen</t>
        </is>
      </c>
      <c r="Q40" s="33">
        <f>IF(G40="Gewonnen","✅",IF(G40="Verloren","⬛",IF(N40&lt;=14,"🔴",IF(N40&lt;=45,"🟡","🟢"))))</f>
        <v/>
      </c>
    </row>
    <row r="41" ht="20" customHeight="1">
      <c r="A41" s="18" t="inlineStr">
        <is>
          <t>D-1037</t>
        </is>
      </c>
      <c r="B41" s="19" t="inlineStr">
        <is>
          <t>Feldschlösschen</t>
        </is>
      </c>
      <c r="C41" s="19" t="inlineStr">
        <is>
          <t>R. Amrein</t>
        </is>
      </c>
      <c r="D41" s="19" t="inlineStr">
        <is>
          <t>Wallis</t>
        </is>
      </c>
      <c r="E41" s="19" t="inlineStr">
        <is>
          <t>Detailhandel</t>
        </is>
      </c>
      <c r="F41" s="19" t="inlineStr">
        <is>
          <t>DC-HPC 150 kW</t>
        </is>
      </c>
      <c r="G41" s="19" t="inlineStr">
        <is>
          <t>Verhandlung</t>
        </is>
      </c>
      <c r="H41" s="19" t="inlineStr">
        <is>
          <t>Mittel</t>
        </is>
      </c>
      <c r="I41" s="20" t="n">
        <v>456000</v>
      </c>
      <c r="J41" s="21">
        <f>IFERROR(_xlfn.XLOOKUP(G41,Listen!$A$5:$A$10,Listen!$B$5:$B$10),VLOOKUP(G41,Listen!$A$5:$B$10,2,FALSE))</f>
        <v/>
      </c>
      <c r="K41" s="22">
        <f>I41*J41</f>
        <v/>
      </c>
      <c r="L41" s="23" t="n">
        <v>46112</v>
      </c>
      <c r="M41" s="23" t="n">
        <v>46279</v>
      </c>
      <c r="N41" s="24">
        <f>IF(OR(G41="Gewonnen",G41="Verloren"),"—",M41-TODAY())</f>
        <v/>
      </c>
      <c r="O41" s="19" t="inlineStr">
        <is>
          <t>S. Meier</t>
        </is>
      </c>
      <c r="P41" s="19" t="inlineStr">
        <is>
          <t>Entscheider treffen</t>
        </is>
      </c>
      <c r="Q41" s="25">
        <f>IF(G41="Gewonnen","✅",IF(G41="Verloren","⬛",IF(N41&lt;=14,"🔴",IF(N41&lt;=45,"🟡","🟢"))))</f>
        <v/>
      </c>
    </row>
    <row r="42" ht="20" customHeight="1">
      <c r="A42" s="26" t="inlineStr">
        <is>
          <t>D-1038</t>
        </is>
      </c>
      <c r="B42" s="27" t="inlineStr">
        <is>
          <t>Bell Food Group</t>
        </is>
      </c>
      <c r="C42" s="27" t="inlineStr">
        <is>
          <t>S. Zünd</t>
        </is>
      </c>
      <c r="D42" s="27" t="inlineStr">
        <is>
          <t>Waadt</t>
        </is>
      </c>
      <c r="E42" s="27" t="inlineStr">
        <is>
          <t>Flottenbetrieb</t>
        </is>
      </c>
      <c r="F42" s="27" t="inlineStr">
        <is>
          <t>DC-Schnelllader 60 kW</t>
        </is>
      </c>
      <c r="G42" s="27" t="inlineStr">
        <is>
          <t>Lead</t>
        </is>
      </c>
      <c r="H42" s="27" t="inlineStr">
        <is>
          <t>Niedrig</t>
        </is>
      </c>
      <c r="I42" s="28" t="n">
        <v>272000</v>
      </c>
      <c r="J42" s="29">
        <f>IFERROR(_xlfn.XLOOKUP(G42,Listen!$A$5:$A$10,Listen!$B$5:$B$10),VLOOKUP(G42,Listen!$A$5:$B$10,2,FALSE))</f>
        <v/>
      </c>
      <c r="K42" s="30">
        <f>I42*J42</f>
        <v/>
      </c>
      <c r="L42" s="31" t="n">
        <v>46191</v>
      </c>
      <c r="M42" s="31" t="n">
        <v>46292</v>
      </c>
      <c r="N42" s="32">
        <f>IF(OR(G42="Gewonnen",G42="Verloren"),"—",M42-TODAY())</f>
        <v/>
      </c>
      <c r="O42" s="27" t="inlineStr">
        <is>
          <t>L. Rossi</t>
        </is>
      </c>
      <c r="P42" s="27" t="inlineStr">
        <is>
          <t>Abschluss vorbereiten</t>
        </is>
      </c>
      <c r="Q42" s="33">
        <f>IF(G42="Gewonnen","✅",IF(G42="Verloren","⬛",IF(N42&lt;=14,"🔴",IF(N42&lt;=45,"🟡","🟢"))))</f>
        <v/>
      </c>
    </row>
    <row r="43" ht="20" customHeight="1">
      <c r="A43" s="18" t="inlineStr">
        <is>
          <t>D-1039</t>
        </is>
      </c>
      <c r="B43" s="19" t="inlineStr">
        <is>
          <t>Zweifel Pomy-Chips</t>
        </is>
      </c>
      <c r="C43" s="19" t="inlineStr">
        <is>
          <t>M. Zweifel</t>
        </is>
      </c>
      <c r="D43" s="19" t="inlineStr">
        <is>
          <t>Aargau</t>
        </is>
      </c>
      <c r="E43" s="19" t="inlineStr">
        <is>
          <t>Tankstellen</t>
        </is>
      </c>
      <c r="F43" s="19" t="inlineStr">
        <is>
          <t>AC-Ladestation 22 kW</t>
        </is>
      </c>
      <c r="G43" s="19" t="inlineStr">
        <is>
          <t>Angebot</t>
        </is>
      </c>
      <c r="H43" s="19" t="inlineStr">
        <is>
          <t>Hoch</t>
        </is>
      </c>
      <c r="I43" s="20" t="n">
        <v>88000</v>
      </c>
      <c r="J43" s="21">
        <f>IFERROR(_xlfn.XLOOKUP(G43,Listen!$A$5:$A$10,Listen!$B$5:$B$10),VLOOKUP(G43,Listen!$A$5:$B$10,2,FALSE))</f>
        <v/>
      </c>
      <c r="K43" s="22">
        <f>I43*J43</f>
        <v/>
      </c>
      <c r="L43" s="23" t="n">
        <v>46180</v>
      </c>
      <c r="M43" s="23" t="n">
        <v>46305</v>
      </c>
      <c r="N43" s="24">
        <f>IF(OR(G43="Gewonnen",G43="Verloren"),"—",M43-TODAY())</f>
        <v/>
      </c>
      <c r="O43" s="19" t="inlineStr">
        <is>
          <t>N. Keller</t>
        </is>
      </c>
      <c r="P43" s="19" t="inlineStr">
        <is>
          <t>Erstgespräch planen</t>
        </is>
      </c>
      <c r="Q43" s="25">
        <f>IF(G43="Gewonnen","✅",IF(G43="Verloren","⬛",IF(N43&lt;=14,"🔴",IF(N43&lt;=45,"🟡","🟢"))))</f>
        <v/>
      </c>
    </row>
    <row r="44" ht="20" customHeight="1">
      <c r="A44" s="26" t="inlineStr">
        <is>
          <t>D-1040</t>
        </is>
      </c>
      <c r="B44" s="27" t="inlineStr">
        <is>
          <t>Maerki Baumann</t>
        </is>
      </c>
      <c r="C44" s="27" t="inlineStr">
        <is>
          <t>L. Baumann</t>
        </is>
      </c>
      <c r="D44" s="27" t="inlineStr">
        <is>
          <t>Luzern</t>
        </is>
      </c>
      <c r="E44" s="27" t="inlineStr">
        <is>
          <t>Industrie</t>
        </is>
      </c>
      <c r="F44" s="27" t="inlineStr">
        <is>
          <t>PV + Speicher Kombi</t>
        </is>
      </c>
      <c r="G44" s="27" t="inlineStr">
        <is>
          <t>Gewonnen</t>
        </is>
      </c>
      <c r="H44" s="27" t="inlineStr">
        <is>
          <t>Mittel</t>
        </is>
      </c>
      <c r="I44" s="28" t="n">
        <v>384000</v>
      </c>
      <c r="J44" s="29">
        <f>IFERROR(_xlfn.XLOOKUP(G44,Listen!$A$5:$A$10,Listen!$B$5:$B$10),VLOOKUP(G44,Listen!$A$5:$B$10,2,FALSE))</f>
        <v/>
      </c>
      <c r="K44" s="30">
        <f>I44*J44</f>
        <v/>
      </c>
      <c r="L44" s="31" t="n">
        <v>46169</v>
      </c>
      <c r="M44" s="31" t="n">
        <v>46198</v>
      </c>
      <c r="N44" s="32">
        <f>IF(OR(G44="Gewonnen",G44="Verloren"),"—",M44-TODAY())</f>
        <v/>
      </c>
      <c r="O44" s="27" t="inlineStr">
        <is>
          <t>A. Favre</t>
        </is>
      </c>
      <c r="P44" s="27" t="inlineStr">
        <is>
          <t>Angebot erstellen</t>
        </is>
      </c>
      <c r="Q44" s="33">
        <f>IF(G44="Gewonnen","✅",IF(G44="Verloren","⬛",IF(N44&lt;=14,"🔴",IF(N44&lt;=45,"🟡","🟢"))))</f>
        <v/>
      </c>
    </row>
    <row r="45" ht="20" customHeight="1">
      <c r="A45" s="18" t="inlineStr">
        <is>
          <t>D-1041</t>
        </is>
      </c>
      <c r="B45" s="19" t="inlineStr">
        <is>
          <t>EWZ</t>
        </is>
      </c>
      <c r="C45" s="19" t="inlineStr">
        <is>
          <t>P. Graf</t>
        </is>
      </c>
      <c r="D45" s="19" t="inlineStr">
        <is>
          <t>Bern</t>
        </is>
      </c>
      <c r="E45" s="19" t="inlineStr">
        <is>
          <t>Öffentliche Hand</t>
        </is>
      </c>
      <c r="F45" s="19" t="inlineStr">
        <is>
          <t>Full-Service Betrieb</t>
        </is>
      </c>
      <c r="G45" s="19" t="inlineStr">
        <is>
          <t>Qualifiziert</t>
        </is>
      </c>
      <c r="H45" s="19" t="inlineStr">
        <is>
          <t>Niedrig</t>
        </is>
      </c>
      <c r="I45" s="20" t="n">
        <v>200000</v>
      </c>
      <c r="J45" s="21">
        <f>IFERROR(_xlfn.XLOOKUP(G45,Listen!$A$5:$A$10,Listen!$B$5:$B$10),VLOOKUP(G45,Listen!$A$5:$B$10,2,FALSE))</f>
        <v/>
      </c>
      <c r="K45" s="22">
        <f>I45*J45</f>
        <v/>
      </c>
      <c r="L45" s="23" t="n">
        <v>46158</v>
      </c>
      <c r="M45" s="23" t="n">
        <v>46211</v>
      </c>
      <c r="N45" s="24">
        <f>IF(OR(G45="Gewonnen",G45="Verloren"),"—",M45-TODAY())</f>
        <v/>
      </c>
      <c r="O45" s="19" t="inlineStr">
        <is>
          <t>Burak Ücöz</t>
        </is>
      </c>
      <c r="P45" s="19" t="inlineStr">
        <is>
          <t>Nachfassen</t>
        </is>
      </c>
      <c r="Q45" s="25">
        <f>IF(G45="Gewonnen","✅",IF(G45="Verloren","⬛",IF(N45&lt;=14,"🔴",IF(N45&lt;=45,"🟡","🟢"))))</f>
        <v/>
      </c>
    </row>
    <row r="46" ht="20" customHeight="1">
      <c r="A46" s="26" t="inlineStr">
        <is>
          <t>D-1042</t>
        </is>
      </c>
      <c r="B46" s="27" t="inlineStr">
        <is>
          <t>SIG Group</t>
        </is>
      </c>
      <c r="C46" s="27" t="inlineStr">
        <is>
          <t>D. Meister</t>
        </is>
      </c>
      <c r="D46" s="27" t="inlineStr">
        <is>
          <t>Basel</t>
        </is>
      </c>
      <c r="E46" s="27" t="inlineStr">
        <is>
          <t>Hotellerie</t>
        </is>
      </c>
      <c r="F46" s="27" t="inlineStr">
        <is>
          <t>Lastmanagement-System</t>
        </is>
      </c>
      <c r="G46" s="27" t="inlineStr">
        <is>
          <t>Verhandlung</t>
        </is>
      </c>
      <c r="H46" s="27" t="inlineStr">
        <is>
          <t>Hoch</t>
        </is>
      </c>
      <c r="I46" s="28" t="n">
        <v>496000</v>
      </c>
      <c r="J46" s="29">
        <f>IFERROR(_xlfn.XLOOKUP(G46,Listen!$A$5:$A$10,Listen!$B$5:$B$10),VLOOKUP(G46,Listen!$A$5:$B$10,2,FALSE))</f>
        <v/>
      </c>
      <c r="K46" s="30">
        <f>I46*J46</f>
        <v/>
      </c>
      <c r="L46" s="31" t="n">
        <v>46147</v>
      </c>
      <c r="M46" s="31" t="n">
        <v>46224</v>
      </c>
      <c r="N46" s="32">
        <f>IF(OR(G46="Gewonnen",G46="Verloren"),"—",M46-TODAY())</f>
        <v/>
      </c>
      <c r="O46" s="27" t="inlineStr">
        <is>
          <t>S. Meier</t>
        </is>
      </c>
      <c r="P46" s="27" t="inlineStr">
        <is>
          <t>Standort prüfen</t>
        </is>
      </c>
      <c r="Q46" s="33">
        <f>IF(G46="Gewonnen","✅",IF(G46="Verloren","⬛",IF(N46&lt;=14,"🔴",IF(N46&lt;=45,"🟡","🟢"))))</f>
        <v/>
      </c>
    </row>
    <row r="47" ht="22" customHeight="1">
      <c r="B47" s="34" t="inlineStr">
        <is>
          <t>Σ Summe / Forecast</t>
        </is>
      </c>
      <c r="I47" s="35">
        <f>SUBTOTAL(109,I5:I46)</f>
        <v/>
      </c>
      <c r="K47" s="35">
        <f>SUBTOTAL(109,K5:K46)</f>
        <v/>
      </c>
    </row>
  </sheetData>
  <mergeCells count="2">
    <mergeCell ref="A2:Q2"/>
    <mergeCell ref="A1:Q1"/>
  </mergeCells>
  <conditionalFormatting sqref="I5:I46">
    <cfRule type="dataBar" priority="1">
      <dataBar showValue="1">
        <cfvo type="min"/>
        <cfvo type="max"/>
        <color rgb="00E2001A"/>
      </dataBar>
    </cfRule>
  </conditionalFormatting>
  <conditionalFormatting sqref="H5:H46">
    <cfRule type="cellIs" priority="2" operator="equal" dxfId="0">
      <formula>"Hoch"</formula>
    </cfRule>
  </conditionalFormatting>
  <conditionalFormatting sqref="G5:G46">
    <cfRule type="cellIs" priority="3" operator="equal" dxfId="1">
      <formula>"Gewonnen"</formula>
    </cfRule>
    <cfRule type="cellIs" priority="4" operator="equal" dxfId="2">
      <formula>"Verloren"</formula>
    </cfRule>
  </conditionalFormatting>
  <dataValidations count="6">
    <dataValidation sqref="G5:G46" showDropDown="0" showInputMessage="0" showErrorMessage="0" allowBlank="1" errorTitle="Ungültige Eingabe" error="Bitte aus der Liste wählen." prompt="Aus Dropdown wählen" type="list">
      <formula1>=Listen!$I$5:$I$10</formula1>
    </dataValidation>
    <dataValidation sqref="H5:H46" showDropDown="0" showInputMessage="0" showErrorMessage="0" allowBlank="1" errorTitle="Ungültige Eingabe" error="Bitte aus der Liste wählen." prompt="Aus Dropdown wählen" type="list">
      <formula1>=Listen!$D$5:$D$7</formula1>
    </dataValidation>
    <dataValidation sqref="D5:D46" showDropDown="0" showInputMessage="0" showErrorMessage="0" allowBlank="1" errorTitle="Ungültige Eingabe" error="Bitte aus der Liste wählen." prompt="Aus Dropdown wählen" type="list">
      <formula1>=Listen!$E$5:$E$14</formula1>
    </dataValidation>
    <dataValidation sqref="E5:E46" showDropDown="0" showInputMessage="0" showErrorMessage="0" allowBlank="1" errorTitle="Ungültige Eingabe" error="Bitte aus der Liste wählen." prompt="Aus Dropdown wählen" type="list">
      <formula1>=Listen!$F$5:$F$12</formula1>
    </dataValidation>
    <dataValidation sqref="F5:F46" showDropDown="0" showInputMessage="0" showErrorMessage="0" allowBlank="1" errorTitle="Ungültige Eingabe" error="Bitte aus der Liste wählen." prompt="Aus Dropdown wählen" type="list">
      <formula1>=Listen!$G$5:$G$10</formula1>
    </dataValidation>
    <dataValidation sqref="O5:O46" showDropDown="0" showInputMessage="0" showErrorMessage="0" allowBlank="1" errorTitle="Ungültige Eingabe" error="Bitte aus der Liste wählen." prompt="Aus Dropdown wählen" type="list">
      <formula1>=Listen!$H$5:$H$9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5" customWidth="1" min="3" max="3"/>
    <col width="32" customWidth="1" min="4" max="4"/>
    <col width="13" customWidth="1" min="5" max="5"/>
    <col width="12" customWidth="1" min="6" max="6"/>
    <col width="15" customWidth="1" min="7" max="7"/>
    <col width="8" customWidth="1" min="8" max="8"/>
  </cols>
  <sheetData>
    <row r="1" ht="30" customHeight="1">
      <c r="A1" s="16" t="inlineStr">
        <is>
          <t>AKTIVITÄTEN &amp; AUFGABEN</t>
        </is>
      </c>
    </row>
    <row r="2">
      <c r="A2" s="17" t="inlineStr">
        <is>
          <t>Fällige/überfällige Aufgaben werden farblich markiert. Status per Dropdown.</t>
        </is>
      </c>
    </row>
    <row r="4" ht="24" customHeight="1">
      <c r="A4" s="13" t="inlineStr">
        <is>
          <t>Datum</t>
        </is>
      </c>
      <c r="B4" s="13" t="inlineStr">
        <is>
          <t>Firma</t>
        </is>
      </c>
      <c r="C4" s="13" t="inlineStr">
        <is>
          <t>Typ</t>
        </is>
      </c>
      <c r="D4" s="13" t="inlineStr">
        <is>
          <t>Beschreibung</t>
        </is>
      </c>
      <c r="E4" s="13" t="inlineStr">
        <is>
          <t>Fällig am</t>
        </is>
      </c>
      <c r="F4" s="13" t="inlineStr">
        <is>
          <t>Status</t>
        </is>
      </c>
      <c r="G4" s="13" t="inlineStr">
        <is>
          <t>Verantwortlich</t>
        </is>
      </c>
      <c r="H4" s="13" t="inlineStr">
        <is>
          <t>Ampel</t>
        </is>
      </c>
    </row>
    <row r="5" ht="20" customHeight="1">
      <c r="A5" s="36" t="n">
        <v>46206</v>
      </c>
      <c r="B5" s="18" t="inlineStr">
        <is>
          <t>Migros Ostschweiz</t>
        </is>
      </c>
      <c r="C5" s="18" t="inlineStr">
        <is>
          <t>Anruf</t>
        </is>
      </c>
      <c r="D5" s="18" t="inlineStr">
        <is>
          <t>Vertrag final abstimmen</t>
        </is>
      </c>
      <c r="E5" s="36" t="n">
        <v>46198</v>
      </c>
      <c r="F5" s="18" t="inlineStr">
        <is>
          <t>Erledigt</t>
        </is>
      </c>
      <c r="G5" s="18" t="inlineStr">
        <is>
          <t>Burak Ücöz</t>
        </is>
      </c>
      <c r="H5" s="25">
        <f>IF(F5="Erledigt","✅",IF(E5&lt;TODAY(),"🔴",IF(E5&lt;=TODAY()+7,"🟡","🟢")))</f>
        <v/>
      </c>
    </row>
    <row r="6" ht="20" customHeight="1">
      <c r="A6" s="37" t="n">
        <v>46205</v>
      </c>
      <c r="B6" s="26" t="inlineStr">
        <is>
          <t>Planzer Transport</t>
        </is>
      </c>
      <c r="C6" s="26" t="inlineStr">
        <is>
          <t>E-Mail</t>
        </is>
      </c>
      <c r="D6" s="26" t="inlineStr">
        <is>
          <t>Angebot nachfassen</t>
        </is>
      </c>
      <c r="E6" s="37" t="n">
        <v>46207</v>
      </c>
      <c r="F6" s="26" t="inlineStr">
        <is>
          <t>Offen</t>
        </is>
      </c>
      <c r="G6" s="26" t="inlineStr">
        <is>
          <t>Burak Ücöz</t>
        </is>
      </c>
      <c r="H6" s="25">
        <f>IF(F6="Erledigt","✅",IF(E6&lt;TODAY(),"🔴",IF(E6&lt;=TODAY()+7,"🟡","🟢")))</f>
        <v/>
      </c>
    </row>
    <row r="7" ht="20" customHeight="1">
      <c r="A7" s="36" t="n">
        <v>46204</v>
      </c>
      <c r="B7" s="18" t="inlineStr">
        <is>
          <t>SBB Immobilien</t>
        </is>
      </c>
      <c r="C7" s="18" t="inlineStr">
        <is>
          <t>Termin vor Ort</t>
        </is>
      </c>
      <c r="D7" s="18" t="inlineStr">
        <is>
          <t>Standort-Audit terminieren</t>
        </is>
      </c>
      <c r="E7" s="36" t="n">
        <v>46216</v>
      </c>
      <c r="F7" s="18" t="inlineStr">
        <is>
          <t>Offen</t>
        </is>
      </c>
      <c r="G7" s="18" t="inlineStr">
        <is>
          <t>S. Meier</t>
        </is>
      </c>
      <c r="H7" s="25">
        <f>IF(F7="Erledigt","✅",IF(E7&lt;TODAY(),"🔴",IF(E7&lt;=TODAY()+7,"🟡","🟢")))</f>
        <v/>
      </c>
    </row>
    <row r="8" ht="20" customHeight="1">
      <c r="A8" s="37" t="n">
        <v>46203</v>
      </c>
      <c r="B8" s="26" t="inlineStr">
        <is>
          <t>Coop Mineraloel</t>
        </is>
      </c>
      <c r="C8" s="26" t="inlineStr">
        <is>
          <t>Web-Demo</t>
        </is>
      </c>
      <c r="D8" s="26" t="inlineStr">
        <is>
          <t>Preisstaffel bestätigen</t>
        </is>
      </c>
      <c r="E8" s="37" t="n">
        <v>46225</v>
      </c>
      <c r="F8" s="26" t="inlineStr">
        <is>
          <t>Offen</t>
        </is>
      </c>
      <c r="G8" s="26" t="inlineStr">
        <is>
          <t>Burak Ücöz</t>
        </is>
      </c>
      <c r="H8" s="25">
        <f>IF(F8="Erledigt","✅",IF(E8&lt;TODAY(),"🔴",IF(E8&lt;=TODAY()+7,"🟡","🟢")))</f>
        <v/>
      </c>
    </row>
    <row r="9" ht="20" customHeight="1">
      <c r="A9" s="36" t="n">
        <v>46202</v>
      </c>
      <c r="B9" s="18" t="inlineStr">
        <is>
          <t>Hotel Belvédère</t>
        </is>
      </c>
      <c r="C9" s="18" t="inlineStr">
        <is>
          <t>Angebot</t>
        </is>
      </c>
      <c r="D9" s="18" t="inlineStr">
        <is>
          <t>Referenzbesuch anbieten</t>
        </is>
      </c>
      <c r="E9" s="36" t="n">
        <v>46234</v>
      </c>
      <c r="F9" s="18" t="inlineStr">
        <is>
          <t>Erledigt</t>
        </is>
      </c>
      <c r="G9" s="18" t="inlineStr">
        <is>
          <t>L. Rossi</t>
        </is>
      </c>
      <c r="H9" s="25">
        <f>IF(F9="Erledigt","✅",IF(E9&lt;TODAY(),"🔴",IF(E9&lt;=TODAY()+7,"🟡","🟢")))</f>
        <v/>
      </c>
    </row>
    <row r="10" ht="20" customHeight="1">
      <c r="A10" s="37" t="n">
        <v>46201</v>
      </c>
      <c r="B10" s="26" t="inlineStr">
        <is>
          <t>Stadt Zürich TAZ</t>
        </is>
      </c>
      <c r="C10" s="26" t="inlineStr">
        <is>
          <t>Follow-up</t>
        </is>
      </c>
      <c r="D10" s="26" t="inlineStr">
        <is>
          <t>Ausschreibung prüfen</t>
        </is>
      </c>
      <c r="E10" s="37" t="n">
        <v>46203</v>
      </c>
      <c r="F10" s="26" t="inlineStr">
        <is>
          <t>Offen</t>
        </is>
      </c>
      <c r="G10" s="26" t="inlineStr">
        <is>
          <t>N. Keller</t>
        </is>
      </c>
      <c r="H10" s="25">
        <f>IF(F10="Erledigt","✅",IF(E10&lt;TODAY(),"🔴",IF(E10&lt;=TODAY()+7,"🟡","🟢")))</f>
        <v/>
      </c>
    </row>
    <row r="11" ht="20" customHeight="1">
      <c r="A11" s="36" t="n">
        <v>46200</v>
      </c>
      <c r="B11" s="18" t="inlineStr">
        <is>
          <t>Emmi Gruppe</t>
        </is>
      </c>
      <c r="C11" s="18" t="inlineStr">
        <is>
          <t>Anruf</t>
        </is>
      </c>
      <c r="D11" s="18" t="inlineStr">
        <is>
          <t>Erstgespräch vereinbaren</t>
        </is>
      </c>
      <c r="E11" s="36" t="n">
        <v>46212</v>
      </c>
      <c r="F11" s="18" t="inlineStr">
        <is>
          <t>Offen</t>
        </is>
      </c>
      <c r="G11" s="18" t="inlineStr">
        <is>
          <t>S. Meier</t>
        </is>
      </c>
      <c r="H11" s="25">
        <f>IF(F11="Erledigt","✅",IF(E11&lt;TODAY(),"🔴",IF(E11&lt;=TODAY()+7,"🟡","🟢")))</f>
        <v/>
      </c>
    </row>
    <row r="12" ht="20" customHeight="1">
      <c r="A12" s="37" t="n">
        <v>46199</v>
      </c>
      <c r="B12" s="26" t="inlineStr">
        <is>
          <t>Groupe Mutuel</t>
        </is>
      </c>
      <c r="C12" s="26" t="inlineStr">
        <is>
          <t>E-Mail</t>
        </is>
      </c>
      <c r="D12" s="26" t="inlineStr">
        <is>
          <t>Angebot v2 senden</t>
        </is>
      </c>
      <c r="E12" s="37" t="n">
        <v>46221</v>
      </c>
      <c r="F12" s="26" t="inlineStr">
        <is>
          <t>Offen</t>
        </is>
      </c>
      <c r="G12" s="26" t="inlineStr">
        <is>
          <t>A. Favre</t>
        </is>
      </c>
      <c r="H12" s="25">
        <f>IF(F12="Erledigt","✅",IF(E12&lt;TODAY(),"🔴",IF(E12&lt;=TODAY()+7,"🟡","🟢")))</f>
        <v/>
      </c>
    </row>
    <row r="13" ht="20" customHeight="1">
      <c r="A13" s="36" t="n">
        <v>46197</v>
      </c>
      <c r="B13" s="18" t="inlineStr">
        <is>
          <t>Post Fleet</t>
        </is>
      </c>
      <c r="C13" s="18" t="inlineStr">
        <is>
          <t>Web-Demo</t>
        </is>
      </c>
      <c r="D13" s="18" t="inlineStr">
        <is>
          <t>Rahmenvertrag verhandeln</t>
        </is>
      </c>
      <c r="E13" s="36" t="n">
        <v>46199</v>
      </c>
      <c r="F13" s="18" t="inlineStr">
        <is>
          <t>Offen</t>
        </is>
      </c>
      <c r="G13" s="18" t="inlineStr">
        <is>
          <t>Burak Ücöz</t>
        </is>
      </c>
      <c r="H13" s="25">
        <f>IF(F13="Erledigt","✅",IF(E13&lt;TODAY(),"🔴",IF(E13&lt;=TODAY()+7,"🟡","🟢")))</f>
        <v/>
      </c>
    </row>
    <row r="14" ht="20" customHeight="1">
      <c r="A14" s="37" t="n">
        <v>46196</v>
      </c>
      <c r="B14" s="26" t="inlineStr">
        <is>
          <t>TCS Genf</t>
        </is>
      </c>
      <c r="C14" s="26" t="inlineStr">
        <is>
          <t>Angebot</t>
        </is>
      </c>
      <c r="D14" s="26" t="inlineStr">
        <is>
          <t>Bedarf konkretisieren</t>
        </is>
      </c>
      <c r="E14" s="37" t="n">
        <v>46208</v>
      </c>
      <c r="F14" s="26" t="inlineStr">
        <is>
          <t>Offen</t>
        </is>
      </c>
      <c r="G14" s="26" t="inlineStr">
        <is>
          <t>A. Favre</t>
        </is>
      </c>
      <c r="H14" s="25">
        <f>IF(F14="Erledigt","✅",IF(E14&lt;TODAY(),"🔴",IF(E14&lt;=TODAY()+7,"🟡","🟢")))</f>
        <v/>
      </c>
    </row>
    <row r="15" ht="20" customHeight="1">
      <c r="A15" s="36" t="n">
        <v>46195</v>
      </c>
      <c r="B15" s="18" t="inlineStr">
        <is>
          <t>IKEA Spreitenbach</t>
        </is>
      </c>
      <c r="C15" s="18" t="inlineStr">
        <is>
          <t>Follow-up</t>
        </is>
      </c>
      <c r="D15" s="18" t="inlineStr">
        <is>
          <t>Business-Case rechnen</t>
        </is>
      </c>
      <c r="E15" s="36" t="n">
        <v>46217</v>
      </c>
      <c r="F15" s="18" t="inlineStr">
        <is>
          <t>Offen</t>
        </is>
      </c>
      <c r="G15" s="18" t="inlineStr">
        <is>
          <t>S. Meier</t>
        </is>
      </c>
      <c r="H15" s="25">
        <f>IF(F15="Erledigt","✅",IF(E15&lt;TODAY(),"🔴",IF(E15&lt;=TODAY()+7,"🟡","🟢")))</f>
        <v/>
      </c>
    </row>
    <row r="16" ht="20" customHeight="1">
      <c r="A16" s="37" t="n">
        <v>46194</v>
      </c>
      <c r="B16" s="26" t="inlineStr">
        <is>
          <t>Manor AG</t>
        </is>
      </c>
      <c r="C16" s="26" t="inlineStr">
        <is>
          <t>Anruf</t>
        </is>
      </c>
      <c r="D16" s="26" t="inlineStr">
        <is>
          <t>Entscheider identifizieren</t>
        </is>
      </c>
      <c r="E16" s="37" t="n">
        <v>46226</v>
      </c>
      <c r="F16" s="26" t="inlineStr">
        <is>
          <t>Erledigt</t>
        </is>
      </c>
      <c r="G16" s="26" t="inlineStr">
        <is>
          <t>L. Rossi</t>
        </is>
      </c>
      <c r="H16" s="25">
        <f>IF(F16="Erledigt","✅",IF(E16&lt;TODAY(),"🔴",IF(E16&lt;=TODAY()+7,"🟡","🟢")))</f>
        <v/>
      </c>
    </row>
    <row r="17" ht="20" customHeight="1">
      <c r="A17" s="36" t="n">
        <v>46192</v>
      </c>
      <c r="B17" s="18" t="inlineStr">
        <is>
          <t>Autogrill Schweiz</t>
        </is>
      </c>
      <c r="C17" s="18" t="inlineStr">
        <is>
          <t>Termin vor Ort</t>
        </is>
      </c>
      <c r="D17" s="18" t="inlineStr">
        <is>
          <t>Termin CFO fixieren</t>
        </is>
      </c>
      <c r="E17" s="36" t="n">
        <v>46204</v>
      </c>
      <c r="F17" s="18" t="inlineStr">
        <is>
          <t>Offen</t>
        </is>
      </c>
      <c r="G17" s="18" t="inlineStr">
        <is>
          <t>Burak Ücöz</t>
        </is>
      </c>
      <c r="H17" s="25">
        <f>IF(F17="Erledigt","✅",IF(E17&lt;TODAY(),"🔴",IF(E17&lt;=TODAY()+7,"🟡","🟢")))</f>
        <v/>
      </c>
    </row>
    <row r="18" ht="20" customHeight="1">
      <c r="A18" s="37" t="n">
        <v>46190</v>
      </c>
      <c r="B18" s="26" t="inlineStr">
        <is>
          <t>Denner AG</t>
        </is>
      </c>
      <c r="C18" s="26" t="inlineStr">
        <is>
          <t>Angebot</t>
        </is>
      </c>
      <c r="D18" s="26" t="inlineStr">
        <is>
          <t>Standortliste anfordern</t>
        </is>
      </c>
      <c r="E18" s="37" t="n">
        <v>46222</v>
      </c>
      <c r="F18" s="26" t="inlineStr">
        <is>
          <t>Erledigt</t>
        </is>
      </c>
      <c r="G18" s="26" t="inlineStr">
        <is>
          <t>S. Meier</t>
        </is>
      </c>
      <c r="H18" s="25">
        <f>IF(F18="Erledigt","✅",IF(E18&lt;TODAY(),"🔴",IF(E18&lt;=TODAY()+7,"🟡","🟢")))</f>
        <v/>
      </c>
    </row>
    <row r="19" ht="20" customHeight="1">
      <c r="A19" s="36" t="n">
        <v>46189</v>
      </c>
      <c r="B19" s="18" t="inlineStr">
        <is>
          <t>Flughafen Genf</t>
        </is>
      </c>
      <c r="C19" s="18" t="inlineStr">
        <is>
          <t>Follow-up</t>
        </is>
      </c>
      <c r="D19" s="18" t="inlineStr">
        <is>
          <t>Vertragsentwurf senden</t>
        </is>
      </c>
      <c r="E19" s="36" t="n">
        <v>46231</v>
      </c>
      <c r="F19" s="18" t="inlineStr">
        <is>
          <t>Offen</t>
        </is>
      </c>
      <c r="G19" s="18" t="inlineStr">
        <is>
          <t>Burak Ücöz</t>
        </is>
      </c>
      <c r="H19" s="25">
        <f>IF(F19="Erledigt","✅",IF(E19&lt;TODAY(),"🔴",IF(E19&lt;=TODAY()+7,"🟡","🟢")))</f>
        <v/>
      </c>
    </row>
    <row r="20" ht="20" customHeight="1">
      <c r="A20" s="37" t="n">
        <v>46188</v>
      </c>
      <c r="B20" s="26" t="inlineStr">
        <is>
          <t>Valora / avec</t>
        </is>
      </c>
      <c r="C20" s="26" t="inlineStr">
        <is>
          <t>Anruf</t>
        </is>
      </c>
      <c r="D20" s="26" t="inlineStr">
        <is>
          <t>Bedarf klären</t>
        </is>
      </c>
      <c r="E20" s="37" t="n">
        <v>46200</v>
      </c>
      <c r="F20" s="26" t="inlineStr">
        <is>
          <t>Offen</t>
        </is>
      </c>
      <c r="G20" s="26" t="inlineStr">
        <is>
          <t>A. Favre</t>
        </is>
      </c>
      <c r="H20" s="25">
        <f>IF(F20="Erledigt","✅",IF(E20&lt;TODAY(),"🔴",IF(E20&lt;=TODAY()+7,"🟡","🟢")))</f>
        <v/>
      </c>
    </row>
    <row r="21" ht="20" customHeight="1">
      <c r="A21" s="36" t="n">
        <v>46187</v>
      </c>
      <c r="B21" s="18" t="inlineStr">
        <is>
          <t>Aldi Suisse</t>
        </is>
      </c>
      <c r="C21" s="18" t="inlineStr">
        <is>
          <t>E-Mail</t>
        </is>
      </c>
      <c r="D21" s="18" t="inlineStr">
        <is>
          <t>Pilotstandort definieren</t>
        </is>
      </c>
      <c r="E21" s="36" t="n">
        <v>46209</v>
      </c>
      <c r="F21" s="18" t="inlineStr">
        <is>
          <t>Offen</t>
        </is>
      </c>
      <c r="G21" s="18" t="inlineStr">
        <is>
          <t>Burak Ücöz</t>
        </is>
      </c>
      <c r="H21" s="25">
        <f>IF(F21="Erledigt","✅",IF(E21&lt;TODAY(),"🔴",IF(E21&lt;=TODAY()+7,"🟡","🟢")))</f>
        <v/>
      </c>
    </row>
    <row r="22" ht="20" customHeight="1">
      <c r="A22" s="37" t="n">
        <v>46206</v>
      </c>
      <c r="B22" s="26" t="inlineStr">
        <is>
          <t>Lidl Schweiz</t>
        </is>
      </c>
      <c r="C22" s="26" t="inlineStr">
        <is>
          <t>Termin vor Ort</t>
        </is>
      </c>
      <c r="D22" s="26" t="inlineStr">
        <is>
          <t>Erstgespräch planen</t>
        </is>
      </c>
      <c r="E22" s="37" t="n">
        <v>46218</v>
      </c>
      <c r="F22" s="26" t="inlineStr">
        <is>
          <t>Erledigt</t>
        </is>
      </c>
      <c r="G22" s="26" t="inlineStr">
        <is>
          <t>Burak Ücöz</t>
        </is>
      </c>
      <c r="H22" s="25">
        <f>IF(F22="Erledigt","✅",IF(E22&lt;TODAY(),"🔴",IF(E22&lt;=TODAY()+7,"🟡","🟢")))</f>
        <v/>
      </c>
    </row>
    <row r="23" ht="20" customHeight="1">
      <c r="A23" s="36" t="n">
        <v>46205</v>
      </c>
      <c r="B23" s="18" t="inlineStr">
        <is>
          <t>Galenica</t>
        </is>
      </c>
      <c r="C23" s="18" t="inlineStr">
        <is>
          <t>Web-Demo</t>
        </is>
      </c>
      <c r="D23" s="18" t="inlineStr">
        <is>
          <t>Angebot erstellen</t>
        </is>
      </c>
      <c r="E23" s="36" t="n">
        <v>46227</v>
      </c>
      <c r="F23" s="18" t="inlineStr">
        <is>
          <t>Offen</t>
        </is>
      </c>
      <c r="G23" s="18" t="inlineStr">
        <is>
          <t>S. Meier</t>
        </is>
      </c>
      <c r="H23" s="25">
        <f>IF(F23="Erledigt","✅",IF(E23&lt;TODAY(),"🔴",IF(E23&lt;=TODAY()+7,"🟡","🟢")))</f>
        <v/>
      </c>
    </row>
    <row r="24" ht="20" customHeight="1">
      <c r="A24" s="37" t="n">
        <v>46204</v>
      </c>
      <c r="B24" s="26" t="inlineStr">
        <is>
          <t>Swisscom Immobilien</t>
        </is>
      </c>
      <c r="C24" s="26" t="inlineStr">
        <is>
          <t>Angebot</t>
        </is>
      </c>
      <c r="D24" s="26" t="inlineStr">
        <is>
          <t>Nachfassen</t>
        </is>
      </c>
      <c r="E24" s="37" t="n">
        <v>46236</v>
      </c>
      <c r="F24" s="26" t="inlineStr">
        <is>
          <t>Offen</t>
        </is>
      </c>
      <c r="G24" s="26" t="inlineStr">
        <is>
          <t>L. Rossi</t>
        </is>
      </c>
      <c r="H24" s="25">
        <f>IF(F24="Erledigt","✅",IF(E24&lt;TODAY(),"🔴",IF(E24&lt;=TODAY()+7,"🟡","🟢")))</f>
        <v/>
      </c>
    </row>
    <row r="25" ht="20" customHeight="1">
      <c r="A25" s="36" t="n">
        <v>46203</v>
      </c>
      <c r="B25" s="18" t="inlineStr">
        <is>
          <t>Kuoni Reisen</t>
        </is>
      </c>
      <c r="C25" s="18" t="inlineStr">
        <is>
          <t>Follow-up</t>
        </is>
      </c>
      <c r="D25" s="18" t="inlineStr">
        <is>
          <t>Standort prüfen</t>
        </is>
      </c>
      <c r="E25" s="36" t="n">
        <v>46205</v>
      </c>
      <c r="F25" s="18" t="inlineStr">
        <is>
          <t>Offen</t>
        </is>
      </c>
      <c r="G25" s="18" t="inlineStr">
        <is>
          <t>N. Keller</t>
        </is>
      </c>
      <c r="H25" s="25">
        <f>IF(F25="Erledigt","✅",IF(E25&lt;TODAY(),"🔴",IF(E25&lt;=TODAY()+7,"🟡","🟢")))</f>
        <v/>
      </c>
    </row>
    <row r="26" ht="20" customHeight="1">
      <c r="A26" s="37" t="n">
        <v>46201</v>
      </c>
      <c r="B26" s="26" t="inlineStr">
        <is>
          <t>Geberit</t>
        </is>
      </c>
      <c r="C26" s="26" t="inlineStr">
        <is>
          <t>E-Mail</t>
        </is>
      </c>
      <c r="D26" s="26" t="inlineStr">
        <is>
          <t>Abschluss vorbereiten</t>
        </is>
      </c>
      <c r="E26" s="37" t="n">
        <v>46223</v>
      </c>
      <c r="F26" s="26" t="inlineStr">
        <is>
          <t>Offen</t>
        </is>
      </c>
      <c r="G26" s="26" t="inlineStr">
        <is>
          <t>Burak Ücöz</t>
        </is>
      </c>
      <c r="H26" s="25">
        <f>IF(F26="Erledigt","✅",IF(E26&lt;TODAY(),"🔴",IF(E26&lt;=TODAY()+7,"🟡","🟢")))</f>
        <v/>
      </c>
    </row>
    <row r="27" ht="20" customHeight="1">
      <c r="A27" s="36" t="n">
        <v>46200</v>
      </c>
      <c r="B27" s="18" t="inlineStr">
        <is>
          <t>Ricola</t>
        </is>
      </c>
      <c r="C27" s="18" t="inlineStr">
        <is>
          <t>Termin vor Ort</t>
        </is>
      </c>
      <c r="D27" s="18" t="inlineStr">
        <is>
          <t>Erstgespräch planen</t>
        </is>
      </c>
      <c r="E27" s="36" t="n">
        <v>46232</v>
      </c>
      <c r="F27" s="18" t="inlineStr">
        <is>
          <t>Offen</t>
        </is>
      </c>
      <c r="G27" s="18" t="inlineStr">
        <is>
          <t>S. Meier</t>
        </is>
      </c>
      <c r="H27" s="25">
        <f>IF(F27="Erledigt","✅",IF(E27&lt;TODAY(),"🔴",IF(E27&lt;=TODAY()+7,"🟡","🟢")))</f>
        <v/>
      </c>
    </row>
    <row r="28" ht="20" customHeight="1">
      <c r="A28" s="37" t="n">
        <v>46199</v>
      </c>
      <c r="B28" s="26" t="inlineStr">
        <is>
          <t>Victorinox</t>
        </is>
      </c>
      <c r="C28" s="26" t="inlineStr">
        <is>
          <t>Web-Demo</t>
        </is>
      </c>
      <c r="D28" s="26" t="inlineStr">
        <is>
          <t>Angebot erstellen</t>
        </is>
      </c>
      <c r="E28" s="37" t="n">
        <v>46201</v>
      </c>
      <c r="F28" s="26" t="inlineStr">
        <is>
          <t>Offen</t>
        </is>
      </c>
      <c r="G28" s="26" t="inlineStr">
        <is>
          <t>L. Rossi</t>
        </is>
      </c>
      <c r="H28" s="25">
        <f>IF(F28="Erledigt","✅",IF(E28&lt;TODAY(),"🔴",IF(E28&lt;=TODAY()+7,"🟡","🟢")))</f>
        <v/>
      </c>
    </row>
    <row r="29" ht="20" customHeight="1">
      <c r="A29" s="36" t="n">
        <v>46198</v>
      </c>
      <c r="B29" s="18" t="inlineStr">
        <is>
          <t>Stadler Rail</t>
        </is>
      </c>
      <c r="C29" s="18" t="inlineStr">
        <is>
          <t>Angebot</t>
        </is>
      </c>
      <c r="D29" s="18" t="inlineStr">
        <is>
          <t>Nachfassen</t>
        </is>
      </c>
      <c r="E29" s="36" t="n">
        <v>46210</v>
      </c>
      <c r="F29" s="18" t="inlineStr">
        <is>
          <t>Erledigt</t>
        </is>
      </c>
      <c r="G29" s="18" t="inlineStr">
        <is>
          <t>N. Keller</t>
        </is>
      </c>
      <c r="H29" s="25">
        <f>IF(F29="Erledigt","✅",IF(E29&lt;TODAY(),"🔴",IF(E29&lt;=TODAY()+7,"🟡","🟢")))</f>
        <v/>
      </c>
    </row>
    <row r="30" ht="20" customHeight="1">
      <c r="A30" s="37" t="n">
        <v>46196</v>
      </c>
      <c r="B30" s="26" t="inlineStr">
        <is>
          <t>Migrol AG</t>
        </is>
      </c>
      <c r="C30" s="26" t="inlineStr">
        <is>
          <t>Anruf</t>
        </is>
      </c>
      <c r="D30" s="26" t="inlineStr">
        <is>
          <t>Entscheider treffen</t>
        </is>
      </c>
      <c r="E30" s="37" t="n">
        <v>46228</v>
      </c>
      <c r="F30" s="26" t="inlineStr">
        <is>
          <t>Offen</t>
        </is>
      </c>
      <c r="G30" s="26" t="inlineStr">
        <is>
          <t>Burak Ücöz</t>
        </is>
      </c>
      <c r="H30" s="25">
        <f>IF(F30="Erledigt","✅",IF(E30&lt;TODAY(),"🔴",IF(E30&lt;=TODAY()+7,"🟡","🟢")))</f>
        <v/>
      </c>
    </row>
    <row r="31" ht="20" customHeight="1">
      <c r="A31" s="36" t="n">
        <v>46195</v>
      </c>
      <c r="B31" s="18" t="inlineStr">
        <is>
          <t>Tamoil</t>
        </is>
      </c>
      <c r="C31" s="18" t="inlineStr">
        <is>
          <t>E-Mail</t>
        </is>
      </c>
      <c r="D31" s="18" t="inlineStr">
        <is>
          <t>Abschluss vorbereiten</t>
        </is>
      </c>
      <c r="E31" s="36" t="n">
        <v>46237</v>
      </c>
      <c r="F31" s="18" t="inlineStr">
        <is>
          <t>Offen</t>
        </is>
      </c>
      <c r="G31" s="18" t="inlineStr">
        <is>
          <t>S. Meier</t>
        </is>
      </c>
      <c r="H31" s="25">
        <f>IF(F31="Erledigt","✅",IF(E31&lt;TODAY(),"🔴",IF(E31&lt;=TODAY()+7,"🟡","🟢")))</f>
        <v/>
      </c>
    </row>
    <row r="32" ht="20" customHeight="1">
      <c r="A32" s="37" t="n">
        <v>46194</v>
      </c>
      <c r="B32" s="26" t="inlineStr">
        <is>
          <t>Hotel Bellevue Bern</t>
        </is>
      </c>
      <c r="C32" s="26" t="inlineStr">
        <is>
          <t>Termin vor Ort</t>
        </is>
      </c>
      <c r="D32" s="26" t="inlineStr">
        <is>
          <t>Erstgespräch planen</t>
        </is>
      </c>
      <c r="E32" s="37" t="n">
        <v>46206</v>
      </c>
      <c r="F32" s="26" t="inlineStr">
        <is>
          <t>Erledigt</t>
        </is>
      </c>
      <c r="G32" s="26" t="inlineStr">
        <is>
          <t>L. Rossi</t>
        </is>
      </c>
      <c r="H32" s="25">
        <f>IF(F32="Erledigt","✅",IF(E32&lt;TODAY(),"🔴",IF(E32&lt;=TODAY()+7,"🟡","🟢")))</f>
        <v/>
      </c>
    </row>
    <row r="33" ht="20" customHeight="1">
      <c r="A33" s="36" t="n">
        <v>46191</v>
      </c>
      <c r="B33" s="18" t="inlineStr">
        <is>
          <t>Kantonsspital Aarau</t>
        </is>
      </c>
      <c r="C33" s="18" t="inlineStr">
        <is>
          <t>Follow-up</t>
        </is>
      </c>
      <c r="D33" s="18" t="inlineStr">
        <is>
          <t>Standort prüfen</t>
        </is>
      </c>
      <c r="E33" s="36" t="n">
        <v>46233</v>
      </c>
      <c r="F33" s="18" t="inlineStr">
        <is>
          <t>Offen</t>
        </is>
      </c>
      <c r="G33" s="18" t="inlineStr">
        <is>
          <t>Burak Ücöz</t>
        </is>
      </c>
      <c r="H33" s="25">
        <f>IF(F33="Erledigt","✅",IF(E33&lt;TODAY(),"🔴",IF(E33&lt;=TODAY()+7,"🟡","🟢")))</f>
        <v/>
      </c>
    </row>
    <row r="34" ht="20" customHeight="1">
      <c r="A34" s="37" t="n">
        <v>46190</v>
      </c>
      <c r="B34" s="26" t="inlineStr">
        <is>
          <t>Feldschlösschen</t>
        </is>
      </c>
      <c r="C34" s="26" t="inlineStr">
        <is>
          <t>Anruf</t>
        </is>
      </c>
      <c r="D34" s="26" t="inlineStr">
        <is>
          <t>Entscheider treffen</t>
        </is>
      </c>
      <c r="E34" s="37" t="n">
        <v>46202</v>
      </c>
      <c r="F34" s="26" t="inlineStr">
        <is>
          <t>Erledigt</t>
        </is>
      </c>
      <c r="G34" s="26" t="inlineStr">
        <is>
          <t>S. Meier</t>
        </is>
      </c>
      <c r="H34" s="25">
        <f>IF(F34="Erledigt","✅",IF(E34&lt;TODAY(),"🔴",IF(E34&lt;=TODAY()+7,"🟡","🟢")))</f>
        <v/>
      </c>
    </row>
    <row r="35" ht="20" customHeight="1">
      <c r="A35" s="36" t="n">
        <v>46189</v>
      </c>
      <c r="B35" s="18" t="inlineStr">
        <is>
          <t>Bell Food Group</t>
        </is>
      </c>
      <c r="C35" s="18" t="inlineStr">
        <is>
          <t>E-Mail</t>
        </is>
      </c>
      <c r="D35" s="18" t="inlineStr">
        <is>
          <t>Abschluss vorbereiten</t>
        </is>
      </c>
      <c r="E35" s="36" t="n">
        <v>46211</v>
      </c>
      <c r="F35" s="18" t="inlineStr">
        <is>
          <t>Offen</t>
        </is>
      </c>
      <c r="G35" s="18" t="inlineStr">
        <is>
          <t>L. Rossi</t>
        </is>
      </c>
      <c r="H35" s="25">
        <f>IF(F35="Erledigt","✅",IF(E35&lt;TODAY(),"🔴",IF(E35&lt;=TODAY()+7,"🟡","🟢")))</f>
        <v/>
      </c>
    </row>
    <row r="36" ht="20" customHeight="1">
      <c r="A36" s="37" t="n">
        <v>46188</v>
      </c>
      <c r="B36" s="26" t="inlineStr">
        <is>
          <t>Zweifel Pomy-Chips</t>
        </is>
      </c>
      <c r="C36" s="26" t="inlineStr">
        <is>
          <t>Termin vor Ort</t>
        </is>
      </c>
      <c r="D36" s="26" t="inlineStr">
        <is>
          <t>Erstgespräch planen</t>
        </is>
      </c>
      <c r="E36" s="37" t="n">
        <v>46220</v>
      </c>
      <c r="F36" s="26" t="inlineStr">
        <is>
          <t>Offen</t>
        </is>
      </c>
      <c r="G36" s="26" t="inlineStr">
        <is>
          <t>N. Keller</t>
        </is>
      </c>
      <c r="H36" s="25">
        <f>IF(F36="Erledigt","✅",IF(E36&lt;TODAY(),"🔴",IF(E36&lt;=TODAY()+7,"🟡","🟢")))</f>
        <v/>
      </c>
    </row>
    <row r="37" ht="20" customHeight="1">
      <c r="A37" s="36" t="n">
        <v>46206</v>
      </c>
      <c r="B37" s="18" t="inlineStr">
        <is>
          <t>EWZ</t>
        </is>
      </c>
      <c r="C37" s="18" t="inlineStr">
        <is>
          <t>Angebot</t>
        </is>
      </c>
      <c r="D37" s="18" t="inlineStr">
        <is>
          <t>Nachfassen</t>
        </is>
      </c>
      <c r="E37" s="36" t="n">
        <v>46198</v>
      </c>
      <c r="F37" s="18" t="inlineStr">
        <is>
          <t>Erledigt</t>
        </is>
      </c>
      <c r="G37" s="18" t="inlineStr">
        <is>
          <t>Burak Ücöz</t>
        </is>
      </c>
      <c r="H37" s="25">
        <f>IF(F37="Erledigt","✅",IF(E37&lt;TODAY(),"🔴",IF(E37&lt;=TODAY()+7,"🟡","🟢")))</f>
        <v/>
      </c>
    </row>
    <row r="38" ht="20" customHeight="1">
      <c r="A38" s="37" t="n">
        <v>46205</v>
      </c>
      <c r="B38" s="26" t="inlineStr">
        <is>
          <t>SIG Group</t>
        </is>
      </c>
      <c r="C38" s="26" t="inlineStr">
        <is>
          <t>Follow-up</t>
        </is>
      </c>
      <c r="D38" s="26" t="inlineStr">
        <is>
          <t>Standort prüfen</t>
        </is>
      </c>
      <c r="E38" s="37" t="n">
        <v>46207</v>
      </c>
      <c r="F38" s="26" t="inlineStr">
        <is>
          <t>Offen</t>
        </is>
      </c>
      <c r="G38" s="26" t="inlineStr">
        <is>
          <t>S. Meier</t>
        </is>
      </c>
      <c r="H38" s="25">
        <f>IF(F38="Erledigt","✅",IF(E38&lt;TODAY(),"🔴",IF(E38&lt;=TODAY()+7,"🟡","🟢")))</f>
        <v/>
      </c>
    </row>
  </sheetData>
  <mergeCells count="2">
    <mergeCell ref="A2:H2"/>
    <mergeCell ref="A1:H1"/>
  </mergeCells>
  <conditionalFormatting sqref="A5:H38">
    <cfRule type="expression" priority="1" dxfId="3">
      <formula>AND($F5="Offen",$E5&lt;TODAY())</formula>
    </cfRule>
  </conditionalFormatting>
  <conditionalFormatting sqref="F5:F38">
    <cfRule type="cellIs" priority="2" operator="equal" dxfId="4">
      <formula>"Erledigt"</formula>
    </cfRule>
  </conditionalFormatting>
  <dataValidations count="2">
    <dataValidation sqref="F5:F38" showDropDown="0" showInputMessage="0" showErrorMessage="0" allowBlank="1" type="list">
      <formula1>=Listen!$K$5:$K$6</formula1>
    </dataValidation>
    <dataValidation sqref="C5:C38" showDropDown="0" showInputMessage="0" showErrorMessage="0" allowBlank="1" type="list">
      <formula1>=Listen!$J$5:$J$10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30" customWidth="1" min="4" max="4"/>
    <col width="16" customWidth="1" min="5" max="5"/>
    <col width="12" customWidth="1" min="6" max="6"/>
    <col width="15" customWidth="1" min="7" max="7"/>
    <col width="15" customWidth="1" min="8" max="8"/>
  </cols>
  <sheetData>
    <row r="1" ht="30" customHeight="1">
      <c r="A1" s="16" t="inlineStr">
        <is>
          <t>KONTAKTE &amp; FIRMEN (CRM)</t>
        </is>
      </c>
    </row>
    <row r="2">
      <c r="A2" s="17" t="inlineStr">
        <is>
          <t>Alle Firmen &amp; Ansprechpartner. E-Mail/Telefon deterministisch generiert (Demo).</t>
        </is>
      </c>
    </row>
    <row r="4" ht="24" customHeight="1">
      <c r="A4" s="13" t="inlineStr">
        <is>
          <t>Firma</t>
        </is>
      </c>
      <c r="B4" s="13" t="inlineStr">
        <is>
          <t>Ansprechpartner</t>
        </is>
      </c>
      <c r="C4" s="13" t="inlineStr">
        <is>
          <t>Rolle</t>
        </is>
      </c>
      <c r="D4" s="13" t="inlineStr">
        <is>
          <t>E-Mail</t>
        </is>
      </c>
      <c r="E4" s="13" t="inlineStr">
        <is>
          <t>Telefon</t>
        </is>
      </c>
      <c r="F4" s="13" t="inlineStr">
        <is>
          <t>Region</t>
        </is>
      </c>
      <c r="G4" s="13" t="inlineStr">
        <is>
          <t>Branche</t>
        </is>
      </c>
      <c r="H4" s="13" t="inlineStr">
        <is>
          <t>Letzter Kontakt</t>
        </is>
      </c>
    </row>
    <row r="5" ht="20" customHeight="1">
      <c r="A5" s="18" t="inlineStr">
        <is>
          <t>Migros Ostschweiz</t>
        </is>
      </c>
      <c r="B5" s="18" t="inlineStr">
        <is>
          <t>R. Brunner</t>
        </is>
      </c>
      <c r="C5" s="18" t="inlineStr">
        <is>
          <t>Geschäftsführung</t>
        </is>
      </c>
      <c r="D5" s="18" t="inlineStr">
        <is>
          <t>brunner@migrosostschwe.ch</t>
        </is>
      </c>
      <c r="E5" s="18" t="inlineStr">
        <is>
          <t>+41 44 200 10 00</t>
        </is>
      </c>
      <c r="F5" s="18" t="inlineStr">
        <is>
          <t>St. Gallen</t>
        </is>
      </c>
      <c r="G5" s="18" t="inlineStr">
        <is>
          <t>Detailhandel</t>
        </is>
      </c>
      <c r="H5" s="36" t="n">
        <v>46203</v>
      </c>
    </row>
    <row r="6" ht="20" customHeight="1">
      <c r="A6" s="26" t="inlineStr">
        <is>
          <t>Planzer Transport</t>
        </is>
      </c>
      <c r="B6" s="26" t="inlineStr">
        <is>
          <t>M. Planzer</t>
        </is>
      </c>
      <c r="C6" s="26" t="inlineStr">
        <is>
          <t>Einkauf</t>
        </is>
      </c>
      <c r="D6" s="26" t="inlineStr">
        <is>
          <t>planzer@planzertranspo.ch</t>
        </is>
      </c>
      <c r="E6" s="26" t="inlineStr">
        <is>
          <t>+41 45 207 11 03</t>
        </is>
      </c>
      <c r="F6" s="26" t="inlineStr">
        <is>
          <t>Zürich</t>
        </is>
      </c>
      <c r="G6" s="26" t="inlineStr">
        <is>
          <t>Logistik</t>
        </is>
      </c>
      <c r="H6" s="37" t="n">
        <v>46198</v>
      </c>
    </row>
    <row r="7" ht="20" customHeight="1">
      <c r="A7" s="18" t="inlineStr">
        <is>
          <t>SBB Immobilien</t>
        </is>
      </c>
      <c r="B7" s="18" t="inlineStr">
        <is>
          <t>C. Wyss</t>
        </is>
      </c>
      <c r="C7" s="18" t="inlineStr">
        <is>
          <t>Facility Management</t>
        </is>
      </c>
      <c r="D7" s="18" t="inlineStr">
        <is>
          <t>wyss@sbbimmobilien.ch</t>
        </is>
      </c>
      <c r="E7" s="18" t="inlineStr">
        <is>
          <t>+41 46 214 12 06</t>
        </is>
      </c>
      <c r="F7" s="18" t="inlineStr">
        <is>
          <t>Bern</t>
        </is>
      </c>
      <c r="G7" s="18" t="inlineStr">
        <is>
          <t>Immobilien</t>
        </is>
      </c>
      <c r="H7" s="36" t="n">
        <v>46193</v>
      </c>
    </row>
    <row r="8" ht="20" customHeight="1">
      <c r="A8" s="26" t="inlineStr">
        <is>
          <t>Coop Mineraloel</t>
        </is>
      </c>
      <c r="B8" s="26" t="inlineStr">
        <is>
          <t>T. Frei</t>
        </is>
      </c>
      <c r="C8" s="26" t="inlineStr">
        <is>
          <t>Fuhrpark</t>
        </is>
      </c>
      <c r="D8" s="26" t="inlineStr">
        <is>
          <t>frei@coopmineraloel.ch</t>
        </is>
      </c>
      <c r="E8" s="26" t="inlineStr">
        <is>
          <t>+41 47 221 13 09</t>
        </is>
      </c>
      <c r="F8" s="26" t="inlineStr">
        <is>
          <t>Aargau</t>
        </is>
      </c>
      <c r="G8" s="26" t="inlineStr">
        <is>
          <t>Tankstellen</t>
        </is>
      </c>
      <c r="H8" s="37" t="n">
        <v>46188</v>
      </c>
    </row>
    <row r="9" ht="20" customHeight="1">
      <c r="A9" s="18" t="inlineStr">
        <is>
          <t>Hotel Belvédère</t>
        </is>
      </c>
      <c r="B9" s="18" t="inlineStr">
        <is>
          <t>G. Rossi</t>
        </is>
      </c>
      <c r="C9" s="18" t="inlineStr">
        <is>
          <t>Nachhaltigkeit</t>
        </is>
      </c>
      <c r="D9" s="18" t="inlineStr">
        <is>
          <t>rossi@hotelbelvédère.ch</t>
        </is>
      </c>
      <c r="E9" s="18" t="inlineStr">
        <is>
          <t>+41 48 228 14 12</t>
        </is>
      </c>
      <c r="F9" s="18" t="inlineStr">
        <is>
          <t>Wallis</t>
        </is>
      </c>
      <c r="G9" s="18" t="inlineStr">
        <is>
          <t>Hotellerie</t>
        </is>
      </c>
      <c r="H9" s="36" t="n">
        <v>46183</v>
      </c>
    </row>
    <row r="10" ht="20" customHeight="1">
      <c r="A10" s="26" t="inlineStr">
        <is>
          <t>Stadt Zürich TAZ</t>
        </is>
      </c>
      <c r="B10" s="26" t="inlineStr">
        <is>
          <t>P. Huber</t>
        </is>
      </c>
      <c r="C10" s="26" t="inlineStr">
        <is>
          <t>Geschäftsführung</t>
        </is>
      </c>
      <c r="D10" s="26" t="inlineStr">
        <is>
          <t>huber@stadtzürichtaz.ch</t>
        </is>
      </c>
      <c r="E10" s="26" t="inlineStr">
        <is>
          <t>+41 49 235 15 15</t>
        </is>
      </c>
      <c r="F10" s="26" t="inlineStr">
        <is>
          <t>Zürich</t>
        </is>
      </c>
      <c r="G10" s="26" t="inlineStr">
        <is>
          <t>Öffentliche Hand</t>
        </is>
      </c>
      <c r="H10" s="37" t="n">
        <v>46178</v>
      </c>
    </row>
    <row r="11" ht="20" customHeight="1">
      <c r="A11" s="18" t="inlineStr">
        <is>
          <t>Emmi Gruppe</t>
        </is>
      </c>
      <c r="B11" s="18" t="inlineStr">
        <is>
          <t>D. Schmid</t>
        </is>
      </c>
      <c r="C11" s="18" t="inlineStr">
        <is>
          <t>Einkauf</t>
        </is>
      </c>
      <c r="D11" s="18" t="inlineStr">
        <is>
          <t>schmid@emmigruppe.ch</t>
        </is>
      </c>
      <c r="E11" s="18" t="inlineStr">
        <is>
          <t>+41 50 242 16 18</t>
        </is>
      </c>
      <c r="F11" s="18" t="inlineStr">
        <is>
          <t>Luzern</t>
        </is>
      </c>
      <c r="G11" s="18" t="inlineStr">
        <is>
          <t>Industrie</t>
        </is>
      </c>
      <c r="H11" s="36" t="n">
        <v>46173</v>
      </c>
    </row>
    <row r="12" ht="20" customHeight="1">
      <c r="A12" s="26" t="inlineStr">
        <is>
          <t>Groupe Mutuel</t>
        </is>
      </c>
      <c r="B12" s="26" t="inlineStr">
        <is>
          <t>J. Favre</t>
        </is>
      </c>
      <c r="C12" s="26" t="inlineStr">
        <is>
          <t>Facility Management</t>
        </is>
      </c>
      <c r="D12" s="26" t="inlineStr">
        <is>
          <t>favre@groupemutuel.ch</t>
        </is>
      </c>
      <c r="E12" s="26" t="inlineStr">
        <is>
          <t>+41 51 249 17 21</t>
        </is>
      </c>
      <c r="F12" s="26" t="inlineStr">
        <is>
          <t>Waadt</t>
        </is>
      </c>
      <c r="G12" s="26" t="inlineStr">
        <is>
          <t>Immobilien</t>
        </is>
      </c>
      <c r="H12" s="37" t="n">
        <v>46168</v>
      </c>
    </row>
    <row r="13" ht="20" customHeight="1">
      <c r="A13" s="18" t="inlineStr">
        <is>
          <t>Läderach</t>
        </is>
      </c>
      <c r="B13" s="18" t="inlineStr">
        <is>
          <t>S. Läderach</t>
        </is>
      </c>
      <c r="C13" s="18" t="inlineStr">
        <is>
          <t>Fuhrpark</t>
        </is>
      </c>
      <c r="D13" s="18" t="inlineStr">
        <is>
          <t>läderach@läderach.ch</t>
        </is>
      </c>
      <c r="E13" s="18" t="inlineStr">
        <is>
          <t>+41 52 256 18 24</t>
        </is>
      </c>
      <c r="F13" s="18" t="inlineStr">
        <is>
          <t>Aargau</t>
        </is>
      </c>
      <c r="G13" s="18" t="inlineStr">
        <is>
          <t>Detailhandel</t>
        </is>
      </c>
      <c r="H13" s="36" t="n">
        <v>46163</v>
      </c>
    </row>
    <row r="14" ht="20" customHeight="1">
      <c r="A14" s="26" t="inlineStr">
        <is>
          <t>Post Fleet</t>
        </is>
      </c>
      <c r="B14" s="26" t="inlineStr">
        <is>
          <t>M. Berger</t>
        </is>
      </c>
      <c r="C14" s="26" t="inlineStr">
        <is>
          <t>Nachhaltigkeit</t>
        </is>
      </c>
      <c r="D14" s="26" t="inlineStr">
        <is>
          <t>berger@postfleet.ch</t>
        </is>
      </c>
      <c r="E14" s="26" t="inlineStr">
        <is>
          <t>+41 53 263 19 27</t>
        </is>
      </c>
      <c r="F14" s="26" t="inlineStr">
        <is>
          <t>Bern</t>
        </is>
      </c>
      <c r="G14" s="26" t="inlineStr">
        <is>
          <t>Flottenbetrieb</t>
        </is>
      </c>
      <c r="H14" s="37" t="n">
        <v>46158</v>
      </c>
    </row>
    <row r="15" ht="20" customHeight="1">
      <c r="A15" s="18" t="inlineStr">
        <is>
          <t>TCS Genf</t>
        </is>
      </c>
      <c r="B15" s="18" t="inlineStr">
        <is>
          <t>F. Dubois</t>
        </is>
      </c>
      <c r="C15" s="18" t="inlineStr">
        <is>
          <t>Geschäftsführung</t>
        </is>
      </c>
      <c r="D15" s="18" t="inlineStr">
        <is>
          <t>dubois@tcsgenf.ch</t>
        </is>
      </c>
      <c r="E15" s="18" t="inlineStr">
        <is>
          <t>+41 54 270 20 30</t>
        </is>
      </c>
      <c r="F15" s="18" t="inlineStr">
        <is>
          <t>Genf</t>
        </is>
      </c>
      <c r="G15" s="18" t="inlineStr">
        <is>
          <t>Öffentliche Hand</t>
        </is>
      </c>
      <c r="H15" s="36" t="n">
        <v>46153</v>
      </c>
    </row>
    <row r="16" ht="20" customHeight="1">
      <c r="A16" s="26" t="inlineStr">
        <is>
          <t>IKEA Spreitenbach</t>
        </is>
      </c>
      <c r="B16" s="26" t="inlineStr">
        <is>
          <t>K. Nilsson</t>
        </is>
      </c>
      <c r="C16" s="26" t="inlineStr">
        <is>
          <t>Einkauf</t>
        </is>
      </c>
      <c r="D16" s="26" t="inlineStr">
        <is>
          <t>nilsson@ikeaspreitenba.ch</t>
        </is>
      </c>
      <c r="E16" s="26" t="inlineStr">
        <is>
          <t>+41 55 277 21 33</t>
        </is>
      </c>
      <c r="F16" s="26" t="inlineStr">
        <is>
          <t>Aargau</t>
        </is>
      </c>
      <c r="G16" s="26" t="inlineStr">
        <is>
          <t>Detailhandel</t>
        </is>
      </c>
      <c r="H16" s="37" t="n">
        <v>46148</v>
      </c>
    </row>
    <row r="17" ht="20" customHeight="1">
      <c r="A17" s="18" t="inlineStr">
        <is>
          <t>Manor AG</t>
        </is>
      </c>
      <c r="B17" s="18" t="inlineStr">
        <is>
          <t>B. Keller</t>
        </is>
      </c>
      <c r="C17" s="18" t="inlineStr">
        <is>
          <t>Facility Management</t>
        </is>
      </c>
      <c r="D17" s="18" t="inlineStr">
        <is>
          <t>keller@manorag.ch</t>
        </is>
      </c>
      <c r="E17" s="18" t="inlineStr">
        <is>
          <t>+41 56 284 22 36</t>
        </is>
      </c>
      <c r="F17" s="18" t="inlineStr">
        <is>
          <t>Basel</t>
        </is>
      </c>
      <c r="G17" s="18" t="inlineStr">
        <is>
          <t>Detailhandel</t>
        </is>
      </c>
      <c r="H17" s="36" t="n">
        <v>46203</v>
      </c>
    </row>
    <row r="18" ht="20" customHeight="1">
      <c r="A18" s="26" t="inlineStr">
        <is>
          <t>Kambly SA</t>
        </is>
      </c>
      <c r="B18" s="26" t="inlineStr">
        <is>
          <t>E. Kambly</t>
        </is>
      </c>
      <c r="C18" s="26" t="inlineStr">
        <is>
          <t>Fuhrpark</t>
        </is>
      </c>
      <c r="D18" s="26" t="inlineStr">
        <is>
          <t>kambly@kamblysa.ch</t>
        </is>
      </c>
      <c r="E18" s="26" t="inlineStr">
        <is>
          <t>+41 57 291 23 39</t>
        </is>
      </c>
      <c r="F18" s="26" t="inlineStr">
        <is>
          <t>Bern</t>
        </is>
      </c>
      <c r="G18" s="26" t="inlineStr">
        <is>
          <t>Industrie</t>
        </is>
      </c>
      <c r="H18" s="37" t="n">
        <v>46198</v>
      </c>
    </row>
    <row r="19" ht="20" customHeight="1">
      <c r="A19" s="18" t="inlineStr">
        <is>
          <t>Autogrill Schweiz</t>
        </is>
      </c>
      <c r="B19" s="18" t="inlineStr">
        <is>
          <t>R. Conti</t>
        </is>
      </c>
      <c r="C19" s="18" t="inlineStr">
        <is>
          <t>Nachhaltigkeit</t>
        </is>
      </c>
      <c r="D19" s="18" t="inlineStr">
        <is>
          <t>conti@autogrillschwe.ch</t>
        </is>
      </c>
      <c r="E19" s="18" t="inlineStr">
        <is>
          <t>+41 58 298 24 42</t>
        </is>
      </c>
      <c r="F19" s="18" t="inlineStr">
        <is>
          <t>Tessin</t>
        </is>
      </c>
      <c r="G19" s="18" t="inlineStr">
        <is>
          <t>Tankstellen</t>
        </is>
      </c>
      <c r="H19" s="36" t="n">
        <v>46193</v>
      </c>
    </row>
    <row r="20" ht="20" customHeight="1">
      <c r="A20" s="26" t="inlineStr">
        <is>
          <t>Bucherer</t>
        </is>
      </c>
      <c r="B20" s="26" t="inlineStr">
        <is>
          <t>V. Huber</t>
        </is>
      </c>
      <c r="C20" s="26" t="inlineStr">
        <is>
          <t>Geschäftsführung</t>
        </is>
      </c>
      <c r="D20" s="26" t="inlineStr">
        <is>
          <t>huber@bucherer.ch</t>
        </is>
      </c>
      <c r="E20" s="26" t="inlineStr">
        <is>
          <t>+41 59 305 25 45</t>
        </is>
      </c>
      <c r="F20" s="26" t="inlineStr">
        <is>
          <t>Luzern</t>
        </is>
      </c>
      <c r="G20" s="26" t="inlineStr">
        <is>
          <t>Detailhandel</t>
        </is>
      </c>
      <c r="H20" s="37" t="n">
        <v>46188</v>
      </c>
    </row>
    <row r="21" ht="20" customHeight="1">
      <c r="A21" s="18" t="inlineStr">
        <is>
          <t>Denner AG</t>
        </is>
      </c>
      <c r="B21" s="18" t="inlineStr">
        <is>
          <t>H. Müller</t>
        </is>
      </c>
      <c r="C21" s="18" t="inlineStr">
        <is>
          <t>Einkauf</t>
        </is>
      </c>
      <c r="D21" s="18" t="inlineStr">
        <is>
          <t>müller@dennerag.ch</t>
        </is>
      </c>
      <c r="E21" s="18" t="inlineStr">
        <is>
          <t>+41 60 312 26 48</t>
        </is>
      </c>
      <c r="F21" s="18" t="inlineStr">
        <is>
          <t>Zürich</t>
        </is>
      </c>
      <c r="G21" s="18" t="inlineStr">
        <is>
          <t>Detailhandel</t>
        </is>
      </c>
      <c r="H21" s="36" t="n">
        <v>46183</v>
      </c>
    </row>
    <row r="22" ht="20" customHeight="1">
      <c r="A22" s="26" t="inlineStr">
        <is>
          <t>Flughafen Genf</t>
        </is>
      </c>
      <c r="B22" s="26" t="inlineStr">
        <is>
          <t>P. Girard</t>
        </is>
      </c>
      <c r="C22" s="26" t="inlineStr">
        <is>
          <t>Facility Management</t>
        </is>
      </c>
      <c r="D22" s="26" t="inlineStr">
        <is>
          <t>girard@flughafengenf.ch</t>
        </is>
      </c>
      <c r="E22" s="26" t="inlineStr">
        <is>
          <t>+41 61 319 27 51</t>
        </is>
      </c>
      <c r="F22" s="26" t="inlineStr">
        <is>
          <t>Genf</t>
        </is>
      </c>
      <c r="G22" s="26" t="inlineStr">
        <is>
          <t>Öffentliche Hand</t>
        </is>
      </c>
      <c r="H22" s="37" t="n">
        <v>46178</v>
      </c>
    </row>
    <row r="23" ht="20" customHeight="1">
      <c r="A23" s="18" t="inlineStr">
        <is>
          <t>Valora / avec</t>
        </is>
      </c>
      <c r="B23" s="18" t="inlineStr">
        <is>
          <t>N. Weber</t>
        </is>
      </c>
      <c r="C23" s="18" t="inlineStr">
        <is>
          <t>Fuhrpark</t>
        </is>
      </c>
      <c r="D23" s="18" t="inlineStr">
        <is>
          <t>weber@valoraavec.ch</t>
        </is>
      </c>
      <c r="E23" s="18" t="inlineStr">
        <is>
          <t>+41 62 326 28 54</t>
        </is>
      </c>
      <c r="F23" s="18" t="inlineStr">
        <is>
          <t>St. Gallen</t>
        </is>
      </c>
      <c r="G23" s="18" t="inlineStr">
        <is>
          <t>Detailhandel</t>
        </is>
      </c>
      <c r="H23" s="36" t="n">
        <v>46173</v>
      </c>
    </row>
    <row r="24" ht="20" customHeight="1">
      <c r="A24" s="26" t="inlineStr">
        <is>
          <t>Aldi Suisse</t>
        </is>
      </c>
      <c r="B24" s="26" t="inlineStr">
        <is>
          <t>M. Fischer</t>
        </is>
      </c>
      <c r="C24" s="26" t="inlineStr">
        <is>
          <t>Nachhaltigkeit</t>
        </is>
      </c>
      <c r="D24" s="26" t="inlineStr">
        <is>
          <t>fischer@aldisuisse.ch</t>
        </is>
      </c>
      <c r="E24" s="26" t="inlineStr">
        <is>
          <t>+41 63 333 29 57</t>
        </is>
      </c>
      <c r="F24" s="26" t="inlineStr">
        <is>
          <t>Aargau</t>
        </is>
      </c>
      <c r="G24" s="26" t="inlineStr">
        <is>
          <t>Detailhandel</t>
        </is>
      </c>
      <c r="H24" s="37" t="n">
        <v>46168</v>
      </c>
    </row>
    <row r="25" ht="20" customHeight="1">
      <c r="A25" s="18" t="inlineStr">
        <is>
          <t>Lidl Schweiz</t>
        </is>
      </c>
      <c r="B25" s="18" t="inlineStr">
        <is>
          <t>T. Wagner</t>
        </is>
      </c>
      <c r="C25" s="18" t="inlineStr">
        <is>
          <t>Geschäftsführung</t>
        </is>
      </c>
      <c r="D25" s="18" t="inlineStr">
        <is>
          <t>wagner@lidlschweiz.ch</t>
        </is>
      </c>
      <c r="E25" s="18" t="inlineStr">
        <is>
          <t>+41 64 340 30 60</t>
        </is>
      </c>
      <c r="F25" s="18" t="inlineStr">
        <is>
          <t>Bern</t>
        </is>
      </c>
      <c r="G25" s="18" t="inlineStr">
        <is>
          <t>Detailhandel</t>
        </is>
      </c>
      <c r="H25" s="36" t="n">
        <v>46163</v>
      </c>
    </row>
    <row r="26" ht="20" customHeight="1">
      <c r="A26" s="26" t="inlineStr">
        <is>
          <t>Galenica</t>
        </is>
      </c>
      <c r="B26" s="26" t="inlineStr">
        <is>
          <t>S. Baumann</t>
        </is>
      </c>
      <c r="C26" s="26" t="inlineStr">
        <is>
          <t>Einkauf</t>
        </is>
      </c>
      <c r="D26" s="26" t="inlineStr">
        <is>
          <t>baumann@galenica.ch</t>
        </is>
      </c>
      <c r="E26" s="26" t="inlineStr">
        <is>
          <t>+41 65 347 31 63</t>
        </is>
      </c>
      <c r="F26" s="26" t="inlineStr">
        <is>
          <t>Basel</t>
        </is>
      </c>
      <c r="G26" s="26" t="inlineStr">
        <is>
          <t>Flottenbetrieb</t>
        </is>
      </c>
      <c r="H26" s="37" t="n">
        <v>46158</v>
      </c>
    </row>
    <row r="27" ht="20" customHeight="1">
      <c r="A27" s="18" t="inlineStr">
        <is>
          <t>Swisscom Immobilien</t>
        </is>
      </c>
      <c r="B27" s="18" t="inlineStr">
        <is>
          <t>R. Meier</t>
        </is>
      </c>
      <c r="C27" s="18" t="inlineStr">
        <is>
          <t>Facility Management</t>
        </is>
      </c>
      <c r="D27" s="18" t="inlineStr">
        <is>
          <t>meier@swisscomimmobi.ch</t>
        </is>
      </c>
      <c r="E27" s="18" t="inlineStr">
        <is>
          <t>+41 66 354 32 66</t>
        </is>
      </c>
      <c r="F27" s="18" t="inlineStr">
        <is>
          <t>Tessin</t>
        </is>
      </c>
      <c r="G27" s="18" t="inlineStr">
        <is>
          <t>Tankstellen</t>
        </is>
      </c>
      <c r="H27" s="36" t="n">
        <v>46153</v>
      </c>
    </row>
    <row r="28" ht="20" customHeight="1">
      <c r="A28" s="26" t="inlineStr">
        <is>
          <t>Kuoni Reisen</t>
        </is>
      </c>
      <c r="B28" s="26" t="inlineStr">
        <is>
          <t>L. Steiner</t>
        </is>
      </c>
      <c r="C28" s="26" t="inlineStr">
        <is>
          <t>Fuhrpark</t>
        </is>
      </c>
      <c r="D28" s="26" t="inlineStr">
        <is>
          <t>steiner@kuonireisen.ch</t>
        </is>
      </c>
      <c r="E28" s="26" t="inlineStr">
        <is>
          <t>+41 67 361 33 69</t>
        </is>
      </c>
      <c r="F28" s="26" t="inlineStr">
        <is>
          <t>Zürich</t>
        </is>
      </c>
      <c r="G28" s="26" t="inlineStr">
        <is>
          <t>Industrie</t>
        </is>
      </c>
      <c r="H28" s="37" t="n">
        <v>46148</v>
      </c>
    </row>
    <row r="29" ht="20" customHeight="1">
      <c r="A29" s="18" t="inlineStr">
        <is>
          <t>Hilti AG</t>
        </is>
      </c>
      <c r="B29" s="18" t="inlineStr">
        <is>
          <t>M. Anliker</t>
        </is>
      </c>
      <c r="C29" s="18" t="inlineStr">
        <is>
          <t>Nachhaltigkeit</t>
        </is>
      </c>
      <c r="D29" s="18" t="inlineStr">
        <is>
          <t>anliker@hiltiag.ch</t>
        </is>
      </c>
      <c r="E29" s="18" t="inlineStr">
        <is>
          <t>+41 68 368 34 72</t>
        </is>
      </c>
      <c r="F29" s="18" t="inlineStr">
        <is>
          <t>Genf</t>
        </is>
      </c>
      <c r="G29" s="18" t="inlineStr">
        <is>
          <t>Öffentliche Hand</t>
        </is>
      </c>
      <c r="H29" s="36" t="n">
        <v>46203</v>
      </c>
    </row>
    <row r="30" ht="20" customHeight="1">
      <c r="A30" s="26" t="inlineStr">
        <is>
          <t>Geberit</t>
        </is>
      </c>
      <c r="B30" s="26" t="inlineStr">
        <is>
          <t>D. Frei</t>
        </is>
      </c>
      <c r="C30" s="26" t="inlineStr">
        <is>
          <t>Geschäftsführung</t>
        </is>
      </c>
      <c r="D30" s="26" t="inlineStr">
        <is>
          <t>frei@geberit.ch</t>
        </is>
      </c>
      <c r="E30" s="26" t="inlineStr">
        <is>
          <t>+41 69 375 35 75</t>
        </is>
      </c>
      <c r="F30" s="26" t="inlineStr">
        <is>
          <t>St. Gallen</t>
        </is>
      </c>
      <c r="G30" s="26" t="inlineStr">
        <is>
          <t>Hotellerie</t>
        </is>
      </c>
      <c r="H30" s="37" t="n">
        <v>46198</v>
      </c>
    </row>
    <row r="31" ht="20" customHeight="1">
      <c r="A31" s="18" t="inlineStr">
        <is>
          <t>Ricola</t>
        </is>
      </c>
      <c r="B31" s="18" t="inlineStr">
        <is>
          <t>P. Richterich</t>
        </is>
      </c>
      <c r="C31" s="18" t="inlineStr">
        <is>
          <t>Einkauf</t>
        </is>
      </c>
      <c r="D31" s="18" t="inlineStr">
        <is>
          <t>richterich@ricola.ch</t>
        </is>
      </c>
      <c r="E31" s="18" t="inlineStr">
        <is>
          <t>+41 70 382 36 78</t>
        </is>
      </c>
      <c r="F31" s="18" t="inlineStr">
        <is>
          <t>Wallis</t>
        </is>
      </c>
      <c r="G31" s="18" t="inlineStr">
        <is>
          <t>Immobilien</t>
        </is>
      </c>
      <c r="H31" s="36" t="n">
        <v>46193</v>
      </c>
    </row>
    <row r="32" ht="20" customHeight="1">
      <c r="A32" s="26" t="inlineStr">
        <is>
          <t>Victorinox</t>
        </is>
      </c>
      <c r="B32" s="26" t="inlineStr">
        <is>
          <t>C. Elsener</t>
        </is>
      </c>
      <c r="C32" s="26" t="inlineStr">
        <is>
          <t>Facility Management</t>
        </is>
      </c>
      <c r="D32" s="26" t="inlineStr">
        <is>
          <t>elsener@victorinox.ch</t>
        </is>
      </c>
      <c r="E32" s="26" t="inlineStr">
        <is>
          <t>+41 71 389 37 81</t>
        </is>
      </c>
      <c r="F32" s="26" t="inlineStr">
        <is>
          <t>Waadt</t>
        </is>
      </c>
      <c r="G32" s="26" t="inlineStr">
        <is>
          <t>Logistik</t>
        </is>
      </c>
      <c r="H32" s="37" t="n">
        <v>46188</v>
      </c>
    </row>
    <row r="33" ht="20" customHeight="1">
      <c r="A33" s="18" t="inlineStr">
        <is>
          <t>Stadler Rail</t>
        </is>
      </c>
      <c r="B33" s="18" t="inlineStr">
        <is>
          <t>F. Ahlburg</t>
        </is>
      </c>
      <c r="C33" s="18" t="inlineStr">
        <is>
          <t>Fuhrpark</t>
        </is>
      </c>
      <c r="D33" s="18" t="inlineStr">
        <is>
          <t>ahlburg@stadlerrail.ch</t>
        </is>
      </c>
      <c r="E33" s="18" t="inlineStr">
        <is>
          <t>+41 72 396 38 84</t>
        </is>
      </c>
      <c r="F33" s="18" t="inlineStr">
        <is>
          <t>Aargau</t>
        </is>
      </c>
      <c r="G33" s="18" t="inlineStr">
        <is>
          <t>Detailhandel</t>
        </is>
      </c>
      <c r="H33" s="36" t="n">
        <v>46183</v>
      </c>
    </row>
    <row r="34" ht="20" customHeight="1">
      <c r="A34" s="26" t="inlineStr">
        <is>
          <t>Mobility Carsharing</t>
        </is>
      </c>
      <c r="B34" s="26" t="inlineStr">
        <is>
          <t>A. Suter</t>
        </is>
      </c>
      <c r="C34" s="26" t="inlineStr">
        <is>
          <t>Nachhaltigkeit</t>
        </is>
      </c>
      <c r="D34" s="26" t="inlineStr">
        <is>
          <t>suter@mobilitycarsha.ch</t>
        </is>
      </c>
      <c r="E34" s="26" t="inlineStr">
        <is>
          <t>+41 73 403 39 87</t>
        </is>
      </c>
      <c r="F34" s="26" t="inlineStr">
        <is>
          <t>Luzern</t>
        </is>
      </c>
      <c r="G34" s="26" t="inlineStr">
        <is>
          <t>Flottenbetrieb</t>
        </is>
      </c>
      <c r="H34" s="37" t="n">
        <v>46178</v>
      </c>
    </row>
    <row r="35" ht="20" customHeight="1">
      <c r="A35" s="18" t="inlineStr">
        <is>
          <t>Migrol AG</t>
        </is>
      </c>
      <c r="B35" s="18" t="inlineStr">
        <is>
          <t>B. Lehmann</t>
        </is>
      </c>
      <c r="C35" s="18" t="inlineStr">
        <is>
          <t>Geschäftsführung</t>
        </is>
      </c>
      <c r="D35" s="18" t="inlineStr">
        <is>
          <t>lehmann@migrolag.ch</t>
        </is>
      </c>
      <c r="E35" s="18" t="inlineStr">
        <is>
          <t>+41 74 410 40 90</t>
        </is>
      </c>
      <c r="F35" s="18" t="inlineStr">
        <is>
          <t>Bern</t>
        </is>
      </c>
      <c r="G35" s="18" t="inlineStr">
        <is>
          <t>Tankstellen</t>
        </is>
      </c>
      <c r="H35" s="36" t="n">
        <v>46173</v>
      </c>
    </row>
    <row r="36" ht="20" customHeight="1">
      <c r="A36" s="26" t="inlineStr">
        <is>
          <t>Tamoil</t>
        </is>
      </c>
      <c r="B36" s="26" t="inlineStr">
        <is>
          <t>N. Rossi</t>
        </is>
      </c>
      <c r="C36" s="26" t="inlineStr">
        <is>
          <t>Einkauf</t>
        </is>
      </c>
      <c r="D36" s="26" t="inlineStr">
        <is>
          <t>rossi@tamoil.ch</t>
        </is>
      </c>
      <c r="E36" s="26" t="inlineStr">
        <is>
          <t>+41 75 417 41 93</t>
        </is>
      </c>
      <c r="F36" s="26" t="inlineStr">
        <is>
          <t>Basel</t>
        </is>
      </c>
      <c r="G36" s="26" t="inlineStr">
        <is>
          <t>Industrie</t>
        </is>
      </c>
      <c r="H36" s="37" t="n">
        <v>46168</v>
      </c>
    </row>
    <row r="37" ht="20" customHeight="1">
      <c r="A37" s="18" t="inlineStr">
        <is>
          <t>Hotel Bellevue Bern</t>
        </is>
      </c>
      <c r="B37" s="18" t="inlineStr">
        <is>
          <t>G. Wyss</t>
        </is>
      </c>
      <c r="C37" s="18" t="inlineStr">
        <is>
          <t>Facility Management</t>
        </is>
      </c>
      <c r="D37" s="18" t="inlineStr">
        <is>
          <t>wyss@hotelbellevueb.ch</t>
        </is>
      </c>
      <c r="E37" s="18" t="inlineStr">
        <is>
          <t>+41 76 424 42 96</t>
        </is>
      </c>
      <c r="F37" s="18" t="inlineStr">
        <is>
          <t>Tessin</t>
        </is>
      </c>
      <c r="G37" s="18" t="inlineStr">
        <is>
          <t>Öffentliche Hand</t>
        </is>
      </c>
      <c r="H37" s="36" t="n">
        <v>46163</v>
      </c>
    </row>
    <row r="38" ht="20" customHeight="1">
      <c r="A38" s="26" t="inlineStr">
        <is>
          <t>Kongresshaus Zürich</t>
        </is>
      </c>
      <c r="B38" s="26" t="inlineStr">
        <is>
          <t>V. Keller</t>
        </is>
      </c>
      <c r="C38" s="26" t="inlineStr">
        <is>
          <t>Fuhrpark</t>
        </is>
      </c>
      <c r="D38" s="26" t="inlineStr">
        <is>
          <t>keller@kongresshauszü.ch</t>
        </is>
      </c>
      <c r="E38" s="26" t="inlineStr">
        <is>
          <t>+41 77 431 43 99</t>
        </is>
      </c>
      <c r="F38" s="26" t="inlineStr">
        <is>
          <t>Zürich</t>
        </is>
      </c>
      <c r="G38" s="26" t="inlineStr">
        <is>
          <t>Hotellerie</t>
        </is>
      </c>
      <c r="H38" s="37" t="n">
        <v>46158</v>
      </c>
    </row>
    <row r="39" ht="20" customHeight="1">
      <c r="A39" s="18" t="inlineStr">
        <is>
          <t>Universität Basel</t>
        </is>
      </c>
      <c r="B39" s="18" t="inlineStr">
        <is>
          <t>H. Roth</t>
        </is>
      </c>
      <c r="C39" s="18" t="inlineStr">
        <is>
          <t>Nachhaltigkeit</t>
        </is>
      </c>
      <c r="D39" s="18" t="inlineStr">
        <is>
          <t>roth@universitätbas.ch</t>
        </is>
      </c>
      <c r="E39" s="18" t="inlineStr">
        <is>
          <t>+41 78 438 44 02</t>
        </is>
      </c>
      <c r="F39" s="18" t="inlineStr">
        <is>
          <t>Genf</t>
        </is>
      </c>
      <c r="G39" s="18" t="inlineStr">
        <is>
          <t>Immobilien</t>
        </is>
      </c>
      <c r="H39" s="36" t="n">
        <v>46153</v>
      </c>
    </row>
    <row r="40" ht="20" customHeight="1">
      <c r="A40" s="26" t="inlineStr">
        <is>
          <t>Kantonsspital Aarau</t>
        </is>
      </c>
      <c r="B40" s="26" t="inlineStr">
        <is>
          <t>E. Bosshard</t>
        </is>
      </c>
      <c r="C40" s="26" t="inlineStr">
        <is>
          <t>Geschäftsführung</t>
        </is>
      </c>
      <c r="D40" s="26" t="inlineStr">
        <is>
          <t>bosshard@kantonsspitala.ch</t>
        </is>
      </c>
      <c r="E40" s="26" t="inlineStr">
        <is>
          <t>+41 79 445 45 05</t>
        </is>
      </c>
      <c r="F40" s="26" t="inlineStr">
        <is>
          <t>St. Gallen</t>
        </is>
      </c>
      <c r="G40" s="26" t="inlineStr">
        <is>
          <t>Logistik</t>
        </is>
      </c>
      <c r="H40" s="37" t="n">
        <v>46148</v>
      </c>
    </row>
    <row r="41" ht="20" customHeight="1">
      <c r="A41" s="18" t="inlineStr">
        <is>
          <t>Feldschlösschen</t>
        </is>
      </c>
      <c r="B41" s="18" t="inlineStr">
        <is>
          <t>R. Amrein</t>
        </is>
      </c>
      <c r="C41" s="18" t="inlineStr">
        <is>
          <t>Einkauf</t>
        </is>
      </c>
      <c r="D41" s="18" t="inlineStr">
        <is>
          <t>amrein@feldschlössche.ch</t>
        </is>
      </c>
      <c r="E41" s="18" t="inlineStr">
        <is>
          <t>+41 80 452 46 08</t>
        </is>
      </c>
      <c r="F41" s="18" t="inlineStr">
        <is>
          <t>Wallis</t>
        </is>
      </c>
      <c r="G41" s="18" t="inlineStr">
        <is>
          <t>Detailhandel</t>
        </is>
      </c>
      <c r="H41" s="36" t="n">
        <v>46203</v>
      </c>
    </row>
    <row r="42" ht="20" customHeight="1">
      <c r="A42" s="26" t="inlineStr">
        <is>
          <t>Bell Food Group</t>
        </is>
      </c>
      <c r="B42" s="26" t="inlineStr">
        <is>
          <t>S. Zünd</t>
        </is>
      </c>
      <c r="C42" s="26" t="inlineStr">
        <is>
          <t>Facility Management</t>
        </is>
      </c>
      <c r="D42" s="26" t="inlineStr">
        <is>
          <t>zünd@bellfoodgroup.ch</t>
        </is>
      </c>
      <c r="E42" s="26" t="inlineStr">
        <is>
          <t>+41 81 459 47 11</t>
        </is>
      </c>
      <c r="F42" s="26" t="inlineStr">
        <is>
          <t>Waadt</t>
        </is>
      </c>
      <c r="G42" s="26" t="inlineStr">
        <is>
          <t>Flottenbetrieb</t>
        </is>
      </c>
      <c r="H42" s="37" t="n">
        <v>46198</v>
      </c>
    </row>
    <row r="43" ht="20" customHeight="1">
      <c r="A43" s="18" t="inlineStr">
        <is>
          <t>Zweifel Pomy-Chips</t>
        </is>
      </c>
      <c r="B43" s="18" t="inlineStr">
        <is>
          <t>M. Zweifel</t>
        </is>
      </c>
      <c r="C43" s="18" t="inlineStr">
        <is>
          <t>Fuhrpark</t>
        </is>
      </c>
      <c r="D43" s="18" t="inlineStr">
        <is>
          <t>zweifel@zweifelpomychi.ch</t>
        </is>
      </c>
      <c r="E43" s="18" t="inlineStr">
        <is>
          <t>+41 82 466 48 14</t>
        </is>
      </c>
      <c r="F43" s="18" t="inlineStr">
        <is>
          <t>Aargau</t>
        </is>
      </c>
      <c r="G43" s="18" t="inlineStr">
        <is>
          <t>Tankstellen</t>
        </is>
      </c>
      <c r="H43" s="36" t="n">
        <v>46193</v>
      </c>
    </row>
    <row r="44" ht="20" customHeight="1">
      <c r="A44" s="26" t="inlineStr">
        <is>
          <t>Maerki Baumann</t>
        </is>
      </c>
      <c r="B44" s="26" t="inlineStr">
        <is>
          <t>L. Baumann</t>
        </is>
      </c>
      <c r="C44" s="26" t="inlineStr">
        <is>
          <t>Nachhaltigkeit</t>
        </is>
      </c>
      <c r="D44" s="26" t="inlineStr">
        <is>
          <t>baumann@maerkibaumann.ch</t>
        </is>
      </c>
      <c r="E44" s="26" t="inlineStr">
        <is>
          <t>+41 83 473 49 17</t>
        </is>
      </c>
      <c r="F44" s="26" t="inlineStr">
        <is>
          <t>Luzern</t>
        </is>
      </c>
      <c r="G44" s="26" t="inlineStr">
        <is>
          <t>Industrie</t>
        </is>
      </c>
      <c r="H44" s="37" t="n">
        <v>46188</v>
      </c>
    </row>
    <row r="45" ht="20" customHeight="1">
      <c r="A45" s="18" t="inlineStr">
        <is>
          <t>EWZ</t>
        </is>
      </c>
      <c r="B45" s="18" t="inlineStr">
        <is>
          <t>P. Graf</t>
        </is>
      </c>
      <c r="C45" s="18" t="inlineStr">
        <is>
          <t>Geschäftsführung</t>
        </is>
      </c>
      <c r="D45" s="18" t="inlineStr">
        <is>
          <t>graf@ewz.ch</t>
        </is>
      </c>
      <c r="E45" s="18" t="inlineStr">
        <is>
          <t>+41 44 480 50 20</t>
        </is>
      </c>
      <c r="F45" s="18" t="inlineStr">
        <is>
          <t>Bern</t>
        </is>
      </c>
      <c r="G45" s="18" t="inlineStr">
        <is>
          <t>Öffentliche Hand</t>
        </is>
      </c>
      <c r="H45" s="36" t="n">
        <v>46183</v>
      </c>
    </row>
    <row r="46" ht="20" customHeight="1">
      <c r="A46" s="26" t="inlineStr">
        <is>
          <t>SIG Group</t>
        </is>
      </c>
      <c r="B46" s="26" t="inlineStr">
        <is>
          <t>D. Meister</t>
        </is>
      </c>
      <c r="C46" s="26" t="inlineStr">
        <is>
          <t>Einkauf</t>
        </is>
      </c>
      <c r="D46" s="26" t="inlineStr">
        <is>
          <t>meister@siggroup.ch</t>
        </is>
      </c>
      <c r="E46" s="26" t="inlineStr">
        <is>
          <t>+41 45 487 51 23</t>
        </is>
      </c>
      <c r="F46" s="26" t="inlineStr">
        <is>
          <t>Basel</t>
        </is>
      </c>
      <c r="G46" s="26" t="inlineStr">
        <is>
          <t>Hotellerie</t>
        </is>
      </c>
      <c r="H46" s="37" t="n">
        <v>46178</v>
      </c>
    </row>
  </sheetData>
  <mergeCells count="2">
    <mergeCell ref="A2:H2"/>
    <mergeCell ref="A1:H1"/>
  </mergeCells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H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5" customWidth="1" min="8" max="8"/>
  </cols>
  <sheetData>
    <row r="1" ht="30" customHeight="1">
      <c r="B1" s="16" t="inlineStr">
        <is>
          <t>MONATS-FORECAST  ·  Soll / Ist</t>
        </is>
      </c>
    </row>
    <row r="2">
      <c r="B2" s="17" t="inlineStr">
        <is>
          <t>Gewichteter Forecast &amp; gewonnener Umsatz je Monat. Ziel (Soll) editierbar.</t>
        </is>
      </c>
    </row>
    <row r="4" ht="24" customHeight="1">
      <c r="B4" s="13" t="inlineStr">
        <is>
          <t>Monat</t>
        </is>
      </c>
      <c r="C4" s="13" t="inlineStr">
        <is>
          <t>Monatsanfang</t>
        </is>
      </c>
      <c r="D4" s="13" t="inlineStr">
        <is>
          <t>Monatsende</t>
        </is>
      </c>
      <c r="E4" s="13" t="inlineStr">
        <is>
          <t>Gew. Forecast</t>
        </is>
      </c>
      <c r="F4" s="13" t="inlineStr">
        <is>
          <t>Gewonnen (Ist)</t>
        </is>
      </c>
      <c r="G4" s="13" t="inlineStr">
        <is>
          <t>Ziel (Soll)</t>
        </is>
      </c>
      <c r="H4" s="13" t="inlineStr">
        <is>
          <t>Zielerreichung</t>
        </is>
      </c>
    </row>
    <row r="5" ht="20" customHeight="1">
      <c r="B5" s="38" t="inlineStr">
        <is>
          <t>Jul 2026</t>
        </is>
      </c>
      <c r="C5" s="39" t="n">
        <v>46204</v>
      </c>
      <c r="D5" s="39" t="n">
        <v>46234</v>
      </c>
      <c r="E5" s="15">
        <f>SUMIFS(Pipeline!K5:K46,Pipeline!M5:M46,"&gt;="&amp;C5,Pipeline!M5:M46,"&lt;="&amp;D5,Pipeline!G5:G46,"&lt;&gt;Gewonnen",Pipeline!G5:G46,"&lt;&gt;Verloren")</f>
        <v/>
      </c>
      <c r="F5" s="15">
        <f>SUMIFS(Pipeline!I5:I46,Pipeline!M5:M46,"&gt;="&amp;C5,Pipeline!M5:M46,"&lt;="&amp;D5,Pipeline!G5:G46,"Gewonnen")</f>
        <v/>
      </c>
      <c r="G5" s="40" t="n">
        <v>700000</v>
      </c>
      <c r="H5" s="41">
        <f>IFERROR((E5+F5)/G5,0)</f>
        <v/>
      </c>
    </row>
    <row r="6" ht="20" customHeight="1">
      <c r="B6" s="38" t="inlineStr">
        <is>
          <t>Aug 2026</t>
        </is>
      </c>
      <c r="C6" s="39" t="n">
        <v>46235</v>
      </c>
      <c r="D6" s="39" t="n">
        <v>46265</v>
      </c>
      <c r="E6" s="15">
        <f>SUMIFS(Pipeline!K5:K46,Pipeline!M5:M46,"&gt;="&amp;C6,Pipeline!M5:M46,"&lt;="&amp;D6,Pipeline!G5:G46,"&lt;&gt;Gewonnen",Pipeline!G5:G46,"&lt;&gt;Verloren")</f>
        <v/>
      </c>
      <c r="F6" s="15">
        <f>SUMIFS(Pipeline!I5:I46,Pipeline!M5:M46,"&gt;="&amp;C6,Pipeline!M5:M46,"&lt;="&amp;D6,Pipeline!G5:G46,"Gewonnen")</f>
        <v/>
      </c>
      <c r="G6" s="40" t="n">
        <v>750000</v>
      </c>
      <c r="H6" s="41">
        <f>IFERROR((E6+F6)/G6,0)</f>
        <v/>
      </c>
    </row>
    <row r="7" ht="20" customHeight="1">
      <c r="B7" s="38" t="inlineStr">
        <is>
          <t>Sep 2026</t>
        </is>
      </c>
      <c r="C7" s="39" t="n">
        <v>46266</v>
      </c>
      <c r="D7" s="39" t="n">
        <v>46295</v>
      </c>
      <c r="E7" s="15">
        <f>SUMIFS(Pipeline!K5:K46,Pipeline!M5:M46,"&gt;="&amp;C7,Pipeline!M5:M46,"&lt;="&amp;D7,Pipeline!G5:G46,"&lt;&gt;Gewonnen",Pipeline!G5:G46,"&lt;&gt;Verloren")</f>
        <v/>
      </c>
      <c r="F7" s="15">
        <f>SUMIFS(Pipeline!I5:I46,Pipeline!M5:M46,"&gt;="&amp;C7,Pipeline!M5:M46,"&lt;="&amp;D7,Pipeline!G5:G46,"Gewonnen")</f>
        <v/>
      </c>
      <c r="G7" s="40" t="n">
        <v>800000</v>
      </c>
      <c r="H7" s="41">
        <f>IFERROR((E7+F7)/G7,0)</f>
        <v/>
      </c>
    </row>
    <row r="8" ht="20" customHeight="1">
      <c r="B8" s="38" t="inlineStr">
        <is>
          <t>Oct 2026</t>
        </is>
      </c>
      <c r="C8" s="39" t="n">
        <v>46296</v>
      </c>
      <c r="D8" s="39" t="n">
        <v>46326</v>
      </c>
      <c r="E8" s="15">
        <f>SUMIFS(Pipeline!K5:K46,Pipeline!M5:M46,"&gt;="&amp;C8,Pipeline!M5:M46,"&lt;="&amp;D8,Pipeline!G5:G46,"&lt;&gt;Gewonnen",Pipeline!G5:G46,"&lt;&gt;Verloren")</f>
        <v/>
      </c>
      <c r="F8" s="15">
        <f>SUMIFS(Pipeline!I5:I46,Pipeline!M5:M46,"&gt;="&amp;C8,Pipeline!M5:M46,"&lt;="&amp;D8,Pipeline!G5:G46,"Gewonnen")</f>
        <v/>
      </c>
      <c r="G8" s="40" t="n">
        <v>850000</v>
      </c>
      <c r="H8" s="41">
        <f>IFERROR((E8+F8)/G8,0)</f>
        <v/>
      </c>
    </row>
    <row r="9" ht="20" customHeight="1">
      <c r="B9" s="38" t="inlineStr">
        <is>
          <t>Nov 2026</t>
        </is>
      </c>
      <c r="C9" s="39" t="n">
        <v>46327</v>
      </c>
      <c r="D9" s="39" t="n">
        <v>46356</v>
      </c>
      <c r="E9" s="15">
        <f>SUMIFS(Pipeline!K5:K46,Pipeline!M5:M46,"&gt;="&amp;C9,Pipeline!M5:M46,"&lt;="&amp;D9,Pipeline!G5:G46,"&lt;&gt;Gewonnen",Pipeline!G5:G46,"&lt;&gt;Verloren")</f>
        <v/>
      </c>
      <c r="F9" s="15">
        <f>SUMIFS(Pipeline!I5:I46,Pipeline!M5:M46,"&gt;="&amp;C9,Pipeline!M5:M46,"&lt;="&amp;D9,Pipeline!G5:G46,"Gewonnen")</f>
        <v/>
      </c>
      <c r="G9" s="40" t="n">
        <v>900000</v>
      </c>
      <c r="H9" s="41">
        <f>IFERROR((E9+F9)/G9,0)</f>
        <v/>
      </c>
    </row>
    <row r="10" ht="20" customHeight="1">
      <c r="B10" s="38" t="inlineStr">
        <is>
          <t>Dec 2026</t>
        </is>
      </c>
      <c r="C10" s="39" t="n">
        <v>46357</v>
      </c>
      <c r="D10" s="39" t="n">
        <v>46387</v>
      </c>
      <c r="E10" s="15">
        <f>SUMIFS(Pipeline!K5:K46,Pipeline!M5:M46,"&gt;="&amp;C10,Pipeline!M5:M46,"&lt;="&amp;D10,Pipeline!G5:G46,"&lt;&gt;Gewonnen",Pipeline!G5:G46,"&lt;&gt;Verloren")</f>
        <v/>
      </c>
      <c r="F10" s="15">
        <f>SUMIFS(Pipeline!I5:I46,Pipeline!M5:M46,"&gt;="&amp;C10,Pipeline!M5:M46,"&lt;="&amp;D10,Pipeline!G5:G46,"Gewonnen")</f>
        <v/>
      </c>
      <c r="G10" s="40" t="n">
        <v>950000</v>
      </c>
      <c r="H10" s="41">
        <f>IFERROR((E10+F10)/G10,0)</f>
        <v/>
      </c>
    </row>
  </sheetData>
  <mergeCells count="2">
    <mergeCell ref="B1:H1"/>
    <mergeCell ref="B2:H2"/>
  </mergeCells>
  <conditionalFormatting sqref="H5:H10">
    <cfRule type="colorScale" priority="1">
      <colorScale>
        <cfvo type="num" val="0"/>
        <cfvo type="num" val="0.8"/>
        <cfvo type="num" val="1.2"/>
        <color rgb="00F8C9C4"/>
        <color rgb="00FCE9B8"/>
        <color rgb="00C6E7D0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H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5" customWidth="1" min="3" max="3"/>
    <col width="16" customWidth="1" min="4" max="4"/>
    <col width="16" customWidth="1" min="5" max="5"/>
    <col width="15" customWidth="1" min="6" max="6"/>
  </cols>
  <sheetData>
    <row r="1" ht="30" customHeight="1">
      <c r="B1" s="16" t="inlineStr">
        <is>
          <t>ZIELE  ·  Zielerreichung je Verantwortlicher</t>
        </is>
      </c>
    </row>
    <row r="2">
      <c r="B2" s="17" t="inlineStr">
        <is>
          <t>Jahresziel editierbar. Ist = gewonnener Umsatz, Pipeline = gewichteter Wert.</t>
        </is>
      </c>
    </row>
    <row r="4" ht="24" customHeight="1">
      <c r="B4" s="13" t="inlineStr">
        <is>
          <t>Verantwortlich</t>
        </is>
      </c>
      <c r="C4" s="13" t="inlineStr">
        <is>
          <t>Jahresziel</t>
        </is>
      </c>
      <c r="D4" s="13" t="inlineStr">
        <is>
          <t>Gewonnen (Ist)</t>
        </is>
      </c>
      <c r="E4" s="13" t="inlineStr">
        <is>
          <t>Gew. Pipeline</t>
        </is>
      </c>
      <c r="F4" s="13" t="inlineStr">
        <is>
          <t>Zielerreichung</t>
        </is>
      </c>
    </row>
    <row r="5" ht="20" customHeight="1">
      <c r="B5" s="38" t="inlineStr">
        <is>
          <t>Burak Ücöz</t>
        </is>
      </c>
      <c r="C5" s="40" t="n">
        <v>2500000</v>
      </c>
      <c r="D5" s="15">
        <f>SUMIFS(Pipeline!I5:I46,Pipeline!O5:O46,B5,Pipeline!G5:G46,"Gewonnen")</f>
        <v/>
      </c>
      <c r="E5" s="15">
        <f>SUMIFS(Pipeline!K5:K46,Pipeline!O5:O46,B5)</f>
        <v/>
      </c>
      <c r="F5" s="41">
        <f>IFERROR((D5+E5)/C5,0)</f>
        <v/>
      </c>
    </row>
    <row r="6" ht="20" customHeight="1">
      <c r="B6" s="38" t="inlineStr">
        <is>
          <t>S. Meier</t>
        </is>
      </c>
      <c r="C6" s="40" t="n">
        <v>1500000</v>
      </c>
      <c r="D6" s="15">
        <f>SUMIFS(Pipeline!I5:I46,Pipeline!O5:O46,B6,Pipeline!G5:G46,"Gewonnen")</f>
        <v/>
      </c>
      <c r="E6" s="15">
        <f>SUMIFS(Pipeline!K5:K46,Pipeline!O5:O46,B6)</f>
        <v/>
      </c>
      <c r="F6" s="41">
        <f>IFERROR((D6+E6)/C6,0)</f>
        <v/>
      </c>
    </row>
    <row r="7" ht="20" customHeight="1">
      <c r="B7" s="38" t="inlineStr">
        <is>
          <t>L. Rossi</t>
        </is>
      </c>
      <c r="C7" s="40" t="n">
        <v>1200000</v>
      </c>
      <c r="D7" s="15">
        <f>SUMIFS(Pipeline!I5:I46,Pipeline!O5:O46,B7,Pipeline!G5:G46,"Gewonnen")</f>
        <v/>
      </c>
      <c r="E7" s="15">
        <f>SUMIFS(Pipeline!K5:K46,Pipeline!O5:O46,B7)</f>
        <v/>
      </c>
      <c r="F7" s="41">
        <f>IFERROR((D7+E7)/C7,0)</f>
        <v/>
      </c>
    </row>
    <row r="8" ht="20" customHeight="1">
      <c r="B8" s="38" t="inlineStr">
        <is>
          <t>N. Keller</t>
        </is>
      </c>
      <c r="C8" s="40" t="n">
        <v>1200000</v>
      </c>
      <c r="D8" s="15">
        <f>SUMIFS(Pipeline!I5:I46,Pipeline!O5:O46,B8,Pipeline!G5:G46,"Gewonnen")</f>
        <v/>
      </c>
      <c r="E8" s="15">
        <f>SUMIFS(Pipeline!K5:K46,Pipeline!O5:O46,B8)</f>
        <v/>
      </c>
      <c r="F8" s="41">
        <f>IFERROR((D8+E8)/C8,0)</f>
        <v/>
      </c>
    </row>
    <row r="9" ht="20" customHeight="1">
      <c r="B9" s="38" t="inlineStr">
        <is>
          <t>A. Favre</t>
        </is>
      </c>
      <c r="C9" s="40" t="n">
        <v>1000000</v>
      </c>
      <c r="D9" s="15">
        <f>SUMIFS(Pipeline!I5:I46,Pipeline!O5:O46,B9,Pipeline!G5:G46,"Gewonnen")</f>
        <v/>
      </c>
      <c r="E9" s="15">
        <f>SUMIFS(Pipeline!K5:K46,Pipeline!O5:O46,B9)</f>
        <v/>
      </c>
      <c r="F9" s="41">
        <f>IFERROR((D9+E9)/C9,0)</f>
        <v/>
      </c>
    </row>
  </sheetData>
  <mergeCells count="2">
    <mergeCell ref="B1:H1"/>
    <mergeCell ref="B2:H2"/>
  </mergeCells>
  <conditionalFormatting sqref="F5:F9">
    <cfRule type="dataBar" priority="1">
      <dataBar>
        <cfvo type="num" val="0"/>
        <cfvo type="num" val="1.2"/>
        <color rgb="001E9E5A"/>
      </dataBar>
    </cfRule>
  </conditionalFormatting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F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12" customWidth="1" min="4" max="4"/>
    <col width="20" customWidth="1" min="5" max="5"/>
    <col width="14" customWidth="1" min="6" max="6"/>
  </cols>
  <sheetData>
    <row r="2">
      <c r="B2" s="42" t="inlineStr">
        <is>
          <t>LIVE-DATEN  ·  E-Mobilität &amp; Markt (per F9)</t>
        </is>
      </c>
    </row>
    <row r="3">
      <c r="B3" s="43" t="inlineStr">
        <is>
          <t>Öffentliche Ladeinfrastruktur Schweiz live via OpenChargeMap. Aktualisieren = Taste F9 (Neu berechnen). Windows-Desktop-Excel.</t>
        </is>
      </c>
    </row>
    <row r="5" ht="30" customHeight="1">
      <c r="B5" s="44" t="inlineStr">
        <is>
          <t>🔄  F9 DRÜCKEN = LIVE AKTUALISIEREN</t>
        </is>
      </c>
      <c r="C5" s="45" t="n"/>
      <c r="D5" s="45" t="n"/>
      <c r="E5" s="46" t="inlineStr">
        <is>
          <t>→ WEBSERVICE holt den Feed; FILTERXML liest die Werte.</t>
        </is>
      </c>
    </row>
    <row r="6">
      <c r="B6" s="47" t="inlineStr">
        <is>
          <t>OpenChargeMap API-Key (optional, gratis):</t>
        </is>
      </c>
      <c r="C6" s="48" t="inlineStr"/>
      <c r="D6" s="49" t="n"/>
      <c r="E6" s="49" t="n"/>
      <c r="F6" s="50" t="n"/>
    </row>
    <row r="7" ht="14" customHeight="1">
      <c r="B7" s="47" t="inlineStr">
        <is>
          <t>Roh-Feed (WEBSERVICE):</t>
        </is>
      </c>
      <c r="C7" s="51">
        <f>IFERROR(_xlfn.WEBSERVICE("https://api.openchargemap.io/v3/poi/?output=xml&amp;countrycode=CH&amp;maxresults=12&amp;compact=true&amp;verbose=false&amp;key="&amp;$C$6),"")</f>
        <v/>
      </c>
    </row>
    <row r="9">
      <c r="B9" s="12" t="inlineStr">
        <is>
          <t>Öffentliche Ladestandorte Schweiz (live)</t>
        </is>
      </c>
    </row>
    <row r="10" ht="24" customHeight="1">
      <c r="B10" s="13" t="inlineStr">
        <is>
          <t>Standort</t>
        </is>
      </c>
      <c r="C10" s="13" t="inlineStr">
        <is>
          <t>Ort</t>
        </is>
      </c>
      <c r="D10" s="13" t="inlineStr">
        <is>
          <t>Kanton</t>
        </is>
      </c>
      <c r="E10" s="13" t="inlineStr">
        <is>
          <t>Betreiber</t>
        </is>
      </c>
      <c r="F10" s="13" t="inlineStr">
        <is>
          <t>Ladepkt.</t>
        </is>
      </c>
    </row>
    <row r="11" ht="19" customHeight="1">
      <c r="B11" s="52">
        <f>IFERROR(_xlfn.FILTERXML($C$7,"(//*[local-name()='POI'])[1]/*[local-name()='AddressInfo']/*[local-name()='Title']"),"—")</f>
        <v/>
      </c>
      <c r="C11" s="18">
        <f>IFERROR(_xlfn.FILTERXML($C$7,"(//*[local-name()='POI'])[1]/*[local-name()='AddressInfo']/*[local-name()='Town']"),"—")</f>
        <v/>
      </c>
      <c r="D11" s="18">
        <f>IFERROR(_xlfn.FILTERXML($C$7,"(//*[local-name()='POI'])[1]/*[local-name()='AddressInfo']/*[local-name()='StateOrProvince']"),"—")</f>
        <v/>
      </c>
      <c r="E11" s="18">
        <f>IFERROR(_xlfn.FILTERXML($C$7,"(//*[local-name()='POI'])[1]/*[local-name()='OperatorInfo']/*[local-name()='Title']"),"—")</f>
        <v/>
      </c>
      <c r="F11" s="24">
        <f>IFERROR(_xlfn.FILTERXML($C$7,"(//*[local-name()='POI'])[1]/*[local-name()='NumberOfPoints']"),"—")</f>
        <v/>
      </c>
    </row>
    <row r="12" ht="19" customHeight="1">
      <c r="B12" s="53">
        <f>IFERROR(_xlfn.FILTERXML($C$7,"(//*[local-name()='POI'])[2]/*[local-name()='AddressInfo']/*[local-name()='Title']"),"—")</f>
        <v/>
      </c>
      <c r="C12" s="26">
        <f>IFERROR(_xlfn.FILTERXML($C$7,"(//*[local-name()='POI'])[2]/*[local-name()='AddressInfo']/*[local-name()='Town']"),"—")</f>
        <v/>
      </c>
      <c r="D12" s="26">
        <f>IFERROR(_xlfn.FILTERXML($C$7,"(//*[local-name()='POI'])[2]/*[local-name()='AddressInfo']/*[local-name()='StateOrProvince']"),"—")</f>
        <v/>
      </c>
      <c r="E12" s="26">
        <f>IFERROR(_xlfn.FILTERXML($C$7,"(//*[local-name()='POI'])[2]/*[local-name()='OperatorInfo']/*[local-name()='Title']"),"—")</f>
        <v/>
      </c>
      <c r="F12" s="32">
        <f>IFERROR(_xlfn.FILTERXML($C$7,"(//*[local-name()='POI'])[2]/*[local-name()='NumberOfPoints']"),"—")</f>
        <v/>
      </c>
    </row>
    <row r="13" ht="19" customHeight="1">
      <c r="B13" s="52">
        <f>IFERROR(_xlfn.FILTERXML($C$7,"(//*[local-name()='POI'])[3]/*[local-name()='AddressInfo']/*[local-name()='Title']"),"—")</f>
        <v/>
      </c>
      <c r="C13" s="18">
        <f>IFERROR(_xlfn.FILTERXML($C$7,"(//*[local-name()='POI'])[3]/*[local-name()='AddressInfo']/*[local-name()='Town']"),"—")</f>
        <v/>
      </c>
      <c r="D13" s="18">
        <f>IFERROR(_xlfn.FILTERXML($C$7,"(//*[local-name()='POI'])[3]/*[local-name()='AddressInfo']/*[local-name()='StateOrProvince']"),"—")</f>
        <v/>
      </c>
      <c r="E13" s="18">
        <f>IFERROR(_xlfn.FILTERXML($C$7,"(//*[local-name()='POI'])[3]/*[local-name()='OperatorInfo']/*[local-name()='Title']"),"—")</f>
        <v/>
      </c>
      <c r="F13" s="24">
        <f>IFERROR(_xlfn.FILTERXML($C$7,"(//*[local-name()='POI'])[3]/*[local-name()='NumberOfPoints']"),"—")</f>
        <v/>
      </c>
    </row>
    <row r="14" ht="19" customHeight="1">
      <c r="B14" s="53">
        <f>IFERROR(_xlfn.FILTERXML($C$7,"(//*[local-name()='POI'])[4]/*[local-name()='AddressInfo']/*[local-name()='Title']"),"—")</f>
        <v/>
      </c>
      <c r="C14" s="26">
        <f>IFERROR(_xlfn.FILTERXML($C$7,"(//*[local-name()='POI'])[4]/*[local-name()='AddressInfo']/*[local-name()='Town']"),"—")</f>
        <v/>
      </c>
      <c r="D14" s="26">
        <f>IFERROR(_xlfn.FILTERXML($C$7,"(//*[local-name()='POI'])[4]/*[local-name()='AddressInfo']/*[local-name()='StateOrProvince']"),"—")</f>
        <v/>
      </c>
      <c r="E14" s="26">
        <f>IFERROR(_xlfn.FILTERXML($C$7,"(//*[local-name()='POI'])[4]/*[local-name()='OperatorInfo']/*[local-name()='Title']"),"—")</f>
        <v/>
      </c>
      <c r="F14" s="32">
        <f>IFERROR(_xlfn.FILTERXML($C$7,"(//*[local-name()='POI'])[4]/*[local-name()='NumberOfPoints']"),"—")</f>
        <v/>
      </c>
    </row>
    <row r="15" ht="19" customHeight="1">
      <c r="B15" s="52">
        <f>IFERROR(_xlfn.FILTERXML($C$7,"(//*[local-name()='POI'])[5]/*[local-name()='AddressInfo']/*[local-name()='Title']"),"—")</f>
        <v/>
      </c>
      <c r="C15" s="18">
        <f>IFERROR(_xlfn.FILTERXML($C$7,"(//*[local-name()='POI'])[5]/*[local-name()='AddressInfo']/*[local-name()='Town']"),"—")</f>
        <v/>
      </c>
      <c r="D15" s="18">
        <f>IFERROR(_xlfn.FILTERXML($C$7,"(//*[local-name()='POI'])[5]/*[local-name()='AddressInfo']/*[local-name()='StateOrProvince']"),"—")</f>
        <v/>
      </c>
      <c r="E15" s="18">
        <f>IFERROR(_xlfn.FILTERXML($C$7,"(//*[local-name()='POI'])[5]/*[local-name()='OperatorInfo']/*[local-name()='Title']"),"—")</f>
        <v/>
      </c>
      <c r="F15" s="24">
        <f>IFERROR(_xlfn.FILTERXML($C$7,"(//*[local-name()='POI'])[5]/*[local-name()='NumberOfPoints']"),"—")</f>
        <v/>
      </c>
    </row>
    <row r="16" ht="19" customHeight="1">
      <c r="B16" s="53">
        <f>IFERROR(_xlfn.FILTERXML($C$7,"(//*[local-name()='POI'])[6]/*[local-name()='AddressInfo']/*[local-name()='Title']"),"—")</f>
        <v/>
      </c>
      <c r="C16" s="26">
        <f>IFERROR(_xlfn.FILTERXML($C$7,"(//*[local-name()='POI'])[6]/*[local-name()='AddressInfo']/*[local-name()='Town']"),"—")</f>
        <v/>
      </c>
      <c r="D16" s="26">
        <f>IFERROR(_xlfn.FILTERXML($C$7,"(//*[local-name()='POI'])[6]/*[local-name()='AddressInfo']/*[local-name()='StateOrProvince']"),"—")</f>
        <v/>
      </c>
      <c r="E16" s="26">
        <f>IFERROR(_xlfn.FILTERXML($C$7,"(//*[local-name()='POI'])[6]/*[local-name()='OperatorInfo']/*[local-name()='Title']"),"—")</f>
        <v/>
      </c>
      <c r="F16" s="32">
        <f>IFERROR(_xlfn.FILTERXML($C$7,"(//*[local-name()='POI'])[6]/*[local-name()='NumberOfPoints']"),"—")</f>
        <v/>
      </c>
    </row>
    <row r="17" ht="19" customHeight="1">
      <c r="B17" s="52">
        <f>IFERROR(_xlfn.FILTERXML($C$7,"(//*[local-name()='POI'])[7]/*[local-name()='AddressInfo']/*[local-name()='Title']"),"—")</f>
        <v/>
      </c>
      <c r="C17" s="18">
        <f>IFERROR(_xlfn.FILTERXML($C$7,"(//*[local-name()='POI'])[7]/*[local-name()='AddressInfo']/*[local-name()='Town']"),"—")</f>
        <v/>
      </c>
      <c r="D17" s="18">
        <f>IFERROR(_xlfn.FILTERXML($C$7,"(//*[local-name()='POI'])[7]/*[local-name()='AddressInfo']/*[local-name()='StateOrProvince']"),"—")</f>
        <v/>
      </c>
      <c r="E17" s="18">
        <f>IFERROR(_xlfn.FILTERXML($C$7,"(//*[local-name()='POI'])[7]/*[local-name()='OperatorInfo']/*[local-name()='Title']"),"—")</f>
        <v/>
      </c>
      <c r="F17" s="24">
        <f>IFERROR(_xlfn.FILTERXML($C$7,"(//*[local-name()='POI'])[7]/*[local-name()='NumberOfPoints']"),"—")</f>
        <v/>
      </c>
    </row>
    <row r="18" ht="19" customHeight="1">
      <c r="B18" s="53">
        <f>IFERROR(_xlfn.FILTERXML($C$7,"(//*[local-name()='POI'])[8]/*[local-name()='AddressInfo']/*[local-name()='Title']"),"—")</f>
        <v/>
      </c>
      <c r="C18" s="26">
        <f>IFERROR(_xlfn.FILTERXML($C$7,"(//*[local-name()='POI'])[8]/*[local-name()='AddressInfo']/*[local-name()='Town']"),"—")</f>
        <v/>
      </c>
      <c r="D18" s="26">
        <f>IFERROR(_xlfn.FILTERXML($C$7,"(//*[local-name()='POI'])[8]/*[local-name()='AddressInfo']/*[local-name()='StateOrProvince']"),"—")</f>
        <v/>
      </c>
      <c r="E18" s="26">
        <f>IFERROR(_xlfn.FILTERXML($C$7,"(//*[local-name()='POI'])[8]/*[local-name()='OperatorInfo']/*[local-name()='Title']"),"—")</f>
        <v/>
      </c>
      <c r="F18" s="32">
        <f>IFERROR(_xlfn.FILTERXML($C$7,"(//*[local-name()='POI'])[8]/*[local-name()='NumberOfPoints']"),"—")</f>
        <v/>
      </c>
    </row>
    <row r="19">
      <c r="B19" s="47" t="inlineStr">
        <is>
          <t>Angezeigte Standorte:</t>
        </is>
      </c>
      <c r="C19" s="54">
        <f>SUMPRODUCT(--($B$11:$B$18&lt;&gt;"—"),--($B$11:$B$18&lt;&gt;""))</f>
        <v/>
      </c>
    </row>
    <row r="21">
      <c r="B21" s="46" t="inlineStr">
        <is>
          <t>Zeigt es „—“: einmal F9 drücken. Für Dauerbetrieb einen kostenlosen OpenChargeMap-API-Key oben in C6 eintragen (openchargemap.org). WEBSERVICE/FILTERXML gibt es nur in Excel für Windows (Desktop) — auf Mac/Web stattdessen die Power-Query-Vorlagen unten nutzen.</t>
        </is>
      </c>
    </row>
    <row r="22"/>
    <row r="24">
      <c r="B24" s="12" t="inlineStr">
        <is>
          <t>Weitere Online-Quellen &amp; eigene Datenbank — Power Query</t>
        </is>
      </c>
    </row>
    <row r="25">
      <c r="B25" s="55" t="inlineStr">
        <is>
          <t>• Ladeinfrastruktur (voll): Daten ▸ Aus dem Web ▸ OpenChargeMap-JSON — filtern/aggregieren nach Kanton/Betreiber.</t>
        </is>
      </c>
    </row>
    <row r="26">
      <c r="B26" s="55" t="inlineStr">
        <is>
          <t>• Firmendaten anreichern: Handelsregister Zefix-API (UID, Adresse, Rechtsform) per Firma abrufen.</t>
        </is>
      </c>
    </row>
    <row r="27">
      <c r="B27" s="55" t="inlineStr">
        <is>
          <t>• Eigene DB: Daten ▸ Aus Datenbank (SQL Server / MySQL / PostgreSQL) — Server &amp; Zugangsdaten eintragen.</t>
        </is>
      </c>
    </row>
    <row r="28">
      <c r="B28" s="55" t="inlineStr">
        <is>
          <t>• Google Sheets / SharePoint: Freigabe-CSV-Link als Quelle.</t>
        </is>
      </c>
    </row>
    <row r="29">
      <c r="B29" s="56" t="inlineStr">
        <is>
          <t>Fertige M-Vorlagen: data/PowerQuery_Vorlagen.m  ·  danach „Alle aktualisieren“ (Strg+Alt+F5).</t>
        </is>
      </c>
    </row>
  </sheetData>
  <mergeCells count="12">
    <mergeCell ref="B29:F29"/>
    <mergeCell ref="B5:D5"/>
    <mergeCell ref="B2:F2"/>
    <mergeCell ref="B25:F25"/>
    <mergeCell ref="B28:F28"/>
    <mergeCell ref="B3:F3"/>
    <mergeCell ref="C6:F6"/>
    <mergeCell ref="E5:F5"/>
    <mergeCell ref="C7:F7"/>
    <mergeCell ref="B21:F22"/>
    <mergeCell ref="B26:F26"/>
    <mergeCell ref="B27:F27"/>
  </mergeCells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7" t="inlineStr">
        <is>
          <t>Stammdaten / Lookups</t>
        </is>
      </c>
    </row>
    <row r="2">
      <c r="A2" s="58" t="inlineStr">
        <is>
          <t>Speist Dropdowns &amp; automatische Wahrscheinlichkeit. Werte hier pflegen.</t>
        </is>
      </c>
    </row>
    <row r="4">
      <c r="A4" s="59" t="inlineStr">
        <is>
          <t>Phase</t>
        </is>
      </c>
      <c r="B4" s="59" t="inlineStr">
        <is>
          <t>Wahrsch.</t>
        </is>
      </c>
      <c r="D4" s="59" t="inlineStr">
        <is>
          <t>Prioritäten</t>
        </is>
      </c>
      <c r="E4" s="59" t="inlineStr">
        <is>
          <t>Regionen</t>
        </is>
      </c>
      <c r="F4" s="59" t="inlineStr">
        <is>
          <t>Branchen</t>
        </is>
      </c>
      <c r="G4" s="59" t="inlineStr">
        <is>
          <t>Produkte</t>
        </is>
      </c>
      <c r="H4" s="59" t="inlineStr">
        <is>
          <t>Team</t>
        </is>
      </c>
      <c r="I4" s="59" t="inlineStr">
        <is>
          <t>Phasen</t>
        </is>
      </c>
      <c r="J4" s="59" t="inlineStr">
        <is>
          <t>Aktivitätstyp</t>
        </is>
      </c>
      <c r="K4" s="59" t="inlineStr">
        <is>
          <t>Status</t>
        </is>
      </c>
    </row>
    <row r="5">
      <c r="A5" s="14" t="inlineStr">
        <is>
          <t>Lead</t>
        </is>
      </c>
      <c r="B5" s="60" t="n">
        <v>0.1</v>
      </c>
      <c r="D5" s="14" t="inlineStr">
        <is>
          <t>Hoch</t>
        </is>
      </c>
      <c r="E5" s="14" t="inlineStr">
        <is>
          <t>Zürich</t>
        </is>
      </c>
      <c r="F5" s="14" t="inlineStr">
        <is>
          <t>Detailhandel</t>
        </is>
      </c>
      <c r="G5" s="14" t="inlineStr">
        <is>
          <t>AC-Ladestation 22 kW</t>
        </is>
      </c>
      <c r="H5" s="14" t="inlineStr">
        <is>
          <t>Burak Ücöz</t>
        </is>
      </c>
      <c r="I5" s="14" t="inlineStr">
        <is>
          <t>Lead</t>
        </is>
      </c>
      <c r="J5" s="14" t="inlineStr">
        <is>
          <t>Anruf</t>
        </is>
      </c>
      <c r="K5" s="14" t="inlineStr">
        <is>
          <t>Offen</t>
        </is>
      </c>
    </row>
    <row r="6">
      <c r="A6" s="14" t="inlineStr">
        <is>
          <t>Qualifiziert</t>
        </is>
      </c>
      <c r="B6" s="60" t="n">
        <v>0.25</v>
      </c>
      <c r="D6" s="14" t="inlineStr">
        <is>
          <t>Mittel</t>
        </is>
      </c>
      <c r="E6" s="14" t="inlineStr">
        <is>
          <t>Bern</t>
        </is>
      </c>
      <c r="F6" s="14" t="inlineStr">
        <is>
          <t>Logistik</t>
        </is>
      </c>
      <c r="G6" s="14" t="inlineStr">
        <is>
          <t>DC-Schnelllader 60 kW</t>
        </is>
      </c>
      <c r="H6" s="14" t="inlineStr">
        <is>
          <t>S. Meier</t>
        </is>
      </c>
      <c r="I6" s="14" t="inlineStr">
        <is>
          <t>Qualifiziert</t>
        </is>
      </c>
      <c r="J6" s="14" t="inlineStr">
        <is>
          <t>E-Mail</t>
        </is>
      </c>
      <c r="K6" s="14" t="inlineStr">
        <is>
          <t>Erledigt</t>
        </is>
      </c>
    </row>
    <row r="7">
      <c r="A7" s="14" t="inlineStr">
        <is>
          <t>Angebot</t>
        </is>
      </c>
      <c r="B7" s="60" t="n">
        <v>0.5</v>
      </c>
      <c r="D7" s="14" t="inlineStr">
        <is>
          <t>Niedrig</t>
        </is>
      </c>
      <c r="E7" s="14" t="inlineStr">
        <is>
          <t>Waadt</t>
        </is>
      </c>
      <c r="F7" s="14" t="inlineStr">
        <is>
          <t>Immobilien</t>
        </is>
      </c>
      <c r="G7" s="14" t="inlineStr">
        <is>
          <t>DC-HPC 150 kW</t>
        </is>
      </c>
      <c r="H7" s="14" t="inlineStr">
        <is>
          <t>L. Rossi</t>
        </is>
      </c>
      <c r="I7" s="14" t="inlineStr">
        <is>
          <t>Angebot</t>
        </is>
      </c>
      <c r="J7" s="14" t="inlineStr">
        <is>
          <t>Termin vor Ort</t>
        </is>
      </c>
    </row>
    <row r="8">
      <c r="A8" s="14" t="inlineStr">
        <is>
          <t>Verhandlung</t>
        </is>
      </c>
      <c r="B8" s="60" t="n">
        <v>0.75</v>
      </c>
      <c r="E8" s="14" t="inlineStr">
        <is>
          <t>Genf</t>
        </is>
      </c>
      <c r="F8" s="14" t="inlineStr">
        <is>
          <t>Hotellerie</t>
        </is>
      </c>
      <c r="G8" s="14" t="inlineStr">
        <is>
          <t>Lastmanagement-System</t>
        </is>
      </c>
      <c r="H8" s="14" t="inlineStr">
        <is>
          <t>N. Keller</t>
        </is>
      </c>
      <c r="I8" s="14" t="inlineStr">
        <is>
          <t>Verhandlung</t>
        </is>
      </c>
      <c r="J8" s="14" t="inlineStr">
        <is>
          <t>Web-Demo</t>
        </is>
      </c>
    </row>
    <row r="9">
      <c r="A9" s="14" t="inlineStr">
        <is>
          <t>Gewonnen</t>
        </is>
      </c>
      <c r="B9" s="60" t="n">
        <v>1</v>
      </c>
      <c r="E9" s="14" t="inlineStr">
        <is>
          <t>Basel</t>
        </is>
      </c>
      <c r="F9" s="14" t="inlineStr">
        <is>
          <t>Öffentliche Hand</t>
        </is>
      </c>
      <c r="G9" s="14" t="inlineStr">
        <is>
          <t>Full-Service Betrieb</t>
        </is>
      </c>
      <c r="H9" s="14" t="inlineStr">
        <is>
          <t>A. Favre</t>
        </is>
      </c>
      <c r="I9" s="14" t="inlineStr">
        <is>
          <t>Gewonnen</t>
        </is>
      </c>
      <c r="J9" s="14" t="inlineStr">
        <is>
          <t>Angebot</t>
        </is>
      </c>
    </row>
    <row r="10">
      <c r="A10" s="14" t="inlineStr">
        <is>
          <t>Verloren</t>
        </is>
      </c>
      <c r="B10" s="60" t="n">
        <v>0</v>
      </c>
      <c r="E10" s="14" t="inlineStr">
        <is>
          <t>Aargau</t>
        </is>
      </c>
      <c r="F10" s="14" t="inlineStr">
        <is>
          <t>Industrie</t>
        </is>
      </c>
      <c r="G10" s="14" t="inlineStr">
        <is>
          <t>PV + Speicher Kombi</t>
        </is>
      </c>
      <c r="I10" s="14" t="inlineStr">
        <is>
          <t>Verloren</t>
        </is>
      </c>
      <c r="J10" s="14" t="inlineStr">
        <is>
          <t>Follow-up</t>
        </is>
      </c>
    </row>
    <row r="11">
      <c r="E11" s="14" t="inlineStr">
        <is>
          <t>St. Gallen</t>
        </is>
      </c>
      <c r="F11" s="14" t="inlineStr">
        <is>
          <t>Tankstellen</t>
        </is>
      </c>
    </row>
    <row r="12">
      <c r="E12" s="14" t="inlineStr">
        <is>
          <t>Tessin</t>
        </is>
      </c>
      <c r="F12" s="14" t="inlineStr">
        <is>
          <t>Flottenbetrieb</t>
        </is>
      </c>
    </row>
    <row r="13">
      <c r="E13" s="14" t="inlineStr">
        <is>
          <t>Luzern</t>
        </is>
      </c>
    </row>
    <row r="14">
      <c r="E14" s="14" t="inlineStr">
        <is>
          <t>Wallis</t>
        </is>
      </c>
    </row>
  </sheetData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B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61" t="inlineStr">
        <is>
          <t>So arbeitest du perfekt mit diesem Cockpit</t>
        </is>
      </c>
    </row>
    <row r="3">
      <c r="B3" s="62" t="inlineStr"/>
    </row>
    <row r="4">
      <c r="B4" s="63" t="inlineStr">
        <is>
          <t>1 · Dashboard</t>
        </is>
      </c>
    </row>
    <row r="5">
      <c r="B5" s="64" t="inlineStr">
        <is>
          <t>KPIs, Sales-Funnel und Auswertungen nach Region/Branche/Verantwortlichem rechnen automatisch —</t>
        </is>
      </c>
    </row>
    <row r="6">
      <c r="B6" s="64" t="inlineStr">
        <is>
          <t>alles aktualisiert sich, sobald du in der Pipeline etwas änderst.</t>
        </is>
      </c>
    </row>
    <row r="7">
      <c r="B7" s="62" t="inlineStr"/>
    </row>
    <row r="8">
      <c r="B8" s="63" t="inlineStr">
        <is>
          <t>2 · Pipeline (Herzstück)</t>
        </is>
      </c>
    </row>
    <row r="9">
      <c r="B9" s="64" t="inlineStr">
        <is>
          <t>• Filtern/Sortieren über die Pfeile in der blauen Kopfzeile (Region, Phase, Verantwortlich …).</t>
        </is>
      </c>
    </row>
    <row r="10">
      <c r="B10" s="64" t="inlineStr">
        <is>
          <t>• Datenschnitte (Klick-Filter): Tabelle anklicken ▸ Menüband „Tabellenentwurf“ ▸ Datenschnitt einfügen.</t>
        </is>
      </c>
    </row>
    <row r="11">
      <c r="B11" s="64" t="inlineStr">
        <is>
          <t>• Dropdowns für Phase/Priorität/Region/Branche/Produkt/Verantwortlich (nur gültige Werte).</t>
        </is>
      </c>
    </row>
    <row r="12">
      <c r="B12" s="64" t="inlineStr">
        <is>
          <t>• Automatik: Wahrscheinlichkeit folgt der Phase; Gew. Wert = Volumen × Wahrsch.;</t>
        </is>
      </c>
    </row>
    <row r="13">
      <c r="B13" s="64" t="inlineStr">
        <is>
          <t xml:space="preserve">  Tage bis Abschluss &amp; Ampel (🔴 ≤14 T, 🟡 ≤45 T, 🟢 sonst, ✅ gewonnen).</t>
        </is>
      </c>
    </row>
    <row r="14">
      <c r="B14" s="64" t="inlineStr">
        <is>
          <t>• Neue Zeile einfach unter der letzten schreiben – Tabelle &amp; Dashboard wachsen automatisch mit.</t>
        </is>
      </c>
    </row>
    <row r="15">
      <c r="B15" s="62" t="inlineStr"/>
    </row>
    <row r="16">
      <c r="B16" s="63" t="inlineStr">
        <is>
          <t>3 · Aktivitäten · Kontakte · Forecast · Ziele</t>
        </is>
      </c>
    </row>
    <row r="17">
      <c r="B17" s="64" t="inlineStr">
        <is>
          <t>Aktivitäten: Aufgaben mit Fälligkeits-Ampel (überfällig = rot). Kontakte: Firmen-/CRM-Liste.</t>
        </is>
      </c>
    </row>
    <row r="18">
      <c r="B18" s="64" t="inlineStr">
        <is>
          <t>Forecast: gewichteter Umsatz je Monat vs. Ziel. Ziele: Zielerreichung je Verantwortlicher.</t>
        </is>
      </c>
    </row>
    <row r="19">
      <c r="B19" s="62" t="inlineStr"/>
    </row>
    <row r="20">
      <c r="B20" s="63" t="inlineStr">
        <is>
          <t>4 · Live-Daten online abrufen — per Knopfdruck (F9)</t>
        </is>
      </c>
    </row>
    <row r="21">
      <c r="B21" s="64" t="inlineStr">
        <is>
          <t>Blatt „Live-Daten“: öffentliche Ladestandorte Schweiz live via OpenChargeMap (WEBSERVICE + FILTERXML).</t>
        </is>
      </c>
    </row>
    <row r="22">
      <c r="B22" s="64" t="inlineStr">
        <is>
          <t>Aktualisieren = Taste F9 (Windows-Desktop-Excel). Gratis-API-Key in Zelle C6 für Dauerbetrieb.</t>
        </is>
      </c>
    </row>
    <row r="23">
      <c r="B23" s="64" t="inlineStr">
        <is>
          <t>Mehr Quellen/eigene Datenbank (SQL/Zefix/Google Sheets): M-Vorlagen in data/PowerQuery_Vorlagen.m.</t>
        </is>
      </c>
    </row>
    <row r="24">
      <c r="B24" s="62" t="inlineStr"/>
    </row>
    <row r="25">
      <c r="B25" s="63" t="inlineStr">
        <is>
          <t>5 · Formelzellen schützen (optional)</t>
        </is>
      </c>
    </row>
    <row r="26">
      <c r="B26" s="64" t="inlineStr">
        <is>
          <t>Formel-/Berechnungszellen sind als „gesperrt“ markiert, Eingabefelder als „frei“.</t>
        </is>
      </c>
    </row>
    <row r="27">
      <c r="B27" s="64" t="inlineStr">
        <is>
          <t>Aktivieren mit: Überprüfen ▸ Blatt schützen (ohne Passwort bestätigen). Eingaben bleiben möglich.</t>
        </is>
      </c>
    </row>
    <row r="28">
      <c r="B28" s="62" t="inlineStr"/>
    </row>
    <row r="29">
      <c r="B29" s="56" t="inlineStr">
        <is>
          <t>Reproduzierbar: python3 src/build_excel.py  ·  Farbwelt Navy #1B2430 + Akzent-Rot #E2001A.</t>
        </is>
      </c>
    </row>
  </sheetData>
  <printOptions horizontalCentered="1"/>
  <pageMargins left="0.75" right="0.75" top="1" bottom="1" header="0.5" footer="0.5"/>
  <pageSetup orientation="landscape" fitToHeight="0" fitToWidth="1"/>
  <headerFooter>
    <oddHeader>&amp;LVertriebs-Cockpit&amp;R&amp;D</oddHeader>
    <oddFooter>&amp;LVertraulich&amp;RSeite &amp;P von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2026-07-03T07:48:31Z</dcterms:created>
  <dcterms:modified xsi:type="dcterms:W3CDTF">2026-07-03T07:48:31Z</dcterms:modified>
</cp:coreProperties>
</file>