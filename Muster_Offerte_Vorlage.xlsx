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725" windowWidth="29040" windowHeight="15720" tabRatio="600" firstSheet="0" activeTab="0" autoFilterDateGrouping="1"/>
  </bookViews>
  <sheets>
    <sheet name="Offerte" sheetId="1" state="visible" r:id="rId1"/>
    <sheet name="Stammdaten" sheetId="2" state="visible" r:id="rId2"/>
    <sheet name="Artikel" sheetId="3" state="visible" r:id="rId3"/>
  </sheets>
  <definedNames>
    <definedName name="_xlnm.Print_Area" localSheetId="0">'Offerte'!$A$1:$I$54</definedName>
  </definedNames>
  <calcPr calcId="191029" fullCalcOnLoad="1"/>
</workbook>
</file>

<file path=xl/styles.xml><?xml version="1.0" encoding="utf-8"?>
<styleSheet xmlns="http://schemas.openxmlformats.org/spreadsheetml/2006/main">
  <numFmts count="3">
    <numFmt numFmtId="164" formatCode="dd\.mm\.yyyy"/>
    <numFmt numFmtId="165" formatCode="#\'##0.00"/>
    <numFmt numFmtId="166" formatCode="0.0%"/>
  </numFmts>
  <fonts count="14">
    <font>
      <name val="Calibri"/>
      <family val="2"/>
      <color theme="1"/>
      <sz val="11"/>
      <scheme val="minor"/>
    </font>
    <font>
      <name val="Calibri"/>
      <family val="2"/>
      <b val="1"/>
      <color rgb="FF1F2933"/>
      <sz val="11"/>
    </font>
    <font>
      <name val="Calibri"/>
      <family val="2"/>
      <color rgb="FF1F2933"/>
      <sz val="11"/>
    </font>
    <font>
      <name val="Calibri"/>
      <family val="2"/>
      <b val="1"/>
      <color rgb="FFFFFFFF"/>
      <sz val="11"/>
    </font>
    <font>
      <name val="Calibri"/>
      <family val="2"/>
      <color rgb="FF1F2933"/>
      <sz val="10"/>
    </font>
    <font>
      <name val="Calibri"/>
      <family val="2"/>
      <color rgb="FF7B8794"/>
      <sz val="9"/>
    </font>
    <font>
      <name val="Calibri"/>
      <family val="2"/>
      <b val="1"/>
      <color rgb="FF7B8794"/>
      <sz val="9"/>
    </font>
    <font>
      <name val="Calibri"/>
      <family val="2"/>
      <b val="1"/>
      <color rgb="FF1F2933"/>
      <sz val="10"/>
    </font>
    <font>
      <name val="Calibri"/>
      <family val="2"/>
      <b val="1"/>
      <color rgb="FF1F2933"/>
      <sz val="13"/>
    </font>
    <font>
      <name val="Calibri"/>
      <family val="2"/>
      <b val="1"/>
      <color rgb="FFFFFFFF"/>
      <sz val="10"/>
    </font>
    <font>
      <name val="Calibri"/>
      <family val="2"/>
      <b val="1"/>
      <color rgb="FF1F2933"/>
      <sz val="11"/>
    </font>
    <font>
      <name val="Calibri"/>
      <family val="2"/>
      <i val="1"/>
      <color rgb="FF7B8794"/>
      <sz val="8.5"/>
    </font>
    <font>
      <name val="Calibri"/>
      <family val="2"/>
      <color rgb="FF7B8794"/>
      <sz val="8"/>
    </font>
    <font>
      <name val="Calibri"/>
      <family val="2"/>
      <b val="1"/>
      <color rgb="FFFF0000"/>
      <sz val="22"/>
    </font>
  </fonts>
  <fills count="6">
    <fill>
      <patternFill/>
    </fill>
    <fill>
      <patternFill patternType="gray125"/>
    </fill>
    <fill>
      <patternFill patternType="solid">
        <fgColor rgb="FFE2620A"/>
      </patternFill>
    </fill>
    <fill>
      <patternFill patternType="solid">
        <fgColor rgb="FF1F2933"/>
      </patternFill>
    </fill>
    <fill>
      <patternFill patternType="solid">
        <fgColor rgb="FFF4F6F8"/>
      </patternFill>
    </fill>
    <fill>
      <patternFill patternType="solid">
        <fgColor rgb="FFFCEEE3"/>
      </patternFill>
    </fill>
  </fills>
  <borders count="7">
    <border>
      <left/>
      <right/>
      <top/>
      <bottom/>
      <diagonal/>
    </border>
    <border>
      <left/>
      <right/>
      <top style="thin">
        <color rgb="FF1F2933"/>
      </top>
      <bottom style="thin">
        <color rgb="FF1F2933"/>
      </bottom>
      <diagonal/>
    </border>
    <border>
      <left/>
      <right/>
      <top/>
      <bottom style="thin">
        <color rgb="FFCBD2D9"/>
      </bottom>
      <diagonal/>
    </border>
    <border>
      <left/>
      <right/>
      <top style="thin">
        <color rgb="FFE2620A"/>
      </top>
      <bottom style="thin">
        <color rgb="FFE2620A"/>
      </bottom>
      <diagonal/>
    </border>
    <border>
      <left/>
      <right/>
      <top style="thin">
        <color rgb="FFCBD2D9"/>
      </top>
      <bottom/>
      <diagonal/>
    </border>
    <border>
      <left/>
      <right/>
      <top style="thin">
        <color rgb="FFCBD2D9"/>
      </top>
      <bottom/>
      <diagonal/>
    </border>
    <border>
      <left/>
      <right/>
      <top style="thin">
        <color rgb="FFE2620A"/>
      </top>
      <bottom/>
      <diagonal/>
    </border>
  </borders>
  <cellStyleXfs count="1">
    <xf numFmtId="0" fontId="0" fillId="0" borderId="0"/>
  </cellStyleXfs>
  <cellXfs count="48">
    <xf numFmtId="0" fontId="0" fillId="0" borderId="0" pivotButton="0" quotePrefix="0" xfId="0"/>
    <xf numFmtId="0" fontId="6" fillId="0" borderId="0" applyAlignment="1" pivotButton="0" quotePrefix="0" xfId="0">
      <alignment horizontal="right" vertical="center"/>
    </xf>
    <xf numFmtId="0" fontId="4" fillId="0" borderId="0" applyAlignment="1" pivotButton="0" quotePrefix="0" xfId="0">
      <alignment horizontal="right" vertical="center"/>
    </xf>
    <xf numFmtId="164" fontId="4" fillId="0" borderId="0" applyAlignment="1" pivotButton="0" quotePrefix="0" xfId="0">
      <alignment horizontal="right" vertical="center"/>
    </xf>
    <xf numFmtId="0" fontId="9" fillId="3" borderId="1" applyAlignment="1" pivotButton="0" quotePrefix="0" xfId="0">
      <alignment horizontal="center" vertical="center"/>
    </xf>
    <xf numFmtId="0" fontId="9" fillId="3" borderId="1" applyAlignment="1" pivotButton="0" quotePrefix="0" xfId="0">
      <alignment horizontal="left" vertical="center"/>
    </xf>
    <xf numFmtId="0" fontId="9" fillId="3" borderId="1" applyAlignment="1" pivotButton="0" quotePrefix="0" xfId="0">
      <alignment horizontal="right" vertical="center"/>
    </xf>
    <xf numFmtId="0" fontId="4" fillId="0" borderId="2" applyAlignment="1" pivotButton="0" quotePrefix="0" xfId="0">
      <alignment horizontal="center" vertical="center"/>
    </xf>
    <xf numFmtId="0" fontId="4" fillId="0" borderId="2" applyAlignment="1" pivotButton="0" quotePrefix="0" xfId="0">
      <alignment horizontal="left" vertical="center"/>
    </xf>
    <xf numFmtId="165" fontId="4" fillId="0" borderId="2" applyAlignment="1" pivotButton="0" quotePrefix="0" xfId="0">
      <alignment horizontal="right" vertical="center"/>
    </xf>
    <xf numFmtId="165" fontId="5" fillId="0" borderId="0" applyAlignment="1" pivotButton="0" quotePrefix="0" xfId="0">
      <alignment horizontal="right" vertical="center"/>
    </xf>
    <xf numFmtId="0" fontId="4" fillId="4" borderId="2" applyAlignment="1" pivotButton="0" quotePrefix="0" xfId="0">
      <alignment horizontal="center" vertical="center"/>
    </xf>
    <xf numFmtId="0" fontId="4" fillId="4" borderId="2" applyAlignment="1" pivotButton="0" quotePrefix="0" xfId="0">
      <alignment horizontal="left" vertical="center"/>
    </xf>
    <xf numFmtId="165" fontId="4" fillId="4" borderId="2" applyAlignment="1" pivotButton="0" quotePrefix="0" xfId="0">
      <alignment horizontal="right" vertical="center"/>
    </xf>
    <xf numFmtId="165" fontId="10" fillId="0" borderId="0" applyAlignment="1" pivotButton="0" quotePrefix="0" xfId="0">
      <alignment horizontal="right" vertical="center"/>
    </xf>
    <xf numFmtId="165" fontId="4" fillId="0" borderId="0" applyAlignment="1" pivotButton="0" quotePrefix="0" xfId="0">
      <alignment horizontal="right" vertical="center"/>
    </xf>
    <xf numFmtId="165" fontId="10" fillId="5" borderId="3" applyAlignment="1" pivotButton="0" quotePrefix="0" xfId="0">
      <alignment horizontal="right" vertical="center"/>
    </xf>
    <xf numFmtId="0" fontId="1" fillId="0" borderId="0" pivotButton="0" quotePrefix="0" xfId="0"/>
    <xf numFmtId="0" fontId="2" fillId="0" borderId="0" applyAlignment="1" pivotButton="0" quotePrefix="0" xfId="0">
      <alignment vertical="top" wrapText="1"/>
    </xf>
    <xf numFmtId="166" fontId="2" fillId="0" borderId="0" applyAlignment="1" pivotButton="0" quotePrefix="0" xfId="0">
      <alignment vertical="top" wrapText="1"/>
    </xf>
    <xf numFmtId="0" fontId="3" fillId="3" borderId="0" applyAlignment="1" pivotButton="0" quotePrefix="0" xfId="0">
      <alignment horizontal="left" vertical="center"/>
    </xf>
    <xf numFmtId="0" fontId="2" fillId="0" borderId="0" pivotButton="0" quotePrefix="0" xfId="0"/>
    <xf numFmtId="0" fontId="0" fillId="0" borderId="0" applyAlignment="1" pivotButton="0" quotePrefix="0" xfId="0">
      <alignment horizontal="center"/>
    </xf>
    <xf numFmtId="165" fontId="0" fillId="0" borderId="0" applyAlignment="1" pivotButton="0" quotePrefix="0" xfId="0">
      <alignment horizontal="right"/>
    </xf>
    <xf numFmtId="0" fontId="0" fillId="5" borderId="3" pivotButton="0" quotePrefix="0" xfId="0"/>
    <xf numFmtId="0" fontId="12" fillId="0" borderId="4" applyAlignment="1" pivotButton="0" quotePrefix="0" xfId="0">
      <alignment horizontal="center" vertical="center"/>
    </xf>
    <xf numFmtId="0" fontId="0" fillId="0" borderId="5" pivotButton="0" quotePrefix="0" xfId="0"/>
    <xf numFmtId="0" fontId="5" fillId="0" borderId="0" applyAlignment="1" pivotButton="0" quotePrefix="0" xfId="0">
      <alignment horizontal="left" vertical="center"/>
    </xf>
    <xf numFmtId="0" fontId="0" fillId="0" borderId="0" pivotButton="0" quotePrefix="0" xfId="0"/>
    <xf numFmtId="0" fontId="7" fillId="5" borderId="3" applyAlignment="1" pivotButton="0" quotePrefix="0" xfId="0">
      <alignment horizontal="right" vertical="center"/>
    </xf>
    <xf numFmtId="0" fontId="0" fillId="5" borderId="3" pivotButton="0" quotePrefix="0" xfId="0"/>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0" borderId="0" applyAlignment="1" pivotButton="0" quotePrefix="0" xfId="0">
      <alignment horizontal="right" vertical="center"/>
    </xf>
    <xf numFmtId="0" fontId="5" fillId="0" borderId="0" applyAlignment="1" pivotButton="0" quotePrefix="0" xfId="0">
      <alignment horizontal="right" vertical="center"/>
    </xf>
    <xf numFmtId="0" fontId="4" fillId="0" borderId="0" applyAlignment="1" pivotButton="0" quotePrefix="0" xfId="0">
      <alignment horizontal="right" vertical="center"/>
    </xf>
    <xf numFmtId="0" fontId="7" fillId="0" borderId="0" applyAlignment="1" pivotButton="0" quotePrefix="0" xfId="0">
      <alignment horizontal="right" vertical="center"/>
    </xf>
    <xf numFmtId="0" fontId="13" fillId="0" borderId="0" pivotButton="0" quotePrefix="0" xfId="0"/>
    <xf numFmtId="0" fontId="6" fillId="0" borderId="0" applyAlignment="1" pivotButton="0" quotePrefix="0" xfId="0">
      <alignment horizontal="right" vertical="center"/>
    </xf>
    <xf numFmtId="0" fontId="11" fillId="0" borderId="0" applyAlignment="1" pivotButton="0" quotePrefix="0" xfId="0">
      <alignment horizontal="left" vertical="top" wrapText="1"/>
    </xf>
    <xf numFmtId="0" fontId="4" fillId="0" borderId="0" applyAlignment="1" pivotButton="0" quotePrefix="0" xfId="0">
      <alignment horizontal="left" vertical="top" wrapText="1"/>
    </xf>
    <xf numFmtId="0" fontId="3" fillId="2" borderId="0" applyAlignment="1" pivotButton="0" quotePrefix="0" xfId="0">
      <alignment horizontal="left" vertical="center"/>
    </xf>
    <xf numFmtId="0" fontId="4" fillId="4" borderId="2" applyAlignment="1" pivotButton="0" quotePrefix="0" xfId="0">
      <alignment horizontal="left" vertical="center" wrapText="1"/>
    </xf>
    <xf numFmtId="164" fontId="4" fillId="0" borderId="0" applyAlignment="1" pivotButton="0" quotePrefix="0" xfId="0">
      <alignment horizontal="right" vertical="center"/>
    </xf>
    <xf numFmtId="0" fontId="0" fillId="0" borderId="3" pivotButton="0" quotePrefix="0" xfId="0"/>
    <xf numFmtId="0" fontId="12" fillId="0" borderId="5" applyAlignment="1" pivotButton="0" quotePrefix="0" xfId="0">
      <alignment horizontal="center" vertical="center"/>
    </xf>
    <xf numFmtId="166" fontId="2" fillId="0" borderId="0" applyAlignment="1" pivotButton="0" quotePrefix="0" xfId="0">
      <alignment vertical="top"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54"/>
  <sheetViews>
    <sheetView showGridLines="0" tabSelected="1" zoomScale="130" zoomScaleNormal="130" workbookViewId="0">
      <selection activeCell="M12" sqref="M12"/>
    </sheetView>
  </sheetViews>
  <sheetFormatPr baseColWidth="10" defaultColWidth="9.140625" defaultRowHeight="15"/>
  <cols>
    <col width="4" customWidth="1" style="28" min="1" max="1"/>
    <col width="6.42578125" customWidth="1" style="28" min="2" max="2"/>
    <col width="60" bestFit="1" customWidth="1" style="28" min="3" max="3"/>
    <col width="8" customWidth="1" style="28" min="4" max="5"/>
    <col width="14" customWidth="1" style="28" min="6" max="6"/>
    <col width="7" customWidth="1" style="28" min="7" max="8"/>
    <col width="23.5703125" customWidth="1" style="28" min="9" max="9"/>
    <col width="2" customWidth="1" style="28" min="10" max="10"/>
    <col hidden="1" width="16" customWidth="1" style="28" min="11" max="11"/>
  </cols>
  <sheetData>
    <row r="1" ht="30" customHeight="1" s="28">
      <c r="A1" s="38" t="inlineStr">
        <is>
          <t>MOBIL IN TIME</t>
        </is>
      </c>
      <c r="G1" s="39" t="inlineStr">
        <is>
          <t>IHR KONTAKT</t>
        </is>
      </c>
    </row>
    <row r="2">
      <c r="A2" s="31">
        <f>Stammdaten!$B$2</f>
        <v/>
      </c>
      <c r="G2" s="37">
        <f>Stammdaten!$B$12</f>
        <v/>
      </c>
    </row>
    <row r="3">
      <c r="A3" s="27">
        <f>Stammdaten!$B$3&amp;"  ·  "&amp;Stammdaten!$B$4</f>
        <v/>
      </c>
      <c r="G3" s="35">
        <f>"Tel. "&amp;Stammdaten!$B$13</f>
        <v/>
      </c>
    </row>
    <row r="4">
      <c r="A4" s="27">
        <f>"Tel. "&amp;Stammdaten!$B$5&amp;"  ·  "&amp;Stammdaten!$B$6&amp;"  ·  "&amp;Stammdaten!$B$7</f>
        <v/>
      </c>
      <c r="G4" s="35">
        <f>Stammdaten!$B$14</f>
        <v/>
      </c>
    </row>
    <row r="7" ht="17.25" customHeight="1" s="28">
      <c r="A7" s="32" t="inlineStr">
        <is>
          <t>KUNDE</t>
        </is>
      </c>
      <c r="G7" s="34" t="inlineStr">
        <is>
          <t>OFFERTE</t>
        </is>
      </c>
    </row>
    <row r="8">
      <c r="A8" s="33" t="inlineStr">
        <is>
          <t>Herr Max Muster</t>
        </is>
      </c>
      <c r="G8" s="39" t="inlineStr">
        <is>
          <t>Offerte-Nr.</t>
        </is>
      </c>
      <c r="H8" s="39" t="n"/>
      <c r="I8" s="36" t="inlineStr">
        <is>
          <t>Q000000000000000000</t>
        </is>
      </c>
    </row>
    <row r="9">
      <c r="A9" s="31" t="inlineStr">
        <is>
          <t>Musterfirma AG</t>
        </is>
      </c>
      <c r="G9" s="39" t="inlineStr">
        <is>
          <t>Datum</t>
        </is>
      </c>
      <c r="H9" s="39" t="n"/>
      <c r="I9" s="44">
        <f>TODAY()</f>
        <v/>
      </c>
    </row>
    <row r="10">
      <c r="A10" s="27" t="inlineStr">
        <is>
          <t>Tel. +41 00 000 00 00</t>
        </is>
      </c>
      <c r="G10" s="39" t="inlineStr">
        <is>
          <t>Mietbeginn</t>
        </is>
      </c>
      <c r="H10" s="39" t="n"/>
      <c r="I10" s="44" t="n"/>
    </row>
    <row r="11">
      <c r="A11" s="27" t="inlineStr">
        <is>
          <t>name@musterfirma.ch</t>
        </is>
      </c>
      <c r="G11" s="39" t="inlineStr">
        <is>
          <t>Mietende</t>
        </is>
      </c>
      <c r="H11" s="39" t="n"/>
      <c r="I11" s="44" t="n"/>
    </row>
    <row r="12">
      <c r="G12" s="39" t="inlineStr">
        <is>
          <t>Mietzeitraum</t>
        </is>
      </c>
      <c r="H12" s="39" t="n"/>
      <c r="I12" s="36">
        <f>I11-I10+1&amp;" Tage"</f>
        <v/>
      </c>
    </row>
    <row r="13">
      <c r="G13" s="39" t="inlineStr">
        <is>
          <t>Mindestmiete</t>
        </is>
      </c>
      <c r="H13" s="39" t="n"/>
      <c r="I13" s="36" t="inlineStr">
        <is>
          <t>7 Tage</t>
        </is>
      </c>
    </row>
    <row r="14">
      <c r="A14" s="31">
        <f>"Sehr geehrter "&amp;LEFT(A8,FIND(" ",A8)-1)&amp;" "&amp;MID(A8,FIND(" ",A8,FIND(" ",A8)+1)+1,99)</f>
        <v/>
      </c>
    </row>
    <row r="15" ht="15.95" customHeight="1" s="28">
      <c r="A15" s="41">
        <f>SUBSTITUTE(Stammdaten!$B$22,"{AGB}",Stammdaten!$B$9)</f>
        <v/>
      </c>
    </row>
    <row r="16" ht="15.95" customHeight="1" s="28"/>
    <row r="17" ht="15.95" customHeight="1" s="28"/>
    <row r="19">
      <c r="A19" s="33" t="inlineStr">
        <is>
          <t>Preisaufstellung – Preise reflektieren Mengen - Verbindliche Offerte</t>
        </is>
      </c>
    </row>
    <row r="21" ht="20.1" customHeight="1" s="28">
      <c r="A21" s="4" t="inlineStr">
        <is>
          <t>Pos</t>
        </is>
      </c>
      <c r="B21" s="4" t="inlineStr">
        <is>
          <t>Anz</t>
        </is>
      </c>
      <c r="C21" s="5" t="inlineStr">
        <is>
          <t>Beschreibung</t>
        </is>
      </c>
      <c r="D21" s="4" t="inlineStr">
        <is>
          <t>Einh.</t>
        </is>
      </c>
      <c r="E21" s="4" t="inlineStr">
        <is>
          <t>Preis/h</t>
        </is>
      </c>
      <c r="F21" s="6" t="inlineStr">
        <is>
          <t>Preis/Wo.</t>
        </is>
      </c>
      <c r="G21" s="4" t="inlineStr">
        <is>
          <t>Wochen</t>
        </is>
      </c>
      <c r="H21" s="4" t="inlineStr">
        <is>
          <t>Stunden</t>
        </is>
      </c>
      <c r="I21" s="6" t="inlineStr">
        <is>
          <t>Position</t>
        </is>
      </c>
    </row>
    <row r="22">
      <c r="A22" s="7">
        <f>IF(C22="","",COUNTA($C$22:C22))</f>
        <v/>
      </c>
      <c r="B22" s="7" t="n"/>
      <c r="C22" s="8" t="n"/>
      <c r="D22" s="7">
        <f>IFERROR(VLOOKUP(C22,Artikel!$A$2:$C$16,2,FALSE),"")</f>
        <v/>
      </c>
      <c r="E22" s="7" t="n"/>
      <c r="F22" s="9">
        <f>IFERROR(VLOOKUP(C22,Artikel!$A$2:$C$16,3,FALSE),"")</f>
        <v/>
      </c>
      <c r="G22" s="7">
        <f>IF(C22="","",1)</f>
        <v/>
      </c>
      <c r="H22" s="7" t="n"/>
      <c r="I22" s="9">
        <f>IF($C22="","",N($B22)*N($F22)*N($G22))</f>
        <v/>
      </c>
      <c r="K22" s="10">
        <f>IFERROR(VLOOKUP(C22,Artikel!$A$2:$C$16,3,FALSE),"")</f>
        <v/>
      </c>
    </row>
    <row r="23">
      <c r="A23" s="11">
        <f>IF(C23="","",COUNTA($C$22:C23))</f>
        <v/>
      </c>
      <c r="B23" s="11" t="n"/>
      <c r="C23" s="12" t="n"/>
      <c r="D23" s="11">
        <f>IFERROR(VLOOKUP(C23,Artikel!$A$2:$C$16,2,FALSE),"")</f>
        <v/>
      </c>
      <c r="E23" s="11" t="n"/>
      <c r="F23" s="13">
        <f>IFERROR(VLOOKUP(C23,Artikel!$A$2:$C$16,3,FALSE),"")</f>
        <v/>
      </c>
      <c r="G23" s="11">
        <f>IF(C23="","",1)</f>
        <v/>
      </c>
      <c r="H23" s="11" t="n"/>
      <c r="I23" s="13">
        <f>IF($C23="","",N($B23)*N($F23)*N($G23))</f>
        <v/>
      </c>
      <c r="K23" s="10">
        <f>IFERROR(VLOOKUP(C23,Artikel!$A$2:$C$16,3,FALSE),"")</f>
        <v/>
      </c>
    </row>
    <row r="24">
      <c r="A24" s="7">
        <f>IF(C24="","",COUNTA($C$22:C24))</f>
        <v/>
      </c>
      <c r="B24" s="7" t="n"/>
      <c r="C24" s="8" t="n"/>
      <c r="D24" s="7">
        <f>IFERROR(VLOOKUP(C24,Artikel!$A$2:$C$16,2,FALSE),"")</f>
        <v/>
      </c>
      <c r="E24" s="7" t="n"/>
      <c r="F24" s="9">
        <f>IFERROR(VLOOKUP(C24,Artikel!$A$2:$C$16,3,FALSE),"")</f>
        <v/>
      </c>
      <c r="G24" s="7">
        <f>IF(C24="","",1)</f>
        <v/>
      </c>
      <c r="H24" s="7" t="n"/>
      <c r="I24" s="9">
        <f>IF($C24="","",N($B24)*N($F24)*N($G24))</f>
        <v/>
      </c>
      <c r="K24" s="10">
        <f>IFERROR(VLOOKUP(C24,Artikel!$A$2:$C$16,3,FALSE),"")</f>
        <v/>
      </c>
    </row>
    <row r="25">
      <c r="A25" s="11">
        <f>IF(C25="","",COUNTA($C$22:C25))</f>
        <v/>
      </c>
      <c r="B25" s="11" t="n"/>
      <c r="C25" s="12" t="n"/>
      <c r="D25" s="11">
        <f>IFERROR(VLOOKUP(C25,Artikel!$A$2:$C$16,2,FALSE),"")</f>
        <v/>
      </c>
      <c r="E25" s="11" t="n"/>
      <c r="F25" s="13">
        <f>IFERROR(VLOOKUP(C25,Artikel!$A$2:$C$16,3,FALSE),"")</f>
        <v/>
      </c>
      <c r="G25" s="11">
        <f>IF(C25="","",1)</f>
        <v/>
      </c>
      <c r="H25" s="11" t="n"/>
      <c r="I25" s="13">
        <f>IF($C25="","",N($B25)*N($F25)*N($G25))</f>
        <v/>
      </c>
      <c r="K25" s="10">
        <f>IFERROR(VLOOKUP(C25,Artikel!$A$2:$C$16,3,FALSE),"")</f>
        <v/>
      </c>
    </row>
    <row r="26">
      <c r="A26" s="7">
        <f>IF(C26="","",COUNTA($C$22:C26))</f>
        <v/>
      </c>
      <c r="B26" s="7" t="n"/>
      <c r="C26" s="8" t="n"/>
      <c r="D26" s="7">
        <f>IFERROR(VLOOKUP(C26,Artikel!$A$2:$C$16,2,FALSE),"")</f>
        <v/>
      </c>
      <c r="E26" s="7" t="n"/>
      <c r="F26" s="9">
        <f>IFERROR(VLOOKUP(C26,Artikel!$A$2:$C$16,3,FALSE),"")</f>
        <v/>
      </c>
      <c r="G26" s="7">
        <f>IF(C26="","",1)</f>
        <v/>
      </c>
      <c r="H26" s="7" t="n"/>
      <c r="I26" s="9">
        <f>IF($C26="","",N($B26)*N($F26)*N($G26))</f>
        <v/>
      </c>
      <c r="K26" s="10">
        <f>IFERROR(VLOOKUP(C26,Artikel!$A$2:$C$16,3,FALSE),"")</f>
        <v/>
      </c>
    </row>
    <row r="27">
      <c r="A27" s="11">
        <f>IF(C27="","",COUNTA($C$22:C27))</f>
        <v/>
      </c>
      <c r="B27" s="11" t="n"/>
      <c r="C27" s="12" t="n"/>
      <c r="D27" s="11">
        <f>IFERROR(VLOOKUP(C27,Artikel!$A$2:$C$16,2,FALSE),"")</f>
        <v/>
      </c>
      <c r="E27" s="11" t="n"/>
      <c r="F27" s="13">
        <f>IFERROR(VLOOKUP(C27,Artikel!$A$2:$C$16,3,FALSE),"")</f>
        <v/>
      </c>
      <c r="G27" s="11">
        <f>IF(C27="","",1)</f>
        <v/>
      </c>
      <c r="H27" s="11" t="n"/>
      <c r="I27" s="13">
        <f>IF($C27="","",N($B27)*N($F27)*N($G27))</f>
        <v/>
      </c>
      <c r="K27" s="10">
        <f>IFERROR(VLOOKUP(C27,Artikel!$A$2:$C$16,3,FALSE),"")</f>
        <v/>
      </c>
    </row>
    <row r="28">
      <c r="A28" s="7">
        <f>IF(C28="","",COUNTA($C$22:C28))</f>
        <v/>
      </c>
      <c r="B28" s="7" t="n"/>
      <c r="C28" s="8" t="n"/>
      <c r="D28" s="7">
        <f>IFERROR(VLOOKUP(C28,Artikel!$A$2:$C$16,2,FALSE),"")</f>
        <v/>
      </c>
      <c r="E28" s="7" t="n"/>
      <c r="F28" s="9">
        <f>IFERROR(VLOOKUP(C28,Artikel!$A$2:$C$16,3,FALSE),"")</f>
        <v/>
      </c>
      <c r="G28" s="7">
        <f>IF(C28="","",1)</f>
        <v/>
      </c>
      <c r="H28" s="7" t="n"/>
      <c r="I28" s="9">
        <f>IF($C28="","",N($B28)*N($F28)*N($G28))</f>
        <v/>
      </c>
      <c r="K28" s="10">
        <f>IFERROR(VLOOKUP(C28,Artikel!$A$2:$C$16,3,FALSE),"")</f>
        <v/>
      </c>
    </row>
    <row r="29">
      <c r="A29" s="11">
        <f>IF(C29="","",COUNTA($C$22:C29))</f>
        <v/>
      </c>
      <c r="B29" s="11" t="n"/>
      <c r="C29" s="12" t="n"/>
      <c r="D29" s="11">
        <f>IFERROR(VLOOKUP(C29,Artikel!$A$2:$C$16,2,FALSE),"")</f>
        <v/>
      </c>
      <c r="E29" s="11" t="n"/>
      <c r="F29" s="13">
        <f>IFERROR(VLOOKUP(C29,Artikel!$A$2:$C$16,3,FALSE),"")</f>
        <v/>
      </c>
      <c r="G29" s="11">
        <f>IF(C29="","",1)</f>
        <v/>
      </c>
      <c r="H29" s="11" t="n"/>
      <c r="I29" s="13">
        <f>IF($C29="","",N($B29)*N($F29)*N($G29))</f>
        <v/>
      </c>
      <c r="K29" s="10">
        <f>IFERROR(VLOOKUP(C29,Artikel!$A$2:$C$16,3,FALSE),"")</f>
        <v/>
      </c>
    </row>
    <row r="30">
      <c r="A30" s="7">
        <f>IF(C30="","",COUNTA($C$22:C30))</f>
        <v/>
      </c>
      <c r="B30" s="7" t="n"/>
      <c r="C30" s="8" t="n"/>
      <c r="D30" s="7">
        <f>IFERROR(VLOOKUP(C30,Artikel!$A$2:$C$16,2,FALSE),"")</f>
        <v/>
      </c>
      <c r="E30" s="7" t="n"/>
      <c r="F30" s="9">
        <f>IFERROR(VLOOKUP(C30,Artikel!$A$2:$C$16,3,FALSE),"")</f>
        <v/>
      </c>
      <c r="G30" s="7">
        <f>IF(C30="","",1)</f>
        <v/>
      </c>
      <c r="H30" s="7" t="n"/>
      <c r="I30" s="9">
        <f>IF($C30="","",N($B30)*N($F30)*N($G30))</f>
        <v/>
      </c>
      <c r="K30" s="10">
        <f>IFERROR(VLOOKUP(C30,Artikel!$A$2:$C$16,3,FALSE),"")</f>
        <v/>
      </c>
    </row>
    <row r="31">
      <c r="A31" s="11">
        <f>IF(C31="","",COUNTA($C$22:C31))</f>
        <v/>
      </c>
      <c r="B31" s="11" t="n"/>
      <c r="C31" s="12" t="n"/>
      <c r="D31" s="11">
        <f>IFERROR(VLOOKUP(C31,Artikel!$A$2:$C$16,2,FALSE),"")</f>
        <v/>
      </c>
      <c r="E31" s="11" t="n"/>
      <c r="F31" s="13">
        <f>IFERROR(VLOOKUP(C31,Artikel!$A$2:$C$16,3,FALSE),"")</f>
        <v/>
      </c>
      <c r="G31" s="11">
        <f>IF(C31="","",1)</f>
        <v/>
      </c>
      <c r="H31" s="11" t="n"/>
      <c r="I31" s="13">
        <f>IF($C31="","",N($B31)*N($F31)*N($G31))</f>
        <v/>
      </c>
      <c r="K31" s="10">
        <f>IFERROR(VLOOKUP(C31,Artikel!$A$2:$C$16,3,FALSE),"")</f>
        <v/>
      </c>
    </row>
    <row r="32">
      <c r="A32" s="7">
        <f>IF(C32="","",COUNTA($C$22:C32))</f>
        <v/>
      </c>
      <c r="B32" s="7" t="n"/>
      <c r="C32" s="8" t="n"/>
      <c r="D32" s="7">
        <f>IFERROR(VLOOKUP(C32,Artikel!$A$2:$C$16,2,FALSE),"")</f>
        <v/>
      </c>
      <c r="E32" s="7" t="n"/>
      <c r="F32" s="9">
        <f>IFERROR(VLOOKUP(C32,Artikel!$A$2:$C$16,3,FALSE),"")</f>
        <v/>
      </c>
      <c r="G32" s="7">
        <f>IF(C32="","",1)</f>
        <v/>
      </c>
      <c r="H32" s="7" t="n"/>
      <c r="I32" s="9">
        <f>IF($C32="","",N($B32)*N($F32)*N($G32))</f>
        <v/>
      </c>
      <c r="K32" s="10">
        <f>IFERROR(VLOOKUP(C32,Artikel!$A$2:$C$16,3,FALSE),"")</f>
        <v/>
      </c>
    </row>
    <row r="33" ht="25.5" customHeight="1" s="28">
      <c r="A33" s="11">
        <f>IF(C33="","",COUNTA($C$22:C33))</f>
        <v/>
      </c>
      <c r="B33" s="11" t="n"/>
      <c r="C33" s="43" t="n"/>
      <c r="D33" s="11">
        <f>IFERROR(VLOOKUP(C33,Artikel!$A$2:$C$16,2,FALSE),"")</f>
        <v/>
      </c>
      <c r="E33" s="11" t="n"/>
      <c r="F33" s="13">
        <f>IFERROR(VLOOKUP(C33,Artikel!$A$2:$C$16,3,FALSE),"")</f>
        <v/>
      </c>
      <c r="G33" s="11">
        <f>IF(C33="","",1)</f>
        <v/>
      </c>
      <c r="H33" s="11" t="n"/>
      <c r="I33" s="13">
        <f>IF($C33="","",N($B33)*N($F33)*N($G33))</f>
        <v/>
      </c>
      <c r="K33" s="10">
        <f>IFERROR(VLOOKUP(C33,Artikel!$A$2:$C$16,3,FALSE),"")</f>
        <v/>
      </c>
    </row>
    <row r="34">
      <c r="A34" s="7">
        <f>IF(C34="","",COUNTA($C$22:C34))</f>
        <v/>
      </c>
      <c r="B34" s="7" t="n"/>
      <c r="C34" s="8" t="n"/>
      <c r="D34" s="7">
        <f>IFERROR(VLOOKUP(C34,Artikel!$A$2:$C$16,2,FALSE),"")</f>
        <v/>
      </c>
      <c r="E34" s="7" t="n"/>
      <c r="F34" s="9">
        <f>IFERROR(VLOOKUP(C34,Artikel!$A$2:$C$16,3,FALSE),"")</f>
        <v/>
      </c>
      <c r="G34" s="7">
        <f>IF(C34="","",1)</f>
        <v/>
      </c>
      <c r="H34" s="7" t="n"/>
      <c r="I34" s="9">
        <f>IF($C34="","",N($B34)*N($F34)*N($G34))</f>
        <v/>
      </c>
      <c r="K34" s="10">
        <f>IFERROR(VLOOKUP(C34,Artikel!$A$2:$C$16,3,FALSE),"")</f>
        <v/>
      </c>
    </row>
    <row r="35">
      <c r="A35" s="11">
        <f>IF(C35="","",COUNTA($C$22:C35))</f>
        <v/>
      </c>
      <c r="B35" s="11" t="n"/>
      <c r="C35" s="12" t="n"/>
      <c r="D35" s="11">
        <f>IFERROR(VLOOKUP(C35,Artikel!$A$2:$C$16,2,FALSE),"")</f>
        <v/>
      </c>
      <c r="E35" s="11" t="n"/>
      <c r="F35" s="13">
        <f>IFERROR(VLOOKUP(C35,Artikel!$A$2:$C$16,3,FALSE),"")</f>
        <v/>
      </c>
      <c r="G35" s="11">
        <f>IF(C35="","",1)</f>
        <v/>
      </c>
      <c r="H35" s="11" t="n"/>
      <c r="I35" s="13">
        <f>IF($C35="","",N($B35)*N($F35)*N($G35))</f>
        <v/>
      </c>
      <c r="K35" s="10">
        <f>IFERROR(VLOOKUP(C35,Artikel!$A$2:$C$16,3,FALSE),"")</f>
        <v/>
      </c>
    </row>
    <row r="36">
      <c r="A36" s="7">
        <f>IF(C36="","",COUNTA($C$22:C36))</f>
        <v/>
      </c>
      <c r="B36" s="7" t="n"/>
      <c r="C36" s="8" t="n"/>
      <c r="D36" s="7">
        <f>IFERROR(VLOOKUP(C36,Artikel!$A$2:$C$16,2,FALSE),"")</f>
        <v/>
      </c>
      <c r="E36" s="7" t="n"/>
      <c r="F36" s="9">
        <f>IFERROR(VLOOKUP(C36,Artikel!$A$2:$C$16,3,FALSE),"")</f>
        <v/>
      </c>
      <c r="G36" s="7">
        <f>IF(C36="","",1)</f>
        <v/>
      </c>
      <c r="H36" s="7" t="n"/>
      <c r="I36" s="9">
        <f>IF($C36="","",N($B36)*N($F36)*N($G36))</f>
        <v/>
      </c>
      <c r="K36" s="10">
        <f>IFERROR(VLOOKUP(C36,Artikel!$A$2:$C$16,3,FALSE),"")</f>
        <v/>
      </c>
    </row>
    <row r="37">
      <c r="A37" s="11">
        <f>IF(C37="","",COUNTA($C$22:C37))</f>
        <v/>
      </c>
      <c r="B37" s="11" t="n"/>
      <c r="C37" s="12" t="n"/>
      <c r="D37" s="11">
        <f>IFERROR(VLOOKUP(C37,Artikel!$A$2:$C$16,2,FALSE),"")</f>
        <v/>
      </c>
      <c r="E37" s="11" t="n"/>
      <c r="F37" s="13">
        <f>IFERROR(VLOOKUP(C37,Artikel!$A$2:$C$16,3,FALSE),"")</f>
        <v/>
      </c>
      <c r="G37" s="11">
        <f>IF(C37="","",1)</f>
        <v/>
      </c>
      <c r="H37" s="11" t="n"/>
      <c r="I37" s="13">
        <f>IF($C37="","",N($B37)*N($F37)*N($G37))</f>
        <v/>
      </c>
      <c r="K37" s="10">
        <f>IFERROR(VLOOKUP(C37,Artikel!$A$2:$C$16,3,FALSE),"")</f>
        <v/>
      </c>
    </row>
    <row r="38">
      <c r="A38" s="7">
        <f>IF(C38="","",COUNTA($C$22:C38))</f>
        <v/>
      </c>
      <c r="B38" s="7" t="n"/>
      <c r="C38" s="8" t="n"/>
      <c r="D38" s="7">
        <f>IFERROR(VLOOKUP(C38,Artikel!$A$2:$C$16,2,FALSE),"")</f>
        <v/>
      </c>
      <c r="E38" s="7" t="n"/>
      <c r="F38" s="9">
        <f>IFERROR(VLOOKUP(C38,Artikel!$A$2:$C$16,3,FALSE),"")</f>
        <v/>
      </c>
      <c r="G38" s="7">
        <f>IF(C38="","",1)</f>
        <v/>
      </c>
      <c r="H38" s="7" t="n"/>
      <c r="I38" s="9">
        <f>IF($C38="","",N($B38)*N($F38)*N($G38))</f>
        <v/>
      </c>
      <c r="K38" s="10">
        <f>IFERROR(VLOOKUP(C38,Artikel!$A$2:$C$16,3,FALSE),"")</f>
        <v/>
      </c>
    </row>
    <row r="39">
      <c r="A39" s="11">
        <f>IF(C39="","",COUNTA($C$22:C39))</f>
        <v/>
      </c>
      <c r="B39" s="11" t="n"/>
      <c r="C39" s="12" t="n"/>
      <c r="D39" s="11">
        <f>IFERROR(VLOOKUP(C39,Artikel!$A$2:$C$16,2,FALSE),"")</f>
        <v/>
      </c>
      <c r="E39" s="11" t="n"/>
      <c r="F39" s="13">
        <f>IFERROR(VLOOKUP(C39,Artikel!$A$2:$C$16,3,FALSE),"")</f>
        <v/>
      </c>
      <c r="G39" s="11">
        <f>IF(C39="","",1)</f>
        <v/>
      </c>
      <c r="H39" s="11" t="n"/>
      <c r="I39" s="13">
        <f>IF($C39="","",N($B39)*N($F39)*N($G39))</f>
        <v/>
      </c>
      <c r="K39" s="10">
        <f>IFERROR(VLOOKUP(C39,Artikel!$A$2:$C$16,3,FALSE),"")</f>
        <v/>
      </c>
    </row>
    <row r="40">
      <c r="A40" s="7">
        <f>IF(C40="","",COUNTA($C$22:C40))</f>
        <v/>
      </c>
      <c r="B40" s="7" t="n"/>
      <c r="C40" s="8" t="n"/>
      <c r="D40" s="7">
        <f>IFERROR(VLOOKUP(C40,Artikel!$A$2:$C$16,2,FALSE),"")</f>
        <v/>
      </c>
      <c r="E40" s="7" t="n"/>
      <c r="F40" s="9">
        <f>IFERROR(VLOOKUP(C40,Artikel!$A$2:$C$16,3,FALSE),"")</f>
        <v/>
      </c>
      <c r="G40" s="7">
        <f>IF(C40="","",1)</f>
        <v/>
      </c>
      <c r="H40" s="7" t="n"/>
      <c r="I40" s="9">
        <f>IF($C40="","",N($B40)*N($F40)*N($G40))</f>
        <v/>
      </c>
      <c r="K40" s="10">
        <f>IFERROR(VLOOKUP(C40,Artikel!$A$2:$C$16,3,FALSE),"")</f>
        <v/>
      </c>
    </row>
    <row r="41">
      <c r="A41" s="37" t="inlineStr">
        <is>
          <t>Zwischentotal (GESAMT)</t>
        </is>
      </c>
      <c r="I41" s="14">
        <f>SUM(I22:I40)</f>
        <v/>
      </c>
    </row>
    <row r="42">
      <c r="A42" s="36">
        <f>"Rabatt  "&amp;TEXT(Stammdaten!$B$17,"0.0%")</f>
        <v/>
      </c>
      <c r="I42" s="15">
        <f>-ROUND(I41*Stammdaten!$B$17,2)</f>
        <v/>
      </c>
    </row>
    <row r="43">
      <c r="A43" s="37" t="inlineStr">
        <is>
          <t>Total exkl. MwSt.</t>
        </is>
      </c>
      <c r="I43" s="14">
        <f>I41+I42</f>
        <v/>
      </c>
    </row>
    <row r="44">
      <c r="A44" s="36" t="inlineStr">
        <is>
          <t>MwSt. 8.1%</t>
        </is>
      </c>
      <c r="I44" s="15">
        <f>I43*0.081</f>
        <v/>
      </c>
    </row>
    <row r="45" ht="21.95" customHeight="1" s="28">
      <c r="A45" s="29" t="inlineStr">
        <is>
          <t>Endbetrag (CHF)</t>
        </is>
      </c>
      <c r="B45" s="45" t="n"/>
      <c r="C45" s="45" t="n"/>
      <c r="D45" s="45" t="n"/>
      <c r="E45" s="45" t="n"/>
      <c r="F45" s="45" t="n"/>
      <c r="G45" s="45" t="n"/>
      <c r="H45" s="30" t="n"/>
      <c r="I45" s="16">
        <f>I43+I44</f>
        <v/>
      </c>
    </row>
    <row r="47">
      <c r="A47" s="40" t="n"/>
    </row>
    <row r="48"/>
    <row r="49"/>
    <row r="51">
      <c r="A51" s="31">
        <f>Stammdaten!$B$23</f>
        <v/>
      </c>
    </row>
    <row r="52">
      <c r="A52" s="33">
        <f>Stammdaten!$B$12</f>
        <v/>
      </c>
    </row>
    <row r="54">
      <c r="A54" s="46">
        <f>Stammdaten!$B$2&amp;" · "&amp;Stammdaten!$B$3&amp;" · "&amp;Stammdaten!$B$4&amp;" · "&amp;Stammdaten!$B$5&amp;" · "&amp;Stammdaten!$B$7&amp;"   |   "&amp;Stammdaten!$B$8</f>
        <v/>
      </c>
      <c r="B54" s="26" t="n"/>
      <c r="C54" s="26" t="n"/>
      <c r="D54" s="26" t="n"/>
      <c r="E54" s="26" t="n"/>
      <c r="F54" s="26" t="n"/>
      <c r="G54" s="26" t="n"/>
      <c r="H54" s="26" t="n"/>
      <c r="I54" s="26" t="n"/>
    </row>
  </sheetData>
  <mergeCells count="26">
    <mergeCell ref="A54:I54"/>
    <mergeCell ref="A4:D4"/>
    <mergeCell ref="G3:I3"/>
    <mergeCell ref="A43:G43"/>
    <mergeCell ref="A44:G44"/>
    <mergeCell ref="A8:C8"/>
    <mergeCell ref="A14:I14"/>
    <mergeCell ref="G4:I4"/>
    <mergeCell ref="G1:I1"/>
    <mergeCell ref="A45:G45"/>
    <mergeCell ref="A47:I49"/>
    <mergeCell ref="A52:I52"/>
    <mergeCell ref="A1:D1"/>
    <mergeCell ref="A10:C10"/>
    <mergeCell ref="A19:I19"/>
    <mergeCell ref="A9:C9"/>
    <mergeCell ref="A41:G41"/>
    <mergeCell ref="G2:I2"/>
    <mergeCell ref="A15:I17"/>
    <mergeCell ref="A11:C11"/>
    <mergeCell ref="A51:I51"/>
    <mergeCell ref="A3:D3"/>
    <mergeCell ref="A2:D2"/>
    <mergeCell ref="A7:C7"/>
    <mergeCell ref="G7:I7"/>
    <mergeCell ref="A42:G42"/>
  </mergeCells>
  <dataValidations count="1">
    <dataValidation sqref="C22:C40" showDropDown="0" showInputMessage="1" showErrorMessage="1" allowBlank="1" errorTitle="Beschreibung" error="Bitte aus der Artikelliste wählen oder eigenen Text eintippen." promptTitle="Beschreibung" prompt="Artikel wählen (oder frei eingeben)" type="list" errorStyle="warning">
      <formula1>Artikel!$A$2:$A$16</formula1>
    </dataValidation>
  </dataValidations>
  <printOptions horizontalCentered="1"/>
  <pageMargins left="0.5" right="0.5" top="0.6" bottom="0.5" header="0.5" footer="0.5"/>
  <pageSetup orientation="portrait" paperSize="9" fitToHeight="0"/>
</worksheet>
</file>

<file path=xl/worksheets/sheet2.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10" defaultColWidth="9.140625" defaultRowHeight="15"/>
  <cols>
    <col width="22" customWidth="1" style="28" min="1" max="1"/>
    <col width="95" customWidth="1" style="28" min="2" max="2"/>
  </cols>
  <sheetData>
    <row r="1">
      <c r="A1" s="17" t="inlineStr">
        <is>
          <t>FIRMA (Absender)</t>
        </is>
      </c>
      <c r="B1" s="18" t="n"/>
    </row>
    <row r="2">
      <c r="A2" s="17" t="inlineStr">
        <is>
          <t>Firmenname</t>
        </is>
      </c>
      <c r="B2" s="18" t="inlineStr">
        <is>
          <t>Mobil in Time AG</t>
        </is>
      </c>
    </row>
    <row r="3">
      <c r="A3" s="17" t="inlineStr">
        <is>
          <t>Strasse</t>
        </is>
      </c>
      <c r="B3" s="18" t="inlineStr">
        <is>
          <t>Mattenstrasse 3</t>
        </is>
      </c>
    </row>
    <row r="4">
      <c r="A4" s="17" t="inlineStr">
        <is>
          <t>PLZ / Ort</t>
        </is>
      </c>
      <c r="B4" s="18" t="inlineStr">
        <is>
          <t>8253 Diessenhofen</t>
        </is>
      </c>
    </row>
    <row r="5">
      <c r="A5" s="17" t="inlineStr">
        <is>
          <t>Telefon</t>
        </is>
      </c>
      <c r="B5" s="18" t="inlineStr">
        <is>
          <t>+41 44 806 13 00</t>
        </is>
      </c>
    </row>
    <row r="6">
      <c r="A6" s="17" t="inlineStr">
        <is>
          <t>E-Mail</t>
        </is>
      </c>
      <c r="B6" s="18" t="inlineStr">
        <is>
          <t>info@mobilintime.com</t>
        </is>
      </c>
    </row>
    <row r="7">
      <c r="A7" s="17" t="inlineStr">
        <is>
          <t>Web</t>
        </is>
      </c>
      <c r="B7" s="18" t="inlineStr">
        <is>
          <t>www.mobilintime.com</t>
        </is>
      </c>
    </row>
    <row r="8">
      <c r="A8" s="17" t="inlineStr">
        <is>
          <t>Zusatz</t>
        </is>
      </c>
      <c r="B8" s="18" t="inlineStr">
        <is>
          <t>Ein Unternehmen der Mobil in Time Gruppe</t>
        </is>
      </c>
    </row>
    <row r="9">
      <c r="A9" s="17" t="inlineStr">
        <is>
          <t>AGB-Hinweis (URL)</t>
        </is>
      </c>
      <c r="B9" s="18" t="inlineStr">
        <is>
          <t>www.mobilintime.com</t>
        </is>
      </c>
    </row>
    <row r="10">
      <c r="A10" s="17" t="n"/>
      <c r="B10" s="18" t="n"/>
    </row>
    <row r="11">
      <c r="A11" s="42" t="inlineStr">
        <is>
          <t>SACHBEARBEITER</t>
        </is>
      </c>
    </row>
    <row r="12">
      <c r="A12" s="17" t="inlineStr">
        <is>
          <t>Name</t>
        </is>
      </c>
      <c r="B12" s="18" t="inlineStr">
        <is>
          <t>Burak Ücöz</t>
        </is>
      </c>
    </row>
    <row r="13">
      <c r="A13" s="17" t="inlineStr">
        <is>
          <t>Telefon</t>
        </is>
      </c>
      <c r="B13" s="18" t="inlineStr">
        <is>
          <t>+41 76 202 01 70</t>
        </is>
      </c>
    </row>
    <row r="14">
      <c r="A14" s="17" t="inlineStr">
        <is>
          <t>E-Mail</t>
        </is>
      </c>
      <c r="B14" s="18" t="inlineStr">
        <is>
          <t>uecoez@mobilintime.com</t>
        </is>
      </c>
    </row>
    <row r="15">
      <c r="A15" s="17" t="n"/>
      <c r="B15" s="18" t="n"/>
    </row>
    <row r="16">
      <c r="A16" s="42" t="inlineStr">
        <is>
          <t>STANDARDWERTE</t>
        </is>
      </c>
    </row>
    <row r="17">
      <c r="A17" s="17" t="inlineStr">
        <is>
          <t>Rabatt (%)</t>
        </is>
      </c>
      <c r="B17" s="47" t="n">
        <v>0.1</v>
      </c>
    </row>
    <row r="18">
      <c r="A18" s="17" t="inlineStr">
        <is>
          <t>MwSt (%)</t>
        </is>
      </c>
      <c r="B18" s="47" t="n">
        <v>0</v>
      </c>
    </row>
    <row r="19">
      <c r="A19" s="17" t="inlineStr">
        <is>
          <t>Währung</t>
        </is>
      </c>
      <c r="B19" s="18" t="inlineStr">
        <is>
          <t>CHF</t>
        </is>
      </c>
    </row>
    <row r="20">
      <c r="A20" s="17" t="n"/>
      <c r="B20" s="18" t="n"/>
    </row>
    <row r="21">
      <c r="A21" s="42" t="inlineStr">
        <is>
          <t>TEXTBAUSTEINE</t>
        </is>
      </c>
    </row>
    <row r="22" ht="45" customHeight="1" s="28">
      <c r="A22" s="17" t="inlineStr">
        <is>
          <t>Einleitung</t>
        </is>
      </c>
      <c r="B22" s="18" t="inlineStr">
        <is>
          <t>Wir bedanken uns für Ihr Interesse an einer Zusammenarbeit mit uns. Aufgrund der von Ihnen gemachten Angaben und gemäss unseren Allgemeinen Geschäftsbedingungen, einsehbar auf {AGB}, bieten wir Ihnen folgende Leistungen freibleibend an.</t>
        </is>
      </c>
    </row>
    <row r="23">
      <c r="A23" s="17" t="inlineStr">
        <is>
          <t>Grussformel</t>
        </is>
      </c>
      <c r="B23" s="18" t="inlineStr">
        <is>
          <t>Mit freundlichen Grüssen</t>
        </is>
      </c>
    </row>
    <row r="24" ht="60" customHeight="1" s="28">
      <c r="A24" s="17" t="inlineStr">
        <is>
          <t>Anmerkung</t>
        </is>
      </c>
      <c r="B24" s="18" t="inlineStr">
        <is>
          <t>Dieses Budgetangebot ist für beide Parteien unverbindlich. Alle Anmietungen erfolgen vorbehaltlich der Verfügbarkeit bei Aufgabe der Bestellung und zu den Preisen, die im offiziellen Angebot aufgeführt sind, sobald die zusätzlichen Detailinformationen vorliegen, die sich auf Ihr Equipment und Ihren Servicebedarf beziehen.</t>
        </is>
      </c>
    </row>
  </sheetData>
  <mergeCells count="3">
    <mergeCell ref="A16:B16"/>
    <mergeCell ref="A21:B21"/>
    <mergeCell ref="A11:B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workbookViewId="0">
      <pane ySplit="1" topLeftCell="A2" activePane="bottomLeft" state="frozen"/>
      <selection pane="bottomLeft" activeCell="C16" sqref="C16"/>
    </sheetView>
  </sheetViews>
  <sheetFormatPr baseColWidth="10" defaultColWidth="9.140625" defaultRowHeight="15"/>
  <cols>
    <col width="52" customWidth="1" style="28" min="1" max="1"/>
    <col width="10" customWidth="1" style="28" min="2" max="2"/>
    <col width="18" customWidth="1" style="28" min="3" max="3"/>
  </cols>
  <sheetData>
    <row r="1">
      <c r="A1" s="20" t="inlineStr">
        <is>
          <t>Beschreibung</t>
        </is>
      </c>
      <c r="B1" s="20" t="inlineStr">
        <is>
          <t>Einheit</t>
        </is>
      </c>
      <c r="C1" s="20" t="inlineStr">
        <is>
          <t>Einzelpreis/Woche (CHF)</t>
        </is>
      </c>
    </row>
    <row r="2">
      <c r="A2" s="21" t="inlineStr">
        <is>
          <t>6MVA Trafo 16,5kV YNyn0</t>
        </is>
      </c>
      <c r="B2" s="22" t="inlineStr">
        <is>
          <t>Stk</t>
        </is>
      </c>
      <c r="C2" s="23" t="n">
        <v>5409.82</v>
      </c>
    </row>
    <row r="3">
      <c r="A3" s="21" t="inlineStr">
        <is>
          <t>3MVA Trafo 16,5kV YNyn0</t>
        </is>
      </c>
      <c r="B3" s="22" t="inlineStr">
        <is>
          <t>Stk</t>
        </is>
      </c>
      <c r="C3" s="23" t="n">
        <v>1588.15</v>
      </c>
    </row>
    <row r="4">
      <c r="A4" s="21" t="inlineStr">
        <is>
          <t>1MVA Trafo 16,5kV YNyn0</t>
        </is>
      </c>
      <c r="B4" s="22" t="inlineStr">
        <is>
          <t>Stk</t>
        </is>
      </c>
      <c r="C4" s="23" t="n">
        <v>850</v>
      </c>
    </row>
    <row r="5">
      <c r="A5" s="21" t="inlineStr">
        <is>
          <t>Load Bank 6000 kVA Resistive and Reactive : 400V 3-ph @ 50 Hz</t>
        </is>
      </c>
      <c r="B5" s="22" t="inlineStr">
        <is>
          <t>Stk</t>
        </is>
      </c>
      <c r="C5" s="23" t="n">
        <v>4960.73</v>
      </c>
    </row>
    <row r="6">
      <c r="A6" s="21" t="inlineStr">
        <is>
          <t>Load Bank 3300 kVA Resistive and Reactive : 400V 3-ph @ 50 Hz</t>
        </is>
      </c>
      <c r="B6" s="22" t="inlineStr">
        <is>
          <t>Stk</t>
        </is>
      </c>
      <c r="C6" s="23" t="n">
        <v>3087.82</v>
      </c>
    </row>
    <row r="7">
      <c r="A7" s="21" t="inlineStr">
        <is>
          <t>25 Meter x Kabel 32A</t>
        </is>
      </c>
      <c r="B7" s="22" t="inlineStr">
        <is>
          <t>Stk</t>
        </is>
      </c>
      <c r="C7" s="23" t="n">
        <v>6.85</v>
      </c>
    </row>
    <row r="8">
      <c r="A8" s="21" t="inlineStr">
        <is>
          <t>25 Meter x Kabel 63A</t>
        </is>
      </c>
      <c r="B8" s="22" t="inlineStr">
        <is>
          <t>Stk</t>
        </is>
      </c>
      <c r="C8" s="23" t="n">
        <v>9.460000000000001</v>
      </c>
    </row>
    <row r="9">
      <c r="A9" s="21" t="inlineStr">
        <is>
          <t>25 Meter x Kabel 125A</t>
        </is>
      </c>
      <c r="B9" s="22" t="inlineStr">
        <is>
          <t>Stk</t>
        </is>
      </c>
      <c r="C9" s="23" t="n">
        <v>12.57</v>
      </c>
    </row>
    <row r="10">
      <c r="A10" s="21" t="inlineStr">
        <is>
          <t>10 Meter x Einzeladerkabel 240mm² (Set A)</t>
        </is>
      </c>
      <c r="B10" s="22" t="inlineStr">
        <is>
          <t>Stk</t>
        </is>
      </c>
      <c r="C10" s="23" t="n">
        <v>4.483651</v>
      </c>
    </row>
    <row r="11">
      <c r="A11" s="21" t="inlineStr">
        <is>
          <t>10 Meter x Einzeladerkabel 240mm² (Set B)</t>
        </is>
      </c>
      <c r="B11" s="22" t="inlineStr">
        <is>
          <t>Stk</t>
        </is>
      </c>
      <c r="C11" s="23" t="n">
        <v>4.483438</v>
      </c>
    </row>
    <row r="12">
      <c r="A12" s="21" t="inlineStr">
        <is>
          <t>10 Meter x Einzeladerkabel 240mm²</t>
        </is>
      </c>
      <c r="B12" s="22" t="inlineStr">
        <is>
          <t>Stk</t>
        </is>
      </c>
      <c r="C12" s="23" t="n">
        <v>4.48</v>
      </c>
    </row>
    <row r="13">
      <c r="A13" s="21" t="inlineStr">
        <is>
          <t>Umweltschutzpauschale</t>
        </is>
      </c>
      <c r="B13" s="22" t="inlineStr">
        <is>
          <t>Psch</t>
        </is>
      </c>
      <c r="C13" s="23" t="n">
        <v>1085.57</v>
      </c>
    </row>
    <row r="14">
      <c r="A14" s="21" t="inlineStr">
        <is>
          <t>Befreiung von der Versicherungspflicht</t>
        </is>
      </c>
      <c r="B14" s="22" t="inlineStr">
        <is>
          <t>Psch</t>
        </is>
      </c>
      <c r="C14" s="23" t="n">
        <v>1860.98</v>
      </c>
    </row>
    <row r="15">
      <c r="A15" s="21" t="inlineStr">
        <is>
          <t>Lieferung / Abholung (pauschal)</t>
        </is>
      </c>
      <c r="B15" s="22" t="inlineStr">
        <is>
          <t>Psch</t>
        </is>
      </c>
      <c r="C15" s="23" t="n">
        <v>450</v>
      </c>
    </row>
    <row r="16">
      <c r="A16" s="21" t="inlineStr">
        <is>
          <t>Montage / Inbetriebnahme (pro Std.)</t>
        </is>
      </c>
      <c r="B16" s="22" t="inlineStr">
        <is>
          <t>Std</t>
        </is>
      </c>
      <c r="C16" s="23" t="n">
        <v>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2026-06-18T09:17:20Z</dcterms:created>
  <dcterms:modified xsi:type="dcterms:W3CDTF">2026-07-10T06:38:13Z</dcterms:modified>
  <cp:lastModifiedBy>Burak Ücöz</cp:lastModifiedBy>
</cp:coreProperties>
</file>