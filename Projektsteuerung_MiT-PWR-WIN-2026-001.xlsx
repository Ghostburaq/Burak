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tables/table3.xml" ContentType="application/vnd.openxmlformats-officedocument.spreadsheetml.table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tables/table7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Terminplan" sheetId="2" state="visible" r:id="rId2"/>
    <sheet name="Meilensteine" sheetId="3" state="visible" r:id="rId3"/>
    <sheet name="Aufgaben" sheetId="4" state="visible" r:id="rId4"/>
    <sheet name="Personal &amp; Zutritt" sheetId="5" state="visible" r:id="rId5"/>
    <sheet name="Offene Punkte &amp; Risiken" sheetId="6" state="visible" r:id="rId6"/>
    <sheet name="Dokumente" sheetId="7" state="visible" r:id="rId7"/>
    <sheet name="Kontakte" sheetId="8" state="visible" r:id="rId8"/>
    <sheet name="Aenderungslog" sheetId="9" state="visible" r:id="rId9"/>
  </sheets>
  <definedNames>
    <definedName name="_xlnm.Print_Area" localSheetId="0">'Dashboard'!$A$1:$H$30</definedName>
    <definedName name="_xlnm._FilterDatabase" localSheetId="1" hidden="1">'Terminplan'!$A$1:$D$8</definedName>
    <definedName name="_xlnm.Print_Titles" localSheetId="1">'Terminplan'!$1:$1</definedName>
    <definedName name="_xlnm.Print_Titles" localSheetId="2">'Meilensteine'!$1:$1</definedName>
    <definedName name="_xlnm.Print_Titles" localSheetId="3">'Aufgaben'!$1:$1</definedName>
    <definedName name="_xlnm.Print_Titles" localSheetId="4">'Personal &amp; Zutritt'!$1:$1</definedName>
    <definedName name="_xlnm.Print_Titles" localSheetId="5">'Offene Punkte &amp; Risiken'!$1:$1</definedName>
    <definedName name="_xlnm.Print_Titles" localSheetId="6">'Dokumente'!$1:$1</definedName>
    <definedName name="_xlnm.Print_Titles" localSheetId="7">'Kontakte'!$1:$1</definedName>
    <definedName name="_xlnm.Print_Titles" localSheetId="8">'Aenderungslog'!$1:$1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0&quot; Tage&quot;;&quot;ueberfaellig&quot;;&quot;heute&quot;"/>
    <numFmt numFmtId="165" formatCode="DD.MM.YYYY"/>
    <numFmt numFmtId="166" formatCode="yyyy-mm-dd h:mm:ss"/>
    <numFmt numFmtId="167" formatCode="MMM"/>
    <numFmt numFmtId="168" formatCode="DD.MM.YYYY hh:mm"/>
  </numFmts>
  <fonts count="13">
    <font>
      <name val="Calibri"/>
      <family val="2"/>
      <color theme="1"/>
      <sz val="11"/>
      <scheme val="minor"/>
    </font>
    <font>
      <name val="Arial"/>
      <b val="1"/>
      <color rgb="001F3A5F"/>
      <sz val="16"/>
    </font>
    <font>
      <name val="Arial"/>
      <b val="1"/>
      <color rgb="00E8740C"/>
      <sz val="11"/>
    </font>
    <font>
      <name val="Arial"/>
      <b val="1"/>
      <color rgb="001F3A5F"/>
      <sz val="10"/>
    </font>
    <font>
      <name val="Arial"/>
      <color rgb="00000000"/>
      <sz val="10"/>
    </font>
    <font>
      <name val="Arial"/>
      <b val="1"/>
      <color rgb="00404040"/>
      <sz val="9"/>
    </font>
    <font>
      <name val="Arial"/>
      <b val="1"/>
      <color rgb="001F3A5F"/>
      <sz val="18"/>
    </font>
    <font>
      <name val="Arial"/>
      <b val="1"/>
      <color rgb="001F3A5F"/>
    </font>
    <font>
      <name val="Arial"/>
      <b val="1"/>
      <color rgb="001F3A5F"/>
      <sz val="12"/>
    </font>
    <font>
      <name val="Arial"/>
      <b val="1"/>
      <color rgb="00FFFFFF"/>
      <sz val="11"/>
    </font>
    <font>
      <name val="Arial"/>
      <b val="1"/>
      <color rgb="00E8740C"/>
    </font>
    <font>
      <name val="Arial"/>
      <b val="1"/>
      <color rgb="00FFFFFF"/>
      <sz val="10"/>
    </font>
    <font>
      <name val="Arial"/>
      <i val="1"/>
      <color rgb="00808080"/>
      <sz val="8"/>
    </font>
  </fonts>
  <fills count="7">
    <fill>
      <patternFill/>
    </fill>
    <fill>
      <patternFill patternType="gray125"/>
    </fill>
    <fill>
      <patternFill patternType="solid">
        <fgColor rgb="00F2F5F9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FFC7CE"/>
      </patternFill>
    </fill>
    <fill>
      <patternFill patternType="solid">
        <fgColor rgb="001F3A5F"/>
      </patternFill>
    </fill>
  </fills>
  <borders count="5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0" fontId="0" fillId="0" borderId="1" pivotButton="0" quotePrefix="0" xfId="0"/>
    <xf numFmtId="0" fontId="5" fillId="2" borderId="1" applyAlignment="1" pivotButton="0" quotePrefix="0" xfId="0">
      <alignment horizontal="left" vertical="center" wrapText="1"/>
    </xf>
    <xf numFmtId="0" fontId="6" fillId="2" borderId="1" applyAlignment="1" pivotButton="0" quotePrefix="0" xfId="0">
      <alignment horizontal="center" vertical="center" wrapText="1"/>
    </xf>
    <xf numFmtId="0" fontId="5" fillId="3" borderId="1" applyAlignment="1" pivotButton="0" quotePrefix="0" xfId="0">
      <alignment horizontal="left" vertical="center" wrapText="1"/>
    </xf>
    <xf numFmtId="0" fontId="6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left" vertical="center" wrapText="1"/>
    </xf>
    <xf numFmtId="0" fontId="6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6" fillId="5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horizontal="left" vertical="center" wrapText="1"/>
    </xf>
    <xf numFmtId="9" fontId="7" fillId="0" borderId="1" applyAlignment="1" pivotButton="0" quotePrefix="0" xfId="0">
      <alignment horizontal="center" vertical="center" wrapText="1"/>
    </xf>
    <xf numFmtId="0" fontId="8" fillId="0" borderId="1" applyAlignment="1" pivotButton="0" quotePrefix="0" xfId="0">
      <alignment horizontal="center" vertical="center" wrapText="1"/>
    </xf>
    <xf numFmtId="164" fontId="7" fillId="0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1" fillId="6" borderId="1" applyAlignment="1" pivotButton="0" quotePrefix="0" xfId="0">
      <alignment horizontal="center" vertical="center" wrapText="1"/>
    </xf>
    <xf numFmtId="0" fontId="0" fillId="0" borderId="4" pivotButton="0" quotePrefix="0" xfId="0"/>
    <xf numFmtId="165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12" fillId="0" borderId="0" pivotButton="0" quotePrefix="0" xfId="0"/>
    <xf numFmtId="167" fontId="11" fillId="6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168" fontId="4" fillId="0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11">
    <dxf>
      <fill>
        <patternFill patternType="solid">
          <fgColor rgb="009C0006"/>
        </patternFill>
      </fill>
    </dxf>
    <dxf>
      <fill>
        <patternFill patternType="solid">
          <fgColor rgb="00E8740C"/>
        </patternFill>
      </fill>
    </dxf>
    <dxf>
      <fill>
        <patternFill patternType="solid">
          <fgColor rgb="00006100"/>
        </patternFill>
      </fill>
    </dxf>
    <dxf>
      <font>
        <name val="Arial"/>
        <color rgb="00006100"/>
      </font>
      <fill>
        <patternFill patternType="solid">
          <fgColor rgb="00C6EFCE"/>
        </patternFill>
      </fill>
    </dxf>
    <dxf>
      <font>
        <name val="Arial"/>
        <color rgb="009C0006"/>
      </font>
      <fill>
        <patternFill patternType="solid">
          <fgColor rgb="00FFC7CE"/>
        </patternFill>
      </fill>
    </dxf>
    <dxf>
      <font>
        <name val="Arial"/>
        <color rgb="009C6500"/>
      </font>
      <fill>
        <patternFill patternType="solid">
          <fgColor rgb="00FFEB9C"/>
        </patternFill>
      </fill>
    </dxf>
    <dxf>
      <font>
        <name val="Arial"/>
        <color rgb="009C4A00"/>
      </font>
      <fill>
        <patternFill patternType="solid">
          <fgColor rgb="00FCE3C8"/>
        </patternFill>
      </fill>
    </dxf>
    <dxf>
      <font>
        <name val="Arial"/>
        <b val="1"/>
        <color rgb="00E8740C"/>
      </font>
    </dxf>
    <dxf>
      <font>
        <name val="Arial"/>
        <b val="1"/>
        <color rgb="009C0006"/>
      </font>
      <fill>
        <patternFill patternType="solid">
          <fgColor rgb="00FFC7CE"/>
        </patternFill>
      </fill>
    </dxf>
    <dxf>
      <font>
        <name val="Arial"/>
        <color rgb="00808080"/>
      </font>
      <fill>
        <patternFill patternType="solid">
          <fgColor rgb="00D9D9D9"/>
        </patternFill>
      </fill>
    </dxf>
    <dxf>
      <font>
        <name val="Arial"/>
        <b val="1"/>
        <color rgb="00006100"/>
      </font>
      <fill>
        <patternFill patternType="solid">
          <fgColor rgb="00C6EFCE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ables/table1.xml><?xml version="1.0" encoding="utf-8"?>
<table xmlns="http://schemas.openxmlformats.org/spreadsheetml/2006/main" id="1" name="Meilensteine" displayName="Meilensteine" ref="A1:G17" headerRowCount="1">
  <autoFilter ref="A1:G17"/>
  <tableColumns count="7">
    <tableColumn id="1" name="Nr."/>
    <tableColumn id="2" name="Meilenstein"/>
    <tableColumn id="3" name="Plantermin"/>
    <tableColumn id="4" name="Ist-Termin"/>
    <tableColumn id="5" name="Status"/>
    <tableColumn id="6" name="Verantwortlich"/>
    <tableColumn id="7" name="Bemerkung"/>
  </tableColumns>
  <tableStyleInfo name="TableStyleMedium2" showRowStripes="1"/>
</table>
</file>

<file path=xl/tables/table2.xml><?xml version="1.0" encoding="utf-8"?>
<table xmlns="http://schemas.openxmlformats.org/spreadsheetml/2006/main" id="2" name="Aufgaben" displayName="Aufgaben" ref="A1:I22" headerRowCount="1">
  <autoFilter ref="A1:I22"/>
  <tableColumns count="9">
    <tableColumn id="1" name="Nr."/>
    <tableColumn id="2" name="Aufgabe"/>
    <tableColumn id="3" name="Paket"/>
    <tableColumn id="4" name="Owner"/>
    <tableColumn id="5" name="Termin"/>
    <tableColumn id="6" name="Status"/>
    <tableColumn id="7" name="Prioritaet"/>
    <tableColumn id="8" name="Bemerkung"/>
    <tableColumn id="9" name="Erledigt am"/>
  </tableColumns>
  <tableStyleInfo name="TableStyleMedium2" showRowStripes="1"/>
</table>
</file>

<file path=xl/tables/table3.xml><?xml version="1.0" encoding="utf-8"?>
<table xmlns="http://schemas.openxmlformats.org/spreadsheetml/2006/main" id="3" name="Personal" displayName="Personal" ref="A1:I8" headerRowCount="1">
  <autoFilter ref="A1:I8"/>
  <tableColumns count="9">
    <tableColumn id="1" name="Nr."/>
    <tableColumn id="2" name="Name"/>
    <tableColumn id="3" name="Firma"/>
    <tableColumn id="4" name="Rolle"/>
    <tableColumn id="5" name="Entsendemeldung"/>
    <tableColumn id="6" name="WORKcontrol-Badge"/>
    <tableColumn id="7" name="Site Induction"/>
    <tableColumn id="8" name="Status"/>
    <tableColumn id="9" name="Bemerkung"/>
  </tableColumns>
  <tableStyleInfo name="TableStyleMedium2" showRowStripes="1"/>
</table>
</file>

<file path=xl/tables/table4.xml><?xml version="1.0" encoding="utf-8"?>
<table xmlns="http://schemas.openxmlformats.org/spreadsheetml/2006/main" id="4" name="Risiken" displayName="Risiken" ref="A1:H10" headerRowCount="1">
  <autoFilter ref="A1:H10"/>
  <tableColumns count="8">
    <tableColumn id="1" name="Nr."/>
    <tableColumn id="2" name="Typ"/>
    <tableColumn id="3" name="Beschreibung"/>
    <tableColumn id="4" name="Auswirkung"/>
    <tableColumn id="5" name="Owner"/>
    <tableColumn id="6" name="Termin"/>
    <tableColumn id="7" name="Status"/>
    <tableColumn id="8" name="Massnahme"/>
  </tableColumns>
  <tableStyleInfo name="TableStyleMedium2" showRowStripes="1"/>
</table>
</file>

<file path=xl/tables/table5.xml><?xml version="1.0" encoding="utf-8"?>
<table xmlns="http://schemas.openxmlformats.org/spreadsheetml/2006/main" id="5" name="Dokumente" displayName="Dokumente" ref="A1:F23" headerRowCount="1">
  <autoFilter ref="A1:F23"/>
  <tableColumns count="6">
    <tableColumn id="1" name="Nr."/>
    <tableColumn id="2" name="Dokument"/>
    <tableColumn id="3" name="Version/Datum"/>
    <tableColumn id="4" name="Quelle"/>
    <tableColumn id="5" name="Ablageort SharePoint"/>
    <tableColumn id="6" name="Status"/>
  </tableColumns>
  <tableStyleInfo name="TableStyleMedium2" showRowStripes="1"/>
</table>
</file>

<file path=xl/tables/table6.xml><?xml version="1.0" encoding="utf-8"?>
<table xmlns="http://schemas.openxmlformats.org/spreadsheetml/2006/main" id="6" name="Kontakte" displayName="Kontakte" ref="A1:H7" headerRowCount="1">
  <autoFilter ref="A1:H7"/>
  <tableColumns count="8">
    <tableColumn id="1" name="Nr."/>
    <tableColumn id="2" name="Funktion"/>
    <tableColumn id="3" name="Name"/>
    <tableColumn id="4" name="Firma"/>
    <tableColumn id="5" name="Telefon"/>
    <tableColumn id="6" name="E-Mail"/>
    <tableColumn id="7" name="Verfuegbarkeit"/>
    <tableColumn id="8" name="Bemerkung"/>
  </tableColumns>
  <tableStyleInfo name="TableStyleMedium2" showRowStripes="1"/>
</table>
</file>

<file path=xl/tables/table7.xml><?xml version="1.0" encoding="utf-8"?>
<table xmlns="http://schemas.openxmlformats.org/spreadsheetml/2006/main" id="7" name="Aenderungslog" displayName="Aenderungslog" ref="A1:C23" headerRowCount="1">
  <autoFilter ref="A1:C23"/>
  <tableColumns count="3">
    <tableColumn id="1" name="Datum"/>
    <tableColumn id="2" name="Wer"/>
    <tableColumn id="3" name="Was geaendert"/>
  </tableColumns>
  <tableStyleInfo name="TableStyleMedium2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B2:H29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30" customWidth="1" min="3" max="3"/>
    <col width="8" customWidth="1" min="4" max="4"/>
    <col width="30" customWidth="1" min="5" max="5"/>
    <col width="12" customWidth="1" min="6" max="6"/>
    <col width="16" customWidth="1" min="7" max="7"/>
    <col width="12" customWidth="1" min="8" max="8"/>
  </cols>
  <sheetData>
    <row r="2">
      <c r="B2" s="1" t="inlineStr">
        <is>
          <t>PROJEKTSTEUERUNG</t>
        </is>
      </c>
    </row>
    <row r="3">
      <c r="B3" s="2" t="inlineStr">
        <is>
          <t>MiT-PWR-WIN-2026-001  |  DPR Construction / Vantage Datacenter ZRH12</t>
        </is>
      </c>
    </row>
    <row r="4">
      <c r="E4" s="2" t="inlineStr">
        <is>
          <t>AUFGABEN-STATUS</t>
        </is>
      </c>
    </row>
    <row r="5">
      <c r="B5" s="3" t="inlineStr">
        <is>
          <t>Projekt-Nr.</t>
        </is>
      </c>
      <c r="C5" s="4" t="inlineStr">
        <is>
          <t>MiT-PWR-WIN-2026-001</t>
        </is>
      </c>
      <c r="D5" s="5" t="n"/>
      <c r="E5" s="6" t="inlineStr">
        <is>
          <t>Offen</t>
        </is>
      </c>
      <c r="F5" s="7">
        <f>COUNTIF(Aufgaben[Status],"offen")</f>
        <v/>
      </c>
    </row>
    <row r="6">
      <c r="B6" s="3" t="inlineStr">
        <is>
          <t>Kunde / Auftraggeber</t>
        </is>
      </c>
      <c r="C6" s="4" t="inlineStr">
        <is>
          <t>DPR Construction</t>
        </is>
      </c>
      <c r="D6" s="5" t="n"/>
      <c r="E6" s="8" t="inlineStr">
        <is>
          <t>In Arbeit</t>
        </is>
      </c>
      <c r="F6" s="9">
        <f>COUNTIF(Aufgaben[Status],"in Arbeit")</f>
        <v/>
      </c>
    </row>
    <row r="7">
      <c r="B7" s="3" t="inlineStr">
        <is>
          <t>Endkunde / Standort</t>
        </is>
      </c>
      <c r="C7" s="4" t="inlineStr">
        <is>
          <t>Vantage Datacenter ZRH12, Fabrikstrasse 10/12, 8404 Winterthur</t>
        </is>
      </c>
      <c r="D7" s="5" t="n"/>
      <c r="E7" s="10" t="inlineStr">
        <is>
          <t>Erledigt</t>
        </is>
      </c>
      <c r="F7" s="11">
        <f>COUNTIF(Aufgaben[Status],"erledigt")</f>
        <v/>
      </c>
    </row>
    <row r="8">
      <c r="B8" s="3" t="inlineStr">
        <is>
          <t>Auftragnehmer</t>
        </is>
      </c>
      <c r="C8" s="4" t="inlineStr">
        <is>
          <t>Mobil in Time AG (Subunternehmer von DPR)</t>
        </is>
      </c>
      <c r="D8" s="5" t="n"/>
      <c r="E8" s="12" t="inlineStr">
        <is>
          <t>Kritisch / blockiert</t>
        </is>
      </c>
      <c r="F8" s="13">
        <f>COUNTIF(Aufgaben[Status],"kritisch")</f>
        <v/>
      </c>
    </row>
    <row r="9">
      <c r="B9" s="3" t="inlineStr">
        <is>
          <t>Unterlieferant</t>
        </is>
      </c>
      <c r="C9" s="4" t="inlineStr">
        <is>
          <t>Aggreko Deutschland GmbH</t>
        </is>
      </c>
      <c r="D9" s="5" t="n"/>
      <c r="E9" s="12" t="inlineStr">
        <is>
          <t>Ueberfaellig (offen, Termin &lt; heute)</t>
        </is>
      </c>
      <c r="F9" s="13">
        <f>SUMPRODUCT((Aufgaben[Status]&lt;&gt;"erledigt")*(Aufgaben[Termin]&lt;&gt;"")*(Aufgaben[Termin]&lt;TODAY()))</f>
        <v/>
      </c>
    </row>
    <row r="10">
      <c r="B10" s="3" t="inlineStr">
        <is>
          <t>Paket 1</t>
        </is>
      </c>
      <c r="C10" s="4" t="inlineStr">
        <is>
          <t>6-MVA-Loadbank-Test (Generatoren)</t>
        </is>
      </c>
      <c r="D10" s="5" t="n"/>
      <c r="E10" s="14" t="inlineStr">
        <is>
          <t>Fortschritt Aufgaben</t>
        </is>
      </c>
      <c r="F10" s="15">
        <f>IFERROR(COUNTIF(Aufgaben[Status],"erledigt")/COUNTA(Aufgaben[Nr.]),0)</f>
        <v/>
      </c>
    </row>
    <row r="11">
      <c r="B11" s="3" t="inlineStr">
        <is>
          <t>Paket 2</t>
        </is>
      </c>
      <c r="C11" s="4" t="inlineStr">
        <is>
          <t>8-MW-Heat-Load-Test (54x 200 kW)</t>
        </is>
      </c>
      <c r="D11" s="5" t="n"/>
      <c r="E11" s="2" t="inlineStr">
        <is>
          <t>MEILENSTEINE</t>
        </is>
      </c>
    </row>
    <row r="12">
      <c r="B12" s="3" t="inlineStr">
        <is>
          <t>Projektleiter</t>
        </is>
      </c>
      <c r="C12" s="4" t="inlineStr">
        <is>
          <t>Burak Uecoez</t>
        </is>
      </c>
      <c r="D12" s="5" t="n"/>
      <c r="E12" s="14" t="inlineStr">
        <is>
          <t>Meilensteine gesamt</t>
        </is>
      </c>
      <c r="F12" s="16">
        <f>COUNTA(Meilensteine[Nr.])</f>
        <v/>
      </c>
    </row>
    <row r="13">
      <c r="B13" s="3" t="inlineStr">
        <is>
          <t>Sprache</t>
        </is>
      </c>
      <c r="C13" s="4" t="inlineStr">
        <is>
          <t>Deutsch (Schweizer Schreibweise)</t>
        </is>
      </c>
      <c r="D13" s="5" t="n"/>
      <c r="E13" s="14" t="inlineStr">
        <is>
          <t>davon erledigt</t>
        </is>
      </c>
      <c r="F13" s="16">
        <f>COUNTIF(Meilensteine[Status],"erledigt")</f>
        <v/>
      </c>
    </row>
    <row r="14">
      <c r="B14" s="3" t="inlineStr">
        <is>
          <t>Stand</t>
        </is>
      </c>
      <c r="C14" s="4">
        <f>TEXT(TODAY(),"DD.MM.YYYY")</f>
        <v/>
      </c>
      <c r="D14" s="5" t="n"/>
      <c r="E14" s="14" t="inlineStr">
        <is>
          <t>davon kritisch</t>
        </is>
      </c>
      <c r="F14" s="16">
        <f>COUNTIF(Meilensteine[Status],"kritisch")</f>
        <v/>
      </c>
    </row>
    <row r="15">
      <c r="E15" s="14" t="inlineStr">
        <is>
          <t>Fortschritt Meilensteine</t>
        </is>
      </c>
      <c r="F15" s="15">
        <f>IFERROR(COUNTIF(Meilensteine[Status],"erledigt")/COUNTA(Meilensteine[Nr.]),0)</f>
        <v/>
      </c>
    </row>
    <row r="16">
      <c r="B16" s="2" t="inlineStr">
        <is>
          <t>COUNTDOWN</t>
        </is>
      </c>
    </row>
    <row r="17">
      <c r="B17" s="14" t="inlineStr">
        <is>
          <t>Tage bis naechster Meilenstein</t>
        </is>
      </c>
      <c r="C17" s="17">
        <f>IFERROR(B25-TODAY(),"")</f>
        <v/>
      </c>
      <c r="D17" s="5" t="n"/>
      <c r="E17" s="2" t="inlineStr">
        <is>
          <t>PROJEKTSTATUS</t>
        </is>
      </c>
    </row>
    <row r="18">
      <c r="B18" s="14" t="inlineStr">
        <is>
          <t>Tage bis Entsendefrist Aggreko (24.07.)</t>
        </is>
      </c>
      <c r="C18" s="17">
        <f>DATE(2026,7,24)-TODAY()</f>
        <v/>
      </c>
      <c r="D18" s="5" t="n"/>
      <c r="E18" s="18">
        <f>IF(SUMPRODUCT((Aufgaben[Status]&lt;&gt;"erledigt")*(Aufgaben[Termin]&lt;&gt;"")*(Aufgaben[Termin]&lt;TODAY()))&gt;0,"KRITISCH - ueberfaellige Aufgaben",IF(COUNTIF(Meilensteine[Status],"kritisch")+COUNTIF(Aufgaben[Status],"kritisch")&gt;0,"ACHTUNG - kritische Punkte offen","AUF KURS - keine Ueberfaelligkeiten"))</f>
        <v/>
      </c>
      <c r="F18" s="5" t="n"/>
    </row>
    <row r="19">
      <c r="B19" s="14" t="inlineStr">
        <is>
          <t>Tage bis Lieferung Headloads (03.08.)</t>
        </is>
      </c>
      <c r="C19" s="17">
        <f>DATE(2026,8,3)-TODAY()</f>
        <v/>
      </c>
      <c r="D19" s="5" t="n"/>
      <c r="E19" s="14" t="inlineStr">
        <is>
          <t>Diese Woche faellig (Aufgaben)</t>
        </is>
      </c>
      <c r="F19" s="19">
        <f>SUMPRODUCT((Aufgaben[Status]&lt;&gt;"erledigt")*(Aufgaben[Termin]&gt;=TODAY())*(Aufgaben[Termin]&lt;TODAY()+7))</f>
        <v/>
      </c>
    </row>
    <row r="20">
      <c r="B20" s="14" t="inlineStr">
        <is>
          <t>Tage bis Mietende Loadbank (02.11.)</t>
        </is>
      </c>
      <c r="C20" s="17">
        <f>DATE(2026,11,2)-TODAY()</f>
        <v/>
      </c>
      <c r="D20" s="5" t="n"/>
    </row>
    <row r="21">
      <c r="B21" s="14" t="inlineStr">
        <is>
          <t>Tage bis Closeout (15.12.)</t>
        </is>
      </c>
      <c r="C21" s="17">
        <f>DATE(2026,12,15)-TODAY()</f>
        <v/>
      </c>
      <c r="D21" s="5" t="n"/>
    </row>
    <row r="23">
      <c r="B23" s="2" t="inlineStr">
        <is>
          <t>NAECHSTE MEILENSTEINE</t>
        </is>
      </c>
    </row>
    <row r="24">
      <c r="B24" s="20" t="inlineStr">
        <is>
          <t>Plantermin</t>
        </is>
      </c>
      <c r="C24" s="20" t="inlineStr">
        <is>
          <t>Meilenstein</t>
        </is>
      </c>
      <c r="D24" s="21" t="n"/>
      <c r="E24" s="20" t="inlineStr">
        <is>
          <t>Status</t>
        </is>
      </c>
    </row>
    <row r="25">
      <c r="B25" s="22">
        <f>IFERROR(AGGREGATE(15,6,Meilensteine!$C$2:$C$17/((Meilensteine!$E$2:$E$17&lt;&gt;"erledigt")*(Meilensteine!$C$2:$C$17&gt;=TODAY())),1),"")</f>
        <v/>
      </c>
      <c r="C25" s="4">
        <f>IFERROR(INDEX(Meilensteine!$B$2:$B$17,MATCH(B25,Meilensteine!$C$2:$C$17,0)),"")</f>
        <v/>
      </c>
      <c r="D25" s="5" t="n"/>
      <c r="E25" s="23">
        <f>IFERROR(INDEX(Meilensteine!$E$2:$E$17,MATCH(B25,Meilensteine!$C$2:$C$17,0)),"")</f>
        <v/>
      </c>
    </row>
    <row r="26">
      <c r="B26" s="22">
        <f>IFERROR(AGGREGATE(15,6,Meilensteine!$C$2:$C$17/((Meilensteine!$E$2:$E$17&lt;&gt;"erledigt")*(Meilensteine!$C$2:$C$17&gt;=TODAY())),2),"")</f>
        <v/>
      </c>
      <c r="C26" s="4">
        <f>IFERROR(INDEX(Meilensteine!$B$2:$B$17,MATCH(B26,Meilensteine!$C$2:$C$17,0)),"")</f>
        <v/>
      </c>
      <c r="D26" s="5" t="n"/>
      <c r="E26" s="23">
        <f>IFERROR(INDEX(Meilensteine!$E$2:$E$17,MATCH(B26,Meilensteine!$C$2:$C$17,0)),"")</f>
        <v/>
      </c>
    </row>
    <row r="27">
      <c r="B27" s="22">
        <f>IFERROR(AGGREGATE(15,6,Meilensteine!$C$2:$C$17/((Meilensteine!$E$2:$E$17&lt;&gt;"erledigt")*(Meilensteine!$C$2:$C$17&gt;=TODAY())),3),"")</f>
        <v/>
      </c>
      <c r="C27" s="4">
        <f>IFERROR(INDEX(Meilensteine!$B$2:$B$17,MATCH(B27,Meilensteine!$C$2:$C$17,0)),"")</f>
        <v/>
      </c>
      <c r="D27" s="5" t="n"/>
      <c r="E27" s="23">
        <f>IFERROR(INDEX(Meilensteine!$E$2:$E$17,MATCH(B27,Meilensteine!$C$2:$C$17,0)),"")</f>
        <v/>
      </c>
    </row>
    <row r="29">
      <c r="B29" s="24" t="inlineStr">
        <is>
          <t>Alle Werte aktualisieren sich automatisch aus den Registerblaettern (Formeln, keine Pivots). Farben: gruen = erledigt/ok, gelb = in Arbeit, orange = Achtung/verschoben, rot = kritisch/ueberfaellig.</t>
        </is>
      </c>
    </row>
  </sheetData>
  <mergeCells count="23">
    <mergeCell ref="C6:D6"/>
    <mergeCell ref="C24:D24"/>
    <mergeCell ref="C5:D5"/>
    <mergeCell ref="C14:D14"/>
    <mergeCell ref="C26:D26"/>
    <mergeCell ref="C20:D20"/>
    <mergeCell ref="C10:D10"/>
    <mergeCell ref="C25:D25"/>
    <mergeCell ref="C9:D9"/>
    <mergeCell ref="B3:H3"/>
    <mergeCell ref="C12:D12"/>
    <mergeCell ref="C21:D21"/>
    <mergeCell ref="C11:D11"/>
    <mergeCell ref="C27:D27"/>
    <mergeCell ref="C17:D17"/>
    <mergeCell ref="C8:D8"/>
    <mergeCell ref="C7:D7"/>
    <mergeCell ref="C19:D19"/>
    <mergeCell ref="C13:D13"/>
    <mergeCell ref="B29:H29"/>
    <mergeCell ref="C18:D18"/>
    <mergeCell ref="E18:F18"/>
    <mergeCell ref="B2:D2"/>
  </mergeCells>
  <conditionalFormatting sqref="F10">
    <cfRule type="dataBar" priority="1">
      <dataBar>
        <cfvo type="num" val="0"/>
        <cfvo type="num" val="1"/>
        <color rgb="00E8740C"/>
      </dataBar>
    </cfRule>
  </conditionalFormatting>
  <conditionalFormatting sqref="F15">
    <cfRule type="dataBar" priority="2">
      <dataBar>
        <cfvo type="num" val="0"/>
        <cfvo type="num" val="1"/>
        <color rgb="004F81BD"/>
      </dataBar>
    </cfRule>
  </conditionalFormatting>
  <conditionalFormatting sqref="E18">
    <cfRule type="expression" priority="3" dxfId="0">
      <formula>ISNUMBER(SEARCH("KRITISCH",$E$18))</formula>
    </cfRule>
    <cfRule type="expression" priority="4" dxfId="1">
      <formula>ISNUMBER(SEARCH("ACHTUNG",$E$18))</formula>
    </cfRule>
    <cfRule type="expression" priority="5" dxfId="2">
      <formula>ISNUMBER(SEARCH("AUF KURS",$E$18))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J10"/>
  <sheetViews>
    <sheetView showGridLines="0"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5" customWidth="1" min="1" max="1"/>
    <col width="40" customWidth="1" min="2" max="2"/>
    <col width="12" customWidth="1" min="3" max="3"/>
    <col width="12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</cols>
  <sheetData>
    <row r="1">
      <c r="A1" s="20" t="inlineStr">
        <is>
          <t>Nr.</t>
        </is>
      </c>
      <c r="B1" s="20" t="inlineStr">
        <is>
          <t>Phase / Meilenstein</t>
        </is>
      </c>
      <c r="C1" s="20" t="inlineStr">
        <is>
          <t>Start</t>
        </is>
      </c>
      <c r="D1" s="20" t="inlineStr">
        <is>
          <t>Ende</t>
        </is>
      </c>
      <c r="E1" s="25" t="n">
        <v>46204</v>
      </c>
      <c r="F1" s="25" t="n">
        <v>46235</v>
      </c>
      <c r="G1" s="25" t="n">
        <v>46266</v>
      </c>
      <c r="H1" s="25" t="n">
        <v>46296</v>
      </c>
      <c r="I1" s="25" t="n">
        <v>46327</v>
      </c>
      <c r="J1" s="25" t="n">
        <v>46357</v>
      </c>
    </row>
    <row r="2">
      <c r="A2" s="23" t="n">
        <v>1</v>
      </c>
      <c r="B2" s="4" t="inlineStr">
        <is>
          <t>Projektvorbereitung &amp; Mobilisierung</t>
        </is>
      </c>
      <c r="C2" s="22" t="n">
        <v>46219</v>
      </c>
      <c r="D2" s="22" t="n">
        <v>46237</v>
      </c>
      <c r="E2" s="26" t="n"/>
      <c r="F2" s="26" t="n"/>
      <c r="G2" s="26" t="n"/>
      <c r="H2" s="26" t="n"/>
      <c r="I2" s="26" t="n"/>
      <c r="J2" s="26" t="n"/>
    </row>
    <row r="3">
      <c r="A3" s="23" t="n">
        <v>2</v>
      </c>
      <c r="B3" s="4" t="inlineStr">
        <is>
          <t>Loadbank 6 MVA - Miete</t>
        </is>
      </c>
      <c r="C3" s="22" t="n">
        <v>46251</v>
      </c>
      <c r="D3" s="22" t="n">
        <v>46328</v>
      </c>
      <c r="E3" s="26" t="n"/>
      <c r="F3" s="26" t="n"/>
      <c r="G3" s="26" t="n"/>
      <c r="H3" s="26" t="n"/>
      <c r="I3" s="26" t="n"/>
      <c r="J3" s="26" t="n"/>
    </row>
    <row r="4">
      <c r="A4" s="23" t="n">
        <v>3</v>
      </c>
      <c r="B4" s="4" t="inlineStr">
        <is>
          <t>Heat-Load (Headloads) - Miete</t>
        </is>
      </c>
      <c r="C4" s="22" t="n">
        <v>46237</v>
      </c>
      <c r="D4" s="22" t="n">
        <v>46367</v>
      </c>
      <c r="E4" s="26" t="n"/>
      <c r="F4" s="26" t="n"/>
      <c r="G4" s="26" t="n"/>
      <c r="H4" s="26" t="n"/>
      <c r="I4" s="26" t="n"/>
      <c r="J4" s="26" t="n"/>
    </row>
    <row r="5">
      <c r="A5" s="23" t="n">
        <v>4</v>
      </c>
      <c r="B5" s="4" t="inlineStr">
        <is>
          <t>5-MW-Block (Abruf)</t>
        </is>
      </c>
      <c r="C5" s="22" t="n">
        <v>46266</v>
      </c>
      <c r="D5" s="22" t="n">
        <v>46295</v>
      </c>
      <c r="E5" s="26" t="n"/>
      <c r="F5" s="26" t="n"/>
      <c r="G5" s="26" t="n"/>
      <c r="H5" s="26" t="n"/>
      <c r="I5" s="26" t="n"/>
      <c r="J5" s="26" t="n"/>
    </row>
    <row r="6">
      <c r="A6" s="23" t="n">
        <v>5</v>
      </c>
      <c r="B6" s="4" t="inlineStr">
        <is>
          <t>Testphase / Inbetriebnahme</t>
        </is>
      </c>
      <c r="C6" s="22" t="n">
        <v>46237</v>
      </c>
      <c r="D6" s="22" t="n">
        <v>46328</v>
      </c>
      <c r="E6" s="26" t="n"/>
      <c r="F6" s="26" t="n"/>
      <c r="G6" s="26" t="n"/>
      <c r="H6" s="26" t="n"/>
      <c r="I6" s="26" t="n"/>
      <c r="J6" s="26" t="n"/>
    </row>
    <row r="7">
      <c r="A7" s="23" t="n">
        <v>6</v>
      </c>
      <c r="B7" s="4" t="inlineStr">
        <is>
          <t>Demontage</t>
        </is>
      </c>
      <c r="C7" s="22" t="n">
        <v>46370</v>
      </c>
      <c r="D7" s="22" t="n">
        <v>46370</v>
      </c>
      <c r="E7" s="26" t="n"/>
      <c r="F7" s="26" t="n"/>
      <c r="G7" s="26" t="n"/>
      <c r="H7" s="26" t="n"/>
      <c r="I7" s="26" t="n"/>
      <c r="J7" s="26" t="n"/>
    </row>
    <row r="8">
      <c r="A8" s="23" t="n">
        <v>7</v>
      </c>
      <c r="B8" s="4" t="inlineStr">
        <is>
          <t>Closeout &amp; Dokumentation</t>
        </is>
      </c>
      <c r="C8" s="22" t="n">
        <v>46371</v>
      </c>
      <c r="D8" s="22" t="n">
        <v>46387</v>
      </c>
      <c r="E8" s="26" t="n"/>
      <c r="F8" s="26" t="n"/>
      <c r="G8" s="26" t="n"/>
      <c r="H8" s="26" t="n"/>
      <c r="I8" s="26" t="n"/>
      <c r="J8" s="26" t="n"/>
    </row>
    <row r="10">
      <c r="B10" s="24" t="inlineStr">
        <is>
          <t>Orange = Phase/Miete aktiv im jeweiligen Monat. Balken berechnen sich aus Start/Ende.</t>
        </is>
      </c>
    </row>
  </sheetData>
  <autoFilter ref="A1:D8"/>
  <mergeCells count="1">
    <mergeCell ref="B10:J10"/>
  </mergeCells>
  <conditionalFormatting sqref="E2:J8">
    <cfRule type="expression" priority="1" dxfId="1">
      <formula>AND(E$1&lt;=$D2,EOMONTH(E$1,0)&gt;=$C2,$C2&lt;&gt;"")</formula>
    </cfRule>
  </conditionalFormatting>
  <printOptions horizontalCentered="1"/>
  <pageMargins left="0.4" right="0.4" top="0.5" bottom="0.5" header="0.5" footer="0.5"/>
  <pageSetup orientation="landscape" paperSize="9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1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6" customWidth="1" min="2" max="2"/>
    <col width="15" customWidth="1" min="3" max="3"/>
    <col width="14" customWidth="1" min="4" max="4"/>
    <col width="14" customWidth="1" min="5" max="5"/>
    <col width="18" customWidth="1" min="6" max="6"/>
    <col width="40" customWidth="1" min="7" max="7"/>
  </cols>
  <sheetData>
    <row r="1">
      <c r="A1" s="20" t="inlineStr">
        <is>
          <t>Nr.</t>
        </is>
      </c>
      <c r="B1" s="20" t="inlineStr">
        <is>
          <t>Meilenstein</t>
        </is>
      </c>
      <c r="C1" s="20" t="inlineStr">
        <is>
          <t>Plantermin</t>
        </is>
      </c>
      <c r="D1" s="20" t="inlineStr">
        <is>
          <t>Ist-Termin</t>
        </is>
      </c>
      <c r="E1" s="20" t="inlineStr">
        <is>
          <t>Status</t>
        </is>
      </c>
      <c r="F1" s="20" t="inlineStr">
        <is>
          <t>Verantwortlich</t>
        </is>
      </c>
      <c r="G1" s="20" t="inlineStr">
        <is>
          <t>Bemerkung</t>
        </is>
      </c>
    </row>
    <row r="2">
      <c r="A2" s="23" t="n">
        <v>1</v>
      </c>
      <c r="B2" s="26" t="inlineStr">
        <is>
          <t>bSuite-Aufnahme</t>
        </is>
      </c>
      <c r="C2" s="27" t="n">
        <v>46219.33333333334</v>
      </c>
      <c r="D2" s="22" t="n"/>
      <c r="E2" s="23" t="inlineStr">
        <is>
          <t>offen</t>
        </is>
      </c>
      <c r="F2" s="26" t="inlineStr">
        <is>
          <t>Sarah</t>
        </is>
      </c>
      <c r="G2" s="26" t="inlineStr">
        <is>
          <t>Aufnahme 08:00</t>
        </is>
      </c>
    </row>
    <row r="3">
      <c r="A3" s="23" t="n">
        <v>2</v>
      </c>
      <c r="B3" s="26" t="inlineStr">
        <is>
          <t>Unterlagenpaket an DPR (Versicherung, HR-Auszug, Zeichnungsberechtigte, Zollprozess)</t>
        </is>
      </c>
      <c r="C3" s="27" t="n">
        <v>46219.5</v>
      </c>
      <c r="D3" s="22" t="n"/>
      <c r="E3" s="23" t="inlineStr">
        <is>
          <t>offen</t>
        </is>
      </c>
      <c r="F3" s="26" t="inlineStr">
        <is>
          <t>Ann-Kathrin</t>
        </is>
      </c>
      <c r="G3" s="26" t="inlineStr">
        <is>
          <t>Abgabe 12:00</t>
        </is>
      </c>
    </row>
    <row r="4">
      <c r="A4" s="23" t="n">
        <v>3</v>
      </c>
      <c r="B4" s="26" t="inlineStr">
        <is>
          <t>Unterschriften Stefan</t>
        </is>
      </c>
      <c r="C4" s="22" t="n">
        <v>46219</v>
      </c>
      <c r="D4" s="22" t="n"/>
      <c r="E4" s="23" t="inlineStr">
        <is>
          <t>offen</t>
        </is>
      </c>
      <c r="F4" s="26" t="inlineStr">
        <is>
          <t>Stefan</t>
        </is>
      </c>
      <c r="G4" s="26" t="inlineStr">
        <is>
          <t>Nachmittags</t>
        </is>
      </c>
    </row>
    <row r="5">
      <c r="A5" s="23" t="n">
        <v>4</v>
      </c>
      <c r="B5" s="26" t="inlineStr">
        <is>
          <t>Alignment-Call Aggreko DE</t>
        </is>
      </c>
      <c r="C5" s="22" t="n">
        <v>46220</v>
      </c>
      <c r="D5" s="22" t="n"/>
      <c r="E5" s="23" t="inlineStr">
        <is>
          <t>offen</t>
        </is>
      </c>
      <c r="F5" s="26" t="inlineStr">
        <is>
          <t>Burak</t>
        </is>
      </c>
      <c r="G5" s="26" t="inlineStr">
        <is>
          <t>16./17.07.</t>
        </is>
      </c>
    </row>
    <row r="6">
      <c r="A6" s="23" t="n">
        <v>5</v>
      </c>
      <c r="B6" s="26" t="inlineStr">
        <is>
          <t>PO-Redlines an DPR</t>
        </is>
      </c>
      <c r="C6" s="22" t="n">
        <v>46220</v>
      </c>
      <c r="D6" s="22" t="n"/>
      <c r="E6" s="23" t="inlineStr">
        <is>
          <t>offen</t>
        </is>
      </c>
      <c r="F6" s="26" t="inlineStr">
        <is>
          <t>Burak</t>
        </is>
      </c>
      <c r="G6" s="26" t="inlineStr"/>
    </row>
    <row r="7">
      <c r="A7" s="23" t="n">
        <v>6</v>
      </c>
      <c r="B7" s="26" t="inlineStr">
        <is>
          <t>RAMS-Abgabe Hammertech</t>
        </is>
      </c>
      <c r="C7" s="22" t="n">
        <v>46223</v>
      </c>
      <c r="D7" s="22" t="n"/>
      <c r="E7" s="23" t="inlineStr">
        <is>
          <t>offen</t>
        </is>
      </c>
      <c r="F7" s="26" t="inlineStr">
        <is>
          <t>Samuel</t>
        </is>
      </c>
      <c r="G7" s="26" t="inlineStr"/>
    </row>
    <row r="8">
      <c r="A8" s="23" t="n">
        <v>7</v>
      </c>
      <c r="B8" s="26" t="inlineStr">
        <is>
          <t>Personenliste Aggreko</t>
        </is>
      </c>
      <c r="C8" s="22" t="n">
        <v>46223</v>
      </c>
      <c r="D8" s="22" t="n"/>
      <c r="E8" s="23" t="inlineStr">
        <is>
          <t>offen</t>
        </is>
      </c>
      <c r="F8" s="26" t="inlineStr">
        <is>
          <t>Aggreko</t>
        </is>
      </c>
      <c r="G8" s="26" t="inlineStr"/>
    </row>
    <row r="9">
      <c r="A9" s="23" t="n">
        <v>8</v>
      </c>
      <c r="B9" s="26" t="inlineStr">
        <is>
          <t>Entsendemeldung Aggreko-Personal</t>
        </is>
      </c>
      <c r="C9" s="22" t="n">
        <v>46227</v>
      </c>
      <c r="D9" s="22" t="n"/>
      <c r="E9" s="23" t="inlineStr">
        <is>
          <t>offen</t>
        </is>
      </c>
      <c r="F9" s="26" t="inlineStr">
        <is>
          <t>Aggreko</t>
        </is>
      </c>
      <c r="G9" s="26" t="inlineStr">
        <is>
          <t>Frist beachten</t>
        </is>
      </c>
    </row>
    <row r="10">
      <c r="A10" s="23" t="n">
        <v>9</v>
      </c>
      <c r="B10" s="26" t="inlineStr">
        <is>
          <t>WORKcontrol-Badges + Site Inductions</t>
        </is>
      </c>
      <c r="C10" s="22" t="n">
        <v>46237</v>
      </c>
      <c r="D10" s="22" t="n"/>
      <c r="E10" s="23" t="inlineStr">
        <is>
          <t>offen</t>
        </is>
      </c>
      <c r="F10" s="26" t="inlineStr">
        <is>
          <t>Ann-Kathrin</t>
        </is>
      </c>
      <c r="G10" s="26" t="inlineStr">
        <is>
          <t>vor 03.08.</t>
        </is>
      </c>
    </row>
    <row r="11">
      <c r="A11" s="23" t="n">
        <v>10</v>
      </c>
      <c r="B11" s="26" t="inlineStr">
        <is>
          <t>Lieferung Headloads</t>
        </is>
      </c>
      <c r="C11" s="22" t="n">
        <v>46237</v>
      </c>
      <c r="D11" s="22" t="n"/>
      <c r="E11" s="23" t="inlineStr">
        <is>
          <t>offen</t>
        </is>
      </c>
      <c r="F11" s="26" t="inlineStr">
        <is>
          <t>Aggreko</t>
        </is>
      </c>
      <c r="G11" s="26" t="inlineStr">
        <is>
          <t>54x 200 kW</t>
        </is>
      </c>
    </row>
    <row r="12">
      <c r="A12" s="23" t="n">
        <v>11</v>
      </c>
      <c r="B12" s="26" t="inlineStr">
        <is>
          <t>Lieferung Loadbank 6 MVA</t>
        </is>
      </c>
      <c r="C12" s="22" t="n">
        <v>46251</v>
      </c>
      <c r="D12" s="22" t="n"/>
      <c r="E12" s="23" t="inlineStr">
        <is>
          <t>offen</t>
        </is>
      </c>
      <c r="F12" s="26" t="inlineStr">
        <is>
          <t>Aggreko</t>
        </is>
      </c>
      <c r="G12" s="26" t="inlineStr"/>
    </row>
    <row r="13">
      <c r="A13" s="23" t="n">
        <v>12</v>
      </c>
      <c r="B13" s="26" t="inlineStr">
        <is>
          <t>Abruf 5-MW-Block</t>
        </is>
      </c>
      <c r="C13" s="22" t="n">
        <v>46266</v>
      </c>
      <c r="D13" s="22" t="n"/>
      <c r="E13" s="23" t="inlineStr">
        <is>
          <t>offen</t>
        </is>
      </c>
      <c r="F13" s="26" t="inlineStr">
        <is>
          <t>Burak</t>
        </is>
      </c>
      <c r="G13" s="26" t="inlineStr">
        <is>
          <t>September</t>
        </is>
      </c>
    </row>
    <row r="14">
      <c r="A14" s="23" t="n">
        <v>13</v>
      </c>
      <c r="B14" s="26" t="inlineStr">
        <is>
          <t>Mietende Loadbank</t>
        </is>
      </c>
      <c r="C14" s="22" t="n">
        <v>46328</v>
      </c>
      <c r="D14" s="22" t="n"/>
      <c r="E14" s="23" t="inlineStr">
        <is>
          <t>offen</t>
        </is>
      </c>
      <c r="F14" s="26" t="inlineStr">
        <is>
          <t>Burak</t>
        </is>
      </c>
      <c r="G14" s="26" t="inlineStr"/>
    </row>
    <row r="15">
      <c r="A15" s="23" t="n">
        <v>14</v>
      </c>
      <c r="B15" s="26" t="inlineStr">
        <is>
          <t>Mietende Headloads</t>
        </is>
      </c>
      <c r="C15" s="22" t="n">
        <v>46367</v>
      </c>
      <c r="D15" s="22" t="n"/>
      <c r="E15" s="23" t="inlineStr">
        <is>
          <t>offen</t>
        </is>
      </c>
      <c r="F15" s="26" t="inlineStr">
        <is>
          <t>Burak</t>
        </is>
      </c>
      <c r="G15" s="26" t="inlineStr"/>
    </row>
    <row r="16">
      <c r="A16" s="23" t="n">
        <v>15</v>
      </c>
      <c r="B16" s="26" t="inlineStr">
        <is>
          <t>Demontage</t>
        </is>
      </c>
      <c r="C16" s="22" t="n">
        <v>46370</v>
      </c>
      <c r="D16" s="22" t="n"/>
      <c r="E16" s="23" t="inlineStr">
        <is>
          <t>offen</t>
        </is>
      </c>
      <c r="F16" s="26" t="inlineStr">
        <is>
          <t>Aggreko</t>
        </is>
      </c>
      <c r="G16" s="26" t="inlineStr"/>
    </row>
    <row r="17">
      <c r="A17" s="23" t="n">
        <v>16</v>
      </c>
      <c r="B17" s="26" t="inlineStr">
        <is>
          <t>Closeout-Paket EN+DE an DPR</t>
        </is>
      </c>
      <c r="C17" s="22" t="n">
        <v>46371</v>
      </c>
      <c r="D17" s="22" t="n"/>
      <c r="E17" s="23" t="inlineStr">
        <is>
          <t>offen</t>
        </is>
      </c>
      <c r="F17" s="26" t="inlineStr">
        <is>
          <t>Burak</t>
        </is>
      </c>
      <c r="G17" s="26" t="inlineStr">
        <is>
          <t>Dezember</t>
        </is>
      </c>
    </row>
  </sheetData>
  <conditionalFormatting sqref="E2:E17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C2:C17">
    <cfRule type="expression" priority="5" dxfId="6">
      <formula>AND($C2&lt;TODAY(),$E2&lt;&gt;"erledigt",$C2&lt;&gt;"")</formula>
    </cfRule>
  </conditionalFormatting>
  <dataValidations count="1">
    <dataValidation sqref="E2:E17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2" customWidth="1" min="3" max="3"/>
    <col width="14" customWidth="1" min="4" max="4"/>
    <col width="14" customWidth="1" min="5" max="5"/>
    <col width="13" customWidth="1" min="6" max="6"/>
    <col width="12" customWidth="1" min="7" max="7"/>
    <col width="34" customWidth="1" min="8" max="8"/>
    <col width="14" customWidth="1" min="9" max="9"/>
  </cols>
  <sheetData>
    <row r="1">
      <c r="A1" s="20" t="inlineStr">
        <is>
          <t>Nr.</t>
        </is>
      </c>
      <c r="B1" s="20" t="inlineStr">
        <is>
          <t>Aufgabe</t>
        </is>
      </c>
      <c r="C1" s="20" t="inlineStr">
        <is>
          <t>Paket</t>
        </is>
      </c>
      <c r="D1" s="20" t="inlineStr">
        <is>
          <t>Owner</t>
        </is>
      </c>
      <c r="E1" s="20" t="inlineStr">
        <is>
          <t>Termin</t>
        </is>
      </c>
      <c r="F1" s="20" t="inlineStr">
        <is>
          <t>Status</t>
        </is>
      </c>
      <c r="G1" s="20" t="inlineStr">
        <is>
          <t>Prioritaet</t>
        </is>
      </c>
      <c r="H1" s="20" t="inlineStr">
        <is>
          <t>Bemerkung</t>
        </is>
      </c>
      <c r="I1" s="20" t="inlineStr">
        <is>
          <t>Erledigt am</t>
        </is>
      </c>
    </row>
    <row r="2">
      <c r="A2" s="23" t="n">
        <v>1</v>
      </c>
      <c r="B2" s="26" t="inlineStr">
        <is>
          <t>Versicherungsnachweis via Finance beschaffen</t>
        </is>
      </c>
      <c r="C2" s="23" t="inlineStr">
        <is>
          <t>Admin</t>
        </is>
      </c>
      <c r="D2" s="26" t="inlineStr">
        <is>
          <t>Markus</t>
        </is>
      </c>
      <c r="E2" s="22" t="n">
        <v>46219</v>
      </c>
      <c r="F2" s="23" t="inlineStr">
        <is>
          <t>offen</t>
        </is>
      </c>
      <c r="G2" s="23" t="inlineStr">
        <is>
          <t>hoch</t>
        </is>
      </c>
      <c r="H2" s="26" t="inlineStr"/>
      <c r="I2" s="22" t="n"/>
    </row>
    <row r="3">
      <c r="A3" s="23" t="n">
        <v>2</v>
      </c>
      <c r="B3" s="26" t="inlineStr">
        <is>
          <t>Zollprozess DE-CH schriftlich klaeren (Kostentraeger, Equipment vs. Kraftstoff)</t>
        </is>
      </c>
      <c r="C3" s="23" t="inlineStr">
        <is>
          <t>Admin</t>
        </is>
      </c>
      <c r="D3" s="26" t="inlineStr">
        <is>
          <t>Markus</t>
        </is>
      </c>
      <c r="E3" s="22" t="n">
        <v>46220</v>
      </c>
      <c r="F3" s="23" t="inlineStr">
        <is>
          <t>offen</t>
        </is>
      </c>
      <c r="G3" s="23" t="inlineStr">
        <is>
          <t>hoch</t>
        </is>
      </c>
      <c r="H3" s="26" t="inlineStr"/>
      <c r="I3" s="22" t="n"/>
    </row>
    <row r="4">
      <c r="A4" s="23" t="n">
        <v>3</v>
      </c>
      <c r="B4" s="26" t="inlineStr">
        <is>
          <t>Deckungssummen bei DPR erfragen</t>
        </is>
      </c>
      <c r="C4" s="23" t="inlineStr">
        <is>
          <t>Admin</t>
        </is>
      </c>
      <c r="D4" s="26" t="inlineStr">
        <is>
          <t>Markus</t>
        </is>
      </c>
      <c r="E4" s="22" t="n">
        <v>46220</v>
      </c>
      <c r="F4" s="23" t="inlineStr">
        <is>
          <t>offen</t>
        </is>
      </c>
      <c r="G4" s="23" t="inlineStr">
        <is>
          <t>mittel</t>
        </is>
      </c>
      <c r="H4" s="26" t="inlineStr"/>
      <c r="I4" s="22" t="n"/>
    </row>
    <row r="5">
      <c r="A5" s="23" t="n">
        <v>4</v>
      </c>
      <c r="B5" s="26" t="inlineStr">
        <is>
          <t>HR-Auszug bereitstellen</t>
        </is>
      </c>
      <c r="C5" s="23" t="inlineStr">
        <is>
          <t>Admin</t>
        </is>
      </c>
      <c r="D5" s="26" t="inlineStr">
        <is>
          <t>Ann-Kathrin</t>
        </is>
      </c>
      <c r="E5" s="22" t="n">
        <v>46219</v>
      </c>
      <c r="F5" s="23" t="inlineStr">
        <is>
          <t>offen</t>
        </is>
      </c>
      <c r="G5" s="23" t="inlineStr">
        <is>
          <t>hoch</t>
        </is>
      </c>
      <c r="H5" s="26" t="inlineStr"/>
      <c r="I5" s="22" t="n"/>
    </row>
    <row r="6">
      <c r="A6" s="23" t="n">
        <v>5</v>
      </c>
      <c r="B6" s="26" t="inlineStr">
        <is>
          <t>Beide Angebote in MiT-Layout bringen</t>
        </is>
      </c>
      <c r="C6" s="23" t="inlineStr">
        <is>
          <t>beide</t>
        </is>
      </c>
      <c r="D6" s="26" t="inlineStr">
        <is>
          <t>Ann-Kathrin</t>
        </is>
      </c>
      <c r="E6" s="22" t="n">
        <v>46220</v>
      </c>
      <c r="F6" s="23" t="inlineStr">
        <is>
          <t>offen</t>
        </is>
      </c>
      <c r="G6" s="23" t="inlineStr">
        <is>
          <t>mittel</t>
        </is>
      </c>
      <c r="H6" s="26" t="inlineStr">
        <is>
          <t>P-640380-3 / P-650395-2</t>
        </is>
      </c>
      <c r="I6" s="22" t="n"/>
    </row>
    <row r="7">
      <c r="A7" s="23" t="n">
        <v>6</v>
      </c>
      <c r="B7" s="26" t="inlineStr">
        <is>
          <t>WORKcontrol-Registrierung MiT</t>
        </is>
      </c>
      <c r="C7" s="23" t="inlineStr">
        <is>
          <t>Admin</t>
        </is>
      </c>
      <c r="D7" s="26" t="inlineStr">
        <is>
          <t>Ann-Kathrin</t>
        </is>
      </c>
      <c r="E7" s="22" t="n">
        <v>46228</v>
      </c>
      <c r="F7" s="23" t="inlineStr">
        <is>
          <t>offen</t>
        </is>
      </c>
      <c r="G7" s="23" t="inlineStr">
        <is>
          <t>hoch</t>
        </is>
      </c>
      <c r="H7" s="26" t="inlineStr">
        <is>
          <t>vor Badges</t>
        </is>
      </c>
      <c r="I7" s="22" t="n"/>
    </row>
    <row r="8">
      <c r="A8" s="23" t="n">
        <v>7</v>
      </c>
      <c r="B8" s="26" t="inlineStr">
        <is>
          <t>Versand Gesamtpaket an DPR</t>
        </is>
      </c>
      <c r="C8" s="23" t="inlineStr">
        <is>
          <t>Admin</t>
        </is>
      </c>
      <c r="D8" s="26" t="inlineStr">
        <is>
          <t>Ann-Kathrin</t>
        </is>
      </c>
      <c r="E8" s="22" t="n">
        <v>46219.5</v>
      </c>
      <c r="F8" s="23" t="inlineStr">
        <is>
          <t>offen</t>
        </is>
      </c>
      <c r="G8" s="23" t="inlineStr">
        <is>
          <t>hoch</t>
        </is>
      </c>
      <c r="H8" s="26" t="inlineStr"/>
      <c r="I8" s="22" t="n"/>
    </row>
    <row r="9">
      <c r="A9" s="23" t="n">
        <v>8</v>
      </c>
      <c r="B9" s="26" t="inlineStr">
        <is>
          <t>Entscheid CHF-Kurs / Absicherung mit Olli</t>
        </is>
      </c>
      <c r="C9" s="23" t="inlineStr">
        <is>
          <t>Admin</t>
        </is>
      </c>
      <c r="D9" s="26" t="inlineStr">
        <is>
          <t>Stefan</t>
        </is>
      </c>
      <c r="E9" s="22" t="n">
        <v>46220</v>
      </c>
      <c r="F9" s="23" t="inlineStr">
        <is>
          <t>offen</t>
        </is>
      </c>
      <c r="G9" s="23" t="inlineStr">
        <is>
          <t>hoch</t>
        </is>
      </c>
      <c r="H9" s="26" t="inlineStr">
        <is>
          <t>FX EUR/CHF</t>
        </is>
      </c>
      <c r="I9" s="22" t="n"/>
    </row>
    <row r="10">
      <c r="A10" s="23" t="n">
        <v>9</v>
      </c>
      <c r="B10" s="26" t="inlineStr">
        <is>
          <t>Redline-Linie festlegen</t>
        </is>
      </c>
      <c r="C10" s="23" t="inlineStr">
        <is>
          <t>beide</t>
        </is>
      </c>
      <c r="D10" s="26" t="inlineStr">
        <is>
          <t>Stefan</t>
        </is>
      </c>
      <c r="E10" s="22" t="n">
        <v>46220</v>
      </c>
      <c r="F10" s="23" t="inlineStr">
        <is>
          <t>offen</t>
        </is>
      </c>
      <c r="G10" s="23" t="inlineStr">
        <is>
          <t>hoch</t>
        </is>
      </c>
      <c r="H10" s="26" t="inlineStr"/>
      <c r="I10" s="22" t="n"/>
    </row>
    <row r="11">
      <c r="A11" s="23" t="n">
        <v>10</v>
      </c>
      <c r="B11" s="26" t="inlineStr">
        <is>
          <t>Unterschriften leisten</t>
        </is>
      </c>
      <c r="C11" s="23" t="inlineStr">
        <is>
          <t>Admin</t>
        </is>
      </c>
      <c r="D11" s="26" t="inlineStr">
        <is>
          <t>Stefan</t>
        </is>
      </c>
      <c r="E11" s="22" t="n">
        <v>46219</v>
      </c>
      <c r="F11" s="23" t="inlineStr">
        <is>
          <t>offen</t>
        </is>
      </c>
      <c r="G11" s="23" t="inlineStr">
        <is>
          <t>hoch</t>
        </is>
      </c>
      <c r="H11" s="26" t="inlineStr">
        <is>
          <t>Nachmittags</t>
        </is>
      </c>
      <c r="I11" s="22" t="n"/>
    </row>
    <row r="12">
      <c r="A12" s="23" t="n">
        <v>11</v>
      </c>
      <c r="B12" s="26" t="inlineStr">
        <is>
          <t>bSuite + Intercompany-Schiene Aggreko aufsetzen</t>
        </is>
      </c>
      <c r="C12" s="23" t="inlineStr">
        <is>
          <t>beide</t>
        </is>
      </c>
      <c r="D12" s="26" t="inlineStr">
        <is>
          <t>Sarah</t>
        </is>
      </c>
      <c r="E12" s="22" t="n">
        <v>46219</v>
      </c>
      <c r="F12" s="23" t="inlineStr">
        <is>
          <t>offen</t>
        </is>
      </c>
      <c r="G12" s="23" t="inlineStr">
        <is>
          <t>hoch</t>
        </is>
      </c>
      <c r="H12" s="26" t="inlineStr"/>
      <c r="I12" s="22" t="n"/>
    </row>
    <row r="13">
      <c r="A13" s="23" t="n">
        <v>12</v>
      </c>
      <c r="B13" s="26" t="inlineStr">
        <is>
          <t>RAMS-Praxischeck durchfuehren</t>
        </is>
      </c>
      <c r="C13" s="23" t="inlineStr">
        <is>
          <t>beide</t>
        </is>
      </c>
      <c r="D13" s="26" t="inlineStr">
        <is>
          <t>Samuel</t>
        </is>
      </c>
      <c r="E13" s="22" t="n">
        <v>46223</v>
      </c>
      <c r="F13" s="23" t="inlineStr">
        <is>
          <t>offen</t>
        </is>
      </c>
      <c r="G13" s="23" t="inlineStr">
        <is>
          <t>hoch</t>
        </is>
      </c>
      <c r="H13" s="26" t="inlineStr">
        <is>
          <t>Hammertech</t>
        </is>
      </c>
      <c r="I13" s="22" t="n"/>
    </row>
    <row r="14">
      <c r="A14" s="23" t="n">
        <v>13</v>
      </c>
      <c r="B14" s="26" t="inlineStr">
        <is>
          <t>PO-Redlines erstellen und einreichen</t>
        </is>
      </c>
      <c r="C14" s="23" t="inlineStr">
        <is>
          <t>beide</t>
        </is>
      </c>
      <c r="D14" s="26" t="inlineStr">
        <is>
          <t>Burak</t>
        </is>
      </c>
      <c r="E14" s="22" t="n">
        <v>46220</v>
      </c>
      <c r="F14" s="23" t="inlineStr">
        <is>
          <t>offen</t>
        </is>
      </c>
      <c r="G14" s="23" t="inlineStr">
        <is>
          <t>hoch</t>
        </is>
      </c>
      <c r="H14" s="26" t="inlineStr">
        <is>
          <t>Rechenfehler pruefen</t>
        </is>
      </c>
      <c r="I14" s="22" t="n"/>
    </row>
    <row r="15">
      <c r="A15" s="23" t="n">
        <v>14</v>
      </c>
      <c r="B15" s="26" t="inlineStr">
        <is>
          <t>Aggreko-Terminbestaetigung 03.08. / 17.08. schriftlich einholen</t>
        </is>
      </c>
      <c r="C15" s="23" t="inlineStr">
        <is>
          <t>beide</t>
        </is>
      </c>
      <c r="D15" s="26" t="inlineStr">
        <is>
          <t>Burak</t>
        </is>
      </c>
      <c r="E15" s="22" t="n">
        <v>46223</v>
      </c>
      <c r="F15" s="23" t="inlineStr">
        <is>
          <t>offen</t>
        </is>
      </c>
      <c r="G15" s="23" t="inlineStr">
        <is>
          <t>hoch</t>
        </is>
      </c>
      <c r="H15" s="26" t="inlineStr"/>
      <c r="I15" s="22" t="n"/>
    </row>
    <row r="16">
      <c r="A16" s="23" t="n">
        <v>15</v>
      </c>
      <c r="B16" s="26" t="inlineStr">
        <is>
          <t>Staffelungs-Fakturierung klaeren</t>
        </is>
      </c>
      <c r="C16" s="23" t="inlineStr">
        <is>
          <t>beide</t>
        </is>
      </c>
      <c r="D16" s="26" t="inlineStr">
        <is>
          <t>Burak</t>
        </is>
      </c>
      <c r="E16" s="22" t="n">
        <v>46227</v>
      </c>
      <c r="F16" s="23" t="inlineStr">
        <is>
          <t>offen</t>
        </is>
      </c>
      <c r="G16" s="23" t="inlineStr">
        <is>
          <t>mittel</t>
        </is>
      </c>
      <c r="H16" s="26" t="inlineStr"/>
      <c r="I16" s="22" t="n"/>
    </row>
    <row r="17">
      <c r="A17" s="23" t="n">
        <v>16</v>
      </c>
      <c r="B17" s="26" t="inlineStr">
        <is>
          <t>PL-Benennung Aggreko DE anfordern</t>
        </is>
      </c>
      <c r="C17" s="23" t="inlineStr">
        <is>
          <t>beide</t>
        </is>
      </c>
      <c r="D17" s="26" t="inlineStr">
        <is>
          <t>Burak</t>
        </is>
      </c>
      <c r="E17" s="22" t="n">
        <v>46223</v>
      </c>
      <c r="F17" s="23" t="inlineStr">
        <is>
          <t>offen</t>
        </is>
      </c>
      <c r="G17" s="23" t="inlineStr">
        <is>
          <t>mittel</t>
        </is>
      </c>
      <c r="H17" s="26" t="inlineStr"/>
      <c r="I17" s="22" t="n"/>
    </row>
    <row r="18">
      <c r="A18" s="23" t="n">
        <v>17</v>
      </c>
      <c r="B18" s="26" t="inlineStr">
        <is>
          <t>Heavy-Duty-Strombedarf bei DPR einreichen</t>
        </is>
      </c>
      <c r="C18" s="23" t="inlineStr">
        <is>
          <t>beide</t>
        </is>
      </c>
      <c r="D18" s="26" t="inlineStr">
        <is>
          <t>Burak</t>
        </is>
      </c>
      <c r="E18" s="22" t="n">
        <v>46227</v>
      </c>
      <c r="F18" s="23" t="inlineStr">
        <is>
          <t>offen</t>
        </is>
      </c>
      <c r="G18" s="23" t="inlineStr">
        <is>
          <t>hoch</t>
        </is>
      </c>
      <c r="H18" s="26" t="inlineStr"/>
      <c r="I18" s="22" t="n"/>
    </row>
    <row r="19">
      <c r="A19" s="23" t="n">
        <v>18</v>
      </c>
      <c r="B19" s="26" t="inlineStr">
        <is>
          <t>NDA MiT-DPR anstossen</t>
        </is>
      </c>
      <c r="C19" s="23" t="inlineStr">
        <is>
          <t>Admin</t>
        </is>
      </c>
      <c r="D19" s="26" t="inlineStr">
        <is>
          <t>Burak</t>
        </is>
      </c>
      <c r="E19" s="22" t="n">
        <v>46221</v>
      </c>
      <c r="F19" s="23" t="inlineStr">
        <is>
          <t>offen</t>
        </is>
      </c>
      <c r="G19" s="23" t="inlineStr">
        <is>
          <t>hoch</t>
        </is>
      </c>
      <c r="H19" s="26" t="inlineStr">
        <is>
          <t>eigene NDA</t>
        </is>
      </c>
      <c r="I19" s="22" t="n"/>
    </row>
    <row r="20">
      <c r="A20" s="23" t="n">
        <v>19</v>
      </c>
      <c r="B20" s="26" t="inlineStr">
        <is>
          <t>Kranfrage / Lift Plan klaeren</t>
        </is>
      </c>
      <c r="C20" s="23" t="inlineStr">
        <is>
          <t>beide</t>
        </is>
      </c>
      <c r="D20" s="26" t="inlineStr">
        <is>
          <t>Burak</t>
        </is>
      </c>
      <c r="E20" s="22" t="n">
        <v>46231</v>
      </c>
      <c r="F20" s="23" t="inlineStr">
        <is>
          <t>offen</t>
        </is>
      </c>
      <c r="G20" s="23" t="inlineStr">
        <is>
          <t>mittel</t>
        </is>
      </c>
      <c r="H20" s="26" t="inlineStr"/>
      <c r="I20" s="22" t="n"/>
    </row>
    <row r="21">
      <c r="A21" s="23" t="n">
        <v>20</v>
      </c>
      <c r="B21" s="26" t="inlineStr">
        <is>
          <t>24/7-Kontaktkette aufstellen</t>
        </is>
      </c>
      <c r="C21" s="23" t="inlineStr">
        <is>
          <t>beide</t>
        </is>
      </c>
      <c r="D21" s="26" t="inlineStr">
        <is>
          <t>Burak</t>
        </is>
      </c>
      <c r="E21" s="22" t="n">
        <v>46235</v>
      </c>
      <c r="F21" s="23" t="inlineStr">
        <is>
          <t>offen</t>
        </is>
      </c>
      <c r="G21" s="23" t="inlineStr">
        <is>
          <t>mittel</t>
        </is>
      </c>
      <c r="H21" s="26" t="inlineStr"/>
      <c r="I21" s="22" t="n"/>
    </row>
    <row r="22">
      <c r="A22" s="23" t="n">
        <v>21</v>
      </c>
      <c r="B22" s="26" t="inlineStr">
        <is>
          <t>Tank-Standort mit 110%-Containment festlegen</t>
        </is>
      </c>
      <c r="C22" s="23" t="inlineStr">
        <is>
          <t>Headload</t>
        </is>
      </c>
      <c r="D22" s="26" t="inlineStr">
        <is>
          <t>Burak</t>
        </is>
      </c>
      <c r="E22" s="22" t="n">
        <v>46233</v>
      </c>
      <c r="F22" s="23" t="inlineStr">
        <is>
          <t>offen</t>
        </is>
      </c>
      <c r="G22" s="23" t="inlineStr">
        <is>
          <t>hoch</t>
        </is>
      </c>
      <c r="H22" s="26" t="inlineStr"/>
      <c r="I22" s="22" t="n"/>
    </row>
  </sheetData>
  <conditionalFormatting sqref="F2:F22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G2:G22">
    <cfRule type="cellIs" priority="5" operator="equal" dxfId="7">
      <formula>"hoch"</formula>
    </cfRule>
  </conditionalFormatting>
  <conditionalFormatting sqref="E2:E22">
    <cfRule type="expression" priority="6" dxfId="4">
      <formula>AND($E2&lt;TODAY(),$F2&lt;&gt;"erledigt",$E2&lt;&gt;"")</formula>
    </cfRule>
  </conditionalFormatting>
  <dataValidations count="4">
    <dataValidation sqref="C2:C22" showDropDown="0" showInputMessage="0" showErrorMessage="0" allowBlank="1" errorTitle="Ungueltige Eingabe" error="Bitte einen Wert aus der Liste waehlen." prompt="Wert aus Dropdown waehlen" type="list">
      <formula1>"Loadbank,Headload,beide,Admin"</formula1>
    </dataValidation>
    <dataValidation sqref="D2:D22" showDropDown="0" showInputMessage="0" showErrorMessage="0" allowBlank="1" errorTitle="Ungueltige Eingabe" error="Bitte einen Wert aus der Liste waehlen." prompt="Wert aus Dropdown waehlen" type="list">
      <formula1>"Burak,Stefan,Markus,Ann-Kathrin,Sarah,Samuel,Stephan Marty,Aggreko,DPR"</formula1>
    </dataValidation>
    <dataValidation sqref="F2:F22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  <dataValidation sqref="G2:G22" showDropDown="0" showInputMessage="0" showErrorMessage="0" allowBlank="1" errorTitle="Ungueltige Eingabe" error="Bitte einen Wert aus der Liste waehlen." prompt="Wert aus Dropdown waehlen" type="list">
      <formula1>"hoch,mittel,niedrig"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I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26" customWidth="1" min="2" max="2"/>
    <col width="12" customWidth="1" min="3" max="3"/>
    <col width="22" customWidth="1" min="4" max="4"/>
    <col width="16" customWidth="1" min="5" max="5"/>
    <col width="18" customWidth="1" min="6" max="6"/>
    <col width="15" customWidth="1" min="7" max="7"/>
    <col width="13" customWidth="1" min="8" max="8"/>
    <col width="30" customWidth="1" min="9" max="9"/>
  </cols>
  <sheetData>
    <row r="1">
      <c r="A1" s="20" t="inlineStr">
        <is>
          <t>Nr.</t>
        </is>
      </c>
      <c r="B1" s="20" t="inlineStr">
        <is>
          <t>Name</t>
        </is>
      </c>
      <c r="C1" s="20" t="inlineStr">
        <is>
          <t>Firma</t>
        </is>
      </c>
      <c r="D1" s="20" t="inlineStr">
        <is>
          <t>Rolle</t>
        </is>
      </c>
      <c r="E1" s="20" t="inlineStr">
        <is>
          <t>Entsendemeldung</t>
        </is>
      </c>
      <c r="F1" s="20" t="inlineStr">
        <is>
          <t>WORKcontrol-Badge</t>
        </is>
      </c>
      <c r="G1" s="20" t="inlineStr">
        <is>
          <t>Site Induction</t>
        </is>
      </c>
      <c r="H1" s="20" t="inlineStr">
        <is>
          <t>Status</t>
        </is>
      </c>
      <c r="I1" s="20" t="inlineStr">
        <is>
          <t>Bemerkung</t>
        </is>
      </c>
    </row>
    <row r="2">
      <c r="A2" s="23" t="n">
        <v>1</v>
      </c>
      <c r="B2" s="26" t="inlineStr">
        <is>
          <t>Uecoez, Burak</t>
        </is>
      </c>
      <c r="C2" s="23" t="inlineStr">
        <is>
          <t>MiT</t>
        </is>
      </c>
      <c r="D2" s="26" t="inlineStr">
        <is>
          <t>Projektleiter</t>
        </is>
      </c>
      <c r="E2" s="23" t="inlineStr">
        <is>
          <t>n.a.</t>
        </is>
      </c>
      <c r="F2" s="23" t="inlineStr">
        <is>
          <t>n.a.</t>
        </is>
      </c>
      <c r="G2" s="22" t="n"/>
      <c r="H2" s="23" t="inlineStr">
        <is>
          <t>in Arbeit</t>
        </is>
      </c>
      <c r="I2" s="26" t="inlineStr">
        <is>
          <t>Gesamtkoordination</t>
        </is>
      </c>
    </row>
    <row r="3">
      <c r="A3" s="23" t="n">
        <v>2</v>
      </c>
      <c r="B3" s="26" t="inlineStr">
        <is>
          <t>N.N. (PL Aggreko DE)</t>
        </is>
      </c>
      <c r="C3" s="23" t="inlineStr">
        <is>
          <t>Aggreko</t>
        </is>
      </c>
      <c r="D3" s="26" t="inlineStr">
        <is>
          <t>Projektleiter</t>
        </is>
      </c>
      <c r="E3" s="23" t="inlineStr">
        <is>
          <t>offen</t>
        </is>
      </c>
      <c r="F3" s="23" t="inlineStr">
        <is>
          <t>offen</t>
        </is>
      </c>
      <c r="G3" s="22" t="n"/>
      <c r="H3" s="23" t="inlineStr">
        <is>
          <t>offen</t>
        </is>
      </c>
      <c r="I3" s="26" t="inlineStr">
        <is>
          <t>Benennung ausstehend</t>
        </is>
      </c>
    </row>
    <row r="4">
      <c r="A4" s="23" t="n">
        <v>3</v>
      </c>
      <c r="B4" s="26" t="inlineStr">
        <is>
          <t>N.N. Servicetechniker 1</t>
        </is>
      </c>
      <c r="C4" s="23" t="inlineStr">
        <is>
          <t>Aggreko</t>
        </is>
      </c>
      <c r="D4" s="26" t="inlineStr">
        <is>
          <t>Techniker</t>
        </is>
      </c>
      <c r="E4" s="23" t="inlineStr">
        <is>
          <t>offen</t>
        </is>
      </c>
      <c r="F4" s="23" t="inlineStr">
        <is>
          <t>offen</t>
        </is>
      </c>
      <c r="G4" s="22" t="n"/>
      <c r="H4" s="23" t="inlineStr">
        <is>
          <t>offen</t>
        </is>
      </c>
      <c r="I4" s="26" t="inlineStr">
        <is>
          <t>Entsendefrist 24.07.</t>
        </is>
      </c>
    </row>
    <row r="5">
      <c r="A5" s="23" t="n">
        <v>4</v>
      </c>
      <c r="B5" s="26" t="inlineStr">
        <is>
          <t>N.N. Servicetechniker 2</t>
        </is>
      </c>
      <c r="C5" s="23" t="inlineStr">
        <is>
          <t>Aggreko</t>
        </is>
      </c>
      <c r="D5" s="26" t="inlineStr">
        <is>
          <t>Techniker</t>
        </is>
      </c>
      <c r="E5" s="23" t="inlineStr">
        <is>
          <t>offen</t>
        </is>
      </c>
      <c r="F5" s="23" t="inlineStr">
        <is>
          <t>offen</t>
        </is>
      </c>
      <c r="G5" s="22" t="n"/>
      <c r="H5" s="23" t="inlineStr">
        <is>
          <t>offen</t>
        </is>
      </c>
      <c r="I5" s="26" t="inlineStr">
        <is>
          <t>Entsendefrist 24.07.</t>
        </is>
      </c>
    </row>
    <row r="6">
      <c r="A6" s="23" t="n">
        <v>5</v>
      </c>
      <c r="B6" s="26" t="inlineStr">
        <is>
          <t>N.N. Servicetechniker 3</t>
        </is>
      </c>
      <c r="C6" s="23" t="inlineStr">
        <is>
          <t>Aggreko</t>
        </is>
      </c>
      <c r="D6" s="26" t="inlineStr">
        <is>
          <t>Techniker</t>
        </is>
      </c>
      <c r="E6" s="23" t="inlineStr">
        <is>
          <t>offen</t>
        </is>
      </c>
      <c r="F6" s="23" t="inlineStr">
        <is>
          <t>offen</t>
        </is>
      </c>
      <c r="G6" s="22" t="n"/>
      <c r="H6" s="23" t="inlineStr">
        <is>
          <t>offen</t>
        </is>
      </c>
      <c r="I6" s="26" t="inlineStr">
        <is>
          <t>Entsendefrist 24.07.</t>
        </is>
      </c>
    </row>
    <row r="7">
      <c r="A7" s="23" t="n">
        <v>6</v>
      </c>
      <c r="B7" s="26" t="inlineStr">
        <is>
          <t>N.N. Servicetechniker 4</t>
        </is>
      </c>
      <c r="C7" s="23" t="inlineStr">
        <is>
          <t>Aggreko</t>
        </is>
      </c>
      <c r="D7" s="26" t="inlineStr">
        <is>
          <t>Techniker</t>
        </is>
      </c>
      <c r="E7" s="23" t="inlineStr">
        <is>
          <t>offen</t>
        </is>
      </c>
      <c r="F7" s="23" t="inlineStr">
        <is>
          <t>offen</t>
        </is>
      </c>
      <c r="G7" s="22" t="n"/>
      <c r="H7" s="23" t="inlineStr">
        <is>
          <t>offen</t>
        </is>
      </c>
      <c r="I7" s="26" t="inlineStr">
        <is>
          <t>Entsendefrist 24.07.</t>
        </is>
      </c>
    </row>
    <row r="8">
      <c r="A8" s="23" t="n">
        <v>7</v>
      </c>
      <c r="B8" s="26" t="inlineStr">
        <is>
          <t>N.N. DPR Site Contact</t>
        </is>
      </c>
      <c r="C8" s="23" t="inlineStr">
        <is>
          <t>DPR</t>
        </is>
      </c>
      <c r="D8" s="26" t="inlineStr">
        <is>
          <t>Bauleitung</t>
        </is>
      </c>
      <c r="E8" s="23" t="inlineStr">
        <is>
          <t>n.a.</t>
        </is>
      </c>
      <c r="F8" s="23" t="inlineStr">
        <is>
          <t>n.a.</t>
        </is>
      </c>
      <c r="G8" s="22" t="n"/>
      <c r="H8" s="23" t="inlineStr">
        <is>
          <t>offen</t>
        </is>
      </c>
      <c r="I8" s="26" t="inlineStr">
        <is>
          <t>Ansprechpartner vor Ort</t>
        </is>
      </c>
    </row>
  </sheetData>
  <conditionalFormatting sqref="E2:E8">
    <cfRule type="cellIs" priority="1" operator="equal" dxfId="4">
      <formula>"offen"</formula>
    </cfRule>
    <cfRule type="cellIs" priority="2" operator="equal" dxfId="3">
      <formula>"bestaetigt"</formula>
    </cfRule>
    <cfRule type="cellIs" priority="3" operator="equal" dxfId="3">
      <formula>"erhalten"</formula>
    </cfRule>
  </conditionalFormatting>
  <conditionalFormatting sqref="F2:F8">
    <cfRule type="cellIs" priority="4" operator="equal" dxfId="4">
      <formula>"offen"</formula>
    </cfRule>
    <cfRule type="cellIs" priority="5" operator="equal" dxfId="3">
      <formula>"bestaetigt"</formula>
    </cfRule>
    <cfRule type="cellIs" priority="6" operator="equal" dxfId="3">
      <formula>"erhalten"</formula>
    </cfRule>
  </conditionalFormatting>
  <conditionalFormatting sqref="H2:H8">
    <cfRule type="cellIs" priority="7" operator="equal" dxfId="3">
      <formula>"bereit"</formula>
    </cfRule>
  </conditionalFormatting>
  <dataValidations count="4">
    <dataValidation sqref="C2:C8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E2:E8" showDropDown="0" showInputMessage="0" showErrorMessage="0" allowBlank="1" errorTitle="Ungueltige Eingabe" error="Bitte einen Wert aus der Liste waehlen." prompt="Wert aus Dropdown waehlen" type="list">
      <formula1>"offen,eingereicht,bestaetigt,n.a."</formula1>
    </dataValidation>
    <dataValidation sqref="F2:F8" showDropDown="0" showInputMessage="0" showErrorMessage="0" allowBlank="1" errorTitle="Ungueltige Eingabe" error="Bitte einen Wert aus der Liste waehlen." prompt="Wert aus Dropdown waehlen" type="list">
      <formula1>"offen,beantragt,erhalten,n.a."</formula1>
    </dataValidation>
    <dataValidation sqref="H2:H8" showDropDown="0" showInputMessage="0" showErrorMessage="0" allowBlank="1" errorTitle="Ungueltige Eingabe" error="Bitte einen Wert aus der Liste waehlen." prompt="Wert aus Dropdown waehlen" type="list">
      <formula1>"offen,in Arbeit,bereit"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H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16" customWidth="1" min="2" max="2"/>
    <col width="52" customWidth="1" min="3" max="3"/>
    <col width="13" customWidth="1" min="4" max="4"/>
    <col width="14" customWidth="1" min="5" max="5"/>
    <col width="14" customWidth="1" min="6" max="6"/>
    <col width="13" customWidth="1" min="7" max="7"/>
    <col width="44" customWidth="1" min="8" max="8"/>
  </cols>
  <sheetData>
    <row r="1">
      <c r="A1" s="20" t="inlineStr">
        <is>
          <t>Nr.</t>
        </is>
      </c>
      <c r="B1" s="20" t="inlineStr">
        <is>
          <t>Typ</t>
        </is>
      </c>
      <c r="C1" s="20" t="inlineStr">
        <is>
          <t>Beschreibung</t>
        </is>
      </c>
      <c r="D1" s="20" t="inlineStr">
        <is>
          <t>Auswirkung</t>
        </is>
      </c>
      <c r="E1" s="20" t="inlineStr">
        <is>
          <t>Owner</t>
        </is>
      </c>
      <c r="F1" s="20" t="inlineStr">
        <is>
          <t>Termin</t>
        </is>
      </c>
      <c r="G1" s="20" t="inlineStr">
        <is>
          <t>Status</t>
        </is>
      </c>
      <c r="H1" s="20" t="inlineStr">
        <is>
          <t>Massnahme</t>
        </is>
      </c>
    </row>
    <row r="2">
      <c r="A2" s="23" t="n">
        <v>1</v>
      </c>
      <c r="B2" s="23" t="inlineStr">
        <is>
          <t>Risiko</t>
        </is>
      </c>
      <c r="C2" s="26" t="inlineStr">
        <is>
          <t>PO-Rechenfehler: 78 vs. 110 Tage (ca. EUR 87'700 Differenz)</t>
        </is>
      </c>
      <c r="D2" s="23" t="inlineStr">
        <is>
          <t>hoch</t>
        </is>
      </c>
      <c r="E2" s="26" t="inlineStr">
        <is>
          <t>Burak</t>
        </is>
      </c>
      <c r="F2" s="22" t="n">
        <v>46220</v>
      </c>
      <c r="G2" s="23" t="inlineStr">
        <is>
          <t>offen</t>
        </is>
      </c>
      <c r="H2" s="26" t="inlineStr">
        <is>
          <t>Redline an DPR mit korrigierter Tagesberechnung</t>
        </is>
      </c>
    </row>
    <row r="3">
      <c r="A3" s="23" t="n">
        <v>2</v>
      </c>
      <c r="B3" s="23" t="inlineStr">
        <is>
          <t>Risiko</t>
        </is>
      </c>
      <c r="C3" s="26" t="inlineStr">
        <is>
          <t>PO-Rechenfehler: 131 vs. 110 Tage, Enddatum 02.11. falsch abgeleitet</t>
        </is>
      </c>
      <c r="D3" s="23" t="inlineStr">
        <is>
          <t>hoch</t>
        </is>
      </c>
      <c r="E3" s="26" t="inlineStr">
        <is>
          <t>Burak</t>
        </is>
      </c>
      <c r="F3" s="22" t="n">
        <v>46220</v>
      </c>
      <c r="G3" s="23" t="inlineStr">
        <is>
          <t>offen</t>
        </is>
      </c>
      <c r="H3" s="26" t="inlineStr">
        <is>
          <t>Enddatum und Tageszahl in PO korrigieren</t>
        </is>
      </c>
    </row>
    <row r="4">
      <c r="A4" s="23" t="n">
        <v>3</v>
      </c>
      <c r="B4" s="23" t="inlineStr">
        <is>
          <t>Offener Punkt</t>
        </is>
      </c>
      <c r="C4" s="26" t="inlineStr">
        <is>
          <t>Parteien auf Mobil in Time AG umschreiben + eigene NDA</t>
        </is>
      </c>
      <c r="D4" s="23" t="inlineStr">
        <is>
          <t>hoch</t>
        </is>
      </c>
      <c r="E4" s="26" t="inlineStr">
        <is>
          <t>Burak</t>
        </is>
      </c>
      <c r="F4" s="22" t="n">
        <v>46221</v>
      </c>
      <c r="G4" s="23" t="inlineStr">
        <is>
          <t>offen</t>
        </is>
      </c>
      <c r="H4" s="26" t="inlineStr">
        <is>
          <t>PO-Parteien anpassen, NDA MiT-DPR anstossen</t>
        </is>
      </c>
    </row>
    <row r="5">
      <c r="A5" s="23" t="n">
        <v>4</v>
      </c>
      <c r="B5" s="23" t="inlineStr">
        <is>
          <t>Entscheid</t>
        </is>
      </c>
      <c r="C5" s="26" t="inlineStr">
        <is>
          <t>Festpreis DPR vs. Aufwandspreise Aggreko - Margen-/Modellrisiko</t>
        </is>
      </c>
      <c r="D5" s="23" t="inlineStr">
        <is>
          <t>hoch</t>
        </is>
      </c>
      <c r="E5" s="26" t="inlineStr">
        <is>
          <t>Stefan</t>
        </is>
      </c>
      <c r="F5" s="22" t="n">
        <v>46221</v>
      </c>
      <c r="G5" s="23" t="inlineStr">
        <is>
          <t>offen</t>
        </is>
      </c>
      <c r="H5" s="26" t="inlineStr">
        <is>
          <t>Preismodell final abstimmen</t>
        </is>
      </c>
    </row>
    <row r="6">
      <c r="A6" s="23" t="n">
        <v>5</v>
      </c>
      <c r="B6" s="23" t="inlineStr">
        <is>
          <t>Risiko</t>
        </is>
      </c>
      <c r="C6" s="26" t="inlineStr">
        <is>
          <t>FX-Risiko EUR/CHF (Einkauf EUR, Verkauf CHF)</t>
        </is>
      </c>
      <c r="D6" s="23" t="inlineStr">
        <is>
          <t>mittel</t>
        </is>
      </c>
      <c r="E6" s="26" t="inlineStr">
        <is>
          <t>Stefan</t>
        </is>
      </c>
      <c r="F6" s="22" t="n">
        <v>46220</v>
      </c>
      <c r="G6" s="23" t="inlineStr">
        <is>
          <t>offen</t>
        </is>
      </c>
      <c r="H6" s="26" t="inlineStr">
        <is>
          <t>Kurs/Absicherung mit Olli entscheiden</t>
        </is>
      </c>
    </row>
    <row r="7">
      <c r="A7" s="23" t="n">
        <v>6</v>
      </c>
      <c r="B7" s="23" t="inlineStr">
        <is>
          <t>Offener Punkt</t>
        </is>
      </c>
      <c r="C7" s="26" t="inlineStr">
        <is>
          <t>Keine schriftliche Aggreko-Terminbestaetigung 03.08. / 17.08.</t>
        </is>
      </c>
      <c r="D7" s="23" t="inlineStr">
        <is>
          <t>hoch</t>
        </is>
      </c>
      <c r="E7" s="26" t="inlineStr">
        <is>
          <t>Burak</t>
        </is>
      </c>
      <c r="F7" s="22" t="n">
        <v>46223</v>
      </c>
      <c r="G7" s="23" t="inlineStr">
        <is>
          <t>offen</t>
        </is>
      </c>
      <c r="H7" s="26" t="inlineStr">
        <is>
          <t>Schriftliche Bestaetigung einholen</t>
        </is>
      </c>
    </row>
    <row r="8">
      <c r="A8" s="23" t="n">
        <v>7</v>
      </c>
      <c r="B8" s="23" t="inlineStr">
        <is>
          <t>Risiko</t>
        </is>
      </c>
      <c r="C8" s="26" t="inlineStr">
        <is>
          <t>Entsendefrist Aggreko-Personal 24.07.</t>
        </is>
      </c>
      <c r="D8" s="23" t="inlineStr">
        <is>
          <t>hoch</t>
        </is>
      </c>
      <c r="E8" s="26" t="inlineStr">
        <is>
          <t>Aggreko</t>
        </is>
      </c>
      <c r="F8" s="22" t="n">
        <v>46227</v>
      </c>
      <c r="G8" s="23" t="inlineStr">
        <is>
          <t>offen</t>
        </is>
      </c>
      <c r="H8" s="26" t="inlineStr">
        <is>
          <t>Entsendemeldung fristgerecht einreichen</t>
        </is>
      </c>
    </row>
    <row r="9">
      <c r="A9" s="23" t="n">
        <v>8</v>
      </c>
      <c r="B9" s="23" t="inlineStr">
        <is>
          <t>Offener Punkt</t>
        </is>
      </c>
      <c r="C9" s="26" t="inlineStr">
        <is>
          <t>Waermeabfuhr 8 MW als DPR-Verantwortung klaeren</t>
        </is>
      </c>
      <c r="D9" s="23" t="inlineStr">
        <is>
          <t>hoch</t>
        </is>
      </c>
      <c r="E9" s="26" t="inlineStr">
        <is>
          <t>DPR</t>
        </is>
      </c>
      <c r="F9" s="22" t="n">
        <v>46227</v>
      </c>
      <c r="G9" s="23" t="inlineStr">
        <is>
          <t>offen</t>
        </is>
      </c>
      <c r="H9" s="26" t="inlineStr">
        <is>
          <t>Schriftliche Bestaetigung DPR-Verantwortung</t>
        </is>
      </c>
    </row>
    <row r="10">
      <c r="A10" s="23" t="n">
        <v>9</v>
      </c>
      <c r="B10" s="23" t="inlineStr">
        <is>
          <t>Risiko</t>
        </is>
      </c>
      <c r="C10" s="26" t="inlineStr">
        <is>
          <t>NDA-Sperre: kein Vantage-Kontakt, keine Aussenkommunikation</t>
        </is>
      </c>
      <c r="D10" s="23" t="inlineStr">
        <is>
          <t>hoch</t>
        </is>
      </c>
      <c r="E10" s="26" t="inlineStr">
        <is>
          <t>Burak</t>
        </is>
      </c>
      <c r="F10" s="22" t="n">
        <v>46219</v>
      </c>
      <c r="G10" s="23" t="inlineStr">
        <is>
          <t>offen</t>
        </is>
      </c>
      <c r="H10" s="26" t="inlineStr">
        <is>
          <t>Kommunikation ausschliesslich ueber DPR</t>
        </is>
      </c>
    </row>
  </sheetData>
  <conditionalFormatting sqref="G2:G10">
    <cfRule type="cellIs" priority="1" operator="equal" dxfId="3">
      <formula>"erledigt"</formula>
    </cfRule>
    <cfRule type="cellIs" priority="2" operator="equal" dxfId="4">
      <formula>"kritisch"</formula>
    </cfRule>
    <cfRule type="cellIs" priority="3" operator="equal" dxfId="5">
      <formula>"in Arbeit"</formula>
    </cfRule>
    <cfRule type="cellIs" priority="4" operator="equal" dxfId="6">
      <formula>"verschoben"</formula>
    </cfRule>
  </conditionalFormatting>
  <conditionalFormatting sqref="D2:D10">
    <cfRule type="cellIs" priority="5" operator="equal" dxfId="8">
      <formula>"hoch"</formula>
    </cfRule>
  </conditionalFormatting>
  <dataValidations count="3">
    <dataValidation sqref="B2:B10" showDropDown="0" showInputMessage="0" showErrorMessage="0" allowBlank="1" errorTitle="Ungueltige Eingabe" error="Bitte einen Wert aus der Liste waehlen." prompt="Wert aus Dropdown waehlen" type="list">
      <formula1>"Risiko,Offener Punkt,Entscheid"</formula1>
    </dataValidation>
    <dataValidation sqref="D2:D10" showDropDown="0" showInputMessage="0" showErrorMessage="0" allowBlank="1" errorTitle="Ungueltige Eingabe" error="Bitte einen Wert aus der Liste waehlen." prompt="Wert aus Dropdown waehlen" type="list">
      <formula1>"hoch,mittel,niedrig"</formula1>
    </dataValidation>
    <dataValidation sqref="G2:G10" showDropDown="0" showInputMessage="0" showErrorMessage="0" allowBlank="1" errorTitle="Ungueltige Eingabe" error="Bitte einen Wert aus der Liste waehlen." prompt="Wert aus Dropdown waehlen" type="list">
      <formula1>"offen,in Arbeit,erledigt,verschoben,kritisch"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F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50" customWidth="1" min="2" max="2"/>
    <col width="16" customWidth="1" min="3" max="3"/>
    <col width="12" customWidth="1" min="4" max="4"/>
    <col width="40" customWidth="1" min="5" max="5"/>
    <col width="14" customWidth="1" min="6" max="6"/>
  </cols>
  <sheetData>
    <row r="1">
      <c r="A1" s="20" t="inlineStr">
        <is>
          <t>Nr.</t>
        </is>
      </c>
      <c r="B1" s="20" t="inlineStr">
        <is>
          <t>Dokument</t>
        </is>
      </c>
      <c r="C1" s="20" t="inlineStr">
        <is>
          <t>Version/Datum</t>
        </is>
      </c>
      <c r="D1" s="20" t="inlineStr">
        <is>
          <t>Quelle</t>
        </is>
      </c>
      <c r="E1" s="20" t="inlineStr">
        <is>
          <t>Ablageort SharePoint</t>
        </is>
      </c>
      <c r="F1" s="20" t="inlineStr">
        <is>
          <t>Status</t>
        </is>
      </c>
    </row>
    <row r="2">
      <c r="A2" s="23" t="n">
        <v>1</v>
      </c>
      <c r="B2" s="26" t="inlineStr">
        <is>
          <t>Angebot Aggreko P-640380-3 (Loadbank 6 MVA)</t>
        </is>
      </c>
      <c r="C2" s="23" t="inlineStr"/>
      <c r="D2" s="23" t="inlineStr">
        <is>
          <t>Aggreko</t>
        </is>
      </c>
      <c r="E2" s="28" t="inlineStr">
        <is>
          <t>[SharePoint-Projektordner]</t>
        </is>
      </c>
      <c r="F2" s="23" t="inlineStr">
        <is>
          <t>Entwurf</t>
        </is>
      </c>
    </row>
    <row r="3">
      <c r="A3" s="23" t="n">
        <v>2</v>
      </c>
      <c r="B3" s="26" t="inlineStr">
        <is>
          <t>Angebot Aggreko P-650395-2 (Headload 8 MW)</t>
        </is>
      </c>
      <c r="C3" s="23" t="inlineStr"/>
      <c r="D3" s="23" t="inlineStr">
        <is>
          <t>Aggreko</t>
        </is>
      </c>
      <c r="E3" s="28" t="inlineStr">
        <is>
          <t>[SharePoint-Projektordner]</t>
        </is>
      </c>
      <c r="F3" s="23" t="inlineStr">
        <is>
          <t>Entwurf</t>
        </is>
      </c>
    </row>
    <row r="4">
      <c r="A4" s="23" t="n">
        <v>3</v>
      </c>
      <c r="B4" s="26" t="inlineStr">
        <is>
          <t>Purchase Order 49A (Loadbank)</t>
        </is>
      </c>
      <c r="C4" s="23" t="inlineStr"/>
      <c r="D4" s="23" t="inlineStr">
        <is>
          <t>DPR</t>
        </is>
      </c>
      <c r="E4" s="28" t="inlineStr">
        <is>
          <t>[SharePoint-Projektordner]</t>
        </is>
      </c>
      <c r="F4" s="23" t="inlineStr">
        <is>
          <t>Entwurf</t>
        </is>
      </c>
    </row>
    <row r="5">
      <c r="A5" s="23" t="n">
        <v>4</v>
      </c>
      <c r="B5" s="26" t="inlineStr">
        <is>
          <t>Purchase Order 49B (Headload)</t>
        </is>
      </c>
      <c r="C5" s="23" t="inlineStr"/>
      <c r="D5" s="23" t="inlineStr">
        <is>
          <t>DPR</t>
        </is>
      </c>
      <c r="E5" s="28" t="inlineStr">
        <is>
          <t>[SharePoint-Projektordner]</t>
        </is>
      </c>
      <c r="F5" s="23" t="inlineStr">
        <is>
          <t>Entwurf</t>
        </is>
      </c>
    </row>
    <row r="6">
      <c r="A6" s="23" t="n">
        <v>5</v>
      </c>
      <c r="B6" s="26" t="inlineStr">
        <is>
          <t>NDA MiT-DPR</t>
        </is>
      </c>
      <c r="C6" s="23" t="inlineStr"/>
      <c r="D6" s="23" t="inlineStr">
        <is>
          <t>MiT</t>
        </is>
      </c>
      <c r="E6" s="28" t="inlineStr">
        <is>
          <t>[SharePoint-Projektordner]</t>
        </is>
      </c>
      <c r="F6" s="23" t="inlineStr">
        <is>
          <t>Entwurf</t>
        </is>
      </c>
    </row>
    <row r="7">
      <c r="A7" s="23" t="n">
        <v>6</v>
      </c>
      <c r="B7" s="26" t="inlineStr">
        <is>
          <t>Versicherungsnachweis</t>
        </is>
      </c>
      <c r="C7" s="23" t="inlineStr"/>
      <c r="D7" s="23" t="inlineStr">
        <is>
          <t>MiT</t>
        </is>
      </c>
      <c r="E7" s="28" t="inlineStr">
        <is>
          <t>[SharePoint-Projektordner]</t>
        </is>
      </c>
      <c r="F7" s="23" t="inlineStr">
        <is>
          <t>Entwurf</t>
        </is>
      </c>
    </row>
    <row r="8">
      <c r="A8" s="23" t="n">
        <v>7</v>
      </c>
      <c r="B8" s="26" t="inlineStr">
        <is>
          <t>Logistikplan</t>
        </is>
      </c>
      <c r="C8" s="23" t="inlineStr"/>
      <c r="D8" s="23" t="inlineStr">
        <is>
          <t>MiT</t>
        </is>
      </c>
      <c r="E8" s="28" t="inlineStr">
        <is>
          <t>[SharePoint-Projektordner]</t>
        </is>
      </c>
      <c r="F8" s="23" t="inlineStr">
        <is>
          <t>Entwurf</t>
        </is>
      </c>
    </row>
    <row r="9">
      <c r="A9" s="23" t="n">
        <v>8</v>
      </c>
      <c r="B9" s="26" t="inlineStr">
        <is>
          <t>Supplemental Conditions</t>
        </is>
      </c>
      <c r="C9" s="23" t="inlineStr"/>
      <c r="D9" s="23" t="inlineStr">
        <is>
          <t>DPR</t>
        </is>
      </c>
      <c r="E9" s="28" t="inlineStr">
        <is>
          <t>[SharePoint-Projektordner]</t>
        </is>
      </c>
      <c r="F9" s="23" t="inlineStr">
        <is>
          <t>Entwurf</t>
        </is>
      </c>
    </row>
    <row r="10">
      <c r="A10" s="23" t="n">
        <v>9</v>
      </c>
      <c r="B10" s="26" t="inlineStr">
        <is>
          <t>Compliance-Unterlagen</t>
        </is>
      </c>
      <c r="C10" s="23" t="inlineStr"/>
      <c r="D10" s="23" t="inlineStr">
        <is>
          <t>DPR</t>
        </is>
      </c>
      <c r="E10" s="28" t="inlineStr">
        <is>
          <t>[SharePoint-Projektordner]</t>
        </is>
      </c>
      <c r="F10" s="23" t="inlineStr">
        <is>
          <t>Entwurf</t>
        </is>
      </c>
    </row>
    <row r="11">
      <c r="A11" s="23" t="n">
        <v>10</v>
      </c>
      <c r="B11" s="26" t="inlineStr">
        <is>
          <t>EHS-Plan Rev. 4</t>
        </is>
      </c>
      <c r="C11" s="23" t="inlineStr">
        <is>
          <t>Rev. 4</t>
        </is>
      </c>
      <c r="D11" s="23" t="inlineStr">
        <is>
          <t>DPR</t>
        </is>
      </c>
      <c r="E11" s="28" t="inlineStr">
        <is>
          <t>[SharePoint-Projektordner]</t>
        </is>
      </c>
      <c r="F11" s="23" t="inlineStr">
        <is>
          <t>Entwurf</t>
        </is>
      </c>
    </row>
    <row r="12">
      <c r="A12" s="23" t="n">
        <v>11</v>
      </c>
      <c r="B12" s="26" t="inlineStr">
        <is>
          <t>Einzelanalyse 01</t>
        </is>
      </c>
      <c r="C12" s="23" t="inlineStr"/>
      <c r="D12" s="23" t="inlineStr">
        <is>
          <t>MiT</t>
        </is>
      </c>
      <c r="E12" s="28" t="inlineStr">
        <is>
          <t>[SharePoint-Projektordner]</t>
        </is>
      </c>
      <c r="F12" s="23" t="inlineStr">
        <is>
          <t>Entwurf</t>
        </is>
      </c>
    </row>
    <row r="13">
      <c r="A13" s="23" t="n">
        <v>12</v>
      </c>
      <c r="B13" s="26" t="inlineStr">
        <is>
          <t>Einzelanalyse 02</t>
        </is>
      </c>
      <c r="C13" s="23" t="inlineStr"/>
      <c r="D13" s="23" t="inlineStr">
        <is>
          <t>MiT</t>
        </is>
      </c>
      <c r="E13" s="28" t="inlineStr">
        <is>
          <t>[SharePoint-Projektordner]</t>
        </is>
      </c>
      <c r="F13" s="23" t="inlineStr">
        <is>
          <t>Entwurf</t>
        </is>
      </c>
    </row>
    <row r="14">
      <c r="A14" s="23" t="n">
        <v>13</v>
      </c>
      <c r="B14" s="26" t="inlineStr">
        <is>
          <t>Einzelanalyse 03</t>
        </is>
      </c>
      <c r="C14" s="23" t="inlineStr"/>
      <c r="D14" s="23" t="inlineStr">
        <is>
          <t>MiT</t>
        </is>
      </c>
      <c r="E14" s="28" t="inlineStr">
        <is>
          <t>[SharePoint-Projektordner]</t>
        </is>
      </c>
      <c r="F14" s="23" t="inlineStr">
        <is>
          <t>Entwurf</t>
        </is>
      </c>
    </row>
    <row r="15">
      <c r="A15" s="23" t="n">
        <v>14</v>
      </c>
      <c r="B15" s="26" t="inlineStr">
        <is>
          <t>Einzelanalyse 04</t>
        </is>
      </c>
      <c r="C15" s="23" t="inlineStr"/>
      <c r="D15" s="23" t="inlineStr">
        <is>
          <t>MiT</t>
        </is>
      </c>
      <c r="E15" s="28" t="inlineStr">
        <is>
          <t>[SharePoint-Projektordner]</t>
        </is>
      </c>
      <c r="F15" s="23" t="inlineStr">
        <is>
          <t>Entwurf</t>
        </is>
      </c>
    </row>
    <row r="16">
      <c r="A16" s="23" t="n">
        <v>15</v>
      </c>
      <c r="B16" s="26" t="inlineStr">
        <is>
          <t>Einzelanalyse 05</t>
        </is>
      </c>
      <c r="C16" s="23" t="inlineStr"/>
      <c r="D16" s="23" t="inlineStr">
        <is>
          <t>MiT</t>
        </is>
      </c>
      <c r="E16" s="28" t="inlineStr">
        <is>
          <t>[SharePoint-Projektordner]</t>
        </is>
      </c>
      <c r="F16" s="23" t="inlineStr">
        <is>
          <t>Entwurf</t>
        </is>
      </c>
    </row>
    <row r="17">
      <c r="A17" s="23" t="n">
        <v>16</v>
      </c>
      <c r="B17" s="26" t="inlineStr">
        <is>
          <t>Einzelanalyse 06</t>
        </is>
      </c>
      <c r="C17" s="23" t="inlineStr"/>
      <c r="D17" s="23" t="inlineStr">
        <is>
          <t>MiT</t>
        </is>
      </c>
      <c r="E17" s="28" t="inlineStr">
        <is>
          <t>[SharePoint-Projektordner]</t>
        </is>
      </c>
      <c r="F17" s="23" t="inlineStr">
        <is>
          <t>Entwurf</t>
        </is>
      </c>
    </row>
    <row r="18">
      <c r="A18" s="23" t="n">
        <v>17</v>
      </c>
      <c r="B18" s="26" t="inlineStr">
        <is>
          <t>Einzelanalyse 07</t>
        </is>
      </c>
      <c r="C18" s="23" t="inlineStr"/>
      <c r="D18" s="23" t="inlineStr">
        <is>
          <t>MiT</t>
        </is>
      </c>
      <c r="E18" s="28" t="inlineStr">
        <is>
          <t>[SharePoint-Projektordner]</t>
        </is>
      </c>
      <c r="F18" s="23" t="inlineStr">
        <is>
          <t>Entwurf</t>
        </is>
      </c>
    </row>
    <row r="19">
      <c r="A19" s="23" t="n">
        <v>18</v>
      </c>
      <c r="B19" s="26" t="inlineStr">
        <is>
          <t>Einzelanalyse 08</t>
        </is>
      </c>
      <c r="C19" s="23" t="inlineStr"/>
      <c r="D19" s="23" t="inlineStr">
        <is>
          <t>MiT</t>
        </is>
      </c>
      <c r="E19" s="28" t="inlineStr">
        <is>
          <t>[SharePoint-Projektordner]</t>
        </is>
      </c>
      <c r="F19" s="23" t="inlineStr">
        <is>
          <t>Entwurf</t>
        </is>
      </c>
    </row>
    <row r="20">
      <c r="A20" s="23" t="n">
        <v>19</v>
      </c>
      <c r="B20" s="26" t="inlineStr">
        <is>
          <t>Einzelanalyse 09</t>
        </is>
      </c>
      <c r="C20" s="23" t="inlineStr"/>
      <c r="D20" s="23" t="inlineStr">
        <is>
          <t>MiT</t>
        </is>
      </c>
      <c r="E20" s="28" t="inlineStr">
        <is>
          <t>[SharePoint-Projektordner]</t>
        </is>
      </c>
      <c r="F20" s="23" t="inlineStr">
        <is>
          <t>Entwurf</t>
        </is>
      </c>
    </row>
    <row r="21">
      <c r="A21" s="23" t="n">
        <v>20</v>
      </c>
      <c r="B21" s="26" t="inlineStr">
        <is>
          <t>Einzelanalyse 10</t>
        </is>
      </c>
      <c r="C21" s="23" t="inlineStr"/>
      <c r="D21" s="23" t="inlineStr">
        <is>
          <t>MiT</t>
        </is>
      </c>
      <c r="E21" s="28" t="inlineStr">
        <is>
          <t>[SharePoint-Projektordner]</t>
        </is>
      </c>
      <c r="F21" s="23" t="inlineStr">
        <is>
          <t>Entwurf</t>
        </is>
      </c>
    </row>
    <row r="22">
      <c r="A22" s="23" t="n">
        <v>21</v>
      </c>
      <c r="B22" s="26" t="inlineStr">
        <is>
          <t>Einzelanalyse 11</t>
        </is>
      </c>
      <c r="C22" s="23" t="inlineStr"/>
      <c r="D22" s="23" t="inlineStr">
        <is>
          <t>MiT</t>
        </is>
      </c>
      <c r="E22" s="28" t="inlineStr">
        <is>
          <t>[SharePoint-Projektordner]</t>
        </is>
      </c>
      <c r="F22" s="23" t="inlineStr">
        <is>
          <t>Entwurf</t>
        </is>
      </c>
    </row>
    <row r="23">
      <c r="A23" s="23" t="n">
        <v>22</v>
      </c>
      <c r="B23" s="26" t="inlineStr">
        <is>
          <t>Projektdossier (Gesamtuebersicht)</t>
        </is>
      </c>
      <c r="C23" s="23" t="inlineStr"/>
      <c r="D23" s="23" t="inlineStr">
        <is>
          <t>MiT</t>
        </is>
      </c>
      <c r="E23" s="28" t="inlineStr">
        <is>
          <t>[SharePoint-Projektordner]</t>
        </is>
      </c>
      <c r="F23" s="23" t="inlineStr">
        <is>
          <t>Entwurf</t>
        </is>
      </c>
    </row>
  </sheetData>
  <conditionalFormatting sqref="F2:F23">
    <cfRule type="cellIs" priority="1" operator="equal" dxfId="3">
      <formula>"signiert"</formula>
    </cfRule>
    <cfRule type="cellIs" priority="2" operator="equal" dxfId="5">
      <formula>"final"</formula>
    </cfRule>
    <cfRule type="cellIs" priority="3" operator="equal" dxfId="9">
      <formula>"ueberholt"</formula>
    </cfRule>
  </conditionalFormatting>
  <dataValidations count="2">
    <dataValidation sqref="D2:D23" showDropDown="0" showInputMessage="0" showErrorMessage="0" allowBlank="1" errorTitle="Ungueltige Eingabe" error="Bitte einen Wert aus der Liste waehlen." prompt="Wert aus Dropdown waehlen" type="list">
      <formula1>"DPR,Aggreko,MiT"</formula1>
    </dataValidation>
    <dataValidation sqref="F2:F23" showDropDown="0" showInputMessage="0" showErrorMessage="0" allowBlank="1" errorTitle="Ungueltige Eingabe" error="Bitte einen Wert aus der Liste waehlen." prompt="Wert aus Dropdown waehlen" type="list">
      <formula1>"Entwurf,final,signiert,ueberholt"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H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30" customWidth="1" min="2" max="2"/>
    <col width="24" customWidth="1" min="3" max="3"/>
    <col width="12" customWidth="1" min="4" max="4"/>
    <col width="20" customWidth="1" min="5" max="5"/>
    <col width="28" customWidth="1" min="6" max="6"/>
    <col width="16" customWidth="1" min="7" max="7"/>
    <col width="30" customWidth="1" min="8" max="8"/>
  </cols>
  <sheetData>
    <row r="1">
      <c r="A1" s="20" t="inlineStr">
        <is>
          <t>Nr.</t>
        </is>
      </c>
      <c r="B1" s="20" t="inlineStr">
        <is>
          <t>Funktion</t>
        </is>
      </c>
      <c r="C1" s="20" t="inlineStr">
        <is>
          <t>Name</t>
        </is>
      </c>
      <c r="D1" s="20" t="inlineStr">
        <is>
          <t>Firma</t>
        </is>
      </c>
      <c r="E1" s="20" t="inlineStr">
        <is>
          <t>Telefon</t>
        </is>
      </c>
      <c r="F1" s="20" t="inlineStr">
        <is>
          <t>E-Mail</t>
        </is>
      </c>
      <c r="G1" s="20" t="inlineStr">
        <is>
          <t>Verfuegbarkeit</t>
        </is>
      </c>
      <c r="H1" s="20" t="inlineStr">
        <is>
          <t>Bemerkung</t>
        </is>
      </c>
    </row>
    <row r="2">
      <c r="A2" s="23" t="n">
        <v>1</v>
      </c>
      <c r="B2" s="26" t="inlineStr">
        <is>
          <t>Projektleiter MiT</t>
        </is>
      </c>
      <c r="C2" s="26" t="inlineStr">
        <is>
          <t>Burak Uecoez</t>
        </is>
      </c>
      <c r="D2" s="23" t="inlineStr">
        <is>
          <t>MiT</t>
        </is>
      </c>
      <c r="E2" s="26" t="inlineStr">
        <is>
          <t>[eintragen]</t>
        </is>
      </c>
      <c r="F2" s="26" t="inlineStr">
        <is>
          <t>[eintragen]</t>
        </is>
      </c>
      <c r="G2" s="23" t="inlineStr">
        <is>
          <t>Buerozeiten</t>
        </is>
      </c>
      <c r="H2" s="26" t="inlineStr">
        <is>
          <t>Gesamtverantwortung</t>
        </is>
      </c>
    </row>
    <row r="3">
      <c r="A3" s="23" t="n">
        <v>2</v>
      </c>
      <c r="B3" s="26" t="inlineStr">
        <is>
          <t>DPR Bauleitung / Site Contact</t>
        </is>
      </c>
      <c r="C3" s="26" t="inlineStr">
        <is>
          <t>N.N.</t>
        </is>
      </c>
      <c r="D3" s="23" t="inlineStr">
        <is>
          <t>DPR</t>
        </is>
      </c>
      <c r="E3" s="26" t="inlineStr">
        <is>
          <t>[eintragen]</t>
        </is>
      </c>
      <c r="F3" s="26" t="inlineStr">
        <is>
          <t>[eintragen]</t>
        </is>
      </c>
      <c r="G3" s="23" t="inlineStr">
        <is>
          <t>Buerozeiten</t>
        </is>
      </c>
      <c r="H3" s="26" t="inlineStr">
        <is>
          <t>Hauptauftraggeber</t>
        </is>
      </c>
    </row>
    <row r="4">
      <c r="A4" s="23" t="n">
        <v>3</v>
      </c>
      <c r="B4" s="26" t="inlineStr">
        <is>
          <t>Projektleiter Aggreko DE</t>
        </is>
      </c>
      <c r="C4" s="26" t="inlineStr">
        <is>
          <t>N.N.</t>
        </is>
      </c>
      <c r="D4" s="23" t="inlineStr">
        <is>
          <t>Aggreko</t>
        </is>
      </c>
      <c r="E4" s="26" t="inlineStr">
        <is>
          <t>[eintragen]</t>
        </is>
      </c>
      <c r="F4" s="26" t="inlineStr">
        <is>
          <t>[eintragen]</t>
        </is>
      </c>
      <c r="G4" s="23" t="inlineStr">
        <is>
          <t>Buerozeiten</t>
        </is>
      </c>
      <c r="H4" s="26" t="inlineStr">
        <is>
          <t>Benennung ausstehend</t>
        </is>
      </c>
    </row>
    <row r="5">
      <c r="A5" s="23" t="n">
        <v>4</v>
      </c>
      <c r="B5" s="26" t="inlineStr">
        <is>
          <t>Aggreko Service-Hotline</t>
        </is>
      </c>
      <c r="C5" s="26" t="inlineStr">
        <is>
          <t>-</t>
        </is>
      </c>
      <c r="D5" s="23" t="inlineStr">
        <is>
          <t>Aggreko</t>
        </is>
      </c>
      <c r="E5" s="26" t="inlineStr">
        <is>
          <t>[eintragen]</t>
        </is>
      </c>
      <c r="F5" s="26" t="inlineStr">
        <is>
          <t>-</t>
        </is>
      </c>
      <c r="G5" s="23" t="inlineStr">
        <is>
          <t>24/7</t>
        </is>
      </c>
      <c r="H5" s="26" t="inlineStr">
        <is>
          <t>Technische Stoerungen</t>
        </is>
      </c>
    </row>
    <row r="6">
      <c r="A6" s="23" t="n">
        <v>5</v>
      </c>
      <c r="B6" s="26" t="inlineStr">
        <is>
          <t>MiT Notfall / Bereitschaft</t>
        </is>
      </c>
      <c r="C6" s="26" t="inlineStr">
        <is>
          <t>N.N.</t>
        </is>
      </c>
      <c r="D6" s="23" t="inlineStr">
        <is>
          <t>MiT</t>
        </is>
      </c>
      <c r="E6" s="26" t="inlineStr">
        <is>
          <t>[eintragen]</t>
        </is>
      </c>
      <c r="F6" s="26" t="inlineStr">
        <is>
          <t>-</t>
        </is>
      </c>
      <c r="G6" s="23" t="inlineStr">
        <is>
          <t>Bereitschaft</t>
        </is>
      </c>
      <c r="H6" s="26" t="inlineStr">
        <is>
          <t>24/7-Kontaktkette</t>
        </is>
      </c>
    </row>
    <row r="7">
      <c r="A7" s="23" t="n">
        <v>6</v>
      </c>
      <c r="B7" s="26" t="inlineStr">
        <is>
          <t>EHS / Sicherheit DPR</t>
        </is>
      </c>
      <c r="C7" s="26" t="inlineStr">
        <is>
          <t>N.N.</t>
        </is>
      </c>
      <c r="D7" s="23" t="inlineStr">
        <is>
          <t>DPR</t>
        </is>
      </c>
      <c r="E7" s="26" t="inlineStr">
        <is>
          <t>[eintragen]</t>
        </is>
      </c>
      <c r="F7" s="26" t="inlineStr">
        <is>
          <t>[eintragen]</t>
        </is>
      </c>
      <c r="G7" s="23" t="inlineStr">
        <is>
          <t>Buerozeiten</t>
        </is>
      </c>
      <c r="H7" s="26" t="inlineStr">
        <is>
          <t>EHS-Plan Rev. 4</t>
        </is>
      </c>
    </row>
  </sheetData>
  <conditionalFormatting sqref="G2:G7">
    <cfRule type="cellIs" priority="1" operator="equal" dxfId="10">
      <formula>"24/7"</formula>
    </cfRule>
  </conditionalFormatting>
  <dataValidations count="2">
    <dataValidation sqref="D2:D7" showDropDown="0" showInputMessage="0" showErrorMessage="0" allowBlank="1" errorTitle="Ungueltige Eingabe" error="Bitte einen Wert aus der Liste waehlen." prompt="Wert aus Dropdown waehlen" type="list">
      <formula1>"Aggreko,MiT,DPR"</formula1>
    </dataValidation>
    <dataValidation sqref="G2:G7" showDropDown="0" showInputMessage="0" showErrorMessage="0" allowBlank="1" errorTitle="Ungueltige Eingabe" error="Bitte einen Wert aus der Liste waehlen." prompt="Wert aus Dropdown waehlen" type="list">
      <formula1>"24/7,Buerozeiten,Bereitschaft"</formula1>
    </dataValidation>
  </dataValidations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 fitToPage="1"/>
  </sheetPr>
  <dimension ref="A1:C2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20" customWidth="1" min="2" max="2"/>
    <col width="80" customWidth="1" min="3" max="3"/>
  </cols>
  <sheetData>
    <row r="1">
      <c r="A1" s="20" t="inlineStr">
        <is>
          <t>Datum</t>
        </is>
      </c>
      <c r="B1" s="20" t="inlineStr">
        <is>
          <t>Wer</t>
        </is>
      </c>
      <c r="C1" s="20" t="inlineStr">
        <is>
          <t>Was geaendert</t>
        </is>
      </c>
    </row>
    <row r="2">
      <c r="A2" s="22" t="n">
        <v>46218</v>
      </c>
      <c r="B2" s="26" t="inlineStr">
        <is>
          <t>Burak Uecoez</t>
        </is>
      </c>
      <c r="C2" s="26" t="inlineStr">
        <is>
          <t>Projektsteuerungs-Tool erstellt und mit Projektdaten vorbefuellt.</t>
        </is>
      </c>
    </row>
    <row r="3">
      <c r="A3" s="22" t="n">
        <v>46218</v>
      </c>
      <c r="B3" s="26" t="inlineStr">
        <is>
          <t>Burak Uecoez</t>
        </is>
      </c>
      <c r="C3" s="26" t="inlineStr">
        <is>
          <t>Erweiterung: Terminplan (Gantt), Personal &amp; Zutritt, Kontakte, Dashboard-Kennzahlen (Fortschritt, Countdowns, Ampel).</t>
        </is>
      </c>
    </row>
    <row r="4">
      <c r="A4" s="22" t="n"/>
      <c r="B4" s="26" t="n"/>
      <c r="C4" s="26" t="n"/>
    </row>
    <row r="5">
      <c r="A5" s="22" t="n"/>
      <c r="B5" s="26" t="n"/>
      <c r="C5" s="26" t="n"/>
    </row>
    <row r="6">
      <c r="A6" s="22" t="n"/>
      <c r="B6" s="26" t="n"/>
      <c r="C6" s="26" t="n"/>
    </row>
    <row r="7">
      <c r="A7" s="22" t="n"/>
      <c r="B7" s="26" t="n"/>
      <c r="C7" s="26" t="n"/>
    </row>
    <row r="8">
      <c r="A8" s="22" t="n"/>
      <c r="B8" s="26" t="n"/>
      <c r="C8" s="26" t="n"/>
    </row>
    <row r="9">
      <c r="A9" s="22" t="n"/>
      <c r="B9" s="26" t="n"/>
      <c r="C9" s="26" t="n"/>
    </row>
    <row r="10">
      <c r="A10" s="22" t="n"/>
      <c r="B10" s="26" t="n"/>
      <c r="C10" s="26" t="n"/>
    </row>
    <row r="11">
      <c r="A11" s="22" t="n"/>
      <c r="B11" s="26" t="n"/>
      <c r="C11" s="26" t="n"/>
    </row>
    <row r="12">
      <c r="A12" s="22" t="n"/>
      <c r="B12" s="26" t="n"/>
      <c r="C12" s="26" t="n"/>
    </row>
    <row r="13">
      <c r="A13" s="22" t="n"/>
      <c r="B13" s="26" t="n"/>
      <c r="C13" s="26" t="n"/>
    </row>
    <row r="14">
      <c r="A14" s="22" t="n"/>
      <c r="B14" s="26" t="n"/>
      <c r="C14" s="26" t="n"/>
    </row>
    <row r="15">
      <c r="A15" s="22" t="n"/>
      <c r="B15" s="26" t="n"/>
      <c r="C15" s="26" t="n"/>
    </row>
    <row r="16">
      <c r="A16" s="22" t="n"/>
      <c r="B16" s="26" t="n"/>
      <c r="C16" s="26" t="n"/>
    </row>
    <row r="17">
      <c r="A17" s="22" t="n"/>
      <c r="B17" s="26" t="n"/>
      <c r="C17" s="26" t="n"/>
    </row>
    <row r="18">
      <c r="A18" s="22" t="n"/>
      <c r="B18" s="26" t="n"/>
      <c r="C18" s="26" t="n"/>
    </row>
    <row r="19">
      <c r="A19" s="22" t="n"/>
      <c r="B19" s="26" t="n"/>
      <c r="C19" s="26" t="n"/>
    </row>
    <row r="20">
      <c r="A20" s="22" t="n"/>
      <c r="B20" s="26" t="n"/>
      <c r="C20" s="26" t="n"/>
    </row>
    <row r="21">
      <c r="A21" s="22" t="n"/>
      <c r="B21" s="26" t="n"/>
      <c r="C21" s="26" t="n"/>
    </row>
    <row r="22">
      <c r="A22" s="22" t="n"/>
      <c r="B22" s="26" t="n"/>
      <c r="C22" s="26" t="n"/>
    </row>
    <row r="23">
      <c r="A23" s="22" t="n"/>
      <c r="B23" s="26" t="n"/>
      <c r="C23" s="26" t="n"/>
    </row>
  </sheetData>
  <printOptions horizontalCentered="1"/>
  <pageMargins left="0.4" right="0.4" top="0.5" bottom="0.5" header="0.5" footer="0.5"/>
  <pageSetup orientation="landscape" paperSize="9"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Mobil in Time AG</dc:creator>
  <dc:title>Projektsteuerung MiT-PWR-WIN-2026-001</dc:title>
  <dc:subject>DPR / Vantage ZRH12 Winterthur</dc:subject>
  <dcterms:created xsi:type="dcterms:W3CDTF">2026-07-15T20:31:09Z</dcterms:created>
  <dcterms:modified xsi:type="dcterms:W3CDTF">2026-07-15T20:31:09Z</dcterms:modified>
</cp:coreProperties>
</file>