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ochenbericht" sheetId="2" state="visible" r:id="rId2"/>
    <sheet name="Terminplan" sheetId="3" state="visible" r:id="rId3"/>
    <sheet name="Meilensteine" sheetId="4" state="visible" r:id="rId4"/>
    <sheet name="Aufgaben" sheetId="5" state="visible" r:id="rId5"/>
    <sheet name="Termine &amp; Meetings" sheetId="6" state="visible" r:id="rId6"/>
    <sheet name="Personal &amp; Zutritt" sheetId="7" state="visible" r:id="rId7"/>
    <sheet name="Schichtplan" sheetId="8" state="visible" r:id="rId8"/>
    <sheet name="Lieferungen &amp; Logistik" sheetId="9" state="visible" r:id="rId9"/>
    <sheet name="Testprotokolle" sheetId="10" state="visible" r:id="rId10"/>
    <sheet name="Fuel-Log" sheetId="11" state="visible" r:id="rId11"/>
    <sheet name="Stopp-Punkte &amp; Risiken" sheetId="12" state="visible" r:id="rId12"/>
    <sheet name="Kommerziell" sheetId="13" state="visible" r:id="rId13"/>
    <sheet name="Trend" sheetId="14" state="visible" r:id="rId14"/>
    <sheet name="Dokumente" sheetId="15" state="visible" r:id="rId15"/>
    <sheet name="Kontakte" sheetId="16" state="visible" r:id="rId16"/>
    <sheet name="Aenderungslog &amp; Entscheide" sheetId="17" state="visible" r:id="rId17"/>
  </sheets>
  <definedNames>
    <definedName name="_xlnm.Print_Area" localSheetId="0">'Dashboard'!$A$1:$M$57</definedName>
    <definedName name="_xlnm.Print_Area" localSheetId="1">'Wochenbericht'!$A$1:$F$55</definedName>
    <definedName name="_xlnm.Print_Titles" localSheetId="2">'Terminplan'!$2:$3</definedName>
    <definedName name="_xlnm.Print_Titles" localSheetId="3">'Meilensteine'!$1:$1</definedName>
    <definedName name="_xlnm.Print_Titles" localSheetId="4">'Aufgaben'!$1:$1</definedName>
    <definedName name="_xlnm.Print_Titles" localSheetId="5">'Termine &amp; Meetings'!$1:$1</definedName>
    <definedName name="_xlnm.Print_Titles" localSheetId="6">'Personal &amp; Zutritt'!$1:$1</definedName>
    <definedName name="_xlnm.Print_Titles" localSheetId="7">'Schichtplan'!$1:$1</definedName>
    <definedName name="_xlnm.Print_Titles" localSheetId="8">'Lieferungen &amp; Logistik'!$1:$1</definedName>
    <definedName name="_xlnm.Print_Titles" localSheetId="9">'Testprotokolle'!$1:$1</definedName>
    <definedName name="_xlnm.Print_Titles" localSheetId="10">'Fuel-Log'!$1:$1</definedName>
    <definedName name="_xlnm.Print_Titles" localSheetId="11">'Stopp-Punkte &amp; Risiken'!$1:$1</definedName>
    <definedName name="_xlnm.Print_Titles" localSheetId="12">'Kommerziell'!$1:$1</definedName>
    <definedName name="_xlnm.Print_Titles" localSheetId="13">'Trend'!$4:$4</definedName>
    <definedName name="_xlnm.Print_Titles" localSheetId="14">'Dokumente'!$1:$1</definedName>
    <definedName name="_xlnm.Print_Titles" localSheetId="15">'Kontakte'!$1:$1</definedName>
    <definedName name="_xlnm.Print_Titles" localSheetId="16">'Aenderungslog &amp; Entscheide'!$1:$1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&quot; Tage&quot;;&quot;ueberfaellig&quot;;&quot;heute&quot;"/>
    <numFmt numFmtId="165" formatCode="DD.MM.YYYY"/>
    <numFmt numFmtId="166" formatCode="yyyy-mm-dd h:mm:ss"/>
    <numFmt numFmtId="167" formatCode="DD.MM."/>
    <numFmt numFmtId="168" formatCode="DD.MM.YYYY hh:mm"/>
    <numFmt numFmtId="169" formatCode="0&quot; Tg&quot;;-0&quot; Tg&quot;"/>
    <numFmt numFmtId="170" formatCode="hh:mm"/>
    <numFmt numFmtId="171" formatCode="#'##0&quot; l&quot;"/>
    <numFmt numFmtId="172" formatCode="#'##0.00&quot; EUR&quot;"/>
    <numFmt numFmtId="173" formatCode="#'##0.00&quot; EUR/l&quot;"/>
  </numFmts>
  <fonts count="22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color rgb="00E8740C"/>
      <sz val="11"/>
    </font>
    <font>
      <name val="Arial"/>
      <b val="1"/>
      <color rgb="001F3A5F"/>
      <sz val="10"/>
    </font>
    <font>
      <name val="Arial"/>
      <color rgb="00000000"/>
      <sz val="10"/>
    </font>
    <font>
      <name val="Arial"/>
      <b val="1"/>
      <color rgb="00404040"/>
      <sz val="9"/>
    </font>
    <font>
      <name val="Arial"/>
      <b val="1"/>
      <color rgb="001F3A5F"/>
      <sz val="18"/>
    </font>
    <font>
      <name val="Arial"/>
      <b val="1"/>
      <color rgb="001F3A5F"/>
    </font>
    <font>
      <name val="Arial"/>
      <color rgb="00E8740C"/>
      <sz val="10"/>
    </font>
    <font>
      <name val="Arial"/>
      <b val="1"/>
      <color rgb="001F3A5F"/>
      <sz val="12"/>
    </font>
    <font>
      <name val="Arial"/>
      <color rgb="001F3A5F"/>
      <sz val="10"/>
    </font>
    <font>
      <name val="Arial"/>
      <b val="1"/>
      <color rgb="00FFFFFF"/>
      <sz val="11"/>
    </font>
    <font>
      <name val="Arial"/>
      <b val="1"/>
      <color rgb="00E8740C"/>
    </font>
    <font>
      <name val="Arial"/>
      <b val="1"/>
      <color rgb="009C0006"/>
      <sz val="12"/>
    </font>
    <font>
      <name val="Arial"/>
      <b val="1"/>
      <color rgb="009C6500"/>
      <sz val="12"/>
    </font>
    <font>
      <name val="Arial"/>
      <b val="1"/>
      <color rgb="00404040"/>
      <sz val="12"/>
    </font>
    <font>
      <name val="Arial"/>
      <b val="1"/>
      <color rgb="00FFFFFF"/>
      <sz val="10"/>
    </font>
    <font>
      <name val="Arial"/>
      <i val="1"/>
      <color rgb="00808080"/>
      <sz val="8"/>
    </font>
    <font>
      <name val="Arial"/>
      <b val="1"/>
      <color rgb="00FFFFFF"/>
      <sz val="12"/>
    </font>
    <font>
      <name val="Arial"/>
      <b val="1"/>
      <color rgb="00FFFFFF"/>
      <sz val="7"/>
    </font>
    <font>
      <name val="Arial"/>
      <color rgb="00FFFFFF"/>
      <sz val="7"/>
    </font>
    <font>
      <name val="Arial"/>
      <b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F2F5F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A5F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0" fontId="17" fillId="0" borderId="0" pivotButton="0" quotePrefix="0" xfId="0"/>
    <xf numFmtId="0" fontId="3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9" fillId="6" borderId="1" applyAlignment="1" pivotButton="0" quotePrefix="0" xfId="0">
      <alignment horizontal="center" vertical="center" wrapText="1"/>
    </xf>
    <xf numFmtId="167" fontId="2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center" wrapText="1"/>
    </xf>
    <xf numFmtId="168" fontId="4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1" fillId="0" borderId="0" pivotButton="0" quotePrefix="0" xfId="0"/>
    <xf numFmtId="170" fontId="4" fillId="0" borderId="1" applyAlignment="1" pivotButton="0" quotePrefix="0" xfId="0">
      <alignment horizontal="center" vertical="center" wrapText="1"/>
    </xf>
    <xf numFmtId="171" fontId="4" fillId="0" borderId="1" applyAlignment="1" pivotButton="0" quotePrefix="0" xfId="0">
      <alignment horizontal="center" vertical="center" wrapText="1"/>
    </xf>
    <xf numFmtId="171" fontId="3" fillId="0" borderId="1" pivotButton="0" quotePrefix="0" xfId="0"/>
    <xf numFmtId="172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172" fontId="3" fillId="0" borderId="1" applyAlignment="1" pivotButton="0" quotePrefix="0" xfId="0">
      <alignment horizontal="center" vertical="center" wrapText="1"/>
    </xf>
    <xf numFmtId="173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7">
    <dxf>
      <fill>
        <patternFill patternType="solid">
          <fgColor rgb="009C0006"/>
        </patternFill>
      </fill>
    </dxf>
    <dxf>
      <fill>
        <patternFill patternType="solid">
          <fgColor rgb="00E8740C"/>
        </patternFill>
      </fill>
    </dxf>
    <dxf>
      <fill>
        <patternFill patternType="solid">
          <fgColor rgb="00006100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9C4A00"/>
      </font>
      <fill>
        <patternFill patternType="solid">
          <fgColor rgb="00FCE3C8"/>
        </patternFill>
      </fill>
    </dxf>
    <dxf>
      <fill>
        <patternFill patternType="solid">
          <fgColor rgb="00D9E2EE"/>
        </patternFill>
      </fill>
    </dxf>
    <dxf>
      <fill>
        <patternFill patternType="solid">
          <fgColor rgb="00F2F5F9"/>
        </patternFill>
      </fill>
    </dxf>
    <dxf>
      <fill>
        <patternFill patternType="solid">
          <fgColor rgb="00FCE3C8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E8740C"/>
      </font>
    </dxf>
    <dxf>
      <font>
        <name val="Arial"/>
        <b val="1"/>
        <color rgb="009C4A00"/>
      </font>
      <fill>
        <patternFill patternType="solid">
          <fgColor rgb="00FCE3C8"/>
        </patternFill>
      </fill>
    </dxf>
    <dxf>
      <font>
        <name val="Arial"/>
        <b val="1"/>
        <color rgb="009C0006"/>
      </font>
    </dxf>
    <dxf>
      <font>
        <name val="Arial"/>
        <color rgb="00808080"/>
      </font>
      <fill>
        <patternFill patternType="solid">
          <fgColor rgb="00D9D9D9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Aufgaben nach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8EA9C1"/>
              </a:solidFill>
              <a:ln>
                <a:prstDash val="solid"/>
              </a:ln>
            </spPr>
          </dPt>
          <dPt>
            <idx val="1"/>
            <spPr>
              <a:solidFill>
                <a:srgbClr val="F2C230"/>
              </a:solidFill>
              <a:ln>
                <a:prstDash val="solid"/>
              </a:ln>
            </spPr>
          </dPt>
          <dPt>
            <idx val="2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E8740C"/>
              </a:solidFill>
              <a:ln>
                <a:prstDash val="solid"/>
              </a:ln>
            </spPr>
          </dPt>
          <cat>
            <strRef>
              <f>'Dashboard'!$J$2:$J$6</f>
            </strRef>
          </cat>
          <val>
            <numRef>
              <f>'Dashboard'!$K$2:$K$6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Offene Aufgaben je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'Dashboard'!C35</f>
            </strRef>
          </tx>
          <spPr>
            <a:solidFill>
              <a:srgbClr val="E8740C"/>
            </a:solidFill>
            <a:ln>
              <a:prstDash val="solid"/>
            </a:ln>
          </spPr>
          <cat>
            <strRef>
              <f>'Dashboard'!$B$36:$B$45</f>
            </strRef>
          </cat>
          <val>
            <numRef>
              <f>'Dashboard'!$C$36:$C$45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Projekt-Trend 2026</a:t>
            </a:r>
          </a:p>
        </rich>
      </tx>
    </title>
    <plotArea>
      <lineChart>
        <grouping val="standard"/>
        <ser>
          <idx val="0"/>
          <order val="0"/>
          <tx>
            <strRef>
              <f>'Trend'!C4</f>
            </strRef>
          </tx>
          <spPr>
            <a:ln w="22000">
              <a:solidFill>
                <a:srgbClr val="E8740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strRef>
              <f>'Trend'!$A$5:$A$28</f>
            </strRef>
          </cat>
          <val>
            <numRef>
              <f>'Trend'!$C$5:$C$28</f>
            </numRef>
          </val>
          <smooth val="0"/>
        </ser>
        <ser>
          <idx val="1"/>
          <order val="1"/>
          <tx>
            <strRef>
              <f>'Trend'!D4</f>
            </strRef>
          </tx>
          <spPr>
            <a:ln w="22000">
              <a:solidFill>
                <a:srgbClr val="1F3A5F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strRef>
              <f>'Trend'!$A$5:$A$28</f>
            </strRef>
          </cat>
          <val>
            <numRef>
              <f>'Trend'!$D$5:$D$28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33</row>
      <rowOff>0</rowOff>
    </from>
    <ext cx="32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33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ilensteine" displayName="Meilensteine" ref="A1:K26" headerRowCount="1">
  <autoFilter ref="A1:K26"/>
  <tableColumns count="11">
    <tableColumn id="1" name="Nr."/>
    <tableColumn id="2" name="Meilenstein"/>
    <tableColumn id="3" name="Phase"/>
    <tableColumn id="4" name="Plantermin"/>
    <tableColumn id="5" name="KW"/>
    <tableColumn id="6" name="Ist-Termin"/>
    <tableColumn id="7" name="Status"/>
    <tableColumn id="8" name="Verantwortlich"/>
    <tableColumn id="9" name="Countdown (Tage)"/>
    <tableColumn id="10" name="Vorgaenger (Nr.)"/>
    <tableColumn id="11" name="Bemerkung"/>
  </tableColumns>
  <tableStyleInfo name="TableStyleMedium2" showRowStripes="1"/>
</table>
</file>

<file path=xl/tables/table2.xml><?xml version="1.0" encoding="utf-8"?>
<table xmlns="http://schemas.openxmlformats.org/spreadsheetml/2006/main" id="2" name="Aufgaben" displayName="Aufgaben" ref="A1:I25" headerRowCount="1">
  <autoFilter ref="A1:I25"/>
  <tableColumns count="9">
    <tableColumn id="1" name="Nr."/>
    <tableColumn id="2" name="Aufgabe"/>
    <tableColumn id="3" name="Paket"/>
    <tableColumn id="4" name="Owner"/>
    <tableColumn id="5" name="Termin"/>
    <tableColumn id="6" name="Status"/>
    <tableColumn id="7" name="Prioritaet"/>
    <tableColumn id="8" name="Bemerkung"/>
    <tableColumn id="9" name="Erledigt am"/>
  </tableColumns>
  <tableStyleInfo name="TableStyleMedium2" showRowStripes="1"/>
</table>
</file>

<file path=xl/tables/table3.xml><?xml version="1.0" encoding="utf-8"?>
<table xmlns="http://schemas.openxmlformats.org/spreadsheetml/2006/main" id="3" name="Meetings" displayName="Meetings" ref="A1:G10" headerRowCount="1">
  <autoFilter ref="A1:G10"/>
  <tableColumns count="7">
    <tableColumn id="1" name="Nr."/>
    <tableColumn id="2" name="Meeting"/>
    <tableColumn id="3" name="Rhythmus"/>
    <tableColumn id="4" name="Dauer"/>
    <tableColumn id="5" name="Teilnahmepflicht"/>
    <tableColumn id="6" name="Status"/>
    <tableColumn id="7" name="Bemerkung"/>
  </tableColumns>
  <tableStyleInfo name="TableStyleMedium2" showRowStripes="1"/>
</table>
</file>

<file path=xl/tables/table4.xml><?xml version="1.0" encoding="utf-8"?>
<table xmlns="http://schemas.openxmlformats.org/spreadsheetml/2006/main" id="4" name="Personal" displayName="Personal" ref="A1:I9" headerRowCount="1">
  <autoFilter ref="A1:I9"/>
  <tableColumns count="9">
    <tableColumn id="1" name="Nr."/>
    <tableColumn id="2" name="Name"/>
    <tableColumn id="3" name="Firma"/>
    <tableColumn id="4" name="Funktion"/>
    <tableColumn id="5" name="Entsendemeldung"/>
    <tableColumn id="6" name="WORKcontrol-Ausweis (Status/Nr.)"/>
    <tableColumn id="7" name="Site Induction"/>
    <tableColumn id="8" name="Status"/>
    <tableColumn id="9" name="Bemerkung"/>
  </tableColumns>
  <tableStyleInfo name="TableStyleMedium2" showRowStripes="1"/>
</table>
</file>

<file path=xl/tables/table5.xml><?xml version="1.0" encoding="utf-8"?>
<table xmlns="http://schemas.openxmlformats.org/spreadsheetml/2006/main" id="5" name="Schichtplan" displayName="Schichtplan" ref="A1:J21" headerRowCount="1">
  <autoFilter ref="A1:J21"/>
  <tableColumns count="10">
    <tableColumn id="1" name="Nr."/>
    <tableColumn id="2" name="Datum"/>
    <tableColumn id="3" name="KW"/>
    <tableColumn id="4" name="Name"/>
    <tableColumn id="5" name="Firma"/>
    <tableColumn id="6" name="Funktion"/>
    <tableColumn id="7" name="Von"/>
    <tableColumn id="8" name="Bis"/>
    <tableColumn id="9" name="Vor Ort"/>
    <tableColumn id="10" name="Bemerkung"/>
  </tableColumns>
  <tableStyleInfo name="TableStyleMedium2" showRowStripes="1"/>
</table>
</file>

<file path=xl/tables/table6.xml><?xml version="1.0" encoding="utf-8"?>
<table xmlns="http://schemas.openxmlformats.org/spreadsheetml/2006/main" id="6" name="Logistik" displayName="Logistik" ref="A1:J8" headerRowCount="1">
  <autoFilter ref="A1:J8"/>
  <tableColumns count="10">
    <tableColumn id="1" name="Nr."/>
    <tableColumn id="2" name="Lieferung / Gegenstand"/>
    <tableColumn id="3" name="Paket"/>
    <tableColumn id="4" name="Anlieferung geplant"/>
    <tableColumn id="5" name="Ort"/>
    <tableColumn id="6" name="Kran/Lift"/>
    <tableColumn id="7" name="Tank/Containment"/>
    <tableColumn id="8" name="Verantwortlich"/>
    <tableColumn id="9" name="Status"/>
    <tableColumn id="10" name="Bemerkung"/>
  </tableColumns>
  <tableStyleInfo name="TableStyleMedium2" showRowStripes="1"/>
</table>
</file>

<file path=xl/tables/table7.xml><?xml version="1.0" encoding="utf-8"?>
<table xmlns="http://schemas.openxmlformats.org/spreadsheetml/2006/main" id="7" name="Testprotokolle" displayName="Testprotokolle" ref="A1:K17" headerRowCount="1">
  <autoFilter ref="A1:K17"/>
  <tableColumns count="11">
    <tableColumn id="1" name="Nr."/>
    <tableColumn id="2" name="Test / Messung"/>
    <tableColumn id="3" name="Paket"/>
    <tableColumn id="4" name="Datum"/>
    <tableColumn id="5" name="Sollwert"/>
    <tableColumn id="6" name="Istwert"/>
    <tableColumn id="7" name="Einheit"/>
    <tableColumn id="8" name="Ergebnis"/>
    <tableColumn id="9" name="Pruefer"/>
    <tableColumn id="10" name="Foto/Nachweis"/>
    <tableColumn id="11" name="Bemerkung"/>
  </tableColumns>
  <tableStyleInfo name="TableStyleMedium2" showRowStripes="1"/>
</table>
</file>

<file path=xl/tables/table8.xml><?xml version="1.0" encoding="utf-8"?>
<table xmlns="http://schemas.openxmlformats.org/spreadsheetml/2006/main" id="8" name="FuelLog" displayName="FuelLog" ref="A1:H16" headerRowCount="1">
  <autoFilter ref="A1:H16"/>
  <tableColumns count="8">
    <tableColumn id="1" name="Nr."/>
    <tableColumn id="2" name="Datum"/>
    <tableColumn id="3" name="Menge (Liter)"/>
    <tableColumn id="4" name="Lieferschein-Nr."/>
    <tableColumn id="5" name="Zoll-Kategorie"/>
    <tableColumn id="6" name="Auffangwanne geprueft"/>
    <tableColumn id="7" name="Erfasst von"/>
    <tableColumn id="8" name="Bemerkung"/>
  </tableColumns>
  <tableStyleInfo name="TableStyleMedium2" showRowStripes="1"/>
</table>
</file>

<file path=xl/tables/table9.xml><?xml version="1.0" encoding="utf-8"?>
<table xmlns="http://schemas.openxmlformats.org/spreadsheetml/2006/main" id="9" name="Risiken" displayName="Risiken" ref="A1:I13" headerRowCount="1">
  <autoFilter ref="A1:I13"/>
  <tableColumns count="9">
    <tableColumn id="1" name="Nr."/>
    <tableColumn id="2" name="Typ"/>
    <tableColumn id="3" name="Beschreibung"/>
    <tableColumn id="4" name="Auswirkung"/>
    <tableColumn id="5" name="Wahrscheinlichkeit"/>
    <tableColumn id="6" name="Owner"/>
    <tableColumn id="7" name="Termin"/>
    <tableColumn id="8" name="Status"/>
    <tableColumn id="9" name="Massnahme"/>
  </tableColumns>
  <tableStyleInfo name="TableStyleMedium2" showRowStripes="1"/>
</table>
</file>

<file path=xl/tables/table10.xml><?xml version="1.0" encoding="utf-8"?>
<table xmlns="http://schemas.openxmlformats.org/spreadsheetml/2006/main" id="10" name="Kommerziell" displayName="Kommerziell" ref="A1:H11" headerRowCount="1">
  <autoFilter ref="A1:H11"/>
  <tableColumns count="8">
    <tableColumn id="1" name="Nr."/>
    <tableColumn id="2" name="Position"/>
    <tableColumn id="3" name="Paket"/>
    <tableColumn id="4" name="EUR-Wert (Einkauf, Referenz)"/>
    <tableColumn id="5" name="Rechnungsstatus"/>
    <tableColumn id="6" name="Zahlungsziel"/>
    <tableColumn id="7" name="CHF Verkauf"/>
    <tableColumn id="8" name="Bemerkung"/>
  </tableColumns>
  <tableStyleInfo name="TableStyleMedium2" showRowStripes="1"/>
</table>
</file>

<file path=xl/tables/table11.xml><?xml version="1.0" encoding="utf-8"?>
<table xmlns="http://schemas.openxmlformats.org/spreadsheetml/2006/main" id="11" name="Trend" displayName="Trend" ref="A4:E28" headerRowCount="1">
  <autoFilter ref="A4:E28"/>
  <tableColumns count="5">
    <tableColumn id="1" name="KW"/>
    <tableColumn id="2" name="Datum (Fr)"/>
    <tableColumn id="3" name="Aufgaben offen"/>
    <tableColumn id="4" name="Meilensteine erledigt"/>
    <tableColumn id="5" name="Bemerkung"/>
  </tableColumns>
  <tableStyleInfo name="TableStyleMedium2" showRowStripes="1"/>
</table>
</file>

<file path=xl/tables/table12.xml><?xml version="1.0" encoding="utf-8"?>
<table xmlns="http://schemas.openxmlformats.org/spreadsheetml/2006/main" id="12" name="Dokumente" displayName="Dokumente" ref="A1:G28" headerRowCount="1">
  <autoFilter ref="A1:G28"/>
  <tableColumns count="7">
    <tableColumn id="1" name="Nr."/>
    <tableColumn id="2" name="Dokument"/>
    <tableColumn id="3" name="Version/Datum"/>
    <tableColumn id="4" name="Quelle"/>
    <tableColumn id="5" name="SharePoint-Link"/>
    <tableColumn id="6" name="Status"/>
    <tableColumn id="7" name="Bemerkung"/>
  </tableColumns>
  <tableStyleInfo name="TableStyleMedium2" showRowStripes="1"/>
</table>
</file>

<file path=xl/tables/table13.xml><?xml version="1.0" encoding="utf-8"?>
<table xmlns="http://schemas.openxmlformats.org/spreadsheetml/2006/main" id="13" name="Kontakte" displayName="Kontakte" ref="A1:H23" headerRowCount="1">
  <autoFilter ref="A1:H23"/>
  <tableColumns count="8">
    <tableColumn id="1" name="Nr."/>
    <tableColumn id="2" name="Name"/>
    <tableColumn id="3" name="Firma"/>
    <tableColumn id="4" name="Rolle"/>
    <tableColumn id="5" name="Telefon"/>
    <tableColumn id="6" name="E-Mail"/>
    <tableColumn id="7" name="24/7"/>
    <tableColumn id="8" name="Bemerkung"/>
  </tableColumns>
  <tableStyleInfo name="TableStyleMedium2" showRowStripes="1"/>
</table>
</file>

<file path=xl/tables/table14.xml><?xml version="1.0" encoding="utf-8"?>
<table xmlns="http://schemas.openxmlformats.org/spreadsheetml/2006/main" id="14" name="Aenderungslog" displayName="Aenderungslog" ref="A1:G29" headerRowCount="1">
  <autoFilter ref="A1:G29"/>
  <tableColumns count="7">
    <tableColumn id="1" name="Datum"/>
    <tableColumn id="2" name="Wer"/>
    <tableColumn id="3" name="Typ"/>
    <tableColumn id="4" name="Was"/>
    <tableColumn id="5" name="Auswirkung"/>
    <tableColumn id="6" name="Termin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1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K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8" customWidth="1" min="4" max="4"/>
    <col width="30" customWidth="1" min="5" max="5"/>
    <col width="12" customWidth="1" min="6" max="6"/>
    <col width="16" customWidth="1" min="7" max="7"/>
    <col width="12" customWidth="1" min="8" max="8"/>
    <col hidden="1" width="13" customWidth="1" min="10" max="10"/>
    <col hidden="1" width="13" customWidth="1" min="11" max="11"/>
  </cols>
  <sheetData>
    <row r="1">
      <c r="J1" t="inlineStr">
        <is>
          <t>Status</t>
        </is>
      </c>
      <c r="K1" t="inlineStr">
        <is>
          <t>Aufgaben</t>
        </is>
      </c>
    </row>
    <row r="2">
      <c r="B2" s="1" t="inlineStr">
        <is>
          <t>PROJEKTSTEUERUNG</t>
        </is>
      </c>
      <c r="J2" t="inlineStr">
        <is>
          <t>offen</t>
        </is>
      </c>
      <c r="K2">
        <f>COUNTIF(Aufgaben[Status],"offen")</f>
        <v/>
      </c>
    </row>
    <row r="3">
      <c r="B3" s="2" t="inlineStr">
        <is>
          <t>MiT-PWR-WIN-2026-001  |  DPR Construction / Vantage Datacenter ZRH12</t>
        </is>
      </c>
      <c r="J3" t="inlineStr">
        <is>
          <t>in Arbeit</t>
        </is>
      </c>
      <c r="K3">
        <f>COUNTIF(Aufgaben[Status],"in Arbeit")</f>
        <v/>
      </c>
    </row>
    <row r="4">
      <c r="E4" s="2" t="inlineStr">
        <is>
          <t>AUFGABEN-STATUS</t>
        </is>
      </c>
      <c r="J4" t="inlineStr">
        <is>
          <t>erledigt</t>
        </is>
      </c>
      <c r="K4">
        <f>COUNTIF(Aufgaben[Status],"erledigt")</f>
        <v/>
      </c>
    </row>
    <row r="5">
      <c r="B5" s="3" t="inlineStr">
        <is>
          <t>Projekt-Nr.</t>
        </is>
      </c>
      <c r="C5" s="4" t="inlineStr">
        <is>
          <t>MiT-PWR-WIN-2026-001</t>
        </is>
      </c>
      <c r="D5" s="5" t="n"/>
      <c r="E5" s="6" t="inlineStr">
        <is>
          <t>Offen</t>
        </is>
      </c>
      <c r="F5" s="7">
        <f>COUNTIF(Aufgaben[Status],"offen")</f>
        <v/>
      </c>
      <c r="J5" t="inlineStr">
        <is>
          <t>kritisch</t>
        </is>
      </c>
      <c r="K5">
        <f>COUNTIF(Aufgaben[Status],"kritisch")</f>
        <v/>
      </c>
    </row>
    <row r="6">
      <c r="B6" s="3" t="inlineStr">
        <is>
          <t>Kunde / Auftraggeber</t>
        </is>
      </c>
      <c r="C6" s="4" t="inlineStr">
        <is>
          <t>DPR Construction (Abschluss in CHF)</t>
        </is>
      </c>
      <c r="D6" s="5" t="n"/>
      <c r="E6" s="8" t="inlineStr">
        <is>
          <t>In Arbeit</t>
        </is>
      </c>
      <c r="F6" s="9">
        <f>COUNTIF(Aufgaben[Status],"in Arbeit")</f>
        <v/>
      </c>
      <c r="J6" t="inlineStr">
        <is>
          <t>verschoben</t>
        </is>
      </c>
      <c r="K6">
        <f>COUNTIF(Aufgaben[Status],"verschoben")</f>
        <v/>
      </c>
    </row>
    <row r="7">
      <c r="B7" s="3" t="inlineStr">
        <is>
          <t>Endkunde / Standort</t>
        </is>
      </c>
      <c r="C7" s="4" t="inlineStr">
        <is>
          <t>Vantage Datacenter ZRH12, Fabrikstrasse 10/12, 8404 Winterthur</t>
        </is>
      </c>
      <c r="D7" s="5" t="n"/>
      <c r="E7" s="10" t="inlineStr">
        <is>
          <t>Erledigt</t>
        </is>
      </c>
      <c r="F7" s="11">
        <f>COUNTIF(Aufgaben[Status],"erledigt")</f>
        <v/>
      </c>
    </row>
    <row r="8">
      <c r="B8" s="3" t="inlineStr">
        <is>
          <t>Auftragnehmer</t>
        </is>
      </c>
      <c r="C8" s="4" t="inlineStr">
        <is>
          <t>Mobil in Time AG (Subunternehmer von DPR)</t>
        </is>
      </c>
      <c r="D8" s="5" t="n"/>
      <c r="E8" s="12" t="inlineStr">
        <is>
          <t>Kritisch / blockiert</t>
        </is>
      </c>
      <c r="F8" s="13">
        <f>COUNTIF(Aufgaben[Status],"kritisch")</f>
        <v/>
      </c>
    </row>
    <row r="9">
      <c r="B9" s="3" t="inlineStr">
        <is>
          <t>Unterlieferant</t>
        </is>
      </c>
      <c r="C9" s="4" t="inlineStr">
        <is>
          <t>Aggreko Deutschland GmbH (Intercompany, Back-to-Back)</t>
        </is>
      </c>
      <c r="D9" s="5" t="n"/>
      <c r="E9" s="12" t="inlineStr">
        <is>
          <t>Ueberfaellig (offen, Termin &lt; heute)</t>
        </is>
      </c>
      <c r="F9" s="13">
        <f>SUMPRODUCT((Aufgaben[Status]&lt;&gt;"erledigt")*(Aufgaben[Termin]&lt;&gt;"")*(Aufgaben[Termin]&lt;TODAY()))</f>
        <v/>
      </c>
    </row>
    <row r="10">
      <c r="B10" s="3" t="inlineStr">
        <is>
          <t>Paket A</t>
        </is>
      </c>
      <c r="C10" s="4" t="inlineStr">
        <is>
          <t>6-MVA-Loadbank-Test, Angebot P-640380-3, PO E3-A25002-49A</t>
        </is>
      </c>
      <c r="D10" s="5" t="n"/>
      <c r="E10" s="14" t="inlineStr">
        <is>
          <t>Fortschritt Aufgaben</t>
        </is>
      </c>
      <c r="F10" s="15">
        <f>IFERROR(COUNTIF(Aufgaben[Status],"erledigt")/COUNTA(Aufgaben[Nr.]),0)</f>
        <v/>
      </c>
      <c r="G10" s="16">
        <f>REPT("█",ROUND(F10*12,0))&amp;REPT("░",12-ROUND(F10*12,0))</f>
        <v/>
      </c>
    </row>
    <row r="11">
      <c r="B11" s="3" t="inlineStr">
        <is>
          <t>Paket B</t>
        </is>
      </c>
      <c r="C11" s="4" t="inlineStr">
        <is>
          <t>8-MW-Heat-Load-Test (54x 200 kW), Angebot P-650395-2, PO E3-A25002-49B</t>
        </is>
      </c>
      <c r="D11" s="5" t="n"/>
      <c r="E11" s="2" t="inlineStr">
        <is>
          <t>MEILENSTEINE</t>
        </is>
      </c>
    </row>
    <row r="12">
      <c r="B12" s="3" t="inlineStr">
        <is>
          <t>Einkaufsvolumen (Referenz)</t>
        </is>
      </c>
      <c r="C12" s="4" t="inlineStr">
        <is>
          <t>EUR 590'840.34 netto (Aggreko; keine CHF-Verkaufspreise hier)</t>
        </is>
      </c>
      <c r="D12" s="5" t="n"/>
      <c r="E12" s="14" t="inlineStr">
        <is>
          <t>Meilensteine gesamt</t>
        </is>
      </c>
      <c r="F12" s="17">
        <f>COUNTA(Meilensteine[Nr.])</f>
        <v/>
      </c>
    </row>
    <row r="13">
      <c r="B13" s="3" t="inlineStr">
        <is>
          <t>Projektleiter</t>
        </is>
      </c>
      <c r="C13" s="4" t="inlineStr">
        <is>
          <t>Burak Uecoez</t>
        </is>
      </c>
      <c r="D13" s="5" t="n"/>
      <c r="E13" s="14" t="inlineStr">
        <is>
          <t>davon erledigt</t>
        </is>
      </c>
      <c r="F13" s="17">
        <f>COUNTIF(Meilensteine[Status],"erledigt")</f>
        <v/>
      </c>
    </row>
    <row r="14">
      <c r="B14" s="3" t="inlineStr">
        <is>
          <t>Sprache</t>
        </is>
      </c>
      <c r="C14" s="4" t="inlineStr">
        <is>
          <t>Deutsch (Schweizer Schreibweise)</t>
        </is>
      </c>
      <c r="D14" s="5" t="n"/>
      <c r="E14" s="14" t="inlineStr">
        <is>
          <t>davon kritisch</t>
        </is>
      </c>
      <c r="F14" s="17">
        <f>COUNTIF(Meilensteine[Status],"kritisch")</f>
        <v/>
      </c>
    </row>
    <row r="15">
      <c r="B15" s="3" t="inlineStr">
        <is>
          <t>Stand</t>
        </is>
      </c>
      <c r="C15" s="4">
        <f>TEXT(TODAY(),"DD.MM.YYYY")</f>
        <v/>
      </c>
      <c r="D15" s="5" t="n"/>
      <c r="E15" s="14" t="inlineStr">
        <is>
          <t>Fortschritt Meilensteine</t>
        </is>
      </c>
      <c r="F15" s="15">
        <f>IFERROR(COUNTIF(Meilensteine[Status],"erledigt")/COUNTA(Meilensteine[Nr.]),0)</f>
        <v/>
      </c>
      <c r="G15" s="18">
        <f>REPT("█",ROUND(F15*12,0))&amp;REPT("░",12-ROUND(F15*12,0))</f>
        <v/>
      </c>
    </row>
    <row r="17">
      <c r="B17" s="2" t="inlineStr">
        <is>
          <t>COUNTDOWN</t>
        </is>
      </c>
      <c r="E17" s="2" t="inlineStr">
        <is>
          <t>PROJEKTSTATUS (AMPEL)</t>
        </is>
      </c>
    </row>
    <row r="18">
      <c r="B18" s="14" t="inlineStr">
        <is>
          <t>Tage bis naechster Meilenstein</t>
        </is>
      </c>
      <c r="C18" s="19">
        <f>IFERROR(B26-TODAY(),"")</f>
        <v/>
      </c>
      <c r="D18" s="5" t="n"/>
      <c r="E18" s="20">
        <f>IF(SUMPRODUCT((Aufgaben[Status]&lt;&gt;"erledigt")*(Aufgaben[Termin]&lt;&gt;"")*(Aufgaben[Termin]&lt;TODAY()))&gt;0,"KRITISCH - ueberfaellige Aufgaben",IF(COUNTIF(Meilensteine[Status],"kritisch")+COUNTIF(Aufgaben[Status],"kritisch")&gt;0,"ACHTUNG - kritische Punkte offen","AUF KURS - keine Ueberfaelligkeiten"))</f>
        <v/>
      </c>
      <c r="F18" s="5" t="n"/>
    </row>
    <row r="19">
      <c r="B19" s="14" t="inlineStr">
        <is>
          <t>Tage bis Entsendefrist Aggreko (24.07.)</t>
        </is>
      </c>
      <c r="C19" s="19">
        <f>DATE(2026,7,24)-TODAY()</f>
        <v/>
      </c>
      <c r="D19" s="5" t="n"/>
      <c r="E19" s="14" t="inlineStr">
        <is>
          <t>Diese Woche faellig (Aufgaben)</t>
        </is>
      </c>
      <c r="F19" s="21">
        <f>SUMPRODUCT((Aufgaben[Status]&lt;&gt;"erledigt")*(Aufgaben[Termin]&gt;=TODAY())*(Aufgaben[Termin]&lt;TODAY()+7))</f>
        <v/>
      </c>
    </row>
    <row r="20">
      <c r="B20" s="14" t="inlineStr">
        <is>
          <t>Tage bis Lieferung Headloads (03.08.)</t>
        </is>
      </c>
      <c r="C20" s="19">
        <f>DATE(2026,8,3)-TODAY()</f>
        <v/>
      </c>
      <c r="D20" s="5" t="n"/>
      <c r="E20" s="2" t="inlineStr">
        <is>
          <t>TESTS &amp; LIEFERUNGEN</t>
        </is>
      </c>
    </row>
    <row r="21">
      <c r="B21" s="14" t="inlineStr">
        <is>
          <t>Tage bis Mietende Loadbank (02.11.)</t>
        </is>
      </c>
      <c r="C21" s="19">
        <f>DATE(2026,11,2)-TODAY()</f>
        <v/>
      </c>
      <c r="D21" s="5" t="n"/>
      <c r="E21" s="14" t="inlineStr">
        <is>
          <t>Tests bestanden</t>
        </is>
      </c>
      <c r="F21" s="17">
        <f>COUNTIF(Testprotokolle[Ergebnis],"bestanden")</f>
        <v/>
      </c>
    </row>
    <row r="22">
      <c r="B22" s="14" t="inlineStr">
        <is>
          <t>Tage bis Closeout-Abgabe (30.11.)</t>
        </is>
      </c>
      <c r="C22" s="19">
        <f>DATE(2026,11,30)-TODAY()</f>
        <v/>
      </c>
      <c r="D22" s="5" t="n"/>
      <c r="E22" s="14" t="inlineStr">
        <is>
          <t>Lieferungen offen</t>
        </is>
      </c>
      <c r="F22" s="17">
        <f>COUNTIF(Logistik[Status],"offen")</f>
        <v/>
      </c>
    </row>
    <row r="23">
      <c r="E23" s="2" t="inlineStr">
        <is>
          <t>STOPP-PUNKTE &amp; RISIKEN (offen)</t>
        </is>
      </c>
    </row>
    <row r="24">
      <c r="B24" s="2" t="inlineStr">
        <is>
          <t>NAECHSTE 5 MEILENSTEINE</t>
        </is>
      </c>
      <c r="E24" s="12" t="inlineStr">
        <is>
          <t>Auswirkung hoch</t>
        </is>
      </c>
      <c r="F24" s="22">
        <f>COUNTIFS(Risiken[Auswirkung],"hoch",Risiken[Status],"&lt;&gt;erledigt")</f>
        <v/>
      </c>
    </row>
    <row r="25">
      <c r="B25" s="23" t="inlineStr">
        <is>
          <t>Plantermin</t>
        </is>
      </c>
      <c r="C25" s="23" t="inlineStr">
        <is>
          <t>Meilenstein</t>
        </is>
      </c>
      <c r="D25" s="24" t="n"/>
      <c r="E25" s="23" t="inlineStr">
        <is>
          <t>Status</t>
        </is>
      </c>
      <c r="F25" s="25">
        <f>COUNTIFS(Risiken[Auswirkung],"mittel",Risiken[Status],"&lt;&gt;erledigt")</f>
        <v/>
      </c>
    </row>
    <row r="26">
      <c r="B26" s="26">
        <f>IFERROR(INT(SMALL(Meilensteine!$L$2:$L$26,1)),"")</f>
        <v/>
      </c>
      <c r="C26" s="4">
        <f>IFERROR(INDEX(Meilensteine!$B$2:$B$26,MATCH(SMALL(Meilensteine!$L$2:$L$26,1),Meilensteine!$L$2:$L$26,0)),"")</f>
        <v/>
      </c>
      <c r="D26" s="5" t="n"/>
      <c r="E26" s="27">
        <f>IFERROR(INDEX(Meilensteine!$G$2:$G$26,MATCH(SMALL(Meilensteine!$L$2:$L$26,1),Meilensteine!$L$2:$L$26,0)),"")</f>
        <v/>
      </c>
      <c r="F26" s="28">
        <f>COUNTIFS(Risiken[Auswirkung],"niedrig",Risiken[Status],"&lt;&gt;erledigt")</f>
        <v/>
      </c>
    </row>
    <row r="27">
      <c r="B27" s="26">
        <f>IFERROR(INT(SMALL(Meilensteine!$L$2:$L$26,2)),"")</f>
        <v/>
      </c>
      <c r="C27" s="4">
        <f>IFERROR(INDEX(Meilensteine!$B$2:$B$26,MATCH(SMALL(Meilensteine!$L$2:$L$26,2),Meilensteine!$L$2:$L$26,0)),"")</f>
        <v/>
      </c>
      <c r="D27" s="5" t="n"/>
      <c r="E27" s="29">
        <f>IFERROR(INDEX(Meilensteine!$G$2:$G$26,MATCH(SMALL(Meilensteine!$L$2:$L$26,2),Meilensteine!$L$2:$L$26,0)),"")</f>
        <v/>
      </c>
    </row>
    <row r="28">
      <c r="B28" s="26">
        <f>IFERROR(INT(SMALL(Meilensteine!$L$2:$L$26,3)),"")</f>
        <v/>
      </c>
      <c r="C28" s="4">
        <f>IFERROR(INDEX(Meilensteine!$B$2:$B$26,MATCH(SMALL(Meilensteine!$L$2:$L$26,3),Meilensteine!$L$2:$L$26,0)),"")</f>
        <v/>
      </c>
      <c r="D28" s="5" t="n"/>
      <c r="E28" s="29">
        <f>IFERROR(INDEX(Meilensteine!$G$2:$G$26,MATCH(SMALL(Meilensteine!$L$2:$L$26,3),Meilensteine!$L$2:$L$26,0)),"")</f>
        <v/>
      </c>
      <c r="F28" s="19">
        <f>WORKDAY(DATE(2026,11,2),-5)-TODAY()</f>
        <v/>
      </c>
      <c r="G28" s="26">
        <f>WORKDAY(DATE(2026,11,2),-5)</f>
        <v/>
      </c>
    </row>
    <row r="29">
      <c r="B29" s="26">
        <f>IFERROR(INT(SMALL(Meilensteine!$L$2:$L$26,4)),"")</f>
        <v/>
      </c>
      <c r="C29" s="4">
        <f>IFERROR(INDEX(Meilensteine!$B$2:$B$26,MATCH(SMALL(Meilensteine!$L$2:$L$26,4),Meilensteine!$L$2:$L$26,0)),"")</f>
        <v/>
      </c>
      <c r="D29" s="5" t="n"/>
      <c r="E29" s="29">
        <f>IFERROR(INDEX(Meilensteine!$G$2:$G$26,MATCH(SMALL(Meilensteine!$L$2:$L$26,4),Meilensteine!$L$2:$L$26,0)),"")</f>
        <v/>
      </c>
      <c r="F29" s="19">
        <f>WORKDAY(DATE(2026,12,11),-5)-TODAY()</f>
        <v/>
      </c>
      <c r="G29" s="26">
        <f>WORKDAY(DATE(2026,12,11),-5)</f>
        <v/>
      </c>
    </row>
    <row r="30">
      <c r="B30" s="26">
        <f>IFERROR(INT(SMALL(Meilensteine!$L$2:$L$26,5)),"")</f>
        <v/>
      </c>
      <c r="C30" s="4">
        <f>IFERROR(INDEX(Meilensteine!$B$2:$B$26,MATCH(SMALL(Meilensteine!$L$2:$L$26,5),Meilensteine!$L$2:$L$26,0)),"")</f>
        <v/>
      </c>
      <c r="D30" s="5" t="n"/>
      <c r="E30" s="29">
        <f>IFERROR(INDEX(Meilensteine!$G$2:$G$26,MATCH(SMALL(Meilensteine!$L$2:$L$26,5),Meilensteine!$L$2:$L$26,0)),"")</f>
        <v/>
      </c>
    </row>
    <row r="31">
      <c r="E31" s="14" t="inlineStr">
        <is>
          <t>offen gesamt</t>
        </is>
      </c>
      <c r="F31" s="17">
        <f>COUNTIFS(Aenderungslog[Typ],"Entscheid",Aenderungslog[Status],"offen")</f>
        <v/>
      </c>
    </row>
    <row r="32" ht="24" customHeight="1">
      <c r="B32" s="30" t="inlineStr">
        <is>
          <t>Werte aktualisieren sich automatisch. Farben: gruen=ok, gelb=in Arbeit, orange=Achtung, rot=kritisch.</t>
        </is>
      </c>
      <c r="E32" s="12" t="inlineStr">
        <is>
          <t>davon ueberfaellig</t>
        </is>
      </c>
      <c r="F32" s="22">
        <f>SUMPRODUCT((Aenderungslog[Typ]="Entscheid")*(Aenderungslog[Status]="offen")*(Aenderungslog[Termin]&lt;&gt;"")*(Aenderungslog[Termin]&lt;TODAY()))</f>
        <v/>
      </c>
    </row>
    <row r="34">
      <c r="B34" s="2" t="inlineStr">
        <is>
          <t>OFFENE AUFGABEN JE OWNER</t>
        </is>
      </c>
    </row>
    <row r="35">
      <c r="B35" s="23" t="inlineStr">
        <is>
          <t>Owner</t>
        </is>
      </c>
      <c r="C35" s="23" t="inlineStr">
        <is>
          <t>offen</t>
        </is>
      </c>
    </row>
    <row r="36">
      <c r="B36" s="4" t="inlineStr">
        <is>
          <t>Burak</t>
        </is>
      </c>
      <c r="C36" s="29">
        <f>SUMPRODUCT(--ISNUMBER(SEARCH($B36,Aufgaben[Owner])),--(Aufgaben[Status]&lt;&gt;"erledigt"))</f>
        <v/>
      </c>
    </row>
    <row r="37">
      <c r="B37" s="4" t="inlineStr">
        <is>
          <t>Stefan</t>
        </is>
      </c>
      <c r="C37" s="29">
        <f>SUMPRODUCT(--ISNUMBER(SEARCH($B37,Aufgaben[Owner])),--(Aufgaben[Status]&lt;&gt;"erledigt"))</f>
        <v/>
      </c>
    </row>
    <row r="38">
      <c r="B38" s="4" t="inlineStr">
        <is>
          <t>Markus</t>
        </is>
      </c>
      <c r="C38" s="29">
        <f>SUMPRODUCT(--ISNUMBER(SEARCH($B38,Aufgaben[Owner])),--(Aufgaben[Status]&lt;&gt;"erledigt"))</f>
        <v/>
      </c>
    </row>
    <row r="39">
      <c r="B39" s="4" t="inlineStr">
        <is>
          <t>Ann-Kathrin</t>
        </is>
      </c>
      <c r="C39" s="29">
        <f>SUMPRODUCT(--ISNUMBER(SEARCH($B39,Aufgaben[Owner])),--(Aufgaben[Status]&lt;&gt;"erledigt"))</f>
        <v/>
      </c>
    </row>
    <row r="40">
      <c r="B40" s="4" t="inlineStr">
        <is>
          <t>Sarah</t>
        </is>
      </c>
      <c r="C40" s="29">
        <f>SUMPRODUCT(--ISNUMBER(SEARCH($B40,Aufgaben[Owner])),--(Aufgaben[Status]&lt;&gt;"erledigt"))</f>
        <v/>
      </c>
    </row>
    <row r="41">
      <c r="B41" s="4" t="inlineStr">
        <is>
          <t>Samuel</t>
        </is>
      </c>
      <c r="C41" s="29">
        <f>SUMPRODUCT(--ISNUMBER(SEARCH($B41,Aufgaben[Owner])),--(Aufgaben[Status]&lt;&gt;"erledigt"))</f>
        <v/>
      </c>
    </row>
    <row r="42">
      <c r="B42" s="4" t="inlineStr">
        <is>
          <t>Stephan</t>
        </is>
      </c>
      <c r="C42" s="29">
        <f>SUMPRODUCT(--ISNUMBER(SEARCH($B42,Aufgaben[Owner])),--(Aufgaben[Status]&lt;&gt;"erledigt"))</f>
        <v/>
      </c>
    </row>
    <row r="43">
      <c r="B43" s="4" t="inlineStr">
        <is>
          <t>Olli</t>
        </is>
      </c>
      <c r="C43" s="29">
        <f>SUMPRODUCT(--ISNUMBER(SEARCH($B43,Aufgaben[Owner])),--(Aufgaben[Status]&lt;&gt;"erledigt"))</f>
        <v/>
      </c>
    </row>
    <row r="44">
      <c r="B44" s="4" t="inlineStr">
        <is>
          <t>Aggreko</t>
        </is>
      </c>
      <c r="C44" s="29">
        <f>SUMPRODUCT(--ISNUMBER(SEARCH($B44,Aufgaben[Owner])),--(Aufgaben[Status]&lt;&gt;"erledigt"))</f>
        <v/>
      </c>
    </row>
    <row r="45">
      <c r="B45" s="4" t="inlineStr">
        <is>
          <t>DPR</t>
        </is>
      </c>
      <c r="C45" s="29">
        <f>SUMPRODUCT(--ISNUMBER(SEARCH($B45,Aufgaben[Owner])),--(Aufgaben[Status]&lt;&gt;"erledigt"))</f>
        <v/>
      </c>
    </row>
    <row r="46">
      <c r="B46" s="31" t="inlineStr">
        <is>
          <t>Gemeinsame Aufgaben (z. B. 'Burak / Stephan') zaehlen bei beiden Owners.</t>
        </is>
      </c>
    </row>
  </sheetData>
  <mergeCells count="27">
    <mergeCell ref="C6:D6"/>
    <mergeCell ref="C30:D30"/>
    <mergeCell ref="C15:D15"/>
    <mergeCell ref="C5:D5"/>
    <mergeCell ref="C14:D14"/>
    <mergeCell ref="C26:D26"/>
    <mergeCell ref="C20:D20"/>
    <mergeCell ref="C29:D29"/>
    <mergeCell ref="C10:D10"/>
    <mergeCell ref="C25:D25"/>
    <mergeCell ref="C22:D22"/>
    <mergeCell ref="C9:D9"/>
    <mergeCell ref="B3:H3"/>
    <mergeCell ref="C12:D12"/>
    <mergeCell ref="C21:D21"/>
    <mergeCell ref="C11:D11"/>
    <mergeCell ref="C27:D27"/>
    <mergeCell ref="B32:D32"/>
    <mergeCell ref="C8:D8"/>
    <mergeCell ref="C7:D7"/>
    <mergeCell ref="B46:D46"/>
    <mergeCell ref="C19:D19"/>
    <mergeCell ref="C28:D28"/>
    <mergeCell ref="C13:D13"/>
    <mergeCell ref="C18:D18"/>
    <mergeCell ref="E18:F18"/>
    <mergeCell ref="B2:D2"/>
  </mergeCells>
  <conditionalFormatting sqref="F10">
    <cfRule type="dataBar" priority="1">
      <dataBar>
        <cfvo type="num" val="0"/>
        <cfvo type="num" val="1"/>
        <color rgb="00E8740C"/>
      </dataBar>
    </cfRule>
  </conditionalFormatting>
  <conditionalFormatting sqref="F15">
    <cfRule type="dataBar" priority="2">
      <dataBar>
        <cfvo type="num" val="0"/>
        <cfvo type="num" val="1"/>
        <color rgb="004F81BD"/>
      </dataBar>
    </cfRule>
  </conditionalFormatting>
  <conditionalFormatting sqref="E18">
    <cfRule type="expression" priority="3" dxfId="0">
      <formula>ISNUMBER(SEARCH("KRITISCH",$E$18))</formula>
    </cfRule>
    <cfRule type="expression" priority="4" dxfId="1">
      <formula>ISNUMBER(SEARCH("ACHTUNG",$E$18))</formula>
    </cfRule>
    <cfRule type="expression" priority="5" dxfId="2">
      <formula>ISNUMBER(SEARCH("AUF KURS",$E$18))</formula>
    </cfRule>
  </conditionalFormatting>
  <conditionalFormatting sqref="C36:C45">
    <cfRule type="dataBar" priority="6">
      <dataBar>
        <cfvo type="num" val="0"/>
        <cfvo type="num" val="10"/>
        <color rgb="00E8740C"/>
      </dataBar>
    </cfRule>
  </conditionalFormatting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2:F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6" customWidth="1" min="3" max="3"/>
    <col width="16" customWidth="1" min="4" max="4"/>
    <col width="16" customWidth="1" min="5" max="5"/>
    <col width="14" customWidth="1" min="6" max="6"/>
  </cols>
  <sheetData>
    <row r="2">
      <c r="B2" s="1" t="inlineStr">
        <is>
          <t>WOCHENBERICHT</t>
        </is>
      </c>
    </row>
    <row r="3">
      <c r="B3" s="2" t="inlineStr">
        <is>
          <t>MiT-PWR-WIN-2026-001  |  DPR Construction / Vantage ZRH12 Winterthur</t>
        </is>
      </c>
    </row>
    <row r="4">
      <c r="B4" s="32">
        <f>"Berichtswoche: KW "&amp;WEEKNUM(TODAY(),21)&amp;"  |  Stand: "&amp;TEXT(TODAY(),"DD.MM.YYYY")&amp;"  |  PL: Burak Uecoez"</f>
        <v/>
      </c>
    </row>
    <row r="6">
      <c r="B6" s="33">
        <f>IF(SUMPRODUCT((Aufgaben[Status]&lt;&gt;"erledigt")*(Aufgaben[Termin]&lt;&gt;"")*(Aufgaben[Termin]&lt;TODAY()))&gt;0,"KRITISCH - ueberfaellige Aufgaben",IF(COUNTIF(Meilensteine[Status],"kritisch")+COUNTIF(Aufgaben[Status],"kritisch")&gt;0,"ACHTUNG - kritische Punkte offen","AUF KURS - keine Ueberfaelligkeiten"))</f>
        <v/>
      </c>
      <c r="C6" s="5" t="n"/>
      <c r="D6" s="5" t="n"/>
      <c r="E6" s="5" t="n"/>
      <c r="F6" s="5" t="n"/>
    </row>
    <row r="8">
      <c r="B8" s="2" t="inlineStr">
        <is>
          <t>KENNZAHLEN</t>
        </is>
      </c>
    </row>
    <row r="9">
      <c r="B9" s="14" t="inlineStr">
        <is>
          <t>Aufgaben offen</t>
        </is>
      </c>
      <c r="C9" s="5" t="n"/>
      <c r="D9" s="34">
        <f>COUNTIF(Aufgaben[Status],"offen")</f>
        <v/>
      </c>
    </row>
    <row r="10">
      <c r="B10" s="14" t="inlineStr">
        <is>
          <t>in Arbeit</t>
        </is>
      </c>
      <c r="C10" s="5" t="n"/>
      <c r="D10" s="34">
        <f>COUNTIF(Aufgaben[Status],"in Arbeit")</f>
        <v/>
      </c>
    </row>
    <row r="11">
      <c r="B11" s="14" t="inlineStr">
        <is>
          <t>erledigt (gesamt)</t>
        </is>
      </c>
      <c r="C11" s="5" t="n"/>
      <c r="D11" s="34">
        <f>COUNTIF(Aufgaben[Status],"erledigt")</f>
        <v/>
      </c>
    </row>
    <row r="12">
      <c r="B12" s="14" t="inlineStr">
        <is>
          <t>kritisch</t>
        </is>
      </c>
      <c r="C12" s="5" t="n"/>
      <c r="D12" s="34">
        <f>COUNTIF(Aufgaben[Status],"kritisch")</f>
        <v/>
      </c>
    </row>
    <row r="13">
      <c r="B13" s="14" t="inlineStr">
        <is>
          <t>ueberfaellig</t>
        </is>
      </c>
      <c r="C13" s="5" t="n"/>
      <c r="D13" s="34">
        <f>SUMPRODUCT((Aufgaben[Status]&lt;&gt;"erledigt")*(Aufgaben[Termin]&lt;&gt;"")*(Aufgaben[Termin]&lt;TODAY()))</f>
        <v/>
      </c>
    </row>
    <row r="14">
      <c r="B14" s="14" t="inlineStr">
        <is>
          <t>davon diese Woche erledigt</t>
        </is>
      </c>
      <c r="C14" s="5" t="n"/>
      <c r="D14" s="34">
        <f>COUNTIFS(Aufgaben[Erledigt am],"&gt;="&amp;(TODAY()-7),Aufgaben[Erledigt am],"&lt;="&amp;TODAY())</f>
        <v/>
      </c>
    </row>
    <row r="16">
      <c r="B16" s="2" t="inlineStr">
        <is>
          <t>NAECHSTE 5 MEILENSTEINE</t>
        </is>
      </c>
    </row>
    <row r="17">
      <c r="B17" s="23" t="inlineStr">
        <is>
          <t>Plantermin</t>
        </is>
      </c>
      <c r="C17" s="23" t="inlineStr">
        <is>
          <t>Meilenstein</t>
        </is>
      </c>
      <c r="D17" s="23" t="inlineStr">
        <is>
          <t>Status</t>
        </is>
      </c>
    </row>
    <row r="18">
      <c r="B18" s="26">
        <f>IFERROR(INT(SMALL(Meilensteine!$L$2:$L$26,1)),"")</f>
        <v/>
      </c>
      <c r="C18" s="4">
        <f>IFERROR(INDEX(Meilensteine!$B$2:$B$26,MATCH(SMALL(Meilensteine!$L$2:$L$26,1),Meilensteine!$L$2:$L$26,0)),"")</f>
        <v/>
      </c>
      <c r="D18" s="29">
        <f>IFERROR(INDEX(Meilensteine!$G$2:$G$26,MATCH(SMALL(Meilensteine!$L$2:$L$26,1),Meilensteine!$L$2:$L$26,0)),"")</f>
        <v/>
      </c>
    </row>
    <row r="19">
      <c r="B19" s="26">
        <f>IFERROR(INT(SMALL(Meilensteine!$L$2:$L$26,2)),"")</f>
        <v/>
      </c>
      <c r="C19" s="4">
        <f>IFERROR(INDEX(Meilensteine!$B$2:$B$26,MATCH(SMALL(Meilensteine!$L$2:$L$26,2),Meilensteine!$L$2:$L$26,0)),"")</f>
        <v/>
      </c>
      <c r="D19" s="29">
        <f>IFERROR(INDEX(Meilensteine!$G$2:$G$26,MATCH(SMALL(Meilensteine!$L$2:$L$26,2),Meilensteine!$L$2:$L$26,0)),"")</f>
        <v/>
      </c>
    </row>
    <row r="20">
      <c r="B20" s="26">
        <f>IFERROR(INT(SMALL(Meilensteine!$L$2:$L$26,3)),"")</f>
        <v/>
      </c>
      <c r="C20" s="4">
        <f>IFERROR(INDEX(Meilensteine!$B$2:$B$26,MATCH(SMALL(Meilensteine!$L$2:$L$26,3),Meilensteine!$L$2:$L$26,0)),"")</f>
        <v/>
      </c>
      <c r="D20" s="29">
        <f>IFERROR(INDEX(Meilensteine!$G$2:$G$26,MATCH(SMALL(Meilensteine!$L$2:$L$26,3),Meilensteine!$L$2:$L$26,0)),"")</f>
        <v/>
      </c>
    </row>
    <row r="21">
      <c r="B21" s="26">
        <f>IFERROR(INT(SMALL(Meilensteine!$L$2:$L$26,4)),"")</f>
        <v/>
      </c>
      <c r="C21" s="4">
        <f>IFERROR(INDEX(Meilensteine!$B$2:$B$26,MATCH(SMALL(Meilensteine!$L$2:$L$26,4),Meilensteine!$L$2:$L$26,0)),"")</f>
        <v/>
      </c>
      <c r="D21" s="29">
        <f>IFERROR(INDEX(Meilensteine!$G$2:$G$26,MATCH(SMALL(Meilensteine!$L$2:$L$26,4),Meilensteine!$L$2:$L$26,0)),"")</f>
        <v/>
      </c>
    </row>
    <row r="22">
      <c r="B22" s="26">
        <f>IFERROR(INT(SMALL(Meilensteine!$L$2:$L$26,5)),"")</f>
        <v/>
      </c>
      <c r="C22" s="4">
        <f>IFERROR(INDEX(Meilensteine!$B$2:$B$26,MATCH(SMALL(Meilensteine!$L$2:$L$26,5),Meilensteine!$L$2:$L$26,0)),"")</f>
        <v/>
      </c>
      <c r="D22" s="29">
        <f>IFERROR(INDEX(Meilensteine!$G$2:$G$26,MATCH(SMALL(Meilensteine!$L$2:$L$26,5),Meilensteine!$L$2:$L$26,0)),"")</f>
        <v/>
      </c>
    </row>
    <row r="24">
      <c r="B24" s="2" t="inlineStr">
        <is>
          <t>OFFENE STOPP-PUNKTE &amp; RISIKEN (Auswirkung hoch)</t>
        </is>
      </c>
    </row>
    <row r="25">
      <c r="B25" s="4">
        <f>IFERROR(INDEX('Stopp-Punkte &amp; Risiken'!$C$1:$C$50,SMALL('Stopp-Punkte &amp; Risiken'!$K$2:$K$40,1))&amp;"   ["&amp;INDEX('Stopp-Punkte &amp; Risiken'!$F$1:$F$50,SMALL('Stopp-Punkte &amp; Risiken'!$K$2:$K$40,1))&amp;", bis "&amp;TEXT(INDEX('Stopp-Punkte &amp; Risiken'!$G$1:$G$50,SMALL('Stopp-Punkte &amp; Risiken'!$K$2:$K$40,1)),"DD.MM.")&amp;"]","")</f>
        <v/>
      </c>
      <c r="C25" s="5" t="n"/>
      <c r="D25" s="5" t="n"/>
      <c r="E25" s="5" t="n"/>
      <c r="F25" s="5" t="n"/>
    </row>
    <row r="26">
      <c r="B26" s="4">
        <f>IFERROR(INDEX('Stopp-Punkte &amp; Risiken'!$C$1:$C$50,SMALL('Stopp-Punkte &amp; Risiken'!$K$2:$K$40,2))&amp;"   ["&amp;INDEX('Stopp-Punkte &amp; Risiken'!$F$1:$F$50,SMALL('Stopp-Punkte &amp; Risiken'!$K$2:$K$40,2))&amp;", bis "&amp;TEXT(INDEX('Stopp-Punkte &amp; Risiken'!$G$1:$G$50,SMALL('Stopp-Punkte &amp; Risiken'!$K$2:$K$40,2)),"DD.MM.")&amp;"]","")</f>
        <v/>
      </c>
      <c r="C26" s="5" t="n"/>
      <c r="D26" s="5" t="n"/>
      <c r="E26" s="5" t="n"/>
      <c r="F26" s="5" t="n"/>
    </row>
    <row r="27">
      <c r="B27" s="4">
        <f>IFERROR(INDEX('Stopp-Punkte &amp; Risiken'!$C$1:$C$50,SMALL('Stopp-Punkte &amp; Risiken'!$K$2:$K$40,3))&amp;"   ["&amp;INDEX('Stopp-Punkte &amp; Risiken'!$F$1:$F$50,SMALL('Stopp-Punkte &amp; Risiken'!$K$2:$K$40,3))&amp;", bis "&amp;TEXT(INDEX('Stopp-Punkte &amp; Risiken'!$G$1:$G$50,SMALL('Stopp-Punkte &amp; Risiken'!$K$2:$K$40,3)),"DD.MM.")&amp;"]","")</f>
        <v/>
      </c>
      <c r="C27" s="5" t="n"/>
      <c r="D27" s="5" t="n"/>
      <c r="E27" s="5" t="n"/>
      <c r="F27" s="5" t="n"/>
    </row>
    <row r="28">
      <c r="B28" s="4">
        <f>IFERROR(INDEX('Stopp-Punkte &amp; Risiken'!$C$1:$C$50,SMALL('Stopp-Punkte &amp; Risiken'!$K$2:$K$40,4))&amp;"   ["&amp;INDEX('Stopp-Punkte &amp; Risiken'!$F$1:$F$50,SMALL('Stopp-Punkte &amp; Risiken'!$K$2:$K$40,4))&amp;", bis "&amp;TEXT(INDEX('Stopp-Punkte &amp; Risiken'!$G$1:$G$50,SMALL('Stopp-Punkte &amp; Risiken'!$K$2:$K$40,4)),"DD.MM.")&amp;"]","")</f>
        <v/>
      </c>
      <c r="C28" s="5" t="n"/>
      <c r="D28" s="5" t="n"/>
      <c r="E28" s="5" t="n"/>
      <c r="F28" s="5" t="n"/>
    </row>
    <row r="29">
      <c r="B29" s="4">
        <f>IFERROR(INDEX('Stopp-Punkte &amp; Risiken'!$C$1:$C$50,SMALL('Stopp-Punkte &amp; Risiken'!$K$2:$K$40,5))&amp;"   ["&amp;INDEX('Stopp-Punkte &amp; Risiken'!$F$1:$F$50,SMALL('Stopp-Punkte &amp; Risiken'!$K$2:$K$40,5))&amp;", bis "&amp;TEXT(INDEX('Stopp-Punkte &amp; Risiken'!$G$1:$G$50,SMALL('Stopp-Punkte &amp; Risiken'!$K$2:$K$40,5)),"DD.MM.")&amp;"]","")</f>
        <v/>
      </c>
      <c r="C29" s="5" t="n"/>
      <c r="D29" s="5" t="n"/>
      <c r="E29" s="5" t="n"/>
      <c r="F29" s="5" t="n"/>
    </row>
    <row r="30">
      <c r="B30" s="4">
        <f>IFERROR(INDEX('Stopp-Punkte &amp; Risiken'!$C$1:$C$50,SMALL('Stopp-Punkte &amp; Risiken'!$K$2:$K$40,6))&amp;"   ["&amp;INDEX('Stopp-Punkte &amp; Risiken'!$F$1:$F$50,SMALL('Stopp-Punkte &amp; Risiken'!$K$2:$K$40,6))&amp;", bis "&amp;TEXT(INDEX('Stopp-Punkte &amp; Risiken'!$G$1:$G$50,SMALL('Stopp-Punkte &amp; Risiken'!$K$2:$K$40,6)),"DD.MM.")&amp;"]","")</f>
        <v/>
      </c>
      <c r="C30" s="5" t="n"/>
      <c r="D30" s="5" t="n"/>
      <c r="E30" s="5" t="n"/>
      <c r="F30" s="5" t="n"/>
    </row>
    <row r="32">
      <c r="B32" s="2" t="inlineStr">
        <is>
          <t>OFFENE ENTSCHEIDE</t>
        </is>
      </c>
    </row>
    <row r="33">
      <c r="B33" s="4">
        <f>IFERROR(INDEX('Aenderungslog &amp; Entscheide'!$D$1:$D$60,SMALL('Aenderungslog &amp; Entscheide'!$H$2:$H$40,1))&amp;"   ["&amp;INDEX('Aenderungslog &amp; Entscheide'!$B$1:$B$60,SMALL('Aenderungslog &amp; Entscheide'!$H$2:$H$40,1))&amp;"]","")</f>
        <v/>
      </c>
      <c r="C33" s="5" t="n"/>
      <c r="D33" s="5" t="n"/>
      <c r="E33" s="5" t="n"/>
      <c r="F33" s="5" t="n"/>
    </row>
    <row r="34">
      <c r="B34" s="4">
        <f>IFERROR(INDEX('Aenderungslog &amp; Entscheide'!$D$1:$D$60,SMALL('Aenderungslog &amp; Entscheide'!$H$2:$H$40,2))&amp;"   ["&amp;INDEX('Aenderungslog &amp; Entscheide'!$B$1:$B$60,SMALL('Aenderungslog &amp; Entscheide'!$H$2:$H$40,2))&amp;"]","")</f>
        <v/>
      </c>
      <c r="C34" s="5" t="n"/>
      <c r="D34" s="5" t="n"/>
      <c r="E34" s="5" t="n"/>
      <c r="F34" s="5" t="n"/>
    </row>
    <row r="35">
      <c r="B35" s="4">
        <f>IFERROR(INDEX('Aenderungslog &amp; Entscheide'!$D$1:$D$60,SMALL('Aenderungslog &amp; Entscheide'!$H$2:$H$40,3))&amp;"   ["&amp;INDEX('Aenderungslog &amp; Entscheide'!$B$1:$B$60,SMALL('Aenderungslog &amp; Entscheide'!$H$2:$H$40,3))&amp;"]","")</f>
        <v/>
      </c>
      <c r="C35" s="5" t="n"/>
      <c r="D35" s="5" t="n"/>
      <c r="E35" s="5" t="n"/>
      <c r="F35" s="5" t="n"/>
    </row>
    <row r="36">
      <c r="B36" s="4">
        <f>IFERROR(INDEX('Aenderungslog &amp; Entscheide'!$D$1:$D$60,SMALL('Aenderungslog &amp; Entscheide'!$H$2:$H$40,4))&amp;"   ["&amp;INDEX('Aenderungslog &amp; Entscheide'!$B$1:$B$60,SMALL('Aenderungslog &amp; Entscheide'!$H$2:$H$40,4))&amp;"]","")</f>
        <v/>
      </c>
      <c r="C36" s="5" t="n"/>
      <c r="D36" s="5" t="n"/>
      <c r="E36" s="5" t="n"/>
      <c r="F36" s="5" t="n"/>
    </row>
    <row r="38">
      <c r="B38" s="2" t="inlineStr">
        <is>
          <t>OFF-HIRE-FRISTEN</t>
        </is>
      </c>
    </row>
    <row r="39">
      <c r="B39" s="35">
        <f>"Loadbank: Off-Hire melden bis "&amp;TEXT(WORKDAY(DATE(2026,11,2),-5),"DD.MM.YYYY")&amp;" (noch "&amp;(WORKDAY(DATE(2026,11,2),-5)-TODAY())&amp;" Tage)"</f>
        <v/>
      </c>
    </row>
    <row r="40">
      <c r="B40" s="35">
        <f>"Headloads: Off-Hire melden bis "&amp;TEXT(WORKDAY(DATE(2026,12,11),-5),"DD.MM.YYYY")&amp;" (noch "&amp;(WORKDAY(DATE(2026,12,11),-5)-TODAY())&amp;" Tage)"</f>
        <v/>
      </c>
    </row>
    <row r="42">
      <c r="B42" s="2" t="inlineStr">
        <is>
          <t>FORTSCHRITT DIESE WOCHE (manuell ausfuellen)</t>
        </is>
      </c>
    </row>
    <row r="43">
      <c r="B43" s="5" t="n"/>
      <c r="C43" s="5" t="n"/>
      <c r="D43" s="5" t="n"/>
      <c r="E43" s="5" t="n"/>
      <c r="F43" s="5" t="n"/>
    </row>
    <row r="44">
      <c r="B44" s="5" t="n"/>
      <c r="C44" s="5" t="n"/>
      <c r="D44" s="5" t="n"/>
      <c r="E44" s="5" t="n"/>
      <c r="F44" s="5" t="n"/>
    </row>
    <row r="45">
      <c r="B45" s="5" t="n"/>
      <c r="C45" s="5" t="n"/>
      <c r="D45" s="5" t="n"/>
      <c r="E45" s="5" t="n"/>
      <c r="F45" s="5" t="n"/>
    </row>
    <row r="46">
      <c r="B46" s="5" t="n"/>
      <c r="C46" s="5" t="n"/>
      <c r="D46" s="5" t="n"/>
      <c r="E46" s="5" t="n"/>
      <c r="F46" s="5" t="n"/>
    </row>
    <row r="48">
      <c r="B48" s="2" t="inlineStr">
        <is>
          <t>PROBLEME &amp; NAECHSTE SCHRITTE (manuell ausfuellen)</t>
        </is>
      </c>
    </row>
    <row r="49">
      <c r="B49" s="5" t="n"/>
      <c r="C49" s="5" t="n"/>
      <c r="D49" s="5" t="n"/>
      <c r="E49" s="5" t="n"/>
      <c r="F49" s="5" t="n"/>
    </row>
    <row r="50">
      <c r="B50" s="5" t="n"/>
      <c r="C50" s="5" t="n"/>
      <c r="D50" s="5" t="n"/>
      <c r="E50" s="5" t="n"/>
      <c r="F50" s="5" t="n"/>
    </row>
    <row r="51">
      <c r="B51" s="5" t="n"/>
      <c r="C51" s="5" t="n"/>
      <c r="D51" s="5" t="n"/>
      <c r="E51" s="5" t="n"/>
      <c r="F51" s="5" t="n"/>
    </row>
    <row r="52">
      <c r="B52" s="5" t="n"/>
      <c r="C52" s="5" t="n"/>
      <c r="D52" s="5" t="n"/>
      <c r="E52" s="5" t="n"/>
      <c r="F52" s="5" t="n"/>
    </row>
    <row r="54">
      <c r="B54" s="31" t="inlineStr">
        <is>
          <t>Als PDF exportieren (Datei &gt; Exportieren) und an DPR senden. Enthaelt KEINE EUR-Einkaufspreise.</t>
        </is>
      </c>
    </row>
  </sheetData>
  <mergeCells count="31">
    <mergeCell ref="B4:F4"/>
    <mergeCell ref="B54:F54"/>
    <mergeCell ref="B25:F25"/>
    <mergeCell ref="B3:F3"/>
    <mergeCell ref="B46:F46"/>
    <mergeCell ref="B27:F27"/>
    <mergeCell ref="B12:C12"/>
    <mergeCell ref="B52:F52"/>
    <mergeCell ref="B43:F43"/>
    <mergeCell ref="B39:F39"/>
    <mergeCell ref="B2:F2"/>
    <mergeCell ref="B11:C11"/>
    <mergeCell ref="B14:C14"/>
    <mergeCell ref="B13:C13"/>
    <mergeCell ref="B44:F44"/>
    <mergeCell ref="B29:F29"/>
    <mergeCell ref="B34:F34"/>
    <mergeCell ref="B28:F28"/>
    <mergeCell ref="B10:C10"/>
    <mergeCell ref="B9:C9"/>
    <mergeCell ref="B40:F40"/>
    <mergeCell ref="B49:F49"/>
    <mergeCell ref="B30:F30"/>
    <mergeCell ref="B6:F6"/>
    <mergeCell ref="B33:F33"/>
    <mergeCell ref="B51:F51"/>
    <mergeCell ref="B45:F45"/>
    <mergeCell ref="B36:F36"/>
    <mergeCell ref="B50:F50"/>
    <mergeCell ref="B26:F26"/>
    <mergeCell ref="B35:F35"/>
  </mergeCells>
  <conditionalFormatting sqref="B6">
    <cfRule type="expression" priority="1" dxfId="0">
      <formula>ISNUMBER(SEARCH("KRITISCH",$B$6))</formula>
    </cfRule>
    <cfRule type="expression" priority="2" dxfId="1">
      <formula>ISNUMBER(SEARCH("ACHTUNG",$B$6))</formula>
    </cfRule>
    <cfRule type="expression" priority="3" dxfId="2">
      <formula>ISNUMBER(SEARCH("AUF KURS",$B$6))</formula>
    </cfRule>
  </conditionalFormatting>
  <conditionalFormatting sqref="D18:D22">
    <cfRule type="cellIs" priority="4" operator="equal" dxfId="3">
      <formula>"erledigt"</formula>
    </cfRule>
    <cfRule type="cellIs" priority="5" operator="equal" dxfId="4">
      <formula>"kritisch"</formula>
    </cfRule>
    <cfRule type="cellIs" priority="6" operator="equal" dxfId="5">
      <formula>"in Arbeit"</formula>
    </cfRule>
    <cfRule type="cellIs" priority="7" operator="equal" dxfId="6">
      <formula>"verschoben"</formula>
    </cfRule>
  </conditionalFormatting>
  <printOptions horizontalCentered="1"/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 fitToPage="1"/>
  </sheetPr>
  <dimension ref="A1:AC4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</cols>
  <sheetData>
    <row r="1">
      <c r="A1" s="2" t="inlineStr">
        <is>
          <t>TERMINPLAN 2026 - Wochenraster (KW 29-53)</t>
        </is>
      </c>
    </row>
    <row r="2">
      <c r="A2" s="23" t="inlineStr">
        <is>
          <t>Nr.</t>
        </is>
      </c>
      <c r="B2" s="23" t="inlineStr">
        <is>
          <t>Phase / Meilenstein</t>
        </is>
      </c>
      <c r="C2" s="23" t="inlineStr">
        <is>
          <t>Start / Termin</t>
        </is>
      </c>
      <c r="D2" s="23" t="inlineStr">
        <is>
          <t>Ende / Status</t>
        </is>
      </c>
      <c r="E2" s="36" t="inlineStr">
        <is>
          <t>KW29</t>
        </is>
      </c>
      <c r="F2" s="36" t="inlineStr">
        <is>
          <t>KW30</t>
        </is>
      </c>
      <c r="G2" s="36" t="inlineStr">
        <is>
          <t>KW31</t>
        </is>
      </c>
      <c r="H2" s="36" t="inlineStr">
        <is>
          <t>KW32</t>
        </is>
      </c>
      <c r="I2" s="36" t="inlineStr">
        <is>
          <t>KW33</t>
        </is>
      </c>
      <c r="J2" s="36" t="inlineStr">
        <is>
          <t>KW34</t>
        </is>
      </c>
      <c r="K2" s="36" t="inlineStr">
        <is>
          <t>KW35</t>
        </is>
      </c>
      <c r="L2" s="36" t="inlineStr">
        <is>
          <t>KW36</t>
        </is>
      </c>
      <c r="M2" s="36" t="inlineStr">
        <is>
          <t>KW37</t>
        </is>
      </c>
      <c r="N2" s="36" t="inlineStr">
        <is>
          <t>KW38</t>
        </is>
      </c>
      <c r="O2" s="36" t="inlineStr">
        <is>
          <t>KW39</t>
        </is>
      </c>
      <c r="P2" s="36" t="inlineStr">
        <is>
          <t>KW40</t>
        </is>
      </c>
      <c r="Q2" s="36" t="inlineStr">
        <is>
          <t>KW41</t>
        </is>
      </c>
      <c r="R2" s="36" t="inlineStr">
        <is>
          <t>KW42</t>
        </is>
      </c>
      <c r="S2" s="36" t="inlineStr">
        <is>
          <t>KW43</t>
        </is>
      </c>
      <c r="T2" s="36" t="inlineStr">
        <is>
          <t>KW44</t>
        </is>
      </c>
      <c r="U2" s="36" t="inlineStr">
        <is>
          <t>KW45</t>
        </is>
      </c>
      <c r="V2" s="36" t="inlineStr">
        <is>
          <t>KW46</t>
        </is>
      </c>
      <c r="W2" s="36" t="inlineStr">
        <is>
          <t>KW47</t>
        </is>
      </c>
      <c r="X2" s="36" t="inlineStr">
        <is>
          <t>KW48</t>
        </is>
      </c>
      <c r="Y2" s="36" t="inlineStr">
        <is>
          <t>KW49</t>
        </is>
      </c>
      <c r="Z2" s="36" t="inlineStr">
        <is>
          <t>KW50</t>
        </is>
      </c>
      <c r="AA2" s="36" t="inlineStr">
        <is>
          <t>KW51</t>
        </is>
      </c>
      <c r="AB2" s="36" t="inlineStr">
        <is>
          <t>KW52</t>
        </is>
      </c>
      <c r="AC2" s="36" t="inlineStr">
        <is>
          <t>KW53</t>
        </is>
      </c>
    </row>
    <row r="3">
      <c r="A3" s="5" t="n"/>
      <c r="B3" s="5" t="n"/>
      <c r="C3" s="5" t="n"/>
      <c r="D3" s="5" t="n"/>
      <c r="E3" s="37" t="n">
        <v>46216</v>
      </c>
      <c r="F3" s="37" t="n">
        <v>46223</v>
      </c>
      <c r="G3" s="37" t="n">
        <v>46230</v>
      </c>
      <c r="H3" s="37" t="n">
        <v>46237</v>
      </c>
      <c r="I3" s="37" t="n">
        <v>46244</v>
      </c>
      <c r="J3" s="37" t="n">
        <v>46251</v>
      </c>
      <c r="K3" s="37" t="n">
        <v>46258</v>
      </c>
      <c r="L3" s="37" t="n">
        <v>46265</v>
      </c>
      <c r="M3" s="37" t="n">
        <v>46272</v>
      </c>
      <c r="N3" s="37" t="n">
        <v>46279</v>
      </c>
      <c r="O3" s="37" t="n">
        <v>46286</v>
      </c>
      <c r="P3" s="37" t="n">
        <v>46293</v>
      </c>
      <c r="Q3" s="37" t="n">
        <v>46300</v>
      </c>
      <c r="R3" s="37" t="n">
        <v>46307</v>
      </c>
      <c r="S3" s="37" t="n">
        <v>46314</v>
      </c>
      <c r="T3" s="37" t="n">
        <v>46321</v>
      </c>
      <c r="U3" s="37" t="n">
        <v>46328</v>
      </c>
      <c r="V3" s="37" t="n">
        <v>46335</v>
      </c>
      <c r="W3" s="37" t="n">
        <v>46342</v>
      </c>
      <c r="X3" s="37" t="n">
        <v>46349</v>
      </c>
      <c r="Y3" s="37" t="n">
        <v>46356</v>
      </c>
      <c r="Z3" s="37" t="n">
        <v>46363</v>
      </c>
      <c r="AA3" s="37" t="n">
        <v>46370</v>
      </c>
      <c r="AB3" s="37" t="n">
        <v>46377</v>
      </c>
      <c r="AC3" s="37" t="n">
        <v>46384</v>
      </c>
    </row>
    <row r="4">
      <c r="A4" s="29" t="n">
        <v>1</v>
      </c>
      <c r="B4" s="38" t="inlineStr">
        <is>
          <t>Vertraege &amp; Compliance</t>
        </is>
      </c>
      <c r="C4" s="26" t="n">
        <v>46219</v>
      </c>
      <c r="D4" s="26" t="n">
        <v>46231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29" t="n">
        <v>2</v>
      </c>
      <c r="B5" s="38" t="inlineStr">
        <is>
          <t>Projektvorbereitung &amp; Mobilisierung</t>
        </is>
      </c>
      <c r="C5" s="26" t="n">
        <v>46219</v>
      </c>
      <c r="D5" s="26" t="n">
        <v>46237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29" t="n">
        <v>3</v>
      </c>
      <c r="B6" s="38" t="inlineStr">
        <is>
          <t>Heat-Load (Headloads) - Miete</t>
        </is>
      </c>
      <c r="C6" s="26" t="n">
        <v>46237</v>
      </c>
      <c r="D6" s="26" t="n">
        <v>46367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29" t="n">
        <v>4</v>
      </c>
      <c r="B7" s="38" t="inlineStr">
        <is>
          <t>Loadbank 6 MVA - Miete</t>
        </is>
      </c>
      <c r="C7" s="26" t="n">
        <v>46251</v>
      </c>
      <c r="D7" s="26" t="n">
        <v>46328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29" t="n">
        <v>5</v>
      </c>
      <c r="B8" s="38" t="inlineStr">
        <is>
          <t>Testphase / Inbetriebnahme</t>
        </is>
      </c>
      <c r="C8" s="26" t="n">
        <v>46237</v>
      </c>
      <c r="D8" s="26" t="n">
        <v>46328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29" t="n">
        <v>6</v>
      </c>
      <c r="B9" s="38" t="inlineStr">
        <is>
          <t>3-MW-Block (Abruf)</t>
        </is>
      </c>
      <c r="C9" s="26" t="n">
        <v>46248</v>
      </c>
      <c r="D9" s="26" t="n">
        <v>46272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29" t="n">
        <v>7</v>
      </c>
      <c r="B10" s="38" t="inlineStr">
        <is>
          <t>5-MW-Block (Abruf)</t>
        </is>
      </c>
      <c r="C10" s="26" t="n">
        <v>46273</v>
      </c>
      <c r="D10" s="26" t="n">
        <v>46295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>
      <c r="A11" s="29" t="n">
        <v>8</v>
      </c>
      <c r="B11" s="38" t="inlineStr">
        <is>
          <t>Demontage</t>
        </is>
      </c>
      <c r="C11" s="26" t="n">
        <v>46370</v>
      </c>
      <c r="D11" s="26" t="n">
        <v>46370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>
      <c r="A12" s="29" t="n">
        <v>9</v>
      </c>
      <c r="B12" s="38" t="inlineStr">
        <is>
          <t>Closeout &amp; Dokumentation</t>
        </is>
      </c>
      <c r="C12" s="26" t="n">
        <v>46356</v>
      </c>
      <c r="D12" s="26" t="n">
        <v>46387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4">
      <c r="A14" s="39" t="inlineStr">
        <is>
          <t>MEILENSTEINE  (◆ = Termin in dieser Woche)</t>
        </is>
      </c>
    </row>
    <row r="15">
      <c r="A15" s="29">
        <f>Meilensteine!$A$2</f>
        <v/>
      </c>
      <c r="B15" s="38">
        <f>Meilensteine!$B$2</f>
        <v/>
      </c>
      <c r="C15" s="26">
        <f>Meilensteine!$D$2</f>
        <v/>
      </c>
      <c r="D15" s="29">
        <f>Meilensteine!$G$2</f>
        <v/>
      </c>
      <c r="E15" s="34">
        <f>IF(AND(Meilensteine!$D$2&gt;=E$3,Meilensteine!$D$2&lt;E$3+7),"◆","")</f>
        <v/>
      </c>
      <c r="F15" s="34">
        <f>IF(AND(Meilensteine!$D$2&gt;=F$3,Meilensteine!$D$2&lt;F$3+7),"◆","")</f>
        <v/>
      </c>
      <c r="G15" s="34">
        <f>IF(AND(Meilensteine!$D$2&gt;=G$3,Meilensteine!$D$2&lt;G$3+7),"◆","")</f>
        <v/>
      </c>
      <c r="H15" s="34">
        <f>IF(AND(Meilensteine!$D$2&gt;=H$3,Meilensteine!$D$2&lt;H$3+7),"◆","")</f>
        <v/>
      </c>
      <c r="I15" s="34">
        <f>IF(AND(Meilensteine!$D$2&gt;=I$3,Meilensteine!$D$2&lt;I$3+7),"◆","")</f>
        <v/>
      </c>
      <c r="J15" s="34">
        <f>IF(AND(Meilensteine!$D$2&gt;=J$3,Meilensteine!$D$2&lt;J$3+7),"◆","")</f>
        <v/>
      </c>
      <c r="K15" s="34">
        <f>IF(AND(Meilensteine!$D$2&gt;=K$3,Meilensteine!$D$2&lt;K$3+7),"◆","")</f>
        <v/>
      </c>
      <c r="L15" s="34">
        <f>IF(AND(Meilensteine!$D$2&gt;=L$3,Meilensteine!$D$2&lt;L$3+7),"◆","")</f>
        <v/>
      </c>
      <c r="M15" s="34">
        <f>IF(AND(Meilensteine!$D$2&gt;=M$3,Meilensteine!$D$2&lt;M$3+7),"◆","")</f>
        <v/>
      </c>
      <c r="N15" s="34">
        <f>IF(AND(Meilensteine!$D$2&gt;=N$3,Meilensteine!$D$2&lt;N$3+7),"◆","")</f>
        <v/>
      </c>
      <c r="O15" s="34">
        <f>IF(AND(Meilensteine!$D$2&gt;=O$3,Meilensteine!$D$2&lt;O$3+7),"◆","")</f>
        <v/>
      </c>
      <c r="P15" s="34">
        <f>IF(AND(Meilensteine!$D$2&gt;=P$3,Meilensteine!$D$2&lt;P$3+7),"◆","")</f>
        <v/>
      </c>
      <c r="Q15" s="34">
        <f>IF(AND(Meilensteine!$D$2&gt;=Q$3,Meilensteine!$D$2&lt;Q$3+7),"◆","")</f>
        <v/>
      </c>
      <c r="R15" s="34">
        <f>IF(AND(Meilensteine!$D$2&gt;=R$3,Meilensteine!$D$2&lt;R$3+7),"◆","")</f>
        <v/>
      </c>
      <c r="S15" s="34">
        <f>IF(AND(Meilensteine!$D$2&gt;=S$3,Meilensteine!$D$2&lt;S$3+7),"◆","")</f>
        <v/>
      </c>
      <c r="T15" s="34">
        <f>IF(AND(Meilensteine!$D$2&gt;=T$3,Meilensteine!$D$2&lt;T$3+7),"◆","")</f>
        <v/>
      </c>
      <c r="U15" s="34">
        <f>IF(AND(Meilensteine!$D$2&gt;=U$3,Meilensteine!$D$2&lt;U$3+7),"◆","")</f>
        <v/>
      </c>
      <c r="V15" s="34">
        <f>IF(AND(Meilensteine!$D$2&gt;=V$3,Meilensteine!$D$2&lt;V$3+7),"◆","")</f>
        <v/>
      </c>
      <c r="W15" s="34">
        <f>IF(AND(Meilensteine!$D$2&gt;=W$3,Meilensteine!$D$2&lt;W$3+7),"◆","")</f>
        <v/>
      </c>
      <c r="X15" s="34">
        <f>IF(AND(Meilensteine!$D$2&gt;=X$3,Meilensteine!$D$2&lt;X$3+7),"◆","")</f>
        <v/>
      </c>
      <c r="Y15" s="34">
        <f>IF(AND(Meilensteine!$D$2&gt;=Y$3,Meilensteine!$D$2&lt;Y$3+7),"◆","")</f>
        <v/>
      </c>
      <c r="Z15" s="34">
        <f>IF(AND(Meilensteine!$D$2&gt;=Z$3,Meilensteine!$D$2&lt;Z$3+7),"◆","")</f>
        <v/>
      </c>
      <c r="AA15" s="34">
        <f>IF(AND(Meilensteine!$D$2&gt;=AA$3,Meilensteine!$D$2&lt;AA$3+7),"◆","")</f>
        <v/>
      </c>
      <c r="AB15" s="34">
        <f>IF(AND(Meilensteine!$D$2&gt;=AB$3,Meilensteine!$D$2&lt;AB$3+7),"◆","")</f>
        <v/>
      </c>
      <c r="AC15" s="34">
        <f>IF(AND(Meilensteine!$D$2&gt;=AC$3,Meilensteine!$D$2&lt;AC$3+7),"◆","")</f>
        <v/>
      </c>
    </row>
    <row r="16">
      <c r="A16" s="29">
        <f>Meilensteine!$A$3</f>
        <v/>
      </c>
      <c r="B16" s="38">
        <f>Meilensteine!$B$3</f>
        <v/>
      </c>
      <c r="C16" s="26">
        <f>Meilensteine!$D$3</f>
        <v/>
      </c>
      <c r="D16" s="29">
        <f>Meilensteine!$G$3</f>
        <v/>
      </c>
      <c r="E16" s="34">
        <f>IF(AND(Meilensteine!$D$3&gt;=E$3,Meilensteine!$D$3&lt;E$3+7),"◆","")</f>
        <v/>
      </c>
      <c r="F16" s="34">
        <f>IF(AND(Meilensteine!$D$3&gt;=F$3,Meilensteine!$D$3&lt;F$3+7),"◆","")</f>
        <v/>
      </c>
      <c r="G16" s="34">
        <f>IF(AND(Meilensteine!$D$3&gt;=G$3,Meilensteine!$D$3&lt;G$3+7),"◆","")</f>
        <v/>
      </c>
      <c r="H16" s="34">
        <f>IF(AND(Meilensteine!$D$3&gt;=H$3,Meilensteine!$D$3&lt;H$3+7),"◆","")</f>
        <v/>
      </c>
      <c r="I16" s="34">
        <f>IF(AND(Meilensteine!$D$3&gt;=I$3,Meilensteine!$D$3&lt;I$3+7),"◆","")</f>
        <v/>
      </c>
      <c r="J16" s="34">
        <f>IF(AND(Meilensteine!$D$3&gt;=J$3,Meilensteine!$D$3&lt;J$3+7),"◆","")</f>
        <v/>
      </c>
      <c r="K16" s="34">
        <f>IF(AND(Meilensteine!$D$3&gt;=K$3,Meilensteine!$D$3&lt;K$3+7),"◆","")</f>
        <v/>
      </c>
      <c r="L16" s="34">
        <f>IF(AND(Meilensteine!$D$3&gt;=L$3,Meilensteine!$D$3&lt;L$3+7),"◆","")</f>
        <v/>
      </c>
      <c r="M16" s="34">
        <f>IF(AND(Meilensteine!$D$3&gt;=M$3,Meilensteine!$D$3&lt;M$3+7),"◆","")</f>
        <v/>
      </c>
      <c r="N16" s="34">
        <f>IF(AND(Meilensteine!$D$3&gt;=N$3,Meilensteine!$D$3&lt;N$3+7),"◆","")</f>
        <v/>
      </c>
      <c r="O16" s="34">
        <f>IF(AND(Meilensteine!$D$3&gt;=O$3,Meilensteine!$D$3&lt;O$3+7),"◆","")</f>
        <v/>
      </c>
      <c r="P16" s="34">
        <f>IF(AND(Meilensteine!$D$3&gt;=P$3,Meilensteine!$D$3&lt;P$3+7),"◆","")</f>
        <v/>
      </c>
      <c r="Q16" s="34">
        <f>IF(AND(Meilensteine!$D$3&gt;=Q$3,Meilensteine!$D$3&lt;Q$3+7),"◆","")</f>
        <v/>
      </c>
      <c r="R16" s="34">
        <f>IF(AND(Meilensteine!$D$3&gt;=R$3,Meilensteine!$D$3&lt;R$3+7),"◆","")</f>
        <v/>
      </c>
      <c r="S16" s="34">
        <f>IF(AND(Meilensteine!$D$3&gt;=S$3,Meilensteine!$D$3&lt;S$3+7),"◆","")</f>
        <v/>
      </c>
      <c r="T16" s="34">
        <f>IF(AND(Meilensteine!$D$3&gt;=T$3,Meilensteine!$D$3&lt;T$3+7),"◆","")</f>
        <v/>
      </c>
      <c r="U16" s="34">
        <f>IF(AND(Meilensteine!$D$3&gt;=U$3,Meilensteine!$D$3&lt;U$3+7),"◆","")</f>
        <v/>
      </c>
      <c r="V16" s="34">
        <f>IF(AND(Meilensteine!$D$3&gt;=V$3,Meilensteine!$D$3&lt;V$3+7),"◆","")</f>
        <v/>
      </c>
      <c r="W16" s="34">
        <f>IF(AND(Meilensteine!$D$3&gt;=W$3,Meilensteine!$D$3&lt;W$3+7),"◆","")</f>
        <v/>
      </c>
      <c r="X16" s="34">
        <f>IF(AND(Meilensteine!$D$3&gt;=X$3,Meilensteine!$D$3&lt;X$3+7),"◆","")</f>
        <v/>
      </c>
      <c r="Y16" s="34">
        <f>IF(AND(Meilensteine!$D$3&gt;=Y$3,Meilensteine!$D$3&lt;Y$3+7),"◆","")</f>
        <v/>
      </c>
      <c r="Z16" s="34">
        <f>IF(AND(Meilensteine!$D$3&gt;=Z$3,Meilensteine!$D$3&lt;Z$3+7),"◆","")</f>
        <v/>
      </c>
      <c r="AA16" s="34">
        <f>IF(AND(Meilensteine!$D$3&gt;=AA$3,Meilensteine!$D$3&lt;AA$3+7),"◆","")</f>
        <v/>
      </c>
      <c r="AB16" s="34">
        <f>IF(AND(Meilensteine!$D$3&gt;=AB$3,Meilensteine!$D$3&lt;AB$3+7),"◆","")</f>
        <v/>
      </c>
      <c r="AC16" s="34">
        <f>IF(AND(Meilensteine!$D$3&gt;=AC$3,Meilensteine!$D$3&lt;AC$3+7),"◆","")</f>
        <v/>
      </c>
    </row>
    <row r="17">
      <c r="A17" s="29">
        <f>Meilensteine!$A$4</f>
        <v/>
      </c>
      <c r="B17" s="38">
        <f>Meilensteine!$B$4</f>
        <v/>
      </c>
      <c r="C17" s="26">
        <f>Meilensteine!$D$4</f>
        <v/>
      </c>
      <c r="D17" s="29">
        <f>Meilensteine!$G$4</f>
        <v/>
      </c>
      <c r="E17" s="34">
        <f>IF(AND(Meilensteine!$D$4&gt;=E$3,Meilensteine!$D$4&lt;E$3+7),"◆","")</f>
        <v/>
      </c>
      <c r="F17" s="34">
        <f>IF(AND(Meilensteine!$D$4&gt;=F$3,Meilensteine!$D$4&lt;F$3+7),"◆","")</f>
        <v/>
      </c>
      <c r="G17" s="34">
        <f>IF(AND(Meilensteine!$D$4&gt;=G$3,Meilensteine!$D$4&lt;G$3+7),"◆","")</f>
        <v/>
      </c>
      <c r="H17" s="34">
        <f>IF(AND(Meilensteine!$D$4&gt;=H$3,Meilensteine!$D$4&lt;H$3+7),"◆","")</f>
        <v/>
      </c>
      <c r="I17" s="34">
        <f>IF(AND(Meilensteine!$D$4&gt;=I$3,Meilensteine!$D$4&lt;I$3+7),"◆","")</f>
        <v/>
      </c>
      <c r="J17" s="34">
        <f>IF(AND(Meilensteine!$D$4&gt;=J$3,Meilensteine!$D$4&lt;J$3+7),"◆","")</f>
        <v/>
      </c>
      <c r="K17" s="34">
        <f>IF(AND(Meilensteine!$D$4&gt;=K$3,Meilensteine!$D$4&lt;K$3+7),"◆","")</f>
        <v/>
      </c>
      <c r="L17" s="34">
        <f>IF(AND(Meilensteine!$D$4&gt;=L$3,Meilensteine!$D$4&lt;L$3+7),"◆","")</f>
        <v/>
      </c>
      <c r="M17" s="34">
        <f>IF(AND(Meilensteine!$D$4&gt;=M$3,Meilensteine!$D$4&lt;M$3+7),"◆","")</f>
        <v/>
      </c>
      <c r="N17" s="34">
        <f>IF(AND(Meilensteine!$D$4&gt;=N$3,Meilensteine!$D$4&lt;N$3+7),"◆","")</f>
        <v/>
      </c>
      <c r="O17" s="34">
        <f>IF(AND(Meilensteine!$D$4&gt;=O$3,Meilensteine!$D$4&lt;O$3+7),"◆","")</f>
        <v/>
      </c>
      <c r="P17" s="34">
        <f>IF(AND(Meilensteine!$D$4&gt;=P$3,Meilensteine!$D$4&lt;P$3+7),"◆","")</f>
        <v/>
      </c>
      <c r="Q17" s="34">
        <f>IF(AND(Meilensteine!$D$4&gt;=Q$3,Meilensteine!$D$4&lt;Q$3+7),"◆","")</f>
        <v/>
      </c>
      <c r="R17" s="34">
        <f>IF(AND(Meilensteine!$D$4&gt;=R$3,Meilensteine!$D$4&lt;R$3+7),"◆","")</f>
        <v/>
      </c>
      <c r="S17" s="34">
        <f>IF(AND(Meilensteine!$D$4&gt;=S$3,Meilensteine!$D$4&lt;S$3+7),"◆","")</f>
        <v/>
      </c>
      <c r="T17" s="34">
        <f>IF(AND(Meilensteine!$D$4&gt;=T$3,Meilensteine!$D$4&lt;T$3+7),"◆","")</f>
        <v/>
      </c>
      <c r="U17" s="34">
        <f>IF(AND(Meilensteine!$D$4&gt;=U$3,Meilensteine!$D$4&lt;U$3+7),"◆","")</f>
        <v/>
      </c>
      <c r="V17" s="34">
        <f>IF(AND(Meilensteine!$D$4&gt;=V$3,Meilensteine!$D$4&lt;V$3+7),"◆","")</f>
        <v/>
      </c>
      <c r="W17" s="34">
        <f>IF(AND(Meilensteine!$D$4&gt;=W$3,Meilensteine!$D$4&lt;W$3+7),"◆","")</f>
        <v/>
      </c>
      <c r="X17" s="34">
        <f>IF(AND(Meilensteine!$D$4&gt;=X$3,Meilensteine!$D$4&lt;X$3+7),"◆","")</f>
        <v/>
      </c>
      <c r="Y17" s="34">
        <f>IF(AND(Meilensteine!$D$4&gt;=Y$3,Meilensteine!$D$4&lt;Y$3+7),"◆","")</f>
        <v/>
      </c>
      <c r="Z17" s="34">
        <f>IF(AND(Meilensteine!$D$4&gt;=Z$3,Meilensteine!$D$4&lt;Z$3+7),"◆","")</f>
        <v/>
      </c>
      <c r="AA17" s="34">
        <f>IF(AND(Meilensteine!$D$4&gt;=AA$3,Meilensteine!$D$4&lt;AA$3+7),"◆","")</f>
        <v/>
      </c>
      <c r="AB17" s="34">
        <f>IF(AND(Meilensteine!$D$4&gt;=AB$3,Meilensteine!$D$4&lt;AB$3+7),"◆","")</f>
        <v/>
      </c>
      <c r="AC17" s="34">
        <f>IF(AND(Meilensteine!$D$4&gt;=AC$3,Meilensteine!$D$4&lt;AC$3+7),"◆","")</f>
        <v/>
      </c>
    </row>
    <row r="18">
      <c r="A18" s="29">
        <f>Meilensteine!$A$5</f>
        <v/>
      </c>
      <c r="B18" s="38">
        <f>Meilensteine!$B$5</f>
        <v/>
      </c>
      <c r="C18" s="26">
        <f>Meilensteine!$D$5</f>
        <v/>
      </c>
      <c r="D18" s="29">
        <f>Meilensteine!$G$5</f>
        <v/>
      </c>
      <c r="E18" s="34">
        <f>IF(AND(Meilensteine!$D$5&gt;=E$3,Meilensteine!$D$5&lt;E$3+7),"◆","")</f>
        <v/>
      </c>
      <c r="F18" s="34">
        <f>IF(AND(Meilensteine!$D$5&gt;=F$3,Meilensteine!$D$5&lt;F$3+7),"◆","")</f>
        <v/>
      </c>
      <c r="G18" s="34">
        <f>IF(AND(Meilensteine!$D$5&gt;=G$3,Meilensteine!$D$5&lt;G$3+7),"◆","")</f>
        <v/>
      </c>
      <c r="H18" s="34">
        <f>IF(AND(Meilensteine!$D$5&gt;=H$3,Meilensteine!$D$5&lt;H$3+7),"◆","")</f>
        <v/>
      </c>
      <c r="I18" s="34">
        <f>IF(AND(Meilensteine!$D$5&gt;=I$3,Meilensteine!$D$5&lt;I$3+7),"◆","")</f>
        <v/>
      </c>
      <c r="J18" s="34">
        <f>IF(AND(Meilensteine!$D$5&gt;=J$3,Meilensteine!$D$5&lt;J$3+7),"◆","")</f>
        <v/>
      </c>
      <c r="K18" s="34">
        <f>IF(AND(Meilensteine!$D$5&gt;=K$3,Meilensteine!$D$5&lt;K$3+7),"◆","")</f>
        <v/>
      </c>
      <c r="L18" s="34">
        <f>IF(AND(Meilensteine!$D$5&gt;=L$3,Meilensteine!$D$5&lt;L$3+7),"◆","")</f>
        <v/>
      </c>
      <c r="M18" s="34">
        <f>IF(AND(Meilensteine!$D$5&gt;=M$3,Meilensteine!$D$5&lt;M$3+7),"◆","")</f>
        <v/>
      </c>
      <c r="N18" s="34">
        <f>IF(AND(Meilensteine!$D$5&gt;=N$3,Meilensteine!$D$5&lt;N$3+7),"◆","")</f>
        <v/>
      </c>
      <c r="O18" s="34">
        <f>IF(AND(Meilensteine!$D$5&gt;=O$3,Meilensteine!$D$5&lt;O$3+7),"◆","")</f>
        <v/>
      </c>
      <c r="P18" s="34">
        <f>IF(AND(Meilensteine!$D$5&gt;=P$3,Meilensteine!$D$5&lt;P$3+7),"◆","")</f>
        <v/>
      </c>
      <c r="Q18" s="34">
        <f>IF(AND(Meilensteine!$D$5&gt;=Q$3,Meilensteine!$D$5&lt;Q$3+7),"◆","")</f>
        <v/>
      </c>
      <c r="R18" s="34">
        <f>IF(AND(Meilensteine!$D$5&gt;=R$3,Meilensteine!$D$5&lt;R$3+7),"◆","")</f>
        <v/>
      </c>
      <c r="S18" s="34">
        <f>IF(AND(Meilensteine!$D$5&gt;=S$3,Meilensteine!$D$5&lt;S$3+7),"◆","")</f>
        <v/>
      </c>
      <c r="T18" s="34">
        <f>IF(AND(Meilensteine!$D$5&gt;=T$3,Meilensteine!$D$5&lt;T$3+7),"◆","")</f>
        <v/>
      </c>
      <c r="U18" s="34">
        <f>IF(AND(Meilensteine!$D$5&gt;=U$3,Meilensteine!$D$5&lt;U$3+7),"◆","")</f>
        <v/>
      </c>
      <c r="V18" s="34">
        <f>IF(AND(Meilensteine!$D$5&gt;=V$3,Meilensteine!$D$5&lt;V$3+7),"◆","")</f>
        <v/>
      </c>
      <c r="W18" s="34">
        <f>IF(AND(Meilensteine!$D$5&gt;=W$3,Meilensteine!$D$5&lt;W$3+7),"◆","")</f>
        <v/>
      </c>
      <c r="X18" s="34">
        <f>IF(AND(Meilensteine!$D$5&gt;=X$3,Meilensteine!$D$5&lt;X$3+7),"◆","")</f>
        <v/>
      </c>
      <c r="Y18" s="34">
        <f>IF(AND(Meilensteine!$D$5&gt;=Y$3,Meilensteine!$D$5&lt;Y$3+7),"◆","")</f>
        <v/>
      </c>
      <c r="Z18" s="34">
        <f>IF(AND(Meilensteine!$D$5&gt;=Z$3,Meilensteine!$D$5&lt;Z$3+7),"◆","")</f>
        <v/>
      </c>
      <c r="AA18" s="34">
        <f>IF(AND(Meilensteine!$D$5&gt;=AA$3,Meilensteine!$D$5&lt;AA$3+7),"◆","")</f>
        <v/>
      </c>
      <c r="AB18" s="34">
        <f>IF(AND(Meilensteine!$D$5&gt;=AB$3,Meilensteine!$D$5&lt;AB$3+7),"◆","")</f>
        <v/>
      </c>
      <c r="AC18" s="34">
        <f>IF(AND(Meilensteine!$D$5&gt;=AC$3,Meilensteine!$D$5&lt;AC$3+7),"◆","")</f>
        <v/>
      </c>
    </row>
    <row r="19">
      <c r="A19" s="29">
        <f>Meilensteine!$A$6</f>
        <v/>
      </c>
      <c r="B19" s="38">
        <f>Meilensteine!$B$6</f>
        <v/>
      </c>
      <c r="C19" s="26">
        <f>Meilensteine!$D$6</f>
        <v/>
      </c>
      <c r="D19" s="29">
        <f>Meilensteine!$G$6</f>
        <v/>
      </c>
      <c r="E19" s="34">
        <f>IF(AND(Meilensteine!$D$6&gt;=E$3,Meilensteine!$D$6&lt;E$3+7),"◆","")</f>
        <v/>
      </c>
      <c r="F19" s="34">
        <f>IF(AND(Meilensteine!$D$6&gt;=F$3,Meilensteine!$D$6&lt;F$3+7),"◆","")</f>
        <v/>
      </c>
      <c r="G19" s="34">
        <f>IF(AND(Meilensteine!$D$6&gt;=G$3,Meilensteine!$D$6&lt;G$3+7),"◆","")</f>
        <v/>
      </c>
      <c r="H19" s="34">
        <f>IF(AND(Meilensteine!$D$6&gt;=H$3,Meilensteine!$D$6&lt;H$3+7),"◆","")</f>
        <v/>
      </c>
      <c r="I19" s="34">
        <f>IF(AND(Meilensteine!$D$6&gt;=I$3,Meilensteine!$D$6&lt;I$3+7),"◆","")</f>
        <v/>
      </c>
      <c r="J19" s="34">
        <f>IF(AND(Meilensteine!$D$6&gt;=J$3,Meilensteine!$D$6&lt;J$3+7),"◆","")</f>
        <v/>
      </c>
      <c r="K19" s="34">
        <f>IF(AND(Meilensteine!$D$6&gt;=K$3,Meilensteine!$D$6&lt;K$3+7),"◆","")</f>
        <v/>
      </c>
      <c r="L19" s="34">
        <f>IF(AND(Meilensteine!$D$6&gt;=L$3,Meilensteine!$D$6&lt;L$3+7),"◆","")</f>
        <v/>
      </c>
      <c r="M19" s="34">
        <f>IF(AND(Meilensteine!$D$6&gt;=M$3,Meilensteine!$D$6&lt;M$3+7),"◆","")</f>
        <v/>
      </c>
      <c r="N19" s="34">
        <f>IF(AND(Meilensteine!$D$6&gt;=N$3,Meilensteine!$D$6&lt;N$3+7),"◆","")</f>
        <v/>
      </c>
      <c r="O19" s="34">
        <f>IF(AND(Meilensteine!$D$6&gt;=O$3,Meilensteine!$D$6&lt;O$3+7),"◆","")</f>
        <v/>
      </c>
      <c r="P19" s="34">
        <f>IF(AND(Meilensteine!$D$6&gt;=P$3,Meilensteine!$D$6&lt;P$3+7),"◆","")</f>
        <v/>
      </c>
      <c r="Q19" s="34">
        <f>IF(AND(Meilensteine!$D$6&gt;=Q$3,Meilensteine!$D$6&lt;Q$3+7),"◆","")</f>
        <v/>
      </c>
      <c r="R19" s="34">
        <f>IF(AND(Meilensteine!$D$6&gt;=R$3,Meilensteine!$D$6&lt;R$3+7),"◆","")</f>
        <v/>
      </c>
      <c r="S19" s="34">
        <f>IF(AND(Meilensteine!$D$6&gt;=S$3,Meilensteine!$D$6&lt;S$3+7),"◆","")</f>
        <v/>
      </c>
      <c r="T19" s="34">
        <f>IF(AND(Meilensteine!$D$6&gt;=T$3,Meilensteine!$D$6&lt;T$3+7),"◆","")</f>
        <v/>
      </c>
      <c r="U19" s="34">
        <f>IF(AND(Meilensteine!$D$6&gt;=U$3,Meilensteine!$D$6&lt;U$3+7),"◆","")</f>
        <v/>
      </c>
      <c r="V19" s="34">
        <f>IF(AND(Meilensteine!$D$6&gt;=V$3,Meilensteine!$D$6&lt;V$3+7),"◆","")</f>
        <v/>
      </c>
      <c r="W19" s="34">
        <f>IF(AND(Meilensteine!$D$6&gt;=W$3,Meilensteine!$D$6&lt;W$3+7),"◆","")</f>
        <v/>
      </c>
      <c r="X19" s="34">
        <f>IF(AND(Meilensteine!$D$6&gt;=X$3,Meilensteine!$D$6&lt;X$3+7),"◆","")</f>
        <v/>
      </c>
      <c r="Y19" s="34">
        <f>IF(AND(Meilensteine!$D$6&gt;=Y$3,Meilensteine!$D$6&lt;Y$3+7),"◆","")</f>
        <v/>
      </c>
      <c r="Z19" s="34">
        <f>IF(AND(Meilensteine!$D$6&gt;=Z$3,Meilensteine!$D$6&lt;Z$3+7),"◆","")</f>
        <v/>
      </c>
      <c r="AA19" s="34">
        <f>IF(AND(Meilensteine!$D$6&gt;=AA$3,Meilensteine!$D$6&lt;AA$3+7),"◆","")</f>
        <v/>
      </c>
      <c r="AB19" s="34">
        <f>IF(AND(Meilensteine!$D$6&gt;=AB$3,Meilensteine!$D$6&lt;AB$3+7),"◆","")</f>
        <v/>
      </c>
      <c r="AC19" s="34">
        <f>IF(AND(Meilensteine!$D$6&gt;=AC$3,Meilensteine!$D$6&lt;AC$3+7),"◆","")</f>
        <v/>
      </c>
    </row>
    <row r="20">
      <c r="A20" s="29">
        <f>Meilensteine!$A$7</f>
        <v/>
      </c>
      <c r="B20" s="38">
        <f>Meilensteine!$B$7</f>
        <v/>
      </c>
      <c r="C20" s="26">
        <f>Meilensteine!$D$7</f>
        <v/>
      </c>
      <c r="D20" s="29">
        <f>Meilensteine!$G$7</f>
        <v/>
      </c>
      <c r="E20" s="34">
        <f>IF(AND(Meilensteine!$D$7&gt;=E$3,Meilensteine!$D$7&lt;E$3+7),"◆","")</f>
        <v/>
      </c>
      <c r="F20" s="34">
        <f>IF(AND(Meilensteine!$D$7&gt;=F$3,Meilensteine!$D$7&lt;F$3+7),"◆","")</f>
        <v/>
      </c>
      <c r="G20" s="34">
        <f>IF(AND(Meilensteine!$D$7&gt;=G$3,Meilensteine!$D$7&lt;G$3+7),"◆","")</f>
        <v/>
      </c>
      <c r="H20" s="34">
        <f>IF(AND(Meilensteine!$D$7&gt;=H$3,Meilensteine!$D$7&lt;H$3+7),"◆","")</f>
        <v/>
      </c>
      <c r="I20" s="34">
        <f>IF(AND(Meilensteine!$D$7&gt;=I$3,Meilensteine!$D$7&lt;I$3+7),"◆","")</f>
        <v/>
      </c>
      <c r="J20" s="34">
        <f>IF(AND(Meilensteine!$D$7&gt;=J$3,Meilensteine!$D$7&lt;J$3+7),"◆","")</f>
        <v/>
      </c>
      <c r="K20" s="34">
        <f>IF(AND(Meilensteine!$D$7&gt;=K$3,Meilensteine!$D$7&lt;K$3+7),"◆","")</f>
        <v/>
      </c>
      <c r="L20" s="34">
        <f>IF(AND(Meilensteine!$D$7&gt;=L$3,Meilensteine!$D$7&lt;L$3+7),"◆","")</f>
        <v/>
      </c>
      <c r="M20" s="34">
        <f>IF(AND(Meilensteine!$D$7&gt;=M$3,Meilensteine!$D$7&lt;M$3+7),"◆","")</f>
        <v/>
      </c>
      <c r="N20" s="34">
        <f>IF(AND(Meilensteine!$D$7&gt;=N$3,Meilensteine!$D$7&lt;N$3+7),"◆","")</f>
        <v/>
      </c>
      <c r="O20" s="34">
        <f>IF(AND(Meilensteine!$D$7&gt;=O$3,Meilensteine!$D$7&lt;O$3+7),"◆","")</f>
        <v/>
      </c>
      <c r="P20" s="34">
        <f>IF(AND(Meilensteine!$D$7&gt;=P$3,Meilensteine!$D$7&lt;P$3+7),"◆","")</f>
        <v/>
      </c>
      <c r="Q20" s="34">
        <f>IF(AND(Meilensteine!$D$7&gt;=Q$3,Meilensteine!$D$7&lt;Q$3+7),"◆","")</f>
        <v/>
      </c>
      <c r="R20" s="34">
        <f>IF(AND(Meilensteine!$D$7&gt;=R$3,Meilensteine!$D$7&lt;R$3+7),"◆","")</f>
        <v/>
      </c>
      <c r="S20" s="34">
        <f>IF(AND(Meilensteine!$D$7&gt;=S$3,Meilensteine!$D$7&lt;S$3+7),"◆","")</f>
        <v/>
      </c>
      <c r="T20" s="34">
        <f>IF(AND(Meilensteine!$D$7&gt;=T$3,Meilensteine!$D$7&lt;T$3+7),"◆","")</f>
        <v/>
      </c>
      <c r="U20" s="34">
        <f>IF(AND(Meilensteine!$D$7&gt;=U$3,Meilensteine!$D$7&lt;U$3+7),"◆","")</f>
        <v/>
      </c>
      <c r="V20" s="34">
        <f>IF(AND(Meilensteine!$D$7&gt;=V$3,Meilensteine!$D$7&lt;V$3+7),"◆","")</f>
        <v/>
      </c>
      <c r="W20" s="34">
        <f>IF(AND(Meilensteine!$D$7&gt;=W$3,Meilensteine!$D$7&lt;W$3+7),"◆","")</f>
        <v/>
      </c>
      <c r="X20" s="34">
        <f>IF(AND(Meilensteine!$D$7&gt;=X$3,Meilensteine!$D$7&lt;X$3+7),"◆","")</f>
        <v/>
      </c>
      <c r="Y20" s="34">
        <f>IF(AND(Meilensteine!$D$7&gt;=Y$3,Meilensteine!$D$7&lt;Y$3+7),"◆","")</f>
        <v/>
      </c>
      <c r="Z20" s="34">
        <f>IF(AND(Meilensteine!$D$7&gt;=Z$3,Meilensteine!$D$7&lt;Z$3+7),"◆","")</f>
        <v/>
      </c>
      <c r="AA20" s="34">
        <f>IF(AND(Meilensteine!$D$7&gt;=AA$3,Meilensteine!$D$7&lt;AA$3+7),"◆","")</f>
        <v/>
      </c>
      <c r="AB20" s="34">
        <f>IF(AND(Meilensteine!$D$7&gt;=AB$3,Meilensteine!$D$7&lt;AB$3+7),"◆","")</f>
        <v/>
      </c>
      <c r="AC20" s="34">
        <f>IF(AND(Meilensteine!$D$7&gt;=AC$3,Meilensteine!$D$7&lt;AC$3+7),"◆","")</f>
        <v/>
      </c>
    </row>
    <row r="21">
      <c r="A21" s="29">
        <f>Meilensteine!$A$8</f>
        <v/>
      </c>
      <c r="B21" s="38">
        <f>Meilensteine!$B$8</f>
        <v/>
      </c>
      <c r="C21" s="26">
        <f>Meilensteine!$D$8</f>
        <v/>
      </c>
      <c r="D21" s="29">
        <f>Meilensteine!$G$8</f>
        <v/>
      </c>
      <c r="E21" s="34">
        <f>IF(AND(Meilensteine!$D$8&gt;=E$3,Meilensteine!$D$8&lt;E$3+7),"◆","")</f>
        <v/>
      </c>
      <c r="F21" s="34">
        <f>IF(AND(Meilensteine!$D$8&gt;=F$3,Meilensteine!$D$8&lt;F$3+7),"◆","")</f>
        <v/>
      </c>
      <c r="G21" s="34">
        <f>IF(AND(Meilensteine!$D$8&gt;=G$3,Meilensteine!$D$8&lt;G$3+7),"◆","")</f>
        <v/>
      </c>
      <c r="H21" s="34">
        <f>IF(AND(Meilensteine!$D$8&gt;=H$3,Meilensteine!$D$8&lt;H$3+7),"◆","")</f>
        <v/>
      </c>
      <c r="I21" s="34">
        <f>IF(AND(Meilensteine!$D$8&gt;=I$3,Meilensteine!$D$8&lt;I$3+7),"◆","")</f>
        <v/>
      </c>
      <c r="J21" s="34">
        <f>IF(AND(Meilensteine!$D$8&gt;=J$3,Meilensteine!$D$8&lt;J$3+7),"◆","")</f>
        <v/>
      </c>
      <c r="K21" s="34">
        <f>IF(AND(Meilensteine!$D$8&gt;=K$3,Meilensteine!$D$8&lt;K$3+7),"◆","")</f>
        <v/>
      </c>
      <c r="L21" s="34">
        <f>IF(AND(Meilensteine!$D$8&gt;=L$3,Meilensteine!$D$8&lt;L$3+7),"◆","")</f>
        <v/>
      </c>
      <c r="M21" s="34">
        <f>IF(AND(Meilensteine!$D$8&gt;=M$3,Meilensteine!$D$8&lt;M$3+7),"◆","")</f>
        <v/>
      </c>
      <c r="N21" s="34">
        <f>IF(AND(Meilensteine!$D$8&gt;=N$3,Meilensteine!$D$8&lt;N$3+7),"◆","")</f>
        <v/>
      </c>
      <c r="O21" s="34">
        <f>IF(AND(Meilensteine!$D$8&gt;=O$3,Meilensteine!$D$8&lt;O$3+7),"◆","")</f>
        <v/>
      </c>
      <c r="P21" s="34">
        <f>IF(AND(Meilensteine!$D$8&gt;=P$3,Meilensteine!$D$8&lt;P$3+7),"◆","")</f>
        <v/>
      </c>
      <c r="Q21" s="34">
        <f>IF(AND(Meilensteine!$D$8&gt;=Q$3,Meilensteine!$D$8&lt;Q$3+7),"◆","")</f>
        <v/>
      </c>
      <c r="R21" s="34">
        <f>IF(AND(Meilensteine!$D$8&gt;=R$3,Meilensteine!$D$8&lt;R$3+7),"◆","")</f>
        <v/>
      </c>
      <c r="S21" s="34">
        <f>IF(AND(Meilensteine!$D$8&gt;=S$3,Meilensteine!$D$8&lt;S$3+7),"◆","")</f>
        <v/>
      </c>
      <c r="T21" s="34">
        <f>IF(AND(Meilensteine!$D$8&gt;=T$3,Meilensteine!$D$8&lt;T$3+7),"◆","")</f>
        <v/>
      </c>
      <c r="U21" s="34">
        <f>IF(AND(Meilensteine!$D$8&gt;=U$3,Meilensteine!$D$8&lt;U$3+7),"◆","")</f>
        <v/>
      </c>
      <c r="V21" s="34">
        <f>IF(AND(Meilensteine!$D$8&gt;=V$3,Meilensteine!$D$8&lt;V$3+7),"◆","")</f>
        <v/>
      </c>
      <c r="W21" s="34">
        <f>IF(AND(Meilensteine!$D$8&gt;=W$3,Meilensteine!$D$8&lt;W$3+7),"◆","")</f>
        <v/>
      </c>
      <c r="X21" s="34">
        <f>IF(AND(Meilensteine!$D$8&gt;=X$3,Meilensteine!$D$8&lt;X$3+7),"◆","")</f>
        <v/>
      </c>
      <c r="Y21" s="34">
        <f>IF(AND(Meilensteine!$D$8&gt;=Y$3,Meilensteine!$D$8&lt;Y$3+7),"◆","")</f>
        <v/>
      </c>
      <c r="Z21" s="34">
        <f>IF(AND(Meilensteine!$D$8&gt;=Z$3,Meilensteine!$D$8&lt;Z$3+7),"◆","")</f>
        <v/>
      </c>
      <c r="AA21" s="34">
        <f>IF(AND(Meilensteine!$D$8&gt;=AA$3,Meilensteine!$D$8&lt;AA$3+7),"◆","")</f>
        <v/>
      </c>
      <c r="AB21" s="34">
        <f>IF(AND(Meilensteine!$D$8&gt;=AB$3,Meilensteine!$D$8&lt;AB$3+7),"◆","")</f>
        <v/>
      </c>
      <c r="AC21" s="34">
        <f>IF(AND(Meilensteine!$D$8&gt;=AC$3,Meilensteine!$D$8&lt;AC$3+7),"◆","")</f>
        <v/>
      </c>
    </row>
    <row r="22">
      <c r="A22" s="29">
        <f>Meilensteine!$A$9</f>
        <v/>
      </c>
      <c r="B22" s="38">
        <f>Meilensteine!$B$9</f>
        <v/>
      </c>
      <c r="C22" s="26">
        <f>Meilensteine!$D$9</f>
        <v/>
      </c>
      <c r="D22" s="29">
        <f>Meilensteine!$G$9</f>
        <v/>
      </c>
      <c r="E22" s="34">
        <f>IF(AND(Meilensteine!$D$9&gt;=E$3,Meilensteine!$D$9&lt;E$3+7),"◆","")</f>
        <v/>
      </c>
      <c r="F22" s="34">
        <f>IF(AND(Meilensteine!$D$9&gt;=F$3,Meilensteine!$D$9&lt;F$3+7),"◆","")</f>
        <v/>
      </c>
      <c r="G22" s="34">
        <f>IF(AND(Meilensteine!$D$9&gt;=G$3,Meilensteine!$D$9&lt;G$3+7),"◆","")</f>
        <v/>
      </c>
      <c r="H22" s="34">
        <f>IF(AND(Meilensteine!$D$9&gt;=H$3,Meilensteine!$D$9&lt;H$3+7),"◆","")</f>
        <v/>
      </c>
      <c r="I22" s="34">
        <f>IF(AND(Meilensteine!$D$9&gt;=I$3,Meilensteine!$D$9&lt;I$3+7),"◆","")</f>
        <v/>
      </c>
      <c r="J22" s="34">
        <f>IF(AND(Meilensteine!$D$9&gt;=J$3,Meilensteine!$D$9&lt;J$3+7),"◆","")</f>
        <v/>
      </c>
      <c r="K22" s="34">
        <f>IF(AND(Meilensteine!$D$9&gt;=K$3,Meilensteine!$D$9&lt;K$3+7),"◆","")</f>
        <v/>
      </c>
      <c r="L22" s="34">
        <f>IF(AND(Meilensteine!$D$9&gt;=L$3,Meilensteine!$D$9&lt;L$3+7),"◆","")</f>
        <v/>
      </c>
      <c r="M22" s="34">
        <f>IF(AND(Meilensteine!$D$9&gt;=M$3,Meilensteine!$D$9&lt;M$3+7),"◆","")</f>
        <v/>
      </c>
      <c r="N22" s="34">
        <f>IF(AND(Meilensteine!$D$9&gt;=N$3,Meilensteine!$D$9&lt;N$3+7),"◆","")</f>
        <v/>
      </c>
      <c r="O22" s="34">
        <f>IF(AND(Meilensteine!$D$9&gt;=O$3,Meilensteine!$D$9&lt;O$3+7),"◆","")</f>
        <v/>
      </c>
      <c r="P22" s="34">
        <f>IF(AND(Meilensteine!$D$9&gt;=P$3,Meilensteine!$D$9&lt;P$3+7),"◆","")</f>
        <v/>
      </c>
      <c r="Q22" s="34">
        <f>IF(AND(Meilensteine!$D$9&gt;=Q$3,Meilensteine!$D$9&lt;Q$3+7),"◆","")</f>
        <v/>
      </c>
      <c r="R22" s="34">
        <f>IF(AND(Meilensteine!$D$9&gt;=R$3,Meilensteine!$D$9&lt;R$3+7),"◆","")</f>
        <v/>
      </c>
      <c r="S22" s="34">
        <f>IF(AND(Meilensteine!$D$9&gt;=S$3,Meilensteine!$D$9&lt;S$3+7),"◆","")</f>
        <v/>
      </c>
      <c r="T22" s="34">
        <f>IF(AND(Meilensteine!$D$9&gt;=T$3,Meilensteine!$D$9&lt;T$3+7),"◆","")</f>
        <v/>
      </c>
      <c r="U22" s="34">
        <f>IF(AND(Meilensteine!$D$9&gt;=U$3,Meilensteine!$D$9&lt;U$3+7),"◆","")</f>
        <v/>
      </c>
      <c r="V22" s="34">
        <f>IF(AND(Meilensteine!$D$9&gt;=V$3,Meilensteine!$D$9&lt;V$3+7),"◆","")</f>
        <v/>
      </c>
      <c r="W22" s="34">
        <f>IF(AND(Meilensteine!$D$9&gt;=W$3,Meilensteine!$D$9&lt;W$3+7),"◆","")</f>
        <v/>
      </c>
      <c r="X22" s="34">
        <f>IF(AND(Meilensteine!$D$9&gt;=X$3,Meilensteine!$D$9&lt;X$3+7),"◆","")</f>
        <v/>
      </c>
      <c r="Y22" s="34">
        <f>IF(AND(Meilensteine!$D$9&gt;=Y$3,Meilensteine!$D$9&lt;Y$3+7),"◆","")</f>
        <v/>
      </c>
      <c r="Z22" s="34">
        <f>IF(AND(Meilensteine!$D$9&gt;=Z$3,Meilensteine!$D$9&lt;Z$3+7),"◆","")</f>
        <v/>
      </c>
      <c r="AA22" s="34">
        <f>IF(AND(Meilensteine!$D$9&gt;=AA$3,Meilensteine!$D$9&lt;AA$3+7),"◆","")</f>
        <v/>
      </c>
      <c r="AB22" s="34">
        <f>IF(AND(Meilensteine!$D$9&gt;=AB$3,Meilensteine!$D$9&lt;AB$3+7),"◆","")</f>
        <v/>
      </c>
      <c r="AC22" s="34">
        <f>IF(AND(Meilensteine!$D$9&gt;=AC$3,Meilensteine!$D$9&lt;AC$3+7),"◆","")</f>
        <v/>
      </c>
    </row>
    <row r="23">
      <c r="A23" s="29">
        <f>Meilensteine!$A$10</f>
        <v/>
      </c>
      <c r="B23" s="38">
        <f>Meilensteine!$B$10</f>
        <v/>
      </c>
      <c r="C23" s="26">
        <f>Meilensteine!$D$10</f>
        <v/>
      </c>
      <c r="D23" s="29">
        <f>Meilensteine!$G$10</f>
        <v/>
      </c>
      <c r="E23" s="34">
        <f>IF(AND(Meilensteine!$D$10&gt;=E$3,Meilensteine!$D$10&lt;E$3+7),"◆","")</f>
        <v/>
      </c>
      <c r="F23" s="34">
        <f>IF(AND(Meilensteine!$D$10&gt;=F$3,Meilensteine!$D$10&lt;F$3+7),"◆","")</f>
        <v/>
      </c>
      <c r="G23" s="34">
        <f>IF(AND(Meilensteine!$D$10&gt;=G$3,Meilensteine!$D$10&lt;G$3+7),"◆","")</f>
        <v/>
      </c>
      <c r="H23" s="34">
        <f>IF(AND(Meilensteine!$D$10&gt;=H$3,Meilensteine!$D$10&lt;H$3+7),"◆","")</f>
        <v/>
      </c>
      <c r="I23" s="34">
        <f>IF(AND(Meilensteine!$D$10&gt;=I$3,Meilensteine!$D$10&lt;I$3+7),"◆","")</f>
        <v/>
      </c>
      <c r="J23" s="34">
        <f>IF(AND(Meilensteine!$D$10&gt;=J$3,Meilensteine!$D$10&lt;J$3+7),"◆","")</f>
        <v/>
      </c>
      <c r="K23" s="34">
        <f>IF(AND(Meilensteine!$D$10&gt;=K$3,Meilensteine!$D$10&lt;K$3+7),"◆","")</f>
        <v/>
      </c>
      <c r="L23" s="34">
        <f>IF(AND(Meilensteine!$D$10&gt;=L$3,Meilensteine!$D$10&lt;L$3+7),"◆","")</f>
        <v/>
      </c>
      <c r="M23" s="34">
        <f>IF(AND(Meilensteine!$D$10&gt;=M$3,Meilensteine!$D$10&lt;M$3+7),"◆","")</f>
        <v/>
      </c>
      <c r="N23" s="34">
        <f>IF(AND(Meilensteine!$D$10&gt;=N$3,Meilensteine!$D$10&lt;N$3+7),"◆","")</f>
        <v/>
      </c>
      <c r="O23" s="34">
        <f>IF(AND(Meilensteine!$D$10&gt;=O$3,Meilensteine!$D$10&lt;O$3+7),"◆","")</f>
        <v/>
      </c>
      <c r="P23" s="34">
        <f>IF(AND(Meilensteine!$D$10&gt;=P$3,Meilensteine!$D$10&lt;P$3+7),"◆","")</f>
        <v/>
      </c>
      <c r="Q23" s="34">
        <f>IF(AND(Meilensteine!$D$10&gt;=Q$3,Meilensteine!$D$10&lt;Q$3+7),"◆","")</f>
        <v/>
      </c>
      <c r="R23" s="34">
        <f>IF(AND(Meilensteine!$D$10&gt;=R$3,Meilensteine!$D$10&lt;R$3+7),"◆","")</f>
        <v/>
      </c>
      <c r="S23" s="34">
        <f>IF(AND(Meilensteine!$D$10&gt;=S$3,Meilensteine!$D$10&lt;S$3+7),"◆","")</f>
        <v/>
      </c>
      <c r="T23" s="34">
        <f>IF(AND(Meilensteine!$D$10&gt;=T$3,Meilensteine!$D$10&lt;T$3+7),"◆","")</f>
        <v/>
      </c>
      <c r="U23" s="34">
        <f>IF(AND(Meilensteine!$D$10&gt;=U$3,Meilensteine!$D$10&lt;U$3+7),"◆","")</f>
        <v/>
      </c>
      <c r="V23" s="34">
        <f>IF(AND(Meilensteine!$D$10&gt;=V$3,Meilensteine!$D$10&lt;V$3+7),"◆","")</f>
        <v/>
      </c>
      <c r="W23" s="34">
        <f>IF(AND(Meilensteine!$D$10&gt;=W$3,Meilensteine!$D$10&lt;W$3+7),"◆","")</f>
        <v/>
      </c>
      <c r="X23" s="34">
        <f>IF(AND(Meilensteine!$D$10&gt;=X$3,Meilensteine!$D$10&lt;X$3+7),"◆","")</f>
        <v/>
      </c>
      <c r="Y23" s="34">
        <f>IF(AND(Meilensteine!$D$10&gt;=Y$3,Meilensteine!$D$10&lt;Y$3+7),"◆","")</f>
        <v/>
      </c>
      <c r="Z23" s="34">
        <f>IF(AND(Meilensteine!$D$10&gt;=Z$3,Meilensteine!$D$10&lt;Z$3+7),"◆","")</f>
        <v/>
      </c>
      <c r="AA23" s="34">
        <f>IF(AND(Meilensteine!$D$10&gt;=AA$3,Meilensteine!$D$10&lt;AA$3+7),"◆","")</f>
        <v/>
      </c>
      <c r="AB23" s="34">
        <f>IF(AND(Meilensteine!$D$10&gt;=AB$3,Meilensteine!$D$10&lt;AB$3+7),"◆","")</f>
        <v/>
      </c>
      <c r="AC23" s="34">
        <f>IF(AND(Meilensteine!$D$10&gt;=AC$3,Meilensteine!$D$10&lt;AC$3+7),"◆","")</f>
        <v/>
      </c>
    </row>
    <row r="24">
      <c r="A24" s="29">
        <f>Meilensteine!$A$11</f>
        <v/>
      </c>
      <c r="B24" s="38">
        <f>Meilensteine!$B$11</f>
        <v/>
      </c>
      <c r="C24" s="26">
        <f>Meilensteine!$D$11</f>
        <v/>
      </c>
      <c r="D24" s="29">
        <f>Meilensteine!$G$11</f>
        <v/>
      </c>
      <c r="E24" s="34">
        <f>IF(AND(Meilensteine!$D$11&gt;=E$3,Meilensteine!$D$11&lt;E$3+7),"◆","")</f>
        <v/>
      </c>
      <c r="F24" s="34">
        <f>IF(AND(Meilensteine!$D$11&gt;=F$3,Meilensteine!$D$11&lt;F$3+7),"◆","")</f>
        <v/>
      </c>
      <c r="G24" s="34">
        <f>IF(AND(Meilensteine!$D$11&gt;=G$3,Meilensteine!$D$11&lt;G$3+7),"◆","")</f>
        <v/>
      </c>
      <c r="H24" s="34">
        <f>IF(AND(Meilensteine!$D$11&gt;=H$3,Meilensteine!$D$11&lt;H$3+7),"◆","")</f>
        <v/>
      </c>
      <c r="I24" s="34">
        <f>IF(AND(Meilensteine!$D$11&gt;=I$3,Meilensteine!$D$11&lt;I$3+7),"◆","")</f>
        <v/>
      </c>
      <c r="J24" s="34">
        <f>IF(AND(Meilensteine!$D$11&gt;=J$3,Meilensteine!$D$11&lt;J$3+7),"◆","")</f>
        <v/>
      </c>
      <c r="K24" s="34">
        <f>IF(AND(Meilensteine!$D$11&gt;=K$3,Meilensteine!$D$11&lt;K$3+7),"◆","")</f>
        <v/>
      </c>
      <c r="L24" s="34">
        <f>IF(AND(Meilensteine!$D$11&gt;=L$3,Meilensteine!$D$11&lt;L$3+7),"◆","")</f>
        <v/>
      </c>
      <c r="M24" s="34">
        <f>IF(AND(Meilensteine!$D$11&gt;=M$3,Meilensteine!$D$11&lt;M$3+7),"◆","")</f>
        <v/>
      </c>
      <c r="N24" s="34">
        <f>IF(AND(Meilensteine!$D$11&gt;=N$3,Meilensteine!$D$11&lt;N$3+7),"◆","")</f>
        <v/>
      </c>
      <c r="O24" s="34">
        <f>IF(AND(Meilensteine!$D$11&gt;=O$3,Meilensteine!$D$11&lt;O$3+7),"◆","")</f>
        <v/>
      </c>
      <c r="P24" s="34">
        <f>IF(AND(Meilensteine!$D$11&gt;=P$3,Meilensteine!$D$11&lt;P$3+7),"◆","")</f>
        <v/>
      </c>
      <c r="Q24" s="34">
        <f>IF(AND(Meilensteine!$D$11&gt;=Q$3,Meilensteine!$D$11&lt;Q$3+7),"◆","")</f>
        <v/>
      </c>
      <c r="R24" s="34">
        <f>IF(AND(Meilensteine!$D$11&gt;=R$3,Meilensteine!$D$11&lt;R$3+7),"◆","")</f>
        <v/>
      </c>
      <c r="S24" s="34">
        <f>IF(AND(Meilensteine!$D$11&gt;=S$3,Meilensteine!$D$11&lt;S$3+7),"◆","")</f>
        <v/>
      </c>
      <c r="T24" s="34">
        <f>IF(AND(Meilensteine!$D$11&gt;=T$3,Meilensteine!$D$11&lt;T$3+7),"◆","")</f>
        <v/>
      </c>
      <c r="U24" s="34">
        <f>IF(AND(Meilensteine!$D$11&gt;=U$3,Meilensteine!$D$11&lt;U$3+7),"◆","")</f>
        <v/>
      </c>
      <c r="V24" s="34">
        <f>IF(AND(Meilensteine!$D$11&gt;=V$3,Meilensteine!$D$11&lt;V$3+7),"◆","")</f>
        <v/>
      </c>
      <c r="W24" s="34">
        <f>IF(AND(Meilensteine!$D$11&gt;=W$3,Meilensteine!$D$11&lt;W$3+7),"◆","")</f>
        <v/>
      </c>
      <c r="X24" s="34">
        <f>IF(AND(Meilensteine!$D$11&gt;=X$3,Meilensteine!$D$11&lt;X$3+7),"◆","")</f>
        <v/>
      </c>
      <c r="Y24" s="34">
        <f>IF(AND(Meilensteine!$D$11&gt;=Y$3,Meilensteine!$D$11&lt;Y$3+7),"◆","")</f>
        <v/>
      </c>
      <c r="Z24" s="34">
        <f>IF(AND(Meilensteine!$D$11&gt;=Z$3,Meilensteine!$D$11&lt;Z$3+7),"◆","")</f>
        <v/>
      </c>
      <c r="AA24" s="34">
        <f>IF(AND(Meilensteine!$D$11&gt;=AA$3,Meilensteine!$D$11&lt;AA$3+7),"◆","")</f>
        <v/>
      </c>
      <c r="AB24" s="34">
        <f>IF(AND(Meilensteine!$D$11&gt;=AB$3,Meilensteine!$D$11&lt;AB$3+7),"◆","")</f>
        <v/>
      </c>
      <c r="AC24" s="34">
        <f>IF(AND(Meilensteine!$D$11&gt;=AC$3,Meilensteine!$D$11&lt;AC$3+7),"◆","")</f>
        <v/>
      </c>
    </row>
    <row r="25">
      <c r="A25" s="29">
        <f>Meilensteine!$A$12</f>
        <v/>
      </c>
      <c r="B25" s="38">
        <f>Meilensteine!$B$12</f>
        <v/>
      </c>
      <c r="C25" s="26">
        <f>Meilensteine!$D$12</f>
        <v/>
      </c>
      <c r="D25" s="29">
        <f>Meilensteine!$G$12</f>
        <v/>
      </c>
      <c r="E25" s="34">
        <f>IF(AND(Meilensteine!$D$12&gt;=E$3,Meilensteine!$D$12&lt;E$3+7),"◆","")</f>
        <v/>
      </c>
      <c r="F25" s="34">
        <f>IF(AND(Meilensteine!$D$12&gt;=F$3,Meilensteine!$D$12&lt;F$3+7),"◆","")</f>
        <v/>
      </c>
      <c r="G25" s="34">
        <f>IF(AND(Meilensteine!$D$12&gt;=G$3,Meilensteine!$D$12&lt;G$3+7),"◆","")</f>
        <v/>
      </c>
      <c r="H25" s="34">
        <f>IF(AND(Meilensteine!$D$12&gt;=H$3,Meilensteine!$D$12&lt;H$3+7),"◆","")</f>
        <v/>
      </c>
      <c r="I25" s="34">
        <f>IF(AND(Meilensteine!$D$12&gt;=I$3,Meilensteine!$D$12&lt;I$3+7),"◆","")</f>
        <v/>
      </c>
      <c r="J25" s="34">
        <f>IF(AND(Meilensteine!$D$12&gt;=J$3,Meilensteine!$D$12&lt;J$3+7),"◆","")</f>
        <v/>
      </c>
      <c r="K25" s="34">
        <f>IF(AND(Meilensteine!$D$12&gt;=K$3,Meilensteine!$D$12&lt;K$3+7),"◆","")</f>
        <v/>
      </c>
      <c r="L25" s="34">
        <f>IF(AND(Meilensteine!$D$12&gt;=L$3,Meilensteine!$D$12&lt;L$3+7),"◆","")</f>
        <v/>
      </c>
      <c r="M25" s="34">
        <f>IF(AND(Meilensteine!$D$12&gt;=M$3,Meilensteine!$D$12&lt;M$3+7),"◆","")</f>
        <v/>
      </c>
      <c r="N25" s="34">
        <f>IF(AND(Meilensteine!$D$12&gt;=N$3,Meilensteine!$D$12&lt;N$3+7),"◆","")</f>
        <v/>
      </c>
      <c r="O25" s="34">
        <f>IF(AND(Meilensteine!$D$12&gt;=O$3,Meilensteine!$D$12&lt;O$3+7),"◆","")</f>
        <v/>
      </c>
      <c r="P25" s="34">
        <f>IF(AND(Meilensteine!$D$12&gt;=P$3,Meilensteine!$D$12&lt;P$3+7),"◆","")</f>
        <v/>
      </c>
      <c r="Q25" s="34">
        <f>IF(AND(Meilensteine!$D$12&gt;=Q$3,Meilensteine!$D$12&lt;Q$3+7),"◆","")</f>
        <v/>
      </c>
      <c r="R25" s="34">
        <f>IF(AND(Meilensteine!$D$12&gt;=R$3,Meilensteine!$D$12&lt;R$3+7),"◆","")</f>
        <v/>
      </c>
      <c r="S25" s="34">
        <f>IF(AND(Meilensteine!$D$12&gt;=S$3,Meilensteine!$D$12&lt;S$3+7),"◆","")</f>
        <v/>
      </c>
      <c r="T25" s="34">
        <f>IF(AND(Meilensteine!$D$12&gt;=T$3,Meilensteine!$D$12&lt;T$3+7),"◆","")</f>
        <v/>
      </c>
      <c r="U25" s="34">
        <f>IF(AND(Meilensteine!$D$12&gt;=U$3,Meilensteine!$D$12&lt;U$3+7),"◆","")</f>
        <v/>
      </c>
      <c r="V25" s="34">
        <f>IF(AND(Meilensteine!$D$12&gt;=V$3,Meilensteine!$D$12&lt;V$3+7),"◆","")</f>
        <v/>
      </c>
      <c r="W25" s="34">
        <f>IF(AND(Meilensteine!$D$12&gt;=W$3,Meilensteine!$D$12&lt;W$3+7),"◆","")</f>
        <v/>
      </c>
      <c r="X25" s="34">
        <f>IF(AND(Meilensteine!$D$12&gt;=X$3,Meilensteine!$D$12&lt;X$3+7),"◆","")</f>
        <v/>
      </c>
      <c r="Y25" s="34">
        <f>IF(AND(Meilensteine!$D$12&gt;=Y$3,Meilensteine!$D$12&lt;Y$3+7),"◆","")</f>
        <v/>
      </c>
      <c r="Z25" s="34">
        <f>IF(AND(Meilensteine!$D$12&gt;=Z$3,Meilensteine!$D$12&lt;Z$3+7),"◆","")</f>
        <v/>
      </c>
      <c r="AA25" s="34">
        <f>IF(AND(Meilensteine!$D$12&gt;=AA$3,Meilensteine!$D$12&lt;AA$3+7),"◆","")</f>
        <v/>
      </c>
      <c r="AB25" s="34">
        <f>IF(AND(Meilensteine!$D$12&gt;=AB$3,Meilensteine!$D$12&lt;AB$3+7),"◆","")</f>
        <v/>
      </c>
      <c r="AC25" s="34">
        <f>IF(AND(Meilensteine!$D$12&gt;=AC$3,Meilensteine!$D$12&lt;AC$3+7),"◆","")</f>
        <v/>
      </c>
    </row>
    <row r="26">
      <c r="A26" s="29">
        <f>Meilensteine!$A$13</f>
        <v/>
      </c>
      <c r="B26" s="38">
        <f>Meilensteine!$B$13</f>
        <v/>
      </c>
      <c r="C26" s="26">
        <f>Meilensteine!$D$13</f>
        <v/>
      </c>
      <c r="D26" s="29">
        <f>Meilensteine!$G$13</f>
        <v/>
      </c>
      <c r="E26" s="34">
        <f>IF(AND(Meilensteine!$D$13&gt;=E$3,Meilensteine!$D$13&lt;E$3+7),"◆","")</f>
        <v/>
      </c>
      <c r="F26" s="34">
        <f>IF(AND(Meilensteine!$D$13&gt;=F$3,Meilensteine!$D$13&lt;F$3+7),"◆","")</f>
        <v/>
      </c>
      <c r="G26" s="34">
        <f>IF(AND(Meilensteine!$D$13&gt;=G$3,Meilensteine!$D$13&lt;G$3+7),"◆","")</f>
        <v/>
      </c>
      <c r="H26" s="34">
        <f>IF(AND(Meilensteine!$D$13&gt;=H$3,Meilensteine!$D$13&lt;H$3+7),"◆","")</f>
        <v/>
      </c>
      <c r="I26" s="34">
        <f>IF(AND(Meilensteine!$D$13&gt;=I$3,Meilensteine!$D$13&lt;I$3+7),"◆","")</f>
        <v/>
      </c>
      <c r="J26" s="34">
        <f>IF(AND(Meilensteine!$D$13&gt;=J$3,Meilensteine!$D$13&lt;J$3+7),"◆","")</f>
        <v/>
      </c>
      <c r="K26" s="34">
        <f>IF(AND(Meilensteine!$D$13&gt;=K$3,Meilensteine!$D$13&lt;K$3+7),"◆","")</f>
        <v/>
      </c>
      <c r="L26" s="34">
        <f>IF(AND(Meilensteine!$D$13&gt;=L$3,Meilensteine!$D$13&lt;L$3+7),"◆","")</f>
        <v/>
      </c>
      <c r="M26" s="34">
        <f>IF(AND(Meilensteine!$D$13&gt;=M$3,Meilensteine!$D$13&lt;M$3+7),"◆","")</f>
        <v/>
      </c>
      <c r="N26" s="34">
        <f>IF(AND(Meilensteine!$D$13&gt;=N$3,Meilensteine!$D$13&lt;N$3+7),"◆","")</f>
        <v/>
      </c>
      <c r="O26" s="34">
        <f>IF(AND(Meilensteine!$D$13&gt;=O$3,Meilensteine!$D$13&lt;O$3+7),"◆","")</f>
        <v/>
      </c>
      <c r="P26" s="34">
        <f>IF(AND(Meilensteine!$D$13&gt;=P$3,Meilensteine!$D$13&lt;P$3+7),"◆","")</f>
        <v/>
      </c>
      <c r="Q26" s="34">
        <f>IF(AND(Meilensteine!$D$13&gt;=Q$3,Meilensteine!$D$13&lt;Q$3+7),"◆","")</f>
        <v/>
      </c>
      <c r="R26" s="34">
        <f>IF(AND(Meilensteine!$D$13&gt;=R$3,Meilensteine!$D$13&lt;R$3+7),"◆","")</f>
        <v/>
      </c>
      <c r="S26" s="34">
        <f>IF(AND(Meilensteine!$D$13&gt;=S$3,Meilensteine!$D$13&lt;S$3+7),"◆","")</f>
        <v/>
      </c>
      <c r="T26" s="34">
        <f>IF(AND(Meilensteine!$D$13&gt;=T$3,Meilensteine!$D$13&lt;T$3+7),"◆","")</f>
        <v/>
      </c>
      <c r="U26" s="34">
        <f>IF(AND(Meilensteine!$D$13&gt;=U$3,Meilensteine!$D$13&lt;U$3+7),"◆","")</f>
        <v/>
      </c>
      <c r="V26" s="34">
        <f>IF(AND(Meilensteine!$D$13&gt;=V$3,Meilensteine!$D$13&lt;V$3+7),"◆","")</f>
        <v/>
      </c>
      <c r="W26" s="34">
        <f>IF(AND(Meilensteine!$D$13&gt;=W$3,Meilensteine!$D$13&lt;W$3+7),"◆","")</f>
        <v/>
      </c>
      <c r="X26" s="34">
        <f>IF(AND(Meilensteine!$D$13&gt;=X$3,Meilensteine!$D$13&lt;X$3+7),"◆","")</f>
        <v/>
      </c>
      <c r="Y26" s="34">
        <f>IF(AND(Meilensteine!$D$13&gt;=Y$3,Meilensteine!$D$13&lt;Y$3+7),"◆","")</f>
        <v/>
      </c>
      <c r="Z26" s="34">
        <f>IF(AND(Meilensteine!$D$13&gt;=Z$3,Meilensteine!$D$13&lt;Z$3+7),"◆","")</f>
        <v/>
      </c>
      <c r="AA26" s="34">
        <f>IF(AND(Meilensteine!$D$13&gt;=AA$3,Meilensteine!$D$13&lt;AA$3+7),"◆","")</f>
        <v/>
      </c>
      <c r="AB26" s="34">
        <f>IF(AND(Meilensteine!$D$13&gt;=AB$3,Meilensteine!$D$13&lt;AB$3+7),"◆","")</f>
        <v/>
      </c>
      <c r="AC26" s="34">
        <f>IF(AND(Meilensteine!$D$13&gt;=AC$3,Meilensteine!$D$13&lt;AC$3+7),"◆","")</f>
        <v/>
      </c>
    </row>
    <row r="27">
      <c r="A27" s="29">
        <f>Meilensteine!$A$14</f>
        <v/>
      </c>
      <c r="B27" s="38">
        <f>Meilensteine!$B$14</f>
        <v/>
      </c>
      <c r="C27" s="26">
        <f>Meilensteine!$D$14</f>
        <v/>
      </c>
      <c r="D27" s="29">
        <f>Meilensteine!$G$14</f>
        <v/>
      </c>
      <c r="E27" s="34">
        <f>IF(AND(Meilensteine!$D$14&gt;=E$3,Meilensteine!$D$14&lt;E$3+7),"◆","")</f>
        <v/>
      </c>
      <c r="F27" s="34">
        <f>IF(AND(Meilensteine!$D$14&gt;=F$3,Meilensteine!$D$14&lt;F$3+7),"◆","")</f>
        <v/>
      </c>
      <c r="G27" s="34">
        <f>IF(AND(Meilensteine!$D$14&gt;=G$3,Meilensteine!$D$14&lt;G$3+7),"◆","")</f>
        <v/>
      </c>
      <c r="H27" s="34">
        <f>IF(AND(Meilensteine!$D$14&gt;=H$3,Meilensteine!$D$14&lt;H$3+7),"◆","")</f>
        <v/>
      </c>
      <c r="I27" s="34">
        <f>IF(AND(Meilensteine!$D$14&gt;=I$3,Meilensteine!$D$14&lt;I$3+7),"◆","")</f>
        <v/>
      </c>
      <c r="J27" s="34">
        <f>IF(AND(Meilensteine!$D$14&gt;=J$3,Meilensteine!$D$14&lt;J$3+7),"◆","")</f>
        <v/>
      </c>
      <c r="K27" s="34">
        <f>IF(AND(Meilensteine!$D$14&gt;=K$3,Meilensteine!$D$14&lt;K$3+7),"◆","")</f>
        <v/>
      </c>
      <c r="L27" s="34">
        <f>IF(AND(Meilensteine!$D$14&gt;=L$3,Meilensteine!$D$14&lt;L$3+7),"◆","")</f>
        <v/>
      </c>
      <c r="M27" s="34">
        <f>IF(AND(Meilensteine!$D$14&gt;=M$3,Meilensteine!$D$14&lt;M$3+7),"◆","")</f>
        <v/>
      </c>
      <c r="N27" s="34">
        <f>IF(AND(Meilensteine!$D$14&gt;=N$3,Meilensteine!$D$14&lt;N$3+7),"◆","")</f>
        <v/>
      </c>
      <c r="O27" s="34">
        <f>IF(AND(Meilensteine!$D$14&gt;=O$3,Meilensteine!$D$14&lt;O$3+7),"◆","")</f>
        <v/>
      </c>
      <c r="P27" s="34">
        <f>IF(AND(Meilensteine!$D$14&gt;=P$3,Meilensteine!$D$14&lt;P$3+7),"◆","")</f>
        <v/>
      </c>
      <c r="Q27" s="34">
        <f>IF(AND(Meilensteine!$D$14&gt;=Q$3,Meilensteine!$D$14&lt;Q$3+7),"◆","")</f>
        <v/>
      </c>
      <c r="R27" s="34">
        <f>IF(AND(Meilensteine!$D$14&gt;=R$3,Meilensteine!$D$14&lt;R$3+7),"◆","")</f>
        <v/>
      </c>
      <c r="S27" s="34">
        <f>IF(AND(Meilensteine!$D$14&gt;=S$3,Meilensteine!$D$14&lt;S$3+7),"◆","")</f>
        <v/>
      </c>
      <c r="T27" s="34">
        <f>IF(AND(Meilensteine!$D$14&gt;=T$3,Meilensteine!$D$14&lt;T$3+7),"◆","")</f>
        <v/>
      </c>
      <c r="U27" s="34">
        <f>IF(AND(Meilensteine!$D$14&gt;=U$3,Meilensteine!$D$14&lt;U$3+7),"◆","")</f>
        <v/>
      </c>
      <c r="V27" s="34">
        <f>IF(AND(Meilensteine!$D$14&gt;=V$3,Meilensteine!$D$14&lt;V$3+7),"◆","")</f>
        <v/>
      </c>
      <c r="W27" s="34">
        <f>IF(AND(Meilensteine!$D$14&gt;=W$3,Meilensteine!$D$14&lt;W$3+7),"◆","")</f>
        <v/>
      </c>
      <c r="X27" s="34">
        <f>IF(AND(Meilensteine!$D$14&gt;=X$3,Meilensteine!$D$14&lt;X$3+7),"◆","")</f>
        <v/>
      </c>
      <c r="Y27" s="34">
        <f>IF(AND(Meilensteine!$D$14&gt;=Y$3,Meilensteine!$D$14&lt;Y$3+7),"◆","")</f>
        <v/>
      </c>
      <c r="Z27" s="34">
        <f>IF(AND(Meilensteine!$D$14&gt;=Z$3,Meilensteine!$D$14&lt;Z$3+7),"◆","")</f>
        <v/>
      </c>
      <c r="AA27" s="34">
        <f>IF(AND(Meilensteine!$D$14&gt;=AA$3,Meilensteine!$D$14&lt;AA$3+7),"◆","")</f>
        <v/>
      </c>
      <c r="AB27" s="34">
        <f>IF(AND(Meilensteine!$D$14&gt;=AB$3,Meilensteine!$D$14&lt;AB$3+7),"◆","")</f>
        <v/>
      </c>
      <c r="AC27" s="34">
        <f>IF(AND(Meilensteine!$D$14&gt;=AC$3,Meilensteine!$D$14&lt;AC$3+7),"◆","")</f>
        <v/>
      </c>
    </row>
    <row r="28">
      <c r="A28" s="29">
        <f>Meilensteine!$A$15</f>
        <v/>
      </c>
      <c r="B28" s="38">
        <f>Meilensteine!$B$15</f>
        <v/>
      </c>
      <c r="C28" s="26">
        <f>Meilensteine!$D$15</f>
        <v/>
      </c>
      <c r="D28" s="29">
        <f>Meilensteine!$G$15</f>
        <v/>
      </c>
      <c r="E28" s="34">
        <f>IF(AND(Meilensteine!$D$15&gt;=E$3,Meilensteine!$D$15&lt;E$3+7),"◆","")</f>
        <v/>
      </c>
      <c r="F28" s="34">
        <f>IF(AND(Meilensteine!$D$15&gt;=F$3,Meilensteine!$D$15&lt;F$3+7),"◆","")</f>
        <v/>
      </c>
      <c r="G28" s="34">
        <f>IF(AND(Meilensteine!$D$15&gt;=G$3,Meilensteine!$D$15&lt;G$3+7),"◆","")</f>
        <v/>
      </c>
      <c r="H28" s="34">
        <f>IF(AND(Meilensteine!$D$15&gt;=H$3,Meilensteine!$D$15&lt;H$3+7),"◆","")</f>
        <v/>
      </c>
      <c r="I28" s="34">
        <f>IF(AND(Meilensteine!$D$15&gt;=I$3,Meilensteine!$D$15&lt;I$3+7),"◆","")</f>
        <v/>
      </c>
      <c r="J28" s="34">
        <f>IF(AND(Meilensteine!$D$15&gt;=J$3,Meilensteine!$D$15&lt;J$3+7),"◆","")</f>
        <v/>
      </c>
      <c r="K28" s="34">
        <f>IF(AND(Meilensteine!$D$15&gt;=K$3,Meilensteine!$D$15&lt;K$3+7),"◆","")</f>
        <v/>
      </c>
      <c r="L28" s="34">
        <f>IF(AND(Meilensteine!$D$15&gt;=L$3,Meilensteine!$D$15&lt;L$3+7),"◆","")</f>
        <v/>
      </c>
      <c r="M28" s="34">
        <f>IF(AND(Meilensteine!$D$15&gt;=M$3,Meilensteine!$D$15&lt;M$3+7),"◆","")</f>
        <v/>
      </c>
      <c r="N28" s="34">
        <f>IF(AND(Meilensteine!$D$15&gt;=N$3,Meilensteine!$D$15&lt;N$3+7),"◆","")</f>
        <v/>
      </c>
      <c r="O28" s="34">
        <f>IF(AND(Meilensteine!$D$15&gt;=O$3,Meilensteine!$D$15&lt;O$3+7),"◆","")</f>
        <v/>
      </c>
      <c r="P28" s="34">
        <f>IF(AND(Meilensteine!$D$15&gt;=P$3,Meilensteine!$D$15&lt;P$3+7),"◆","")</f>
        <v/>
      </c>
      <c r="Q28" s="34">
        <f>IF(AND(Meilensteine!$D$15&gt;=Q$3,Meilensteine!$D$15&lt;Q$3+7),"◆","")</f>
        <v/>
      </c>
      <c r="R28" s="34">
        <f>IF(AND(Meilensteine!$D$15&gt;=R$3,Meilensteine!$D$15&lt;R$3+7),"◆","")</f>
        <v/>
      </c>
      <c r="S28" s="34">
        <f>IF(AND(Meilensteine!$D$15&gt;=S$3,Meilensteine!$D$15&lt;S$3+7),"◆","")</f>
        <v/>
      </c>
      <c r="T28" s="34">
        <f>IF(AND(Meilensteine!$D$15&gt;=T$3,Meilensteine!$D$15&lt;T$3+7),"◆","")</f>
        <v/>
      </c>
      <c r="U28" s="34">
        <f>IF(AND(Meilensteine!$D$15&gt;=U$3,Meilensteine!$D$15&lt;U$3+7),"◆","")</f>
        <v/>
      </c>
      <c r="V28" s="34">
        <f>IF(AND(Meilensteine!$D$15&gt;=V$3,Meilensteine!$D$15&lt;V$3+7),"◆","")</f>
        <v/>
      </c>
      <c r="W28" s="34">
        <f>IF(AND(Meilensteine!$D$15&gt;=W$3,Meilensteine!$D$15&lt;W$3+7),"◆","")</f>
        <v/>
      </c>
      <c r="X28" s="34">
        <f>IF(AND(Meilensteine!$D$15&gt;=X$3,Meilensteine!$D$15&lt;X$3+7),"◆","")</f>
        <v/>
      </c>
      <c r="Y28" s="34">
        <f>IF(AND(Meilensteine!$D$15&gt;=Y$3,Meilensteine!$D$15&lt;Y$3+7),"◆","")</f>
        <v/>
      </c>
      <c r="Z28" s="34">
        <f>IF(AND(Meilensteine!$D$15&gt;=Z$3,Meilensteine!$D$15&lt;Z$3+7),"◆","")</f>
        <v/>
      </c>
      <c r="AA28" s="34">
        <f>IF(AND(Meilensteine!$D$15&gt;=AA$3,Meilensteine!$D$15&lt;AA$3+7),"◆","")</f>
        <v/>
      </c>
      <c r="AB28" s="34">
        <f>IF(AND(Meilensteine!$D$15&gt;=AB$3,Meilensteine!$D$15&lt;AB$3+7),"◆","")</f>
        <v/>
      </c>
      <c r="AC28" s="34">
        <f>IF(AND(Meilensteine!$D$15&gt;=AC$3,Meilensteine!$D$15&lt;AC$3+7),"◆","")</f>
        <v/>
      </c>
    </row>
    <row r="29">
      <c r="A29" s="29">
        <f>Meilensteine!$A$16</f>
        <v/>
      </c>
      <c r="B29" s="38">
        <f>Meilensteine!$B$16</f>
        <v/>
      </c>
      <c r="C29" s="26">
        <f>Meilensteine!$D$16</f>
        <v/>
      </c>
      <c r="D29" s="29">
        <f>Meilensteine!$G$16</f>
        <v/>
      </c>
      <c r="E29" s="34">
        <f>IF(AND(Meilensteine!$D$16&gt;=E$3,Meilensteine!$D$16&lt;E$3+7),"◆","")</f>
        <v/>
      </c>
      <c r="F29" s="34">
        <f>IF(AND(Meilensteine!$D$16&gt;=F$3,Meilensteine!$D$16&lt;F$3+7),"◆","")</f>
        <v/>
      </c>
      <c r="G29" s="34">
        <f>IF(AND(Meilensteine!$D$16&gt;=G$3,Meilensteine!$D$16&lt;G$3+7),"◆","")</f>
        <v/>
      </c>
      <c r="H29" s="34">
        <f>IF(AND(Meilensteine!$D$16&gt;=H$3,Meilensteine!$D$16&lt;H$3+7),"◆","")</f>
        <v/>
      </c>
      <c r="I29" s="34">
        <f>IF(AND(Meilensteine!$D$16&gt;=I$3,Meilensteine!$D$16&lt;I$3+7),"◆","")</f>
        <v/>
      </c>
      <c r="J29" s="34">
        <f>IF(AND(Meilensteine!$D$16&gt;=J$3,Meilensteine!$D$16&lt;J$3+7),"◆","")</f>
        <v/>
      </c>
      <c r="K29" s="34">
        <f>IF(AND(Meilensteine!$D$16&gt;=K$3,Meilensteine!$D$16&lt;K$3+7),"◆","")</f>
        <v/>
      </c>
      <c r="L29" s="34">
        <f>IF(AND(Meilensteine!$D$16&gt;=L$3,Meilensteine!$D$16&lt;L$3+7),"◆","")</f>
        <v/>
      </c>
      <c r="M29" s="34">
        <f>IF(AND(Meilensteine!$D$16&gt;=M$3,Meilensteine!$D$16&lt;M$3+7),"◆","")</f>
        <v/>
      </c>
      <c r="N29" s="34">
        <f>IF(AND(Meilensteine!$D$16&gt;=N$3,Meilensteine!$D$16&lt;N$3+7),"◆","")</f>
        <v/>
      </c>
      <c r="O29" s="34">
        <f>IF(AND(Meilensteine!$D$16&gt;=O$3,Meilensteine!$D$16&lt;O$3+7),"◆","")</f>
        <v/>
      </c>
      <c r="P29" s="34">
        <f>IF(AND(Meilensteine!$D$16&gt;=P$3,Meilensteine!$D$16&lt;P$3+7),"◆","")</f>
        <v/>
      </c>
      <c r="Q29" s="34">
        <f>IF(AND(Meilensteine!$D$16&gt;=Q$3,Meilensteine!$D$16&lt;Q$3+7),"◆","")</f>
        <v/>
      </c>
      <c r="R29" s="34">
        <f>IF(AND(Meilensteine!$D$16&gt;=R$3,Meilensteine!$D$16&lt;R$3+7),"◆","")</f>
        <v/>
      </c>
      <c r="S29" s="34">
        <f>IF(AND(Meilensteine!$D$16&gt;=S$3,Meilensteine!$D$16&lt;S$3+7),"◆","")</f>
        <v/>
      </c>
      <c r="T29" s="34">
        <f>IF(AND(Meilensteine!$D$16&gt;=T$3,Meilensteine!$D$16&lt;T$3+7),"◆","")</f>
        <v/>
      </c>
      <c r="U29" s="34">
        <f>IF(AND(Meilensteine!$D$16&gt;=U$3,Meilensteine!$D$16&lt;U$3+7),"◆","")</f>
        <v/>
      </c>
      <c r="V29" s="34">
        <f>IF(AND(Meilensteine!$D$16&gt;=V$3,Meilensteine!$D$16&lt;V$3+7),"◆","")</f>
        <v/>
      </c>
      <c r="W29" s="34">
        <f>IF(AND(Meilensteine!$D$16&gt;=W$3,Meilensteine!$D$16&lt;W$3+7),"◆","")</f>
        <v/>
      </c>
      <c r="X29" s="34">
        <f>IF(AND(Meilensteine!$D$16&gt;=X$3,Meilensteine!$D$16&lt;X$3+7),"◆","")</f>
        <v/>
      </c>
      <c r="Y29" s="34">
        <f>IF(AND(Meilensteine!$D$16&gt;=Y$3,Meilensteine!$D$16&lt;Y$3+7),"◆","")</f>
        <v/>
      </c>
      <c r="Z29" s="34">
        <f>IF(AND(Meilensteine!$D$16&gt;=Z$3,Meilensteine!$D$16&lt;Z$3+7),"◆","")</f>
        <v/>
      </c>
      <c r="AA29" s="34">
        <f>IF(AND(Meilensteine!$D$16&gt;=AA$3,Meilensteine!$D$16&lt;AA$3+7),"◆","")</f>
        <v/>
      </c>
      <c r="AB29" s="34">
        <f>IF(AND(Meilensteine!$D$16&gt;=AB$3,Meilensteine!$D$16&lt;AB$3+7),"◆","")</f>
        <v/>
      </c>
      <c r="AC29" s="34">
        <f>IF(AND(Meilensteine!$D$16&gt;=AC$3,Meilensteine!$D$16&lt;AC$3+7),"◆","")</f>
        <v/>
      </c>
    </row>
    <row r="30">
      <c r="A30" s="29">
        <f>Meilensteine!$A$17</f>
        <v/>
      </c>
      <c r="B30" s="38">
        <f>Meilensteine!$B$17</f>
        <v/>
      </c>
      <c r="C30" s="26">
        <f>Meilensteine!$D$17</f>
        <v/>
      </c>
      <c r="D30" s="29">
        <f>Meilensteine!$G$17</f>
        <v/>
      </c>
      <c r="E30" s="34">
        <f>IF(AND(Meilensteine!$D$17&gt;=E$3,Meilensteine!$D$17&lt;E$3+7),"◆","")</f>
        <v/>
      </c>
      <c r="F30" s="34">
        <f>IF(AND(Meilensteine!$D$17&gt;=F$3,Meilensteine!$D$17&lt;F$3+7),"◆","")</f>
        <v/>
      </c>
      <c r="G30" s="34">
        <f>IF(AND(Meilensteine!$D$17&gt;=G$3,Meilensteine!$D$17&lt;G$3+7),"◆","")</f>
        <v/>
      </c>
      <c r="H30" s="34">
        <f>IF(AND(Meilensteine!$D$17&gt;=H$3,Meilensteine!$D$17&lt;H$3+7),"◆","")</f>
        <v/>
      </c>
      <c r="I30" s="34">
        <f>IF(AND(Meilensteine!$D$17&gt;=I$3,Meilensteine!$D$17&lt;I$3+7),"◆","")</f>
        <v/>
      </c>
      <c r="J30" s="34">
        <f>IF(AND(Meilensteine!$D$17&gt;=J$3,Meilensteine!$D$17&lt;J$3+7),"◆","")</f>
        <v/>
      </c>
      <c r="K30" s="34">
        <f>IF(AND(Meilensteine!$D$17&gt;=K$3,Meilensteine!$D$17&lt;K$3+7),"◆","")</f>
        <v/>
      </c>
      <c r="L30" s="34">
        <f>IF(AND(Meilensteine!$D$17&gt;=L$3,Meilensteine!$D$17&lt;L$3+7),"◆","")</f>
        <v/>
      </c>
      <c r="M30" s="34">
        <f>IF(AND(Meilensteine!$D$17&gt;=M$3,Meilensteine!$D$17&lt;M$3+7),"◆","")</f>
        <v/>
      </c>
      <c r="N30" s="34">
        <f>IF(AND(Meilensteine!$D$17&gt;=N$3,Meilensteine!$D$17&lt;N$3+7),"◆","")</f>
        <v/>
      </c>
      <c r="O30" s="34">
        <f>IF(AND(Meilensteine!$D$17&gt;=O$3,Meilensteine!$D$17&lt;O$3+7),"◆","")</f>
        <v/>
      </c>
      <c r="P30" s="34">
        <f>IF(AND(Meilensteine!$D$17&gt;=P$3,Meilensteine!$D$17&lt;P$3+7),"◆","")</f>
        <v/>
      </c>
      <c r="Q30" s="34">
        <f>IF(AND(Meilensteine!$D$17&gt;=Q$3,Meilensteine!$D$17&lt;Q$3+7),"◆","")</f>
        <v/>
      </c>
      <c r="R30" s="34">
        <f>IF(AND(Meilensteine!$D$17&gt;=R$3,Meilensteine!$D$17&lt;R$3+7),"◆","")</f>
        <v/>
      </c>
      <c r="S30" s="34">
        <f>IF(AND(Meilensteine!$D$17&gt;=S$3,Meilensteine!$D$17&lt;S$3+7),"◆","")</f>
        <v/>
      </c>
      <c r="T30" s="34">
        <f>IF(AND(Meilensteine!$D$17&gt;=T$3,Meilensteine!$D$17&lt;T$3+7),"◆","")</f>
        <v/>
      </c>
      <c r="U30" s="34">
        <f>IF(AND(Meilensteine!$D$17&gt;=U$3,Meilensteine!$D$17&lt;U$3+7),"◆","")</f>
        <v/>
      </c>
      <c r="V30" s="34">
        <f>IF(AND(Meilensteine!$D$17&gt;=V$3,Meilensteine!$D$17&lt;V$3+7),"◆","")</f>
        <v/>
      </c>
      <c r="W30" s="34">
        <f>IF(AND(Meilensteine!$D$17&gt;=W$3,Meilensteine!$D$17&lt;W$3+7),"◆","")</f>
        <v/>
      </c>
      <c r="X30" s="34">
        <f>IF(AND(Meilensteine!$D$17&gt;=X$3,Meilensteine!$D$17&lt;X$3+7),"◆","")</f>
        <v/>
      </c>
      <c r="Y30" s="34">
        <f>IF(AND(Meilensteine!$D$17&gt;=Y$3,Meilensteine!$D$17&lt;Y$3+7),"◆","")</f>
        <v/>
      </c>
      <c r="Z30" s="34">
        <f>IF(AND(Meilensteine!$D$17&gt;=Z$3,Meilensteine!$D$17&lt;Z$3+7),"◆","")</f>
        <v/>
      </c>
      <c r="AA30" s="34">
        <f>IF(AND(Meilensteine!$D$17&gt;=AA$3,Meilensteine!$D$17&lt;AA$3+7),"◆","")</f>
        <v/>
      </c>
      <c r="AB30" s="34">
        <f>IF(AND(Meilensteine!$D$17&gt;=AB$3,Meilensteine!$D$17&lt;AB$3+7),"◆","")</f>
        <v/>
      </c>
      <c r="AC30" s="34">
        <f>IF(AND(Meilensteine!$D$17&gt;=AC$3,Meilensteine!$D$17&lt;AC$3+7),"◆","")</f>
        <v/>
      </c>
    </row>
    <row r="31">
      <c r="A31" s="29">
        <f>Meilensteine!$A$18</f>
        <v/>
      </c>
      <c r="B31" s="38">
        <f>Meilensteine!$B$18</f>
        <v/>
      </c>
      <c r="C31" s="26">
        <f>Meilensteine!$D$18</f>
        <v/>
      </c>
      <c r="D31" s="29">
        <f>Meilensteine!$G$18</f>
        <v/>
      </c>
      <c r="E31" s="34">
        <f>IF(AND(Meilensteine!$D$18&gt;=E$3,Meilensteine!$D$18&lt;E$3+7),"◆","")</f>
        <v/>
      </c>
      <c r="F31" s="34">
        <f>IF(AND(Meilensteine!$D$18&gt;=F$3,Meilensteine!$D$18&lt;F$3+7),"◆","")</f>
        <v/>
      </c>
      <c r="G31" s="34">
        <f>IF(AND(Meilensteine!$D$18&gt;=G$3,Meilensteine!$D$18&lt;G$3+7),"◆","")</f>
        <v/>
      </c>
      <c r="H31" s="34">
        <f>IF(AND(Meilensteine!$D$18&gt;=H$3,Meilensteine!$D$18&lt;H$3+7),"◆","")</f>
        <v/>
      </c>
      <c r="I31" s="34">
        <f>IF(AND(Meilensteine!$D$18&gt;=I$3,Meilensteine!$D$18&lt;I$3+7),"◆","")</f>
        <v/>
      </c>
      <c r="J31" s="34">
        <f>IF(AND(Meilensteine!$D$18&gt;=J$3,Meilensteine!$D$18&lt;J$3+7),"◆","")</f>
        <v/>
      </c>
      <c r="K31" s="34">
        <f>IF(AND(Meilensteine!$D$18&gt;=K$3,Meilensteine!$D$18&lt;K$3+7),"◆","")</f>
        <v/>
      </c>
      <c r="L31" s="34">
        <f>IF(AND(Meilensteine!$D$18&gt;=L$3,Meilensteine!$D$18&lt;L$3+7),"◆","")</f>
        <v/>
      </c>
      <c r="M31" s="34">
        <f>IF(AND(Meilensteine!$D$18&gt;=M$3,Meilensteine!$D$18&lt;M$3+7),"◆","")</f>
        <v/>
      </c>
      <c r="N31" s="34">
        <f>IF(AND(Meilensteine!$D$18&gt;=N$3,Meilensteine!$D$18&lt;N$3+7),"◆","")</f>
        <v/>
      </c>
      <c r="O31" s="34">
        <f>IF(AND(Meilensteine!$D$18&gt;=O$3,Meilensteine!$D$18&lt;O$3+7),"◆","")</f>
        <v/>
      </c>
      <c r="P31" s="34">
        <f>IF(AND(Meilensteine!$D$18&gt;=P$3,Meilensteine!$D$18&lt;P$3+7),"◆","")</f>
        <v/>
      </c>
      <c r="Q31" s="34">
        <f>IF(AND(Meilensteine!$D$18&gt;=Q$3,Meilensteine!$D$18&lt;Q$3+7),"◆","")</f>
        <v/>
      </c>
      <c r="R31" s="34">
        <f>IF(AND(Meilensteine!$D$18&gt;=R$3,Meilensteine!$D$18&lt;R$3+7),"◆","")</f>
        <v/>
      </c>
      <c r="S31" s="34">
        <f>IF(AND(Meilensteine!$D$18&gt;=S$3,Meilensteine!$D$18&lt;S$3+7),"◆","")</f>
        <v/>
      </c>
      <c r="T31" s="34">
        <f>IF(AND(Meilensteine!$D$18&gt;=T$3,Meilensteine!$D$18&lt;T$3+7),"◆","")</f>
        <v/>
      </c>
      <c r="U31" s="34">
        <f>IF(AND(Meilensteine!$D$18&gt;=U$3,Meilensteine!$D$18&lt;U$3+7),"◆","")</f>
        <v/>
      </c>
      <c r="V31" s="34">
        <f>IF(AND(Meilensteine!$D$18&gt;=V$3,Meilensteine!$D$18&lt;V$3+7),"◆","")</f>
        <v/>
      </c>
      <c r="W31" s="34">
        <f>IF(AND(Meilensteine!$D$18&gt;=W$3,Meilensteine!$D$18&lt;W$3+7),"◆","")</f>
        <v/>
      </c>
      <c r="X31" s="34">
        <f>IF(AND(Meilensteine!$D$18&gt;=X$3,Meilensteine!$D$18&lt;X$3+7),"◆","")</f>
        <v/>
      </c>
      <c r="Y31" s="34">
        <f>IF(AND(Meilensteine!$D$18&gt;=Y$3,Meilensteine!$D$18&lt;Y$3+7),"◆","")</f>
        <v/>
      </c>
      <c r="Z31" s="34">
        <f>IF(AND(Meilensteine!$D$18&gt;=Z$3,Meilensteine!$D$18&lt;Z$3+7),"◆","")</f>
        <v/>
      </c>
      <c r="AA31" s="34">
        <f>IF(AND(Meilensteine!$D$18&gt;=AA$3,Meilensteine!$D$18&lt;AA$3+7),"◆","")</f>
        <v/>
      </c>
      <c r="AB31" s="34">
        <f>IF(AND(Meilensteine!$D$18&gt;=AB$3,Meilensteine!$D$18&lt;AB$3+7),"◆","")</f>
        <v/>
      </c>
      <c r="AC31" s="34">
        <f>IF(AND(Meilensteine!$D$18&gt;=AC$3,Meilensteine!$D$18&lt;AC$3+7),"◆","")</f>
        <v/>
      </c>
    </row>
    <row r="32">
      <c r="A32" s="29">
        <f>Meilensteine!$A$19</f>
        <v/>
      </c>
      <c r="B32" s="38">
        <f>Meilensteine!$B$19</f>
        <v/>
      </c>
      <c r="C32" s="26">
        <f>Meilensteine!$D$19</f>
        <v/>
      </c>
      <c r="D32" s="29">
        <f>Meilensteine!$G$19</f>
        <v/>
      </c>
      <c r="E32" s="34">
        <f>IF(AND(Meilensteine!$D$19&gt;=E$3,Meilensteine!$D$19&lt;E$3+7),"◆","")</f>
        <v/>
      </c>
      <c r="F32" s="34">
        <f>IF(AND(Meilensteine!$D$19&gt;=F$3,Meilensteine!$D$19&lt;F$3+7),"◆","")</f>
        <v/>
      </c>
      <c r="G32" s="34">
        <f>IF(AND(Meilensteine!$D$19&gt;=G$3,Meilensteine!$D$19&lt;G$3+7),"◆","")</f>
        <v/>
      </c>
      <c r="H32" s="34">
        <f>IF(AND(Meilensteine!$D$19&gt;=H$3,Meilensteine!$D$19&lt;H$3+7),"◆","")</f>
        <v/>
      </c>
      <c r="I32" s="34">
        <f>IF(AND(Meilensteine!$D$19&gt;=I$3,Meilensteine!$D$19&lt;I$3+7),"◆","")</f>
        <v/>
      </c>
      <c r="J32" s="34">
        <f>IF(AND(Meilensteine!$D$19&gt;=J$3,Meilensteine!$D$19&lt;J$3+7),"◆","")</f>
        <v/>
      </c>
      <c r="K32" s="34">
        <f>IF(AND(Meilensteine!$D$19&gt;=K$3,Meilensteine!$D$19&lt;K$3+7),"◆","")</f>
        <v/>
      </c>
      <c r="L32" s="34">
        <f>IF(AND(Meilensteine!$D$19&gt;=L$3,Meilensteine!$D$19&lt;L$3+7),"◆","")</f>
        <v/>
      </c>
      <c r="M32" s="34">
        <f>IF(AND(Meilensteine!$D$19&gt;=M$3,Meilensteine!$D$19&lt;M$3+7),"◆","")</f>
        <v/>
      </c>
      <c r="N32" s="34">
        <f>IF(AND(Meilensteine!$D$19&gt;=N$3,Meilensteine!$D$19&lt;N$3+7),"◆","")</f>
        <v/>
      </c>
      <c r="O32" s="34">
        <f>IF(AND(Meilensteine!$D$19&gt;=O$3,Meilensteine!$D$19&lt;O$3+7),"◆","")</f>
        <v/>
      </c>
      <c r="P32" s="34">
        <f>IF(AND(Meilensteine!$D$19&gt;=P$3,Meilensteine!$D$19&lt;P$3+7),"◆","")</f>
        <v/>
      </c>
      <c r="Q32" s="34">
        <f>IF(AND(Meilensteine!$D$19&gt;=Q$3,Meilensteine!$D$19&lt;Q$3+7),"◆","")</f>
        <v/>
      </c>
      <c r="R32" s="34">
        <f>IF(AND(Meilensteine!$D$19&gt;=R$3,Meilensteine!$D$19&lt;R$3+7),"◆","")</f>
        <v/>
      </c>
      <c r="S32" s="34">
        <f>IF(AND(Meilensteine!$D$19&gt;=S$3,Meilensteine!$D$19&lt;S$3+7),"◆","")</f>
        <v/>
      </c>
      <c r="T32" s="34">
        <f>IF(AND(Meilensteine!$D$19&gt;=T$3,Meilensteine!$D$19&lt;T$3+7),"◆","")</f>
        <v/>
      </c>
      <c r="U32" s="34">
        <f>IF(AND(Meilensteine!$D$19&gt;=U$3,Meilensteine!$D$19&lt;U$3+7),"◆","")</f>
        <v/>
      </c>
      <c r="V32" s="34">
        <f>IF(AND(Meilensteine!$D$19&gt;=V$3,Meilensteine!$D$19&lt;V$3+7),"◆","")</f>
        <v/>
      </c>
      <c r="W32" s="34">
        <f>IF(AND(Meilensteine!$D$19&gt;=W$3,Meilensteine!$D$19&lt;W$3+7),"◆","")</f>
        <v/>
      </c>
      <c r="X32" s="34">
        <f>IF(AND(Meilensteine!$D$19&gt;=X$3,Meilensteine!$D$19&lt;X$3+7),"◆","")</f>
        <v/>
      </c>
      <c r="Y32" s="34">
        <f>IF(AND(Meilensteine!$D$19&gt;=Y$3,Meilensteine!$D$19&lt;Y$3+7),"◆","")</f>
        <v/>
      </c>
      <c r="Z32" s="34">
        <f>IF(AND(Meilensteine!$D$19&gt;=Z$3,Meilensteine!$D$19&lt;Z$3+7),"◆","")</f>
        <v/>
      </c>
      <c r="AA32" s="34">
        <f>IF(AND(Meilensteine!$D$19&gt;=AA$3,Meilensteine!$D$19&lt;AA$3+7),"◆","")</f>
        <v/>
      </c>
      <c r="AB32" s="34">
        <f>IF(AND(Meilensteine!$D$19&gt;=AB$3,Meilensteine!$D$19&lt;AB$3+7),"◆","")</f>
        <v/>
      </c>
      <c r="AC32" s="34">
        <f>IF(AND(Meilensteine!$D$19&gt;=AC$3,Meilensteine!$D$19&lt;AC$3+7),"◆","")</f>
        <v/>
      </c>
    </row>
    <row r="33">
      <c r="A33" s="29">
        <f>Meilensteine!$A$20</f>
        <v/>
      </c>
      <c r="B33" s="38">
        <f>Meilensteine!$B$20</f>
        <v/>
      </c>
      <c r="C33" s="26">
        <f>Meilensteine!$D$20</f>
        <v/>
      </c>
      <c r="D33" s="29">
        <f>Meilensteine!$G$20</f>
        <v/>
      </c>
      <c r="E33" s="34">
        <f>IF(AND(Meilensteine!$D$20&gt;=E$3,Meilensteine!$D$20&lt;E$3+7),"◆","")</f>
        <v/>
      </c>
      <c r="F33" s="34">
        <f>IF(AND(Meilensteine!$D$20&gt;=F$3,Meilensteine!$D$20&lt;F$3+7),"◆","")</f>
        <v/>
      </c>
      <c r="G33" s="34">
        <f>IF(AND(Meilensteine!$D$20&gt;=G$3,Meilensteine!$D$20&lt;G$3+7),"◆","")</f>
        <v/>
      </c>
      <c r="H33" s="34">
        <f>IF(AND(Meilensteine!$D$20&gt;=H$3,Meilensteine!$D$20&lt;H$3+7),"◆","")</f>
        <v/>
      </c>
      <c r="I33" s="34">
        <f>IF(AND(Meilensteine!$D$20&gt;=I$3,Meilensteine!$D$20&lt;I$3+7),"◆","")</f>
        <v/>
      </c>
      <c r="J33" s="34">
        <f>IF(AND(Meilensteine!$D$20&gt;=J$3,Meilensteine!$D$20&lt;J$3+7),"◆","")</f>
        <v/>
      </c>
      <c r="K33" s="34">
        <f>IF(AND(Meilensteine!$D$20&gt;=K$3,Meilensteine!$D$20&lt;K$3+7),"◆","")</f>
        <v/>
      </c>
      <c r="L33" s="34">
        <f>IF(AND(Meilensteine!$D$20&gt;=L$3,Meilensteine!$D$20&lt;L$3+7),"◆","")</f>
        <v/>
      </c>
      <c r="M33" s="34">
        <f>IF(AND(Meilensteine!$D$20&gt;=M$3,Meilensteine!$D$20&lt;M$3+7),"◆","")</f>
        <v/>
      </c>
      <c r="N33" s="34">
        <f>IF(AND(Meilensteine!$D$20&gt;=N$3,Meilensteine!$D$20&lt;N$3+7),"◆","")</f>
        <v/>
      </c>
      <c r="O33" s="34">
        <f>IF(AND(Meilensteine!$D$20&gt;=O$3,Meilensteine!$D$20&lt;O$3+7),"◆","")</f>
        <v/>
      </c>
      <c r="P33" s="34">
        <f>IF(AND(Meilensteine!$D$20&gt;=P$3,Meilensteine!$D$20&lt;P$3+7),"◆","")</f>
        <v/>
      </c>
      <c r="Q33" s="34">
        <f>IF(AND(Meilensteine!$D$20&gt;=Q$3,Meilensteine!$D$20&lt;Q$3+7),"◆","")</f>
        <v/>
      </c>
      <c r="R33" s="34">
        <f>IF(AND(Meilensteine!$D$20&gt;=R$3,Meilensteine!$D$20&lt;R$3+7),"◆","")</f>
        <v/>
      </c>
      <c r="S33" s="34">
        <f>IF(AND(Meilensteine!$D$20&gt;=S$3,Meilensteine!$D$20&lt;S$3+7),"◆","")</f>
        <v/>
      </c>
      <c r="T33" s="34">
        <f>IF(AND(Meilensteine!$D$20&gt;=T$3,Meilensteine!$D$20&lt;T$3+7),"◆","")</f>
        <v/>
      </c>
      <c r="U33" s="34">
        <f>IF(AND(Meilensteine!$D$20&gt;=U$3,Meilensteine!$D$20&lt;U$3+7),"◆","")</f>
        <v/>
      </c>
      <c r="V33" s="34">
        <f>IF(AND(Meilensteine!$D$20&gt;=V$3,Meilensteine!$D$20&lt;V$3+7),"◆","")</f>
        <v/>
      </c>
      <c r="W33" s="34">
        <f>IF(AND(Meilensteine!$D$20&gt;=W$3,Meilensteine!$D$20&lt;W$3+7),"◆","")</f>
        <v/>
      </c>
      <c r="X33" s="34">
        <f>IF(AND(Meilensteine!$D$20&gt;=X$3,Meilensteine!$D$20&lt;X$3+7),"◆","")</f>
        <v/>
      </c>
      <c r="Y33" s="34">
        <f>IF(AND(Meilensteine!$D$20&gt;=Y$3,Meilensteine!$D$20&lt;Y$3+7),"◆","")</f>
        <v/>
      </c>
      <c r="Z33" s="34">
        <f>IF(AND(Meilensteine!$D$20&gt;=Z$3,Meilensteine!$D$20&lt;Z$3+7),"◆","")</f>
        <v/>
      </c>
      <c r="AA33" s="34">
        <f>IF(AND(Meilensteine!$D$20&gt;=AA$3,Meilensteine!$D$20&lt;AA$3+7),"◆","")</f>
        <v/>
      </c>
      <c r="AB33" s="34">
        <f>IF(AND(Meilensteine!$D$20&gt;=AB$3,Meilensteine!$D$20&lt;AB$3+7),"◆","")</f>
        <v/>
      </c>
      <c r="AC33" s="34">
        <f>IF(AND(Meilensteine!$D$20&gt;=AC$3,Meilensteine!$D$20&lt;AC$3+7),"◆","")</f>
        <v/>
      </c>
    </row>
    <row r="34">
      <c r="A34" s="29">
        <f>Meilensteine!$A$21</f>
        <v/>
      </c>
      <c r="B34" s="38">
        <f>Meilensteine!$B$21</f>
        <v/>
      </c>
      <c r="C34" s="26">
        <f>Meilensteine!$D$21</f>
        <v/>
      </c>
      <c r="D34" s="29">
        <f>Meilensteine!$G$21</f>
        <v/>
      </c>
      <c r="E34" s="34">
        <f>IF(AND(Meilensteine!$D$21&gt;=E$3,Meilensteine!$D$21&lt;E$3+7),"◆","")</f>
        <v/>
      </c>
      <c r="F34" s="34">
        <f>IF(AND(Meilensteine!$D$21&gt;=F$3,Meilensteine!$D$21&lt;F$3+7),"◆","")</f>
        <v/>
      </c>
      <c r="G34" s="34">
        <f>IF(AND(Meilensteine!$D$21&gt;=G$3,Meilensteine!$D$21&lt;G$3+7),"◆","")</f>
        <v/>
      </c>
      <c r="H34" s="34">
        <f>IF(AND(Meilensteine!$D$21&gt;=H$3,Meilensteine!$D$21&lt;H$3+7),"◆","")</f>
        <v/>
      </c>
      <c r="I34" s="34">
        <f>IF(AND(Meilensteine!$D$21&gt;=I$3,Meilensteine!$D$21&lt;I$3+7),"◆","")</f>
        <v/>
      </c>
      <c r="J34" s="34">
        <f>IF(AND(Meilensteine!$D$21&gt;=J$3,Meilensteine!$D$21&lt;J$3+7),"◆","")</f>
        <v/>
      </c>
      <c r="K34" s="34">
        <f>IF(AND(Meilensteine!$D$21&gt;=K$3,Meilensteine!$D$21&lt;K$3+7),"◆","")</f>
        <v/>
      </c>
      <c r="L34" s="34">
        <f>IF(AND(Meilensteine!$D$21&gt;=L$3,Meilensteine!$D$21&lt;L$3+7),"◆","")</f>
        <v/>
      </c>
      <c r="M34" s="34">
        <f>IF(AND(Meilensteine!$D$21&gt;=M$3,Meilensteine!$D$21&lt;M$3+7),"◆","")</f>
        <v/>
      </c>
      <c r="N34" s="34">
        <f>IF(AND(Meilensteine!$D$21&gt;=N$3,Meilensteine!$D$21&lt;N$3+7),"◆","")</f>
        <v/>
      </c>
      <c r="O34" s="34">
        <f>IF(AND(Meilensteine!$D$21&gt;=O$3,Meilensteine!$D$21&lt;O$3+7),"◆","")</f>
        <v/>
      </c>
      <c r="P34" s="34">
        <f>IF(AND(Meilensteine!$D$21&gt;=P$3,Meilensteine!$D$21&lt;P$3+7),"◆","")</f>
        <v/>
      </c>
      <c r="Q34" s="34">
        <f>IF(AND(Meilensteine!$D$21&gt;=Q$3,Meilensteine!$D$21&lt;Q$3+7),"◆","")</f>
        <v/>
      </c>
      <c r="R34" s="34">
        <f>IF(AND(Meilensteine!$D$21&gt;=R$3,Meilensteine!$D$21&lt;R$3+7),"◆","")</f>
        <v/>
      </c>
      <c r="S34" s="34">
        <f>IF(AND(Meilensteine!$D$21&gt;=S$3,Meilensteine!$D$21&lt;S$3+7),"◆","")</f>
        <v/>
      </c>
      <c r="T34" s="34">
        <f>IF(AND(Meilensteine!$D$21&gt;=T$3,Meilensteine!$D$21&lt;T$3+7),"◆","")</f>
        <v/>
      </c>
      <c r="U34" s="34">
        <f>IF(AND(Meilensteine!$D$21&gt;=U$3,Meilensteine!$D$21&lt;U$3+7),"◆","")</f>
        <v/>
      </c>
      <c r="V34" s="34">
        <f>IF(AND(Meilensteine!$D$21&gt;=V$3,Meilensteine!$D$21&lt;V$3+7),"◆","")</f>
        <v/>
      </c>
      <c r="W34" s="34">
        <f>IF(AND(Meilensteine!$D$21&gt;=W$3,Meilensteine!$D$21&lt;W$3+7),"◆","")</f>
        <v/>
      </c>
      <c r="X34" s="34">
        <f>IF(AND(Meilensteine!$D$21&gt;=X$3,Meilensteine!$D$21&lt;X$3+7),"◆","")</f>
        <v/>
      </c>
      <c r="Y34" s="34">
        <f>IF(AND(Meilensteine!$D$21&gt;=Y$3,Meilensteine!$D$21&lt;Y$3+7),"◆","")</f>
        <v/>
      </c>
      <c r="Z34" s="34">
        <f>IF(AND(Meilensteine!$D$21&gt;=Z$3,Meilensteine!$D$21&lt;Z$3+7),"◆","")</f>
        <v/>
      </c>
      <c r="AA34" s="34">
        <f>IF(AND(Meilensteine!$D$21&gt;=AA$3,Meilensteine!$D$21&lt;AA$3+7),"◆","")</f>
        <v/>
      </c>
      <c r="AB34" s="34">
        <f>IF(AND(Meilensteine!$D$21&gt;=AB$3,Meilensteine!$D$21&lt;AB$3+7),"◆","")</f>
        <v/>
      </c>
      <c r="AC34" s="34">
        <f>IF(AND(Meilensteine!$D$21&gt;=AC$3,Meilensteine!$D$21&lt;AC$3+7),"◆","")</f>
        <v/>
      </c>
    </row>
    <row r="35">
      <c r="A35" s="29">
        <f>Meilensteine!$A$22</f>
        <v/>
      </c>
      <c r="B35" s="38">
        <f>Meilensteine!$B$22</f>
        <v/>
      </c>
      <c r="C35" s="26">
        <f>Meilensteine!$D$22</f>
        <v/>
      </c>
      <c r="D35" s="29">
        <f>Meilensteine!$G$22</f>
        <v/>
      </c>
      <c r="E35" s="34">
        <f>IF(AND(Meilensteine!$D$22&gt;=E$3,Meilensteine!$D$22&lt;E$3+7),"◆","")</f>
        <v/>
      </c>
      <c r="F35" s="34">
        <f>IF(AND(Meilensteine!$D$22&gt;=F$3,Meilensteine!$D$22&lt;F$3+7),"◆","")</f>
        <v/>
      </c>
      <c r="G35" s="34">
        <f>IF(AND(Meilensteine!$D$22&gt;=G$3,Meilensteine!$D$22&lt;G$3+7),"◆","")</f>
        <v/>
      </c>
      <c r="H35" s="34">
        <f>IF(AND(Meilensteine!$D$22&gt;=H$3,Meilensteine!$D$22&lt;H$3+7),"◆","")</f>
        <v/>
      </c>
      <c r="I35" s="34">
        <f>IF(AND(Meilensteine!$D$22&gt;=I$3,Meilensteine!$D$22&lt;I$3+7),"◆","")</f>
        <v/>
      </c>
      <c r="J35" s="34">
        <f>IF(AND(Meilensteine!$D$22&gt;=J$3,Meilensteine!$D$22&lt;J$3+7),"◆","")</f>
        <v/>
      </c>
      <c r="K35" s="34">
        <f>IF(AND(Meilensteine!$D$22&gt;=K$3,Meilensteine!$D$22&lt;K$3+7),"◆","")</f>
        <v/>
      </c>
      <c r="L35" s="34">
        <f>IF(AND(Meilensteine!$D$22&gt;=L$3,Meilensteine!$D$22&lt;L$3+7),"◆","")</f>
        <v/>
      </c>
      <c r="M35" s="34">
        <f>IF(AND(Meilensteine!$D$22&gt;=M$3,Meilensteine!$D$22&lt;M$3+7),"◆","")</f>
        <v/>
      </c>
      <c r="N35" s="34">
        <f>IF(AND(Meilensteine!$D$22&gt;=N$3,Meilensteine!$D$22&lt;N$3+7),"◆","")</f>
        <v/>
      </c>
      <c r="O35" s="34">
        <f>IF(AND(Meilensteine!$D$22&gt;=O$3,Meilensteine!$D$22&lt;O$3+7),"◆","")</f>
        <v/>
      </c>
      <c r="P35" s="34">
        <f>IF(AND(Meilensteine!$D$22&gt;=P$3,Meilensteine!$D$22&lt;P$3+7),"◆","")</f>
        <v/>
      </c>
      <c r="Q35" s="34">
        <f>IF(AND(Meilensteine!$D$22&gt;=Q$3,Meilensteine!$D$22&lt;Q$3+7),"◆","")</f>
        <v/>
      </c>
      <c r="R35" s="34">
        <f>IF(AND(Meilensteine!$D$22&gt;=R$3,Meilensteine!$D$22&lt;R$3+7),"◆","")</f>
        <v/>
      </c>
      <c r="S35" s="34">
        <f>IF(AND(Meilensteine!$D$22&gt;=S$3,Meilensteine!$D$22&lt;S$3+7),"◆","")</f>
        <v/>
      </c>
      <c r="T35" s="34">
        <f>IF(AND(Meilensteine!$D$22&gt;=T$3,Meilensteine!$D$22&lt;T$3+7),"◆","")</f>
        <v/>
      </c>
      <c r="U35" s="34">
        <f>IF(AND(Meilensteine!$D$22&gt;=U$3,Meilensteine!$D$22&lt;U$3+7),"◆","")</f>
        <v/>
      </c>
      <c r="V35" s="34">
        <f>IF(AND(Meilensteine!$D$22&gt;=V$3,Meilensteine!$D$22&lt;V$3+7),"◆","")</f>
        <v/>
      </c>
      <c r="W35" s="34">
        <f>IF(AND(Meilensteine!$D$22&gt;=W$3,Meilensteine!$D$22&lt;W$3+7),"◆","")</f>
        <v/>
      </c>
      <c r="X35" s="34">
        <f>IF(AND(Meilensteine!$D$22&gt;=X$3,Meilensteine!$D$22&lt;X$3+7),"◆","")</f>
        <v/>
      </c>
      <c r="Y35" s="34">
        <f>IF(AND(Meilensteine!$D$22&gt;=Y$3,Meilensteine!$D$22&lt;Y$3+7),"◆","")</f>
        <v/>
      </c>
      <c r="Z35" s="34">
        <f>IF(AND(Meilensteine!$D$22&gt;=Z$3,Meilensteine!$D$22&lt;Z$3+7),"◆","")</f>
        <v/>
      </c>
      <c r="AA35" s="34">
        <f>IF(AND(Meilensteine!$D$22&gt;=AA$3,Meilensteine!$D$22&lt;AA$3+7),"◆","")</f>
        <v/>
      </c>
      <c r="AB35" s="34">
        <f>IF(AND(Meilensteine!$D$22&gt;=AB$3,Meilensteine!$D$22&lt;AB$3+7),"◆","")</f>
        <v/>
      </c>
      <c r="AC35" s="34">
        <f>IF(AND(Meilensteine!$D$22&gt;=AC$3,Meilensteine!$D$22&lt;AC$3+7),"◆","")</f>
        <v/>
      </c>
    </row>
    <row r="36">
      <c r="A36" s="29">
        <f>Meilensteine!$A$23</f>
        <v/>
      </c>
      <c r="B36" s="38">
        <f>Meilensteine!$B$23</f>
        <v/>
      </c>
      <c r="C36" s="26">
        <f>Meilensteine!$D$23</f>
        <v/>
      </c>
      <c r="D36" s="29">
        <f>Meilensteine!$G$23</f>
        <v/>
      </c>
      <c r="E36" s="34">
        <f>IF(AND(Meilensteine!$D$23&gt;=E$3,Meilensteine!$D$23&lt;E$3+7),"◆","")</f>
        <v/>
      </c>
      <c r="F36" s="34">
        <f>IF(AND(Meilensteine!$D$23&gt;=F$3,Meilensteine!$D$23&lt;F$3+7),"◆","")</f>
        <v/>
      </c>
      <c r="G36" s="34">
        <f>IF(AND(Meilensteine!$D$23&gt;=G$3,Meilensteine!$D$23&lt;G$3+7),"◆","")</f>
        <v/>
      </c>
      <c r="H36" s="34">
        <f>IF(AND(Meilensteine!$D$23&gt;=H$3,Meilensteine!$D$23&lt;H$3+7),"◆","")</f>
        <v/>
      </c>
      <c r="I36" s="34">
        <f>IF(AND(Meilensteine!$D$23&gt;=I$3,Meilensteine!$D$23&lt;I$3+7),"◆","")</f>
        <v/>
      </c>
      <c r="J36" s="34">
        <f>IF(AND(Meilensteine!$D$23&gt;=J$3,Meilensteine!$D$23&lt;J$3+7),"◆","")</f>
        <v/>
      </c>
      <c r="K36" s="34">
        <f>IF(AND(Meilensteine!$D$23&gt;=K$3,Meilensteine!$D$23&lt;K$3+7),"◆","")</f>
        <v/>
      </c>
      <c r="L36" s="34">
        <f>IF(AND(Meilensteine!$D$23&gt;=L$3,Meilensteine!$D$23&lt;L$3+7),"◆","")</f>
        <v/>
      </c>
      <c r="M36" s="34">
        <f>IF(AND(Meilensteine!$D$23&gt;=M$3,Meilensteine!$D$23&lt;M$3+7),"◆","")</f>
        <v/>
      </c>
      <c r="N36" s="34">
        <f>IF(AND(Meilensteine!$D$23&gt;=N$3,Meilensteine!$D$23&lt;N$3+7),"◆","")</f>
        <v/>
      </c>
      <c r="O36" s="34">
        <f>IF(AND(Meilensteine!$D$23&gt;=O$3,Meilensteine!$D$23&lt;O$3+7),"◆","")</f>
        <v/>
      </c>
      <c r="P36" s="34">
        <f>IF(AND(Meilensteine!$D$23&gt;=P$3,Meilensteine!$D$23&lt;P$3+7),"◆","")</f>
        <v/>
      </c>
      <c r="Q36" s="34">
        <f>IF(AND(Meilensteine!$D$23&gt;=Q$3,Meilensteine!$D$23&lt;Q$3+7),"◆","")</f>
        <v/>
      </c>
      <c r="R36" s="34">
        <f>IF(AND(Meilensteine!$D$23&gt;=R$3,Meilensteine!$D$23&lt;R$3+7),"◆","")</f>
        <v/>
      </c>
      <c r="S36" s="34">
        <f>IF(AND(Meilensteine!$D$23&gt;=S$3,Meilensteine!$D$23&lt;S$3+7),"◆","")</f>
        <v/>
      </c>
      <c r="T36" s="34">
        <f>IF(AND(Meilensteine!$D$23&gt;=T$3,Meilensteine!$D$23&lt;T$3+7),"◆","")</f>
        <v/>
      </c>
      <c r="U36" s="34">
        <f>IF(AND(Meilensteine!$D$23&gt;=U$3,Meilensteine!$D$23&lt;U$3+7),"◆","")</f>
        <v/>
      </c>
      <c r="V36" s="34">
        <f>IF(AND(Meilensteine!$D$23&gt;=V$3,Meilensteine!$D$23&lt;V$3+7),"◆","")</f>
        <v/>
      </c>
      <c r="W36" s="34">
        <f>IF(AND(Meilensteine!$D$23&gt;=W$3,Meilensteine!$D$23&lt;W$3+7),"◆","")</f>
        <v/>
      </c>
      <c r="X36" s="34">
        <f>IF(AND(Meilensteine!$D$23&gt;=X$3,Meilensteine!$D$23&lt;X$3+7),"◆","")</f>
        <v/>
      </c>
      <c r="Y36" s="34">
        <f>IF(AND(Meilensteine!$D$23&gt;=Y$3,Meilensteine!$D$23&lt;Y$3+7),"◆","")</f>
        <v/>
      </c>
      <c r="Z36" s="34">
        <f>IF(AND(Meilensteine!$D$23&gt;=Z$3,Meilensteine!$D$23&lt;Z$3+7),"◆","")</f>
        <v/>
      </c>
      <c r="AA36" s="34">
        <f>IF(AND(Meilensteine!$D$23&gt;=AA$3,Meilensteine!$D$23&lt;AA$3+7),"◆","")</f>
        <v/>
      </c>
      <c r="AB36" s="34">
        <f>IF(AND(Meilensteine!$D$23&gt;=AB$3,Meilensteine!$D$23&lt;AB$3+7),"◆","")</f>
        <v/>
      </c>
      <c r="AC36" s="34">
        <f>IF(AND(Meilensteine!$D$23&gt;=AC$3,Meilensteine!$D$23&lt;AC$3+7),"◆","")</f>
        <v/>
      </c>
    </row>
    <row r="37">
      <c r="A37" s="29">
        <f>Meilensteine!$A$24</f>
        <v/>
      </c>
      <c r="B37" s="38">
        <f>Meilensteine!$B$24</f>
        <v/>
      </c>
      <c r="C37" s="26">
        <f>Meilensteine!$D$24</f>
        <v/>
      </c>
      <c r="D37" s="29">
        <f>Meilensteine!$G$24</f>
        <v/>
      </c>
      <c r="E37" s="34">
        <f>IF(AND(Meilensteine!$D$24&gt;=E$3,Meilensteine!$D$24&lt;E$3+7),"◆","")</f>
        <v/>
      </c>
      <c r="F37" s="34">
        <f>IF(AND(Meilensteine!$D$24&gt;=F$3,Meilensteine!$D$24&lt;F$3+7),"◆","")</f>
        <v/>
      </c>
      <c r="G37" s="34">
        <f>IF(AND(Meilensteine!$D$24&gt;=G$3,Meilensteine!$D$24&lt;G$3+7),"◆","")</f>
        <v/>
      </c>
      <c r="H37" s="34">
        <f>IF(AND(Meilensteine!$D$24&gt;=H$3,Meilensteine!$D$24&lt;H$3+7),"◆","")</f>
        <v/>
      </c>
      <c r="I37" s="34">
        <f>IF(AND(Meilensteine!$D$24&gt;=I$3,Meilensteine!$D$24&lt;I$3+7),"◆","")</f>
        <v/>
      </c>
      <c r="J37" s="34">
        <f>IF(AND(Meilensteine!$D$24&gt;=J$3,Meilensteine!$D$24&lt;J$3+7),"◆","")</f>
        <v/>
      </c>
      <c r="K37" s="34">
        <f>IF(AND(Meilensteine!$D$24&gt;=K$3,Meilensteine!$D$24&lt;K$3+7),"◆","")</f>
        <v/>
      </c>
      <c r="L37" s="34">
        <f>IF(AND(Meilensteine!$D$24&gt;=L$3,Meilensteine!$D$24&lt;L$3+7),"◆","")</f>
        <v/>
      </c>
      <c r="M37" s="34">
        <f>IF(AND(Meilensteine!$D$24&gt;=M$3,Meilensteine!$D$24&lt;M$3+7),"◆","")</f>
        <v/>
      </c>
      <c r="N37" s="34">
        <f>IF(AND(Meilensteine!$D$24&gt;=N$3,Meilensteine!$D$24&lt;N$3+7),"◆","")</f>
        <v/>
      </c>
      <c r="O37" s="34">
        <f>IF(AND(Meilensteine!$D$24&gt;=O$3,Meilensteine!$D$24&lt;O$3+7),"◆","")</f>
        <v/>
      </c>
      <c r="P37" s="34">
        <f>IF(AND(Meilensteine!$D$24&gt;=P$3,Meilensteine!$D$24&lt;P$3+7),"◆","")</f>
        <v/>
      </c>
      <c r="Q37" s="34">
        <f>IF(AND(Meilensteine!$D$24&gt;=Q$3,Meilensteine!$D$24&lt;Q$3+7),"◆","")</f>
        <v/>
      </c>
      <c r="R37" s="34">
        <f>IF(AND(Meilensteine!$D$24&gt;=R$3,Meilensteine!$D$24&lt;R$3+7),"◆","")</f>
        <v/>
      </c>
      <c r="S37" s="34">
        <f>IF(AND(Meilensteine!$D$24&gt;=S$3,Meilensteine!$D$24&lt;S$3+7),"◆","")</f>
        <v/>
      </c>
      <c r="T37" s="34">
        <f>IF(AND(Meilensteine!$D$24&gt;=T$3,Meilensteine!$D$24&lt;T$3+7),"◆","")</f>
        <v/>
      </c>
      <c r="U37" s="34">
        <f>IF(AND(Meilensteine!$D$24&gt;=U$3,Meilensteine!$D$24&lt;U$3+7),"◆","")</f>
        <v/>
      </c>
      <c r="V37" s="34">
        <f>IF(AND(Meilensteine!$D$24&gt;=V$3,Meilensteine!$D$24&lt;V$3+7),"◆","")</f>
        <v/>
      </c>
      <c r="W37" s="34">
        <f>IF(AND(Meilensteine!$D$24&gt;=W$3,Meilensteine!$D$24&lt;W$3+7),"◆","")</f>
        <v/>
      </c>
      <c r="X37" s="34">
        <f>IF(AND(Meilensteine!$D$24&gt;=X$3,Meilensteine!$D$24&lt;X$3+7),"◆","")</f>
        <v/>
      </c>
      <c r="Y37" s="34">
        <f>IF(AND(Meilensteine!$D$24&gt;=Y$3,Meilensteine!$D$24&lt;Y$3+7),"◆","")</f>
        <v/>
      </c>
      <c r="Z37" s="34">
        <f>IF(AND(Meilensteine!$D$24&gt;=Z$3,Meilensteine!$D$24&lt;Z$3+7),"◆","")</f>
        <v/>
      </c>
      <c r="AA37" s="34">
        <f>IF(AND(Meilensteine!$D$24&gt;=AA$3,Meilensteine!$D$24&lt;AA$3+7),"◆","")</f>
        <v/>
      </c>
      <c r="AB37" s="34">
        <f>IF(AND(Meilensteine!$D$24&gt;=AB$3,Meilensteine!$D$24&lt;AB$3+7),"◆","")</f>
        <v/>
      </c>
      <c r="AC37" s="34">
        <f>IF(AND(Meilensteine!$D$24&gt;=AC$3,Meilensteine!$D$24&lt;AC$3+7),"◆","")</f>
        <v/>
      </c>
    </row>
    <row r="38">
      <c r="A38" s="29">
        <f>Meilensteine!$A$25</f>
        <v/>
      </c>
      <c r="B38" s="38">
        <f>Meilensteine!$B$25</f>
        <v/>
      </c>
      <c r="C38" s="26">
        <f>Meilensteine!$D$25</f>
        <v/>
      </c>
      <c r="D38" s="29">
        <f>Meilensteine!$G$25</f>
        <v/>
      </c>
      <c r="E38" s="34">
        <f>IF(AND(Meilensteine!$D$25&gt;=E$3,Meilensteine!$D$25&lt;E$3+7),"◆","")</f>
        <v/>
      </c>
      <c r="F38" s="34">
        <f>IF(AND(Meilensteine!$D$25&gt;=F$3,Meilensteine!$D$25&lt;F$3+7),"◆","")</f>
        <v/>
      </c>
      <c r="G38" s="34">
        <f>IF(AND(Meilensteine!$D$25&gt;=G$3,Meilensteine!$D$25&lt;G$3+7),"◆","")</f>
        <v/>
      </c>
      <c r="H38" s="34">
        <f>IF(AND(Meilensteine!$D$25&gt;=H$3,Meilensteine!$D$25&lt;H$3+7),"◆","")</f>
        <v/>
      </c>
      <c r="I38" s="34">
        <f>IF(AND(Meilensteine!$D$25&gt;=I$3,Meilensteine!$D$25&lt;I$3+7),"◆","")</f>
        <v/>
      </c>
      <c r="J38" s="34">
        <f>IF(AND(Meilensteine!$D$25&gt;=J$3,Meilensteine!$D$25&lt;J$3+7),"◆","")</f>
        <v/>
      </c>
      <c r="K38" s="34">
        <f>IF(AND(Meilensteine!$D$25&gt;=K$3,Meilensteine!$D$25&lt;K$3+7),"◆","")</f>
        <v/>
      </c>
      <c r="L38" s="34">
        <f>IF(AND(Meilensteine!$D$25&gt;=L$3,Meilensteine!$D$25&lt;L$3+7),"◆","")</f>
        <v/>
      </c>
      <c r="M38" s="34">
        <f>IF(AND(Meilensteine!$D$25&gt;=M$3,Meilensteine!$D$25&lt;M$3+7),"◆","")</f>
        <v/>
      </c>
      <c r="N38" s="34">
        <f>IF(AND(Meilensteine!$D$25&gt;=N$3,Meilensteine!$D$25&lt;N$3+7),"◆","")</f>
        <v/>
      </c>
      <c r="O38" s="34">
        <f>IF(AND(Meilensteine!$D$25&gt;=O$3,Meilensteine!$D$25&lt;O$3+7),"◆","")</f>
        <v/>
      </c>
      <c r="P38" s="34">
        <f>IF(AND(Meilensteine!$D$25&gt;=P$3,Meilensteine!$D$25&lt;P$3+7),"◆","")</f>
        <v/>
      </c>
      <c r="Q38" s="34">
        <f>IF(AND(Meilensteine!$D$25&gt;=Q$3,Meilensteine!$D$25&lt;Q$3+7),"◆","")</f>
        <v/>
      </c>
      <c r="R38" s="34">
        <f>IF(AND(Meilensteine!$D$25&gt;=R$3,Meilensteine!$D$25&lt;R$3+7),"◆","")</f>
        <v/>
      </c>
      <c r="S38" s="34">
        <f>IF(AND(Meilensteine!$D$25&gt;=S$3,Meilensteine!$D$25&lt;S$3+7),"◆","")</f>
        <v/>
      </c>
      <c r="T38" s="34">
        <f>IF(AND(Meilensteine!$D$25&gt;=T$3,Meilensteine!$D$25&lt;T$3+7),"◆","")</f>
        <v/>
      </c>
      <c r="U38" s="34">
        <f>IF(AND(Meilensteine!$D$25&gt;=U$3,Meilensteine!$D$25&lt;U$3+7),"◆","")</f>
        <v/>
      </c>
      <c r="V38" s="34">
        <f>IF(AND(Meilensteine!$D$25&gt;=V$3,Meilensteine!$D$25&lt;V$3+7),"◆","")</f>
        <v/>
      </c>
      <c r="W38" s="34">
        <f>IF(AND(Meilensteine!$D$25&gt;=W$3,Meilensteine!$D$25&lt;W$3+7),"◆","")</f>
        <v/>
      </c>
      <c r="X38" s="34">
        <f>IF(AND(Meilensteine!$D$25&gt;=X$3,Meilensteine!$D$25&lt;X$3+7),"◆","")</f>
        <v/>
      </c>
      <c r="Y38" s="34">
        <f>IF(AND(Meilensteine!$D$25&gt;=Y$3,Meilensteine!$D$25&lt;Y$3+7),"◆","")</f>
        <v/>
      </c>
      <c r="Z38" s="34">
        <f>IF(AND(Meilensteine!$D$25&gt;=Z$3,Meilensteine!$D$25&lt;Z$3+7),"◆","")</f>
        <v/>
      </c>
      <c r="AA38" s="34">
        <f>IF(AND(Meilensteine!$D$25&gt;=AA$3,Meilensteine!$D$25&lt;AA$3+7),"◆","")</f>
        <v/>
      </c>
      <c r="AB38" s="34">
        <f>IF(AND(Meilensteine!$D$25&gt;=AB$3,Meilensteine!$D$25&lt;AB$3+7),"◆","")</f>
        <v/>
      </c>
      <c r="AC38" s="34">
        <f>IF(AND(Meilensteine!$D$25&gt;=AC$3,Meilensteine!$D$25&lt;AC$3+7),"◆","")</f>
        <v/>
      </c>
    </row>
    <row r="39">
      <c r="A39" s="29">
        <f>Meilensteine!$A$26</f>
        <v/>
      </c>
      <c r="B39" s="38">
        <f>Meilensteine!$B$26</f>
        <v/>
      </c>
      <c r="C39" s="26">
        <f>Meilensteine!$D$26</f>
        <v/>
      </c>
      <c r="D39" s="29">
        <f>Meilensteine!$G$26</f>
        <v/>
      </c>
      <c r="E39" s="34">
        <f>IF(AND(Meilensteine!$D$26&gt;=E$3,Meilensteine!$D$26&lt;E$3+7),"◆","")</f>
        <v/>
      </c>
      <c r="F39" s="34">
        <f>IF(AND(Meilensteine!$D$26&gt;=F$3,Meilensteine!$D$26&lt;F$3+7),"◆","")</f>
        <v/>
      </c>
      <c r="G39" s="34">
        <f>IF(AND(Meilensteine!$D$26&gt;=G$3,Meilensteine!$D$26&lt;G$3+7),"◆","")</f>
        <v/>
      </c>
      <c r="H39" s="34">
        <f>IF(AND(Meilensteine!$D$26&gt;=H$3,Meilensteine!$D$26&lt;H$3+7),"◆","")</f>
        <v/>
      </c>
      <c r="I39" s="34">
        <f>IF(AND(Meilensteine!$D$26&gt;=I$3,Meilensteine!$D$26&lt;I$3+7),"◆","")</f>
        <v/>
      </c>
      <c r="J39" s="34">
        <f>IF(AND(Meilensteine!$D$26&gt;=J$3,Meilensteine!$D$26&lt;J$3+7),"◆","")</f>
        <v/>
      </c>
      <c r="K39" s="34">
        <f>IF(AND(Meilensteine!$D$26&gt;=K$3,Meilensteine!$D$26&lt;K$3+7),"◆","")</f>
        <v/>
      </c>
      <c r="L39" s="34">
        <f>IF(AND(Meilensteine!$D$26&gt;=L$3,Meilensteine!$D$26&lt;L$3+7),"◆","")</f>
        <v/>
      </c>
      <c r="M39" s="34">
        <f>IF(AND(Meilensteine!$D$26&gt;=M$3,Meilensteine!$D$26&lt;M$3+7),"◆","")</f>
        <v/>
      </c>
      <c r="N39" s="34">
        <f>IF(AND(Meilensteine!$D$26&gt;=N$3,Meilensteine!$D$26&lt;N$3+7),"◆","")</f>
        <v/>
      </c>
      <c r="O39" s="34">
        <f>IF(AND(Meilensteine!$D$26&gt;=O$3,Meilensteine!$D$26&lt;O$3+7),"◆","")</f>
        <v/>
      </c>
      <c r="P39" s="34">
        <f>IF(AND(Meilensteine!$D$26&gt;=P$3,Meilensteine!$D$26&lt;P$3+7),"◆","")</f>
        <v/>
      </c>
      <c r="Q39" s="34">
        <f>IF(AND(Meilensteine!$D$26&gt;=Q$3,Meilensteine!$D$26&lt;Q$3+7),"◆","")</f>
        <v/>
      </c>
      <c r="R39" s="34">
        <f>IF(AND(Meilensteine!$D$26&gt;=R$3,Meilensteine!$D$26&lt;R$3+7),"◆","")</f>
        <v/>
      </c>
      <c r="S39" s="34">
        <f>IF(AND(Meilensteine!$D$26&gt;=S$3,Meilensteine!$D$26&lt;S$3+7),"◆","")</f>
        <v/>
      </c>
      <c r="T39" s="34">
        <f>IF(AND(Meilensteine!$D$26&gt;=T$3,Meilensteine!$D$26&lt;T$3+7),"◆","")</f>
        <v/>
      </c>
      <c r="U39" s="34">
        <f>IF(AND(Meilensteine!$D$26&gt;=U$3,Meilensteine!$D$26&lt;U$3+7),"◆","")</f>
        <v/>
      </c>
      <c r="V39" s="34">
        <f>IF(AND(Meilensteine!$D$26&gt;=V$3,Meilensteine!$D$26&lt;V$3+7),"◆","")</f>
        <v/>
      </c>
      <c r="W39" s="34">
        <f>IF(AND(Meilensteine!$D$26&gt;=W$3,Meilensteine!$D$26&lt;W$3+7),"◆","")</f>
        <v/>
      </c>
      <c r="X39" s="34">
        <f>IF(AND(Meilensteine!$D$26&gt;=X$3,Meilensteine!$D$26&lt;X$3+7),"◆","")</f>
        <v/>
      </c>
      <c r="Y39" s="34">
        <f>IF(AND(Meilensteine!$D$26&gt;=Y$3,Meilensteine!$D$26&lt;Y$3+7),"◆","")</f>
        <v/>
      </c>
      <c r="Z39" s="34">
        <f>IF(AND(Meilensteine!$D$26&gt;=Z$3,Meilensteine!$D$26&lt;Z$3+7),"◆","")</f>
        <v/>
      </c>
      <c r="AA39" s="34">
        <f>IF(AND(Meilensteine!$D$26&gt;=AA$3,Meilensteine!$D$26&lt;AA$3+7),"◆","")</f>
        <v/>
      </c>
      <c r="AB39" s="34">
        <f>IF(AND(Meilensteine!$D$26&gt;=AB$3,Meilensteine!$D$26&lt;AB$3+7),"◆","")</f>
        <v/>
      </c>
      <c r="AC39" s="34">
        <f>IF(AND(Meilensteine!$D$26&gt;=AC$3,Meilensteine!$D$26&lt;AC$3+7),"◆","")</f>
        <v/>
      </c>
    </row>
    <row r="41">
      <c r="B41" s="31" t="inlineStr">
        <is>
          <t>◆ = Meilenstein-Termin  |  oranger Balken = aktive Phase  |  blau hinterlegte Spalte = aktuelle Woche. Zeitachse: Montag der jeweiligen KW.</t>
        </is>
      </c>
    </row>
  </sheetData>
  <mergeCells count="7">
    <mergeCell ref="A1:J1"/>
    <mergeCell ref="A14:AC14"/>
    <mergeCell ref="C2:C3"/>
    <mergeCell ref="B2:B3"/>
    <mergeCell ref="A2:A3"/>
    <mergeCell ref="B41:AC41"/>
    <mergeCell ref="D2:D3"/>
  </mergeCells>
  <conditionalFormatting sqref="E4:AC12">
    <cfRule type="expression" priority="1" dxfId="1">
      <formula>AND(E$3&lt;=$D4,E$3+6&gt;=$C4,$C4&lt;&gt;"")</formula>
    </cfRule>
  </conditionalFormatting>
  <conditionalFormatting sqref="E4:AC39">
    <cfRule type="expression" priority="2" dxfId="7">
      <formula>AND(TODAY()&gt;=E$3,TODAY()&lt;E$3+7)</formula>
    </cfRule>
  </conditionalFormatting>
  <conditionalFormatting sqref="D15:D39">
    <cfRule type="cellIs" priority="3" operator="equal" dxfId="3">
      <formula>"erledigt"</formula>
    </cfRule>
    <cfRule type="cellIs" priority="4" operator="equal" dxfId="4">
      <formula>"kritisch"</formula>
    </cfRule>
    <cfRule type="cellIs" priority="5" operator="equal" dxfId="5">
      <formula>"in Arbeit"</formula>
    </cfRule>
    <cfRule type="cellIs" priority="6" operator="equal" dxfId="6">
      <formula>"verschoben"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 fitToPage="1"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15" customWidth="1" min="4" max="4"/>
    <col width="8" customWidth="1" min="5" max="5"/>
    <col width="13" customWidth="1" min="6" max="6"/>
    <col width="12" customWidth="1" min="7" max="7"/>
    <col width="19" customWidth="1" min="8" max="8"/>
    <col width="11" customWidth="1" min="9" max="9"/>
    <col width="11" customWidth="1" min="10" max="10"/>
    <col width="30" customWidth="1" min="11" max="11"/>
    <col hidden="1" width="13" customWidth="1" min="12" max="12"/>
  </cols>
  <sheetData>
    <row r="1">
      <c r="A1" s="23" t="inlineStr">
        <is>
          <t>Nr.</t>
        </is>
      </c>
      <c r="B1" s="23" t="inlineStr">
        <is>
          <t>Meilenstein</t>
        </is>
      </c>
      <c r="C1" s="23" t="inlineStr">
        <is>
          <t>Phase</t>
        </is>
      </c>
      <c r="D1" s="23" t="inlineStr">
        <is>
          <t>Plantermin</t>
        </is>
      </c>
      <c r="E1" s="23" t="inlineStr">
        <is>
          <t>KW</t>
        </is>
      </c>
      <c r="F1" s="23" t="inlineStr">
        <is>
          <t>Ist-Termin</t>
        </is>
      </c>
      <c r="G1" s="23" t="inlineStr">
        <is>
          <t>Status</t>
        </is>
      </c>
      <c r="H1" s="23" t="inlineStr">
        <is>
          <t>Verantwortlich</t>
        </is>
      </c>
      <c r="I1" s="23" t="inlineStr">
        <is>
          <t>Countdown (Tage)</t>
        </is>
      </c>
      <c r="J1" s="23" t="inlineStr">
        <is>
          <t>Vorgaenger (Nr.)</t>
        </is>
      </c>
      <c r="K1" s="23" t="inlineStr">
        <is>
          <t>Bemerkung</t>
        </is>
      </c>
      <c r="L1" s="31" t="inlineStr">
        <is>
          <t>(Hilfsspalte)</t>
        </is>
      </c>
    </row>
    <row r="2">
      <c r="A2" s="29" t="n">
        <v>1</v>
      </c>
      <c r="B2" s="38" t="inlineStr">
        <is>
          <t>bSuite-Aufnahme</t>
        </is>
      </c>
      <c r="C2" s="29" t="inlineStr">
        <is>
          <t>Vorbereitung</t>
        </is>
      </c>
      <c r="D2" s="40" t="n">
        <v>46219.33333333334</v>
      </c>
      <c r="E2" s="29">
        <f>IF($D2="","","KW "&amp;WEEKNUM($D2,21))</f>
        <v/>
      </c>
      <c r="F2" s="26" t="n"/>
      <c r="G2" s="29" t="inlineStr">
        <is>
          <t>offen</t>
        </is>
      </c>
      <c r="H2" s="38" t="inlineStr">
        <is>
          <t>Sarah</t>
        </is>
      </c>
      <c r="I2" s="41">
        <f>IF($G2="erledigt","✔",IF($D2="","",INT($D2)-TODAY()))</f>
        <v/>
      </c>
      <c r="J2" s="29" t="n"/>
      <c r="K2" s="38" t="inlineStr">
        <is>
          <t>08:00, mit Ann-Kathrin &amp; Burak</t>
        </is>
      </c>
      <c r="L2">
        <f>IF(AND($G2&lt;&gt;"erledigt",$D2&lt;&gt;"",$D2&gt;=TODAY()),$D2+ROW()/10000,"")</f>
        <v/>
      </c>
    </row>
    <row r="3">
      <c r="A3" s="29" t="n">
        <v>2</v>
      </c>
      <c r="B3" s="38" t="inlineStr">
        <is>
          <t>Unterlagenpaket an DPR (Versicherung, HR-Auszug, Zeichnungsberechtigte, Zollprozess)</t>
        </is>
      </c>
      <c r="C3" s="29" t="inlineStr">
        <is>
          <t>Vorbereitung</t>
        </is>
      </c>
      <c r="D3" s="40" t="n">
        <v>46219.5</v>
      </c>
      <c r="E3" s="29">
        <f>IF($D3="","","KW "&amp;WEEKNUM($D3,21))</f>
        <v/>
      </c>
      <c r="F3" s="26" t="n"/>
      <c r="G3" s="29" t="inlineStr">
        <is>
          <t>offen</t>
        </is>
      </c>
      <c r="H3" s="38" t="inlineStr">
        <is>
          <t>Ann-Kathrin &amp; Markus</t>
        </is>
      </c>
      <c r="I3" s="41">
        <f>IF($G3="erledigt","✔",IF($D3="","",INT($D3)-TODAY()))</f>
        <v/>
      </c>
      <c r="J3" s="29" t="n"/>
      <c r="K3" s="38" t="inlineStr">
        <is>
          <t>12:00 an Roxana Minor</t>
        </is>
      </c>
      <c r="L3">
        <f>IF(AND($G3&lt;&gt;"erledigt",$D3&lt;&gt;"",$D3&gt;=TODAY()),$D3+ROW()/10000,"")</f>
        <v/>
      </c>
    </row>
    <row r="4">
      <c r="A4" s="29" t="n">
        <v>3</v>
      </c>
      <c r="B4" s="38" t="inlineStr">
        <is>
          <t>Unterschriften Diessenhofen</t>
        </is>
      </c>
      <c r="C4" s="29" t="inlineStr">
        <is>
          <t>Vorbereitung</t>
        </is>
      </c>
      <c r="D4" s="26" t="n">
        <v>46219</v>
      </c>
      <c r="E4" s="29">
        <f>IF($D4="","","KW "&amp;WEEKNUM($D4,21))</f>
        <v/>
      </c>
      <c r="F4" s="26" t="n"/>
      <c r="G4" s="29" t="inlineStr">
        <is>
          <t>offen</t>
        </is>
      </c>
      <c r="H4" s="38" t="inlineStr">
        <is>
          <t>Stefan</t>
        </is>
      </c>
      <c r="I4" s="41">
        <f>IF($G4="erledigt","✔",IF($D4="","",INT($D4)-TODAY()))</f>
        <v/>
      </c>
      <c r="J4" s="29" t="n"/>
      <c r="K4" s="38" t="inlineStr">
        <is>
          <t>Nachmittags</t>
        </is>
      </c>
      <c r="L4">
        <f>IF(AND($G4&lt;&gt;"erledigt",$D4&lt;&gt;"",$D4&gt;=TODAY()),$D4+ROW()/10000,"")</f>
        <v/>
      </c>
    </row>
    <row r="5">
      <c r="A5" s="29" t="n">
        <v>4</v>
      </c>
      <c r="B5" s="38" t="inlineStr">
        <is>
          <t>Abstimmungs-Call Aggreko DE</t>
        </is>
      </c>
      <c r="C5" s="29" t="inlineStr">
        <is>
          <t>Vorbereitung</t>
        </is>
      </c>
      <c r="D5" s="40" t="n">
        <v>46220.375</v>
      </c>
      <c r="E5" s="29">
        <f>IF($D5="","","KW "&amp;WEEKNUM($D5,21))</f>
        <v/>
      </c>
      <c r="F5" s="26" t="n"/>
      <c r="G5" s="29" t="inlineStr">
        <is>
          <t>offen</t>
        </is>
      </c>
      <c r="H5" s="38" t="inlineStr">
        <is>
          <t>Burak / Stephan</t>
        </is>
      </c>
      <c r="I5" s="41">
        <f>IF($G5="erledigt","✔",IF($D5="","",INT($D5)-TODAY()))</f>
        <v/>
      </c>
      <c r="J5" s="29" t="n"/>
      <c r="K5" s="38" t="inlineStr">
        <is>
          <t>16.07. 14:00 oder 17.07. 09:00</t>
        </is>
      </c>
      <c r="L5">
        <f>IF(AND($G5&lt;&gt;"erledigt",$D5&lt;&gt;"",$D5&gt;=TODAY()),$D5+ROW()/10000,"")</f>
        <v/>
      </c>
    </row>
    <row r="6">
      <c r="A6" s="29" t="n">
        <v>5</v>
      </c>
      <c r="B6" s="38" t="inlineStr">
        <is>
          <t>PO-Korrekturliste an DPR</t>
        </is>
      </c>
      <c r="C6" s="29" t="inlineStr">
        <is>
          <t>Vorbereitung</t>
        </is>
      </c>
      <c r="D6" s="26" t="n">
        <v>46220</v>
      </c>
      <c r="E6" s="29">
        <f>IF($D6="","","KW "&amp;WEEKNUM($D6,21))</f>
        <v/>
      </c>
      <c r="F6" s="26" t="n"/>
      <c r="G6" s="29" t="inlineStr">
        <is>
          <t>offen</t>
        </is>
      </c>
      <c r="H6" s="38" t="inlineStr">
        <is>
          <t>Burak</t>
        </is>
      </c>
      <c r="I6" s="41">
        <f>IF($G6="erledigt","✔",IF($D6="","",INT($D6)-TODAY()))</f>
        <v/>
      </c>
      <c r="J6" s="29" t="n">
        <v>4</v>
      </c>
      <c r="K6" s="38" t="inlineStr">
        <is>
          <t>49A: 78/110 Tage; 49B: 131/110 Tage</t>
        </is>
      </c>
      <c r="L6">
        <f>IF(AND($G6&lt;&gt;"erledigt",$D6&lt;&gt;"",$D6&gt;=TODAY()),$D6+ROW()/10000,"")</f>
        <v/>
      </c>
    </row>
    <row r="7">
      <c r="A7" s="29" t="n">
        <v>6</v>
      </c>
      <c r="B7" s="38" t="inlineStr">
        <is>
          <t>RAMS-Abgabe Hammertech</t>
        </is>
      </c>
      <c r="C7" s="29" t="inlineStr">
        <is>
          <t>Vorbereitung</t>
        </is>
      </c>
      <c r="D7" s="26" t="n">
        <v>46223</v>
      </c>
      <c r="E7" s="29">
        <f>IF($D7="","","KW "&amp;WEEKNUM($D7,21))</f>
        <v/>
      </c>
      <c r="F7" s="26" t="n"/>
      <c r="G7" s="29" t="inlineStr">
        <is>
          <t>offen</t>
        </is>
      </c>
      <c r="H7" s="38" t="inlineStr">
        <is>
          <t>Samuel</t>
        </is>
      </c>
      <c r="I7" s="41">
        <f>IF($G7="erledigt","✔",IF($D7="","",INT($D7)-TODAY()))</f>
        <v/>
      </c>
      <c r="J7" s="29" t="n"/>
      <c r="K7" s="38" t="inlineStr">
        <is>
          <t>inkl. Personenliste Aggreko</t>
        </is>
      </c>
      <c r="L7">
        <f>IF(AND($G7&lt;&gt;"erledigt",$D7&lt;&gt;"",$D7&gt;=TODAY()),$D7+ROW()/10000,"")</f>
        <v/>
      </c>
    </row>
    <row r="8">
      <c r="A8" s="29" t="n">
        <v>7</v>
      </c>
      <c r="B8" s="38" t="inlineStr">
        <is>
          <t>Personenliste Aggreko</t>
        </is>
      </c>
      <c r="C8" s="29" t="inlineStr">
        <is>
          <t>Vorbereitung</t>
        </is>
      </c>
      <c r="D8" s="26" t="n">
        <v>46223</v>
      </c>
      <c r="E8" s="29">
        <f>IF($D8="","","KW "&amp;WEEKNUM($D8,21))</f>
        <v/>
      </c>
      <c r="F8" s="26" t="n"/>
      <c r="G8" s="29" t="inlineStr">
        <is>
          <t>offen</t>
        </is>
      </c>
      <c r="H8" s="38" t="inlineStr">
        <is>
          <t>Aggreko</t>
        </is>
      </c>
      <c r="I8" s="41">
        <f>IF($G8="erledigt","✔",IF($D8="","",INT($D8)-TODAY()))</f>
        <v/>
      </c>
      <c r="J8" s="29" t="n"/>
      <c r="K8" s="38" t="inlineStr"/>
      <c r="L8">
        <f>IF(AND($G8&lt;&gt;"erledigt",$D8&lt;&gt;"",$D8&gt;=TODAY()),$D8+ROW()/10000,"")</f>
        <v/>
      </c>
    </row>
    <row r="9">
      <c r="A9" s="29" t="n">
        <v>8</v>
      </c>
      <c r="B9" s="38" t="inlineStr">
        <is>
          <t>NDA MiT-DPR unterzeichnet</t>
        </is>
      </c>
      <c r="C9" s="29" t="inlineStr">
        <is>
          <t>Vorbereitung</t>
        </is>
      </c>
      <c r="D9" s="26" t="n">
        <v>46225</v>
      </c>
      <c r="E9" s="29">
        <f>IF($D9="","","KW "&amp;WEEKNUM($D9,21))</f>
        <v/>
      </c>
      <c r="F9" s="26" t="n"/>
      <c r="G9" s="29" t="inlineStr">
        <is>
          <t>offen</t>
        </is>
      </c>
      <c r="H9" s="38" t="inlineStr">
        <is>
          <t>Stefan / Stephan</t>
        </is>
      </c>
      <c r="I9" s="41">
        <f>IF($G9="erledigt","✔",IF($D9="","",INT($D9)-TODAY()))</f>
        <v/>
      </c>
      <c r="J9" s="29" t="n"/>
      <c r="K9" s="38" t="inlineStr">
        <is>
          <t>eigene NDA, Partei MiT AG</t>
        </is>
      </c>
      <c r="L9">
        <f>IF(AND($G9&lt;&gt;"erledigt",$D9&lt;&gt;"",$D9&gt;=TODAY()),$D9+ROW()/10000,"")</f>
        <v/>
      </c>
    </row>
    <row r="10">
      <c r="A10" s="29" t="n">
        <v>9</v>
      </c>
      <c r="B10" s="38" t="inlineStr">
        <is>
          <t>Entsendemeldung Aggreko-Personal</t>
        </is>
      </c>
      <c r="C10" s="29" t="inlineStr">
        <is>
          <t>Vorbereitung</t>
        </is>
      </c>
      <c r="D10" s="26" t="n">
        <v>46227</v>
      </c>
      <c r="E10" s="29">
        <f>IF($D10="","","KW "&amp;WEEKNUM($D10,21))</f>
        <v/>
      </c>
      <c r="F10" s="26" t="n"/>
      <c r="G10" s="29" t="inlineStr">
        <is>
          <t>offen</t>
        </is>
      </c>
      <c r="H10" s="38" t="inlineStr">
        <is>
          <t>Aggreko</t>
        </is>
      </c>
      <c r="I10" s="41">
        <f>IF($G10="erledigt","✔",IF($D10="","",INT($D10)-TODAY()))</f>
        <v/>
      </c>
      <c r="J10" s="29" t="n">
        <v>7</v>
      </c>
      <c r="K10" s="38" t="inlineStr">
        <is>
          <t>gesetzlich spaetestens 26.07.</t>
        </is>
      </c>
      <c r="L10">
        <f>IF(AND($G10&lt;&gt;"erledigt",$D10&lt;&gt;"",$D10&gt;=TODAY()),$D10+ROW()/10000,"")</f>
        <v/>
      </c>
    </row>
    <row r="11">
      <c r="A11" s="29" t="n">
        <v>10</v>
      </c>
      <c r="B11" s="38" t="inlineStr">
        <is>
          <t>PO 49A/49B final signiert</t>
        </is>
      </c>
      <c r="C11" s="29" t="inlineStr">
        <is>
          <t>Vorbereitung</t>
        </is>
      </c>
      <c r="D11" s="26" t="n">
        <v>46227</v>
      </c>
      <c r="E11" s="29">
        <f>IF($D11="","","KW "&amp;WEEKNUM($D11,21))</f>
        <v/>
      </c>
      <c r="F11" s="26" t="n"/>
      <c r="G11" s="29" t="inlineStr">
        <is>
          <t>offen</t>
        </is>
      </c>
      <c r="H11" s="38" t="inlineStr">
        <is>
          <t>Stefan</t>
        </is>
      </c>
      <c r="I11" s="41">
        <f>IF($G11="erledigt","✔",IF($D11="","",INT($D11)-TODAY()))</f>
        <v/>
      </c>
      <c r="J11" s="29" t="n">
        <v>5</v>
      </c>
      <c r="K11" s="38" t="inlineStr">
        <is>
          <t>nach Korrekturliste; Long-Lead-Frist startet</t>
        </is>
      </c>
      <c r="L11">
        <f>IF(AND($G11&lt;&gt;"erledigt",$D11&lt;&gt;"",$D11&gt;=TODAY()),$D11+ROW()/10000,"")</f>
        <v/>
      </c>
    </row>
    <row r="12">
      <c r="A12" s="29" t="n">
        <v>11</v>
      </c>
      <c r="B12" s="38" t="inlineStr">
        <is>
          <t>Zollprozess DE-CH schriftlich bestaetigt</t>
        </is>
      </c>
      <c r="C12" s="29" t="inlineStr">
        <is>
          <t>Vorbereitung</t>
        </is>
      </c>
      <c r="D12" s="26" t="n">
        <v>46231</v>
      </c>
      <c r="E12" s="29">
        <f>IF($D12="","","KW "&amp;WEEKNUM($D12,21))</f>
        <v/>
      </c>
      <c r="F12" s="26" t="n"/>
      <c r="G12" s="29" t="inlineStr">
        <is>
          <t>offen</t>
        </is>
      </c>
      <c r="H12" s="38" t="inlineStr">
        <is>
          <t>Markus</t>
        </is>
      </c>
      <c r="I12" s="41">
        <f>IF($G12="erledigt","✔",IF($D12="","",INT($D12)-TODAY()))</f>
        <v/>
      </c>
      <c r="J12" s="29" t="n"/>
      <c r="K12" s="38" t="inlineStr">
        <is>
          <t>Equipment vs. Kraftstoff</t>
        </is>
      </c>
      <c r="L12">
        <f>IF(AND($G12&lt;&gt;"erledigt",$D12&lt;&gt;"",$D12&gt;=TODAY()),$D12+ROW()/10000,"")</f>
        <v/>
      </c>
    </row>
    <row r="13">
      <c r="A13" s="29" t="n">
        <v>12</v>
      </c>
      <c r="B13" s="38" t="inlineStr">
        <is>
          <t>WORKcontrol-Badges + Site Inductions + Kickoff-Meeting DPR</t>
        </is>
      </c>
      <c r="C13" s="29" t="inlineStr">
        <is>
          <t>Vorbereitung</t>
        </is>
      </c>
      <c r="D13" s="26" t="n">
        <v>46234</v>
      </c>
      <c r="E13" s="29">
        <f>IF($D13="","","KW "&amp;WEEKNUM($D13,21))</f>
        <v/>
      </c>
      <c r="F13" s="26" t="n"/>
      <c r="G13" s="29" t="inlineStr">
        <is>
          <t>offen</t>
        </is>
      </c>
      <c r="H13" s="38" t="inlineStr">
        <is>
          <t>Ann-Kathrin</t>
        </is>
      </c>
      <c r="I13" s="41">
        <f>IF($G13="erledigt","✔",IF($D13="","",INT($D13)-TODAY()))</f>
        <v/>
      </c>
      <c r="J13" s="29" t="n">
        <v>9</v>
      </c>
      <c r="K13" s="38" t="inlineStr">
        <is>
          <t>vor 03.08.</t>
        </is>
      </c>
      <c r="L13">
        <f>IF(AND($G13&lt;&gt;"erledigt",$D13&lt;&gt;"",$D13&gt;=TODAY()),$D13+ROW()/10000,"")</f>
        <v/>
      </c>
    </row>
    <row r="14">
      <c r="A14" s="29" t="n">
        <v>13</v>
      </c>
      <c r="B14" s="38" t="inlineStr">
        <is>
          <t>Lieferung Head-Load-Test</t>
        </is>
      </c>
      <c r="C14" s="29" t="inlineStr">
        <is>
          <t>Ausfuehrung</t>
        </is>
      </c>
      <c r="D14" s="26" t="n">
        <v>46237</v>
      </c>
      <c r="E14" s="29">
        <f>IF($D14="","","KW "&amp;WEEKNUM($D14,21))</f>
        <v/>
      </c>
      <c r="F14" s="26" t="n"/>
      <c r="G14" s="29" t="inlineStr">
        <is>
          <t>offen</t>
        </is>
      </c>
      <c r="H14" s="38" t="inlineStr">
        <is>
          <t>Aggreko</t>
        </is>
      </c>
      <c r="I14" s="41">
        <f>IF($G14="erledigt","✔",IF($D14="","",INT($D14)-TODAY()))</f>
        <v/>
      </c>
      <c r="J14" s="29" t="n">
        <v>12</v>
      </c>
      <c r="K14" s="38" t="inlineStr">
        <is>
          <t>54x 200 kW</t>
        </is>
      </c>
      <c r="L14">
        <f>IF(AND($G14&lt;&gt;"erledigt",$D14&lt;&gt;"",$D14&gt;=TODAY()),$D14+ROW()/10000,"")</f>
        <v/>
      </c>
    </row>
    <row r="15">
      <c r="A15" s="29" t="n">
        <v>14</v>
      </c>
      <c r="B15" s="38" t="inlineStr">
        <is>
          <t>Site Setup &amp; Einweisung Headloads</t>
        </is>
      </c>
      <c r="C15" s="29" t="inlineStr">
        <is>
          <t>Ausfuehrung</t>
        </is>
      </c>
      <c r="D15" s="26" t="n">
        <v>46239</v>
      </c>
      <c r="E15" s="29">
        <f>IF($D15="","","KW "&amp;WEEKNUM($D15,21))</f>
        <v/>
      </c>
      <c r="F15" s="26" t="n"/>
      <c r="G15" s="29" t="inlineStr">
        <is>
          <t>offen</t>
        </is>
      </c>
      <c r="H15" s="38" t="inlineStr">
        <is>
          <t>Aggreko / MiT</t>
        </is>
      </c>
      <c r="I15" s="41">
        <f>IF($G15="erledigt","✔",IF($D15="","",INT($D15)-TODAY()))</f>
        <v/>
      </c>
      <c r="J15" s="29" t="n">
        <v>13</v>
      </c>
      <c r="K15" s="38" t="inlineStr"/>
      <c r="L15">
        <f>IF(AND($G15&lt;&gt;"erledigt",$D15&lt;&gt;"",$D15&gt;=TODAY()),$D15+ROW()/10000,"")</f>
        <v/>
      </c>
    </row>
    <row r="16">
      <c r="A16" s="29" t="n">
        <v>15</v>
      </c>
      <c r="B16" s="38" t="inlineStr">
        <is>
          <t>Testbeginn Heat-Load</t>
        </is>
      </c>
      <c r="C16" s="29" t="inlineStr">
        <is>
          <t>Ausfuehrung</t>
        </is>
      </c>
      <c r="D16" s="26" t="n">
        <v>46244</v>
      </c>
      <c r="E16" s="29">
        <f>IF($D16="","","KW "&amp;WEEKNUM($D16,21))</f>
        <v/>
      </c>
      <c r="F16" s="26" t="n"/>
      <c r="G16" s="29" t="inlineStr">
        <is>
          <t>offen</t>
        </is>
      </c>
      <c r="H16" s="38" t="inlineStr">
        <is>
          <t>Burak / Samuel</t>
        </is>
      </c>
      <c r="I16" s="41">
        <f>IF($G16="erledigt","✔",IF($D16="","",INT($D16)-TODAY()))</f>
        <v/>
      </c>
      <c r="J16" s="29" t="n">
        <v>14</v>
      </c>
      <c r="K16" s="38" t="inlineStr"/>
      <c r="L16">
        <f>IF(AND($G16&lt;&gt;"erledigt",$D16&lt;&gt;"",$D16&gt;=TODAY()),$D16+ROW()/10000,"")</f>
        <v/>
      </c>
    </row>
    <row r="17">
      <c r="A17" s="29" t="n">
        <v>16</v>
      </c>
      <c r="B17" s="38" t="inlineStr">
        <is>
          <t>Abruf 3-MW-Block</t>
        </is>
      </c>
      <c r="C17" s="29" t="inlineStr">
        <is>
          <t>Ausfuehrung</t>
        </is>
      </c>
      <c r="D17" s="26" t="n">
        <v>46248</v>
      </c>
      <c r="E17" s="29">
        <f>IF($D17="","","KW "&amp;WEEKNUM($D17,21))</f>
        <v/>
      </c>
      <c r="F17" s="26" t="n"/>
      <c r="G17" s="29" t="inlineStr">
        <is>
          <t>offen</t>
        </is>
      </c>
      <c r="H17" s="38" t="inlineStr">
        <is>
          <t>Burak</t>
        </is>
      </c>
      <c r="I17" s="41">
        <f>IF($G17="erledigt","✔",IF($D17="","",INT($D17)-TODAY()))</f>
        <v/>
      </c>
      <c r="J17" s="29" t="n">
        <v>15</v>
      </c>
      <c r="K17" s="38" t="inlineStr">
        <is>
          <t>Mitte August</t>
        </is>
      </c>
      <c r="L17">
        <f>IF(AND($G17&lt;&gt;"erledigt",$D17&lt;&gt;"",$D17&gt;=TODAY()),$D17+ROW()/10000,"")</f>
        <v/>
      </c>
    </row>
    <row r="18">
      <c r="A18" s="29" t="n">
        <v>17</v>
      </c>
      <c r="B18" s="38" t="inlineStr">
        <is>
          <t>Lieferung Loadbank 6 MVA</t>
        </is>
      </c>
      <c r="C18" s="29" t="inlineStr">
        <is>
          <t>Ausfuehrung</t>
        </is>
      </c>
      <c r="D18" s="26" t="n">
        <v>46251</v>
      </c>
      <c r="E18" s="29">
        <f>IF($D18="","","KW "&amp;WEEKNUM($D18,21))</f>
        <v/>
      </c>
      <c r="F18" s="26" t="n"/>
      <c r="G18" s="29" t="inlineStr">
        <is>
          <t>offen</t>
        </is>
      </c>
      <c r="H18" s="38" t="inlineStr">
        <is>
          <t>Aggreko</t>
        </is>
      </c>
      <c r="I18" s="41">
        <f>IF($G18="erledigt","✔",IF($D18="","",INT($D18)-TODAY()))</f>
        <v/>
      </c>
      <c r="J18" s="29" t="n">
        <v>12</v>
      </c>
      <c r="K18" s="38" t="inlineStr"/>
      <c r="L18">
        <f>IF(AND($G18&lt;&gt;"erledigt",$D18&lt;&gt;"",$D18&gt;=TODAY()),$D18+ROW()/10000,"")</f>
        <v/>
      </c>
    </row>
    <row r="19">
      <c r="A19" s="29" t="n">
        <v>18</v>
      </c>
      <c r="B19" s="38" t="inlineStr">
        <is>
          <t>Testbeginn Loadbank</t>
        </is>
      </c>
      <c r="C19" s="29" t="inlineStr">
        <is>
          <t>Ausfuehrung</t>
        </is>
      </c>
      <c r="D19" s="26" t="n">
        <v>46253</v>
      </c>
      <c r="E19" s="29">
        <f>IF($D19="","","KW "&amp;WEEKNUM($D19,21))</f>
        <v/>
      </c>
      <c r="F19" s="26" t="n"/>
      <c r="G19" s="29" t="inlineStr">
        <is>
          <t>offen</t>
        </is>
      </c>
      <c r="H19" s="38" t="inlineStr">
        <is>
          <t>Burak / Samuel</t>
        </is>
      </c>
      <c r="I19" s="41">
        <f>IF($G19="erledigt","✔",IF($D19="","",INT($D19)-TODAY()))</f>
        <v/>
      </c>
      <c r="J19" s="29" t="n">
        <v>17</v>
      </c>
      <c r="K19" s="38" t="inlineStr"/>
      <c r="L19">
        <f>IF(AND($G19&lt;&gt;"erledigt",$D19&lt;&gt;"",$D19&gt;=TODAY()),$D19+ROW()/10000,"")</f>
        <v/>
      </c>
    </row>
    <row r="20">
      <c r="A20" s="29" t="n">
        <v>19</v>
      </c>
      <c r="B20" s="38" t="inlineStr">
        <is>
          <t>Abruf 5-MW-Block</t>
        </is>
      </c>
      <c r="C20" s="29" t="inlineStr">
        <is>
          <t>Ausfuehrung</t>
        </is>
      </c>
      <c r="D20" s="26" t="n">
        <v>46273</v>
      </c>
      <c r="E20" s="29">
        <f>IF($D20="","","KW "&amp;WEEKNUM($D20,21))</f>
        <v/>
      </c>
      <c r="F20" s="26" t="n"/>
      <c r="G20" s="29" t="inlineStr">
        <is>
          <t>offen</t>
        </is>
      </c>
      <c r="H20" s="38" t="inlineStr">
        <is>
          <t>Burak</t>
        </is>
      </c>
      <c r="I20" s="41">
        <f>IF($G20="erledigt","✔",IF($D20="","",INT($D20)-TODAY()))</f>
        <v/>
      </c>
      <c r="J20" s="29" t="n">
        <v>16</v>
      </c>
      <c r="K20" s="38" t="inlineStr">
        <is>
          <t>2. September-Woche</t>
        </is>
      </c>
      <c r="L20">
        <f>IF(AND($G20&lt;&gt;"erledigt",$D20&lt;&gt;"",$D20&gt;=TODAY()),$D20+ROW()/10000,"")</f>
        <v/>
      </c>
    </row>
    <row r="21">
      <c r="A21" s="29" t="n">
        <v>20</v>
      </c>
      <c r="B21" s="38" t="inlineStr">
        <is>
          <t>Zwischenstand / Review mit DPR</t>
        </is>
      </c>
      <c r="C21" s="29" t="inlineStr">
        <is>
          <t>Ausfuehrung</t>
        </is>
      </c>
      <c r="D21" s="26" t="n">
        <v>46295</v>
      </c>
      <c r="E21" s="29">
        <f>IF($D21="","","KW "&amp;WEEKNUM($D21,21))</f>
        <v/>
      </c>
      <c r="F21" s="26" t="n"/>
      <c r="G21" s="29" t="inlineStr">
        <is>
          <t>offen</t>
        </is>
      </c>
      <c r="H21" s="38" t="inlineStr">
        <is>
          <t>Burak</t>
        </is>
      </c>
      <c r="I21" s="41">
        <f>IF($G21="erledigt","✔",IF($D21="","",INT($D21)-TODAY()))</f>
        <v/>
      </c>
      <c r="J21" s="29" t="n"/>
      <c r="K21" s="38" t="inlineStr">
        <is>
          <t>Quartalsende</t>
        </is>
      </c>
      <c r="L21">
        <f>IF(AND($G21&lt;&gt;"erledigt",$D21&lt;&gt;"",$D21&gt;=TODAY()),$D21+ROW()/10000,"")</f>
        <v/>
      </c>
    </row>
    <row r="22">
      <c r="A22" s="29" t="n">
        <v>21</v>
      </c>
      <c r="B22" s="38" t="inlineStr">
        <is>
          <t>Mietende Loadbank</t>
        </is>
      </c>
      <c r="C22" s="29" t="inlineStr">
        <is>
          <t>Ausfuehrung</t>
        </is>
      </c>
      <c r="D22" s="26" t="n">
        <v>46328</v>
      </c>
      <c r="E22" s="29">
        <f>IF($D22="","","KW "&amp;WEEKNUM($D22,21))</f>
        <v/>
      </c>
      <c r="F22" s="26" t="n"/>
      <c r="G22" s="29" t="inlineStr">
        <is>
          <t>offen</t>
        </is>
      </c>
      <c r="H22" s="38" t="inlineStr">
        <is>
          <t>Burak / Samuel</t>
        </is>
      </c>
      <c r="I22" s="41">
        <f>IF($G22="erledigt","✔",IF($D22="","",INT($D22)-TODAY()))</f>
        <v/>
      </c>
      <c r="J22" s="29" t="n">
        <v>18</v>
      </c>
      <c r="K22" s="38" t="inlineStr">
        <is>
          <t>Datum strittig - PO-Fehler</t>
        </is>
      </c>
      <c r="L22">
        <f>IF(AND($G22&lt;&gt;"erledigt",$D22&lt;&gt;"",$D22&gt;=TODAY()),$D22+ROW()/10000,"")</f>
        <v/>
      </c>
    </row>
    <row r="23">
      <c r="A23" s="29" t="n">
        <v>22</v>
      </c>
      <c r="B23" s="38" t="inlineStr">
        <is>
          <t>Closeout-Paket EN+DE an DPR</t>
        </is>
      </c>
      <c r="C23" s="29" t="inlineStr">
        <is>
          <t>Abschluss</t>
        </is>
      </c>
      <c r="D23" s="26" t="n">
        <v>46356</v>
      </c>
      <c r="E23" s="29">
        <f>IF($D23="","","KW "&amp;WEEKNUM($D23,21))</f>
        <v/>
      </c>
      <c r="F23" s="26" t="n"/>
      <c r="G23" s="29" t="inlineStr">
        <is>
          <t>offen</t>
        </is>
      </c>
      <c r="H23" s="38" t="inlineStr">
        <is>
          <t>Burak / Stephan</t>
        </is>
      </c>
      <c r="I23" s="41">
        <f>IF($G23="erledigt","✔",IF($D23="","",INT($D23)-TODAY()))</f>
        <v/>
      </c>
      <c r="J23" s="29" t="n">
        <v>20</v>
      </c>
      <c r="K23" s="38" t="inlineStr">
        <is>
          <t>15 Tage vor Leistungsende</t>
        </is>
      </c>
      <c r="L23">
        <f>IF(AND($G23&lt;&gt;"erledigt",$D23&lt;&gt;"",$D23&gt;=TODAY()),$D23+ROW()/10000,"")</f>
        <v/>
      </c>
    </row>
    <row r="24">
      <c r="A24" s="29" t="n">
        <v>23</v>
      </c>
      <c r="B24" s="38" t="inlineStr">
        <is>
          <t>Mietende Headloads</t>
        </is>
      </c>
      <c r="C24" s="29" t="inlineStr">
        <is>
          <t>Ausfuehrung</t>
        </is>
      </c>
      <c r="D24" s="26" t="n">
        <v>46367</v>
      </c>
      <c r="E24" s="29">
        <f>IF($D24="","","KW "&amp;WEEKNUM($D24,21))</f>
        <v/>
      </c>
      <c r="F24" s="26" t="n"/>
      <c r="G24" s="29" t="inlineStr">
        <is>
          <t>offen</t>
        </is>
      </c>
      <c r="H24" s="38" t="inlineStr">
        <is>
          <t>Burak / Samuel</t>
        </is>
      </c>
      <c r="I24" s="41">
        <f>IF($G24="erledigt","✔",IF($D24="","",INT($D24)-TODAY()))</f>
        <v/>
      </c>
      <c r="J24" s="29" t="n">
        <v>15</v>
      </c>
      <c r="K24" s="38" t="inlineStr"/>
      <c r="L24">
        <f>IF(AND($G24&lt;&gt;"erledigt",$D24&lt;&gt;"",$D24&gt;=TODAY()),$D24+ROW()/10000,"")</f>
        <v/>
      </c>
    </row>
    <row r="25">
      <c r="A25" s="29" t="n">
        <v>24</v>
      </c>
      <c r="B25" s="38" t="inlineStr">
        <is>
          <t>Demontage</t>
        </is>
      </c>
      <c r="C25" s="29" t="inlineStr">
        <is>
          <t>Abschluss</t>
        </is>
      </c>
      <c r="D25" s="26" t="n">
        <v>46370</v>
      </c>
      <c r="E25" s="29">
        <f>IF($D25="","","KW "&amp;WEEKNUM($D25,21))</f>
        <v/>
      </c>
      <c r="F25" s="26" t="n"/>
      <c r="G25" s="29" t="inlineStr">
        <is>
          <t>offen</t>
        </is>
      </c>
      <c r="H25" s="38" t="inlineStr">
        <is>
          <t>Aggreko / MiT</t>
        </is>
      </c>
      <c r="I25" s="41">
        <f>IF($G25="erledigt","✔",IF($D25="","",INT($D25)-TODAY()))</f>
        <v/>
      </c>
      <c r="J25" s="29" t="n">
        <v>23</v>
      </c>
      <c r="K25" s="38" t="inlineStr"/>
      <c r="L25">
        <f>IF(AND($G25&lt;&gt;"erledigt",$D25&lt;&gt;"",$D25&gt;=TODAY()),$D25+ROW()/10000,"")</f>
        <v/>
      </c>
    </row>
    <row r="26">
      <c r="A26" s="29" t="n">
        <v>25</v>
      </c>
      <c r="B26" s="38" t="inlineStr">
        <is>
          <t>Abnahme &amp; Restpunkte mit DPR</t>
        </is>
      </c>
      <c r="C26" s="29" t="inlineStr">
        <is>
          <t>Abschluss</t>
        </is>
      </c>
      <c r="D26" s="26" t="n">
        <v>46371</v>
      </c>
      <c r="E26" s="29">
        <f>IF($D26="","","KW "&amp;WEEKNUM($D26,21))</f>
        <v/>
      </c>
      <c r="F26" s="26" t="n"/>
      <c r="G26" s="29" t="inlineStr">
        <is>
          <t>offen</t>
        </is>
      </c>
      <c r="H26" s="38" t="inlineStr">
        <is>
          <t>Burak</t>
        </is>
      </c>
      <c r="I26" s="41">
        <f>IF($G26="erledigt","✔",IF($D26="","",INT($D26)-TODAY()))</f>
        <v/>
      </c>
      <c r="J26" s="29" t="n">
        <v>24</v>
      </c>
      <c r="K26" s="38" t="inlineStr"/>
      <c r="L26">
        <f>IF(AND($G26&lt;&gt;"erledigt",$D26&lt;&gt;"",$D26&gt;=TODAY()),$D26+ROW()/10000,"")</f>
        <v/>
      </c>
    </row>
  </sheetData>
  <conditionalFormatting sqref="G2:G26">
    <cfRule type="cellIs" priority="1" operator="equal" dxfId="3">
      <formula>"erledigt"</formula>
    </cfRule>
    <cfRule type="cellIs" priority="2" operator="equal" dxfId="4">
      <formula>"kritisch"</formula>
    </cfRule>
    <cfRule type="cellIs" priority="3" operator="equal" dxfId="5">
      <formula>"in Arbeit"</formula>
    </cfRule>
    <cfRule type="cellIs" priority="4" operator="equal" dxfId="6">
      <formula>"verschoben"</formula>
    </cfRule>
  </conditionalFormatting>
  <conditionalFormatting sqref="C2:C26">
    <cfRule type="cellIs" priority="5" operator="equal" dxfId="8">
      <formula>"Vorbereitung"</formula>
    </cfRule>
    <cfRule type="cellIs" priority="6" operator="equal" dxfId="9">
      <formula>"Ausfuehrung"</formula>
    </cfRule>
    <cfRule type="cellIs" priority="7" operator="equal" dxfId="10">
      <formula>"Abschluss"</formula>
    </cfRule>
  </conditionalFormatting>
  <conditionalFormatting sqref="D2:D26">
    <cfRule type="expression" priority="8" dxfId="6">
      <formula>AND($D2&lt;TODAY(),$G2&lt;&gt;"erledigt",$D2&lt;&gt;"")</formula>
    </cfRule>
  </conditionalFormatting>
  <conditionalFormatting sqref="I2:I26">
    <cfRule type="cellIs" priority="9" operator="lessThanOrEqual" dxfId="11">
      <formula>3</formula>
    </cfRule>
    <cfRule type="cellIs" priority="10" operator="lessThanOrEqual" dxfId="6">
      <formula>10</formula>
    </cfRule>
  </conditionalFormatting>
  <conditionalFormatting sqref="B2:B26">
    <cfRule type="expression" priority="11" dxfId="11">
      <formula>AND($J2&lt;&gt;"",IFERROR(OR(INDEX($G$2:$G$26,MATCH($J2,$A$2:$A$26,0))="kritisch",INDEX($G$2:$G$26,MATCH($J2,$A$2:$A$26,0))="verschoben"),FALSE))</formula>
    </cfRule>
  </conditionalFormatting>
  <conditionalFormatting sqref="J2:J26">
    <cfRule type="expression" priority="12" dxfId="11">
      <formula>AND($J2&lt;&gt;"",IFERROR(OR(INDEX($G$2:$G$26,MATCH($J2,$A$2:$A$26,0))="kritisch",INDEX($G$2:$G$26,MATCH($J2,$A$2:$A$26,0))="verschoben"),FALSE))</formula>
    </cfRule>
  </conditionalFormatting>
  <dataValidations count="3">
    <dataValidation sqref="C2:C26" showDropDown="0" showInputMessage="0" showErrorMessage="0" allowBlank="1" errorTitle="Ungueltige Eingabe" error="Bitte einen Wert aus der Liste waehlen." prompt="Wert aus Dropdown waehlen" type="list">
      <formula1>"Vorbereitung,Ausfuehrung,Abschluss"</formula1>
    </dataValidation>
    <dataValidation sqref="G2:G26" showDropDown="0" showInputMessage="0" showErrorMessage="0" allowBlank="1" errorTitle="Ungueltige Eingabe" error="Bitte einen Wert aus der Liste waehlen." prompt="Wert aus Dropdown waehlen" type="list">
      <formula1>"offen,in Arbeit,erledigt,verschoben,kritisch"</formula1>
    </dataValidation>
    <dataValidation sqref="H2:H26" showDropDown="0" showInputMessage="0" showErrorMessage="0" allowBlank="1" errorTitle="Ungueltige Eingabe" error="Bitte einen Wert aus der Liste waehlen." prompt="Wert aus Dropdown waehlen" type="list">
      <formula1>"Burak,Stefan,Markus,Ann-Kathrin,Sarah,Samuel,Stephan Marty,Olli,Aggreko,DPR,MiT,Burak / Stephan,Burak / Samuel,Stefan / Stephan,Ann-Kathrin &amp; Markus,Aggreko / MiT"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 fitToPage="1"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8" customWidth="1" min="4" max="4"/>
    <col width="14" customWidth="1" min="5" max="5"/>
    <col width="13" customWidth="1" min="6" max="6"/>
    <col width="12" customWidth="1" min="7" max="7"/>
    <col width="36" customWidth="1" min="8" max="8"/>
    <col width="14" customWidth="1" min="9" max="9"/>
  </cols>
  <sheetData>
    <row r="1">
      <c r="A1" s="23" t="inlineStr">
        <is>
          <t>Nr.</t>
        </is>
      </c>
      <c r="B1" s="23" t="inlineStr">
        <is>
          <t>Aufgabe</t>
        </is>
      </c>
      <c r="C1" s="23" t="inlineStr">
        <is>
          <t>Paket</t>
        </is>
      </c>
      <c r="D1" s="23" t="inlineStr">
        <is>
          <t>Owner</t>
        </is>
      </c>
      <c r="E1" s="23" t="inlineStr">
        <is>
          <t>Termin</t>
        </is>
      </c>
      <c r="F1" s="23" t="inlineStr">
        <is>
          <t>Status</t>
        </is>
      </c>
      <c r="G1" s="23" t="inlineStr">
        <is>
          <t>Prioritaet</t>
        </is>
      </c>
      <c r="H1" s="23" t="inlineStr">
        <is>
          <t>Bemerkung</t>
        </is>
      </c>
      <c r="I1" s="23" t="inlineStr">
        <is>
          <t>Erledigt am</t>
        </is>
      </c>
    </row>
    <row r="2">
      <c r="A2" s="29" t="n">
        <v>1</v>
      </c>
      <c r="B2" s="38" t="inlineStr">
        <is>
          <t>Versicherungsnachweis via Finance beschaffen</t>
        </is>
      </c>
      <c r="C2" s="29" t="inlineStr">
        <is>
          <t>Admin</t>
        </is>
      </c>
      <c r="D2" s="38" t="inlineStr">
        <is>
          <t>Markus</t>
        </is>
      </c>
      <c r="E2" s="26" t="n">
        <v>46219</v>
      </c>
      <c r="F2" s="29" t="inlineStr">
        <is>
          <t>offen</t>
        </is>
      </c>
      <c r="G2" s="29" t="inlineStr">
        <is>
          <t>hoch</t>
        </is>
      </c>
      <c r="H2" s="38" t="inlineStr"/>
      <c r="I2" s="26" t="n"/>
    </row>
    <row r="3">
      <c r="A3" s="29" t="n">
        <v>2</v>
      </c>
      <c r="B3" s="38" t="inlineStr">
        <is>
          <t>Zollprozess DE-CH schriftlich klaeren (Kostentraeger; Equipment voruebergehende Verwendung vs. Kraftstoff definitive Einfuhr)</t>
        </is>
      </c>
      <c r="C3" s="29" t="inlineStr">
        <is>
          <t>Admin</t>
        </is>
      </c>
      <c r="D3" s="38" t="inlineStr">
        <is>
          <t>Markus</t>
        </is>
      </c>
      <c r="E3" s="26" t="n">
        <v>46220</v>
      </c>
      <c r="F3" s="29" t="inlineStr">
        <is>
          <t>offen</t>
        </is>
      </c>
      <c r="G3" s="29" t="inlineStr">
        <is>
          <t>hoch</t>
        </is>
      </c>
      <c r="H3" s="38" t="inlineStr"/>
      <c r="I3" s="26" t="n"/>
    </row>
    <row r="4">
      <c r="A4" s="29" t="n">
        <v>3</v>
      </c>
      <c r="B4" s="38" t="inlineStr">
        <is>
          <t>Deckungssummen bei Roxana Minor erfragen</t>
        </is>
      </c>
      <c r="C4" s="29" t="inlineStr">
        <is>
          <t>Admin</t>
        </is>
      </c>
      <c r="D4" s="38" t="inlineStr">
        <is>
          <t>Markus</t>
        </is>
      </c>
      <c r="E4" s="26" t="n">
        <v>46220</v>
      </c>
      <c r="F4" s="29" t="inlineStr">
        <is>
          <t>offen</t>
        </is>
      </c>
      <c r="G4" s="29" t="inlineStr">
        <is>
          <t>mittel</t>
        </is>
      </c>
      <c r="H4" s="38" t="inlineStr"/>
      <c r="I4" s="26" t="n"/>
    </row>
    <row r="5">
      <c r="A5" s="29" t="n">
        <v>4</v>
      </c>
      <c r="B5" s="38" t="inlineStr">
        <is>
          <t>HR-Auszug nachfassen</t>
        </is>
      </c>
      <c r="C5" s="29" t="inlineStr">
        <is>
          <t>Admin</t>
        </is>
      </c>
      <c r="D5" s="38" t="inlineStr">
        <is>
          <t>Ann-Kathrin</t>
        </is>
      </c>
      <c r="E5" s="26" t="n">
        <v>46219</v>
      </c>
      <c r="F5" s="29" t="inlineStr">
        <is>
          <t>offen</t>
        </is>
      </c>
      <c r="G5" s="29" t="inlineStr">
        <is>
          <t>hoch</t>
        </is>
      </c>
      <c r="H5" s="38" t="inlineStr"/>
      <c r="I5" s="26" t="n"/>
    </row>
    <row r="6">
      <c r="A6" s="29" t="n">
        <v>5</v>
      </c>
      <c r="B6" s="38" t="inlineStr">
        <is>
          <t>Beide Angebote im MiT-Layout aufbereiten</t>
        </is>
      </c>
      <c r="C6" s="29" t="inlineStr">
        <is>
          <t>beide</t>
        </is>
      </c>
      <c r="D6" s="38" t="inlineStr">
        <is>
          <t>Ann-Kathrin</t>
        </is>
      </c>
      <c r="E6" s="26" t="n">
        <v>46220</v>
      </c>
      <c r="F6" s="29" t="inlineStr">
        <is>
          <t>offen</t>
        </is>
      </c>
      <c r="G6" s="29" t="inlineStr">
        <is>
          <t>mittel</t>
        </is>
      </c>
      <c r="H6" s="38" t="inlineStr">
        <is>
          <t>P-640380-3 / P-650395-2</t>
        </is>
      </c>
      <c r="I6" s="26" t="n"/>
    </row>
    <row r="7">
      <c r="A7" s="29" t="n">
        <v>6</v>
      </c>
      <c r="B7" s="38" t="inlineStr">
        <is>
          <t>WORKcontrol-Registrierung MiT</t>
        </is>
      </c>
      <c r="C7" s="29" t="inlineStr">
        <is>
          <t>Admin</t>
        </is>
      </c>
      <c r="D7" s="38" t="inlineStr">
        <is>
          <t>Ann-Kathrin</t>
        </is>
      </c>
      <c r="E7" s="26" t="n">
        <v>46227</v>
      </c>
      <c r="F7" s="29" t="inlineStr">
        <is>
          <t>offen</t>
        </is>
      </c>
      <c r="G7" s="29" t="inlineStr">
        <is>
          <t>hoch</t>
        </is>
      </c>
      <c r="H7" s="38" t="inlineStr">
        <is>
          <t>vor Badges; CHF 25/Person Erstanmeldung</t>
        </is>
      </c>
      <c r="I7" s="26" t="n"/>
    </row>
    <row r="8">
      <c r="A8" s="29" t="n">
        <v>7</v>
      </c>
      <c r="B8" s="38" t="inlineStr">
        <is>
          <t>Versand Gesamtpaket an Roxana Minor (Tanya cc)</t>
        </is>
      </c>
      <c r="C8" s="29" t="inlineStr">
        <is>
          <t>Admin</t>
        </is>
      </c>
      <c r="D8" s="38" t="inlineStr">
        <is>
          <t>Ann-Kathrin</t>
        </is>
      </c>
      <c r="E8" s="40" t="n">
        <v>46219.5</v>
      </c>
      <c r="F8" s="29" t="inlineStr">
        <is>
          <t>offen</t>
        </is>
      </c>
      <c r="G8" s="29" t="inlineStr">
        <is>
          <t>hoch</t>
        </is>
      </c>
      <c r="H8" s="38" t="inlineStr"/>
      <c r="I8" s="26" t="n"/>
    </row>
    <row r="9">
      <c r="A9" s="29" t="n">
        <v>8</v>
      </c>
      <c r="B9" s="38" t="inlineStr">
        <is>
          <t>Unterschriften leisten (Diessenhofen)</t>
        </is>
      </c>
      <c r="C9" s="29" t="inlineStr">
        <is>
          <t>Admin</t>
        </is>
      </c>
      <c r="D9" s="38" t="inlineStr">
        <is>
          <t>Stefan</t>
        </is>
      </c>
      <c r="E9" s="26" t="n">
        <v>46219</v>
      </c>
      <c r="F9" s="29" t="inlineStr">
        <is>
          <t>offen</t>
        </is>
      </c>
      <c r="G9" s="29" t="inlineStr">
        <is>
          <t>hoch</t>
        </is>
      </c>
      <c r="H9" s="38" t="inlineStr">
        <is>
          <t>Donnerstag nachmittags</t>
        </is>
      </c>
      <c r="I9" s="26" t="n"/>
    </row>
    <row r="10">
      <c r="A10" s="29" t="n">
        <v>9</v>
      </c>
      <c r="B10" s="38" t="inlineStr">
        <is>
          <t>Entscheid EUR/CHF-Kurs und Absicherung mit Olli</t>
        </is>
      </c>
      <c r="C10" s="29" t="inlineStr">
        <is>
          <t>Admin</t>
        </is>
      </c>
      <c r="D10" s="38" t="inlineStr">
        <is>
          <t>Stefan</t>
        </is>
      </c>
      <c r="E10" s="26" t="n">
        <v>46220</v>
      </c>
      <c r="F10" s="29" t="inlineStr">
        <is>
          <t>offen</t>
        </is>
      </c>
      <c r="G10" s="29" t="inlineStr">
        <is>
          <t>hoch</t>
        </is>
      </c>
      <c r="H10" s="38" t="inlineStr">
        <is>
          <t>FX-Risiko</t>
        </is>
      </c>
      <c r="I10" s="26" t="n"/>
    </row>
    <row r="11">
      <c r="A11" s="29" t="n">
        <v>10</v>
      </c>
      <c r="B11" s="38" t="inlineStr">
        <is>
          <t>Verhandlungslinie Korrekturliste festlegen</t>
        </is>
      </c>
      <c r="C11" s="29" t="inlineStr">
        <is>
          <t>beide</t>
        </is>
      </c>
      <c r="D11" s="38" t="inlineStr">
        <is>
          <t>Stefan</t>
        </is>
      </c>
      <c r="E11" s="26" t="n">
        <v>46220</v>
      </c>
      <c r="F11" s="29" t="inlineStr">
        <is>
          <t>offen</t>
        </is>
      </c>
      <c r="G11" s="29" t="inlineStr">
        <is>
          <t>hoch</t>
        </is>
      </c>
      <c r="H11" s="38" t="inlineStr"/>
      <c r="I11" s="26" t="n"/>
    </row>
    <row r="12">
      <c r="A12" s="29" t="n">
        <v>11</v>
      </c>
      <c r="B12" s="38" t="inlineStr">
        <is>
          <t>bSuite-Anlage + Intercompany-Beauftragung Aggreko (Back-to-Back)</t>
        </is>
      </c>
      <c r="C12" s="29" t="inlineStr">
        <is>
          <t>beide</t>
        </is>
      </c>
      <c r="D12" s="38" t="inlineStr">
        <is>
          <t>Sarah</t>
        </is>
      </c>
      <c r="E12" s="26" t="n">
        <v>46219</v>
      </c>
      <c r="F12" s="29" t="inlineStr">
        <is>
          <t>offen</t>
        </is>
      </c>
      <c r="G12" s="29" t="inlineStr">
        <is>
          <t>hoch</t>
        </is>
      </c>
      <c r="H12" s="38" t="inlineStr"/>
      <c r="I12" s="26" t="n"/>
    </row>
    <row r="13">
      <c r="A13" s="29" t="n">
        <v>12</v>
      </c>
      <c r="B13" s="38" t="inlineStr">
        <is>
          <t>RAMS-Praxischeck: Anlieferung/8-t-Kranhub, Installation, Testbetrieb, Betankung/Leckage, Demobilisierung</t>
        </is>
      </c>
      <c r="C13" s="29" t="inlineStr">
        <is>
          <t>beide</t>
        </is>
      </c>
      <c r="D13" s="38" t="inlineStr">
        <is>
          <t>Samuel</t>
        </is>
      </c>
      <c r="E13" s="26" t="n">
        <v>46223</v>
      </c>
      <c r="F13" s="29" t="inlineStr">
        <is>
          <t>offen</t>
        </is>
      </c>
      <c r="G13" s="29" t="inlineStr">
        <is>
          <t>hoch</t>
        </is>
      </c>
      <c r="H13" s="38" t="inlineStr">
        <is>
          <t>5 Taetigkeiten, Hammertech</t>
        </is>
      </c>
      <c r="I13" s="26" t="n"/>
    </row>
    <row r="14">
      <c r="A14" s="29" t="n">
        <v>13</v>
      </c>
      <c r="B14" s="38" t="inlineStr">
        <is>
          <t>PO-Korrekturliste erstellen und einreichen</t>
        </is>
      </c>
      <c r="C14" s="29" t="inlineStr">
        <is>
          <t>beide</t>
        </is>
      </c>
      <c r="D14" s="38" t="inlineStr">
        <is>
          <t>Burak / Stephan</t>
        </is>
      </c>
      <c r="E14" s="26" t="n">
        <v>46220</v>
      </c>
      <c r="F14" s="29" t="inlineStr">
        <is>
          <t>offen</t>
        </is>
      </c>
      <c r="G14" s="29" t="inlineStr">
        <is>
          <t>hoch</t>
        </is>
      </c>
      <c r="H14" s="38" t="inlineStr">
        <is>
          <t>49A 78/110 Tage; 49B 131/110 Tage</t>
        </is>
      </c>
      <c r="I14" s="26" t="n"/>
    </row>
    <row r="15">
      <c r="A15" s="29" t="n">
        <v>14</v>
      </c>
      <c r="B15" s="38" t="inlineStr">
        <is>
          <t>Schriftliche Aggreko-Terminbestaetigung 03.08. / 17.08. einholen</t>
        </is>
      </c>
      <c r="C15" s="29" t="inlineStr">
        <is>
          <t>beide</t>
        </is>
      </c>
      <c r="D15" s="38" t="inlineStr">
        <is>
          <t>Burak</t>
        </is>
      </c>
      <c r="E15" s="26" t="n">
        <v>46223</v>
      </c>
      <c r="F15" s="29" t="inlineStr">
        <is>
          <t>offen</t>
        </is>
      </c>
      <c r="G15" s="29" t="inlineStr">
        <is>
          <t>hoch</t>
        </is>
      </c>
      <c r="H15" s="38" t="inlineStr"/>
      <c r="I15" s="26" t="n"/>
    </row>
    <row r="16">
      <c r="A16" s="29" t="n">
        <v>15</v>
      </c>
      <c r="B16" s="38" t="inlineStr">
        <is>
          <t>Staffelungs-Fakturierung klaeren (5-MW-Block ab Abruf oder Mietbeginn?)</t>
        </is>
      </c>
      <c r="C16" s="29" t="inlineStr">
        <is>
          <t>beide</t>
        </is>
      </c>
      <c r="D16" s="38" t="inlineStr">
        <is>
          <t>Burak</t>
        </is>
      </c>
      <c r="E16" s="26" t="n">
        <v>46227</v>
      </c>
      <c r="F16" s="29" t="inlineStr">
        <is>
          <t>offen</t>
        </is>
      </c>
      <c r="G16" s="29" t="inlineStr">
        <is>
          <t>mittel</t>
        </is>
      </c>
      <c r="H16" s="38" t="inlineStr"/>
      <c r="I16" s="26" t="n"/>
    </row>
    <row r="17">
      <c r="A17" s="29" t="n">
        <v>16</v>
      </c>
      <c r="B17" s="38" t="inlineStr">
        <is>
          <t>PL-Benennung Aggreko DE + englischsprachiger Supervisor</t>
        </is>
      </c>
      <c r="C17" s="29" t="inlineStr">
        <is>
          <t>beide</t>
        </is>
      </c>
      <c r="D17" s="38" t="inlineStr">
        <is>
          <t>Burak</t>
        </is>
      </c>
      <c r="E17" s="26" t="n">
        <v>46223</v>
      </c>
      <c r="F17" s="29" t="inlineStr">
        <is>
          <t>offen</t>
        </is>
      </c>
      <c r="G17" s="29" t="inlineStr">
        <is>
          <t>mittel</t>
        </is>
      </c>
      <c r="H17" s="38" t="inlineStr"/>
      <c r="I17" s="26" t="n"/>
    </row>
    <row r="18">
      <c r="A18" s="29" t="n">
        <v>17</v>
      </c>
      <c r="B18" s="38" t="inlineStr">
        <is>
          <t>Schwerlast-Strombedarf bei DPR einreichen</t>
        </is>
      </c>
      <c r="C18" s="29" t="inlineStr">
        <is>
          <t>beide</t>
        </is>
      </c>
      <c r="D18" s="38" t="inlineStr">
        <is>
          <t>Burak</t>
        </is>
      </c>
      <c r="E18" s="26" t="n">
        <v>46227</v>
      </c>
      <c r="F18" s="29" t="inlineStr">
        <is>
          <t>offen</t>
        </is>
      </c>
      <c r="G18" s="29" t="inlineStr">
        <is>
          <t>hoch</t>
        </is>
      </c>
      <c r="H18" s="38" t="inlineStr">
        <is>
          <t>Monatsfrist laeuft</t>
        </is>
      </c>
      <c r="I18" s="26" t="n"/>
    </row>
    <row r="19">
      <c r="A19" s="29" t="n">
        <v>18</v>
      </c>
      <c r="B19" s="38" t="inlineStr">
        <is>
          <t>NDA MiT-DPR anstossen</t>
        </is>
      </c>
      <c r="C19" s="29" t="inlineStr">
        <is>
          <t>Admin</t>
        </is>
      </c>
      <c r="D19" s="38" t="inlineStr">
        <is>
          <t>Burak</t>
        </is>
      </c>
      <c r="E19" s="26" t="n">
        <v>46220</v>
      </c>
      <c r="F19" s="29" t="inlineStr">
        <is>
          <t>offen</t>
        </is>
      </c>
      <c r="G19" s="29" t="inlineStr">
        <is>
          <t>hoch</t>
        </is>
      </c>
      <c r="H19" s="38" t="inlineStr">
        <is>
          <t>eigene NDA; vor Unterzeichnung 22.07.</t>
        </is>
      </c>
      <c r="I19" s="26" t="n"/>
    </row>
    <row r="20">
      <c r="A20" s="29" t="n">
        <v>19</v>
      </c>
      <c r="B20" s="38" t="inlineStr">
        <is>
          <t>Kranfrage / Lift Plan / Rigger klaeren</t>
        </is>
      </c>
      <c r="C20" s="29" t="inlineStr">
        <is>
          <t>beide</t>
        </is>
      </c>
      <c r="D20" s="38" t="inlineStr">
        <is>
          <t>Burak</t>
        </is>
      </c>
      <c r="E20" s="26" t="n">
        <v>46231</v>
      </c>
      <c r="F20" s="29" t="inlineStr">
        <is>
          <t>offen</t>
        </is>
      </c>
      <c r="G20" s="29" t="inlineStr">
        <is>
          <t>mittel</t>
        </is>
      </c>
      <c r="H20" s="38" t="inlineStr"/>
      <c r="I20" s="26" t="n"/>
    </row>
    <row r="21">
      <c r="A21" s="29" t="n">
        <v>20</v>
      </c>
      <c r="B21" s="38" t="inlineStr">
        <is>
          <t>24/7-Kontaktkette beidseitig aufstellen</t>
        </is>
      </c>
      <c r="C21" s="29" t="inlineStr">
        <is>
          <t>beide</t>
        </is>
      </c>
      <c r="D21" s="38" t="inlineStr">
        <is>
          <t>Burak</t>
        </is>
      </c>
      <c r="E21" s="26" t="n">
        <v>46234</v>
      </c>
      <c r="F21" s="29" t="inlineStr">
        <is>
          <t>offen</t>
        </is>
      </c>
      <c r="G21" s="29" t="inlineStr">
        <is>
          <t>mittel</t>
        </is>
      </c>
      <c r="H21" s="38" t="inlineStr">
        <is>
          <t>vor Lieferung 03.08.; 01.08. = Bundesfeier</t>
        </is>
      </c>
      <c r="I21" s="26" t="n"/>
    </row>
    <row r="22">
      <c r="A22" s="29" t="n">
        <v>21</v>
      </c>
      <c r="B22" s="38" t="inlineStr">
        <is>
          <t>Tank-Standort mit 110%-Auffangwanne im Logistikplan festlegen</t>
        </is>
      </c>
      <c r="C22" s="29" t="inlineStr">
        <is>
          <t>Headload</t>
        </is>
      </c>
      <c r="D22" s="38" t="inlineStr">
        <is>
          <t>Burak</t>
        </is>
      </c>
      <c r="E22" s="26" t="n">
        <v>46233</v>
      </c>
      <c r="F22" s="29" t="inlineStr">
        <is>
          <t>offen</t>
        </is>
      </c>
      <c r="G22" s="29" t="inlineStr">
        <is>
          <t>hoch</t>
        </is>
      </c>
      <c r="H22" s="38" t="inlineStr"/>
      <c r="I22" s="26" t="n"/>
    </row>
    <row r="23">
      <c r="A23" s="29" t="n">
        <v>22</v>
      </c>
      <c r="B23" s="38" t="inlineStr">
        <is>
          <t>Haftpflichtnachweis Aggreko einfordern</t>
        </is>
      </c>
      <c r="C23" s="29" t="inlineStr">
        <is>
          <t>Admin</t>
        </is>
      </c>
      <c r="D23" s="38" t="inlineStr">
        <is>
          <t>Burak</t>
        </is>
      </c>
      <c r="E23" s="26" t="n">
        <v>46224</v>
      </c>
      <c r="F23" s="29" t="inlineStr">
        <is>
          <t>offen</t>
        </is>
      </c>
      <c r="G23" s="29" t="inlineStr">
        <is>
          <t>hoch</t>
        </is>
      </c>
      <c r="H23" s="38" t="inlineStr"/>
      <c r="I23" s="26" t="n"/>
    </row>
    <row r="24">
      <c r="A24" s="29" t="n">
        <v>23</v>
      </c>
      <c r="B24" s="38" t="inlineStr">
        <is>
          <t>Long-Lead-Liste vorbereiten</t>
        </is>
      </c>
      <c r="C24" s="29" t="inlineStr">
        <is>
          <t>beide</t>
        </is>
      </c>
      <c r="D24" s="38" t="inlineStr">
        <is>
          <t>Burak</t>
        </is>
      </c>
      <c r="E24" s="26" t="n">
        <v>46226</v>
      </c>
      <c r="F24" s="29" t="inlineStr">
        <is>
          <t>offen</t>
        </is>
      </c>
      <c r="G24" s="29" t="inlineStr">
        <is>
          <t>hoch</t>
        </is>
      </c>
      <c r="H24" s="38" t="inlineStr">
        <is>
          <t>3-Tage-Frist ab Vertragsunterzeichnung!</t>
        </is>
      </c>
      <c r="I24" s="26" t="n"/>
    </row>
    <row r="25">
      <c r="A25" s="29" t="n">
        <v>24</v>
      </c>
      <c r="B25" s="38" t="inlineStr">
        <is>
          <t>Winterbetrieb ab Oktober in Offerte aufnehmen</t>
        </is>
      </c>
      <c r="C25" s="29" t="inlineStr">
        <is>
          <t>beide</t>
        </is>
      </c>
      <c r="D25" s="38" t="inlineStr">
        <is>
          <t>Burak</t>
        </is>
      </c>
      <c r="E25" s="26" t="n">
        <v>46225</v>
      </c>
      <c r="F25" s="29" t="inlineStr">
        <is>
          <t>offen</t>
        </is>
      </c>
      <c r="G25" s="29" t="inlineStr">
        <is>
          <t>mittel</t>
        </is>
      </c>
      <c r="H25" s="38" t="inlineStr"/>
      <c r="I25" s="26" t="n"/>
    </row>
  </sheetData>
  <conditionalFormatting sqref="F2:F25">
    <cfRule type="cellIs" priority="1" operator="equal" dxfId="3">
      <formula>"erledigt"</formula>
    </cfRule>
    <cfRule type="cellIs" priority="2" operator="equal" dxfId="4">
      <formula>"kritisch"</formula>
    </cfRule>
    <cfRule type="cellIs" priority="3" operator="equal" dxfId="5">
      <formula>"in Arbeit"</formula>
    </cfRule>
    <cfRule type="cellIs" priority="4" operator="equal" dxfId="6">
      <formula>"verschoben"</formula>
    </cfRule>
  </conditionalFormatting>
  <conditionalFormatting sqref="G2:G25">
    <cfRule type="cellIs" priority="5" operator="equal" dxfId="12">
      <formula>"hoch"</formula>
    </cfRule>
  </conditionalFormatting>
  <conditionalFormatting sqref="E2:E25">
    <cfRule type="expression" priority="6" dxfId="4">
      <formula>AND($E2&lt;TODAY(),$F2&lt;&gt;"erledigt",$E2&lt;&gt;"")</formula>
    </cfRule>
  </conditionalFormatting>
  <dataValidations count="4">
    <dataValidation sqref="C2:C25" showDropDown="0" showInputMessage="0" showErrorMessage="0" allowBlank="1" errorTitle="Ungueltige Eingabe" error="Bitte einen Wert aus der Liste waehlen." prompt="Wert aus Dropdown waehlen" type="list">
      <formula1>"Loadbank,Headload,beide,Admin"</formula1>
    </dataValidation>
    <dataValidation sqref="D2:D25" showDropDown="0" showInputMessage="0" showErrorMessage="0" allowBlank="1" errorTitle="Ungueltige Eingabe" error="Bitte einen Wert aus der Liste waehlen." prompt="Wert aus Dropdown waehlen" type="list">
      <formula1>"Burak,Stefan,Markus,Ann-Kathrin,Sarah,Samuel,Stephan Marty,Olli,Aggreko,DPR,MiT,Burak / Stephan,Burak / Samuel,Stefan / Stephan,Ann-Kathrin &amp; Markus,Aggreko / MiT"</formula1>
    </dataValidation>
    <dataValidation sqref="F2:F25" showDropDown="0" showInputMessage="0" showErrorMessage="0" allowBlank="1" errorTitle="Ungueltige Eingabe" error="Bitte einen Wert aus der Liste waehlen." prompt="Wert aus Dropdown waehlen" type="list">
      <formula1>"offen,in Arbeit,erledigt,verschoben,kritisch"</formula1>
    </dataValidation>
    <dataValidation sqref="G2:G25" showDropDown="0" showInputMessage="0" showErrorMessage="0" allowBlank="1" errorTitle="Ungueltige Eingabe" error="Bitte einen Wert aus der Liste waehlen." prompt="Wert aus Dropdown waehlen" type="list">
      <formula1>"hoch,mittel,niedrig"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0" customWidth="1" min="4" max="4"/>
    <col width="34" customWidth="1" min="5" max="5"/>
    <col width="13" customWidth="1" min="6" max="6"/>
    <col width="28" customWidth="1" min="7" max="7"/>
  </cols>
  <sheetData>
    <row r="1">
      <c r="A1" s="23" t="inlineStr">
        <is>
          <t>Nr.</t>
        </is>
      </c>
      <c r="B1" s="23" t="inlineStr">
        <is>
          <t>Meeting</t>
        </is>
      </c>
      <c r="C1" s="23" t="inlineStr">
        <is>
          <t>Rhythmus</t>
        </is>
      </c>
      <c r="D1" s="23" t="inlineStr">
        <is>
          <t>Dauer</t>
        </is>
      </c>
      <c r="E1" s="23" t="inlineStr">
        <is>
          <t>Teilnahmepflicht</t>
        </is>
      </c>
      <c r="F1" s="23" t="inlineStr">
        <is>
          <t>Status</t>
        </is>
      </c>
      <c r="G1" s="23" t="inlineStr">
        <is>
          <t>Bemerkung</t>
        </is>
      </c>
    </row>
    <row r="2">
      <c r="A2" s="29" t="n">
        <v>1</v>
      </c>
      <c r="B2" s="38" t="inlineStr">
        <is>
          <t>Kickoff-Meeting DPR</t>
        </is>
      </c>
      <c r="C2" s="29" t="inlineStr">
        <is>
          <t>einmalig (vor 03.08.)</t>
        </is>
      </c>
      <c r="D2" s="29" t="inlineStr">
        <is>
          <t>2 h</t>
        </is>
      </c>
      <c r="E2" s="38" t="inlineStr">
        <is>
          <t>PL, Foreman, Safety Manager (Pflicht)</t>
        </is>
      </c>
      <c r="F2" s="29" t="inlineStr">
        <is>
          <t>offen</t>
        </is>
      </c>
      <c r="G2" s="38" t="inlineStr">
        <is>
          <t>aus Supplemental Conditions r2</t>
        </is>
      </c>
    </row>
    <row r="3">
      <c r="A3" s="29" t="n">
        <v>2</v>
      </c>
      <c r="B3" s="38" t="inlineStr">
        <is>
          <t>Safety Orientation</t>
        </is>
      </c>
      <c r="C3" s="29" t="inlineStr">
        <is>
          <t>einmalig je Person</t>
        </is>
      </c>
      <c r="D3" s="29" t="inlineStr">
        <is>
          <t>1 h</t>
        </is>
      </c>
      <c r="E3" s="38" t="inlineStr">
        <is>
          <t>alle vor Ort Taetigen</t>
        </is>
      </c>
      <c r="F3" s="29" t="inlineStr">
        <is>
          <t>offen</t>
        </is>
      </c>
      <c r="G3" s="38" t="inlineStr">
        <is>
          <t>vor erstem Zutritt</t>
        </is>
      </c>
    </row>
    <row r="4">
      <c r="A4" s="29" t="n">
        <v>3</v>
      </c>
      <c r="B4" s="38" t="inlineStr">
        <is>
          <t>Subcontractor Progress Meeting</t>
        </is>
      </c>
      <c r="C4" s="29" t="inlineStr">
        <is>
          <t>woechentlich</t>
        </is>
      </c>
      <c r="D4" s="29" t="inlineStr">
        <is>
          <t>1 h</t>
        </is>
      </c>
      <c r="E4" s="38" t="inlineStr">
        <is>
          <t>PL</t>
        </is>
      </c>
      <c r="F4" s="29" t="inlineStr">
        <is>
          <t>offen</t>
        </is>
      </c>
      <c r="G4" s="38" t="inlineStr"/>
    </row>
    <row r="5">
      <c r="A5" s="29" t="n">
        <v>4</v>
      </c>
      <c r="B5" s="38" t="inlineStr">
        <is>
          <t>BIM-Meeting</t>
        </is>
      </c>
      <c r="C5" s="29" t="inlineStr">
        <is>
          <t>woechentlich</t>
        </is>
      </c>
      <c r="D5" s="29" t="inlineStr">
        <is>
          <t>2 h</t>
        </is>
      </c>
      <c r="E5" s="38" t="inlineStr">
        <is>
          <t>nach Anforderung DPR</t>
        </is>
      </c>
      <c r="F5" s="29" t="inlineStr">
        <is>
          <t>offen</t>
        </is>
      </c>
      <c r="G5" s="38" t="inlineStr"/>
    </row>
    <row r="6">
      <c r="A6" s="29" t="n">
        <v>5</v>
      </c>
      <c r="B6" s="38" t="inlineStr">
        <is>
          <t>EHS-Meeting</t>
        </is>
      </c>
      <c r="C6" s="29" t="inlineStr">
        <is>
          <t>woechentlich</t>
        </is>
      </c>
      <c r="D6" s="29" t="inlineStr">
        <is>
          <t>1 h</t>
        </is>
      </c>
      <c r="E6" s="38" t="inlineStr">
        <is>
          <t>Safety / PL</t>
        </is>
      </c>
      <c r="F6" s="29" t="inlineStr">
        <is>
          <t>offen</t>
        </is>
      </c>
      <c r="G6" s="38" t="inlineStr"/>
    </row>
    <row r="7">
      <c r="A7" s="29" t="n">
        <v>6</v>
      </c>
      <c r="B7" s="38" t="inlineStr">
        <is>
          <t>Pull Planning</t>
        </is>
      </c>
      <c r="C7" s="29" t="inlineStr">
        <is>
          <t>woechentlich</t>
        </is>
      </c>
      <c r="D7" s="29" t="inlineStr">
        <is>
          <t>2 h</t>
        </is>
      </c>
      <c r="E7" s="38" t="inlineStr">
        <is>
          <t>PL / Foreman</t>
        </is>
      </c>
      <c r="F7" s="29" t="inlineStr">
        <is>
          <t>offen</t>
        </is>
      </c>
      <c r="G7" s="38" t="inlineStr"/>
    </row>
    <row r="8">
      <c r="A8" s="29" t="n">
        <v>7</v>
      </c>
      <c r="B8" s="38" t="inlineStr">
        <is>
          <t>DABS (Daily Activity Briefing)</t>
        </is>
      </c>
      <c r="C8" s="29" t="inlineStr">
        <is>
          <t>taeglich</t>
        </is>
      </c>
      <c r="D8" s="29" t="inlineStr">
        <is>
          <t>30 Min</t>
        </is>
      </c>
      <c r="E8" s="38" t="inlineStr">
        <is>
          <t>Crew vor Ort</t>
        </is>
      </c>
      <c r="F8" s="29" t="inlineStr">
        <is>
          <t>offen</t>
        </is>
      </c>
      <c r="G8" s="38" t="inlineStr"/>
    </row>
    <row r="9">
      <c r="A9" s="29" t="n">
        <v>8</v>
      </c>
      <c r="B9" s="38" t="inlineStr">
        <is>
          <t>Long-Lead-Status-Reporting</t>
        </is>
      </c>
      <c r="C9" s="29" t="inlineStr">
        <is>
          <t>14-taeglich</t>
        </is>
      </c>
      <c r="D9" s="29" t="inlineStr">
        <is>
          <t>-</t>
        </is>
      </c>
      <c r="E9" s="38" t="inlineStr">
        <is>
          <t>PL</t>
        </is>
      </c>
      <c r="F9" s="29" t="inlineStr">
        <is>
          <t>offen</t>
        </is>
      </c>
      <c r="G9" s="38" t="inlineStr">
        <is>
          <t>Bericht an DPR (siehe Wochenbericht)</t>
        </is>
      </c>
    </row>
    <row r="10">
      <c r="A10" s="29" t="n">
        <v>9</v>
      </c>
      <c r="B10" s="38" t="inlineStr">
        <is>
          <t>Record Drawings</t>
        </is>
      </c>
      <c r="C10" s="29" t="inlineStr">
        <is>
          <t>monatlich</t>
        </is>
      </c>
      <c r="D10" s="29" t="inlineStr">
        <is>
          <t>-</t>
        </is>
      </c>
      <c r="E10" s="38" t="inlineStr">
        <is>
          <t>PL</t>
        </is>
      </c>
      <c r="F10" s="29" t="inlineStr">
        <is>
          <t>offen</t>
        </is>
      </c>
      <c r="G10" s="38" t="inlineStr">
        <is>
          <t>Stand der Dokumentation</t>
        </is>
      </c>
    </row>
  </sheetData>
  <conditionalFormatting sqref="F2:F10">
    <cfRule type="cellIs" priority="1" operator="equal" dxfId="3">
      <formula>"erledigt"</formula>
    </cfRule>
    <cfRule type="cellIs" priority="2" operator="equal" dxfId="5">
      <formula>"laufend"</formula>
    </cfRule>
    <cfRule type="cellIs" priority="3" operator="equal" dxfId="8">
      <formula>"geplant"</formula>
    </cfRule>
  </conditionalFormatting>
  <dataValidations count="1">
    <dataValidation sqref="F2:F10" showDropDown="0" showInputMessage="0" showErrorMessage="0" allowBlank="1" errorTitle="Ungueltige Eingabe" error="Bitte einen Wert aus der Liste waehlen." prompt="Wert aus Dropdown waehlen" type="list">
      <formula1>"offen,geplant,laufend,erledigt"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2" customWidth="1" min="4" max="4"/>
    <col width="16" customWidth="1" min="5" max="5"/>
    <col width="22" customWidth="1" min="6" max="6"/>
    <col width="15" customWidth="1" min="7" max="7"/>
    <col width="13" customWidth="1" min="8" max="8"/>
    <col width="30" customWidth="1" min="9" max="9"/>
  </cols>
  <sheetData>
    <row r="1">
      <c r="A1" s="23" t="inlineStr">
        <is>
          <t>Nr.</t>
        </is>
      </c>
      <c r="B1" s="23" t="inlineStr">
        <is>
          <t>Name</t>
        </is>
      </c>
      <c r="C1" s="23" t="inlineStr">
        <is>
          <t>Firma</t>
        </is>
      </c>
      <c r="D1" s="23" t="inlineStr">
        <is>
          <t>Funktion</t>
        </is>
      </c>
      <c r="E1" s="23" t="inlineStr">
        <is>
          <t>Entsendemeldung</t>
        </is>
      </c>
      <c r="F1" s="23" t="inlineStr">
        <is>
          <t>WORKcontrol-Ausweis (Status/Nr.)</t>
        </is>
      </c>
      <c r="G1" s="23" t="inlineStr">
        <is>
          <t>Site Induction</t>
        </is>
      </c>
      <c r="H1" s="23" t="inlineStr">
        <is>
          <t>Status</t>
        </is>
      </c>
      <c r="I1" s="23" t="inlineStr">
        <is>
          <t>Bemerkung</t>
        </is>
      </c>
    </row>
    <row r="2">
      <c r="A2" s="29" t="n">
        <v>1</v>
      </c>
      <c r="B2" s="38" t="inlineStr">
        <is>
          <t>Uecoez, Burak</t>
        </is>
      </c>
      <c r="C2" s="29" t="inlineStr">
        <is>
          <t>MiT</t>
        </is>
      </c>
      <c r="D2" s="38" t="inlineStr">
        <is>
          <t>Projektleiter</t>
        </is>
      </c>
      <c r="E2" s="29" t="inlineStr">
        <is>
          <t>n.a.</t>
        </is>
      </c>
      <c r="F2" s="29" t="inlineStr">
        <is>
          <t>n.a.</t>
        </is>
      </c>
      <c r="G2" s="26" t="n"/>
      <c r="H2" s="29" t="inlineStr">
        <is>
          <t>in Arbeit</t>
        </is>
      </c>
      <c r="I2" s="38" t="inlineStr">
        <is>
          <t>Gesamtkoordination</t>
        </is>
      </c>
    </row>
    <row r="3">
      <c r="A3" s="29" t="n">
        <v>2</v>
      </c>
      <c r="B3" s="38" t="inlineStr">
        <is>
          <t>N.N. (PL Aggreko DE)</t>
        </is>
      </c>
      <c r="C3" s="29" t="inlineStr">
        <is>
          <t>Aggreko</t>
        </is>
      </c>
      <c r="D3" s="38" t="inlineStr">
        <is>
          <t>Projektleiter</t>
        </is>
      </c>
      <c r="E3" s="29" t="inlineStr">
        <is>
          <t>offen</t>
        </is>
      </c>
      <c r="F3" s="29" t="inlineStr">
        <is>
          <t>offen</t>
        </is>
      </c>
      <c r="G3" s="26" t="n"/>
      <c r="H3" s="29" t="inlineStr">
        <is>
          <t>offen</t>
        </is>
      </c>
      <c r="I3" s="38" t="inlineStr">
        <is>
          <t>Benennung ausstehend</t>
        </is>
      </c>
    </row>
    <row r="4">
      <c r="A4" s="29" t="n">
        <v>3</v>
      </c>
      <c r="B4" s="38" t="inlineStr">
        <is>
          <t>N.N. Supervisor (englischsprachig)</t>
        </is>
      </c>
      <c r="C4" s="29" t="inlineStr">
        <is>
          <t>Aggreko</t>
        </is>
      </c>
      <c r="D4" s="38" t="inlineStr">
        <is>
          <t>Supervisor</t>
        </is>
      </c>
      <c r="E4" s="29" t="inlineStr">
        <is>
          <t>offen</t>
        </is>
      </c>
      <c r="F4" s="29" t="inlineStr">
        <is>
          <t>offen</t>
        </is>
      </c>
      <c r="G4" s="26" t="n"/>
      <c r="H4" s="29" t="inlineStr">
        <is>
          <t>offen</t>
        </is>
      </c>
      <c r="I4" s="38" t="inlineStr">
        <is>
          <t>Anforderung DPR</t>
        </is>
      </c>
    </row>
    <row r="5">
      <c r="A5" s="29" t="n">
        <v>4</v>
      </c>
      <c r="B5" s="38" t="inlineStr">
        <is>
          <t>N.N. Servicetechniker 1</t>
        </is>
      </c>
      <c r="C5" s="29" t="inlineStr">
        <is>
          <t>Aggreko</t>
        </is>
      </c>
      <c r="D5" s="38" t="inlineStr">
        <is>
          <t>Techniker</t>
        </is>
      </c>
      <c r="E5" s="29" t="inlineStr">
        <is>
          <t>offen</t>
        </is>
      </c>
      <c r="F5" s="29" t="inlineStr">
        <is>
          <t>offen</t>
        </is>
      </c>
      <c r="G5" s="26" t="n"/>
      <c r="H5" s="29" t="inlineStr">
        <is>
          <t>offen</t>
        </is>
      </c>
      <c r="I5" s="38" t="inlineStr">
        <is>
          <t>Entsendefrist 24.07.</t>
        </is>
      </c>
    </row>
    <row r="6">
      <c r="A6" s="29" t="n">
        <v>5</v>
      </c>
      <c r="B6" s="38" t="inlineStr">
        <is>
          <t>N.N. Servicetechniker 2</t>
        </is>
      </c>
      <c r="C6" s="29" t="inlineStr">
        <is>
          <t>Aggreko</t>
        </is>
      </c>
      <c r="D6" s="38" t="inlineStr">
        <is>
          <t>Techniker</t>
        </is>
      </c>
      <c r="E6" s="29" t="inlineStr">
        <is>
          <t>offen</t>
        </is>
      </c>
      <c r="F6" s="29" t="inlineStr">
        <is>
          <t>offen</t>
        </is>
      </c>
      <c r="G6" s="26" t="n"/>
      <c r="H6" s="29" t="inlineStr">
        <is>
          <t>offen</t>
        </is>
      </c>
      <c r="I6" s="38" t="inlineStr">
        <is>
          <t>Entsendefrist 24.07.</t>
        </is>
      </c>
    </row>
    <row r="7">
      <c r="A7" s="29" t="n">
        <v>6</v>
      </c>
      <c r="B7" s="38" t="inlineStr">
        <is>
          <t>N.N. Servicetechniker 3</t>
        </is>
      </c>
      <c r="C7" s="29" t="inlineStr">
        <is>
          <t>Aggreko</t>
        </is>
      </c>
      <c r="D7" s="38" t="inlineStr">
        <is>
          <t>Techniker</t>
        </is>
      </c>
      <c r="E7" s="29" t="inlineStr">
        <is>
          <t>offen</t>
        </is>
      </c>
      <c r="F7" s="29" t="inlineStr">
        <is>
          <t>offen</t>
        </is>
      </c>
      <c r="G7" s="26" t="n"/>
      <c r="H7" s="29" t="inlineStr">
        <is>
          <t>offen</t>
        </is>
      </c>
      <c r="I7" s="38" t="inlineStr">
        <is>
          <t>Entsendefrist 24.07.</t>
        </is>
      </c>
    </row>
    <row r="8">
      <c r="A8" s="29" t="n">
        <v>7</v>
      </c>
      <c r="B8" s="38" t="inlineStr">
        <is>
          <t>N.N. Servicetechniker 4</t>
        </is>
      </c>
      <c r="C8" s="29" t="inlineStr">
        <is>
          <t>Aggreko</t>
        </is>
      </c>
      <c r="D8" s="38" t="inlineStr">
        <is>
          <t>Techniker</t>
        </is>
      </c>
      <c r="E8" s="29" t="inlineStr">
        <is>
          <t>offen</t>
        </is>
      </c>
      <c r="F8" s="29" t="inlineStr">
        <is>
          <t>offen</t>
        </is>
      </c>
      <c r="G8" s="26" t="n"/>
      <c r="H8" s="29" t="inlineStr">
        <is>
          <t>offen</t>
        </is>
      </c>
      <c r="I8" s="38" t="inlineStr">
        <is>
          <t>Entsendefrist 24.07.</t>
        </is>
      </c>
    </row>
    <row r="9">
      <c r="A9" s="29" t="n">
        <v>8</v>
      </c>
      <c r="B9" s="38" t="inlineStr">
        <is>
          <t>N.N. DPR Site Contact</t>
        </is>
      </c>
      <c r="C9" s="29" t="inlineStr">
        <is>
          <t>DPR</t>
        </is>
      </c>
      <c r="D9" s="38" t="inlineStr">
        <is>
          <t>Bauleitung</t>
        </is>
      </c>
      <c r="E9" s="29" t="inlineStr">
        <is>
          <t>n.a.</t>
        </is>
      </c>
      <c r="F9" s="29" t="inlineStr">
        <is>
          <t>n.a.</t>
        </is>
      </c>
      <c r="G9" s="26" t="n"/>
      <c r="H9" s="29" t="inlineStr">
        <is>
          <t>offen</t>
        </is>
      </c>
      <c r="I9" s="38" t="inlineStr">
        <is>
          <t>Ansprechpartner vor Ort</t>
        </is>
      </c>
    </row>
    <row r="11">
      <c r="B11" s="42" t="inlineStr">
        <is>
          <t>WICHTIG: Frist Entsendemeldung 24.07. (gesetzlich spaetestens 26.07.). Ohne validierten WORKcontrol-Ausweis kein Zutritt. Kosten CHF 25/Person Erstanmeldung.</t>
        </is>
      </c>
    </row>
  </sheetData>
  <mergeCells count="1">
    <mergeCell ref="B11:I11"/>
  </mergeCells>
  <conditionalFormatting sqref="E2:E9">
    <cfRule type="cellIs" priority="1" operator="equal" dxfId="4">
      <formula>"offen"</formula>
    </cfRule>
    <cfRule type="cellIs" priority="2" operator="equal" dxfId="3">
      <formula>"bestaetigt"</formula>
    </cfRule>
    <cfRule type="cellIs" priority="3" operator="equal" dxfId="3">
      <formula>"erhalten"</formula>
    </cfRule>
  </conditionalFormatting>
  <conditionalFormatting sqref="F2:F9">
    <cfRule type="cellIs" priority="4" operator="equal" dxfId="4">
      <formula>"offen"</formula>
    </cfRule>
    <cfRule type="cellIs" priority="5" operator="equal" dxfId="3">
      <formula>"bestaetigt"</formula>
    </cfRule>
    <cfRule type="cellIs" priority="6" operator="equal" dxfId="3">
      <formula>"erhalten"</formula>
    </cfRule>
  </conditionalFormatting>
  <conditionalFormatting sqref="H2:H9">
    <cfRule type="cellIs" priority="7" operator="equal" dxfId="3">
      <formula>"bereit"</formula>
    </cfRule>
  </conditionalFormatting>
  <dataValidations count="4">
    <dataValidation sqref="C2:C9" showDropDown="0" showInputMessage="0" showErrorMessage="0" allowBlank="1" errorTitle="Ungueltige Eingabe" error="Bitte einen Wert aus der Liste waehlen." prompt="Wert aus Dropdown waehlen" type="list">
      <formula1>"Aggreko,MiT,DPR"</formula1>
    </dataValidation>
    <dataValidation sqref="E2:E9" showDropDown="0" showInputMessage="0" showErrorMessage="0" allowBlank="1" errorTitle="Ungueltige Eingabe" error="Bitte einen Wert aus der Liste waehlen." prompt="Wert aus Dropdown waehlen" type="list">
      <formula1>"offen,eingereicht,bestaetigt,n.a."</formula1>
    </dataValidation>
    <dataValidation sqref="F2:F9" showDropDown="0" showInputMessage="0" showErrorMessage="0" allowBlank="1" errorTitle="Ungueltige Eingabe" error="Bitte einen Wert aus der Liste waehlen." prompt="Wert aus Dropdown waehlen" type="list">
      <formula1>"offen,beantragt,erhalten,n.a."</formula1>
    </dataValidation>
    <dataValidation sqref="H2:H9" showDropDown="0" showInputMessage="0" showErrorMessage="0" allowBlank="1" errorTitle="Ungueltige Eingabe" error="Bitte einen Wert aus der Liste waehlen." prompt="Wert aus Dropdown waehlen" type="list">
      <formula1>"offen,in Arbeit,bereit"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26" customWidth="1" min="4" max="4"/>
    <col width="12" customWidth="1" min="5" max="5"/>
    <col width="20" customWidth="1" min="6" max="6"/>
    <col width="9" customWidth="1" min="7" max="7"/>
    <col width="9" customWidth="1" min="8" max="8"/>
    <col width="10" customWidth="1" min="9" max="9"/>
    <col width="30" customWidth="1" min="10" max="10"/>
  </cols>
  <sheetData>
    <row r="1">
      <c r="A1" s="23" t="inlineStr">
        <is>
          <t>Nr.</t>
        </is>
      </c>
      <c r="B1" s="23" t="inlineStr">
        <is>
          <t>Datum</t>
        </is>
      </c>
      <c r="C1" s="23" t="inlineStr">
        <is>
          <t>KW</t>
        </is>
      </c>
      <c r="D1" s="23" t="inlineStr">
        <is>
          <t>Name</t>
        </is>
      </c>
      <c r="E1" s="23" t="inlineStr">
        <is>
          <t>Firma</t>
        </is>
      </c>
      <c r="F1" s="23" t="inlineStr">
        <is>
          <t>Funktion</t>
        </is>
      </c>
      <c r="G1" s="23" t="inlineStr">
        <is>
          <t>Von</t>
        </is>
      </c>
      <c r="H1" s="23" t="inlineStr">
        <is>
          <t>Bis</t>
        </is>
      </c>
      <c r="I1" s="23" t="inlineStr">
        <is>
          <t>Vor Ort</t>
        </is>
      </c>
      <c r="J1" s="23" t="inlineStr">
        <is>
          <t>Bemerkung</t>
        </is>
      </c>
    </row>
    <row r="2">
      <c r="A2" s="29" t="n">
        <v>1</v>
      </c>
      <c r="B2" s="26" t="n"/>
      <c r="C2" s="29">
        <f>IF($B2="","","KW "&amp;WEEKNUM($B2,21))</f>
        <v/>
      </c>
      <c r="D2" s="38" t="n"/>
      <c r="E2" s="29" t="n"/>
      <c r="F2" s="38" t="n"/>
      <c r="G2" s="43" t="n"/>
      <c r="H2" s="43" t="n"/>
      <c r="I2" s="29" t="n"/>
      <c r="J2" s="38" t="n"/>
    </row>
    <row r="3">
      <c r="A3" s="29" t="n">
        <v>2</v>
      </c>
      <c r="B3" s="26" t="n"/>
      <c r="C3" s="29">
        <f>IF($B3="","","KW "&amp;WEEKNUM($B3,21))</f>
        <v/>
      </c>
      <c r="D3" s="38" t="n"/>
      <c r="E3" s="29" t="n"/>
      <c r="F3" s="38" t="n"/>
      <c r="G3" s="43" t="n"/>
      <c r="H3" s="43" t="n"/>
      <c r="I3" s="29" t="n"/>
      <c r="J3" s="38" t="n"/>
    </row>
    <row r="4">
      <c r="A4" s="29" t="n">
        <v>3</v>
      </c>
      <c r="B4" s="26" t="n"/>
      <c r="C4" s="29">
        <f>IF($B4="","","KW "&amp;WEEKNUM($B4,21))</f>
        <v/>
      </c>
      <c r="D4" s="38" t="n"/>
      <c r="E4" s="29" t="n"/>
      <c r="F4" s="38" t="n"/>
      <c r="G4" s="43" t="n"/>
      <c r="H4" s="43" t="n"/>
      <c r="I4" s="29" t="n"/>
      <c r="J4" s="38" t="n"/>
    </row>
    <row r="5">
      <c r="A5" s="29" t="n">
        <v>4</v>
      </c>
      <c r="B5" s="26" t="n"/>
      <c r="C5" s="29">
        <f>IF($B5="","","KW "&amp;WEEKNUM($B5,21))</f>
        <v/>
      </c>
      <c r="D5" s="38" t="n"/>
      <c r="E5" s="29" t="n"/>
      <c r="F5" s="38" t="n"/>
      <c r="G5" s="43" t="n"/>
      <c r="H5" s="43" t="n"/>
      <c r="I5" s="29" t="n"/>
      <c r="J5" s="38" t="n"/>
    </row>
    <row r="6">
      <c r="A6" s="29" t="n">
        <v>5</v>
      </c>
      <c r="B6" s="26" t="n"/>
      <c r="C6" s="29">
        <f>IF($B6="","","KW "&amp;WEEKNUM($B6,21))</f>
        <v/>
      </c>
      <c r="D6" s="38" t="n"/>
      <c r="E6" s="29" t="n"/>
      <c r="F6" s="38" t="n"/>
      <c r="G6" s="43" t="n"/>
      <c r="H6" s="43" t="n"/>
      <c r="I6" s="29" t="n"/>
      <c r="J6" s="38" t="n"/>
    </row>
    <row r="7">
      <c r="A7" s="29" t="n">
        <v>6</v>
      </c>
      <c r="B7" s="26" t="n"/>
      <c r="C7" s="29">
        <f>IF($B7="","","KW "&amp;WEEKNUM($B7,21))</f>
        <v/>
      </c>
      <c r="D7" s="38" t="n"/>
      <c r="E7" s="29" t="n"/>
      <c r="F7" s="38" t="n"/>
      <c r="G7" s="43" t="n"/>
      <c r="H7" s="43" t="n"/>
      <c r="I7" s="29" t="n"/>
      <c r="J7" s="38" t="n"/>
    </row>
    <row r="8">
      <c r="A8" s="29" t="n">
        <v>7</v>
      </c>
      <c r="B8" s="26" t="n"/>
      <c r="C8" s="29">
        <f>IF($B8="","","KW "&amp;WEEKNUM($B8,21))</f>
        <v/>
      </c>
      <c r="D8" s="38" t="n"/>
      <c r="E8" s="29" t="n"/>
      <c r="F8" s="38" t="n"/>
      <c r="G8" s="43" t="n"/>
      <c r="H8" s="43" t="n"/>
      <c r="I8" s="29" t="n"/>
      <c r="J8" s="38" t="n"/>
    </row>
    <row r="9">
      <c r="A9" s="29" t="n">
        <v>8</v>
      </c>
      <c r="B9" s="26" t="n"/>
      <c r="C9" s="29">
        <f>IF($B9="","","KW "&amp;WEEKNUM($B9,21))</f>
        <v/>
      </c>
      <c r="D9" s="38" t="n"/>
      <c r="E9" s="29" t="n"/>
      <c r="F9" s="38" t="n"/>
      <c r="G9" s="43" t="n"/>
      <c r="H9" s="43" t="n"/>
      <c r="I9" s="29" t="n"/>
      <c r="J9" s="38" t="n"/>
    </row>
    <row r="10">
      <c r="A10" s="29" t="n">
        <v>9</v>
      </c>
      <c r="B10" s="26" t="n"/>
      <c r="C10" s="29">
        <f>IF($B10="","","KW "&amp;WEEKNUM($B10,21))</f>
        <v/>
      </c>
      <c r="D10" s="38" t="n"/>
      <c r="E10" s="29" t="n"/>
      <c r="F10" s="38" t="n"/>
      <c r="G10" s="43" t="n"/>
      <c r="H10" s="43" t="n"/>
      <c r="I10" s="29" t="n"/>
      <c r="J10" s="38" t="n"/>
    </row>
    <row r="11">
      <c r="A11" s="29" t="n">
        <v>10</v>
      </c>
      <c r="B11" s="26" t="n"/>
      <c r="C11" s="29">
        <f>IF($B11="","","KW "&amp;WEEKNUM($B11,21))</f>
        <v/>
      </c>
      <c r="D11" s="38" t="n"/>
      <c r="E11" s="29" t="n"/>
      <c r="F11" s="38" t="n"/>
      <c r="G11" s="43" t="n"/>
      <c r="H11" s="43" t="n"/>
      <c r="I11" s="29" t="n"/>
      <c r="J11" s="38" t="n"/>
    </row>
    <row r="12">
      <c r="A12" s="29" t="n">
        <v>11</v>
      </c>
      <c r="B12" s="26" t="n"/>
      <c r="C12" s="29">
        <f>IF($B12="","","KW "&amp;WEEKNUM($B12,21))</f>
        <v/>
      </c>
      <c r="D12" s="38" t="n"/>
      <c r="E12" s="29" t="n"/>
      <c r="F12" s="38" t="n"/>
      <c r="G12" s="43" t="n"/>
      <c r="H12" s="43" t="n"/>
      <c r="I12" s="29" t="n"/>
      <c r="J12" s="38" t="n"/>
    </row>
    <row r="13">
      <c r="A13" s="29" t="n">
        <v>12</v>
      </c>
      <c r="B13" s="26" t="n"/>
      <c r="C13" s="29">
        <f>IF($B13="","","KW "&amp;WEEKNUM($B13,21))</f>
        <v/>
      </c>
      <c r="D13" s="38" t="n"/>
      <c r="E13" s="29" t="n"/>
      <c r="F13" s="38" t="n"/>
      <c r="G13" s="43" t="n"/>
      <c r="H13" s="43" t="n"/>
      <c r="I13" s="29" t="n"/>
      <c r="J13" s="38" t="n"/>
    </row>
    <row r="14">
      <c r="A14" s="29" t="n">
        <v>13</v>
      </c>
      <c r="B14" s="26" t="n"/>
      <c r="C14" s="29">
        <f>IF($B14="","","KW "&amp;WEEKNUM($B14,21))</f>
        <v/>
      </c>
      <c r="D14" s="38" t="n"/>
      <c r="E14" s="29" t="n"/>
      <c r="F14" s="38" t="n"/>
      <c r="G14" s="43" t="n"/>
      <c r="H14" s="43" t="n"/>
      <c r="I14" s="29" t="n"/>
      <c r="J14" s="38" t="n"/>
    </row>
    <row r="15">
      <c r="A15" s="29" t="n">
        <v>14</v>
      </c>
      <c r="B15" s="26" t="n"/>
      <c r="C15" s="29">
        <f>IF($B15="","","KW "&amp;WEEKNUM($B15,21))</f>
        <v/>
      </c>
      <c r="D15" s="38" t="n"/>
      <c r="E15" s="29" t="n"/>
      <c r="F15" s="38" t="n"/>
      <c r="G15" s="43" t="n"/>
      <c r="H15" s="43" t="n"/>
      <c r="I15" s="29" t="n"/>
      <c r="J15" s="38" t="n"/>
    </row>
    <row r="16">
      <c r="A16" s="29" t="n">
        <v>15</v>
      </c>
      <c r="B16" s="26" t="n"/>
      <c r="C16" s="29">
        <f>IF($B16="","","KW "&amp;WEEKNUM($B16,21))</f>
        <v/>
      </c>
      <c r="D16" s="38" t="n"/>
      <c r="E16" s="29" t="n"/>
      <c r="F16" s="38" t="n"/>
      <c r="G16" s="43" t="n"/>
      <c r="H16" s="43" t="n"/>
      <c r="I16" s="29" t="n"/>
      <c r="J16" s="38" t="n"/>
    </row>
    <row r="17">
      <c r="A17" s="29" t="n">
        <v>16</v>
      </c>
      <c r="B17" s="26" t="n"/>
      <c r="C17" s="29">
        <f>IF($B17="","","KW "&amp;WEEKNUM($B17,21))</f>
        <v/>
      </c>
      <c r="D17" s="38" t="n"/>
      <c r="E17" s="29" t="n"/>
      <c r="F17" s="38" t="n"/>
      <c r="G17" s="43" t="n"/>
      <c r="H17" s="43" t="n"/>
      <c r="I17" s="29" t="n"/>
      <c r="J17" s="38" t="n"/>
    </row>
    <row r="18">
      <c r="A18" s="29" t="n">
        <v>17</v>
      </c>
      <c r="B18" s="26" t="n"/>
      <c r="C18" s="29">
        <f>IF($B18="","","KW "&amp;WEEKNUM($B18,21))</f>
        <v/>
      </c>
      <c r="D18" s="38" t="n"/>
      <c r="E18" s="29" t="n"/>
      <c r="F18" s="38" t="n"/>
      <c r="G18" s="43" t="n"/>
      <c r="H18" s="43" t="n"/>
      <c r="I18" s="29" t="n"/>
      <c r="J18" s="38" t="n"/>
    </row>
    <row r="19">
      <c r="A19" s="29" t="n">
        <v>18</v>
      </c>
      <c r="B19" s="26" t="n"/>
      <c r="C19" s="29">
        <f>IF($B19="","","KW "&amp;WEEKNUM($B19,21))</f>
        <v/>
      </c>
      <c r="D19" s="38" t="n"/>
      <c r="E19" s="29" t="n"/>
      <c r="F19" s="38" t="n"/>
      <c r="G19" s="43" t="n"/>
      <c r="H19" s="43" t="n"/>
      <c r="I19" s="29" t="n"/>
      <c r="J19" s="38" t="n"/>
    </row>
    <row r="20">
      <c r="A20" s="29" t="n">
        <v>19</v>
      </c>
      <c r="B20" s="26" t="n"/>
      <c r="C20" s="29">
        <f>IF($B20="","","KW "&amp;WEEKNUM($B20,21))</f>
        <v/>
      </c>
      <c r="D20" s="38" t="n"/>
      <c r="E20" s="29" t="n"/>
      <c r="F20" s="38" t="n"/>
      <c r="G20" s="43" t="n"/>
      <c r="H20" s="43" t="n"/>
      <c r="I20" s="29" t="n"/>
      <c r="J20" s="38" t="n"/>
    </row>
    <row r="21">
      <c r="A21" s="29" t="n">
        <v>20</v>
      </c>
      <c r="B21" s="26" t="n"/>
      <c r="C21" s="29">
        <f>IF($B21="","","KW "&amp;WEEKNUM($B21,21))</f>
        <v/>
      </c>
      <c r="D21" s="38" t="n"/>
      <c r="E21" s="29" t="n"/>
      <c r="F21" s="38" t="n"/>
      <c r="G21" s="43" t="n"/>
      <c r="H21" s="43" t="n"/>
      <c r="I21" s="29" t="n"/>
      <c r="J21" s="38" t="n"/>
    </row>
    <row r="23">
      <c r="B23" s="31" t="inlineStr">
        <is>
          <t>Anwesenheit vor Ort je Tag erfassen (DABS-Pflicht, 24/7-Kette siehe Kontakte). KW berechnet sich automatisch.</t>
        </is>
      </c>
    </row>
  </sheetData>
  <mergeCells count="1">
    <mergeCell ref="B23:J23"/>
  </mergeCells>
  <conditionalFormatting sqref="I2:I21">
    <cfRule type="cellIs" priority="1" operator="equal" dxfId="3">
      <formula>"ja"</formula>
    </cfRule>
  </conditionalFormatting>
  <dataValidations count="2">
    <dataValidation sqref="E2:E21" showDropDown="0" showInputMessage="0" showErrorMessage="0" allowBlank="1" errorTitle="Ungueltige Eingabe" error="Bitte einen Wert aus der Liste waehlen." prompt="Wert aus Dropdown waehlen" type="list">
      <formula1>"Aggreko,MiT,DPR"</formula1>
    </dataValidation>
    <dataValidation sqref="I2:I21" showDropDown="0" showInputMessage="0" showErrorMessage="0" allowBlank="1" errorTitle="Ungueltige Eingabe" error="Bitte einen Wert aus der Liste waehlen." prompt="Wert aus Dropdown waehlen" type="list">
      <formula1>"ja,nein"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8" customWidth="1" min="4" max="4"/>
    <col width="22" customWidth="1" min="5" max="5"/>
    <col width="12" customWidth="1" min="6" max="6"/>
    <col width="18" customWidth="1" min="7" max="7"/>
    <col width="15" customWidth="1" min="8" max="8"/>
    <col width="13" customWidth="1" min="9" max="9"/>
    <col width="28" customWidth="1" min="10" max="10"/>
  </cols>
  <sheetData>
    <row r="1">
      <c r="A1" s="23" t="inlineStr">
        <is>
          <t>Nr.</t>
        </is>
      </c>
      <c r="B1" s="23" t="inlineStr">
        <is>
          <t>Lieferung / Gegenstand</t>
        </is>
      </c>
      <c r="C1" s="23" t="inlineStr">
        <is>
          <t>Paket</t>
        </is>
      </c>
      <c r="D1" s="23" t="inlineStr">
        <is>
          <t>Anlieferung geplant</t>
        </is>
      </c>
      <c r="E1" s="23" t="inlineStr">
        <is>
          <t>Ort</t>
        </is>
      </c>
      <c r="F1" s="23" t="inlineStr">
        <is>
          <t>Kran/Lift</t>
        </is>
      </c>
      <c r="G1" s="23" t="inlineStr">
        <is>
          <t>Tank/Containment</t>
        </is>
      </c>
      <c r="H1" s="23" t="inlineStr">
        <is>
          <t>Verantwortlich</t>
        </is>
      </c>
      <c r="I1" s="23" t="inlineStr">
        <is>
          <t>Status</t>
        </is>
      </c>
      <c r="J1" s="23" t="inlineStr">
        <is>
          <t>Bemerkung</t>
        </is>
      </c>
    </row>
    <row r="2">
      <c r="A2" s="29" t="n">
        <v>1</v>
      </c>
      <c r="B2" s="38" t="inlineStr">
        <is>
          <t>Headloads (54x 200 kW)</t>
        </is>
      </c>
      <c r="C2" s="29" t="inlineStr">
        <is>
          <t>Headload</t>
        </is>
      </c>
      <c r="D2" s="26" t="n">
        <v>46237</v>
      </c>
      <c r="E2" s="38" t="inlineStr">
        <is>
          <t>ZRH12 Winterthur</t>
        </is>
      </c>
      <c r="F2" s="29" t="inlineStr">
        <is>
          <t>ja</t>
        </is>
      </c>
      <c r="G2" s="38" t="inlineStr">
        <is>
          <t>-</t>
        </is>
      </c>
      <c r="H2" s="29" t="inlineStr">
        <is>
          <t>Aggreko</t>
        </is>
      </c>
      <c r="I2" s="29" t="inlineStr">
        <is>
          <t>offen</t>
        </is>
      </c>
      <c r="J2" s="38" t="inlineStr">
        <is>
          <t>Lift Plan + Rigger; 8-t-Kranhub</t>
        </is>
      </c>
    </row>
    <row r="3">
      <c r="A3" s="29" t="n">
        <v>2</v>
      </c>
      <c r="B3" s="38" t="inlineStr">
        <is>
          <t>Loadbank 6 MVA</t>
        </is>
      </c>
      <c r="C3" s="29" t="inlineStr">
        <is>
          <t>Loadbank</t>
        </is>
      </c>
      <c r="D3" s="26" t="n">
        <v>46251</v>
      </c>
      <c r="E3" s="38" t="inlineStr">
        <is>
          <t>ZRH12 Winterthur</t>
        </is>
      </c>
      <c r="F3" s="29" t="inlineStr">
        <is>
          <t>ja</t>
        </is>
      </c>
      <c r="G3" s="38" t="inlineStr">
        <is>
          <t>-</t>
        </is>
      </c>
      <c r="H3" s="29" t="inlineStr">
        <is>
          <t>Aggreko</t>
        </is>
      </c>
      <c r="I3" s="29" t="inlineStr">
        <is>
          <t>offen</t>
        </is>
      </c>
      <c r="J3" s="38" t="inlineStr">
        <is>
          <t>Kranfrage klaeren</t>
        </is>
      </c>
    </row>
    <row r="4">
      <c r="A4" s="29" t="n">
        <v>3</v>
      </c>
      <c r="B4" s="38" t="inlineStr">
        <is>
          <t>Tank / Betankung</t>
        </is>
      </c>
      <c r="C4" s="29" t="inlineStr">
        <is>
          <t>Headload</t>
        </is>
      </c>
      <c r="D4" s="29" t="inlineStr">
        <is>
          <t>vor Testbeginn</t>
        </is>
      </c>
      <c r="E4" s="38" t="inlineStr">
        <is>
          <t>ZRH12 Winterthur</t>
        </is>
      </c>
      <c r="F4" s="29" t="inlineStr">
        <is>
          <t>nein</t>
        </is>
      </c>
      <c r="G4" s="38" t="inlineStr">
        <is>
          <t>110%-Auffangwanne</t>
        </is>
      </c>
      <c r="H4" s="29" t="inlineStr">
        <is>
          <t>Burak</t>
        </is>
      </c>
      <c r="I4" s="29" t="inlineStr">
        <is>
          <t>offen</t>
        </is>
      </c>
      <c r="J4" s="38" t="inlineStr">
        <is>
          <t>Standort im Logistikplan Rev. C04</t>
        </is>
      </c>
    </row>
    <row r="5">
      <c r="A5" s="29" t="n">
        <v>4</v>
      </c>
      <c r="B5" s="38" t="inlineStr">
        <is>
          <t>Kabel- &amp; Anschlussmaterial</t>
        </is>
      </c>
      <c r="C5" s="29" t="inlineStr">
        <is>
          <t>beide</t>
        </is>
      </c>
      <c r="D5" s="29" t="inlineStr">
        <is>
          <t>vor Testbeginn</t>
        </is>
      </c>
      <c r="E5" s="38" t="inlineStr">
        <is>
          <t>ZRH12 Winterthur</t>
        </is>
      </c>
      <c r="F5" s="29" t="inlineStr">
        <is>
          <t>nein</t>
        </is>
      </c>
      <c r="G5" s="38" t="inlineStr">
        <is>
          <t>-</t>
        </is>
      </c>
      <c r="H5" s="29" t="inlineStr">
        <is>
          <t>Aggreko</t>
        </is>
      </c>
      <c r="I5" s="29" t="inlineStr">
        <is>
          <t>offen</t>
        </is>
      </c>
      <c r="J5" s="38" t="inlineStr"/>
    </row>
    <row r="6">
      <c r="A6" s="29" t="n">
        <v>5</v>
      </c>
      <c r="B6" s="38" t="inlineStr">
        <is>
          <t>Ruecktransport Loadbank</t>
        </is>
      </c>
      <c r="C6" s="29" t="inlineStr">
        <is>
          <t>Loadbank</t>
        </is>
      </c>
      <c r="D6" s="26" t="n">
        <v>46328</v>
      </c>
      <c r="E6" s="38" t="inlineStr">
        <is>
          <t>ab ZRH12</t>
        </is>
      </c>
      <c r="F6" s="29" t="inlineStr">
        <is>
          <t>ja</t>
        </is>
      </c>
      <c r="G6" s="38" t="inlineStr">
        <is>
          <t>-</t>
        </is>
      </c>
      <c r="H6" s="29" t="inlineStr">
        <is>
          <t>Aggreko</t>
        </is>
      </c>
      <c r="I6" s="29" t="inlineStr">
        <is>
          <t>offen</t>
        </is>
      </c>
      <c r="J6" s="38" t="inlineStr">
        <is>
          <t>Off-Hire 5 Arbeitstage vorher melden</t>
        </is>
      </c>
    </row>
    <row r="7">
      <c r="A7" s="29" t="n">
        <v>6</v>
      </c>
      <c r="B7" s="38" t="inlineStr">
        <is>
          <t>Ruecktransport Headloads</t>
        </is>
      </c>
      <c r="C7" s="29" t="inlineStr">
        <is>
          <t>Headload</t>
        </is>
      </c>
      <c r="D7" s="26" t="n">
        <v>46367</v>
      </c>
      <c r="E7" s="38" t="inlineStr">
        <is>
          <t>ab ZRH12</t>
        </is>
      </c>
      <c r="F7" s="29" t="inlineStr">
        <is>
          <t>ja</t>
        </is>
      </c>
      <c r="G7" s="38" t="inlineStr">
        <is>
          <t>-</t>
        </is>
      </c>
      <c r="H7" s="29" t="inlineStr">
        <is>
          <t>Aggreko</t>
        </is>
      </c>
      <c r="I7" s="29" t="inlineStr">
        <is>
          <t>offen</t>
        </is>
      </c>
      <c r="J7" s="38" t="inlineStr">
        <is>
          <t>Off-Hire 5 Arbeitstage vorher melden</t>
        </is>
      </c>
    </row>
    <row r="8">
      <c r="A8" s="29" t="n">
        <v>7</v>
      </c>
      <c r="B8" s="38" t="inlineStr">
        <is>
          <t>Demontage &amp; Abtransport</t>
        </is>
      </c>
      <c r="C8" s="29" t="inlineStr">
        <is>
          <t>beide</t>
        </is>
      </c>
      <c r="D8" s="26" t="n">
        <v>46370</v>
      </c>
      <c r="E8" s="38" t="inlineStr">
        <is>
          <t>ZRH12 Winterthur</t>
        </is>
      </c>
      <c r="F8" s="29" t="inlineStr">
        <is>
          <t>ja</t>
        </is>
      </c>
      <c r="G8" s="38" t="inlineStr">
        <is>
          <t>-</t>
        </is>
      </c>
      <c r="H8" s="29" t="inlineStr">
        <is>
          <t>Aggreko</t>
        </is>
      </c>
      <c r="I8" s="29" t="inlineStr">
        <is>
          <t>offen</t>
        </is>
      </c>
      <c r="J8" s="38" t="inlineStr"/>
    </row>
  </sheetData>
  <conditionalFormatting sqref="I2:I8">
    <cfRule type="cellIs" priority="1" operator="equal" dxfId="3">
      <formula>"geliefert"</formula>
    </cfRule>
    <cfRule type="cellIs" priority="2" operator="equal" dxfId="3">
      <formula>"zurueck"</formula>
    </cfRule>
    <cfRule type="cellIs" priority="3" operator="equal" dxfId="6">
      <formula>"verschoben"</formula>
    </cfRule>
    <cfRule type="cellIs" priority="4" operator="equal" dxfId="5">
      <formula>"geplant"</formula>
    </cfRule>
  </conditionalFormatting>
  <dataValidations count="4">
    <dataValidation sqref="C2:C8" showDropDown="0" showInputMessage="0" showErrorMessage="0" allowBlank="1" errorTitle="Ungueltige Eingabe" error="Bitte einen Wert aus der Liste waehlen." prompt="Wert aus Dropdown waehlen" type="list">
      <formula1>"Loadbank,Headload,beide"</formula1>
    </dataValidation>
    <dataValidation sqref="F2:F8" showDropDown="0" showInputMessage="0" showErrorMessage="0" allowBlank="1" errorTitle="Ungueltige Eingabe" error="Bitte einen Wert aus der Liste waehlen." prompt="Wert aus Dropdown waehlen" type="list">
      <formula1>"ja,nein,offen"</formula1>
    </dataValidation>
    <dataValidation sqref="H2:H8" showDropDown="0" showInputMessage="0" showErrorMessage="0" allowBlank="1" errorTitle="Ungueltige Eingabe" error="Bitte einen Wert aus der Liste waehlen." prompt="Wert aus Dropdown waehlen" type="list">
      <formula1>"Burak,Markus,Aggreko,DPR,MiT"</formula1>
    </dataValidation>
    <dataValidation sqref="I2:I8" showDropDown="0" showInputMessage="0" showErrorMessage="0" allowBlank="1" errorTitle="Ungueltige Eingabe" error="Bitte einen Wert aus der Liste waehlen." prompt="Wert aus Dropdown waehlen" type="list">
      <formula1>"offen,geplant,geliefert,zurueck,verschoben"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3" customWidth="1" min="4" max="4"/>
    <col width="11" customWidth="1" min="5" max="5"/>
    <col width="11" customWidth="1" min="6" max="6"/>
    <col width="9" customWidth="1" min="7" max="7"/>
    <col width="15" customWidth="1" min="8" max="8"/>
    <col width="13" customWidth="1" min="9" max="9"/>
    <col width="13" customWidth="1" min="10" max="10"/>
    <col width="26" customWidth="1" min="11" max="11"/>
  </cols>
  <sheetData>
    <row r="1">
      <c r="A1" s="23" t="inlineStr">
        <is>
          <t>Nr.</t>
        </is>
      </c>
      <c r="B1" s="23" t="inlineStr">
        <is>
          <t>Test / Messung</t>
        </is>
      </c>
      <c r="C1" s="23" t="inlineStr">
        <is>
          <t>Paket</t>
        </is>
      </c>
      <c r="D1" s="23" t="inlineStr">
        <is>
          <t>Datum</t>
        </is>
      </c>
      <c r="E1" s="23" t="inlineStr">
        <is>
          <t>Sollwert</t>
        </is>
      </c>
      <c r="F1" s="23" t="inlineStr">
        <is>
          <t>Istwert</t>
        </is>
      </c>
      <c r="G1" s="23" t="inlineStr">
        <is>
          <t>Einheit</t>
        </is>
      </c>
      <c r="H1" s="23" t="inlineStr">
        <is>
          <t>Ergebnis</t>
        </is>
      </c>
      <c r="I1" s="23" t="inlineStr">
        <is>
          <t>Pruefer</t>
        </is>
      </c>
      <c r="J1" s="23" t="inlineStr">
        <is>
          <t>Foto/Nachweis</t>
        </is>
      </c>
      <c r="K1" s="23" t="inlineStr">
        <is>
          <t>Bemerkung</t>
        </is>
      </c>
    </row>
    <row r="2">
      <c r="A2" s="29" t="n">
        <v>1</v>
      </c>
      <c r="B2" s="38" t="inlineStr">
        <is>
          <t>Sichtpruefung &amp; Anschlusskontrolle</t>
        </is>
      </c>
      <c r="C2" s="29" t="inlineStr">
        <is>
          <t>Loadbank</t>
        </is>
      </c>
      <c r="D2" s="26" t="n"/>
      <c r="E2" s="29" t="inlineStr">
        <is>
          <t>i.O.</t>
        </is>
      </c>
      <c r="F2" s="29" t="n"/>
      <c r="G2" s="29" t="inlineStr">
        <is>
          <t>-</t>
        </is>
      </c>
      <c r="H2" s="29" t="inlineStr">
        <is>
          <t>offen</t>
        </is>
      </c>
      <c r="I2" s="29" t="inlineStr"/>
      <c r="J2" s="29" t="inlineStr">
        <is>
          <t>offen</t>
        </is>
      </c>
      <c r="K2" s="38" t="inlineStr"/>
    </row>
    <row r="3">
      <c r="A3" s="29" t="n">
        <v>2</v>
      </c>
      <c r="B3" s="38" t="inlineStr">
        <is>
          <t>Isolationspruefung</t>
        </is>
      </c>
      <c r="C3" s="29" t="inlineStr">
        <is>
          <t>Loadbank</t>
        </is>
      </c>
      <c r="D3" s="26" t="n"/>
      <c r="E3" s="29" t="inlineStr"/>
      <c r="F3" s="29" t="n"/>
      <c r="G3" s="29" t="inlineStr">
        <is>
          <t>MOhm</t>
        </is>
      </c>
      <c r="H3" s="29" t="inlineStr">
        <is>
          <t>offen</t>
        </is>
      </c>
      <c r="I3" s="29" t="inlineStr"/>
      <c r="J3" s="29" t="inlineStr">
        <is>
          <t>offen</t>
        </is>
      </c>
      <c r="K3" s="38" t="inlineStr"/>
    </row>
    <row r="4">
      <c r="A4" s="29" t="n">
        <v>3</v>
      </c>
      <c r="B4" s="38" t="inlineStr">
        <is>
          <t>Lastschritt 25% (1.5 MVA)</t>
        </is>
      </c>
      <c r="C4" s="29" t="inlineStr">
        <is>
          <t>Loadbank</t>
        </is>
      </c>
      <c r="D4" s="26" t="n"/>
      <c r="E4" s="29" t="n">
        <v>1.5</v>
      </c>
      <c r="F4" s="29" t="n"/>
      <c r="G4" s="29" t="inlineStr">
        <is>
          <t>MVA</t>
        </is>
      </c>
      <c r="H4" s="29" t="inlineStr">
        <is>
          <t>offen</t>
        </is>
      </c>
      <c r="I4" s="29" t="inlineStr"/>
      <c r="J4" s="29" t="inlineStr">
        <is>
          <t>offen</t>
        </is>
      </c>
      <c r="K4" s="38" t="inlineStr"/>
    </row>
    <row r="5">
      <c r="A5" s="29" t="n">
        <v>4</v>
      </c>
      <c r="B5" s="38" t="inlineStr">
        <is>
          <t>Lastschritt 50% (3.0 MVA)</t>
        </is>
      </c>
      <c r="C5" s="29" t="inlineStr">
        <is>
          <t>Loadbank</t>
        </is>
      </c>
      <c r="D5" s="26" t="n"/>
      <c r="E5" s="29" t="n">
        <v>3</v>
      </c>
      <c r="F5" s="29" t="n"/>
      <c r="G5" s="29" t="inlineStr">
        <is>
          <t>MVA</t>
        </is>
      </c>
      <c r="H5" s="29" t="inlineStr">
        <is>
          <t>offen</t>
        </is>
      </c>
      <c r="I5" s="29" t="inlineStr"/>
      <c r="J5" s="29" t="inlineStr">
        <is>
          <t>offen</t>
        </is>
      </c>
      <c r="K5" s="38" t="inlineStr"/>
    </row>
    <row r="6">
      <c r="A6" s="29" t="n">
        <v>5</v>
      </c>
      <c r="B6" s="38" t="inlineStr">
        <is>
          <t>Lastschritt 75% (4.5 MVA)</t>
        </is>
      </c>
      <c r="C6" s="29" t="inlineStr">
        <is>
          <t>Loadbank</t>
        </is>
      </c>
      <c r="D6" s="26" t="n"/>
      <c r="E6" s="29" t="n">
        <v>4.5</v>
      </c>
      <c r="F6" s="29" t="n"/>
      <c r="G6" s="29" t="inlineStr">
        <is>
          <t>MVA</t>
        </is>
      </c>
      <c r="H6" s="29" t="inlineStr">
        <is>
          <t>offen</t>
        </is>
      </c>
      <c r="I6" s="29" t="inlineStr"/>
      <c r="J6" s="29" t="inlineStr">
        <is>
          <t>offen</t>
        </is>
      </c>
      <c r="K6" s="38" t="inlineStr"/>
    </row>
    <row r="7">
      <c r="A7" s="29" t="n">
        <v>6</v>
      </c>
      <c r="B7" s="38" t="inlineStr">
        <is>
          <t>Lastschritt 100% (6.0 MVA)</t>
        </is>
      </c>
      <c r="C7" s="29" t="inlineStr">
        <is>
          <t>Loadbank</t>
        </is>
      </c>
      <c r="D7" s="26" t="n"/>
      <c r="E7" s="29" t="n">
        <v>6</v>
      </c>
      <c r="F7" s="29" t="n"/>
      <c r="G7" s="29" t="inlineStr">
        <is>
          <t>MVA</t>
        </is>
      </c>
      <c r="H7" s="29" t="inlineStr">
        <is>
          <t>offen</t>
        </is>
      </c>
      <c r="I7" s="29" t="inlineStr"/>
      <c r="J7" s="29" t="inlineStr">
        <is>
          <t>offen</t>
        </is>
      </c>
      <c r="K7" s="38" t="inlineStr"/>
    </row>
    <row r="8">
      <c r="A8" s="29" t="n">
        <v>7</v>
      </c>
      <c r="B8" s="38" t="inlineStr">
        <is>
          <t>Frequenzstabilitaet</t>
        </is>
      </c>
      <c r="C8" s="29" t="inlineStr">
        <is>
          <t>Loadbank</t>
        </is>
      </c>
      <c r="D8" s="26" t="n"/>
      <c r="E8" s="29" t="n">
        <v>50</v>
      </c>
      <c r="F8" s="29" t="n"/>
      <c r="G8" s="29" t="inlineStr">
        <is>
          <t>Hz</t>
        </is>
      </c>
      <c r="H8" s="29" t="inlineStr">
        <is>
          <t>offen</t>
        </is>
      </c>
      <c r="I8" s="29" t="inlineStr"/>
      <c r="J8" s="29" t="inlineStr">
        <is>
          <t>offen</t>
        </is>
      </c>
      <c r="K8" s="38" t="inlineStr"/>
    </row>
    <row r="9">
      <c r="A9" s="29" t="n">
        <v>8</v>
      </c>
      <c r="B9" s="38" t="inlineStr">
        <is>
          <t>Sichtpruefung Headloads</t>
        </is>
      </c>
      <c r="C9" s="29" t="inlineStr">
        <is>
          <t>Headload</t>
        </is>
      </c>
      <c r="D9" s="26" t="n"/>
      <c r="E9" s="29" t="inlineStr">
        <is>
          <t>i.O.</t>
        </is>
      </c>
      <c r="F9" s="29" t="n"/>
      <c r="G9" s="29" t="inlineStr">
        <is>
          <t>-</t>
        </is>
      </c>
      <c r="H9" s="29" t="inlineStr">
        <is>
          <t>offen</t>
        </is>
      </c>
      <c r="I9" s="29" t="inlineStr"/>
      <c r="J9" s="29" t="inlineStr">
        <is>
          <t>offen</t>
        </is>
      </c>
      <c r="K9" s="38" t="inlineStr"/>
    </row>
    <row r="10">
      <c r="A10" s="29" t="n">
        <v>9</v>
      </c>
      <c r="B10" s="38" t="inlineStr">
        <is>
          <t>Lastschritt 2 MW</t>
        </is>
      </c>
      <c r="C10" s="29" t="inlineStr">
        <is>
          <t>Headload</t>
        </is>
      </c>
      <c r="D10" s="26" t="n"/>
      <c r="E10" s="29" t="n">
        <v>2</v>
      </c>
      <c r="F10" s="29" t="n"/>
      <c r="G10" s="29" t="inlineStr">
        <is>
          <t>MW</t>
        </is>
      </c>
      <c r="H10" s="29" t="inlineStr">
        <is>
          <t>offen</t>
        </is>
      </c>
      <c r="I10" s="29" t="inlineStr"/>
      <c r="J10" s="29" t="inlineStr">
        <is>
          <t>offen</t>
        </is>
      </c>
      <c r="K10" s="38" t="inlineStr"/>
    </row>
    <row r="11">
      <c r="A11" s="29" t="n">
        <v>10</v>
      </c>
      <c r="B11" s="38" t="inlineStr">
        <is>
          <t>Lastschritt 3 MW (Abruf-Block)</t>
        </is>
      </c>
      <c r="C11" s="29" t="inlineStr">
        <is>
          <t>Headload</t>
        </is>
      </c>
      <c r="D11" s="26" t="n"/>
      <c r="E11" s="29" t="n">
        <v>3</v>
      </c>
      <c r="F11" s="29" t="n"/>
      <c r="G11" s="29" t="inlineStr">
        <is>
          <t>MW</t>
        </is>
      </c>
      <c r="H11" s="29" t="inlineStr">
        <is>
          <t>offen</t>
        </is>
      </c>
      <c r="I11" s="29" t="inlineStr"/>
      <c r="J11" s="29" t="inlineStr">
        <is>
          <t>offen</t>
        </is>
      </c>
      <c r="K11" s="38" t="inlineStr"/>
    </row>
    <row r="12">
      <c r="A12" s="29" t="n">
        <v>11</v>
      </c>
      <c r="B12" s="38" t="inlineStr">
        <is>
          <t>Lastschritt 4 MW</t>
        </is>
      </c>
      <c r="C12" s="29" t="inlineStr">
        <is>
          <t>Headload</t>
        </is>
      </c>
      <c r="D12" s="26" t="n"/>
      <c r="E12" s="29" t="n">
        <v>4</v>
      </c>
      <c r="F12" s="29" t="n"/>
      <c r="G12" s="29" t="inlineStr">
        <is>
          <t>MW</t>
        </is>
      </c>
      <c r="H12" s="29" t="inlineStr">
        <is>
          <t>offen</t>
        </is>
      </c>
      <c r="I12" s="29" t="inlineStr"/>
      <c r="J12" s="29" t="inlineStr">
        <is>
          <t>offen</t>
        </is>
      </c>
      <c r="K12" s="38" t="inlineStr"/>
    </row>
    <row r="13">
      <c r="A13" s="29" t="n">
        <v>12</v>
      </c>
      <c r="B13" s="38" t="inlineStr">
        <is>
          <t>Lastschritt 5 MW (Abruf-Block)</t>
        </is>
      </c>
      <c r="C13" s="29" t="inlineStr">
        <is>
          <t>Headload</t>
        </is>
      </c>
      <c r="D13" s="26" t="n"/>
      <c r="E13" s="29" t="n">
        <v>5</v>
      </c>
      <c r="F13" s="29" t="n"/>
      <c r="G13" s="29" t="inlineStr">
        <is>
          <t>MW</t>
        </is>
      </c>
      <c r="H13" s="29" t="inlineStr">
        <is>
          <t>offen</t>
        </is>
      </c>
      <c r="I13" s="29" t="inlineStr"/>
      <c r="J13" s="29" t="inlineStr">
        <is>
          <t>offen</t>
        </is>
      </c>
      <c r="K13" s="38" t="inlineStr"/>
    </row>
    <row r="14">
      <c r="A14" s="29" t="n">
        <v>13</v>
      </c>
      <c r="B14" s="38" t="inlineStr">
        <is>
          <t>Lastschritt 6 MW</t>
        </is>
      </c>
      <c r="C14" s="29" t="inlineStr">
        <is>
          <t>Headload</t>
        </is>
      </c>
      <c r="D14" s="26" t="n"/>
      <c r="E14" s="29" t="n">
        <v>6</v>
      </c>
      <c r="F14" s="29" t="n"/>
      <c r="G14" s="29" t="inlineStr">
        <is>
          <t>MW</t>
        </is>
      </c>
      <c r="H14" s="29" t="inlineStr">
        <is>
          <t>offen</t>
        </is>
      </c>
      <c r="I14" s="29" t="inlineStr"/>
      <c r="J14" s="29" t="inlineStr">
        <is>
          <t>offen</t>
        </is>
      </c>
      <c r="K14" s="38" t="inlineStr"/>
    </row>
    <row r="15">
      <c r="A15" s="29" t="n">
        <v>14</v>
      </c>
      <c r="B15" s="38" t="inlineStr">
        <is>
          <t>Lastschritt 8 MW (Volllast)</t>
        </is>
      </c>
      <c r="C15" s="29" t="inlineStr">
        <is>
          <t>Headload</t>
        </is>
      </c>
      <c r="D15" s="26" t="n"/>
      <c r="E15" s="29" t="n">
        <v>8</v>
      </c>
      <c r="F15" s="29" t="n"/>
      <c r="G15" s="29" t="inlineStr">
        <is>
          <t>MW</t>
        </is>
      </c>
      <c r="H15" s="29" t="inlineStr">
        <is>
          <t>offen</t>
        </is>
      </c>
      <c r="I15" s="29" t="inlineStr"/>
      <c r="J15" s="29" t="inlineStr">
        <is>
          <t>offen</t>
        </is>
      </c>
      <c r="K15" s="38" t="inlineStr"/>
    </row>
    <row r="16">
      <c r="A16" s="29" t="n">
        <v>15</v>
      </c>
      <c r="B16" s="38" t="inlineStr">
        <is>
          <t>Waermeabfuhr-Nachweis (Dauerlauf)</t>
        </is>
      </c>
      <c r="C16" s="29" t="inlineStr">
        <is>
          <t>Headload</t>
        </is>
      </c>
      <c r="D16" s="26" t="n"/>
      <c r="E16" s="29" t="inlineStr">
        <is>
          <t>-</t>
        </is>
      </c>
      <c r="F16" s="29" t="n"/>
      <c r="G16" s="29" t="inlineStr">
        <is>
          <t>-</t>
        </is>
      </c>
      <c r="H16" s="29" t="inlineStr">
        <is>
          <t>offen</t>
        </is>
      </c>
      <c r="I16" s="29" t="inlineStr"/>
      <c r="J16" s="29" t="inlineStr">
        <is>
          <t>offen</t>
        </is>
      </c>
      <c r="K16" s="38" t="inlineStr"/>
    </row>
    <row r="17">
      <c r="A17" s="29" t="n">
        <v>16</v>
      </c>
      <c r="B17" s="38" t="inlineStr">
        <is>
          <t>Not-Aus / Sicherheitskette</t>
        </is>
      </c>
      <c r="C17" s="29" t="inlineStr">
        <is>
          <t>beide</t>
        </is>
      </c>
      <c r="D17" s="26" t="n"/>
      <c r="E17" s="29" t="inlineStr">
        <is>
          <t>i.O.</t>
        </is>
      </c>
      <c r="F17" s="29" t="n"/>
      <c r="G17" s="29" t="inlineStr">
        <is>
          <t>-</t>
        </is>
      </c>
      <c r="H17" s="29" t="inlineStr">
        <is>
          <t>offen</t>
        </is>
      </c>
      <c r="I17" s="29" t="inlineStr"/>
      <c r="J17" s="29" t="inlineStr">
        <is>
          <t>offen</t>
        </is>
      </c>
      <c r="K17" s="38" t="inlineStr"/>
    </row>
    <row r="19">
      <c r="B19" s="31" t="inlineStr">
        <is>
          <t>Istwerte, Datum, Pruefer und Foto-Nachweis vor Ort eintragen. Ergebnis = Basis fuer das Closeout-Paket. Keine Fotos nach aussen (NDA).</t>
        </is>
      </c>
    </row>
  </sheetData>
  <mergeCells count="1">
    <mergeCell ref="B19:K19"/>
  </mergeCells>
  <conditionalFormatting sqref="H2:H17">
    <cfRule type="cellIs" priority="1" operator="equal" dxfId="3">
      <formula>"bestanden"</formula>
    </cfRule>
    <cfRule type="cellIs" priority="2" operator="equal" dxfId="4">
      <formula>"nicht bestanden"</formula>
    </cfRule>
  </conditionalFormatting>
  <conditionalFormatting sqref="J2:J17">
    <cfRule type="cellIs" priority="3" operator="equal" dxfId="3">
      <formula>"ja"</formula>
    </cfRule>
  </conditionalFormatting>
  <dataValidations count="4">
    <dataValidation sqref="C2:C17" showDropDown="0" showInputMessage="0" showErrorMessage="0" allowBlank="1" errorTitle="Ungueltige Eingabe" error="Bitte einen Wert aus der Liste waehlen." prompt="Wert aus Dropdown waehlen" type="list">
      <formula1>"Loadbank,Headload,beide"</formula1>
    </dataValidation>
    <dataValidation sqref="H2:H17" showDropDown="0" showInputMessage="0" showErrorMessage="0" allowBlank="1" errorTitle="Ungueltige Eingabe" error="Bitte einen Wert aus der Liste waehlen." prompt="Wert aus Dropdown waehlen" type="list">
      <formula1>"bestanden,nicht bestanden,offen,n.a."</formula1>
    </dataValidation>
    <dataValidation sqref="I2:I17" showDropDown="0" showInputMessage="0" showErrorMessage="0" allowBlank="1" errorTitle="Ungueltige Eingabe" error="Bitte einen Wert aus der Liste waehlen." prompt="Wert aus Dropdown waehlen" type="list">
      <formula1>"Samuel,Burak,Aggreko,MiT,DPR"</formula1>
    </dataValidation>
    <dataValidation sqref="J2:J17" showDropDown="0" showInputMessage="0" showErrorMessage="0" allowBlank="1" errorTitle="Ungueltige Eingabe" error="Bitte einen Wert aus der Liste waehlen." prompt="Wert aus Dropdown waehlen" type="list">
      <formula1>"ja,nein,offen"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20" customWidth="1" min="5" max="5"/>
    <col width="18" customWidth="1" min="6" max="6"/>
    <col width="14" customWidth="1" min="7" max="7"/>
    <col width="34" customWidth="1" min="8" max="8"/>
  </cols>
  <sheetData>
    <row r="1">
      <c r="A1" s="23" t="inlineStr">
        <is>
          <t>Nr.</t>
        </is>
      </c>
      <c r="B1" s="23" t="inlineStr">
        <is>
          <t>Datum</t>
        </is>
      </c>
      <c r="C1" s="23" t="inlineStr">
        <is>
          <t>Menge (Liter)</t>
        </is>
      </c>
      <c r="D1" s="23" t="inlineStr">
        <is>
          <t>Lieferschein-Nr.</t>
        </is>
      </c>
      <c r="E1" s="23" t="inlineStr">
        <is>
          <t>Zoll-Kategorie</t>
        </is>
      </c>
      <c r="F1" s="23" t="inlineStr">
        <is>
          <t>Auffangwanne geprueft</t>
        </is>
      </c>
      <c r="G1" s="23" t="inlineStr">
        <is>
          <t>Erfasst von</t>
        </is>
      </c>
      <c r="H1" s="23" t="inlineStr">
        <is>
          <t>Bemerkung</t>
        </is>
      </c>
    </row>
    <row r="2">
      <c r="A2" s="29" t="n">
        <v>1</v>
      </c>
      <c r="B2" s="26" t="n"/>
      <c r="C2" s="44" t="n"/>
      <c r="D2" s="29" t="n"/>
      <c r="E2" s="29" t="n"/>
      <c r="F2" s="29" t="n"/>
      <c r="G2" s="29" t="n"/>
      <c r="H2" s="38" t="n"/>
    </row>
    <row r="3">
      <c r="A3" s="29" t="n">
        <v>2</v>
      </c>
      <c r="B3" s="26" t="n"/>
      <c r="C3" s="44" t="n"/>
      <c r="D3" s="29" t="n"/>
      <c r="E3" s="29" t="n"/>
      <c r="F3" s="29" t="n"/>
      <c r="G3" s="29" t="n"/>
      <c r="H3" s="38" t="n"/>
    </row>
    <row r="4">
      <c r="A4" s="29" t="n">
        <v>3</v>
      </c>
      <c r="B4" s="26" t="n"/>
      <c r="C4" s="44" t="n"/>
      <c r="D4" s="29" t="n"/>
      <c r="E4" s="29" t="n"/>
      <c r="F4" s="29" t="n"/>
      <c r="G4" s="29" t="n"/>
      <c r="H4" s="38" t="n"/>
    </row>
    <row r="5">
      <c r="A5" s="29" t="n">
        <v>4</v>
      </c>
      <c r="B5" s="26" t="n"/>
      <c r="C5" s="44" t="n"/>
      <c r="D5" s="29" t="n"/>
      <c r="E5" s="29" t="n"/>
      <c r="F5" s="29" t="n"/>
      <c r="G5" s="29" t="n"/>
      <c r="H5" s="38" t="n"/>
    </row>
    <row r="6">
      <c r="A6" s="29" t="n">
        <v>5</v>
      </c>
      <c r="B6" s="26" t="n"/>
      <c r="C6" s="44" t="n"/>
      <c r="D6" s="29" t="n"/>
      <c r="E6" s="29" t="n"/>
      <c r="F6" s="29" t="n"/>
      <c r="G6" s="29" t="n"/>
      <c r="H6" s="38" t="n"/>
    </row>
    <row r="7">
      <c r="A7" s="29" t="n">
        <v>6</v>
      </c>
      <c r="B7" s="26" t="n"/>
      <c r="C7" s="44" t="n"/>
      <c r="D7" s="29" t="n"/>
      <c r="E7" s="29" t="n"/>
      <c r="F7" s="29" t="n"/>
      <c r="G7" s="29" t="n"/>
      <c r="H7" s="38" t="n"/>
    </row>
    <row r="8">
      <c r="A8" s="29" t="n">
        <v>7</v>
      </c>
      <c r="B8" s="26" t="n"/>
      <c r="C8" s="44" t="n"/>
      <c r="D8" s="29" t="n"/>
      <c r="E8" s="29" t="n"/>
      <c r="F8" s="29" t="n"/>
      <c r="G8" s="29" t="n"/>
      <c r="H8" s="38" t="n"/>
    </row>
    <row r="9">
      <c r="A9" s="29" t="n">
        <v>8</v>
      </c>
      <c r="B9" s="26" t="n"/>
      <c r="C9" s="44" t="n"/>
      <c r="D9" s="29" t="n"/>
      <c r="E9" s="29" t="n"/>
      <c r="F9" s="29" t="n"/>
      <c r="G9" s="29" t="n"/>
      <c r="H9" s="38" t="n"/>
    </row>
    <row r="10">
      <c r="A10" s="29" t="n">
        <v>9</v>
      </c>
      <c r="B10" s="26" t="n"/>
      <c r="C10" s="44" t="n"/>
      <c r="D10" s="29" t="n"/>
      <c r="E10" s="29" t="n"/>
      <c r="F10" s="29" t="n"/>
      <c r="G10" s="29" t="n"/>
      <c r="H10" s="38" t="n"/>
    </row>
    <row r="11">
      <c r="A11" s="29" t="n">
        <v>10</v>
      </c>
      <c r="B11" s="26" t="n"/>
      <c r="C11" s="44" t="n"/>
      <c r="D11" s="29" t="n"/>
      <c r="E11" s="29" t="n"/>
      <c r="F11" s="29" t="n"/>
      <c r="G11" s="29" t="n"/>
      <c r="H11" s="38" t="n"/>
    </row>
    <row r="12">
      <c r="A12" s="29" t="n">
        <v>11</v>
      </c>
      <c r="B12" s="26" t="n"/>
      <c r="C12" s="44" t="n"/>
      <c r="D12" s="29" t="n"/>
      <c r="E12" s="29" t="n"/>
      <c r="F12" s="29" t="n"/>
      <c r="G12" s="29" t="n"/>
      <c r="H12" s="38" t="n"/>
    </row>
    <row r="13">
      <c r="A13" s="29" t="n">
        <v>12</v>
      </c>
      <c r="B13" s="26" t="n"/>
      <c r="C13" s="44" t="n"/>
      <c r="D13" s="29" t="n"/>
      <c r="E13" s="29" t="n"/>
      <c r="F13" s="29" t="n"/>
      <c r="G13" s="29" t="n"/>
      <c r="H13" s="38" t="n"/>
    </row>
    <row r="14">
      <c r="A14" s="29" t="n">
        <v>13</v>
      </c>
      <c r="B14" s="26" t="n"/>
      <c r="C14" s="44" t="n"/>
      <c r="D14" s="29" t="n"/>
      <c r="E14" s="29" t="n"/>
      <c r="F14" s="29" t="n"/>
      <c r="G14" s="29" t="n"/>
      <c r="H14" s="38" t="n"/>
    </row>
    <row r="15">
      <c r="A15" s="29" t="n">
        <v>14</v>
      </c>
      <c r="B15" s="26" t="n"/>
      <c r="C15" s="44" t="n"/>
      <c r="D15" s="29" t="n"/>
      <c r="E15" s="29" t="n"/>
      <c r="F15" s="29" t="n"/>
      <c r="G15" s="29" t="n"/>
      <c r="H15" s="38" t="n"/>
    </row>
    <row r="16">
      <c r="A16" s="29" t="n">
        <v>15</v>
      </c>
      <c r="B16" s="26" t="n"/>
      <c r="C16" s="44" t="n"/>
      <c r="D16" s="29" t="n"/>
      <c r="E16" s="29" t="n"/>
      <c r="F16" s="29" t="n"/>
      <c r="G16" s="29" t="n"/>
      <c r="H16" s="38" t="n"/>
    </row>
    <row r="18">
      <c r="B18" s="32" t="inlineStr">
        <is>
          <t>Total Liter</t>
        </is>
      </c>
      <c r="C18" s="45">
        <f>SUM(FuelLog[Menge (Liter)])</f>
        <v/>
      </c>
    </row>
    <row r="19">
      <c r="B19" s="31" t="inlineStr">
        <is>
          <t>Kraftstoff = definitive Einfuhr (Zoll!). Fuel Unreturned wird mit EUR 2.20/l belastet. Betankung nur am Standort mit 110%-Auffangwanne.</t>
        </is>
      </c>
    </row>
  </sheetData>
  <mergeCells count="1">
    <mergeCell ref="B19:H19"/>
  </mergeCells>
  <conditionalFormatting sqref="F2:F16">
    <cfRule type="cellIs" priority="1" operator="equal" dxfId="11">
      <formula>"nein"</formula>
    </cfRule>
  </conditionalFormatting>
  <dataValidations count="3">
    <dataValidation sqref="E2:E16" showDropDown="0" showInputMessage="0" showErrorMessage="0" allowBlank="1" errorTitle="Ungueltige Eingabe" error="Bitte einen Wert aus der Liste waehlen." prompt="Wert aus Dropdown waehlen" type="list">
      <formula1>"definitive Einfuhr,Rueckfuhr"</formula1>
    </dataValidation>
    <dataValidation sqref="F2:F16" showDropDown="0" showInputMessage="0" showErrorMessage="0" allowBlank="1" errorTitle="Ungueltige Eingabe" error="Bitte einen Wert aus der Liste waehlen." prompt="Wert aus Dropdown waehlen" type="list">
      <formula1>"ja,nein"</formula1>
    </dataValidation>
    <dataValidation sqref="G2:G16" showDropDown="0" showInputMessage="0" showErrorMessage="0" allowBlank="1" errorTitle="Ungueltige Eingabe" error="Bitte einen Wert aus der Liste waehlen." prompt="Wert aus Dropdown waehlen" type="list">
      <formula1>"Burak,Samuel,Aggreko,MiT"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12" customWidth="1" min="4" max="4"/>
    <col width="15" customWidth="1" min="5" max="5"/>
    <col width="16" customWidth="1" min="6" max="6"/>
    <col width="13" customWidth="1" min="7" max="7"/>
    <col width="12" customWidth="1" min="8" max="8"/>
    <col width="40" customWidth="1" min="9" max="9"/>
    <col hidden="1" width="13" customWidth="1" min="11" max="11"/>
  </cols>
  <sheetData>
    <row r="1">
      <c r="A1" s="23" t="inlineStr">
        <is>
          <t>Nr.</t>
        </is>
      </c>
      <c r="B1" s="23" t="inlineStr">
        <is>
          <t>Typ</t>
        </is>
      </c>
      <c r="C1" s="23" t="inlineStr">
        <is>
          <t>Beschreibung</t>
        </is>
      </c>
      <c r="D1" s="23" t="inlineStr">
        <is>
          <t>Auswirkung</t>
        </is>
      </c>
      <c r="E1" s="23" t="inlineStr">
        <is>
          <t>Wahrscheinlichkeit</t>
        </is>
      </c>
      <c r="F1" s="23" t="inlineStr">
        <is>
          <t>Owner</t>
        </is>
      </c>
      <c r="G1" s="23" t="inlineStr">
        <is>
          <t>Termin</t>
        </is>
      </c>
      <c r="H1" s="23" t="inlineStr">
        <is>
          <t>Status</t>
        </is>
      </c>
      <c r="I1" s="23" t="inlineStr">
        <is>
          <t>Massnahme</t>
        </is>
      </c>
      <c r="K1" s="31" t="inlineStr">
        <is>
          <t>(Hilfsspalte)</t>
        </is>
      </c>
    </row>
    <row r="2">
      <c r="A2" s="29" t="n">
        <v>1</v>
      </c>
      <c r="B2" s="29" t="inlineStr">
        <is>
          <t>Stopp-Punkt</t>
        </is>
      </c>
      <c r="C2" s="38" t="inlineStr">
        <is>
          <t>PO 49A: 78 statt 110 Tage berechnet, Differenz ca. EUR 87'700</t>
        </is>
      </c>
      <c r="D2" s="29" t="inlineStr">
        <is>
          <t>hoch</t>
        </is>
      </c>
      <c r="E2" s="29" t="inlineStr">
        <is>
          <t>hoch</t>
        </is>
      </c>
      <c r="F2" s="38" t="inlineStr">
        <is>
          <t>Burak</t>
        </is>
      </c>
      <c r="G2" s="26" t="n">
        <v>46220</v>
      </c>
      <c r="H2" s="29" t="inlineStr">
        <is>
          <t>offen</t>
        </is>
      </c>
      <c r="I2" s="38" t="inlineStr">
        <is>
          <t>Korrekturliste an DPR mit korrigierter Tagesberechnung</t>
        </is>
      </c>
      <c r="K2">
        <f>IF(AND($H2&lt;&gt;"erledigt",$D2="hoch"),ROW(),"")</f>
        <v/>
      </c>
    </row>
    <row r="3">
      <c r="A3" s="29" t="n">
        <v>2</v>
      </c>
      <c r="B3" s="29" t="inlineStr">
        <is>
          <t>Stopp-Punkt</t>
        </is>
      </c>
      <c r="C3" s="38" t="inlineStr">
        <is>
          <t>PO 49B: 131 statt 110 Tage, Vertragsende 02.11. falsch, englische Anlagenliste nennt falsches Angebot</t>
        </is>
      </c>
      <c r="D3" s="29" t="inlineStr">
        <is>
          <t>hoch</t>
        </is>
      </c>
      <c r="E3" s="29" t="inlineStr">
        <is>
          <t>hoch</t>
        </is>
      </c>
      <c r="F3" s="38" t="inlineStr">
        <is>
          <t>Burak</t>
        </is>
      </c>
      <c r="G3" s="26" t="n">
        <v>46220</v>
      </c>
      <c r="H3" s="29" t="inlineStr">
        <is>
          <t>offen</t>
        </is>
      </c>
      <c r="I3" s="38" t="inlineStr">
        <is>
          <t>Korrekturliste an DPR; Anlagenliste ersetzen</t>
        </is>
      </c>
      <c r="K3">
        <f>IF(AND($H3&lt;&gt;"erledigt",$D3="hoch"),ROW(),"")</f>
        <v/>
      </c>
    </row>
    <row r="4">
      <c r="A4" s="29" t="n">
        <v>3</v>
      </c>
      <c r="B4" s="29" t="inlineStr">
        <is>
          <t>Stopp-Punkt</t>
        </is>
      </c>
      <c r="C4" s="38" t="inlineStr">
        <is>
          <t>Parteien auf MiT AG umschreiben + eigene NDA; DPR-Entitaet AG vs. GmbH klaeren</t>
        </is>
      </c>
      <c r="D4" s="29" t="inlineStr">
        <is>
          <t>hoch</t>
        </is>
      </c>
      <c r="E4" s="29" t="inlineStr">
        <is>
          <t>hoch</t>
        </is>
      </c>
      <c r="F4" s="38" t="inlineStr">
        <is>
          <t>Stefan / Stephan</t>
        </is>
      </c>
      <c r="G4" s="26" t="n">
        <v>46223</v>
      </c>
      <c r="H4" s="29" t="inlineStr">
        <is>
          <t>offen</t>
        </is>
      </c>
      <c r="I4" s="38" t="inlineStr">
        <is>
          <t>PO-Parteien anpassen, NDA MiT-DPR anstossen</t>
        </is>
      </c>
      <c r="K4">
        <f>IF(AND($H4&lt;&gt;"erledigt",$D4="hoch"),ROW(),"")</f>
        <v/>
      </c>
    </row>
    <row r="5">
      <c r="A5" s="29" t="n">
        <v>4</v>
      </c>
      <c r="B5" s="29" t="inlineStr">
        <is>
          <t>Entscheid</t>
        </is>
      </c>
      <c r="C5" s="38" t="inlineStr">
        <is>
          <t>Festpreis DPR vs. Aufwandspreise Aggreko (Transport/Techniker)</t>
        </is>
      </c>
      <c r="D5" s="29" t="inlineStr">
        <is>
          <t>hoch</t>
        </is>
      </c>
      <c r="E5" s="29" t="inlineStr">
        <is>
          <t>mittel</t>
        </is>
      </c>
      <c r="F5" s="38" t="inlineStr">
        <is>
          <t>Stefan</t>
        </is>
      </c>
      <c r="G5" s="26" t="n">
        <v>46223</v>
      </c>
      <c r="H5" s="29" t="inlineStr">
        <is>
          <t>offen</t>
        </is>
      </c>
      <c r="I5" s="38" t="inlineStr">
        <is>
          <t>Preismodell final abstimmen; Puffer einrechnen</t>
        </is>
      </c>
      <c r="K5">
        <f>IF(AND($H5&lt;&gt;"erledigt",$D5="hoch"),ROW(),"")</f>
        <v/>
      </c>
    </row>
    <row r="6">
      <c r="A6" s="29" t="n">
        <v>5</v>
      </c>
      <c r="B6" s="29" t="inlineStr">
        <is>
          <t>Stopp-Punkt</t>
        </is>
      </c>
      <c r="C6" s="38" t="inlineStr">
        <is>
          <t>Preisformel in POs nennt nur Tagesmiete, Total enthaelt aber Einmalkosten</t>
        </is>
      </c>
      <c r="D6" s="29" t="inlineStr">
        <is>
          <t>mittel</t>
        </is>
      </c>
      <c r="E6" s="29" t="inlineStr">
        <is>
          <t>hoch</t>
        </is>
      </c>
      <c r="F6" s="38" t="inlineStr">
        <is>
          <t>Burak</t>
        </is>
      </c>
      <c r="G6" s="26" t="n">
        <v>46220</v>
      </c>
      <c r="H6" s="29" t="inlineStr">
        <is>
          <t>offen</t>
        </is>
      </c>
      <c r="I6" s="38" t="inlineStr">
        <is>
          <t>In Korrekturliste aufnehmen</t>
        </is>
      </c>
      <c r="K6">
        <f>IF(AND($H6&lt;&gt;"erledigt",$D6="hoch"),ROW(),"")</f>
        <v/>
      </c>
    </row>
    <row r="7">
      <c r="A7" s="29" t="n">
        <v>6</v>
      </c>
      <c r="B7" s="29" t="inlineStr">
        <is>
          <t>Risiko</t>
        </is>
      </c>
      <c r="C7" s="38" t="inlineStr">
        <is>
          <t>FX-Risiko EUR-Einkauf vs. CHF-Verkauf</t>
        </is>
      </c>
      <c r="D7" s="29" t="inlineStr">
        <is>
          <t>mittel</t>
        </is>
      </c>
      <c r="E7" s="29" t="inlineStr">
        <is>
          <t>mittel</t>
        </is>
      </c>
      <c r="F7" s="38" t="inlineStr">
        <is>
          <t>Stefan</t>
        </is>
      </c>
      <c r="G7" s="26" t="n">
        <v>46220</v>
      </c>
      <c r="H7" s="29" t="inlineStr">
        <is>
          <t>offen</t>
        </is>
      </c>
      <c r="I7" s="38" t="inlineStr">
        <is>
          <t>Kurs/Absicherung mit Olli entscheiden</t>
        </is>
      </c>
      <c r="K7">
        <f>IF(AND($H7&lt;&gt;"erledigt",$D7="hoch"),ROW(),"")</f>
        <v/>
      </c>
    </row>
    <row r="8">
      <c r="A8" s="29" t="n">
        <v>7</v>
      </c>
      <c r="B8" s="29" t="inlineStr">
        <is>
          <t>Risiko</t>
        </is>
      </c>
      <c r="C8" s="38" t="inlineStr">
        <is>
          <t>Keine schriftliche Aggreko-Terminbestaetigung 03.08. / 17.08.</t>
        </is>
      </c>
      <c r="D8" s="29" t="inlineStr">
        <is>
          <t>hoch</t>
        </is>
      </c>
      <c r="E8" s="29" t="inlineStr">
        <is>
          <t>mittel</t>
        </is>
      </c>
      <c r="F8" s="38" t="inlineStr">
        <is>
          <t>Burak</t>
        </is>
      </c>
      <c r="G8" s="26" t="n">
        <v>46223</v>
      </c>
      <c r="H8" s="29" t="inlineStr">
        <is>
          <t>offen</t>
        </is>
      </c>
      <c r="I8" s="38" t="inlineStr">
        <is>
          <t>Schriftliche Bestaetigung einholen</t>
        </is>
      </c>
      <c r="K8">
        <f>IF(AND($H8&lt;&gt;"erledigt",$D8="hoch"),ROW(),"")</f>
        <v/>
      </c>
    </row>
    <row r="9">
      <c r="A9" s="29" t="n">
        <v>8</v>
      </c>
      <c r="B9" s="29" t="inlineStr">
        <is>
          <t>Risiko</t>
        </is>
      </c>
      <c r="C9" s="38" t="inlineStr">
        <is>
          <t>Hochsaison-Verfuegbarkeit Equipment/Personal Aggreko</t>
        </is>
      </c>
      <c r="D9" s="29" t="inlineStr">
        <is>
          <t>mittel</t>
        </is>
      </c>
      <c r="E9" s="29" t="inlineStr">
        <is>
          <t>mittel</t>
        </is>
      </c>
      <c r="F9" s="38" t="inlineStr">
        <is>
          <t>Aggreko</t>
        </is>
      </c>
      <c r="G9" s="26" t="n">
        <v>46223</v>
      </c>
      <c r="H9" s="29" t="inlineStr">
        <is>
          <t>offen</t>
        </is>
      </c>
      <c r="I9" s="38" t="inlineStr">
        <is>
          <t>Fruehzeitige Fixierung, Terminbestaetigung</t>
        </is>
      </c>
      <c r="K9">
        <f>IF(AND($H9&lt;&gt;"erledigt",$D9="hoch"),ROW(),"")</f>
        <v/>
      </c>
    </row>
    <row r="10">
      <c r="A10" s="29" t="n">
        <v>9</v>
      </c>
      <c r="B10" s="29" t="inlineStr">
        <is>
          <t>Risiko</t>
        </is>
      </c>
      <c r="C10" s="38" t="inlineStr">
        <is>
          <t>Entsende-/Bewilligungsfristen (24.07., gesetzlich 26.07.)</t>
        </is>
      </c>
      <c r="D10" s="29" t="inlineStr">
        <is>
          <t>hoch</t>
        </is>
      </c>
      <c r="E10" s="29" t="inlineStr">
        <is>
          <t>mittel</t>
        </is>
      </c>
      <c r="F10" s="38" t="inlineStr">
        <is>
          <t>Aggreko</t>
        </is>
      </c>
      <c r="G10" s="26" t="n">
        <v>46227</v>
      </c>
      <c r="H10" s="29" t="inlineStr">
        <is>
          <t>offen</t>
        </is>
      </c>
      <c r="I10" s="38" t="inlineStr">
        <is>
          <t>Entsendemeldung fristgerecht einreichen</t>
        </is>
      </c>
      <c r="K10">
        <f>IF(AND($H10&lt;&gt;"erledigt",$D10="hoch"),ROW(),"")</f>
        <v/>
      </c>
    </row>
    <row r="11">
      <c r="A11" s="29" t="n">
        <v>10</v>
      </c>
      <c r="B11" s="29" t="inlineStr">
        <is>
          <t>Stopp-Punkt</t>
        </is>
      </c>
      <c r="C11" s="38" t="inlineStr">
        <is>
          <t>Waermeabfuhr 8 MW als DPR-Verantwortung schriftlich fixieren</t>
        </is>
      </c>
      <c r="D11" s="29" t="inlineStr">
        <is>
          <t>hoch</t>
        </is>
      </c>
      <c r="E11" s="29" t="inlineStr">
        <is>
          <t>mittel</t>
        </is>
      </c>
      <c r="F11" s="38" t="inlineStr">
        <is>
          <t>DPR</t>
        </is>
      </c>
      <c r="G11" s="26" t="n">
        <v>46227</v>
      </c>
      <c r="H11" s="29" t="inlineStr">
        <is>
          <t>offen</t>
        </is>
      </c>
      <c r="I11" s="38" t="inlineStr">
        <is>
          <t>Schriftliche Bestaetigung DPR einholen</t>
        </is>
      </c>
      <c r="K11">
        <f>IF(AND($H11&lt;&gt;"erledigt",$D11="hoch"),ROW(),"")</f>
        <v/>
      </c>
    </row>
    <row r="12">
      <c r="A12" s="29" t="n">
        <v>11</v>
      </c>
      <c r="B12" s="29" t="inlineStr">
        <is>
          <t>Risiko</t>
        </is>
      </c>
      <c r="C12" s="38" t="inlineStr">
        <is>
          <t>DPR-Kuendigungsrecht jederzeit kostenlos vs. Aggreko-Storno 30/100%</t>
        </is>
      </c>
      <c r="D12" s="29" t="inlineStr">
        <is>
          <t>hoch</t>
        </is>
      </c>
      <c r="E12" s="29" t="inlineStr">
        <is>
          <t>mittel</t>
        </is>
      </c>
      <c r="F12" s="38" t="inlineStr">
        <is>
          <t>Stefan</t>
        </is>
      </c>
      <c r="G12" s="26" t="n">
        <v>46227</v>
      </c>
      <c r="H12" s="29" t="inlineStr">
        <is>
          <t>offen</t>
        </is>
      </c>
      <c r="I12" s="38" t="inlineStr">
        <is>
          <t>Back-to-Back-Regelung in Intercompany-Order</t>
        </is>
      </c>
      <c r="K12">
        <f>IF(AND($H12&lt;&gt;"erledigt",$D12="hoch"),ROW(),"")</f>
        <v/>
      </c>
    </row>
    <row r="13">
      <c r="A13" s="29" t="n">
        <v>12</v>
      </c>
      <c r="B13" s="29" t="inlineStr">
        <is>
          <t>Risiko</t>
        </is>
      </c>
      <c r="C13" s="38" t="inlineStr">
        <is>
          <t>NDA-Sperre: kein Vantage-Kontakt, keine Aussenkommunikation, keine Fotos</t>
        </is>
      </c>
      <c r="D13" s="29" t="inlineStr">
        <is>
          <t>hoch</t>
        </is>
      </c>
      <c r="E13" s="29" t="inlineStr">
        <is>
          <t>niedrig</t>
        </is>
      </c>
      <c r="F13" s="38" t="inlineStr">
        <is>
          <t>Burak</t>
        </is>
      </c>
      <c r="G13" s="26" t="n">
        <v>46219</v>
      </c>
      <c r="H13" s="29" t="inlineStr">
        <is>
          <t>offen</t>
        </is>
      </c>
      <c r="I13" s="38" t="inlineStr">
        <is>
          <t>Team briefen; Kommunikation nur ueber DPR</t>
        </is>
      </c>
      <c r="K13">
        <f>IF(AND($H13&lt;&gt;"erledigt",$D13="hoch"),ROW(),"")</f>
        <v/>
      </c>
    </row>
  </sheetData>
  <conditionalFormatting sqref="H2:H13">
    <cfRule type="cellIs" priority="1" operator="equal" dxfId="3">
      <formula>"erledigt"</formula>
    </cfRule>
    <cfRule type="cellIs" priority="2" operator="equal" dxfId="4">
      <formula>"kritisch"</formula>
    </cfRule>
    <cfRule type="cellIs" priority="3" operator="equal" dxfId="5">
      <formula>"in Arbeit"</formula>
    </cfRule>
    <cfRule type="cellIs" priority="4" operator="equal" dxfId="6">
      <formula>"verschoben"</formula>
    </cfRule>
  </conditionalFormatting>
  <conditionalFormatting sqref="D2:D13">
    <cfRule type="cellIs" priority="5" operator="equal" dxfId="11">
      <formula>"hoch"</formula>
    </cfRule>
  </conditionalFormatting>
  <conditionalFormatting sqref="E2:E13">
    <cfRule type="cellIs" priority="6" operator="equal" dxfId="13">
      <formula>"hoch"</formula>
    </cfRule>
  </conditionalFormatting>
  <conditionalFormatting sqref="B2:B13">
    <cfRule type="cellIs" priority="7" operator="equal" dxfId="14">
      <formula>"Stopp-Punkt"</formula>
    </cfRule>
  </conditionalFormatting>
  <dataValidations count="5">
    <dataValidation sqref="B2:B13" showDropDown="0" showInputMessage="0" showErrorMessage="0" allowBlank="1" errorTitle="Ungueltige Eingabe" error="Bitte einen Wert aus der Liste waehlen." prompt="Wert aus Dropdown waehlen" type="list">
      <formula1>"Stopp-Punkt,Risiko,Entscheid"</formula1>
    </dataValidation>
    <dataValidation sqref="D2:D13" showDropDown="0" showInputMessage="0" showErrorMessage="0" allowBlank="1" errorTitle="Ungueltige Eingabe" error="Bitte einen Wert aus der Liste waehlen." prompt="Wert aus Dropdown waehlen" type="list">
      <formula1>"hoch,mittel,niedrig"</formula1>
    </dataValidation>
    <dataValidation sqref="E2:E13" showDropDown="0" showInputMessage="0" showErrorMessage="0" allowBlank="1" errorTitle="Ungueltige Eingabe" error="Bitte einen Wert aus der Liste waehlen." prompt="Wert aus Dropdown waehlen" type="list">
      <formula1>"hoch,mittel,niedrig"</formula1>
    </dataValidation>
    <dataValidation sqref="F2:F13" showDropDown="0" showInputMessage="0" showErrorMessage="0" allowBlank="1" errorTitle="Ungueltige Eingabe" error="Bitte einen Wert aus der Liste waehlen." prompt="Wert aus Dropdown waehlen" type="list">
      <formula1>"Burak,Stefan,Markus,Ann-Kathrin,Sarah,Samuel,Stephan Marty,Olli,Aggreko,DPR,MiT,Burak / Stephan,Burak / Samuel,Stefan / Stephan,Ann-Kathrin &amp; Markus,Aggreko / MiT"</formula1>
    </dataValidation>
    <dataValidation sqref="H2:H13" showDropDown="0" showInputMessage="0" showErrorMessage="0" allowBlank="1" errorTitle="Ungueltige Eingabe" error="Bitte einen Wert aus der Liste waehlen." prompt="Wert aus Dropdown waehlen" type="list">
      <formula1>"offen,in Arbeit,erledigt,verschoben,kritisch"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20" customWidth="1" min="4" max="4"/>
    <col width="15" customWidth="1" min="5" max="5"/>
    <col width="12" customWidth="1" min="6" max="6"/>
    <col width="16" customWidth="1" min="7" max="7"/>
    <col width="40" customWidth="1" min="8" max="8"/>
  </cols>
  <sheetData>
    <row r="1">
      <c r="A1" s="23" t="inlineStr">
        <is>
          <t>Nr.</t>
        </is>
      </c>
      <c r="B1" s="23" t="inlineStr">
        <is>
          <t>Position</t>
        </is>
      </c>
      <c r="C1" s="23" t="inlineStr">
        <is>
          <t>Paket</t>
        </is>
      </c>
      <c r="D1" s="23" t="inlineStr">
        <is>
          <t>EUR-Wert (Einkauf, Referenz)</t>
        </is>
      </c>
      <c r="E1" s="23" t="inlineStr">
        <is>
          <t>Rechnungsstatus</t>
        </is>
      </c>
      <c r="F1" s="23" t="inlineStr">
        <is>
          <t>Zahlungsziel</t>
        </is>
      </c>
      <c r="G1" s="23" t="inlineStr">
        <is>
          <t>CHF Verkauf</t>
        </is>
      </c>
      <c r="H1" s="23" t="inlineStr">
        <is>
          <t>Bemerkung</t>
        </is>
      </c>
    </row>
    <row r="2">
      <c r="A2" s="29" t="n">
        <v>1</v>
      </c>
      <c r="B2" s="38" t="inlineStr">
        <is>
          <t>Angebot P-640380-3 - Loadbank 6 MVA (Miete + Einmalkosten)</t>
        </is>
      </c>
      <c r="C2" s="29" t="inlineStr">
        <is>
          <t>Loadbank</t>
        </is>
      </c>
      <c r="D2" s="46" t="n">
        <v>310328.5</v>
      </c>
      <c r="E2" s="29" t="inlineStr">
        <is>
          <t>offen</t>
        </is>
      </c>
      <c r="F2" s="29" t="inlineStr">
        <is>
          <t>30 Tage</t>
        </is>
      </c>
      <c r="G2" s="29" t="inlineStr">
        <is>
          <t>[Innendienst/ARM]</t>
        </is>
      </c>
      <c r="H2" s="38" t="inlineStr">
        <is>
          <t>PO E3-A25002-49A; Basis 110 Tage</t>
        </is>
      </c>
    </row>
    <row r="3">
      <c r="A3" s="29" t="n">
        <v>2</v>
      </c>
      <c r="B3" s="38" t="inlineStr">
        <is>
          <t>Angebot P-650395-2 - Headload 8 MW (Miete + Einmalkosten)</t>
        </is>
      </c>
      <c r="C3" s="29" t="inlineStr">
        <is>
          <t>Headload</t>
        </is>
      </c>
      <c r="D3" s="46" t="n">
        <v>280511.84</v>
      </c>
      <c r="E3" s="29" t="inlineStr">
        <is>
          <t>offen</t>
        </is>
      </c>
      <c r="F3" s="29" t="inlineStr">
        <is>
          <t>30 Tage</t>
        </is>
      </c>
      <c r="G3" s="29" t="inlineStr">
        <is>
          <t>[Innendienst/ARM]</t>
        </is>
      </c>
      <c r="H3" s="38" t="inlineStr">
        <is>
          <t>PO E3-A25002-49B; Basis 110 Tage</t>
        </is>
      </c>
    </row>
    <row r="4">
      <c r="A4" s="34" t="n">
        <v>3</v>
      </c>
      <c r="B4" s="47" t="inlineStr">
        <is>
          <t>Einkaufsvolumen total</t>
        </is>
      </c>
      <c r="C4" s="34" t="inlineStr">
        <is>
          <t>beide</t>
        </is>
      </c>
      <c r="D4" s="48">
        <f>D2+D3</f>
        <v/>
      </c>
      <c r="E4" s="34" t="n"/>
      <c r="F4" s="34" t="inlineStr">
        <is>
          <t>-</t>
        </is>
      </c>
      <c r="G4" s="34" t="inlineStr">
        <is>
          <t>[Innendienst/ARM]</t>
        </is>
      </c>
      <c r="H4" s="47" t="inlineStr">
        <is>
          <t>Summe beider Angebote</t>
        </is>
      </c>
    </row>
    <row r="5">
      <c r="A5" s="29" t="n">
        <v>4</v>
      </c>
      <c r="B5" s="38" t="inlineStr">
        <is>
          <t>Transport (Schaetzposition)</t>
        </is>
      </c>
      <c r="C5" s="29" t="inlineStr">
        <is>
          <t>beide</t>
        </is>
      </c>
      <c r="D5" s="46" t="n"/>
      <c r="E5" s="29" t="inlineStr">
        <is>
          <t>offen</t>
        </is>
      </c>
      <c r="F5" s="29" t="inlineStr">
        <is>
          <t>30 Tage</t>
        </is>
      </c>
      <c r="G5" s="29" t="inlineStr">
        <is>
          <t>[Innendienst/ARM]</t>
        </is>
      </c>
      <c r="H5" s="38" t="inlineStr">
        <is>
          <t>nach Aufwand gemaess Angebot</t>
        </is>
      </c>
    </row>
    <row r="6">
      <c r="A6" s="29" t="n">
        <v>5</v>
      </c>
      <c r="B6" s="38" t="inlineStr">
        <is>
          <t>Technikereinsaetze (Schaetzposition)</t>
        </is>
      </c>
      <c r="C6" s="29" t="inlineStr">
        <is>
          <t>beide</t>
        </is>
      </c>
      <c r="D6" s="46" t="n"/>
      <c r="E6" s="29" t="inlineStr">
        <is>
          <t>offen</t>
        </is>
      </c>
      <c r="F6" s="29" t="inlineStr">
        <is>
          <t>30 Tage</t>
        </is>
      </c>
      <c r="G6" s="29" t="inlineStr">
        <is>
          <t>[Innendienst/ARM]</t>
        </is>
      </c>
      <c r="H6" s="38" t="inlineStr">
        <is>
          <t>nach Aufwand gemaess Angebot</t>
        </is>
      </c>
    </row>
    <row r="7">
      <c r="A7" s="29" t="n">
        <v>6</v>
      </c>
      <c r="B7" s="38" t="inlineStr">
        <is>
          <t>Fuel Unreturned</t>
        </is>
      </c>
      <c r="C7" s="29" t="inlineStr">
        <is>
          <t>Headload</t>
        </is>
      </c>
      <c r="D7" s="49" t="n">
        <v>2.2</v>
      </c>
      <c r="E7" s="29" t="inlineStr">
        <is>
          <t>offen</t>
        </is>
      </c>
      <c r="F7" s="29" t="inlineStr">
        <is>
          <t>30 Tage</t>
        </is>
      </c>
      <c r="G7" s="29" t="inlineStr">
        <is>
          <t>[Innendienst/ARM]</t>
        </is>
      </c>
      <c r="H7" s="38" t="inlineStr">
        <is>
          <t>EUR 2.20 pro Liter; Mengen siehe Fuel-Log</t>
        </is>
      </c>
    </row>
    <row r="8">
      <c r="A8" s="29" t="n">
        <v>7</v>
      </c>
      <c r="B8" s="38" t="inlineStr">
        <is>
          <t>Off-Hire-Fristen</t>
        </is>
      </c>
      <c r="C8" s="29" t="inlineStr">
        <is>
          <t>beide</t>
        </is>
      </c>
      <c r="D8" s="46" t="n"/>
      <c r="E8" s="29" t="n"/>
      <c r="F8" s="29" t="inlineStr">
        <is>
          <t>-</t>
        </is>
      </c>
      <c r="G8" s="29" t="inlineStr">
        <is>
          <t>[Innendienst/ARM]</t>
        </is>
      </c>
      <c r="H8" s="38" t="inlineStr">
        <is>
          <t>Abmeldung 5 Arbeitstage im Voraus, sonst Weiterberechnung</t>
        </is>
      </c>
    </row>
    <row r="9">
      <c r="A9" s="29" t="n">
        <v>8</v>
      </c>
      <c r="B9" s="38" t="inlineStr">
        <is>
          <t>Rate 1 (Staffelungs-Fakturierung)</t>
        </is>
      </c>
      <c r="C9" s="29" t="inlineStr">
        <is>
          <t>beide</t>
        </is>
      </c>
      <c r="D9" s="46" t="n"/>
      <c r="E9" s="29" t="inlineStr">
        <is>
          <t>offen</t>
        </is>
      </c>
      <c r="F9" s="29" t="inlineStr">
        <is>
          <t>30 Tage</t>
        </is>
      </c>
      <c r="G9" s="29" t="inlineStr">
        <is>
          <t>[Innendienst/ARM]</t>
        </is>
      </c>
      <c r="H9" s="38" t="inlineStr">
        <is>
          <t>Staffelung klaeren: 5-MW ab Abruf oder Mietbeginn?</t>
        </is>
      </c>
    </row>
    <row r="10">
      <c r="A10" s="29" t="n">
        <v>9</v>
      </c>
      <c r="B10" s="38" t="inlineStr">
        <is>
          <t>Rate 2 (Staffelungs-Fakturierung)</t>
        </is>
      </c>
      <c r="C10" s="29" t="inlineStr">
        <is>
          <t>beide</t>
        </is>
      </c>
      <c r="D10" s="46" t="n"/>
      <c r="E10" s="29" t="inlineStr">
        <is>
          <t>offen</t>
        </is>
      </c>
      <c r="F10" s="29" t="inlineStr">
        <is>
          <t>30 Tage</t>
        </is>
      </c>
      <c r="G10" s="29" t="inlineStr">
        <is>
          <t>[Innendienst/ARM]</t>
        </is>
      </c>
      <c r="H10" s="38" t="inlineStr"/>
    </row>
    <row r="11">
      <c r="A11" s="29" t="n">
        <v>10</v>
      </c>
      <c r="B11" s="38" t="inlineStr">
        <is>
          <t>Schlussrechnung</t>
        </is>
      </c>
      <c r="C11" s="29" t="inlineStr">
        <is>
          <t>beide</t>
        </is>
      </c>
      <c r="D11" s="46" t="n"/>
      <c r="E11" s="29" t="inlineStr">
        <is>
          <t>offen</t>
        </is>
      </c>
      <c r="F11" s="29" t="inlineStr">
        <is>
          <t>30 Tage</t>
        </is>
      </c>
      <c r="G11" s="29" t="inlineStr">
        <is>
          <t>[Innendienst/ARM]</t>
        </is>
      </c>
      <c r="H11" s="38" t="inlineStr">
        <is>
          <t>nach Abnahme / Closeout</t>
        </is>
      </c>
    </row>
    <row r="13">
      <c r="B13" s="31" t="inlineStr">
        <is>
          <t>Nur EUR-Einkaufsreferenzen (Aggreko). CHF-Verkaufspreise ausschliesslich via Innendienst/ARM - hier bewusst NICHT gefuehrt (Vertraulichkeit/Marge).</t>
        </is>
      </c>
    </row>
  </sheetData>
  <mergeCells count="1">
    <mergeCell ref="B13:H13"/>
  </mergeCells>
  <conditionalFormatting sqref="E2:E11">
    <cfRule type="cellIs" priority="1" operator="equal" dxfId="3">
      <formula>"bezahlt"</formula>
    </cfRule>
    <cfRule type="cellIs" priority="2" operator="equal" dxfId="3">
      <formula>"geprueft"</formula>
    </cfRule>
    <cfRule type="cellIs" priority="3" operator="equal" dxfId="5">
      <formula>"gestellt"</formula>
    </cfRule>
  </conditionalFormatting>
  <dataValidations count="2">
    <dataValidation sqref="C2:C11" showDropDown="0" showInputMessage="0" showErrorMessage="0" allowBlank="1" errorTitle="Ungueltige Eingabe" error="Bitte einen Wert aus der Liste waehlen." prompt="Wert aus Dropdown waehlen" type="list">
      <formula1>"Loadbank,Headload,beide"</formula1>
    </dataValidation>
    <dataValidation sqref="E2:E11" showDropDown="0" showInputMessage="0" showErrorMessage="0" allowBlank="1" errorTitle="Ungueltige Eingabe" error="Bitte einen Wert aus der Liste waehlen." prompt="Wert aus Dropdown waehlen" type="list">
      <formula1>"offen,gestellt,bezahlt,geprueft"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0" customWidth="1" min="4" max="4"/>
    <col width="30" customWidth="1" min="5" max="5"/>
  </cols>
  <sheetData>
    <row r="1">
      <c r="A1" s="2" t="inlineStr">
        <is>
          <t>TREND - offene Aufgaben &amp; erledigte Meilensteine (jeden Freitag eintragen)</t>
        </is>
      </c>
    </row>
    <row r="2">
      <c r="A2" s="50" t="inlineStr">
        <is>
          <t>Aktueller Stand (zum Uebertragen):</t>
        </is>
      </c>
      <c r="C2" s="34">
        <f>COUNTA(Aufgaben[Nr.])-COUNTIF(Aufgaben[Status],"erledigt")</f>
        <v/>
      </c>
      <c r="D2" s="34">
        <f>COUNTIF(Meilensteine[Status],"erledigt")</f>
        <v/>
      </c>
    </row>
    <row r="4">
      <c r="A4" s="23" t="inlineStr">
        <is>
          <t>KW</t>
        </is>
      </c>
      <c r="B4" s="23" t="inlineStr">
        <is>
          <t>Datum (Fr)</t>
        </is>
      </c>
      <c r="C4" s="23" t="inlineStr">
        <is>
          <t>Aufgaben offen</t>
        </is>
      </c>
      <c r="D4" s="23" t="inlineStr">
        <is>
          <t>Meilensteine erledigt</t>
        </is>
      </c>
      <c r="E4" s="23" t="inlineStr">
        <is>
          <t>Bemerkung</t>
        </is>
      </c>
    </row>
    <row r="5">
      <c r="A5" s="29" t="inlineStr">
        <is>
          <t>KW29</t>
        </is>
      </c>
      <c r="B5" s="26" t="n">
        <v>46220</v>
      </c>
      <c r="C5" s="29" t="n"/>
      <c r="D5" s="29" t="n"/>
      <c r="E5" s="38" t="n"/>
    </row>
    <row r="6">
      <c r="A6" s="29" t="inlineStr">
        <is>
          <t>KW30</t>
        </is>
      </c>
      <c r="B6" s="26" t="n">
        <v>46227</v>
      </c>
      <c r="C6" s="29" t="n"/>
      <c r="D6" s="29" t="n"/>
      <c r="E6" s="38" t="n"/>
    </row>
    <row r="7">
      <c r="A7" s="29" t="inlineStr">
        <is>
          <t>KW31</t>
        </is>
      </c>
      <c r="B7" s="26" t="n">
        <v>46234</v>
      </c>
      <c r="C7" s="29" t="n"/>
      <c r="D7" s="29" t="n"/>
      <c r="E7" s="38" t="n"/>
    </row>
    <row r="8">
      <c r="A8" s="29" t="inlineStr">
        <is>
          <t>KW32</t>
        </is>
      </c>
      <c r="B8" s="26" t="n">
        <v>46241</v>
      </c>
      <c r="C8" s="29" t="n"/>
      <c r="D8" s="29" t="n"/>
      <c r="E8" s="38" t="n"/>
    </row>
    <row r="9">
      <c r="A9" s="29" t="inlineStr">
        <is>
          <t>KW33</t>
        </is>
      </c>
      <c r="B9" s="26" t="n">
        <v>46248</v>
      </c>
      <c r="C9" s="29" t="n"/>
      <c r="D9" s="29" t="n"/>
      <c r="E9" s="38" t="n"/>
    </row>
    <row r="10">
      <c r="A10" s="29" t="inlineStr">
        <is>
          <t>KW34</t>
        </is>
      </c>
      <c r="B10" s="26" t="n">
        <v>46255</v>
      </c>
      <c r="C10" s="29" t="n"/>
      <c r="D10" s="29" t="n"/>
      <c r="E10" s="38" t="n"/>
    </row>
    <row r="11">
      <c r="A11" s="29" t="inlineStr">
        <is>
          <t>KW35</t>
        </is>
      </c>
      <c r="B11" s="26" t="n">
        <v>46262</v>
      </c>
      <c r="C11" s="29" t="n"/>
      <c r="D11" s="29" t="n"/>
      <c r="E11" s="38" t="n"/>
    </row>
    <row r="12">
      <c r="A12" s="29" t="inlineStr">
        <is>
          <t>KW36</t>
        </is>
      </c>
      <c r="B12" s="26" t="n">
        <v>46269</v>
      </c>
      <c r="C12" s="29" t="n"/>
      <c r="D12" s="29" t="n"/>
      <c r="E12" s="38" t="n"/>
    </row>
    <row r="13">
      <c r="A13" s="29" t="inlineStr">
        <is>
          <t>KW37</t>
        </is>
      </c>
      <c r="B13" s="26" t="n">
        <v>46276</v>
      </c>
      <c r="C13" s="29" t="n"/>
      <c r="D13" s="29" t="n"/>
      <c r="E13" s="38" t="n"/>
    </row>
    <row r="14">
      <c r="A14" s="29" t="inlineStr">
        <is>
          <t>KW38</t>
        </is>
      </c>
      <c r="B14" s="26" t="n">
        <v>46283</v>
      </c>
      <c r="C14" s="29" t="n"/>
      <c r="D14" s="29" t="n"/>
      <c r="E14" s="38" t="n"/>
    </row>
    <row r="15">
      <c r="A15" s="29" t="inlineStr">
        <is>
          <t>KW39</t>
        </is>
      </c>
      <c r="B15" s="26" t="n">
        <v>46290</v>
      </c>
      <c r="C15" s="29" t="n"/>
      <c r="D15" s="29" t="n"/>
      <c r="E15" s="38" t="n"/>
    </row>
    <row r="16">
      <c r="A16" s="29" t="inlineStr">
        <is>
          <t>KW40</t>
        </is>
      </c>
      <c r="B16" s="26" t="n">
        <v>46297</v>
      </c>
      <c r="C16" s="29" t="n"/>
      <c r="D16" s="29" t="n"/>
      <c r="E16" s="38" t="n"/>
    </row>
    <row r="17">
      <c r="A17" s="29" t="inlineStr">
        <is>
          <t>KW41</t>
        </is>
      </c>
      <c r="B17" s="26" t="n">
        <v>46304</v>
      </c>
      <c r="C17" s="29" t="n"/>
      <c r="D17" s="29" t="n"/>
      <c r="E17" s="38" t="n"/>
    </row>
    <row r="18">
      <c r="A18" s="29" t="inlineStr">
        <is>
          <t>KW42</t>
        </is>
      </c>
      <c r="B18" s="26" t="n">
        <v>46311</v>
      </c>
      <c r="C18" s="29" t="n"/>
      <c r="D18" s="29" t="n"/>
      <c r="E18" s="38" t="n"/>
    </row>
    <row r="19">
      <c r="A19" s="29" t="inlineStr">
        <is>
          <t>KW43</t>
        </is>
      </c>
      <c r="B19" s="26" t="n">
        <v>46318</v>
      </c>
      <c r="C19" s="29" t="n"/>
      <c r="D19" s="29" t="n"/>
      <c r="E19" s="38" t="n"/>
    </row>
    <row r="20">
      <c r="A20" s="29" t="inlineStr">
        <is>
          <t>KW44</t>
        </is>
      </c>
      <c r="B20" s="26" t="n">
        <v>46325</v>
      </c>
      <c r="C20" s="29" t="n"/>
      <c r="D20" s="29" t="n"/>
      <c r="E20" s="38" t="n"/>
    </row>
    <row r="21">
      <c r="A21" s="29" t="inlineStr">
        <is>
          <t>KW45</t>
        </is>
      </c>
      <c r="B21" s="26" t="n">
        <v>46332</v>
      </c>
      <c r="C21" s="29" t="n"/>
      <c r="D21" s="29" t="n"/>
      <c r="E21" s="38" t="n"/>
    </row>
    <row r="22">
      <c r="A22" s="29" t="inlineStr">
        <is>
          <t>KW46</t>
        </is>
      </c>
      <c r="B22" s="26" t="n">
        <v>46339</v>
      </c>
      <c r="C22" s="29" t="n"/>
      <c r="D22" s="29" t="n"/>
      <c r="E22" s="38" t="n"/>
    </row>
    <row r="23">
      <c r="A23" s="29" t="inlineStr">
        <is>
          <t>KW47</t>
        </is>
      </c>
      <c r="B23" s="26" t="n">
        <v>46346</v>
      </c>
      <c r="C23" s="29" t="n"/>
      <c r="D23" s="29" t="n"/>
      <c r="E23" s="38" t="n"/>
    </row>
    <row r="24">
      <c r="A24" s="29" t="inlineStr">
        <is>
          <t>KW48</t>
        </is>
      </c>
      <c r="B24" s="26" t="n">
        <v>46353</v>
      </c>
      <c r="C24" s="29" t="n"/>
      <c r="D24" s="29" t="n"/>
      <c r="E24" s="38" t="n"/>
    </row>
    <row r="25">
      <c r="A25" s="29" t="inlineStr">
        <is>
          <t>KW49</t>
        </is>
      </c>
      <c r="B25" s="26" t="n">
        <v>46360</v>
      </c>
      <c r="C25" s="29" t="n"/>
      <c r="D25" s="29" t="n"/>
      <c r="E25" s="38" t="n"/>
    </row>
    <row r="26">
      <c r="A26" s="29" t="inlineStr">
        <is>
          <t>KW50</t>
        </is>
      </c>
      <c r="B26" s="26" t="n">
        <v>46367</v>
      </c>
      <c r="C26" s="29" t="n"/>
      <c r="D26" s="29" t="n"/>
      <c r="E26" s="38" t="n"/>
    </row>
    <row r="27">
      <c r="A27" s="29" t="inlineStr">
        <is>
          <t>KW51</t>
        </is>
      </c>
      <c r="B27" s="26" t="n">
        <v>46374</v>
      </c>
      <c r="C27" s="29" t="n"/>
      <c r="D27" s="29" t="n"/>
      <c r="E27" s="38" t="n"/>
    </row>
    <row r="28">
      <c r="A28" s="29" t="inlineStr">
        <is>
          <t>KW52</t>
        </is>
      </c>
      <c r="B28" s="26" t="n">
        <v>46381</v>
      </c>
      <c r="C28" s="29" t="n"/>
      <c r="D28" s="29" t="n"/>
      <c r="E28" s="38" t="n"/>
    </row>
    <row r="30">
      <c r="A30" s="31" t="inlineStr">
        <is>
          <t>Jeden Freitag die beiden Werte aus Zeile 2 als ZAHL eintragen (kopieren &gt; Werte einfuegen). So entsteht der Verlauf - ganz ohne Makros.</t>
        </is>
      </c>
    </row>
  </sheetData>
  <mergeCells count="3">
    <mergeCell ref="A30:E30"/>
    <mergeCell ref="A1:E1"/>
    <mergeCell ref="A2:B2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2" customWidth="1" min="4" max="4"/>
    <col width="30" customWidth="1" min="5" max="5"/>
    <col width="13" customWidth="1" min="6" max="6"/>
    <col width="32" customWidth="1" min="7" max="7"/>
  </cols>
  <sheetData>
    <row r="1">
      <c r="A1" s="23" t="inlineStr">
        <is>
          <t>Nr.</t>
        </is>
      </c>
      <c r="B1" s="23" t="inlineStr">
        <is>
          <t>Dokument</t>
        </is>
      </c>
      <c r="C1" s="23" t="inlineStr">
        <is>
          <t>Version/Datum</t>
        </is>
      </c>
      <c r="D1" s="23" t="inlineStr">
        <is>
          <t>Quelle</t>
        </is>
      </c>
      <c r="E1" s="23" t="inlineStr">
        <is>
          <t>SharePoint-Link</t>
        </is>
      </c>
      <c r="F1" s="23" t="inlineStr">
        <is>
          <t>Status</t>
        </is>
      </c>
      <c r="G1" s="23" t="inlineStr">
        <is>
          <t>Bemerkung</t>
        </is>
      </c>
    </row>
    <row r="2">
      <c r="A2" s="29" t="n">
        <v>1</v>
      </c>
      <c r="B2" s="38" t="inlineStr">
        <is>
          <t>Angebot P-640380-3 (Loadbank 6 MVA)</t>
        </is>
      </c>
      <c r="C2" s="29" t="inlineStr">
        <is>
          <t>30.04.2026</t>
        </is>
      </c>
      <c r="D2" s="29" t="inlineStr">
        <is>
          <t>Aggreko</t>
        </is>
      </c>
      <c r="E2" s="51" t="inlineStr">
        <is>
          <t>[SharePoint-Projektordner]</t>
        </is>
      </c>
      <c r="F2" s="29" t="inlineStr">
        <is>
          <t>final</t>
        </is>
      </c>
      <c r="G2" s="38" t="inlineStr"/>
    </row>
    <row r="3">
      <c r="A3" s="29" t="n">
        <v>2</v>
      </c>
      <c r="B3" s="38" t="inlineStr">
        <is>
          <t>Proposal P-650395-2 (Headload 8 MW)</t>
        </is>
      </c>
      <c r="C3" s="29" t="inlineStr">
        <is>
          <t>30.04.2026</t>
        </is>
      </c>
      <c r="D3" s="29" t="inlineStr">
        <is>
          <t>Aggreko</t>
        </is>
      </c>
      <c r="E3" s="51" t="inlineStr">
        <is>
          <t>[SharePoint-Projektordner]</t>
        </is>
      </c>
      <c r="F3" s="29" t="inlineStr">
        <is>
          <t>final</t>
        </is>
      </c>
      <c r="G3" s="38" t="inlineStr"/>
    </row>
    <row r="4">
      <c r="A4" s="29" t="n">
        <v>3</v>
      </c>
      <c r="B4" s="38" t="inlineStr">
        <is>
          <t>PO E3-A25002-49A (Loadbank)</t>
        </is>
      </c>
      <c r="C4" s="29" t="inlineStr">
        <is>
          <t>V0</t>
        </is>
      </c>
      <c r="D4" s="29" t="inlineStr">
        <is>
          <t>DPR</t>
        </is>
      </c>
      <c r="E4" s="51" t="inlineStr">
        <is>
          <t>[SharePoint-Projektordner]</t>
        </is>
      </c>
      <c r="F4" s="29" t="inlineStr">
        <is>
          <t>Entwurf</t>
        </is>
      </c>
      <c r="G4" s="38" t="inlineStr">
        <is>
          <t>Korrekturliste laeuft</t>
        </is>
      </c>
    </row>
    <row r="5">
      <c r="A5" s="29" t="n">
        <v>4</v>
      </c>
      <c r="B5" s="38" t="inlineStr">
        <is>
          <t>PO E3-A25002-49B (Headload)</t>
        </is>
      </c>
      <c r="C5" s="29" t="inlineStr">
        <is>
          <t>V0</t>
        </is>
      </c>
      <c r="D5" s="29" t="inlineStr">
        <is>
          <t>DPR</t>
        </is>
      </c>
      <c r="E5" s="51" t="inlineStr">
        <is>
          <t>[SharePoint-Projektordner]</t>
        </is>
      </c>
      <c r="F5" s="29" t="inlineStr">
        <is>
          <t>Entwurf</t>
        </is>
      </c>
      <c r="G5" s="38" t="inlineStr">
        <is>
          <t>Korrekturliste laeuft</t>
        </is>
      </c>
    </row>
    <row r="6">
      <c r="A6" s="29" t="n">
        <v>5</v>
      </c>
      <c r="B6" s="38" t="inlineStr">
        <is>
          <t>NDA (Partei Aggreko)</t>
        </is>
      </c>
      <c r="C6" s="29" t="inlineStr">
        <is>
          <t>unsigniert</t>
        </is>
      </c>
      <c r="D6" s="29" t="inlineStr">
        <is>
          <t>DPR</t>
        </is>
      </c>
      <c r="E6" s="51" t="inlineStr">
        <is>
          <t>[SharePoint-Projektordner]</t>
        </is>
      </c>
      <c r="F6" s="29" t="inlineStr">
        <is>
          <t>ueberholt</t>
        </is>
      </c>
      <c r="G6" s="38" t="inlineStr">
        <is>
          <t>bei MiT-Konstellation ueberholt - neue NDA MiT-DPR noetig</t>
        </is>
      </c>
    </row>
    <row r="7">
      <c r="A7" s="29" t="n">
        <v>6</v>
      </c>
      <c r="B7" s="38" t="inlineStr">
        <is>
          <t>Anlage Versicherung</t>
        </is>
      </c>
      <c r="C7" s="29" t="inlineStr">
        <is>
          <t>-</t>
        </is>
      </c>
      <c r="D7" s="29" t="inlineStr">
        <is>
          <t>DPR</t>
        </is>
      </c>
      <c r="E7" s="51" t="inlineStr">
        <is>
          <t>[SharePoint-Projektordner]</t>
        </is>
      </c>
      <c r="F7" s="29" t="inlineStr">
        <is>
          <t>Entwurf</t>
        </is>
      </c>
      <c r="G7" s="38" t="inlineStr">
        <is>
          <t>Deckungssummen offen</t>
        </is>
      </c>
    </row>
    <row r="8">
      <c r="A8" s="29" t="n">
        <v>7</v>
      </c>
      <c r="B8" s="38" t="inlineStr">
        <is>
          <t>Logistikplan Phase 2</t>
        </is>
      </c>
      <c r="C8" s="29" t="inlineStr">
        <is>
          <t>Rev. C04</t>
        </is>
      </c>
      <c r="D8" s="29" t="inlineStr">
        <is>
          <t>DPR</t>
        </is>
      </c>
      <c r="E8" s="51" t="inlineStr">
        <is>
          <t>[SharePoint-Projektordner]</t>
        </is>
      </c>
      <c r="F8" s="29" t="inlineStr">
        <is>
          <t>final</t>
        </is>
      </c>
      <c r="G8" s="38" t="inlineStr">
        <is>
          <t>Tank-Standort ergaenzen</t>
        </is>
      </c>
    </row>
    <row r="9">
      <c r="A9" s="29" t="n">
        <v>8</v>
      </c>
      <c r="B9" s="38" t="inlineStr">
        <is>
          <t>Supplemental Conditions</t>
        </is>
      </c>
      <c r="C9" s="29" t="inlineStr">
        <is>
          <t>r2</t>
        </is>
      </c>
      <c r="D9" s="29" t="inlineStr">
        <is>
          <t>DPR</t>
        </is>
      </c>
      <c r="E9" s="51" t="inlineStr">
        <is>
          <t>[SharePoint-Projektordner]</t>
        </is>
      </c>
      <c r="F9" s="29" t="inlineStr">
        <is>
          <t>final</t>
        </is>
      </c>
      <c r="G9" s="38" t="inlineStr">
        <is>
          <t>Meeting-Pflichten siehe Blatt Termine &amp; Meetings</t>
        </is>
      </c>
    </row>
    <row r="10">
      <c r="A10" s="29" t="n">
        <v>9</v>
      </c>
      <c r="B10" s="38" t="inlineStr">
        <is>
          <t>Compliance WORKcontrol</t>
        </is>
      </c>
      <c r="C10" s="29" t="inlineStr">
        <is>
          <t>-</t>
        </is>
      </c>
      <c r="D10" s="29" t="inlineStr">
        <is>
          <t>DPR</t>
        </is>
      </c>
      <c r="E10" s="51" t="inlineStr">
        <is>
          <t>[SharePoint-Projektordner]</t>
        </is>
      </c>
      <c r="F10" s="29" t="inlineStr">
        <is>
          <t>final</t>
        </is>
      </c>
      <c r="G10" s="38" t="inlineStr"/>
    </row>
    <row r="11">
      <c r="A11" s="29" t="n">
        <v>10</v>
      </c>
      <c r="B11" s="38" t="inlineStr">
        <is>
          <t>EHS-Plan</t>
        </is>
      </c>
      <c r="C11" s="29" t="inlineStr">
        <is>
          <t>Rev. 4 / 22.01.2026</t>
        </is>
      </c>
      <c r="D11" s="29" t="inlineStr">
        <is>
          <t>DPR</t>
        </is>
      </c>
      <c r="E11" s="51" t="inlineStr">
        <is>
          <t>[SharePoint-Projektordner]</t>
        </is>
      </c>
      <c r="F11" s="29" t="inlineStr">
        <is>
          <t>final</t>
        </is>
      </c>
      <c r="G11" s="38" t="inlineStr"/>
    </row>
    <row r="12">
      <c r="A12" s="29" t="n">
        <v>11</v>
      </c>
      <c r="B12" s="38" t="inlineStr">
        <is>
          <t>Einzelanalyse 01</t>
        </is>
      </c>
      <c r="C12" s="29" t="inlineStr">
        <is>
          <t>-</t>
        </is>
      </c>
      <c r="D12" s="29" t="inlineStr">
        <is>
          <t>MiT</t>
        </is>
      </c>
      <c r="E12" s="51" t="inlineStr">
        <is>
          <t>[SharePoint-Projektordner]</t>
        </is>
      </c>
      <c r="F12" s="29" t="inlineStr">
        <is>
          <t>final</t>
        </is>
      </c>
      <c r="G12" s="38" t="inlineStr"/>
    </row>
    <row r="13">
      <c r="A13" s="29" t="n">
        <v>12</v>
      </c>
      <c r="B13" s="38" t="inlineStr">
        <is>
          <t>Einzelanalyse 02</t>
        </is>
      </c>
      <c r="C13" s="29" t="inlineStr">
        <is>
          <t>-</t>
        </is>
      </c>
      <c r="D13" s="29" t="inlineStr">
        <is>
          <t>MiT</t>
        </is>
      </c>
      <c r="E13" s="51" t="inlineStr">
        <is>
          <t>[SharePoint-Projektordner]</t>
        </is>
      </c>
      <c r="F13" s="29" t="inlineStr">
        <is>
          <t>final</t>
        </is>
      </c>
      <c r="G13" s="38" t="inlineStr"/>
    </row>
    <row r="14">
      <c r="A14" s="29" t="n">
        <v>13</v>
      </c>
      <c r="B14" s="38" t="inlineStr">
        <is>
          <t>Einzelanalyse 03</t>
        </is>
      </c>
      <c r="C14" s="29" t="inlineStr">
        <is>
          <t>-</t>
        </is>
      </c>
      <c r="D14" s="29" t="inlineStr">
        <is>
          <t>MiT</t>
        </is>
      </c>
      <c r="E14" s="51" t="inlineStr">
        <is>
          <t>[SharePoint-Projektordner]</t>
        </is>
      </c>
      <c r="F14" s="29" t="inlineStr">
        <is>
          <t>final</t>
        </is>
      </c>
      <c r="G14" s="38" t="inlineStr"/>
    </row>
    <row r="15">
      <c r="A15" s="29" t="n">
        <v>14</v>
      </c>
      <c r="B15" s="38" t="inlineStr">
        <is>
          <t>Einzelanalyse 04</t>
        </is>
      </c>
      <c r="C15" s="29" t="inlineStr">
        <is>
          <t>-</t>
        </is>
      </c>
      <c r="D15" s="29" t="inlineStr">
        <is>
          <t>MiT</t>
        </is>
      </c>
      <c r="E15" s="51" t="inlineStr">
        <is>
          <t>[SharePoint-Projektordner]</t>
        </is>
      </c>
      <c r="F15" s="29" t="inlineStr">
        <is>
          <t>final</t>
        </is>
      </c>
      <c r="G15" s="38" t="inlineStr"/>
    </row>
    <row r="16">
      <c r="A16" s="29" t="n">
        <v>15</v>
      </c>
      <c r="B16" s="38" t="inlineStr">
        <is>
          <t>Einzelanalyse 05</t>
        </is>
      </c>
      <c r="C16" s="29" t="inlineStr">
        <is>
          <t>-</t>
        </is>
      </c>
      <c r="D16" s="29" t="inlineStr">
        <is>
          <t>MiT</t>
        </is>
      </c>
      <c r="E16" s="51" t="inlineStr">
        <is>
          <t>[SharePoint-Projektordner]</t>
        </is>
      </c>
      <c r="F16" s="29" t="inlineStr">
        <is>
          <t>final</t>
        </is>
      </c>
      <c r="G16" s="38" t="inlineStr"/>
    </row>
    <row r="17">
      <c r="A17" s="29" t="n">
        <v>16</v>
      </c>
      <c r="B17" s="38" t="inlineStr">
        <is>
          <t>Einzelanalyse 06</t>
        </is>
      </c>
      <c r="C17" s="29" t="inlineStr">
        <is>
          <t>-</t>
        </is>
      </c>
      <c r="D17" s="29" t="inlineStr">
        <is>
          <t>MiT</t>
        </is>
      </c>
      <c r="E17" s="51" t="inlineStr">
        <is>
          <t>[SharePoint-Projektordner]</t>
        </is>
      </c>
      <c r="F17" s="29" t="inlineStr">
        <is>
          <t>final</t>
        </is>
      </c>
      <c r="G17" s="38" t="inlineStr"/>
    </row>
    <row r="18">
      <c r="A18" s="29" t="n">
        <v>17</v>
      </c>
      <c r="B18" s="38" t="inlineStr">
        <is>
          <t>Einzelanalyse 07</t>
        </is>
      </c>
      <c r="C18" s="29" t="inlineStr">
        <is>
          <t>-</t>
        </is>
      </c>
      <c r="D18" s="29" t="inlineStr">
        <is>
          <t>MiT</t>
        </is>
      </c>
      <c r="E18" s="51" t="inlineStr">
        <is>
          <t>[SharePoint-Projektordner]</t>
        </is>
      </c>
      <c r="F18" s="29" t="inlineStr">
        <is>
          <t>final</t>
        </is>
      </c>
      <c r="G18" s="38" t="inlineStr"/>
    </row>
    <row r="19">
      <c r="A19" s="29" t="n">
        <v>18</v>
      </c>
      <c r="B19" s="38" t="inlineStr">
        <is>
          <t>Einzelanalyse 08</t>
        </is>
      </c>
      <c r="C19" s="29" t="inlineStr">
        <is>
          <t>-</t>
        </is>
      </c>
      <c r="D19" s="29" t="inlineStr">
        <is>
          <t>MiT</t>
        </is>
      </c>
      <c r="E19" s="51" t="inlineStr">
        <is>
          <t>[SharePoint-Projektordner]</t>
        </is>
      </c>
      <c r="F19" s="29" t="inlineStr">
        <is>
          <t>final</t>
        </is>
      </c>
      <c r="G19" s="38" t="inlineStr"/>
    </row>
    <row r="20">
      <c r="A20" s="29" t="n">
        <v>19</v>
      </c>
      <c r="B20" s="38" t="inlineStr">
        <is>
          <t>Einzelanalyse 09</t>
        </is>
      </c>
      <c r="C20" s="29" t="inlineStr">
        <is>
          <t>-</t>
        </is>
      </c>
      <c r="D20" s="29" t="inlineStr">
        <is>
          <t>MiT</t>
        </is>
      </c>
      <c r="E20" s="51" t="inlineStr">
        <is>
          <t>[SharePoint-Projektordner]</t>
        </is>
      </c>
      <c r="F20" s="29" t="inlineStr">
        <is>
          <t>final</t>
        </is>
      </c>
      <c r="G20" s="38" t="inlineStr"/>
    </row>
    <row r="21">
      <c r="A21" s="29" t="n">
        <v>20</v>
      </c>
      <c r="B21" s="38" t="inlineStr">
        <is>
          <t>Einzelanalyse 10</t>
        </is>
      </c>
      <c r="C21" s="29" t="inlineStr">
        <is>
          <t>-</t>
        </is>
      </c>
      <c r="D21" s="29" t="inlineStr">
        <is>
          <t>MiT</t>
        </is>
      </c>
      <c r="E21" s="51" t="inlineStr">
        <is>
          <t>[SharePoint-Projektordner]</t>
        </is>
      </c>
      <c r="F21" s="29" t="inlineStr">
        <is>
          <t>final</t>
        </is>
      </c>
      <c r="G21" s="38" t="inlineStr"/>
    </row>
    <row r="22">
      <c r="A22" s="29" t="n">
        <v>21</v>
      </c>
      <c r="B22" s="38" t="inlineStr">
        <is>
          <t>Einzelanalyse 11</t>
        </is>
      </c>
      <c r="C22" s="29" t="inlineStr">
        <is>
          <t>-</t>
        </is>
      </c>
      <c r="D22" s="29" t="inlineStr">
        <is>
          <t>MiT</t>
        </is>
      </c>
      <c r="E22" s="51" t="inlineStr">
        <is>
          <t>[SharePoint-Projektordner]</t>
        </is>
      </c>
      <c r="F22" s="29" t="inlineStr">
        <is>
          <t>final</t>
        </is>
      </c>
      <c r="G22" s="38" t="inlineStr"/>
    </row>
    <row r="23">
      <c r="A23" s="29" t="n">
        <v>22</v>
      </c>
      <c r="B23" s="38" t="inlineStr">
        <is>
          <t>Projektdossier INTERN</t>
        </is>
      </c>
      <c r="C23" s="29" t="inlineStr">
        <is>
          <t>-</t>
        </is>
      </c>
      <c r="D23" s="29" t="inlineStr">
        <is>
          <t>MiT</t>
        </is>
      </c>
      <c r="E23" s="51" t="inlineStr">
        <is>
          <t>[SharePoint-Projektordner]</t>
        </is>
      </c>
      <c r="F23" s="29" t="inlineStr">
        <is>
          <t>final</t>
        </is>
      </c>
      <c r="G23" s="38" t="inlineStr">
        <is>
          <t>vertraulich - nicht an DPR</t>
        </is>
      </c>
    </row>
    <row r="24">
      <c r="A24" s="29" t="n">
        <v>23</v>
      </c>
      <c r="B24" s="38" t="inlineStr">
        <is>
          <t>MiT-Offerten (Layout)</t>
        </is>
      </c>
      <c r="C24" s="29" t="inlineStr">
        <is>
          <t>in Arbeit</t>
        </is>
      </c>
      <c r="D24" s="29" t="inlineStr">
        <is>
          <t>MiT</t>
        </is>
      </c>
      <c r="E24" s="51" t="inlineStr">
        <is>
          <t>[SharePoint-Projektordner]</t>
        </is>
      </c>
      <c r="F24" s="29" t="inlineStr">
        <is>
          <t>Entwurf</t>
        </is>
      </c>
      <c r="G24" s="38" t="inlineStr">
        <is>
          <t>Ann-Kathrin</t>
        </is>
      </c>
    </row>
    <row r="25">
      <c r="A25" s="29" t="n">
        <v>24</v>
      </c>
      <c r="B25" s="38" t="inlineStr">
        <is>
          <t>Intercompany-Order Aggreko</t>
        </is>
      </c>
      <c r="C25" s="29" t="inlineStr">
        <is>
          <t>offen</t>
        </is>
      </c>
      <c r="D25" s="29" t="inlineStr">
        <is>
          <t>MiT</t>
        </is>
      </c>
      <c r="E25" s="51" t="inlineStr">
        <is>
          <t>[SharePoint-Projektordner]</t>
        </is>
      </c>
      <c r="F25" s="29" t="inlineStr">
        <is>
          <t>Entwurf</t>
        </is>
      </c>
      <c r="G25" s="38" t="inlineStr">
        <is>
          <t>Back-to-Back, Sarah/bSuite</t>
        </is>
      </c>
    </row>
    <row r="26">
      <c r="A26" s="29" t="n">
        <v>25</v>
      </c>
      <c r="B26" s="38" t="inlineStr">
        <is>
          <t>RAMS-Paket</t>
        </is>
      </c>
      <c r="C26" s="29" t="inlineStr">
        <is>
          <t>offen</t>
        </is>
      </c>
      <c r="D26" s="29" t="inlineStr">
        <is>
          <t>MiT</t>
        </is>
      </c>
      <c r="E26" s="51" t="inlineStr">
        <is>
          <t>[SharePoint-Projektordner]</t>
        </is>
      </c>
      <c r="F26" s="29" t="inlineStr">
        <is>
          <t>Entwurf</t>
        </is>
      </c>
      <c r="G26" s="38" t="inlineStr">
        <is>
          <t>Abgabe 20.07. Hammertech</t>
        </is>
      </c>
    </row>
    <row r="27">
      <c r="A27" s="29" t="n">
        <v>26</v>
      </c>
      <c r="B27" s="38" t="inlineStr">
        <is>
          <t>Long-Lead-Liste</t>
        </is>
      </c>
      <c r="C27" s="29" t="inlineStr">
        <is>
          <t>offen</t>
        </is>
      </c>
      <c r="D27" s="29" t="inlineStr">
        <is>
          <t>MiT</t>
        </is>
      </c>
      <c r="E27" s="51" t="inlineStr">
        <is>
          <t>[SharePoint-Projektordner]</t>
        </is>
      </c>
      <c r="F27" s="29" t="inlineStr">
        <is>
          <t>Entwurf</t>
        </is>
      </c>
      <c r="G27" s="38" t="inlineStr">
        <is>
          <t>3-Tage-Frist ab Vertragsunterzeichnung</t>
        </is>
      </c>
    </row>
    <row r="28">
      <c r="A28" s="29" t="n">
        <v>27</v>
      </c>
      <c r="B28" s="38" t="inlineStr">
        <is>
          <t>Wochenbericht (PDF-Export)</t>
        </is>
      </c>
      <c r="C28" s="29" t="inlineStr">
        <is>
          <t>laufend</t>
        </is>
      </c>
      <c r="D28" s="29" t="inlineStr">
        <is>
          <t>MiT</t>
        </is>
      </c>
      <c r="E28" s="51" t="inlineStr">
        <is>
          <t>[SharePoint-Projektordner]</t>
        </is>
      </c>
      <c r="F28" s="29" t="inlineStr">
        <is>
          <t>Entwurf</t>
        </is>
      </c>
      <c r="G28" s="38" t="inlineStr">
        <is>
          <t>aus Blatt Wochenbericht</t>
        </is>
      </c>
    </row>
  </sheetData>
  <conditionalFormatting sqref="F2:F28">
    <cfRule type="cellIs" priority="1" operator="equal" dxfId="3">
      <formula>"signiert"</formula>
    </cfRule>
    <cfRule type="cellIs" priority="2" operator="equal" dxfId="5">
      <formula>"final"</formula>
    </cfRule>
    <cfRule type="cellIs" priority="3" operator="equal" dxfId="15">
      <formula>"ueberholt"</formula>
    </cfRule>
  </conditionalFormatting>
  <dataValidations count="2">
    <dataValidation sqref="D2:D28" showDropDown="0" showInputMessage="0" showErrorMessage="0" allowBlank="1" errorTitle="Ungueltige Eingabe" error="Bitte einen Wert aus der Liste waehlen." prompt="Wert aus Dropdown waehlen" type="list">
      <formula1>"DPR,Aggreko,MiT"</formula1>
    </dataValidation>
    <dataValidation sqref="F2:F28" showDropDown="0" showInputMessage="0" showErrorMessage="0" allowBlank="1" errorTitle="Ungueltige Eingabe" error="Bitte einen Wert aus der Liste waehlen." prompt="Wert aus Dropdown waehlen" type="list">
      <formula1>"Entwurf,final,signiert,ueberholt"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30" customWidth="1" min="4" max="4"/>
    <col width="22" customWidth="1" min="5" max="5"/>
    <col width="28" customWidth="1" min="6" max="6"/>
    <col width="8" customWidth="1" min="7" max="7"/>
    <col width="30" customWidth="1" min="8" max="8"/>
  </cols>
  <sheetData>
    <row r="1">
      <c r="A1" s="23" t="inlineStr">
        <is>
          <t>Nr.</t>
        </is>
      </c>
      <c r="B1" s="23" t="inlineStr">
        <is>
          <t>Name</t>
        </is>
      </c>
      <c r="C1" s="23" t="inlineStr">
        <is>
          <t>Firma</t>
        </is>
      </c>
      <c r="D1" s="23" t="inlineStr">
        <is>
          <t>Rolle</t>
        </is>
      </c>
      <c r="E1" s="23" t="inlineStr">
        <is>
          <t>Telefon</t>
        </is>
      </c>
      <c r="F1" s="23" t="inlineStr">
        <is>
          <t>E-Mail</t>
        </is>
      </c>
      <c r="G1" s="23" t="inlineStr">
        <is>
          <t>24/7</t>
        </is>
      </c>
      <c r="H1" s="23" t="inlineStr">
        <is>
          <t>Bemerkung</t>
        </is>
      </c>
    </row>
    <row r="2">
      <c r="A2" s="29" t="n">
        <v>1</v>
      </c>
      <c r="B2" s="38" t="inlineStr">
        <is>
          <t>Roxana Minor</t>
        </is>
      </c>
      <c r="C2" s="29" t="inlineStr">
        <is>
          <t>DPR</t>
        </is>
      </c>
      <c r="D2" s="38" t="inlineStr">
        <is>
          <t>Vertrag / Einkauf (Hauptkontakt)</t>
        </is>
      </c>
      <c r="E2" s="38" t="inlineStr">
        <is>
          <t>[eintragen]</t>
        </is>
      </c>
      <c r="F2" s="38" t="inlineStr">
        <is>
          <t>[eintragen]</t>
        </is>
      </c>
      <c r="G2" s="29" t="inlineStr">
        <is>
          <t>nein</t>
        </is>
      </c>
      <c r="H2" s="38" t="inlineStr">
        <is>
          <t>Hauptkontakt neu</t>
        </is>
      </c>
    </row>
    <row r="3">
      <c r="A3" s="29" t="n">
        <v>2</v>
      </c>
      <c r="B3" s="38" t="inlineStr">
        <is>
          <t>Gavin Stanbury</t>
        </is>
      </c>
      <c r="C3" s="29" t="inlineStr">
        <is>
          <t>DPR</t>
        </is>
      </c>
      <c r="D3" s="38" t="inlineStr">
        <is>
          <t>Projekt</t>
        </is>
      </c>
      <c r="E3" s="38" t="inlineStr">
        <is>
          <t>[eintragen]</t>
        </is>
      </c>
      <c r="F3" s="38" t="inlineStr">
        <is>
          <t>[eintragen]</t>
        </is>
      </c>
      <c r="G3" s="29" t="inlineStr">
        <is>
          <t>nein</t>
        </is>
      </c>
      <c r="H3" s="38" t="inlineStr"/>
    </row>
    <row r="4">
      <c r="A4" s="29" t="n">
        <v>3</v>
      </c>
      <c r="B4" s="38" t="inlineStr">
        <is>
          <t>Lee Robertson</t>
        </is>
      </c>
      <c r="C4" s="29" t="inlineStr">
        <is>
          <t>DPR</t>
        </is>
      </c>
      <c r="D4" s="38" t="inlineStr">
        <is>
          <t>Projekt</t>
        </is>
      </c>
      <c r="E4" s="38" t="inlineStr">
        <is>
          <t>[eintragen]</t>
        </is>
      </c>
      <c r="F4" s="38" t="inlineStr">
        <is>
          <t>[eintragen]</t>
        </is>
      </c>
      <c r="G4" s="29" t="inlineStr">
        <is>
          <t>nein</t>
        </is>
      </c>
      <c r="H4" s="38" t="inlineStr"/>
    </row>
    <row r="5">
      <c r="A5" s="29" t="n">
        <v>4</v>
      </c>
      <c r="B5" s="38" t="inlineStr">
        <is>
          <t>Martin Wendsche</t>
        </is>
      </c>
      <c r="C5" s="29" t="inlineStr">
        <is>
          <t>DPR</t>
        </is>
      </c>
      <c r="D5" s="38" t="inlineStr">
        <is>
          <t>Managing Director / Unterschrift</t>
        </is>
      </c>
      <c r="E5" s="38" t="inlineStr">
        <is>
          <t>[eintragen]</t>
        </is>
      </c>
      <c r="F5" s="38" t="inlineStr">
        <is>
          <t>[eintragen]</t>
        </is>
      </c>
      <c r="G5" s="29" t="inlineStr">
        <is>
          <t>nein</t>
        </is>
      </c>
      <c r="H5" s="38" t="inlineStr"/>
    </row>
    <row r="6">
      <c r="A6" s="29" t="n">
        <v>5</v>
      </c>
      <c r="B6" s="38" t="inlineStr">
        <is>
          <t>N.N. DPR-Superintendent</t>
        </is>
      </c>
      <c r="C6" s="29" t="inlineStr">
        <is>
          <t>DPR</t>
        </is>
      </c>
      <c r="D6" s="38" t="inlineStr">
        <is>
          <t>Bauleitung vor Ort</t>
        </is>
      </c>
      <c r="E6" s="38" t="inlineStr">
        <is>
          <t>[eintragen]</t>
        </is>
      </c>
      <c r="F6" s="38" t="inlineStr">
        <is>
          <t>[eintragen]</t>
        </is>
      </c>
      <c r="G6" s="29" t="inlineStr">
        <is>
          <t>nein</t>
        </is>
      </c>
      <c r="H6" s="38" t="inlineStr">
        <is>
          <t>offen</t>
        </is>
      </c>
    </row>
    <row r="7">
      <c r="A7" s="29" t="n">
        <v>6</v>
      </c>
      <c r="B7" s="38" t="inlineStr">
        <is>
          <t>N.N. DPR EHS</t>
        </is>
      </c>
      <c r="C7" s="29" t="inlineStr">
        <is>
          <t>DPR</t>
        </is>
      </c>
      <c r="D7" s="38" t="inlineStr">
        <is>
          <t>Sicherheit / EHS</t>
        </is>
      </c>
      <c r="E7" s="38" t="inlineStr">
        <is>
          <t>[eintragen]</t>
        </is>
      </c>
      <c r="F7" s="38" t="inlineStr">
        <is>
          <t>[eintragen]</t>
        </is>
      </c>
      <c r="G7" s="29" t="inlineStr">
        <is>
          <t>nein</t>
        </is>
      </c>
      <c r="H7" s="38" t="inlineStr">
        <is>
          <t>offen</t>
        </is>
      </c>
    </row>
    <row r="8">
      <c r="A8" s="29" t="n">
        <v>7</v>
      </c>
      <c r="B8" s="38" t="inlineStr">
        <is>
          <t>Tanya Hoffmann</t>
        </is>
      </c>
      <c r="C8" s="29" t="inlineStr">
        <is>
          <t>Aggreko</t>
        </is>
      </c>
      <c r="D8" s="38" t="inlineStr">
        <is>
          <t>Vertrieb DE</t>
        </is>
      </c>
      <c r="E8" s="38" t="inlineStr">
        <is>
          <t>[eintragen]</t>
        </is>
      </c>
      <c r="F8" s="38" t="inlineStr">
        <is>
          <t>[eintragen]</t>
        </is>
      </c>
      <c r="G8" s="29" t="inlineStr">
        <is>
          <t>nein</t>
        </is>
      </c>
      <c r="H8" s="38" t="inlineStr">
        <is>
          <t>cc bei Versand Gesamtpaket</t>
        </is>
      </c>
    </row>
    <row r="9">
      <c r="A9" s="29" t="n">
        <v>8</v>
      </c>
      <c r="B9" s="38" t="inlineStr">
        <is>
          <t>N.N. (PL Aggreko DE)</t>
        </is>
      </c>
      <c r="C9" s="29" t="inlineStr">
        <is>
          <t>Aggreko</t>
        </is>
      </c>
      <c r="D9" s="38" t="inlineStr">
        <is>
          <t>Projektleiter</t>
        </is>
      </c>
      <c r="E9" s="38" t="inlineStr">
        <is>
          <t>[eintragen]</t>
        </is>
      </c>
      <c r="F9" s="38" t="inlineStr">
        <is>
          <t>[eintragen]</t>
        </is>
      </c>
      <c r="G9" s="29" t="inlineStr">
        <is>
          <t>nein</t>
        </is>
      </c>
      <c r="H9" s="38" t="inlineStr">
        <is>
          <t>wird benannt</t>
        </is>
      </c>
    </row>
    <row r="10">
      <c r="A10" s="29" t="n">
        <v>9</v>
      </c>
      <c r="B10" s="38" t="inlineStr">
        <is>
          <t>Johannes Schepp</t>
        </is>
      </c>
      <c r="C10" s="29" t="inlineStr">
        <is>
          <t>Aggreko</t>
        </is>
      </c>
      <c r="D10" s="38" t="inlineStr">
        <is>
          <t>Projekt / Technik</t>
        </is>
      </c>
      <c r="E10" s="38" t="inlineStr">
        <is>
          <t>[eintragen]</t>
        </is>
      </c>
      <c r="F10" s="38" t="inlineStr">
        <is>
          <t>[eintragen]</t>
        </is>
      </c>
      <c r="G10" s="29" t="inlineStr">
        <is>
          <t>nein</t>
        </is>
      </c>
      <c r="H10" s="38" t="inlineStr"/>
    </row>
    <row r="11">
      <c r="A11" s="29" t="n">
        <v>10</v>
      </c>
      <c r="B11" s="38" t="inlineStr">
        <is>
          <t>Mike Kutsch</t>
        </is>
      </c>
      <c r="C11" s="29" t="inlineStr">
        <is>
          <t>Aggreko</t>
        </is>
      </c>
      <c r="D11" s="38" t="inlineStr">
        <is>
          <t>Projekt / Technik</t>
        </is>
      </c>
      <c r="E11" s="38" t="inlineStr">
        <is>
          <t>[eintragen]</t>
        </is>
      </c>
      <c r="F11" s="38" t="inlineStr">
        <is>
          <t>[eintragen]</t>
        </is>
      </c>
      <c r="G11" s="29" t="inlineStr">
        <is>
          <t>nein</t>
        </is>
      </c>
      <c r="H11" s="38" t="inlineStr"/>
    </row>
    <row r="12">
      <c r="A12" s="29" t="n">
        <v>11</v>
      </c>
      <c r="B12" s="38" t="inlineStr">
        <is>
          <t>Alexej Soltow</t>
        </is>
      </c>
      <c r="C12" s="29" t="inlineStr">
        <is>
          <t>Aggreko</t>
        </is>
      </c>
      <c r="D12" s="38" t="inlineStr">
        <is>
          <t>Projekt / Technik</t>
        </is>
      </c>
      <c r="E12" s="38" t="inlineStr">
        <is>
          <t>[eintragen]</t>
        </is>
      </c>
      <c r="F12" s="38" t="inlineStr">
        <is>
          <t>[eintragen]</t>
        </is>
      </c>
      <c r="G12" s="29" t="inlineStr">
        <is>
          <t>nein</t>
        </is>
      </c>
      <c r="H12" s="38" t="inlineStr"/>
    </row>
    <row r="13">
      <c r="A13" s="29" t="n">
        <v>12</v>
      </c>
      <c r="B13" s="38" t="inlineStr">
        <is>
          <t>Burak Uecoez</t>
        </is>
      </c>
      <c r="C13" s="29" t="inlineStr">
        <is>
          <t>MiT</t>
        </is>
      </c>
      <c r="D13" s="38" t="inlineStr">
        <is>
          <t>Projektleiter</t>
        </is>
      </c>
      <c r="E13" s="38" t="inlineStr">
        <is>
          <t>[eintragen]</t>
        </is>
      </c>
      <c r="F13" s="38" t="inlineStr">
        <is>
          <t>[eintragen]</t>
        </is>
      </c>
      <c r="G13" s="29" t="inlineStr">
        <is>
          <t>nein</t>
        </is>
      </c>
      <c r="H13" s="38" t="inlineStr">
        <is>
          <t>Gesamtverantwortung</t>
        </is>
      </c>
    </row>
    <row r="14">
      <c r="A14" s="29" t="n">
        <v>13</v>
      </c>
      <c r="B14" s="38" t="inlineStr">
        <is>
          <t>Stefan</t>
        </is>
      </c>
      <c r="C14" s="29" t="inlineStr">
        <is>
          <t>MiT</t>
        </is>
      </c>
      <c r="D14" s="38" t="inlineStr">
        <is>
          <t>GL / Unterschriften</t>
        </is>
      </c>
      <c r="E14" s="38" t="inlineStr">
        <is>
          <t>[eintragen]</t>
        </is>
      </c>
      <c r="F14" s="38" t="inlineStr">
        <is>
          <t>[eintragen]</t>
        </is>
      </c>
      <c r="G14" s="29" t="inlineStr">
        <is>
          <t>nein</t>
        </is>
      </c>
      <c r="H14" s="38" t="inlineStr"/>
    </row>
    <row r="15">
      <c r="A15" s="29" t="n">
        <v>14</v>
      </c>
      <c r="B15" s="38" t="inlineStr">
        <is>
          <t>Markus</t>
        </is>
      </c>
      <c r="C15" s="29" t="inlineStr">
        <is>
          <t>MiT</t>
        </is>
      </c>
      <c r="D15" s="38" t="inlineStr">
        <is>
          <t>Finance / Versicherung / Zoll</t>
        </is>
      </c>
      <c r="E15" s="38" t="inlineStr">
        <is>
          <t>[eintragen]</t>
        </is>
      </c>
      <c r="F15" s="38" t="inlineStr">
        <is>
          <t>[eintragen]</t>
        </is>
      </c>
      <c r="G15" s="29" t="inlineStr">
        <is>
          <t>nein</t>
        </is>
      </c>
      <c r="H15" s="38" t="inlineStr"/>
    </row>
    <row r="16">
      <c r="A16" s="29" t="n">
        <v>15</v>
      </c>
      <c r="B16" s="38" t="inlineStr">
        <is>
          <t>Ann-Kathrin</t>
        </is>
      </c>
      <c r="C16" s="29" t="inlineStr">
        <is>
          <t>MiT</t>
        </is>
      </c>
      <c r="D16" s="38" t="inlineStr">
        <is>
          <t>Backoffice / Angebote</t>
        </is>
      </c>
      <c r="E16" s="38" t="inlineStr">
        <is>
          <t>[eintragen]</t>
        </is>
      </c>
      <c r="F16" s="38" t="inlineStr">
        <is>
          <t>[eintragen]</t>
        </is>
      </c>
      <c r="G16" s="29" t="inlineStr">
        <is>
          <t>nein</t>
        </is>
      </c>
      <c r="H16" s="38" t="inlineStr"/>
    </row>
    <row r="17">
      <c r="A17" s="29" t="n">
        <v>16</v>
      </c>
      <c r="B17" s="38" t="inlineStr">
        <is>
          <t>Sarah</t>
        </is>
      </c>
      <c r="C17" s="29" t="inlineStr">
        <is>
          <t>MiT</t>
        </is>
      </c>
      <c r="D17" s="38" t="inlineStr">
        <is>
          <t>bSuite / Intercompany</t>
        </is>
      </c>
      <c r="E17" s="38" t="inlineStr">
        <is>
          <t>[eintragen]</t>
        </is>
      </c>
      <c r="F17" s="38" t="inlineStr">
        <is>
          <t>[eintragen]</t>
        </is>
      </c>
      <c r="G17" s="29" t="inlineStr">
        <is>
          <t>nein</t>
        </is>
      </c>
      <c r="H17" s="38" t="inlineStr"/>
    </row>
    <row r="18">
      <c r="A18" s="29" t="n">
        <v>17</v>
      </c>
      <c r="B18" s="38" t="inlineStr">
        <is>
          <t>Samuel</t>
        </is>
      </c>
      <c r="C18" s="29" t="inlineStr">
        <is>
          <t>MiT</t>
        </is>
      </c>
      <c r="D18" s="38" t="inlineStr">
        <is>
          <t>RAMS / Sicherheit</t>
        </is>
      </c>
      <c r="E18" s="38" t="inlineStr">
        <is>
          <t>[eintragen]</t>
        </is>
      </c>
      <c r="F18" s="38" t="inlineStr">
        <is>
          <t>[eintragen]</t>
        </is>
      </c>
      <c r="G18" s="29" t="inlineStr">
        <is>
          <t>nein</t>
        </is>
      </c>
      <c r="H18" s="38" t="inlineStr"/>
    </row>
    <row r="19">
      <c r="A19" s="29" t="n">
        <v>18</v>
      </c>
      <c r="B19" s="38" t="inlineStr">
        <is>
          <t>Stephan Marty</t>
        </is>
      </c>
      <c r="C19" s="29" t="inlineStr">
        <is>
          <t>MiT</t>
        </is>
      </c>
      <c r="D19" s="38" t="inlineStr">
        <is>
          <t>Vertrag / Support PL</t>
        </is>
      </c>
      <c r="E19" s="38" t="inlineStr">
        <is>
          <t>[eintragen]</t>
        </is>
      </c>
      <c r="F19" s="38" t="inlineStr">
        <is>
          <t>[eintragen]</t>
        </is>
      </c>
      <c r="G19" s="29" t="inlineStr">
        <is>
          <t>nein</t>
        </is>
      </c>
      <c r="H19" s="38" t="inlineStr"/>
    </row>
    <row r="20">
      <c r="A20" s="29" t="n">
        <v>19</v>
      </c>
      <c r="B20" s="38" t="inlineStr">
        <is>
          <t>Olli</t>
        </is>
      </c>
      <c r="C20" s="29" t="inlineStr">
        <is>
          <t>MiT</t>
        </is>
      </c>
      <c r="D20" s="38" t="inlineStr">
        <is>
          <t>FX / Finanzen</t>
        </is>
      </c>
      <c r="E20" s="38" t="inlineStr">
        <is>
          <t>[eintragen]</t>
        </is>
      </c>
      <c r="F20" s="38" t="inlineStr">
        <is>
          <t>[eintragen]</t>
        </is>
      </c>
      <c r="G20" s="29" t="inlineStr">
        <is>
          <t>nein</t>
        </is>
      </c>
      <c r="H20" s="38" t="inlineStr">
        <is>
          <t>Kursabsicherung</t>
        </is>
      </c>
    </row>
    <row r="21">
      <c r="A21" s="29" t="n">
        <v>20</v>
      </c>
      <c r="B21" s="38" t="inlineStr">
        <is>
          <t>WORKcontrol Suisse AG</t>
        </is>
      </c>
      <c r="C21" s="29" t="inlineStr">
        <is>
          <t>Sonstige</t>
        </is>
      </c>
      <c r="D21" s="38" t="inlineStr">
        <is>
          <t>Zutritt / Badges</t>
        </is>
      </c>
      <c r="E21" s="38" t="inlineStr">
        <is>
          <t>+41 44 512 88 11</t>
        </is>
      </c>
      <c r="F21" s="38" t="inlineStr">
        <is>
          <t>contact@workcontrol.ch</t>
        </is>
      </c>
      <c r="G21" s="29" t="inlineStr">
        <is>
          <t>nein</t>
        </is>
      </c>
      <c r="H21" s="38" t="inlineStr">
        <is>
          <t>CHF 25/Person Erstanmeldung</t>
        </is>
      </c>
    </row>
    <row r="22">
      <c r="A22" s="29" t="n">
        <v>21</v>
      </c>
      <c r="B22" s="38" t="inlineStr">
        <is>
          <t>24/7-Notfallnummer MiT</t>
        </is>
      </c>
      <c r="C22" s="29" t="inlineStr">
        <is>
          <t>MiT</t>
        </is>
      </c>
      <c r="D22" s="38" t="inlineStr">
        <is>
          <t>Notfall / Bereitschaft</t>
        </is>
      </c>
      <c r="E22" s="38" t="inlineStr">
        <is>
          <t>[eintragen]</t>
        </is>
      </c>
      <c r="F22" s="38" t="inlineStr">
        <is>
          <t>-</t>
        </is>
      </c>
      <c r="G22" s="29" t="inlineStr">
        <is>
          <t>ja</t>
        </is>
      </c>
      <c r="H22" s="38" t="inlineStr">
        <is>
          <t>offen - Kontaktkette</t>
        </is>
      </c>
    </row>
    <row r="23">
      <c r="A23" s="29" t="n">
        <v>22</v>
      </c>
      <c r="B23" s="38" t="inlineStr">
        <is>
          <t>24/7-Notfallnummer Aggreko</t>
        </is>
      </c>
      <c r="C23" s="29" t="inlineStr">
        <is>
          <t>Aggreko</t>
        </is>
      </c>
      <c r="D23" s="38" t="inlineStr">
        <is>
          <t>Notfall / Service</t>
        </is>
      </c>
      <c r="E23" s="38" t="inlineStr">
        <is>
          <t>[eintragen]</t>
        </is>
      </c>
      <c r="F23" s="38" t="inlineStr">
        <is>
          <t>-</t>
        </is>
      </c>
      <c r="G23" s="29" t="inlineStr">
        <is>
          <t>ja</t>
        </is>
      </c>
      <c r="H23" s="38" t="inlineStr">
        <is>
          <t>offen - Kontaktkette</t>
        </is>
      </c>
    </row>
  </sheetData>
  <conditionalFormatting sqref="G2:G23">
    <cfRule type="cellIs" priority="1" operator="equal" dxfId="16">
      <formula>"ja"</formula>
    </cfRule>
  </conditionalFormatting>
  <dataValidations count="2">
    <dataValidation sqref="C2:C23" showDropDown="0" showInputMessage="0" showErrorMessage="0" allowBlank="1" errorTitle="Ungueltige Eingabe" error="Bitte einen Wert aus der Liste waehlen." prompt="Wert aus Dropdown waehlen" type="list">
      <formula1>"DPR,Aggreko,MiT,Sonstige"</formula1>
    </dataValidation>
    <dataValidation sqref="G2:G23" showDropDown="0" showInputMessage="0" showErrorMessage="0" allowBlank="1" errorTitle="Ungueltige Eingabe" error="Bitte einen Wert aus der Liste waehlen." prompt="Wert aus Dropdown waehlen" type="list">
      <formula1>"ja,nein"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56" customWidth="1" min="4" max="4"/>
    <col width="22" customWidth="1" min="5" max="5"/>
    <col width="13" customWidth="1" min="6" max="6"/>
    <col width="12" customWidth="1" min="7" max="7"/>
    <col hidden="1" width="13" customWidth="1" min="8" max="8"/>
  </cols>
  <sheetData>
    <row r="1">
      <c r="A1" s="23" t="inlineStr">
        <is>
          <t>Datum</t>
        </is>
      </c>
      <c r="B1" s="23" t="inlineStr">
        <is>
          <t>Wer</t>
        </is>
      </c>
      <c r="C1" s="23" t="inlineStr">
        <is>
          <t>Typ</t>
        </is>
      </c>
      <c r="D1" s="23" t="inlineStr">
        <is>
          <t>Was</t>
        </is>
      </c>
      <c r="E1" s="23" t="inlineStr">
        <is>
          <t>Auswirkung</t>
        </is>
      </c>
      <c r="F1" s="23" t="inlineStr">
        <is>
          <t>Termin</t>
        </is>
      </c>
      <c r="G1" s="23" t="inlineStr">
        <is>
          <t>Status</t>
        </is>
      </c>
      <c r="H1" s="31" t="inlineStr">
        <is>
          <t>(Hilfsspalte)</t>
        </is>
      </c>
    </row>
    <row r="2">
      <c r="A2" s="26" t="n">
        <v>46218</v>
      </c>
      <c r="B2" s="38" t="inlineStr">
        <is>
          <t>Burak Uecoez</t>
        </is>
      </c>
      <c r="C2" s="29" t="inlineStr">
        <is>
          <t>Aenderung</t>
        </is>
      </c>
      <c r="D2" s="38" t="inlineStr">
        <is>
          <t>Projektaufsetzung, Aufgabenverteilung.</t>
        </is>
      </c>
      <c r="E2" s="38" t="inlineStr">
        <is>
          <t>-</t>
        </is>
      </c>
      <c r="F2" s="26" t="n"/>
      <c r="G2" s="29" t="n"/>
      <c r="H2">
        <f>IF(AND($C2="Entscheid",$G2="offen"),ROW(),"")</f>
        <v/>
      </c>
    </row>
    <row r="3">
      <c r="A3" s="26" t="n">
        <v>46218</v>
      </c>
      <c r="B3" s="38" t="inlineStr">
        <is>
          <t>Stefan / Olli</t>
        </is>
      </c>
      <c r="C3" s="29" t="inlineStr">
        <is>
          <t>Entscheid</t>
        </is>
      </c>
      <c r="D3" s="38" t="inlineStr">
        <is>
          <t>EUR/CHF-Kurs und Absicherung festlegen.</t>
        </is>
      </c>
      <c r="E3" s="38" t="inlineStr">
        <is>
          <t>FX-Risiko</t>
        </is>
      </c>
      <c r="F3" s="26" t="n">
        <v>46220</v>
      </c>
      <c r="G3" s="29" t="inlineStr">
        <is>
          <t>offen</t>
        </is>
      </c>
      <c r="H3">
        <f>IF(AND($C3="Entscheid",$G3="offen"),ROW(),"")</f>
        <v/>
      </c>
    </row>
    <row r="4">
      <c r="A4" s="26" t="n">
        <v>46218</v>
      </c>
      <c r="B4" s="38" t="inlineStr">
        <is>
          <t>Stefan</t>
        </is>
      </c>
      <c r="C4" s="29" t="inlineStr">
        <is>
          <t>Entscheid</t>
        </is>
      </c>
      <c r="D4" s="38" t="inlineStr">
        <is>
          <t>Verhandlungslinie / Redline-Linie Korrekturliste.</t>
        </is>
      </c>
      <c r="E4" s="38" t="inlineStr">
        <is>
          <t>PO-Korrektur</t>
        </is>
      </c>
      <c r="F4" s="26" t="n">
        <v>46220</v>
      </c>
      <c r="G4" s="29" t="inlineStr">
        <is>
          <t>offen</t>
        </is>
      </c>
      <c r="H4">
        <f>IF(AND($C4="Entscheid",$G4="offen"),ROW(),"")</f>
        <v/>
      </c>
    </row>
    <row r="5">
      <c r="A5" s="26" t="n">
        <v>46218</v>
      </c>
      <c r="B5" s="38" t="inlineStr">
        <is>
          <t>Stefan</t>
        </is>
      </c>
      <c r="C5" s="29" t="inlineStr">
        <is>
          <t>Entscheid</t>
        </is>
      </c>
      <c r="D5" s="38" t="inlineStr">
        <is>
          <t>MiT-Vertragskonstellation final (Parteien, NDA).</t>
        </is>
      </c>
      <c r="E5" s="38" t="inlineStr">
        <is>
          <t>Vertraege</t>
        </is>
      </c>
      <c r="F5" s="26" t="n">
        <v>46223</v>
      </c>
      <c r="G5" s="29" t="inlineStr">
        <is>
          <t>offen</t>
        </is>
      </c>
      <c r="H5">
        <f>IF(AND($C5="Entscheid",$G5="offen"),ROW(),"")</f>
        <v/>
      </c>
    </row>
    <row r="6">
      <c r="A6" s="26" t="n">
        <v>46218</v>
      </c>
      <c r="B6" s="38" t="inlineStr">
        <is>
          <t>Burak Uecoez</t>
        </is>
      </c>
      <c r="C6" s="29" t="inlineStr">
        <is>
          <t>Aenderung</t>
        </is>
      </c>
      <c r="D6" s="38" t="inlineStr">
        <is>
          <t>Tool erstellt und vorbefuellt; Erweiterungen: Gantt, Personal, Kontakte, Logistik, Testprotokolle, Kommerziell.</t>
        </is>
      </c>
      <c r="E6" s="38" t="inlineStr">
        <is>
          <t>-</t>
        </is>
      </c>
      <c r="F6" s="26" t="n"/>
      <c r="G6" s="29" t="n"/>
      <c r="H6">
        <f>IF(AND($C6="Entscheid",$G6="offen"),ROW(),"")</f>
        <v/>
      </c>
    </row>
    <row r="7">
      <c r="A7" s="26" t="n">
        <v>46219</v>
      </c>
      <c r="B7" s="38" t="inlineStr">
        <is>
          <t>Burak Uecoez</t>
        </is>
      </c>
      <c r="C7" s="29" t="inlineStr">
        <is>
          <t>Aenderung</t>
        </is>
      </c>
      <c r="D7" s="38" t="inlineStr">
        <is>
          <t>V2-Aenderungen uebernommen; Kalender 2026 gegen ISO-Kalender geprueft; Samstag-Termine korrigiert.</t>
        </is>
      </c>
      <c r="E7" s="38" t="inlineStr">
        <is>
          <t>-</t>
        </is>
      </c>
      <c r="F7" s="26" t="n"/>
      <c r="G7" s="29" t="n"/>
      <c r="H7">
        <f>IF(AND($C7="Entscheid",$G7="offen"),ROW(),"")</f>
        <v/>
      </c>
    </row>
    <row r="8">
      <c r="A8" s="26" t="n">
        <v>46219</v>
      </c>
      <c r="B8" s="38" t="inlineStr">
        <is>
          <t>Burak Uecoez</t>
        </is>
      </c>
      <c r="C8" s="29" t="inlineStr">
        <is>
          <t>Aenderung</t>
        </is>
      </c>
      <c r="D8" s="38" t="inlineStr">
        <is>
          <t>V5: EUR-Werte + PO-Nummern, Termine &amp; Meetings, Kommerziell, Wahrscheinlichkeit, Kontakte, naechste 5 Meilensteine; Diagramm-Fixes.</t>
        </is>
      </c>
      <c r="E8" s="38" t="inlineStr">
        <is>
          <t>-</t>
        </is>
      </c>
      <c r="F8" s="26" t="n"/>
      <c r="G8" s="29" t="n"/>
      <c r="H8">
        <f>IF(AND($C8="Entscheid",$G8="offen"),ROW(),"")</f>
        <v/>
      </c>
    </row>
    <row r="9">
      <c r="A9" s="26" t="n">
        <v>46219</v>
      </c>
      <c r="B9" s="38" t="inlineStr">
        <is>
          <t>Burak Uecoez</t>
        </is>
      </c>
      <c r="C9" s="29" t="inlineStr">
        <is>
          <t>Aenderung</t>
        </is>
      </c>
      <c r="D9" s="38" t="inlineStr">
        <is>
          <t>V6: Wochenbericht, Schichtplan, Fuel-Log, Trend, Vorgaenger-Abhaengigkeiten, Off-Hire-Countdown, Entscheidungs-Tracker.</t>
        </is>
      </c>
      <c r="E9" s="38" t="inlineStr">
        <is>
          <t>-</t>
        </is>
      </c>
      <c r="F9" s="26" t="n"/>
      <c r="G9" s="29" t="n"/>
      <c r="H9">
        <f>IF(AND($C9="Entscheid",$G9="offen"),ROW(),"")</f>
        <v/>
      </c>
    </row>
    <row r="10">
      <c r="A10" s="26" t="n"/>
      <c r="B10" s="38" t="n"/>
      <c r="C10" s="29" t="n"/>
      <c r="D10" s="38" t="n"/>
      <c r="E10" s="38" t="n"/>
      <c r="F10" s="26" t="n"/>
      <c r="G10" s="29" t="n"/>
      <c r="H10">
        <f>IF(AND($C10="Entscheid",$G10="offen"),ROW(),"")</f>
        <v/>
      </c>
    </row>
    <row r="11">
      <c r="A11" s="26" t="n"/>
      <c r="B11" s="38" t="n"/>
      <c r="C11" s="29" t="n"/>
      <c r="D11" s="38" t="n"/>
      <c r="E11" s="38" t="n"/>
      <c r="F11" s="26" t="n"/>
      <c r="G11" s="29" t="n"/>
      <c r="H11">
        <f>IF(AND($C11="Entscheid",$G11="offen"),ROW(),"")</f>
        <v/>
      </c>
    </row>
    <row r="12">
      <c r="A12" s="26" t="n"/>
      <c r="B12" s="38" t="n"/>
      <c r="C12" s="29" t="n"/>
      <c r="D12" s="38" t="n"/>
      <c r="E12" s="38" t="n"/>
      <c r="F12" s="26" t="n"/>
      <c r="G12" s="29" t="n"/>
      <c r="H12">
        <f>IF(AND($C12="Entscheid",$G12="offen"),ROW(),"")</f>
        <v/>
      </c>
    </row>
    <row r="13">
      <c r="A13" s="26" t="n"/>
      <c r="B13" s="38" t="n"/>
      <c r="C13" s="29" t="n"/>
      <c r="D13" s="38" t="n"/>
      <c r="E13" s="38" t="n"/>
      <c r="F13" s="26" t="n"/>
      <c r="G13" s="29" t="n"/>
      <c r="H13">
        <f>IF(AND($C13="Entscheid",$G13="offen"),ROW(),"")</f>
        <v/>
      </c>
    </row>
    <row r="14">
      <c r="A14" s="26" t="n"/>
      <c r="B14" s="38" t="n"/>
      <c r="C14" s="29" t="n"/>
      <c r="D14" s="38" t="n"/>
      <c r="E14" s="38" t="n"/>
      <c r="F14" s="26" t="n"/>
      <c r="G14" s="29" t="n"/>
      <c r="H14">
        <f>IF(AND($C14="Entscheid",$G14="offen"),ROW(),"")</f>
        <v/>
      </c>
    </row>
    <row r="15">
      <c r="A15" s="26" t="n"/>
      <c r="B15" s="38" t="n"/>
      <c r="C15" s="29" t="n"/>
      <c r="D15" s="38" t="n"/>
      <c r="E15" s="38" t="n"/>
      <c r="F15" s="26" t="n"/>
      <c r="G15" s="29" t="n"/>
      <c r="H15">
        <f>IF(AND($C15="Entscheid",$G15="offen"),ROW(),"")</f>
        <v/>
      </c>
    </row>
    <row r="16">
      <c r="A16" s="26" t="n"/>
      <c r="B16" s="38" t="n"/>
      <c r="C16" s="29" t="n"/>
      <c r="D16" s="38" t="n"/>
      <c r="E16" s="38" t="n"/>
      <c r="F16" s="26" t="n"/>
      <c r="G16" s="29" t="n"/>
      <c r="H16">
        <f>IF(AND($C16="Entscheid",$G16="offen"),ROW(),"")</f>
        <v/>
      </c>
    </row>
    <row r="17">
      <c r="A17" s="26" t="n"/>
      <c r="B17" s="38" t="n"/>
      <c r="C17" s="29" t="n"/>
      <c r="D17" s="38" t="n"/>
      <c r="E17" s="38" t="n"/>
      <c r="F17" s="26" t="n"/>
      <c r="G17" s="29" t="n"/>
      <c r="H17">
        <f>IF(AND($C17="Entscheid",$G17="offen"),ROW(),"")</f>
        <v/>
      </c>
    </row>
    <row r="18">
      <c r="A18" s="26" t="n"/>
      <c r="B18" s="38" t="n"/>
      <c r="C18" s="29" t="n"/>
      <c r="D18" s="38" t="n"/>
      <c r="E18" s="38" t="n"/>
      <c r="F18" s="26" t="n"/>
      <c r="G18" s="29" t="n"/>
      <c r="H18">
        <f>IF(AND($C18="Entscheid",$G18="offen"),ROW(),"")</f>
        <v/>
      </c>
    </row>
    <row r="19">
      <c r="A19" s="26" t="n"/>
      <c r="B19" s="38" t="n"/>
      <c r="C19" s="29" t="n"/>
      <c r="D19" s="38" t="n"/>
      <c r="E19" s="38" t="n"/>
      <c r="F19" s="26" t="n"/>
      <c r="G19" s="29" t="n"/>
      <c r="H19">
        <f>IF(AND($C19="Entscheid",$G19="offen"),ROW(),"")</f>
        <v/>
      </c>
    </row>
    <row r="20">
      <c r="A20" s="26" t="n"/>
      <c r="B20" s="38" t="n"/>
      <c r="C20" s="29" t="n"/>
      <c r="D20" s="38" t="n"/>
      <c r="E20" s="38" t="n"/>
      <c r="F20" s="26" t="n"/>
      <c r="G20" s="29" t="n"/>
      <c r="H20">
        <f>IF(AND($C20="Entscheid",$G20="offen"),ROW(),"")</f>
        <v/>
      </c>
    </row>
    <row r="21">
      <c r="A21" s="26" t="n"/>
      <c r="B21" s="38" t="n"/>
      <c r="C21" s="29" t="n"/>
      <c r="D21" s="38" t="n"/>
      <c r="E21" s="38" t="n"/>
      <c r="F21" s="26" t="n"/>
      <c r="G21" s="29" t="n"/>
      <c r="H21">
        <f>IF(AND($C21="Entscheid",$G21="offen"),ROW(),"")</f>
        <v/>
      </c>
    </row>
    <row r="22">
      <c r="A22" s="26" t="n"/>
      <c r="B22" s="38" t="n"/>
      <c r="C22" s="29" t="n"/>
      <c r="D22" s="38" t="n"/>
      <c r="E22" s="38" t="n"/>
      <c r="F22" s="26" t="n"/>
      <c r="G22" s="29" t="n"/>
      <c r="H22">
        <f>IF(AND($C22="Entscheid",$G22="offen"),ROW(),"")</f>
        <v/>
      </c>
    </row>
    <row r="23">
      <c r="A23" s="26" t="n"/>
      <c r="B23" s="38" t="n"/>
      <c r="C23" s="29" t="n"/>
      <c r="D23" s="38" t="n"/>
      <c r="E23" s="38" t="n"/>
      <c r="F23" s="26" t="n"/>
      <c r="G23" s="29" t="n"/>
      <c r="H23">
        <f>IF(AND($C23="Entscheid",$G23="offen"),ROW(),"")</f>
        <v/>
      </c>
    </row>
    <row r="24">
      <c r="A24" s="26" t="n"/>
      <c r="B24" s="38" t="n"/>
      <c r="C24" s="29" t="n"/>
      <c r="D24" s="38" t="n"/>
      <c r="E24" s="38" t="n"/>
      <c r="F24" s="26" t="n"/>
      <c r="G24" s="29" t="n"/>
      <c r="H24">
        <f>IF(AND($C24="Entscheid",$G24="offen"),ROW(),"")</f>
        <v/>
      </c>
    </row>
    <row r="25">
      <c r="A25" s="26" t="n"/>
      <c r="B25" s="38" t="n"/>
      <c r="C25" s="29" t="n"/>
      <c r="D25" s="38" t="n"/>
      <c r="E25" s="38" t="n"/>
      <c r="F25" s="26" t="n"/>
      <c r="G25" s="29" t="n"/>
      <c r="H25">
        <f>IF(AND($C25="Entscheid",$G25="offen"),ROW(),"")</f>
        <v/>
      </c>
    </row>
    <row r="26">
      <c r="A26" s="26" t="n"/>
      <c r="B26" s="38" t="n"/>
      <c r="C26" s="29" t="n"/>
      <c r="D26" s="38" t="n"/>
      <c r="E26" s="38" t="n"/>
      <c r="F26" s="26" t="n"/>
      <c r="G26" s="29" t="n"/>
      <c r="H26">
        <f>IF(AND($C26="Entscheid",$G26="offen"),ROW(),"")</f>
        <v/>
      </c>
    </row>
    <row r="27">
      <c r="A27" s="26" t="n"/>
      <c r="B27" s="38" t="n"/>
      <c r="C27" s="29" t="n"/>
      <c r="D27" s="38" t="n"/>
      <c r="E27" s="38" t="n"/>
      <c r="F27" s="26" t="n"/>
      <c r="G27" s="29" t="n"/>
      <c r="H27">
        <f>IF(AND($C27="Entscheid",$G27="offen"),ROW(),"")</f>
        <v/>
      </c>
    </row>
    <row r="28">
      <c r="A28" s="26" t="n"/>
      <c r="B28" s="38" t="n"/>
      <c r="C28" s="29" t="n"/>
      <c r="D28" s="38" t="n"/>
      <c r="E28" s="38" t="n"/>
      <c r="F28" s="26" t="n"/>
      <c r="G28" s="29" t="n"/>
      <c r="H28">
        <f>IF(AND($C28="Entscheid",$G28="offen"),ROW(),"")</f>
        <v/>
      </c>
    </row>
    <row r="29">
      <c r="A29" s="26" t="n"/>
      <c r="B29" s="38" t="n"/>
      <c r="C29" s="29" t="n"/>
      <c r="D29" s="38" t="n"/>
      <c r="E29" s="38" t="n"/>
      <c r="F29" s="26" t="n"/>
      <c r="G29" s="29" t="n"/>
      <c r="H29">
        <f>IF(AND($C29="Entscheid",$G29="offen"),ROW(),"")</f>
        <v/>
      </c>
    </row>
  </sheetData>
  <conditionalFormatting sqref="C2:C29">
    <cfRule type="cellIs" priority="1" operator="equal" dxfId="13">
      <formula>"Entscheid"</formula>
    </cfRule>
  </conditionalFormatting>
  <conditionalFormatting sqref="F2:F29">
    <cfRule type="expression" priority="2" dxfId="11">
      <formula>AND($G2="offen",$F2&lt;&gt;"",$F2&lt;TODAY())</formula>
    </cfRule>
  </conditionalFormatting>
  <conditionalFormatting sqref="G2:G29">
    <cfRule type="cellIs" priority="3" operator="equal" dxfId="3">
      <formula>"entschieden"</formula>
    </cfRule>
  </conditionalFormatting>
  <dataValidations count="2">
    <dataValidation sqref="C2:C29" showDropDown="0" showInputMessage="0" showErrorMessage="0" allowBlank="1" errorTitle="Ungueltige Eingabe" error="Bitte einen Wert aus der Liste waehlen." prompt="Wert aus Dropdown waehlen" type="list">
      <formula1>"Aenderung,Entscheid"</formula1>
    </dataValidation>
    <dataValidation sqref="G2:G29" showDropDown="0" showInputMessage="0" showErrorMessage="0" allowBlank="1" errorTitle="Ungueltige Eingabe" error="Bitte einen Wert aus der Liste waehlen." prompt="Wert aus Dropdown waehlen" type="list">
      <formula1>"offen,entschieden"</formula1>
    </dataValidation>
  </dataValidation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Mobil in Time AG</dc:creator>
  <dc:title>Projektsteuerung MiT-PWR-WIN-2026-001</dc:title>
  <dc:subject>DPR / Vantage ZRH12 Winterthur</dc:subject>
  <dcterms:created xsi:type="dcterms:W3CDTF">2026-07-16T09:55:55Z</dcterms:created>
  <dcterms:modified xsi:type="dcterms:W3CDTF">2026-07-16T09:55:55Z</dcterms:modified>
</cp:coreProperties>
</file>