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ilensteine" sheetId="2" state="visible" r:id="rId2"/>
    <sheet name="Aufgaben" sheetId="3" state="visible" r:id="rId3"/>
    <sheet name="Offene Punkte &amp; Risiken" sheetId="4" state="visible" r:id="rId4"/>
    <sheet name="Dokumente" sheetId="5" state="visible" r:id="rId5"/>
    <sheet name="Aenderungslog" sheetId="6" state="visible" r:id="rId6"/>
  </sheets>
  <definedNames>
    <definedName name="_xlnm.Print_Area" localSheetId="0">'Dashboard'!$A$1:$H$24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yyyy-mm-dd h:mm:ss"/>
    <numFmt numFmtId="166" formatCode="DD.MM.YYYY hh:mm"/>
  </numFmts>
  <fonts count="11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20"/>
    </font>
    <font>
      <name val="Arial"/>
      <b val="1"/>
      <color rgb="001F3A5F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i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4" fillId="0" borderId="1" applyAlignment="1" pivotButton="0" quotePrefix="0" xfId="0">
      <alignment horizontal="left" vertical="top" wrapText="1"/>
    </xf>
    <xf numFmtId="166" fontId="4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FE4C4"/>
        </patternFill>
      </fill>
    </dxf>
    <dxf>
      <font>
        <name val="Arial"/>
        <b val="1"/>
        <color rgb="00E8740C"/>
      </font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Meilensteine" displayName="Meilensteine" ref="A1:G17" headerRowCount="1">
  <autoFilter ref="A1:G17"/>
  <tableColumns count="7">
    <tableColumn id="1" name="Nr."/>
    <tableColumn id="2" name="Meilenstein"/>
    <tableColumn id="3" name="Plantermin"/>
    <tableColumn id="4" name="Ist-Termin"/>
    <tableColumn id="5" name="Status"/>
    <tableColumn id="6" name="Verantwortlich"/>
    <tableColumn id="7" name="Bemerku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enderungslog" displayName="Aenderungslog" ref="A1:C22" headerRowCount="1">
  <autoFilter ref="A1:C22"/>
  <tableColumns count="3">
    <tableColumn id="1" name="Datum"/>
    <tableColumn id="2" name="Wer"/>
    <tableColumn id="3" name="Was geaender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6" customWidth="1" min="4" max="4"/>
    <col width="24" customWidth="1" min="5" max="5"/>
    <col width="22" customWidth="1" min="6" max="6"/>
    <col width="22" customWidth="1" min="7" max="7"/>
    <col width="18" customWidth="1" min="8" max="8"/>
  </cols>
  <sheetData>
    <row r="2">
      <c r="B2" s="1" t="inlineStr">
        <is>
          <t>PROJEKTSTEUERUNG</t>
        </is>
      </c>
    </row>
    <row r="3">
      <c r="B3" s="2" t="inlineStr">
        <is>
          <t>MiT-PWR-WIN-2026-001  |  DPR Construction / Vantage Datacenter ZRH12</t>
        </is>
      </c>
    </row>
    <row r="4">
      <c r="F4" s="2" t="inlineStr">
        <is>
          <t>AUFGABEN-STATUS</t>
        </is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5" t="n"/>
      <c r="F5" s="6" t="inlineStr">
        <is>
          <t>Offen</t>
        </is>
      </c>
      <c r="G5" s="7">
        <f>COUNTIF(Aufgaben[Status],"offen")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5" t="n"/>
      <c r="F6" s="8" t="inlineStr">
        <is>
          <t>In Arbeit</t>
        </is>
      </c>
      <c r="G6" s="9">
        <f>COUNTIF(Aufgaben[Status],"in Arbeit")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5" t="n"/>
      <c r="F7" s="10" t="inlineStr">
        <is>
          <t>Erledigt</t>
        </is>
      </c>
      <c r="G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5" t="n"/>
      <c r="F8" s="12" t="inlineStr">
        <is>
          <t>Kritisch / blockiert</t>
        </is>
      </c>
      <c r="G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5" t="n"/>
      <c r="F9" s="12" t="inlineStr">
        <is>
          <t>Ueberfaellig (offen &amp; Termin &lt; heute)</t>
        </is>
      </c>
      <c r="G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5" t="n"/>
      <c r="F10" s="2" t="inlineStr">
        <is>
          <t>MEILENSTEINE</t>
        </is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5" t="n"/>
      <c r="F11" s="14" t="inlineStr">
        <is>
          <t>Meilensteine gesamt</t>
        </is>
      </c>
      <c r="G11" s="15">
        <f>COUNTA(Meilensteine[Nr.])</f>
        <v/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5" t="n"/>
      <c r="F12" s="14" t="inlineStr">
        <is>
          <t>davon erledigt</t>
        </is>
      </c>
      <c r="G12" s="15">
        <f>COUNTIF(Meilensteine[Status],"erledigt")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5" t="n"/>
      <c r="F13" s="14" t="inlineStr">
        <is>
          <t>davon kritisch</t>
        </is>
      </c>
      <c r="G13" s="15">
        <f>COUNTIF(Meilensteine[Status],"kritisch")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5" t="n"/>
    </row>
    <row r="16">
      <c r="B16" s="2" t="inlineStr">
        <is>
          <t>NAECHSTE MEILENSTEINE</t>
        </is>
      </c>
    </row>
    <row r="17">
      <c r="B17" s="16" t="inlineStr">
        <is>
          <t>Plantermin</t>
        </is>
      </c>
      <c r="C17" s="16" t="inlineStr">
        <is>
          <t>Meilenstein</t>
        </is>
      </c>
      <c r="D17" s="17" t="n"/>
    </row>
    <row r="18">
      <c r="B18" s="18">
        <f t="array" ref="B18">IFERROR(SMALL(IF((Meilensteine[Status]&lt;&gt;"erledigt")*(Meilensteine[Plantermin]&gt;=TODAY()),Meilensteine[Plantermin]),1),"")</f>
        <v/>
      </c>
      <c r="C18" s="4">
        <f>IFERROR(INDEX(Meilensteine[Meilenstein],MATCH(B18,Meilensteine[Plantermin],0)),"")</f>
        <v/>
      </c>
      <c r="D18" s="5" t="n"/>
      <c r="E18" s="19">
        <f>IFERROR(INDEX(Meilensteine[Status],MATCH(B18,Meilensteine[Plantermin],0)),"")</f>
        <v/>
      </c>
    </row>
    <row r="19">
      <c r="B19" s="18">
        <f t="array" ref="B19">IFERROR(SMALL(IF((Meilensteine[Status]&lt;&gt;"erledigt")*(Meilensteine[Plantermin]&gt;=TODAY()),Meilensteine[Plantermin]),2),"")</f>
        <v/>
      </c>
      <c r="C19" s="4">
        <f>IFERROR(INDEX(Meilensteine[Meilenstein],MATCH(B19,Meilensteine[Plantermin],0)),"")</f>
        <v/>
      </c>
      <c r="D19" s="5" t="n"/>
      <c r="E19" s="19">
        <f>IFERROR(INDEX(Meilensteine[Status],MATCH(B19,Meilensteine[Plantermin],0)),"")</f>
        <v/>
      </c>
    </row>
    <row r="20">
      <c r="B20" s="18">
        <f t="array" ref="B20">IFERROR(SMALL(IF((Meilensteine[Status]&lt;&gt;"erledigt")*(Meilensteine[Plantermin]&gt;=TODAY()),Meilensteine[Plantermin]),3),"")</f>
        <v/>
      </c>
      <c r="C20" s="4">
        <f>IFERROR(INDEX(Meilensteine[Meilenstein],MATCH(B20,Meilensteine[Plantermin],0)),"")</f>
        <v/>
      </c>
      <c r="D20" s="5" t="n"/>
      <c r="E20" s="19">
        <f>IFERROR(INDEX(Meilensteine[Status],MATCH(B20,Meilensteine[Plantermin],0)),"")</f>
        <v/>
      </c>
    </row>
    <row r="22">
      <c r="B22" s="20" t="inlineStr">
        <is>
          <t>Hinweis: Werte aktualisieren sich automatisch aus den Registerblaettern. Keine Pivot-Tabellen - reine Formeln (ZAEHLENWENN / INDEX / VERGLEICH).</t>
        </is>
      </c>
    </row>
  </sheetData>
  <mergeCells count="15">
    <mergeCell ref="C20:D20"/>
    <mergeCell ref="B22:H22"/>
    <mergeCell ref="C11:E11"/>
    <mergeCell ref="C14:E14"/>
    <mergeCell ref="C5:E5"/>
    <mergeCell ref="C13:E13"/>
    <mergeCell ref="C19:D19"/>
    <mergeCell ref="C8:E8"/>
    <mergeCell ref="C9:E9"/>
    <mergeCell ref="C18:D18"/>
    <mergeCell ref="C7:E7"/>
    <mergeCell ref="C17:D17"/>
    <mergeCell ref="C12:E12"/>
    <mergeCell ref="C6:E6"/>
    <mergeCell ref="C10:E10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4" customWidth="1" min="3" max="3"/>
    <col width="14" customWidth="1" min="4" max="4"/>
    <col width="14" customWidth="1" min="5" max="5"/>
    <col width="18" customWidth="1" min="6" max="6"/>
    <col width="40" customWidth="1" min="7" max="7"/>
  </cols>
  <sheetData>
    <row r="1">
      <c r="A1" s="16" t="inlineStr">
        <is>
          <t>Nr.</t>
        </is>
      </c>
      <c r="B1" s="16" t="inlineStr">
        <is>
          <t>Meilenstein</t>
        </is>
      </c>
      <c r="C1" s="16" t="inlineStr">
        <is>
          <t>Plantermin</t>
        </is>
      </c>
      <c r="D1" s="16" t="inlineStr">
        <is>
          <t>Ist-Termin</t>
        </is>
      </c>
      <c r="E1" s="16" t="inlineStr">
        <is>
          <t>Status</t>
        </is>
      </c>
      <c r="F1" s="16" t="inlineStr">
        <is>
          <t>Verantwortlich</t>
        </is>
      </c>
      <c r="G1" s="16" t="inlineStr">
        <is>
          <t>Bemerkung</t>
        </is>
      </c>
    </row>
    <row r="2">
      <c r="A2" s="19" t="n">
        <v>1</v>
      </c>
      <c r="B2" s="21" t="inlineStr">
        <is>
          <t>bSuite-Aufnahme</t>
        </is>
      </c>
      <c r="C2" s="22" t="n">
        <v>46219.33333333334</v>
      </c>
      <c r="D2" s="18" t="n"/>
      <c r="E2" s="19" t="inlineStr">
        <is>
          <t>offen</t>
        </is>
      </c>
      <c r="F2" s="21" t="inlineStr">
        <is>
          <t>Sarah</t>
        </is>
      </c>
      <c r="G2" s="21" t="inlineStr">
        <is>
          <t>Aufnahme 08:00</t>
        </is>
      </c>
    </row>
    <row r="3">
      <c r="A3" s="19" t="n">
        <v>2</v>
      </c>
      <c r="B3" s="21" t="inlineStr">
        <is>
          <t>Unterlagenpaket an DPR (Versicherung, HR-Auszug, Zeichnungsberechtigte, Zollprozess)</t>
        </is>
      </c>
      <c r="C3" s="22" t="n">
        <v>46219.5</v>
      </c>
      <c r="D3" s="18" t="n"/>
      <c r="E3" s="19" t="inlineStr">
        <is>
          <t>offen</t>
        </is>
      </c>
      <c r="F3" s="21" t="inlineStr">
        <is>
          <t>Ann-Kathrin</t>
        </is>
      </c>
      <c r="G3" s="21" t="inlineStr">
        <is>
          <t>Abgabe 12:00</t>
        </is>
      </c>
    </row>
    <row r="4">
      <c r="A4" s="19" t="n">
        <v>3</v>
      </c>
      <c r="B4" s="21" t="inlineStr">
        <is>
          <t>Unterschriften Stefan</t>
        </is>
      </c>
      <c r="C4" s="18" t="n">
        <v>46219</v>
      </c>
      <c r="D4" s="18" t="n"/>
      <c r="E4" s="19" t="inlineStr">
        <is>
          <t>offen</t>
        </is>
      </c>
      <c r="F4" s="21" t="inlineStr">
        <is>
          <t>Stefan</t>
        </is>
      </c>
      <c r="G4" s="21" t="inlineStr">
        <is>
          <t>Nachmittags</t>
        </is>
      </c>
    </row>
    <row r="5">
      <c r="A5" s="19" t="n">
        <v>4</v>
      </c>
      <c r="B5" s="21" t="inlineStr">
        <is>
          <t>Alignment-Call Aggreko DE</t>
        </is>
      </c>
      <c r="C5" s="18" t="n">
        <v>46220</v>
      </c>
      <c r="D5" s="18" t="n"/>
      <c r="E5" s="19" t="inlineStr">
        <is>
          <t>offen</t>
        </is>
      </c>
      <c r="F5" s="21" t="inlineStr">
        <is>
          <t>Burak</t>
        </is>
      </c>
      <c r="G5" s="21" t="inlineStr">
        <is>
          <t>16./17.07.</t>
        </is>
      </c>
    </row>
    <row r="6">
      <c r="A6" s="19" t="n">
        <v>5</v>
      </c>
      <c r="B6" s="21" t="inlineStr">
        <is>
          <t>PO-Redlines an DPR</t>
        </is>
      </c>
      <c r="C6" s="18" t="n">
        <v>46220</v>
      </c>
      <c r="D6" s="18" t="n"/>
      <c r="E6" s="19" t="inlineStr">
        <is>
          <t>offen</t>
        </is>
      </c>
      <c r="F6" s="21" t="inlineStr">
        <is>
          <t>Burak</t>
        </is>
      </c>
      <c r="G6" s="21" t="inlineStr"/>
    </row>
    <row r="7">
      <c r="A7" s="19" t="n">
        <v>6</v>
      </c>
      <c r="B7" s="21" t="inlineStr">
        <is>
          <t>RAMS-Abgabe Hammertech</t>
        </is>
      </c>
      <c r="C7" s="18" t="n">
        <v>46223</v>
      </c>
      <c r="D7" s="18" t="n"/>
      <c r="E7" s="19" t="inlineStr">
        <is>
          <t>offen</t>
        </is>
      </c>
      <c r="F7" s="21" t="inlineStr">
        <is>
          <t>Samuel</t>
        </is>
      </c>
      <c r="G7" s="21" t="inlineStr"/>
    </row>
    <row r="8">
      <c r="A8" s="19" t="n">
        <v>7</v>
      </c>
      <c r="B8" s="21" t="inlineStr">
        <is>
          <t>Personenliste Aggreko</t>
        </is>
      </c>
      <c r="C8" s="18" t="n">
        <v>46223</v>
      </c>
      <c r="D8" s="18" t="n"/>
      <c r="E8" s="19" t="inlineStr">
        <is>
          <t>offen</t>
        </is>
      </c>
      <c r="F8" s="21" t="inlineStr">
        <is>
          <t>Aggreko</t>
        </is>
      </c>
      <c r="G8" s="21" t="inlineStr"/>
    </row>
    <row r="9">
      <c r="A9" s="19" t="n">
        <v>8</v>
      </c>
      <c r="B9" s="21" t="inlineStr">
        <is>
          <t>Entsendemeldung Aggreko-Personal</t>
        </is>
      </c>
      <c r="C9" s="18" t="n">
        <v>46227</v>
      </c>
      <c r="D9" s="18" t="n"/>
      <c r="E9" s="19" t="inlineStr">
        <is>
          <t>offen</t>
        </is>
      </c>
      <c r="F9" s="21" t="inlineStr">
        <is>
          <t>Aggreko</t>
        </is>
      </c>
      <c r="G9" s="21" t="inlineStr">
        <is>
          <t>Frist beachten</t>
        </is>
      </c>
    </row>
    <row r="10">
      <c r="A10" s="19" t="n">
        <v>9</v>
      </c>
      <c r="B10" s="21" t="inlineStr">
        <is>
          <t>WORKcontrol-Badges + Site Inductions</t>
        </is>
      </c>
      <c r="C10" s="18" t="n">
        <v>46237</v>
      </c>
      <c r="D10" s="18" t="n"/>
      <c r="E10" s="19" t="inlineStr">
        <is>
          <t>offen</t>
        </is>
      </c>
      <c r="F10" s="21" t="inlineStr">
        <is>
          <t>Ann-Kathrin</t>
        </is>
      </c>
      <c r="G10" s="21" t="inlineStr">
        <is>
          <t>vor 03.08.</t>
        </is>
      </c>
    </row>
    <row r="11">
      <c r="A11" s="19" t="n">
        <v>10</v>
      </c>
      <c r="B11" s="21" t="inlineStr">
        <is>
          <t>Lieferung Headloads</t>
        </is>
      </c>
      <c r="C11" s="18" t="n">
        <v>46237</v>
      </c>
      <c r="D11" s="18" t="n"/>
      <c r="E11" s="19" t="inlineStr">
        <is>
          <t>offen</t>
        </is>
      </c>
      <c r="F11" s="21" t="inlineStr">
        <is>
          <t>Aggreko</t>
        </is>
      </c>
      <c r="G11" s="21" t="inlineStr">
        <is>
          <t>54x 200 kW</t>
        </is>
      </c>
    </row>
    <row r="12">
      <c r="A12" s="19" t="n">
        <v>11</v>
      </c>
      <c r="B12" s="21" t="inlineStr">
        <is>
          <t>Lieferung Loadbank 6 MVA</t>
        </is>
      </c>
      <c r="C12" s="18" t="n">
        <v>46251</v>
      </c>
      <c r="D12" s="18" t="n"/>
      <c r="E12" s="19" t="inlineStr">
        <is>
          <t>offen</t>
        </is>
      </c>
      <c r="F12" s="21" t="inlineStr">
        <is>
          <t>Aggreko</t>
        </is>
      </c>
      <c r="G12" s="21" t="inlineStr"/>
    </row>
    <row r="13">
      <c r="A13" s="19" t="n">
        <v>12</v>
      </c>
      <c r="B13" s="21" t="inlineStr">
        <is>
          <t>Abruf 5-MW-Block</t>
        </is>
      </c>
      <c r="C13" s="18" t="n">
        <v>46266</v>
      </c>
      <c r="D13" s="18" t="n"/>
      <c r="E13" s="19" t="inlineStr">
        <is>
          <t>offen</t>
        </is>
      </c>
      <c r="F13" s="21" t="inlineStr">
        <is>
          <t>Burak</t>
        </is>
      </c>
      <c r="G13" s="21" t="inlineStr">
        <is>
          <t>September</t>
        </is>
      </c>
    </row>
    <row r="14">
      <c r="A14" s="19" t="n">
        <v>13</v>
      </c>
      <c r="B14" s="21" t="inlineStr">
        <is>
          <t>Mietende Loadbank</t>
        </is>
      </c>
      <c r="C14" s="18" t="n">
        <v>46328</v>
      </c>
      <c r="D14" s="18" t="n"/>
      <c r="E14" s="19" t="inlineStr">
        <is>
          <t>offen</t>
        </is>
      </c>
      <c r="F14" s="21" t="inlineStr">
        <is>
          <t>Burak</t>
        </is>
      </c>
      <c r="G14" s="21" t="inlineStr"/>
    </row>
    <row r="15">
      <c r="A15" s="19" t="n">
        <v>14</v>
      </c>
      <c r="B15" s="21" t="inlineStr">
        <is>
          <t>Mietende Headloads</t>
        </is>
      </c>
      <c r="C15" s="18" t="n">
        <v>46367</v>
      </c>
      <c r="D15" s="18" t="n"/>
      <c r="E15" s="19" t="inlineStr">
        <is>
          <t>offen</t>
        </is>
      </c>
      <c r="F15" s="21" t="inlineStr">
        <is>
          <t>Burak</t>
        </is>
      </c>
      <c r="G15" s="21" t="inlineStr"/>
    </row>
    <row r="16">
      <c r="A16" s="19" t="n">
        <v>15</v>
      </c>
      <c r="B16" s="21" t="inlineStr">
        <is>
          <t>Demontage</t>
        </is>
      </c>
      <c r="C16" s="18" t="n">
        <v>46370</v>
      </c>
      <c r="D16" s="18" t="n"/>
      <c r="E16" s="19" t="inlineStr">
        <is>
          <t>offen</t>
        </is>
      </c>
      <c r="F16" s="21" t="inlineStr">
        <is>
          <t>Aggreko</t>
        </is>
      </c>
      <c r="G16" s="21" t="inlineStr"/>
    </row>
    <row r="17">
      <c r="A17" s="19" t="n">
        <v>16</v>
      </c>
      <c r="B17" s="21" t="inlineStr">
        <is>
          <t>Closeout-Paket EN+DE an DPR</t>
        </is>
      </c>
      <c r="C17" s="18" t="n">
        <v>46371</v>
      </c>
      <c r="D17" s="18" t="n"/>
      <c r="E17" s="19" t="inlineStr">
        <is>
          <t>offen</t>
        </is>
      </c>
      <c r="F17" s="21" t="inlineStr">
        <is>
          <t>Burak</t>
        </is>
      </c>
      <c r="G17" s="21" t="inlineStr">
        <is>
          <t>Dezember</t>
        </is>
      </c>
    </row>
  </sheetData>
  <conditionalFormatting sqref="E2:E17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C2:C17">
    <cfRule type="expression" priority="5" dxfId="3">
      <formula>AND($C2&lt;HEUTE();$E2&lt;&gt;"erledigt";$C2&lt;&gt;"")</formula>
    </cfRule>
  </conditionalFormatting>
  <dataValidations count="1">
    <dataValidation sqref="E2:E17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16" t="inlineStr">
        <is>
          <t>Nr.</t>
        </is>
      </c>
      <c r="B1" s="16" t="inlineStr">
        <is>
          <t>Aufgabe</t>
        </is>
      </c>
      <c r="C1" s="16" t="inlineStr">
        <is>
          <t>Paket</t>
        </is>
      </c>
      <c r="D1" s="16" t="inlineStr">
        <is>
          <t>Owner</t>
        </is>
      </c>
      <c r="E1" s="16" t="inlineStr">
        <is>
          <t>Termin</t>
        </is>
      </c>
      <c r="F1" s="16" t="inlineStr">
        <is>
          <t>Status</t>
        </is>
      </c>
      <c r="G1" s="16" t="inlineStr">
        <is>
          <t>Prioritaet</t>
        </is>
      </c>
      <c r="H1" s="16" t="inlineStr">
        <is>
          <t>Bemerkung</t>
        </is>
      </c>
      <c r="I1" s="16" t="inlineStr">
        <is>
          <t>Erledigt am</t>
        </is>
      </c>
    </row>
    <row r="2">
      <c r="A2" s="19" t="n">
        <v>1</v>
      </c>
      <c r="B2" s="21" t="inlineStr">
        <is>
          <t>Versicherungsnachweis via Finance beschaffen</t>
        </is>
      </c>
      <c r="C2" s="19" t="inlineStr">
        <is>
          <t>Admin</t>
        </is>
      </c>
      <c r="D2" s="21" t="inlineStr">
        <is>
          <t>Markus</t>
        </is>
      </c>
      <c r="E2" s="18" t="n">
        <v>46219</v>
      </c>
      <c r="F2" s="19" t="inlineStr">
        <is>
          <t>offen</t>
        </is>
      </c>
      <c r="G2" s="19" t="inlineStr">
        <is>
          <t>hoch</t>
        </is>
      </c>
      <c r="H2" s="21" t="inlineStr"/>
      <c r="I2" s="18" t="n"/>
    </row>
    <row r="3">
      <c r="A3" s="19" t="n">
        <v>2</v>
      </c>
      <c r="B3" s="21" t="inlineStr">
        <is>
          <t>Zollprozess DE-CH schriftlich klaeren (Kostentraeger, Equipment vs. Kraftstoff)</t>
        </is>
      </c>
      <c r="C3" s="19" t="inlineStr">
        <is>
          <t>Admin</t>
        </is>
      </c>
      <c r="D3" s="21" t="inlineStr">
        <is>
          <t>Markus</t>
        </is>
      </c>
      <c r="E3" s="18" t="n">
        <v>46220</v>
      </c>
      <c r="F3" s="19" t="inlineStr">
        <is>
          <t>offen</t>
        </is>
      </c>
      <c r="G3" s="19" t="inlineStr">
        <is>
          <t>hoch</t>
        </is>
      </c>
      <c r="H3" s="21" t="inlineStr"/>
      <c r="I3" s="18" t="n"/>
    </row>
    <row r="4">
      <c r="A4" s="19" t="n">
        <v>3</v>
      </c>
      <c r="B4" s="21" t="inlineStr">
        <is>
          <t>Deckungssummen bei DPR erfragen</t>
        </is>
      </c>
      <c r="C4" s="19" t="inlineStr">
        <is>
          <t>Admin</t>
        </is>
      </c>
      <c r="D4" s="21" t="inlineStr">
        <is>
          <t>Markus</t>
        </is>
      </c>
      <c r="E4" s="18" t="n">
        <v>46220</v>
      </c>
      <c r="F4" s="19" t="inlineStr">
        <is>
          <t>offen</t>
        </is>
      </c>
      <c r="G4" s="19" t="inlineStr">
        <is>
          <t>mittel</t>
        </is>
      </c>
      <c r="H4" s="21" t="inlineStr"/>
      <c r="I4" s="18" t="n"/>
    </row>
    <row r="5">
      <c r="A5" s="19" t="n">
        <v>4</v>
      </c>
      <c r="B5" s="21" t="inlineStr">
        <is>
          <t>HR-Auszug bereitstellen</t>
        </is>
      </c>
      <c r="C5" s="19" t="inlineStr">
        <is>
          <t>Admin</t>
        </is>
      </c>
      <c r="D5" s="21" t="inlineStr">
        <is>
          <t>Ann-Kathrin</t>
        </is>
      </c>
      <c r="E5" s="18" t="n">
        <v>46219</v>
      </c>
      <c r="F5" s="19" t="inlineStr">
        <is>
          <t>offen</t>
        </is>
      </c>
      <c r="G5" s="19" t="inlineStr">
        <is>
          <t>hoch</t>
        </is>
      </c>
      <c r="H5" s="21" t="inlineStr"/>
      <c r="I5" s="18" t="n"/>
    </row>
    <row r="6">
      <c r="A6" s="19" t="n">
        <v>5</v>
      </c>
      <c r="B6" s="21" t="inlineStr">
        <is>
          <t>Beide Angebote in MiT-Layout bringen</t>
        </is>
      </c>
      <c r="C6" s="19" t="inlineStr">
        <is>
          <t>beide</t>
        </is>
      </c>
      <c r="D6" s="21" t="inlineStr">
        <is>
          <t>Ann-Kathrin</t>
        </is>
      </c>
      <c r="E6" s="18" t="n">
        <v>46220</v>
      </c>
      <c r="F6" s="19" t="inlineStr">
        <is>
          <t>offen</t>
        </is>
      </c>
      <c r="G6" s="19" t="inlineStr">
        <is>
          <t>mittel</t>
        </is>
      </c>
      <c r="H6" s="21" t="inlineStr">
        <is>
          <t>P-640380-3 / P-650395-2</t>
        </is>
      </c>
      <c r="I6" s="18" t="n"/>
    </row>
    <row r="7">
      <c r="A7" s="19" t="n">
        <v>6</v>
      </c>
      <c r="B7" s="21" t="inlineStr">
        <is>
          <t>WORKcontrol-Registrierung MiT</t>
        </is>
      </c>
      <c r="C7" s="19" t="inlineStr">
        <is>
          <t>Admin</t>
        </is>
      </c>
      <c r="D7" s="21" t="inlineStr">
        <is>
          <t>Ann-Kathrin</t>
        </is>
      </c>
      <c r="E7" s="18" t="n">
        <v>46228</v>
      </c>
      <c r="F7" s="19" t="inlineStr">
        <is>
          <t>offen</t>
        </is>
      </c>
      <c r="G7" s="19" t="inlineStr">
        <is>
          <t>hoch</t>
        </is>
      </c>
      <c r="H7" s="21" t="inlineStr">
        <is>
          <t>vor Badges</t>
        </is>
      </c>
      <c r="I7" s="18" t="n"/>
    </row>
    <row r="8">
      <c r="A8" s="19" t="n">
        <v>7</v>
      </c>
      <c r="B8" s="21" t="inlineStr">
        <is>
          <t>Versand Gesamtpaket an DPR</t>
        </is>
      </c>
      <c r="C8" s="19" t="inlineStr">
        <is>
          <t>Admin</t>
        </is>
      </c>
      <c r="D8" s="21" t="inlineStr">
        <is>
          <t>Ann-Kathrin</t>
        </is>
      </c>
      <c r="E8" s="18" t="n">
        <v>46219.5</v>
      </c>
      <c r="F8" s="19" t="inlineStr">
        <is>
          <t>offen</t>
        </is>
      </c>
      <c r="G8" s="19" t="inlineStr">
        <is>
          <t>hoch</t>
        </is>
      </c>
      <c r="H8" s="21" t="inlineStr"/>
      <c r="I8" s="18" t="n"/>
    </row>
    <row r="9">
      <c r="A9" s="19" t="n">
        <v>8</v>
      </c>
      <c r="B9" s="21" t="inlineStr">
        <is>
          <t>Entscheid CHF-Kurs / Absicherung mit Olli</t>
        </is>
      </c>
      <c r="C9" s="19" t="inlineStr">
        <is>
          <t>Admin</t>
        </is>
      </c>
      <c r="D9" s="21" t="inlineStr">
        <is>
          <t>Stefan</t>
        </is>
      </c>
      <c r="E9" s="18" t="n">
        <v>46220</v>
      </c>
      <c r="F9" s="19" t="inlineStr">
        <is>
          <t>offen</t>
        </is>
      </c>
      <c r="G9" s="19" t="inlineStr">
        <is>
          <t>hoch</t>
        </is>
      </c>
      <c r="H9" s="21" t="inlineStr">
        <is>
          <t>FX EUR/CHF</t>
        </is>
      </c>
      <c r="I9" s="18" t="n"/>
    </row>
    <row r="10">
      <c r="A10" s="19" t="n">
        <v>9</v>
      </c>
      <c r="B10" s="21" t="inlineStr">
        <is>
          <t>Redline-Linie festlegen</t>
        </is>
      </c>
      <c r="C10" s="19" t="inlineStr">
        <is>
          <t>beide</t>
        </is>
      </c>
      <c r="D10" s="21" t="inlineStr">
        <is>
          <t>Stefan</t>
        </is>
      </c>
      <c r="E10" s="18" t="n">
        <v>46220</v>
      </c>
      <c r="F10" s="19" t="inlineStr">
        <is>
          <t>offen</t>
        </is>
      </c>
      <c r="G10" s="19" t="inlineStr">
        <is>
          <t>hoch</t>
        </is>
      </c>
      <c r="H10" s="21" t="inlineStr"/>
      <c r="I10" s="18" t="n"/>
    </row>
    <row r="11">
      <c r="A11" s="19" t="n">
        <v>10</v>
      </c>
      <c r="B11" s="21" t="inlineStr">
        <is>
          <t>Unterschriften leisten</t>
        </is>
      </c>
      <c r="C11" s="19" t="inlineStr">
        <is>
          <t>Admin</t>
        </is>
      </c>
      <c r="D11" s="21" t="inlineStr">
        <is>
          <t>Stefan</t>
        </is>
      </c>
      <c r="E11" s="18" t="n">
        <v>46219</v>
      </c>
      <c r="F11" s="19" t="inlineStr">
        <is>
          <t>offen</t>
        </is>
      </c>
      <c r="G11" s="19" t="inlineStr">
        <is>
          <t>hoch</t>
        </is>
      </c>
      <c r="H11" s="21" t="inlineStr">
        <is>
          <t>Nachmittags</t>
        </is>
      </c>
      <c r="I11" s="18" t="n"/>
    </row>
    <row r="12">
      <c r="A12" s="19" t="n">
        <v>11</v>
      </c>
      <c r="B12" s="21" t="inlineStr">
        <is>
          <t>bSuite + Intercompany-Schiene Aggreko aufsetzen</t>
        </is>
      </c>
      <c r="C12" s="19" t="inlineStr">
        <is>
          <t>beide</t>
        </is>
      </c>
      <c r="D12" s="21" t="inlineStr">
        <is>
          <t>Sarah</t>
        </is>
      </c>
      <c r="E12" s="18" t="n">
        <v>46219</v>
      </c>
      <c r="F12" s="19" t="inlineStr">
        <is>
          <t>offen</t>
        </is>
      </c>
      <c r="G12" s="19" t="inlineStr">
        <is>
          <t>hoch</t>
        </is>
      </c>
      <c r="H12" s="21" t="inlineStr"/>
      <c r="I12" s="18" t="n"/>
    </row>
    <row r="13">
      <c r="A13" s="19" t="n">
        <v>12</v>
      </c>
      <c r="B13" s="21" t="inlineStr">
        <is>
          <t>RAMS-Praxischeck durchfuehren</t>
        </is>
      </c>
      <c r="C13" s="19" t="inlineStr">
        <is>
          <t>beide</t>
        </is>
      </c>
      <c r="D13" s="21" t="inlineStr">
        <is>
          <t>Samuel</t>
        </is>
      </c>
      <c r="E13" s="18" t="n">
        <v>46223</v>
      </c>
      <c r="F13" s="19" t="inlineStr">
        <is>
          <t>offen</t>
        </is>
      </c>
      <c r="G13" s="19" t="inlineStr">
        <is>
          <t>hoch</t>
        </is>
      </c>
      <c r="H13" s="21" t="inlineStr">
        <is>
          <t>Hammertech</t>
        </is>
      </c>
      <c r="I13" s="18" t="n"/>
    </row>
    <row r="14">
      <c r="A14" s="19" t="n">
        <v>13</v>
      </c>
      <c r="B14" s="21" t="inlineStr">
        <is>
          <t>PO-Redlines erstellen und einreichen</t>
        </is>
      </c>
      <c r="C14" s="19" t="inlineStr">
        <is>
          <t>beide</t>
        </is>
      </c>
      <c r="D14" s="21" t="inlineStr">
        <is>
          <t>Burak</t>
        </is>
      </c>
      <c r="E14" s="18" t="n">
        <v>46220</v>
      </c>
      <c r="F14" s="19" t="inlineStr">
        <is>
          <t>offen</t>
        </is>
      </c>
      <c r="G14" s="19" t="inlineStr">
        <is>
          <t>hoch</t>
        </is>
      </c>
      <c r="H14" s="21" t="inlineStr">
        <is>
          <t>Rechenfehler pruefen</t>
        </is>
      </c>
      <c r="I14" s="18" t="n"/>
    </row>
    <row r="15">
      <c r="A15" s="19" t="n">
        <v>14</v>
      </c>
      <c r="B15" s="21" t="inlineStr">
        <is>
          <t>Aggreko-Terminbestaetigung 03.08. / 17.08. schriftlich einholen</t>
        </is>
      </c>
      <c r="C15" s="19" t="inlineStr">
        <is>
          <t>beide</t>
        </is>
      </c>
      <c r="D15" s="21" t="inlineStr">
        <is>
          <t>Burak</t>
        </is>
      </c>
      <c r="E15" s="18" t="n">
        <v>46223</v>
      </c>
      <c r="F15" s="19" t="inlineStr">
        <is>
          <t>offen</t>
        </is>
      </c>
      <c r="G15" s="19" t="inlineStr">
        <is>
          <t>hoch</t>
        </is>
      </c>
      <c r="H15" s="21" t="inlineStr"/>
      <c r="I15" s="18" t="n"/>
    </row>
    <row r="16">
      <c r="A16" s="19" t="n">
        <v>15</v>
      </c>
      <c r="B16" s="21" t="inlineStr">
        <is>
          <t>Staffelungs-Fakturierung klaeren</t>
        </is>
      </c>
      <c r="C16" s="19" t="inlineStr">
        <is>
          <t>beide</t>
        </is>
      </c>
      <c r="D16" s="21" t="inlineStr">
        <is>
          <t>Burak</t>
        </is>
      </c>
      <c r="E16" s="18" t="n">
        <v>46227</v>
      </c>
      <c r="F16" s="19" t="inlineStr">
        <is>
          <t>offen</t>
        </is>
      </c>
      <c r="G16" s="19" t="inlineStr">
        <is>
          <t>mittel</t>
        </is>
      </c>
      <c r="H16" s="21" t="inlineStr"/>
      <c r="I16" s="18" t="n"/>
    </row>
    <row r="17">
      <c r="A17" s="19" t="n">
        <v>16</v>
      </c>
      <c r="B17" s="21" t="inlineStr">
        <is>
          <t>PL-Benennung Aggreko DE anfordern</t>
        </is>
      </c>
      <c r="C17" s="19" t="inlineStr">
        <is>
          <t>beide</t>
        </is>
      </c>
      <c r="D17" s="21" t="inlineStr">
        <is>
          <t>Burak</t>
        </is>
      </c>
      <c r="E17" s="18" t="n">
        <v>46223</v>
      </c>
      <c r="F17" s="19" t="inlineStr">
        <is>
          <t>offen</t>
        </is>
      </c>
      <c r="G17" s="19" t="inlineStr">
        <is>
          <t>mittel</t>
        </is>
      </c>
      <c r="H17" s="21" t="inlineStr"/>
      <c r="I17" s="18" t="n"/>
    </row>
    <row r="18">
      <c r="A18" s="19" t="n">
        <v>17</v>
      </c>
      <c r="B18" s="21" t="inlineStr">
        <is>
          <t>Heavy-Duty-Strombedarf bei DPR einreichen</t>
        </is>
      </c>
      <c r="C18" s="19" t="inlineStr">
        <is>
          <t>beide</t>
        </is>
      </c>
      <c r="D18" s="21" t="inlineStr">
        <is>
          <t>Burak</t>
        </is>
      </c>
      <c r="E18" s="18" t="n">
        <v>46227</v>
      </c>
      <c r="F18" s="19" t="inlineStr">
        <is>
          <t>offen</t>
        </is>
      </c>
      <c r="G18" s="19" t="inlineStr">
        <is>
          <t>hoch</t>
        </is>
      </c>
      <c r="H18" s="21" t="inlineStr"/>
      <c r="I18" s="18" t="n"/>
    </row>
    <row r="19">
      <c r="A19" s="19" t="n">
        <v>18</v>
      </c>
      <c r="B19" s="21" t="inlineStr">
        <is>
          <t>NDA MiT-DPR anstossen</t>
        </is>
      </c>
      <c r="C19" s="19" t="inlineStr">
        <is>
          <t>Admin</t>
        </is>
      </c>
      <c r="D19" s="21" t="inlineStr">
        <is>
          <t>Burak</t>
        </is>
      </c>
      <c r="E19" s="18" t="n">
        <v>46221</v>
      </c>
      <c r="F19" s="19" t="inlineStr">
        <is>
          <t>offen</t>
        </is>
      </c>
      <c r="G19" s="19" t="inlineStr">
        <is>
          <t>hoch</t>
        </is>
      </c>
      <c r="H19" s="21" t="inlineStr">
        <is>
          <t>eigene NDA</t>
        </is>
      </c>
      <c r="I19" s="18" t="n"/>
    </row>
    <row r="20">
      <c r="A20" s="19" t="n">
        <v>19</v>
      </c>
      <c r="B20" s="21" t="inlineStr">
        <is>
          <t>Kranfrage / Lift Plan klaeren</t>
        </is>
      </c>
      <c r="C20" s="19" t="inlineStr">
        <is>
          <t>beide</t>
        </is>
      </c>
      <c r="D20" s="21" t="inlineStr">
        <is>
          <t>Burak</t>
        </is>
      </c>
      <c r="E20" s="18" t="n">
        <v>46231</v>
      </c>
      <c r="F20" s="19" t="inlineStr">
        <is>
          <t>offen</t>
        </is>
      </c>
      <c r="G20" s="19" t="inlineStr">
        <is>
          <t>mittel</t>
        </is>
      </c>
      <c r="H20" s="21" t="inlineStr"/>
      <c r="I20" s="18" t="n"/>
    </row>
    <row r="21">
      <c r="A21" s="19" t="n">
        <v>20</v>
      </c>
      <c r="B21" s="21" t="inlineStr">
        <is>
          <t>24/7-Kontaktkette aufstellen</t>
        </is>
      </c>
      <c r="C21" s="19" t="inlineStr">
        <is>
          <t>beide</t>
        </is>
      </c>
      <c r="D21" s="21" t="inlineStr">
        <is>
          <t>Burak</t>
        </is>
      </c>
      <c r="E21" s="18" t="n">
        <v>46235</v>
      </c>
      <c r="F21" s="19" t="inlineStr">
        <is>
          <t>offen</t>
        </is>
      </c>
      <c r="G21" s="19" t="inlineStr">
        <is>
          <t>mittel</t>
        </is>
      </c>
      <c r="H21" s="21" t="inlineStr"/>
      <c r="I21" s="18" t="n"/>
    </row>
    <row r="22">
      <c r="A22" s="19" t="n">
        <v>21</v>
      </c>
      <c r="B22" s="21" t="inlineStr">
        <is>
          <t>Tank-Standort mit 110%-Containment festlegen</t>
        </is>
      </c>
      <c r="C22" s="19" t="inlineStr">
        <is>
          <t>Headload</t>
        </is>
      </c>
      <c r="D22" s="21" t="inlineStr">
        <is>
          <t>Burak</t>
        </is>
      </c>
      <c r="E22" s="18" t="n">
        <v>46233</v>
      </c>
      <c r="F22" s="19" t="inlineStr">
        <is>
          <t>offen</t>
        </is>
      </c>
      <c r="G22" s="19" t="inlineStr">
        <is>
          <t>hoch</t>
        </is>
      </c>
      <c r="H22" s="21" t="inlineStr"/>
      <c r="I22" s="18" t="n"/>
    </row>
  </sheetData>
  <conditionalFormatting sqref="F2:F22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G2:G22">
    <cfRule type="cellIs" priority="5" operator="equal" dxfId="4">
      <formula>"hoch"</formula>
    </cfRule>
  </conditionalFormatting>
  <conditionalFormatting sqref="E2:E22">
    <cfRule type="expression" priority="6" dxfId="1">
      <formula>AND($E2&lt;HEUTE();$F2&lt;&gt;"erledigt";$E2&lt;&gt;"")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4" customWidth="1" min="5" max="5"/>
    <col width="14" customWidth="1" min="6" max="6"/>
    <col width="13" customWidth="1" min="7" max="7"/>
    <col width="44" customWidth="1" min="8" max="8"/>
  </cols>
  <sheetData>
    <row r="1">
      <c r="A1" s="16" t="inlineStr">
        <is>
          <t>Nr.</t>
        </is>
      </c>
      <c r="B1" s="16" t="inlineStr">
        <is>
          <t>Typ</t>
        </is>
      </c>
      <c r="C1" s="16" t="inlineStr">
        <is>
          <t>Beschreibung</t>
        </is>
      </c>
      <c r="D1" s="16" t="inlineStr">
        <is>
          <t>Auswirkung</t>
        </is>
      </c>
      <c r="E1" s="16" t="inlineStr">
        <is>
          <t>Owner</t>
        </is>
      </c>
      <c r="F1" s="16" t="inlineStr">
        <is>
          <t>Termin</t>
        </is>
      </c>
      <c r="G1" s="16" t="inlineStr">
        <is>
          <t>Status</t>
        </is>
      </c>
      <c r="H1" s="16" t="inlineStr">
        <is>
          <t>Massnahme</t>
        </is>
      </c>
    </row>
    <row r="2">
      <c r="A2" s="19" t="n">
        <v>1</v>
      </c>
      <c r="B2" s="19" t="inlineStr">
        <is>
          <t>Risiko</t>
        </is>
      </c>
      <c r="C2" s="21" t="inlineStr">
        <is>
          <t>PO-Rechenfehler: 78 vs. 110 Tage (ca. EUR 87'700 Differenz)</t>
        </is>
      </c>
      <c r="D2" s="19" t="inlineStr">
        <is>
          <t>hoch</t>
        </is>
      </c>
      <c r="E2" s="21" t="inlineStr">
        <is>
          <t>Burak</t>
        </is>
      </c>
      <c r="F2" s="18" t="n">
        <v>46220</v>
      </c>
      <c r="G2" s="19" t="inlineStr">
        <is>
          <t>offen</t>
        </is>
      </c>
      <c r="H2" s="21" t="inlineStr">
        <is>
          <t>Redline an DPR mit korrigierter Tagesberechnung</t>
        </is>
      </c>
    </row>
    <row r="3">
      <c r="A3" s="19" t="n">
        <v>2</v>
      </c>
      <c r="B3" s="19" t="inlineStr">
        <is>
          <t>Risiko</t>
        </is>
      </c>
      <c r="C3" s="21" t="inlineStr">
        <is>
          <t>PO-Rechenfehler: 131 vs. 110 Tage, Enddatum 02.11. falsch abgeleitet</t>
        </is>
      </c>
      <c r="D3" s="19" t="inlineStr">
        <is>
          <t>hoch</t>
        </is>
      </c>
      <c r="E3" s="21" t="inlineStr">
        <is>
          <t>Burak</t>
        </is>
      </c>
      <c r="F3" s="18" t="n">
        <v>46220</v>
      </c>
      <c r="G3" s="19" t="inlineStr">
        <is>
          <t>offen</t>
        </is>
      </c>
      <c r="H3" s="21" t="inlineStr">
        <is>
          <t>Enddatum und Tageszahl in PO korrigieren</t>
        </is>
      </c>
    </row>
    <row r="4">
      <c r="A4" s="19" t="n">
        <v>3</v>
      </c>
      <c r="B4" s="19" t="inlineStr">
        <is>
          <t>Offener Punkt</t>
        </is>
      </c>
      <c r="C4" s="21" t="inlineStr">
        <is>
          <t>Parteien auf Mobil in Time AG umschreiben + eigene NDA</t>
        </is>
      </c>
      <c r="D4" s="19" t="inlineStr">
        <is>
          <t>hoch</t>
        </is>
      </c>
      <c r="E4" s="21" t="inlineStr">
        <is>
          <t>Burak</t>
        </is>
      </c>
      <c r="F4" s="18" t="n">
        <v>46221</v>
      </c>
      <c r="G4" s="19" t="inlineStr">
        <is>
          <t>offen</t>
        </is>
      </c>
      <c r="H4" s="21" t="inlineStr">
        <is>
          <t>PO-Parteien anpassen, NDA MiT-DPR anstossen</t>
        </is>
      </c>
    </row>
    <row r="5">
      <c r="A5" s="19" t="n">
        <v>4</v>
      </c>
      <c r="B5" s="19" t="inlineStr">
        <is>
          <t>Entscheid</t>
        </is>
      </c>
      <c r="C5" s="21" t="inlineStr">
        <is>
          <t>Festpreis DPR vs. Aufwandspreise Aggreko - Margen-/Modellrisiko</t>
        </is>
      </c>
      <c r="D5" s="19" t="inlineStr">
        <is>
          <t>hoch</t>
        </is>
      </c>
      <c r="E5" s="21" t="inlineStr">
        <is>
          <t>Stefan</t>
        </is>
      </c>
      <c r="F5" s="18" t="n">
        <v>46221</v>
      </c>
      <c r="G5" s="19" t="inlineStr">
        <is>
          <t>offen</t>
        </is>
      </c>
      <c r="H5" s="21" t="inlineStr">
        <is>
          <t>Preismodell final abstimmen</t>
        </is>
      </c>
    </row>
    <row r="6">
      <c r="A6" s="19" t="n">
        <v>5</v>
      </c>
      <c r="B6" s="19" t="inlineStr">
        <is>
          <t>Risiko</t>
        </is>
      </c>
      <c r="C6" s="21" t="inlineStr">
        <is>
          <t>FX-Risiko EUR/CHF (Einkauf EUR, Verkauf CHF)</t>
        </is>
      </c>
      <c r="D6" s="19" t="inlineStr">
        <is>
          <t>mittel</t>
        </is>
      </c>
      <c r="E6" s="21" t="inlineStr">
        <is>
          <t>Stefan</t>
        </is>
      </c>
      <c r="F6" s="18" t="n">
        <v>46220</v>
      </c>
      <c r="G6" s="19" t="inlineStr">
        <is>
          <t>offen</t>
        </is>
      </c>
      <c r="H6" s="21" t="inlineStr">
        <is>
          <t>Kurs/Absicherung mit Olli entscheiden</t>
        </is>
      </c>
    </row>
    <row r="7">
      <c r="A7" s="19" t="n">
        <v>6</v>
      </c>
      <c r="B7" s="19" t="inlineStr">
        <is>
          <t>Offener Punkt</t>
        </is>
      </c>
      <c r="C7" s="21" t="inlineStr">
        <is>
          <t>Keine schriftliche Aggreko-Terminbestaetigung 03.08. / 17.08.</t>
        </is>
      </c>
      <c r="D7" s="19" t="inlineStr">
        <is>
          <t>hoch</t>
        </is>
      </c>
      <c r="E7" s="21" t="inlineStr">
        <is>
          <t>Burak</t>
        </is>
      </c>
      <c r="F7" s="18" t="n">
        <v>46223</v>
      </c>
      <c r="G7" s="19" t="inlineStr">
        <is>
          <t>offen</t>
        </is>
      </c>
      <c r="H7" s="21" t="inlineStr">
        <is>
          <t>Schriftliche Bestaetigung einholen</t>
        </is>
      </c>
    </row>
    <row r="8">
      <c r="A8" s="19" t="n">
        <v>7</v>
      </c>
      <c r="B8" s="19" t="inlineStr">
        <is>
          <t>Risiko</t>
        </is>
      </c>
      <c r="C8" s="21" t="inlineStr">
        <is>
          <t>Entsendefrist Aggreko-Personal 24.07.</t>
        </is>
      </c>
      <c r="D8" s="19" t="inlineStr">
        <is>
          <t>hoch</t>
        </is>
      </c>
      <c r="E8" s="21" t="inlineStr">
        <is>
          <t>Aggreko</t>
        </is>
      </c>
      <c r="F8" s="18" t="n">
        <v>46227</v>
      </c>
      <c r="G8" s="19" t="inlineStr">
        <is>
          <t>offen</t>
        </is>
      </c>
      <c r="H8" s="21" t="inlineStr">
        <is>
          <t>Entsendemeldung fristgerecht einreichen</t>
        </is>
      </c>
    </row>
    <row r="9">
      <c r="A9" s="19" t="n">
        <v>8</v>
      </c>
      <c r="B9" s="19" t="inlineStr">
        <is>
          <t>Offener Punkt</t>
        </is>
      </c>
      <c r="C9" s="21" t="inlineStr">
        <is>
          <t>Waermeabfuhr 8 MW als DPR-Verantwortung klaeren</t>
        </is>
      </c>
      <c r="D9" s="19" t="inlineStr">
        <is>
          <t>hoch</t>
        </is>
      </c>
      <c r="E9" s="21" t="inlineStr">
        <is>
          <t>DPR</t>
        </is>
      </c>
      <c r="F9" s="18" t="n">
        <v>46227</v>
      </c>
      <c r="G9" s="19" t="inlineStr">
        <is>
          <t>offen</t>
        </is>
      </c>
      <c r="H9" s="21" t="inlineStr">
        <is>
          <t>Schriftliche Bestaetigung DPR-Verantwortung</t>
        </is>
      </c>
    </row>
    <row r="10">
      <c r="A10" s="19" t="n">
        <v>9</v>
      </c>
      <c r="B10" s="19" t="inlineStr">
        <is>
          <t>Risiko</t>
        </is>
      </c>
      <c r="C10" s="21" t="inlineStr">
        <is>
          <t>NDA-Sperre: kein Vantage-Kontakt, keine Aussenkommunikation</t>
        </is>
      </c>
      <c r="D10" s="19" t="inlineStr">
        <is>
          <t>hoch</t>
        </is>
      </c>
      <c r="E10" s="21" t="inlineStr">
        <is>
          <t>Burak</t>
        </is>
      </c>
      <c r="F10" s="18" t="n">
        <v>46219</v>
      </c>
      <c r="G10" s="19" t="inlineStr">
        <is>
          <t>offen</t>
        </is>
      </c>
      <c r="H10" s="21" t="inlineStr">
        <is>
          <t>Kommunikation ausschliesslich ueber DPR</t>
        </is>
      </c>
    </row>
  </sheetData>
  <conditionalFormatting sqref="G2:G10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D2:D10">
    <cfRule type="cellIs" priority="5" operator="equal" dxfId="5">
      <formula>"hoch"</formula>
    </cfRule>
  </conditionalFormatting>
  <dataValidations count="3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16" t="inlineStr">
        <is>
          <t>Nr.</t>
        </is>
      </c>
      <c r="B1" s="16" t="inlineStr">
        <is>
          <t>Dokument</t>
        </is>
      </c>
      <c r="C1" s="16" t="inlineStr">
        <is>
          <t>Version/Datum</t>
        </is>
      </c>
      <c r="D1" s="16" t="inlineStr">
        <is>
          <t>Quelle</t>
        </is>
      </c>
      <c r="E1" s="16" t="inlineStr">
        <is>
          <t>Ablageort SharePoint</t>
        </is>
      </c>
      <c r="F1" s="16" t="inlineStr">
        <is>
          <t>Status</t>
        </is>
      </c>
    </row>
    <row r="2">
      <c r="A2" s="19" t="n">
        <v>1</v>
      </c>
      <c r="B2" s="21" t="inlineStr">
        <is>
          <t>Angebot Aggreko P-640380-3 (Loadbank 6 MVA)</t>
        </is>
      </c>
      <c r="C2" s="19" t="inlineStr"/>
      <c r="D2" s="19" t="inlineStr">
        <is>
          <t>Aggreko</t>
        </is>
      </c>
      <c r="E2" s="23" t="inlineStr">
        <is>
          <t>[SharePoint-Projektordner]</t>
        </is>
      </c>
      <c r="F2" s="19" t="inlineStr">
        <is>
          <t>Entwurf</t>
        </is>
      </c>
    </row>
    <row r="3">
      <c r="A3" s="19" t="n">
        <v>2</v>
      </c>
      <c r="B3" s="21" t="inlineStr">
        <is>
          <t>Angebot Aggreko P-650395-2 (Headload 8 MW)</t>
        </is>
      </c>
      <c r="C3" s="19" t="inlineStr"/>
      <c r="D3" s="19" t="inlineStr">
        <is>
          <t>Aggreko</t>
        </is>
      </c>
      <c r="E3" s="23" t="inlineStr">
        <is>
          <t>[SharePoint-Projektordner]</t>
        </is>
      </c>
      <c r="F3" s="19" t="inlineStr">
        <is>
          <t>Entwurf</t>
        </is>
      </c>
    </row>
    <row r="4">
      <c r="A4" s="19" t="n">
        <v>3</v>
      </c>
      <c r="B4" s="21" t="inlineStr">
        <is>
          <t>Purchase Order 49A (Loadbank)</t>
        </is>
      </c>
      <c r="C4" s="19" t="inlineStr"/>
      <c r="D4" s="19" t="inlineStr">
        <is>
          <t>DPR</t>
        </is>
      </c>
      <c r="E4" s="23" t="inlineStr">
        <is>
          <t>[SharePoint-Projektordner]</t>
        </is>
      </c>
      <c r="F4" s="19" t="inlineStr">
        <is>
          <t>Entwurf</t>
        </is>
      </c>
    </row>
    <row r="5">
      <c r="A5" s="19" t="n">
        <v>4</v>
      </c>
      <c r="B5" s="21" t="inlineStr">
        <is>
          <t>Purchase Order 49B (Headload)</t>
        </is>
      </c>
      <c r="C5" s="19" t="inlineStr"/>
      <c r="D5" s="19" t="inlineStr">
        <is>
          <t>DPR</t>
        </is>
      </c>
      <c r="E5" s="23" t="inlineStr">
        <is>
          <t>[SharePoint-Projektordner]</t>
        </is>
      </c>
      <c r="F5" s="19" t="inlineStr">
        <is>
          <t>Entwurf</t>
        </is>
      </c>
    </row>
    <row r="6">
      <c r="A6" s="19" t="n">
        <v>5</v>
      </c>
      <c r="B6" s="21" t="inlineStr">
        <is>
          <t>NDA MiT-DPR</t>
        </is>
      </c>
      <c r="C6" s="19" t="inlineStr"/>
      <c r="D6" s="19" t="inlineStr">
        <is>
          <t>MiT</t>
        </is>
      </c>
      <c r="E6" s="23" t="inlineStr">
        <is>
          <t>[SharePoint-Projektordner]</t>
        </is>
      </c>
      <c r="F6" s="19" t="inlineStr">
        <is>
          <t>Entwurf</t>
        </is>
      </c>
    </row>
    <row r="7">
      <c r="A7" s="19" t="n">
        <v>6</v>
      </c>
      <c r="B7" s="21" t="inlineStr">
        <is>
          <t>Versicherungsnachweis</t>
        </is>
      </c>
      <c r="C7" s="19" t="inlineStr"/>
      <c r="D7" s="19" t="inlineStr">
        <is>
          <t>MiT</t>
        </is>
      </c>
      <c r="E7" s="23" t="inlineStr">
        <is>
          <t>[SharePoint-Projektordner]</t>
        </is>
      </c>
      <c r="F7" s="19" t="inlineStr">
        <is>
          <t>Entwurf</t>
        </is>
      </c>
    </row>
    <row r="8">
      <c r="A8" s="19" t="n">
        <v>7</v>
      </c>
      <c r="B8" s="21" t="inlineStr">
        <is>
          <t>Logistikplan</t>
        </is>
      </c>
      <c r="C8" s="19" t="inlineStr"/>
      <c r="D8" s="19" t="inlineStr">
        <is>
          <t>MiT</t>
        </is>
      </c>
      <c r="E8" s="23" t="inlineStr">
        <is>
          <t>[SharePoint-Projektordner]</t>
        </is>
      </c>
      <c r="F8" s="19" t="inlineStr">
        <is>
          <t>Entwurf</t>
        </is>
      </c>
    </row>
    <row r="9">
      <c r="A9" s="19" t="n">
        <v>8</v>
      </c>
      <c r="B9" s="21" t="inlineStr">
        <is>
          <t>Supplemental Conditions</t>
        </is>
      </c>
      <c r="C9" s="19" t="inlineStr"/>
      <c r="D9" s="19" t="inlineStr">
        <is>
          <t>DPR</t>
        </is>
      </c>
      <c r="E9" s="23" t="inlineStr">
        <is>
          <t>[SharePoint-Projektordner]</t>
        </is>
      </c>
      <c r="F9" s="19" t="inlineStr">
        <is>
          <t>Entwurf</t>
        </is>
      </c>
    </row>
    <row r="10">
      <c r="A10" s="19" t="n">
        <v>9</v>
      </c>
      <c r="B10" s="21" t="inlineStr">
        <is>
          <t>Compliance-Unterlagen</t>
        </is>
      </c>
      <c r="C10" s="19" t="inlineStr"/>
      <c r="D10" s="19" t="inlineStr">
        <is>
          <t>DPR</t>
        </is>
      </c>
      <c r="E10" s="23" t="inlineStr">
        <is>
          <t>[SharePoint-Projektordner]</t>
        </is>
      </c>
      <c r="F10" s="19" t="inlineStr">
        <is>
          <t>Entwurf</t>
        </is>
      </c>
    </row>
    <row r="11">
      <c r="A11" s="19" t="n">
        <v>10</v>
      </c>
      <c r="B11" s="21" t="inlineStr">
        <is>
          <t>EHS-Plan Rev. 4</t>
        </is>
      </c>
      <c r="C11" s="19" t="inlineStr">
        <is>
          <t>Rev. 4</t>
        </is>
      </c>
      <c r="D11" s="19" t="inlineStr">
        <is>
          <t>DPR</t>
        </is>
      </c>
      <c r="E11" s="23" t="inlineStr">
        <is>
          <t>[SharePoint-Projektordner]</t>
        </is>
      </c>
      <c r="F11" s="19" t="inlineStr">
        <is>
          <t>Entwurf</t>
        </is>
      </c>
    </row>
    <row r="12">
      <c r="A12" s="19" t="n">
        <v>11</v>
      </c>
      <c r="B12" s="21" t="inlineStr">
        <is>
          <t>Einzelanalyse 01</t>
        </is>
      </c>
      <c r="C12" s="19" t="inlineStr"/>
      <c r="D12" s="19" t="inlineStr">
        <is>
          <t>MiT</t>
        </is>
      </c>
      <c r="E12" s="23" t="inlineStr">
        <is>
          <t>[SharePoint-Projektordner]</t>
        </is>
      </c>
      <c r="F12" s="19" t="inlineStr">
        <is>
          <t>Entwurf</t>
        </is>
      </c>
    </row>
    <row r="13">
      <c r="A13" s="19" t="n">
        <v>12</v>
      </c>
      <c r="B13" s="21" t="inlineStr">
        <is>
          <t>Einzelanalyse 02</t>
        </is>
      </c>
      <c r="C13" s="19" t="inlineStr"/>
      <c r="D13" s="19" t="inlineStr">
        <is>
          <t>MiT</t>
        </is>
      </c>
      <c r="E13" s="23" t="inlineStr">
        <is>
          <t>[SharePoint-Projektordner]</t>
        </is>
      </c>
      <c r="F13" s="19" t="inlineStr">
        <is>
          <t>Entwurf</t>
        </is>
      </c>
    </row>
    <row r="14">
      <c r="A14" s="19" t="n">
        <v>13</v>
      </c>
      <c r="B14" s="21" t="inlineStr">
        <is>
          <t>Einzelanalyse 03</t>
        </is>
      </c>
      <c r="C14" s="19" t="inlineStr"/>
      <c r="D14" s="19" t="inlineStr">
        <is>
          <t>MiT</t>
        </is>
      </c>
      <c r="E14" s="23" t="inlineStr">
        <is>
          <t>[SharePoint-Projektordner]</t>
        </is>
      </c>
      <c r="F14" s="19" t="inlineStr">
        <is>
          <t>Entwurf</t>
        </is>
      </c>
    </row>
    <row r="15">
      <c r="A15" s="19" t="n">
        <v>14</v>
      </c>
      <c r="B15" s="21" t="inlineStr">
        <is>
          <t>Einzelanalyse 04</t>
        </is>
      </c>
      <c r="C15" s="19" t="inlineStr"/>
      <c r="D15" s="19" t="inlineStr">
        <is>
          <t>MiT</t>
        </is>
      </c>
      <c r="E15" s="23" t="inlineStr">
        <is>
          <t>[SharePoint-Projektordner]</t>
        </is>
      </c>
      <c r="F15" s="19" t="inlineStr">
        <is>
          <t>Entwurf</t>
        </is>
      </c>
    </row>
    <row r="16">
      <c r="A16" s="19" t="n">
        <v>15</v>
      </c>
      <c r="B16" s="21" t="inlineStr">
        <is>
          <t>Einzelanalyse 05</t>
        </is>
      </c>
      <c r="C16" s="19" t="inlineStr"/>
      <c r="D16" s="19" t="inlineStr">
        <is>
          <t>MiT</t>
        </is>
      </c>
      <c r="E16" s="23" t="inlineStr">
        <is>
          <t>[SharePoint-Projektordner]</t>
        </is>
      </c>
      <c r="F16" s="19" t="inlineStr">
        <is>
          <t>Entwurf</t>
        </is>
      </c>
    </row>
    <row r="17">
      <c r="A17" s="19" t="n">
        <v>16</v>
      </c>
      <c r="B17" s="21" t="inlineStr">
        <is>
          <t>Einzelanalyse 06</t>
        </is>
      </c>
      <c r="C17" s="19" t="inlineStr"/>
      <c r="D17" s="19" t="inlineStr">
        <is>
          <t>MiT</t>
        </is>
      </c>
      <c r="E17" s="23" t="inlineStr">
        <is>
          <t>[SharePoint-Projektordner]</t>
        </is>
      </c>
      <c r="F17" s="19" t="inlineStr">
        <is>
          <t>Entwurf</t>
        </is>
      </c>
    </row>
    <row r="18">
      <c r="A18" s="19" t="n">
        <v>17</v>
      </c>
      <c r="B18" s="21" t="inlineStr">
        <is>
          <t>Einzelanalyse 07</t>
        </is>
      </c>
      <c r="C18" s="19" t="inlineStr"/>
      <c r="D18" s="19" t="inlineStr">
        <is>
          <t>MiT</t>
        </is>
      </c>
      <c r="E18" s="23" t="inlineStr">
        <is>
          <t>[SharePoint-Projektordner]</t>
        </is>
      </c>
      <c r="F18" s="19" t="inlineStr">
        <is>
          <t>Entwurf</t>
        </is>
      </c>
    </row>
    <row r="19">
      <c r="A19" s="19" t="n">
        <v>18</v>
      </c>
      <c r="B19" s="21" t="inlineStr">
        <is>
          <t>Einzelanalyse 08</t>
        </is>
      </c>
      <c r="C19" s="19" t="inlineStr"/>
      <c r="D19" s="19" t="inlineStr">
        <is>
          <t>MiT</t>
        </is>
      </c>
      <c r="E19" s="23" t="inlineStr">
        <is>
          <t>[SharePoint-Projektordner]</t>
        </is>
      </c>
      <c r="F19" s="19" t="inlineStr">
        <is>
          <t>Entwurf</t>
        </is>
      </c>
    </row>
    <row r="20">
      <c r="A20" s="19" t="n">
        <v>19</v>
      </c>
      <c r="B20" s="21" t="inlineStr">
        <is>
          <t>Einzelanalyse 09</t>
        </is>
      </c>
      <c r="C20" s="19" t="inlineStr"/>
      <c r="D20" s="19" t="inlineStr">
        <is>
          <t>MiT</t>
        </is>
      </c>
      <c r="E20" s="23" t="inlineStr">
        <is>
          <t>[SharePoint-Projektordner]</t>
        </is>
      </c>
      <c r="F20" s="19" t="inlineStr">
        <is>
          <t>Entwurf</t>
        </is>
      </c>
    </row>
    <row r="21">
      <c r="A21" s="19" t="n">
        <v>20</v>
      </c>
      <c r="B21" s="21" t="inlineStr">
        <is>
          <t>Einzelanalyse 10</t>
        </is>
      </c>
      <c r="C21" s="19" t="inlineStr"/>
      <c r="D21" s="19" t="inlineStr">
        <is>
          <t>MiT</t>
        </is>
      </c>
      <c r="E21" s="23" t="inlineStr">
        <is>
          <t>[SharePoint-Projektordner]</t>
        </is>
      </c>
      <c r="F21" s="19" t="inlineStr">
        <is>
          <t>Entwurf</t>
        </is>
      </c>
    </row>
    <row r="22">
      <c r="A22" s="19" t="n">
        <v>21</v>
      </c>
      <c r="B22" s="21" t="inlineStr">
        <is>
          <t>Einzelanalyse 11</t>
        </is>
      </c>
      <c r="C22" s="19" t="inlineStr"/>
      <c r="D22" s="19" t="inlineStr">
        <is>
          <t>MiT</t>
        </is>
      </c>
      <c r="E22" s="23" t="inlineStr">
        <is>
          <t>[SharePoint-Projektordner]</t>
        </is>
      </c>
      <c r="F22" s="19" t="inlineStr">
        <is>
          <t>Entwurf</t>
        </is>
      </c>
    </row>
    <row r="23">
      <c r="A23" s="19" t="n">
        <v>22</v>
      </c>
      <c r="B23" s="21" t="inlineStr">
        <is>
          <t>Projektdossier (Gesamtuebersicht)</t>
        </is>
      </c>
      <c r="C23" s="19" t="inlineStr"/>
      <c r="D23" s="19" t="inlineStr">
        <is>
          <t>MiT</t>
        </is>
      </c>
      <c r="E23" s="23" t="inlineStr">
        <is>
          <t>[SharePoint-Projektordner]</t>
        </is>
      </c>
      <c r="F23" s="19" t="inlineStr">
        <is>
          <t>Entwurf</t>
        </is>
      </c>
    </row>
  </sheetData>
  <conditionalFormatting sqref="F2:F23">
    <cfRule type="cellIs" priority="1" operator="equal" dxfId="0">
      <formula>"signiert"</formula>
    </cfRule>
    <cfRule type="cellIs" priority="2" operator="equal" dxfId="2">
      <formula>"final"</formula>
    </cfRule>
    <cfRule type="cellIs" priority="3" operator="equal" dxfId="6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16" t="inlineStr">
        <is>
          <t>Datum</t>
        </is>
      </c>
      <c r="B1" s="16" t="inlineStr">
        <is>
          <t>Wer</t>
        </is>
      </c>
      <c r="C1" s="16" t="inlineStr">
        <is>
          <t>Was geaendert</t>
        </is>
      </c>
    </row>
    <row r="2">
      <c r="A2" s="18" t="n">
        <v>46219</v>
      </c>
      <c r="B2" s="21" t="inlineStr">
        <is>
          <t>Burak Uecoez</t>
        </is>
      </c>
      <c r="C2" s="21" t="inlineStr">
        <is>
          <t>Projektsteuerungs-Tool erstellt und mit Projektdaten vorbefuellt.</t>
        </is>
      </c>
    </row>
    <row r="3">
      <c r="A3" s="18" t="n"/>
      <c r="B3" s="21" t="n"/>
      <c r="C3" s="21" t="n"/>
    </row>
    <row r="4">
      <c r="A4" s="18" t="n"/>
      <c r="B4" s="21" t="n"/>
      <c r="C4" s="21" t="n"/>
    </row>
    <row r="5">
      <c r="A5" s="18" t="n"/>
      <c r="B5" s="21" t="n"/>
      <c r="C5" s="21" t="n"/>
    </row>
    <row r="6">
      <c r="A6" s="18" t="n"/>
      <c r="B6" s="21" t="n"/>
      <c r="C6" s="21" t="n"/>
    </row>
    <row r="7">
      <c r="A7" s="18" t="n"/>
      <c r="B7" s="21" t="n"/>
      <c r="C7" s="21" t="n"/>
    </row>
    <row r="8">
      <c r="A8" s="18" t="n"/>
      <c r="B8" s="21" t="n"/>
      <c r="C8" s="21" t="n"/>
    </row>
    <row r="9">
      <c r="A9" s="18" t="n"/>
      <c r="B9" s="21" t="n"/>
      <c r="C9" s="21" t="n"/>
    </row>
    <row r="10">
      <c r="A10" s="18" t="n"/>
      <c r="B10" s="21" t="n"/>
      <c r="C10" s="21" t="n"/>
    </row>
    <row r="11">
      <c r="A11" s="18" t="n"/>
      <c r="B11" s="21" t="n"/>
      <c r="C11" s="21" t="n"/>
    </row>
    <row r="12">
      <c r="A12" s="18" t="n"/>
      <c r="B12" s="21" t="n"/>
      <c r="C12" s="21" t="n"/>
    </row>
    <row r="13">
      <c r="A13" s="18" t="n"/>
      <c r="B13" s="21" t="n"/>
      <c r="C13" s="21" t="n"/>
    </row>
    <row r="14">
      <c r="A14" s="18" t="n"/>
      <c r="B14" s="21" t="n"/>
      <c r="C14" s="21" t="n"/>
    </row>
    <row r="15">
      <c r="A15" s="18" t="n"/>
      <c r="B15" s="21" t="n"/>
      <c r="C15" s="21" t="n"/>
    </row>
    <row r="16">
      <c r="A16" s="18" t="n"/>
      <c r="B16" s="21" t="n"/>
      <c r="C16" s="21" t="n"/>
    </row>
    <row r="17">
      <c r="A17" s="18" t="n"/>
      <c r="B17" s="21" t="n"/>
      <c r="C17" s="21" t="n"/>
    </row>
    <row r="18">
      <c r="A18" s="18" t="n"/>
      <c r="B18" s="21" t="n"/>
      <c r="C18" s="21" t="n"/>
    </row>
    <row r="19">
      <c r="A19" s="18" t="n"/>
      <c r="B19" s="21" t="n"/>
      <c r="C19" s="21" t="n"/>
    </row>
    <row r="20">
      <c r="A20" s="18" t="n"/>
      <c r="B20" s="21" t="n"/>
      <c r="C20" s="21" t="n"/>
    </row>
    <row r="21">
      <c r="A21" s="18" t="n"/>
      <c r="B21" s="21" t="n"/>
      <c r="C21" s="21" t="n"/>
    </row>
    <row r="22">
      <c r="A22" s="18" t="n"/>
      <c r="B22" s="21" t="n"/>
      <c r="C22" s="21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2026-07-15T20:11:40Z</dcterms:created>
  <dcterms:modified xsi:type="dcterms:W3CDTF">2026-07-15T20:11:40Z</dcterms:modified>
</cp:coreProperties>
</file>