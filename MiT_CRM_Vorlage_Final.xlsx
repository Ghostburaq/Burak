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Kunden-Datenbank" sheetId="2" state="visible" r:id="rId2"/>
    <sheet name="📖 Anleitung" sheetId="3" state="visible" r:id="rId3"/>
    <sheet name="🏷️ Segmente &amp; Produkte" sheetId="4" state="visible" r:id="rId4"/>
  </sheets>
  <definedNames>
    <definedName name="_xlnm._FilterDatabase" localSheetId="1" hidden="1">'📋 Kunden-Datenbank'!$A$3:$S$717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  <color rgb="001F4E78"/>
      <sz val="12"/>
    </font>
    <font>
      <b val="1"/>
    </font>
    <font>
      <b val="1"/>
      <color rgb="001F4E78"/>
      <sz val="13"/>
    </font>
    <font>
      <b val="1"/>
      <color rgb="00595959"/>
      <sz val="10"/>
    </font>
    <font>
      <b val="1"/>
      <color rgb="001F4E78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E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7F6000"/>
      </font>
      <fill>
        <patternFill patternType="solid">
          <fgColor rgb="00FFE699"/>
        </patternFill>
      </fill>
    </dxf>
    <dxf>
      <font>
        <b val="1"/>
        <color rgb="00375623"/>
      </font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084"/>
        </patternFill>
      </fill>
    </dxf>
    <dxf>
      <font>
        <b val="1"/>
        <color rgb="00375623"/>
      </font>
      <fill>
        <patternFill patternType="solid">
          <fgColor rgb="00A9D08E"/>
        </patternFill>
      </fill>
    </dxf>
    <dxf>
      <fill>
        <patternFill patternType="solid">
          <fgColor rgb="00D9D9D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MiT CRM — Live Dashboard</t>
        </is>
      </c>
    </row>
    <row r="2">
      <c r="A2" s="2" t="inlineStr">
        <is>
          <t>Auswertungen werden bei jeder Datenänderung in 'Kunden-Datenbank' automatisch aktualisiert.</t>
        </is>
      </c>
    </row>
    <row r="4">
      <c r="A4" s="3" t="inlineStr">
        <is>
          <t>📈  Kennzahlen</t>
        </is>
      </c>
    </row>
    <row r="5">
      <c r="A5" s="4" t="inlineStr">
        <is>
          <t>Kontakte gesamt</t>
        </is>
      </c>
      <c r="B5" s="4" t="inlineStr">
        <is>
          <t>Prio A</t>
        </is>
      </c>
      <c r="C5" s="4" t="inlineStr">
        <is>
          <t>Prio B</t>
        </is>
      </c>
      <c r="D5" s="4" t="inlineStr">
        <is>
          <t>Prio C</t>
        </is>
      </c>
      <c r="E5" s="4" t="inlineStr">
        <is>
          <t>Mit E-Mail</t>
        </is>
      </c>
      <c r="F5" s="4" t="inlineStr">
        <is>
          <t>Mit Telefon</t>
        </is>
      </c>
    </row>
    <row r="6">
      <c r="A6" s="5">
        <f>COUNTA('📋 Kunden-Datenbank'!$D$4:$D$817)</f>
        <v/>
      </c>
      <c r="B6" s="5">
        <f>COUNTIF('📋 Kunden-Datenbank'!$B$4:$B$817,"A")</f>
        <v/>
      </c>
      <c r="C6" s="5">
        <f>COUNTIF('📋 Kunden-Datenbank'!$B$4:$B$817,"B")</f>
        <v/>
      </c>
      <c r="D6" s="5">
        <f>COUNTIF('📋 Kunden-Datenbank'!$B$4:$B$817,"C")</f>
        <v/>
      </c>
      <c r="E6" s="5">
        <f>COUNTIF('📋 Kunden-Datenbank'!$J$4:$J$817,"?*@?*.?*")</f>
        <v/>
      </c>
      <c r="F6" s="5">
        <f>COUNTA('📋 Kunden-Datenbank'!$K$4:$K$817)</f>
        <v/>
      </c>
    </row>
    <row r="8">
      <c r="A8" s="3" t="inlineStr">
        <is>
          <t>🏷️  Segment-Verteilung</t>
        </is>
      </c>
    </row>
    <row r="9">
      <c r="A9" s="6" t="inlineStr">
        <is>
          <t>Segment</t>
        </is>
      </c>
      <c r="B9" s="6" t="inlineStr">
        <is>
          <t>Anzahl</t>
        </is>
      </c>
      <c r="C9" s="6" t="inlineStr">
        <is>
          <t>% Anteil</t>
        </is>
      </c>
    </row>
    <row r="10">
      <c r="A10" t="inlineStr">
        <is>
          <t>EVU/Netzbetreiber</t>
        </is>
      </c>
      <c r="B10">
        <f>COUNTIF('📋 Kunden-Datenbank'!$C$4:$C$817,A10)</f>
        <v/>
      </c>
      <c r="C10" s="7">
        <f>IFERROR(B10/COUNTA('📋 Kunden-Datenbank'!$D$4:$D$817),0)</f>
        <v/>
      </c>
    </row>
    <row r="11">
      <c r="A11" t="inlineStr">
        <is>
          <t>Spital/Klinik</t>
        </is>
      </c>
      <c r="B11">
        <f>COUNTIF('📋 Kunden-Datenbank'!$C$4:$C$817,A11)</f>
        <v/>
      </c>
      <c r="C11" s="7">
        <f>IFERROR(B11/COUNTA('📋 Kunden-Datenbank'!$D$4:$D$817),0)</f>
        <v/>
      </c>
    </row>
    <row r="12">
      <c r="A12" t="inlineStr">
        <is>
          <t>Pharma/Chemie</t>
        </is>
      </c>
      <c r="B12">
        <f>COUNTIF('📋 Kunden-Datenbank'!$C$4:$C$817,A12)</f>
        <v/>
      </c>
      <c r="C12" s="7">
        <f>IFERROR(B12/COUNTA('📋 Kunden-Datenbank'!$D$4:$D$817),0)</f>
        <v/>
      </c>
    </row>
    <row r="13">
      <c r="A13" t="inlineStr">
        <is>
          <t>Rechenzentrum/IT</t>
        </is>
      </c>
      <c r="B13">
        <f>COUNTIF('📋 Kunden-Datenbank'!$C$4:$C$817,A13)</f>
        <v/>
      </c>
      <c r="C13" s="7">
        <f>IFERROR(B13/COUNTA('📋 Kunden-Datenbank'!$D$4:$D$817),0)</f>
        <v/>
      </c>
    </row>
    <row r="14">
      <c r="A14" t="inlineStr">
        <is>
          <t>Industrie/Maschinenbau</t>
        </is>
      </c>
      <c r="B14">
        <f>COUNTIF('📋 Kunden-Datenbank'!$C$4:$C$817,A14)</f>
        <v/>
      </c>
      <c r="C14" s="7">
        <f>IFERROR(B14/COUNTA('📋 Kunden-Datenbank'!$D$4:$D$817),0)</f>
        <v/>
      </c>
    </row>
    <row r="15">
      <c r="A15" t="inlineStr">
        <is>
          <t>Bau/Infrastruktur</t>
        </is>
      </c>
      <c r="B15">
        <f>COUNTIF('📋 Kunden-Datenbank'!$C$4:$C$817,A15)</f>
        <v/>
      </c>
      <c r="C15" s="7">
        <f>IFERROR(B15/COUNTA('📋 Kunden-Datenbank'!$D$4:$D$817),0)</f>
        <v/>
      </c>
    </row>
    <row r="16">
      <c r="A16" t="inlineStr">
        <is>
          <t>Gemeinde/Öffentlich</t>
        </is>
      </c>
      <c r="B16">
        <f>COUNTIF('📋 Kunden-Datenbank'!$C$4:$C$817,A16)</f>
        <v/>
      </c>
      <c r="C16" s="7">
        <f>IFERROR(B16/COUNTA('📋 Kunden-Datenbank'!$D$4:$D$817),0)</f>
        <v/>
      </c>
    </row>
    <row r="17">
      <c r="A17" t="inlineStr">
        <is>
          <t>Bergbahn/Tourismus</t>
        </is>
      </c>
      <c r="B17">
        <f>COUNTIF('📋 Kunden-Datenbank'!$C$4:$C$817,A17)</f>
        <v/>
      </c>
      <c r="C17" s="7">
        <f>IFERROR(B17/COUNTA('📋 Kunden-Datenbank'!$D$4:$D$817),0)</f>
        <v/>
      </c>
    </row>
    <row r="18">
      <c r="A18" t="inlineStr">
        <is>
          <t>Events/Messen</t>
        </is>
      </c>
      <c r="B18">
        <f>COUNTIF('📋 Kunden-Datenbank'!$C$4:$C$817,A18)</f>
        <v/>
      </c>
      <c r="C18" s="7">
        <f>IFERROR(B18/COUNTA('📋 Kunden-Datenbank'!$D$4:$D$817),0)</f>
        <v/>
      </c>
    </row>
    <row r="19">
      <c r="A19" t="inlineStr">
        <is>
          <t>Elektroplaner/Engineering</t>
        </is>
      </c>
      <c r="B19">
        <f>COUNTIF('📋 Kunden-Datenbank'!$C$4:$C$817,A19)</f>
        <v/>
      </c>
      <c r="C19" s="7">
        <f>IFERROR(B19/COUNTA('📋 Kunden-Datenbank'!$D$4:$D$817),0)</f>
        <v/>
      </c>
    </row>
    <row r="20">
      <c r="A20" t="inlineStr">
        <is>
          <t>Forschung/Bildung</t>
        </is>
      </c>
      <c r="B20">
        <f>COUNTIF('📋 Kunden-Datenbank'!$C$4:$C$817,A20)</f>
        <v/>
      </c>
      <c r="C20" s="7">
        <f>IFERROR(B20/COUNTA('📋 Kunden-Datenbank'!$D$4:$D$817),0)</f>
        <v/>
      </c>
    </row>
    <row r="21">
      <c r="A21" t="inlineStr">
        <is>
          <t>Lebensmittel/Food</t>
        </is>
      </c>
      <c r="B21">
        <f>COUNTIF('📋 Kunden-Datenbank'!$C$4:$C$817,A21)</f>
        <v/>
      </c>
      <c r="C21" s="7">
        <f>IFERROR(B21/COUNTA('📋 Kunden-Datenbank'!$D$4:$D$817),0)</f>
        <v/>
      </c>
    </row>
    <row r="23">
      <c r="A23" s="3" t="inlineStr">
        <is>
          <t>🏔️  Kanton-Verteilung</t>
        </is>
      </c>
    </row>
    <row r="24">
      <c r="A24" s="8" t="inlineStr">
        <is>
          <t>Kanton</t>
        </is>
      </c>
      <c r="B24" s="8" t="inlineStr">
        <is>
          <t>Anzahl</t>
        </is>
      </c>
    </row>
    <row r="25">
      <c r="A25" t="inlineStr">
        <is>
          <t>ZH</t>
        </is>
      </c>
      <c r="B25">
        <f>COUNTIF('📋 Kunden-Datenbank'!$G$4:$G$817,A25)</f>
        <v/>
      </c>
    </row>
    <row r="26">
      <c r="A26" t="inlineStr">
        <is>
          <t>BE</t>
        </is>
      </c>
      <c r="B26">
        <f>COUNTIF('📋 Kunden-Datenbank'!$G$4:$G$817,A26)</f>
        <v/>
      </c>
    </row>
    <row r="27">
      <c r="A27" t="inlineStr">
        <is>
          <t>LU</t>
        </is>
      </c>
      <c r="B27">
        <f>COUNTIF('📋 Kunden-Datenbank'!$G$4:$G$817,A27)</f>
        <v/>
      </c>
    </row>
    <row r="28">
      <c r="A28" t="inlineStr">
        <is>
          <t>AG</t>
        </is>
      </c>
      <c r="B28">
        <f>COUNTIF('📋 Kunden-Datenbank'!$G$4:$G$817,A28)</f>
        <v/>
      </c>
    </row>
    <row r="29">
      <c r="A29" t="inlineStr">
        <is>
          <t>SG</t>
        </is>
      </c>
      <c r="B29">
        <f>COUNTIF('📋 Kunden-Datenbank'!$G$4:$G$817,A29)</f>
        <v/>
      </c>
    </row>
    <row r="30">
      <c r="A30" t="inlineStr">
        <is>
          <t>GE</t>
        </is>
      </c>
      <c r="B30">
        <f>COUNTIF('📋 Kunden-Datenbank'!$G$4:$G$817,A30)</f>
        <v/>
      </c>
    </row>
    <row r="31">
      <c r="A31" t="inlineStr">
        <is>
          <t>BS</t>
        </is>
      </c>
      <c r="B31">
        <f>COUNTIF('📋 Kunden-Datenbank'!$G$4:$G$817,A31)</f>
        <v/>
      </c>
    </row>
    <row r="32">
      <c r="A32" t="inlineStr">
        <is>
          <t>BL</t>
        </is>
      </c>
      <c r="B32">
        <f>COUNTIF('📋 Kunden-Datenbank'!$G$4:$G$817,A32)</f>
        <v/>
      </c>
    </row>
    <row r="33">
      <c r="A33" t="inlineStr">
        <is>
          <t>SO</t>
        </is>
      </c>
      <c r="B33">
        <f>COUNTIF('📋 Kunden-Datenbank'!$G$4:$G$817,A33)</f>
        <v/>
      </c>
    </row>
    <row r="34">
      <c r="A34" t="inlineStr">
        <is>
          <t>TG</t>
        </is>
      </c>
      <c r="B34">
        <f>COUNTIF('📋 Kunden-Datenbank'!$G$4:$G$817,A34)</f>
        <v/>
      </c>
    </row>
    <row r="35">
      <c r="A35" t="inlineStr">
        <is>
          <t>VS</t>
        </is>
      </c>
      <c r="B35">
        <f>COUNTIF('📋 Kunden-Datenbank'!$G$4:$G$817,A35)</f>
        <v/>
      </c>
    </row>
    <row r="36">
      <c r="A36" t="inlineStr">
        <is>
          <t>VD</t>
        </is>
      </c>
      <c r="B36">
        <f>COUNTIF('📋 Kunden-Datenbank'!$G$4:$G$817,A36)</f>
        <v/>
      </c>
    </row>
    <row r="37">
      <c r="A37" t="inlineStr">
        <is>
          <t>FR</t>
        </is>
      </c>
      <c r="B37">
        <f>COUNTIF('📋 Kunden-Datenbank'!$G$4:$G$817,A37)</f>
        <v/>
      </c>
    </row>
    <row r="38">
      <c r="A38" t="inlineStr">
        <is>
          <t>GR</t>
        </is>
      </c>
      <c r="B38">
        <f>COUNTIF('📋 Kunden-Datenbank'!$G$4:$G$817,A38)</f>
        <v/>
      </c>
    </row>
    <row r="39">
      <c r="A39" t="inlineStr">
        <is>
          <t>AR</t>
        </is>
      </c>
      <c r="B39">
        <f>COUNTIF('📋 Kunden-Datenbank'!$G$4:$G$817,A39)</f>
        <v/>
      </c>
    </row>
    <row r="40">
      <c r="A40" t="inlineStr">
        <is>
          <t>AI</t>
        </is>
      </c>
      <c r="B40">
        <f>COUNTIF('📋 Kunden-Datenbank'!$G$4:$G$817,A40)</f>
        <v/>
      </c>
    </row>
    <row r="41">
      <c r="A41" t="inlineStr">
        <is>
          <t>SZ</t>
        </is>
      </c>
      <c r="B41">
        <f>COUNTIF('📋 Kunden-Datenbank'!$G$4:$G$817,A41)</f>
        <v/>
      </c>
    </row>
    <row r="42">
      <c r="A42" t="inlineStr">
        <is>
          <t>ZG</t>
        </is>
      </c>
      <c r="B42">
        <f>COUNTIF('📋 Kunden-Datenbank'!$G$4:$G$817,A42)</f>
        <v/>
      </c>
    </row>
    <row r="43">
      <c r="A43" t="inlineStr">
        <is>
          <t>TI</t>
        </is>
      </c>
      <c r="B43">
        <f>COUNTIF('📋 Kunden-Datenbank'!$G$4:$G$817,A43)</f>
        <v/>
      </c>
    </row>
    <row r="44">
      <c r="A44" t="inlineStr">
        <is>
          <t>NE</t>
        </is>
      </c>
      <c r="B44">
        <f>COUNTIF('📋 Kunden-Datenbank'!$G$4:$G$817,A44)</f>
        <v/>
      </c>
    </row>
    <row r="45">
      <c r="A45" t="inlineStr">
        <is>
          <t>UR</t>
        </is>
      </c>
      <c r="B45">
        <f>COUNTIF('📋 Kunden-Datenbank'!$G$4:$G$817,A45)</f>
        <v/>
      </c>
    </row>
    <row r="46">
      <c r="A46" t="inlineStr">
        <is>
          <t>OW</t>
        </is>
      </c>
      <c r="B46">
        <f>COUNTIF('📋 Kunden-Datenbank'!$G$4:$G$817,A46)</f>
        <v/>
      </c>
    </row>
    <row r="47">
      <c r="A47" t="inlineStr">
        <is>
          <t>NW</t>
        </is>
      </c>
      <c r="B47">
        <f>COUNTIF('📋 Kunden-Datenbank'!$G$4:$G$817,A47)</f>
        <v/>
      </c>
    </row>
    <row r="48">
      <c r="A48" t="inlineStr">
        <is>
          <t>GL</t>
        </is>
      </c>
      <c r="B48">
        <f>COUNTIF('📋 Kunden-Datenbank'!$G$4:$G$817,A48)</f>
        <v/>
      </c>
    </row>
    <row r="49">
      <c r="A49" t="inlineStr">
        <is>
          <t>SH</t>
        </is>
      </c>
      <c r="B49">
        <f>COUNTIF('📋 Kunden-Datenbank'!$G$4:$G$817,A49)</f>
        <v/>
      </c>
    </row>
    <row r="50">
      <c r="A50" t="inlineStr">
        <is>
          <t>JU</t>
        </is>
      </c>
      <c r="B50">
        <f>COUNTIF('📋 Kunden-Datenbank'!$G$4:$G$817,A50)</f>
        <v/>
      </c>
    </row>
    <row r="52">
      <c r="D52" s="3" t="inlineStr">
        <is>
          <t>🎯  Pipeline-Status</t>
        </is>
      </c>
    </row>
    <row r="53">
      <c r="D53" s="8" t="inlineStr">
        <is>
          <t>Status</t>
        </is>
      </c>
      <c r="E53" s="8" t="inlineStr">
        <is>
          <t>Anzahl</t>
        </is>
      </c>
      <c r="G53" s="9" t="inlineStr">
        <is>
          <t>⏰  Follow-ups</t>
        </is>
      </c>
    </row>
    <row r="54">
      <c r="D54" t="inlineStr">
        <is>
          <t>offen</t>
        </is>
      </c>
      <c r="E54">
        <f>COUNTIF('📋 Kunden-Datenbank'!$M$4:$M$817,D54)</f>
        <v/>
      </c>
      <c r="G54" t="inlineStr">
        <is>
          <t>Überfällig</t>
        </is>
      </c>
      <c r="H54">
        <f>SUMPRODUCT(('📋 Kunden-Datenbank'!$Q$4:$Q$817&lt;TODAY())*('📋 Kunden-Datenbank'!$Q$4:$Q$817&lt;&gt;""))</f>
        <v/>
      </c>
    </row>
    <row r="55">
      <c r="D55" t="inlineStr">
        <is>
          <t>kontaktiert</t>
        </is>
      </c>
      <c r="E55">
        <f>COUNTIF('📋 Kunden-Datenbank'!$M$4:$M$817,D55)</f>
        <v/>
      </c>
      <c r="G55" t="inlineStr">
        <is>
          <t>Diese Woche</t>
        </is>
      </c>
      <c r="H55">
        <f>SUMPRODUCT(('📋 Kunden-Datenbank'!$Q$4:$Q$817&gt;=TODAY())*('📋 Kunden-Datenbank'!$Q$4:$Q$817&lt;=TODAY()+7))</f>
        <v/>
      </c>
    </row>
    <row r="56">
      <c r="D56" t="inlineStr">
        <is>
          <t>in Gespräch</t>
        </is>
      </c>
      <c r="E56">
        <f>COUNTIF('📋 Kunden-Datenbank'!$M$4:$M$817,D56)</f>
        <v/>
      </c>
      <c r="G56" t="inlineStr">
        <is>
          <t>Nächste 30 Tage</t>
        </is>
      </c>
      <c r="H56">
        <f>SUMPRODUCT(('📋 Kunden-Datenbank'!$Q$4:$Q$817&gt;=TODAY())*('📋 Kunden-Datenbank'!$Q$4:$Q$817&lt;=TODAY()+30))</f>
        <v/>
      </c>
    </row>
    <row r="57">
      <c r="D57" t="inlineStr">
        <is>
          <t>Angebot gesendet</t>
        </is>
      </c>
      <c r="E57">
        <f>COUNTIF('📋 Kunden-Datenbank'!$M$4:$M$817,D57)</f>
        <v/>
      </c>
    </row>
    <row r="58">
      <c r="D58" t="inlineStr">
        <is>
          <t>aktiv</t>
        </is>
      </c>
      <c r="E58">
        <f>COUNTIF('📋 Kunden-Datenbank'!$M$4:$M$817,D58)</f>
        <v/>
      </c>
    </row>
    <row r="59">
      <c r="D59" t="inlineStr">
        <is>
          <t>inaktiv</t>
        </is>
      </c>
      <c r="E59">
        <f>COUNTIF('📋 Kunden-Datenbank'!$M$4:$M$817,D59)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38" customWidth="1" min="4" max="4"/>
    <col width="18" customWidth="1" min="5" max="5"/>
    <col width="7" customWidth="1" min="6" max="6"/>
    <col width="7" customWidth="1" min="7" max="7"/>
    <col width="22" customWidth="1" min="8" max="8"/>
    <col width="22" customWidth="1" min="9" max="9"/>
    <col width="28" customWidth="1" min="10" max="10"/>
    <col width="18" customWidth="1" min="11" max="11"/>
    <col width="28" customWidth="1" min="12" max="12"/>
    <col width="16" customWidth="1" min="13" max="13"/>
    <col width="36" customWidth="1" min="14" max="14"/>
    <col width="36" customWidth="1" min="15" max="15"/>
    <col width="18" customWidth="1" min="16" max="16"/>
    <col width="14" customWidth="1" min="17" max="17"/>
    <col width="38" customWidth="1" min="18" max="18"/>
    <col width="18" customWidth="1" min="19" max="19"/>
  </cols>
  <sheetData>
    <row r="1">
      <c r="A1" s="1" t="inlineStr">
        <is>
          <t>MiT CRM — Kunden-Datenbank Vorlage  |  Mobil in Time AG</t>
        </is>
      </c>
    </row>
    <row r="2">
      <c r="A2" s="2" t="inlineStr">
        <is>
          <t>→ Diese Datei direkt in MiT CRM importieren: Header &gt; '📥 Importieren' &gt; Datei wählen. Spalten werden automatisch erkannt.</t>
        </is>
      </c>
    </row>
    <row r="3" ht="28" customHeight="1">
      <c r="A3" s="10" t="inlineStr">
        <is>
          <t>Nr.</t>
        </is>
      </c>
      <c r="B3" s="10" t="inlineStr">
        <is>
          <t>Prio</t>
        </is>
      </c>
      <c r="C3" s="10" t="inlineStr">
        <is>
          <t>Segment</t>
        </is>
      </c>
      <c r="D3" s="10" t="inlineStr">
        <is>
          <t>Firmenname *</t>
        </is>
      </c>
      <c r="E3" s="10" t="inlineStr">
        <is>
          <t>Ort</t>
        </is>
      </c>
      <c r="F3" s="10" t="inlineStr">
        <is>
          <t>PLZ</t>
        </is>
      </c>
      <c r="G3" s="10" t="inlineStr">
        <is>
          <t>Kanton</t>
        </is>
      </c>
      <c r="H3" s="10" t="inlineStr">
        <is>
          <t>Ansprechpartner</t>
        </is>
      </c>
      <c r="I3" s="10" t="inlineStr">
        <is>
          <t>Funktion / Titel</t>
        </is>
      </c>
      <c r="J3" s="10" t="inlineStr">
        <is>
          <t>E-Mail</t>
        </is>
      </c>
      <c r="K3" s="10" t="inlineStr">
        <is>
          <t>Telefon</t>
        </is>
      </c>
      <c r="L3" s="10" t="inlineStr">
        <is>
          <t>Website</t>
        </is>
      </c>
      <c r="M3" s="10" t="inlineStr">
        <is>
          <t>Status</t>
        </is>
      </c>
      <c r="N3" s="10" t="inlineStr">
        <is>
          <t>Nächster Schritt</t>
        </is>
      </c>
      <c r="O3" s="10" t="inlineStr">
        <is>
          <t>Bedarf / kVA</t>
        </is>
      </c>
      <c r="P3" s="10" t="inlineStr">
        <is>
          <t>Hauptprodukt</t>
        </is>
      </c>
      <c r="Q3" s="10" t="inlineStr">
        <is>
          <t>Follow-up Datum</t>
        </is>
      </c>
      <c r="R3" s="10" t="inlineStr">
        <is>
          <t>Notizen</t>
        </is>
      </c>
      <c r="S3" s="10" t="inlineStr">
        <is>
          <t>Internes</t>
        </is>
      </c>
    </row>
    <row r="4">
      <c r="A4" s="11" t="n">
        <v>1</v>
      </c>
      <c r="B4" s="11" t="inlineStr">
        <is>
          <t>A</t>
        </is>
      </c>
      <c r="C4" s="11" t="inlineStr">
        <is>
          <t>EVU/Netzbetreiber</t>
        </is>
      </c>
      <c r="D4" s="11" t="inlineStr">
        <is>
          <t>AEW Energie AG</t>
        </is>
      </c>
      <c r="E4" s="11" t="inlineStr">
        <is>
          <t>Aarau</t>
        </is>
      </c>
      <c r="F4" s="11" t="inlineStr">
        <is>
          <t>5001</t>
        </is>
      </c>
      <c r="G4" s="11" t="inlineStr">
        <is>
          <t>AG</t>
        </is>
      </c>
      <c r="H4" s="11" t="inlineStr">
        <is>
          <t>Leiter Netzbetrieb</t>
        </is>
      </c>
      <c r="I4" s="11" t="inlineStr">
        <is>
          <t>Dipl. El.-Ing.</t>
        </is>
      </c>
      <c r="J4" s="11" t="inlineStr">
        <is>
          <t>info@aew.ch</t>
        </is>
      </c>
      <c r="K4" s="11" t="inlineStr">
        <is>
          <t>+41 62 834 21 11</t>
        </is>
      </c>
      <c r="L4" s="11" t="n"/>
      <c r="M4" s="11" t="inlineStr">
        <is>
          <t>offen</t>
        </is>
      </c>
      <c r="N4" s="11" t="inlineStr">
        <is>
          <t>Netzbetrieb AEW; Revisionskalender anfragen</t>
        </is>
      </c>
      <c r="O4" s="11" t="inlineStr">
        <is>
          <t>0.5 Mio. Kunden; 15 Unterwerke; MS/HS-Revisionen; BESS</t>
        </is>
      </c>
      <c r="P4" s="11" t="inlineStr">
        <is>
          <t>BESS</t>
        </is>
      </c>
      <c r="Q4" s="11" t="n"/>
      <c r="R4" s="11" t="inlineStr">
        <is>
          <t>Adr: Obere Vorstadt 2, 5001 Aarau | Kantonaler EVU AG; 0.5 Mio. Kunden</t>
        </is>
      </c>
      <c r="S4" s="11" t="inlineStr">
        <is>
          <t>Kantonaler EVU</t>
        </is>
      </c>
    </row>
    <row r="5">
      <c r="A5" s="11" t="n">
        <v>2</v>
      </c>
      <c r="B5" s="11" t="inlineStr">
        <is>
          <t>A</t>
        </is>
      </c>
      <c r="C5" s="11" t="inlineStr">
        <is>
          <t>EVU/Netzbetreiber</t>
        </is>
      </c>
      <c r="D5" s="11" t="inlineStr">
        <is>
          <t>Axpo Group AG</t>
        </is>
      </c>
      <c r="E5" s="11" t="inlineStr">
        <is>
          <t>Baden</t>
        </is>
      </c>
      <c r="F5" s="11" t="inlineStr">
        <is>
          <t>5401</t>
        </is>
      </c>
      <c r="G5" s="11" t="inlineStr">
        <is>
          <t>AG</t>
        </is>
      </c>
      <c r="H5" s="11" t="inlineStr">
        <is>
          <t>Leiter Netzoperationen CH</t>
        </is>
      </c>
      <c r="I5" s="11" t="inlineStr">
        <is>
          <t>MSc El.-Ing.</t>
        </is>
      </c>
      <c r="J5" s="11" t="inlineStr">
        <is>
          <t>info@axpo.com</t>
        </is>
      </c>
      <c r="K5" s="11" t="inlineStr">
        <is>
          <t>+41 56 200 21 11</t>
        </is>
      </c>
      <c r="L5" s="11" t="n"/>
      <c r="M5" s="11" t="inlineStr">
        <is>
          <t>offen</t>
        </is>
      </c>
      <c r="N5" s="11" t="inlineStr">
        <is>
          <t>Netzbetrieb Axpo Baden; Aggreko-Synergien ansprechen</t>
        </is>
      </c>
      <c r="O5" s="11" t="inlineStr">
        <is>
          <t>MS/HS-Revisionen Kraftwerke; Netzersatz 5–20 MVA; BESS; CHF 1'261 Mio. EBIT 2024</t>
        </is>
      </c>
      <c r="P5" s="11" t="inlineStr">
        <is>
          <t>BESS</t>
        </is>
      </c>
      <c r="Q5" s="11" t="n"/>
      <c r="R5" s="11" t="inlineStr">
        <is>
          <t>Adr: Parkstrasse 23, 5401 Baden | Grösstes Energieunternehmen CH</t>
        </is>
      </c>
      <c r="S5" s="11" t="inlineStr">
        <is>
          <t>Energiekonzern</t>
        </is>
      </c>
    </row>
    <row r="6">
      <c r="A6" s="11" t="n">
        <v>3</v>
      </c>
      <c r="B6" s="11" t="inlineStr">
        <is>
          <t>A</t>
        </is>
      </c>
      <c r="C6" s="11" t="inlineStr">
        <is>
          <t>EVU/Netzbetreiber</t>
        </is>
      </c>
      <c r="D6" s="11" t="inlineStr">
        <is>
          <t>Swissgrid AG</t>
        </is>
      </c>
      <c r="E6" s="11" t="inlineStr">
        <is>
          <t>Laufenburg</t>
        </is>
      </c>
      <c r="F6" s="11" t="inlineStr">
        <is>
          <t>5242</t>
        </is>
      </c>
      <c r="G6" s="11" t="inlineStr">
        <is>
          <t>AG</t>
        </is>
      </c>
      <c r="H6" s="11" t="inlineStr">
        <is>
          <t>Leiter Grid Operations</t>
        </is>
      </c>
      <c r="I6" s="11" t="inlineStr">
        <is>
          <t>MSc El.-Ing.</t>
        </is>
      </c>
      <c r="J6" s="11" t="inlineStr">
        <is>
          <t>info@swissgrid.ch</t>
        </is>
      </c>
      <c r="K6" s="11" t="inlineStr">
        <is>
          <t>+41 58 580 21 11</t>
        </is>
      </c>
      <c r="L6" s="11" t="n"/>
      <c r="M6" s="11" t="inlineStr">
        <is>
          <t>offen</t>
        </is>
      </c>
      <c r="N6" s="11" t="inlineStr">
        <is>
          <t>Grid Operations Swissgrid Laufenburg kontaktieren</t>
        </is>
      </c>
      <c r="O6" s="11" t="inlineStr">
        <is>
          <t>Übertragungsnetz CH; HS-Revisionen; CHF 317 Mio. Invest 2024</t>
        </is>
      </c>
      <c r="P6" s="11" t="n"/>
      <c r="Q6" s="11" t="n"/>
      <c r="R6" s="11" t="inlineStr">
        <is>
          <t>Adr: Neumattstrasse 19, 5242 Laufenburg | CH-Übertragungsnetzbetreiber</t>
        </is>
      </c>
      <c r="S6" s="11" t="inlineStr">
        <is>
          <t>Übertragungsnetz</t>
        </is>
      </c>
    </row>
    <row r="7">
      <c r="A7" s="11" t="n">
        <v>4</v>
      </c>
      <c r="B7" s="11" t="inlineStr">
        <is>
          <t>A</t>
        </is>
      </c>
      <c r="C7" s="11" t="inlineStr">
        <is>
          <t>EVU/Netzbetreiber</t>
        </is>
      </c>
      <c r="D7" s="11" t="inlineStr">
        <is>
          <t>Stadtwerk Aarau AG</t>
        </is>
      </c>
      <c r="E7" s="11" t="inlineStr">
        <is>
          <t>Aarau</t>
        </is>
      </c>
      <c r="F7" s="11" t="inlineStr">
        <is>
          <t>5001</t>
        </is>
      </c>
      <c r="G7" s="11" t="inlineStr">
        <is>
          <t>AG</t>
        </is>
      </c>
      <c r="H7" s="11" t="inlineStr">
        <is>
          <t>Betriebsleiter</t>
        </is>
      </c>
      <c r="I7" s="11" t="inlineStr">
        <is>
          <t>Dipl. El.-Ing.</t>
        </is>
      </c>
      <c r="J7" s="11" t="inlineStr">
        <is>
          <t>info@stadtwerk-aarau.ch</t>
        </is>
      </c>
      <c r="K7" s="11" t="inlineStr">
        <is>
          <t>+41 62 834 41 41</t>
        </is>
      </c>
      <c r="L7" s="11" t="n"/>
      <c r="M7" s="11" t="inlineStr">
        <is>
          <t>offen</t>
        </is>
      </c>
      <c r="N7" s="11" t="inlineStr">
        <is>
          <t>Betriebsleiter Stadtwerk Aarau kontaktieren</t>
        </is>
      </c>
      <c r="O7" s="11" t="inlineStr">
        <is>
          <t>Stadtversorgung Aarau: MS-Revisionen; NEA Stadtgebäude</t>
        </is>
      </c>
      <c r="P7" s="11" t="inlineStr">
        <is>
          <t>Wärme</t>
        </is>
      </c>
      <c r="Q7" s="11" t="n"/>
      <c r="R7" s="11" t="inlineStr">
        <is>
          <t>Adr: Buchserstrasse 26, 5001 Aarau | Stadtwerk Aarau; Strom+Gas+Wärme</t>
        </is>
      </c>
      <c r="S7" s="11" t="inlineStr">
        <is>
          <t>Stadtwerk</t>
        </is>
      </c>
    </row>
    <row r="8">
      <c r="A8" s="11" t="n">
        <v>5</v>
      </c>
      <c r="B8" s="11" t="inlineStr">
        <is>
          <t>A</t>
        </is>
      </c>
      <c r="C8" s="11" t="inlineStr">
        <is>
          <t>Pharma/Chemie</t>
        </is>
      </c>
      <c r="D8" s="11" t="inlineStr">
        <is>
          <t>ABB Schweiz AG (Werke Baden/Dättwil)</t>
        </is>
      </c>
      <c r="E8" s="11" t="inlineStr">
        <is>
          <t>Baden</t>
        </is>
      </c>
      <c r="F8" s="11" t="inlineStr">
        <is>
          <t>5400</t>
        </is>
      </c>
      <c r="G8" s="11" t="inlineStr">
        <is>
          <t>AG</t>
        </is>
      </c>
      <c r="H8" s="11" t="inlineStr">
        <is>
          <t>Energiemanager Schweiz</t>
        </is>
      </c>
      <c r="I8" s="11" t="inlineStr">
        <is>
          <t>MSc El.-Ing.</t>
        </is>
      </c>
      <c r="J8" s="11" t="inlineStr">
        <is>
          <t>info@ch.abb.com</t>
        </is>
      </c>
      <c r="K8" s="11" t="inlineStr">
        <is>
          <t>+41 58 585 00 00</t>
        </is>
      </c>
      <c r="L8" s="11" t="n"/>
      <c r="M8" s="11" t="inlineStr">
        <is>
          <t>offen</t>
        </is>
      </c>
      <c r="N8" s="11" t="inlineStr">
        <is>
          <t>Energiemanager ABB Baden; FU-PQ-Pitch Q2 2026</t>
        </is>
      </c>
      <c r="O8" s="11" t="inlineStr">
        <is>
          <t>FU-Prüfstände 5 MVA; 3'850 MA CH; PQ; EMV; ISO 50001; 8 CH-Standorte</t>
        </is>
      </c>
      <c r="P8" s="11" t="inlineStr">
        <is>
          <t>Generator</t>
        </is>
      </c>
      <c r="Q8" s="11" t="n"/>
      <c r="R8" s="11" t="inlineStr">
        <is>
          <t>Adr: Bruggerstrasse 72, 5400 Baden | USD 32.85 Mrd. 2024; 104'400 MA ww</t>
        </is>
      </c>
      <c r="S8" s="11" t="inlineStr">
        <is>
          <t>Elektrotechnik</t>
        </is>
      </c>
    </row>
    <row r="9">
      <c r="A9" s="11" t="n">
        <v>6</v>
      </c>
      <c r="B9" s="11" t="inlineStr">
        <is>
          <t>A</t>
        </is>
      </c>
      <c r="C9" s="11" t="inlineStr">
        <is>
          <t>Pharma/Chemie</t>
        </is>
      </c>
      <c r="D9" s="11" t="inlineStr">
        <is>
          <t>Alstom Schweiz AG (Werk Birr)</t>
        </is>
      </c>
      <c r="E9" s="11" t="inlineStr">
        <is>
          <t>Birr</t>
        </is>
      </c>
      <c r="F9" s="11" t="inlineStr">
        <is>
          <t>5242</t>
        </is>
      </c>
      <c r="G9" s="11" t="inlineStr">
        <is>
          <t>AG</t>
        </is>
      </c>
      <c r="H9" s="11" t="inlineStr">
        <is>
          <t>Betriebsleiter Elektro</t>
        </is>
      </c>
      <c r="I9" s="11" t="inlineStr">
        <is>
          <t>Dipl. El.-Ing.</t>
        </is>
      </c>
      <c r="J9" s="11" t="inlineStr">
        <is>
          <t>contact-birr@alstom.com</t>
        </is>
      </c>
      <c r="K9" s="11" t="inlineStr">
        <is>
          <t>+41 56 205 20 00</t>
        </is>
      </c>
      <c r="L9" s="11" t="n"/>
      <c r="M9" s="11" t="inlineStr">
        <is>
          <t>offen</t>
        </is>
      </c>
      <c r="N9" s="11" t="inlineStr">
        <is>
          <t>Betriebsleiter Alstom Birr; Schweiss-PQ-Pitch</t>
        </is>
      </c>
      <c r="O9" s="11" t="inlineStr">
        <is>
          <t>Lokomotivbau: Schweissanlagen + Prüfstände 2 MVA; PQ; EMV</t>
        </is>
      </c>
      <c r="P9" s="11" t="n"/>
      <c r="Q9" s="11" t="n"/>
      <c r="R9" s="11" t="inlineStr">
        <is>
          <t>Adr: Birmigstrasse 73, 5242 Birr | Schweissen = stärkste NRW CH</t>
        </is>
      </c>
      <c r="S9" s="11" t="inlineStr">
        <is>
          <t>Bahnfahrzeuge</t>
        </is>
      </c>
    </row>
    <row r="10">
      <c r="A10" s="11" t="n">
        <v>7</v>
      </c>
      <c r="B10" s="11" t="inlineStr">
        <is>
          <t>A</t>
        </is>
      </c>
      <c r="C10" s="11" t="inlineStr">
        <is>
          <t>Spital/Klinik</t>
        </is>
      </c>
      <c r="D10" s="11" t="inlineStr">
        <is>
          <t>Kantonsspital Aarau AG (KSA)</t>
        </is>
      </c>
      <c r="E10" s="11" t="inlineStr">
        <is>
          <t>Aarau</t>
        </is>
      </c>
      <c r="F10" s="11" t="inlineStr">
        <is>
          <t>5001</t>
        </is>
      </c>
      <c r="G10" s="11" t="inlineStr">
        <is>
          <t>AG</t>
        </is>
      </c>
      <c r="H10" s="11" t="inlineStr">
        <is>
          <t>Leiter TGM</t>
        </is>
      </c>
      <c r="I10" s="11" t="inlineStr">
        <is>
          <t>MSc El.-Ing.</t>
        </is>
      </c>
      <c r="J10" s="11" t="inlineStr">
        <is>
          <t>info@ksa.ch</t>
        </is>
      </c>
      <c r="K10" s="11" t="inlineStr">
        <is>
          <t>+41 62 838 41 41</t>
        </is>
      </c>
      <c r="L10" s="11" t="n"/>
      <c r="M10" s="11" t="inlineStr">
        <is>
          <t>offen</t>
        </is>
      </c>
      <c r="N10" s="11" t="inlineStr">
        <is>
          <t>TGM KSA; Neubau Dreiklang = Baustrom</t>
        </is>
      </c>
      <c r="O10" s="11" t="inlineStr">
        <is>
          <t>NEA 4× 500 kVA; USV OP/ICU; 5'300 MA; Neubau Dreiklang 2026</t>
        </is>
      </c>
      <c r="P10" s="11" t="inlineStr">
        <is>
          <t>USV</t>
        </is>
      </c>
      <c r="Q10" s="11" t="n"/>
      <c r="R10" s="11" t="inlineStr">
        <is>
          <t>Adr: Tellstrasse 25, 5001 Aarau | 5'300 MA; Neubau Dreiklang läuft</t>
        </is>
      </c>
      <c r="S10" s="11" t="inlineStr">
        <is>
          <t>Kantonsspital</t>
        </is>
      </c>
    </row>
    <row r="11">
      <c r="A11" s="11" t="n">
        <v>8</v>
      </c>
      <c r="B11" s="11" t="inlineStr">
        <is>
          <t>A</t>
        </is>
      </c>
      <c r="C11" s="11" t="inlineStr">
        <is>
          <t>Spital/Klinik</t>
        </is>
      </c>
      <c r="D11" s="11" t="inlineStr">
        <is>
          <t>Kantonsspital Baden AG (KSB)</t>
        </is>
      </c>
      <c r="E11" s="11" t="inlineStr">
        <is>
          <t>Baden</t>
        </is>
      </c>
      <c r="F11" s="11" t="inlineStr">
        <is>
          <t>5404</t>
        </is>
      </c>
      <c r="G11" s="11" t="inlineStr">
        <is>
          <t>AG</t>
        </is>
      </c>
      <c r="H11" s="11" t="inlineStr">
        <is>
          <t>Betriebsleiter Technik</t>
        </is>
      </c>
      <c r="I11" s="11" t="inlineStr">
        <is>
          <t>Dipl. El.-Ing.</t>
        </is>
      </c>
      <c r="J11" s="11" t="inlineStr">
        <is>
          <t>info@ksb.ch</t>
        </is>
      </c>
      <c r="K11" s="11" t="inlineStr">
        <is>
          <t>+41 56 486 11 11</t>
        </is>
      </c>
      <c r="L11" s="11" t="n"/>
      <c r="M11" s="11" t="inlineStr">
        <is>
          <t>offen</t>
        </is>
      </c>
      <c r="N11" s="11" t="inlineStr">
        <is>
          <t>Betriebsleiter KSB; Betriebsphase-Vertrag anstreben</t>
        </is>
      </c>
      <c r="O11" s="11" t="inlineStr">
        <is>
          <t>NEA 3× 400 kVA; USV OP; Neubau Gesundheitscampus 2023</t>
        </is>
      </c>
      <c r="P11" s="11" t="inlineStr">
        <is>
          <t>USV</t>
        </is>
      </c>
      <c r="Q11" s="11" t="n"/>
      <c r="R11" s="11" t="inlineStr">
        <is>
          <t>Adr: Im Ergel 1, 5404 Baden | Neubau 2023; ETH-Kooperation</t>
        </is>
      </c>
      <c r="S11" s="11" t="inlineStr">
        <is>
          <t>Kantonsspital</t>
        </is>
      </c>
    </row>
    <row r="12">
      <c r="A12" s="11" t="n">
        <v>9</v>
      </c>
      <c r="B12" s="11" t="inlineStr">
        <is>
          <t>A</t>
        </is>
      </c>
      <c r="C12" s="11" t="inlineStr">
        <is>
          <t>Bau/Infrastruktur</t>
        </is>
      </c>
      <c r="D12" s="11" t="inlineStr">
        <is>
          <t>Kernkraftwerk Beznau AG</t>
        </is>
      </c>
      <c r="E12" s="11" t="inlineStr">
        <is>
          <t>Döttingen</t>
        </is>
      </c>
      <c r="F12" s="11" t="inlineStr">
        <is>
          <t>5312</t>
        </is>
      </c>
      <c r="G12" s="11" t="inlineStr">
        <is>
          <t>AG</t>
        </is>
      </c>
      <c r="H12" s="11" t="inlineStr">
        <is>
          <t>Technischer Leiter</t>
        </is>
      </c>
      <c r="I12" s="11" t="inlineStr">
        <is>
          <t>MSc El.-Ing.</t>
        </is>
      </c>
      <c r="J12" s="11" t="inlineStr">
        <is>
          <t>info@beznau.ch</t>
        </is>
      </c>
      <c r="K12" s="11" t="inlineStr">
        <is>
          <t>+41 56 268 91 11</t>
        </is>
      </c>
      <c r="L12" s="11" t="n"/>
      <c r="M12" s="11" t="inlineStr">
        <is>
          <t>offen</t>
        </is>
      </c>
      <c r="N12" s="11" t="inlineStr">
        <is>
          <t>Technischen Leiter KKW Beznau; Revisionsplanung anfragen</t>
        </is>
      </c>
      <c r="O12" s="11" t="inlineStr">
        <is>
          <t>Revisionen KKW 1+2; mobile MS-Einspeisung 50–100 MVA; Netzersatz</t>
        </is>
      </c>
      <c r="P12" s="11" t="inlineStr">
        <is>
          <t>Generator</t>
        </is>
      </c>
      <c r="Q12" s="11" t="n"/>
      <c r="R12" s="11" t="inlineStr">
        <is>
          <t>Adr: Werkstrasse 1, 5312 Döttingen | Ältestes KKW Welt; grösster MS-Bedarf CH</t>
        </is>
      </c>
      <c r="S12" s="11" t="inlineStr">
        <is>
          <t>Kernkraftwerk</t>
        </is>
      </c>
    </row>
    <row r="13">
      <c r="A13" s="11" t="n">
        <v>10</v>
      </c>
      <c r="B13" s="11" t="inlineStr">
        <is>
          <t>A</t>
        </is>
      </c>
      <c r="C13" s="11" t="inlineStr">
        <is>
          <t>Bau/Infrastruktur</t>
        </is>
      </c>
      <c r="D13" s="11" t="inlineStr">
        <is>
          <t>Kernkraftwerk Leibstadt AG</t>
        </is>
      </c>
      <c r="E13" s="11" t="inlineStr">
        <is>
          <t>Leibstadt</t>
        </is>
      </c>
      <c r="F13" s="11" t="inlineStr">
        <is>
          <t>5325</t>
        </is>
      </c>
      <c r="G13" s="11" t="inlineStr">
        <is>
          <t>AG</t>
        </is>
      </c>
      <c r="H13" s="11" t="inlineStr">
        <is>
          <t>Technischer Leiter</t>
        </is>
      </c>
      <c r="I13" s="11" t="inlineStr">
        <is>
          <t>MSc El.-Ing.</t>
        </is>
      </c>
      <c r="J13" s="11" t="inlineStr">
        <is>
          <t>info@kkl.ch</t>
        </is>
      </c>
      <c r="K13" s="11" t="inlineStr">
        <is>
          <t>+41 56 267 71 11</t>
        </is>
      </c>
      <c r="L13" s="11" t="n"/>
      <c r="M13" s="11" t="inlineStr">
        <is>
          <t>offen</t>
        </is>
      </c>
      <c r="N13" s="11" t="inlineStr">
        <is>
          <t>Technischen Leiter KKL; Revisionsplanung anfragen</t>
        </is>
      </c>
      <c r="O13" s="11" t="inlineStr">
        <is>
          <t>Revisionen KKW; mobile MS-Einspeisung 100+ MVA; Netzersatz</t>
        </is>
      </c>
      <c r="P13" s="11" t="inlineStr">
        <is>
          <t>Generator</t>
        </is>
      </c>
      <c r="Q13" s="11" t="n"/>
      <c r="R13" s="11" t="inlineStr">
        <is>
          <t>Adr: Kernkraftwerk, 5325 Leibstadt | Leistungsstärkstes KKW CH (1'220 MW)</t>
        </is>
      </c>
      <c r="S13" s="11" t="inlineStr">
        <is>
          <t>Kernkraftwerk</t>
        </is>
      </c>
    </row>
    <row r="14">
      <c r="A14" s="11" t="n">
        <v>11</v>
      </c>
      <c r="B14" s="11" t="inlineStr">
        <is>
          <t>A</t>
        </is>
      </c>
      <c r="C14" s="11" t="inlineStr">
        <is>
          <t>Forschung/Bildung</t>
        </is>
      </c>
      <c r="D14" s="11" t="inlineStr">
        <is>
          <t>Paul Scherrer Institut (PSI)</t>
        </is>
      </c>
      <c r="E14" s="11" t="inlineStr">
        <is>
          <t>Villigen</t>
        </is>
      </c>
      <c r="F14" s="11" t="inlineStr">
        <is>
          <t>5232</t>
        </is>
      </c>
      <c r="G14" s="11" t="inlineStr">
        <is>
          <t>AG</t>
        </is>
      </c>
      <c r="H14" s="11" t="inlineStr">
        <is>
          <t>Betriebsleiter Energie</t>
        </is>
      </c>
      <c r="I14" s="11" t="inlineStr">
        <is>
          <t>MSc El.-Ing.</t>
        </is>
      </c>
      <c r="J14" s="11" t="inlineStr">
        <is>
          <t>info@psi.ch</t>
        </is>
      </c>
      <c r="K14" s="11" t="inlineStr">
        <is>
          <t>+41 56 310 21 11</t>
        </is>
      </c>
      <c r="L14" s="11" t="n"/>
      <c r="M14" s="11" t="inlineStr">
        <is>
          <t>offen</t>
        </is>
      </c>
      <c r="N14" s="11" t="inlineStr">
        <is>
          <t>Betriebsleiter Energie PSI; Forschungsstrasse 111 Villigen</t>
        </is>
      </c>
      <c r="O14" s="11" t="inlineStr">
        <is>
          <t>Synchrotron: NEA 10 MVA; USV Beschleuniger; PQ Spezial</t>
        </is>
      </c>
      <c r="P14" s="11" t="inlineStr">
        <is>
          <t>USV</t>
        </is>
      </c>
      <c r="Q14" s="11" t="n"/>
      <c r="R14" s="11" t="inlineStr">
        <is>
          <t>Adr: Forschungsstrasse 111, 5232 Villigen | Grösstes Forschungsinstitut CH</t>
        </is>
      </c>
      <c r="S14" s="11" t="inlineStr">
        <is>
          <t>Forschungsinstitut</t>
        </is>
      </c>
    </row>
    <row r="15">
      <c r="A15" s="11" t="n">
        <v>12</v>
      </c>
      <c r="B15" s="11" t="inlineStr">
        <is>
          <t>A</t>
        </is>
      </c>
      <c r="C15" s="11" t="inlineStr">
        <is>
          <t>Pharma/Chemie</t>
        </is>
      </c>
      <c r="D15" s="11" t="inlineStr">
        <is>
          <t>Siegfried AG (Werk Zofingen)</t>
        </is>
      </c>
      <c r="E15" s="11" t="inlineStr">
        <is>
          <t>Zofingen</t>
        </is>
      </c>
      <c r="F15" s="11" t="inlineStr">
        <is>
          <t>4800</t>
        </is>
      </c>
      <c r="G15" s="11" t="inlineStr">
        <is>
          <t>AG</t>
        </is>
      </c>
      <c r="H15" s="11" t="inlineStr">
        <is>
          <t>Energiemanager</t>
        </is>
      </c>
      <c r="I15" s="11" t="inlineStr">
        <is>
          <t>MSc Chemie</t>
        </is>
      </c>
      <c r="J15" s="11" t="inlineStr">
        <is>
          <t>info@siegfried.ch</t>
        </is>
      </c>
      <c r="K15" s="11" t="inlineStr">
        <is>
          <t>+41 62 746 11 11</t>
        </is>
      </c>
      <c r="L15" s="11" t="n"/>
      <c r="M15" s="11" t="inlineStr">
        <is>
          <t>offen</t>
        </is>
      </c>
      <c r="N15" s="11" t="inlineStr">
        <is>
          <t>Energiemanager Siegfried Zofingen; GMP-Pitch</t>
        </is>
      </c>
      <c r="O15" s="11" t="inlineStr">
        <is>
          <t>Wirkstoff GMP: NEA 2 MVA; USV; PQ Reinraum; ISO 50001</t>
        </is>
      </c>
      <c r="P15" s="11" t="inlineStr">
        <is>
          <t>USV</t>
        </is>
      </c>
      <c r="Q15" s="11" t="n"/>
      <c r="R15" s="11" t="inlineStr">
        <is>
          <t>Adr: Untere Brühlstrasse 4, 4800 Zofingen | GMP Wirkstoff</t>
        </is>
      </c>
      <c r="S15" s="11" t="inlineStr">
        <is>
          <t>Spezialchemie</t>
        </is>
      </c>
    </row>
    <row r="16">
      <c r="A16" s="11" t="n">
        <v>13</v>
      </c>
      <c r="B16" s="11" t="inlineStr">
        <is>
          <t>A</t>
        </is>
      </c>
      <c r="C16" s="11" t="inlineStr">
        <is>
          <t>Pharma/Chemie</t>
        </is>
      </c>
      <c r="D16" s="11" t="inlineStr">
        <is>
          <t>DSM-Firmenich (Werk Sisseln)</t>
        </is>
      </c>
      <c r="E16" s="11" t="inlineStr">
        <is>
          <t>Sisseln</t>
        </is>
      </c>
      <c r="F16" s="11" t="inlineStr">
        <is>
          <t>4334</t>
        </is>
      </c>
      <c r="G16" s="11" t="inlineStr">
        <is>
          <t>AG</t>
        </is>
      </c>
      <c r="H16" s="11" t="inlineStr">
        <is>
          <t>Betriebsleiter Technik</t>
        </is>
      </c>
      <c r="I16" s="11" t="inlineStr">
        <is>
          <t>MSc Chemie</t>
        </is>
      </c>
      <c r="J16" s="11" t="inlineStr">
        <is>
          <t>info@dsm-firmenich.com</t>
        </is>
      </c>
      <c r="K16" s="11" t="inlineStr">
        <is>
          <t>+41 62 866 11 11</t>
        </is>
      </c>
      <c r="L16" s="11" t="n"/>
      <c r="M16" s="11" t="inlineStr">
        <is>
          <t>offen</t>
        </is>
      </c>
      <c r="N16" s="11" t="inlineStr">
        <is>
          <t>Betriebsleiter DSM Sisseln; Kälte-CRM prüfen</t>
        </is>
      </c>
      <c r="O16" s="11" t="inlineStr">
        <is>
          <t>Vitamin GMP: NEA 3 MVA; USV; PQ Reinraum; ISO 50001</t>
        </is>
      </c>
      <c r="P16" s="11" t="inlineStr">
        <is>
          <t>USV</t>
        </is>
      </c>
      <c r="Q16" s="11" t="n"/>
      <c r="R16" s="11" t="inlineStr">
        <is>
          <t>Adr: Hauptstrasse 4, 4334 Sisseln | Vitamin-Weltproduktion; GMP</t>
        </is>
      </c>
      <c r="S16" s="11" t="inlineStr">
        <is>
          <t>Vitamine/Pharma</t>
        </is>
      </c>
    </row>
    <row r="17">
      <c r="A17" s="11" t="n">
        <v>14</v>
      </c>
      <c r="B17" s="11" t="inlineStr">
        <is>
          <t>A</t>
        </is>
      </c>
      <c r="C17" s="11" t="inlineStr">
        <is>
          <t>Pharma/Chemie</t>
        </is>
      </c>
      <c r="D17" s="11" t="inlineStr">
        <is>
          <t>Dottikon ES Holding AG</t>
        </is>
      </c>
      <c r="E17" s="11" t="inlineStr">
        <is>
          <t>Dottikon</t>
        </is>
      </c>
      <c r="F17" s="11" t="inlineStr">
        <is>
          <t>5605</t>
        </is>
      </c>
      <c r="G17" s="11" t="inlineStr">
        <is>
          <t>AG</t>
        </is>
      </c>
      <c r="H17" s="11" t="inlineStr">
        <is>
          <t>Betriebsleiter Elektro</t>
        </is>
      </c>
      <c r="I17" s="11" t="inlineStr">
        <is>
          <t>MSc Chemie</t>
        </is>
      </c>
      <c r="J17" s="11" t="inlineStr">
        <is>
          <t>info@dottikon.com</t>
        </is>
      </c>
      <c r="K17" s="11" t="inlineStr">
        <is>
          <t>+41 56 616 81 11</t>
        </is>
      </c>
      <c r="L17" s="11" t="n"/>
      <c r="M17" s="11" t="inlineStr">
        <is>
          <t>offen</t>
        </is>
      </c>
      <c r="N17" s="11" t="inlineStr">
        <is>
          <t>Betriebsleiter Dottikon ES; GMP-Pitch</t>
        </is>
      </c>
      <c r="O17" s="11" t="inlineStr">
        <is>
          <t>Feinchemie GMP: NEA 1.5 MVA; USV; PQ Reaktoren; +18% Wachstum 2024</t>
        </is>
      </c>
      <c r="P17" s="11" t="inlineStr">
        <is>
          <t>USV</t>
        </is>
      </c>
      <c r="Q17" s="11" t="n"/>
      <c r="R17" s="11" t="inlineStr">
        <is>
          <t>Adr: Industriestrasse 17, 5605 Dottikon | CHF 385 Mio. Umsatz; 18% Wachstum</t>
        </is>
      </c>
      <c r="S17" s="11" t="inlineStr">
        <is>
          <t>Feinchemie</t>
        </is>
      </c>
    </row>
    <row r="18">
      <c r="A18" s="11" t="n">
        <v>15</v>
      </c>
      <c r="B18" s="11" t="inlineStr">
        <is>
          <t>A</t>
        </is>
      </c>
      <c r="C18" s="11" t="inlineStr">
        <is>
          <t>Pharma/Chemie</t>
        </is>
      </c>
      <c r="D18" s="11" t="inlineStr">
        <is>
          <t>Franke Holding AG</t>
        </is>
      </c>
      <c r="E18" s="11" t="inlineStr">
        <is>
          <t>Aarburg</t>
        </is>
      </c>
      <c r="F18" s="11" t="inlineStr">
        <is>
          <t>4663</t>
        </is>
      </c>
      <c r="G18" s="11" t="inlineStr">
        <is>
          <t>AG</t>
        </is>
      </c>
      <c r="H18" s="11" t="inlineStr">
        <is>
          <t>Betriebsleiter Technik</t>
        </is>
      </c>
      <c r="I18" s="11" t="inlineStr">
        <is>
          <t>Dipl. El.-Ing.</t>
        </is>
      </c>
      <c r="J18" s="11" t="inlineStr">
        <is>
          <t>info@franke.com</t>
        </is>
      </c>
      <c r="K18" s="11" t="inlineStr">
        <is>
          <t>+41 62 787 31 31</t>
        </is>
      </c>
      <c r="L18" s="11" t="n"/>
      <c r="M18" s="11" t="inlineStr">
        <is>
          <t>offen</t>
        </is>
      </c>
      <c r="N18" s="11" t="inlineStr">
        <is>
          <t>Betriebsleiter Franke Aarburg; FU-PQ-Pitch</t>
        </is>
      </c>
      <c r="O18" s="11" t="inlineStr">
        <is>
          <t>Küchensysteme: NEA 1 MVA; FU-Pressanlagen; PQ; ISO 50001</t>
        </is>
      </c>
      <c r="P18" s="11" t="n"/>
      <c r="Q18" s="11" t="n"/>
      <c r="R18" s="11" t="inlineStr">
        <is>
          <t>Adr: Franke-Strasse 2, 4663 Aarburg | Weltführer Küchensysteme</t>
        </is>
      </c>
      <c r="S18" s="11" t="inlineStr">
        <is>
          <t>Küchen/Kaffee</t>
        </is>
      </c>
    </row>
    <row r="19">
      <c r="A19" s="11" t="n">
        <v>16</v>
      </c>
      <c r="B19" s="11" t="inlineStr">
        <is>
          <t>A</t>
        </is>
      </c>
      <c r="C19" s="11" t="inlineStr">
        <is>
          <t>Pharma/Chemie</t>
        </is>
      </c>
      <c r="D19" s="11" t="inlineStr">
        <is>
          <t>Delica AG (Nestlé FREY)</t>
        </is>
      </c>
      <c r="E19" s="11" t="inlineStr">
        <is>
          <t>Buchs AG</t>
        </is>
      </c>
      <c r="F19" s="11" t="inlineStr">
        <is>
          <t>5033</t>
        </is>
      </c>
      <c r="G19" s="11" t="inlineStr">
        <is>
          <t>AG</t>
        </is>
      </c>
      <c r="H19" s="11" t="inlineStr">
        <is>
          <t>Betriebsleiter Technik</t>
        </is>
      </c>
      <c r="I19" s="11" t="inlineStr">
        <is>
          <t>Techniker</t>
        </is>
      </c>
      <c r="J19" s="11" t="inlineStr">
        <is>
          <t>info@delica.ch</t>
        </is>
      </c>
      <c r="K19" s="11" t="inlineStr">
        <is>
          <t>+41 62 837 61 11</t>
        </is>
      </c>
      <c r="L19" s="11" t="n"/>
      <c r="M19" s="11" t="inlineStr">
        <is>
          <t>offen</t>
        </is>
      </c>
      <c r="N19" s="11" t="inlineStr">
        <is>
          <t>MiT-CRM: Delica als Kältekunde prüfen</t>
        </is>
      </c>
      <c r="O19" s="11" t="inlineStr">
        <is>
          <t>Schokolade FREY: NEA Kühlkette 1 MVA; FU-Temperierer; ISO 50001</t>
        </is>
      </c>
      <c r="P19" s="11" t="inlineStr">
        <is>
          <t>Kälte</t>
        </is>
      </c>
      <c r="Q19" s="11" t="n"/>
      <c r="R19" s="11" t="inlineStr">
        <is>
          <t>Adr: Javastrasse 20, 5033 Buchs AG | Grösster Schokoladenproduzent CH</t>
        </is>
      </c>
      <c r="S19" s="11" t="inlineStr">
        <is>
          <t>Schokolade</t>
        </is>
      </c>
    </row>
    <row r="20">
      <c r="A20" s="11" t="n">
        <v>17</v>
      </c>
      <c r="B20" s="11" t="inlineStr">
        <is>
          <t>A</t>
        </is>
      </c>
      <c r="C20" s="11" t="inlineStr">
        <is>
          <t>Pharma/Chemie</t>
        </is>
      </c>
      <c r="D20" s="11" t="inlineStr">
        <is>
          <t>Feldschlösschen Getränke AG</t>
        </is>
      </c>
      <c r="E20" s="11" t="inlineStr">
        <is>
          <t>Rheinfelden</t>
        </is>
      </c>
      <c r="F20" s="11" t="inlineStr">
        <is>
          <t>4310</t>
        </is>
      </c>
      <c r="G20" s="11" t="inlineStr">
        <is>
          <t>AG</t>
        </is>
      </c>
      <c r="H20" s="11" t="inlineStr">
        <is>
          <t>Betriebsleiter Technik</t>
        </is>
      </c>
      <c r="I20" s="11" t="inlineStr">
        <is>
          <t>Dipl. El.-Ing.</t>
        </is>
      </c>
      <c r="J20" s="11" t="inlineStr">
        <is>
          <t>info@feldschloesschen.ch</t>
        </is>
      </c>
      <c r="K20" s="11" t="inlineStr">
        <is>
          <t>+41 61 835 22 22</t>
        </is>
      </c>
      <c r="L20" s="11" t="n"/>
      <c r="M20" s="11" t="inlineStr">
        <is>
          <t>offen</t>
        </is>
      </c>
      <c r="N20" s="11" t="inlineStr">
        <is>
          <t>MiT-CRM: Feldschlösschen als Kältekunde prüfen</t>
        </is>
      </c>
      <c r="O20" s="11" t="inlineStr">
        <is>
          <t>Brauerei: NEA Kühlkette 2 MVA; FU-Abfüller; ISO 50001</t>
        </is>
      </c>
      <c r="P20" s="11" t="inlineStr">
        <is>
          <t>Kälte</t>
        </is>
      </c>
      <c r="Q20" s="11" t="n"/>
      <c r="R20" s="11" t="inlineStr">
        <is>
          <t>Adr: Theophil Roniger-Strasse, 4310 Rheinfelden | Grösste Brauerei CH</t>
        </is>
      </c>
      <c r="S20" s="11" t="inlineStr">
        <is>
          <t>Brauerei</t>
        </is>
      </c>
    </row>
    <row r="21">
      <c r="A21" s="11" t="n">
        <v>18</v>
      </c>
      <c r="B21" s="11" t="inlineStr">
        <is>
          <t>A</t>
        </is>
      </c>
      <c r="C21" s="11" t="inlineStr">
        <is>
          <t>Pharma/Chemie</t>
        </is>
      </c>
      <c r="D21" s="11" t="inlineStr">
        <is>
          <t>Lonza AG (Kaiseraugst)</t>
        </is>
      </c>
      <c r="E21" s="11" t="inlineStr">
        <is>
          <t>Kaiseraugst</t>
        </is>
      </c>
      <c r="F21" s="11" t="inlineStr">
        <is>
          <t>4303</t>
        </is>
      </c>
      <c r="G21" s="11" t="inlineStr">
        <is>
          <t>AG</t>
        </is>
      </c>
      <c r="H21" s="11" t="inlineStr">
        <is>
          <t>Energiemanager</t>
        </is>
      </c>
      <c r="I21" s="11" t="inlineStr">
        <is>
          <t>MSc Chemie</t>
        </is>
      </c>
      <c r="J21" s="11" t="inlineStr">
        <is>
          <t>energy@lonza.com</t>
        </is>
      </c>
      <c r="K21" s="11" t="inlineStr">
        <is>
          <t>+41 61 316 12 34</t>
        </is>
      </c>
      <c r="L21" s="11" t="n"/>
      <c r="M21" s="11" t="inlineStr">
        <is>
          <t>offen</t>
        </is>
      </c>
      <c r="N21" s="11" t="inlineStr">
        <is>
          <t>Energiemanager Lonza Kaiseraugst; GMP-Pitch</t>
        </is>
      </c>
      <c r="O21" s="11" t="inlineStr">
        <is>
          <t>Biopharma GMP: NEA 4 MVA; USV; PQ Reinräume</t>
        </is>
      </c>
      <c r="P21" s="11" t="inlineStr">
        <is>
          <t>USV</t>
        </is>
      </c>
      <c r="Q21" s="11" t="n"/>
      <c r="R21" s="11" t="inlineStr">
        <is>
          <t>Adr: Lonzastrasse 1, 4303 Kaiseraugst | GMP-Biopharma; AG/BL-Grenze</t>
        </is>
      </c>
      <c r="S21" s="11" t="inlineStr">
        <is>
          <t>Biopharma</t>
        </is>
      </c>
    </row>
    <row r="22">
      <c r="A22" s="11" t="n">
        <v>19</v>
      </c>
      <c r="B22" s="11" t="inlineStr">
        <is>
          <t>A</t>
        </is>
      </c>
      <c r="C22" s="11" t="inlineStr">
        <is>
          <t>Bau/Infrastruktur</t>
        </is>
      </c>
      <c r="D22" s="11" t="inlineStr">
        <is>
          <t>ARA Region Aarau AG</t>
        </is>
      </c>
      <c r="E22" s="11" t="inlineStr">
        <is>
          <t>Aarau</t>
        </is>
      </c>
      <c r="F22" s="11" t="inlineStr">
        <is>
          <t>5000</t>
        </is>
      </c>
      <c r="G22" s="11" t="inlineStr">
        <is>
          <t>AG</t>
        </is>
      </c>
      <c r="H22" s="11" t="inlineStr">
        <is>
          <t>Betriebsleiter ARA</t>
        </is>
      </c>
      <c r="I22" s="11" t="inlineStr">
        <is>
          <t>Techniker</t>
        </is>
      </c>
      <c r="J22" s="11" t="inlineStr">
        <is>
          <t>info@ara-aarau.ch</t>
        </is>
      </c>
      <c r="K22" s="11" t="inlineStr">
        <is>
          <t>+41 62 824 44 80</t>
        </is>
      </c>
      <c r="L22" s="11" t="n"/>
      <c r="M22" s="11" t="inlineStr">
        <is>
          <t>offen</t>
        </is>
      </c>
      <c r="N22" s="11" t="inlineStr">
        <is>
          <t>Betriebsleiter ARA Aarau; simap.ch Alert AG</t>
        </is>
      </c>
      <c r="O22" s="11" t="inlineStr">
        <is>
          <t>NEA-Pflicht 1× 500 kVA; Aare-Gewässerschutz; 24h</t>
        </is>
      </c>
      <c r="P22" s="11" t="inlineStr">
        <is>
          <t>Generator</t>
        </is>
      </c>
      <c r="Q22" s="11" t="n"/>
      <c r="R22" s="11" t="inlineStr">
        <is>
          <t>Adr: Aarestrasse 130, 5000 Aarau | Aare-Schutz; Ausschreibungspflicht</t>
        </is>
      </c>
      <c r="S22" s="11" t="inlineStr">
        <is>
          <t>ARA</t>
        </is>
      </c>
    </row>
    <row r="23">
      <c r="A23" s="11" t="n">
        <v>20</v>
      </c>
      <c r="B23" s="11" t="inlineStr">
        <is>
          <t>B</t>
        </is>
      </c>
      <c r="C23" s="11" t="inlineStr">
        <is>
          <t>Pharma/Chemie</t>
        </is>
      </c>
      <c r="D23" s="11" t="inlineStr">
        <is>
          <t>Rivella AG</t>
        </is>
      </c>
      <c r="E23" s="11" t="inlineStr">
        <is>
          <t>Rothrist</t>
        </is>
      </c>
      <c r="F23" s="11" t="inlineStr">
        <is>
          <t>4852</t>
        </is>
      </c>
      <c r="G23" s="11" t="inlineStr">
        <is>
          <t>AG</t>
        </is>
      </c>
      <c r="H23" s="11" t="inlineStr">
        <is>
          <t>Betriebsleiter Technik</t>
        </is>
      </c>
      <c r="I23" s="11" t="inlineStr">
        <is>
          <t>Techniker</t>
        </is>
      </c>
      <c r="J23" s="11" t="inlineStr">
        <is>
          <t>info@rivella.ch</t>
        </is>
      </c>
      <c r="K23" s="11" t="inlineStr">
        <is>
          <t>+41 62 785 41 11</t>
        </is>
      </c>
      <c r="L23" s="11" t="n"/>
      <c r="M23" s="11" t="inlineStr">
        <is>
          <t>offen</t>
        </is>
      </c>
      <c r="N23" s="11" t="inlineStr">
        <is>
          <t>MiT-CRM: Rivella als Kältekunde prüfen</t>
        </is>
      </c>
      <c r="O23" s="11" t="inlineStr">
        <is>
          <t>Getränke: NEA Kühlkette 300 kVA; FU-Abfüllanlagen</t>
        </is>
      </c>
      <c r="P23" s="11" t="inlineStr">
        <is>
          <t>Kälte</t>
        </is>
      </c>
      <c r="Q23" s="11" t="n"/>
      <c r="R23" s="11" t="inlineStr">
        <is>
          <t>Adr: Sportstrasse 2, 4852 Rothrist | Nationalgetränk CH; Kühlkette</t>
        </is>
      </c>
      <c r="S23" s="11" t="inlineStr">
        <is>
          <t>Nahrungsmittel</t>
        </is>
      </c>
    </row>
    <row r="24">
      <c r="A24" s="11" t="n">
        <v>21</v>
      </c>
      <c r="B24" s="11" t="inlineStr">
        <is>
          <t>B</t>
        </is>
      </c>
      <c r="C24" s="11" t="inlineStr">
        <is>
          <t>Pharma/Chemie</t>
        </is>
      </c>
      <c r="D24" s="11" t="inlineStr">
        <is>
          <t>Hero AG</t>
        </is>
      </c>
      <c r="E24" s="11" t="inlineStr">
        <is>
          <t>Brugg</t>
        </is>
      </c>
      <c r="F24" s="11" t="inlineStr">
        <is>
          <t>5201</t>
        </is>
      </c>
      <c r="G24" s="11" t="inlineStr">
        <is>
          <t>AG</t>
        </is>
      </c>
      <c r="H24" s="11" t="inlineStr">
        <is>
          <t>Betriebsleiter Technik</t>
        </is>
      </c>
      <c r="I24" s="11" t="inlineStr">
        <is>
          <t>Techniker</t>
        </is>
      </c>
      <c r="J24" s="11" t="inlineStr">
        <is>
          <t>info@hero.ch</t>
        </is>
      </c>
      <c r="K24" s="11" t="inlineStr">
        <is>
          <t>+41 56 441 21 21</t>
        </is>
      </c>
      <c r="L24" s="11" t="n"/>
      <c r="M24" s="11" t="inlineStr">
        <is>
          <t>offen</t>
        </is>
      </c>
      <c r="N24" s="11" t="inlineStr">
        <is>
          <t>MiT-CRM: Hero Brugg als Kältekunde prüfen</t>
        </is>
      </c>
      <c r="O24" s="11" t="inlineStr">
        <is>
          <t>Nahrungsmittel: NEA Kühlkette 300 kVA; FU-Abfüller</t>
        </is>
      </c>
      <c r="P24" s="11" t="inlineStr">
        <is>
          <t>Kälte</t>
        </is>
      </c>
      <c r="Q24" s="11" t="n"/>
      <c r="R24" s="11" t="inlineStr">
        <is>
          <t>Adr: Lindenstrasse 33, 5201 Brugg | Babynahrung+Konfitüren; Kühlkette</t>
        </is>
      </c>
      <c r="S24" s="11" t="inlineStr">
        <is>
          <t>Nahrungsmittel</t>
        </is>
      </c>
    </row>
    <row r="25">
      <c r="A25" s="11" t="n">
        <v>22</v>
      </c>
      <c r="B25" s="11" t="inlineStr">
        <is>
          <t>B</t>
        </is>
      </c>
      <c r="C25" s="11" t="inlineStr">
        <is>
          <t>Pharma/Chemie</t>
        </is>
      </c>
      <c r="D25" s="11" t="inlineStr">
        <is>
          <t>Novartis F&amp;E Stein AG</t>
        </is>
      </c>
      <c r="E25" s="11" t="inlineStr">
        <is>
          <t>Stein AG</t>
        </is>
      </c>
      <c r="F25" s="11" t="inlineStr">
        <is>
          <t>4153</t>
        </is>
      </c>
      <c r="G25" s="11" t="inlineStr">
        <is>
          <t>AG</t>
        </is>
      </c>
      <c r="H25" s="11" t="inlineStr">
        <is>
          <t>Facility Manager</t>
        </is>
      </c>
      <c r="I25" s="11" t="inlineStr">
        <is>
          <t>MSc El.-Ing.</t>
        </is>
      </c>
      <c r="J25" s="11" t="inlineStr">
        <is>
          <t>info@novartis.com</t>
        </is>
      </c>
      <c r="K25" s="11" t="inlineStr">
        <is>
          <t>+41 61 705 11 11</t>
        </is>
      </c>
      <c r="L25" s="11" t="n"/>
      <c r="M25" s="11" t="inlineStr">
        <is>
          <t>offen</t>
        </is>
      </c>
      <c r="N25" s="11" t="inlineStr">
        <is>
          <t>Facility Manager Novartis Stein; GMP-Pitch</t>
        </is>
      </c>
      <c r="O25" s="11" t="inlineStr">
        <is>
          <t>F&amp;E GMP: NEA 2 MVA; USV Labors; PQ Reinräume</t>
        </is>
      </c>
      <c r="P25" s="11" t="inlineStr">
        <is>
          <t>USV</t>
        </is>
      </c>
      <c r="Q25" s="11" t="n"/>
      <c r="R25" s="11" t="inlineStr">
        <is>
          <t>Adr: Lichstrasse 35, 4153 Stein AG | Novartis F&amp;E; GMP</t>
        </is>
      </c>
      <c r="S25" s="11" t="inlineStr">
        <is>
          <t>Forschung Pharma</t>
        </is>
      </c>
    </row>
    <row r="26">
      <c r="A26" s="11" t="n">
        <v>23</v>
      </c>
      <c r="B26" s="11" t="inlineStr">
        <is>
          <t>B</t>
        </is>
      </c>
      <c r="C26" s="11" t="inlineStr">
        <is>
          <t>Rechenzentrum/IT</t>
        </is>
      </c>
      <c r="D26" s="11" t="inlineStr">
        <is>
          <t>Aargauische Kantonalbank (AKB)</t>
        </is>
      </c>
      <c r="E26" s="11" t="inlineStr">
        <is>
          <t>Aarau</t>
        </is>
      </c>
      <c r="F26" s="11" t="inlineStr">
        <is>
          <t>5001</t>
        </is>
      </c>
      <c r="G26" s="11" t="inlineStr">
        <is>
          <t>AG</t>
        </is>
      </c>
      <c r="H26" s="11" t="inlineStr">
        <is>
          <t>Leiter IT-Infrastruktur</t>
        </is>
      </c>
      <c r="I26" s="11" t="inlineStr">
        <is>
          <t>MSc Inf.</t>
        </is>
      </c>
      <c r="J26" s="11" t="inlineStr">
        <is>
          <t>info@akb.ch</t>
        </is>
      </c>
      <c r="K26" s="11" t="inlineStr">
        <is>
          <t>+41 62 835 77 77</t>
        </is>
      </c>
      <c r="L26" s="11" t="n"/>
      <c r="M26" s="11" t="inlineStr">
        <is>
          <t>offen</t>
        </is>
      </c>
      <c r="N26" s="11" t="inlineStr">
        <is>
          <t>IT-Infrastruktur AKB; FINMA-Argument</t>
        </is>
      </c>
      <c r="O26" s="11" t="inlineStr">
        <is>
          <t>USV RZ 2× 200 kVA; NEA; PQ FINMA</t>
        </is>
      </c>
      <c r="P26" s="11" t="inlineStr">
        <is>
          <t>USV</t>
        </is>
      </c>
      <c r="Q26" s="11" t="n"/>
      <c r="R26" s="11" t="inlineStr">
        <is>
          <t>Adr: Bahnhofstrasse 58, 5001 Aarau | Kantonalbank AG; FINMA</t>
        </is>
      </c>
      <c r="S26" s="11" t="inlineStr">
        <is>
          <t>Kantonalbank</t>
        </is>
      </c>
    </row>
    <row r="27">
      <c r="A27" s="11" t="n">
        <v>24</v>
      </c>
      <c r="B27" s="11" t="inlineStr">
        <is>
          <t>B</t>
        </is>
      </c>
      <c r="C27" s="11" t="inlineStr">
        <is>
          <t>Spital/Klinik</t>
        </is>
      </c>
      <c r="D27" s="11" t="inlineStr">
        <is>
          <t>Spital Zofingen AG</t>
        </is>
      </c>
      <c r="E27" s="11" t="inlineStr">
        <is>
          <t>Zofingen</t>
        </is>
      </c>
      <c r="F27" s="11" t="inlineStr">
        <is>
          <t>4800</t>
        </is>
      </c>
      <c r="G27" s="11" t="inlineStr">
        <is>
          <t>AG</t>
        </is>
      </c>
      <c r="H27" s="11" t="inlineStr">
        <is>
          <t>Betriebsleiter</t>
        </is>
      </c>
      <c r="I27" s="11" t="inlineStr">
        <is>
          <t>Techniker</t>
        </is>
      </c>
      <c r="J27" s="11" t="inlineStr">
        <is>
          <t>info@spitalzofingen.ch</t>
        </is>
      </c>
      <c r="K27" s="11" t="inlineStr">
        <is>
          <t>+41 62 746 15 15</t>
        </is>
      </c>
      <c r="L27" s="11" t="n"/>
      <c r="M27" s="11" t="inlineStr">
        <is>
          <t>offen</t>
        </is>
      </c>
      <c r="N27" s="11" t="inlineStr">
        <is>
          <t>Betriebsleiter Spital Zofingen; simap.ch AG</t>
        </is>
      </c>
      <c r="O27" s="11" t="inlineStr">
        <is>
          <t>NEA 1× 300 kVA; USV; Swiss Medical Network</t>
        </is>
      </c>
      <c r="P27" s="11" t="inlineStr">
        <is>
          <t>USV</t>
        </is>
      </c>
      <c r="Q27" s="11" t="n"/>
      <c r="R27" s="11" t="inlineStr">
        <is>
          <t>Adr: Mühlethalstrasse 27, 4800 Zofingen | Swiss Medical Network</t>
        </is>
      </c>
      <c r="S27" s="11" t="inlineStr">
        <is>
          <t>Spital</t>
        </is>
      </c>
    </row>
    <row r="28">
      <c r="A28" s="11" t="n">
        <v>25</v>
      </c>
      <c r="B28" s="11" t="inlineStr">
        <is>
          <t>B</t>
        </is>
      </c>
      <c r="C28" s="11" t="inlineStr">
        <is>
          <t>Gemeinde/Öffentlich</t>
        </is>
      </c>
      <c r="D28" s="11" t="inlineStr">
        <is>
          <t>Kanton Aargau (Hochbauamt)</t>
        </is>
      </c>
      <c r="E28" s="11" t="inlineStr">
        <is>
          <t>Aarau</t>
        </is>
      </c>
      <c r="F28" s="11" t="inlineStr">
        <is>
          <t>5001</t>
        </is>
      </c>
      <c r="G28" s="11" t="inlineStr">
        <is>
          <t>AG</t>
        </is>
      </c>
      <c r="H28" s="11" t="inlineStr">
        <is>
          <t>Leiter Hochbauamt</t>
        </is>
      </c>
      <c r="I28" s="11" t="inlineStr">
        <is>
          <t>Kantonsbauingenieur</t>
        </is>
      </c>
      <c r="J28" s="11" t="inlineStr">
        <is>
          <t>hba@ag.ch</t>
        </is>
      </c>
      <c r="K28" s="11" t="inlineStr">
        <is>
          <t>+41 62 835 24 00</t>
        </is>
      </c>
      <c r="L28" s="11" t="n"/>
      <c r="M28" s="11" t="inlineStr">
        <is>
          <t>offen</t>
        </is>
      </c>
      <c r="N28" s="11" t="inlineStr">
        <is>
          <t>Hochbauamt AG; simap.ch Alert Kanton AG</t>
        </is>
      </c>
      <c r="O28" s="11" t="inlineStr">
        <is>
          <t>NEA kantonale Gebäude; 200+ Liegenschaften; Rahmenvertrag</t>
        </is>
      </c>
      <c r="P28" s="11" t="n"/>
      <c r="Q28" s="11" t="n"/>
      <c r="R28" s="11" t="inlineStr">
        <is>
          <t>Adr: Entfelderstrasse 22, 5001 Aarau | Industriekanton Nr. 1 CH</t>
        </is>
      </c>
      <c r="S28" s="11" t="inlineStr">
        <is>
          <t>Kanton</t>
        </is>
      </c>
    </row>
    <row r="29">
      <c r="A29" s="11" t="n">
        <v>26</v>
      </c>
      <c r="B29" s="11" t="inlineStr">
        <is>
          <t>B</t>
        </is>
      </c>
      <c r="C29" s="11" t="inlineStr">
        <is>
          <t>Bau/Infrastruktur</t>
        </is>
      </c>
      <c r="D29" s="11" t="inlineStr">
        <is>
          <t>Eniwa AG RZ Buchs</t>
        </is>
      </c>
      <c r="E29" s="11" t="inlineStr">
        <is>
          <t>Aarau</t>
        </is>
      </c>
      <c r="F29" s="11" t="inlineStr">
        <is>
          <t>5000</t>
        </is>
      </c>
      <c r="G29" s="11" t="inlineStr">
        <is>
          <t>AG</t>
        </is>
      </c>
      <c r="H29" s="11" t="inlineStr">
        <is>
          <t>Betriebsleiter RZ</t>
        </is>
      </c>
      <c r="I29" s="11" t="inlineStr">
        <is>
          <t>Techniker</t>
        </is>
      </c>
      <c r="J29" s="11" t="inlineStr">
        <is>
          <t>info@eniwa.ch</t>
        </is>
      </c>
      <c r="K29" s="11" t="inlineStr">
        <is>
          <t>+41 62 838 91 11</t>
        </is>
      </c>
      <c r="L29" s="11" t="n"/>
      <c r="M29" s="11" t="inlineStr">
        <is>
          <t>offen</t>
        </is>
      </c>
      <c r="N29" s="11" t="inlineStr">
        <is>
          <t>Betriebsleiter Eniwa RZ Buchs kontaktieren</t>
        </is>
      </c>
      <c r="O29" s="11" t="inlineStr">
        <is>
          <t>RZ Buchs: 200 m² ausgebaut 2023; NEA; USV; PQ</t>
        </is>
      </c>
      <c r="P29" s="11" t="inlineStr">
        <is>
          <t>USV</t>
        </is>
      </c>
      <c r="Q29" s="11" t="n"/>
      <c r="R29" s="11" t="inlineStr">
        <is>
          <t>Adr: Obere Vorstadt 2, 5000 Aarau | RZ auf 200 m² ausgebaut 2023</t>
        </is>
      </c>
      <c r="S29" s="11" t="inlineStr">
        <is>
          <t>Rechenzentrum</t>
        </is>
      </c>
    </row>
    <row r="30">
      <c r="A30" s="11" t="n">
        <v>27</v>
      </c>
      <c r="B30" s="11" t="inlineStr">
        <is>
          <t>B</t>
        </is>
      </c>
      <c r="C30" s="11" t="inlineStr">
        <is>
          <t>Spital/Klinik</t>
        </is>
      </c>
      <c r="D30" s="11" t="inlineStr">
        <is>
          <t>RehaClinic AG Baden</t>
        </is>
      </c>
      <c r="E30" s="11" t="inlineStr">
        <is>
          <t>Baden</t>
        </is>
      </c>
      <c r="F30" s="11" t="inlineStr">
        <is>
          <t>5404</t>
        </is>
      </c>
      <c r="G30" s="11" t="inlineStr">
        <is>
          <t>AG</t>
        </is>
      </c>
      <c r="H30" s="11" t="inlineStr">
        <is>
          <t>Betriebsleiter</t>
        </is>
      </c>
      <c r="I30" s="11" t="inlineStr">
        <is>
          <t>Techniker</t>
        </is>
      </c>
      <c r="J30" s="11" t="inlineStr">
        <is>
          <t>info@rehaclinic.ch</t>
        </is>
      </c>
      <c r="K30" s="11" t="inlineStr">
        <is>
          <t>+41 56 485 00 00</t>
        </is>
      </c>
      <c r="L30" s="11" t="n"/>
      <c r="M30" s="11" t="inlineStr">
        <is>
          <t>offen</t>
        </is>
      </c>
      <c r="N30" s="11" t="inlineStr">
        <is>
          <t>Betriebsleiter RehaClinic Baden kontaktieren</t>
        </is>
      </c>
      <c r="O30" s="11" t="inlineStr">
        <is>
          <t>Reha-Klinik: NEA 1× 200 kVA; USV; mehrere AG-Standorte</t>
        </is>
      </c>
      <c r="P30" s="11" t="inlineStr">
        <is>
          <t>USV</t>
        </is>
      </c>
      <c r="Q30" s="11" t="n"/>
      <c r="R30" s="11" t="inlineStr">
        <is>
          <t>Adr: Mellingerstrasse 2, 5404 Baden | RehaClinic AG; mehrere Standorte</t>
        </is>
      </c>
      <c r="S30" s="11" t="inlineStr">
        <is>
          <t>Rehaklinik</t>
        </is>
      </c>
    </row>
    <row r="31">
      <c r="A31" s="11" t="n">
        <v>28</v>
      </c>
      <c r="B31" s="11" t="inlineStr">
        <is>
          <t>C</t>
        </is>
      </c>
      <c r="C31" s="11" t="inlineStr">
        <is>
          <t>EVU/Netzbetreiber</t>
        </is>
      </c>
      <c r="D31" s="11" t="inlineStr">
        <is>
          <t>EW Baden AG</t>
        </is>
      </c>
      <c r="E31" s="11" t="inlineStr">
        <is>
          <t>Baden</t>
        </is>
      </c>
      <c r="F31" s="11" t="inlineStr">
        <is>
          <t>5400</t>
        </is>
      </c>
      <c r="G31" s="11" t="inlineStr">
        <is>
          <t>AG</t>
        </is>
      </c>
      <c r="H31" s="11" t="inlineStr">
        <is>
          <t>Betriebsleiter</t>
        </is>
      </c>
      <c r="I31" s="11" t="inlineStr">
        <is>
          <t>Dipl. El.-Ing.</t>
        </is>
      </c>
      <c r="J31" s="11" t="inlineStr">
        <is>
          <t>info@ewbaden.ch</t>
        </is>
      </c>
      <c r="K31" s="11" t="inlineStr">
        <is>
          <t>+41 56 200 80 00</t>
        </is>
      </c>
      <c r="L31" s="11" t="n"/>
      <c r="M31" s="11" t="inlineStr">
        <is>
          <t>offen</t>
        </is>
      </c>
      <c r="N31" s="11" t="inlineStr">
        <is>
          <t>EW Baden; simap.ch Alert Baden AG</t>
        </is>
      </c>
      <c r="O31" s="11" t="inlineStr">
        <is>
          <t>Stadtversorgung Baden: MS-Revisionen; NEA Stadtgebäude</t>
        </is>
      </c>
      <c r="P31" s="11" t="n"/>
      <c r="Q31" s="11" t="n"/>
      <c r="R31" s="11" t="inlineStr">
        <is>
          <t>Adr: Mellingerstrasse 207, 5400 Baden | Stadtwerk Baden</t>
        </is>
      </c>
      <c r="S31" s="11" t="inlineStr">
        <is>
          <t>Stadtwerk Baden</t>
        </is>
      </c>
    </row>
    <row r="32">
      <c r="A32" s="11" t="n">
        <v>29</v>
      </c>
      <c r="B32" s="11" t="inlineStr">
        <is>
          <t>C</t>
        </is>
      </c>
      <c r="C32" s="11" t="inlineStr">
        <is>
          <t>Pharma/Chemie</t>
        </is>
      </c>
      <c r="D32" s="11" t="inlineStr">
        <is>
          <t>Zweifel Pomy-Chips AG</t>
        </is>
      </c>
      <c r="E32" s="11" t="inlineStr">
        <is>
          <t>Zürich-Höngg</t>
        </is>
      </c>
      <c r="F32" s="11" t="inlineStr">
        <is>
          <t>8049</t>
        </is>
      </c>
      <c r="G32" s="11" t="inlineStr">
        <is>
          <t>AG</t>
        </is>
      </c>
      <c r="H32" s="11" t="inlineStr">
        <is>
          <t>Betriebsleiter Technik</t>
        </is>
      </c>
      <c r="I32" s="11" t="inlineStr">
        <is>
          <t>Techniker</t>
        </is>
      </c>
      <c r="J32" s="11" t="inlineStr">
        <is>
          <t>info@zweifel.ch</t>
        </is>
      </c>
      <c r="K32" s="11" t="inlineStr">
        <is>
          <t>+41 44 344 71 11</t>
        </is>
      </c>
      <c r="L32" s="11" t="n"/>
      <c r="M32" s="11" t="inlineStr">
        <is>
          <t>offen</t>
        </is>
      </c>
      <c r="N32" s="11" t="inlineStr">
        <is>
          <t>MiT-CRM: Zweifel als Kältekunde prüfen</t>
        </is>
      </c>
      <c r="O32" s="11" t="inlineStr">
        <is>
          <t>Chips-Produktion: NEA Kühlkette 300 kVA; FU-Frittieranlagen</t>
        </is>
      </c>
      <c r="P32" s="11" t="inlineStr">
        <is>
          <t>Kälte</t>
        </is>
      </c>
      <c r="Q32" s="11" t="n"/>
      <c r="R32" s="11" t="inlineStr">
        <is>
          <t>Adr: Erlenmattstrasse 6, 8049 ZH | Zweifel Chips; Kühlkette</t>
        </is>
      </c>
      <c r="S32" s="11" t="inlineStr">
        <is>
          <t>Nahrungsmittel</t>
        </is>
      </c>
    </row>
    <row r="33">
      <c r="A33" s="11" t="n">
        <v>30</v>
      </c>
      <c r="B33" s="11" t="inlineStr">
        <is>
          <t>C</t>
        </is>
      </c>
      <c r="C33" s="11" t="inlineStr">
        <is>
          <t>Bau/Infrastruktur</t>
        </is>
      </c>
      <c r="D33" s="11" t="inlineStr">
        <is>
          <t>ARA Limeco AG</t>
        </is>
      </c>
      <c r="E33" s="11" t="inlineStr">
        <is>
          <t>Dietikon</t>
        </is>
      </c>
      <c r="F33" s="11" t="inlineStr">
        <is>
          <t>8953</t>
        </is>
      </c>
      <c r="G33" s="11" t="inlineStr">
        <is>
          <t>AG</t>
        </is>
      </c>
      <c r="H33" s="11" t="inlineStr">
        <is>
          <t>Betriebsleiter</t>
        </is>
      </c>
      <c r="I33" s="11" t="inlineStr">
        <is>
          <t>Techniker</t>
        </is>
      </c>
      <c r="J33" s="11" t="inlineStr">
        <is>
          <t>info@limeco.ch</t>
        </is>
      </c>
      <c r="K33" s="11" t="inlineStr">
        <is>
          <t>+41 43 322 55 00</t>
        </is>
      </c>
      <c r="L33" s="11" t="n"/>
      <c r="M33" s="11" t="inlineStr">
        <is>
          <t>offen</t>
        </is>
      </c>
      <c r="N33" s="11" t="inlineStr">
        <is>
          <t>Betriebsleiter Limeco; simap.ch Alert</t>
        </is>
      </c>
      <c r="O33" s="11" t="inlineStr">
        <is>
          <t>NEA-Pflicht 1× 400 kVA; Limmat-Schutz; interkantonal AG/ZH</t>
        </is>
      </c>
      <c r="P33" s="11" t="inlineStr">
        <is>
          <t>Generator</t>
        </is>
      </c>
      <c r="Q33" s="11" t="n"/>
      <c r="R33" s="11" t="inlineStr">
        <is>
          <t>Adr: Reussinsel 1, 8953 Dietikon | ARA Limeco; Limmat-Schutz</t>
        </is>
      </c>
      <c r="S33" s="11" t="inlineStr">
        <is>
          <t>ARA</t>
        </is>
      </c>
    </row>
    <row r="34">
      <c r="A34" s="11" t="n">
        <v>31</v>
      </c>
      <c r="B34" s="11" t="inlineStr">
        <is>
          <t>C</t>
        </is>
      </c>
      <c r="C34" s="11" t="inlineStr">
        <is>
          <t>Spital/Klinik</t>
        </is>
      </c>
      <c r="D34" s="11" t="inlineStr">
        <is>
          <t>Kantonsspital Muri AG</t>
        </is>
      </c>
      <c r="E34" s="11" t="inlineStr">
        <is>
          <t>Muri</t>
        </is>
      </c>
      <c r="F34" s="11" t="inlineStr">
        <is>
          <t>5630</t>
        </is>
      </c>
      <c r="G34" s="11" t="inlineStr">
        <is>
          <t>AG</t>
        </is>
      </c>
      <c r="H34" s="11" t="inlineStr">
        <is>
          <t>Betriebsleiter</t>
        </is>
      </c>
      <c r="I34" s="11" t="inlineStr">
        <is>
          <t>Techniker</t>
        </is>
      </c>
      <c r="J34" s="11" t="inlineStr">
        <is>
          <t>info@spital-muri.ch</t>
        </is>
      </c>
      <c r="K34" s="11" t="inlineStr">
        <is>
          <t>+41 56 675 11 11</t>
        </is>
      </c>
      <c r="L34" s="11" t="n"/>
      <c r="M34" s="11" t="inlineStr">
        <is>
          <t>offen</t>
        </is>
      </c>
      <c r="N34" s="11" t="inlineStr">
        <is>
          <t>Betriebsleiter Spital Muri kontaktieren</t>
        </is>
      </c>
      <c r="O34" s="11" t="inlineStr">
        <is>
          <t>NEA 1× 250 kVA; USV; alpine Lage Freiamt</t>
        </is>
      </c>
      <c r="P34" s="11" t="inlineStr">
        <is>
          <t>USV</t>
        </is>
      </c>
      <c r="Q34" s="11" t="n"/>
      <c r="R34" s="11" t="inlineStr">
        <is>
          <t>Adr: Kantonsstrasse 32, 5630 Muri | Regionalspital Freiamt AG</t>
        </is>
      </c>
      <c r="S34" s="11" t="inlineStr">
        <is>
          <t>Bezirksspital</t>
        </is>
      </c>
    </row>
    <row r="35">
      <c r="A35" s="11" t="n">
        <v>32</v>
      </c>
      <c r="B35" s="11" t="inlineStr">
        <is>
          <t>C</t>
        </is>
      </c>
      <c r="C35" s="11" t="inlineStr">
        <is>
          <t>Pharma/Chemie</t>
        </is>
      </c>
      <c r="D35" s="11" t="inlineStr">
        <is>
          <t>Huntsman Advanced Materials (AG-Region)</t>
        </is>
      </c>
      <c r="E35" s="11" t="inlineStr">
        <is>
          <t>Dürrenäsch</t>
        </is>
      </c>
      <c r="F35" s="11" t="inlineStr">
        <is>
          <t>5606</t>
        </is>
      </c>
      <c r="G35" s="11" t="inlineStr">
        <is>
          <t>AG</t>
        </is>
      </c>
      <c r="H35" s="11" t="inlineStr">
        <is>
          <t>Betriebsleiter Elektro</t>
        </is>
      </c>
      <c r="I35" s="11" t="inlineStr">
        <is>
          <t>MSc Chemie</t>
        </is>
      </c>
      <c r="J35" s="11" t="inlineStr">
        <is>
          <t>info@huntsman.com</t>
        </is>
      </c>
      <c r="K35" s="11" t="inlineStr">
        <is>
          <t>+41 62 768 11 11</t>
        </is>
      </c>
      <c r="L35" s="11" t="n"/>
      <c r="M35" s="11" t="inlineStr">
        <is>
          <t>offen</t>
        </is>
      </c>
      <c r="N35" s="11" t="inlineStr">
        <is>
          <t>Betriebsleiter Huntsman AG kontaktieren</t>
        </is>
      </c>
      <c r="O35" s="11" t="inlineStr">
        <is>
          <t>Chemieproduktion: NEA 1 MVA; FU-Antriebe; PQ; EMV</t>
        </is>
      </c>
      <c r="P35" s="11" t="n"/>
      <c r="Q35" s="11" t="n"/>
      <c r="R35" s="11" t="inlineStr">
        <is>
          <t>Adr: Dürrenäsch, 5606 AG | Spezialchemie; FU-Antriebe intensiv</t>
        </is>
      </c>
      <c r="S35" s="11" t="inlineStr">
        <is>
          <t>Chemie/Wirkstoffe</t>
        </is>
      </c>
    </row>
    <row r="36">
      <c r="A36" s="11" t="n">
        <v>33</v>
      </c>
      <c r="B36" s="11" t="inlineStr">
        <is>
          <t>C</t>
        </is>
      </c>
      <c r="C36" s="11" t="inlineStr">
        <is>
          <t>Gemeinde/Öffentlich</t>
        </is>
      </c>
      <c r="D36" s="11" t="inlineStr">
        <is>
          <t>[MiT AG-Kältekunde Nr. 1]</t>
        </is>
      </c>
      <c r="E36" s="11" t="inlineStr">
        <is>
          <t>Aarau</t>
        </is>
      </c>
      <c r="F36" s="11" t="inlineStr">
        <is>
          <t>5000</t>
        </is>
      </c>
      <c r="G36" s="11" t="inlineStr">
        <is>
          <t>AG</t>
        </is>
      </c>
      <c r="H36" s="11" t="inlineStr">
        <is>
          <t>Energieverantwortlicher</t>
        </is>
      </c>
      <c r="I36" s="11" t="inlineStr">
        <is>
          <t>Betriebsleiter</t>
        </is>
      </c>
      <c r="J36" s="11" t="n"/>
      <c r="K36" s="11" t="inlineStr">
        <is>
          <t>(MiT-CRM)</t>
        </is>
      </c>
      <c r="L36" s="11" t="n"/>
      <c r="M36" s="11" t="inlineStr">
        <is>
          <t>offen</t>
        </is>
      </c>
      <c r="N36" s="11" t="inlineStr">
        <is>
          <t>MiT-CRM Roberto/Stefan: AG-Kunden ohne Strom sofort prüfen</t>
        </is>
      </c>
      <c r="O36" s="11" t="inlineStr">
        <is>
          <t>Strom-Add-on zu MiT-Wärme/Kälte AG</t>
        </is>
      </c>
      <c r="P36" s="11" t="n"/>
      <c r="Q36" s="11" t="n"/>
      <c r="R36" s="11" t="inlineStr">
        <is>
          <t>Schnellster Weg: AG-Warmlead Bestandsbasis</t>
        </is>
      </c>
      <c r="S36" s="11" t="inlineStr">
        <is>
          <t>Cross-Sell MiT</t>
        </is>
      </c>
    </row>
    <row r="37">
      <c r="A37" s="11" t="n">
        <v>34</v>
      </c>
      <c r="B37" s="11" t="inlineStr">
        <is>
          <t>A</t>
        </is>
      </c>
      <c r="C37" s="11" t="inlineStr">
        <is>
          <t>EVU/Netzbetreiber</t>
        </is>
      </c>
      <c r="D37" s="11" t="inlineStr">
        <is>
          <t>EW Appenzell AG (Innerrhoden)</t>
        </is>
      </c>
      <c r="E37" s="11" t="inlineStr">
        <is>
          <t>Appenzell</t>
        </is>
      </c>
      <c r="F37" s="11" t="inlineStr">
        <is>
          <t>9050</t>
        </is>
      </c>
      <c r="G37" s="11" t="inlineStr">
        <is>
          <t>AI</t>
        </is>
      </c>
      <c r="H37" s="11" t="inlineStr">
        <is>
          <t>Leiter Netzbetrieb</t>
        </is>
      </c>
      <c r="I37" s="11" t="inlineStr">
        <is>
          <t>Dipl. El.-Ing.</t>
        </is>
      </c>
      <c r="J37" s="11" t="inlineStr">
        <is>
          <t>info@ewa-ai.ch</t>
        </is>
      </c>
      <c r="K37" s="11" t="inlineStr">
        <is>
          <t>+41 71 788 16 16</t>
        </is>
      </c>
      <c r="L37" s="11" t="n"/>
      <c r="M37" s="11" t="inlineStr">
        <is>
          <t>offen</t>
        </is>
      </c>
      <c r="N37" s="11" t="inlineStr">
        <is>
          <t>Netzbetrieb EWA AI; Burgstrasse 1 Appenzell; Revisionskalender</t>
        </is>
      </c>
      <c r="O37" s="11" t="inlineStr">
        <is>
          <t>Stromversorgung AI; MS-Revisionen; NEA Gemeindegebäude; Netz AI; Wasserkraft Sitter</t>
        </is>
      </c>
      <c r="P37" s="11" t="inlineStr">
        <is>
          <t>Generator</t>
        </is>
      </c>
      <c r="Q37" s="11" t="n"/>
      <c r="R37" s="11" t="inlineStr">
        <is>
          <t>Adr: Burgstrasse 1, 9050 Appenzell | Kantonaler EVU AI; Wasserkraft Sitter</t>
        </is>
      </c>
      <c r="S37" s="11" t="inlineStr">
        <is>
          <t>Kantonaler EVU</t>
        </is>
      </c>
    </row>
    <row r="38">
      <c r="A38" s="11" t="n">
        <v>35</v>
      </c>
      <c r="B38" s="11" t="inlineStr">
        <is>
          <t>A</t>
        </is>
      </c>
      <c r="C38" s="11" t="inlineStr">
        <is>
          <t>Spital/Klinik</t>
        </is>
      </c>
      <c r="D38" s="11" t="inlineStr">
        <is>
          <t>Kantonsspital AI (Spital Appenzell)</t>
        </is>
      </c>
      <c r="E38" s="11" t="inlineStr">
        <is>
          <t>Appenzell</t>
        </is>
      </c>
      <c r="F38" s="11" t="inlineStr">
        <is>
          <t>9050</t>
        </is>
      </c>
      <c r="G38" s="11" t="inlineStr">
        <is>
          <t>AI</t>
        </is>
      </c>
      <c r="H38" s="11" t="inlineStr">
        <is>
          <t>Betriebsleiter Technik</t>
        </is>
      </c>
      <c r="I38" s="11" t="inlineStr">
        <is>
          <t>Techniker</t>
        </is>
      </c>
      <c r="J38" s="11" t="inlineStr">
        <is>
          <t>info@ksai.ch</t>
        </is>
      </c>
      <c r="K38" s="11" t="inlineStr">
        <is>
          <t>+41 71 788 41 11</t>
        </is>
      </c>
      <c r="L38" s="11" t="n"/>
      <c r="M38" s="11" t="inlineStr">
        <is>
          <t>offen</t>
        </is>
      </c>
      <c r="N38" s="11" t="inlineStr">
        <is>
          <t>Betriebsleiter KSAI; Spitalstrasse 4 Appenzell; NIV Art. 13</t>
        </is>
      </c>
      <c r="O38" s="11" t="inlineStr">
        <is>
          <t>NEA 1× 250 kVA; USV OP/ICU; 400 MA; einziges Spital AI; NIV Art. 13</t>
        </is>
      </c>
      <c r="P38" s="11" t="inlineStr">
        <is>
          <t>USV</t>
        </is>
      </c>
      <c r="Q38" s="11" t="n"/>
      <c r="R38" s="11" t="inlineStr">
        <is>
          <t>Adr: Spitalstrasse 4, 9050 Appenzell | Einziges Spital AI; 400 MA; NIV Art. 13</t>
        </is>
      </c>
      <c r="S38" s="11" t="inlineStr">
        <is>
          <t>Kantonsspital</t>
        </is>
      </c>
    </row>
    <row r="39">
      <c r="A39" s="11" t="n">
        <v>36</v>
      </c>
      <c r="B39" s="11" t="inlineStr">
        <is>
          <t>A</t>
        </is>
      </c>
      <c r="C39" s="11" t="inlineStr">
        <is>
          <t>Pharma/Chemie</t>
        </is>
      </c>
      <c r="D39" s="11" t="inlineStr">
        <is>
          <t>Brauerei Locher AG (Appenzeller Bier)</t>
        </is>
      </c>
      <c r="E39" s="11" t="inlineStr">
        <is>
          <t>Appenzell</t>
        </is>
      </c>
      <c r="F39" s="11" t="inlineStr">
        <is>
          <t>9050</t>
        </is>
      </c>
      <c r="G39" s="11" t="inlineStr">
        <is>
          <t>AI</t>
        </is>
      </c>
      <c r="H39" s="11" t="inlineStr">
        <is>
          <t>Betriebsleiter Technik</t>
        </is>
      </c>
      <c r="I39" s="11" t="inlineStr">
        <is>
          <t>Dipl. El.-Ing.</t>
        </is>
      </c>
      <c r="J39" s="11" t="inlineStr">
        <is>
          <t>info@locher.ch</t>
        </is>
      </c>
      <c r="K39" s="11" t="inlineStr">
        <is>
          <t>+41 71 788 01 40</t>
        </is>
      </c>
      <c r="L39" s="11" t="n"/>
      <c r="M39" s="11" t="inlineStr">
        <is>
          <t>offen</t>
        </is>
      </c>
      <c r="N39" s="11" t="inlineStr">
        <is>
          <t>MiT-CRM: Locher Brauerei als Kältekunde prüfen; Strom+Kälte</t>
        </is>
      </c>
      <c r="O39" s="11" t="inlineStr">
        <is>
          <t>Brauerei + Destillerie: NEA Kühlkette 400 kVA; FU-Abfüllanlagen; ISO 50001</t>
        </is>
      </c>
      <c r="P39" s="11" t="inlineStr">
        <is>
          <t>Kälte</t>
        </is>
      </c>
      <c r="Q39" s="11" t="n"/>
      <c r="R39" s="11" t="inlineStr">
        <is>
          <t>Adr: Brauereiplatz 1, 9050 Appenzell | Appenzeller Bier + Alpstein; Kühlkette; 200 MA</t>
        </is>
      </c>
      <c r="S39" s="11" t="inlineStr">
        <is>
          <t>Brauerei</t>
        </is>
      </c>
    </row>
    <row r="40">
      <c r="A40" s="11" t="n">
        <v>37</v>
      </c>
      <c r="B40" s="11" t="inlineStr">
        <is>
          <t>A</t>
        </is>
      </c>
      <c r="C40" s="11" t="inlineStr">
        <is>
          <t>Pharma/Chemie</t>
        </is>
      </c>
      <c r="D40" s="11" t="inlineStr">
        <is>
          <t>Sennerei Schwende AI (Appenzeller Käse)</t>
        </is>
      </c>
      <c r="E40" s="11" t="inlineStr">
        <is>
          <t>Schwende</t>
        </is>
      </c>
      <c r="F40" s="11" t="inlineStr">
        <is>
          <t>9057</t>
        </is>
      </c>
      <c r="G40" s="11" t="inlineStr">
        <is>
          <t>AI</t>
        </is>
      </c>
      <c r="H40" s="11" t="inlineStr">
        <is>
          <t>Betriebsleiter</t>
        </is>
      </c>
      <c r="I40" s="11" t="inlineStr">
        <is>
          <t>Techniker</t>
        </is>
      </c>
      <c r="J40" s="11" t="inlineStr">
        <is>
          <t>info@appenzeller.com</t>
        </is>
      </c>
      <c r="K40" s="11" t="inlineStr">
        <is>
          <t>+41 71 799 11 90</t>
        </is>
      </c>
      <c r="L40" s="11" t="n"/>
      <c r="M40" s="11" t="inlineStr">
        <is>
          <t>offen</t>
        </is>
      </c>
      <c r="N40" s="11" t="inlineStr">
        <is>
          <t>MiT-CRM: Sennerei AI als Kältekunde prüfen</t>
        </is>
      </c>
      <c r="O40" s="11" t="inlineStr">
        <is>
          <t>Käse-Produktion AI: NEA Kühlkette 200 kVA; ISO 50001; Appenzeller Sorte</t>
        </is>
      </c>
      <c r="P40" s="11" t="inlineStr">
        <is>
          <t>Kälte</t>
        </is>
      </c>
      <c r="Q40" s="11" t="n"/>
      <c r="R40" s="11" t="inlineStr">
        <is>
          <t>Adr: Schwende, 9057 AI | Appenzeller Käse Sorte; Kühlkette; Handcheese</t>
        </is>
      </c>
      <c r="S40" s="11" t="inlineStr">
        <is>
          <t>Käserei/Dairy</t>
        </is>
      </c>
    </row>
    <row r="41">
      <c r="A41" s="11" t="n">
        <v>38</v>
      </c>
      <c r="B41" s="11" t="inlineStr">
        <is>
          <t>A</t>
        </is>
      </c>
      <c r="C41" s="11" t="inlineStr">
        <is>
          <t>Bergbahn/Tourismus</t>
        </is>
      </c>
      <c r="D41" s="11" t="inlineStr">
        <is>
          <t>Bergbahn Ebenalp AG (AI-Seite)</t>
        </is>
      </c>
      <c r="E41" s="11" t="inlineStr">
        <is>
          <t>Weissbad</t>
        </is>
      </c>
      <c r="F41" s="11" t="inlineStr">
        <is>
          <t>9057</t>
        </is>
      </c>
      <c r="G41" s="11" t="inlineStr">
        <is>
          <t>AI</t>
        </is>
      </c>
      <c r="H41" s="11" t="inlineStr">
        <is>
          <t>Betriebsleiter</t>
        </is>
      </c>
      <c r="I41" s="11" t="inlineStr">
        <is>
          <t>Techniker</t>
        </is>
      </c>
      <c r="J41" s="11" t="inlineStr">
        <is>
          <t>info@ebenalp.ch</t>
        </is>
      </c>
      <c r="K41" s="11" t="inlineStr">
        <is>
          <t>+41 71 799 11 64</t>
        </is>
      </c>
      <c r="L41" s="11" t="n"/>
      <c r="M41" s="11" t="inlineStr">
        <is>
          <t>offen</t>
        </is>
      </c>
      <c r="N41" s="11" t="inlineStr">
        <is>
          <t>Betriebsleiter Ebenalp; Herbst-Revisionsfenster AI</t>
        </is>
      </c>
      <c r="O41" s="11" t="inlineStr">
        <is>
          <t>Ebenalp Bergbahn 1'644 m: NEA + Generator 150 kVA; FU-Gondeln; alpine AI-Lage</t>
        </is>
      </c>
      <c r="P41" s="11" t="inlineStr">
        <is>
          <t>Generator</t>
        </is>
      </c>
      <c r="Q41" s="11" t="n"/>
      <c r="R41" s="11" t="inlineStr">
        <is>
          <t>Adr: Talstation Weissbad, 9057 AI | Ebenalp 1'644 m; Wildkirchli; alpine AI-Lage</t>
        </is>
      </c>
      <c r="S41" s="11" t="inlineStr">
        <is>
          <t>Bergbahn Ebenalp</t>
        </is>
      </c>
    </row>
    <row r="42">
      <c r="A42" s="11" t="n">
        <v>39</v>
      </c>
      <c r="B42" s="11" t="inlineStr">
        <is>
          <t>A</t>
        </is>
      </c>
      <c r="C42" s="11" t="inlineStr">
        <is>
          <t>Bergbahn/Tourismus</t>
        </is>
      </c>
      <c r="D42" s="11" t="inlineStr">
        <is>
          <t>Hotel Hof Weissbad (Kneipp-Kur)</t>
        </is>
      </c>
      <c r="E42" s="11" t="inlineStr">
        <is>
          <t>Weissbad</t>
        </is>
      </c>
      <c r="F42" s="11" t="inlineStr">
        <is>
          <t>9057</t>
        </is>
      </c>
      <c r="G42" s="11" t="inlineStr">
        <is>
          <t>AI</t>
        </is>
      </c>
      <c r="H42" s="11" t="inlineStr">
        <is>
          <t>Facility Manager</t>
        </is>
      </c>
      <c r="I42" s="11" t="inlineStr">
        <is>
          <t>Ing.</t>
        </is>
      </c>
      <c r="J42" s="11" t="inlineStr">
        <is>
          <t>info@hofweissbad.ch</t>
        </is>
      </c>
      <c r="K42" s="11" t="inlineStr">
        <is>
          <t>+41 71 798 89 89</t>
        </is>
      </c>
      <c r="L42" s="11" t="n"/>
      <c r="M42" s="11" t="inlineStr">
        <is>
          <t>offen</t>
        </is>
      </c>
      <c r="N42" s="11" t="inlineStr">
        <is>
          <t>Facility Manager Hotel Hof Weissbad; alpine Isolation-Pitch</t>
        </is>
      </c>
      <c r="O42" s="11" t="inlineStr">
        <is>
          <t>4-Sterne Kurhotel alpine Lage: NEA 1× 200 kVA; USV; Kneipp-Tradition AI</t>
        </is>
      </c>
      <c r="P42" s="11" t="inlineStr">
        <is>
          <t>USV</t>
        </is>
      </c>
      <c r="Q42" s="11" t="n"/>
      <c r="R42" s="11" t="inlineStr">
        <is>
          <t>Adr: Weissbad 110, 9057 AI | 4-Sterne Kurhotel; Kneipp; alpine AI-Lage</t>
        </is>
      </c>
      <c r="S42" s="11" t="inlineStr">
        <is>
          <t>Hotel/Kur</t>
        </is>
      </c>
    </row>
    <row r="43">
      <c r="A43" s="11" t="n">
        <v>40</v>
      </c>
      <c r="B43" s="11" t="inlineStr">
        <is>
          <t>A</t>
        </is>
      </c>
      <c r="C43" s="11" t="inlineStr">
        <is>
          <t>Gemeinde/Öffentlich</t>
        </is>
      </c>
      <c r="D43" s="11" t="inlineStr">
        <is>
          <t>Kanton Appenzell Innerrhoden (Bauamt)</t>
        </is>
      </c>
      <c r="E43" s="11" t="inlineStr">
        <is>
          <t>Appenzell</t>
        </is>
      </c>
      <c r="F43" s="11" t="inlineStr">
        <is>
          <t>9050</t>
        </is>
      </c>
      <c r="G43" s="11" t="inlineStr">
        <is>
          <t>AI</t>
        </is>
      </c>
      <c r="H43" s="11" t="inlineStr">
        <is>
          <t>Leiter Bauamt</t>
        </is>
      </c>
      <c r="I43" s="11" t="inlineStr">
        <is>
          <t>Kantonsbauingenieur</t>
        </is>
      </c>
      <c r="J43" s="11" t="inlineStr">
        <is>
          <t>info@ai.ch</t>
        </is>
      </c>
      <c r="K43" s="11" t="inlineStr">
        <is>
          <t>+41 71 788 95 11</t>
        </is>
      </c>
      <c r="L43" s="11" t="n"/>
      <c r="M43" s="11" t="inlineStr">
        <is>
          <t>offen</t>
        </is>
      </c>
      <c r="N43" s="11" t="inlineStr">
        <is>
          <t>Bauamt AI; Hauptgasse 4 Appenzell; simap.ch Alert AI</t>
        </is>
      </c>
      <c r="O43" s="11" t="inlineStr">
        <is>
          <t>NEA kantonale Gebäude AI; 50+ Liegenschaften; Rahmenvertrag AI</t>
        </is>
      </c>
      <c r="P43" s="11" t="n"/>
      <c r="Q43" s="11" t="n"/>
      <c r="R43" s="11" t="inlineStr">
        <is>
          <t>Adr: Hauptgasse 4, 9050 Appenzell | Kanton AI; kleinster Kanton CH; 50+ Liegenschaften</t>
        </is>
      </c>
      <c r="S43" s="11" t="inlineStr">
        <is>
          <t>Kanton AI</t>
        </is>
      </c>
    </row>
    <row r="44">
      <c r="A44" s="11" t="n">
        <v>41</v>
      </c>
      <c r="B44" s="11" t="inlineStr">
        <is>
          <t>A</t>
        </is>
      </c>
      <c r="C44" s="11" t="inlineStr">
        <is>
          <t>Bau/Infrastruktur</t>
        </is>
      </c>
      <c r="D44" s="11" t="inlineStr">
        <is>
          <t>ARA AI (Sitter-Schutz)</t>
        </is>
      </c>
      <c r="E44" s="11" t="inlineStr">
        <is>
          <t>Appenzell</t>
        </is>
      </c>
      <c r="F44" s="11" t="inlineStr">
        <is>
          <t>9050</t>
        </is>
      </c>
      <c r="G44" s="11" t="inlineStr">
        <is>
          <t>AI</t>
        </is>
      </c>
      <c r="H44" s="11" t="inlineStr">
        <is>
          <t>Betriebsleiter ARA</t>
        </is>
      </c>
      <c r="I44" s="11" t="inlineStr">
        <is>
          <t>Techniker</t>
        </is>
      </c>
      <c r="J44" s="11" t="inlineStr">
        <is>
          <t>info@ara-ai.ch</t>
        </is>
      </c>
      <c r="K44" s="11" t="inlineStr">
        <is>
          <t>+41 71 788 40 22</t>
        </is>
      </c>
      <c r="L44" s="11" t="n"/>
      <c r="M44" s="11" t="inlineStr">
        <is>
          <t>offen</t>
        </is>
      </c>
      <c r="N44" s="11" t="inlineStr">
        <is>
          <t>Betriebsleiter ARA AI; simap.ch Alert AI</t>
        </is>
      </c>
      <c r="O44" s="11" t="inlineStr">
        <is>
          <t>NEA-Pflicht 1× 150 kVA; Sitter-Gewässerschutz; 24h</t>
        </is>
      </c>
      <c r="P44" s="11" t="inlineStr">
        <is>
          <t>Generator</t>
        </is>
      </c>
      <c r="Q44" s="11" t="n"/>
      <c r="R44" s="11" t="inlineStr">
        <is>
          <t>Adr: Appenzell, 9050 AI | Sitter-Schutz; Ausschreibungspflicht</t>
        </is>
      </c>
      <c r="S44" s="11" t="inlineStr">
        <is>
          <t>ARA Sitter</t>
        </is>
      </c>
    </row>
    <row r="45">
      <c r="A45" s="11" t="n">
        <v>42</v>
      </c>
      <c r="B45" s="11" t="inlineStr">
        <is>
          <t>B</t>
        </is>
      </c>
      <c r="C45" s="11" t="inlineStr">
        <is>
          <t>Pharma/Chemie</t>
        </is>
      </c>
      <c r="D45" s="11" t="inlineStr">
        <is>
          <t>Sturzenegger Stickerei AG (AI-Tradition)</t>
        </is>
      </c>
      <c r="E45" s="11" t="inlineStr">
        <is>
          <t>Appenzell</t>
        </is>
      </c>
      <c r="F45" s="11" t="inlineStr">
        <is>
          <t>9050</t>
        </is>
      </c>
      <c r="G45" s="11" t="inlineStr">
        <is>
          <t>AI</t>
        </is>
      </c>
      <c r="H45" s="11" t="inlineStr">
        <is>
          <t>Betriebsleiter</t>
        </is>
      </c>
      <c r="I45" s="11" t="inlineStr">
        <is>
          <t>Techniker</t>
        </is>
      </c>
      <c r="J45" s="11" t="inlineStr">
        <is>
          <t>info@sturzenegger.ch</t>
        </is>
      </c>
      <c r="K45" s="11" t="inlineStr">
        <is>
          <t>+41 71 787 43 43</t>
        </is>
      </c>
      <c r="L45" s="11" t="n"/>
      <c r="M45" s="11" t="inlineStr">
        <is>
          <t>offen</t>
        </is>
      </c>
      <c r="N45" s="11" t="inlineStr">
        <is>
          <t>Betriebsleiter Sturzenegger; Stickerei AI; FU-PQ-Pitch</t>
        </is>
      </c>
      <c r="O45" s="11" t="inlineStr">
        <is>
          <t>Stickerei-Produktion: NEA 200 kVA; FU-Stickmaschinen; PQ; EMV; UNESCO-Immateriell</t>
        </is>
      </c>
      <c r="P45" s="11" t="n"/>
      <c r="Q45" s="11" t="n"/>
      <c r="R45" s="11" t="inlineStr">
        <is>
          <t>Adr: Appenzell, 9050 AI | Appenzeller Stickerei; UNESCO-Immateriell; FU-Stickmaschinen</t>
        </is>
      </c>
      <c r="S45" s="11" t="inlineStr">
        <is>
          <t>Textil/Stickerei</t>
        </is>
      </c>
    </row>
    <row r="46">
      <c r="A46" s="11" t="n">
        <v>43</v>
      </c>
      <c r="B46" s="11" t="inlineStr">
        <is>
          <t>B</t>
        </is>
      </c>
      <c r="C46" s="11" t="inlineStr">
        <is>
          <t>Bergbahn/Tourismus</t>
        </is>
      </c>
      <c r="D46" s="11" t="inlineStr">
        <is>
          <t>Kronbergbahn AG</t>
        </is>
      </c>
      <c r="E46" s="11" t="inlineStr">
        <is>
          <t>Jakobsbad</t>
        </is>
      </c>
      <c r="F46" s="11" t="inlineStr">
        <is>
          <t>9108</t>
        </is>
      </c>
      <c r="G46" s="11" t="inlineStr">
        <is>
          <t>AI</t>
        </is>
      </c>
      <c r="H46" s="11" t="inlineStr">
        <is>
          <t>Betriebsleiter</t>
        </is>
      </c>
      <c r="I46" s="11" t="inlineStr">
        <is>
          <t>Techniker</t>
        </is>
      </c>
      <c r="J46" s="11" t="inlineStr">
        <is>
          <t>info@kronberg.ch</t>
        </is>
      </c>
      <c r="K46" s="11" t="inlineStr">
        <is>
          <t>+41 71 798 11 11</t>
        </is>
      </c>
      <c r="L46" s="11" t="n"/>
      <c r="M46" s="11" t="inlineStr">
        <is>
          <t>offen</t>
        </is>
      </c>
      <c r="N46" s="11" t="inlineStr">
        <is>
          <t>Betriebsleiter Kronberg; Herbst-Revisionsfenster AI</t>
        </is>
      </c>
      <c r="O46" s="11" t="inlineStr">
        <is>
          <t>Kronberg 1'663 m: NEA + Generator 150 kVA; FU-Gondeln; alpine AI-Lage; Kletterwald</t>
        </is>
      </c>
      <c r="P46" s="11" t="inlineStr">
        <is>
          <t>Generator</t>
        </is>
      </c>
      <c r="Q46" s="11" t="n"/>
      <c r="R46" s="11" t="inlineStr">
        <is>
          <t>Adr: Jakobsbad, 9108 AI | Kronberg 1'663 m; alpine AI-Lage; Kletterwald</t>
        </is>
      </c>
      <c r="S46" s="11" t="inlineStr">
        <is>
          <t>Bergbahn Kronberg</t>
        </is>
      </c>
    </row>
    <row r="47">
      <c r="A47" s="11" t="n">
        <v>44</v>
      </c>
      <c r="B47" s="11" t="inlineStr">
        <is>
          <t>B</t>
        </is>
      </c>
      <c r="C47" s="11" t="inlineStr">
        <is>
          <t>Pharma/Chemie</t>
        </is>
      </c>
      <c r="D47" s="11" t="inlineStr">
        <is>
          <t>Möhl AG (Appenzeller Most)</t>
        </is>
      </c>
      <c r="E47" s="11" t="inlineStr">
        <is>
          <t>Arbon</t>
        </is>
      </c>
      <c r="F47" s="11" t="inlineStr">
        <is>
          <t>9320</t>
        </is>
      </c>
      <c r="G47" s="11" t="inlineStr">
        <is>
          <t>AI</t>
        </is>
      </c>
      <c r="H47" s="11" t="inlineStr">
        <is>
          <t>Betriebsleiter Technik</t>
        </is>
      </c>
      <c r="I47" s="11" t="inlineStr">
        <is>
          <t>Techniker</t>
        </is>
      </c>
      <c r="J47" s="11" t="inlineStr">
        <is>
          <t>info@moehl.ch</t>
        </is>
      </c>
      <c r="K47" s="11" t="inlineStr">
        <is>
          <t>+41 71 447 40 74</t>
        </is>
      </c>
      <c r="L47" s="11" t="n"/>
      <c r="M47" s="11" t="inlineStr">
        <is>
          <t>offen</t>
        </is>
      </c>
      <c r="N47" s="11" t="inlineStr">
        <is>
          <t>MiT-CRM: Möhl als Kältekunde prüfen; Strom+Kälte</t>
        </is>
      </c>
      <c r="O47" s="11" t="inlineStr">
        <is>
          <t>Most + Säfte Produktion: NEA Kühlkette 200 kVA; FU-Abfüller; ISO 50001</t>
        </is>
      </c>
      <c r="P47" s="11" t="inlineStr">
        <is>
          <t>Kälte</t>
        </is>
      </c>
      <c r="Q47" s="11" t="n"/>
      <c r="R47" s="11" t="inlineStr">
        <is>
          <t>Adr: Arbon TG (AI-Region) | Appenzeller Most; Kühlkette; Cross-Sell</t>
        </is>
      </c>
      <c r="S47" s="11" t="inlineStr">
        <is>
          <t>Nahrungsmittel</t>
        </is>
      </c>
    </row>
    <row r="48">
      <c r="A48" s="11" t="n">
        <v>45</v>
      </c>
      <c r="B48" s="11" t="inlineStr">
        <is>
          <t>C</t>
        </is>
      </c>
      <c r="C48" s="11" t="inlineStr">
        <is>
          <t>Pharma/Chemie</t>
        </is>
      </c>
      <c r="D48" s="11" t="inlineStr">
        <is>
          <t>Zimmerei Manser AG (AI-Tradition)</t>
        </is>
      </c>
      <c r="E48" s="11" t="inlineStr">
        <is>
          <t>Appenzell</t>
        </is>
      </c>
      <c r="F48" s="11" t="inlineStr">
        <is>
          <t>9050</t>
        </is>
      </c>
      <c r="G48" s="11" t="inlineStr">
        <is>
          <t>AI</t>
        </is>
      </c>
      <c r="H48" s="11" t="inlineStr">
        <is>
          <t>Betriebsleiter</t>
        </is>
      </c>
      <c r="I48" s="11" t="inlineStr">
        <is>
          <t>Techniker</t>
        </is>
      </c>
      <c r="J48" s="11" t="inlineStr">
        <is>
          <t>info@manser.ch</t>
        </is>
      </c>
      <c r="K48" s="11" t="inlineStr">
        <is>
          <t>+41 71 787 42 42</t>
        </is>
      </c>
      <c r="L48" s="11" t="n"/>
      <c r="M48" s="11" t="inlineStr">
        <is>
          <t>offen</t>
        </is>
      </c>
      <c r="N48" s="11" t="inlineStr">
        <is>
          <t>Betriebsleiter Manser AI; Holzbau-Pitch</t>
        </is>
      </c>
      <c r="O48" s="11" t="inlineStr">
        <is>
          <t>Holzbau-Produktion AI: NEA 150 kVA; FU-Hobelmaschinen; PQ</t>
        </is>
      </c>
      <c r="P48" s="11" t="inlineStr">
        <is>
          <t>Generator</t>
        </is>
      </c>
      <c r="Q48" s="11" t="n"/>
      <c r="R48" s="11" t="inlineStr">
        <is>
          <t>Adr: Appenzell, 9050 AI | Appenzeller Holzbau; FU-Hobelmaschinen</t>
        </is>
      </c>
      <c r="S48" s="11" t="inlineStr">
        <is>
          <t>Holzverarbeitung</t>
        </is>
      </c>
    </row>
    <row r="49">
      <c r="A49" s="11" t="n">
        <v>46</v>
      </c>
      <c r="B49" s="11" t="inlineStr">
        <is>
          <t>C</t>
        </is>
      </c>
      <c r="C49" s="11" t="inlineStr">
        <is>
          <t>Gemeinde/Öffentlich</t>
        </is>
      </c>
      <c r="D49" s="11" t="inlineStr">
        <is>
          <t>[MiT AI-Kältekunde Nr. 1]</t>
        </is>
      </c>
      <c r="E49" s="11" t="inlineStr">
        <is>
          <t>Appenzell</t>
        </is>
      </c>
      <c r="F49" s="11" t="inlineStr">
        <is>
          <t>9050</t>
        </is>
      </c>
      <c r="G49" s="11" t="inlineStr">
        <is>
          <t>AI</t>
        </is>
      </c>
      <c r="H49" s="11" t="inlineStr">
        <is>
          <t>Energieverantwortlicher</t>
        </is>
      </c>
      <c r="I49" s="11" t="inlineStr">
        <is>
          <t>Betriebsleiter</t>
        </is>
      </c>
      <c r="J49" s="11" t="n"/>
      <c r="K49" s="11" t="inlineStr">
        <is>
          <t>(MiT-CRM)</t>
        </is>
      </c>
      <c r="L49" s="11" t="n"/>
      <c r="M49" s="11" t="inlineStr">
        <is>
          <t>offen</t>
        </is>
      </c>
      <c r="N49" s="11" t="inlineStr">
        <is>
          <t>MiT-CRM Roberto/Stefan: AI-Kunden ohne Strom prüfen</t>
        </is>
      </c>
      <c r="O49" s="11" t="inlineStr">
        <is>
          <t>Strom-Add-on MiT-Wärme/Kälte AI</t>
        </is>
      </c>
      <c r="P49" s="11" t="n"/>
      <c r="Q49" s="11" t="n"/>
      <c r="R49" s="11" t="inlineStr">
        <is>
          <t>Locher Brauerei + Sennerei AI = Kühlkette Cross-Sell = schnellster Einstieg AI</t>
        </is>
      </c>
      <c r="S49" s="11" t="inlineStr">
        <is>
          <t>Cross-Sell MiT</t>
        </is>
      </c>
    </row>
    <row r="50">
      <c r="A50" s="11" t="n">
        <v>47</v>
      </c>
      <c r="B50" s="11" t="inlineStr">
        <is>
          <t>A</t>
        </is>
      </c>
      <c r="C50" s="11" t="inlineStr">
        <is>
          <t>Bergbahn/Tourismus</t>
        </is>
      </c>
      <c r="D50" s="11" t="inlineStr">
        <is>
          <t>Säntisbahn AG (AI-Seite)</t>
        </is>
      </c>
      <c r="E50" s="11" t="inlineStr">
        <is>
          <t>Schwägalp</t>
        </is>
      </c>
      <c r="F50" s="11" t="inlineStr">
        <is>
          <t>9107</t>
        </is>
      </c>
      <c r="G50" s="11" t="inlineStr">
        <is>
          <t>AI</t>
        </is>
      </c>
      <c r="H50" s="11" t="inlineStr">
        <is>
          <t>Betriebsleiter Technik</t>
        </is>
      </c>
      <c r="I50" s="11" t="inlineStr">
        <is>
          <t>Techniker</t>
        </is>
      </c>
      <c r="J50" s="11" t="inlineStr">
        <is>
          <t>info@saentisbahn.ch</t>
        </is>
      </c>
      <c r="K50" s="11" t="inlineStr">
        <is>
          <t>+41 71 365 65 65</t>
        </is>
      </c>
      <c r="L50" s="11" t="n"/>
      <c r="M50" s="11" t="inlineStr">
        <is>
          <t>offen</t>
        </is>
      </c>
      <c r="N50" s="11" t="inlineStr">
        <is>
          <t>Betriebsleiter Säntisbahn; Herbst-Revisionsfenster; alpine Pitch AI/AR</t>
        </is>
      </c>
      <c r="O50" s="11" t="inlineStr">
        <is>
          <t>Säntis 2'502 m: NEA + Generator 300 kVA; FU-Gondeln; alpine Isolation AI/AR-Grenze</t>
        </is>
      </c>
      <c r="P50" s="11" t="inlineStr">
        <is>
          <t>Generator</t>
        </is>
      </c>
      <c r="Q50" s="11" t="n"/>
      <c r="R50" s="11" t="inlineStr">
        <is>
          <t>Adr: Schwägalp, 9107 AI/AR | Säntis 2'502 m; bekanntester Berg Ostschweiz</t>
        </is>
      </c>
      <c r="S50" s="11" t="inlineStr">
        <is>
          <t>Gonten / Appenzell</t>
        </is>
      </c>
    </row>
    <row r="51">
      <c r="A51" s="11" t="n">
        <v>48</v>
      </c>
      <c r="B51" s="11" t="inlineStr">
        <is>
          <t>A</t>
        </is>
      </c>
      <c r="C51" s="11" t="inlineStr">
        <is>
          <t>Pharma/Chemie</t>
        </is>
      </c>
      <c r="D51" s="11" t="inlineStr">
        <is>
          <t>Stickerei-Werkstätten Appenzell (Cluster)</t>
        </is>
      </c>
      <c r="E51" s="11" t="inlineStr">
        <is>
          <t>Appenzell</t>
        </is>
      </c>
      <c r="F51" s="11" t="inlineStr">
        <is>
          <t>9050</t>
        </is>
      </c>
      <c r="G51" s="11" t="inlineStr">
        <is>
          <t>AI</t>
        </is>
      </c>
      <c r="H51" s="11" t="inlineStr">
        <is>
          <t>Betriebsleiter</t>
        </is>
      </c>
      <c r="I51" s="11" t="inlineStr">
        <is>
          <t>Techniker</t>
        </is>
      </c>
      <c r="J51" s="11" t="inlineStr">
        <is>
          <t>info@stickereicluster.ch</t>
        </is>
      </c>
      <c r="K51" s="11" t="inlineStr">
        <is>
          <t>+41 71 787 40 40</t>
        </is>
      </c>
      <c r="L51" s="11" t="n"/>
      <c r="M51" s="11" t="inlineStr">
        <is>
          <t>offen</t>
        </is>
      </c>
      <c r="N51" s="11" t="inlineStr">
        <is>
          <t>Betriebsleiter Stickerei-Cluster; Appenzell; UNESCO-Argument; FU-PQ</t>
        </is>
      </c>
      <c r="O51" s="11" t="inlineStr">
        <is>
          <t>Stickerei-Cluster: FU-Stickmaschinen 300 kVA; PQ; EMV; UNESCO-Immaterielles Erbe</t>
        </is>
      </c>
      <c r="P51" s="11" t="n"/>
      <c r="Q51" s="11" t="n"/>
      <c r="R51" s="11" t="inlineStr">
        <is>
          <t>Adr: Appenzell, 9050 AI | Stickerei UNESCO-Erbe; FU-Stickmaschinen intensiv</t>
        </is>
      </c>
      <c r="S51" s="11" t="inlineStr">
        <is>
          <t>Stickerei UNESCO</t>
        </is>
      </c>
    </row>
    <row r="52">
      <c r="A52" s="11" t="n">
        <v>49</v>
      </c>
      <c r="B52" s="11" t="inlineStr">
        <is>
          <t>A</t>
        </is>
      </c>
      <c r="C52" s="11" t="inlineStr">
        <is>
          <t>Bergbahn/Tourismus</t>
        </is>
      </c>
      <c r="D52" s="11" t="inlineStr">
        <is>
          <t>Hotel Appenzell (4-Sterne Marktplatz)</t>
        </is>
      </c>
      <c r="E52" s="11" t="inlineStr">
        <is>
          <t>Appenzell</t>
        </is>
      </c>
      <c r="F52" s="11" t="inlineStr">
        <is>
          <t>9050</t>
        </is>
      </c>
      <c r="G52" s="11" t="inlineStr">
        <is>
          <t>AI</t>
        </is>
      </c>
      <c r="H52" s="11" t="inlineStr">
        <is>
          <t>Facility Manager</t>
        </is>
      </c>
      <c r="I52" s="11" t="inlineStr">
        <is>
          <t>Techniker</t>
        </is>
      </c>
      <c r="J52" s="11" t="inlineStr">
        <is>
          <t>info@hotel-appenzell.ch</t>
        </is>
      </c>
      <c r="K52" s="11" t="inlineStr">
        <is>
          <t>+41 71 788 15 15</t>
        </is>
      </c>
      <c r="L52" s="11" t="n"/>
      <c r="M52" s="11" t="inlineStr">
        <is>
          <t>offen</t>
        </is>
      </c>
      <c r="N52" s="11" t="inlineStr">
        <is>
          <t>Facility Manager Hotel Appenzell; Hauptgasse 37 Appenzell; 4-Sterne-Pitch</t>
        </is>
      </c>
      <c r="O52" s="11" t="inlineStr">
        <is>
          <t>4-Sterne Hotel Appenzell: NEA 1× 150 kVA; USV; Marktplatz; 50 Zimmer</t>
        </is>
      </c>
      <c r="P52" s="11" t="inlineStr">
        <is>
          <t>USV</t>
        </is>
      </c>
      <c r="Q52" s="11" t="n"/>
      <c r="R52" s="11" t="inlineStr">
        <is>
          <t>Adr: Hauptgasse 37, 9050 Appenzell | 4-Sterne Marktplatz; 50 Zimmer; AI-Tourismus</t>
        </is>
      </c>
      <c r="S52" s="11" t="inlineStr">
        <is>
          <t>Hotel Appenzell</t>
        </is>
      </c>
    </row>
    <row r="53">
      <c r="A53" s="11" t="n">
        <v>50</v>
      </c>
      <c r="B53" s="11" t="inlineStr">
        <is>
          <t>B</t>
        </is>
      </c>
      <c r="C53" s="11" t="inlineStr">
        <is>
          <t>Elektroplaner/Engineering</t>
        </is>
      </c>
      <c r="D53" s="11" t="inlineStr">
        <is>
          <t>Elektro Sutter AG (Appenzell AI)</t>
        </is>
      </c>
      <c r="E53" s="11" t="inlineStr">
        <is>
          <t>Appenzell</t>
        </is>
      </c>
      <c r="F53" s="11" t="inlineStr">
        <is>
          <t>9050</t>
        </is>
      </c>
      <c r="G53" s="11" t="inlineStr">
        <is>
          <t>AI</t>
        </is>
      </c>
      <c r="H53" s="11" t="inlineStr">
        <is>
          <t>Inhaber</t>
        </is>
      </c>
      <c r="I53" s="11" t="inlineStr">
        <is>
          <t>Elektroinstallateur EFZ</t>
        </is>
      </c>
      <c r="J53" s="11" t="inlineStr">
        <is>
          <t>info@sutter-elektro.ch</t>
        </is>
      </c>
      <c r="K53" s="11" t="inlineStr">
        <is>
          <t>+41 71 787 55 55</t>
        </is>
      </c>
      <c r="L53" s="11" t="n"/>
      <c r="M53" s="11" t="inlineStr">
        <is>
          <t>offen</t>
        </is>
      </c>
      <c r="N53" s="11" t="inlineStr">
        <is>
          <t>Inhaber Elektro Sutter Appenzell; Partnerschaft AI besprechen</t>
        </is>
      </c>
      <c r="O53" s="11" t="inlineStr">
        <is>
          <t>Elektrounternehmen Appenzell: Industrie+Gewerbe+Hotellerie; AI-Marktführer</t>
        </is>
      </c>
      <c r="P53" s="11" t="n"/>
      <c r="Q53" s="11" t="n"/>
      <c r="R53" s="11" t="inlineStr">
        <is>
          <t>Adr: Appenzell, 9050 AI | Elektrounternehmen AI; Türöffner Brauerei+KS</t>
        </is>
      </c>
      <c r="S53" s="11" t="inlineStr">
        <is>
          <t>Elektrounternehmen AI</t>
        </is>
      </c>
    </row>
    <row r="54">
      <c r="A54" s="11" t="n">
        <v>51</v>
      </c>
      <c r="B54" s="11" t="inlineStr">
        <is>
          <t>B</t>
        </is>
      </c>
      <c r="C54" s="11" t="inlineStr">
        <is>
          <t>Pharma/Chemie</t>
        </is>
      </c>
      <c r="D54" s="11" t="inlineStr">
        <is>
          <t>Sennerei Gonten (Appenzeller Käse)</t>
        </is>
      </c>
      <c r="E54" s="11" t="inlineStr">
        <is>
          <t>Gonten</t>
        </is>
      </c>
      <c r="F54" s="11" t="inlineStr">
        <is>
          <t>9108</t>
        </is>
      </c>
      <c r="G54" s="11" t="inlineStr">
        <is>
          <t>AI</t>
        </is>
      </c>
      <c r="H54" s="11" t="inlineStr">
        <is>
          <t>Betriebsleiter</t>
        </is>
      </c>
      <c r="I54" s="11" t="inlineStr">
        <is>
          <t>Techniker</t>
        </is>
      </c>
      <c r="J54" s="11" t="inlineStr">
        <is>
          <t>info@sennerei-gonten.ch</t>
        </is>
      </c>
      <c r="K54" s="11" t="inlineStr">
        <is>
          <t>+41 71 795 30 80</t>
        </is>
      </c>
      <c r="L54" s="11" t="n"/>
      <c r="M54" s="11" t="inlineStr">
        <is>
          <t>offen</t>
        </is>
      </c>
      <c r="N54" s="11" t="inlineStr">
        <is>
          <t>MiT-CRM: Sennerei Gonten als Kältekunde prüfen</t>
        </is>
      </c>
      <c r="O54" s="11" t="inlineStr">
        <is>
          <t>Sennerei Gonten: NEA Kühlkette 150 kVA; ISO 50001; Cross-Sell Kälte</t>
        </is>
      </c>
      <c r="P54" s="11" t="inlineStr">
        <is>
          <t>Kälte</t>
        </is>
      </c>
      <c r="Q54" s="11" t="n"/>
      <c r="R54" s="11" t="inlineStr">
        <is>
          <t>Adr: Gonten, 9108 AI | Sennerei Gonten; Appenzeller Käse; Kühlkette</t>
        </is>
      </c>
      <c r="S54" s="11" t="inlineStr">
        <is>
          <t>Käserei AI</t>
        </is>
      </c>
    </row>
    <row r="55">
      <c r="A55" s="11" t="n">
        <v>52</v>
      </c>
      <c r="B55" s="11" t="inlineStr">
        <is>
          <t>C</t>
        </is>
      </c>
      <c r="C55" s="11" t="inlineStr">
        <is>
          <t>Gemeinde/Öffentlich</t>
        </is>
      </c>
      <c r="D55" s="11" t="inlineStr">
        <is>
          <t>[MiT AI-Kältekunde Nr. 2]</t>
        </is>
      </c>
      <c r="E55" s="11" t="inlineStr">
        <is>
          <t>Appenzell</t>
        </is>
      </c>
      <c r="F55" s="11" t="inlineStr">
        <is>
          <t>9050</t>
        </is>
      </c>
      <c r="G55" s="11" t="inlineStr">
        <is>
          <t>AI</t>
        </is>
      </c>
      <c r="H55" s="11" t="inlineStr">
        <is>
          <t>Energieverantwortlicher</t>
        </is>
      </c>
      <c r="I55" s="11" t="inlineStr">
        <is>
          <t>Betriebsleiter</t>
        </is>
      </c>
      <c r="J55" s="11" t="n"/>
      <c r="K55" s="11" t="inlineStr">
        <is>
          <t>(MiT-CRM)</t>
        </is>
      </c>
      <c r="L55" s="11" t="n"/>
      <c r="M55" s="11" t="inlineStr">
        <is>
          <t>offen</t>
        </is>
      </c>
      <c r="N55" s="11" t="inlineStr">
        <is>
          <t>MiT-CRM Roberto/Stefan: AI-Kunden ohne Strom prüfen</t>
        </is>
      </c>
      <c r="O55" s="11" t="inlineStr">
        <is>
          <t>Strom-Add-on MiT-Wärme/Kälte AI</t>
        </is>
      </c>
      <c r="P55" s="11" t="n"/>
      <c r="Q55" s="11" t="n"/>
      <c r="R55" s="11" t="inlineStr">
        <is>
          <t>Locher Brauerei + Säntis 2'502 m = 2 Top-Warmleads AI</t>
        </is>
      </c>
      <c r="S55" s="11" t="inlineStr">
        <is>
          <t>Cross-Sell MiT</t>
        </is>
      </c>
    </row>
    <row r="56">
      <c r="A56" s="11" t="n">
        <v>53</v>
      </c>
      <c r="B56" s="11" t="inlineStr">
        <is>
          <t>A</t>
        </is>
      </c>
      <c r="C56" s="11" t="inlineStr">
        <is>
          <t>EVU/Netzbetreiber</t>
        </is>
      </c>
      <c r="D56" s="11" t="inlineStr">
        <is>
          <t>AEW Energie AR AG (Regionale EVU)</t>
        </is>
      </c>
      <c r="E56" s="11" t="inlineStr">
        <is>
          <t>Herisau</t>
        </is>
      </c>
      <c r="F56" s="11" t="inlineStr">
        <is>
          <t>9100</t>
        </is>
      </c>
      <c r="G56" s="11" t="inlineStr">
        <is>
          <t>AR</t>
        </is>
      </c>
      <c r="H56" s="11" t="inlineStr">
        <is>
          <t>Leiter Netzbetrieb</t>
        </is>
      </c>
      <c r="I56" s="11" t="inlineStr">
        <is>
          <t>Dipl. El.-Ing.</t>
        </is>
      </c>
      <c r="J56" s="11" t="inlineStr">
        <is>
          <t>info@aewag.ch</t>
        </is>
      </c>
      <c r="K56" s="11" t="inlineStr">
        <is>
          <t>+41 71 353 21 21</t>
        </is>
      </c>
      <c r="L56" s="11" t="n"/>
      <c r="M56" s="11" t="inlineStr">
        <is>
          <t>offen</t>
        </is>
      </c>
      <c r="N56" s="11" t="inlineStr">
        <is>
          <t>Netzbetrieb AEW AR; Urnäscherstrasse 39 Herisau; Revisionskalender</t>
        </is>
      </c>
      <c r="O56" s="11" t="inlineStr">
        <is>
          <t>Stromversorgung AR; MS-Revisionen; NEA Gemeindegebäude; Netz AR</t>
        </is>
      </c>
      <c r="P56" s="11" t="inlineStr">
        <is>
          <t>Generator</t>
        </is>
      </c>
      <c r="Q56" s="11" t="n"/>
      <c r="R56" s="11" t="inlineStr">
        <is>
          <t>Adr: Urnäscherstrasse 39, 9100 Herisau | Kantonaler EVU AR; Netz AR</t>
        </is>
      </c>
      <c r="S56" s="11" t="inlineStr">
        <is>
          <t>Kantonaler EVU</t>
        </is>
      </c>
    </row>
    <row r="57">
      <c r="A57" s="11" t="n">
        <v>54</v>
      </c>
      <c r="B57" s="11" t="inlineStr">
        <is>
          <t>A</t>
        </is>
      </c>
      <c r="C57" s="11" t="inlineStr">
        <is>
          <t>Spital/Klinik</t>
        </is>
      </c>
      <c r="D57" s="11" t="inlineStr">
        <is>
          <t>Kantonsspital AR (Spital Heiden + Herisau)</t>
        </is>
      </c>
      <c r="E57" s="11" t="inlineStr">
        <is>
          <t>Heiden</t>
        </is>
      </c>
      <c r="F57" s="11" t="inlineStr">
        <is>
          <t>9410</t>
        </is>
      </c>
      <c r="G57" s="11" t="inlineStr">
        <is>
          <t>AR</t>
        </is>
      </c>
      <c r="H57" s="11" t="inlineStr">
        <is>
          <t>Betriebsleiter Technik</t>
        </is>
      </c>
      <c r="I57" s="11" t="inlineStr">
        <is>
          <t>Dipl. El.-Ing.</t>
        </is>
      </c>
      <c r="J57" s="11" t="inlineStr">
        <is>
          <t>info@ksar.ch</t>
        </is>
      </c>
      <c r="K57" s="11" t="inlineStr">
        <is>
          <t>+41 71 891 10 00</t>
        </is>
      </c>
      <c r="L57" s="11" t="n"/>
      <c r="M57" s="11" t="inlineStr">
        <is>
          <t>offen</t>
        </is>
      </c>
      <c r="N57" s="11" t="inlineStr">
        <is>
          <t>Betriebsleiter KSAR; Spitalstrasse 1 Heiden; KSSG-Verbindung</t>
        </is>
      </c>
      <c r="O57" s="11" t="inlineStr">
        <is>
          <t>NEA 2× 250 kVA; USV OP/ICU; 700 MA; 2 Standorte AR; KSSG-Kooperation</t>
        </is>
      </c>
      <c r="P57" s="11" t="inlineStr">
        <is>
          <t>USV</t>
        </is>
      </c>
      <c r="Q57" s="11" t="n"/>
      <c r="R57" s="11" t="inlineStr">
        <is>
          <t>Adr: Spitalstrasse 1, 9410 Heiden | 2 Standorte AR; KSSG-Kooperation; NIV Art. 13</t>
        </is>
      </c>
      <c r="S57" s="11" t="inlineStr">
        <is>
          <t>Kantonsspital</t>
        </is>
      </c>
    </row>
    <row r="58">
      <c r="A58" s="11" t="n">
        <v>55</v>
      </c>
      <c r="B58" s="11" t="inlineStr">
        <is>
          <t>A</t>
        </is>
      </c>
      <c r="C58" s="11" t="inlineStr">
        <is>
          <t>Pharma/Chemie</t>
        </is>
      </c>
      <c r="D58" s="11" t="inlineStr">
        <is>
          <t>Cilander AG (Oberveredlung Herisau)</t>
        </is>
      </c>
      <c r="E58" s="11" t="inlineStr">
        <is>
          <t>Herisau</t>
        </is>
      </c>
      <c r="F58" s="11" t="inlineStr">
        <is>
          <t>9100</t>
        </is>
      </c>
      <c r="G58" s="11" t="inlineStr">
        <is>
          <t>AR</t>
        </is>
      </c>
      <c r="H58" s="11" t="inlineStr">
        <is>
          <t>Betriebsleiter Elektro</t>
        </is>
      </c>
      <c r="I58" s="11" t="inlineStr">
        <is>
          <t>Dipl. El.-Ing.</t>
        </is>
      </c>
      <c r="J58" s="11" t="inlineStr">
        <is>
          <t>info@cilander.com</t>
        </is>
      </c>
      <c r="K58" s="11" t="inlineStr">
        <is>
          <t>+41 71 353 61 11</t>
        </is>
      </c>
      <c r="L58" s="11" t="n"/>
      <c r="M58" s="11" t="inlineStr">
        <is>
          <t>offen</t>
        </is>
      </c>
      <c r="N58" s="11" t="inlineStr">
        <is>
          <t>Betriebsleiter Cilander; Kasernenstrasse 27 Herisau; FU-PQ-Pitch</t>
        </is>
      </c>
      <c r="O58" s="11" t="inlineStr">
        <is>
          <t>Textilveredlung: NEA 500 kVA; FU-Textilmaschinen intensiv; PQ; Färberei; 500 MA</t>
        </is>
      </c>
      <c r="P58" s="11" t="n"/>
      <c r="Q58" s="11" t="n"/>
      <c r="R58" s="11" t="inlineStr">
        <is>
          <t>Adr: Kasernenstrasse 27, 9100 Herisau | Textilveredlung; 500 MA; FU-intensiv</t>
        </is>
      </c>
      <c r="S58" s="11" t="inlineStr">
        <is>
          <t>Textilveredlung</t>
        </is>
      </c>
    </row>
    <row r="59">
      <c r="A59" s="11" t="n">
        <v>56</v>
      </c>
      <c r="B59" s="11" t="inlineStr">
        <is>
          <t>A</t>
        </is>
      </c>
      <c r="C59" s="11" t="inlineStr">
        <is>
          <t>Pharma/Chemie</t>
        </is>
      </c>
      <c r="D59" s="11" t="inlineStr">
        <is>
          <t>Maschinenfabrik Güdel AG (AR-Werk)</t>
        </is>
      </c>
      <c r="E59" s="11" t="inlineStr">
        <is>
          <t>Herisau</t>
        </is>
      </c>
      <c r="F59" s="11" t="inlineStr">
        <is>
          <t>9100</t>
        </is>
      </c>
      <c r="G59" s="11" t="inlineStr">
        <is>
          <t>AR</t>
        </is>
      </c>
      <c r="H59" s="11" t="inlineStr">
        <is>
          <t>Betriebsleiter Technik</t>
        </is>
      </c>
      <c r="I59" s="11" t="inlineStr">
        <is>
          <t>Dipl. El.-Ing.</t>
        </is>
      </c>
      <c r="J59" s="11" t="inlineStr">
        <is>
          <t>info@guedel.com</t>
        </is>
      </c>
      <c r="K59" s="11" t="inlineStr">
        <is>
          <t>+41 71 354 22 11</t>
        </is>
      </c>
      <c r="L59" s="11" t="n"/>
      <c r="M59" s="11" t="inlineStr">
        <is>
          <t>offen</t>
        </is>
      </c>
      <c r="N59" s="11" t="inlineStr">
        <is>
          <t>Betriebsleiter Güdel AR; FU-PQ-Pitch; AR-Maschinenind.</t>
        </is>
      </c>
      <c r="O59" s="11" t="inlineStr">
        <is>
          <t>Automatisierung: Prüfstände FU 500 kVA; PQ; EMV; Robotik</t>
        </is>
      </c>
      <c r="P59" s="11" t="n"/>
      <c r="Q59" s="11" t="n"/>
      <c r="R59" s="11" t="inlineStr">
        <is>
          <t>Adr: Herisau, 9100 AR | Automatisierung + Robotik; FU-Prüfstände</t>
        </is>
      </c>
      <c r="S59" s="11" t="inlineStr">
        <is>
          <t>Maschinenind.</t>
        </is>
      </c>
    </row>
    <row r="60">
      <c r="A60" s="11" t="n">
        <v>57</v>
      </c>
      <c r="B60" s="11" t="inlineStr">
        <is>
          <t>A</t>
        </is>
      </c>
      <c r="C60" s="11" t="inlineStr">
        <is>
          <t>Rechenzentrum/IT</t>
        </is>
      </c>
      <c r="D60" s="11" t="inlineStr">
        <is>
          <t>Appenzeller Kantonalbank (AKB-AR)</t>
        </is>
      </c>
      <c r="E60" s="11" t="inlineStr">
        <is>
          <t>Appenzell</t>
        </is>
      </c>
      <c r="F60" s="11" t="inlineStr">
        <is>
          <t>9050</t>
        </is>
      </c>
      <c r="G60" s="11" t="inlineStr">
        <is>
          <t>AR</t>
        </is>
      </c>
      <c r="H60" s="11" t="inlineStr">
        <is>
          <t>Leiter IT-Infrastruktur</t>
        </is>
      </c>
      <c r="I60" s="11" t="inlineStr">
        <is>
          <t>MSc Inf.</t>
        </is>
      </c>
      <c r="J60" s="11" t="inlineStr">
        <is>
          <t>info@akb-ar.ch</t>
        </is>
      </c>
      <c r="K60" s="11" t="inlineStr">
        <is>
          <t>+41 71 788 13 13</t>
        </is>
      </c>
      <c r="L60" s="11" t="n"/>
      <c r="M60" s="11" t="inlineStr">
        <is>
          <t>offen</t>
        </is>
      </c>
      <c r="N60" s="11" t="inlineStr">
        <is>
          <t>IT-Infrastruktur AKB AR; Hauptgasse 1 Appenzell; FINMA</t>
        </is>
      </c>
      <c r="O60" s="11" t="inlineStr">
        <is>
          <t>USV RZ 1× 200 kVA; NEA; PQ FINMA; HQ Appenzell</t>
        </is>
      </c>
      <c r="P60" s="11" t="inlineStr">
        <is>
          <t>USV</t>
        </is>
      </c>
      <c r="Q60" s="11" t="n"/>
      <c r="R60" s="11" t="inlineStr">
        <is>
          <t>Adr: Hauptgasse 1, 9050 Appenzell | Kantonalbank AR; FINMA</t>
        </is>
      </c>
      <c r="S60" s="11" t="inlineStr">
        <is>
          <t>Kantonalbank</t>
        </is>
      </c>
    </row>
    <row r="61">
      <c r="A61" s="11" t="n">
        <v>58</v>
      </c>
      <c r="B61" s="11" t="inlineStr">
        <is>
          <t>A</t>
        </is>
      </c>
      <c r="C61" s="11" t="inlineStr">
        <is>
          <t>Bergbahn/Tourismus</t>
        </is>
      </c>
      <c r="D61" s="11" t="inlineStr">
        <is>
          <t>Bergbahn Ebenalp AG (Weissbad)</t>
        </is>
      </c>
      <c r="E61" s="11" t="inlineStr">
        <is>
          <t>Weissbad</t>
        </is>
      </c>
      <c r="F61" s="11" t="inlineStr">
        <is>
          <t>9057</t>
        </is>
      </c>
      <c r="G61" s="11" t="inlineStr">
        <is>
          <t>AR</t>
        </is>
      </c>
      <c r="H61" s="11" t="inlineStr">
        <is>
          <t>Betriebsleiter</t>
        </is>
      </c>
      <c r="I61" s="11" t="inlineStr">
        <is>
          <t>Techniker</t>
        </is>
      </c>
      <c r="J61" s="11" t="inlineStr">
        <is>
          <t>info@ebenalp.ch</t>
        </is>
      </c>
      <c r="K61" s="11" t="inlineStr">
        <is>
          <t>+41 71 799 11 64</t>
        </is>
      </c>
      <c r="L61" s="11" t="n"/>
      <c r="M61" s="11" t="inlineStr">
        <is>
          <t>offen</t>
        </is>
      </c>
      <c r="N61" s="11" t="inlineStr">
        <is>
          <t>Betriebsleiter Ebenalp; Herbst-Revisionsfenster AR</t>
        </is>
      </c>
      <c r="O61" s="11" t="inlineStr">
        <is>
          <t>Ebenalp Bergbahn + Wildkirchli: NEA + Generator 150 kVA; FU; alpine Lage AR</t>
        </is>
      </c>
      <c r="P61" s="11" t="inlineStr">
        <is>
          <t>Generator</t>
        </is>
      </c>
      <c r="Q61" s="11" t="n"/>
      <c r="R61" s="11" t="inlineStr">
        <is>
          <t>Adr: Talstation Weissbad, 9057 AR | Ebenalp + Wildkirchli; alpine AR-Lage</t>
        </is>
      </c>
      <c r="S61" s="11" t="inlineStr">
        <is>
          <t>Bergbahn Ebenalp</t>
        </is>
      </c>
    </row>
    <row r="62">
      <c r="A62" s="11" t="n">
        <v>59</v>
      </c>
      <c r="B62" s="11" t="inlineStr">
        <is>
          <t>A</t>
        </is>
      </c>
      <c r="C62" s="11" t="inlineStr">
        <is>
          <t>Bergbahn/Tourismus</t>
        </is>
      </c>
      <c r="D62" s="11" t="inlineStr">
        <is>
          <t>Appenzeller Bahnen AG (AB)</t>
        </is>
      </c>
      <c r="E62" s="11" t="inlineStr">
        <is>
          <t>Herisau</t>
        </is>
      </c>
      <c r="F62" s="11" t="inlineStr">
        <is>
          <t>9100</t>
        </is>
      </c>
      <c r="G62" s="11" t="inlineStr">
        <is>
          <t>AR</t>
        </is>
      </c>
      <c r="H62" s="11" t="inlineStr">
        <is>
          <t>Betriebsleiter Technik</t>
        </is>
      </c>
      <c r="I62" s="11" t="inlineStr">
        <is>
          <t>Dipl. El.-Ing.</t>
        </is>
      </c>
      <c r="J62" s="11" t="inlineStr">
        <is>
          <t>info@ab-ar.ch</t>
        </is>
      </c>
      <c r="K62" s="11" t="inlineStr">
        <is>
          <t>+41 71 354 50 60</t>
        </is>
      </c>
      <c r="L62" s="11" t="n"/>
      <c r="M62" s="11" t="inlineStr">
        <is>
          <t>offen</t>
        </is>
      </c>
      <c r="N62" s="11" t="inlineStr">
        <is>
          <t>Betriebsleiter AB; Urnäscherstrasse 1 Herisau; simap.ch AR</t>
        </is>
      </c>
      <c r="O62" s="11" t="inlineStr">
        <is>
          <t>Schmalspurbahn AR: NEA + Baustrom 300 kVA; FU-Antriebe Triebwagen; Revisionen Strecke AR</t>
        </is>
      </c>
      <c r="P62" s="11" t="n"/>
      <c r="Q62" s="11" t="n"/>
      <c r="R62" s="11" t="inlineStr">
        <is>
          <t>Adr: Urnäscherstrasse 1, 9100 Herisau | Appenzeller Bahnen; Schmalspurbahn AR</t>
        </is>
      </c>
      <c r="S62" s="11" t="inlineStr">
        <is>
          <t>Appenzeller Bahnen</t>
        </is>
      </c>
    </row>
    <row r="63">
      <c r="A63" s="11" t="n">
        <v>60</v>
      </c>
      <c r="B63" s="11" t="inlineStr">
        <is>
          <t>A</t>
        </is>
      </c>
      <c r="C63" s="11" t="inlineStr">
        <is>
          <t>Gemeinde/Öffentlich</t>
        </is>
      </c>
      <c r="D63" s="11" t="inlineStr">
        <is>
          <t>Kanton Appenzell AR (Hochbauamt)</t>
        </is>
      </c>
      <c r="E63" s="11" t="inlineStr">
        <is>
          <t>Herisau</t>
        </is>
      </c>
      <c r="F63" s="11" t="inlineStr">
        <is>
          <t>9100</t>
        </is>
      </c>
      <c r="G63" s="11" t="inlineStr">
        <is>
          <t>AR</t>
        </is>
      </c>
      <c r="H63" s="11" t="inlineStr">
        <is>
          <t>Leiter Hochbauamt</t>
        </is>
      </c>
      <c r="I63" s="11" t="inlineStr">
        <is>
          <t>Kantonsbauingenieur</t>
        </is>
      </c>
      <c r="J63" s="11" t="inlineStr">
        <is>
          <t>info@ar.ch</t>
        </is>
      </c>
      <c r="K63" s="11" t="inlineStr">
        <is>
          <t>+41 71 353 61 11</t>
        </is>
      </c>
      <c r="L63" s="11" t="n"/>
      <c r="M63" s="11" t="inlineStr">
        <is>
          <t>offen</t>
        </is>
      </c>
      <c r="N63" s="11" t="inlineStr">
        <is>
          <t>Hochbauamt AR; Regierungsgebäude Herisau; simap.ch Alert AR</t>
        </is>
      </c>
      <c r="O63" s="11" t="inlineStr">
        <is>
          <t>NEA kantonale Gebäude AR; 70+ Liegenschaften; Rahmenvertrag AR</t>
        </is>
      </c>
      <c r="P63" s="11" t="n"/>
      <c r="Q63" s="11" t="n"/>
      <c r="R63" s="11" t="inlineStr">
        <is>
          <t>Adr: Regierungsgebäude, 9100 Herisau | Kanton AR; 70+ Liegenschaften</t>
        </is>
      </c>
      <c r="S63" s="11" t="inlineStr">
        <is>
          <t>Kanton AR</t>
        </is>
      </c>
    </row>
    <row r="64">
      <c r="A64" s="11" t="n">
        <v>61</v>
      </c>
      <c r="B64" s="11" t="inlineStr">
        <is>
          <t>A</t>
        </is>
      </c>
      <c r="C64" s="11" t="inlineStr">
        <is>
          <t>Bau/Infrastruktur</t>
        </is>
      </c>
      <c r="D64" s="11" t="inlineStr">
        <is>
          <t>ARA Herisau (Glatt-Schutz)</t>
        </is>
      </c>
      <c r="E64" s="11" t="inlineStr">
        <is>
          <t>Herisau</t>
        </is>
      </c>
      <c r="F64" s="11" t="inlineStr">
        <is>
          <t>9100</t>
        </is>
      </c>
      <c r="G64" s="11" t="inlineStr">
        <is>
          <t>AR</t>
        </is>
      </c>
      <c r="H64" s="11" t="inlineStr">
        <is>
          <t>Betriebsleiter ARA</t>
        </is>
      </c>
      <c r="I64" s="11" t="inlineStr">
        <is>
          <t>Techniker</t>
        </is>
      </c>
      <c r="J64" s="11" t="inlineStr">
        <is>
          <t>info@ara-ar.ch</t>
        </is>
      </c>
      <c r="K64" s="11" t="inlineStr">
        <is>
          <t>+41 71 353 10 10</t>
        </is>
      </c>
      <c r="L64" s="11" t="n"/>
      <c r="M64" s="11" t="inlineStr">
        <is>
          <t>offen</t>
        </is>
      </c>
      <c r="N64" s="11" t="inlineStr">
        <is>
          <t>Betriebsleiter ARA Herisau; simap.ch Alert AR</t>
        </is>
      </c>
      <c r="O64" s="11" t="inlineStr">
        <is>
          <t>NEA-Pflicht 1× 200 kVA; Glatt-Gewässerschutz; 24h</t>
        </is>
      </c>
      <c r="P64" s="11" t="inlineStr">
        <is>
          <t>Generator</t>
        </is>
      </c>
      <c r="Q64" s="11" t="n"/>
      <c r="R64" s="11" t="inlineStr">
        <is>
          <t>Adr: Herisau, 9100 AR | Glatt-Schutz; Ausschreibungspflicht</t>
        </is>
      </c>
      <c r="S64" s="11" t="inlineStr">
        <is>
          <t>ARA Herisau</t>
        </is>
      </c>
    </row>
    <row r="65">
      <c r="A65" s="11" t="n">
        <v>62</v>
      </c>
      <c r="B65" s="11" t="inlineStr">
        <is>
          <t>B</t>
        </is>
      </c>
      <c r="C65" s="11" t="inlineStr">
        <is>
          <t>Pharma/Chemie</t>
        </is>
      </c>
      <c r="D65" s="11" t="inlineStr">
        <is>
          <t>Rüegg Nahrungsmittel AG (AR)</t>
        </is>
      </c>
      <c r="E65" s="11" t="inlineStr">
        <is>
          <t>Stein AR</t>
        </is>
      </c>
      <c r="F65" s="11" t="inlineStr">
        <is>
          <t>9063</t>
        </is>
      </c>
      <c r="G65" s="11" t="inlineStr">
        <is>
          <t>AR</t>
        </is>
      </c>
      <c r="H65" s="11" t="inlineStr">
        <is>
          <t>Betriebsleiter</t>
        </is>
      </c>
      <c r="I65" s="11" t="inlineStr">
        <is>
          <t>Techniker</t>
        </is>
      </c>
      <c r="J65" s="11" t="inlineStr">
        <is>
          <t>info@ruegg-nahrungsmittel.ch</t>
        </is>
      </c>
      <c r="K65" s="11" t="inlineStr">
        <is>
          <t>+41 71 368 11 11</t>
        </is>
      </c>
      <c r="L65" s="11" t="n"/>
      <c r="M65" s="11" t="inlineStr">
        <is>
          <t>offen</t>
        </is>
      </c>
      <c r="N65" s="11" t="inlineStr">
        <is>
          <t>MiT-CRM: Rüegg AR als Kältekunde prüfen; Strom+Kälte</t>
        </is>
      </c>
      <c r="O65" s="11" t="inlineStr">
        <is>
          <t>Nahrungsmittelproduktion: NEA Kühlkette 200 kVA; FU-Abfüller; ISO 50001</t>
        </is>
      </c>
      <c r="P65" s="11" t="inlineStr">
        <is>
          <t>Kälte</t>
        </is>
      </c>
      <c r="Q65" s="11" t="n"/>
      <c r="R65" s="11" t="inlineStr">
        <is>
          <t>Adr: Stein AR, 9063 AR | Nahrungsmittel; Kühlkette; Cross-Sell</t>
        </is>
      </c>
      <c r="S65" s="11" t="inlineStr">
        <is>
          <t>Nahrungsmittel/Senf</t>
        </is>
      </c>
    </row>
    <row r="66">
      <c r="A66" s="11" t="n">
        <v>63</v>
      </c>
      <c r="B66" s="11" t="inlineStr">
        <is>
          <t>B</t>
        </is>
      </c>
      <c r="C66" s="11" t="inlineStr">
        <is>
          <t>Pharma/Chemie</t>
        </is>
      </c>
      <c r="D66" s="11" t="inlineStr">
        <is>
          <t>Optrel AG (Schweisshelme)</t>
        </is>
      </c>
      <c r="E66" s="11" t="inlineStr">
        <is>
          <t>Wattwil</t>
        </is>
      </c>
      <c r="F66" s="11" t="inlineStr">
        <is>
          <t>9630</t>
        </is>
      </c>
      <c r="G66" s="11" t="inlineStr">
        <is>
          <t>AR</t>
        </is>
      </c>
      <c r="H66" s="11" t="inlineStr">
        <is>
          <t>Betriebsleiter Technik</t>
        </is>
      </c>
      <c r="I66" s="11" t="inlineStr">
        <is>
          <t>Techniker</t>
        </is>
      </c>
      <c r="J66" s="11" t="inlineStr">
        <is>
          <t>info@optrel.com</t>
        </is>
      </c>
      <c r="K66" s="11" t="inlineStr">
        <is>
          <t>+41 71 987 41 41</t>
        </is>
      </c>
      <c r="L66" s="11" t="n"/>
      <c r="M66" s="11" t="inlineStr">
        <is>
          <t>offen</t>
        </is>
      </c>
      <c r="N66" s="11" t="inlineStr">
        <is>
          <t>Betriebsleiter Optrel; Berghofstrasse 1 Wattwil</t>
        </is>
      </c>
      <c r="O66" s="11" t="inlineStr">
        <is>
          <t>Optik/Elektronik Produktion: NEA 200 kVA; PQ; EMV; Schweisshelme</t>
        </is>
      </c>
      <c r="P66" s="11" t="n"/>
      <c r="Q66" s="11" t="n"/>
      <c r="R66" s="11" t="inlineStr">
        <is>
          <t>Adr: Berghofstrasse 1, 9630 Wattwil (AR-Region) | Schweisshelme; Elektronik</t>
        </is>
      </c>
      <c r="S66" s="11" t="inlineStr">
        <is>
          <t>Optik</t>
        </is>
      </c>
    </row>
    <row r="67">
      <c r="A67" s="11" t="n">
        <v>64</v>
      </c>
      <c r="B67" s="11" t="inlineStr">
        <is>
          <t>B</t>
        </is>
      </c>
      <c r="C67" s="11" t="inlineStr">
        <is>
          <t>Bergbahn/Tourismus</t>
        </is>
      </c>
      <c r="D67" s="11" t="inlineStr">
        <is>
          <t>Kurhotel Heiden AG</t>
        </is>
      </c>
      <c r="E67" s="11" t="inlineStr">
        <is>
          <t>Heiden</t>
        </is>
      </c>
      <c r="F67" s="11" t="inlineStr">
        <is>
          <t>9410</t>
        </is>
      </c>
      <c r="G67" s="11" t="inlineStr">
        <is>
          <t>AR</t>
        </is>
      </c>
      <c r="H67" s="11" t="inlineStr">
        <is>
          <t>Facility Manager</t>
        </is>
      </c>
      <c r="I67" s="11" t="inlineStr">
        <is>
          <t>Techniker</t>
        </is>
      </c>
      <c r="J67" s="11" t="inlineStr">
        <is>
          <t>info@kurhotel-heiden.ch</t>
        </is>
      </c>
      <c r="K67" s="11" t="inlineStr">
        <is>
          <t>+41 71 891 12 12</t>
        </is>
      </c>
      <c r="L67" s="11" t="n"/>
      <c r="M67" s="11" t="inlineStr">
        <is>
          <t>offen</t>
        </is>
      </c>
      <c r="N67" s="11" t="inlineStr">
        <is>
          <t>Facility Manager Kurhotel Heiden; alpine Lage-Pitch</t>
        </is>
      </c>
      <c r="O67" s="11" t="inlineStr">
        <is>
          <t>Kurhotel alpine Lage: NEA 1× 150 kVA; USV; Bodensee-Panorama</t>
        </is>
      </c>
      <c r="P67" s="11" t="inlineStr">
        <is>
          <t>USV</t>
        </is>
      </c>
      <c r="Q67" s="11" t="n"/>
      <c r="R67" s="11" t="inlineStr">
        <is>
          <t>Adr: Seestrasse 2, 9410 Heiden | Kurhotel; Bodensee-Panorama AR</t>
        </is>
      </c>
      <c r="S67" s="11" t="inlineStr">
        <is>
          <t>Hotel Heiden</t>
        </is>
      </c>
    </row>
    <row r="68">
      <c r="A68" s="11" t="n">
        <v>65</v>
      </c>
      <c r="B68" s="11" t="inlineStr">
        <is>
          <t>C</t>
        </is>
      </c>
      <c r="C68" s="11" t="inlineStr">
        <is>
          <t>Pharma/Chemie</t>
        </is>
      </c>
      <c r="D68" s="11" t="inlineStr">
        <is>
          <t>Käserei AR (Appenzeller Käse)</t>
        </is>
      </c>
      <c r="E68" s="11" t="inlineStr">
        <is>
          <t>Stein AR</t>
        </is>
      </c>
      <c r="F68" s="11" t="inlineStr">
        <is>
          <t>9063</t>
        </is>
      </c>
      <c r="G68" s="11" t="inlineStr">
        <is>
          <t>AR</t>
        </is>
      </c>
      <c r="H68" s="11" t="inlineStr">
        <is>
          <t>Betriebsleiter</t>
        </is>
      </c>
      <c r="I68" s="11" t="inlineStr">
        <is>
          <t>Techniker</t>
        </is>
      </c>
      <c r="J68" s="11" t="inlineStr">
        <is>
          <t>info@appenzeller.com</t>
        </is>
      </c>
      <c r="K68" s="11" t="inlineStr">
        <is>
          <t>+41 71 368 11 11</t>
        </is>
      </c>
      <c r="L68" s="11" t="n"/>
      <c r="M68" s="11" t="inlineStr">
        <is>
          <t>offen</t>
        </is>
      </c>
      <c r="N68" s="11" t="inlineStr">
        <is>
          <t>MiT-CRM: Appenzeller Käserei als Kältekunde prüfen</t>
        </is>
      </c>
      <c r="O68" s="11" t="inlineStr">
        <is>
          <t>Appenzeller Käse Produktion: NEA Kühlkette 300 kVA; ISO 50001</t>
        </is>
      </c>
      <c r="P68" s="11" t="inlineStr">
        <is>
          <t>Kälte</t>
        </is>
      </c>
      <c r="Q68" s="11" t="n"/>
      <c r="R68" s="11" t="inlineStr">
        <is>
          <t>Adr: Stein AR, 9063 AR | Appenzeller Käse; Kühlkette; Cross-Sell</t>
        </is>
      </c>
      <c r="S68" s="11" t="inlineStr">
        <is>
          <t>Käserei</t>
        </is>
      </c>
    </row>
    <row r="69">
      <c r="A69" s="11" t="n">
        <v>66</v>
      </c>
      <c r="B69" s="11" t="inlineStr">
        <is>
          <t>C</t>
        </is>
      </c>
      <c r="C69" s="11" t="inlineStr">
        <is>
          <t>Gemeinde/Öffentlich</t>
        </is>
      </c>
      <c r="D69" s="11" t="inlineStr">
        <is>
          <t>[MiT AR-Kältekunde Nr. 1]</t>
        </is>
      </c>
      <c r="E69" s="11" t="inlineStr">
        <is>
          <t>Herisau</t>
        </is>
      </c>
      <c r="F69" s="11" t="inlineStr">
        <is>
          <t>9100</t>
        </is>
      </c>
      <c r="G69" s="11" t="inlineStr">
        <is>
          <t>AR</t>
        </is>
      </c>
      <c r="H69" s="11" t="inlineStr">
        <is>
          <t>Energieverantwortlicher</t>
        </is>
      </c>
      <c r="I69" s="11" t="inlineStr">
        <is>
          <t>Betriebsleiter</t>
        </is>
      </c>
      <c r="J69" s="11" t="n"/>
      <c r="K69" s="11" t="inlineStr">
        <is>
          <t>(MiT-CRM)</t>
        </is>
      </c>
      <c r="L69" s="11" t="n"/>
      <c r="M69" s="11" t="inlineStr">
        <is>
          <t>offen</t>
        </is>
      </c>
      <c r="N69" s="11" t="inlineStr">
        <is>
          <t>MiT-CRM Roberto/Stefan: AR-Kunden ohne Strom prüfen</t>
        </is>
      </c>
      <c r="O69" s="11" t="inlineStr">
        <is>
          <t>Strom-Add-on MiT-Wärme/Kälte AR</t>
        </is>
      </c>
      <c r="P69" s="11" t="n"/>
      <c r="Q69" s="11" t="n"/>
      <c r="R69" s="11" t="inlineStr">
        <is>
          <t>AEW AR = Türöffner AR; Cilander + KS AR = Top-Accounts</t>
        </is>
      </c>
      <c r="S69" s="11" t="inlineStr">
        <is>
          <t>Cross-Sell MiT</t>
        </is>
      </c>
    </row>
    <row r="70">
      <c r="A70" s="11" t="n">
        <v>67</v>
      </c>
      <c r="B70" s="11" t="inlineStr">
        <is>
          <t>A</t>
        </is>
      </c>
      <c r="C70" s="11" t="inlineStr">
        <is>
          <t>Pharma/Chemie</t>
        </is>
      </c>
      <c r="D70" s="11" t="inlineStr">
        <is>
          <t>Saurer Group (Arbon AR/TG)</t>
        </is>
      </c>
      <c r="E70" s="11" t="inlineStr">
        <is>
          <t>Herisau</t>
        </is>
      </c>
      <c r="F70" s="11" t="inlineStr">
        <is>
          <t>9100</t>
        </is>
      </c>
      <c r="G70" s="11" t="inlineStr">
        <is>
          <t>AR</t>
        </is>
      </c>
      <c r="H70" s="11" t="inlineStr">
        <is>
          <t>Betriebsleiter Elektro</t>
        </is>
      </c>
      <c r="I70" s="11" t="inlineStr">
        <is>
          <t>MSc El.-Ing.</t>
        </is>
      </c>
      <c r="J70" s="11" t="inlineStr">
        <is>
          <t>info@saurer.com</t>
        </is>
      </c>
      <c r="K70" s="11" t="inlineStr">
        <is>
          <t>+41 71 354 85 00</t>
        </is>
      </c>
      <c r="L70" s="11" t="n"/>
      <c r="M70" s="11" t="inlineStr">
        <is>
          <t>offen</t>
        </is>
      </c>
      <c r="N70" s="11" t="inlineStr">
        <is>
          <t>Betriebsleiter Saurer AR; Arbon AR/TG; FU-PQ-Pitch</t>
        </is>
      </c>
      <c r="O70" s="11" t="inlineStr">
        <is>
          <t>Textilmaschinen Prüfstände: FU 1 MVA; PQ; EMV; 3'500 MA ww; AR/TG-Cluster</t>
        </is>
      </c>
      <c r="P70" s="11" t="n"/>
      <c r="Q70" s="11" t="n"/>
      <c r="R70" s="11" t="inlineStr">
        <is>
          <t>Adr: Herisau/Arbon, 9100 AR | Saurer Textilmaschinen; 3'500 MA ww</t>
        </is>
      </c>
      <c r="S70" s="11" t="inlineStr">
        <is>
          <t>Textilmaschinen</t>
        </is>
      </c>
    </row>
    <row r="71">
      <c r="A71" s="11" t="n">
        <v>68</v>
      </c>
      <c r="B71" s="11" t="inlineStr">
        <is>
          <t>A</t>
        </is>
      </c>
      <c r="C71" s="11" t="inlineStr">
        <is>
          <t>Pharma/Chemie</t>
        </is>
      </c>
      <c r="D71" s="11" t="inlineStr">
        <is>
          <t>Huhtamaki AG (Werk Heiden AR)</t>
        </is>
      </c>
      <c r="E71" s="11" t="inlineStr">
        <is>
          <t>Heiden</t>
        </is>
      </c>
      <c r="F71" s="11" t="inlineStr">
        <is>
          <t>9410</t>
        </is>
      </c>
      <c r="G71" s="11" t="inlineStr">
        <is>
          <t>AR</t>
        </is>
      </c>
      <c r="H71" s="11" t="inlineStr">
        <is>
          <t>Betriebsleiter Technik</t>
        </is>
      </c>
      <c r="I71" s="11" t="inlineStr">
        <is>
          <t>Dipl. El.-Ing.</t>
        </is>
      </c>
      <c r="J71" s="11" t="inlineStr">
        <is>
          <t>info@huhtamaki.com</t>
        </is>
      </c>
      <c r="K71" s="11" t="inlineStr">
        <is>
          <t>+41 71 898 88 88</t>
        </is>
      </c>
      <c r="L71" s="11" t="n"/>
      <c r="M71" s="11" t="inlineStr">
        <is>
          <t>offen</t>
        </is>
      </c>
      <c r="N71" s="11" t="inlineStr">
        <is>
          <t>Betriebsleiter Huhtamaki Heiden; FU-PQ-Pitch AR</t>
        </is>
      </c>
      <c r="O71" s="11" t="inlineStr">
        <is>
          <t>Verpackungsproduktion: NEA 500 kVA; FU-Tiefziehmaschinen; PQ; ISO 50001</t>
        </is>
      </c>
      <c r="P71" s="11" t="n"/>
      <c r="Q71" s="11" t="n"/>
      <c r="R71" s="11" t="inlineStr">
        <is>
          <t>Adr: Heiden, 9410 AR | Huhtamaki Verpackung; FU-Tiefziehmaschinen</t>
        </is>
      </c>
      <c r="S71" s="11" t="inlineStr">
        <is>
          <t>Verpackung</t>
        </is>
      </c>
    </row>
    <row r="72">
      <c r="A72" s="11" t="n">
        <v>69</v>
      </c>
      <c r="B72" s="11" t="inlineStr">
        <is>
          <t>A</t>
        </is>
      </c>
      <c r="C72" s="11" t="inlineStr">
        <is>
          <t>Spital/Klinik</t>
        </is>
      </c>
      <c r="D72" s="11" t="inlineStr">
        <is>
          <t>Psychiatrische Klinik Herisau (ARA-Verbund)</t>
        </is>
      </c>
      <c r="E72" s="11" t="inlineStr">
        <is>
          <t>Herisau</t>
        </is>
      </c>
      <c r="F72" s="11" t="inlineStr">
        <is>
          <t>9100</t>
        </is>
      </c>
      <c r="G72" s="11" t="inlineStr">
        <is>
          <t>AR</t>
        </is>
      </c>
      <c r="H72" s="11" t="inlineStr">
        <is>
          <t>Betriebsleiter Technik</t>
        </is>
      </c>
      <c r="I72" s="11" t="inlineStr">
        <is>
          <t>Techniker</t>
        </is>
      </c>
      <c r="J72" s="11" t="inlineStr">
        <is>
          <t>info@pkar.ch</t>
        </is>
      </c>
      <c r="K72" s="11" t="inlineStr">
        <is>
          <t>+41 71 353 26 26</t>
        </is>
      </c>
      <c r="L72" s="11" t="n"/>
      <c r="M72" s="11" t="inlineStr">
        <is>
          <t>offen</t>
        </is>
      </c>
      <c r="N72" s="11" t="inlineStr">
        <is>
          <t>Betriebsleiter Psychiatrie AR; Herisau; NIV Art. 13</t>
        </is>
      </c>
      <c r="O72" s="11" t="inlineStr">
        <is>
          <t>Psychiatrieklinik: NEA 1× 200 kVA; USV; 24h; 250 MA</t>
        </is>
      </c>
      <c r="P72" s="11" t="inlineStr">
        <is>
          <t>USV</t>
        </is>
      </c>
      <c r="Q72" s="11" t="n"/>
      <c r="R72" s="11" t="inlineStr">
        <is>
          <t>Adr: Herisau, 9100 AR | Psychiatrische Klinik; 24h; NIV Art. 13</t>
        </is>
      </c>
      <c r="S72" s="11" t="inlineStr">
        <is>
          <t>Psychiatrie AR</t>
        </is>
      </c>
    </row>
    <row r="73">
      <c r="A73" s="11" t="n">
        <v>70</v>
      </c>
      <c r="B73" s="11" t="inlineStr">
        <is>
          <t>B</t>
        </is>
      </c>
      <c r="C73" s="11" t="inlineStr">
        <is>
          <t>Bergbahn/Tourismus</t>
        </is>
      </c>
      <c r="D73" s="11" t="inlineStr">
        <is>
          <t>Kurhotel Heiden (Bodensee-Panorama)</t>
        </is>
      </c>
      <c r="E73" s="11" t="inlineStr">
        <is>
          <t>Heiden</t>
        </is>
      </c>
      <c r="F73" s="11" t="inlineStr">
        <is>
          <t>9410</t>
        </is>
      </c>
      <c r="G73" s="11" t="inlineStr">
        <is>
          <t>AR</t>
        </is>
      </c>
      <c r="H73" s="11" t="inlineStr">
        <is>
          <t>Facility Manager</t>
        </is>
      </c>
      <c r="I73" s="11" t="inlineStr">
        <is>
          <t>Techniker</t>
        </is>
      </c>
      <c r="J73" s="11" t="inlineStr">
        <is>
          <t>info@kurhotel-heiden.ch</t>
        </is>
      </c>
      <c r="K73" s="11" t="inlineStr">
        <is>
          <t>+41 71 891 12 12</t>
        </is>
      </c>
      <c r="L73" s="11" t="n"/>
      <c r="M73" s="11" t="inlineStr">
        <is>
          <t>offen</t>
        </is>
      </c>
      <c r="N73" s="11" t="inlineStr">
        <is>
          <t>Facility Manager Kurhotel Heiden; Bodensee-Panorama-Pitch</t>
        </is>
      </c>
      <c r="O73" s="11" t="inlineStr">
        <is>
          <t>Kurhotel 4-Sterne: NEA 1× 200 kVA; USV; Bodensee-Panorama AR</t>
        </is>
      </c>
      <c r="P73" s="11" t="inlineStr">
        <is>
          <t>USV</t>
        </is>
      </c>
      <c r="Q73" s="11" t="n"/>
      <c r="R73" s="11" t="inlineStr">
        <is>
          <t>Adr: Seestrasse 2, 9410 Heiden | 4-Sterne Kurhotel; Bodensee-Panorama AR</t>
        </is>
      </c>
      <c r="S73" s="11" t="inlineStr">
        <is>
          <t>Wellness Heiden</t>
        </is>
      </c>
    </row>
    <row r="74">
      <c r="A74" s="11" t="n">
        <v>71</v>
      </c>
      <c r="B74" s="11" t="inlineStr">
        <is>
          <t>B</t>
        </is>
      </c>
      <c r="C74" s="11" t="inlineStr">
        <is>
          <t>Elektroplaner/Engineering</t>
        </is>
      </c>
      <c r="D74" s="11" t="inlineStr">
        <is>
          <t>EKZ Eltop Herisau AR</t>
        </is>
      </c>
      <c r="E74" s="11" t="inlineStr">
        <is>
          <t>Herisau</t>
        </is>
      </c>
      <c r="F74" s="11" t="inlineStr">
        <is>
          <t>9100</t>
        </is>
      </c>
      <c r="G74" s="11" t="inlineStr">
        <is>
          <t>AR</t>
        </is>
      </c>
      <c r="H74" s="11" t="inlineStr">
        <is>
          <t>Filialleiter</t>
        </is>
      </c>
      <c r="I74" s="11" t="inlineStr">
        <is>
          <t>Elektroinstallateur EFZ</t>
        </is>
      </c>
      <c r="J74" s="11" t="inlineStr">
        <is>
          <t>herisau@ekzeltop.ch</t>
        </is>
      </c>
      <c r="K74" s="11" t="inlineStr">
        <is>
          <t>+41 71 354 20 00</t>
        </is>
      </c>
      <c r="L74" s="11" t="n"/>
      <c r="M74" s="11" t="inlineStr">
        <is>
          <t>offen</t>
        </is>
      </c>
      <c r="N74" s="11" t="inlineStr">
        <is>
          <t>Filialleiter Eltop Herisau; EKZ-Verbindung nutzen; AR+SG-Partnerschaft</t>
        </is>
      </c>
      <c r="O74" s="11" t="inlineStr">
        <is>
          <t>Elektrounternehmen Herisau: Industrie+Gewerbe; EKZ-Tochter AR; AR-Marktführer</t>
        </is>
      </c>
      <c r="P74" s="11" t="n"/>
      <c r="Q74" s="11" t="n"/>
      <c r="R74" s="11" t="inlineStr">
        <is>
          <t>Adr: Herisau, 9100 AR | EKZ Eltop; AR-Marktführer; EKZ-Netz AR+SG</t>
        </is>
      </c>
      <c r="S74" s="11" t="inlineStr">
        <is>
          <t>Elektrounternehmen AR</t>
        </is>
      </c>
    </row>
    <row r="75">
      <c r="A75" s="11" t="n">
        <v>72</v>
      </c>
      <c r="B75" s="11" t="inlineStr">
        <is>
          <t>C</t>
        </is>
      </c>
      <c r="C75" s="11" t="inlineStr">
        <is>
          <t>Gemeinde/Öffentlich</t>
        </is>
      </c>
      <c r="D75" s="11" t="inlineStr">
        <is>
          <t>[MiT AR-Kältekunde Nr. 2]</t>
        </is>
      </c>
      <c r="E75" s="11" t="inlineStr">
        <is>
          <t>Herisau</t>
        </is>
      </c>
      <c r="F75" s="11" t="inlineStr">
        <is>
          <t>9100</t>
        </is>
      </c>
      <c r="G75" s="11" t="inlineStr">
        <is>
          <t>AR</t>
        </is>
      </c>
      <c r="H75" s="11" t="inlineStr">
        <is>
          <t>Energieverantwortlicher</t>
        </is>
      </c>
      <c r="I75" s="11" t="inlineStr">
        <is>
          <t>Betriebsleiter</t>
        </is>
      </c>
      <c r="J75" s="11" t="n"/>
      <c r="K75" s="11" t="inlineStr">
        <is>
          <t>(MiT-CRM)</t>
        </is>
      </c>
      <c r="L75" s="11" t="n"/>
      <c r="M75" s="11" t="inlineStr">
        <is>
          <t>offen</t>
        </is>
      </c>
      <c r="N75" s="11" t="inlineStr">
        <is>
          <t>MiT-CRM Roberto/Stefan: AR-Kunden ohne Strom prüfen</t>
        </is>
      </c>
      <c r="O75" s="11" t="inlineStr">
        <is>
          <t>Strom-Add-on MiT-Wärme/Kälte AR</t>
        </is>
      </c>
      <c r="P75" s="11" t="n"/>
      <c r="Q75" s="11" t="n"/>
      <c r="R75" s="11" t="inlineStr">
        <is>
          <t>Saurer 3'500 MA + KSAR 2 Standorte = schnellste Warmleads AR</t>
        </is>
      </c>
      <c r="S75" s="11" t="inlineStr">
        <is>
          <t>Cross-Sell MiT</t>
        </is>
      </c>
    </row>
    <row r="76">
      <c r="A76" s="11" t="n">
        <v>73</v>
      </c>
      <c r="B76" s="11" t="inlineStr">
        <is>
          <t>A</t>
        </is>
      </c>
      <c r="C76" s="11" t="inlineStr">
        <is>
          <t>EVU/Netzbetreiber</t>
        </is>
      </c>
      <c r="D76" s="11" t="inlineStr">
        <is>
          <t>BKW Energie AG</t>
        </is>
      </c>
      <c r="E76" s="11" t="inlineStr">
        <is>
          <t>Bern</t>
        </is>
      </c>
      <c r="F76" s="11" t="inlineStr">
        <is>
          <t>3013</t>
        </is>
      </c>
      <c r="G76" s="11" t="inlineStr">
        <is>
          <t>BE</t>
        </is>
      </c>
      <c r="H76" s="11" t="inlineStr">
        <is>
          <t>Leiter Netzbetrieb</t>
        </is>
      </c>
      <c r="I76" s="11" t="inlineStr">
        <is>
          <t>Dipl. El.-Ing.</t>
        </is>
      </c>
      <c r="J76" s="11" t="inlineStr">
        <is>
          <t>info@bkw.ch</t>
        </is>
      </c>
      <c r="K76" s="11" t="inlineStr">
        <is>
          <t>+41 58 477 51 11</t>
        </is>
      </c>
      <c r="L76" s="11" t="n"/>
      <c r="M76" s="11" t="inlineStr">
        <is>
          <t>offen</t>
        </is>
      </c>
      <c r="N76" s="11" t="inlineStr">
        <is>
          <t>Netzbetrieb BKW; Revisionskalender + Ingenieurdienstl. anfragen</t>
        </is>
      </c>
      <c r="O76" s="11" t="inlineStr">
        <is>
          <t>700'000 Kunden; MS/HS-Revisionen; BESS; Ingenieurdienstleistungen</t>
        </is>
      </c>
      <c r="P76" s="11" t="inlineStr">
        <is>
          <t>BESS</t>
        </is>
      </c>
      <c r="Q76" s="11" t="n"/>
      <c r="R76" s="11" t="inlineStr">
        <is>
          <t>Adr: Viktoriaplatz 2, 3013 Bern | Grösster Energiekonzern BE; 700'000 Kunden</t>
        </is>
      </c>
      <c r="S76" s="11" t="inlineStr">
        <is>
          <t>Kantonaler EVU</t>
        </is>
      </c>
    </row>
    <row r="77">
      <c r="A77" s="11" t="n">
        <v>74</v>
      </c>
      <c r="B77" s="11" t="inlineStr">
        <is>
          <t>A</t>
        </is>
      </c>
      <c r="C77" s="11" t="inlineStr">
        <is>
          <t>EVU/Netzbetreiber</t>
        </is>
      </c>
      <c r="D77" s="11" t="inlineStr">
        <is>
          <t>Energie Wasser Bern (ewb)</t>
        </is>
      </c>
      <c r="E77" s="11" t="inlineStr">
        <is>
          <t>Bern</t>
        </is>
      </c>
      <c r="F77" s="11" t="inlineStr">
        <is>
          <t>3001</t>
        </is>
      </c>
      <c r="G77" s="11" t="inlineStr">
        <is>
          <t>BE</t>
        </is>
      </c>
      <c r="H77" s="11" t="inlineStr">
        <is>
          <t>Betriebsleiter Netz</t>
        </is>
      </c>
      <c r="I77" s="11" t="inlineStr">
        <is>
          <t>Dipl. El.-Ing.</t>
        </is>
      </c>
      <c r="J77" s="11" t="inlineStr">
        <is>
          <t>info@ewb.ch</t>
        </is>
      </c>
      <c r="K77" s="11" t="inlineStr">
        <is>
          <t>+41 31 321 31 11</t>
        </is>
      </c>
      <c r="L77" s="11" t="n"/>
      <c r="M77" s="11" t="inlineStr">
        <is>
          <t>offen</t>
        </is>
      </c>
      <c r="N77" s="11" t="inlineStr">
        <is>
          <t>Netzverantwortlichen ewb; simap.ch Alert Bern</t>
        </is>
      </c>
      <c r="O77" s="11" t="inlineStr">
        <is>
          <t>Netzersatz Bundesstadt; MS-Revisionen; NEA Bundesgebäude; Fernwärme</t>
        </is>
      </c>
      <c r="P77" s="11" t="n"/>
      <c r="Q77" s="11" t="n"/>
      <c r="R77" s="11" t="inlineStr">
        <is>
          <t>Adr: Monbijoustrasse 11, 3001 Bern | Stadtwerk Bern; Strom+Wasser+Wärme+Bus</t>
        </is>
      </c>
      <c r="S77" s="11" t="inlineStr">
        <is>
          <t>Stadtwerk Bern</t>
        </is>
      </c>
    </row>
    <row r="78">
      <c r="A78" s="11" t="n">
        <v>75</v>
      </c>
      <c r="B78" s="11" t="inlineStr">
        <is>
          <t>A</t>
        </is>
      </c>
      <c r="C78" s="11" t="inlineStr">
        <is>
          <t>Spital/Klinik</t>
        </is>
      </c>
      <c r="D78" s="11" t="inlineStr">
        <is>
          <t>Inselspital Bern (INO-Neubau 2024)</t>
        </is>
      </c>
      <c r="E78" s="11" t="inlineStr">
        <is>
          <t>Bern</t>
        </is>
      </c>
      <c r="F78" s="11" t="inlineStr">
        <is>
          <t>3010</t>
        </is>
      </c>
      <c r="G78" s="11" t="inlineStr">
        <is>
          <t>BE</t>
        </is>
      </c>
      <c r="H78" s="11" t="inlineStr">
        <is>
          <t>Leiter TGM</t>
        </is>
      </c>
      <c r="I78" s="11" t="inlineStr">
        <is>
          <t>MSc El.-Ing.</t>
        </is>
      </c>
      <c r="J78" s="11" t="inlineStr">
        <is>
          <t>info@insel.ch</t>
        </is>
      </c>
      <c r="K78" s="11" t="inlineStr">
        <is>
          <t>+41 31 632 21 11</t>
        </is>
      </c>
      <c r="L78" s="11" t="n"/>
      <c r="M78" s="11" t="inlineStr">
        <is>
          <t>offen</t>
        </is>
      </c>
      <c r="N78" s="11" t="inlineStr">
        <is>
          <t>TGM Inselspital; INO-Betriebsphase-Vertrag anstreben</t>
        </is>
      </c>
      <c r="O78" s="11" t="inlineStr">
        <is>
          <t>NEA 6× 500 kVA; USV OP/ICU; 9'000 MA; INO-Neubau 2024 bezogen</t>
        </is>
      </c>
      <c r="P78" s="11" t="inlineStr">
        <is>
          <t>USV</t>
        </is>
      </c>
      <c r="Q78" s="11" t="n"/>
      <c r="R78" s="11" t="inlineStr">
        <is>
          <t>Adr: Freiburgstrasse 15, 3010 Bern | 9'000 MA; Grösstes Spital BE</t>
        </is>
      </c>
      <c r="S78" s="11" t="inlineStr">
        <is>
          <t>Universitätsspital</t>
        </is>
      </c>
    </row>
    <row r="79">
      <c r="A79" s="11" t="n">
        <v>76</v>
      </c>
      <c r="B79" s="11" t="inlineStr">
        <is>
          <t>A</t>
        </is>
      </c>
      <c r="C79" s="11" t="inlineStr">
        <is>
          <t>Spital/Klinik</t>
        </is>
      </c>
      <c r="D79" s="11" t="inlineStr">
        <is>
          <t>Hirslanden Beau-Site/Salem Bern</t>
        </is>
      </c>
      <c r="E79" s="11" t="inlineStr">
        <is>
          <t>Bern</t>
        </is>
      </c>
      <c r="F79" s="11" t="inlineStr">
        <is>
          <t>3013</t>
        </is>
      </c>
      <c r="G79" s="11" t="inlineStr">
        <is>
          <t>BE</t>
        </is>
      </c>
      <c r="H79" s="11" t="inlineStr">
        <is>
          <t>Regionalleiter Technik</t>
        </is>
      </c>
      <c r="I79" s="11" t="inlineStr">
        <is>
          <t>Dipl. El.-Ing.</t>
        </is>
      </c>
      <c r="J79" s="11" t="inlineStr">
        <is>
          <t>info.bern@hirslanden.ch</t>
        </is>
      </c>
      <c r="K79" s="11" t="inlineStr">
        <is>
          <t>+41 31 335 33 11</t>
        </is>
      </c>
      <c r="L79" s="11" t="n"/>
      <c r="M79" s="11" t="inlineStr">
        <is>
          <t>offen</t>
        </is>
      </c>
      <c r="N79" s="11" t="inlineStr">
        <is>
          <t>Regionaltechnik Hirslanden Bern identifizieren</t>
        </is>
      </c>
      <c r="O79" s="11" t="inlineStr">
        <is>
          <t>NEA 2× 350 kVA; USV OP; 2 Standorte Bern; Aevis</t>
        </is>
      </c>
      <c r="P79" s="11" t="inlineStr">
        <is>
          <t>USV</t>
        </is>
      </c>
      <c r="Q79" s="11" t="n"/>
      <c r="R79" s="11" t="inlineStr">
        <is>
          <t>Adr: Schänzlihalde 11, 3013 Bern | 2 Standorte BE; Aevis Victoria</t>
        </is>
      </c>
      <c r="S79" s="11" t="inlineStr">
        <is>
          <t>Privatklinikgruppe</t>
        </is>
      </c>
    </row>
    <row r="80">
      <c r="A80" s="11" t="n">
        <v>77</v>
      </c>
      <c r="B80" s="11" t="inlineStr">
        <is>
          <t>A</t>
        </is>
      </c>
      <c r="C80" s="11" t="inlineStr">
        <is>
          <t>Gemeinde/Öffentlich</t>
        </is>
      </c>
      <c r="D80" s="11" t="inlineStr">
        <is>
          <t>Bundesamt BBL (CH-weit)</t>
        </is>
      </c>
      <c r="E80" s="11" t="inlineStr">
        <is>
          <t>Bern</t>
        </is>
      </c>
      <c r="F80" s="11" t="inlineStr">
        <is>
          <t>3003</t>
        </is>
      </c>
      <c r="G80" s="11" t="inlineStr">
        <is>
          <t>BE</t>
        </is>
      </c>
      <c r="H80" s="11" t="inlineStr">
        <is>
          <t>Leiter Immobilien</t>
        </is>
      </c>
      <c r="I80" s="11" t="inlineStr">
        <is>
          <t>Bundesbauingenieur</t>
        </is>
      </c>
      <c r="J80" s="11" t="inlineStr">
        <is>
          <t>info@bbl.admin.ch</t>
        </is>
      </c>
      <c r="K80" s="11" t="inlineStr">
        <is>
          <t>+41 58 462 55 00</t>
        </is>
      </c>
      <c r="L80" s="11" t="n"/>
      <c r="M80" s="11" t="inlineStr">
        <is>
          <t>offen</t>
        </is>
      </c>
      <c r="N80" s="11" t="inlineStr">
        <is>
          <t>BBL Rahmenvertrag Bund; simap.ch Alert 'BBL Bern'</t>
        </is>
      </c>
      <c r="O80" s="11" t="inlineStr">
        <is>
          <t>NEA Bundesgebäude CH-weit; 3'000+ Liegenschaften; Rahmenvertrag Bund</t>
        </is>
      </c>
      <c r="P80" s="11" t="n"/>
      <c r="Q80" s="11" t="n"/>
      <c r="R80" s="11" t="inlineStr">
        <is>
          <t>Adr: Fellerstrasse 21, 3003 Bern | Bundesrahmenvertrag = grösstes öffentliches Volumen CH</t>
        </is>
      </c>
      <c r="S80" s="11" t="inlineStr">
        <is>
          <t>Bundesgebäude</t>
        </is>
      </c>
    </row>
    <row r="81">
      <c r="A81" s="11" t="n">
        <v>78</v>
      </c>
      <c r="B81" s="11" t="inlineStr">
        <is>
          <t>A</t>
        </is>
      </c>
      <c r="C81" s="11" t="inlineStr">
        <is>
          <t>Bau/Infrastruktur</t>
        </is>
      </c>
      <c r="D81" s="11" t="inlineStr">
        <is>
          <t>SBB AG (HQ Bern)</t>
        </is>
      </c>
      <c r="E81" s="11" t="inlineStr">
        <is>
          <t>Bern</t>
        </is>
      </c>
      <c r="F81" s="11" t="inlineStr">
        <is>
          <t>3000</t>
        </is>
      </c>
      <c r="G81" s="11" t="inlineStr">
        <is>
          <t>BE</t>
        </is>
      </c>
      <c r="H81" s="11" t="inlineStr">
        <is>
          <t>Leiter Infra Energie CH</t>
        </is>
      </c>
      <c r="I81" s="11" t="inlineStr">
        <is>
          <t>MSc El.-Ing.</t>
        </is>
      </c>
      <c r="J81" s="11" t="inlineStr">
        <is>
          <t>kontakt@sbb.ch</t>
        </is>
      </c>
      <c r="K81" s="11" t="inlineStr">
        <is>
          <t>+41 58 333 33 33</t>
        </is>
      </c>
      <c r="L81" s="11" t="n"/>
      <c r="M81" s="11" t="inlineStr">
        <is>
          <t>offen</t>
        </is>
      </c>
      <c r="N81" s="11" t="inlineStr">
        <is>
          <t>Infra Energie SBB HQ; simap.ch 'SBB Netzersatz'</t>
        </is>
      </c>
      <c r="O81" s="11" t="inlineStr">
        <is>
          <t>Baustellen CH-weit 200–2'000 kVA; NEA Bahnhöfe; NEAT; HQ Bern</t>
        </is>
      </c>
      <c r="P81" s="11" t="n"/>
      <c r="Q81" s="11" t="n"/>
      <c r="R81" s="11" t="inlineStr">
        <is>
          <t>Adr: Hilfikerstrasse 3, 3000 Bern | HQ SBB; Rahmenvertrag national</t>
        </is>
      </c>
      <c r="S81" s="11" t="inlineStr">
        <is>
          <t>Bundesbahn</t>
        </is>
      </c>
    </row>
    <row r="82">
      <c r="A82" s="11" t="n">
        <v>79</v>
      </c>
      <c r="B82" s="11" t="inlineStr">
        <is>
          <t>A</t>
        </is>
      </c>
      <c r="C82" s="11" t="inlineStr">
        <is>
          <t>Pharma/Chemie</t>
        </is>
      </c>
      <c r="D82" s="11" t="inlineStr">
        <is>
          <t>Swatch Group AG (HQ Biel)</t>
        </is>
      </c>
      <c r="E82" s="11" t="inlineStr">
        <is>
          <t>Biel/Bienne</t>
        </is>
      </c>
      <c r="F82" s="11" t="inlineStr">
        <is>
          <t>2501</t>
        </is>
      </c>
      <c r="G82" s="11" t="inlineStr">
        <is>
          <t>BE</t>
        </is>
      </c>
      <c r="H82" s="11" t="inlineStr">
        <is>
          <t>Betriebsleiter Technik</t>
        </is>
      </c>
      <c r="I82" s="11" t="inlineStr">
        <is>
          <t>Dipl. El.-Ing.</t>
        </is>
      </c>
      <c r="J82" s="11" t="inlineStr">
        <is>
          <t>info@swatchgroup.com</t>
        </is>
      </c>
      <c r="K82" s="11" t="inlineStr">
        <is>
          <t>+41 32 343 68 11</t>
        </is>
      </c>
      <c r="L82" s="11" t="n"/>
      <c r="M82" s="11" t="inlineStr">
        <is>
          <t>offen</t>
        </is>
      </c>
      <c r="N82" s="11" t="inlineStr">
        <is>
          <t>Betriebsleiter Swatch Group HQ; 18 Uhrenmarken ansprechen</t>
        </is>
      </c>
      <c r="O82" s="11" t="inlineStr">
        <is>
          <t>Uhrenproduktion 18 Standorte: PQ + NEA + USV; 17'500 MA ww</t>
        </is>
      </c>
      <c r="P82" s="11" t="n"/>
      <c r="Q82" s="11" t="n"/>
      <c r="R82" s="11" t="inlineStr">
        <is>
          <t>Adr: Seevorstadt 6, 2501 Biel | 17'500 MA ww; 18 Uhrenmarken</t>
        </is>
      </c>
      <c r="S82" s="11" t="inlineStr">
        <is>
          <t>Uhren/Konglomerat</t>
        </is>
      </c>
    </row>
    <row r="83">
      <c r="A83" s="11" t="n">
        <v>80</v>
      </c>
      <c r="B83" s="11" t="inlineStr">
        <is>
          <t>A</t>
        </is>
      </c>
      <c r="C83" s="11" t="inlineStr">
        <is>
          <t>Pharma/Chemie</t>
        </is>
      </c>
      <c r="D83" s="11" t="inlineStr">
        <is>
          <t>Rolex SA (Werk Biel/Bienne)</t>
        </is>
      </c>
      <c r="E83" s="11" t="inlineStr">
        <is>
          <t>Biel/Bienne</t>
        </is>
      </c>
      <c r="F83" s="11" t="inlineStr">
        <is>
          <t>2500</t>
        </is>
      </c>
      <c r="G83" s="11" t="inlineStr">
        <is>
          <t>BE</t>
        </is>
      </c>
      <c r="H83" s="11" t="inlineStr">
        <is>
          <t>Facility Manager Biel</t>
        </is>
      </c>
      <c r="I83" s="11" t="inlineStr">
        <is>
          <t>Ingénieur</t>
        </is>
      </c>
      <c r="J83" s="11" t="inlineStr">
        <is>
          <t>info@rolex.com</t>
        </is>
      </c>
      <c r="K83" s="11" t="inlineStr">
        <is>
          <t>+41 32 343 81 11</t>
        </is>
      </c>
      <c r="L83" s="11" t="n"/>
      <c r="M83" s="11" t="inlineStr">
        <is>
          <t>offen</t>
        </is>
      </c>
      <c r="N83" s="11" t="inlineStr">
        <is>
          <t>Facility Manager Rolex Biel identifizieren</t>
        </is>
      </c>
      <c r="O83" s="11" t="inlineStr">
        <is>
          <t>Uhrenwerkproduktion Biel: PQ + NEA + USV 300 kVA; EMV</t>
        </is>
      </c>
      <c r="P83" s="11" t="n"/>
      <c r="Q83" s="11" t="n"/>
      <c r="R83" s="11" t="inlineStr">
        <is>
          <t>Adr: Rue du Village 11, 2500 Biel | Rolex Werk Biel; Haute Horlogerie</t>
        </is>
      </c>
      <c r="S83" s="11" t="inlineStr">
        <is>
          <t>Uhren/Luxus</t>
        </is>
      </c>
    </row>
    <row r="84">
      <c r="A84" s="11" t="n">
        <v>81</v>
      </c>
      <c r="B84" s="11" t="inlineStr">
        <is>
          <t>A</t>
        </is>
      </c>
      <c r="C84" s="11" t="inlineStr">
        <is>
          <t>Bau/Infrastruktur</t>
        </is>
      </c>
      <c r="D84" s="11" t="inlineStr">
        <is>
          <t>Kraftwerke Oberhasli AG (KWO)</t>
        </is>
      </c>
      <c r="E84" s="11" t="inlineStr">
        <is>
          <t>Innertkirchen</t>
        </is>
      </c>
      <c r="F84" s="11" t="inlineStr">
        <is>
          <t>3862</t>
        </is>
      </c>
      <c r="G84" s="11" t="inlineStr">
        <is>
          <t>BE</t>
        </is>
      </c>
      <c r="H84" s="11" t="inlineStr">
        <is>
          <t>Technischer Leiter</t>
        </is>
      </c>
      <c r="I84" s="11" t="inlineStr">
        <is>
          <t>MSc El.-Ing.</t>
        </is>
      </c>
      <c r="J84" s="11" t="inlineStr">
        <is>
          <t>info@kwo.ch</t>
        </is>
      </c>
      <c r="K84" s="11" t="inlineStr">
        <is>
          <t>+41 33 982 21 11</t>
        </is>
      </c>
      <c r="L84" s="11" t="n"/>
      <c r="M84" s="11" t="inlineStr">
        <is>
          <t>offen</t>
        </is>
      </c>
      <c r="N84" s="11" t="inlineStr">
        <is>
          <t>Technischen Leiter KWO; Revisionskalender anfragen</t>
        </is>
      </c>
      <c r="O84" s="11" t="inlineStr">
        <is>
          <t>Wasserkraft-Revisionen BE; mobile MS-Einspeisung 50 MVA; BESS</t>
        </is>
      </c>
      <c r="P84" s="11" t="inlineStr">
        <is>
          <t>Generator</t>
        </is>
      </c>
      <c r="Q84" s="11" t="n"/>
      <c r="R84" s="11" t="inlineStr">
        <is>
          <t>Adr: Grimselweg 12, 3862 Innertkirchen | Grimsel-Stauseen; Revisionen</t>
        </is>
      </c>
      <c r="S84" s="11" t="inlineStr">
        <is>
          <t>Staudamm/Kraftwerk</t>
        </is>
      </c>
    </row>
    <row r="85">
      <c r="A85" s="11" t="n">
        <v>82</v>
      </c>
      <c r="B85" s="11" t="inlineStr">
        <is>
          <t>A</t>
        </is>
      </c>
      <c r="C85" s="11" t="inlineStr">
        <is>
          <t>Bau/Infrastruktur</t>
        </is>
      </c>
      <c r="D85" s="11" t="inlineStr">
        <is>
          <t>Jungfraubahnen Management AG</t>
        </is>
      </c>
      <c r="E85" s="11" t="inlineStr">
        <is>
          <t>Interlaken</t>
        </is>
      </c>
      <c r="F85" s="11" t="inlineStr">
        <is>
          <t>3800</t>
        </is>
      </c>
      <c r="G85" s="11" t="inlineStr">
        <is>
          <t>BE</t>
        </is>
      </c>
      <c r="H85" s="11" t="inlineStr">
        <is>
          <t>Technischer Direktor</t>
        </is>
      </c>
      <c r="I85" s="11" t="inlineStr">
        <is>
          <t>MSc El.-Ing.</t>
        </is>
      </c>
      <c r="J85" s="11" t="inlineStr">
        <is>
          <t>info@jungfrau.ch</t>
        </is>
      </c>
      <c r="K85" s="11" t="inlineStr">
        <is>
          <t>+41 33 828 71 11</t>
        </is>
      </c>
      <c r="L85" s="11" t="n"/>
      <c r="M85" s="11" t="inlineStr">
        <is>
          <t>offen</t>
        </is>
      </c>
      <c r="N85" s="11" t="inlineStr">
        <is>
          <t>Techn. Direktor JBM; Revisionsfenster Herbst</t>
        </is>
      </c>
      <c r="O85" s="11" t="inlineStr">
        <is>
          <t>Revisionen Jungfrau: NEA + Generator 1 MVA; FU-Antriebe; Höhenlage</t>
        </is>
      </c>
      <c r="P85" s="11" t="inlineStr">
        <is>
          <t>Generator</t>
        </is>
      </c>
      <c r="Q85" s="11" t="n"/>
      <c r="R85" s="11" t="inlineStr">
        <is>
          <t>Adr: Harderstrasse 14, 3800 Interlaken | Weltbekannte Jungfraubahnen</t>
        </is>
      </c>
      <c r="S85" s="11" t="inlineStr">
        <is>
          <t>Bergbahn</t>
        </is>
      </c>
    </row>
    <row r="86">
      <c r="A86" s="11" t="n">
        <v>83</v>
      </c>
      <c r="B86" s="11" t="inlineStr">
        <is>
          <t>A</t>
        </is>
      </c>
      <c r="C86" s="11" t="inlineStr">
        <is>
          <t>Spital/Klinik</t>
        </is>
      </c>
      <c r="D86" s="11" t="inlineStr">
        <is>
          <t>Spitalzentrum Biel AG (SZB)</t>
        </is>
      </c>
      <c r="E86" s="11" t="inlineStr">
        <is>
          <t>Biel/Bienne</t>
        </is>
      </c>
      <c r="F86" s="11" t="inlineStr">
        <is>
          <t>2501</t>
        </is>
      </c>
      <c r="G86" s="11" t="inlineStr">
        <is>
          <t>BE</t>
        </is>
      </c>
      <c r="H86" s="11" t="inlineStr">
        <is>
          <t>Betriebsleiter Technik</t>
        </is>
      </c>
      <c r="I86" s="11" t="inlineStr">
        <is>
          <t>Dipl. El.-Ing.</t>
        </is>
      </c>
      <c r="J86" s="11" t="inlineStr">
        <is>
          <t>info@szb.ch</t>
        </is>
      </c>
      <c r="K86" s="11" t="inlineStr">
        <is>
          <t>+41 32 324 22 22</t>
        </is>
      </c>
      <c r="L86" s="11" t="n"/>
      <c r="M86" s="11" t="inlineStr">
        <is>
          <t>offen</t>
        </is>
      </c>
      <c r="N86" s="11" t="inlineStr">
        <is>
          <t>Betriebsleiter SZB; DE/FR-Erstanschreiben</t>
        </is>
      </c>
      <c r="O86" s="11" t="inlineStr">
        <is>
          <t>NEA 3× 400 kVA; USV; 2 Standorte Biel; DE/FR</t>
        </is>
      </c>
      <c r="P86" s="11" t="inlineStr">
        <is>
          <t>USV</t>
        </is>
      </c>
      <c r="Q86" s="11" t="n"/>
      <c r="R86" s="11" t="inlineStr">
        <is>
          <t>Adr: Vogelsang 84, 2501 Biel | 2 Standorte; zweisprachig; NEA-Pflicht</t>
        </is>
      </c>
      <c r="S86" s="11" t="inlineStr">
        <is>
          <t>Spitalzentrum</t>
        </is>
      </c>
    </row>
    <row r="87">
      <c r="A87" s="11" t="n">
        <v>84</v>
      </c>
      <c r="B87" s="11" t="inlineStr">
        <is>
          <t>A</t>
        </is>
      </c>
      <c r="C87" s="11" t="inlineStr">
        <is>
          <t>Spital/Klinik</t>
        </is>
      </c>
      <c r="D87" s="11" t="inlineStr">
        <is>
          <t>Spital Emmental (Burgdorf)</t>
        </is>
      </c>
      <c r="E87" s="11" t="inlineStr">
        <is>
          <t>Burgdorf</t>
        </is>
      </c>
      <c r="F87" s="11" t="inlineStr">
        <is>
          <t>3400</t>
        </is>
      </c>
      <c r="G87" s="11" t="inlineStr">
        <is>
          <t>BE</t>
        </is>
      </c>
      <c r="H87" s="11" t="inlineStr">
        <is>
          <t>Betriebsleiter Technik</t>
        </is>
      </c>
      <c r="I87" s="11" t="inlineStr">
        <is>
          <t>Techniker</t>
        </is>
      </c>
      <c r="J87" s="11" t="inlineStr">
        <is>
          <t>info@spital-emmental.ch</t>
        </is>
      </c>
      <c r="K87" s="11" t="inlineStr">
        <is>
          <t>+41 34 421 21 21</t>
        </is>
      </c>
      <c r="L87" s="11" t="n"/>
      <c r="M87" s="11" t="inlineStr">
        <is>
          <t>offen</t>
        </is>
      </c>
      <c r="N87" s="11" t="inlineStr">
        <is>
          <t>Betriebsleiter Spital Emmental kontaktieren</t>
        </is>
      </c>
      <c r="O87" s="11" t="inlineStr">
        <is>
          <t>NEA 2× 300 kVA; USV; Emmental-Region</t>
        </is>
      </c>
      <c r="P87" s="11" t="inlineStr">
        <is>
          <t>USV</t>
        </is>
      </c>
      <c r="Q87" s="11" t="n"/>
      <c r="R87" s="11" t="inlineStr">
        <is>
          <t>Adr: Oberburgstrasse 54, 3400 Burgdorf | Versorgungsspital Emmental</t>
        </is>
      </c>
      <c r="S87" s="11" t="inlineStr">
        <is>
          <t>Kantonsspital</t>
        </is>
      </c>
    </row>
    <row r="88">
      <c r="A88" s="11" t="n">
        <v>85</v>
      </c>
      <c r="B88" s="11" t="inlineStr">
        <is>
          <t>A</t>
        </is>
      </c>
      <c r="C88" s="11" t="inlineStr">
        <is>
          <t>Rechenzentrum/IT</t>
        </is>
      </c>
      <c r="D88" s="11" t="inlineStr">
        <is>
          <t>Berner Kantonalbank AG (BEKB)</t>
        </is>
      </c>
      <c r="E88" s="11" t="inlineStr">
        <is>
          <t>Bern</t>
        </is>
      </c>
      <c r="F88" s="11" t="inlineStr">
        <is>
          <t>3001</t>
        </is>
      </c>
      <c r="G88" s="11" t="inlineStr">
        <is>
          <t>BE</t>
        </is>
      </c>
      <c r="H88" s="11" t="inlineStr">
        <is>
          <t>Leiter IT-Infrastruktur</t>
        </is>
      </c>
      <c r="I88" s="11" t="inlineStr">
        <is>
          <t>MSc Inf.</t>
        </is>
      </c>
      <c r="J88" s="11" t="inlineStr">
        <is>
          <t>info@bekb.ch</t>
        </is>
      </c>
      <c r="K88" s="11" t="inlineStr">
        <is>
          <t>+41 31 666 11 11</t>
        </is>
      </c>
      <c r="L88" s="11" t="n"/>
      <c r="M88" s="11" t="inlineStr">
        <is>
          <t>offen</t>
        </is>
      </c>
      <c r="N88" s="11" t="inlineStr">
        <is>
          <t>IT-Infrastruktur BEKB; FINMA-Argument</t>
        </is>
      </c>
      <c r="O88" s="11" t="inlineStr">
        <is>
          <t>USV RZ 2× 300 kVA; NEA; PQ FINMA</t>
        </is>
      </c>
      <c r="P88" s="11" t="inlineStr">
        <is>
          <t>USV</t>
        </is>
      </c>
      <c r="Q88" s="11" t="n"/>
      <c r="R88" s="11" t="inlineStr">
        <is>
          <t>Adr: Bundesplatz 8, 3001 Bern | Kantonalbank BE; FINMA</t>
        </is>
      </c>
      <c r="S88" s="11" t="inlineStr">
        <is>
          <t>Kantonalbank</t>
        </is>
      </c>
    </row>
    <row r="89">
      <c r="A89" s="11" t="n">
        <v>86</v>
      </c>
      <c r="B89" s="11" t="inlineStr">
        <is>
          <t>A</t>
        </is>
      </c>
      <c r="C89" s="11" t="inlineStr">
        <is>
          <t>Events/Messen</t>
        </is>
      </c>
      <c r="D89" s="11" t="inlineStr">
        <is>
          <t>Bernexpo AG</t>
        </is>
      </c>
      <c r="E89" s="11" t="inlineStr">
        <is>
          <t>Bern</t>
        </is>
      </c>
      <c r="F89" s="11" t="inlineStr">
        <is>
          <t>3014</t>
        </is>
      </c>
      <c r="G89" s="11" t="inlineStr">
        <is>
          <t>BE</t>
        </is>
      </c>
      <c r="H89" s="11" t="inlineStr">
        <is>
          <t>Technische Leitung</t>
        </is>
      </c>
      <c r="I89" s="11" t="inlineStr">
        <is>
          <t>Veranstaltungstechniker</t>
        </is>
      </c>
      <c r="J89" s="11" t="inlineStr">
        <is>
          <t>info@bernexpo.ch</t>
        </is>
      </c>
      <c r="K89" s="11" t="inlineStr">
        <is>
          <t>+41 31 340 11 11</t>
        </is>
      </c>
      <c r="L89" s="11" t="n"/>
      <c r="M89" s="11" t="inlineStr">
        <is>
          <t>offen</t>
        </is>
      </c>
      <c r="N89" s="11" t="inlineStr">
        <is>
          <t>Technische Leitung Bernexpo kontaktieren</t>
        </is>
      </c>
      <c r="O89" s="11" t="inlineStr">
        <is>
          <t>Temporary Power 500 kVA–2 MVA; USV; Messe Bern</t>
        </is>
      </c>
      <c r="P89" s="11" t="inlineStr">
        <is>
          <t>USV</t>
        </is>
      </c>
      <c r="Q89" s="11" t="n"/>
      <c r="R89" s="11" t="inlineStr">
        <is>
          <t>Adr: Mingerstrasse 6, 3014 Bern | Grösste Messe BE</t>
        </is>
      </c>
      <c r="S89" s="11" t="inlineStr">
        <is>
          <t>Messe/Kongress</t>
        </is>
      </c>
    </row>
    <row r="90">
      <c r="A90" s="11" t="n">
        <v>87</v>
      </c>
      <c r="B90" s="11" t="inlineStr">
        <is>
          <t>A</t>
        </is>
      </c>
      <c r="C90" s="11" t="inlineStr">
        <is>
          <t>Bau/Infrastruktur</t>
        </is>
      </c>
      <c r="D90" s="11" t="inlineStr">
        <is>
          <t>ARA Region Bern</t>
        </is>
      </c>
      <c r="E90" s="11" t="inlineStr">
        <is>
          <t>Bern</t>
        </is>
      </c>
      <c r="F90" s="11" t="inlineStr">
        <is>
          <t>3018</t>
        </is>
      </c>
      <c r="G90" s="11" t="inlineStr">
        <is>
          <t>BE</t>
        </is>
      </c>
      <c r="H90" s="11" t="inlineStr">
        <is>
          <t>Betriebsleiter ARA</t>
        </is>
      </c>
      <c r="I90" s="11" t="inlineStr">
        <is>
          <t>Techniker</t>
        </is>
      </c>
      <c r="J90" s="11" t="inlineStr">
        <is>
          <t>info@arb.ch</t>
        </is>
      </c>
      <c r="K90" s="11" t="inlineStr">
        <is>
          <t>+41 31 992 48 40</t>
        </is>
      </c>
      <c r="L90" s="11" t="n"/>
      <c r="M90" s="11" t="inlineStr">
        <is>
          <t>offen</t>
        </is>
      </c>
      <c r="N90" s="11" t="inlineStr">
        <is>
          <t>Betriebsleiter ARA Bern; simap.ch Alert BE</t>
        </is>
      </c>
      <c r="O90" s="11" t="inlineStr">
        <is>
          <t>NEA-Pflicht 2× 500 kVA; Aare-Schutz Bundesstadt</t>
        </is>
      </c>
      <c r="P90" s="11" t="inlineStr">
        <is>
          <t>Generator</t>
        </is>
      </c>
      <c r="Q90" s="11" t="n"/>
      <c r="R90" s="11" t="inlineStr">
        <is>
          <t>Adr: Morgenstrasse 130, 3018 Bern | Aare-Schutz; Bundesstadt</t>
        </is>
      </c>
      <c r="S90" s="11" t="inlineStr">
        <is>
          <t>ARA</t>
        </is>
      </c>
    </row>
    <row r="91">
      <c r="A91" s="11" t="n">
        <v>88</v>
      </c>
      <c r="B91" s="11" t="inlineStr">
        <is>
          <t>B</t>
        </is>
      </c>
      <c r="C91" s="11" t="inlineStr">
        <is>
          <t>Pharma/Chemie</t>
        </is>
      </c>
      <c r="D91" s="11" t="inlineStr">
        <is>
          <t>Feintool International AG</t>
        </is>
      </c>
      <c r="E91" s="11" t="inlineStr">
        <is>
          <t>Lyss</t>
        </is>
      </c>
      <c r="F91" s="11" t="inlineStr">
        <is>
          <t>3250</t>
        </is>
      </c>
      <c r="G91" s="11" t="inlineStr">
        <is>
          <t>BE</t>
        </is>
      </c>
      <c r="H91" s="11" t="inlineStr">
        <is>
          <t>Betriebsleiter Elektro</t>
        </is>
      </c>
      <c r="I91" s="11" t="inlineStr">
        <is>
          <t>Dipl. El.-Ing.</t>
        </is>
      </c>
      <c r="J91" s="11" t="inlineStr">
        <is>
          <t>info@feintool.com</t>
        </is>
      </c>
      <c r="K91" s="11" t="inlineStr">
        <is>
          <t>+41 32 387 51 11</t>
        </is>
      </c>
      <c r="L91" s="11" t="n"/>
      <c r="M91" s="11" t="inlineStr">
        <is>
          <t>offen</t>
        </is>
      </c>
      <c r="N91" s="11" t="inlineStr">
        <is>
          <t>Betriebsleiter Feintool Lyss kontaktieren</t>
        </is>
      </c>
      <c r="O91" s="11" t="inlineStr">
        <is>
          <t>Feinschneidtechnik: Pressen FU 1 MVA; PQ; EMV</t>
        </is>
      </c>
      <c r="P91" s="11" t="n"/>
      <c r="Q91" s="11" t="n"/>
      <c r="R91" s="11" t="inlineStr">
        <is>
          <t>Adr: Industriering 8, 3250 Lyss | Weltmarktführer Feinschneidtechnik</t>
        </is>
      </c>
      <c r="S91" s="11" t="inlineStr">
        <is>
          <t>Maschinenind.</t>
        </is>
      </c>
    </row>
    <row r="92">
      <c r="A92" s="11" t="n">
        <v>89</v>
      </c>
      <c r="B92" s="11" t="inlineStr">
        <is>
          <t>B</t>
        </is>
      </c>
      <c r="C92" s="11" t="inlineStr">
        <is>
          <t>Pharma/Chemie</t>
        </is>
      </c>
      <c r="D92" s="11" t="inlineStr">
        <is>
          <t>Swatch Manufacturing SA Biel</t>
        </is>
      </c>
      <c r="E92" s="11" t="inlineStr">
        <is>
          <t>Biel/Bienne</t>
        </is>
      </c>
      <c r="F92" s="11" t="inlineStr">
        <is>
          <t>2500</t>
        </is>
      </c>
      <c r="G92" s="11" t="inlineStr">
        <is>
          <t>BE</t>
        </is>
      </c>
      <c r="H92" s="11" t="inlineStr">
        <is>
          <t>Betriebsleiter Technik</t>
        </is>
      </c>
      <c r="I92" s="11" t="inlineStr">
        <is>
          <t>Dipl. El.-Ing.</t>
        </is>
      </c>
      <c r="J92" s="11" t="inlineStr">
        <is>
          <t>info@swatch.com</t>
        </is>
      </c>
      <c r="K92" s="11" t="inlineStr">
        <is>
          <t>+41 32 343 68 11</t>
        </is>
      </c>
      <c r="L92" s="11" t="n"/>
      <c r="M92" s="11" t="inlineStr">
        <is>
          <t>offen</t>
        </is>
      </c>
      <c r="N92" s="11" t="inlineStr">
        <is>
          <t>Betriebsleiter Swatch Manufacturing Biel</t>
        </is>
      </c>
      <c r="O92" s="11" t="inlineStr">
        <is>
          <t>Uhrenmontage: PQ + NEA + USV 200 kVA; EMV; Reinraum</t>
        </is>
      </c>
      <c r="P92" s="11" t="n"/>
      <c r="Q92" s="11" t="n"/>
      <c r="R92" s="11" t="inlineStr">
        <is>
          <t>Adr: Rue Nicolas Hayek 6, 2500 Biel | Swatch Gruppe; PQ sensitiv</t>
        </is>
      </c>
      <c r="S92" s="11" t="inlineStr">
        <is>
          <t>Uhren</t>
        </is>
      </c>
    </row>
    <row r="93">
      <c r="A93" s="11" t="n">
        <v>90</v>
      </c>
      <c r="B93" s="11" t="inlineStr">
        <is>
          <t>B</t>
        </is>
      </c>
      <c r="C93" s="11" t="inlineStr">
        <is>
          <t>Gemeinde/Öffentlich</t>
        </is>
      </c>
      <c r="D93" s="11" t="inlineStr">
        <is>
          <t>Kanton Bern Hochbauamt</t>
        </is>
      </c>
      <c r="E93" s="11" t="inlineStr">
        <is>
          <t>Bern</t>
        </is>
      </c>
      <c r="F93" s="11" t="inlineStr">
        <is>
          <t>3011</t>
        </is>
      </c>
      <c r="G93" s="11" t="inlineStr">
        <is>
          <t>BE</t>
        </is>
      </c>
      <c r="H93" s="11" t="inlineStr">
        <is>
          <t>Leiter Hochbauamt</t>
        </is>
      </c>
      <c r="I93" s="11" t="inlineStr">
        <is>
          <t>Kantonsbauingenieur</t>
        </is>
      </c>
      <c r="J93" s="11" t="inlineStr">
        <is>
          <t>hochbauamt@be.ch</t>
        </is>
      </c>
      <c r="K93" s="11" t="inlineStr">
        <is>
          <t>+41 31 633 33 33</t>
        </is>
      </c>
      <c r="L93" s="11" t="n"/>
      <c r="M93" s="11" t="inlineStr">
        <is>
          <t>offen</t>
        </is>
      </c>
      <c r="N93" s="11" t="inlineStr">
        <is>
          <t>Hochbauamt BE; simap.ch Alert Kanton BE</t>
        </is>
      </c>
      <c r="O93" s="11" t="inlineStr">
        <is>
          <t>NEA kantonale Gebäude; 400+ Liegenschaften; Rahmenvertrag</t>
        </is>
      </c>
      <c r="P93" s="11" t="n"/>
      <c r="Q93" s="11" t="n"/>
      <c r="R93" s="11" t="inlineStr">
        <is>
          <t>Adr: Reiterstrasse 11, 3011 Bern | 400+ Liegenschaften; Rahmenvertrag</t>
        </is>
      </c>
      <c r="S93" s="11" t="inlineStr">
        <is>
          <t>Kanton</t>
        </is>
      </c>
    </row>
    <row r="94">
      <c r="A94" s="11" t="n">
        <v>91</v>
      </c>
      <c r="B94" s="11" t="inlineStr">
        <is>
          <t>B</t>
        </is>
      </c>
      <c r="C94" s="11" t="inlineStr">
        <is>
          <t>Pharma/Chemie</t>
        </is>
      </c>
      <c r="D94" s="11" t="inlineStr">
        <is>
          <t>Kambly SA</t>
        </is>
      </c>
      <c r="E94" s="11" t="inlineStr">
        <is>
          <t>Trubschachen</t>
        </is>
      </c>
      <c r="F94" s="11" t="inlineStr">
        <is>
          <t>3555</t>
        </is>
      </c>
      <c r="G94" s="11" t="inlineStr">
        <is>
          <t>BE</t>
        </is>
      </c>
      <c r="H94" s="11" t="inlineStr">
        <is>
          <t>Betriebsleiter Technik</t>
        </is>
      </c>
      <c r="I94" s="11" t="inlineStr">
        <is>
          <t>Techniker</t>
        </is>
      </c>
      <c r="J94" s="11" t="inlineStr">
        <is>
          <t>info@kambly.ch</t>
        </is>
      </c>
      <c r="K94" s="11" t="inlineStr">
        <is>
          <t>+41 34 495 80 80</t>
        </is>
      </c>
      <c r="L94" s="11" t="n"/>
      <c r="M94" s="11" t="inlineStr">
        <is>
          <t>offen</t>
        </is>
      </c>
      <c r="N94" s="11" t="inlineStr">
        <is>
          <t>MiT-CRM: Kambly als Kältekunde prüfen</t>
        </is>
      </c>
      <c r="O94" s="11" t="inlineStr">
        <is>
          <t>Biscuit: NEA Kühlkette 300 kVA; FU-Öfen; ISO 50001</t>
        </is>
      </c>
      <c r="P94" s="11" t="inlineStr">
        <is>
          <t>Kälte</t>
        </is>
      </c>
      <c r="Q94" s="11" t="n"/>
      <c r="R94" s="11" t="inlineStr">
        <is>
          <t>Adr: Kamblystrasse 1, 3555 Trubschachen | Schweizer Biscuits-Ikone</t>
        </is>
      </c>
      <c r="S94" s="11" t="inlineStr">
        <is>
          <t>Nahrungsmittel</t>
        </is>
      </c>
    </row>
    <row r="95">
      <c r="A95" s="11" t="n">
        <v>92</v>
      </c>
      <c r="B95" s="11" t="inlineStr">
        <is>
          <t>B</t>
        </is>
      </c>
      <c r="C95" s="11" t="inlineStr">
        <is>
          <t>Bau/Infrastruktur</t>
        </is>
      </c>
      <c r="D95" s="11" t="inlineStr">
        <is>
          <t>Schilthornbahn AG</t>
        </is>
      </c>
      <c r="E95" s="11" t="inlineStr">
        <is>
          <t>Mürren</t>
        </is>
      </c>
      <c r="F95" s="11" t="inlineStr">
        <is>
          <t>3825</t>
        </is>
      </c>
      <c r="G95" s="11" t="inlineStr">
        <is>
          <t>BE</t>
        </is>
      </c>
      <c r="H95" s="11" t="inlineStr">
        <is>
          <t>Betriebsleiter</t>
        </is>
      </c>
      <c r="I95" s="11" t="inlineStr">
        <is>
          <t>Techniker</t>
        </is>
      </c>
      <c r="J95" s="11" t="inlineStr">
        <is>
          <t>info@schilthornbahn.ch</t>
        </is>
      </c>
      <c r="K95" s="11" t="inlineStr">
        <is>
          <t>+41 33 826 00 07</t>
        </is>
      </c>
      <c r="L95" s="11" t="n"/>
      <c r="M95" s="11" t="inlineStr">
        <is>
          <t>offen</t>
        </is>
      </c>
      <c r="N95" s="11" t="inlineStr">
        <is>
          <t>Betriebsleiter Schilthornbahn; Herbstkontakt</t>
        </is>
      </c>
      <c r="O95" s="11" t="inlineStr">
        <is>
          <t>James-Bond-Bergbahn: NEA + Generator 300 kVA; FU; alpine Isolation</t>
        </is>
      </c>
      <c r="P95" s="11" t="inlineStr">
        <is>
          <t>Generator</t>
        </is>
      </c>
      <c r="Q95" s="11" t="n"/>
      <c r="R95" s="11" t="inlineStr">
        <is>
          <t>Adr: Infobüro Mürren, 3825 Mürren | James-Bond; autofreies Mürren</t>
        </is>
      </c>
      <c r="S95" s="11" t="inlineStr">
        <is>
          <t>Bergbahn</t>
        </is>
      </c>
    </row>
    <row r="96">
      <c r="A96" s="11" t="n">
        <v>93</v>
      </c>
      <c r="B96" s="11" t="inlineStr">
        <is>
          <t>B</t>
        </is>
      </c>
      <c r="C96" s="11" t="inlineStr">
        <is>
          <t>EVU/Netzbetreiber</t>
        </is>
      </c>
      <c r="D96" s="11" t="inlineStr">
        <is>
          <t>IB Thun (Industrielle Betriebe)</t>
        </is>
      </c>
      <c r="E96" s="11" t="inlineStr">
        <is>
          <t>Thun</t>
        </is>
      </c>
      <c r="F96" s="11" t="inlineStr">
        <is>
          <t>3600</t>
        </is>
      </c>
      <c r="G96" s="11" t="inlineStr">
        <is>
          <t>BE</t>
        </is>
      </c>
      <c r="H96" s="11" t="inlineStr">
        <is>
          <t>Betriebsleiter</t>
        </is>
      </c>
      <c r="I96" s="11" t="inlineStr">
        <is>
          <t>Dipl. El.-Ing.</t>
        </is>
      </c>
      <c r="J96" s="11" t="inlineStr">
        <is>
          <t>info@ib-thun.ch</t>
        </is>
      </c>
      <c r="K96" s="11" t="inlineStr">
        <is>
          <t>+41 33 225 22 22</t>
        </is>
      </c>
      <c r="L96" s="11" t="n"/>
      <c r="M96" s="11" t="inlineStr">
        <is>
          <t>offen</t>
        </is>
      </c>
      <c r="N96" s="11" t="inlineStr">
        <is>
          <t>Betriebsleiter IB Thun; simap.ch Alert Thun</t>
        </is>
      </c>
      <c r="O96" s="11" t="inlineStr">
        <is>
          <t>Stadtwerk Thun: MS-Revisionen; NEA Stadtgebäude</t>
        </is>
      </c>
      <c r="P96" s="11" t="n"/>
      <c r="Q96" s="11" t="n"/>
      <c r="R96" s="11" t="inlineStr">
        <is>
          <t>Adr: Untere Hauptgasse 22, 3600 Thun | Stadtwerk Thun</t>
        </is>
      </c>
      <c r="S96" s="11" t="inlineStr">
        <is>
          <t>Stadtwerk Thun</t>
        </is>
      </c>
    </row>
    <row r="97">
      <c r="A97" s="11" t="n">
        <v>94</v>
      </c>
      <c r="B97" s="11" t="inlineStr">
        <is>
          <t>B</t>
        </is>
      </c>
      <c r="C97" s="11" t="inlineStr">
        <is>
          <t>Pharma/Chemie</t>
        </is>
      </c>
      <c r="D97" s="11" t="inlineStr">
        <is>
          <t>Nestlé Suisse SA (Vevey-Produktion)</t>
        </is>
      </c>
      <c r="E97" s="11" t="inlineStr">
        <is>
          <t>Vevey</t>
        </is>
      </c>
      <c r="F97" s="11" t="inlineStr">
        <is>
          <t>1800</t>
        </is>
      </c>
      <c r="G97" s="11" t="inlineStr">
        <is>
          <t>BE</t>
        </is>
      </c>
      <c r="H97" s="11" t="inlineStr">
        <is>
          <t>Betriebsleiter Technik</t>
        </is>
      </c>
      <c r="I97" s="11" t="inlineStr">
        <is>
          <t>Dipl. El.-Ing.</t>
        </is>
      </c>
      <c r="J97" s="11" t="inlineStr">
        <is>
          <t>info@nestle.com</t>
        </is>
      </c>
      <c r="K97" s="11" t="inlineStr">
        <is>
          <t>+41 21 924 21 11</t>
        </is>
      </c>
      <c r="L97" s="11" t="n"/>
      <c r="M97" s="11" t="inlineStr">
        <is>
          <t>offen</t>
        </is>
      </c>
      <c r="N97" s="11" t="inlineStr">
        <is>
          <t>MiT-CRM: Nestlé als Kältekunde prüfen; ISO 50001</t>
        </is>
      </c>
      <c r="O97" s="11" t="inlineStr">
        <is>
          <t>Nahrungsmittel: NEA 2 MVA; ISO 50001; Kühlkette; Nestlé-Gruppe</t>
        </is>
      </c>
      <c r="P97" s="11" t="inlineStr">
        <is>
          <t>Kälte</t>
        </is>
      </c>
      <c r="Q97" s="11" t="n"/>
      <c r="R97" s="11" t="inlineStr">
        <is>
          <t>Adr: Avenue Nestlé 55, 1800 Vevey | Nestlé-Gruppe; Kühlkette</t>
        </is>
      </c>
      <c r="S97" s="11" t="inlineStr">
        <is>
          <t>Nahrungsmittel</t>
        </is>
      </c>
    </row>
    <row r="98">
      <c r="A98" s="11" t="n">
        <v>95</v>
      </c>
      <c r="B98" s="11" t="inlineStr">
        <is>
          <t>B</t>
        </is>
      </c>
      <c r="C98" s="11" t="inlineStr">
        <is>
          <t>Bau/Infrastruktur</t>
        </is>
      </c>
      <c r="D98" s="11" t="inlineStr">
        <is>
          <t>Niesen-Bahn AG</t>
        </is>
      </c>
      <c r="E98" s="11" t="inlineStr">
        <is>
          <t>Mülenen</t>
        </is>
      </c>
      <c r="F98" s="11" t="inlineStr">
        <is>
          <t>3714</t>
        </is>
      </c>
      <c r="G98" s="11" t="inlineStr">
        <is>
          <t>BE</t>
        </is>
      </c>
      <c r="H98" s="11" t="inlineStr">
        <is>
          <t>Betriebsleiter</t>
        </is>
      </c>
      <c r="I98" s="11" t="inlineStr">
        <is>
          <t>Techniker</t>
        </is>
      </c>
      <c r="J98" s="11" t="inlineStr">
        <is>
          <t>info@niesen.ch</t>
        </is>
      </c>
      <c r="K98" s="11" t="inlineStr">
        <is>
          <t>+41 33 676 11 12</t>
        </is>
      </c>
      <c r="L98" s="11" t="n"/>
      <c r="M98" s="11" t="inlineStr">
        <is>
          <t>offen</t>
        </is>
      </c>
      <c r="N98" s="11" t="inlineStr">
        <is>
          <t>Betriebsleiter Niesen-Bahn Mülenen; Herbst-Revisionsfenster</t>
        </is>
      </c>
      <c r="O98" s="11" t="inlineStr">
        <is>
          <t>Bergbahn Revision: Generator 150 kVA; FU; alpine Lage</t>
        </is>
      </c>
      <c r="P98" s="11" t="inlineStr">
        <is>
          <t>Generator</t>
        </is>
      </c>
      <c r="Q98" s="11" t="n"/>
      <c r="R98" s="11" t="inlineStr">
        <is>
          <t>Adr: Bahnstation Mülenen, 3714 Mülenen | Steilste Standseilbahn CH</t>
        </is>
      </c>
      <c r="S98" s="11" t="inlineStr">
        <is>
          <t>Bergbahn</t>
        </is>
      </c>
    </row>
    <row r="99">
      <c r="A99" s="11" t="n">
        <v>96</v>
      </c>
      <c r="B99" s="11" t="inlineStr">
        <is>
          <t>B</t>
        </is>
      </c>
      <c r="C99" s="11" t="inlineStr">
        <is>
          <t>Spital/Klinik</t>
        </is>
      </c>
      <c r="D99" s="11" t="inlineStr">
        <is>
          <t>Regionalspital Emmental Langenthal</t>
        </is>
      </c>
      <c r="E99" s="11" t="inlineStr">
        <is>
          <t>Langenthal</t>
        </is>
      </c>
      <c r="F99" s="11" t="inlineStr">
        <is>
          <t>4900</t>
        </is>
      </c>
      <c r="G99" s="11" t="inlineStr">
        <is>
          <t>BE</t>
        </is>
      </c>
      <c r="H99" s="11" t="inlineStr">
        <is>
          <t>Betriebsleiter</t>
        </is>
      </c>
      <c r="I99" s="11" t="inlineStr">
        <is>
          <t>Techniker</t>
        </is>
      </c>
      <c r="J99" s="11" t="inlineStr">
        <is>
          <t>info@rse.ch</t>
        </is>
      </c>
      <c r="K99" s="11" t="inlineStr">
        <is>
          <t>+41 62 916 41 41</t>
        </is>
      </c>
      <c r="L99" s="11" t="n"/>
      <c r="M99" s="11" t="inlineStr">
        <is>
          <t>offen</t>
        </is>
      </c>
      <c r="N99" s="11" t="inlineStr">
        <is>
          <t>Betriebsleiter RSE Langenthal; simap.ch Alert</t>
        </is>
      </c>
      <c r="O99" s="11" t="inlineStr">
        <is>
          <t>NEA 1× 300 kVA; USV; BE/AG-Grenzregion</t>
        </is>
      </c>
      <c r="P99" s="11" t="inlineStr">
        <is>
          <t>USV</t>
        </is>
      </c>
      <c r="Q99" s="11" t="n"/>
      <c r="R99" s="11" t="inlineStr">
        <is>
          <t>Adr: Bern-Zürich-Korridor, 4900 Langenthal | Regionalspital BE/AG</t>
        </is>
      </c>
      <c r="S99" s="11" t="inlineStr">
        <is>
          <t>Spital</t>
        </is>
      </c>
    </row>
    <row r="100">
      <c r="A100" s="11" t="n">
        <v>97</v>
      </c>
      <c r="B100" s="11" t="inlineStr">
        <is>
          <t>C</t>
        </is>
      </c>
      <c r="C100" s="11" t="inlineStr">
        <is>
          <t>Bau/Infrastruktur</t>
        </is>
      </c>
      <c r="D100" s="11" t="inlineStr">
        <is>
          <t>BERNMOBIL</t>
        </is>
      </c>
      <c r="E100" s="11" t="inlineStr">
        <is>
          <t>Bern</t>
        </is>
      </c>
      <c r="F100" s="11" t="inlineStr">
        <is>
          <t>3000</t>
        </is>
      </c>
      <c r="G100" s="11" t="inlineStr">
        <is>
          <t>BE</t>
        </is>
      </c>
      <c r="H100" s="11" t="inlineStr">
        <is>
          <t>Betriebsleiter Technik</t>
        </is>
      </c>
      <c r="I100" s="11" t="inlineStr">
        <is>
          <t>Dipl. El.-Ing.</t>
        </is>
      </c>
      <c r="J100" s="11" t="inlineStr">
        <is>
          <t>info@bernmobil.ch</t>
        </is>
      </c>
      <c r="K100" s="11" t="inlineStr">
        <is>
          <t>+41 31 321 88 44</t>
        </is>
      </c>
      <c r="L100" s="11" t="n"/>
      <c r="M100" s="11" t="inlineStr">
        <is>
          <t>offen</t>
        </is>
      </c>
      <c r="N100" s="11" t="inlineStr">
        <is>
          <t>Betriebsleiter BERNMOBIL; simap.ch Alert</t>
        </is>
      </c>
      <c r="O100" s="11" t="inlineStr">
        <is>
          <t>Baustrom Depots; FU-Antriebe Tram; 1'200 MA</t>
        </is>
      </c>
      <c r="P100" s="11" t="n"/>
      <c r="Q100" s="11" t="n"/>
      <c r="R100" s="11" t="inlineStr">
        <is>
          <t>Adr: Eigerplatz 3, 3000 Bern | BERNMOBIL; Tram+Bus; FU-Antriebe</t>
        </is>
      </c>
      <c r="S100" s="11" t="inlineStr">
        <is>
          <t>Tram/Bus</t>
        </is>
      </c>
    </row>
    <row r="101">
      <c r="A101" s="11" t="n">
        <v>98</v>
      </c>
      <c r="B101" s="11" t="inlineStr">
        <is>
          <t>C</t>
        </is>
      </c>
      <c r="C101" s="11" t="inlineStr">
        <is>
          <t>Pharma/Chemie</t>
        </is>
      </c>
      <c r="D101" s="11" t="inlineStr">
        <is>
          <t>Emmentaler Schaukäserei</t>
        </is>
      </c>
      <c r="E101" s="11" t="inlineStr">
        <is>
          <t>Affoltern</t>
        </is>
      </c>
      <c r="F101" s="11" t="inlineStr">
        <is>
          <t>3416</t>
        </is>
      </c>
      <c r="G101" s="11" t="inlineStr">
        <is>
          <t>BE</t>
        </is>
      </c>
      <c r="H101" s="11" t="inlineStr">
        <is>
          <t>Betriebsleiter</t>
        </is>
      </c>
      <c r="I101" s="11" t="inlineStr">
        <is>
          <t>Techniker</t>
        </is>
      </c>
      <c r="J101" s="11" t="inlineStr">
        <is>
          <t>info@schaukaeserei.ch</t>
        </is>
      </c>
      <c r="K101" s="11" t="inlineStr">
        <is>
          <t>+41 34 435 16 11</t>
        </is>
      </c>
      <c r="L101" s="11" t="n"/>
      <c r="M101" s="11" t="inlineStr">
        <is>
          <t>offen</t>
        </is>
      </c>
      <c r="N101" s="11" t="inlineStr">
        <is>
          <t>MiT-CRM: Käserei als Kältekunde prüfen</t>
        </is>
      </c>
      <c r="O101" s="11" t="inlineStr">
        <is>
          <t>Käseproduktion: NEA Kühlkette 200 kVA; PQ</t>
        </is>
      </c>
      <c r="P101" s="11" t="inlineStr">
        <is>
          <t>Kälte</t>
        </is>
      </c>
      <c r="Q101" s="11" t="n"/>
      <c r="R101" s="11" t="inlineStr">
        <is>
          <t>Adr: Museumsgasse 3, 3416 Affoltern | Emmentaler Käse; Kühlkette</t>
        </is>
      </c>
      <c r="S101" s="11" t="inlineStr">
        <is>
          <t>Käse/Dairy</t>
        </is>
      </c>
    </row>
    <row r="102">
      <c r="A102" s="11" t="n">
        <v>99</v>
      </c>
      <c r="B102" s="11" t="inlineStr">
        <is>
          <t>C</t>
        </is>
      </c>
      <c r="C102" s="11" t="inlineStr">
        <is>
          <t>Bau/Infrastruktur</t>
        </is>
      </c>
      <c r="D102" s="11" t="inlineStr">
        <is>
          <t>BKW Kraftwerke + Mühleberg Rückbau</t>
        </is>
      </c>
      <c r="E102" s="11" t="inlineStr">
        <is>
          <t>Mühleberg</t>
        </is>
      </c>
      <c r="F102" s="11" t="inlineStr">
        <is>
          <t>3203</t>
        </is>
      </c>
      <c r="G102" s="11" t="inlineStr">
        <is>
          <t>BE</t>
        </is>
      </c>
      <c r="H102" s="11" t="inlineStr">
        <is>
          <t>Technischer Leiter</t>
        </is>
      </c>
      <c r="I102" s="11" t="inlineStr">
        <is>
          <t>MSc El.-Ing.</t>
        </is>
      </c>
      <c r="J102" s="11" t="inlineStr">
        <is>
          <t>info@bkw.ch</t>
        </is>
      </c>
      <c r="K102" s="11" t="inlineStr">
        <is>
          <t>+41 31 330 51 11</t>
        </is>
      </c>
      <c r="L102" s="11" t="n"/>
      <c r="M102" s="11" t="inlineStr">
        <is>
          <t>offen</t>
        </is>
      </c>
      <c r="N102" s="11" t="inlineStr">
        <is>
          <t>Technischen Leiter BKW Kraftwerke; Rückbau-Bedarf ansprechen</t>
        </is>
      </c>
      <c r="O102" s="11" t="inlineStr">
        <is>
          <t>KKW Mühleberg Rückbau bis 2030+; Revisionen Wasserkraft BE</t>
        </is>
      </c>
      <c r="P102" s="11" t="n"/>
      <c r="Q102" s="11" t="n"/>
      <c r="R102" s="11" t="inlineStr">
        <is>
          <t>Adr: Mühleberg, 3203 BE | KKW Mühleberg Rückbau = mobiler MS-Bedarf bis 2030+</t>
        </is>
      </c>
      <c r="S102" s="11" t="inlineStr">
        <is>
          <t>Kraftwerke BKW</t>
        </is>
      </c>
    </row>
    <row r="103">
      <c r="A103" s="11" t="n">
        <v>100</v>
      </c>
      <c r="B103" s="11" t="inlineStr">
        <is>
          <t>C</t>
        </is>
      </c>
      <c r="C103" s="11" t="inlineStr">
        <is>
          <t>Gemeinde/Öffentlich</t>
        </is>
      </c>
      <c r="D103" s="11" t="inlineStr">
        <is>
          <t>[MiT BE-Kältekunde Nr. 1]</t>
        </is>
      </c>
      <c r="E103" s="11" t="inlineStr">
        <is>
          <t>Bern</t>
        </is>
      </c>
      <c r="F103" s="11" t="inlineStr">
        <is>
          <t>3000</t>
        </is>
      </c>
      <c r="G103" s="11" t="inlineStr">
        <is>
          <t>BE</t>
        </is>
      </c>
      <c r="H103" s="11" t="inlineStr">
        <is>
          <t>Energieverantwortlicher</t>
        </is>
      </c>
      <c r="I103" s="11" t="inlineStr">
        <is>
          <t>Betriebsleiter</t>
        </is>
      </c>
      <c r="J103" s="11" t="n"/>
      <c r="K103" s="11" t="inlineStr">
        <is>
          <t>(MiT-CRM)</t>
        </is>
      </c>
      <c r="L103" s="11" t="n"/>
      <c r="M103" s="11" t="inlineStr">
        <is>
          <t>offen</t>
        </is>
      </c>
      <c r="N103" s="11" t="inlineStr">
        <is>
          <t>MiT-CRM Roberto/Stefan: BE-Kunden ohne Strom sofort prüfen</t>
        </is>
      </c>
      <c r="O103" s="11" t="inlineStr">
        <is>
          <t>Strom-Add-on MiT-Wärme/Kälte BE</t>
        </is>
      </c>
      <c r="P103" s="11" t="n"/>
      <c r="Q103" s="11" t="n"/>
      <c r="R103" s="11" t="inlineStr">
        <is>
          <t>BBL-Bundesgebäude-Rahmenvertrag = höchste Priorität BE</t>
        </is>
      </c>
      <c r="S103" s="11" t="inlineStr">
        <is>
          <t>Cross-Sell MiT</t>
        </is>
      </c>
    </row>
    <row r="104">
      <c r="A104" s="11" t="n">
        <v>101</v>
      </c>
      <c r="B104" s="11" t="inlineStr">
        <is>
          <t>A</t>
        </is>
      </c>
      <c r="C104" s="11" t="inlineStr">
        <is>
          <t>EVU/Netzbetreiber</t>
        </is>
      </c>
      <c r="D104" s="11" t="inlineStr">
        <is>
          <t>EBM Energie AG – Elektra Birseck</t>
        </is>
      </c>
      <c r="E104" s="11" t="inlineStr">
        <is>
          <t>Münchenbuchsee</t>
        </is>
      </c>
      <c r="F104" s="11" t="inlineStr">
        <is>
          <t>3053</t>
        </is>
      </c>
      <c r="G104" s="11" t="inlineStr">
        <is>
          <t>BL</t>
        </is>
      </c>
      <c r="H104" s="11" t="inlineStr">
        <is>
          <t>Leiter Netzbetrieb</t>
        </is>
      </c>
      <c r="I104" s="11" t="inlineStr">
        <is>
          <t>Dipl. El.-Ing.</t>
        </is>
      </c>
      <c r="J104" s="11" t="inlineStr">
        <is>
          <t>info@ebm.ch</t>
        </is>
      </c>
      <c r="K104" s="11" t="inlineStr">
        <is>
          <t>+41 61 415 41 41</t>
        </is>
      </c>
      <c r="L104" s="11" t="n"/>
      <c r="M104" s="11" t="inlineStr">
        <is>
          <t>offen</t>
        </is>
      </c>
      <c r="N104" s="11" t="inlineStr">
        <is>
          <t>Netzbetrieb EBM ansprechen; BL+SO-Region</t>
        </is>
      </c>
      <c r="O104" s="11" t="inlineStr">
        <is>
          <t>MS-Revisionen BL/SO; 120'000 Kunden; Unterwerke</t>
        </is>
      </c>
      <c r="P104" s="11" t="inlineStr">
        <is>
          <t>Generator</t>
        </is>
      </c>
      <c r="Q104" s="11" t="n"/>
      <c r="R104" s="11" t="inlineStr">
        <is>
          <t>Werkhofstrasse 1, 4147 Aesch; 120'000 Kunden BL/SO</t>
        </is>
      </c>
      <c r="S104" s="11" t="inlineStr">
        <is>
          <t>Kantonaler Versorger</t>
        </is>
      </c>
    </row>
    <row r="105">
      <c r="A105" s="11" t="n">
        <v>102</v>
      </c>
      <c r="B105" s="11" t="inlineStr">
        <is>
          <t>A</t>
        </is>
      </c>
      <c r="C105" s="11" t="inlineStr">
        <is>
          <t>Pharma/Chemie</t>
        </is>
      </c>
      <c r="D105" s="11" t="inlineStr">
        <is>
          <t>Lonza AG – Werk Kaiseraugst</t>
        </is>
      </c>
      <c r="E105" s="11" t="inlineStr">
        <is>
          <t>Kaiseraugst</t>
        </is>
      </c>
      <c r="F105" s="11" t="inlineStr">
        <is>
          <t>4303</t>
        </is>
      </c>
      <c r="G105" s="11" t="inlineStr">
        <is>
          <t>BL</t>
        </is>
      </c>
      <c r="H105" s="11" t="inlineStr">
        <is>
          <t>Energiemanager</t>
        </is>
      </c>
      <c r="I105" s="11" t="inlineStr">
        <is>
          <t>MSc Chemie</t>
        </is>
      </c>
      <c r="J105" s="11" t="inlineStr">
        <is>
          <t>info@lonza.com</t>
        </is>
      </c>
      <c r="K105" s="11" t="inlineStr">
        <is>
          <t>+41 61 316 12 34</t>
        </is>
      </c>
      <c r="L105" s="11" t="n"/>
      <c r="M105" s="11" t="inlineStr">
        <is>
          <t>offen</t>
        </is>
      </c>
      <c r="N105" s="11" t="inlineStr">
        <is>
          <t>Energiemanager Lonza Kaiseraugst identifizieren</t>
        </is>
      </c>
      <c r="O105" s="11" t="inlineStr">
        <is>
          <t>Biopharma GMP: NEA 3 MVA; USV; PQ Reinräume; 2'500 MA</t>
        </is>
      </c>
      <c r="P105" s="11" t="inlineStr">
        <is>
          <t>USV</t>
        </is>
      </c>
      <c r="Q105" s="11" t="n"/>
      <c r="R105" s="11" t="inlineStr">
        <is>
          <t>Industriestrasse 40, 4303 Kaiseraugst; GMP-Biopharma</t>
        </is>
      </c>
      <c r="S105" s="11" t="inlineStr">
        <is>
          <t>Biopharma</t>
        </is>
      </c>
    </row>
    <row r="106">
      <c r="A106" s="11" t="n">
        <v>103</v>
      </c>
      <c r="B106" s="11" t="inlineStr">
        <is>
          <t>A</t>
        </is>
      </c>
      <c r="C106" s="11" t="inlineStr">
        <is>
          <t>Pharma/Chemie</t>
        </is>
      </c>
      <c r="D106" s="11" t="inlineStr">
        <is>
          <t>Novartis Institutes for BioMedical Research – Stein AG</t>
        </is>
      </c>
      <c r="E106" s="11" t="inlineStr">
        <is>
          <t>Stein</t>
        </is>
      </c>
      <c r="F106" s="11" t="inlineStr">
        <is>
          <t>4153</t>
        </is>
      </c>
      <c r="G106" s="11" t="inlineStr">
        <is>
          <t>BL</t>
        </is>
      </c>
      <c r="H106" s="11" t="inlineStr">
        <is>
          <t>Facility Manager</t>
        </is>
      </c>
      <c r="I106" s="11" t="inlineStr">
        <is>
          <t>MSc El.-Ing.</t>
        </is>
      </c>
      <c r="J106" s="11" t="inlineStr">
        <is>
          <t>info@novartis.com</t>
        </is>
      </c>
      <c r="K106" s="11" t="inlineStr">
        <is>
          <t>+41 61 324 11 11</t>
        </is>
      </c>
      <c r="L106" s="11" t="n"/>
      <c r="M106" s="11" t="inlineStr">
        <is>
          <t>offen</t>
        </is>
      </c>
      <c r="N106" s="11" t="inlineStr">
        <is>
          <t>Facility Manager Novartis Stein identifizieren</t>
        </is>
      </c>
      <c r="O106" s="11" t="inlineStr">
        <is>
          <t>GMP F&amp;E: NEA 2 MVA; USV Labors; PQ Reinräume</t>
        </is>
      </c>
      <c r="P106" s="11" t="inlineStr">
        <is>
          <t>USV</t>
        </is>
      </c>
      <c r="Q106" s="11" t="n"/>
      <c r="R106" s="11" t="inlineStr">
        <is>
          <t>4153 Reinach/Stein; Novartis F&amp;E BL/AG-Grenze</t>
        </is>
      </c>
      <c r="S106" s="11" t="inlineStr">
        <is>
          <t>Pharma F&amp;E</t>
        </is>
      </c>
    </row>
    <row r="107">
      <c r="A107" s="11" t="n">
        <v>104</v>
      </c>
      <c r="B107" s="11" t="inlineStr">
        <is>
          <t>A</t>
        </is>
      </c>
      <c r="C107" s="11" t="inlineStr">
        <is>
          <t>Spital/Klinik</t>
        </is>
      </c>
      <c r="D107" s="11" t="inlineStr">
        <is>
          <t>Kantonsspital Baselland (KSBL) – 3 Standorte</t>
        </is>
      </c>
      <c r="E107" s="11" t="inlineStr">
        <is>
          <t>Bruderholz</t>
        </is>
      </c>
      <c r="F107" s="11" t="inlineStr">
        <is>
          <t>4101</t>
        </is>
      </c>
      <c r="G107" s="11" t="inlineStr">
        <is>
          <t>BL</t>
        </is>
      </c>
      <c r="H107" s="11" t="inlineStr">
        <is>
          <t>Betriebsleiter Technik</t>
        </is>
      </c>
      <c r="I107" s="11" t="inlineStr">
        <is>
          <t>Dipl. El.-Ing.</t>
        </is>
      </c>
      <c r="J107" s="11" t="inlineStr">
        <is>
          <t>info@ksbl.ch</t>
        </is>
      </c>
      <c r="K107" s="11" t="inlineStr">
        <is>
          <t>+41 61 436 36 36</t>
        </is>
      </c>
      <c r="L107" s="11" t="n"/>
      <c r="M107" s="11" t="inlineStr">
        <is>
          <t>offen</t>
        </is>
      </c>
      <c r="N107" s="11" t="inlineStr">
        <is>
          <t>Betriebsleiter KSBL; NIV Art. 13; 3 Standorte</t>
        </is>
      </c>
      <c r="O107" s="11" t="inlineStr">
        <is>
          <t>NEA 3 Standorte: 3× 400 kVA Pflicht; USV; Bruderholz/Liestal/Laufen</t>
        </is>
      </c>
      <c r="P107" s="11" t="inlineStr">
        <is>
          <t>USV</t>
        </is>
      </c>
      <c r="Q107" s="11" t="n"/>
      <c r="R107" s="11" t="inlineStr">
        <is>
          <t>Bruderholzallee 70, 4101 Bruderholz; Liestal + Laufen</t>
        </is>
      </c>
      <c r="S107" s="11" t="inlineStr">
        <is>
          <t>Kantonsspital</t>
        </is>
      </c>
    </row>
    <row r="108">
      <c r="A108" s="11" t="n">
        <v>105</v>
      </c>
      <c r="B108" s="11" t="inlineStr">
        <is>
          <t>A</t>
        </is>
      </c>
      <c r="C108" s="11" t="inlineStr">
        <is>
          <t>Pharma/Chemie</t>
        </is>
      </c>
      <c r="D108" s="11" t="inlineStr">
        <is>
          <t>EMS-Chemie AG – Werk Domat (BL-Nähe)</t>
        </is>
      </c>
      <c r="E108" s="11" t="inlineStr">
        <is>
          <t>Domat/Ems</t>
        </is>
      </c>
      <c r="F108" s="11" t="inlineStr">
        <is>
          <t>7013</t>
        </is>
      </c>
      <c r="G108" s="11" t="inlineStr">
        <is>
          <t>BL</t>
        </is>
      </c>
      <c r="H108" s="11" t="inlineStr">
        <is>
          <t>Betriebsleiter Elektro</t>
        </is>
      </c>
      <c r="I108" s="11" t="inlineStr">
        <is>
          <t>MSc Chemie</t>
        </is>
      </c>
      <c r="J108" s="11" t="inlineStr">
        <is>
          <t>info@emschem.com</t>
        </is>
      </c>
      <c r="K108" s="11" t="inlineStr">
        <is>
          <t>+41 81 632 21 11</t>
        </is>
      </c>
      <c r="L108" s="11" t="n"/>
      <c r="M108" s="11" t="inlineStr">
        <is>
          <t>offen</t>
        </is>
      </c>
      <c r="N108" s="11" t="inlineStr">
        <is>
          <t>Betriebsleiter EMS-Chemie identifizieren</t>
        </is>
      </c>
      <c r="O108" s="11" t="inlineStr">
        <is>
          <t>Spezialchemie: NEA 1 MVA; FU-Antriebe; EMV; PQ</t>
        </is>
      </c>
      <c r="P108" s="11" t="n"/>
      <c r="Q108" s="11" t="n"/>
      <c r="R108" s="11" t="inlineStr">
        <is>
          <t>Werk Domat/Ems GR; Spezialchemie Weltmarktführer</t>
        </is>
      </c>
      <c r="S108" s="11" t="inlineStr">
        <is>
          <t>Chemie</t>
        </is>
      </c>
    </row>
    <row r="109">
      <c r="A109" s="11" t="n">
        <v>106</v>
      </c>
      <c r="B109" s="11" t="inlineStr">
        <is>
          <t>B</t>
        </is>
      </c>
      <c r="C109" s="11" t="inlineStr">
        <is>
          <t>Bau/Infrastruktur</t>
        </is>
      </c>
      <c r="D109" s="11" t="inlineStr">
        <is>
          <t>ARA Baselland – Rheinschutz Pratteln</t>
        </is>
      </c>
      <c r="E109" s="11" t="inlineStr">
        <is>
          <t>Pratteln</t>
        </is>
      </c>
      <c r="F109" s="11" t="inlineStr">
        <is>
          <t>4133</t>
        </is>
      </c>
      <c r="G109" s="11" t="inlineStr">
        <is>
          <t>BL</t>
        </is>
      </c>
      <c r="H109" s="11" t="inlineStr">
        <is>
          <t>Betriebsleiter</t>
        </is>
      </c>
      <c r="I109" s="11" t="inlineStr">
        <is>
          <t>Techniker</t>
        </is>
      </c>
      <c r="J109" s="11" t="inlineStr">
        <is>
          <t>info@ara-bl.ch</t>
        </is>
      </c>
      <c r="K109" s="11" t="inlineStr">
        <is>
          <t>+41 61 827 98 00</t>
        </is>
      </c>
      <c r="L109" s="11" t="n"/>
      <c r="M109" s="11" t="inlineStr">
        <is>
          <t>offen</t>
        </is>
      </c>
      <c r="N109" s="11" t="inlineStr">
        <is>
          <t>Betriebsleiter + simap.ch Alert BL</t>
        </is>
      </c>
      <c r="O109" s="11" t="inlineStr">
        <is>
          <t>NEA-Pflicht 1× 400 kVA; Rhein-Schutz</t>
        </is>
      </c>
      <c r="P109" s="11" t="inlineStr">
        <is>
          <t>Generator</t>
        </is>
      </c>
      <c r="Q109" s="11" t="n"/>
      <c r="R109" s="11" t="inlineStr">
        <is>
          <t>Hauptstrasse, 4133 Pratteln; Rhein-Schutz</t>
        </is>
      </c>
      <c r="S109" s="11" t="inlineStr">
        <is>
          <t>ARA</t>
        </is>
      </c>
    </row>
    <row r="110">
      <c r="A110" s="11" t="n">
        <v>107</v>
      </c>
      <c r="B110" s="11" t="inlineStr">
        <is>
          <t>B</t>
        </is>
      </c>
      <c r="C110" s="11" t="inlineStr">
        <is>
          <t>Pharma/Chemie</t>
        </is>
      </c>
      <c r="D110" s="11" t="inlineStr">
        <is>
          <t>Huntsman Textile Effects GmbH – Reinach BL</t>
        </is>
      </c>
      <c r="E110" s="11" t="inlineStr">
        <is>
          <t>Reinach</t>
        </is>
      </c>
      <c r="F110" s="11" t="inlineStr">
        <is>
          <t>4153</t>
        </is>
      </c>
      <c r="G110" s="11" t="inlineStr">
        <is>
          <t>BL</t>
        </is>
      </c>
      <c r="H110" s="11" t="inlineStr">
        <is>
          <t>Betriebsleiter Elektro</t>
        </is>
      </c>
      <c r="I110" s="11" t="inlineStr">
        <is>
          <t>MSc Chemie</t>
        </is>
      </c>
      <c r="J110" s="11" t="inlineStr">
        <is>
          <t>info@huntsman.com</t>
        </is>
      </c>
      <c r="K110" s="11" t="inlineStr">
        <is>
          <t>+41 61 775 21 11</t>
        </is>
      </c>
      <c r="L110" s="11" t="n"/>
      <c r="M110" s="11" t="inlineStr">
        <is>
          <t>offen</t>
        </is>
      </c>
      <c r="N110" s="11" t="inlineStr">
        <is>
          <t>Betriebsleiter Huntsman Reinach BL</t>
        </is>
      </c>
      <c r="O110" s="11" t="inlineStr">
        <is>
          <t>Textilchemie: NEA 500 kVA; PQ; FU-Antriebe</t>
        </is>
      </c>
      <c r="P110" s="11" t="n"/>
      <c r="Q110" s="11" t="n"/>
      <c r="R110" s="11" t="inlineStr">
        <is>
          <t>Falkenstrasse 26, 4153 Reinach; Textilchemie</t>
        </is>
      </c>
      <c r="S110" s="11" t="inlineStr">
        <is>
          <t>Chemie</t>
        </is>
      </c>
    </row>
    <row r="111">
      <c r="A111" s="11" t="n">
        <v>108</v>
      </c>
      <c r="B111" s="11" t="inlineStr">
        <is>
          <t>C</t>
        </is>
      </c>
      <c r="C111" s="11" t="inlineStr">
        <is>
          <t>Gemeinde/Öffentlich</t>
        </is>
      </c>
      <c r="D111" s="11" t="inlineStr">
        <is>
          <t>Kanton Basel-Landschaft – Hochbauamt</t>
        </is>
      </c>
      <c r="E111" s="11" t="inlineStr">
        <is>
          <t>Liestal</t>
        </is>
      </c>
      <c r="F111" s="11" t="inlineStr">
        <is>
          <t>4410</t>
        </is>
      </c>
      <c r="G111" s="11" t="inlineStr">
        <is>
          <t>BL</t>
        </is>
      </c>
      <c r="H111" s="11" t="inlineStr">
        <is>
          <t>Leiter Hochbauamt</t>
        </is>
      </c>
      <c r="I111" s="11" t="inlineStr">
        <is>
          <t>Kantonsbauingenieur</t>
        </is>
      </c>
      <c r="J111" s="11" t="inlineStr">
        <is>
          <t>hochbauamt@bl.ch</t>
        </is>
      </c>
      <c r="K111" s="11" t="inlineStr">
        <is>
          <t>+41 61 552 50 00</t>
        </is>
      </c>
      <c r="L111" s="11" t="n"/>
      <c r="M111" s="11" t="inlineStr">
        <is>
          <t>offen</t>
        </is>
      </c>
      <c r="N111" s="11" t="inlineStr">
        <is>
          <t>Hochbauamt BL + simap.ch Alert</t>
        </is>
      </c>
      <c r="O111" s="11" t="inlineStr">
        <is>
          <t>NEA kantonale Gebäude 1 MVA; Rahmenvertrag</t>
        </is>
      </c>
      <c r="P111" s="11" t="n"/>
      <c r="Q111" s="11" t="n"/>
      <c r="R111" s="11" t="inlineStr">
        <is>
          <t>Rathausstrasse 2, 4410 Liestal; Pharma-Umland</t>
        </is>
      </c>
      <c r="S111" s="11" t="inlineStr">
        <is>
          <t>Kanton</t>
        </is>
      </c>
    </row>
    <row r="112">
      <c r="A112" s="11" t="n">
        <v>109</v>
      </c>
      <c r="B112" s="11" t="inlineStr">
        <is>
          <t>A</t>
        </is>
      </c>
      <c r="C112" s="11" t="inlineStr">
        <is>
          <t>Pharma/Chemie</t>
        </is>
      </c>
      <c r="D112" s="11" t="inlineStr">
        <is>
          <t>Lonza AG Werk Visp/Kaiseraugst (BL-Seite)</t>
        </is>
      </c>
      <c r="E112" s="11" t="inlineStr">
        <is>
          <t>Pratteln</t>
        </is>
      </c>
      <c r="F112" s="11" t="inlineStr">
        <is>
          <t>4133</t>
        </is>
      </c>
      <c r="G112" s="11" t="inlineStr">
        <is>
          <t>BL</t>
        </is>
      </c>
      <c r="H112" s="11" t="inlineStr">
        <is>
          <t>Energiemanager</t>
        </is>
      </c>
      <c r="I112" s="11" t="inlineStr">
        <is>
          <t>MSc El.-Ing.</t>
        </is>
      </c>
      <c r="J112" s="11" t="inlineStr">
        <is>
          <t>energy@lonza.com</t>
        </is>
      </c>
      <c r="K112" s="11" t="inlineStr">
        <is>
          <t>+41 61 316 12 00</t>
        </is>
      </c>
      <c r="L112" s="11" t="n"/>
      <c r="M112" s="11" t="inlineStr">
        <is>
          <t>offen</t>
        </is>
      </c>
      <c r="N112" s="11" t="inlineStr">
        <is>
          <t>Energiemanager Lonza Kaiseraugst; Lonzastrasse 1 Kaiseraugst; GMP-Pitch</t>
        </is>
      </c>
      <c r="O112" s="11" t="inlineStr">
        <is>
          <t>Biopharma GMP: NEA 4 MVA; USV Reinräume; ISO 50001; Lonza = weltweit grösster GMP-Lohnhersteller</t>
        </is>
      </c>
      <c r="P112" s="11" t="inlineStr">
        <is>
          <t>USV</t>
        </is>
      </c>
      <c r="Q112" s="11" t="n"/>
      <c r="R112" s="11" t="inlineStr">
        <is>
          <t>Adr: Lonzastrasse 1, 4303 Kaiseraugst BL | GMP-Biopharma; 1'500 MA Standort</t>
        </is>
      </c>
      <c r="S112" s="11" t="inlineStr">
        <is>
          <t>Biopharma</t>
        </is>
      </c>
    </row>
    <row r="113">
      <c r="A113" s="11" t="n">
        <v>110</v>
      </c>
      <c r="B113" s="11" t="inlineStr">
        <is>
          <t>A</t>
        </is>
      </c>
      <c r="C113" s="11" t="inlineStr">
        <is>
          <t>Pharma/Chemie</t>
        </is>
      </c>
      <c r="D113" s="11" t="inlineStr">
        <is>
          <t>Huntsman Advanced Materials AG (Werk Muttenz)</t>
        </is>
      </c>
      <c r="E113" s="11" t="inlineStr">
        <is>
          <t>Muttenz</t>
        </is>
      </c>
      <c r="F113" s="11" t="inlineStr">
        <is>
          <t>4132</t>
        </is>
      </c>
      <c r="G113" s="11" t="inlineStr">
        <is>
          <t>BL</t>
        </is>
      </c>
      <c r="H113" s="11" t="inlineStr">
        <is>
          <t>Betriebsleiter Elektro</t>
        </is>
      </c>
      <c r="I113" s="11" t="inlineStr">
        <is>
          <t>MSc Chemie</t>
        </is>
      </c>
      <c r="J113" s="11" t="inlineStr">
        <is>
          <t>info@huntsman.com</t>
        </is>
      </c>
      <c r="K113" s="11" t="inlineStr">
        <is>
          <t>+41 61 828 11 11</t>
        </is>
      </c>
      <c r="L113" s="11" t="n"/>
      <c r="M113" s="11" t="inlineStr">
        <is>
          <t>offen</t>
        </is>
      </c>
      <c r="N113" s="11" t="inlineStr">
        <is>
          <t>Betriebsleiter Huntsman; Klybeckstrasse 200 Muttenz; FU-PQ-Pitch</t>
        </is>
      </c>
      <c r="O113" s="11" t="inlineStr">
        <is>
          <t>Epoxidharze Produktion: NEA 1 MVA; FU-Rührer+Reaktoren; PQ; EMV; D-A-CH-CZ</t>
        </is>
      </c>
      <c r="P113" s="11" t="n"/>
      <c r="Q113" s="11" t="n"/>
      <c r="R113" s="11" t="inlineStr">
        <is>
          <t>Adr: Klybeckstrasse 200, 4132 Muttenz | Huntsman Epoxidharze; FU-Reaktoren intensiv</t>
        </is>
      </c>
      <c r="S113" s="11" t="inlineStr">
        <is>
          <t>Spezialchemie</t>
        </is>
      </c>
    </row>
    <row r="114">
      <c r="A114" s="11" t="n">
        <v>111</v>
      </c>
      <c r="B114" s="11" t="inlineStr">
        <is>
          <t>A</t>
        </is>
      </c>
      <c r="C114" s="11" t="inlineStr">
        <is>
          <t>Spital/Klinik</t>
        </is>
      </c>
      <c r="D114" s="11" t="inlineStr">
        <is>
          <t>Kantonsspital Baselland KSBL (Liestal+Bruderholz)</t>
        </is>
      </c>
      <c r="E114" s="11" t="inlineStr">
        <is>
          <t>Liestal</t>
        </is>
      </c>
      <c r="F114" s="11" t="inlineStr">
        <is>
          <t>4410</t>
        </is>
      </c>
      <c r="G114" s="11" t="inlineStr">
        <is>
          <t>BL</t>
        </is>
      </c>
      <c r="H114" s="11" t="inlineStr">
        <is>
          <t>Leiter TGM</t>
        </is>
      </c>
      <c r="I114" s="11" t="inlineStr">
        <is>
          <t>MSc El.-Ing.</t>
        </is>
      </c>
      <c r="J114" s="11" t="inlineStr">
        <is>
          <t>info@ksbl.ch</t>
        </is>
      </c>
      <c r="K114" s="11" t="inlineStr">
        <is>
          <t>+41 61 925 21 21</t>
        </is>
      </c>
      <c r="L114" s="11" t="n"/>
      <c r="M114" s="11" t="inlineStr">
        <is>
          <t>offen</t>
        </is>
      </c>
      <c r="N114" s="11" t="inlineStr">
        <is>
          <t>TGM KSBL; Rheinstrasse 26 Liestal; Neubau Laufen ansprechen</t>
        </is>
      </c>
      <c r="O114" s="11" t="inlineStr">
        <is>
          <t>NEA 4× 400 kVA; USV OP/ICU; 3'000 MA; 2 Hauptstandorte + Laufen; Neubau Laufen 2025</t>
        </is>
      </c>
      <c r="P114" s="11" t="inlineStr">
        <is>
          <t>USV</t>
        </is>
      </c>
      <c r="Q114" s="11" t="n"/>
      <c r="R114" s="11" t="inlineStr">
        <is>
          <t>Adr: Rheinstrasse 26, 4410 Liestal | 3'000 MA; 3 Standorte; Neubau Laufen 2025</t>
        </is>
      </c>
      <c r="S114" s="11" t="inlineStr">
        <is>
          <t>Kantonsspital</t>
        </is>
      </c>
    </row>
    <row r="115">
      <c r="A115" s="11" t="n">
        <v>112</v>
      </c>
      <c r="B115" s="11" t="inlineStr">
        <is>
          <t>A</t>
        </is>
      </c>
      <c r="C115" s="11" t="inlineStr">
        <is>
          <t>EVU/Netzbetreiber</t>
        </is>
      </c>
      <c r="D115" s="11" t="inlineStr">
        <is>
          <t>EBL (Elektra Baselland)</t>
        </is>
      </c>
      <c r="E115" s="11" t="inlineStr">
        <is>
          <t>Liestal</t>
        </is>
      </c>
      <c r="F115" s="11" t="inlineStr">
        <is>
          <t>4410</t>
        </is>
      </c>
      <c r="G115" s="11" t="inlineStr">
        <is>
          <t>BL</t>
        </is>
      </c>
      <c r="H115" s="11" t="inlineStr">
        <is>
          <t>Leiter Netzbetrieb</t>
        </is>
      </c>
      <c r="I115" s="11" t="inlineStr">
        <is>
          <t>Dipl. El.-Ing.</t>
        </is>
      </c>
      <c r="J115" s="11" t="inlineStr">
        <is>
          <t>info@ebl.ch</t>
        </is>
      </c>
      <c r="K115" s="11" t="inlineStr">
        <is>
          <t>+41 61 926 11 11</t>
        </is>
      </c>
      <c r="L115" s="11" t="n"/>
      <c r="M115" s="11" t="inlineStr">
        <is>
          <t>offen</t>
        </is>
      </c>
      <c r="N115" s="11" t="inlineStr">
        <is>
          <t>Netzbetrieb EBL; Kasernenstrasse 20 Liestal; Revisionskalender anfragen</t>
        </is>
      </c>
      <c r="O115" s="11" t="inlineStr">
        <is>
          <t>85'000 Kunden BL; MS/HS-Revisionen; BESS; Ladestrom; 250 MA</t>
        </is>
      </c>
      <c r="P115" s="11" t="inlineStr">
        <is>
          <t>BESS</t>
        </is>
      </c>
      <c r="Q115" s="11" t="n"/>
      <c r="R115" s="11" t="inlineStr">
        <is>
          <t>Adr: Kasernenstrasse 20, 4410 Liestal | Kantonaler EVU BL; 85'000 Kunden; BESS</t>
        </is>
      </c>
      <c r="S115" s="11" t="inlineStr">
        <is>
          <t>Kantonaler EVU</t>
        </is>
      </c>
    </row>
    <row r="116">
      <c r="A116" s="11" t="n">
        <v>113</v>
      </c>
      <c r="B116" s="11" t="inlineStr">
        <is>
          <t>A</t>
        </is>
      </c>
      <c r="C116" s="11" t="inlineStr">
        <is>
          <t>Bau/Infrastruktur</t>
        </is>
      </c>
      <c r="D116" s="11" t="inlineStr">
        <is>
          <t>Chemiehafen Muttenz (Rhein-Logistik)</t>
        </is>
      </c>
      <c r="E116" s="11" t="inlineStr">
        <is>
          <t>Muttenz</t>
        </is>
      </c>
      <c r="F116" s="11" t="inlineStr">
        <is>
          <t>4132</t>
        </is>
      </c>
      <c r="G116" s="11" t="inlineStr">
        <is>
          <t>BL</t>
        </is>
      </c>
      <c r="H116" s="11" t="inlineStr">
        <is>
          <t>Betriebsleiter Technik</t>
        </is>
      </c>
      <c r="I116" s="11" t="inlineStr">
        <is>
          <t>Dipl. El.-Ing.</t>
        </is>
      </c>
      <c r="J116" s="11" t="inlineStr">
        <is>
          <t>info@chemiehafen.ch</t>
        </is>
      </c>
      <c r="K116" s="11" t="inlineStr">
        <is>
          <t>+41 61 469 71 11</t>
        </is>
      </c>
      <c r="L116" s="11" t="n"/>
      <c r="M116" s="11" t="inlineStr">
        <is>
          <t>offen</t>
        </is>
      </c>
      <c r="N116" s="11" t="inlineStr">
        <is>
          <t>Betriebsleiter Chemiehafen Muttenz; Rhein-Pitch</t>
        </is>
      </c>
      <c r="O116" s="11" t="inlineStr">
        <is>
          <t>Chemiehafen: NEA 1.5 MVA; Krananlagen FU; PQ; Rhein-Logistik; 24h-Betrieb</t>
        </is>
      </c>
      <c r="P116" s="11" t="n"/>
      <c r="Q116" s="11" t="n"/>
      <c r="R116" s="11" t="inlineStr">
        <is>
          <t>Adr: Hafenstrasse, 4132 Muttenz | Chemiehafen; Rhein-Logistik; FU-Kräne</t>
        </is>
      </c>
      <c r="S116" s="11" t="inlineStr">
        <is>
          <t>Chemiehafen</t>
        </is>
      </c>
    </row>
    <row r="117">
      <c r="A117" s="11" t="n">
        <v>114</v>
      </c>
      <c r="B117" s="11" t="inlineStr">
        <is>
          <t>A</t>
        </is>
      </c>
      <c r="C117" s="11" t="inlineStr">
        <is>
          <t>Pharma/Chemie</t>
        </is>
      </c>
      <c r="D117" s="11" t="inlineStr">
        <is>
          <t>Clariant AG Werk Muttenz</t>
        </is>
      </c>
      <c r="E117" s="11" t="inlineStr">
        <is>
          <t>Muttenz</t>
        </is>
      </c>
      <c r="F117" s="11" t="inlineStr">
        <is>
          <t>4132</t>
        </is>
      </c>
      <c r="G117" s="11" t="inlineStr">
        <is>
          <t>BL</t>
        </is>
      </c>
      <c r="H117" s="11" t="inlineStr">
        <is>
          <t>Betriebsleiter Elektro</t>
        </is>
      </c>
      <c r="I117" s="11" t="inlineStr">
        <is>
          <t>MSc Chemie</t>
        </is>
      </c>
      <c r="J117" s="11" t="inlineStr">
        <is>
          <t>info@clariant.com</t>
        </is>
      </c>
      <c r="K117" s="11" t="inlineStr">
        <is>
          <t>+41 61 469 51 11</t>
        </is>
      </c>
      <c r="L117" s="11" t="n"/>
      <c r="M117" s="11" t="inlineStr">
        <is>
          <t>offen</t>
        </is>
      </c>
      <c r="N117" s="11" t="inlineStr">
        <is>
          <t>Betriebsleiter Clariant Muttenz; Rothausstrasse 61; FU-PQ-Pitch</t>
        </is>
      </c>
      <c r="O117" s="11" t="inlineStr">
        <is>
          <t>Spezialchemie: NEA 1.5 MVA; FU-Reaktoren; PQ; EMV; ISO 50001; Clariant = CHF 3.8 Mrd.</t>
        </is>
      </c>
      <c r="P117" s="11" t="n"/>
      <c r="Q117" s="11" t="n"/>
      <c r="R117" s="11" t="inlineStr">
        <is>
          <t>Adr: Rothausstrasse 61, 4132 Muttenz | Clariant Spezialchemie; FU-Reaktoren</t>
        </is>
      </c>
      <c r="S117" s="11" t="inlineStr">
        <is>
          <t>Bahnfarben/Chemie</t>
        </is>
      </c>
    </row>
    <row r="118">
      <c r="A118" s="11" t="n">
        <v>115</v>
      </c>
      <c r="B118" s="11" t="inlineStr">
        <is>
          <t>A</t>
        </is>
      </c>
      <c r="C118" s="11" t="inlineStr">
        <is>
          <t>Industrie/Maschinenbau</t>
        </is>
      </c>
      <c r="D118" s="11" t="inlineStr">
        <is>
          <t>Stahl Gerlafingen AG (Georgsmarienhütte BL-Werk)</t>
        </is>
      </c>
      <c r="E118" s="11" t="inlineStr">
        <is>
          <t>Pratteln</t>
        </is>
      </c>
      <c r="F118" s="11" t="inlineStr">
        <is>
          <t>4133</t>
        </is>
      </c>
      <c r="G118" s="11" t="inlineStr">
        <is>
          <t>BL</t>
        </is>
      </c>
      <c r="H118" s="11" t="inlineStr">
        <is>
          <t>Betriebsleiter Elektro</t>
        </is>
      </c>
      <c r="I118" s="11" t="inlineStr">
        <is>
          <t>MSc El.-Ing.</t>
        </is>
      </c>
      <c r="J118" s="11" t="inlineStr">
        <is>
          <t>info@gerlafingen.ch</t>
        </is>
      </c>
      <c r="K118" s="11" t="inlineStr">
        <is>
          <t>+41 61 827 21 11</t>
        </is>
      </c>
      <c r="L118" s="11" t="n"/>
      <c r="M118" s="11" t="inlineStr">
        <is>
          <t>offen</t>
        </is>
      </c>
      <c r="N118" s="11" t="inlineStr">
        <is>
          <t>Betriebsleiter Stahl Pratteln BL; Lichtbogenofen-PQ-Pitch; Unikat CH</t>
        </is>
      </c>
      <c r="O118" s="11" t="inlineStr">
        <is>
          <t>Stahlproduktion: NEA 5 MVA; Lichtbogenofen 50+ MVA; PQ; EMV; stärkste NRW BL</t>
        </is>
      </c>
      <c r="P118" s="11" t="n"/>
      <c r="Q118" s="11" t="n"/>
      <c r="R118" s="11" t="inlineStr">
        <is>
          <t>Adr: Pratteln, 4133 BL | Lichtbogenofen 50 MVA = extremste NRW CH; PQ-Pflicht</t>
        </is>
      </c>
      <c r="S118" s="11" t="inlineStr">
        <is>
          <t>Stahl / Metall</t>
        </is>
      </c>
    </row>
    <row r="119">
      <c r="A119" s="11" t="n">
        <v>116</v>
      </c>
      <c r="B119" s="11" t="inlineStr">
        <is>
          <t>B</t>
        </is>
      </c>
      <c r="C119" s="11" t="inlineStr">
        <is>
          <t>EVU/Netzbetreiber</t>
        </is>
      </c>
      <c r="D119" s="11" t="inlineStr">
        <is>
          <t>Energiedienst AG (Rheinfelden BL/AG)</t>
        </is>
      </c>
      <c r="E119" s="11" t="inlineStr">
        <is>
          <t>Rheinfelden</t>
        </is>
      </c>
      <c r="F119" s="11" t="inlineStr">
        <is>
          <t>4310</t>
        </is>
      </c>
      <c r="G119" s="11" t="inlineStr">
        <is>
          <t>BL</t>
        </is>
      </c>
      <c r="H119" s="11" t="inlineStr">
        <is>
          <t>Betriebsleiter</t>
        </is>
      </c>
      <c r="I119" s="11" t="inlineStr">
        <is>
          <t>Dipl. El.-Ing.</t>
        </is>
      </c>
      <c r="J119" s="11" t="inlineStr">
        <is>
          <t>info@energiedienst.ch</t>
        </is>
      </c>
      <c r="K119" s="11" t="inlineStr">
        <is>
          <t>+41 61 835 04 04</t>
        </is>
      </c>
      <c r="L119" s="11" t="n"/>
      <c r="M119" s="11" t="inlineStr">
        <is>
          <t>offen</t>
        </is>
      </c>
      <c r="N119" s="11" t="inlineStr">
        <is>
          <t>Betriebsleiter Energiedienst; Rheinfelden BL; Grenzregion D-Pitch</t>
        </is>
      </c>
      <c r="O119" s="11" t="inlineStr">
        <is>
          <t>Wasserkraft Rhein: MS-Revisionen; NEA kommunale Gebäude; D-CH-Grenzregion</t>
        </is>
      </c>
      <c r="P119" s="11" t="n"/>
      <c r="Q119" s="11" t="n"/>
      <c r="R119" s="11" t="inlineStr">
        <is>
          <t>Adr: Rheinfelden, 4310 BL/AG | Wasserkraft Rhein; D-CH-Grenzregion</t>
        </is>
      </c>
      <c r="S119" s="11" t="inlineStr">
        <is>
          <t>Stadtwerk Rheinfelden</t>
        </is>
      </c>
    </row>
    <row r="120">
      <c r="A120" s="11" t="n">
        <v>117</v>
      </c>
      <c r="B120" s="11" t="inlineStr">
        <is>
          <t>B</t>
        </is>
      </c>
      <c r="C120" s="11" t="inlineStr">
        <is>
          <t>Gemeinde/Öffentlich</t>
        </is>
      </c>
      <c r="D120" s="11" t="inlineStr">
        <is>
          <t>Kanton Basel-Landschaft (Hochbauamt)</t>
        </is>
      </c>
      <c r="E120" s="11" t="inlineStr">
        <is>
          <t>Liestal</t>
        </is>
      </c>
      <c r="F120" s="11" t="inlineStr">
        <is>
          <t>4410</t>
        </is>
      </c>
      <c r="G120" s="11" t="inlineStr">
        <is>
          <t>BL</t>
        </is>
      </c>
      <c r="H120" s="11" t="inlineStr">
        <is>
          <t>Leiter Hochbauamt</t>
        </is>
      </c>
      <c r="I120" s="11" t="inlineStr">
        <is>
          <t>Kantonsbauingenieur</t>
        </is>
      </c>
      <c r="J120" s="11" t="inlineStr">
        <is>
          <t>hochbauamt@bl.ch</t>
        </is>
      </c>
      <c r="K120" s="11" t="inlineStr">
        <is>
          <t>+41 61 552 50 00</t>
        </is>
      </c>
      <c r="L120" s="11" t="n"/>
      <c r="M120" s="11" t="inlineStr">
        <is>
          <t>offen</t>
        </is>
      </c>
      <c r="N120" s="11" t="inlineStr">
        <is>
          <t>Hochbauamt BL; Rheinstrasse 29 Liestal; simap.ch Alert</t>
        </is>
      </c>
      <c r="O120" s="11" t="inlineStr">
        <is>
          <t>NEA kantonale Gebäude; 300+ Liegenschaften BL; Rahmenvertrag</t>
        </is>
      </c>
      <c r="P120" s="11" t="n"/>
      <c r="Q120" s="11" t="n"/>
      <c r="R120" s="11" t="inlineStr">
        <is>
          <t>Adr: Rheinstrasse 29, 4410 Liestal | 300+ Liegenschaften; Rahmenvertrag</t>
        </is>
      </c>
      <c r="S120" s="11" t="inlineStr">
        <is>
          <t>Kanton BL</t>
        </is>
      </c>
    </row>
    <row r="121">
      <c r="A121" s="11" t="n">
        <v>118</v>
      </c>
      <c r="B121" s="11" t="inlineStr">
        <is>
          <t>B</t>
        </is>
      </c>
      <c r="C121" s="11" t="inlineStr">
        <is>
          <t>Spital/Klinik</t>
        </is>
      </c>
      <c r="D121" s="11" t="inlineStr">
        <is>
          <t>Reha Rheinfelden</t>
        </is>
      </c>
      <c r="E121" s="11" t="inlineStr">
        <is>
          <t>Rheinfelden</t>
        </is>
      </c>
      <c r="F121" s="11" t="inlineStr">
        <is>
          <t>4310</t>
        </is>
      </c>
      <c r="G121" s="11" t="inlineStr">
        <is>
          <t>BL</t>
        </is>
      </c>
      <c r="H121" s="11" t="inlineStr">
        <is>
          <t>Betriebsleiter Technik</t>
        </is>
      </c>
      <c r="I121" s="11" t="inlineStr">
        <is>
          <t>Techniker</t>
        </is>
      </c>
      <c r="J121" s="11" t="inlineStr">
        <is>
          <t>info@reha-rheinfelden.ch</t>
        </is>
      </c>
      <c r="K121" s="11" t="inlineStr">
        <is>
          <t>+41 61 836 50 00</t>
        </is>
      </c>
      <c r="L121" s="11" t="n"/>
      <c r="M121" s="11" t="inlineStr">
        <is>
          <t>offen</t>
        </is>
      </c>
      <c r="N121" s="11" t="inlineStr">
        <is>
          <t>Betriebsleiter Reha Rheinfelden; Salinenstrasse 98; NIV Art. 13</t>
        </is>
      </c>
      <c r="O121" s="11" t="inlineStr">
        <is>
          <t>Rehaklinik Rheinufer: NEA 1× 300 kVA; USV; 250 MA; Neuroreha</t>
        </is>
      </c>
      <c r="P121" s="11" t="inlineStr">
        <is>
          <t>USV</t>
        </is>
      </c>
      <c r="Q121" s="11" t="n"/>
      <c r="R121" s="11" t="inlineStr">
        <is>
          <t>Adr: Salinenstrasse 98, 4310 Rheinfelden | Neuroreha; 24h; NIV Art. 13</t>
        </is>
      </c>
      <c r="S121" s="11" t="inlineStr">
        <is>
          <t>Rehaklinik</t>
        </is>
      </c>
    </row>
    <row r="122">
      <c r="A122" s="11" t="n">
        <v>119</v>
      </c>
      <c r="B122" s="11" t="inlineStr">
        <is>
          <t>B</t>
        </is>
      </c>
      <c r="C122" s="11" t="inlineStr">
        <is>
          <t>Elektroplaner/Engineering</t>
        </is>
      </c>
      <c r="D122" s="11" t="inlineStr">
        <is>
          <t>EBM Energie (Münchenbuchsee / BL-Region)</t>
        </is>
      </c>
      <c r="E122" s="11" t="inlineStr">
        <is>
          <t>Münchenbuchsee</t>
        </is>
      </c>
      <c r="F122" s="11" t="inlineStr">
        <is>
          <t>3053</t>
        </is>
      </c>
      <c r="G122" s="11" t="inlineStr">
        <is>
          <t>BL</t>
        </is>
      </c>
      <c r="H122" s="11" t="inlineStr">
        <is>
          <t>Betriebsleiter</t>
        </is>
      </c>
      <c r="I122" s="11" t="inlineStr">
        <is>
          <t>Dipl. El.-Ing.</t>
        </is>
      </c>
      <c r="J122" s="11" t="inlineStr">
        <is>
          <t>info@ebm.ch</t>
        </is>
      </c>
      <c r="K122" s="11" t="inlineStr">
        <is>
          <t>+41 61 415 41 41</t>
        </is>
      </c>
      <c r="L122" s="11" t="n"/>
      <c r="M122" s="11" t="inlineStr">
        <is>
          <t>offen</t>
        </is>
      </c>
      <c r="N122" s="11" t="inlineStr">
        <is>
          <t>Betriebsleiter EBM; Partnerschaft BL ansprechen</t>
        </is>
      </c>
      <c r="O122" s="11" t="inlineStr">
        <is>
          <t>EVU + Elektrounternehmen BL/SO-Region; 200'000 Kunden; Strom+Gas+Wärme</t>
        </is>
      </c>
      <c r="P122" s="11" t="n"/>
      <c r="Q122" s="11" t="n"/>
      <c r="R122" s="11" t="inlineStr">
        <is>
          <t>Adr: Münchenbuchsee BE | EBM; 200'000 Kunden BL/SO; Türöffner</t>
        </is>
      </c>
      <c r="S122" s="11" t="inlineStr">
        <is>
          <t>Elektro BL</t>
        </is>
      </c>
    </row>
    <row r="123">
      <c r="A123" s="11" t="n">
        <v>120</v>
      </c>
      <c r="B123" s="11" t="inlineStr">
        <is>
          <t>B</t>
        </is>
      </c>
      <c r="C123" s="11" t="inlineStr">
        <is>
          <t>Bau/Infrastruktur</t>
        </is>
      </c>
      <c r="D123" s="11" t="inlineStr">
        <is>
          <t>ARA Basellandschaft (Liestal / Rhein-Schutz)</t>
        </is>
      </c>
      <c r="E123" s="11" t="inlineStr">
        <is>
          <t>Liestal</t>
        </is>
      </c>
      <c r="F123" s="11" t="inlineStr">
        <is>
          <t>4410</t>
        </is>
      </c>
      <c r="G123" s="11" t="inlineStr">
        <is>
          <t>BL</t>
        </is>
      </c>
      <c r="H123" s="11" t="inlineStr">
        <is>
          <t>Betriebsleiter ARA</t>
        </is>
      </c>
      <c r="I123" s="11" t="inlineStr">
        <is>
          <t>Techniker</t>
        </is>
      </c>
      <c r="J123" s="11" t="inlineStr">
        <is>
          <t>info@ara-bl.ch</t>
        </is>
      </c>
      <c r="K123" s="11" t="inlineStr">
        <is>
          <t>+41 61 926 22 11</t>
        </is>
      </c>
      <c r="L123" s="11" t="n"/>
      <c r="M123" s="11" t="inlineStr">
        <is>
          <t>offen</t>
        </is>
      </c>
      <c r="N123" s="11" t="inlineStr">
        <is>
          <t>Betriebsleiter ARA BL; simap.ch Alert BL</t>
        </is>
      </c>
      <c r="O123" s="11" t="inlineStr">
        <is>
          <t>NEA-Pflicht 1× 400 kVA; Rhein-Gewässerschutz; 24h-Betrieb; BL</t>
        </is>
      </c>
      <c r="P123" s="11" t="inlineStr">
        <is>
          <t>Generator</t>
        </is>
      </c>
      <c r="Q123" s="11" t="n"/>
      <c r="R123" s="11" t="inlineStr">
        <is>
          <t>Adr: Liestal, 4410 BL | Rhein-Schutz; Ausschreibungspflicht</t>
        </is>
      </c>
      <c r="S123" s="11" t="inlineStr">
        <is>
          <t>ARA Rhein BL</t>
        </is>
      </c>
    </row>
    <row r="124">
      <c r="A124" s="11" t="n">
        <v>121</v>
      </c>
      <c r="B124" s="11" t="inlineStr">
        <is>
          <t>C</t>
        </is>
      </c>
      <c r="C124" s="11" t="inlineStr">
        <is>
          <t>Pharma/Chemie</t>
        </is>
      </c>
      <c r="D124" s="11" t="inlineStr">
        <is>
          <t>Holcim Schweiz AG (Werk Pratteln)</t>
        </is>
      </c>
      <c r="E124" s="11" t="inlineStr">
        <is>
          <t>Pratteln</t>
        </is>
      </c>
      <c r="F124" s="11" t="inlineStr">
        <is>
          <t>4133</t>
        </is>
      </c>
      <c r="G124" s="11" t="inlineStr">
        <is>
          <t>BL</t>
        </is>
      </c>
      <c r="H124" s="11" t="inlineStr">
        <is>
          <t>Betriebsleiter Elektro</t>
        </is>
      </c>
      <c r="I124" s="11" t="inlineStr">
        <is>
          <t>Dipl. El.-Ing.</t>
        </is>
      </c>
      <c r="J124" s="11" t="inlineStr">
        <is>
          <t>info@holcim.ch</t>
        </is>
      </c>
      <c r="K124" s="11" t="inlineStr">
        <is>
          <t>+41 61 825 25 25</t>
        </is>
      </c>
      <c r="L124" s="11" t="n"/>
      <c r="M124" s="11" t="inlineStr">
        <is>
          <t>offen</t>
        </is>
      </c>
      <c r="N124" s="11" t="inlineStr">
        <is>
          <t>Betriebsleiter Holcim Pratteln; FU-PQ-Pitch</t>
        </is>
      </c>
      <c r="O124" s="11" t="inlineStr">
        <is>
          <t>Zementwerk: NEA 2 MVA; FU-Mühlen intensiv; PQ; ISO 50001; Holcim = CHF 27 Mrd. ww</t>
        </is>
      </c>
      <c r="P124" s="11" t="n"/>
      <c r="Q124" s="11" t="n"/>
      <c r="R124" s="11" t="inlineStr">
        <is>
          <t>Adr: Pratteln, 4133 BL | Holcim Zementwerk; FU-Mühlen intensiv</t>
        </is>
      </c>
      <c r="S124" s="11" t="inlineStr">
        <is>
          <t>Beton/Baustoffe</t>
        </is>
      </c>
    </row>
    <row r="125">
      <c r="A125" s="11" t="n">
        <v>122</v>
      </c>
      <c r="B125" s="11" t="inlineStr">
        <is>
          <t>C</t>
        </is>
      </c>
      <c r="C125" s="11" t="inlineStr">
        <is>
          <t>Rechenzentrum/IT</t>
        </is>
      </c>
      <c r="D125" s="11" t="inlineStr">
        <is>
          <t>Green Datacenter AG (RZ Pratteln BL)</t>
        </is>
      </c>
      <c r="E125" s="11" t="inlineStr">
        <is>
          <t>Pratteln</t>
        </is>
      </c>
      <c r="F125" s="11" t="inlineStr">
        <is>
          <t>4133</t>
        </is>
      </c>
      <c r="G125" s="11" t="inlineStr">
        <is>
          <t>BL</t>
        </is>
      </c>
      <c r="H125" s="11" t="inlineStr">
        <is>
          <t>Betriebsleiter RZ</t>
        </is>
      </c>
      <c r="I125" s="11" t="inlineStr">
        <is>
          <t>MSc El.-Ing.</t>
        </is>
      </c>
      <c r="J125" s="11" t="inlineStr">
        <is>
          <t>info@greendc.ch</t>
        </is>
      </c>
      <c r="K125" s="11" t="inlineStr">
        <is>
          <t>+41 44 862 24 00</t>
        </is>
      </c>
      <c r="L125" s="11" t="n"/>
      <c r="M125" s="11" t="inlineStr">
        <is>
          <t>offen</t>
        </is>
      </c>
      <c r="N125" s="11" t="inlineStr">
        <is>
          <t>Betriebsleiter Green RZ Pratteln; ZH-Verbindung nutzen</t>
        </is>
      </c>
      <c r="O125" s="11" t="inlineStr">
        <is>
          <t>RZ Pratteln: NEA; USV; PQ; Tier-3; Green-Datacenter-Verbund ZH+BL</t>
        </is>
      </c>
      <c r="P125" s="11" t="inlineStr">
        <is>
          <t>USV</t>
        </is>
      </c>
      <c r="Q125" s="11" t="n"/>
      <c r="R125" s="11" t="inlineStr">
        <is>
          <t>Adr: Pratteln, 4133 BL | Green Datacenter; Tier-3; ZH-BL-Verbund</t>
        </is>
      </c>
      <c r="S125" s="11" t="inlineStr">
        <is>
          <t>Rechenzentrum</t>
        </is>
      </c>
    </row>
    <row r="126">
      <c r="A126" s="11" t="n">
        <v>123</v>
      </c>
      <c r="B126" s="11" t="inlineStr">
        <is>
          <t>C</t>
        </is>
      </c>
      <c r="C126" s="11" t="inlineStr">
        <is>
          <t>Gemeinde/Öffentlich</t>
        </is>
      </c>
      <c r="D126" s="11" t="inlineStr">
        <is>
          <t>[MiT BL-Pharma-Kältekunde Nr. 1]</t>
        </is>
      </c>
      <c r="E126" s="11" t="inlineStr">
        <is>
          <t>Muttenz</t>
        </is>
      </c>
      <c r="F126" s="11" t="inlineStr">
        <is>
          <t>4132</t>
        </is>
      </c>
      <c r="G126" s="11" t="inlineStr">
        <is>
          <t>BL</t>
        </is>
      </c>
      <c r="H126" s="11" t="inlineStr">
        <is>
          <t>Energieverantwortlicher</t>
        </is>
      </c>
      <c r="I126" s="11" t="inlineStr">
        <is>
          <t>Betriebsleiter</t>
        </is>
      </c>
      <c r="J126" s="11" t="n"/>
      <c r="K126" s="11" t="inlineStr">
        <is>
          <t>(MiT-CRM)</t>
        </is>
      </c>
      <c r="L126" s="11" t="n"/>
      <c r="M126" s="11" t="inlineStr">
        <is>
          <t>offen</t>
        </is>
      </c>
      <c r="N126" s="11" t="inlineStr">
        <is>
          <t>MiT-CRM: BL-Pharma Muttenz ohne Strom prüfen</t>
        </is>
      </c>
      <c r="O126" s="11" t="inlineStr">
        <is>
          <t>Strom-Add-on GMP-Kältekunde BL Pharma-Cluster Muttenz</t>
        </is>
      </c>
      <c r="P126" s="11" t="n"/>
      <c r="Q126" s="11" t="n"/>
      <c r="R126" s="11" t="inlineStr">
        <is>
          <t>Lonza+Huntsman+Clariant alle in Muttenz = 1 Besuchstag = 3 GMP-Accounts</t>
        </is>
      </c>
      <c r="S126" s="11" t="inlineStr">
        <is>
          <t>Cross-Sell MiT</t>
        </is>
      </c>
    </row>
    <row r="127">
      <c r="A127" s="11" t="n">
        <v>124</v>
      </c>
      <c r="B127" s="11" t="inlineStr">
        <is>
          <t>A</t>
        </is>
      </c>
      <c r="C127" s="11" t="inlineStr">
        <is>
          <t>EVU/Netzbetreiber</t>
        </is>
      </c>
      <c r="D127" s="11" t="inlineStr">
        <is>
          <t>IWB (Industrielle Werke Basel)</t>
        </is>
      </c>
      <c r="E127" s="11" t="inlineStr">
        <is>
          <t>Basel</t>
        </is>
      </c>
      <c r="F127" s="11" t="inlineStr">
        <is>
          <t>4002</t>
        </is>
      </c>
      <c r="G127" s="11" t="inlineStr">
        <is>
          <t>BS</t>
        </is>
      </c>
      <c r="H127" s="11" t="inlineStr">
        <is>
          <t>Leiter Netzbetrieb</t>
        </is>
      </c>
      <c r="I127" s="11" t="inlineStr">
        <is>
          <t>Dipl. El.-Ing.</t>
        </is>
      </c>
      <c r="J127" s="11" t="inlineStr">
        <is>
          <t>info@iwb.ch</t>
        </is>
      </c>
      <c r="K127" s="11" t="inlineStr">
        <is>
          <t>+41 61 275 51 11</t>
        </is>
      </c>
      <c r="L127" s="11" t="n"/>
      <c r="M127" s="11" t="inlineStr">
        <is>
          <t>offen</t>
        </is>
      </c>
      <c r="N127" s="11" t="inlineStr">
        <is>
          <t>Netzbetrieb IWB; Revisionskalender anfragen</t>
        </is>
      </c>
      <c r="O127" s="11" t="inlineStr">
        <is>
          <t>MS/HS-Revisionen Basel; 200'000 Kunden; Wärme+Wasser; BESS</t>
        </is>
      </c>
      <c r="P127" s="11" t="inlineStr">
        <is>
          <t>BESS</t>
        </is>
      </c>
      <c r="Q127" s="11" t="n"/>
      <c r="R127" s="11" t="inlineStr">
        <is>
          <t>Adr: Margarethenstrasse 40, 4002 Basel | Stadtwerk Basel; Strom+Wasser+Wärme</t>
        </is>
      </c>
      <c r="S127" s="11" t="inlineStr">
        <is>
          <t>Stadtwerk</t>
        </is>
      </c>
    </row>
    <row r="128">
      <c r="A128" s="11" t="n">
        <v>125</v>
      </c>
      <c r="B128" s="11" t="inlineStr">
        <is>
          <t>A</t>
        </is>
      </c>
      <c r="C128" s="11" t="inlineStr">
        <is>
          <t>Pharma/Chemie</t>
        </is>
      </c>
      <c r="D128" s="11" t="inlineStr">
        <is>
          <t>Novartis AG (HQ Campus Basel)</t>
        </is>
      </c>
      <c r="E128" s="11" t="inlineStr">
        <is>
          <t>Basel</t>
        </is>
      </c>
      <c r="F128" s="11" t="inlineStr">
        <is>
          <t>4056</t>
        </is>
      </c>
      <c r="G128" s="11" t="inlineStr">
        <is>
          <t>BS</t>
        </is>
      </c>
      <c r="H128" s="11" t="inlineStr">
        <is>
          <t>Energiemanager Global</t>
        </is>
      </c>
      <c r="I128" s="11" t="inlineStr">
        <is>
          <t>MSc Energie</t>
        </is>
      </c>
      <c r="J128" s="11" t="inlineStr">
        <is>
          <t>info@novartis.com</t>
        </is>
      </c>
      <c r="K128" s="11" t="inlineStr">
        <is>
          <t>+41 61 324 11 11</t>
        </is>
      </c>
      <c r="L128" s="11" t="n"/>
      <c r="M128" s="11" t="inlineStr">
        <is>
          <t>offen</t>
        </is>
      </c>
      <c r="N128" s="11" t="inlineStr">
        <is>
          <t>Energiemanager Novartis Basel; GMP-PQ-Pitch</t>
        </is>
      </c>
      <c r="O128" s="11" t="inlineStr">
        <is>
          <t>GMP-Campus: NEA 8 MVA; USV Labors+Produktion; PQ Reinräume; 10'000 MA CH</t>
        </is>
      </c>
      <c r="P128" s="11" t="inlineStr">
        <is>
          <t>USV</t>
        </is>
      </c>
      <c r="Q128" s="11" t="n"/>
      <c r="R128" s="11" t="inlineStr">
        <is>
          <t>Adr: Lichtstrasse 35, 4056 Basel | CHF 54.5 Mrd. 2025; 76'000 MA ww; GMP</t>
        </is>
      </c>
      <c r="S128" s="11" t="inlineStr">
        <is>
          <t>Pharma/HQ</t>
        </is>
      </c>
    </row>
    <row r="129">
      <c r="A129" s="11" t="n">
        <v>126</v>
      </c>
      <c r="B129" s="11" t="inlineStr">
        <is>
          <t>A</t>
        </is>
      </c>
      <c r="C129" s="11" t="inlineStr">
        <is>
          <t>Pharma/Chemie</t>
        </is>
      </c>
      <c r="D129" s="11" t="inlineStr">
        <is>
          <t>F. Hoffmann-La Roche AG (HQ Campus)</t>
        </is>
      </c>
      <c r="E129" s="11" t="inlineStr">
        <is>
          <t>Basel</t>
        </is>
      </c>
      <c r="F129" s="11" t="inlineStr">
        <is>
          <t>4070</t>
        </is>
      </c>
      <c r="G129" s="11" t="inlineStr">
        <is>
          <t>BS</t>
        </is>
      </c>
      <c r="H129" s="11" t="inlineStr">
        <is>
          <t>Energiemanager Global</t>
        </is>
      </c>
      <c r="I129" s="11" t="inlineStr">
        <is>
          <t>MSc Energie</t>
        </is>
      </c>
      <c r="J129" s="11" t="inlineStr">
        <is>
          <t>info@roche.com</t>
        </is>
      </c>
      <c r="K129" s="11" t="inlineStr">
        <is>
          <t>+41 61 688 11 11</t>
        </is>
      </c>
      <c r="L129" s="11" t="n"/>
      <c r="M129" s="11" t="inlineStr">
        <is>
          <t>offen</t>
        </is>
      </c>
      <c r="N129" s="11" t="inlineStr">
        <is>
          <t>Energiemanager Roche Basel; F1-Neubau-Pitch</t>
        </is>
      </c>
      <c r="O129" s="11" t="inlineStr">
        <is>
          <t>GMP-Campus: NEA 12 MVA; USV; PQ Reinräume; Turm F1 Neubau; 10'000+ MA CH</t>
        </is>
      </c>
      <c r="P129" s="11" t="inlineStr">
        <is>
          <t>USV</t>
        </is>
      </c>
      <c r="Q129" s="11" t="n"/>
      <c r="R129" s="11" t="inlineStr">
        <is>
          <t>Adr: Grenzacherstrasse 124, 4070 Basel | CHF 60+ Mrd.; F1-Turm im Bau</t>
        </is>
      </c>
      <c r="S129" s="11" t="inlineStr">
        <is>
          <t>Pharma/HQ</t>
        </is>
      </c>
    </row>
    <row r="130">
      <c r="A130" s="11" t="n">
        <v>127</v>
      </c>
      <c r="B130" s="11" t="inlineStr">
        <is>
          <t>A</t>
        </is>
      </c>
      <c r="C130" s="11" t="inlineStr">
        <is>
          <t>Pharma/Chemie</t>
        </is>
      </c>
      <c r="D130" s="11" t="inlineStr">
        <is>
          <t>Syngenta AG (HQ Basel)</t>
        </is>
      </c>
      <c r="E130" s="11" t="inlineStr">
        <is>
          <t>Basel</t>
        </is>
      </c>
      <c r="F130" s="11" t="inlineStr">
        <is>
          <t>4002</t>
        </is>
      </c>
      <c r="G130" s="11" t="inlineStr">
        <is>
          <t>BS</t>
        </is>
      </c>
      <c r="H130" s="11" t="inlineStr">
        <is>
          <t>Energiemanager</t>
        </is>
      </c>
      <c r="I130" s="11" t="inlineStr">
        <is>
          <t>MSc Chemie</t>
        </is>
      </c>
      <c r="J130" s="11" t="inlineStr">
        <is>
          <t>info@syngenta.com</t>
        </is>
      </c>
      <c r="K130" s="11" t="inlineStr">
        <is>
          <t>+41 61 323 11 11</t>
        </is>
      </c>
      <c r="L130" s="11" t="n"/>
      <c r="M130" s="11" t="inlineStr">
        <is>
          <t>offen</t>
        </is>
      </c>
      <c r="N130" s="11" t="inlineStr">
        <is>
          <t>Energiemanager Syngenta Basel kontaktieren</t>
        </is>
      </c>
      <c r="O130" s="11" t="inlineStr">
        <is>
          <t>Agrochemie HQ+Lab: NEA 2 MVA; PQ; FU-Antriebe; ISO 50001</t>
        </is>
      </c>
      <c r="P130" s="11" t="n"/>
      <c r="Q130" s="11" t="n"/>
      <c r="R130" s="11" t="inlineStr">
        <is>
          <t>Adr: Schwarzwaldallee 215, 4002 Basel | Agrochemie-Weltkonzern</t>
        </is>
      </c>
      <c r="S130" s="11" t="inlineStr">
        <is>
          <t>Agrochemie/HQ</t>
        </is>
      </c>
    </row>
    <row r="131">
      <c r="A131" s="11" t="n">
        <v>128</v>
      </c>
      <c r="B131" s="11" t="inlineStr">
        <is>
          <t>A</t>
        </is>
      </c>
      <c r="C131" s="11" t="inlineStr">
        <is>
          <t>Pharma/Chemie</t>
        </is>
      </c>
      <c r="D131" s="11" t="inlineStr">
        <is>
          <t>Sandoz AG (Basel)</t>
        </is>
      </c>
      <c r="E131" s="11" t="inlineStr">
        <is>
          <t>Basel</t>
        </is>
      </c>
      <c r="F131" s="11" t="inlineStr">
        <is>
          <t>4056</t>
        </is>
      </c>
      <c r="G131" s="11" t="inlineStr">
        <is>
          <t>BS</t>
        </is>
      </c>
      <c r="H131" s="11" t="inlineStr">
        <is>
          <t>Energiemanager</t>
        </is>
      </c>
      <c r="I131" s="11" t="inlineStr">
        <is>
          <t>MSc Chemie</t>
        </is>
      </c>
      <c r="J131" s="11" t="inlineStr">
        <is>
          <t>info@sandoz.com</t>
        </is>
      </c>
      <c r="K131" s="11" t="inlineStr">
        <is>
          <t>+41 61 324 11 11</t>
        </is>
      </c>
      <c r="L131" s="11" t="n"/>
      <c r="M131" s="11" t="inlineStr">
        <is>
          <t>offen</t>
        </is>
      </c>
      <c r="N131" s="11" t="inlineStr">
        <is>
          <t>Energiemanager Sandoz Basel; seit Okt. 2023 eigenständig</t>
        </is>
      </c>
      <c r="O131" s="11" t="inlineStr">
        <is>
          <t>Generika GMP: NEA 2 MVA; USV; PQ Reinräume; eigenständig seit Okt. 2023</t>
        </is>
      </c>
      <c r="P131" s="11" t="inlineStr">
        <is>
          <t>USV</t>
        </is>
      </c>
      <c r="Q131" s="11" t="n"/>
      <c r="R131" s="11" t="inlineStr">
        <is>
          <t>Adr: Lichtstrasse 35, 4056 Basel | Sandoz eigenständig seit Okt. 2023; GMP</t>
        </is>
      </c>
      <c r="S131" s="11" t="inlineStr">
        <is>
          <t>Pharma/Generika</t>
        </is>
      </c>
    </row>
    <row r="132">
      <c r="A132" s="11" t="n">
        <v>129</v>
      </c>
      <c r="B132" s="11" t="inlineStr">
        <is>
          <t>A</t>
        </is>
      </c>
      <c r="C132" s="11" t="inlineStr">
        <is>
          <t>Spital/Klinik</t>
        </is>
      </c>
      <c r="D132" s="11" t="inlineStr">
        <is>
          <t>Universitätsspital Basel (USB)</t>
        </is>
      </c>
      <c r="E132" s="11" t="inlineStr">
        <is>
          <t>Basel</t>
        </is>
      </c>
      <c r="F132" s="11" t="inlineStr">
        <is>
          <t>4031</t>
        </is>
      </c>
      <c r="G132" s="11" t="inlineStr">
        <is>
          <t>BS</t>
        </is>
      </c>
      <c r="H132" s="11" t="inlineStr">
        <is>
          <t>Leiter TGM</t>
        </is>
      </c>
      <c r="I132" s="11" t="inlineStr">
        <is>
          <t>MSc El.-Ing.</t>
        </is>
      </c>
      <c r="J132" s="11" t="inlineStr">
        <is>
          <t>info@usb.ch</t>
        </is>
      </c>
      <c r="K132" s="11" t="inlineStr">
        <is>
          <t>+41 61 265 25 25</t>
        </is>
      </c>
      <c r="L132" s="11" t="n"/>
      <c r="M132" s="11" t="inlineStr">
        <is>
          <t>offen</t>
        </is>
      </c>
      <c r="N132" s="11" t="inlineStr">
        <is>
          <t>TGM USB; simap.ch Alert Basel; Neubauten ansprechen</t>
        </is>
      </c>
      <c r="O132" s="11" t="inlineStr">
        <is>
          <t>NEA 4× 500 kVA; USV OP/ICU/Reinraum; 6'800 MA; Neubauten</t>
        </is>
      </c>
      <c r="P132" s="11" t="inlineStr">
        <is>
          <t>USV</t>
        </is>
      </c>
      <c r="Q132" s="11" t="n"/>
      <c r="R132" s="11" t="inlineStr">
        <is>
          <t>Adr: Petersgraben 4, 4031 Basel | 6'800 MA; Universitätsspital Basel</t>
        </is>
      </c>
      <c r="S132" s="11" t="inlineStr">
        <is>
          <t>Universitätsspital</t>
        </is>
      </c>
    </row>
    <row r="133">
      <c r="A133" s="11" t="n">
        <v>130</v>
      </c>
      <c r="B133" s="11" t="inlineStr">
        <is>
          <t>A</t>
        </is>
      </c>
      <c r="C133" s="11" t="inlineStr">
        <is>
          <t>Spital/Klinik</t>
        </is>
      </c>
      <c r="D133" s="11" t="inlineStr">
        <is>
          <t>Universitätskinderspital beider Basel (UKBB)</t>
        </is>
      </c>
      <c r="E133" s="11" t="inlineStr">
        <is>
          <t>Basel</t>
        </is>
      </c>
      <c r="F133" s="11" t="inlineStr">
        <is>
          <t>4056</t>
        </is>
      </c>
      <c r="G133" s="11" t="inlineStr">
        <is>
          <t>BS</t>
        </is>
      </c>
      <c r="H133" s="11" t="inlineStr">
        <is>
          <t>Betriebsleiter Technik</t>
        </is>
      </c>
      <c r="I133" s="11" t="inlineStr">
        <is>
          <t>Techniker</t>
        </is>
      </c>
      <c r="J133" s="11" t="inlineStr">
        <is>
          <t>info@ukbb.ch</t>
        </is>
      </c>
      <c r="K133" s="11" t="inlineStr">
        <is>
          <t>+41 61 704 12 12</t>
        </is>
      </c>
      <c r="L133" s="11" t="n"/>
      <c r="M133" s="11" t="inlineStr">
        <is>
          <t>offen</t>
        </is>
      </c>
      <c r="N133" s="11" t="inlineStr">
        <is>
          <t>Betriebsleiter UKBB kontaktieren</t>
        </is>
      </c>
      <c r="O133" s="11" t="inlineStr">
        <is>
          <t>NEA 2× 300 kVA; USV Pädiatrie ICU; 800 MA</t>
        </is>
      </c>
      <c r="P133" s="11" t="inlineStr">
        <is>
          <t>USV</t>
        </is>
      </c>
      <c r="Q133" s="11" t="n"/>
      <c r="R133" s="11" t="inlineStr">
        <is>
          <t>Adr: Spitalstrasse 33, 4056 Basel | 800 MA; Pädiatrie = USV absolut kritisch</t>
        </is>
      </c>
      <c r="S133" s="11" t="inlineStr">
        <is>
          <t>Kinderspital</t>
        </is>
      </c>
    </row>
    <row r="134">
      <c r="A134" s="11" t="n">
        <v>131</v>
      </c>
      <c r="B134" s="11" t="inlineStr">
        <is>
          <t>A</t>
        </is>
      </c>
      <c r="C134" s="11" t="inlineStr">
        <is>
          <t>Events/Messen</t>
        </is>
      </c>
      <c r="D134" s="11" t="inlineStr">
        <is>
          <t>MCH Group AG (Art Basel/Messe Basel)</t>
        </is>
      </c>
      <c r="E134" s="11" t="inlineStr">
        <is>
          <t>Basel</t>
        </is>
      </c>
      <c r="F134" s="11" t="inlineStr">
        <is>
          <t>4005</t>
        </is>
      </c>
      <c r="G134" s="11" t="inlineStr">
        <is>
          <t>BS</t>
        </is>
      </c>
      <c r="H134" s="11" t="inlineStr">
        <is>
          <t>Technische Leitung Events</t>
        </is>
      </c>
      <c r="I134" s="11" t="inlineStr">
        <is>
          <t>Veranstaltungstechniker</t>
        </is>
      </c>
      <c r="J134" s="11" t="inlineStr">
        <is>
          <t>info@mcheventgroup.com</t>
        </is>
      </c>
      <c r="K134" s="11" t="inlineStr">
        <is>
          <t>+41 58 206 28 28</t>
        </is>
      </c>
      <c r="L134" s="11" t="n"/>
      <c r="M134" s="11" t="inlineStr">
        <is>
          <t>offen</t>
        </is>
      </c>
      <c r="N134" s="11" t="inlineStr">
        <is>
          <t>Technische Leitung MCH; Kontakt Feb. für Juni</t>
        </is>
      </c>
      <c r="O134" s="11" t="inlineStr">
        <is>
          <t>Art Basel+Messe: Temporary Power 3 MVA; USV Klimatechnik; jährl. Juni</t>
        </is>
      </c>
      <c r="P134" s="11" t="inlineStr">
        <is>
          <t>USV</t>
        </is>
      </c>
      <c r="Q134" s="11" t="n"/>
      <c r="R134" s="11" t="inlineStr">
        <is>
          <t>Adr: Messeplatz 21, 4005 Basel | Weltgrösste Kunstmesse; 3 MVA; Juni</t>
        </is>
      </c>
      <c r="S134" s="11" t="inlineStr">
        <is>
          <t>Kunstmesse</t>
        </is>
      </c>
    </row>
    <row r="135">
      <c r="A135" s="11" t="n">
        <v>132</v>
      </c>
      <c r="B135" s="11" t="inlineStr">
        <is>
          <t>A</t>
        </is>
      </c>
      <c r="C135" s="11" t="inlineStr">
        <is>
          <t>Rechenzentrum/IT</t>
        </is>
      </c>
      <c r="D135" s="11" t="inlineStr">
        <is>
          <t>BIS (Bank für Internat. Zahlungsausgleich)</t>
        </is>
      </c>
      <c r="E135" s="11" t="inlineStr">
        <is>
          <t>Basel</t>
        </is>
      </c>
      <c r="F135" s="11" t="inlineStr">
        <is>
          <t>4002</t>
        </is>
      </c>
      <c r="G135" s="11" t="inlineStr">
        <is>
          <t>BS</t>
        </is>
      </c>
      <c r="H135" s="11" t="inlineStr">
        <is>
          <t>Facility Manager</t>
        </is>
      </c>
      <c r="I135" s="11" t="inlineStr">
        <is>
          <t>MSc Inf.</t>
        </is>
      </c>
      <c r="J135" s="11" t="inlineStr">
        <is>
          <t>secretariat@bis.org</t>
        </is>
      </c>
      <c r="K135" s="11" t="inlineStr">
        <is>
          <t>+41 61 280 80 80</t>
        </is>
      </c>
      <c r="L135" s="11" t="n"/>
      <c r="M135" s="11" t="inlineStr">
        <is>
          <t>offen</t>
        </is>
      </c>
      <c r="N135" s="11" t="inlineStr">
        <is>
          <t>Facility Manager BIS; Centralbahnplatz 2 Basel; Diskretion betonen</t>
        </is>
      </c>
      <c r="O135" s="11" t="inlineStr">
        <is>
          <t>RZ Zentralbank der Zentralbanken: USV 2× 500 kVA; NEA; höchste Sicherheit</t>
        </is>
      </c>
      <c r="P135" s="11" t="inlineStr">
        <is>
          <t>USV</t>
        </is>
      </c>
      <c r="Q135" s="11" t="n"/>
      <c r="R135" s="11" t="inlineStr">
        <is>
          <t>Adr: Centralbahnplatz 2, 4002 Basel | Zentralbank der Zentralbanken</t>
        </is>
      </c>
      <c r="S135" s="11" t="inlineStr">
        <is>
          <t>Internationaler</t>
        </is>
      </c>
    </row>
    <row r="136">
      <c r="A136" s="11" t="n">
        <v>133</v>
      </c>
      <c r="B136" s="11" t="inlineStr">
        <is>
          <t>A</t>
        </is>
      </c>
      <c r="C136" s="11" t="inlineStr">
        <is>
          <t>Pharma/Chemie</t>
        </is>
      </c>
      <c r="D136" s="11" t="inlineStr">
        <is>
          <t>Straumann Group AG (HQ Basel)</t>
        </is>
      </c>
      <c r="E136" s="11" t="inlineStr">
        <is>
          <t>Basel</t>
        </is>
      </c>
      <c r="F136" s="11" t="inlineStr">
        <is>
          <t>4052</t>
        </is>
      </c>
      <c r="G136" s="11" t="inlineStr">
        <is>
          <t>BS</t>
        </is>
      </c>
      <c r="H136" s="11" t="inlineStr">
        <is>
          <t>Betriebsleiter Technik</t>
        </is>
      </c>
      <c r="I136" s="11" t="inlineStr">
        <is>
          <t>MSc El.-Ing.</t>
        </is>
      </c>
      <c r="J136" s="11" t="inlineStr">
        <is>
          <t>info@straumann.com</t>
        </is>
      </c>
      <c r="K136" s="11" t="inlineStr">
        <is>
          <t>+41 61 965 11 11</t>
        </is>
      </c>
      <c r="L136" s="11" t="n"/>
      <c r="M136" s="11" t="inlineStr">
        <is>
          <t>offen</t>
        </is>
      </c>
      <c r="N136" s="11" t="inlineStr">
        <is>
          <t>Betriebsleiter Straumann HQ kontaktieren</t>
        </is>
      </c>
      <c r="O136" s="11" t="inlineStr">
        <is>
          <t>Dental MedTech HQ: NEA + USV 500 kVA; PQ Reinraum; 10'000+ MA ww</t>
        </is>
      </c>
      <c r="P136" s="11" t="inlineStr">
        <is>
          <t>USV</t>
        </is>
      </c>
      <c r="Q136" s="11" t="n"/>
      <c r="R136" s="11" t="inlineStr">
        <is>
          <t>Adr: Peter Merian-Weg 12, 4052 Basel | 10'000+ MA ww; Dental-Weltmarktführer</t>
        </is>
      </c>
      <c r="S136" s="11" t="inlineStr">
        <is>
          <t>Dental/MedTech</t>
        </is>
      </c>
    </row>
    <row r="137">
      <c r="A137" s="11" t="n">
        <v>134</v>
      </c>
      <c r="B137" s="11" t="inlineStr">
        <is>
          <t>A</t>
        </is>
      </c>
      <c r="C137" s="11" t="inlineStr">
        <is>
          <t>Pharma/Chemie</t>
        </is>
      </c>
      <c r="D137" s="11" t="inlineStr">
        <is>
          <t>Clariant AG (Konzernzentrale Muttenz)</t>
        </is>
      </c>
      <c r="E137" s="11" t="inlineStr">
        <is>
          <t>Muttenz</t>
        </is>
      </c>
      <c r="F137" s="11" t="inlineStr">
        <is>
          <t>4132</t>
        </is>
      </c>
      <c r="G137" s="11" t="inlineStr">
        <is>
          <t>BS</t>
        </is>
      </c>
      <c r="H137" s="11" t="inlineStr">
        <is>
          <t>Betriebsleiter Elektro</t>
        </is>
      </c>
      <c r="I137" s="11" t="inlineStr">
        <is>
          <t>MSc Chemie</t>
        </is>
      </c>
      <c r="J137" s="11" t="inlineStr">
        <is>
          <t>info@clariant.com</t>
        </is>
      </c>
      <c r="K137" s="11" t="inlineStr">
        <is>
          <t>+41 61 469 51 11</t>
        </is>
      </c>
      <c r="L137" s="11" t="n"/>
      <c r="M137" s="11" t="inlineStr">
        <is>
          <t>offen</t>
        </is>
      </c>
      <c r="N137" s="11" t="inlineStr">
        <is>
          <t>Energieverantwortlichen Clariant Muttenz kontaktieren</t>
        </is>
      </c>
      <c r="O137" s="11" t="inlineStr">
        <is>
          <t>Spezialchemie HQ+Werk: NEA 1.5 MVA; PQ; FU-Reaktoren; EMV</t>
        </is>
      </c>
      <c r="P137" s="11" t="n"/>
      <c r="Q137" s="11" t="n"/>
      <c r="R137" s="11" t="inlineStr">
        <is>
          <t>Adr: Rothausstrasse 61, 4132 Muttenz | Spezialchemie-Weltkonzern</t>
        </is>
      </c>
      <c r="S137" s="11" t="inlineStr">
        <is>
          <t>Spezialchemie</t>
        </is>
      </c>
    </row>
    <row r="138">
      <c r="A138" s="11" t="n">
        <v>135</v>
      </c>
      <c r="B138" s="11" t="inlineStr">
        <is>
          <t>A</t>
        </is>
      </c>
      <c r="C138" s="11" t="inlineStr">
        <is>
          <t>Bau/Infrastruktur</t>
        </is>
      </c>
      <c r="D138" s="11" t="inlineStr">
        <is>
          <t>ARA Basel (Rhein-Schutz)</t>
        </is>
      </c>
      <c r="E138" s="11" t="inlineStr">
        <is>
          <t>Birsfelden</t>
        </is>
      </c>
      <c r="F138" s="11" t="inlineStr">
        <is>
          <t>4127</t>
        </is>
      </c>
      <c r="G138" s="11" t="inlineStr">
        <is>
          <t>BS</t>
        </is>
      </c>
      <c r="H138" s="11" t="inlineStr">
        <is>
          <t>Betriebsleiter ARA</t>
        </is>
      </c>
      <c r="I138" s="11" t="inlineStr">
        <is>
          <t>Techniker</t>
        </is>
      </c>
      <c r="J138" s="11" t="inlineStr">
        <is>
          <t>info@ara-basel.ch</t>
        </is>
      </c>
      <c r="K138" s="11" t="inlineStr">
        <is>
          <t>+41 61 275 77 11</t>
        </is>
      </c>
      <c r="L138" s="11" t="n"/>
      <c r="M138" s="11" t="inlineStr">
        <is>
          <t>offen</t>
        </is>
      </c>
      <c r="N138" s="11" t="inlineStr">
        <is>
          <t>Betriebsleiter ARA Basel; simap.ch Alert BS</t>
        </is>
      </c>
      <c r="O138" s="11" t="inlineStr">
        <is>
          <t>NEA-Pflicht 1× 500 kVA; Rhein-Gewässerschutz; 24h</t>
        </is>
      </c>
      <c r="P138" s="11" t="inlineStr">
        <is>
          <t>Generator</t>
        </is>
      </c>
      <c r="Q138" s="11" t="n"/>
      <c r="R138" s="11" t="inlineStr">
        <is>
          <t>Adr: Birsfelderstrasse 51, 4127 Birsfelden | Rhein-Schutz; Pflicht</t>
        </is>
      </c>
      <c r="S138" s="11" t="inlineStr">
        <is>
          <t>ARA Rhein</t>
        </is>
      </c>
    </row>
    <row r="139">
      <c r="A139" s="11" t="n">
        <v>136</v>
      </c>
      <c r="B139" s="11" t="inlineStr">
        <is>
          <t>A</t>
        </is>
      </c>
      <c r="C139" s="11" t="inlineStr">
        <is>
          <t>Pharma/Chemie</t>
        </is>
      </c>
      <c r="D139" s="11" t="inlineStr">
        <is>
          <t>Lonza AG (Konzernzentrale Basel)</t>
        </is>
      </c>
      <c r="E139" s="11" t="inlineStr">
        <is>
          <t>Basel</t>
        </is>
      </c>
      <c r="F139" s="11" t="inlineStr">
        <is>
          <t>4052</t>
        </is>
      </c>
      <c r="G139" s="11" t="inlineStr">
        <is>
          <t>BS</t>
        </is>
      </c>
      <c r="H139" s="11" t="inlineStr">
        <is>
          <t>Facility Manager</t>
        </is>
      </c>
      <c r="I139" s="11" t="inlineStr">
        <is>
          <t>MSc El.-Ing.</t>
        </is>
      </c>
      <c r="J139" s="11" t="inlineStr">
        <is>
          <t>info@lonza.com</t>
        </is>
      </c>
      <c r="K139" s="11" t="inlineStr">
        <is>
          <t>+41 61 316 81 11</t>
        </is>
      </c>
      <c r="L139" s="11" t="n"/>
      <c r="M139" s="11" t="inlineStr">
        <is>
          <t>offen</t>
        </is>
      </c>
      <c r="N139" s="11" t="inlineStr">
        <is>
          <t>Facility Manager Lonza HQ Basel; Konzernzentrale als Türöffner</t>
        </is>
      </c>
      <c r="O139" s="11" t="inlineStr">
        <is>
          <t>Konzernzentrale: NEA + USV 500 kVA; Werk-Referenz Visp+Kaiseraugst</t>
        </is>
      </c>
      <c r="P139" s="11" t="inlineStr">
        <is>
          <t>USV</t>
        </is>
      </c>
      <c r="Q139" s="11" t="n"/>
      <c r="R139" s="11" t="inlineStr">
        <is>
          <t>Adr: Münchensteinerstrasse 38, 4052 Basel | Lonza HQ; 13'856 MA ww</t>
        </is>
      </c>
      <c r="S139" s="11" t="inlineStr">
        <is>
          <t>Pharma/Lonza HQ</t>
        </is>
      </c>
    </row>
    <row r="140">
      <c r="A140" s="11" t="n">
        <v>137</v>
      </c>
      <c r="B140" s="11" t="inlineStr">
        <is>
          <t>B</t>
        </is>
      </c>
      <c r="C140" s="11" t="inlineStr">
        <is>
          <t>Pharma/Chemie</t>
        </is>
      </c>
      <c r="D140" s="11" t="inlineStr">
        <is>
          <t>Johnson &amp; Johnson (Janssen Basel)</t>
        </is>
      </c>
      <c r="E140" s="11" t="inlineStr">
        <is>
          <t>Basel</t>
        </is>
      </c>
      <c r="F140" s="11" t="inlineStr">
        <is>
          <t>4009</t>
        </is>
      </c>
      <c r="G140" s="11" t="inlineStr">
        <is>
          <t>BS</t>
        </is>
      </c>
      <c r="H140" s="11" t="inlineStr">
        <is>
          <t>Facility Manager</t>
        </is>
      </c>
      <c r="I140" s="11" t="inlineStr">
        <is>
          <t>MSc El.-Ing.</t>
        </is>
      </c>
      <c r="J140" s="11" t="inlineStr">
        <is>
          <t>info@janssen.ch</t>
        </is>
      </c>
      <c r="K140" s="11" t="inlineStr">
        <is>
          <t>+41 61 316 65 11</t>
        </is>
      </c>
      <c r="L140" s="11" t="n"/>
      <c r="M140" s="11" t="inlineStr">
        <is>
          <t>offen</t>
        </is>
      </c>
      <c r="N140" s="11" t="inlineStr">
        <is>
          <t>Facility Manager Janssen Basel kontaktieren</t>
        </is>
      </c>
      <c r="O140" s="11" t="inlineStr">
        <is>
          <t>Pharma GMP Lab: NEA 1.5 MVA; USV; PQ Reinräume; Fortune-10</t>
        </is>
      </c>
      <c r="P140" s="11" t="inlineStr">
        <is>
          <t>USV</t>
        </is>
      </c>
      <c r="Q140" s="11" t="n"/>
      <c r="R140" s="11" t="inlineStr">
        <is>
          <t>Adr: Gubelstrasse 34, 4009 Basel | Fortune-10 J&amp;J; GMP</t>
        </is>
      </c>
      <c r="S140" s="11" t="inlineStr">
        <is>
          <t>Pharma/Janssen</t>
        </is>
      </c>
    </row>
    <row r="141">
      <c r="A141" s="11" t="n">
        <v>138</v>
      </c>
      <c r="B141" s="11" t="inlineStr">
        <is>
          <t>B</t>
        </is>
      </c>
      <c r="C141" s="11" t="inlineStr">
        <is>
          <t>Gemeinde/Öffentlich</t>
        </is>
      </c>
      <c r="D141" s="11" t="inlineStr">
        <is>
          <t>Kanton Basel-Stadt (Hochbauamt)</t>
        </is>
      </c>
      <c r="E141" s="11" t="inlineStr">
        <is>
          <t>Basel</t>
        </is>
      </c>
      <c r="F141" s="11" t="inlineStr">
        <is>
          <t>4001</t>
        </is>
      </c>
      <c r="G141" s="11" t="inlineStr">
        <is>
          <t>BS</t>
        </is>
      </c>
      <c r="H141" s="11" t="inlineStr">
        <is>
          <t>Leiter Hochbauamt</t>
        </is>
      </c>
      <c r="I141" s="11" t="inlineStr">
        <is>
          <t>Kantonsbauingenieur</t>
        </is>
      </c>
      <c r="J141" s="11" t="inlineStr">
        <is>
          <t>hochbauamt@bs.ch</t>
        </is>
      </c>
      <c r="K141" s="11" t="inlineStr">
        <is>
          <t>+41 61 267 97 97</t>
        </is>
      </c>
      <c r="L141" s="11" t="n"/>
      <c r="M141" s="11" t="inlineStr">
        <is>
          <t>offen</t>
        </is>
      </c>
      <c r="N141" s="11" t="inlineStr">
        <is>
          <t>Hochbauamt BS; simap.ch Alert Kanton BS</t>
        </is>
      </c>
      <c r="O141" s="11" t="inlineStr">
        <is>
          <t>NEA kantonale Gebäude; 300+ Liegenschaften; Rahmenvertrag</t>
        </is>
      </c>
      <c r="P141" s="11" t="n"/>
      <c r="Q141" s="11" t="n"/>
      <c r="R141" s="11" t="inlineStr">
        <is>
          <t>Adr: Münsterplatz 11, 4001 Basel | Pharma-Hauptstadt CH; Rahmenvertrag</t>
        </is>
      </c>
      <c r="S141" s="11" t="inlineStr">
        <is>
          <t>Kanton</t>
        </is>
      </c>
    </row>
    <row r="142">
      <c r="A142" s="11" t="n">
        <v>139</v>
      </c>
      <c r="B142" s="11" t="inlineStr">
        <is>
          <t>B</t>
        </is>
      </c>
      <c r="C142" s="11" t="inlineStr">
        <is>
          <t>Bau/Infrastruktur</t>
        </is>
      </c>
      <c r="D142" s="11" t="inlineStr">
        <is>
          <t>BVB (Basler Verkehrs-Betriebe)</t>
        </is>
      </c>
      <c r="E142" s="11" t="inlineStr">
        <is>
          <t>Basel</t>
        </is>
      </c>
      <c r="F142" s="11" t="inlineStr">
        <is>
          <t>4019</t>
        </is>
      </c>
      <c r="G142" s="11" t="inlineStr">
        <is>
          <t>BS</t>
        </is>
      </c>
      <c r="H142" s="11" t="inlineStr">
        <is>
          <t>Betriebsleiter Technik</t>
        </is>
      </c>
      <c r="I142" s="11" t="inlineStr">
        <is>
          <t>Dipl. El.-Ing.</t>
        </is>
      </c>
      <c r="J142" s="11" t="inlineStr">
        <is>
          <t>info@bvb.ch</t>
        </is>
      </c>
      <c r="K142" s="11" t="inlineStr">
        <is>
          <t>+41 61 685 14 00</t>
        </is>
      </c>
      <c r="L142" s="11" t="n"/>
      <c r="M142" s="11" t="inlineStr">
        <is>
          <t>offen</t>
        </is>
      </c>
      <c r="N142" s="11" t="inlineStr">
        <is>
          <t>Betriebsleiter BVB Basel; simap.ch Alert</t>
        </is>
      </c>
      <c r="O142" s="11" t="inlineStr">
        <is>
          <t>Baustrom Depots; FU-Antriebe Tram; 1'400 MA; 3 Depots</t>
        </is>
      </c>
      <c r="P142" s="11" t="n"/>
      <c r="Q142" s="11" t="n"/>
      <c r="R142" s="11" t="inlineStr">
        <is>
          <t>Adr: Claragraben 55, 4005 Basel | BVB Basler Tram; FU-intensiv</t>
        </is>
      </c>
      <c r="S142" s="11" t="inlineStr">
        <is>
          <t>Tram/Bus</t>
        </is>
      </c>
    </row>
    <row r="143">
      <c r="A143" s="11" t="n">
        <v>140</v>
      </c>
      <c r="B143" s="11" t="inlineStr">
        <is>
          <t>B</t>
        </is>
      </c>
      <c r="C143" s="11" t="inlineStr">
        <is>
          <t>Pharma/Chemie</t>
        </is>
      </c>
      <c r="D143" s="11" t="inlineStr">
        <is>
          <t>DSM-Firmenich AG (CH-HQ Basel)</t>
        </is>
      </c>
      <c r="E143" s="11" t="inlineStr">
        <is>
          <t>Basel</t>
        </is>
      </c>
      <c r="F143" s="11" t="inlineStr">
        <is>
          <t>4052</t>
        </is>
      </c>
      <c r="G143" s="11" t="inlineStr">
        <is>
          <t>BS</t>
        </is>
      </c>
      <c r="H143" s="11" t="inlineStr">
        <is>
          <t>Energiemanager</t>
        </is>
      </c>
      <c r="I143" s="11" t="inlineStr">
        <is>
          <t>MSc Chemie</t>
        </is>
      </c>
      <c r="J143" s="11" t="inlineStr">
        <is>
          <t>info@dsm-firmenich.com</t>
        </is>
      </c>
      <c r="K143" s="11" t="inlineStr">
        <is>
          <t>+41 61 815 81 11</t>
        </is>
      </c>
      <c r="L143" s="11" t="n"/>
      <c r="M143" s="11" t="inlineStr">
        <is>
          <t>offen</t>
        </is>
      </c>
      <c r="N143" s="11" t="inlineStr">
        <is>
          <t>Energiemanager DSM-Firmenich Basel kontaktieren</t>
        </is>
      </c>
      <c r="O143" s="11" t="inlineStr">
        <is>
          <t>Aroma+Chemie CH-HQ: NEA 2 MVA; PQ; FU-Reaktoren; Fusion 2023</t>
        </is>
      </c>
      <c r="P143" s="11" t="n"/>
      <c r="Q143" s="11" t="n"/>
      <c r="R143" s="11" t="inlineStr">
        <is>
          <t>Adr: Münchensteinerstrasse 38, 4052 Basel | Fusion 2023; Weltkonzern</t>
        </is>
      </c>
      <c r="S143" s="11" t="inlineStr">
        <is>
          <t>Aroma/Chemie</t>
        </is>
      </c>
    </row>
    <row r="144">
      <c r="A144" s="11" t="n">
        <v>141</v>
      </c>
      <c r="B144" s="11" t="inlineStr">
        <is>
          <t>B</t>
        </is>
      </c>
      <c r="C144" s="11" t="inlineStr">
        <is>
          <t>Pharma/Chemie</t>
        </is>
      </c>
      <c r="D144" s="11" t="inlineStr">
        <is>
          <t>Huntsman (Werk Muttenz BS)</t>
        </is>
      </c>
      <c r="E144" s="11" t="inlineStr">
        <is>
          <t>Muttenz</t>
        </is>
      </c>
      <c r="F144" s="11" t="inlineStr">
        <is>
          <t>4132</t>
        </is>
      </c>
      <c r="G144" s="11" t="inlineStr">
        <is>
          <t>BS</t>
        </is>
      </c>
      <c r="H144" s="11" t="inlineStr">
        <is>
          <t>Betriebsleiter Elektro</t>
        </is>
      </c>
      <c r="I144" s="11" t="inlineStr">
        <is>
          <t>MSc Chemie</t>
        </is>
      </c>
      <c r="J144" s="11" t="inlineStr">
        <is>
          <t>info@huntsman.com</t>
        </is>
      </c>
      <c r="K144" s="11" t="inlineStr">
        <is>
          <t>+41 61 828 11 11</t>
        </is>
      </c>
      <c r="L144" s="11" t="n"/>
      <c r="M144" s="11" t="inlineStr">
        <is>
          <t>offen</t>
        </is>
      </c>
      <c r="N144" s="11" t="inlineStr">
        <is>
          <t>Betriebsleiter Huntsman Muttenz kontaktieren</t>
        </is>
      </c>
      <c r="O144" s="11" t="inlineStr">
        <is>
          <t>Epoxidharze Produktion: NEA 1 MVA; FU-Antriebe; PQ; EMV</t>
        </is>
      </c>
      <c r="P144" s="11" t="n"/>
      <c r="Q144" s="11" t="n"/>
      <c r="R144" s="11" t="inlineStr">
        <is>
          <t>Adr: Klybeckstrasse 200, 4132 Muttenz | Huntsman Epoxidharze; BL-Werk</t>
        </is>
      </c>
      <c r="S144" s="11" t="inlineStr">
        <is>
          <t>Spezialchemie</t>
        </is>
      </c>
    </row>
    <row r="145">
      <c r="A145" s="11" t="n">
        <v>142</v>
      </c>
      <c r="B145" s="11" t="inlineStr">
        <is>
          <t>B</t>
        </is>
      </c>
      <c r="C145" s="11" t="inlineStr">
        <is>
          <t>Rechenzentrum/IT</t>
        </is>
      </c>
      <c r="D145" s="11" t="inlineStr">
        <is>
          <t>Basellandschaftliche Kantonalbank (BLKB)</t>
        </is>
      </c>
      <c r="E145" s="11" t="inlineStr">
        <is>
          <t>Liestal</t>
        </is>
      </c>
      <c r="F145" s="11" t="inlineStr">
        <is>
          <t>4410</t>
        </is>
      </c>
      <c r="G145" s="11" t="inlineStr">
        <is>
          <t>BS</t>
        </is>
      </c>
      <c r="H145" s="11" t="inlineStr">
        <is>
          <t>Leiter IT-Infrastruktur</t>
        </is>
      </c>
      <c r="I145" s="11" t="inlineStr">
        <is>
          <t>MSc Inf.</t>
        </is>
      </c>
      <c r="J145" s="11" t="inlineStr">
        <is>
          <t>info@blkb.ch</t>
        </is>
      </c>
      <c r="K145" s="11" t="inlineStr">
        <is>
          <t>+41 61 925 94 94</t>
        </is>
      </c>
      <c r="L145" s="11" t="n"/>
      <c r="M145" s="11" t="inlineStr">
        <is>
          <t>offen</t>
        </is>
      </c>
      <c r="N145" s="11" t="inlineStr">
        <is>
          <t>IT-Infrastruktur BLKB; FINMA-Argument</t>
        </is>
      </c>
      <c r="O145" s="11" t="inlineStr">
        <is>
          <t>USV RZ 2× 200 kVA; NEA; PQ FINMA; BS+BL-Region</t>
        </is>
      </c>
      <c r="P145" s="11" t="inlineStr">
        <is>
          <t>USV</t>
        </is>
      </c>
      <c r="Q145" s="11" t="n"/>
      <c r="R145" s="11" t="inlineStr">
        <is>
          <t>Adr: Rheinstrasse 7, 4410 Liestal | Kantonalbank BL+BS-Region; FINMA</t>
        </is>
      </c>
      <c r="S145" s="11" t="inlineStr">
        <is>
          <t>Kantonalbank</t>
        </is>
      </c>
    </row>
    <row r="146">
      <c r="A146" s="11" t="n">
        <v>143</v>
      </c>
      <c r="B146" s="11" t="inlineStr">
        <is>
          <t>C</t>
        </is>
      </c>
      <c r="C146" s="11" t="inlineStr">
        <is>
          <t>Gemeinde/Öffentlich</t>
        </is>
      </c>
      <c r="D146" s="11" t="inlineStr">
        <is>
          <t>[MiT BS-Pharma Kältekunde Nr. 1]</t>
        </is>
      </c>
      <c r="E146" s="11" t="inlineStr">
        <is>
          <t>Basel</t>
        </is>
      </c>
      <c r="F146" s="11" t="inlineStr">
        <is>
          <t>4000</t>
        </is>
      </c>
      <c r="G146" s="11" t="inlineStr">
        <is>
          <t>BS</t>
        </is>
      </c>
      <c r="H146" s="11" t="inlineStr">
        <is>
          <t>Energieverantwortlicher</t>
        </is>
      </c>
      <c r="I146" s="11" t="inlineStr">
        <is>
          <t>Betriebsleiter</t>
        </is>
      </c>
      <c r="J146" s="11" t="n"/>
      <c r="K146" s="11" t="inlineStr">
        <is>
          <t>(MiT-CRM)</t>
        </is>
      </c>
      <c r="L146" s="11" t="n"/>
      <c r="M146" s="11" t="inlineStr">
        <is>
          <t>offen</t>
        </is>
      </c>
      <c r="N146" s="11" t="inlineStr">
        <is>
          <t>MiT-CRM Roberto/Stefan: BS-Pharma ohne Strom sofort prüfen</t>
        </is>
      </c>
      <c r="O146" s="11" t="inlineStr">
        <is>
          <t>Strom-Add-on GMP-Kältekunde BS Pharma-Cluster</t>
        </is>
      </c>
      <c r="P146" s="11" t="inlineStr">
        <is>
          <t>Kälte</t>
        </is>
      </c>
      <c r="Q146" s="11" t="n"/>
      <c r="R146" s="11" t="inlineStr">
        <is>
          <t>Novartis+Roche+Syngenta in 1 Tag besuchbar; GMP-PQ = einzigartiger Pitch</t>
        </is>
      </c>
      <c r="S146" s="11" t="inlineStr">
        <is>
          <t>Cross-Sell MiT</t>
        </is>
      </c>
    </row>
    <row r="147">
      <c r="A147" s="11" t="n">
        <v>144</v>
      </c>
      <c r="B147" s="11" t="inlineStr">
        <is>
          <t>A</t>
        </is>
      </c>
      <c r="C147" s="11" t="inlineStr">
        <is>
          <t>EVU/Netzbetreiber</t>
        </is>
      </c>
      <c r="D147" s="11" t="inlineStr">
        <is>
          <t>Groupe E SA – Réseau Distribution FR</t>
        </is>
      </c>
      <c r="E147" s="11" t="inlineStr">
        <is>
          <t>Granges-Paccot</t>
        </is>
      </c>
      <c r="F147" s="11" t="inlineStr">
        <is>
          <t>1763</t>
        </is>
      </c>
      <c r="G147" s="11" t="inlineStr">
        <is>
          <t>FR</t>
        </is>
      </c>
      <c r="H147" s="11" t="inlineStr">
        <is>
          <t>Leiter Netzbetrieb</t>
        </is>
      </c>
      <c r="I147" s="11" t="inlineStr">
        <is>
          <t>Dipl. El.-Ing.</t>
        </is>
      </c>
      <c r="J147" s="11" t="inlineStr">
        <is>
          <t>info@groupe-e.ch</t>
        </is>
      </c>
      <c r="K147" s="11" t="inlineStr">
        <is>
          <t>+41 26 352 51 11</t>
        </is>
      </c>
      <c r="L147" s="11" t="n"/>
      <c r="M147" s="11" t="inlineStr">
        <is>
          <t>offen</t>
        </is>
      </c>
      <c r="N147" s="11" t="inlineStr">
        <is>
          <t>Netzbetrieb Groupe E; DE/FR Erstanschreiben</t>
        </is>
      </c>
      <c r="O147" s="11" t="inlineStr">
        <is>
          <t>MS/HS-Revisionen FR; 170'000 Kunden; zweisprachig DE/FR</t>
        </is>
      </c>
      <c r="P147" s="11" t="inlineStr">
        <is>
          <t>Generator</t>
        </is>
      </c>
      <c r="Q147" s="11" t="n"/>
      <c r="R147" s="11" t="inlineStr">
        <is>
          <t>Rue du Lac 2, 1763 Granges-Paccot; 170'000 Kunden</t>
        </is>
      </c>
      <c r="S147" s="11" t="inlineStr">
        <is>
          <t>Kantonaler Versorger</t>
        </is>
      </c>
    </row>
    <row r="148">
      <c r="A148" s="11" t="n">
        <v>145</v>
      </c>
      <c r="B148" s="11" t="inlineStr">
        <is>
          <t>A</t>
        </is>
      </c>
      <c r="C148" s="11" t="inlineStr">
        <is>
          <t>Spital/Klinik</t>
        </is>
      </c>
      <c r="D148" s="11" t="inlineStr">
        <is>
          <t>HFR – Hôpital Fribourgeois (3 Standorte)</t>
        </is>
      </c>
      <c r="E148" s="11" t="inlineStr">
        <is>
          <t>Villars-sur-Glâne</t>
        </is>
      </c>
      <c r="F148" s="11" t="inlineStr">
        <is>
          <t>1752</t>
        </is>
      </c>
      <c r="G148" s="11" t="inlineStr">
        <is>
          <t>FR</t>
        </is>
      </c>
      <c r="H148" s="11" t="inlineStr">
        <is>
          <t>Betriebsleiter Technik</t>
        </is>
      </c>
      <c r="I148" s="11" t="inlineStr">
        <is>
          <t>Dipl. El.-Ing.</t>
        </is>
      </c>
      <c r="J148" s="11" t="inlineStr">
        <is>
          <t>info@h-fr.ch</t>
        </is>
      </c>
      <c r="K148" s="11" t="inlineStr">
        <is>
          <t>+41 26 306 11 11</t>
        </is>
      </c>
      <c r="L148" s="11" t="n"/>
      <c r="M148" s="11" t="inlineStr">
        <is>
          <t>offen</t>
        </is>
      </c>
      <c r="N148" s="11" t="inlineStr">
        <is>
          <t>Betriebsleiter HFR; DE/FR; 3 Standorte</t>
        </is>
      </c>
      <c r="O148" s="11" t="inlineStr">
        <is>
          <t>NEA 3 Standorte: 3× 400 kVA Pflicht; USV; DE/FR</t>
        </is>
      </c>
      <c r="P148" s="11" t="inlineStr">
        <is>
          <t>USV</t>
        </is>
      </c>
      <c r="Q148" s="11" t="n"/>
      <c r="R148" s="11" t="inlineStr">
        <is>
          <t>Route des Hôpitaux 4, 1752 Villars-sur-Glâne; zweisprachig</t>
        </is>
      </c>
      <c r="S148" s="11" t="inlineStr">
        <is>
          <t>Kantonsspital</t>
        </is>
      </c>
    </row>
    <row r="149">
      <c r="A149" s="11" t="n">
        <v>146</v>
      </c>
      <c r="B149" s="11" t="inlineStr">
        <is>
          <t>A</t>
        </is>
      </c>
      <c r="C149" s="11" t="inlineStr">
        <is>
          <t>Pharma/Chemie</t>
        </is>
      </c>
      <c r="D149" s="11" t="inlineStr">
        <is>
          <t>Electrolux AG – Werk Schwanden FR</t>
        </is>
      </c>
      <c r="E149" s="11" t="inlineStr">
        <is>
          <t>Villaz-St-Pierre</t>
        </is>
      </c>
      <c r="F149" s="11" t="inlineStr">
        <is>
          <t>1690</t>
        </is>
      </c>
      <c r="G149" s="11" t="inlineStr">
        <is>
          <t>FR</t>
        </is>
      </c>
      <c r="H149" s="11" t="inlineStr">
        <is>
          <t>Betriebsleiter Elektro</t>
        </is>
      </c>
      <c r="I149" s="11" t="inlineStr">
        <is>
          <t>Dipl. El.-Ing.</t>
        </is>
      </c>
      <c r="J149" s="11" t="inlineStr">
        <is>
          <t>info@electrolux.ch</t>
        </is>
      </c>
      <c r="K149" s="11" t="inlineStr">
        <is>
          <t>+41 26 418 41 41</t>
        </is>
      </c>
      <c r="L149" s="11" t="n"/>
      <c r="M149" s="11" t="inlineStr">
        <is>
          <t>offen</t>
        </is>
      </c>
      <c r="N149" s="11" t="inlineStr">
        <is>
          <t>Betriebsleiter Electrolux Schwanden/Villaz identifizieren</t>
        </is>
      </c>
      <c r="O149" s="11" t="inlineStr">
        <is>
          <t>Hausgeräte-Produktion: FU-Antriebe + Prüfstände 1 MVA; EMV</t>
        </is>
      </c>
      <c r="P149" s="11" t="n"/>
      <c r="Q149" s="11" t="n"/>
      <c r="R149" s="11" t="inlineStr">
        <is>
          <t>Werk FR; Hausgeräte-Produktion FU-intensiv</t>
        </is>
      </c>
      <c r="S149" s="11" t="inlineStr">
        <is>
          <t>Elektrohaushaltsgeräte</t>
        </is>
      </c>
    </row>
    <row r="150">
      <c r="A150" s="11" t="n">
        <v>147</v>
      </c>
      <c r="B150" s="11" t="inlineStr">
        <is>
          <t>A</t>
        </is>
      </c>
      <c r="C150" s="11" t="inlineStr">
        <is>
          <t>Pharma/Chemie</t>
        </is>
      </c>
      <c r="D150" s="11" t="inlineStr">
        <is>
          <t>Cartier – Werk Freiburg Region</t>
        </is>
      </c>
      <c r="E150" s="11" t="inlineStr">
        <is>
          <t>Freiburg</t>
        </is>
      </c>
      <c r="F150" s="11" t="inlineStr">
        <is>
          <t>1700</t>
        </is>
      </c>
      <c r="G150" s="11" t="inlineStr">
        <is>
          <t>FR</t>
        </is>
      </c>
      <c r="H150" s="11" t="inlineStr">
        <is>
          <t>Facility Manager</t>
        </is>
      </c>
      <c r="I150" s="11" t="inlineStr">
        <is>
          <t>Ingénieur</t>
        </is>
      </c>
      <c r="J150" s="11" t="inlineStr">
        <is>
          <t>info@cartier.com</t>
        </is>
      </c>
      <c r="K150" s="11" t="inlineStr">
        <is>
          <t>+41 26 426 37 37</t>
        </is>
      </c>
      <c r="L150" s="11" t="n"/>
      <c r="M150" s="11" t="inlineStr">
        <is>
          <t>offen</t>
        </is>
      </c>
      <c r="N150" s="11" t="inlineStr">
        <is>
          <t>Facility Manager Cartier FR identifizieren</t>
        </is>
      </c>
      <c r="O150" s="11" t="inlineStr">
        <is>
          <t>Uhrenkomponenten: PQ + NEA 150 kVA; EMV Präzision</t>
        </is>
      </c>
      <c r="P150" s="11" t="n"/>
      <c r="Q150" s="11" t="n"/>
      <c r="R150" s="11" t="inlineStr">
        <is>
          <t>Freiburg FR; Luxus-Uhrenkomponenten</t>
        </is>
      </c>
      <c r="S150" s="11" t="inlineStr">
        <is>
          <t>Uhren/Präzision</t>
        </is>
      </c>
    </row>
    <row r="151">
      <c r="A151" s="11" t="n">
        <v>148</v>
      </c>
      <c r="B151" s="11" t="inlineStr">
        <is>
          <t>B</t>
        </is>
      </c>
      <c r="C151" s="11" t="inlineStr">
        <is>
          <t>Bau/Infrastruktur</t>
        </is>
      </c>
      <c r="D151" s="11" t="inlineStr">
        <is>
          <t>ARA Freiburg – Saane-Schutz</t>
        </is>
      </c>
      <c r="E151" s="11" t="inlineStr">
        <is>
          <t>Freiburg</t>
        </is>
      </c>
      <c r="F151" s="11" t="inlineStr">
        <is>
          <t>1700</t>
        </is>
      </c>
      <c r="G151" s="11" t="inlineStr">
        <is>
          <t>FR</t>
        </is>
      </c>
      <c r="H151" s="11" t="inlineStr">
        <is>
          <t>Betriebsleiter</t>
        </is>
      </c>
      <c r="I151" s="11" t="inlineStr">
        <is>
          <t>Techniker</t>
        </is>
      </c>
      <c r="J151" s="11" t="inlineStr">
        <is>
          <t>info@ara-freiburg.ch</t>
        </is>
      </c>
      <c r="K151" s="11" t="inlineStr">
        <is>
          <t>+41 26 322 66 55</t>
        </is>
      </c>
      <c r="L151" s="11" t="n"/>
      <c r="M151" s="11" t="inlineStr">
        <is>
          <t>offen</t>
        </is>
      </c>
      <c r="N151" s="11" t="inlineStr">
        <is>
          <t>Betriebsleiter + simap.ch FR DE/FR</t>
        </is>
      </c>
      <c r="O151" s="11" t="inlineStr">
        <is>
          <t>NEA-Pflicht 1× 350 kVA; Saane-Schutz; öffentlich</t>
        </is>
      </c>
      <c r="P151" s="11" t="inlineStr">
        <is>
          <t>Generator</t>
        </is>
      </c>
      <c r="Q151" s="11" t="n"/>
      <c r="R151" s="11" t="inlineStr">
        <is>
          <t>Saane-Schutz; Pflicht</t>
        </is>
      </c>
      <c r="S151" s="11" t="inlineStr">
        <is>
          <t>ARA</t>
        </is>
      </c>
    </row>
    <row r="152">
      <c r="A152" s="11" t="n">
        <v>149</v>
      </c>
      <c r="B152" s="11" t="inlineStr">
        <is>
          <t>C</t>
        </is>
      </c>
      <c r="C152" s="11" t="inlineStr">
        <is>
          <t>Gemeinde/Öffentlich</t>
        </is>
      </c>
      <c r="D152" s="11" t="inlineStr">
        <is>
          <t>Kanton Freiburg – Hochbauamt</t>
        </is>
      </c>
      <c r="E152" s="11" t="inlineStr">
        <is>
          <t>Freiburg</t>
        </is>
      </c>
      <c r="F152" s="11" t="inlineStr">
        <is>
          <t>1702</t>
        </is>
      </c>
      <c r="G152" s="11" t="inlineStr">
        <is>
          <t>FR</t>
        </is>
      </c>
      <c r="H152" s="11" t="inlineStr">
        <is>
          <t>Leiter Hochbauamt</t>
        </is>
      </c>
      <c r="I152" s="11" t="inlineStr">
        <is>
          <t>Kantonsbauingenieur</t>
        </is>
      </c>
      <c r="J152" s="11" t="inlineStr">
        <is>
          <t>hochbauamt@fr.ch</t>
        </is>
      </c>
      <c r="K152" s="11" t="inlineStr">
        <is>
          <t>+41 26 305 11 11</t>
        </is>
      </c>
      <c r="L152" s="11" t="n"/>
      <c r="M152" s="11" t="inlineStr">
        <is>
          <t>offen</t>
        </is>
      </c>
      <c r="N152" s="11" t="inlineStr">
        <is>
          <t>Hochbauamt FR + simap.ch; DE/FR</t>
        </is>
      </c>
      <c r="O152" s="11" t="inlineStr">
        <is>
          <t>NEA kantonale Gebäude 500 kVA; Rahmenvertrag FR</t>
        </is>
      </c>
      <c r="P152" s="11" t="n"/>
      <c r="Q152" s="11" t="n"/>
      <c r="R152" s="11" t="inlineStr">
        <is>
          <t>Dépôt 1, 1700 Freiburg; zweisprachiger Kanton</t>
        </is>
      </c>
      <c r="S152" s="11" t="inlineStr">
        <is>
          <t>Kanton</t>
        </is>
      </c>
    </row>
    <row r="153">
      <c r="A153" s="11" t="n">
        <v>150</v>
      </c>
      <c r="B153" s="11" t="inlineStr">
        <is>
          <t>C</t>
        </is>
      </c>
      <c r="C153" s="11" t="inlineStr">
        <is>
          <t>Gemeinde/Öffentlich</t>
        </is>
      </c>
      <c r="D153" s="11" t="inlineStr">
        <is>
          <t>[MiT FR-Bestandskunde Wärme/Kälte]</t>
        </is>
      </c>
      <c r="E153" s="11" t="inlineStr">
        <is>
          <t>Freiburg allg.</t>
        </is>
      </c>
      <c r="F153" s="11" t="inlineStr">
        <is>
          <t>1700</t>
        </is>
      </c>
      <c r="G153" s="11" t="inlineStr">
        <is>
          <t>FR</t>
        </is>
      </c>
      <c r="H153" s="11" t="inlineStr">
        <is>
          <t>Energieverantwortlicher</t>
        </is>
      </c>
      <c r="I153" s="11" t="inlineStr">
        <is>
          <t>Betriebsleiter</t>
        </is>
      </c>
      <c r="J153" s="11" t="n"/>
      <c r="K153" s="11" t="inlineStr">
        <is>
          <t>–</t>
        </is>
      </c>
      <c r="L153" s="11" t="n"/>
      <c r="M153" s="11" t="inlineStr">
        <is>
          <t>offen</t>
        </is>
      </c>
      <c r="N153" s="11" t="inlineStr">
        <is>
          <t>MiT-CRM: FR-Kunden ohne Strom</t>
        </is>
      </c>
      <c r="O153" s="11" t="inlineStr">
        <is>
          <t>Strom-Add-on zu MiT Wärme/Kälte FR</t>
        </is>
      </c>
      <c r="P153" s="11" t="inlineStr">
        <is>
          <t>Wärme</t>
        </is>
      </c>
      <c r="Q153" s="11" t="n"/>
      <c r="R153" s="11" t="inlineStr">
        <is>
          <t>Warmlead FR; DE/FR zweisprachig</t>
        </is>
      </c>
      <c r="S153" s="11" t="inlineStr">
        <is>
          <t>Cross-Sell MiT</t>
        </is>
      </c>
    </row>
    <row r="154">
      <c r="A154" s="11" t="n">
        <v>151</v>
      </c>
      <c r="B154" s="11" t="inlineStr">
        <is>
          <t>A</t>
        </is>
      </c>
      <c r="C154" s="11" t="inlineStr">
        <is>
          <t>EVU/Netzbetreiber</t>
        </is>
      </c>
      <c r="D154" s="11" t="inlineStr">
        <is>
          <t>Groupe E SA (Fribourg)</t>
        </is>
      </c>
      <c r="E154" s="11" t="inlineStr">
        <is>
          <t>Granges-Paccot</t>
        </is>
      </c>
      <c r="F154" s="11" t="inlineStr">
        <is>
          <t>1763</t>
        </is>
      </c>
      <c r="G154" s="11" t="inlineStr">
        <is>
          <t>FR</t>
        </is>
      </c>
      <c r="H154" s="11" t="inlineStr">
        <is>
          <t>Leiter Netzbetrieb</t>
        </is>
      </c>
      <c r="I154" s="11" t="inlineStr">
        <is>
          <t>Dipl. El.-Ing.</t>
        </is>
      </c>
      <c r="J154" s="11" t="inlineStr">
        <is>
          <t>info@groupe-e.ch</t>
        </is>
      </c>
      <c r="K154" s="11" t="inlineStr">
        <is>
          <t>+41 26 353 33 33</t>
        </is>
      </c>
      <c r="L154" s="11" t="n"/>
      <c r="M154" s="11" t="inlineStr">
        <is>
          <t>offen</t>
        </is>
      </c>
      <c r="N154" s="11" t="inlineStr">
        <is>
          <t>Netzbetrieb Groupe E; Route du Lac 2 Granges-Paccot; Revisionskalender</t>
        </is>
      </c>
      <c r="O154" s="11" t="inlineStr">
        <is>
          <t>340'000 Kunden FR/VD/NE; MS/HS-Revisionen; BESS; Wasserkraft Saane; DE+FR</t>
        </is>
      </c>
      <c r="P154" s="11" t="inlineStr">
        <is>
          <t>BESS</t>
        </is>
      </c>
      <c r="Q154" s="11" t="n"/>
      <c r="R154" s="11" t="inlineStr">
        <is>
          <t>Adr: Route du Lac 2, 1763 Granges-Paccot | 340'000 Kunden; DE+FR; Saane</t>
        </is>
      </c>
      <c r="S154" s="11" t="inlineStr">
        <is>
          <t>Kantonaler EVU</t>
        </is>
      </c>
    </row>
    <row r="155">
      <c r="A155" s="11" t="n">
        <v>152</v>
      </c>
      <c r="B155" s="11" t="inlineStr">
        <is>
          <t>A</t>
        </is>
      </c>
      <c r="C155" s="11" t="inlineStr">
        <is>
          <t>EVU/Netzbetreiber</t>
        </is>
      </c>
      <c r="D155" s="11" t="inlineStr">
        <is>
          <t>Services industriels de Fribourg (SIF)</t>
        </is>
      </c>
      <c r="E155" s="11" t="inlineStr">
        <is>
          <t>Freiburg</t>
        </is>
      </c>
      <c r="F155" s="11" t="inlineStr">
        <is>
          <t>1701</t>
        </is>
      </c>
      <c r="G155" s="11" t="inlineStr">
        <is>
          <t>FR</t>
        </is>
      </c>
      <c r="H155" s="11" t="inlineStr">
        <is>
          <t>Betriebsleiter</t>
        </is>
      </c>
      <c r="I155" s="11" t="inlineStr">
        <is>
          <t>Dipl. El.-Ing.</t>
        </is>
      </c>
      <c r="J155" s="11" t="inlineStr">
        <is>
          <t>info@sif-fr.ch</t>
        </is>
      </c>
      <c r="K155" s="11" t="inlineStr">
        <is>
          <t>+41 26 305 51 11</t>
        </is>
      </c>
      <c r="L155" s="11" t="n"/>
      <c r="M155" s="11" t="inlineStr">
        <is>
          <t>offen</t>
        </is>
      </c>
      <c r="N155" s="11" t="inlineStr">
        <is>
          <t>Betriebsleiter SIF; Route William-Barbey 1 Freiburg; simap.ch Alert FR</t>
        </is>
      </c>
      <c r="O155" s="11" t="inlineStr">
        <is>
          <t>Stadtwerk Freiburg: Strom+Gas+Wasser+Wärme; NEA Stadtgebäude; DE+FR</t>
        </is>
      </c>
      <c r="P155" s="11" t="inlineStr">
        <is>
          <t>Wärme</t>
        </is>
      </c>
      <c r="Q155" s="11" t="n"/>
      <c r="R155" s="11" t="inlineStr">
        <is>
          <t>Adr: Route William-Barbey 1, 1701 Freiburg | Stadtwerk Freiburg; DE+FR</t>
        </is>
      </c>
      <c r="S155" s="11" t="inlineStr">
        <is>
          <t>Stadtwerk Freiburg</t>
        </is>
      </c>
    </row>
    <row r="156">
      <c r="A156" s="11" t="n">
        <v>153</v>
      </c>
      <c r="B156" s="11" t="inlineStr">
        <is>
          <t>A</t>
        </is>
      </c>
      <c r="C156" s="11" t="inlineStr">
        <is>
          <t>Spital/Klinik</t>
        </is>
      </c>
      <c r="D156" s="11" t="inlineStr">
        <is>
          <t>Hôpital fribourgeois (HFR) — 5 Standorte</t>
        </is>
      </c>
      <c r="E156" s="11" t="inlineStr">
        <is>
          <t>Villars-sur-Glâne</t>
        </is>
      </c>
      <c r="F156" s="11" t="inlineStr">
        <is>
          <t>1752</t>
        </is>
      </c>
      <c r="G156" s="11" t="inlineStr">
        <is>
          <t>FR</t>
        </is>
      </c>
      <c r="H156" s="11" t="inlineStr">
        <is>
          <t>Responsable Technique</t>
        </is>
      </c>
      <c r="I156" s="11" t="inlineStr">
        <is>
          <t>MSc El.-Ing.</t>
        </is>
      </c>
      <c r="J156" s="11" t="inlineStr">
        <is>
          <t>info@h-fr.ch</t>
        </is>
      </c>
      <c r="K156" s="11" t="inlineStr">
        <is>
          <t>+41 26 306 70 70</t>
        </is>
      </c>
      <c r="L156" s="11" t="n"/>
      <c r="M156" s="11" t="inlineStr">
        <is>
          <t>offen</t>
        </is>
      </c>
      <c r="N156" s="11" t="inlineStr">
        <is>
          <t>Responsable Technique HFR; Bertigny FR; simap.ch Alert FR; 5 Standorte</t>
        </is>
      </c>
      <c r="O156" s="11" t="inlineStr">
        <is>
          <t>NEA 5× 400 kVA; USV OP/ICU; 3'500 MA; 5 Standorte FR; zweisprachig DE/FR</t>
        </is>
      </c>
      <c r="P156" s="11" t="inlineStr">
        <is>
          <t>USV</t>
        </is>
      </c>
      <c r="Q156" s="11" t="n"/>
      <c r="R156" s="11" t="inlineStr">
        <is>
          <t>Adr: Chemin des Pensionnats 2-6, 1752 Villars-sur-Glâne | 3'500 MA; 5 Standorte FR</t>
        </is>
      </c>
      <c r="S156" s="11" t="inlineStr">
        <is>
          <t>Kantonsspital</t>
        </is>
      </c>
    </row>
    <row r="157">
      <c r="A157" s="11" t="n">
        <v>154</v>
      </c>
      <c r="B157" s="11" t="inlineStr">
        <is>
          <t>A</t>
        </is>
      </c>
      <c r="C157" s="11" t="inlineStr">
        <is>
          <t>Pharma/Chemie</t>
        </is>
      </c>
      <c r="D157" s="11" t="inlineStr">
        <is>
          <t>Cremo SA (Laiterie Freiburg)</t>
        </is>
      </c>
      <c r="E157" s="11" t="inlineStr">
        <is>
          <t>Villars-sur-Glâne</t>
        </is>
      </c>
      <c r="F157" s="11" t="inlineStr">
        <is>
          <t>1752</t>
        </is>
      </c>
      <c r="G157" s="11" t="inlineStr">
        <is>
          <t>FR</t>
        </is>
      </c>
      <c r="H157" s="11" t="inlineStr">
        <is>
          <t>Betriebsleiter Technik</t>
        </is>
      </c>
      <c r="I157" s="11" t="inlineStr">
        <is>
          <t>Dipl. El.-Ing.</t>
        </is>
      </c>
      <c r="J157" s="11" t="inlineStr">
        <is>
          <t>info@cremo.ch</t>
        </is>
      </c>
      <c r="K157" s="11" t="inlineStr">
        <is>
          <t>+41 26 321 20 00</t>
        </is>
      </c>
      <c r="L157" s="11" t="n"/>
      <c r="M157" s="11" t="inlineStr">
        <is>
          <t>offen</t>
        </is>
      </c>
      <c r="N157" s="11" t="inlineStr">
        <is>
          <t>MiT-CRM: Cremo als Kältekunde prüfen; Villars-sur-Glâne</t>
        </is>
      </c>
      <c r="O157" s="11" t="inlineStr">
        <is>
          <t>Molkerei FR: NEA Kühlkette 1 MVA; FU-Abfüller; ISO 50001; grösste Molkerei FR</t>
        </is>
      </c>
      <c r="P157" s="11" t="inlineStr">
        <is>
          <t>Kälte</t>
        </is>
      </c>
      <c r="Q157" s="11" t="n"/>
      <c r="R157" s="11" t="inlineStr">
        <is>
          <t>Adr: Villars-sur-Glâne, 1752 FR | Cremo Molkerei; grösste FR Molkerei; Kühlkette</t>
        </is>
      </c>
      <c r="S157" s="11" t="inlineStr">
        <is>
          <t>Dairy / Milch</t>
        </is>
      </c>
    </row>
    <row r="158">
      <c r="A158" s="11" t="n">
        <v>155</v>
      </c>
      <c r="B158" s="11" t="inlineStr">
        <is>
          <t>A</t>
        </is>
      </c>
      <c r="C158" s="11" t="inlineStr">
        <is>
          <t>Pharma/Chemie</t>
        </is>
      </c>
      <c r="D158" s="11" t="inlineStr">
        <is>
          <t>Nestlé Cailler (Broc FR)</t>
        </is>
      </c>
      <c r="E158" s="11" t="inlineStr">
        <is>
          <t>Broc</t>
        </is>
      </c>
      <c r="F158" s="11" t="inlineStr">
        <is>
          <t>1636</t>
        </is>
      </c>
      <c r="G158" s="11" t="inlineStr">
        <is>
          <t>FR</t>
        </is>
      </c>
      <c r="H158" s="11" t="inlineStr">
        <is>
          <t>Betriebsleiter Technik</t>
        </is>
      </c>
      <c r="I158" s="11" t="inlineStr">
        <is>
          <t>Dipl. El.-Ing.</t>
        </is>
      </c>
      <c r="J158" s="11" t="inlineStr">
        <is>
          <t>info@cailler.ch</t>
        </is>
      </c>
      <c r="K158" s="11" t="inlineStr">
        <is>
          <t>+41 26 919 61 11</t>
        </is>
      </c>
      <c r="L158" s="11" t="n"/>
      <c r="M158" s="11" t="inlineStr">
        <is>
          <t>offen</t>
        </is>
      </c>
      <c r="N158" s="11" t="inlineStr">
        <is>
          <t>MiT-CRM: Cailler/Nestlé FR als Kältekunde prüfen; Broc FR</t>
        </is>
      </c>
      <c r="O158" s="11" t="inlineStr">
        <is>
          <t>Cailler Schokolade: NEA Kühlkette 1 MVA; FU-Temperierer; ISO 50001; Nestlé-Gruppe</t>
        </is>
      </c>
      <c r="P158" s="11" t="inlineStr">
        <is>
          <t>Kälte</t>
        </is>
      </c>
      <c r="Q158" s="11" t="n"/>
      <c r="R158" s="11" t="inlineStr">
        <is>
          <t>Adr: Broc, 1636 FR | Cailler Schokolade; Nestlé-Gruppe; Kühlkette; 250 MA</t>
        </is>
      </c>
      <c r="S158" s="11" t="inlineStr">
        <is>
          <t>Pharma / Schokolade</t>
        </is>
      </c>
    </row>
    <row r="159">
      <c r="A159" s="11" t="n">
        <v>156</v>
      </c>
      <c r="B159" s="11" t="inlineStr">
        <is>
          <t>A</t>
        </is>
      </c>
      <c r="C159" s="11" t="inlineStr">
        <is>
          <t>Forschung/Bildung</t>
        </is>
      </c>
      <c r="D159" s="11" t="inlineStr">
        <is>
          <t>Universität Freiburg (Unifr)</t>
        </is>
      </c>
      <c r="E159" s="11" t="inlineStr">
        <is>
          <t>Freiburg</t>
        </is>
      </c>
      <c r="F159" s="11" t="inlineStr">
        <is>
          <t>1700</t>
        </is>
      </c>
      <c r="G159" s="11" t="inlineStr">
        <is>
          <t>FR</t>
        </is>
      </c>
      <c r="H159" s="11" t="inlineStr">
        <is>
          <t>Leiter Facility Management</t>
        </is>
      </c>
      <c r="I159" s="11" t="inlineStr">
        <is>
          <t>MSc Ing.</t>
        </is>
      </c>
      <c r="J159" s="11" t="inlineStr">
        <is>
          <t>info@unifr.ch</t>
        </is>
      </c>
      <c r="K159" s="11" t="inlineStr">
        <is>
          <t>+41 26 300 71 11</t>
        </is>
      </c>
      <c r="L159" s="11" t="n"/>
      <c r="M159" s="11" t="inlineStr">
        <is>
          <t>offen</t>
        </is>
      </c>
      <c r="N159" s="11" t="inlineStr">
        <is>
          <t>Facility Management Unifr; Miséricorde Freiburg; simap.ch Alert FR</t>
        </is>
      </c>
      <c r="O159" s="11" t="inlineStr">
        <is>
          <t>Uni-Campus: NEA 2× 400 kVA; USV Labors; PQ; HPC; 10'000 Studenten; DE+FR</t>
        </is>
      </c>
      <c r="P159" s="11" t="inlineStr">
        <is>
          <t>USV</t>
        </is>
      </c>
      <c r="Q159" s="11" t="n"/>
      <c r="R159" s="11" t="inlineStr">
        <is>
          <t>Adr: Avenue de l'Europe 20, 1700 Freiburg | 10'000 Studenten; DE+FR; simap.ch</t>
        </is>
      </c>
      <c r="S159" s="11" t="inlineStr">
        <is>
          <t>Universität</t>
        </is>
      </c>
    </row>
    <row r="160">
      <c r="A160" s="11" t="n">
        <v>157</v>
      </c>
      <c r="B160" s="11" t="inlineStr">
        <is>
          <t>A</t>
        </is>
      </c>
      <c r="C160" s="11" t="inlineStr">
        <is>
          <t>Industrie/Maschinenbau</t>
        </is>
      </c>
      <c r="D160" s="11" t="inlineStr">
        <is>
          <t>Hilti AG (Werk Thun/FR-Region)</t>
        </is>
      </c>
      <c r="E160" s="11" t="inlineStr">
        <is>
          <t>Düdingen</t>
        </is>
      </c>
      <c r="F160" s="11" t="inlineStr">
        <is>
          <t>3186</t>
        </is>
      </c>
      <c r="G160" s="11" t="inlineStr">
        <is>
          <t>FR</t>
        </is>
      </c>
      <c r="H160" s="11" t="inlineStr">
        <is>
          <t>Betriebsleiter Technik</t>
        </is>
      </c>
      <c r="I160" s="11" t="inlineStr">
        <is>
          <t>MSc El.-Ing.</t>
        </is>
      </c>
      <c r="J160" s="11" t="inlineStr">
        <is>
          <t>info@hilti.com</t>
        </is>
      </c>
      <c r="K160" s="11" t="inlineStr">
        <is>
          <t>+41 26 492 40 50</t>
        </is>
      </c>
      <c r="L160" s="11" t="n"/>
      <c r="M160" s="11" t="inlineStr">
        <is>
          <t>offen</t>
        </is>
      </c>
      <c r="N160" s="11" t="inlineStr">
        <is>
          <t>Betriebsleiter Hilti FR; Düdingen FR; FU-PQ-Pitch</t>
        </is>
      </c>
      <c r="O160" s="11" t="inlineStr">
        <is>
          <t>Werkzeug-Produktion: NEA 500 kVA; FU-Fertigungslinien; PQ; EMV; Hilti = Liechtenstein-HQ</t>
        </is>
      </c>
      <c r="P160" s="11" t="n"/>
      <c r="Q160" s="11" t="n"/>
      <c r="R160" s="11" t="inlineStr">
        <is>
          <t>Adr: Düdingen, 3186 FR | Hilti Werk FR-Region; FU-Fertigungslinien</t>
        </is>
      </c>
      <c r="S160" s="11" t="inlineStr">
        <is>
          <t>Werkzeuge</t>
        </is>
      </c>
    </row>
    <row r="161">
      <c r="A161" s="11" t="n">
        <v>158</v>
      </c>
      <c r="B161" s="11" t="inlineStr">
        <is>
          <t>B</t>
        </is>
      </c>
      <c r="C161" s="11" t="inlineStr">
        <is>
          <t>Bergbahn/Tourismus</t>
        </is>
      </c>
      <c r="D161" s="11" t="inlineStr">
        <is>
          <t>Schwarzsee Tourismus / Bergbahnen</t>
        </is>
      </c>
      <c r="E161" s="11" t="inlineStr">
        <is>
          <t>Schwarzsee</t>
        </is>
      </c>
      <c r="F161" s="11" t="inlineStr">
        <is>
          <t>1738</t>
        </is>
      </c>
      <c r="G161" s="11" t="inlineStr">
        <is>
          <t>FR</t>
        </is>
      </c>
      <c r="H161" s="11" t="inlineStr">
        <is>
          <t>Betriebsleiter Technik</t>
        </is>
      </c>
      <c r="I161" s="11" t="inlineStr">
        <is>
          <t>Techniker</t>
        </is>
      </c>
      <c r="J161" s="11" t="inlineStr">
        <is>
          <t>info@schwarzsee.ch</t>
        </is>
      </c>
      <c r="K161" s="11" t="inlineStr">
        <is>
          <t>+41 26 412 16 16</t>
        </is>
      </c>
      <c r="L161" s="11" t="n"/>
      <c r="M161" s="11" t="inlineStr">
        <is>
          <t>offen</t>
        </is>
      </c>
      <c r="N161" s="11" t="inlineStr">
        <is>
          <t>Betriebsleiter Schwarzsee; Herbstkontakt; alpine Voralpen-Pitch</t>
        </is>
      </c>
      <c r="O161" s="11" t="inlineStr">
        <is>
          <t>Skigebiet Schwarzsee: NEA + Generator 200 kVA; FU-Lifte; alpine FR-Voralpen</t>
        </is>
      </c>
      <c r="P161" s="11" t="inlineStr">
        <is>
          <t>Generator</t>
        </is>
      </c>
      <c r="Q161" s="11" t="n"/>
      <c r="R161" s="11" t="inlineStr">
        <is>
          <t>Adr: Schwarzsee, 1738 FR | Skigebiet Schwarzsee; alpine FR-Voralpen</t>
        </is>
      </c>
      <c r="S161" s="11" t="inlineStr">
        <is>
          <t>Skigebiet Schwarzsee</t>
        </is>
      </c>
    </row>
    <row r="162">
      <c r="A162" s="11" t="n">
        <v>159</v>
      </c>
      <c r="B162" s="11" t="inlineStr">
        <is>
          <t>B</t>
        </is>
      </c>
      <c r="C162" s="11" t="inlineStr">
        <is>
          <t>Gemeinde/Öffentlich</t>
        </is>
      </c>
      <c r="D162" s="11" t="inlineStr">
        <is>
          <t>Canton de Fribourg (Service des bâtiments)</t>
        </is>
      </c>
      <c r="E162" s="11" t="inlineStr">
        <is>
          <t>Freiburg</t>
        </is>
      </c>
      <c r="F162" s="11" t="inlineStr">
        <is>
          <t>1701</t>
        </is>
      </c>
      <c r="G162" s="11" t="inlineStr">
        <is>
          <t>FR</t>
        </is>
      </c>
      <c r="H162" s="11" t="inlineStr">
        <is>
          <t>Chef du Service des bâtiments</t>
        </is>
      </c>
      <c r="I162" s="11" t="inlineStr">
        <is>
          <t>Ingénieur cantonal</t>
        </is>
      </c>
      <c r="J162" s="11" t="inlineStr">
        <is>
          <t>info@fr.ch</t>
        </is>
      </c>
      <c r="K162" s="11" t="inlineStr">
        <is>
          <t>+41 26 305 30 30</t>
        </is>
      </c>
      <c r="L162" s="11" t="n"/>
      <c r="M162" s="11" t="inlineStr">
        <is>
          <t>offen</t>
        </is>
      </c>
      <c r="N162" s="11" t="inlineStr">
        <is>
          <t>Service bâtiments FR; Route des Arsenaux Freiburg; simap.ch Alert FR</t>
        </is>
      </c>
      <c r="O162" s="11" t="inlineStr">
        <is>
          <t>NEA kantonale Gebäude FR; 400+ Liegenschaften; Rahmenvertrag FR</t>
        </is>
      </c>
      <c r="P162" s="11" t="n"/>
      <c r="Q162" s="11" t="n"/>
      <c r="R162" s="11" t="inlineStr">
        <is>
          <t>Adr: Route des Arsenaux 41, 1701 Freiburg | 400+ Liegenschaften; DE+FR</t>
        </is>
      </c>
      <c r="S162" s="11" t="inlineStr">
        <is>
          <t>Kanton FR</t>
        </is>
      </c>
    </row>
    <row r="163">
      <c r="A163" s="11" t="n">
        <v>160</v>
      </c>
      <c r="B163" s="11" t="inlineStr">
        <is>
          <t>B</t>
        </is>
      </c>
      <c r="C163" s="11" t="inlineStr">
        <is>
          <t>Elektroplaner/Engineering</t>
        </is>
      </c>
      <c r="D163" s="11" t="inlineStr">
        <is>
          <t>STUDER Electricité SA (Freiburg)</t>
        </is>
      </c>
      <c r="E163" s="11" t="inlineStr">
        <is>
          <t>Freiburg</t>
        </is>
      </c>
      <c r="F163" s="11" t="inlineStr">
        <is>
          <t>1700</t>
        </is>
      </c>
      <c r="G163" s="11" t="inlineStr">
        <is>
          <t>FR</t>
        </is>
      </c>
      <c r="H163" s="11" t="inlineStr">
        <is>
          <t>Inhaber / Betriebsleiter</t>
        </is>
      </c>
      <c r="I163" s="11" t="inlineStr">
        <is>
          <t>Electrotechnicien EFZ</t>
        </is>
      </c>
      <c r="J163" s="11" t="inlineStr">
        <is>
          <t>info@studer-electricite.ch</t>
        </is>
      </c>
      <c r="K163" s="11" t="inlineStr">
        <is>
          <t>+41 26 322 55 55</t>
        </is>
      </c>
      <c r="L163" s="11" t="n"/>
      <c r="M163" s="11" t="inlineStr">
        <is>
          <t>offen</t>
        </is>
      </c>
      <c r="N163" s="11" t="inlineStr">
        <is>
          <t>Inhaber STUDER Electricité; Freiburg FR; Partnerschaft besprechen</t>
        </is>
      </c>
      <c r="O163" s="11" t="inlineStr">
        <is>
          <t>Elektrounternehmen Freiburg: Industrie+Gewerbe+Kliniken; FR-Marktführer</t>
        </is>
      </c>
      <c r="P163" s="11" t="n"/>
      <c r="Q163" s="11" t="n"/>
      <c r="R163" s="11" t="inlineStr">
        <is>
          <t>Adr: Freiburg, 1700 FR | Elektrounternehmen FR; DE+FR; Türöffner</t>
        </is>
      </c>
      <c r="S163" s="11" t="inlineStr">
        <is>
          <t>Elektrounternehmen FR</t>
        </is>
      </c>
    </row>
    <row r="164">
      <c r="A164" s="11" t="n">
        <v>161</v>
      </c>
      <c r="B164" s="11" t="inlineStr">
        <is>
          <t>B</t>
        </is>
      </c>
      <c r="C164" s="11" t="inlineStr">
        <is>
          <t>Bau/Infrastruktur</t>
        </is>
      </c>
      <c r="D164" s="11" t="inlineStr">
        <is>
          <t>STEP de la Sarine (Givisiez FR)</t>
        </is>
      </c>
      <c r="E164" s="11" t="inlineStr">
        <is>
          <t>Givisiez</t>
        </is>
      </c>
      <c r="F164" s="11" t="inlineStr">
        <is>
          <t>1762</t>
        </is>
      </c>
      <c r="G164" s="11" t="inlineStr">
        <is>
          <t>FR</t>
        </is>
      </c>
      <c r="H164" s="11" t="inlineStr">
        <is>
          <t>Responsable STEP</t>
        </is>
      </c>
      <c r="I164" s="11" t="inlineStr">
        <is>
          <t>Techniker</t>
        </is>
      </c>
      <c r="J164" s="11" t="inlineStr">
        <is>
          <t>info@step-sarine.ch</t>
        </is>
      </c>
      <c r="K164" s="11" t="inlineStr">
        <is>
          <t>+41 26 460 56 56</t>
        </is>
      </c>
      <c r="L164" s="11" t="n"/>
      <c r="M164" s="11" t="inlineStr">
        <is>
          <t>offen</t>
        </is>
      </c>
      <c r="N164" s="11" t="inlineStr">
        <is>
          <t>Responsable STEP; Givisiez FR; simap.ch Alert FR</t>
        </is>
      </c>
      <c r="O164" s="11" t="inlineStr">
        <is>
          <t>NEA-Pflicht 1× 350 kVA; Saane-Schutz FR; 24h-Betrieb</t>
        </is>
      </c>
      <c r="P164" s="11" t="inlineStr">
        <is>
          <t>Generator</t>
        </is>
      </c>
      <c r="Q164" s="11" t="n"/>
      <c r="R164" s="11" t="inlineStr">
        <is>
          <t>Adr: Givisiez, 1762 FR | Saane/Sarine-Schutz; Ausschreibungspflicht</t>
        </is>
      </c>
      <c r="S164" s="11" t="inlineStr">
        <is>
          <t>ARA Sarine FR</t>
        </is>
      </c>
    </row>
    <row r="165">
      <c r="A165" s="11" t="n">
        <v>162</v>
      </c>
      <c r="B165" s="11" t="inlineStr">
        <is>
          <t>C</t>
        </is>
      </c>
      <c r="C165" s="11" t="inlineStr">
        <is>
          <t>Bergbahn/Tourismus</t>
        </is>
      </c>
      <c r="D165" s="11" t="inlineStr">
        <is>
          <t>Château de Gruyères / Tourismus</t>
        </is>
      </c>
      <c r="E165" s="11" t="inlineStr">
        <is>
          <t>Gruyères</t>
        </is>
      </c>
      <c r="F165" s="11" t="inlineStr">
        <is>
          <t>1663</t>
        </is>
      </c>
      <c r="G165" s="11" t="inlineStr">
        <is>
          <t>FR</t>
        </is>
      </c>
      <c r="H165" s="11" t="inlineStr">
        <is>
          <t>Betriebsleiter</t>
        </is>
      </c>
      <c r="I165" s="11" t="inlineStr">
        <is>
          <t>Techniker</t>
        </is>
      </c>
      <c r="J165" s="11" t="inlineStr">
        <is>
          <t>info@chateau-gruyeres.ch</t>
        </is>
      </c>
      <c r="K165" s="11" t="inlineStr">
        <is>
          <t>+41 26 921 21 02</t>
        </is>
      </c>
      <c r="L165" s="11" t="n"/>
      <c r="M165" s="11" t="inlineStr">
        <is>
          <t>offen</t>
        </is>
      </c>
      <c r="N165" s="11" t="inlineStr">
        <is>
          <t>Betriebsleiter Gruyères Tourismus; Mittelalterliche Stadt; Event-Pitch</t>
        </is>
      </c>
      <c r="O165" s="11" t="inlineStr">
        <is>
          <t>Tourismusstandort Gruyères: NEA + Generator 100 kVA; Events; Schloss + Käserei</t>
        </is>
      </c>
      <c r="P165" s="11" t="inlineStr">
        <is>
          <t>Generator</t>
        </is>
      </c>
      <c r="Q165" s="11" t="n"/>
      <c r="R165" s="11" t="inlineStr">
        <is>
          <t>Adr: Rue du Bourg, 1663 Gruyères | Schloss + Käserei + Tourismus; Events</t>
        </is>
      </c>
      <c r="S165" s="11" t="inlineStr">
        <is>
          <t>Gruyères Tourismus</t>
        </is>
      </c>
    </row>
    <row r="166">
      <c r="A166" s="11" t="n">
        <v>163</v>
      </c>
      <c r="B166" s="11" t="inlineStr">
        <is>
          <t>C</t>
        </is>
      </c>
      <c r="C166" s="11" t="inlineStr">
        <is>
          <t>Pharma/Chemie</t>
        </is>
      </c>
      <c r="D166" s="11" t="inlineStr">
        <is>
          <t>Fromage Gruyère AOP (Molkerei)</t>
        </is>
      </c>
      <c r="E166" s="11" t="inlineStr">
        <is>
          <t>Pringy</t>
        </is>
      </c>
      <c r="F166" s="11" t="inlineStr">
        <is>
          <t>1663</t>
        </is>
      </c>
      <c r="G166" s="11" t="inlineStr">
        <is>
          <t>FR</t>
        </is>
      </c>
      <c r="H166" s="11" t="inlineStr">
        <is>
          <t>Betriebsleiter</t>
        </is>
      </c>
      <c r="I166" s="11" t="inlineStr">
        <is>
          <t>Techniker</t>
        </is>
      </c>
      <c r="J166" s="11" t="inlineStr">
        <is>
          <t>info@gruyere.com</t>
        </is>
      </c>
      <c r="K166" s="11" t="inlineStr">
        <is>
          <t>+41 26 921 84 10</t>
        </is>
      </c>
      <c r="L166" s="11" t="n"/>
      <c r="M166" s="11" t="inlineStr">
        <is>
          <t>offen</t>
        </is>
      </c>
      <c r="N166" s="11" t="inlineStr">
        <is>
          <t>MiT-CRM: Gruyère Molkerei als Kältekunde prüfen; AOP-Budget</t>
        </is>
      </c>
      <c r="O166" s="11" t="inlineStr">
        <is>
          <t>Gruyère AOP Produktion: NEA Kühlkette 300 kVA; ISO 50001; Cross-Sell Kälte</t>
        </is>
      </c>
      <c r="P166" s="11" t="inlineStr">
        <is>
          <t>Kälte</t>
        </is>
      </c>
      <c r="Q166" s="11" t="n"/>
      <c r="R166" s="11" t="inlineStr">
        <is>
          <t>Adr: Pringy, 1663 FR | Gruyère AOP; Weltmarke; Kühlkette; Cross-Sell</t>
        </is>
      </c>
      <c r="S166" s="11" t="inlineStr">
        <is>
          <t>Dairy / Käse</t>
        </is>
      </c>
    </row>
    <row r="167">
      <c r="A167" s="11" t="n">
        <v>164</v>
      </c>
      <c r="B167" s="11" t="inlineStr">
        <is>
          <t>C</t>
        </is>
      </c>
      <c r="C167" s="11" t="inlineStr">
        <is>
          <t>Gemeinde/Öffentlich</t>
        </is>
      </c>
      <c r="D167" s="11" t="inlineStr">
        <is>
          <t>[MiT FR-Kältekunde Nr. 1]</t>
        </is>
      </c>
      <c r="E167" s="11" t="inlineStr">
        <is>
          <t>Freiburg</t>
        </is>
      </c>
      <c r="F167" s="11" t="inlineStr">
        <is>
          <t>1700</t>
        </is>
      </c>
      <c r="G167" s="11" t="inlineStr">
        <is>
          <t>FR</t>
        </is>
      </c>
      <c r="H167" s="11" t="inlineStr">
        <is>
          <t>Responsable énergie</t>
        </is>
      </c>
      <c r="I167" s="11" t="inlineStr">
        <is>
          <t>Betriebsleiter</t>
        </is>
      </c>
      <c r="J167" s="11" t="n"/>
      <c r="K167" s="11" t="inlineStr">
        <is>
          <t>(MiT-CRM)</t>
        </is>
      </c>
      <c r="L167" s="11" t="n"/>
      <c r="M167" s="11" t="inlineStr">
        <is>
          <t>offen</t>
        </is>
      </c>
      <c r="N167" s="11" t="inlineStr">
        <is>
          <t>MiT-CRM Roberto/Stefan: FR-Kunden ohne Strom prüfen; DE+FR</t>
        </is>
      </c>
      <c r="O167" s="11" t="inlineStr">
        <is>
          <t>Strom-Add-on MiT-Wärme/Kälte FR</t>
        </is>
      </c>
      <c r="P167" s="11" t="inlineStr">
        <is>
          <t>Kälte</t>
        </is>
      </c>
      <c r="Q167" s="11" t="n"/>
      <c r="R167" s="11" t="inlineStr">
        <is>
          <t>Groupe E + HFR + Cremo = Top-3 FR; zweisprachig DE/FR = Vorteil</t>
        </is>
      </c>
      <c r="S167" s="11" t="inlineStr">
        <is>
          <t>Cross-Sell MiT</t>
        </is>
      </c>
    </row>
    <row r="168">
      <c r="A168" s="11" t="n">
        <v>165</v>
      </c>
      <c r="B168" s="11" t="inlineStr">
        <is>
          <t>A</t>
        </is>
      </c>
      <c r="C168" s="11" t="inlineStr">
        <is>
          <t>EVU/Netzbetreiber</t>
        </is>
      </c>
      <c r="D168" s="11" t="inlineStr">
        <is>
          <t>SIG – Services Industriels de Genève</t>
        </is>
      </c>
      <c r="E168" s="11" t="inlineStr">
        <is>
          <t>Genf</t>
        </is>
      </c>
      <c r="F168" s="11" t="inlineStr">
        <is>
          <t>1211</t>
        </is>
      </c>
      <c r="G168" s="11" t="inlineStr">
        <is>
          <t>GE</t>
        </is>
      </c>
      <c r="H168" s="11" t="inlineStr">
        <is>
          <t>Responsable Réseau</t>
        </is>
      </c>
      <c r="I168" s="11" t="inlineStr">
        <is>
          <t>Ing. El.</t>
        </is>
      </c>
      <c r="J168" s="11" t="inlineStr">
        <is>
          <t>info@sig-ge.ch</t>
        </is>
      </c>
      <c r="K168" s="11" t="inlineStr">
        <is>
          <t>+41 22 420 70 00</t>
        </is>
      </c>
      <c r="L168" s="11" t="n"/>
      <c r="M168" s="11" t="inlineStr">
        <is>
          <t>offen</t>
        </is>
      </c>
      <c r="N168" s="11" t="inlineStr">
        <is>
          <t>Réseau SIG Genf; FR</t>
        </is>
      </c>
      <c r="O168" s="11" t="inlineStr">
        <is>
          <t>MS/HS-Revisionen GE; 250'000 Kunden; Wärme+Wasser+Strom</t>
        </is>
      </c>
      <c r="P168" s="11" t="inlineStr">
        <is>
          <t>Generator</t>
        </is>
      </c>
      <c r="Q168" s="11" t="n"/>
      <c r="R168" s="11" t="inlineStr">
        <is>
          <t>Chemin Château-Bloch 2, 1219 Le Lignon; 250'000 Kunden</t>
        </is>
      </c>
      <c r="S168" s="11" t="inlineStr">
        <is>
          <t>Stadtwerk</t>
        </is>
      </c>
    </row>
    <row r="169">
      <c r="A169" s="11" t="n">
        <v>166</v>
      </c>
      <c r="B169" s="11" t="inlineStr">
        <is>
          <t>A</t>
        </is>
      </c>
      <c r="C169" s="11" t="inlineStr">
        <is>
          <t>Spital/Klinik</t>
        </is>
      </c>
      <c r="D169" s="11" t="inlineStr">
        <is>
          <t>HUG – Hôpitaux Universitaires de Genève</t>
        </is>
      </c>
      <c r="E169" s="11" t="inlineStr">
        <is>
          <t>Genf</t>
        </is>
      </c>
      <c r="F169" s="11" t="inlineStr">
        <is>
          <t>1211</t>
        </is>
      </c>
      <c r="G169" s="11" t="inlineStr">
        <is>
          <t>GE</t>
        </is>
      </c>
      <c r="H169" s="11" t="inlineStr">
        <is>
          <t>Directeur Technique</t>
        </is>
      </c>
      <c r="I169" s="11" t="inlineStr">
        <is>
          <t>Ing. El.</t>
        </is>
      </c>
      <c r="J169" s="11" t="inlineStr">
        <is>
          <t>info@hug.ch</t>
        </is>
      </c>
      <c r="K169" s="11" t="inlineStr">
        <is>
          <t>+41 22 372 33 11</t>
        </is>
      </c>
      <c r="L169" s="11" t="n"/>
      <c r="M169" s="11" t="inlineStr">
        <is>
          <t>offen</t>
        </is>
      </c>
      <c r="N169" s="11" t="inlineStr">
        <is>
          <t>Directeur Technique HUG; FR; Neubauten</t>
        </is>
      </c>
      <c r="O169" s="11" t="inlineStr">
        <is>
          <t>NEA 5× 500 kVA Pflicht; USV OP/ICU; universitär; 12'000 MA</t>
        </is>
      </c>
      <c r="P169" s="11" t="inlineStr">
        <is>
          <t>USV</t>
        </is>
      </c>
      <c r="Q169" s="11" t="n"/>
      <c r="R169" s="11" t="inlineStr">
        <is>
          <t>Rue Gabrielle-Perret-Gentil 4, 1211 Genf; 12'000 MA</t>
        </is>
      </c>
      <c r="S169" s="11" t="inlineStr">
        <is>
          <t>Universitätsspital</t>
        </is>
      </c>
    </row>
    <row r="170">
      <c r="A170" s="11" t="n">
        <v>167</v>
      </c>
      <c r="B170" s="11" t="inlineStr">
        <is>
          <t>A</t>
        </is>
      </c>
      <c r="C170" s="11" t="inlineStr">
        <is>
          <t>Pharma/Chemie</t>
        </is>
      </c>
      <c r="D170" s="11" t="inlineStr">
        <is>
          <t>Rolex SA – Werk + HQ Genf</t>
        </is>
      </c>
      <c r="E170" s="11" t="inlineStr">
        <is>
          <t>Genf</t>
        </is>
      </c>
      <c r="F170" s="11" t="inlineStr">
        <is>
          <t>1211</t>
        </is>
      </c>
      <c r="G170" s="11" t="inlineStr">
        <is>
          <t>GE</t>
        </is>
      </c>
      <c r="H170" s="11" t="inlineStr">
        <is>
          <t>Facility Manager</t>
        </is>
      </c>
      <c r="I170" s="11" t="inlineStr">
        <is>
          <t>Ingénieur</t>
        </is>
      </c>
      <c r="J170" s="11" t="inlineStr">
        <is>
          <t>info@rolex.com</t>
        </is>
      </c>
      <c r="K170" s="11" t="inlineStr">
        <is>
          <t>+41 22 302 22 00</t>
        </is>
      </c>
      <c r="L170" s="11" t="n"/>
      <c r="M170" s="11" t="inlineStr">
        <is>
          <t>offen</t>
        </is>
      </c>
      <c r="N170" s="11" t="inlineStr">
        <is>
          <t>Facility Manager Rolex Genf identifizieren</t>
        </is>
      </c>
      <c r="O170" s="11" t="inlineStr">
        <is>
          <t>Uhrenproduktion: PQ + NEA + USV 300 kVA; EMV höchste Präzision</t>
        </is>
      </c>
      <c r="P170" s="11" t="n"/>
      <c r="Q170" s="11" t="n"/>
      <c r="R170" s="11" t="inlineStr">
        <is>
          <t>Rue François-Dussaud 3-7, 1211 Genf; Weltberühmte Luxusuhr</t>
        </is>
      </c>
      <c r="S170" s="11" t="inlineStr">
        <is>
          <t>Luxusuhr</t>
        </is>
      </c>
    </row>
    <row r="171">
      <c r="A171" s="11" t="n">
        <v>168</v>
      </c>
      <c r="B171" s="11" t="inlineStr">
        <is>
          <t>A</t>
        </is>
      </c>
      <c r="C171" s="11" t="inlineStr">
        <is>
          <t>Pharma/Chemie</t>
        </is>
      </c>
      <c r="D171" s="11" t="inlineStr">
        <is>
          <t>Patek Philippe SA</t>
        </is>
      </c>
      <c r="E171" s="11" t="inlineStr">
        <is>
          <t>Genf</t>
        </is>
      </c>
      <c r="F171" s="11" t="inlineStr">
        <is>
          <t>1204</t>
        </is>
      </c>
      <c r="G171" s="11" t="inlineStr">
        <is>
          <t>GE</t>
        </is>
      </c>
      <c r="H171" s="11" t="inlineStr">
        <is>
          <t>Directeur Technique</t>
        </is>
      </c>
      <c r="I171" s="11" t="inlineStr">
        <is>
          <t>Ingénieur</t>
        </is>
      </c>
      <c r="J171" s="11" t="inlineStr">
        <is>
          <t>info@patek.com</t>
        </is>
      </c>
      <c r="K171" s="11" t="inlineStr">
        <is>
          <t>+41 22 884 20 20</t>
        </is>
      </c>
      <c r="L171" s="11" t="n"/>
      <c r="M171" s="11" t="inlineStr">
        <is>
          <t>offen</t>
        </is>
      </c>
      <c r="N171" s="11" t="inlineStr">
        <is>
          <t>Directeur Technique Patek Philippe identifizieren</t>
        </is>
      </c>
      <c r="O171" s="11" t="inlineStr">
        <is>
          <t>Uhrenproduktion Haute Horlogerie: PQ + NEA + USV 200 kVA</t>
        </is>
      </c>
      <c r="P171" s="11" t="n"/>
      <c r="Q171" s="11" t="n"/>
      <c r="R171" s="11" t="inlineStr">
        <is>
          <t>Chemin du Pont-du-Centenaire 141, 1228 Plan-les-Ouates; Haute Horlogerie</t>
        </is>
      </c>
      <c r="S171" s="11" t="inlineStr">
        <is>
          <t>Luxusuhr</t>
        </is>
      </c>
    </row>
    <row r="172">
      <c r="A172" s="11" t="n">
        <v>169</v>
      </c>
      <c r="B172" s="11" t="inlineStr">
        <is>
          <t>A</t>
        </is>
      </c>
      <c r="C172" s="11" t="inlineStr">
        <is>
          <t>Rechenzentrum/IT</t>
        </is>
      </c>
      <c r="D172" s="11" t="inlineStr">
        <is>
          <t>CERN – Europäische Kernforschungsorganisation</t>
        </is>
      </c>
      <c r="E172" s="11" t="inlineStr">
        <is>
          <t>Meyrin</t>
        </is>
      </c>
      <c r="F172" s="11" t="inlineStr">
        <is>
          <t>1211</t>
        </is>
      </c>
      <c r="G172" s="11" t="inlineStr">
        <is>
          <t>GE</t>
        </is>
      </c>
      <c r="H172" s="11" t="inlineStr">
        <is>
          <t>Facility Manager</t>
        </is>
      </c>
      <c r="I172" s="11" t="inlineStr">
        <is>
          <t>PhD El.-Ing.</t>
        </is>
      </c>
      <c r="J172" s="11" t="inlineStr">
        <is>
          <t>info@cern.ch</t>
        </is>
      </c>
      <c r="K172" s="11" t="inlineStr">
        <is>
          <t>+41 22 767 61 11</t>
        </is>
      </c>
      <c r="L172" s="11" t="n"/>
      <c r="M172" s="11" t="inlineStr">
        <is>
          <t>offen</t>
        </is>
      </c>
      <c r="N172" s="11" t="inlineStr">
        <is>
          <t>Facility Manager CERN kontaktieren; Sonderangebot Aggreko</t>
        </is>
      </c>
      <c r="O172" s="11" t="inlineStr">
        <is>
          <t>Forschungsanlagen: NEA 50 MVA; MS-Verteilung; Detektoren LHC</t>
        </is>
      </c>
      <c r="P172" s="11" t="inlineStr">
        <is>
          <t>Generator</t>
        </is>
      </c>
      <c r="Q172" s="11" t="n"/>
      <c r="R172" s="11" t="inlineStr">
        <is>
          <t>Esplanade des Particules 1, 1211 Meyrin; LHC = weltgrößter Teilchenbeschleuniger</t>
        </is>
      </c>
      <c r="S172" s="11" t="inlineStr">
        <is>
          <t>Forschung</t>
        </is>
      </c>
    </row>
    <row r="173">
      <c r="A173" s="11" t="n">
        <v>170</v>
      </c>
      <c r="B173" s="11" t="inlineStr">
        <is>
          <t>A</t>
        </is>
      </c>
      <c r="C173" s="11" t="inlineStr">
        <is>
          <t>Bau/Infrastruktur</t>
        </is>
      </c>
      <c r="D173" s="11" t="inlineStr">
        <is>
          <t>Aéroport International de Genève (GVA)</t>
        </is>
      </c>
      <c r="E173" s="11" t="inlineStr">
        <is>
          <t>Genf</t>
        </is>
      </c>
      <c r="F173" s="11" t="inlineStr">
        <is>
          <t>1215</t>
        </is>
      </c>
      <c r="G173" s="11" t="inlineStr">
        <is>
          <t>GE</t>
        </is>
      </c>
      <c r="H173" s="11" t="inlineStr">
        <is>
          <t>Responsable Energie</t>
        </is>
      </c>
      <c r="I173" s="11" t="inlineStr">
        <is>
          <t>Ing. El.</t>
        </is>
      </c>
      <c r="J173" s="11" t="inlineStr">
        <is>
          <t>info@gva.ch</t>
        </is>
      </c>
      <c r="K173" s="11" t="inlineStr">
        <is>
          <t>+41 22 717 71 11</t>
        </is>
      </c>
      <c r="L173" s="11" t="n"/>
      <c r="M173" s="11" t="inlineStr">
        <is>
          <t>offen</t>
        </is>
      </c>
      <c r="N173" s="11" t="inlineStr">
        <is>
          <t>Responsable Energie Aéroport GVA; Rahmenvertrag</t>
        </is>
      </c>
      <c r="O173" s="11" t="inlineStr">
        <is>
          <t>NEA Terminal 3 MVA; USV Check-in/Kontrolle; PQ; 10 Mio. Pass.</t>
        </is>
      </c>
      <c r="P173" s="11" t="inlineStr">
        <is>
          <t>USV</t>
        </is>
      </c>
      <c r="Q173" s="11" t="n"/>
      <c r="R173" s="11" t="inlineStr">
        <is>
          <t>Route de l'Aéroport 21, 1215 Genf; 10 Mio. Passagiere</t>
        </is>
      </c>
      <c r="S173" s="11" t="inlineStr">
        <is>
          <t>Flughafen</t>
        </is>
      </c>
    </row>
    <row r="174">
      <c r="A174" s="11" t="n">
        <v>171</v>
      </c>
      <c r="B174" s="11" t="inlineStr">
        <is>
          <t>A</t>
        </is>
      </c>
      <c r="C174" s="11" t="inlineStr">
        <is>
          <t>Pharma/Chemie</t>
        </is>
      </c>
      <c r="D174" s="11" t="inlineStr">
        <is>
          <t>Cartier International SA – Genf</t>
        </is>
      </c>
      <c r="E174" s="11" t="inlineStr">
        <is>
          <t>Genf</t>
        </is>
      </c>
      <c r="F174" s="11" t="inlineStr">
        <is>
          <t>1204</t>
        </is>
      </c>
      <c r="G174" s="11" t="inlineStr">
        <is>
          <t>GE</t>
        </is>
      </c>
      <c r="H174" s="11" t="inlineStr">
        <is>
          <t>Facility Manager</t>
        </is>
      </c>
      <c r="I174" s="11" t="inlineStr">
        <is>
          <t>Ingénieur</t>
        </is>
      </c>
      <c r="J174" s="11" t="inlineStr">
        <is>
          <t>info@cartier.com</t>
        </is>
      </c>
      <c r="K174" s="11" t="inlineStr">
        <is>
          <t>+41 22 818 06 06</t>
        </is>
      </c>
      <c r="L174" s="11" t="n"/>
      <c r="M174" s="11" t="inlineStr">
        <is>
          <t>offen</t>
        </is>
      </c>
      <c r="N174" s="11" t="inlineStr">
        <is>
          <t>Facility Manager Cartier Genf identifizieren</t>
        </is>
      </c>
      <c r="O174" s="11" t="inlineStr">
        <is>
          <t>Uhren + Schmuck: PQ + NEA 200 kVA; EMV Haute Horlogerie</t>
        </is>
      </c>
      <c r="P174" s="11" t="n"/>
      <c r="Q174" s="11" t="n"/>
      <c r="R174" s="11" t="inlineStr">
        <is>
          <t>Rue de la Paix 6, 1204 Genf; Luxusuhren + Schmuck</t>
        </is>
      </c>
      <c r="S174" s="11" t="inlineStr">
        <is>
          <t>Luxusuhr</t>
        </is>
      </c>
    </row>
    <row r="175">
      <c r="A175" s="11" t="n">
        <v>172</v>
      </c>
      <c r="B175" s="11" t="inlineStr">
        <is>
          <t>B</t>
        </is>
      </c>
      <c r="C175" s="11" t="inlineStr">
        <is>
          <t>Bau/Infrastruktur</t>
        </is>
      </c>
      <c r="D175" s="11" t="inlineStr">
        <is>
          <t>STEP Aire – Hauptklärwerk GE</t>
        </is>
      </c>
      <c r="E175" s="11" t="inlineStr">
        <is>
          <t>Aire-la-Ville</t>
        </is>
      </c>
      <c r="F175" s="11" t="inlineStr">
        <is>
          <t>1288</t>
        </is>
      </c>
      <c r="G175" s="11" t="inlineStr">
        <is>
          <t>GE</t>
        </is>
      </c>
      <c r="H175" s="11" t="inlineStr">
        <is>
          <t>Responsable Technique</t>
        </is>
      </c>
      <c r="I175" s="11" t="inlineStr">
        <is>
          <t>Technicien</t>
        </is>
      </c>
      <c r="J175" s="11" t="inlineStr">
        <is>
          <t>info@step-aire.ch</t>
        </is>
      </c>
      <c r="K175" s="11" t="inlineStr">
        <is>
          <t>+41 22 757 11 11</t>
        </is>
      </c>
      <c r="L175" s="11" t="n"/>
      <c r="M175" s="11" t="inlineStr">
        <is>
          <t>offen</t>
        </is>
      </c>
      <c r="N175" s="11" t="inlineStr">
        <is>
          <t>Responsable + simap.ch Alert GE; FR</t>
        </is>
      </c>
      <c r="O175" s="11" t="inlineStr">
        <is>
          <t>NEA-Pflicht 1× 500 kVA; Rhône-Schutz GE</t>
        </is>
      </c>
      <c r="P175" s="11" t="inlineStr">
        <is>
          <t>Generator</t>
        </is>
      </c>
      <c r="Q175" s="11" t="n"/>
      <c r="R175" s="11" t="inlineStr">
        <is>
          <t>Aire-la-Ville; Rhône-Schutz; Pflicht</t>
        </is>
      </c>
      <c r="S175" s="11" t="inlineStr">
        <is>
          <t>ARA</t>
        </is>
      </c>
    </row>
    <row r="176">
      <c r="A176" s="11" t="n">
        <v>173</v>
      </c>
      <c r="B176" s="11" t="inlineStr">
        <is>
          <t>C</t>
        </is>
      </c>
      <c r="C176" s="11" t="inlineStr">
        <is>
          <t>Gemeinde/Öffentlich</t>
        </is>
      </c>
      <c r="D176" s="11" t="inlineStr">
        <is>
          <t>Canton de Genève – OMCAN / Bâtiments</t>
        </is>
      </c>
      <c r="E176" s="11" t="inlineStr">
        <is>
          <t>Genf</t>
        </is>
      </c>
      <c r="F176" s="11" t="inlineStr">
        <is>
          <t>1204</t>
        </is>
      </c>
      <c r="G176" s="11" t="inlineStr">
        <is>
          <t>GE</t>
        </is>
      </c>
      <c r="H176" s="11" t="inlineStr">
        <is>
          <t>Chef Bâtiments</t>
        </is>
      </c>
      <c r="I176" s="11" t="inlineStr">
        <is>
          <t>Ingénieur Cantonal</t>
        </is>
      </c>
      <c r="J176" s="11" t="inlineStr">
        <is>
          <t>info@ge.ch</t>
        </is>
      </c>
      <c r="K176" s="11" t="inlineStr">
        <is>
          <t>+41 22 546 52 00</t>
        </is>
      </c>
      <c r="L176" s="11" t="n"/>
      <c r="M176" s="11" t="inlineStr">
        <is>
          <t>offen</t>
        </is>
      </c>
      <c r="N176" s="11" t="inlineStr">
        <is>
          <t>Hochbauamt GE + simap.ch; FR</t>
        </is>
      </c>
      <c r="O176" s="11" t="inlineStr">
        <is>
          <t>NEA kantonale Gebäude 2 MVA; UN-Büros GE; Rahmenvertrag</t>
        </is>
      </c>
      <c r="P176" s="11" t="n"/>
      <c r="Q176" s="11" t="n"/>
      <c r="R176" s="11" t="inlineStr">
        <is>
          <t>Rue de l'Hôtel-de-Ville 9, 1204 Genf; internationale Stadt</t>
        </is>
      </c>
      <c r="S176" s="11" t="inlineStr">
        <is>
          <t>Kanton</t>
        </is>
      </c>
    </row>
    <row r="177">
      <c r="A177" s="11" t="n">
        <v>174</v>
      </c>
      <c r="B177" s="11" t="inlineStr">
        <is>
          <t>A</t>
        </is>
      </c>
      <c r="C177" s="11" t="inlineStr">
        <is>
          <t>Forschung/Bildung</t>
        </is>
      </c>
      <c r="D177" s="11" t="inlineStr">
        <is>
          <t>CERN (Europäische Kernforschungsorganisation)</t>
        </is>
      </c>
      <c r="E177" s="11" t="inlineStr">
        <is>
          <t>Meyrin</t>
        </is>
      </c>
      <c r="F177" s="11" t="inlineStr">
        <is>
          <t>1217</t>
        </is>
      </c>
      <c r="G177" s="11" t="inlineStr">
        <is>
          <t>GE</t>
        </is>
      </c>
      <c r="H177" s="11" t="inlineStr">
        <is>
          <t>Betriebsleiter Energie / Head of TS-EL</t>
        </is>
      </c>
      <c r="I177" s="11" t="inlineStr">
        <is>
          <t>MSc El.-Ing.</t>
        </is>
      </c>
      <c r="J177" s="11" t="inlineStr">
        <is>
          <t>info@cern.ch</t>
        </is>
      </c>
      <c r="K177" s="11" t="inlineStr">
        <is>
          <t>+41 22 767 61 11</t>
        </is>
      </c>
      <c r="L177" s="11" t="n"/>
      <c r="M177" s="11" t="inlineStr">
        <is>
          <t>offen</t>
        </is>
      </c>
      <c r="N177" s="11" t="inlineStr">
        <is>
          <t>Head of TS-EL CERN; Route de Meyrin 385 Meyrin; absoluter Top-Account GE</t>
        </is>
      </c>
      <c r="O177" s="11" t="inlineStr">
        <is>
          <t>Teilchenbeschleuniger LHC 26 km: NEA 120 MVA; USV absolut; PQ; 13'000 MA; CHF 1 Mrd. Jahresbudget</t>
        </is>
      </c>
      <c r="P177" s="11" t="inlineStr">
        <is>
          <t>USV</t>
        </is>
      </c>
      <c r="Q177" s="11" t="n"/>
      <c r="R177" s="11" t="inlineStr">
        <is>
          <t>Adr: Route de Meyrin 385, 1217 Meyrin | CERN LHC 26 km; 120 MVA; CHF 1 Mrd.; 13'000 MA</t>
        </is>
      </c>
      <c r="S177" s="11" t="inlineStr">
        <is>
          <t>Bundesforschung CERN</t>
        </is>
      </c>
    </row>
    <row r="178">
      <c r="A178" s="11" t="n">
        <v>175</v>
      </c>
      <c r="B178" s="11" t="inlineStr">
        <is>
          <t>A</t>
        </is>
      </c>
      <c r="C178" s="11" t="inlineStr">
        <is>
          <t>EVU/Netzbetreiber</t>
        </is>
      </c>
      <c r="D178" s="11" t="inlineStr">
        <is>
          <t>SIG (Services Industriels de Genève)</t>
        </is>
      </c>
      <c r="E178" s="11" t="inlineStr">
        <is>
          <t>Genf</t>
        </is>
      </c>
      <c r="F178" s="11" t="inlineStr">
        <is>
          <t>1211</t>
        </is>
      </c>
      <c r="G178" s="11" t="inlineStr">
        <is>
          <t>GE</t>
        </is>
      </c>
      <c r="H178" s="11" t="inlineStr">
        <is>
          <t>Directeur Réseau</t>
        </is>
      </c>
      <c r="I178" s="11" t="inlineStr">
        <is>
          <t>MSc El.-Ing.</t>
        </is>
      </c>
      <c r="J178" s="11" t="inlineStr">
        <is>
          <t>info@sig-ge.ch</t>
        </is>
      </c>
      <c r="K178" s="11" t="inlineStr">
        <is>
          <t>+41 22 420 70 00</t>
        </is>
      </c>
      <c r="L178" s="11" t="n"/>
      <c r="M178" s="11" t="inlineStr">
        <is>
          <t>offen</t>
        </is>
      </c>
      <c r="N178" s="11" t="inlineStr">
        <is>
          <t>Directeur Réseau SIG; Chemin du Château-Bloch 2 Lancy; Revisionskalender</t>
        </is>
      </c>
      <c r="O178" s="11" t="inlineStr">
        <is>
          <t>240'000 Kunden GE; MS/HS-Revisionen; BESS; 700 MA; Strom+Gas+Wasser+Wärme</t>
        </is>
      </c>
      <c r="P178" s="11" t="inlineStr">
        <is>
          <t>BESS</t>
        </is>
      </c>
      <c r="Q178" s="11" t="n"/>
      <c r="R178" s="11" t="inlineStr">
        <is>
          <t>Adr: Chemin du Château-Bloch 2, 1212 Lancy | 240'000 Kunden GE; Strom+Gas+Wasser+Wärme</t>
        </is>
      </c>
      <c r="S178" s="11" t="inlineStr">
        <is>
          <t>Kantonaler EVU</t>
        </is>
      </c>
    </row>
    <row r="179">
      <c r="A179" s="11" t="n">
        <v>176</v>
      </c>
      <c r="B179" s="11" t="inlineStr">
        <is>
          <t>A</t>
        </is>
      </c>
      <c r="C179" s="11" t="inlineStr">
        <is>
          <t>Spital/Klinik</t>
        </is>
      </c>
      <c r="D179" s="11" t="inlineStr">
        <is>
          <t>HUG (Hôpitaux Universitaires Genève)</t>
        </is>
      </c>
      <c r="E179" s="11" t="inlineStr">
        <is>
          <t>Genf</t>
        </is>
      </c>
      <c r="F179" s="11" t="inlineStr">
        <is>
          <t>1211</t>
        </is>
      </c>
      <c r="G179" s="11" t="inlineStr">
        <is>
          <t>GE</t>
        </is>
      </c>
      <c r="H179" s="11" t="inlineStr">
        <is>
          <t>Responsable Technique / TGM</t>
        </is>
      </c>
      <c r="I179" s="11" t="inlineStr">
        <is>
          <t>MSc El.-Ing.</t>
        </is>
      </c>
      <c r="J179" s="11" t="inlineStr">
        <is>
          <t>info@hug.ch</t>
        </is>
      </c>
      <c r="K179" s="11" t="inlineStr">
        <is>
          <t>+41 22 372 33 11</t>
        </is>
      </c>
      <c r="L179" s="11" t="n"/>
      <c r="M179" s="11" t="inlineStr">
        <is>
          <t>offen</t>
        </is>
      </c>
      <c r="N179" s="11" t="inlineStr">
        <is>
          <t>Responsable Technique HUG; Rue Gabrielle-Perret-Gentil 4; simap.ch GE</t>
        </is>
      </c>
      <c r="O179" s="11" t="inlineStr">
        <is>
          <t>NEA 8× 500 kVA; USV OP/ICU; 13'000 MA; Grösste Öffentliche Klinik CH</t>
        </is>
      </c>
      <c r="P179" s="11" t="inlineStr">
        <is>
          <t>USV</t>
        </is>
      </c>
      <c r="Q179" s="11" t="n"/>
      <c r="R179" s="11" t="inlineStr">
        <is>
          <t>Adr: Rue Gabrielle-Perret-Gentil 4, 1211 GE | 13'000 MA; grösste öffentliche Klinik CH</t>
        </is>
      </c>
      <c r="S179" s="11" t="inlineStr">
        <is>
          <t>Universitätsspital</t>
        </is>
      </c>
    </row>
    <row r="180">
      <c r="A180" s="11" t="n">
        <v>177</v>
      </c>
      <c r="B180" s="11" t="inlineStr">
        <is>
          <t>A</t>
        </is>
      </c>
      <c r="C180" s="11" t="inlineStr">
        <is>
          <t>Pharma/Chemie</t>
        </is>
      </c>
      <c r="D180" s="11" t="inlineStr">
        <is>
          <t>Johnson &amp; Johnson (Genf HQ EMEA)</t>
        </is>
      </c>
      <c r="E180" s="11" t="inlineStr">
        <is>
          <t>Genf</t>
        </is>
      </c>
      <c r="F180" s="11" t="inlineStr">
        <is>
          <t>1201</t>
        </is>
      </c>
      <c r="G180" s="11" t="inlineStr">
        <is>
          <t>GE</t>
        </is>
      </c>
      <c r="H180" s="11" t="inlineStr">
        <is>
          <t>Facility Manager EMEA</t>
        </is>
      </c>
      <c r="I180" s="11" t="inlineStr">
        <is>
          <t>MSc El.-Ing.</t>
        </is>
      </c>
      <c r="J180" s="11" t="inlineStr">
        <is>
          <t>info@jnj.com</t>
        </is>
      </c>
      <c r="K180" s="11" t="inlineStr">
        <is>
          <t>+41 22 730 27 27</t>
        </is>
      </c>
      <c r="L180" s="11" t="n"/>
      <c r="M180" s="11" t="inlineStr">
        <is>
          <t>offen</t>
        </is>
      </c>
      <c r="N180" s="11" t="inlineStr">
        <is>
          <t>Facility Manager J&amp;J EMEA GE; Chemin du Foriest Allschwil; Fortune-10</t>
        </is>
      </c>
      <c r="O180" s="11" t="inlineStr">
        <is>
          <t>EMEA-HQ: NEA + USV 500 kVA; PQ; Fortune-10; 2'000 MA GE</t>
        </is>
      </c>
      <c r="P180" s="11" t="inlineStr">
        <is>
          <t>USV</t>
        </is>
      </c>
      <c r="Q180" s="11" t="n"/>
      <c r="R180" s="11" t="inlineStr">
        <is>
          <t>Adr: Genf, 1201 GE | J&amp;J EMEA-HQ; Fortune-10; 2'000 MA GE</t>
        </is>
      </c>
      <c r="S180" s="11" t="inlineStr">
        <is>
          <t>Pharma/HQ</t>
        </is>
      </c>
    </row>
    <row r="181">
      <c r="A181" s="11" t="n">
        <v>178</v>
      </c>
      <c r="B181" s="11" t="inlineStr">
        <is>
          <t>A</t>
        </is>
      </c>
      <c r="C181" s="11" t="inlineStr">
        <is>
          <t>Pharma/Chemie</t>
        </is>
      </c>
      <c r="D181" s="11" t="inlineStr">
        <is>
          <t>Procter &amp; Gamble (P&amp;G EMEA-HQ Genf)</t>
        </is>
      </c>
      <c r="E181" s="11" t="inlineStr">
        <is>
          <t>Genf</t>
        </is>
      </c>
      <c r="F181" s="11" t="inlineStr">
        <is>
          <t>1201</t>
        </is>
      </c>
      <c r="G181" s="11" t="inlineStr">
        <is>
          <t>GE</t>
        </is>
      </c>
      <c r="H181" s="11" t="inlineStr">
        <is>
          <t>Facility Manager EMEA</t>
        </is>
      </c>
      <c r="I181" s="11" t="inlineStr">
        <is>
          <t>MSc El.-Ing.</t>
        </is>
      </c>
      <c r="J181" s="11" t="inlineStr">
        <is>
          <t>info@pg.com</t>
        </is>
      </c>
      <c r="K181" s="11" t="inlineStr">
        <is>
          <t>+41 22 317 31 11</t>
        </is>
      </c>
      <c r="L181" s="11" t="n"/>
      <c r="M181" s="11" t="inlineStr">
        <is>
          <t>offen</t>
        </is>
      </c>
      <c r="N181" s="11" t="inlineStr">
        <is>
          <t>Facility Manager P&amp;G EMEA GE; Fortune-50 EMEA-HQ; PQ-Pitch</t>
        </is>
      </c>
      <c r="O181" s="11" t="inlineStr">
        <is>
          <t>EMEA-HQ: NEA + USV 500 kVA; PQ Fortune-50; 3'500 MA GE</t>
        </is>
      </c>
      <c r="P181" s="11" t="inlineStr">
        <is>
          <t>USV</t>
        </is>
      </c>
      <c r="Q181" s="11" t="n"/>
      <c r="R181" s="11" t="inlineStr">
        <is>
          <t>Adr: Genf, 1201 GE | P&amp;G EMEA-HQ; Fortune-50; 3'500 MA GE</t>
        </is>
      </c>
      <c r="S181" s="11" t="inlineStr">
        <is>
          <t>Pharma/HQ</t>
        </is>
      </c>
    </row>
    <row r="182">
      <c r="A182" s="11" t="n">
        <v>179</v>
      </c>
      <c r="B182" s="11" t="inlineStr">
        <is>
          <t>A</t>
        </is>
      </c>
      <c r="C182" s="11" t="inlineStr">
        <is>
          <t>Pharma/Chemie</t>
        </is>
      </c>
      <c r="D182" s="11" t="inlineStr">
        <is>
          <t>Merck Sharp &amp; Dohme (MSD EMEA Genf)</t>
        </is>
      </c>
      <c r="E182" s="11" t="inlineStr">
        <is>
          <t>Genf</t>
        </is>
      </c>
      <c r="F182" s="11" t="inlineStr">
        <is>
          <t>1204</t>
        </is>
      </c>
      <c r="G182" s="11" t="inlineStr">
        <is>
          <t>GE</t>
        </is>
      </c>
      <c r="H182" s="11" t="inlineStr">
        <is>
          <t>Facility Manager EMEA</t>
        </is>
      </c>
      <c r="I182" s="11" t="inlineStr">
        <is>
          <t>MSc El.-Ing.</t>
        </is>
      </c>
      <c r="J182" s="11" t="inlineStr">
        <is>
          <t>info@msd.ch</t>
        </is>
      </c>
      <c r="K182" s="11" t="inlineStr">
        <is>
          <t>+41 22 758 91 11</t>
        </is>
      </c>
      <c r="L182" s="11" t="n"/>
      <c r="M182" s="11" t="inlineStr">
        <is>
          <t>offen</t>
        </is>
      </c>
      <c r="N182" s="11" t="inlineStr">
        <is>
          <t>Facility Manager MSD EMEA GE; Fortune-100; GMP-Pitch</t>
        </is>
      </c>
      <c r="O182" s="11" t="inlineStr">
        <is>
          <t>Pharma EMEA-HQ: NEA + USV 300 kVA; PQ; Fortune-100 MSD</t>
        </is>
      </c>
      <c r="P182" s="11" t="inlineStr">
        <is>
          <t>USV</t>
        </is>
      </c>
      <c r="Q182" s="11" t="n"/>
      <c r="R182" s="11" t="inlineStr">
        <is>
          <t>Adr: Genf, 1204 GE | MSD EMEA-HQ; Fortune-100; GMP</t>
        </is>
      </c>
      <c r="S182" s="11" t="inlineStr">
        <is>
          <t>Pharma / MSD</t>
        </is>
      </c>
    </row>
    <row r="183">
      <c r="A183" s="11" t="n">
        <v>180</v>
      </c>
      <c r="B183" s="11" t="inlineStr">
        <is>
          <t>A</t>
        </is>
      </c>
      <c r="C183" s="11" t="inlineStr">
        <is>
          <t>Rechenzentrum/IT</t>
        </is>
      </c>
      <c r="D183" s="11" t="inlineStr">
        <is>
          <t>Equinix GV1 Genf (RZ GE)</t>
        </is>
      </c>
      <c r="E183" s="11" t="inlineStr">
        <is>
          <t>Genf</t>
        </is>
      </c>
      <c r="F183" s="11" t="inlineStr">
        <is>
          <t>1227</t>
        </is>
      </c>
      <c r="G183" s="11" t="inlineStr">
        <is>
          <t>GE</t>
        </is>
      </c>
      <c r="H183" s="11" t="inlineStr">
        <is>
          <t>Facility Manager EMEA</t>
        </is>
      </c>
      <c r="I183" s="11" t="inlineStr">
        <is>
          <t>MSc El.-Ing.</t>
        </is>
      </c>
      <c r="J183" s="11" t="inlineStr">
        <is>
          <t>info@equinix.com</t>
        </is>
      </c>
      <c r="K183" s="11" t="inlineStr">
        <is>
          <t>+41 22 365 14 00</t>
        </is>
      </c>
      <c r="L183" s="11" t="n"/>
      <c r="M183" s="11" t="inlineStr">
        <is>
          <t>offen</t>
        </is>
      </c>
      <c r="N183" s="11" t="inlineStr">
        <is>
          <t>Facility Manager Equinix GV1 Genf; Tier-4-Pitch GE</t>
        </is>
      </c>
      <c r="O183" s="11" t="inlineStr">
        <is>
          <t>RZ Genf Tier-4: NEA 5 MVA; USV; PQ; Fortune-500 Equinix; 150+ Kunden</t>
        </is>
      </c>
      <c r="P183" s="11" t="inlineStr">
        <is>
          <t>USV</t>
        </is>
      </c>
      <c r="Q183" s="11" t="n"/>
      <c r="R183" s="11" t="inlineStr">
        <is>
          <t>Adr: Genf, 1227 GE | Equinix GV1; Tier-4; Fortune-500</t>
        </is>
      </c>
      <c r="S183" s="11" t="inlineStr">
        <is>
          <t>Rechenzentrum</t>
        </is>
      </c>
    </row>
    <row r="184">
      <c r="A184" s="11" t="n">
        <v>181</v>
      </c>
      <c r="B184" s="11" t="inlineStr">
        <is>
          <t>B</t>
        </is>
      </c>
      <c r="C184" s="11" t="inlineStr">
        <is>
          <t>Gemeinde/Öffentlich</t>
        </is>
      </c>
      <c r="D184" s="11" t="inlineStr">
        <is>
          <t>Canton de Genève (DCTI Bâtiments)</t>
        </is>
      </c>
      <c r="E184" s="11" t="inlineStr">
        <is>
          <t>Genf</t>
        </is>
      </c>
      <c r="F184" s="11" t="inlineStr">
        <is>
          <t>1204</t>
        </is>
      </c>
      <c r="G184" s="11" t="inlineStr">
        <is>
          <t>GE</t>
        </is>
      </c>
      <c r="H184" s="11" t="inlineStr">
        <is>
          <t>Directeur DCTI</t>
        </is>
      </c>
      <c r="I184" s="11" t="inlineStr">
        <is>
          <t>Ingénieur cantonal</t>
        </is>
      </c>
      <c r="J184" s="11" t="inlineStr">
        <is>
          <t>info@etat.ge.ch</t>
        </is>
      </c>
      <c r="K184" s="11" t="inlineStr">
        <is>
          <t>+41 22 546 73 00</t>
        </is>
      </c>
      <c r="L184" s="11" t="n"/>
      <c r="M184" s="11" t="inlineStr">
        <is>
          <t>offen</t>
        </is>
      </c>
      <c r="N184" s="11" t="inlineStr">
        <is>
          <t>DCTI Bâtiments GE; Rue David-Dufour 5 Genf; simap.ch Alert GE</t>
        </is>
      </c>
      <c r="O184" s="11" t="inlineStr">
        <is>
          <t>NEA kantonale Gebäude GE; 500+ Liegenschaften; Rahmenvertrag GE</t>
        </is>
      </c>
      <c r="P184" s="11" t="n"/>
      <c r="Q184" s="11" t="n"/>
      <c r="R184" s="11" t="inlineStr">
        <is>
          <t>Adr: Rue David-Dufour 5, 1204 GE | 500+ Liegenschaften; internationale Stadt GE</t>
        </is>
      </c>
      <c r="S184" s="11" t="inlineStr">
        <is>
          <t>Kanton GE</t>
        </is>
      </c>
    </row>
    <row r="185">
      <c r="A185" s="11" t="n">
        <v>182</v>
      </c>
      <c r="B185" s="11" t="inlineStr">
        <is>
          <t>B</t>
        </is>
      </c>
      <c r="C185" s="11" t="inlineStr">
        <is>
          <t>Pharma/Chemie</t>
        </is>
      </c>
      <c r="D185" s="11" t="inlineStr">
        <is>
          <t>Richemont (HQ Bellevue GE)</t>
        </is>
      </c>
      <c r="E185" s="11" t="inlineStr">
        <is>
          <t>Bellevue</t>
        </is>
      </c>
      <c r="F185" s="11" t="inlineStr">
        <is>
          <t>1293</t>
        </is>
      </c>
      <c r="G185" s="11" t="inlineStr">
        <is>
          <t>GE</t>
        </is>
      </c>
      <c r="H185" s="11" t="inlineStr">
        <is>
          <t>Facility Manager HQ</t>
        </is>
      </c>
      <c r="I185" s="11" t="inlineStr">
        <is>
          <t>Ingénieur</t>
        </is>
      </c>
      <c r="J185" s="11" t="inlineStr">
        <is>
          <t>info@richemont.com</t>
        </is>
      </c>
      <c r="K185" s="11" t="inlineStr">
        <is>
          <t>+41 22 721 35 00</t>
        </is>
      </c>
      <c r="L185" s="11" t="n"/>
      <c r="M185" s="11" t="inlineStr">
        <is>
          <t>offen</t>
        </is>
      </c>
      <c r="N185" s="11" t="inlineStr">
        <is>
          <t>Facility Manager Richemont HQ; Chemin de la Chênaie Bellevue; Luxus-Pitch</t>
        </is>
      </c>
      <c r="O185" s="11" t="inlineStr">
        <is>
          <t>Richemont HQ: NEA + USV 500 kVA; PQ; CHF 20 Mrd. Umsatz; Cartier/IWC/Piaget</t>
        </is>
      </c>
      <c r="P185" s="11" t="inlineStr">
        <is>
          <t>USV</t>
        </is>
      </c>
      <c r="Q185" s="11" t="n"/>
      <c r="R185" s="11" t="inlineStr">
        <is>
          <t>Adr: Chemin de la Chênaie 50, 1293 Bellevue | Richemont HQ; CHF 20 Mrd.; Cartier+IWC</t>
        </is>
      </c>
      <c r="S185" s="11" t="inlineStr">
        <is>
          <t>Luxusuhr / Richemont</t>
        </is>
      </c>
    </row>
    <row r="186">
      <c r="A186" s="11" t="n">
        <v>183</v>
      </c>
      <c r="B186" s="11" t="inlineStr">
        <is>
          <t>B</t>
        </is>
      </c>
      <c r="C186" s="11" t="inlineStr">
        <is>
          <t>Elektroplaner/Engineering</t>
        </is>
      </c>
      <c r="D186" s="11" t="inlineStr">
        <is>
          <t>Revatech SA (Electricité Genève)</t>
        </is>
      </c>
      <c r="E186" s="11" t="inlineStr">
        <is>
          <t>Genf</t>
        </is>
      </c>
      <c r="F186" s="11" t="inlineStr">
        <is>
          <t>1201</t>
        </is>
      </c>
      <c r="G186" s="11" t="inlineStr">
        <is>
          <t>GE</t>
        </is>
      </c>
      <c r="H186" s="11" t="inlineStr">
        <is>
          <t>Directeur</t>
        </is>
      </c>
      <c r="I186" s="11" t="inlineStr">
        <is>
          <t>Electrotechnicien</t>
        </is>
      </c>
      <c r="J186" s="11" t="inlineStr">
        <is>
          <t>info@revatech.ch</t>
        </is>
      </c>
      <c r="K186" s="11" t="inlineStr">
        <is>
          <t>+41 22 798 30 30</t>
        </is>
      </c>
      <c r="L186" s="11" t="n"/>
      <c r="M186" s="11" t="inlineStr">
        <is>
          <t>offen</t>
        </is>
      </c>
      <c r="N186" s="11" t="inlineStr">
        <is>
          <t>Directeur Revatech; Genf; Partnerschaft GE besprechen</t>
        </is>
      </c>
      <c r="O186" s="11" t="inlineStr">
        <is>
          <t>Elektrounternehmen Genf: Industrie+Diplomatenviertel+Hotels; GE-Marktführer</t>
        </is>
      </c>
      <c r="P186" s="11" t="n"/>
      <c r="Q186" s="11" t="n"/>
      <c r="R186" s="11" t="inlineStr">
        <is>
          <t>Adr: Genf, 1201 GE | Elektrounternehmen GE; Türöffner CERN+HUG+Hotel</t>
        </is>
      </c>
      <c r="S186" s="11" t="inlineStr">
        <is>
          <t>Elektrounternehmen GE</t>
        </is>
      </c>
    </row>
    <row r="187">
      <c r="A187" s="11" t="n">
        <v>184</v>
      </c>
      <c r="B187" s="11" t="inlineStr">
        <is>
          <t>B</t>
        </is>
      </c>
      <c r="C187" s="11" t="inlineStr">
        <is>
          <t>Bau/Infrastruktur</t>
        </is>
      </c>
      <c r="D187" s="11" t="inlineStr">
        <is>
          <t>STEP de Genève (Rhône-Schutz)</t>
        </is>
      </c>
      <c r="E187" s="11" t="inlineStr">
        <is>
          <t>Vernier</t>
        </is>
      </c>
      <c r="F187" s="11" t="inlineStr">
        <is>
          <t>1214</t>
        </is>
      </c>
      <c r="G187" s="11" t="inlineStr">
        <is>
          <t>GE</t>
        </is>
      </c>
      <c r="H187" s="11" t="inlineStr">
        <is>
          <t>Responsable STEP</t>
        </is>
      </c>
      <c r="I187" s="11" t="inlineStr">
        <is>
          <t>Techniker</t>
        </is>
      </c>
      <c r="J187" s="11" t="inlineStr">
        <is>
          <t>info@step-ge.ch</t>
        </is>
      </c>
      <c r="K187" s="11" t="inlineStr">
        <is>
          <t>+41 22 427 09 09</t>
        </is>
      </c>
      <c r="L187" s="11" t="n"/>
      <c r="M187" s="11" t="inlineStr">
        <is>
          <t>offen</t>
        </is>
      </c>
      <c r="N187" s="11" t="inlineStr">
        <is>
          <t>Responsable STEP GE; Vernier GE; simap.ch Alert GE</t>
        </is>
      </c>
      <c r="O187" s="11" t="inlineStr">
        <is>
          <t>NEA-Pflicht 1× 500 kVA; Rhône-Schutz GE; 24h</t>
        </is>
      </c>
      <c r="P187" s="11" t="inlineStr">
        <is>
          <t>Generator</t>
        </is>
      </c>
      <c r="Q187" s="11" t="n"/>
      <c r="R187" s="11" t="inlineStr">
        <is>
          <t>Adr: Vernier, 1214 GE | Rhône-Schutz; Ausschreibungspflicht</t>
        </is>
      </c>
      <c r="S187" s="11" t="inlineStr">
        <is>
          <t>ARA Villette GE</t>
        </is>
      </c>
    </row>
    <row r="188">
      <c r="A188" s="11" t="n">
        <v>185</v>
      </c>
      <c r="B188" s="11" t="inlineStr">
        <is>
          <t>C</t>
        </is>
      </c>
      <c r="C188" s="11" t="inlineStr">
        <is>
          <t>Gemeinde/Öffentlich</t>
        </is>
      </c>
      <c r="D188" s="11" t="inlineStr">
        <is>
          <t>[MiT GE-Kältekunde Nr. 1]</t>
        </is>
      </c>
      <c r="E188" s="11" t="inlineStr">
        <is>
          <t>Genf</t>
        </is>
      </c>
      <c r="F188" s="11" t="inlineStr">
        <is>
          <t>1201</t>
        </is>
      </c>
      <c r="G188" s="11" t="inlineStr">
        <is>
          <t>GE</t>
        </is>
      </c>
      <c r="H188" s="11" t="inlineStr">
        <is>
          <t>Responsable énergie</t>
        </is>
      </c>
      <c r="I188" s="11" t="inlineStr">
        <is>
          <t>Betriebsleiter</t>
        </is>
      </c>
      <c r="J188" s="11" t="n"/>
      <c r="K188" s="11" t="inlineStr">
        <is>
          <t>(MiT-CRM)</t>
        </is>
      </c>
      <c r="L188" s="11" t="n"/>
      <c r="M188" s="11" t="inlineStr">
        <is>
          <t>offen</t>
        </is>
      </c>
      <c r="N188" s="11" t="inlineStr">
        <is>
          <t>MiT-CRM Roberto/Stefan: GE-Kunden ohne Strom prüfen</t>
        </is>
      </c>
      <c r="O188" s="11" t="inlineStr">
        <is>
          <t>Strom-Add-on MiT-Wärme/Kälte GE</t>
        </is>
      </c>
      <c r="P188" s="11" t="n"/>
      <c r="Q188" s="11" t="n"/>
      <c r="R188" s="11" t="inlineStr">
        <is>
          <t>CERN 120 MVA = absoluter Top-Account CH; HUG = grösste öffentliche Klinik</t>
        </is>
      </c>
      <c r="S188" s="11" t="inlineStr">
        <is>
          <t>Cross-Sell MiT</t>
        </is>
      </c>
    </row>
    <row r="189">
      <c r="A189" s="11" t="n">
        <v>186</v>
      </c>
      <c r="B189" s="11" t="inlineStr">
        <is>
          <t>A</t>
        </is>
      </c>
      <c r="C189" s="11" t="inlineStr">
        <is>
          <t>EVU/Netzbetreiber</t>
        </is>
      </c>
      <c r="D189" s="11" t="inlineStr">
        <is>
          <t>EW Glarus AG (ewg)</t>
        </is>
      </c>
      <c r="E189" s="11" t="inlineStr">
        <is>
          <t>Glarus</t>
        </is>
      </c>
      <c r="F189" s="11" t="inlineStr">
        <is>
          <t>8750</t>
        </is>
      </c>
      <c r="G189" s="11" t="inlineStr">
        <is>
          <t>GL</t>
        </is>
      </c>
      <c r="H189" s="11" t="inlineStr">
        <is>
          <t>Leiter Netzbetrieb</t>
        </is>
      </c>
      <c r="I189" s="11" t="inlineStr">
        <is>
          <t>Dipl. El.-Ing.</t>
        </is>
      </c>
      <c r="J189" s="11" t="inlineStr">
        <is>
          <t>info@ewglarus.ch</t>
        </is>
      </c>
      <c r="K189" s="11" t="inlineStr">
        <is>
          <t>+41 55 645 40 00</t>
        </is>
      </c>
      <c r="L189" s="11" t="n"/>
      <c r="M189" s="11" t="inlineStr">
        <is>
          <t>offen</t>
        </is>
      </c>
      <c r="N189" s="11" t="inlineStr">
        <is>
          <t>Netzbetrieb EWG; Zwinglistrasse 4 Glarus; Revisionskalender</t>
        </is>
      </c>
      <c r="O189" s="11" t="inlineStr">
        <is>
          <t>Stromversorgung GL-weit; MS-Revisionen; Wasserkraft Linth/Sernf; NEA kommunale Gebäude</t>
        </is>
      </c>
      <c r="P189" s="11" t="inlineStr">
        <is>
          <t>Generator</t>
        </is>
      </c>
      <c r="Q189" s="11" t="n"/>
      <c r="R189" s="11" t="inlineStr">
        <is>
          <t>Adr: Zwinglistrasse 4, 8750 Glarus | Kantonaler EVU GL; Wasserkraft Linth+Sernf</t>
        </is>
      </c>
      <c r="S189" s="11" t="inlineStr">
        <is>
          <t>Kantonaler EVU</t>
        </is>
      </c>
    </row>
    <row r="190">
      <c r="A190" s="11" t="n">
        <v>187</v>
      </c>
      <c r="B190" s="11" t="inlineStr">
        <is>
          <t>A</t>
        </is>
      </c>
      <c r="C190" s="11" t="inlineStr">
        <is>
          <t>Spital/Klinik</t>
        </is>
      </c>
      <c r="D190" s="11" t="inlineStr">
        <is>
          <t>Kantonsspital Glarus AG (KSGL)</t>
        </is>
      </c>
      <c r="E190" s="11" t="inlineStr">
        <is>
          <t>Glarus</t>
        </is>
      </c>
      <c r="F190" s="11" t="inlineStr">
        <is>
          <t>8750</t>
        </is>
      </c>
      <c r="G190" s="11" t="inlineStr">
        <is>
          <t>GL</t>
        </is>
      </c>
      <c r="H190" s="11" t="inlineStr">
        <is>
          <t>Betriebsleiter Technik</t>
        </is>
      </c>
      <c r="I190" s="11" t="inlineStr">
        <is>
          <t>Dipl. El.-Ing.</t>
        </is>
      </c>
      <c r="J190" s="11" t="inlineStr">
        <is>
          <t>info@ksgl.ch</t>
        </is>
      </c>
      <c r="K190" s="11" t="inlineStr">
        <is>
          <t>+41 55 646 31 11</t>
        </is>
      </c>
      <c r="L190" s="11" t="n"/>
      <c r="M190" s="11" t="inlineStr">
        <is>
          <t>offen</t>
        </is>
      </c>
      <c r="N190" s="11" t="inlineStr">
        <is>
          <t>Betriebsleiter KSGL; Burgstrasse 99 Glarus; NIV Art. 13</t>
        </is>
      </c>
      <c r="O190" s="11" t="inlineStr">
        <is>
          <t>NEA 2× 300 kVA; USV OP/ICU; 700 MA; Linthebene; einziges Akutspital GL</t>
        </is>
      </c>
      <c r="P190" s="11" t="inlineStr">
        <is>
          <t>USV</t>
        </is>
      </c>
      <c r="Q190" s="11" t="n"/>
      <c r="R190" s="11" t="inlineStr">
        <is>
          <t>Adr: Burgstrasse 99, 8750 Glarus | Einziges Akutspital GL; 700 MA; NEA-Pflicht</t>
        </is>
      </c>
      <c r="S190" s="11" t="inlineStr">
        <is>
          <t>Kantonsspital</t>
        </is>
      </c>
    </row>
    <row r="191">
      <c r="A191" s="11" t="n">
        <v>188</v>
      </c>
      <c r="B191" s="11" t="inlineStr">
        <is>
          <t>A</t>
        </is>
      </c>
      <c r="C191" s="11" t="inlineStr">
        <is>
          <t>Spital/Klinik</t>
        </is>
      </c>
      <c r="D191" s="11" t="inlineStr">
        <is>
          <t>ZURZACH Care Rehaklinik Braunwald</t>
        </is>
      </c>
      <c r="E191" s="11" t="inlineStr">
        <is>
          <t>Braunwald</t>
        </is>
      </c>
      <c r="F191" s="11" t="inlineStr">
        <is>
          <t>8784</t>
        </is>
      </c>
      <c r="G191" s="11" t="inlineStr">
        <is>
          <t>GL</t>
        </is>
      </c>
      <c r="H191" s="11" t="inlineStr">
        <is>
          <t>Betriebsleiter Technik</t>
        </is>
      </c>
      <c r="I191" s="11" t="inlineStr">
        <is>
          <t>Techniker</t>
        </is>
      </c>
      <c r="J191" s="11" t="inlineStr">
        <is>
          <t>info@zurzachcare.ch</t>
        </is>
      </c>
      <c r="K191" s="11" t="inlineStr">
        <is>
          <t>+41 55 643 51 51</t>
        </is>
      </c>
      <c r="L191" s="11" t="n"/>
      <c r="M191" s="11" t="inlineStr">
        <is>
          <t>offen</t>
        </is>
      </c>
      <c r="N191" s="11" t="inlineStr">
        <is>
          <t>Betriebsleiter Rehaklinik Braunwald; alpine Isolation-Pitch</t>
        </is>
      </c>
      <c r="O191" s="11" t="inlineStr">
        <is>
          <t>Rehaklinik alpine Lage: NEA 1× 200 kVA; USV; autofreies Braunwald</t>
        </is>
      </c>
      <c r="P191" s="11" t="inlineStr">
        <is>
          <t>USV</t>
        </is>
      </c>
      <c r="Q191" s="11" t="n"/>
      <c r="R191" s="11" t="inlineStr">
        <is>
          <t>Adr: Braunwaldbahn Endstation, 8784 Braunwald | Autofreies Dorf; alpine Isolation; Rehaklinik</t>
        </is>
      </c>
      <c r="S191" s="11" t="inlineStr">
        <is>
          <t>Rehaklinik</t>
        </is>
      </c>
    </row>
    <row r="192">
      <c r="A192" s="11" t="n">
        <v>189</v>
      </c>
      <c r="B192" s="11" t="inlineStr">
        <is>
          <t>A</t>
        </is>
      </c>
      <c r="C192" s="11" t="inlineStr">
        <is>
          <t>Pharma/Chemie</t>
        </is>
      </c>
      <c r="D192" s="11" t="inlineStr">
        <is>
          <t>Netstal Maschinen AG (KEBA-Gruppe)</t>
        </is>
      </c>
      <c r="E192" s="11" t="inlineStr">
        <is>
          <t>Netstal</t>
        </is>
      </c>
      <c r="F192" s="11" t="inlineStr">
        <is>
          <t>8754</t>
        </is>
      </c>
      <c r="G192" s="11" t="inlineStr">
        <is>
          <t>GL</t>
        </is>
      </c>
      <c r="H192" s="11" t="inlineStr">
        <is>
          <t>Betriebsleiter Elektro</t>
        </is>
      </c>
      <c r="I192" s="11" t="inlineStr">
        <is>
          <t>Dipl. El.-Ing.</t>
        </is>
      </c>
      <c r="J192" s="11" t="inlineStr">
        <is>
          <t>info@netstal.com</t>
        </is>
      </c>
      <c r="K192" s="11" t="inlineStr">
        <is>
          <t>+41 55 618 61 11</t>
        </is>
      </c>
      <c r="L192" s="11" t="n"/>
      <c r="M192" s="11" t="inlineStr">
        <is>
          <t>offen</t>
        </is>
      </c>
      <c r="N192" s="11" t="inlineStr">
        <is>
          <t>Betriebsleiter Netstal; Am Rotenboden 11 Netstal; FU-PQ-Pitch</t>
        </is>
      </c>
      <c r="O192" s="11" t="inlineStr">
        <is>
          <t>Spritzgiessmaschinen Prüfstände: NEA 1 MVA; FU-Antriebe intensiv; PQ; EMV</t>
        </is>
      </c>
      <c r="P192" s="11" t="n"/>
      <c r="Q192" s="11" t="n"/>
      <c r="R192" s="11" t="inlineStr">
        <is>
          <t>Adr: Am Rotenboden 11, 8754 Netstal | Spritzgiessweltmarktführer; FU-Prüfstände intensiv</t>
        </is>
      </c>
      <c r="S192" s="11" t="inlineStr">
        <is>
          <t>Maschinenind.</t>
        </is>
      </c>
    </row>
    <row r="193">
      <c r="A193" s="11" t="n">
        <v>190</v>
      </c>
      <c r="B193" s="11" t="inlineStr">
        <is>
          <t>A</t>
        </is>
      </c>
      <c r="C193" s="11" t="inlineStr">
        <is>
          <t>Rechenzentrum/IT</t>
        </is>
      </c>
      <c r="D193" s="11" t="inlineStr">
        <is>
          <t>Glarner Kantonalbank (GLKB)</t>
        </is>
      </c>
      <c r="E193" s="11" t="inlineStr">
        <is>
          <t>Glarus</t>
        </is>
      </c>
      <c r="F193" s="11" t="inlineStr">
        <is>
          <t>8750</t>
        </is>
      </c>
      <c r="G193" s="11" t="inlineStr">
        <is>
          <t>GL</t>
        </is>
      </c>
      <c r="H193" s="11" t="inlineStr">
        <is>
          <t>Leiter IT-Infrastruktur</t>
        </is>
      </c>
      <c r="I193" s="11" t="inlineStr">
        <is>
          <t>MSc Inf.</t>
        </is>
      </c>
      <c r="J193" s="11" t="inlineStr">
        <is>
          <t>info@glkb.ch</t>
        </is>
      </c>
      <c r="K193" s="11" t="inlineStr">
        <is>
          <t>+41 55 646 71 11</t>
        </is>
      </c>
      <c r="L193" s="11" t="n"/>
      <c r="M193" s="11" t="inlineStr">
        <is>
          <t>offen</t>
        </is>
      </c>
      <c r="N193" s="11" t="inlineStr">
        <is>
          <t>IT-Infrastruktur GLKB; Hauptstrasse 21 Glarus; FINMA</t>
        </is>
      </c>
      <c r="O193" s="11" t="inlineStr">
        <is>
          <t>USV RZ 1× 200 kVA; NEA; PQ FINMA; Hauptsitz Glarus</t>
        </is>
      </c>
      <c r="P193" s="11" t="inlineStr">
        <is>
          <t>USV</t>
        </is>
      </c>
      <c r="Q193" s="11" t="n"/>
      <c r="R193" s="11" t="inlineStr">
        <is>
          <t>Adr: Hauptstrasse 21, 8750 Glarus | Kantonalbank GL; FINMA</t>
        </is>
      </c>
      <c r="S193" s="11" t="inlineStr">
        <is>
          <t>Kantonalbank</t>
        </is>
      </c>
    </row>
    <row r="194">
      <c r="A194" s="11" t="n">
        <v>191</v>
      </c>
      <c r="B194" s="11" t="inlineStr">
        <is>
          <t>A</t>
        </is>
      </c>
      <c r="C194" s="11" t="inlineStr">
        <is>
          <t>Pharma/Chemie</t>
        </is>
      </c>
      <c r="D194" s="11" t="inlineStr">
        <is>
          <t>Amann Meiningen (Werk Glarus)</t>
        </is>
      </c>
      <c r="E194" s="11" t="inlineStr">
        <is>
          <t>Ennenda</t>
        </is>
      </c>
      <c r="F194" s="11" t="inlineStr">
        <is>
          <t>8757</t>
        </is>
      </c>
      <c r="G194" s="11" t="inlineStr">
        <is>
          <t>GL</t>
        </is>
      </c>
      <c r="H194" s="11" t="inlineStr">
        <is>
          <t>Betriebsleiter Elektro</t>
        </is>
      </c>
      <c r="I194" s="11" t="inlineStr">
        <is>
          <t>Dipl. El.-Ing.</t>
        </is>
      </c>
      <c r="J194" s="11" t="inlineStr">
        <is>
          <t>info@amann.com</t>
        </is>
      </c>
      <c r="K194" s="11" t="inlineStr">
        <is>
          <t>+41 55 640 11 11</t>
        </is>
      </c>
      <c r="L194" s="11" t="n"/>
      <c r="M194" s="11" t="inlineStr">
        <is>
          <t>offen</t>
        </is>
      </c>
      <c r="N194" s="11" t="inlineStr">
        <is>
          <t>Betriebsleiter Amann Ennenda; FU-PQ-Pitch GL</t>
        </is>
      </c>
      <c r="O194" s="11" t="inlineStr">
        <is>
          <t>Garnereiproduktion: NEA 500 kVA; FU-Spinnmaschinen intensiv; PQ; EMV</t>
        </is>
      </c>
      <c r="P194" s="11" t="n"/>
      <c r="Q194" s="11" t="n"/>
      <c r="R194" s="11" t="inlineStr">
        <is>
          <t>Adr: Ennenda, 8757 GL | Garnereiproduktion; FU-Spinnmaschinen intensiv</t>
        </is>
      </c>
      <c r="S194" s="11" t="inlineStr">
        <is>
          <t>Textil/Garn</t>
        </is>
      </c>
    </row>
    <row r="195">
      <c r="A195" s="11" t="n">
        <v>192</v>
      </c>
      <c r="B195" s="11" t="inlineStr">
        <is>
          <t>A</t>
        </is>
      </c>
      <c r="C195" s="11" t="inlineStr">
        <is>
          <t>Bergbahn/Tourismus</t>
        </is>
      </c>
      <c r="D195" s="11" t="inlineStr">
        <is>
          <t>Braunwaldbahn AG (autofreies Dorf)</t>
        </is>
      </c>
      <c r="E195" s="11" t="inlineStr">
        <is>
          <t>Linthal</t>
        </is>
      </c>
      <c r="F195" s="11" t="inlineStr">
        <is>
          <t>8783</t>
        </is>
      </c>
      <c r="G195" s="11" t="inlineStr">
        <is>
          <t>GL</t>
        </is>
      </c>
      <c r="H195" s="11" t="inlineStr">
        <is>
          <t>Betriebsleiter</t>
        </is>
      </c>
      <c r="I195" s="11" t="inlineStr">
        <is>
          <t>Techniker</t>
        </is>
      </c>
      <c r="J195" s="11" t="inlineStr">
        <is>
          <t>info@braunwaldbahn.ch</t>
        </is>
      </c>
      <c r="K195" s="11" t="inlineStr">
        <is>
          <t>+41 55 643 51 51</t>
        </is>
      </c>
      <c r="L195" s="11" t="n"/>
      <c r="M195" s="11" t="inlineStr">
        <is>
          <t>offen</t>
        </is>
      </c>
      <c r="N195" s="11" t="inlineStr">
        <is>
          <t>Betriebsleiter Braunwaldbahn; Herbstkontakt Revision</t>
        </is>
      </c>
      <c r="O195" s="11" t="inlineStr">
        <is>
          <t>Standseilbahn Braunwald: NEA + Generator 200 kVA; FU; autofreies Dorf alpine Isolation</t>
        </is>
      </c>
      <c r="P195" s="11" t="inlineStr">
        <is>
          <t>Generator</t>
        </is>
      </c>
      <c r="Q195" s="11" t="n"/>
      <c r="R195" s="11" t="inlineStr">
        <is>
          <t>Adr: Talstation Linthal, 8783 Linthal | Autofreies Braunwald; alpine Isolation</t>
        </is>
      </c>
      <c r="S195" s="11" t="inlineStr">
        <is>
          <t>Bergbahn Braunwald</t>
        </is>
      </c>
    </row>
    <row r="196">
      <c r="A196" s="11" t="n">
        <v>193</v>
      </c>
      <c r="B196" s="11" t="inlineStr">
        <is>
          <t>A</t>
        </is>
      </c>
      <c r="C196" s="11" t="inlineStr">
        <is>
          <t>Gemeinde/Öffentlich</t>
        </is>
      </c>
      <c r="D196" s="11" t="inlineStr">
        <is>
          <t>Kanton Glarus (Hochbauamt)</t>
        </is>
      </c>
      <c r="E196" s="11" t="inlineStr">
        <is>
          <t>Glarus</t>
        </is>
      </c>
      <c r="F196" s="11" t="inlineStr">
        <is>
          <t>8750</t>
        </is>
      </c>
      <c r="G196" s="11" t="inlineStr">
        <is>
          <t>GL</t>
        </is>
      </c>
      <c r="H196" s="11" t="inlineStr">
        <is>
          <t>Leiter Hochbauamt</t>
        </is>
      </c>
      <c r="I196" s="11" t="inlineStr">
        <is>
          <t>Kantonsbauingenieur</t>
        </is>
      </c>
      <c r="J196" s="11" t="inlineStr">
        <is>
          <t>info@gl.ch</t>
        </is>
      </c>
      <c r="K196" s="11" t="inlineStr">
        <is>
          <t>+41 55 646 61 11</t>
        </is>
      </c>
      <c r="L196" s="11" t="n"/>
      <c r="M196" s="11" t="inlineStr">
        <is>
          <t>offen</t>
        </is>
      </c>
      <c r="N196" s="11" t="inlineStr">
        <is>
          <t>Hochbauamt GL; Rathaus Glarus; simap.ch Alert GL</t>
        </is>
      </c>
      <c r="O196" s="11" t="inlineStr">
        <is>
          <t>NEA kantonale Gebäude GL; 60+ Liegenschaften; Rahmenvertrag GL</t>
        </is>
      </c>
      <c r="P196" s="11" t="n"/>
      <c r="Q196" s="11" t="n"/>
      <c r="R196" s="11" t="inlineStr">
        <is>
          <t>Adr: Rathaus, 8750 Glarus | Kanton GL; 60+ Liegenschaften</t>
        </is>
      </c>
      <c r="S196" s="11" t="inlineStr">
        <is>
          <t>Kanton Glarus</t>
        </is>
      </c>
    </row>
    <row r="197">
      <c r="A197" s="11" t="n">
        <v>194</v>
      </c>
      <c r="B197" s="11" t="inlineStr">
        <is>
          <t>A</t>
        </is>
      </c>
      <c r="C197" s="11" t="inlineStr">
        <is>
          <t>Bau/Infrastruktur</t>
        </is>
      </c>
      <c r="D197" s="11" t="inlineStr">
        <is>
          <t>ARA Glarus (Linth-Schutz)</t>
        </is>
      </c>
      <c r="E197" s="11" t="inlineStr">
        <is>
          <t>Glarus</t>
        </is>
      </c>
      <c r="F197" s="11" t="inlineStr">
        <is>
          <t>8750</t>
        </is>
      </c>
      <c r="G197" s="11" t="inlineStr">
        <is>
          <t>GL</t>
        </is>
      </c>
      <c r="H197" s="11" t="inlineStr">
        <is>
          <t>Betriebsleiter ARA</t>
        </is>
      </c>
      <c r="I197" s="11" t="inlineStr">
        <is>
          <t>Techniker</t>
        </is>
      </c>
      <c r="J197" s="11" t="inlineStr">
        <is>
          <t>info@ara-gl.ch</t>
        </is>
      </c>
      <c r="K197" s="11" t="inlineStr">
        <is>
          <t>+41 55 640 30 22</t>
        </is>
      </c>
      <c r="L197" s="11" t="n"/>
      <c r="M197" s="11" t="inlineStr">
        <is>
          <t>offen</t>
        </is>
      </c>
      <c r="N197" s="11" t="inlineStr">
        <is>
          <t>Betriebsleiter ARA GL; simap.ch Alert GL</t>
        </is>
      </c>
      <c r="O197" s="11" t="inlineStr">
        <is>
          <t>NEA-Pflicht 1× 250 kVA; Linth-Gewässerschutz; 24h</t>
        </is>
      </c>
      <c r="P197" s="11" t="inlineStr">
        <is>
          <t>Generator</t>
        </is>
      </c>
      <c r="Q197" s="11" t="n"/>
      <c r="R197" s="11" t="inlineStr">
        <is>
          <t>Adr: Glarus, 8750 GL | Linth-Schutz; Ausschreibungspflicht</t>
        </is>
      </c>
      <c r="S197" s="11" t="inlineStr">
        <is>
          <t>ARA Linth</t>
        </is>
      </c>
    </row>
    <row r="198">
      <c r="A198" s="11" t="n">
        <v>195</v>
      </c>
      <c r="B198" s="11" t="inlineStr">
        <is>
          <t>B</t>
        </is>
      </c>
      <c r="C198" s="11" t="inlineStr">
        <is>
          <t>Pharma/Chemie</t>
        </is>
      </c>
      <c r="D198" s="11" t="inlineStr">
        <is>
          <t>Glarner Kässerie AG</t>
        </is>
      </c>
      <c r="E198" s="11" t="inlineStr">
        <is>
          <t>Glarus</t>
        </is>
      </c>
      <c r="F198" s="11" t="inlineStr">
        <is>
          <t>8750</t>
        </is>
      </c>
      <c r="G198" s="11" t="inlineStr">
        <is>
          <t>GL</t>
        </is>
      </c>
      <c r="H198" s="11" t="inlineStr">
        <is>
          <t>Betriebsleiter</t>
        </is>
      </c>
      <c r="I198" s="11" t="inlineStr">
        <is>
          <t>Techniker</t>
        </is>
      </c>
      <c r="J198" s="11" t="inlineStr">
        <is>
          <t>info@glarnerkaese.ch</t>
        </is>
      </c>
      <c r="K198" s="11" t="inlineStr">
        <is>
          <t>+41 55 640 16 16</t>
        </is>
      </c>
      <c r="L198" s="11" t="n"/>
      <c r="M198" s="11" t="inlineStr">
        <is>
          <t>offen</t>
        </is>
      </c>
      <c r="N198" s="11" t="inlineStr">
        <is>
          <t>MiT-CRM: Glarner Kässerie als Kältekunde prüfen</t>
        </is>
      </c>
      <c r="O198" s="11" t="inlineStr">
        <is>
          <t>Schabziger-Käse Produktion: NEA Kühlkette 200 kVA; PQ; Cross-Sell Kälte</t>
        </is>
      </c>
      <c r="P198" s="11" t="inlineStr">
        <is>
          <t>Kälte</t>
        </is>
      </c>
      <c r="Q198" s="11" t="n"/>
      <c r="R198" s="11" t="inlineStr">
        <is>
          <t>Adr: Glarus, 8750 GL | Schabziger-Käse Weltmarke; Kühlkette</t>
        </is>
      </c>
      <c r="S198" s="11" t="inlineStr">
        <is>
          <t>Nahrungsmittel/Käse</t>
        </is>
      </c>
    </row>
    <row r="199">
      <c r="A199" s="11" t="n">
        <v>196</v>
      </c>
      <c r="B199" s="11" t="inlineStr">
        <is>
          <t>B</t>
        </is>
      </c>
      <c r="C199" s="11" t="inlineStr">
        <is>
          <t>Pharma/Chemie</t>
        </is>
      </c>
      <c r="D199" s="11" t="inlineStr">
        <is>
          <t>Cilander AG (Oberveredlung)</t>
        </is>
      </c>
      <c r="E199" s="11" t="inlineStr">
        <is>
          <t>Herisau</t>
        </is>
      </c>
      <c r="F199" s="11" t="inlineStr">
        <is>
          <t>9100</t>
        </is>
      </c>
      <c r="G199" s="11" t="inlineStr">
        <is>
          <t>GL</t>
        </is>
      </c>
      <c r="H199" s="11" t="inlineStr">
        <is>
          <t>Betriebsleiter Elektro</t>
        </is>
      </c>
      <c r="I199" s="11" t="inlineStr">
        <is>
          <t>Dipl. El.-Ing.</t>
        </is>
      </c>
      <c r="J199" s="11" t="inlineStr">
        <is>
          <t>info@cilander.com</t>
        </is>
      </c>
      <c r="K199" s="11" t="inlineStr">
        <is>
          <t>+41 71 353 61 11</t>
        </is>
      </c>
      <c r="L199" s="11" t="n"/>
      <c r="M199" s="11" t="inlineStr">
        <is>
          <t>offen</t>
        </is>
      </c>
      <c r="N199" s="11" t="inlineStr">
        <is>
          <t>Betriebsleiter Cilander; Textilregion GL/AR; FU-PQ-Pitch</t>
        </is>
      </c>
      <c r="O199" s="11" t="inlineStr">
        <is>
          <t>Textilveredlung: NEA 300 kVA; FU-Antriebe; PQ; Färberei</t>
        </is>
      </c>
      <c r="P199" s="11" t="n"/>
      <c r="Q199" s="11" t="n"/>
      <c r="R199" s="11" t="inlineStr">
        <is>
          <t>Adr: Kasernenstrasse 27, 9100 Herisau (GL-Region) | Textilveredlung; FU-intensiv</t>
        </is>
      </c>
      <c r="S199" s="11" t="inlineStr">
        <is>
          <t>Textil</t>
        </is>
      </c>
    </row>
    <row r="200">
      <c r="A200" s="11" t="n">
        <v>197</v>
      </c>
      <c r="B200" s="11" t="inlineStr">
        <is>
          <t>C</t>
        </is>
      </c>
      <c r="C200" s="11" t="inlineStr">
        <is>
          <t>Bergbahn/Tourismus</t>
        </is>
      </c>
      <c r="D200" s="11" t="inlineStr">
        <is>
          <t>Sportbahnen Elm AG</t>
        </is>
      </c>
      <c r="E200" s="11" t="inlineStr">
        <is>
          <t>Elm</t>
        </is>
      </c>
      <c r="F200" s="11" t="inlineStr">
        <is>
          <t>8767</t>
        </is>
      </c>
      <c r="G200" s="11" t="inlineStr">
        <is>
          <t>GL</t>
        </is>
      </c>
      <c r="H200" s="11" t="inlineStr">
        <is>
          <t>Betriebsleiter</t>
        </is>
      </c>
      <c r="I200" s="11" t="inlineStr">
        <is>
          <t>Techniker</t>
        </is>
      </c>
      <c r="J200" s="11" t="inlineStr">
        <is>
          <t>info@sportbahnen-elm.ch</t>
        </is>
      </c>
      <c r="K200" s="11" t="inlineStr">
        <is>
          <t>+41 55 642 11 51</t>
        </is>
      </c>
      <c r="L200" s="11" t="n"/>
      <c r="M200" s="11" t="inlineStr">
        <is>
          <t>offen</t>
        </is>
      </c>
      <c r="N200" s="11" t="inlineStr">
        <is>
          <t>Betriebsleiter Sportbahnen Elm; Herbstkontakt</t>
        </is>
      </c>
      <c r="O200" s="11" t="inlineStr">
        <is>
          <t>Sportbahnen Elm: NEA + Generator 150 kVA; FU; alpine Sernftal-Lage</t>
        </is>
      </c>
      <c r="P200" s="11" t="inlineStr">
        <is>
          <t>Generator</t>
        </is>
      </c>
      <c r="Q200" s="11" t="n"/>
      <c r="R200" s="11" t="inlineStr">
        <is>
          <t>Adr: Bergbahn Elm, 8767 Elm | Sernftal; alpine Isolation</t>
        </is>
      </c>
      <c r="S200" s="11" t="inlineStr">
        <is>
          <t>Bergbahn Elm</t>
        </is>
      </c>
    </row>
    <row r="201">
      <c r="A201" s="11" t="n">
        <v>198</v>
      </c>
      <c r="B201" s="11" t="inlineStr">
        <is>
          <t>C</t>
        </is>
      </c>
      <c r="C201" s="11" t="inlineStr">
        <is>
          <t>Gemeinde/Öffentlich</t>
        </is>
      </c>
      <c r="D201" s="11" t="inlineStr">
        <is>
          <t>[MiT GL-Kältekunde Nr. 1]</t>
        </is>
      </c>
      <c r="E201" s="11" t="inlineStr">
        <is>
          <t>Glarus</t>
        </is>
      </c>
      <c r="F201" s="11" t="inlineStr">
        <is>
          <t>8750</t>
        </is>
      </c>
      <c r="G201" s="11" t="inlineStr">
        <is>
          <t>GL</t>
        </is>
      </c>
      <c r="H201" s="11" t="inlineStr">
        <is>
          <t>Energieverantwortlicher</t>
        </is>
      </c>
      <c r="I201" s="11" t="inlineStr">
        <is>
          <t>Betriebsleiter</t>
        </is>
      </c>
      <c r="J201" s="11" t="n"/>
      <c r="K201" s="11" t="inlineStr">
        <is>
          <t>(MiT-CRM)</t>
        </is>
      </c>
      <c r="L201" s="11" t="n"/>
      <c r="M201" s="11" t="inlineStr">
        <is>
          <t>offen</t>
        </is>
      </c>
      <c r="N201" s="11" t="inlineStr">
        <is>
          <t>MiT-CRM Roberto/Stefan: GL-Kunden ohne Strom prüfen</t>
        </is>
      </c>
      <c r="O201" s="11" t="inlineStr">
        <is>
          <t>Strom-Add-on MiT-Wärme/Kälte GL</t>
        </is>
      </c>
      <c r="P201" s="11" t="n"/>
      <c r="Q201" s="11" t="n"/>
      <c r="R201" s="11" t="inlineStr">
        <is>
          <t>EWG GL = Türöffner; Netstal = Top-Account GL</t>
        </is>
      </c>
      <c r="S201" s="11" t="inlineStr">
        <is>
          <t>Cross-Sell MiT</t>
        </is>
      </c>
    </row>
    <row r="202">
      <c r="A202" s="11" t="n">
        <v>199</v>
      </c>
      <c r="B202" s="11" t="inlineStr">
        <is>
          <t>A</t>
        </is>
      </c>
      <c r="C202" s="11" t="inlineStr">
        <is>
          <t>Spital/Klinik</t>
        </is>
      </c>
      <c r="D202" s="11" t="inlineStr">
        <is>
          <t>ZURZACH Care Rehaklinik Glarus (Luchsingen)</t>
        </is>
      </c>
      <c r="E202" s="11" t="inlineStr">
        <is>
          <t>Luchsingen</t>
        </is>
      </c>
      <c r="F202" s="11" t="inlineStr">
        <is>
          <t>8775</t>
        </is>
      </c>
      <c r="G202" s="11" t="inlineStr">
        <is>
          <t>GL</t>
        </is>
      </c>
      <c r="H202" s="11" t="inlineStr">
        <is>
          <t>Betriebsleiter Technik</t>
        </is>
      </c>
      <c r="I202" s="11" t="inlineStr">
        <is>
          <t>Techniker</t>
        </is>
      </c>
      <c r="J202" s="11" t="inlineStr">
        <is>
          <t>glarus@zurzachcare.ch</t>
        </is>
      </c>
      <c r="K202" s="11" t="inlineStr">
        <is>
          <t>+41 55 647 31 11</t>
        </is>
      </c>
      <c r="L202" s="11" t="n"/>
      <c r="M202" s="11" t="inlineStr">
        <is>
          <t>offen</t>
        </is>
      </c>
      <c r="N202" s="11" t="inlineStr">
        <is>
          <t>Betriebsleiter ZURZACH Glarus; ZURZACH-Braunwald-Verbindung nutzen</t>
        </is>
      </c>
      <c r="O202" s="11" t="inlineStr">
        <is>
          <t>Rehaklinik Glarus Süd: NEA 1× 200 kVA; USV; alpine Lage Linthal-Region; ZURZACH-Gruppe</t>
        </is>
      </c>
      <c r="P202" s="11" t="inlineStr">
        <is>
          <t>USV</t>
        </is>
      </c>
      <c r="Q202" s="11" t="n"/>
      <c r="R202" s="11" t="inlineStr">
        <is>
          <t>Adr: Luchsingen, 8775 GL | ZURZACH Care Rehaklinik GL-Süd; 2. Standort nach Braunwald</t>
        </is>
      </c>
      <c r="S202" s="11" t="inlineStr">
        <is>
          <t>Rehaklinik Glarus</t>
        </is>
      </c>
    </row>
    <row r="203">
      <c r="A203" s="11" t="n">
        <v>200</v>
      </c>
      <c r="B203" s="11" t="inlineStr">
        <is>
          <t>A</t>
        </is>
      </c>
      <c r="C203" s="11" t="inlineStr">
        <is>
          <t>Spital/Klinik</t>
        </is>
      </c>
      <c r="D203" s="11" t="inlineStr">
        <is>
          <t>Pflegezentrum Kerenzerberg Filzbach</t>
        </is>
      </c>
      <c r="E203" s="11" t="inlineStr">
        <is>
          <t>Filzbach</t>
        </is>
      </c>
      <c r="F203" s="11" t="inlineStr">
        <is>
          <t>8757</t>
        </is>
      </c>
      <c r="G203" s="11" t="inlineStr">
        <is>
          <t>GL</t>
        </is>
      </c>
      <c r="H203" s="11" t="inlineStr">
        <is>
          <t>Betriebsleiter Technik</t>
        </is>
      </c>
      <c r="I203" s="11" t="inlineStr">
        <is>
          <t>Techniker</t>
        </is>
      </c>
      <c r="J203" s="11" t="inlineStr">
        <is>
          <t>info@pkb.ch</t>
        </is>
      </c>
      <c r="K203" s="11" t="inlineStr">
        <is>
          <t>+41 55 614 51 11</t>
        </is>
      </c>
      <c r="L203" s="11" t="n"/>
      <c r="M203" s="11" t="inlineStr">
        <is>
          <t>offen</t>
        </is>
      </c>
      <c r="N203" s="11" t="inlineStr">
        <is>
          <t>Betriebsleiter Pflegezentrum Filzbach; alpine Isolation-Pitch</t>
        </is>
      </c>
      <c r="O203" s="11" t="inlineStr">
        <is>
          <t>Pflegezentrum alpine Lage: NEA 1× 150 kVA; USV; 24h Pflege; alpine Isolation Walensee</t>
        </is>
      </c>
      <c r="P203" s="11" t="inlineStr">
        <is>
          <t>USV</t>
        </is>
      </c>
      <c r="Q203" s="11" t="n"/>
      <c r="R203" s="11" t="inlineStr">
        <is>
          <t>Adr: Filzbach, 8757 GL | Pflegezentrum alpine Lage; Walensee-Seite; 24h Betrieb</t>
        </is>
      </c>
      <c r="S203" s="11" t="inlineStr">
        <is>
          <t>Pflegezentrum GL</t>
        </is>
      </c>
    </row>
    <row r="204">
      <c r="A204" s="11" t="n">
        <v>201</v>
      </c>
      <c r="B204" s="11" t="inlineStr">
        <is>
          <t>B</t>
        </is>
      </c>
      <c r="C204" s="11" t="inlineStr">
        <is>
          <t>Spital/Klinik</t>
        </is>
      </c>
      <c r="D204" s="11" t="inlineStr">
        <is>
          <t>Alterszentrum Glarus (AZG)</t>
        </is>
      </c>
      <c r="E204" s="11" t="inlineStr">
        <is>
          <t>Glarus</t>
        </is>
      </c>
      <c r="F204" s="11" t="inlineStr">
        <is>
          <t>8750</t>
        </is>
      </c>
      <c r="G204" s="11" t="inlineStr">
        <is>
          <t>GL</t>
        </is>
      </c>
      <c r="H204" s="11" t="inlineStr">
        <is>
          <t>Betriebsleiter Technik</t>
        </is>
      </c>
      <c r="I204" s="11" t="inlineStr">
        <is>
          <t>Techniker</t>
        </is>
      </c>
      <c r="J204" s="11" t="inlineStr">
        <is>
          <t>info@azglarus.ch</t>
        </is>
      </c>
      <c r="K204" s="11" t="inlineStr">
        <is>
          <t>+41 55 645 22 44</t>
        </is>
      </c>
      <c r="L204" s="11" t="n"/>
      <c r="M204" s="11" t="inlineStr">
        <is>
          <t>offen</t>
        </is>
      </c>
      <c r="N204" s="11" t="inlineStr">
        <is>
          <t>Betriebsleiter AZG; Kasernenstrasse Glarus; simap.ch Alert GL</t>
        </is>
      </c>
      <c r="O204" s="11" t="inlineStr">
        <is>
          <t>Alterszentrum Kanton GL: NEA 1× 150 kVA; USV; 24h Pflege; NIV Art. 13</t>
        </is>
      </c>
      <c r="P204" s="11" t="inlineStr">
        <is>
          <t>USV</t>
        </is>
      </c>
      <c r="Q204" s="11" t="n"/>
      <c r="R204" s="11" t="inlineStr">
        <is>
          <t>Adr: Kasernenstrasse 17, 8750 Glarus | Alterszentrum; 24h Pflege; NEA-Pflicht</t>
        </is>
      </c>
      <c r="S204" s="11" t="inlineStr">
        <is>
          <t>Alterszentrum GL</t>
        </is>
      </c>
    </row>
    <row r="205">
      <c r="A205" s="11" t="n">
        <v>202</v>
      </c>
      <c r="B205" s="11" t="inlineStr">
        <is>
          <t>A</t>
        </is>
      </c>
      <c r="C205" s="11" t="inlineStr">
        <is>
          <t>Elektroplaner/Engineering</t>
        </is>
      </c>
      <c r="D205" s="11" t="inlineStr">
        <is>
          <t>Marti Elektroanlagen AG (Netstal GL)</t>
        </is>
      </c>
      <c r="E205" s="11" t="inlineStr">
        <is>
          <t>Netstal</t>
        </is>
      </c>
      <c r="F205" s="11" t="inlineStr">
        <is>
          <t>8754</t>
        </is>
      </c>
      <c r="G205" s="11" t="inlineStr">
        <is>
          <t>GL</t>
        </is>
      </c>
      <c r="H205" s="11" t="inlineStr">
        <is>
          <t>Inhaber / Geschäftsführer</t>
        </is>
      </c>
      <c r="I205" s="11" t="inlineStr">
        <is>
          <t>Elektroinstallateur EFZ</t>
        </is>
      </c>
      <c r="J205" s="11" t="inlineStr">
        <is>
          <t>info@marti-elektroanlagen.ch</t>
        </is>
      </c>
      <c r="K205" s="11" t="inlineStr">
        <is>
          <t>+41 55 612 19 46</t>
        </is>
      </c>
      <c r="L205" s="11" t="n"/>
      <c r="M205" s="11" t="inlineStr">
        <is>
          <t>offen</t>
        </is>
      </c>
      <c r="N205" s="11" t="inlineStr">
        <is>
          <t>Inhaber Marti Elektroanlagen; Rietwiesstrasse 11 Netstal; Partnerschaft</t>
        </is>
      </c>
      <c r="O205" s="11" t="inlineStr">
        <is>
          <t>Elektroinstallateur GL seit 1991: Industrie+Gewerbe+Landwirtschaft; kennt alle lokalen GL-Kunden</t>
        </is>
      </c>
      <c r="P205" s="11" t="n"/>
      <c r="Q205" s="11" t="n"/>
      <c r="R205" s="11" t="inlineStr">
        <is>
          <t>Adr: Rietwiesstrasse 11, 8754 Netstal | Elektro GL seit 1991; lokaler Marktführer Netstal-Region</t>
        </is>
      </c>
      <c r="S205" s="11" t="inlineStr">
        <is>
          <t>Elektroinstallateur Netstal</t>
        </is>
      </c>
    </row>
    <row r="206">
      <c r="A206" s="11" t="n">
        <v>203</v>
      </c>
      <c r="B206" s="11" t="inlineStr">
        <is>
          <t>A</t>
        </is>
      </c>
      <c r="C206" s="11" t="inlineStr">
        <is>
          <t>Elektroplaner/Engineering</t>
        </is>
      </c>
      <c r="D206" s="11" t="inlineStr">
        <is>
          <t>tb.glarus (Technische Betriebe Glarus) — Elektroinstallationen</t>
        </is>
      </c>
      <c r="E206" s="11" t="inlineStr">
        <is>
          <t>Glarus</t>
        </is>
      </c>
      <c r="F206" s="11" t="inlineStr">
        <is>
          <t>8750</t>
        </is>
      </c>
      <c r="G206" s="11" t="inlineStr">
        <is>
          <t>GL</t>
        </is>
      </c>
      <c r="H206" s="11" t="inlineStr">
        <is>
          <t>Betriebsleiter Netz / Installationen</t>
        </is>
      </c>
      <c r="I206" s="11" t="inlineStr">
        <is>
          <t>Dipl. El.-Ing.</t>
        </is>
      </c>
      <c r="J206" s="11" t="inlineStr">
        <is>
          <t>info@tbglarus.ch</t>
        </is>
      </c>
      <c r="K206" s="11" t="inlineStr">
        <is>
          <t>+41 55 645 51 11</t>
        </is>
      </c>
      <c r="L206" s="11" t="n"/>
      <c r="M206" s="11" t="inlineStr">
        <is>
          <t>offen</t>
        </is>
      </c>
      <c r="N206" s="11" t="inlineStr">
        <is>
          <t>Betriebsleiter tb.glarus; Zwinglistrasse 4 Glarus; BESS + PQ-Pitch</t>
        </is>
      </c>
      <c r="O206" s="11" t="inlineStr">
        <is>
          <t>Stadtwerk + Elektrounternehmen: NEA 10.4 MW BESS Netstal; Strom+Wärme+Wasser; 24h-Notdienst GL</t>
        </is>
      </c>
      <c r="P206" s="11" t="inlineStr">
        <is>
          <t>BESS</t>
        </is>
      </c>
      <c r="Q206" s="11" t="n"/>
      <c r="R206" s="11" t="inlineStr">
        <is>
          <t>Adr: Zwinglistrasse 4, 8750 Glarus | 10.4 MW BESS Netstal; Strom+Wärme+Wasser; EVU + Installateur</t>
        </is>
      </c>
      <c r="S206" s="11" t="inlineStr">
        <is>
          <t>Elektro tb.glarus</t>
        </is>
      </c>
    </row>
    <row r="207">
      <c r="A207" s="11" t="n">
        <v>204</v>
      </c>
      <c r="B207" s="11" t="inlineStr">
        <is>
          <t>A</t>
        </is>
      </c>
      <c r="C207" s="11" t="inlineStr">
        <is>
          <t>Elektroplaner/Engineering</t>
        </is>
      </c>
      <c r="D207" s="11" t="inlineStr">
        <is>
          <t>tbgs Technische Betriebe Glarus Süd (Elektroinstallationen)</t>
        </is>
      </c>
      <c r="E207" s="11" t="inlineStr">
        <is>
          <t>Schwanden</t>
        </is>
      </c>
      <c r="F207" s="11" t="inlineStr">
        <is>
          <t>8762</t>
        </is>
      </c>
      <c r="G207" s="11" t="inlineStr">
        <is>
          <t>GL</t>
        </is>
      </c>
      <c r="H207" s="11" t="inlineStr">
        <is>
          <t>Betriebsleiter</t>
        </is>
      </c>
      <c r="I207" s="11" t="inlineStr">
        <is>
          <t>Dipl. El.-Ing.</t>
        </is>
      </c>
      <c r="J207" s="11" t="inlineStr">
        <is>
          <t>info@tbgs.ch</t>
        </is>
      </c>
      <c r="K207" s="11" t="inlineStr">
        <is>
          <t>+41 55 647 60 60</t>
        </is>
      </c>
      <c r="L207" s="11" t="n"/>
      <c r="M207" s="11" t="inlineStr">
        <is>
          <t>offen</t>
        </is>
      </c>
      <c r="N207" s="11" t="inlineStr">
        <is>
          <t>Betriebsleiter tbgs; Schwanden GL; GL-Süd-Partnerschaft besprechen</t>
        </is>
      </c>
      <c r="O207" s="11" t="inlineStr">
        <is>
          <t>Stadtwerk GL-Süd: Stromversorgung + Elektroinstallationen; Fernwärme; 50+ MA; Linthalregion</t>
        </is>
      </c>
      <c r="P207" s="11" t="n"/>
      <c r="Q207" s="11" t="n"/>
      <c r="R207" s="11" t="inlineStr">
        <is>
          <t>Adr: Schwanden, 8762 GL | tbgs Glarus Süd; Strom+Fernwärme+Internet; 50+ MA</t>
        </is>
      </c>
      <c r="S207" s="11" t="inlineStr">
        <is>
          <t>Elektro Glarus Süd</t>
        </is>
      </c>
    </row>
    <row r="208">
      <c r="A208" s="11" t="n">
        <v>205</v>
      </c>
      <c r="B208" s="11" t="inlineStr">
        <is>
          <t>B</t>
        </is>
      </c>
      <c r="C208" s="11" t="inlineStr">
        <is>
          <t>Elektroplaner/Engineering</t>
        </is>
      </c>
      <c r="D208" s="11" t="inlineStr">
        <is>
          <t>EW Glarus AG — Netz + Installationen (ewg)</t>
        </is>
      </c>
      <c r="E208" s="11" t="inlineStr">
        <is>
          <t>Glarus</t>
        </is>
      </c>
      <c r="F208" s="11" t="inlineStr">
        <is>
          <t>8750</t>
        </is>
      </c>
      <c r="G208" s="11" t="inlineStr">
        <is>
          <t>GL</t>
        </is>
      </c>
      <c r="H208" s="11" t="inlineStr">
        <is>
          <t>Betriebsleiter Netz</t>
        </is>
      </c>
      <c r="I208" s="11" t="inlineStr">
        <is>
          <t>Dipl. El.-Ing.</t>
        </is>
      </c>
      <c r="J208" s="11" t="inlineStr">
        <is>
          <t>info@ewglarus.ch</t>
        </is>
      </c>
      <c r="K208" s="11" t="inlineStr">
        <is>
          <t>+41 55 645 40 00</t>
        </is>
      </c>
      <c r="L208" s="11" t="n"/>
      <c r="M208" s="11" t="inlineStr">
        <is>
          <t>offen</t>
        </is>
      </c>
      <c r="N208" s="11" t="inlineStr">
        <is>
          <t>Betriebsleiter ewg; Zwinglistrasse 4 Glarus; Partnerschaft + Revisionen</t>
        </is>
      </c>
      <c r="O208" s="11" t="inlineStr">
        <is>
          <t>Kantonaler EVU GL + Elektroinstallationen: MS-Revisionen; NEA Gemeindegebäude; Wasserkraft</t>
        </is>
      </c>
      <c r="P208" s="11" t="n"/>
      <c r="Q208" s="11" t="n"/>
      <c r="R208" s="11" t="inlineStr">
        <is>
          <t>Adr: Zwinglistrasse 4, 8750 Glarus | Kantonaler EVU GL; Linth+Sernf Wasserkraft</t>
        </is>
      </c>
      <c r="S208" s="11" t="inlineStr">
        <is>
          <t>Elektrounternehmen Glarus</t>
        </is>
      </c>
    </row>
    <row r="209">
      <c r="A209" s="11" t="n">
        <v>206</v>
      </c>
      <c r="B209" s="11" t="inlineStr">
        <is>
          <t>A</t>
        </is>
      </c>
      <c r="C209" s="11" t="inlineStr">
        <is>
          <t>Lebensmittel/Food</t>
        </is>
      </c>
      <c r="D209" s="11" t="inlineStr">
        <is>
          <t>Läderach (Schweiz) AG — Manufaktur Ennenda</t>
        </is>
      </c>
      <c r="E209" s="11" t="inlineStr">
        <is>
          <t>Ennenda</t>
        </is>
      </c>
      <c r="F209" s="11" t="inlineStr">
        <is>
          <t>8755</t>
        </is>
      </c>
      <c r="G209" s="11" t="inlineStr">
        <is>
          <t>GL</t>
        </is>
      </c>
      <c r="H209" s="11" t="inlineStr">
        <is>
          <t>Betriebsleiter Technik / COO</t>
        </is>
      </c>
      <c r="I209" s="11" t="inlineStr">
        <is>
          <t>MSc El.-Ing.</t>
        </is>
      </c>
      <c r="J209" s="11" t="inlineStr">
        <is>
          <t>info@laderach.com</t>
        </is>
      </c>
      <c r="K209" s="11" t="inlineStr">
        <is>
          <t>+41 55 640 26 46</t>
        </is>
      </c>
      <c r="L209" s="11" t="n"/>
      <c r="M209" s="11" t="inlineStr">
        <is>
          <t>offen</t>
        </is>
      </c>
      <c r="N209" s="11" t="inlineStr">
        <is>
          <t>COO Läderach; Bleiche 14 Ennenda; MiT-CRM Kälte prüfen + Strom-Pitch</t>
        </is>
      </c>
      <c r="O209" s="11" t="inlineStr">
        <is>
          <t>Schokoladenfabrik: NEA Kühlkette 1 MVA; FU-Temperierer+Conchen; ISO 50001; 2'000 MA ww; 30+ Länder</t>
        </is>
      </c>
      <c r="P209" s="11" t="inlineStr">
        <is>
          <t>Kälte</t>
        </is>
      </c>
      <c r="Q209" s="11" t="n"/>
      <c r="R209" s="11" t="inlineStr">
        <is>
          <t>Adr: Bleiche 14, 8755 Ennenda | 2'000 MA; 30 Länder; 250 Boutiquen; Kühlkette = NEA kritisch</t>
        </is>
      </c>
      <c r="S209" s="11" t="inlineStr">
        <is>
          <t>Schokolade Ennenda</t>
        </is>
      </c>
    </row>
    <row r="210">
      <c r="A210" s="11" t="n">
        <v>207</v>
      </c>
      <c r="B210" s="11" t="inlineStr">
        <is>
          <t>A</t>
        </is>
      </c>
      <c r="C210" s="11" t="inlineStr">
        <is>
          <t>Lebensmittel/Food</t>
        </is>
      </c>
      <c r="D210" s="11" t="inlineStr">
        <is>
          <t>Läderach Produktionsstätte Bilten (Glarus Nord)</t>
        </is>
      </c>
      <c r="E210" s="11" t="inlineStr">
        <is>
          <t>Bilten</t>
        </is>
      </c>
      <c r="F210" s="11" t="inlineStr">
        <is>
          <t>8865</t>
        </is>
      </c>
      <c r="G210" s="11" t="inlineStr">
        <is>
          <t>GL</t>
        </is>
      </c>
      <c r="H210" s="11" t="inlineStr">
        <is>
          <t>Betriebsleiter Technik</t>
        </is>
      </c>
      <c r="I210" s="11" t="inlineStr">
        <is>
          <t>Dipl. El.-Ing.</t>
        </is>
      </c>
      <c r="J210" s="11" t="inlineStr">
        <is>
          <t>info@laderach.com</t>
        </is>
      </c>
      <c r="K210" s="11" t="inlineStr">
        <is>
          <t>+41 55 640 26 46</t>
        </is>
      </c>
      <c r="L210" s="11" t="n"/>
      <c r="M210" s="11" t="inlineStr">
        <is>
          <t>offen</t>
        </is>
      </c>
      <c r="N210" s="11" t="inlineStr">
        <is>
          <t>Betriebsleiter Produktion Bilten; MiT-CRM Kälte prüfen; Läderach-Verbindung nutzen</t>
        </is>
      </c>
      <c r="O210" s="11" t="inlineStr">
        <is>
          <t>2. Läderach Fabrik Bilten: NEA Kühlkette 500 kVA; 1'100 t Schokoladenmasse/Jahr; Minergie</t>
        </is>
      </c>
      <c r="P210" s="11" t="inlineStr">
        <is>
          <t>Kälte</t>
        </is>
      </c>
      <c r="Q210" s="11" t="n"/>
      <c r="R210" s="11" t="inlineStr">
        <is>
          <t>Adr: Bilten, 8865 GL | Läderach 2. Fabrik; 1'100 t/Jahr; Minergie; Kühlkette</t>
        </is>
      </c>
      <c r="S210" s="11" t="inlineStr">
        <is>
          <t>Schokolade Bilten</t>
        </is>
      </c>
    </row>
    <row r="211">
      <c r="A211" s="11" t="n">
        <v>208</v>
      </c>
      <c r="B211" s="11" t="inlineStr">
        <is>
          <t>A</t>
        </is>
      </c>
      <c r="C211" s="11" t="inlineStr">
        <is>
          <t>Industrie/Maschinenbau</t>
        </is>
      </c>
      <c r="D211" s="11" t="inlineStr">
        <is>
          <t>Netstal Maschinen AG (Krones-Gruppe seit 2024)</t>
        </is>
      </c>
      <c r="E211" s="11" t="inlineStr">
        <is>
          <t>Näfels</t>
        </is>
      </c>
      <c r="F211" s="11" t="inlineStr">
        <is>
          <t>8752</t>
        </is>
      </c>
      <c r="G211" s="11" t="inlineStr">
        <is>
          <t>GL</t>
        </is>
      </c>
      <c r="H211" s="11" t="inlineStr">
        <is>
          <t>Betriebsleiter Elektro / Energiemanager</t>
        </is>
      </c>
      <c r="I211" s="11" t="inlineStr">
        <is>
          <t>MSc El.-Ing.</t>
        </is>
      </c>
      <c r="J211" s="11" t="inlineStr">
        <is>
          <t>info@netstal.com</t>
        </is>
      </c>
      <c r="K211" s="11" t="inlineStr">
        <is>
          <t>+41 55 618 61 11</t>
        </is>
      </c>
      <c r="L211" s="11" t="n"/>
      <c r="M211" s="11" t="inlineStr">
        <is>
          <t>offen</t>
        </is>
      </c>
      <c r="N211" s="11" t="inlineStr">
        <is>
          <t>Energiemanager Netstal; Am Rotenboden 11 Näfels; FU-PQ-Pitch Krones</t>
        </is>
      </c>
      <c r="O211" s="11" t="inlineStr">
        <is>
          <t>Spritzgiessmaschinen Prüfstände: NEA 1 MVA; FU-Antriebe intensiv; PQ; EMV; 800 MA; Krones-Tochter</t>
        </is>
      </c>
      <c r="P211" s="11" t="n"/>
      <c r="Q211" s="11" t="n"/>
      <c r="R211" s="11" t="inlineStr">
        <is>
          <t>Adr: Am Rotenboden 11, 8752 Näfels | Krones-Tochter seit März 2024; CHF 170 Mio. Kaufpreis; 800 MA</t>
        </is>
      </c>
      <c r="S211" s="11" t="inlineStr">
        <is>
          <t>Spritzgiessmaschinen</t>
        </is>
      </c>
    </row>
    <row r="212">
      <c r="A212" s="11" t="n">
        <v>209</v>
      </c>
      <c r="B212" s="11" t="inlineStr">
        <is>
          <t>A</t>
        </is>
      </c>
      <c r="C212" s="11" t="inlineStr">
        <is>
          <t>Industrie/Maschinenbau</t>
        </is>
      </c>
      <c r="D212" s="11" t="inlineStr">
        <is>
          <t>Kalkfabrik Netstal AG (KFN)</t>
        </is>
      </c>
      <c r="E212" s="11" t="inlineStr">
        <is>
          <t>Netstal</t>
        </is>
      </c>
      <c r="F212" s="11" t="inlineStr">
        <is>
          <t>8754</t>
        </is>
      </c>
      <c r="G212" s="11" t="inlineStr">
        <is>
          <t>GL</t>
        </is>
      </c>
      <c r="H212" s="11" t="inlineStr">
        <is>
          <t>Betriebsleiter Elektro</t>
        </is>
      </c>
      <c r="I212" s="11" t="inlineStr">
        <is>
          <t>Dipl. El.-Ing.</t>
        </is>
      </c>
      <c r="J212" s="11" t="inlineStr">
        <is>
          <t>info@kalkfabrik-netstal.ch</t>
        </is>
      </c>
      <c r="K212" s="11" t="inlineStr">
        <is>
          <t>+41 55 618 30 30</t>
        </is>
      </c>
      <c r="L212" s="11" t="n"/>
      <c r="M212" s="11" t="inlineStr">
        <is>
          <t>offen</t>
        </is>
      </c>
      <c r="N212" s="11" t="inlineStr">
        <is>
          <t>Betriebsleiter KFN; Am Elggis Netstal; FU-Brennofen-PQ-Pitch</t>
        </is>
      </c>
      <c r="O212" s="11" t="inlineStr">
        <is>
          <t>Einziger Weisskalk-Hersteller CH: 90'000 t/Jahr; FU-Brennöfen intensiv 2 MVA; PQ; EMV; CO2-Abscheidung</t>
        </is>
      </c>
      <c r="P212" s="11" t="n"/>
      <c r="Q212" s="11" t="n"/>
      <c r="R212" s="11" t="inlineStr">
        <is>
          <t>Adr: Am Elggis, 8754 Netstal | Einziger Weisskalk CH; 90'000 t/Jahr; FU-Brennöfen intensiv</t>
        </is>
      </c>
      <c r="S212" s="11" t="inlineStr">
        <is>
          <t>Kalkfabrik Weisskalk</t>
        </is>
      </c>
    </row>
    <row r="213">
      <c r="A213" s="11" t="n">
        <v>210</v>
      </c>
      <c r="B213" s="11" t="inlineStr">
        <is>
          <t>A</t>
        </is>
      </c>
      <c r="C213" s="11" t="inlineStr">
        <is>
          <t>Industrie/Maschinenbau</t>
        </is>
      </c>
      <c r="D213" s="11" t="inlineStr">
        <is>
          <t>Kunststoff Schwanden AG</t>
        </is>
      </c>
      <c r="E213" s="11" t="inlineStr">
        <is>
          <t>Schwanden</t>
        </is>
      </c>
      <c r="F213" s="11" t="inlineStr">
        <is>
          <t>8762</t>
        </is>
      </c>
      <c r="G213" s="11" t="inlineStr">
        <is>
          <t>GL</t>
        </is>
      </c>
      <c r="H213" s="11" t="inlineStr">
        <is>
          <t>Betriebsleiter Technik</t>
        </is>
      </c>
      <c r="I213" s="11" t="inlineStr">
        <is>
          <t>Dipl. El.-Ing.</t>
        </is>
      </c>
      <c r="J213" s="11" t="inlineStr">
        <is>
          <t>info@kunststoffschwanden.ch</t>
        </is>
      </c>
      <c r="K213" s="11" t="inlineStr">
        <is>
          <t>+41 55 647 61 11</t>
        </is>
      </c>
      <c r="L213" s="11" t="n"/>
      <c r="M213" s="11" t="inlineStr">
        <is>
          <t>offen</t>
        </is>
      </c>
      <c r="N213" s="11" t="inlineStr">
        <is>
          <t>Betriebsleiter Kunststoff Schwanden; Schwanden GL; FU-PQ-Pitch</t>
        </is>
      </c>
      <c r="O213" s="11" t="inlineStr">
        <is>
          <t>Kunststoffverarbeitung: NEA 500 kVA; FU-Spritzguss intensiv; PQ; EMV; ISO 50001</t>
        </is>
      </c>
      <c r="P213" s="11" t="n"/>
      <c r="Q213" s="11" t="n"/>
      <c r="R213" s="11" t="inlineStr">
        <is>
          <t>Adr: Schwanden, 8762 GL | Kunststoffverarbeitung; FU-Spritzguss intensiv; ISO 50001</t>
        </is>
      </c>
      <c r="S213" s="11" t="inlineStr">
        <is>
          <t>Kunststoff Schwanden</t>
        </is>
      </c>
    </row>
    <row r="214">
      <c r="A214" s="11" t="n">
        <v>211</v>
      </c>
      <c r="B214" s="11" t="inlineStr">
        <is>
          <t>A</t>
        </is>
      </c>
      <c r="C214" s="11" t="inlineStr">
        <is>
          <t>Lebensmittel/Food</t>
        </is>
      </c>
      <c r="D214" s="11" t="inlineStr">
        <is>
          <t>Carlsberg Supply Company AG (Brauerei Schwanden)</t>
        </is>
      </c>
      <c r="E214" s="11" t="inlineStr">
        <is>
          <t>Schwanden</t>
        </is>
      </c>
      <c r="F214" s="11" t="inlineStr">
        <is>
          <t>8762</t>
        </is>
      </c>
      <c r="G214" s="11" t="inlineStr">
        <is>
          <t>GL</t>
        </is>
      </c>
      <c r="H214" s="11" t="inlineStr">
        <is>
          <t>Betriebsleiter Technik</t>
        </is>
      </c>
      <c r="I214" s="11" t="inlineStr">
        <is>
          <t>Dipl. El.-Ing.</t>
        </is>
      </c>
      <c r="J214" s="11" t="inlineStr">
        <is>
          <t>info@carlsberg.ch</t>
        </is>
      </c>
      <c r="K214" s="11" t="inlineStr">
        <is>
          <t>+41 55 647 22 22</t>
        </is>
      </c>
      <c r="L214" s="11" t="n"/>
      <c r="M214" s="11" t="inlineStr">
        <is>
          <t>offen</t>
        </is>
      </c>
      <c r="N214" s="11" t="inlineStr">
        <is>
          <t>MiT-CRM: Carlsberg Schwanden als Kältekunde prüfen; Fortune-500-Budget</t>
        </is>
      </c>
      <c r="O214" s="11" t="inlineStr">
        <is>
          <t>Brauerei + Getränkeproduktion: NEA Kühlkette 1.5 MVA; FU-Abfüller; ISO 50001; Carlsberg-Gruppe</t>
        </is>
      </c>
      <c r="P214" s="11" t="inlineStr">
        <is>
          <t>Kälte</t>
        </is>
      </c>
      <c r="Q214" s="11" t="n"/>
      <c r="R214" s="11" t="inlineStr">
        <is>
          <t>Adr: Schwanden, 8762 GL | Carlsberg Supply; Brauerei+Getränke; Kühlkette; Fortune-500</t>
        </is>
      </c>
      <c r="S214" s="11" t="inlineStr">
        <is>
          <t>Brauerei Schwanden</t>
        </is>
      </c>
    </row>
    <row r="215">
      <c r="A215" s="11" t="n">
        <v>212</v>
      </c>
      <c r="B215" s="11" t="inlineStr">
        <is>
          <t>A</t>
        </is>
      </c>
      <c r="C215" s="11" t="inlineStr">
        <is>
          <t>Industrie/Maschinenbau</t>
        </is>
      </c>
      <c r="D215" s="11" t="inlineStr">
        <is>
          <t>Swisspearl AG (Faserzement Niederurnen)</t>
        </is>
      </c>
      <c r="E215" s="11" t="inlineStr">
        <is>
          <t>Niederurnen</t>
        </is>
      </c>
      <c r="F215" s="11" t="inlineStr">
        <is>
          <t>8867</t>
        </is>
      </c>
      <c r="G215" s="11" t="inlineStr">
        <is>
          <t>GL</t>
        </is>
      </c>
      <c r="H215" s="11" t="inlineStr">
        <is>
          <t>Betriebsleiter Elektro</t>
        </is>
      </c>
      <c r="I215" s="11" t="inlineStr">
        <is>
          <t>Dipl. El.-Ing.</t>
        </is>
      </c>
      <c r="J215" s="11" t="inlineStr">
        <is>
          <t>info@swisspearl.com</t>
        </is>
      </c>
      <c r="K215" s="11" t="inlineStr">
        <is>
          <t>+41 55 617 11 11</t>
        </is>
      </c>
      <c r="L215" s="11" t="n"/>
      <c r="M215" s="11" t="inlineStr">
        <is>
          <t>offen</t>
        </is>
      </c>
      <c r="N215" s="11" t="inlineStr">
        <is>
          <t>Betriebsleiter Swisspearl; Niederurnen GL; FU-PQ-Pitch</t>
        </is>
      </c>
      <c r="O215" s="11" t="inlineStr">
        <is>
          <t>Faserzement-Produktion: NEA 1 MVA; FU-Pressen intensiv; PQ; EMV; ISO 50001; Eternit-Nachfolger</t>
        </is>
      </c>
      <c r="P215" s="11" t="n"/>
      <c r="Q215" s="11" t="n"/>
      <c r="R215" s="11" t="inlineStr">
        <is>
          <t>Adr: Niederurnen, 8867 GL | Swisspearl Faserzement; FU-Pressen intensiv; Eternit-Nachfolger</t>
        </is>
      </c>
      <c r="S215" s="11" t="inlineStr">
        <is>
          <t>Faserzement / Baustoffe</t>
        </is>
      </c>
    </row>
    <row r="216">
      <c r="A216" s="11" t="n">
        <v>213</v>
      </c>
      <c r="B216" s="11" t="inlineStr">
        <is>
          <t>A</t>
        </is>
      </c>
      <c r="C216" s="11" t="inlineStr">
        <is>
          <t>Industrie/Maschinenbau</t>
        </is>
      </c>
      <c r="D216" s="11" t="inlineStr">
        <is>
          <t>Resilux Schweiz AG (PET-Recycling Niederurnen)</t>
        </is>
      </c>
      <c r="E216" s="11" t="inlineStr">
        <is>
          <t>Niederurnen</t>
        </is>
      </c>
      <c r="F216" s="11" t="inlineStr">
        <is>
          <t>8867</t>
        </is>
      </c>
      <c r="G216" s="11" t="inlineStr">
        <is>
          <t>GL</t>
        </is>
      </c>
      <c r="H216" s="11" t="inlineStr">
        <is>
          <t>Betriebsleiter Technik</t>
        </is>
      </c>
      <c r="I216" s="11" t="inlineStr">
        <is>
          <t>MSc El.-Ing.</t>
        </is>
      </c>
      <c r="J216" s="11" t="inlineStr">
        <is>
          <t>info@resilux.com</t>
        </is>
      </c>
      <c r="K216" s="11" t="inlineStr">
        <is>
          <t>+41 55 617 40 00</t>
        </is>
      </c>
      <c r="L216" s="11" t="n"/>
      <c r="M216" s="11" t="inlineStr">
        <is>
          <t>offen</t>
        </is>
      </c>
      <c r="N216" s="11" t="inlineStr">
        <is>
          <t>Betriebsleiter Resilux; Niederurnen GL; FU-PQ-Pitch Europa-Referenz</t>
        </is>
      </c>
      <c r="O216" s="11" t="inlineStr">
        <is>
          <t>Modernste PET-Recycling-Anlage Europas: 1 Mrd. Flaschen/Jahr; NEA 1 MVA; FU-Extruder intensiv; PQ</t>
        </is>
      </c>
      <c r="P216" s="11" t="n"/>
      <c r="Q216" s="11" t="n"/>
      <c r="R216" s="11" t="inlineStr">
        <is>
          <t>Adr: Niederurnen, 8867 GL | Modernste PET-Recycling Europas; 1 Mrd. Flaschen/Jahr</t>
        </is>
      </c>
      <c r="S216" s="11" t="inlineStr">
        <is>
          <t>PET-Recycling</t>
        </is>
      </c>
    </row>
    <row r="217">
      <c r="A217" s="11" t="n">
        <v>214</v>
      </c>
      <c r="B217" s="11" t="inlineStr">
        <is>
          <t>A</t>
        </is>
      </c>
      <c r="C217" s="11" t="inlineStr">
        <is>
          <t>Lebensmittel/Food</t>
        </is>
      </c>
      <c r="D217" s="11" t="inlineStr">
        <is>
          <t>GUMA AG (Stalden-Creme, Bilten)</t>
        </is>
      </c>
      <c r="E217" s="11" t="inlineStr">
        <is>
          <t>Bilten</t>
        </is>
      </c>
      <c r="F217" s="11" t="inlineStr">
        <is>
          <t>8865</t>
        </is>
      </c>
      <c r="G217" s="11" t="inlineStr">
        <is>
          <t>GL</t>
        </is>
      </c>
      <c r="H217" s="11" t="inlineStr">
        <is>
          <t>Betriebsleiter Technik</t>
        </is>
      </c>
      <c r="I217" s="11" t="inlineStr">
        <is>
          <t>Techniker</t>
        </is>
      </c>
      <c r="J217" s="11" t="inlineStr">
        <is>
          <t>info@guma.ch</t>
        </is>
      </c>
      <c r="K217" s="11" t="inlineStr">
        <is>
          <t>+41 55 617 50 00</t>
        </is>
      </c>
      <c r="L217" s="11" t="n"/>
      <c r="M217" s="11" t="inlineStr">
        <is>
          <t>offen</t>
        </is>
      </c>
      <c r="N217" s="11" t="inlineStr">
        <is>
          <t>MiT-CRM: GUMA als Kältekunde prüfen; Bilten GL; Kälte+Strom</t>
        </is>
      </c>
      <c r="O217" s="11" t="inlineStr">
        <is>
          <t>Nahrungsmittel Stalden-Creme: NEA Kühlkette 300 kVA; FU-Abfüller; ISO 50001; Dessert-Klassiker CH</t>
        </is>
      </c>
      <c r="P217" s="11" t="inlineStr">
        <is>
          <t>Kälte</t>
        </is>
      </c>
      <c r="Q217" s="11" t="n"/>
      <c r="R217" s="11" t="inlineStr">
        <is>
          <t>Adr: Bilten, 8865 GL | GUMA Stalden-Creme; Schweizer Dessert-Klassiker; Kühlkette</t>
        </is>
      </c>
      <c r="S217" s="11" t="inlineStr">
        <is>
          <t>Dessert / Stalden-Creme</t>
        </is>
      </c>
    </row>
    <row r="218">
      <c r="A218" s="11" t="n">
        <v>215</v>
      </c>
      <c r="B218" s="11" t="inlineStr">
        <is>
          <t>A</t>
        </is>
      </c>
      <c r="C218" s="11" t="inlineStr">
        <is>
          <t>Industrie/Maschinenbau</t>
        </is>
      </c>
      <c r="D218" s="11" t="inlineStr">
        <is>
          <t>Kopter Group AG / Leonardo (Helikopter AW09, Mollis)</t>
        </is>
      </c>
      <c r="E218" s="11" t="inlineStr">
        <is>
          <t>Mollis</t>
        </is>
      </c>
      <c r="F218" s="11" t="inlineStr">
        <is>
          <t>8753</t>
        </is>
      </c>
      <c r="G218" s="11" t="inlineStr">
        <is>
          <t>GL</t>
        </is>
      </c>
      <c r="H218" s="11" t="inlineStr">
        <is>
          <t>Betriebsleiter Technik / Facility Manager</t>
        </is>
      </c>
      <c r="I218" s="11" t="inlineStr">
        <is>
          <t>MSc El.-Ing.</t>
        </is>
      </c>
      <c r="J218" s="11" t="inlineStr">
        <is>
          <t>info@kopter.com</t>
        </is>
      </c>
      <c r="K218" s="11" t="inlineStr">
        <is>
          <t>+41 55 610 77 00</t>
        </is>
      </c>
      <c r="L218" s="11" t="n"/>
      <c r="M218" s="11" t="inlineStr">
        <is>
          <t>offen</t>
        </is>
      </c>
      <c r="N218" s="11" t="inlineStr">
        <is>
          <t>Facility Manager Kopter/Leonardo; Mollis GL; Avionik-PQ-Pitch</t>
        </is>
      </c>
      <c r="O218" s="11" t="inlineStr">
        <is>
          <t>Helikopter-Produktion AW09: NEA + USV 500 kVA; PQ Reinraum Avionik; EMV; Prüfstand; Leonardo-Gruppe</t>
        </is>
      </c>
      <c r="P218" s="11" t="n"/>
      <c r="Q218" s="11" t="n"/>
      <c r="R218" s="11" t="inlineStr">
        <is>
          <t>Adr: Mollis, 8753 GL | Leonardo-Gruppe; AW09 Helikopter; Avionik = PQ sensitiv</t>
        </is>
      </c>
      <c r="S218" s="11" t="inlineStr">
        <is>
          <t>Helikopter / Hightech</t>
        </is>
      </c>
    </row>
    <row r="219">
      <c r="A219" s="11" t="n">
        <v>216</v>
      </c>
      <c r="B219" s="11" t="inlineStr">
        <is>
          <t>A</t>
        </is>
      </c>
      <c r="C219" s="11" t="inlineStr">
        <is>
          <t>Industrie/Maschinenbau</t>
        </is>
      </c>
      <c r="D219" s="11" t="inlineStr">
        <is>
          <t>Swiss Blue Salmon AG (Lachszucht Mollis)</t>
        </is>
      </c>
      <c r="E219" s="11" t="inlineStr">
        <is>
          <t>Mollis</t>
        </is>
      </c>
      <c r="F219" s="11" t="inlineStr">
        <is>
          <t>8753</t>
        </is>
      </c>
      <c r="G219" s="11" t="inlineStr">
        <is>
          <t>GL</t>
        </is>
      </c>
      <c r="H219" s="11" t="inlineStr">
        <is>
          <t>Betriebsleiter Technik</t>
        </is>
      </c>
      <c r="I219" s="11" t="inlineStr">
        <is>
          <t>MSc El.-Ing.</t>
        </is>
      </c>
      <c r="J219" s="11" t="inlineStr">
        <is>
          <t>info@swissbluesalmon.ch</t>
        </is>
      </c>
      <c r="K219" s="11" t="inlineStr">
        <is>
          <t>+41 55 610 00 00</t>
        </is>
      </c>
      <c r="L219" s="11" t="n"/>
      <c r="M219" s="11" t="inlineStr">
        <is>
          <t>offen</t>
        </is>
      </c>
      <c r="N219" s="11" t="inlineStr">
        <is>
          <t>Betriebsleiter Swiss Blue Salmon; Mollis GL; 24h USV-Pitch</t>
        </is>
      </c>
      <c r="O219" s="11" t="inlineStr">
        <is>
          <t>CHF 130 Mio. Lachszucht: NEA Kühlkette 2 MVA; USV kritisch; 24h Sauerstoff; 50 Arbeitsplätze neu</t>
        </is>
      </c>
      <c r="P219" s="11" t="inlineStr">
        <is>
          <t>USV</t>
        </is>
      </c>
      <c r="Q219" s="11" t="n"/>
      <c r="R219" s="11" t="inlineStr">
        <is>
          <t>Adr: Mollis, 8753 GL | CHF 130 Mio. Invest; 50 Arbeitsplätze; 24h Sauerstoff = USV = kein Nein</t>
        </is>
      </c>
      <c r="S219" s="11" t="inlineStr">
        <is>
          <t>Lachszucht Hightech</t>
        </is>
      </c>
    </row>
    <row r="220">
      <c r="A220" s="11" t="n">
        <v>217</v>
      </c>
      <c r="B220" s="11" t="inlineStr">
        <is>
          <t>B</t>
        </is>
      </c>
      <c r="C220" s="11" t="inlineStr">
        <is>
          <t>Bergbahn/Tourismus</t>
        </is>
      </c>
      <c r="D220" s="11" t="inlineStr">
        <is>
          <t>Sportbahnen Elm AG (Sernftal)</t>
        </is>
      </c>
      <c r="E220" s="11" t="inlineStr">
        <is>
          <t>Elm</t>
        </is>
      </c>
      <c r="F220" s="11" t="inlineStr">
        <is>
          <t>8767</t>
        </is>
      </c>
      <c r="G220" s="11" t="inlineStr">
        <is>
          <t>GL</t>
        </is>
      </c>
      <c r="H220" s="11" t="inlineStr">
        <is>
          <t>Betriebsleiter Technik</t>
        </is>
      </c>
      <c r="I220" s="11" t="inlineStr">
        <is>
          <t>Techniker</t>
        </is>
      </c>
      <c r="J220" s="11" t="inlineStr">
        <is>
          <t>info@sportbahnen-elm.ch</t>
        </is>
      </c>
      <c r="K220" s="11" t="inlineStr">
        <is>
          <t>+41 55 642 11 51</t>
        </is>
      </c>
      <c r="L220" s="11" t="n"/>
      <c r="M220" s="11" t="inlineStr">
        <is>
          <t>offen</t>
        </is>
      </c>
      <c r="N220" s="11" t="inlineStr">
        <is>
          <t>Betriebsleiter Elm; Herbst-Revisionsfenster; alpine Isolation-Pitch</t>
        </is>
      </c>
      <c r="O220" s="11" t="inlineStr">
        <is>
          <t>Sportbahnen Elm: NEA + Generator 150 kVA; FU-Gondeln; alpine Sernftal-Isolation GL-Süd</t>
        </is>
      </c>
      <c r="P220" s="11" t="inlineStr">
        <is>
          <t>Generator</t>
        </is>
      </c>
      <c r="Q220" s="11" t="n"/>
      <c r="R220" s="11" t="inlineStr">
        <is>
          <t>Adr: Sportzentrum Elm, 8767 Elm | Sportbahnen Sernftal; alpine Isolation; Herbst = Revision</t>
        </is>
      </c>
      <c r="S220" s="11" t="inlineStr">
        <is>
          <t>Wintersport Elm</t>
        </is>
      </c>
    </row>
    <row r="221">
      <c r="A221" s="11" t="n">
        <v>218</v>
      </c>
      <c r="B221" s="11" t="inlineStr">
        <is>
          <t>B</t>
        </is>
      </c>
      <c r="C221" s="11" t="inlineStr">
        <is>
          <t>Bergbahn/Tourismus</t>
        </is>
      </c>
      <c r="D221" s="11" t="inlineStr">
        <is>
          <t>Braunwaldbahn AG + Sportbahnen Braunwald</t>
        </is>
      </c>
      <c r="E221" s="11" t="inlineStr">
        <is>
          <t>Linthal</t>
        </is>
      </c>
      <c r="F221" s="11" t="inlineStr">
        <is>
          <t>8783</t>
        </is>
      </c>
      <c r="G221" s="11" t="inlineStr">
        <is>
          <t>GL</t>
        </is>
      </c>
      <c r="H221" s="11" t="inlineStr">
        <is>
          <t>Betriebsleiter Technik</t>
        </is>
      </c>
      <c r="I221" s="11" t="inlineStr">
        <is>
          <t>Techniker</t>
        </is>
      </c>
      <c r="J221" s="11" t="inlineStr">
        <is>
          <t>info@braunwald.ch</t>
        </is>
      </c>
      <c r="K221" s="11" t="inlineStr">
        <is>
          <t>+41 55 643 10 10</t>
        </is>
      </c>
      <c r="L221" s="11" t="n"/>
      <c r="M221" s="11" t="inlineStr">
        <is>
          <t>offen</t>
        </is>
      </c>
      <c r="N221" s="11" t="inlineStr">
        <is>
          <t>Betriebsleiter Braunwald; Herbst-Revisionsfenster; autofreies Dorf</t>
        </is>
      </c>
      <c r="O221" s="11" t="inlineStr">
        <is>
          <t>Standseilbahn + Bergbahnen autofreies Braunwald: NEA + Generator 300 kVA; FU; alpine Isolation</t>
        </is>
      </c>
      <c r="P221" s="11" t="inlineStr">
        <is>
          <t>Generator</t>
        </is>
      </c>
      <c r="Q221" s="11" t="n"/>
      <c r="R221" s="11" t="inlineStr">
        <is>
          <t>Adr: Linthal, 8783 GL | Autofreies Braunwald; Standseilbahn + Bergbahnen; alpine Isolation</t>
        </is>
      </c>
      <c r="S221" s="11" t="inlineStr">
        <is>
          <t>Wintersport Braunwald</t>
        </is>
      </c>
    </row>
    <row r="222">
      <c r="A222" s="11" t="n">
        <v>219</v>
      </c>
      <c r="B222" s="11" t="inlineStr">
        <is>
          <t>B</t>
        </is>
      </c>
      <c r="C222" s="11" t="inlineStr">
        <is>
          <t>Bergbahn/Tourismus</t>
        </is>
      </c>
      <c r="D222" s="11" t="inlineStr">
        <is>
          <t>Hotel Bellevue Braunwald (alpine Lage)</t>
        </is>
      </c>
      <c r="E222" s="11" t="inlineStr">
        <is>
          <t>Braunwald</t>
        </is>
      </c>
      <c r="F222" s="11" t="inlineStr">
        <is>
          <t>8784</t>
        </is>
      </c>
      <c r="G222" s="11" t="inlineStr">
        <is>
          <t>GL</t>
        </is>
      </c>
      <c r="H222" s="11" t="inlineStr">
        <is>
          <t>Facility Manager / Betriebsleiter</t>
        </is>
      </c>
      <c r="I222" s="11" t="inlineStr">
        <is>
          <t>Techniker</t>
        </is>
      </c>
      <c r="J222" s="11" t="inlineStr">
        <is>
          <t>info@hotel-bellevue-braunwald.ch</t>
        </is>
      </c>
      <c r="K222" s="11" t="inlineStr">
        <is>
          <t>+41 55 643 51 51</t>
        </is>
      </c>
      <c r="L222" s="11" t="n"/>
      <c r="M222" s="11" t="inlineStr">
        <is>
          <t>offen</t>
        </is>
      </c>
      <c r="N222" s="11" t="inlineStr">
        <is>
          <t>Facility Manager Bellevue Braunwald; alpine Isolation-Pitch</t>
        </is>
      </c>
      <c r="O222" s="11" t="inlineStr">
        <is>
          <t>Hotel alpine Lage Braunwald: NEA 1× 150 kVA; USV; autofreies Dorf = Strom kritisch; Tourismus</t>
        </is>
      </c>
      <c r="P222" s="11" t="inlineStr">
        <is>
          <t>USV</t>
        </is>
      </c>
      <c r="Q222" s="11" t="n"/>
      <c r="R222" s="11" t="inlineStr">
        <is>
          <t>Adr: Braunwald, 8784 GL | Hotel alpine Lage; autofreies Dorf; kein Diesel-Nachschub möglich</t>
        </is>
      </c>
      <c r="S222" s="11" t="inlineStr">
        <is>
          <t>Hotel Braunwald</t>
        </is>
      </c>
    </row>
    <row r="223">
      <c r="A223" s="11" t="n">
        <v>220</v>
      </c>
      <c r="B223" s="11" t="inlineStr">
        <is>
          <t>B</t>
        </is>
      </c>
      <c r="C223" s="11" t="inlineStr">
        <is>
          <t>Events/Messen</t>
        </is>
      </c>
      <c r="D223" s="11" t="inlineStr">
        <is>
          <t>Kantonaler Sportverband Glarus (Events)</t>
        </is>
      </c>
      <c r="E223" s="11" t="inlineStr">
        <is>
          <t>Glarus</t>
        </is>
      </c>
      <c r="F223" s="11" t="inlineStr">
        <is>
          <t>8750</t>
        </is>
      </c>
      <c r="G223" s="11" t="inlineStr">
        <is>
          <t>GL</t>
        </is>
      </c>
      <c r="H223" s="11" t="inlineStr">
        <is>
          <t>Eventverantwortlicher</t>
        </is>
      </c>
      <c r="I223" s="11" t="inlineStr">
        <is>
          <t>Techniker</t>
        </is>
      </c>
      <c r="J223" s="11" t="inlineStr">
        <is>
          <t>info@sport-gl.ch</t>
        </is>
      </c>
      <c r="K223" s="11" t="inlineStr">
        <is>
          <t>+41 55 640 10 10</t>
        </is>
      </c>
      <c r="L223" s="11" t="n"/>
      <c r="M223" s="11" t="inlineStr">
        <is>
          <t>offen</t>
        </is>
      </c>
      <c r="N223" s="11" t="inlineStr">
        <is>
          <t>Eventverantwortlicher GL Sport; Glarus; kantonale Events ansprechen</t>
        </is>
      </c>
      <c r="O223" s="11" t="inlineStr">
        <is>
          <t>Kantonale Sportveranstaltungen GL: Temporary Power 100–200 kVA; diverse alpine Locations</t>
        </is>
      </c>
      <c r="P223" s="11" t="inlineStr">
        <is>
          <t>Generator</t>
        </is>
      </c>
      <c r="Q223" s="11" t="n"/>
      <c r="R223" s="11" t="inlineStr">
        <is>
          <t>Adr: Glarus, 8750 GL | Kantonaler Sportverband GL; Sportevents; diverse Locations</t>
        </is>
      </c>
      <c r="S223" s="11" t="inlineStr">
        <is>
          <t>Kantonaler Sportevent</t>
        </is>
      </c>
    </row>
    <row r="224">
      <c r="A224" s="11" t="n">
        <v>221</v>
      </c>
      <c r="B224" s="11" t="inlineStr">
        <is>
          <t>B</t>
        </is>
      </c>
      <c r="C224" s="11" t="inlineStr">
        <is>
          <t>Gemeinde/Öffentlich</t>
        </is>
      </c>
      <c r="D224" s="11" t="inlineStr">
        <is>
          <t>Gemeinde Glarus Nord (Grösste Gemeinde GL)</t>
        </is>
      </c>
      <c r="E224" s="11" t="inlineStr">
        <is>
          <t>Näfels</t>
        </is>
      </c>
      <c r="F224" s="11" t="inlineStr">
        <is>
          <t>8752</t>
        </is>
      </c>
      <c r="G224" s="11" t="inlineStr">
        <is>
          <t>GL</t>
        </is>
      </c>
      <c r="H224" s="11" t="inlineStr">
        <is>
          <t>Betriebsleiter Liegenschaften</t>
        </is>
      </c>
      <c r="I224" s="11" t="inlineStr">
        <is>
          <t>Techniker</t>
        </is>
      </c>
      <c r="J224" s="11" t="inlineStr">
        <is>
          <t>info@glarus-nord.ch</t>
        </is>
      </c>
      <c r="K224" s="11" t="inlineStr">
        <is>
          <t>+41 55 618 58 58</t>
        </is>
      </c>
      <c r="L224" s="11" t="n"/>
      <c r="M224" s="11" t="inlineStr">
        <is>
          <t>offen</t>
        </is>
      </c>
      <c r="N224" s="11" t="inlineStr">
        <is>
          <t>Betriebsleiter Liegenschaften Glarus Nord; Näfels; simap.ch Alert</t>
        </is>
      </c>
      <c r="O224" s="11" t="inlineStr">
        <is>
          <t>Grösste Gemeinde GL: NEA kommunale Gebäude 2× 200 kVA; Schulen; Feuerwehr; simap.ch</t>
        </is>
      </c>
      <c r="P224" s="11" t="n"/>
      <c r="Q224" s="11" t="n"/>
      <c r="R224" s="11" t="inlineStr">
        <is>
          <t>Adr: Zürcherstrasse 9, 8752 Näfels | Grösste Gemeinde GL; 11'000 EW; Netstal+Näfels+Mollis</t>
        </is>
      </c>
      <c r="S224" s="11" t="inlineStr">
        <is>
          <t>Glarus Nord</t>
        </is>
      </c>
    </row>
    <row r="225">
      <c r="A225" s="11" t="n">
        <v>222</v>
      </c>
      <c r="B225" s="11" t="inlineStr">
        <is>
          <t>B</t>
        </is>
      </c>
      <c r="C225" s="11" t="inlineStr">
        <is>
          <t>Gemeinde/Öffentlich</t>
        </is>
      </c>
      <c r="D225" s="11" t="inlineStr">
        <is>
          <t>Gemeinde Glarus Süd (Alpine Grossgemeinde)</t>
        </is>
      </c>
      <c r="E225" s="11" t="inlineStr">
        <is>
          <t>Schwanden</t>
        </is>
      </c>
      <c r="F225" s="11" t="inlineStr">
        <is>
          <t>8762</t>
        </is>
      </c>
      <c r="G225" s="11" t="inlineStr">
        <is>
          <t>GL</t>
        </is>
      </c>
      <c r="H225" s="11" t="inlineStr">
        <is>
          <t>Betriebsleiter Liegenschaften</t>
        </is>
      </c>
      <c r="I225" s="11" t="inlineStr">
        <is>
          <t>Techniker</t>
        </is>
      </c>
      <c r="J225" s="11" t="inlineStr">
        <is>
          <t>info@glarus-sued.ch</t>
        </is>
      </c>
      <c r="K225" s="11" t="inlineStr">
        <is>
          <t>+41 55 647 80 80</t>
        </is>
      </c>
      <c r="L225" s="11" t="n"/>
      <c r="M225" s="11" t="inlineStr">
        <is>
          <t>offen</t>
        </is>
      </c>
      <c r="N225" s="11" t="inlineStr">
        <is>
          <t>Betriebsleiter Glarus Süd; Schwanden; simap.ch Alert GL Süd</t>
        </is>
      </c>
      <c r="O225" s="11" t="inlineStr">
        <is>
          <t>Alpine Grossgemeinde: NEA kommunale Gebäude 2× 150 kVA; alpine Isolation; simap.ch</t>
        </is>
      </c>
      <c r="P225" s="11" t="n"/>
      <c r="Q225" s="11" t="n"/>
      <c r="R225" s="11" t="inlineStr">
        <is>
          <t>Adr: Schwanden, 8762 GL | Grösste Fläche GL; alpine Isolation mehrere Fraktionen</t>
        </is>
      </c>
      <c r="S225" s="11" t="inlineStr">
        <is>
          <t>Glarus Süd</t>
        </is>
      </c>
    </row>
    <row r="226">
      <c r="A226" s="11" t="n">
        <v>223</v>
      </c>
      <c r="B226" s="11" t="inlineStr">
        <is>
          <t>A</t>
        </is>
      </c>
      <c r="C226" s="11" t="inlineStr">
        <is>
          <t>Bau/Infrastruktur</t>
        </is>
      </c>
      <c r="D226" s="11" t="inlineStr">
        <is>
          <t>ARA Linthgebiet (Netstal / Linthschutz)</t>
        </is>
      </c>
      <c r="E226" s="11" t="inlineStr">
        <is>
          <t>Netstal</t>
        </is>
      </c>
      <c r="F226" s="11" t="inlineStr">
        <is>
          <t>8754</t>
        </is>
      </c>
      <c r="G226" s="11" t="inlineStr">
        <is>
          <t>GL</t>
        </is>
      </c>
      <c r="H226" s="11" t="inlineStr">
        <is>
          <t>Betriebsleiter ARA</t>
        </is>
      </c>
      <c r="I226" s="11" t="inlineStr">
        <is>
          <t>Techniker</t>
        </is>
      </c>
      <c r="J226" s="11" t="inlineStr">
        <is>
          <t>info@ara-linth.ch</t>
        </is>
      </c>
      <c r="K226" s="11" t="inlineStr">
        <is>
          <t>+41 55 640 30 22</t>
        </is>
      </c>
      <c r="L226" s="11" t="n"/>
      <c r="M226" s="11" t="inlineStr">
        <is>
          <t>offen</t>
        </is>
      </c>
      <c r="N226" s="11" t="inlineStr">
        <is>
          <t>Betriebsleiter ARA Linth; Netstal GL; simap.ch Alert GL</t>
        </is>
      </c>
      <c r="O226" s="11" t="inlineStr">
        <is>
          <t>NEA-Pflicht 1× 250 kVA; Linth-Gewässerschutz; 24h-Betrieb; simap.ch GL</t>
        </is>
      </c>
      <c r="P226" s="11" t="inlineStr">
        <is>
          <t>Generator</t>
        </is>
      </c>
      <c r="Q226" s="11" t="n"/>
      <c r="R226" s="11" t="inlineStr">
        <is>
          <t>Adr: Netstal, 8754 GL | Linth-Schutz; ARA Pflicht; simap.ch-Ausschreibung</t>
        </is>
      </c>
      <c r="S226" s="11" t="inlineStr">
        <is>
          <t>ARA Linth GL</t>
        </is>
      </c>
    </row>
    <row r="227">
      <c r="A227" s="11" t="n">
        <v>224</v>
      </c>
      <c r="B227" s="11" t="inlineStr">
        <is>
          <t>A</t>
        </is>
      </c>
      <c r="C227" s="11" t="inlineStr">
        <is>
          <t>EVU/Netzbetreiber</t>
        </is>
      </c>
      <c r="D227" s="11" t="inlineStr">
        <is>
          <t>Repower AG (HQ + Netzbetrieb GR)</t>
        </is>
      </c>
      <c r="E227" s="11" t="inlineStr">
        <is>
          <t>Poschiavo</t>
        </is>
      </c>
      <c r="F227" s="11" t="inlineStr">
        <is>
          <t>7742</t>
        </is>
      </c>
      <c r="G227" s="11" t="inlineStr">
        <is>
          <t>GR</t>
        </is>
      </c>
      <c r="H227" s="11" t="inlineStr">
        <is>
          <t>Leiter Netzbetrieb / Betriebsleiter</t>
        </is>
      </c>
      <c r="I227" s="11" t="inlineStr">
        <is>
          <t>Dipl. El.-Ing.</t>
        </is>
      </c>
      <c r="J227" s="11" t="inlineStr">
        <is>
          <t>info@repower.com</t>
        </is>
      </c>
      <c r="K227" s="11" t="inlineStr">
        <is>
          <t>+41 81 840 14 00</t>
        </is>
      </c>
      <c r="L227" s="11" t="n"/>
      <c r="M227" s="11" t="inlineStr">
        <is>
          <t>offen</t>
        </is>
      </c>
      <c r="N227" s="11" t="inlineStr">
        <is>
          <t>Netzbetrieb Repower; Via da Clalt 12 Poschiavo; Niederlassung Landquart näherer Kontaktpunkt</t>
        </is>
      </c>
      <c r="O227" s="11" t="inlineStr">
        <is>
          <t>Grösste Energieversorgerin GR; 11 Wasserkraftwerke GR; Netz 0.4–150 kV; 747 MA; Revisionen; BESS; Niederlassungen: Bever, Ilanz, Küblis, Landquart</t>
        </is>
      </c>
      <c r="P227" s="11" t="inlineStr">
        <is>
          <t>BESS</t>
        </is>
      </c>
      <c r="Q227" s="11" t="n"/>
      <c r="R227" s="11" t="inlineStr">
        <is>
          <t>Adr: Via da Clalt 12, 7742 Poschiavo | Grösste EVU GR; 11 Wasserkraftwerke; CH + IT + DE</t>
        </is>
      </c>
      <c r="S227" s="11" t="inlineStr">
        <is>
          <t>Grösster EVU GR</t>
        </is>
      </c>
    </row>
    <row r="228">
      <c r="A228" s="11" t="n">
        <v>225</v>
      </c>
      <c r="B228" s="11" t="inlineStr">
        <is>
          <t>A</t>
        </is>
      </c>
      <c r="C228" s="11" t="inlineStr">
        <is>
          <t>EVU/Netzbetreiber</t>
        </is>
      </c>
      <c r="D228" s="11" t="inlineStr">
        <is>
          <t>Elektrizitätswerk Stadt Chur (ewc)</t>
        </is>
      </c>
      <c r="E228" s="11" t="inlineStr">
        <is>
          <t>Chur</t>
        </is>
      </c>
      <c r="F228" s="11" t="inlineStr">
        <is>
          <t>7000</t>
        </is>
      </c>
      <c r="G228" s="11" t="inlineStr">
        <is>
          <t>GR</t>
        </is>
      </c>
      <c r="H228" s="11" t="inlineStr">
        <is>
          <t>Betriebsleiter Netz</t>
        </is>
      </c>
      <c r="I228" s="11" t="inlineStr">
        <is>
          <t>Dipl. El.-Ing.</t>
        </is>
      </c>
      <c r="J228" s="11" t="inlineStr">
        <is>
          <t>ewc@chur.ch</t>
        </is>
      </c>
      <c r="K228" s="11" t="inlineStr">
        <is>
          <t>+41 81 254 42 42</t>
        </is>
      </c>
      <c r="L228" s="11" t="n"/>
      <c r="M228" s="11" t="inlineStr">
        <is>
          <t>offen</t>
        </is>
      </c>
      <c r="N228" s="11" t="inlineStr">
        <is>
          <t>Betriebsleiter ewc; Stadthaus Chur; simap.ch Alert Chur GR</t>
        </is>
      </c>
      <c r="O228" s="11" t="inlineStr">
        <is>
          <t>Netzersatz Stadt Chur; MS-Revisionen; NEA Stadtgebäude; Fernwärme; Hauptstadt GR</t>
        </is>
      </c>
      <c r="P228" s="11" t="inlineStr">
        <is>
          <t>Wärme</t>
        </is>
      </c>
      <c r="Q228" s="11" t="n"/>
      <c r="R228" s="11" t="inlineStr">
        <is>
          <t>Adr: Stadthaus, 7000 Chur | Stadtwerk Chur; Kantonshauptort GR</t>
        </is>
      </c>
      <c r="S228" s="11" t="inlineStr">
        <is>
          <t>Elektrizitätswerk Chur</t>
        </is>
      </c>
    </row>
    <row r="229">
      <c r="A229" s="11" t="n">
        <v>226</v>
      </c>
      <c r="B229" s="11" t="inlineStr">
        <is>
          <t>A</t>
        </is>
      </c>
      <c r="C229" s="11" t="inlineStr">
        <is>
          <t>EVU/Netzbetreiber</t>
        </is>
      </c>
      <c r="D229" s="11" t="inlineStr">
        <is>
          <t>Kraftwerke Hinterrhein AG (KHR)</t>
        </is>
      </c>
      <c r="E229" s="11" t="inlineStr">
        <is>
          <t>Thusis</t>
        </is>
      </c>
      <c r="F229" s="11" t="inlineStr">
        <is>
          <t>7430</t>
        </is>
      </c>
      <c r="G229" s="11" t="inlineStr">
        <is>
          <t>GR</t>
        </is>
      </c>
      <c r="H229" s="11" t="inlineStr">
        <is>
          <t>Technischer Leiter</t>
        </is>
      </c>
      <c r="I229" s="11" t="inlineStr">
        <is>
          <t>MSc El.-Ing.</t>
        </is>
      </c>
      <c r="J229" s="11" t="inlineStr">
        <is>
          <t>info@khr.ch</t>
        </is>
      </c>
      <c r="K229" s="11" t="inlineStr">
        <is>
          <t>+41 81 650 40 00</t>
        </is>
      </c>
      <c r="L229" s="11" t="n"/>
      <c r="M229" s="11" t="inlineStr">
        <is>
          <t>offen</t>
        </is>
      </c>
      <c r="N229" s="11" t="inlineStr">
        <is>
          <t>Technischen Leiter KHR; Via Sut Via 1 Thusis; Revisionsplanung anfragen</t>
        </is>
      </c>
      <c r="O229" s="11" t="inlineStr">
        <is>
          <t>Wasserkraft-Revisionen Hinterrhein; Netzersatz + mobile MS-Einspeisung 10–50 MVA; Staustufen Sufers/Bärenburg/Sils</t>
        </is>
      </c>
      <c r="P229" s="11" t="inlineStr">
        <is>
          <t>Generator</t>
        </is>
      </c>
      <c r="Q229" s="11" t="n"/>
      <c r="R229" s="11" t="inlineStr">
        <is>
          <t>Adr: Via Sut Via 1, 7430 Thusis | Repower-Beteiligung 6.5%; Wasserkraft-Revisionen</t>
        </is>
      </c>
      <c r="S229" s="11" t="inlineStr">
        <is>
          <t>Kraftwerk / Wasserkraft</t>
        </is>
      </c>
    </row>
    <row r="230">
      <c r="A230" s="11" t="n">
        <v>227</v>
      </c>
      <c r="B230" s="11" t="inlineStr">
        <is>
          <t>A</t>
        </is>
      </c>
      <c r="C230" s="11" t="inlineStr">
        <is>
          <t>EVU/Netzbetreiber</t>
        </is>
      </c>
      <c r="D230" s="11" t="inlineStr">
        <is>
          <t>Elektrizitätswerk Surselva AG (EWS / aurax)</t>
        </is>
      </c>
      <c r="E230" s="11" t="inlineStr">
        <is>
          <t>Ilanz</t>
        </is>
      </c>
      <c r="F230" s="11" t="inlineStr">
        <is>
          <t>7130</t>
        </is>
      </c>
      <c r="G230" s="11" t="inlineStr">
        <is>
          <t>GR</t>
        </is>
      </c>
      <c r="H230" s="11" t="inlineStr">
        <is>
          <t>Betriebsleiter</t>
        </is>
      </c>
      <c r="I230" s="11" t="inlineStr">
        <is>
          <t>Dipl. El.-Ing.</t>
        </is>
      </c>
      <c r="J230" s="11" t="inlineStr">
        <is>
          <t>info@aurax.ch</t>
        </is>
      </c>
      <c r="K230" s="11" t="inlineStr">
        <is>
          <t>+41 81 927 55 55</t>
        </is>
      </c>
      <c r="L230" s="11" t="n"/>
      <c r="M230" s="11" t="inlineStr">
        <is>
          <t>offen</t>
        </is>
      </c>
      <c r="N230" s="11" t="inlineStr">
        <is>
          <t>Betriebsleiter EWS; Bahnhofstrasse 9 Ilanz; Repower-Verbindung nutzen</t>
        </is>
      </c>
      <c r="O230" s="11" t="inlineStr">
        <is>
          <t>Netzversorgung Surselva; MS-Revisionen; NEA Gemeindegebäude; Vorderrhein-Talschaft</t>
        </is>
      </c>
      <c r="P230" s="11" t="n"/>
      <c r="Q230" s="11" t="n"/>
      <c r="R230" s="11" t="inlineStr">
        <is>
          <t>Adr: Bahnhofstrasse 9, 7130 Ilanz | Repower-Verbund; Surselva/Vorderrhein</t>
        </is>
      </c>
      <c r="S230" s="11" t="inlineStr">
        <is>
          <t>Regionalversorger Surselva</t>
        </is>
      </c>
    </row>
    <row r="231">
      <c r="A231" s="11" t="n">
        <v>228</v>
      </c>
      <c r="B231" s="11" t="inlineStr">
        <is>
          <t>A</t>
        </is>
      </c>
      <c r="C231" s="11" t="inlineStr">
        <is>
          <t>Pharma/Chemie</t>
        </is>
      </c>
      <c r="D231" s="11" t="inlineStr">
        <is>
          <t>EMS-Chemie AG (Stammwerk + HQ Domat/Ems)</t>
        </is>
      </c>
      <c r="E231" s="11" t="inlineStr">
        <is>
          <t>Domat/Ems</t>
        </is>
      </c>
      <c r="F231" s="11" t="inlineStr">
        <is>
          <t>7013</t>
        </is>
      </c>
      <c r="G231" s="11" t="inlineStr">
        <is>
          <t>GR</t>
        </is>
      </c>
      <c r="H231" s="11" t="inlineStr">
        <is>
          <t>Energiemanager / Betriebsleiter Energie</t>
        </is>
      </c>
      <c r="I231" s="11" t="inlineStr">
        <is>
          <t>MSc El.-Ing.</t>
        </is>
      </c>
      <c r="J231" s="11" t="inlineStr">
        <is>
          <t>info@ems-group.com</t>
        </is>
      </c>
      <c r="K231" s="11" t="inlineStr">
        <is>
          <t>+41 81 632 71 11</t>
        </is>
      </c>
      <c r="L231" s="11" t="n"/>
      <c r="M231" s="11" t="inlineStr">
        <is>
          <t>offen</t>
        </is>
      </c>
      <c r="N231" s="11" t="inlineStr">
        <is>
          <t>Energiemanager EMS-Chemie; Via Cantonale 17 Domat/Ems; ISO 50001 + PQ Pitch</t>
        </is>
      </c>
      <c r="O231" s="11" t="inlineStr">
        <is>
          <t>Chemieproduktion Hochleistungspolymere: NEA 5 MVA; USV; PQ Reaktoren + Reinraum; ISO 50001; 3'700 MA; eigene ARA + RhB-Gleisanschluss</t>
        </is>
      </c>
      <c r="P231" s="11" t="inlineStr">
        <is>
          <t>Generator</t>
        </is>
      </c>
      <c r="Q231" s="11" t="n"/>
      <c r="R231" s="11" t="inlineStr">
        <is>
          <t>Adr: Via Cantonale 17, 7013 Domat/Ems | CHF 2.9 Mrd. Umsatz; 3'700 MA; Top-A-Account GR</t>
        </is>
      </c>
      <c r="S231" s="11" t="inlineStr">
        <is>
          <t>Hochleistungspolymere (HQ)</t>
        </is>
      </c>
    </row>
    <row r="232">
      <c r="A232" s="11" t="n">
        <v>229</v>
      </c>
      <c r="B232" s="11" t="inlineStr">
        <is>
          <t>A</t>
        </is>
      </c>
      <c r="C232" s="11" t="inlineStr">
        <is>
          <t>Pharma/Chemie</t>
        </is>
      </c>
      <c r="D232" s="11" t="inlineStr">
        <is>
          <t>Hamilton Medical AG (HQ Bonaduz)</t>
        </is>
      </c>
      <c r="E232" s="11" t="inlineStr">
        <is>
          <t>Bonaduz</t>
        </is>
      </c>
      <c r="F232" s="11" t="inlineStr">
        <is>
          <t>7402</t>
        </is>
      </c>
      <c r="G232" s="11" t="inlineStr">
        <is>
          <t>GR</t>
        </is>
      </c>
      <c r="H232" s="11" t="inlineStr">
        <is>
          <t>Betriebsleiter Technik / Facility</t>
        </is>
      </c>
      <c r="I232" s="11" t="inlineStr">
        <is>
          <t>MSc El.-Ing.</t>
        </is>
      </c>
      <c r="J232" s="11" t="inlineStr">
        <is>
          <t>info@hamilton-medical.com</t>
        </is>
      </c>
      <c r="K232" s="11" t="inlineStr">
        <is>
          <t>+41 81 660 60 60</t>
        </is>
      </c>
      <c r="L232" s="11" t="n"/>
      <c r="M232" s="11" t="inlineStr">
        <is>
          <t>offen</t>
        </is>
      </c>
      <c r="N232" s="11" t="inlineStr">
        <is>
          <t>Facility Manager Hamilton Medical; Via Crusch 8 Bonaduz; GMP-PQ-Pitch</t>
        </is>
      </c>
      <c r="O232" s="11" t="inlineStr">
        <is>
          <t>Beatmungsgeräte-Produktion: NEA + USV 800 kVA; PQ Reinraum; GMP; 2'000+ MA GR; Weltmarktführer Beatmung</t>
        </is>
      </c>
      <c r="P232" s="11" t="inlineStr">
        <is>
          <t>USV</t>
        </is>
      </c>
      <c r="Q232" s="11" t="n"/>
      <c r="R232" s="11" t="inlineStr">
        <is>
          <t>Adr: Via Crusch 8, 7402 Bonaduz | Weltmarktführer Beatmungsgeräte; GMP; 2'000+ MA GR</t>
        </is>
      </c>
      <c r="S232" s="11" t="inlineStr">
        <is>
          <t>MedTech / Beatmung (HQ)</t>
        </is>
      </c>
    </row>
    <row r="233">
      <c r="A233" s="11" t="n">
        <v>230</v>
      </c>
      <c r="B233" s="11" t="inlineStr">
        <is>
          <t>A</t>
        </is>
      </c>
      <c r="C233" s="11" t="inlineStr">
        <is>
          <t>Pharma/Chemie</t>
        </is>
      </c>
      <c r="D233" s="11" t="inlineStr">
        <is>
          <t>Hamilton Bonaduz AG (Laborgeräte + Automation)</t>
        </is>
      </c>
      <c r="E233" s="11" t="inlineStr">
        <is>
          <t>Bonaduz</t>
        </is>
      </c>
      <c r="F233" s="11" t="inlineStr">
        <is>
          <t>7402</t>
        </is>
      </c>
      <c r="G233" s="11" t="inlineStr">
        <is>
          <t>GR</t>
        </is>
      </c>
      <c r="H233" s="11" t="inlineStr">
        <is>
          <t>Betriebsleiter Technik</t>
        </is>
      </c>
      <c r="I233" s="11" t="inlineStr">
        <is>
          <t>MSc El.-Ing.</t>
        </is>
      </c>
      <c r="J233" s="11" t="inlineStr">
        <is>
          <t>info@hamilton.ch</t>
        </is>
      </c>
      <c r="K233" s="11" t="inlineStr">
        <is>
          <t>+41 81 660 60 60</t>
        </is>
      </c>
      <c r="L233" s="11" t="n"/>
      <c r="M233" s="11" t="inlineStr">
        <is>
          <t>offen</t>
        </is>
      </c>
      <c r="N233" s="11" t="inlineStr">
        <is>
          <t>Betriebsleiter Hamilton Bonaduz; Via Crusch 8 Bonaduz; Hamilton Medical kombinieren</t>
        </is>
      </c>
      <c r="O233" s="11" t="inlineStr">
        <is>
          <t>Laborgeräte + Pipettiersysteme GMP: NEA + USV 500 kVA; PQ Reinraum; 2'000 MA GR (zusammen mit Hamilton Medical)</t>
        </is>
      </c>
      <c r="P233" s="11" t="inlineStr">
        <is>
          <t>USV</t>
        </is>
      </c>
      <c r="Q233" s="11" t="n"/>
      <c r="R233" s="11" t="inlineStr">
        <is>
          <t>Adr: Via Crusch 8, 7402 Bonaduz | Hamilton-Gruppe; Laborgeräte + Beatmung = 1 Besuch</t>
        </is>
      </c>
      <c r="S233" s="11" t="inlineStr">
        <is>
          <t>MedTech Laborgeräte</t>
        </is>
      </c>
    </row>
    <row r="234">
      <c r="A234" s="11" t="n">
        <v>231</v>
      </c>
      <c r="B234" s="11" t="inlineStr">
        <is>
          <t>A</t>
        </is>
      </c>
      <c r="C234" s="11" t="inlineStr">
        <is>
          <t>Pharma/Chemie</t>
        </is>
      </c>
      <c r="D234" s="11" t="inlineStr">
        <is>
          <t>Hamilton Bonaduz AG (Werk Domat/Ems)</t>
        </is>
      </c>
      <c r="E234" s="11" t="inlineStr">
        <is>
          <t>Domat/Ems</t>
        </is>
      </c>
      <c r="F234" s="11" t="inlineStr">
        <is>
          <t>7013</t>
        </is>
      </c>
      <c r="G234" s="11" t="inlineStr">
        <is>
          <t>GR</t>
        </is>
      </c>
      <c r="H234" s="11" t="inlineStr">
        <is>
          <t>Betriebsleiter Werk Domat/Ems</t>
        </is>
      </c>
      <c r="I234" s="11" t="inlineStr">
        <is>
          <t>MSc El.-Ing.</t>
        </is>
      </c>
      <c r="J234" s="11" t="inlineStr">
        <is>
          <t>info@hamilton.ch</t>
        </is>
      </c>
      <c r="K234" s="11" t="inlineStr">
        <is>
          <t>+41 81 660 60 60</t>
        </is>
      </c>
      <c r="L234" s="11" t="n"/>
      <c r="M234" s="11" t="inlineStr">
        <is>
          <t>offen</t>
        </is>
      </c>
      <c r="N234" s="11" t="inlineStr">
        <is>
          <t>Betriebsleiter Hamilton Werk Domat/Ems; Parc Industrial Vial 10 Domat/Ems</t>
        </is>
      </c>
      <c r="O234" s="11" t="inlineStr">
        <is>
          <t>Werk Domat/Ems 2018: Intensivbeatmungsgeräte + Probenlagersysteme; 600 MA; NEA + USV 400 kVA; PQ Reinraum</t>
        </is>
      </c>
      <c r="P234" s="11" t="inlineStr">
        <is>
          <t>USV</t>
        </is>
      </c>
      <c r="Q234" s="11" t="n"/>
      <c r="R234" s="11" t="inlineStr">
        <is>
          <t>Adr: Parc Industrial Vial 10/12, 7013 Domat/Ems | 600 MA; Intensivbeatmung; 2018 eröffnet</t>
        </is>
      </c>
      <c r="S234" s="11" t="inlineStr">
        <is>
          <t>MedTech / Domat/Ems-Werk</t>
        </is>
      </c>
    </row>
    <row r="235">
      <c r="A235" s="11" t="n">
        <v>232</v>
      </c>
      <c r="B235" s="11" t="inlineStr">
        <is>
          <t>B</t>
        </is>
      </c>
      <c r="C235" s="11" t="inlineStr">
        <is>
          <t>Pharma/Chemie</t>
        </is>
      </c>
      <c r="D235" s="11" t="inlineStr">
        <is>
          <t>INTEGRA Biosciences AG (Campus Zizers)</t>
        </is>
      </c>
      <c r="E235" s="11" t="inlineStr">
        <is>
          <t>Zizers</t>
        </is>
      </c>
      <c r="F235" s="11" t="inlineStr">
        <is>
          <t>7205</t>
        </is>
      </c>
      <c r="G235" s="11" t="inlineStr">
        <is>
          <t>GR</t>
        </is>
      </c>
      <c r="H235" s="11" t="inlineStr">
        <is>
          <t>Betriebsleiter Technik</t>
        </is>
      </c>
      <c r="I235" s="11" t="inlineStr">
        <is>
          <t>MSc El.-Ing.</t>
        </is>
      </c>
      <c r="J235" s="11" t="inlineStr">
        <is>
          <t>info@integra-biosciences.com</t>
        </is>
      </c>
      <c r="K235" s="11" t="inlineStr">
        <is>
          <t>+41 81 286 95 30</t>
        </is>
      </c>
      <c r="L235" s="11" t="n"/>
      <c r="M235" s="11" t="inlineStr">
        <is>
          <t>offen</t>
        </is>
      </c>
      <c r="N235" s="11" t="inlineStr">
        <is>
          <t>Betriebsleiter INTEGRA; Tardisstrasse 201 Zizers; Neubau-Pitch</t>
        </is>
      </c>
      <c r="O235" s="11" t="inlineStr">
        <is>
          <t>Laborgeräte GMP: NEA + USV 400 kVA; PQ Reinraum; CHF 100 Mio. Investition Neubau Campus; 400 MA geplant</t>
        </is>
      </c>
      <c r="P235" s="11" t="inlineStr">
        <is>
          <t>USV</t>
        </is>
      </c>
      <c r="Q235" s="11" t="n"/>
      <c r="R235" s="11" t="inlineStr">
        <is>
          <t>Adr: Tardisstrasse 201, 7205 Zizers | CHF 100 Mio. Neubau Campus; 400 MA; GMP</t>
        </is>
      </c>
      <c r="S235" s="11" t="inlineStr">
        <is>
          <t>MedTech Laborgeräte</t>
        </is>
      </c>
    </row>
    <row r="236">
      <c r="A236" s="11" t="n">
        <v>233</v>
      </c>
      <c r="B236" s="11" t="inlineStr">
        <is>
          <t>A</t>
        </is>
      </c>
      <c r="C236" s="11" t="inlineStr">
        <is>
          <t>Spital/Klinik</t>
        </is>
      </c>
      <c r="D236" s="11" t="inlineStr">
        <is>
          <t>Kantonsspital Graubünden (KSGR) — 3 Standorte Chur</t>
        </is>
      </c>
      <c r="E236" s="11" t="inlineStr">
        <is>
          <t>Chur</t>
        </is>
      </c>
      <c r="F236" s="11" t="inlineStr">
        <is>
          <t>7000</t>
        </is>
      </c>
      <c r="G236" s="11" t="inlineStr">
        <is>
          <t>GR</t>
        </is>
      </c>
      <c r="H236" s="11" t="inlineStr">
        <is>
          <t>Leiter Technisches Gebäudemanagement</t>
        </is>
      </c>
      <c r="I236" s="11" t="inlineStr">
        <is>
          <t>MSc El.-Ing.</t>
        </is>
      </c>
      <c r="J236" s="11" t="inlineStr">
        <is>
          <t>info@ksgr.ch</t>
        </is>
      </c>
      <c r="K236" s="11" t="inlineStr">
        <is>
          <t>+41 81 256 61 11</t>
        </is>
      </c>
      <c r="L236" s="11" t="n"/>
      <c r="M236" s="11" t="inlineStr">
        <is>
          <t>offen</t>
        </is>
      </c>
      <c r="N236" s="11" t="inlineStr">
        <is>
          <t>TGM KSGR; Loëstrasse 170 Chur; simap.ch Alert 'Chur Netzersatz'; Neubauten</t>
        </is>
      </c>
      <c r="O236" s="11" t="inlineStr">
        <is>
          <t>NEA 4× 500 kVA; USV OP/ICU/Reinraum; 3 Standorte Chur + Walenstadt; 2'800 MA; Neubauten laufend</t>
        </is>
      </c>
      <c r="P236" s="11" t="inlineStr">
        <is>
          <t>USV</t>
        </is>
      </c>
      <c r="Q236" s="11" t="n"/>
      <c r="R236" s="11" t="inlineStr">
        <is>
          <t>Adr: Loëstrasse 170, 7000 Chur | Zentrumsspital Südostschweiz; 2'800 MA; IBG-Referenz vorhanden</t>
        </is>
      </c>
      <c r="S236" s="11" t="inlineStr">
        <is>
          <t>Kantonsspital</t>
        </is>
      </c>
    </row>
    <row r="237">
      <c r="A237" s="11" t="n">
        <v>234</v>
      </c>
      <c r="B237" s="11" t="inlineStr">
        <is>
          <t>A</t>
        </is>
      </c>
      <c r="C237" s="11" t="inlineStr">
        <is>
          <t>Spital/Klinik</t>
        </is>
      </c>
      <c r="D237" s="11" t="inlineStr">
        <is>
          <t>Spital Davos AG</t>
        </is>
      </c>
      <c r="E237" s="11" t="inlineStr">
        <is>
          <t>Davos Platz</t>
        </is>
      </c>
      <c r="F237" s="11" t="inlineStr">
        <is>
          <t>7270</t>
        </is>
      </c>
      <c r="G237" s="11" t="inlineStr">
        <is>
          <t>GR</t>
        </is>
      </c>
      <c r="H237" s="11" t="inlineStr">
        <is>
          <t>Betriebsleiter Technik</t>
        </is>
      </c>
      <c r="I237" s="11" t="inlineStr">
        <is>
          <t>Dipl. El.-Ing.</t>
        </is>
      </c>
      <c r="J237" s="11" t="inlineStr">
        <is>
          <t>info@spitaldavos.ch</t>
        </is>
      </c>
      <c r="K237" s="11" t="inlineStr">
        <is>
          <t>+41 81 414 88 88</t>
        </is>
      </c>
      <c r="L237" s="11" t="n"/>
      <c r="M237" s="11" t="inlineStr">
        <is>
          <t>offen</t>
        </is>
      </c>
      <c r="N237" s="11" t="inlineStr">
        <is>
          <t>Betriebsleiter Spital Davos; Promenade 212 Davos Platz; WEF-Peak-Argument</t>
        </is>
      </c>
      <c r="O237" s="11" t="inlineStr">
        <is>
          <t>NEA 2× 300 kVA; USV ICU; alpine Höhenlage 1'560 m; 800 MA; WEF-Saison-Peak</t>
        </is>
      </c>
      <c r="P237" s="11" t="inlineStr">
        <is>
          <t>USV</t>
        </is>
      </c>
      <c r="Q237" s="11" t="n"/>
      <c r="R237" s="11" t="inlineStr">
        <is>
          <t>Adr: Promenade 212, 7270 Davos Platz | WEF-Peak; alpine 1'560 m; 800 MA</t>
        </is>
      </c>
      <c r="S237" s="11" t="inlineStr">
        <is>
          <t>Regionalspital Davos</t>
        </is>
      </c>
    </row>
    <row r="238">
      <c r="A238" s="11" t="n">
        <v>235</v>
      </c>
      <c r="B238" s="11" t="inlineStr">
        <is>
          <t>A</t>
        </is>
      </c>
      <c r="C238" s="11" t="inlineStr">
        <is>
          <t>Spital/Klinik</t>
        </is>
      </c>
      <c r="D238" s="11" t="inlineStr">
        <is>
          <t>Regionalspital Surselva AG (Ilanz)</t>
        </is>
      </c>
      <c r="E238" s="11" t="inlineStr">
        <is>
          <t>Ilanz</t>
        </is>
      </c>
      <c r="F238" s="11" t="inlineStr">
        <is>
          <t>7130</t>
        </is>
      </c>
      <c r="G238" s="11" t="inlineStr">
        <is>
          <t>GR</t>
        </is>
      </c>
      <c r="H238" s="11" t="inlineStr">
        <is>
          <t>Betriebsleiter Technik</t>
        </is>
      </c>
      <c r="I238" s="11" t="inlineStr">
        <is>
          <t>Techniker</t>
        </is>
      </c>
      <c r="J238" s="11" t="inlineStr">
        <is>
          <t>info@rss.ch</t>
        </is>
      </c>
      <c r="K238" s="11" t="inlineStr">
        <is>
          <t>+41 81 925 02 02</t>
        </is>
      </c>
      <c r="L238" s="11" t="n"/>
      <c r="M238" s="11" t="inlineStr">
        <is>
          <t>offen</t>
        </is>
      </c>
      <c r="N238" s="11" t="inlineStr">
        <is>
          <t>Betriebsleiter RSS Ilanz; Via Vischnaunca 2 Ilanz; simap.ch Alert Ilanz</t>
        </is>
      </c>
      <c r="O238" s="11" t="inlineStr">
        <is>
          <t>NEA 2× 250 kVA; USV; alpine Lage Vorderrhein; 400 MA; Versorgungsauftrag Surselva</t>
        </is>
      </c>
      <c r="P238" s="11" t="inlineStr">
        <is>
          <t>USV</t>
        </is>
      </c>
      <c r="Q238" s="11" t="n"/>
      <c r="R238" s="11" t="inlineStr">
        <is>
          <t>Adr: Via Vischnaunca 2, 7130 Ilanz | Einziges Spital Surselva; alpine Isolation</t>
        </is>
      </c>
      <c r="S238" s="11" t="inlineStr">
        <is>
          <t>Regionalspital Surselva</t>
        </is>
      </c>
    </row>
    <row r="239">
      <c r="A239" s="11" t="n">
        <v>236</v>
      </c>
      <c r="B239" s="11" t="inlineStr">
        <is>
          <t>A</t>
        </is>
      </c>
      <c r="C239" s="11" t="inlineStr">
        <is>
          <t>Spital/Klinik</t>
        </is>
      </c>
      <c r="D239" s="11" t="inlineStr">
        <is>
          <t>Spital Oberengadin AG (Samedan)</t>
        </is>
      </c>
      <c r="E239" s="11" t="inlineStr">
        <is>
          <t>Samedan</t>
        </is>
      </c>
      <c r="F239" s="11" t="inlineStr">
        <is>
          <t>7503</t>
        </is>
      </c>
      <c r="G239" s="11" t="inlineStr">
        <is>
          <t>GR</t>
        </is>
      </c>
      <c r="H239" s="11" t="inlineStr">
        <is>
          <t>Betriebsleiter Technik</t>
        </is>
      </c>
      <c r="I239" s="11" t="inlineStr">
        <is>
          <t>Techniker</t>
        </is>
      </c>
      <c r="J239" s="11" t="inlineStr">
        <is>
          <t>info@spitalengadin.ch</t>
        </is>
      </c>
      <c r="K239" s="11" t="inlineStr">
        <is>
          <t>+41 81 851 81 11</t>
        </is>
      </c>
      <c r="L239" s="11" t="n"/>
      <c r="M239" s="11" t="inlineStr">
        <is>
          <t>offen</t>
        </is>
      </c>
      <c r="N239" s="11" t="inlineStr">
        <is>
          <t>Betriebsleiter Spital Oberengadin; Via Nouva 3 Samedan; Neugründung-Pitch</t>
        </is>
      </c>
      <c r="O239" s="11" t="inlineStr">
        <is>
          <t>NEA 2× 300 kVA; USV ICU; alpine Höhenlage 1'750 m; 500 MA; Neufirmierung 2025</t>
        </is>
      </c>
      <c r="P239" s="11" t="inlineStr">
        <is>
          <t>USV</t>
        </is>
      </c>
      <c r="Q239" s="11" t="n"/>
      <c r="R239" s="11" t="inlineStr">
        <is>
          <t>Adr: Via Nouva 3, 7503 Samedan | Alpine 1'750 m; 500 MA; Neufirmierung 2025</t>
        </is>
      </c>
      <c r="S239" s="11" t="inlineStr">
        <is>
          <t>Spital Oberengadin</t>
        </is>
      </c>
    </row>
    <row r="240">
      <c r="A240" s="11" t="n">
        <v>237</v>
      </c>
      <c r="B240" s="11" t="inlineStr">
        <is>
          <t>B</t>
        </is>
      </c>
      <c r="C240" s="11" t="inlineStr">
        <is>
          <t>Spital/Klinik</t>
        </is>
      </c>
      <c r="D240" s="11" t="inlineStr">
        <is>
          <t>Klinik Gut St. Moritz (Sportmedizin)</t>
        </is>
      </c>
      <c r="E240" s="11" t="inlineStr">
        <is>
          <t>St. Moritz</t>
        </is>
      </c>
      <c r="F240" s="11" t="inlineStr">
        <is>
          <t>7500</t>
        </is>
      </c>
      <c r="G240" s="11" t="inlineStr">
        <is>
          <t>GR</t>
        </is>
      </c>
      <c r="H240" s="11" t="inlineStr">
        <is>
          <t>Betriebsleiter Technik</t>
        </is>
      </c>
      <c r="I240" s="11" t="inlineStr">
        <is>
          <t>Techniker</t>
        </is>
      </c>
      <c r="J240" s="11" t="inlineStr">
        <is>
          <t>info@klinik-gut.ch</t>
        </is>
      </c>
      <c r="K240" s="11" t="inlineStr">
        <is>
          <t>+41 81 825 97 00</t>
        </is>
      </c>
      <c r="L240" s="11" t="n"/>
      <c r="M240" s="11" t="inlineStr">
        <is>
          <t>offen</t>
        </is>
      </c>
      <c r="N240" s="11" t="inlineStr">
        <is>
          <t>Betriebsleiter Klinik Gut; Via dal Bagn 35 St. Moritz; Privatklinik-Pitch</t>
        </is>
      </c>
      <c r="O240" s="11" t="inlineStr">
        <is>
          <t>NEA 1× 200 kVA; USV Privatklinik; alpine Lage; Sporttraumatologie; Elite-Patienten</t>
        </is>
      </c>
      <c r="P240" s="11" t="inlineStr">
        <is>
          <t>USV</t>
        </is>
      </c>
      <c r="Q240" s="11" t="n"/>
      <c r="R240" s="11" t="inlineStr">
        <is>
          <t>Adr: Via dal Bagn 35, 7500 St. Moritz | Sportmedizin; Privatklinik; Elite-Patienten</t>
        </is>
      </c>
      <c r="S240" s="11" t="inlineStr">
        <is>
          <t>Privatklinik Sport</t>
        </is>
      </c>
    </row>
    <row r="241">
      <c r="A241" s="11" t="n">
        <v>238</v>
      </c>
      <c r="B241" s="11" t="inlineStr">
        <is>
          <t>B</t>
        </is>
      </c>
      <c r="C241" s="11" t="inlineStr">
        <is>
          <t>Spital/Klinik</t>
        </is>
      </c>
      <c r="D241" s="11" t="inlineStr">
        <is>
          <t>Hochgebirgsklinik Davos AG (Allergie/Asthma)</t>
        </is>
      </c>
      <c r="E241" s="11" t="inlineStr">
        <is>
          <t>Davos Dorf</t>
        </is>
      </c>
      <c r="F241" s="11" t="inlineStr">
        <is>
          <t>7265</t>
        </is>
      </c>
      <c r="G241" s="11" t="inlineStr">
        <is>
          <t>GR</t>
        </is>
      </c>
      <c r="H241" s="11" t="inlineStr">
        <is>
          <t>Betriebsleiter Technik</t>
        </is>
      </c>
      <c r="I241" s="11" t="inlineStr">
        <is>
          <t>Techniker</t>
        </is>
      </c>
      <c r="J241" s="11" t="inlineStr">
        <is>
          <t>info@hgk.ch</t>
        </is>
      </c>
      <c r="K241" s="11" t="inlineStr">
        <is>
          <t>+41 81 410 01 11</t>
        </is>
      </c>
      <c r="L241" s="11" t="n"/>
      <c r="M241" s="11" t="inlineStr">
        <is>
          <t>offen</t>
        </is>
      </c>
      <c r="N241" s="11" t="inlineStr">
        <is>
          <t>Betriebsleiter HGK; Herman-Burchard-Strasse 1 Davos Dorf; Neubau-Pitch</t>
        </is>
      </c>
      <c r="O241" s="11" t="inlineStr">
        <is>
          <t>NEA 1× 200 kVA; USV Klinik; alpine 1'600 m; Forschung + Bildung; Neubau Campus 2024</t>
        </is>
      </c>
      <c r="P241" s="11" t="inlineStr">
        <is>
          <t>USV</t>
        </is>
      </c>
      <c r="Q241" s="11" t="n"/>
      <c r="R241" s="11" t="inlineStr">
        <is>
          <t>Adr: Herman-Burchard-Strasse 1, 7265 Davos Dorf | Forschungsklinik; Neubau 2024</t>
        </is>
      </c>
      <c r="S241" s="11" t="inlineStr">
        <is>
          <t>Hochgebirgsklinik</t>
        </is>
      </c>
    </row>
    <row r="242">
      <c r="A242" s="11" t="n">
        <v>239</v>
      </c>
      <c r="B242" s="11" t="inlineStr">
        <is>
          <t>A</t>
        </is>
      </c>
      <c r="C242" s="11" t="inlineStr">
        <is>
          <t>Bau/Infrastruktur</t>
        </is>
      </c>
      <c r="D242" s="11" t="inlineStr">
        <is>
          <t>Rhätische Bahn AG (RhB HQ Chur)</t>
        </is>
      </c>
      <c r="E242" s="11" t="inlineStr">
        <is>
          <t>Chur</t>
        </is>
      </c>
      <c r="F242" s="11" t="inlineStr">
        <is>
          <t>7000</t>
        </is>
      </c>
      <c r="G242" s="11" t="inlineStr">
        <is>
          <t>GR</t>
        </is>
      </c>
      <c r="H242" s="11" t="inlineStr">
        <is>
          <t>Leiter Infrastruktur Energie</t>
        </is>
      </c>
      <c r="I242" s="11" t="inlineStr">
        <is>
          <t>MSc El.-Ing.</t>
        </is>
      </c>
      <c r="J242" s="11" t="inlineStr">
        <is>
          <t>info@rhb.ch</t>
        </is>
      </c>
      <c r="K242" s="11" t="inlineStr">
        <is>
          <t>+41 81 288 61 11</t>
        </is>
      </c>
      <c r="L242" s="11" t="n"/>
      <c r="M242" s="11" t="inlineStr">
        <is>
          <t>offen</t>
        </is>
      </c>
      <c r="N242" s="11" t="inlineStr">
        <is>
          <t>Infrastruktur Energie RhB; Bahnhofstrasse 25 Chur; simap.ch Alert 'RhB GR'</t>
        </is>
      </c>
      <c r="O242" s="11" t="inlineStr">
        <is>
          <t>Schmalspurbahn UNESCO-Welterbe: Baustellen GR 200–1'000 kVA; NEA Bahnhöfe; MS-Revisionen Unterwerke; Elektrifizierung; 1'750 MA</t>
        </is>
      </c>
      <c r="P242" s="11" t="n"/>
      <c r="Q242" s="11" t="n"/>
      <c r="R242" s="11" t="inlineStr">
        <is>
          <t>Adr: Bahnhofstrasse 25, 7000 Chur | UNESCO-Welterbe; 1'750 MA; laufende Bauprojekte GR</t>
        </is>
      </c>
      <c r="S242" s="11" t="inlineStr">
        <is>
          <t>Schmalspurbahn</t>
        </is>
      </c>
    </row>
    <row r="243">
      <c r="A243" s="11" t="n">
        <v>240</v>
      </c>
      <c r="B243" s="11" t="inlineStr">
        <is>
          <t>A</t>
        </is>
      </c>
      <c r="C243" s="11" t="inlineStr">
        <is>
          <t>Bau/Infrastruktur</t>
        </is>
      </c>
      <c r="D243" s="11" t="inlineStr">
        <is>
          <t>ARA Region Chur (Uffer AG Betrieb)</t>
        </is>
      </c>
      <c r="E243" s="11" t="inlineStr">
        <is>
          <t>Chur</t>
        </is>
      </c>
      <c r="F243" s="11" t="inlineStr">
        <is>
          <t>7000</t>
        </is>
      </c>
      <c r="G243" s="11" t="inlineStr">
        <is>
          <t>GR</t>
        </is>
      </c>
      <c r="H243" s="11" t="inlineStr">
        <is>
          <t>Betriebsleiter ARA</t>
        </is>
      </c>
      <c r="I243" s="11" t="inlineStr">
        <is>
          <t>Techniker</t>
        </is>
      </c>
      <c r="J243" s="11" t="inlineStr">
        <is>
          <t>info@ara-chur.ch</t>
        </is>
      </c>
      <c r="K243" s="11" t="inlineStr">
        <is>
          <t>+41 81 286 91 91</t>
        </is>
      </c>
      <c r="L243" s="11" t="n"/>
      <c r="M243" s="11" t="inlineStr">
        <is>
          <t>offen</t>
        </is>
      </c>
      <c r="N243" s="11" t="inlineStr">
        <is>
          <t>Betriebsleiter ARA Chur; simap.ch Alert 'GR ARA Netzersatz'</t>
        </is>
      </c>
      <c r="O243" s="11" t="inlineStr">
        <is>
          <t>NEA-Pflicht 1× 400 kVA; Rhein-Gewässerschutz Chur; 24h-Betrieb; Kläranlagen GR</t>
        </is>
      </c>
      <c r="P243" s="11" t="inlineStr">
        <is>
          <t>Generator</t>
        </is>
      </c>
      <c r="Q243" s="11" t="n"/>
      <c r="R243" s="11" t="inlineStr">
        <is>
          <t>Adr: Rheinau 1, 7000 Chur | Rhein-Schutz; Ausschreibungspflicht</t>
        </is>
      </c>
      <c r="S243" s="11" t="inlineStr">
        <is>
          <t>ARA Chur / Rheinschutz</t>
        </is>
      </c>
    </row>
    <row r="244">
      <c r="A244" s="11" t="n">
        <v>241</v>
      </c>
      <c r="B244" s="11" t="inlineStr">
        <is>
          <t>A</t>
        </is>
      </c>
      <c r="C244" s="11" t="inlineStr">
        <is>
          <t>Bau/Infrastruktur</t>
        </is>
      </c>
      <c r="D244" s="11" t="inlineStr">
        <is>
          <t>Vigier Ciment (Zementwerk Untervaz GR)</t>
        </is>
      </c>
      <c r="E244" s="11" t="inlineStr">
        <is>
          <t>Untervaz</t>
        </is>
      </c>
      <c r="F244" s="11" t="inlineStr">
        <is>
          <t>7204</t>
        </is>
      </c>
      <c r="G244" s="11" t="inlineStr">
        <is>
          <t>GR</t>
        </is>
      </c>
      <c r="H244" s="11" t="inlineStr">
        <is>
          <t>Betriebsleiter Elektro</t>
        </is>
      </c>
      <c r="I244" s="11" t="inlineStr">
        <is>
          <t>MSc El.-Ing.</t>
        </is>
      </c>
      <c r="J244" s="11" t="inlineStr">
        <is>
          <t>info@vigier.ch</t>
        </is>
      </c>
      <c r="K244" s="11" t="inlineStr">
        <is>
          <t>+41 81 307 91 11</t>
        </is>
      </c>
      <c r="L244" s="11" t="n"/>
      <c r="M244" s="11" t="inlineStr">
        <is>
          <t>offen</t>
        </is>
      </c>
      <c r="N244" s="11" t="inlineStr">
        <is>
          <t>Betriebsleiter Vigier Ciment; Untervazer Strasse 1 Untervaz; FU-PQ-Pitch</t>
        </is>
      </c>
      <c r="O244" s="11" t="inlineStr">
        <is>
          <t>Zementproduktion: Drehöfen + Mühlen 5 MVA; PQ; FU-Antriebe intensiv; ISO 50001; 300 MA</t>
        </is>
      </c>
      <c r="P244" s="11" t="inlineStr">
        <is>
          <t>Generator</t>
        </is>
      </c>
      <c r="Q244" s="11" t="n"/>
      <c r="R244" s="11" t="inlineStr">
        <is>
          <t>Adr: Untervazer Strasse 1, 7204 Untervaz | Zementwerk; FU-Drehöfen = stärkste Netzrückwirkungen GR</t>
        </is>
      </c>
      <c r="S244" s="11" t="inlineStr">
        <is>
          <t>Zementwerk</t>
        </is>
      </c>
    </row>
    <row r="245">
      <c r="A245" s="11" t="n">
        <v>242</v>
      </c>
      <c r="B245" s="11" t="inlineStr">
        <is>
          <t>A</t>
        </is>
      </c>
      <c r="C245" s="11" t="inlineStr">
        <is>
          <t>Bergbahn/Tourismus</t>
        </is>
      </c>
      <c r="D245" s="11" t="inlineStr">
        <is>
          <t>Davos Klosters Bergbahnen AG (Parsenn + Jakobshorn)</t>
        </is>
      </c>
      <c r="E245" s="11" t="inlineStr">
        <is>
          <t>Davos Dorf</t>
        </is>
      </c>
      <c r="F245" s="11" t="inlineStr">
        <is>
          <t>7260</t>
        </is>
      </c>
      <c r="G245" s="11" t="inlineStr">
        <is>
          <t>GR</t>
        </is>
      </c>
      <c r="H245" s="11" t="inlineStr">
        <is>
          <t>Technischer Direktor</t>
        </is>
      </c>
      <c r="I245" s="11" t="inlineStr">
        <is>
          <t>MSc Ing.</t>
        </is>
      </c>
      <c r="J245" s="11" t="inlineStr">
        <is>
          <t>info@davos.ch</t>
        </is>
      </c>
      <c r="K245" s="11" t="inlineStr">
        <is>
          <t>+41 81 415 21 21</t>
        </is>
      </c>
      <c r="L245" s="11" t="n"/>
      <c r="M245" s="11" t="inlineStr">
        <is>
          <t>offen</t>
        </is>
      </c>
      <c r="N245" s="11" t="inlineStr">
        <is>
          <t>Techn. Direktor Davos Bergbahnen; Promenade 157 Davos Dorf; WEF + Revision-Pitch</t>
        </is>
      </c>
      <c r="O245" s="11" t="inlineStr">
        <is>
          <t>Bergbahn-Revisionen: NEA + Generator 1 MVA; FU-Antriebe Gondeln; alpine 2'844 m; WEF-Betrieb Jan.; 500 MA</t>
        </is>
      </c>
      <c r="P245" s="11" t="inlineStr">
        <is>
          <t>Generator</t>
        </is>
      </c>
      <c r="Q245" s="11" t="n"/>
      <c r="R245" s="11" t="inlineStr">
        <is>
          <t>Adr: Promenade 157, 7260 Davos Dorf | WEF-Betrieb + alpine Revision; FU-intensiv</t>
        </is>
      </c>
      <c r="S245" s="11" t="inlineStr">
        <is>
          <t>Davos/Klosters</t>
        </is>
      </c>
    </row>
    <row r="246">
      <c r="A246" s="11" t="n">
        <v>243</v>
      </c>
      <c r="B246" s="11" t="inlineStr">
        <is>
          <t>A</t>
        </is>
      </c>
      <c r="C246" s="11" t="inlineStr">
        <is>
          <t>Bergbahn/Tourismus</t>
        </is>
      </c>
      <c r="D246" s="11" t="inlineStr">
        <is>
          <t>Bergbahnen Arosa Lenzerheide AG</t>
        </is>
      </c>
      <c r="E246" s="11" t="inlineStr">
        <is>
          <t>Arosa</t>
        </is>
      </c>
      <c r="F246" s="11" t="inlineStr">
        <is>
          <t>7050</t>
        </is>
      </c>
      <c r="G246" s="11" t="inlineStr">
        <is>
          <t>GR</t>
        </is>
      </c>
      <c r="H246" s="11" t="inlineStr">
        <is>
          <t>Technischer Direktor</t>
        </is>
      </c>
      <c r="I246" s="11" t="inlineStr">
        <is>
          <t>MSc Ing.</t>
        </is>
      </c>
      <c r="J246" s="11" t="inlineStr">
        <is>
          <t>info@arosalenzerheide.ch</t>
        </is>
      </c>
      <c r="K246" s="11" t="inlineStr">
        <is>
          <t>+41 81 378 84 84</t>
        </is>
      </c>
      <c r="L246" s="11" t="n"/>
      <c r="M246" s="11" t="inlineStr">
        <is>
          <t>offen</t>
        </is>
      </c>
      <c r="N246" s="11" t="inlineStr">
        <is>
          <t>Techn. Direktor Arosa; Poststrasse 1 Arosa; Revisionsfenster Herbst</t>
        </is>
      </c>
      <c r="O246" s="11" t="inlineStr">
        <is>
          <t>Bergbahn-Revisionen: NEA + Generator 800 kVA; FU-Gondeln; alpine 2'865 m; 400 MA; verbunden Arosa–Lenzerheide</t>
        </is>
      </c>
      <c r="P246" s="11" t="inlineStr">
        <is>
          <t>Generator</t>
        </is>
      </c>
      <c r="Q246" s="11" t="n"/>
      <c r="R246" s="11" t="inlineStr">
        <is>
          <t>Adr: Poststrasse 1, 7050 Arosa | Grösstes verbundenes Skigebiet GR; FU-intensive Revisionen</t>
        </is>
      </c>
      <c r="S246" s="11" t="inlineStr">
        <is>
          <t>Arosa Lenzerheide</t>
        </is>
      </c>
    </row>
    <row r="247">
      <c r="A247" s="11" t="n">
        <v>244</v>
      </c>
      <c r="B247" s="11" t="inlineStr">
        <is>
          <t>A</t>
        </is>
      </c>
      <c r="C247" s="11" t="inlineStr">
        <is>
          <t>Bergbahn/Tourismus</t>
        </is>
      </c>
      <c r="D247" s="11" t="inlineStr">
        <is>
          <t>Weisse Arena Gruppe AG (LAAX / Flims)</t>
        </is>
      </c>
      <c r="E247" s="11" t="inlineStr">
        <is>
          <t>Laax</t>
        </is>
      </c>
      <c r="F247" s="11" t="inlineStr">
        <is>
          <t>7031</t>
        </is>
      </c>
      <c r="G247" s="11" t="inlineStr">
        <is>
          <t>GR</t>
        </is>
      </c>
      <c r="H247" s="11" t="inlineStr">
        <is>
          <t>Technischer Direktor</t>
        </is>
      </c>
      <c r="I247" s="11" t="inlineStr">
        <is>
          <t>MSc Ing.</t>
        </is>
      </c>
      <c r="J247" s="11" t="inlineStr">
        <is>
          <t>info@laax.com</t>
        </is>
      </c>
      <c r="K247" s="11" t="inlineStr">
        <is>
          <t>+41 81 927 73 73</t>
        </is>
      </c>
      <c r="L247" s="11" t="n"/>
      <c r="M247" s="11" t="inlineStr">
        <is>
          <t>offen</t>
        </is>
      </c>
      <c r="N247" s="11" t="inlineStr">
        <is>
          <t>Techn. Direktor LAAX; Bergstation 1 Laax; Revisionsfenster Herbst</t>
        </is>
      </c>
      <c r="O247" s="11" t="inlineStr">
        <is>
          <t>Bergbahn-Revisionen: NEA + Generator 800 kVA; FU-Gondeln; alpine 3'018 m; 500 MA; Freestyle-WM</t>
        </is>
      </c>
      <c r="P247" s="11" t="inlineStr">
        <is>
          <t>Generator</t>
        </is>
      </c>
      <c r="Q247" s="11" t="n"/>
      <c r="R247" s="11" t="inlineStr">
        <is>
          <t>Adr: Vorab Bergstation, 7031 Laax | Freestyle-Weltklasse; alpine 3'018 m; FU-Revisionen</t>
        </is>
      </c>
      <c r="S247" s="11" t="inlineStr">
        <is>
          <t>Laax / Flims / Falera</t>
        </is>
      </c>
    </row>
    <row r="248">
      <c r="A248" s="11" t="n">
        <v>245</v>
      </c>
      <c r="B248" s="11" t="inlineStr">
        <is>
          <t>A</t>
        </is>
      </c>
      <c r="C248" s="11" t="inlineStr">
        <is>
          <t>Bergbahn/Tourismus</t>
        </is>
      </c>
      <c r="D248" s="11" t="inlineStr">
        <is>
          <t>Engadin St. Moritz Mountains AG (Corviglia/Corvatsch)</t>
        </is>
      </c>
      <c r="E248" s="11" t="inlineStr">
        <is>
          <t>St. Moritz</t>
        </is>
      </c>
      <c r="F248" s="11" t="inlineStr">
        <is>
          <t>7500</t>
        </is>
      </c>
      <c r="G248" s="11" t="inlineStr">
        <is>
          <t>GR</t>
        </is>
      </c>
      <c r="H248" s="11" t="inlineStr">
        <is>
          <t>Technischer Direktor</t>
        </is>
      </c>
      <c r="I248" s="11" t="inlineStr">
        <is>
          <t>MSc Ing.</t>
        </is>
      </c>
      <c r="J248" s="11" t="inlineStr">
        <is>
          <t>info@mountains.ch</t>
        </is>
      </c>
      <c r="K248" s="11" t="inlineStr">
        <is>
          <t>+41 81 830 00 00</t>
        </is>
      </c>
      <c r="L248" s="11" t="n"/>
      <c r="M248" s="11" t="inlineStr">
        <is>
          <t>offen</t>
        </is>
      </c>
      <c r="N248" s="11" t="inlineStr">
        <is>
          <t>Techn. Direktor Engadin Mountains; Via Maistra 1 St. Moritz; Herbst-Revisionsfenster</t>
        </is>
      </c>
      <c r="O248" s="11" t="inlineStr">
        <is>
          <t>Bergbahn-Revisionen: NEA + Generator 1 MVA; FU-Gondeln; alpine 3'303 m; alpine Isolation; 600 MA</t>
        </is>
      </c>
      <c r="P248" s="11" t="inlineStr">
        <is>
          <t>Generator</t>
        </is>
      </c>
      <c r="Q248" s="11" t="n"/>
      <c r="R248" s="11" t="inlineStr">
        <is>
          <t>Adr: Via Maistra 1, 7500 St. Moritz | Olympia-Weltklasse; alpine 3'303 m; FU-intensive Revisionen</t>
        </is>
      </c>
      <c r="S248" s="11" t="inlineStr">
        <is>
          <t>Engadin St. Moritz</t>
        </is>
      </c>
    </row>
    <row r="249">
      <c r="A249" s="11" t="n">
        <v>246</v>
      </c>
      <c r="B249" s="11" t="inlineStr">
        <is>
          <t>B</t>
        </is>
      </c>
      <c r="C249" s="11" t="inlineStr">
        <is>
          <t>Bergbahn/Tourismus</t>
        </is>
      </c>
      <c r="D249" s="11" t="inlineStr">
        <is>
          <t>Bergbahnen Samnaun AG</t>
        </is>
      </c>
      <c r="E249" s="11" t="inlineStr">
        <is>
          <t>Samnaun</t>
        </is>
      </c>
      <c r="F249" s="11" t="inlineStr">
        <is>
          <t>7563</t>
        </is>
      </c>
      <c r="G249" s="11" t="inlineStr">
        <is>
          <t>GR</t>
        </is>
      </c>
      <c r="H249" s="11" t="inlineStr">
        <is>
          <t>Betriebsleiter Technik</t>
        </is>
      </c>
      <c r="I249" s="11" t="inlineStr">
        <is>
          <t>Techniker</t>
        </is>
      </c>
      <c r="J249" s="11" t="inlineStr">
        <is>
          <t>info@bergbahnen-samnaun.ch</t>
        </is>
      </c>
      <c r="K249" s="11" t="inlineStr">
        <is>
          <t>+41 81 868 58 58</t>
        </is>
      </c>
      <c r="L249" s="11" t="n"/>
      <c r="M249" s="11" t="inlineStr">
        <is>
          <t>offen</t>
        </is>
      </c>
      <c r="N249" s="11" t="inlineStr">
        <is>
          <t>Betriebsleiter Bergbahnen Samnaun; Dorfstrasse 4 Samnaun; alpine Isolation-Pitch</t>
        </is>
      </c>
      <c r="O249" s="11" t="inlineStr">
        <is>
          <t>Bergbahn-Revisionen: NEA + Generator 400 kVA; FU; alpine Isolation; Duty-Free-Dorf</t>
        </is>
      </c>
      <c r="P249" s="11" t="inlineStr">
        <is>
          <t>Generator</t>
        </is>
      </c>
      <c r="Q249" s="11" t="n"/>
      <c r="R249" s="11" t="inlineStr">
        <is>
          <t>Adr: Dorfstrasse 4, 7563 Samnaun | Zollfreies Bergdorf; alpine Isolation = NEA kritisch</t>
        </is>
      </c>
      <c r="S249" s="11" t="inlineStr">
        <is>
          <t>Samnaun / Ischgl</t>
        </is>
      </c>
    </row>
    <row r="250">
      <c r="A250" s="11" t="n">
        <v>247</v>
      </c>
      <c r="B250" s="11" t="inlineStr">
        <is>
          <t>B</t>
        </is>
      </c>
      <c r="C250" s="11" t="inlineStr">
        <is>
          <t>Bergbahn/Tourismus</t>
        </is>
      </c>
      <c r="D250" s="11" t="inlineStr">
        <is>
          <t>Bergbahnen Disentis AG</t>
        </is>
      </c>
      <c r="E250" s="11" t="inlineStr">
        <is>
          <t>Disentis/Mustér</t>
        </is>
      </c>
      <c r="F250" s="11" t="inlineStr">
        <is>
          <t>7180</t>
        </is>
      </c>
      <c r="G250" s="11" t="inlineStr">
        <is>
          <t>GR</t>
        </is>
      </c>
      <c r="H250" s="11" t="inlineStr">
        <is>
          <t>Betriebsleiter</t>
        </is>
      </c>
      <c r="I250" s="11" t="inlineStr">
        <is>
          <t>Techniker</t>
        </is>
      </c>
      <c r="J250" s="11" t="inlineStr">
        <is>
          <t>info@bergbahnen-disentis.ch</t>
        </is>
      </c>
      <c r="K250" s="11" t="inlineStr">
        <is>
          <t>+41 81 936 11 10</t>
        </is>
      </c>
      <c r="L250" s="11" t="n"/>
      <c r="M250" s="11" t="inlineStr">
        <is>
          <t>offen</t>
        </is>
      </c>
      <c r="N250" s="11" t="inlineStr">
        <is>
          <t>Betriebsleiter Bergbahnen Disentis; Somvigerstrasse 1 Disentis; Herbstkontakt</t>
        </is>
      </c>
      <c r="O250" s="11" t="inlineStr">
        <is>
          <t>Bergbahn-Revisionen: NEA + Generator 300 kVA; FU; Benediktiner-Region; alpine Lage</t>
        </is>
      </c>
      <c r="P250" s="11" t="inlineStr">
        <is>
          <t>Generator</t>
        </is>
      </c>
      <c r="Q250" s="11" t="n"/>
      <c r="R250" s="11" t="inlineStr">
        <is>
          <t>Adr: Somvigerstrasse 1, 7180 Disentis | Benediktinerkloster + Bergbahn; alpine Lage</t>
        </is>
      </c>
      <c r="S250" s="11" t="inlineStr">
        <is>
          <t>Disentis / Sedrun</t>
        </is>
      </c>
    </row>
    <row r="251">
      <c r="A251" s="11" t="n">
        <v>248</v>
      </c>
      <c r="B251" s="11" t="inlineStr">
        <is>
          <t>A</t>
        </is>
      </c>
      <c r="C251" s="11" t="inlineStr">
        <is>
          <t>Events/Messen</t>
        </is>
      </c>
      <c r="D251" s="11" t="inlineStr">
        <is>
          <t>World Economic Forum (WEF Davos-Klosters)</t>
        </is>
      </c>
      <c r="E251" s="11" t="inlineStr">
        <is>
          <t>Davos</t>
        </is>
      </c>
      <c r="F251" s="11" t="inlineStr">
        <is>
          <t>7270</t>
        </is>
      </c>
      <c r="G251" s="11" t="inlineStr">
        <is>
          <t>GR</t>
        </is>
      </c>
      <c r="H251" s="11" t="inlineStr">
        <is>
          <t>Head of Operations / Facility</t>
        </is>
      </c>
      <c r="I251" s="11" t="inlineStr">
        <is>
          <t>MSc Ing.</t>
        </is>
      </c>
      <c r="J251" s="11" t="inlineStr">
        <is>
          <t>contact@weforum.org</t>
        </is>
      </c>
      <c r="K251" s="11" t="inlineStr">
        <is>
          <t>+41 22 869 12 12</t>
        </is>
      </c>
      <c r="L251" s="11" t="n"/>
      <c r="M251" s="11" t="inlineStr">
        <is>
          <t>offen</t>
        </is>
      </c>
      <c r="N251" s="11" t="inlineStr">
        <is>
          <t>Head of Operations WEF; Aggreko-Verbindung als Türöffner nutzen; Kontakt Sept.</t>
        </is>
      </c>
      <c r="O251" s="11" t="inlineStr">
        <is>
          <t>WEF Jahrestreffen Januar: Temporary Power 2 MVA; USV Broadcast; Sicherheitsinfra; Aggreko = historischer WEF-Partner</t>
        </is>
      </c>
      <c r="P251" s="11" t="inlineStr">
        <is>
          <t>USV</t>
        </is>
      </c>
      <c r="Q251" s="11" t="n"/>
      <c r="R251" s="11" t="inlineStr">
        <is>
          <t>Adr: Promenade 103, 7270 Davos | Aggreko = historischer WEF-Partner! USP einzigartiger Einstieg</t>
        </is>
      </c>
      <c r="S251" s="11" t="inlineStr">
        <is>
          <t>WEF Weltwirtschaftsforum</t>
        </is>
      </c>
    </row>
    <row r="252">
      <c r="A252" s="11" t="n">
        <v>249</v>
      </c>
      <c r="B252" s="11" t="inlineStr">
        <is>
          <t>A</t>
        </is>
      </c>
      <c r="C252" s="11" t="inlineStr">
        <is>
          <t>Gemeinde/Öffentlich</t>
        </is>
      </c>
      <c r="D252" s="11" t="inlineStr">
        <is>
          <t>Kanton Graubünden (Hochbauamt GR)</t>
        </is>
      </c>
      <c r="E252" s="11" t="inlineStr">
        <is>
          <t>Chur</t>
        </is>
      </c>
      <c r="F252" s="11" t="inlineStr">
        <is>
          <t>7000</t>
        </is>
      </c>
      <c r="G252" s="11" t="inlineStr">
        <is>
          <t>GR</t>
        </is>
      </c>
      <c r="H252" s="11" t="inlineStr">
        <is>
          <t>Leiter Hochbauamt</t>
        </is>
      </c>
      <c r="I252" s="11" t="inlineStr">
        <is>
          <t>Kantonsbauingenieur</t>
        </is>
      </c>
      <c r="J252" s="11" t="inlineStr">
        <is>
          <t>hba@gr.ch</t>
        </is>
      </c>
      <c r="K252" s="11" t="inlineStr">
        <is>
          <t>+41 81 257 38 00</t>
        </is>
      </c>
      <c r="L252" s="11" t="n"/>
      <c r="M252" s="11" t="inlineStr">
        <is>
          <t>offen</t>
        </is>
      </c>
      <c r="N252" s="11" t="inlineStr">
        <is>
          <t>Hochbauamt GR; Gürtelstrasse 89 Chur; simap.ch Alert 'Graubünden Netzersatz'</t>
        </is>
      </c>
      <c r="O252" s="11" t="inlineStr">
        <is>
          <t>NEA kantonale Gebäude GR; 200+ Liegenschaften; Rahmenvertrag; dreisprachig DE/RM/IT</t>
        </is>
      </c>
      <c r="P252" s="11" t="n"/>
      <c r="Q252" s="11" t="n"/>
      <c r="R252" s="11" t="inlineStr">
        <is>
          <t>Adr: Gürtelstrasse 89, 7000 Chur | Flächengrösster Kanton CH; 200+ Liegenschaften; dreisprachig</t>
        </is>
      </c>
      <c r="S252" s="11" t="inlineStr">
        <is>
          <t>Kanton Graubünden</t>
        </is>
      </c>
    </row>
    <row r="253">
      <c r="A253" s="11" t="n">
        <v>250</v>
      </c>
      <c r="B253" s="11" t="inlineStr">
        <is>
          <t>B</t>
        </is>
      </c>
      <c r="C253" s="11" t="inlineStr">
        <is>
          <t>Gemeinde/Öffentlich</t>
        </is>
      </c>
      <c r="D253" s="11" t="inlineStr">
        <is>
          <t>Gemeinde Davos (Liegenschaften / Werke)</t>
        </is>
      </c>
      <c r="E253" s="11" t="inlineStr">
        <is>
          <t>Davos Platz</t>
        </is>
      </c>
      <c r="F253" s="11" t="inlineStr">
        <is>
          <t>7270</t>
        </is>
      </c>
      <c r="G253" s="11" t="inlineStr">
        <is>
          <t>GR</t>
        </is>
      </c>
      <c r="H253" s="11" t="inlineStr">
        <is>
          <t>Betriebsleiter Liegenschaften</t>
        </is>
      </c>
      <c r="I253" s="11" t="inlineStr">
        <is>
          <t>Techniker</t>
        </is>
      </c>
      <c r="J253" s="11" t="inlineStr">
        <is>
          <t>info@davos.ch</t>
        </is>
      </c>
      <c r="K253" s="11" t="inlineStr">
        <is>
          <t>+41 81 414 31 00</t>
        </is>
      </c>
      <c r="L253" s="11" t="n"/>
      <c r="M253" s="11" t="inlineStr">
        <is>
          <t>offen</t>
        </is>
      </c>
      <c r="N253" s="11" t="inlineStr">
        <is>
          <t>Betriebsleiter Davos; Promenade 29 Davos Platz; WEF + alpine-Pitch</t>
        </is>
      </c>
      <c r="O253" s="11" t="inlineStr">
        <is>
          <t>NEA kommunale Gebäude Davos; WEF-Infrastruktur; alpine Höhenlage 1'560 m</t>
        </is>
      </c>
      <c r="P253" s="11" t="n"/>
      <c r="Q253" s="11" t="n"/>
      <c r="R253" s="11" t="inlineStr">
        <is>
          <t>Adr: Promenade 29, 7270 Davos Platz | WEF-Gemeinde; alpine 1'560 m; Liegenschaften</t>
        </is>
      </c>
      <c r="S253" s="11" t="inlineStr">
        <is>
          <t>Gemeinde Davos</t>
        </is>
      </c>
    </row>
    <row r="254">
      <c r="A254" s="11" t="n">
        <v>251</v>
      </c>
      <c r="B254" s="11" t="inlineStr">
        <is>
          <t>A</t>
        </is>
      </c>
      <c r="C254" s="11" t="inlineStr">
        <is>
          <t>Rechenzentrum/IT</t>
        </is>
      </c>
      <c r="D254" s="11" t="inlineStr">
        <is>
          <t>Graubündner Kantonalbank (GKB)</t>
        </is>
      </c>
      <c r="E254" s="11" t="inlineStr">
        <is>
          <t>Chur</t>
        </is>
      </c>
      <c r="F254" s="11" t="inlineStr">
        <is>
          <t>7000</t>
        </is>
      </c>
      <c r="G254" s="11" t="inlineStr">
        <is>
          <t>GR</t>
        </is>
      </c>
      <c r="H254" s="11" t="inlineStr">
        <is>
          <t>Leiter IT-Infrastruktur</t>
        </is>
      </c>
      <c r="I254" s="11" t="inlineStr">
        <is>
          <t>MSc Inf.</t>
        </is>
      </c>
      <c r="J254" s="11" t="inlineStr">
        <is>
          <t>info@gkb.ch</t>
        </is>
      </c>
      <c r="K254" s="11" t="inlineStr">
        <is>
          <t>+41 81 256 90 90</t>
        </is>
      </c>
      <c r="L254" s="11" t="n"/>
      <c r="M254" s="11" t="inlineStr">
        <is>
          <t>offen</t>
        </is>
      </c>
      <c r="N254" s="11" t="inlineStr">
        <is>
          <t>IT-Infrastruktur GKB; Poststrasse 5 Chur; FINMA-Argument</t>
        </is>
      </c>
      <c r="O254" s="11" t="inlineStr">
        <is>
          <t>USV RZ 2× 200 kVA; NEA; PQ FINMA; Hauptsitz Chur; dreisprachige Kantonsbank</t>
        </is>
      </c>
      <c r="P254" s="11" t="inlineStr">
        <is>
          <t>USV</t>
        </is>
      </c>
      <c r="Q254" s="11" t="n"/>
      <c r="R254" s="11" t="inlineStr">
        <is>
          <t>Adr: Poststrasse 5, 7000 Chur | Kantonalbank GR; FINMA; dreisprachig DE/RM/IT</t>
        </is>
      </c>
      <c r="S254" s="11" t="inlineStr">
        <is>
          <t>Kantonalbank</t>
        </is>
      </c>
    </row>
    <row r="255">
      <c r="A255" s="11" t="n">
        <v>252</v>
      </c>
      <c r="B255" s="11" t="inlineStr">
        <is>
          <t>B</t>
        </is>
      </c>
      <c r="C255" s="11" t="inlineStr">
        <is>
          <t>Rechenzentrum/IT</t>
        </is>
      </c>
      <c r="D255" s="11" t="inlineStr">
        <is>
          <t>Inventx AG (IT-Dienstleister GR / Chur HQ-Ausbau)</t>
        </is>
      </c>
      <c r="E255" s="11" t="inlineStr">
        <is>
          <t>Chur</t>
        </is>
      </c>
      <c r="F255" s="11" t="inlineStr">
        <is>
          <t>7000</t>
        </is>
      </c>
      <c r="G255" s="11" t="inlineStr">
        <is>
          <t>GR</t>
        </is>
      </c>
      <c r="H255" s="11" t="inlineStr">
        <is>
          <t>Betriebsleiter RZ</t>
        </is>
      </c>
      <c r="I255" s="11" t="inlineStr">
        <is>
          <t>MSc Inf.</t>
        </is>
      </c>
      <c r="J255" s="11" t="inlineStr">
        <is>
          <t>info@inventx.ch</t>
        </is>
      </c>
      <c r="K255" s="11" t="inlineStr">
        <is>
          <t>+41 81 227 55 00</t>
        </is>
      </c>
      <c r="L255" s="11" t="n"/>
      <c r="M255" s="11" t="inlineStr">
        <is>
          <t>offen</t>
        </is>
      </c>
      <c r="N255" s="11" t="inlineStr">
        <is>
          <t>Betriebsleiter Inventx; Quaderstrasse 5 Chur; RZ-Ausbau-Pitch</t>
        </is>
      </c>
      <c r="O255" s="11" t="inlineStr">
        <is>
          <t>RZ-Ausbau Chur genehmigt: NEA + USV 300 kVA; PQ; IT-Dienstleister Banken/Versicherungen GR</t>
        </is>
      </c>
      <c r="P255" s="11" t="inlineStr">
        <is>
          <t>USV</t>
        </is>
      </c>
      <c r="Q255" s="11" t="n"/>
      <c r="R255" s="11" t="inlineStr">
        <is>
          <t>Adr: Quaderstrasse 5, 7000 Chur | RZ-Ausbau genehmigt 2024; IT für Banken+Versicherungen GR</t>
        </is>
      </c>
      <c r="S255" s="11" t="inlineStr">
        <is>
          <t>IT-Dienstleister</t>
        </is>
      </c>
    </row>
    <row r="256">
      <c r="A256" s="11" t="n">
        <v>253</v>
      </c>
      <c r="B256" s="11" t="inlineStr">
        <is>
          <t>B</t>
        </is>
      </c>
      <c r="C256" s="11" t="inlineStr">
        <is>
          <t>Bergbahn/Tourismus</t>
        </is>
      </c>
      <c r="D256" s="11" t="inlineStr">
        <is>
          <t>Badrutt's Palace Hotel St. Moritz</t>
        </is>
      </c>
      <c r="E256" s="11" t="inlineStr">
        <is>
          <t>St. Moritz</t>
        </is>
      </c>
      <c r="F256" s="11" t="inlineStr">
        <is>
          <t>7500</t>
        </is>
      </c>
      <c r="G256" s="11" t="inlineStr">
        <is>
          <t>GR</t>
        </is>
      </c>
      <c r="H256" s="11" t="inlineStr">
        <is>
          <t>Facility Manager / Chef de Maintenance</t>
        </is>
      </c>
      <c r="I256" s="11" t="inlineStr">
        <is>
          <t>Ing.</t>
        </is>
      </c>
      <c r="J256" s="11" t="inlineStr">
        <is>
          <t>info@badruttspalace.com</t>
        </is>
      </c>
      <c r="K256" s="11" t="inlineStr">
        <is>
          <t>+41 81 837 10 00</t>
        </is>
      </c>
      <c r="L256" s="11" t="n"/>
      <c r="M256" s="11" t="inlineStr">
        <is>
          <t>offen</t>
        </is>
      </c>
      <c r="N256" s="11" t="inlineStr">
        <is>
          <t>Facility Manager Badrutt's Palace; Via Serlas 27 St. Moritz; Luxus-Pitch</t>
        </is>
      </c>
      <c r="O256" s="11" t="inlineStr">
        <is>
          <t>Luxushotel: NEA 1× 500 kVA; USV Haustechnik/IT; alpine Lage; Prominente Gäste = höchste Verfügbarkeit</t>
        </is>
      </c>
      <c r="P256" s="11" t="inlineStr">
        <is>
          <t>USV</t>
        </is>
      </c>
      <c r="Q256" s="11" t="n"/>
      <c r="R256" s="11" t="inlineStr">
        <is>
          <t>Adr: Via Serlas 27, 7500 St. Moritz | Weltberühmtes Luxushotel; höchste Verfügbarkeit</t>
        </is>
      </c>
      <c r="S256" s="11" t="inlineStr">
        <is>
          <t>Luxushotel St. Moritz</t>
        </is>
      </c>
    </row>
    <row r="257">
      <c r="A257" s="11" t="n">
        <v>254</v>
      </c>
      <c r="B257" s="11" t="inlineStr">
        <is>
          <t>B</t>
        </is>
      </c>
      <c r="C257" s="11" t="inlineStr">
        <is>
          <t>Bergbahn/Tourismus</t>
        </is>
      </c>
      <c r="D257" s="11" t="inlineStr">
        <is>
          <t>Grand Hotel Kronenhof (Leading Hotels)</t>
        </is>
      </c>
      <c r="E257" s="11" t="inlineStr">
        <is>
          <t>Pontresina</t>
        </is>
      </c>
      <c r="F257" s="11" t="inlineStr">
        <is>
          <t>7504</t>
        </is>
      </c>
      <c r="G257" s="11" t="inlineStr">
        <is>
          <t>GR</t>
        </is>
      </c>
      <c r="H257" s="11" t="inlineStr">
        <is>
          <t>Facility Manager</t>
        </is>
      </c>
      <c r="I257" s="11" t="inlineStr">
        <is>
          <t>Ing.</t>
        </is>
      </c>
      <c r="J257" s="11" t="inlineStr">
        <is>
          <t>info@kronenhof.com</t>
        </is>
      </c>
      <c r="K257" s="11" t="inlineStr">
        <is>
          <t>+41 81 830 30 30</t>
        </is>
      </c>
      <c r="L257" s="11" t="n"/>
      <c r="M257" s="11" t="inlineStr">
        <is>
          <t>offen</t>
        </is>
      </c>
      <c r="N257" s="11" t="inlineStr">
        <is>
          <t>Facility Manager Kronenhof; Via Maistra 130 Pontresina; Luxus-Pitch</t>
        </is>
      </c>
      <c r="O257" s="11" t="inlineStr">
        <is>
          <t>Luxushotel 5*: NEA 1× 300 kVA; USV alpine Lage; Engadin; Leading Hotels of the World</t>
        </is>
      </c>
      <c r="P257" s="11" t="inlineStr">
        <is>
          <t>USV</t>
        </is>
      </c>
      <c r="Q257" s="11" t="n"/>
      <c r="R257" s="11" t="inlineStr">
        <is>
          <t>Adr: Via Maistra 130, 7504 Pontresina | Leading Hotels of the World; alpine Berglage</t>
        </is>
      </c>
      <c r="S257" s="11" t="inlineStr">
        <is>
          <t>Luxushotel Pontresina</t>
        </is>
      </c>
    </row>
    <row r="258">
      <c r="A258" s="11" t="n">
        <v>255</v>
      </c>
      <c r="B258" s="11" t="inlineStr">
        <is>
          <t>A</t>
        </is>
      </c>
      <c r="C258" s="11" t="inlineStr">
        <is>
          <t>Industrie/Maschinenbau</t>
        </is>
      </c>
      <c r="D258" s="11" t="inlineStr">
        <is>
          <t>Valser Mineralquellen AG (Heineken)</t>
        </is>
      </c>
      <c r="E258" s="11" t="inlineStr">
        <is>
          <t>Vals</t>
        </is>
      </c>
      <c r="F258" s="11" t="inlineStr">
        <is>
          <t>7132</t>
        </is>
      </c>
      <c r="G258" s="11" t="inlineStr">
        <is>
          <t>GR</t>
        </is>
      </c>
      <c r="H258" s="11" t="inlineStr">
        <is>
          <t>Betriebsleiter Technik</t>
        </is>
      </c>
      <c r="I258" s="11" t="inlineStr">
        <is>
          <t>Techniker</t>
        </is>
      </c>
      <c r="J258" s="11" t="inlineStr">
        <is>
          <t>info@valser.ch</t>
        </is>
      </c>
      <c r="K258" s="11" t="inlineStr">
        <is>
          <t>+41 81 920 73 00</t>
        </is>
      </c>
      <c r="L258" s="11" t="n"/>
      <c r="M258" s="11" t="inlineStr">
        <is>
          <t>offen</t>
        </is>
      </c>
      <c r="N258" s="11" t="inlineStr">
        <is>
          <t>MiT-CRM: Valser als Kältekunde prüfen; Valserstrasse 50 Vals GR</t>
        </is>
      </c>
      <c r="O258" s="11" t="inlineStr">
        <is>
          <t>Mineralwasserproduktion: NEA Kühlkette 400 kVA; FU-Abfüllanlagen; ISO 50001; alpine Quelllage Vals</t>
        </is>
      </c>
      <c r="P258" s="11" t="inlineStr">
        <is>
          <t>Kälte</t>
        </is>
      </c>
      <c r="Q258" s="11" t="n"/>
      <c r="R258" s="11" t="inlineStr">
        <is>
          <t>Adr: Valserstrasse 50, 7132 Vals | Heineken-Gruppe; alpine Quelllage; Kühlkette</t>
        </is>
      </c>
      <c r="S258" s="11" t="inlineStr">
        <is>
          <t>Mineralwasser</t>
        </is>
      </c>
    </row>
    <row r="259">
      <c r="A259" s="11" t="n">
        <v>256</v>
      </c>
      <c r="B259" s="11" t="inlineStr">
        <is>
          <t>B</t>
        </is>
      </c>
      <c r="C259" s="11" t="inlineStr">
        <is>
          <t>Industrie/Maschinenbau</t>
        </is>
      </c>
      <c r="D259" s="11" t="inlineStr">
        <is>
          <t>Kalkwerk Untervaz / Rhein-Kalk AG</t>
        </is>
      </c>
      <c r="E259" s="11" t="inlineStr">
        <is>
          <t>Untervaz</t>
        </is>
      </c>
      <c r="F259" s="11" t="inlineStr">
        <is>
          <t>7204</t>
        </is>
      </c>
      <c r="G259" s="11" t="inlineStr">
        <is>
          <t>GR</t>
        </is>
      </c>
      <c r="H259" s="11" t="inlineStr">
        <is>
          <t>Betriebsleiter Elektro</t>
        </is>
      </c>
      <c r="I259" s="11" t="inlineStr">
        <is>
          <t>Techniker</t>
        </is>
      </c>
      <c r="J259" s="11" t="inlineStr">
        <is>
          <t>info@rhein-kalk.ch</t>
        </is>
      </c>
      <c r="K259" s="11" t="inlineStr">
        <is>
          <t>+41 81 300 55 55</t>
        </is>
      </c>
      <c r="L259" s="11" t="n"/>
      <c r="M259" s="11" t="inlineStr">
        <is>
          <t>offen</t>
        </is>
      </c>
      <c r="N259" s="11" t="inlineStr">
        <is>
          <t>Betriebsleiter Rhein-Kalk; Untervaz GR; FU-Brennöfen-PQ-Pitch</t>
        </is>
      </c>
      <c r="O259" s="11" t="inlineStr">
        <is>
          <t>Kalkproduktion: Brennöfen + Mühlen 2 MVA; FU-Antriebe intensiv; PQ; EMV; ISO 50001</t>
        </is>
      </c>
      <c r="P259" s="11" t="n"/>
      <c r="Q259" s="11" t="n"/>
      <c r="R259" s="11" t="inlineStr">
        <is>
          <t>Adr: Untervaz, 7204 GR | Kalkwerk; FU-Brennöfen intensiv; neben EMS-Chemie</t>
        </is>
      </c>
      <c r="S259" s="11" t="inlineStr">
        <is>
          <t>Ziegelei / Baustoffe</t>
        </is>
      </c>
    </row>
    <row r="260">
      <c r="A260" s="11" t="n">
        <v>257</v>
      </c>
      <c r="B260" s="11" t="inlineStr">
        <is>
          <t>A</t>
        </is>
      </c>
      <c r="C260" s="11" t="inlineStr">
        <is>
          <t>Gemeinde/Öffentlich</t>
        </is>
      </c>
      <c r="D260" s="11" t="inlineStr">
        <is>
          <t>[MiT GR-Bestandskunde Wärme/Kälte Nr. 1]</t>
        </is>
      </c>
      <c r="E260" s="11" t="inlineStr">
        <is>
          <t>Chur</t>
        </is>
      </c>
      <c r="F260" s="11" t="inlineStr">
        <is>
          <t>7000</t>
        </is>
      </c>
      <c r="G260" s="11" t="inlineStr">
        <is>
          <t>GR</t>
        </is>
      </c>
      <c r="H260" s="11" t="inlineStr">
        <is>
          <t>Energieverantwortlicher</t>
        </is>
      </c>
      <c r="I260" s="11" t="inlineStr">
        <is>
          <t>Betriebsleiter</t>
        </is>
      </c>
      <c r="J260" s="11" t="n"/>
      <c r="K260" s="11" t="inlineStr">
        <is>
          <t>(MiT-CRM)</t>
        </is>
      </c>
      <c r="L260" s="11" t="n"/>
      <c r="M260" s="11" t="inlineStr">
        <is>
          <t>offen</t>
        </is>
      </c>
      <c r="N260" s="11" t="inlineStr">
        <is>
          <t>MiT-CRM Roberto/Stefan: GR-Kunden ohne Stromvertrag sofort identifizieren</t>
        </is>
      </c>
      <c r="O260" s="11" t="inlineStr">
        <is>
          <t>Strom-Add-on zu bestehender MiT-Wärme/Kälte-Lösung GR; sofortiger Warmlead</t>
        </is>
      </c>
      <c r="P260" s="11" t="inlineStr">
        <is>
          <t>Wärme</t>
        </is>
      </c>
      <c r="Q260" s="11" t="n"/>
      <c r="R260" s="11" t="inlineStr">
        <is>
          <t>Schnellster Weg zum ersten GR-Stromauftrag: Bestandskunden Wärme/Kälte prüfen</t>
        </is>
      </c>
      <c r="S260" s="11" t="inlineStr">
        <is>
          <t>Cross-Sell MiT Nr. 1</t>
        </is>
      </c>
    </row>
    <row r="261">
      <c r="A261" s="11" t="n">
        <v>258</v>
      </c>
      <c r="B261" s="11" t="inlineStr">
        <is>
          <t>A</t>
        </is>
      </c>
      <c r="C261" s="11" t="inlineStr">
        <is>
          <t>Gemeinde/Öffentlich</t>
        </is>
      </c>
      <c r="D261" s="11" t="inlineStr">
        <is>
          <t>[MiT GR-Bestandskunde Bergbahn/Hotel Nr. 2]</t>
        </is>
      </c>
      <c r="E261" s="11" t="inlineStr">
        <is>
          <t>Davos</t>
        </is>
      </c>
      <c r="F261" s="11" t="inlineStr">
        <is>
          <t>7270</t>
        </is>
      </c>
      <c r="G261" s="11" t="inlineStr">
        <is>
          <t>GR</t>
        </is>
      </c>
      <c r="H261" s="11" t="inlineStr">
        <is>
          <t>Energieverantwortlicher</t>
        </is>
      </c>
      <c r="I261" s="11" t="inlineStr">
        <is>
          <t>Betriebsleiter</t>
        </is>
      </c>
      <c r="J261" s="11" t="n"/>
      <c r="K261" s="11" t="inlineStr">
        <is>
          <t>(MiT-CRM)</t>
        </is>
      </c>
      <c r="L261" s="11" t="n"/>
      <c r="M261" s="11" t="inlineStr">
        <is>
          <t>offen</t>
        </is>
      </c>
      <c r="N261" s="11" t="inlineStr">
        <is>
          <t>MiT-CRM: Bergbahn/Hotel-Kunden GR ohne Strom prüfen; Davos/St. Moritz/Arosa</t>
        </is>
      </c>
      <c r="O261" s="11" t="inlineStr">
        <is>
          <t>Strom-Add-on MiT-Kältekunde im Bergbahn/Hotel-Umfeld GR (Davos, St. Moritz, Arosa)</t>
        </is>
      </c>
      <c r="P261" s="11" t="inlineStr">
        <is>
          <t>Wärme</t>
        </is>
      </c>
      <c r="Q261" s="11" t="n"/>
      <c r="R261" s="11" t="inlineStr">
        <is>
          <t>Bergbahn-Cluster GR: Davos + St. Moritz + Arosa = alpine MiT Full-Service</t>
        </is>
      </c>
      <c r="S261" s="11" t="inlineStr">
        <is>
          <t>Cross-Sell MiT Nr. 2 (Bergbahn-Umfeld)</t>
        </is>
      </c>
    </row>
    <row r="262">
      <c r="A262" s="11" t="n">
        <v>259</v>
      </c>
      <c r="B262" s="11" t="inlineStr">
        <is>
          <t>B</t>
        </is>
      </c>
      <c r="C262" s="11" t="inlineStr">
        <is>
          <t>Forschung/Bildung</t>
        </is>
      </c>
      <c r="D262" s="11" t="inlineStr">
        <is>
          <t>Fachhochschule Graubünden (FHG)</t>
        </is>
      </c>
      <c r="E262" s="11" t="inlineStr">
        <is>
          <t>Chur</t>
        </is>
      </c>
      <c r="F262" s="11" t="inlineStr">
        <is>
          <t>7000</t>
        </is>
      </c>
      <c r="G262" s="11" t="inlineStr">
        <is>
          <t>GR</t>
        </is>
      </c>
      <c r="H262" s="11" t="inlineStr">
        <is>
          <t>Leiter Technischer Dienst</t>
        </is>
      </c>
      <c r="I262" s="11" t="inlineStr">
        <is>
          <t>Techniker</t>
        </is>
      </c>
      <c r="J262" s="11" t="inlineStr">
        <is>
          <t>info@fhgr.ch</t>
        </is>
      </c>
      <c r="K262" s="11" t="inlineStr">
        <is>
          <t>+41 81 286 24 24</t>
        </is>
      </c>
      <c r="L262" s="11" t="n"/>
      <c r="M262" s="11" t="inlineStr">
        <is>
          <t>offen</t>
        </is>
      </c>
      <c r="N262" s="11" t="inlineStr">
        <is>
          <t>Technischer Dienst FHG; Pulvermühlestrasse 57 Chur; simap.ch GR</t>
        </is>
      </c>
      <c r="O262" s="11" t="inlineStr">
        <is>
          <t>NEA Campus 1× 200 kVA; USV Labors; PQ; MINT; Neubau Chur Innovationszentrum</t>
        </is>
      </c>
      <c r="P262" s="11" t="inlineStr">
        <is>
          <t>USV</t>
        </is>
      </c>
      <c r="Q262" s="11" t="n"/>
      <c r="R262" s="11" t="inlineStr">
        <is>
          <t>Adr: Pulvermühlestrasse 57, 7000 Chur | FHG; Mobile Robotics Studiengang; Neubau Innovationszentrum</t>
        </is>
      </c>
      <c r="S262" s="11" t="inlineStr">
        <is>
          <t>Fachhochschule</t>
        </is>
      </c>
    </row>
    <row r="263">
      <c r="A263" s="11" t="n">
        <v>260</v>
      </c>
      <c r="B263" s="11" t="inlineStr">
        <is>
          <t>B</t>
        </is>
      </c>
      <c r="C263" s="11" t="inlineStr">
        <is>
          <t>Forschung/Bildung</t>
        </is>
      </c>
      <c r="D263" s="11" t="inlineStr">
        <is>
          <t>Lyceum Alpinum Zuoz AG</t>
        </is>
      </c>
      <c r="E263" s="11" t="inlineStr">
        <is>
          <t>Zuoz</t>
        </is>
      </c>
      <c r="F263" s="11" t="inlineStr">
        <is>
          <t>7524</t>
        </is>
      </c>
      <c r="G263" s="11" t="inlineStr">
        <is>
          <t>GR</t>
        </is>
      </c>
      <c r="H263" s="11" t="inlineStr">
        <is>
          <t>Betriebsleiter</t>
        </is>
      </c>
      <c r="I263" s="11" t="inlineStr">
        <is>
          <t>Techniker</t>
        </is>
      </c>
      <c r="J263" s="11" t="inlineStr">
        <is>
          <t>info@lyceum-alpinum.ch</t>
        </is>
      </c>
      <c r="K263" s="11" t="inlineStr">
        <is>
          <t>+41 81 851 30 00</t>
        </is>
      </c>
      <c r="L263" s="11" t="n"/>
      <c r="M263" s="11" t="inlineStr">
        <is>
          <t>offen</t>
        </is>
      </c>
      <c r="N263" s="11" t="inlineStr">
        <is>
          <t>Betriebsleiter Lyceum; Via Maistra 1 Zuoz; alpine Isolation-Pitch</t>
        </is>
      </c>
      <c r="O263" s="11" t="inlineStr">
        <is>
          <t>Internatsschule: NEA 1× 200 kVA; USV; alpine Lage Oberengadin; 400 Schüler</t>
        </is>
      </c>
      <c r="P263" s="11" t="inlineStr">
        <is>
          <t>USV</t>
        </is>
      </c>
      <c r="Q263" s="11" t="n"/>
      <c r="R263" s="11" t="inlineStr">
        <is>
          <t>Adr: Via Maistra 1, 7524 Zuoz | Weltbekanntes Internat; alpine Lage; hohes Budget</t>
        </is>
      </c>
      <c r="S263" s="11" t="inlineStr">
        <is>
          <t>Internatsschule</t>
        </is>
      </c>
    </row>
    <row r="264">
      <c r="A264" s="11" t="n">
        <v>261</v>
      </c>
      <c r="B264" s="11" t="inlineStr">
        <is>
          <t>B</t>
        </is>
      </c>
      <c r="C264" s="11" t="inlineStr">
        <is>
          <t>Industrie/Maschinenbau</t>
        </is>
      </c>
      <c r="D264" s="11" t="inlineStr">
        <is>
          <t>IBG Engineering AG (GR-Referenzen KSGR + EMS)</t>
        </is>
      </c>
      <c r="E264" s="11" t="inlineStr">
        <is>
          <t>Chur</t>
        </is>
      </c>
      <c r="F264" s="11" t="inlineStr">
        <is>
          <t>7000</t>
        </is>
      </c>
      <c r="G264" s="11" t="inlineStr">
        <is>
          <t>GR</t>
        </is>
      </c>
      <c r="H264" s="11" t="inlineStr">
        <is>
          <t>Gebietsleiter Graubünden</t>
        </is>
      </c>
      <c r="I264" s="11" t="inlineStr">
        <is>
          <t>MSc El.-Ing.</t>
        </is>
      </c>
      <c r="J264" s="11" t="inlineStr">
        <is>
          <t>info@ibg.ch</t>
        </is>
      </c>
      <c r="K264" s="11" t="inlineStr">
        <is>
          <t>+41 81 257 07 00</t>
        </is>
      </c>
      <c r="L264" s="11" t="n"/>
      <c r="M264" s="11" t="inlineStr">
        <is>
          <t>offen</t>
        </is>
      </c>
      <c r="N264" s="11" t="inlineStr">
        <is>
          <t>IBG Gebietsleiter GR; Arcas 8 Chur; Partnerschaft für GR-Akquise besprechen</t>
        </is>
      </c>
      <c r="O264" s="11" t="inlineStr">
        <is>
          <t>IBG = aktiver Elektroplaner für KSGR (NEA/USV/PQ) + EMS-Chemie GR; kennt alle GR-Industriekunden</t>
        </is>
      </c>
      <c r="P264" s="11" t="n"/>
      <c r="Q264" s="11" t="n"/>
      <c r="R264" s="11" t="inlineStr">
        <is>
          <t>Adr: Arcas 8, 7000 Chur | IBG = aktiver Planer KSGR + EMS GR = Türöffner zu Top-Accounts</t>
        </is>
      </c>
      <c r="S264" s="11" t="inlineStr">
        <is>
          <t>Starkstrom-Montage</t>
        </is>
      </c>
    </row>
    <row r="265">
      <c r="A265" s="11" t="n">
        <v>262</v>
      </c>
      <c r="B265" s="11" t="inlineStr">
        <is>
          <t>A</t>
        </is>
      </c>
      <c r="C265" s="11" t="inlineStr">
        <is>
          <t>Spital/Klinik</t>
        </is>
      </c>
      <c r="D265" s="11" t="inlineStr">
        <is>
          <t>PDGR Klinik Waldhaus Chur (Psychiatrische Dienste GR)</t>
        </is>
      </c>
      <c r="E265" s="11" t="inlineStr">
        <is>
          <t>Chur</t>
        </is>
      </c>
      <c r="F265" s="11" t="inlineStr">
        <is>
          <t>7000</t>
        </is>
      </c>
      <c r="G265" s="11" t="inlineStr">
        <is>
          <t>GR</t>
        </is>
      </c>
      <c r="H265" s="11" t="inlineStr">
        <is>
          <t>Betriebsleiter Technik / TGM</t>
        </is>
      </c>
      <c r="I265" s="11" t="inlineStr">
        <is>
          <t>Dipl. El.-Ing.</t>
        </is>
      </c>
      <c r="J265" s="11" t="inlineStr">
        <is>
          <t>info@pdgr.ch</t>
        </is>
      </c>
      <c r="K265" s="11" t="inlineStr">
        <is>
          <t>+41 58 225 20 00</t>
        </is>
      </c>
      <c r="L265" s="11" t="n"/>
      <c r="M265" s="11" t="inlineStr">
        <is>
          <t>offen</t>
        </is>
      </c>
      <c r="N265" s="11" t="inlineStr">
        <is>
          <t>Betriebsleiter TGM PDGR Waldhaus; Loëstrasse 220 Chur; NIV Art. 13</t>
        </is>
      </c>
      <c r="O265" s="11" t="inlineStr">
        <is>
          <t>Psychiatrie-Akutklinik 107 Betten; NEA 1× 300 kVA; USV; 24h-Betrieb; 700 MA; kantonaler Leistungsauftrag GR</t>
        </is>
      </c>
      <c r="P265" s="11" t="inlineStr">
        <is>
          <t>USV</t>
        </is>
      </c>
      <c r="Q265" s="11" t="n"/>
      <c r="R265" s="11" t="inlineStr">
        <is>
          <t>Adr: Loëstrasse 220, 7000 Chur | 107 Betten; kantonaler Auftrag GR; 24h NEA-Pflicht</t>
        </is>
      </c>
      <c r="S265" s="11" t="inlineStr">
        <is>
          <t>Psychiatrie GR</t>
        </is>
      </c>
    </row>
    <row r="266">
      <c r="A266" s="11" t="n">
        <v>263</v>
      </c>
      <c r="B266" s="11" t="inlineStr">
        <is>
          <t>A</t>
        </is>
      </c>
      <c r="C266" s="11" t="inlineStr">
        <is>
          <t>Spital/Klinik</t>
        </is>
      </c>
      <c r="D266" s="11" t="inlineStr">
        <is>
          <t>PDGR Klinik Beverin Cazis (Psychiatrie GR)</t>
        </is>
      </c>
      <c r="E266" s="11" t="inlineStr">
        <is>
          <t>Cazis</t>
        </is>
      </c>
      <c r="F266" s="11" t="inlineStr">
        <is>
          <t>7408</t>
        </is>
      </c>
      <c r="G266" s="11" t="inlineStr">
        <is>
          <t>GR</t>
        </is>
      </c>
      <c r="H266" s="11" t="inlineStr">
        <is>
          <t>Betriebsleiter Technik</t>
        </is>
      </c>
      <c r="I266" s="11" t="inlineStr">
        <is>
          <t>Techniker</t>
        </is>
      </c>
      <c r="J266" s="11" t="inlineStr">
        <is>
          <t>apd.beverin@pdgr.ch</t>
        </is>
      </c>
      <c r="K266" s="11" t="inlineStr">
        <is>
          <t>+41 58 225 31 07</t>
        </is>
      </c>
      <c r="L266" s="11" t="n"/>
      <c r="M266" s="11" t="inlineStr">
        <is>
          <t>offen</t>
        </is>
      </c>
      <c r="N266" s="11" t="inlineStr">
        <is>
          <t>Betriebsleiter Klinik Beverin; La Nicca Strasse 17 Cazis; PDGR-Verbindung</t>
        </is>
      </c>
      <c r="O266" s="11" t="inlineStr">
        <is>
          <t>Psychiatrie-Klinik Südbünden: NEA 1× 200 kVA; USV; 24h; alpine Lage Domleschg</t>
        </is>
      </c>
      <c r="P266" s="11" t="inlineStr">
        <is>
          <t>USV</t>
        </is>
      </c>
      <c r="Q266" s="11" t="n"/>
      <c r="R266" s="11" t="inlineStr">
        <is>
          <t>Adr: La Nicca Strasse 17, 7408 Cazis | Psychiatrie Südbünden; alpine Lage; 24h NEA</t>
        </is>
      </c>
      <c r="S266" s="11" t="inlineStr">
        <is>
          <t>Psychiatrie Klinik Beverin</t>
        </is>
      </c>
    </row>
    <row r="267">
      <c r="A267" s="11" t="n">
        <v>264</v>
      </c>
      <c r="B267" s="11" t="inlineStr">
        <is>
          <t>B</t>
        </is>
      </c>
      <c r="C267" s="11" t="inlineStr">
        <is>
          <t>Spital/Klinik</t>
        </is>
      </c>
      <c r="D267" s="11" t="inlineStr">
        <is>
          <t>Klinik Davos AG (Lungen-/Rehaklinik)</t>
        </is>
      </c>
      <c r="E267" s="11" t="inlineStr">
        <is>
          <t>Davos Dorf</t>
        </is>
      </c>
      <c r="F267" s="11" t="inlineStr">
        <is>
          <t>7265</t>
        </is>
      </c>
      <c r="G267" s="11" t="inlineStr">
        <is>
          <t>GR</t>
        </is>
      </c>
      <c r="H267" s="11" t="inlineStr">
        <is>
          <t>Betriebsleiter Technik</t>
        </is>
      </c>
      <c r="I267" s="11" t="inlineStr">
        <is>
          <t>Techniker</t>
        </is>
      </c>
      <c r="J267" s="11" t="inlineStr">
        <is>
          <t>info@klinik-davos.ch</t>
        </is>
      </c>
      <c r="K267" s="11" t="inlineStr">
        <is>
          <t>+41 81 414 44 44</t>
        </is>
      </c>
      <c r="L267" s="11" t="n"/>
      <c r="M267" s="11" t="inlineStr">
        <is>
          <t>offen</t>
        </is>
      </c>
      <c r="N267" s="11" t="inlineStr">
        <is>
          <t>Betriebsleiter Klinik Davos; Davos Dorf; Lungen-Pitch</t>
        </is>
      </c>
      <c r="O267" s="11" t="inlineStr">
        <is>
          <t>Rehaklinik Lunge: NEA 1× 200 kVA; USV; alpine 1'560 m; 300 Betten</t>
        </is>
      </c>
      <c r="P267" s="11" t="inlineStr">
        <is>
          <t>USV</t>
        </is>
      </c>
      <c r="Q267" s="11" t="n"/>
      <c r="R267" s="11" t="inlineStr">
        <is>
          <t>Adr: Am Mattenboden 5, 7265 Davos Dorf | Lungen-Rehaklinik; alpine 1'560 m; Beatmung</t>
        </is>
      </c>
      <c r="S267" s="11" t="inlineStr">
        <is>
          <t>Rehaklinik Davos</t>
        </is>
      </c>
    </row>
    <row r="268">
      <c r="A268" s="11" t="n">
        <v>265</v>
      </c>
      <c r="B268" s="11" t="inlineStr">
        <is>
          <t>B</t>
        </is>
      </c>
      <c r="C268" s="11" t="inlineStr">
        <is>
          <t>Spital/Klinik</t>
        </is>
      </c>
      <c r="D268" s="11" t="inlineStr">
        <is>
          <t>Gesundheitszentrum Surselva (GZS Ilanz)</t>
        </is>
      </c>
      <c r="E268" s="11" t="inlineStr">
        <is>
          <t>Ilanz</t>
        </is>
      </c>
      <c r="F268" s="11" t="inlineStr">
        <is>
          <t>7130</t>
        </is>
      </c>
      <c r="G268" s="11" t="inlineStr">
        <is>
          <t>GR</t>
        </is>
      </c>
      <c r="H268" s="11" t="inlineStr">
        <is>
          <t>Betriebsleiter Technik</t>
        </is>
      </c>
      <c r="I268" s="11" t="inlineStr">
        <is>
          <t>Techniker</t>
        </is>
      </c>
      <c r="J268" s="11" t="inlineStr">
        <is>
          <t>info@gzs.ch</t>
        </is>
      </c>
      <c r="K268" s="11" t="inlineStr">
        <is>
          <t>+41 81 925 25 25</t>
        </is>
      </c>
      <c r="L268" s="11" t="n"/>
      <c r="M268" s="11" t="inlineStr">
        <is>
          <t>offen</t>
        </is>
      </c>
      <c r="N268" s="11" t="inlineStr">
        <is>
          <t>Betriebsleiter GZS; Bahnhofstrasse 3 Ilanz; simap.ch GR</t>
        </is>
      </c>
      <c r="O268" s="11" t="inlineStr">
        <is>
          <t>Gesundheitszentrum: NEA 1× 250 kVA; USV; Arztpraxis + Pflegeheim; alpine Surselva</t>
        </is>
      </c>
      <c r="P268" s="11" t="inlineStr">
        <is>
          <t>USV</t>
        </is>
      </c>
      <c r="Q268" s="11" t="n"/>
      <c r="R268" s="11" t="inlineStr">
        <is>
          <t>Adr: Bahnhofstrasse 3, 7130 Ilanz | Gesundheitszentrum Surselva; alpine Lage</t>
        </is>
      </c>
      <c r="S268" s="11" t="inlineStr">
        <is>
          <t>Gesundheitszentrum Surselva</t>
        </is>
      </c>
    </row>
    <row r="269">
      <c r="A269" s="11" t="n">
        <v>266</v>
      </c>
      <c r="B269" s="11" t="inlineStr">
        <is>
          <t>B</t>
        </is>
      </c>
      <c r="C269" s="11" t="inlineStr">
        <is>
          <t>Spital/Klinik</t>
        </is>
      </c>
      <c r="D269" s="11" t="inlineStr">
        <is>
          <t>Privatklinik MENTALVA Cazis (PDGR)</t>
        </is>
      </c>
      <c r="E269" s="11" t="inlineStr">
        <is>
          <t>Cazis</t>
        </is>
      </c>
      <c r="F269" s="11" t="inlineStr">
        <is>
          <t>7408</t>
        </is>
      </c>
      <c r="G269" s="11" t="inlineStr">
        <is>
          <t>GR</t>
        </is>
      </c>
      <c r="H269" s="11" t="inlineStr">
        <is>
          <t>Betriebsleiter</t>
        </is>
      </c>
      <c r="I269" s="11" t="inlineStr">
        <is>
          <t>Techniker</t>
        </is>
      </c>
      <c r="J269" s="11" t="inlineStr">
        <is>
          <t>info@mentalva.ch</t>
        </is>
      </c>
      <c r="K269" s="11" t="inlineStr">
        <is>
          <t>+41 58 225 31 50</t>
        </is>
      </c>
      <c r="L269" s="11" t="n"/>
      <c r="M269" s="11" t="inlineStr">
        <is>
          <t>offen</t>
        </is>
      </c>
      <c r="N269" s="11" t="inlineStr">
        <is>
          <t>Betriebsleiter MENTALVA Cazis; PDGR-Verbindung nutzen</t>
        </is>
      </c>
      <c r="O269" s="11" t="inlineStr">
        <is>
          <t>Privatklinik Psychiatrie: NEA 1× 150 kVA; USV; Halbprivat+Privat; alpine Domleschg</t>
        </is>
      </c>
      <c r="P269" s="11" t="inlineStr">
        <is>
          <t>USV</t>
        </is>
      </c>
      <c r="Q269" s="11" t="n"/>
      <c r="R269" s="11" t="inlineStr">
        <is>
          <t>Adr: Cazis, 7408 GR | Privatklinik Psychiatrie; hohes Budget; PDGR-Verbund</t>
        </is>
      </c>
      <c r="S269" s="11" t="inlineStr">
        <is>
          <t>Privatklinik MENTALVA</t>
        </is>
      </c>
    </row>
    <row r="270">
      <c r="A270" s="11" t="n">
        <v>267</v>
      </c>
      <c r="B270" s="11" t="inlineStr">
        <is>
          <t>A</t>
        </is>
      </c>
      <c r="C270" s="11" t="inlineStr">
        <is>
          <t>Elektroplaner/Engineering</t>
        </is>
      </c>
      <c r="D270" s="11" t="inlineStr">
        <is>
          <t>4e elektrotechnik ag (Chur)</t>
        </is>
      </c>
      <c r="E270" s="11" t="inlineStr">
        <is>
          <t>Chur</t>
        </is>
      </c>
      <c r="F270" s="11" t="inlineStr">
        <is>
          <t>7000</t>
        </is>
      </c>
      <c r="G270" s="11" t="inlineStr">
        <is>
          <t>GR</t>
        </is>
      </c>
      <c r="H270" s="11" t="inlineStr">
        <is>
          <t>Inhaber / Geschäftsführer</t>
        </is>
      </c>
      <c r="I270" s="11" t="inlineStr">
        <is>
          <t>Elektroinstallateur EFZ</t>
        </is>
      </c>
      <c r="J270" s="11" t="inlineStr">
        <is>
          <t>info@4-e.ch</t>
        </is>
      </c>
      <c r="K270" s="11" t="inlineStr">
        <is>
          <t>+41 81 250 25 25</t>
        </is>
      </c>
      <c r="L270" s="11" t="n"/>
      <c r="M270" s="11" t="inlineStr">
        <is>
          <t>offen</t>
        </is>
      </c>
      <c r="N270" s="11" t="inlineStr">
        <is>
          <t>Inhaber 4e elektrotechnik; Ringstrasse 26 Chur; Partnerschaft besprechen</t>
        </is>
      </c>
      <c r="O270" s="11" t="inlineStr">
        <is>
          <t>Elektroinstallateur Chur/Untervaz: Industrie+Gewerbe; 3 Standorte; lokaler Marktführer Chur-Region</t>
        </is>
      </c>
      <c r="P270" s="11" t="n"/>
      <c r="Q270" s="11" t="n"/>
      <c r="R270" s="11" t="inlineStr">
        <is>
          <t>Adr: Ringstrasse 26, 7000 Chur | 3 Standorte Chur/Untervaz; lokaler Marktführer; Partnerschaft = Türöffner</t>
        </is>
      </c>
      <c r="S270" s="11" t="inlineStr">
        <is>
          <t>Elektrounternehmen Chur</t>
        </is>
      </c>
    </row>
    <row r="271">
      <c r="A271" s="11" t="n">
        <v>268</v>
      </c>
      <c r="B271" s="11" t="inlineStr">
        <is>
          <t>A</t>
        </is>
      </c>
      <c r="C271" s="11" t="inlineStr">
        <is>
          <t>Elektroplaner/Engineering</t>
        </is>
      </c>
      <c r="D271" s="11" t="inlineStr">
        <is>
          <t>EKZ Eltop Davos (Elektroinstallateur)</t>
        </is>
      </c>
      <c r="E271" s="11" t="inlineStr">
        <is>
          <t>Davos Dorf</t>
        </is>
      </c>
      <c r="F271" s="11" t="inlineStr">
        <is>
          <t>7260</t>
        </is>
      </c>
      <c r="G271" s="11" t="inlineStr">
        <is>
          <t>GR</t>
        </is>
      </c>
      <c r="H271" s="11" t="inlineStr">
        <is>
          <t>Filialleiter / Betriebsleiter</t>
        </is>
      </c>
      <c r="I271" s="11" t="inlineStr">
        <is>
          <t>Elektroinstallateur EFZ</t>
        </is>
      </c>
      <c r="J271" s="11" t="inlineStr">
        <is>
          <t>davos@ekzeltop.ch</t>
        </is>
      </c>
      <c r="K271" s="11" t="inlineStr">
        <is>
          <t>+41 81 415 80 00</t>
        </is>
      </c>
      <c r="L271" s="11" t="n"/>
      <c r="M271" s="11" t="inlineStr">
        <is>
          <t>offen</t>
        </is>
      </c>
      <c r="N271" s="11" t="inlineStr">
        <is>
          <t>Filialleiter Eltop Davos; WEF-Umfeld; Partnerschaft für Davos-Akquise</t>
        </is>
      </c>
      <c r="O271" s="11" t="inlineStr">
        <is>
          <t>Elektrounternehmen Davos: Installationen + Service; WEF-Umfeld; alpine Expertise; PV-Anlagen</t>
        </is>
      </c>
      <c r="P271" s="11" t="n"/>
      <c r="Q271" s="11" t="n"/>
      <c r="R271" s="11" t="inlineStr">
        <is>
          <t>Adr: Promenade 11, 7260 Davos Dorf | EKZ-Tochter; Davos-Marktführer; WEF-Umfeld</t>
        </is>
      </c>
      <c r="S271" s="11" t="inlineStr">
        <is>
          <t>Elektroinstallateur Davos</t>
        </is>
      </c>
    </row>
    <row r="272">
      <c r="A272" s="11" t="n">
        <v>269</v>
      </c>
      <c r="B272" s="11" t="inlineStr">
        <is>
          <t>A</t>
        </is>
      </c>
      <c r="C272" s="11" t="inlineStr">
        <is>
          <t>Elektroplaner/Engineering</t>
        </is>
      </c>
      <c r="D272" s="11" t="inlineStr">
        <is>
          <t>Elektro Christoffel AG (Davos, seit 1963)</t>
        </is>
      </c>
      <c r="E272" s="11" t="inlineStr">
        <is>
          <t>Davos Platz</t>
        </is>
      </c>
      <c r="F272" s="11" t="inlineStr">
        <is>
          <t>7270</t>
        </is>
      </c>
      <c r="G272" s="11" t="inlineStr">
        <is>
          <t>GR</t>
        </is>
      </c>
      <c r="H272" s="11" t="inlineStr">
        <is>
          <t>Inhaber / Geschäftsführer</t>
        </is>
      </c>
      <c r="I272" s="11" t="inlineStr">
        <is>
          <t>Elektroinstallateur EFZ</t>
        </is>
      </c>
      <c r="J272" s="11" t="inlineStr">
        <is>
          <t>info@elektrochristoffel.ch</t>
        </is>
      </c>
      <c r="K272" s="11" t="inlineStr">
        <is>
          <t>+41 81 413 48 48</t>
        </is>
      </c>
      <c r="L272" s="11" t="n"/>
      <c r="M272" s="11" t="inlineStr">
        <is>
          <t>offen</t>
        </is>
      </c>
      <c r="N272" s="11" t="inlineStr">
        <is>
          <t>Inhaber Elektro Christoffel; Promenade 61 Davos Platz; Partnerschaft</t>
        </is>
      </c>
      <c r="O272" s="11" t="inlineStr">
        <is>
          <t>Traditionsunternehmen Davos seit 1963: Installationen Gewerbe+Industrie+Hotellerie; Vollspektrum</t>
        </is>
      </c>
      <c r="P272" s="11" t="n"/>
      <c r="Q272" s="11" t="n"/>
      <c r="R272" s="11" t="inlineStr">
        <is>
          <t>Adr: Promenade 61, 7270 Davos Platz | Davos seit 1963; 60 Jahre Marktkenntnis; Vollspektrum</t>
        </is>
      </c>
      <c r="S272" s="11" t="inlineStr">
        <is>
          <t>Elektroinstallateur Davos</t>
        </is>
      </c>
    </row>
    <row r="273">
      <c r="A273" s="11" t="n">
        <v>270</v>
      </c>
      <c r="B273" s="11" t="inlineStr">
        <is>
          <t>A</t>
        </is>
      </c>
      <c r="C273" s="11" t="inlineStr">
        <is>
          <t>Elektroplaner/Engineering</t>
        </is>
      </c>
      <c r="D273" s="11" t="inlineStr">
        <is>
          <t>Elektro Engiadina AG (St. Moritz / Engadin)</t>
        </is>
      </c>
      <c r="E273" s="11" t="inlineStr">
        <is>
          <t>St. Moritz</t>
        </is>
      </c>
      <c r="F273" s="11" t="inlineStr">
        <is>
          <t>7500</t>
        </is>
      </c>
      <c r="G273" s="11" t="inlineStr">
        <is>
          <t>GR</t>
        </is>
      </c>
      <c r="H273" s="11" t="inlineStr">
        <is>
          <t>Inhaber / Betriebsleiter</t>
        </is>
      </c>
      <c r="I273" s="11" t="inlineStr">
        <is>
          <t>Elektroinstallateur EFZ</t>
        </is>
      </c>
      <c r="J273" s="11" t="inlineStr">
        <is>
          <t>info@elektroengiadina.ch</t>
        </is>
      </c>
      <c r="K273" s="11" t="inlineStr">
        <is>
          <t>+41 81 833 33 50</t>
        </is>
      </c>
      <c r="L273" s="11" t="n"/>
      <c r="M273" s="11" t="inlineStr">
        <is>
          <t>offen</t>
        </is>
      </c>
      <c r="N273" s="11" t="inlineStr">
        <is>
          <t>Inhaber Elektro Engiadina; Via Maistra St. Moritz; Engadin-Partnerschaft</t>
        </is>
      </c>
      <c r="O273" s="11" t="inlineStr">
        <is>
          <t>Elektrounternehmen St. Moritz/Engadin: Luxushotels + Bergbahnen + Villen; Engadin-Marktführer</t>
        </is>
      </c>
      <c r="P273" s="11" t="n"/>
      <c r="Q273" s="11" t="n"/>
      <c r="R273" s="11" t="inlineStr">
        <is>
          <t>Adr: Via Maistra, 7500 St. Moritz | Engadin-Marktführer; Luxushotels+Bergbahnen; Türöffner</t>
        </is>
      </c>
      <c r="S273" s="11" t="inlineStr">
        <is>
          <t>Elektrounternehmen Engadin</t>
        </is>
      </c>
    </row>
    <row r="274">
      <c r="A274" s="11" t="n">
        <v>271</v>
      </c>
      <c r="B274" s="11" t="inlineStr">
        <is>
          <t>B</t>
        </is>
      </c>
      <c r="C274" s="11" t="inlineStr">
        <is>
          <t>Elektroplaner/Engineering</t>
        </is>
      </c>
      <c r="D274" s="11" t="inlineStr">
        <is>
          <t>Foffa Conrad AG Elektro (Müstair/Surselva)</t>
        </is>
      </c>
      <c r="E274" s="11" t="inlineStr">
        <is>
          <t>Müstair</t>
        </is>
      </c>
      <c r="F274" s="11" t="inlineStr">
        <is>
          <t>7537</t>
        </is>
      </c>
      <c r="G274" s="11" t="inlineStr">
        <is>
          <t>GR</t>
        </is>
      </c>
      <c r="H274" s="11" t="inlineStr">
        <is>
          <t>Inhaber</t>
        </is>
      </c>
      <c r="I274" s="11" t="inlineStr">
        <is>
          <t>Elektroinstallateur EFZ</t>
        </is>
      </c>
      <c r="J274" s="11" t="inlineStr">
        <is>
          <t>info@foffaconrad.ch</t>
        </is>
      </c>
      <c r="K274" s="11" t="inlineStr">
        <is>
          <t>+41 81 858 55 55</t>
        </is>
      </c>
      <c r="L274" s="11" t="n"/>
      <c r="M274" s="11" t="inlineStr">
        <is>
          <t>offen</t>
        </is>
      </c>
      <c r="N274" s="11" t="inlineStr">
        <is>
          <t>Inhaber Foffa Conrad; Müstair GR; alpine Partnerschaft</t>
        </is>
      </c>
      <c r="O274" s="11" t="inlineStr">
        <is>
          <t>Elektrounternehmen Münstertal/Surselva: alpine Projekte; Berggebiete; lokale Kenntnis</t>
        </is>
      </c>
      <c r="P274" s="11" t="n"/>
      <c r="Q274" s="11" t="n"/>
      <c r="R274" s="11" t="inlineStr">
        <is>
          <t>Adr: Müstair, 7537 GR | Lokales Elektrounternehmen Münstertal; alpine alpine Expertise</t>
        </is>
      </c>
      <c r="S274" s="11" t="inlineStr">
        <is>
          <t>Elektrounternehmen Surselva</t>
        </is>
      </c>
    </row>
    <row r="275">
      <c r="A275" s="11" t="n">
        <v>272</v>
      </c>
      <c r="B275" s="11" t="inlineStr">
        <is>
          <t>A</t>
        </is>
      </c>
      <c r="C275" s="11" t="inlineStr">
        <is>
          <t>Events/Messen</t>
        </is>
      </c>
      <c r="D275" s="11" t="inlineStr">
        <is>
          <t>Kongresszentrum Davos / Davos Congress</t>
        </is>
      </c>
      <c r="E275" s="11" t="inlineStr">
        <is>
          <t>Davos</t>
        </is>
      </c>
      <c r="F275" s="11" t="inlineStr">
        <is>
          <t>7270</t>
        </is>
      </c>
      <c r="G275" s="11" t="inlineStr">
        <is>
          <t>GR</t>
        </is>
      </c>
      <c r="H275" s="11" t="inlineStr">
        <is>
          <t>Technische Leitung / Head of Operations</t>
        </is>
      </c>
      <c r="I275" s="11" t="inlineStr">
        <is>
          <t>Veranstaltungstechniker</t>
        </is>
      </c>
      <c r="J275" s="11" t="inlineStr">
        <is>
          <t>info@davoscongress.ch</t>
        </is>
      </c>
      <c r="K275" s="11" t="inlineStr">
        <is>
          <t>+41 81 415 21 60</t>
        </is>
      </c>
      <c r="L275" s="11" t="n"/>
      <c r="M275" s="11" t="inlineStr">
        <is>
          <t>offen</t>
        </is>
      </c>
      <c r="N275" s="11" t="inlineStr">
        <is>
          <t>Technische Leitung Davos Congress; Talstrasse 49a Davos; Event-Pitch</t>
        </is>
      </c>
      <c r="O275" s="11" t="inlineStr">
        <is>
          <t>Kongresszentrum 12'000 m²; 34 Räume; 5'000 Gäste; WEF-Heimat; Temporary Power Events 500 kVA; USV</t>
        </is>
      </c>
      <c r="P275" s="11" t="inlineStr">
        <is>
          <t>USV</t>
        </is>
      </c>
      <c r="Q275" s="11" t="n"/>
      <c r="R275" s="11" t="inlineStr">
        <is>
          <t>Adr: Talstrasse 49a, 7270 Davos | WEF-Heimat; 12'000 m²; 34 Räume; 100+ Kongresse/Jahr</t>
        </is>
      </c>
      <c r="S275" s="11" t="inlineStr">
        <is>
          <t>Kongresszentrum Davos</t>
        </is>
      </c>
    </row>
    <row r="276">
      <c r="A276" s="11" t="n">
        <v>273</v>
      </c>
      <c r="B276" s="11" t="inlineStr">
        <is>
          <t>A</t>
        </is>
      </c>
      <c r="C276" s="11" t="inlineStr">
        <is>
          <t>Events/Messen</t>
        </is>
      </c>
      <c r="D276" s="11" t="inlineStr">
        <is>
          <t>Brandis12 Chur (Event- und Kongresszentrum)</t>
        </is>
      </c>
      <c r="E276" s="11" t="inlineStr">
        <is>
          <t>Chur</t>
        </is>
      </c>
      <c r="F276" s="11" t="inlineStr">
        <is>
          <t>7000</t>
        </is>
      </c>
      <c r="G276" s="11" t="inlineStr">
        <is>
          <t>GR</t>
        </is>
      </c>
      <c r="H276" s="11" t="inlineStr">
        <is>
          <t>Technische Leitung</t>
        </is>
      </c>
      <c r="I276" s="11" t="inlineStr">
        <is>
          <t>Veranstaltungstechniker</t>
        </is>
      </c>
      <c r="J276" s="11" t="inlineStr">
        <is>
          <t>info@brandis12.ch</t>
        </is>
      </c>
      <c r="K276" s="11" t="inlineStr">
        <is>
          <t>+41 81 257 22 00</t>
        </is>
      </c>
      <c r="L276" s="11" t="n"/>
      <c r="M276" s="11" t="inlineStr">
        <is>
          <t>offen</t>
        </is>
      </c>
      <c r="N276" s="11" t="inlineStr">
        <is>
          <t>Technische Leitung Brandis12; Brandisstrasse 12 Chur; Event-Pitch</t>
        </is>
      </c>
      <c r="O276" s="11" t="inlineStr">
        <is>
          <t>Kongresszentrum Chur: Temporary Power 200 kVA; USV Events; Tagungen + Seminare; Electrosuisse-Standort</t>
        </is>
      </c>
      <c r="P276" s="11" t="inlineStr">
        <is>
          <t>USV</t>
        </is>
      </c>
      <c r="Q276" s="11" t="n"/>
      <c r="R276" s="11" t="inlineStr">
        <is>
          <t>Adr: Brandisstrasse 12, 7000 Chur | Electrosuisse-Tagungsort; Kongresse; Temporary Power</t>
        </is>
      </c>
      <c r="S276" s="11" t="inlineStr">
        <is>
          <t>Kongresszentrum Chur</t>
        </is>
      </c>
    </row>
    <row r="277">
      <c r="A277" s="11" t="n">
        <v>274</v>
      </c>
      <c r="B277" s="11" t="inlineStr">
        <is>
          <t>A</t>
        </is>
      </c>
      <c r="C277" s="11" t="inlineStr">
        <is>
          <t>Events/Messen</t>
        </is>
      </c>
      <c r="D277" s="11" t="inlineStr">
        <is>
          <t>Skiclub St. Moritz / Engadin Skimarathon (OK Technik)</t>
        </is>
      </c>
      <c r="E277" s="11" t="inlineStr">
        <is>
          <t>St. Moritz</t>
        </is>
      </c>
      <c r="F277" s="11" t="inlineStr">
        <is>
          <t>7500</t>
        </is>
      </c>
      <c r="G277" s="11" t="inlineStr">
        <is>
          <t>GR</t>
        </is>
      </c>
      <c r="H277" s="11" t="inlineStr">
        <is>
          <t>OK Technik / Veranstaltungsleiter</t>
        </is>
      </c>
      <c r="I277" s="11" t="inlineStr">
        <is>
          <t>Veranstaltungstechniker</t>
        </is>
      </c>
      <c r="J277" s="11" t="inlineStr">
        <is>
          <t>info@engadin-skimarathon.ch</t>
        </is>
      </c>
      <c r="K277" s="11" t="inlineStr">
        <is>
          <t>+41 81 830 17 55</t>
        </is>
      </c>
      <c r="L277" s="11" t="n"/>
      <c r="M277" s="11" t="inlineStr">
        <is>
          <t>offen</t>
        </is>
      </c>
      <c r="N277" s="11" t="inlineStr">
        <is>
          <t>OK Technik Engadin Skimarathon; Kontakt Herbst für März; Broadcast-Pitch</t>
        </is>
      </c>
      <c r="O277" s="11" t="inlineStr">
        <is>
          <t>Engadin Skimarathon März: Temporary Power 300 kVA; USV Broadcast SRF; 12'000 Teilnehmer</t>
        </is>
      </c>
      <c r="P277" s="11" t="inlineStr">
        <is>
          <t>Generator</t>
        </is>
      </c>
      <c r="Q277" s="11" t="n"/>
      <c r="R277" s="11" t="inlineStr">
        <is>
          <t>Adr: St. Moritz, 7500 GR | Grösster Schweizer Skimarathon; 12'000 TN; SRF-Broadcast</t>
        </is>
      </c>
      <c r="S277" s="11" t="inlineStr">
        <is>
          <t>Sportevent / Skirennen</t>
        </is>
      </c>
    </row>
    <row r="278">
      <c r="A278" s="11" t="n">
        <v>275</v>
      </c>
      <c r="B278" s="11" t="inlineStr">
        <is>
          <t>B</t>
        </is>
      </c>
      <c r="C278" s="11" t="inlineStr">
        <is>
          <t>Events/Messen</t>
        </is>
      </c>
      <c r="D278" s="11" t="inlineStr">
        <is>
          <t>Davos Festival – World Culture Forum (Events)</t>
        </is>
      </c>
      <c r="E278" s="11" t="inlineStr">
        <is>
          <t>Davos</t>
        </is>
      </c>
      <c r="F278" s="11" t="inlineStr">
        <is>
          <t>7270</t>
        </is>
      </c>
      <c r="G278" s="11" t="inlineStr">
        <is>
          <t>GR</t>
        </is>
      </c>
      <c r="H278" s="11" t="inlineStr">
        <is>
          <t>Technische Leitung</t>
        </is>
      </c>
      <c r="I278" s="11" t="inlineStr">
        <is>
          <t>Veranstaltungstechniker</t>
        </is>
      </c>
      <c r="J278" s="11" t="inlineStr">
        <is>
          <t>info@davosfestival.ch</t>
        </is>
      </c>
      <c r="K278" s="11" t="inlineStr">
        <is>
          <t>+41 81 410 20 00</t>
        </is>
      </c>
      <c r="L278" s="11" t="n"/>
      <c r="M278" s="11" t="inlineStr">
        <is>
          <t>offen</t>
        </is>
      </c>
      <c r="N278" s="11" t="inlineStr">
        <is>
          <t>Technische Leitung Davos Festival; Kontakt Frühjahr für Sommer</t>
        </is>
      </c>
      <c r="O278" s="11" t="inlineStr">
        <is>
          <t>Davos Festival Sommer: Temporary Power 200 kVA; USV; Outdoor + Kongresszentrum</t>
        </is>
      </c>
      <c r="P278" s="11" t="inlineStr">
        <is>
          <t>Generator</t>
        </is>
      </c>
      <c r="Q278" s="11" t="n"/>
      <c r="R278" s="11" t="inlineStr">
        <is>
          <t>Adr: Davos, 7270 GR | Sommer-Kulturfestival; Outdoor + Indoor Events; Davos</t>
        </is>
      </c>
      <c r="S278" s="11" t="inlineStr">
        <is>
          <t>Musik-Festival</t>
        </is>
      </c>
    </row>
    <row r="279">
      <c r="A279" s="11" t="n">
        <v>276</v>
      </c>
      <c r="B279" s="11" t="inlineStr">
        <is>
          <t>B</t>
        </is>
      </c>
      <c r="C279" s="11" t="inlineStr">
        <is>
          <t>Events/Messen</t>
        </is>
      </c>
      <c r="D279" s="11" t="inlineStr">
        <is>
          <t>Graubünden Sport (Kantonaler Sportverband)</t>
        </is>
      </c>
      <c r="E279" s="11" t="inlineStr">
        <is>
          <t>Chur</t>
        </is>
      </c>
      <c r="F279" s="11" t="inlineStr">
        <is>
          <t>7000</t>
        </is>
      </c>
      <c r="G279" s="11" t="inlineStr">
        <is>
          <t>GR</t>
        </is>
      </c>
      <c r="H279" s="11" t="inlineStr">
        <is>
          <t>Betriebsleiter Events</t>
        </is>
      </c>
      <c r="I279" s="11" t="inlineStr">
        <is>
          <t>Techniker</t>
        </is>
      </c>
      <c r="J279" s="11" t="inlineStr">
        <is>
          <t>info@gr-sport.ch</t>
        </is>
      </c>
      <c r="K279" s="11" t="inlineStr">
        <is>
          <t>+41 81 257 43 57</t>
        </is>
      </c>
      <c r="L279" s="11" t="n"/>
      <c r="M279" s="11" t="inlineStr">
        <is>
          <t>offen</t>
        </is>
      </c>
      <c r="N279" s="11" t="inlineStr">
        <is>
          <t>Betriebsleiter GR Sport; kantonale Events ansprechen</t>
        </is>
      </c>
      <c r="O279" s="11" t="inlineStr">
        <is>
          <t>Kantonale Sportveranstaltungen GR: Temporary Power 100–300 kVA; diverse Locations</t>
        </is>
      </c>
      <c r="P279" s="11" t="inlineStr">
        <is>
          <t>Generator</t>
        </is>
      </c>
      <c r="Q279" s="11" t="n"/>
      <c r="R279" s="11" t="inlineStr">
        <is>
          <t>Adr: Poststrasse, 7000 Chur | Kantonaler Sportverband GR; diverse alpine Events</t>
        </is>
      </c>
      <c r="S279" s="11" t="inlineStr">
        <is>
          <t>Sportevent Graubünden</t>
        </is>
      </c>
    </row>
    <row r="280">
      <c r="A280" s="11" t="n">
        <v>277</v>
      </c>
      <c r="B280" s="11" t="inlineStr">
        <is>
          <t>A</t>
        </is>
      </c>
      <c r="C280" s="11" t="inlineStr">
        <is>
          <t>Industrie/Maschinenbau</t>
        </is>
      </c>
      <c r="D280" s="11" t="inlineStr">
        <is>
          <t>Holcim (Kieswerk + Betonwerk Chur-Umgebung)</t>
        </is>
      </c>
      <c r="E280" s="11" t="inlineStr">
        <is>
          <t>Domat/Ems</t>
        </is>
      </c>
      <c r="F280" s="11" t="inlineStr">
        <is>
          <t>7013</t>
        </is>
      </c>
      <c r="G280" s="11" t="inlineStr">
        <is>
          <t>GR</t>
        </is>
      </c>
      <c r="H280" s="11" t="inlineStr">
        <is>
          <t>Betriebsleiter Elektro</t>
        </is>
      </c>
      <c r="I280" s="11" t="inlineStr">
        <is>
          <t>Dipl. El.-Ing.</t>
        </is>
      </c>
      <c r="J280" s="11" t="inlineStr">
        <is>
          <t>info@holcim.ch</t>
        </is>
      </c>
      <c r="K280" s="11" t="inlineStr">
        <is>
          <t>+41 81 632 50 00</t>
        </is>
      </c>
      <c r="L280" s="11" t="n"/>
      <c r="M280" s="11" t="inlineStr">
        <is>
          <t>offen</t>
        </is>
      </c>
      <c r="N280" s="11" t="inlineStr">
        <is>
          <t>Betriebsleiter Holcim Domat/Ems; FU-PQ-Pitch GR</t>
        </is>
      </c>
      <c r="O280" s="11" t="inlineStr">
        <is>
          <t>Betonwerk + Kieswerk: NEA 1 MVA; FU-Förderbänder + Mischer intensiv; PQ; EMV; ISO 50001</t>
        </is>
      </c>
      <c r="P280" s="11" t="n"/>
      <c r="Q280" s="11" t="n"/>
      <c r="R280" s="11" t="inlineStr">
        <is>
          <t>Adr: Domat/Ems, 7013 GR | Holcim Betonwerk; FU-Förderbänder intensiv; EMS-Chemie-Nachbar</t>
        </is>
      </c>
      <c r="S280" s="11" t="inlineStr">
        <is>
          <t>Zement/Kalk Werk</t>
        </is>
      </c>
    </row>
    <row r="281">
      <c r="A281" s="11" t="n">
        <v>278</v>
      </c>
      <c r="B281" s="11" t="inlineStr">
        <is>
          <t>B</t>
        </is>
      </c>
      <c r="C281" s="11" t="inlineStr">
        <is>
          <t>Industrie/Maschinenbau</t>
        </is>
      </c>
      <c r="D281" s="11" t="inlineStr">
        <is>
          <t>Domat/Ems Holz AG (Sägewerk EMS-Region)</t>
        </is>
      </c>
      <c r="E281" s="11" t="inlineStr">
        <is>
          <t>Domat/Ems</t>
        </is>
      </c>
      <c r="F281" s="11" t="inlineStr">
        <is>
          <t>7013</t>
        </is>
      </c>
      <c r="G281" s="11" t="inlineStr">
        <is>
          <t>GR</t>
        </is>
      </c>
      <c r="H281" s="11" t="inlineStr">
        <is>
          <t>Betriebsleiter Technik</t>
        </is>
      </c>
      <c r="I281" s="11" t="inlineStr">
        <is>
          <t>Techniker</t>
        </is>
      </c>
      <c r="J281" s="11" t="inlineStr">
        <is>
          <t>info@domat-holz.ch</t>
        </is>
      </c>
      <c r="K281" s="11" t="inlineStr">
        <is>
          <t>+41 81 632 20 00</t>
        </is>
      </c>
      <c r="L281" s="11" t="n"/>
      <c r="M281" s="11" t="inlineStr">
        <is>
          <t>offen</t>
        </is>
      </c>
      <c r="N281" s="11" t="inlineStr">
        <is>
          <t>Betriebsleiter Domat Holz; Domat/Ems GR; FU-PQ-Pitch</t>
        </is>
      </c>
      <c r="O281" s="11" t="inlineStr">
        <is>
          <t>Sägewerk + Holzverarbeitung: NEA 500 kVA; FU-Sägen intensiv; PQ; ISO 50001</t>
        </is>
      </c>
      <c r="P281" s="11" t="inlineStr">
        <is>
          <t>Kälte</t>
        </is>
      </c>
      <c r="Q281" s="11" t="n"/>
      <c r="R281" s="11" t="inlineStr">
        <is>
          <t>Adr: Domat/Ems, 7013 GR | Sägewerk GR; FU-Sägen intensiv; EMS-Cluster</t>
        </is>
      </c>
      <c r="S281" s="11" t="inlineStr">
        <is>
          <t>Holz / Sägewerk</t>
        </is>
      </c>
    </row>
    <row r="282">
      <c r="A282" s="11" t="n">
        <v>279</v>
      </c>
      <c r="B282" s="11" t="inlineStr">
        <is>
          <t>A</t>
        </is>
      </c>
      <c r="C282" s="11" t="inlineStr">
        <is>
          <t>Industrie/Maschinenbau</t>
        </is>
      </c>
      <c r="D282" s="11" t="inlineStr">
        <is>
          <t>Rhäzünser Mineralquellen AG</t>
        </is>
      </c>
      <c r="E282" s="11" t="inlineStr">
        <is>
          <t>Rhäzüns</t>
        </is>
      </c>
      <c r="F282" s="11" t="inlineStr">
        <is>
          <t>7408</t>
        </is>
      </c>
      <c r="G282" s="11" t="inlineStr">
        <is>
          <t>GR</t>
        </is>
      </c>
      <c r="H282" s="11" t="inlineStr">
        <is>
          <t>Betriebsleiter Technik</t>
        </is>
      </c>
      <c r="I282" s="11" t="inlineStr">
        <is>
          <t>Techniker</t>
        </is>
      </c>
      <c r="J282" s="11" t="inlineStr">
        <is>
          <t>info@rhaezuns.ch</t>
        </is>
      </c>
      <c r="K282" s="11" t="inlineStr">
        <is>
          <t>+41 81 650 60 00</t>
        </is>
      </c>
      <c r="L282" s="11" t="n"/>
      <c r="M282" s="11" t="inlineStr">
        <is>
          <t>offen</t>
        </is>
      </c>
      <c r="N282" s="11" t="inlineStr">
        <is>
          <t>MiT-CRM: Rhäzünser als Kältekunde prüfen; Domleschg GR</t>
        </is>
      </c>
      <c r="O282" s="11" t="inlineStr">
        <is>
          <t>Mineralwasser-Produktion: NEA Kühlkette 300 kVA; FU-Abfüllanlagen; ISO 50001; alpine Quelle</t>
        </is>
      </c>
      <c r="P282" s="11" t="inlineStr">
        <is>
          <t>Kälte</t>
        </is>
      </c>
      <c r="Q282" s="11" t="n"/>
      <c r="R282" s="11" t="inlineStr">
        <is>
          <t>Adr: Rhäzüns, 7408 GR | Rhäzünser Mineralwasser; Kühlkette; alpine Quelle Domleschg</t>
        </is>
      </c>
      <c r="S282" s="11" t="inlineStr">
        <is>
          <t>Mineralwasser Rhäzüns</t>
        </is>
      </c>
    </row>
    <row r="283">
      <c r="A283" s="11" t="n">
        <v>280</v>
      </c>
      <c r="B283" s="11" t="inlineStr">
        <is>
          <t>A</t>
        </is>
      </c>
      <c r="C283" s="11" t="inlineStr">
        <is>
          <t>Bergbahn/Tourismus</t>
        </is>
      </c>
      <c r="D283" s="11" t="inlineStr">
        <is>
          <t>Steigenberger Grandhotel Belvédère Davos</t>
        </is>
      </c>
      <c r="E283" s="11" t="inlineStr">
        <is>
          <t>Davos Platz</t>
        </is>
      </c>
      <c r="F283" s="11" t="inlineStr">
        <is>
          <t>7270</t>
        </is>
      </c>
      <c r="G283" s="11" t="inlineStr">
        <is>
          <t>GR</t>
        </is>
      </c>
      <c r="H283" s="11" t="inlineStr">
        <is>
          <t>Facility Manager / Chef de Maintenance</t>
        </is>
      </c>
      <c r="I283" s="11" t="inlineStr">
        <is>
          <t>Ing.</t>
        </is>
      </c>
      <c r="J283" s="11" t="inlineStr">
        <is>
          <t>info.davos@steigenberger.com</t>
        </is>
      </c>
      <c r="K283" s="11" t="inlineStr">
        <is>
          <t>+41 81 415 60 00</t>
        </is>
      </c>
      <c r="L283" s="11" t="n"/>
      <c r="M283" s="11" t="inlineStr">
        <is>
          <t>offen</t>
        </is>
      </c>
      <c r="N283" s="11" t="inlineStr">
        <is>
          <t>Facility Manager Belvédère; Promenade 89 Davos; WEF + Luxus-Pitch</t>
        </is>
      </c>
      <c r="O283" s="11" t="inlineStr">
        <is>
          <t>5-Sterne Grandhotel Davos: NEA 1× 400 kVA; USV alpine Lage; WEF-Gäste; 300 Zimmer</t>
        </is>
      </c>
      <c r="P283" s="11" t="inlineStr">
        <is>
          <t>USV</t>
        </is>
      </c>
      <c r="Q283" s="11" t="n"/>
      <c r="R283" s="11" t="inlineStr">
        <is>
          <t>Adr: Promenade 89, 7270 Davos Platz | 5-Sterne WEF-Hotel; höchstes Budget Davos</t>
        </is>
      </c>
      <c r="S283" s="11" t="inlineStr">
        <is>
          <t>Luxushotel Davos</t>
        </is>
      </c>
    </row>
    <row r="284">
      <c r="A284" s="11" t="n">
        <v>281</v>
      </c>
      <c r="B284" s="11" t="inlineStr">
        <is>
          <t>A</t>
        </is>
      </c>
      <c r="C284" s="11" t="inlineStr">
        <is>
          <t>Bergbahn/Tourismus</t>
        </is>
      </c>
      <c r="D284" s="11" t="inlineStr">
        <is>
          <t>Morosani Hotels Davos (Kongress + Schweizerh.)</t>
        </is>
      </c>
      <c r="E284" s="11" t="inlineStr">
        <is>
          <t>Davos Platz</t>
        </is>
      </c>
      <c r="F284" s="11" t="inlineStr">
        <is>
          <t>7270</t>
        </is>
      </c>
      <c r="G284" s="11" t="inlineStr">
        <is>
          <t>GR</t>
        </is>
      </c>
      <c r="H284" s="11" t="inlineStr">
        <is>
          <t>Facility Manager</t>
        </is>
      </c>
      <c r="I284" s="11" t="inlineStr">
        <is>
          <t>Techniker</t>
        </is>
      </c>
      <c r="J284" s="11" t="inlineStr">
        <is>
          <t>info@morosani.ch</t>
        </is>
      </c>
      <c r="K284" s="11" t="inlineStr">
        <is>
          <t>+41 81 415 22 21</t>
        </is>
      </c>
      <c r="L284" s="11" t="n"/>
      <c r="M284" s="11" t="inlineStr">
        <is>
          <t>offen</t>
        </is>
      </c>
      <c r="N284" s="11" t="inlineStr">
        <is>
          <t>Facility Manager Morosani; Promenade Davos; WEF-Pitch 2 Hotels</t>
        </is>
      </c>
      <c r="O284" s="11" t="inlineStr">
        <is>
          <t>2 Luxushotels Davos (Schweizerhof + Posthotel): NEA 2× 300 kVA; USV; 400 Zimmer total</t>
        </is>
      </c>
      <c r="P284" s="11" t="inlineStr">
        <is>
          <t>USV</t>
        </is>
      </c>
      <c r="Q284" s="11" t="n"/>
      <c r="R284" s="11" t="inlineStr">
        <is>
          <t>Adr: Promenade 50, 7270 Davos Platz | 2 Hotels; 400 Zimmer; WEF-Budget</t>
        </is>
      </c>
      <c r="S284" s="11" t="inlineStr">
        <is>
          <t>Luxushotel Davos</t>
        </is>
      </c>
    </row>
    <row r="285">
      <c r="A285" s="11" t="n">
        <v>282</v>
      </c>
      <c r="B285" s="11" t="inlineStr">
        <is>
          <t>B</t>
        </is>
      </c>
      <c r="C285" s="11" t="inlineStr">
        <is>
          <t>Bergbahn/Tourismus</t>
        </is>
      </c>
      <c r="D285" s="11" t="inlineStr">
        <is>
          <t>Arosa Kulm Hotel &amp; Alpin Spa (Leading Hotels)</t>
        </is>
      </c>
      <c r="E285" s="11" t="inlineStr">
        <is>
          <t>Arosa</t>
        </is>
      </c>
      <c r="F285" s="11" t="inlineStr">
        <is>
          <t>7050</t>
        </is>
      </c>
      <c r="G285" s="11" t="inlineStr">
        <is>
          <t>GR</t>
        </is>
      </c>
      <c r="H285" s="11" t="inlineStr">
        <is>
          <t>Facility Manager</t>
        </is>
      </c>
      <c r="I285" s="11" t="inlineStr">
        <is>
          <t>Ing.</t>
        </is>
      </c>
      <c r="J285" s="11" t="inlineStr">
        <is>
          <t>info@arosakulm.ch</t>
        </is>
      </c>
      <c r="K285" s="11" t="inlineStr">
        <is>
          <t>+41 81 378 88 88</t>
        </is>
      </c>
      <c r="L285" s="11" t="n"/>
      <c r="M285" s="11" t="inlineStr">
        <is>
          <t>offen</t>
        </is>
      </c>
      <c r="N285" s="11" t="inlineStr">
        <is>
          <t>Facility Manager Arosa Kulm; Innerarosa; Luxus-Pitch</t>
        </is>
      </c>
      <c r="O285" s="11" t="inlineStr">
        <is>
          <t>5-Sterne Kulm Hotel Arosa: NEA 1× 300 kVA; USV alpine 1'800 m; Leading Hotels of the World</t>
        </is>
      </c>
      <c r="P285" s="11" t="inlineStr">
        <is>
          <t>USV</t>
        </is>
      </c>
      <c r="Q285" s="11" t="n"/>
      <c r="R285" s="11" t="inlineStr">
        <is>
          <t>Adr: Innerarosa, 7050 Arosa | Leading Hotels of the World; 5-Sterne; alpine 1'800 m</t>
        </is>
      </c>
      <c r="S285" s="11" t="inlineStr">
        <is>
          <t>Hotel Arosa</t>
        </is>
      </c>
    </row>
    <row r="286">
      <c r="A286" s="11" t="n">
        <v>283</v>
      </c>
      <c r="B286" s="11" t="inlineStr">
        <is>
          <t>B</t>
        </is>
      </c>
      <c r="C286" s="11" t="inlineStr">
        <is>
          <t>Bergbahn/Tourismus</t>
        </is>
      </c>
      <c r="D286" s="11" t="inlineStr">
        <is>
          <t>Kempinski Grand Hotel des Bains St. Moritz</t>
        </is>
      </c>
      <c r="E286" s="11" t="inlineStr">
        <is>
          <t>St. Moritz</t>
        </is>
      </c>
      <c r="F286" s="11" t="inlineStr">
        <is>
          <t>7500</t>
        </is>
      </c>
      <c r="G286" s="11" t="inlineStr">
        <is>
          <t>GR</t>
        </is>
      </c>
      <c r="H286" s="11" t="inlineStr">
        <is>
          <t>Facility Manager</t>
        </is>
      </c>
      <c r="I286" s="11" t="inlineStr">
        <is>
          <t>Ing.</t>
        </is>
      </c>
      <c r="J286" s="11" t="inlineStr">
        <is>
          <t>info@kempinski-stmoritz.com</t>
        </is>
      </c>
      <c r="K286" s="11" t="inlineStr">
        <is>
          <t>+41 81 838 38 38</t>
        </is>
      </c>
      <c r="L286" s="11" t="n"/>
      <c r="M286" s="11" t="inlineStr">
        <is>
          <t>offen</t>
        </is>
      </c>
      <c r="N286" s="11" t="inlineStr">
        <is>
          <t>Facility Manager Kempinski; Via Mezdi 27 St. Moritz; Luxus-Pitch</t>
        </is>
      </c>
      <c r="O286" s="11" t="inlineStr">
        <is>
          <t>5-Sterne Kempinski St. Moritz: NEA 1× 400 kVA; USV alpine Lage; 182 Zimmer; Kempinski</t>
        </is>
      </c>
      <c r="P286" s="11" t="inlineStr">
        <is>
          <t>USV</t>
        </is>
      </c>
      <c r="Q286" s="11" t="n"/>
      <c r="R286" s="11" t="inlineStr">
        <is>
          <t>Adr: Via Mezdi 27, 7500 St. Moritz | Kempinski; 5-Sterne; alpine Berglage; höchstes Budget</t>
        </is>
      </c>
      <c r="S286" s="11" t="inlineStr">
        <is>
          <t>Hotel St. Moritz</t>
        </is>
      </c>
    </row>
    <row r="287">
      <c r="A287" s="11" t="n">
        <v>284</v>
      </c>
      <c r="B287" s="11" t="inlineStr">
        <is>
          <t>A</t>
        </is>
      </c>
      <c r="C287" s="11" t="inlineStr">
        <is>
          <t>Gemeinde/Öffentlich</t>
        </is>
      </c>
      <c r="D287" s="11" t="inlineStr">
        <is>
          <t>Stadt Chur (Liegenschaften / Hochbauamt)</t>
        </is>
      </c>
      <c r="E287" s="11" t="inlineStr">
        <is>
          <t>Chur</t>
        </is>
      </c>
      <c r="F287" s="11" t="inlineStr">
        <is>
          <t>7000</t>
        </is>
      </c>
      <c r="G287" s="11" t="inlineStr">
        <is>
          <t>GR</t>
        </is>
      </c>
      <c r="H287" s="11" t="inlineStr">
        <is>
          <t>Stadtbauingenieur / Leiter Liegenschaften</t>
        </is>
      </c>
      <c r="I287" s="11" t="inlineStr">
        <is>
          <t>Dipl. Ing.</t>
        </is>
      </c>
      <c r="J287" s="11" t="inlineStr">
        <is>
          <t>stadtbuero@chur.ch</t>
        </is>
      </c>
      <c r="K287" s="11" t="inlineStr">
        <is>
          <t>+41 81 254 42 00</t>
        </is>
      </c>
      <c r="L287" s="11" t="n"/>
      <c r="M287" s="11" t="inlineStr">
        <is>
          <t>offen</t>
        </is>
      </c>
      <c r="N287" s="11" t="inlineStr">
        <is>
          <t>Hochbauamt Stadt Chur; Rathaus Chur; simap.ch Alert Stadt Chur</t>
        </is>
      </c>
      <c r="O287" s="11" t="inlineStr">
        <is>
          <t>NEA städtische Gebäude Chur 2× 400 kVA; viele Liegenschaften; Rahmenvertrag Stadt Chur</t>
        </is>
      </c>
      <c r="P287" s="11" t="n"/>
      <c r="Q287" s="11" t="n"/>
      <c r="R287" s="11" t="inlineStr">
        <is>
          <t>Adr: Rathaus, 7000 Chur | Kantonshauptort GR; viele Liegenschaften; Rahmenvertrag</t>
        </is>
      </c>
      <c r="S287" s="11" t="inlineStr">
        <is>
          <t>Stadt Chur</t>
        </is>
      </c>
    </row>
    <row r="288">
      <c r="A288" s="11" t="n">
        <v>285</v>
      </c>
      <c r="B288" s="11" t="inlineStr">
        <is>
          <t>A</t>
        </is>
      </c>
      <c r="C288" s="11" t="inlineStr">
        <is>
          <t>Bau/Infrastruktur</t>
        </is>
      </c>
      <c r="D288" s="11" t="inlineStr">
        <is>
          <t>ARA Domleschg / Hinterrhein (Rhein-Schutz)</t>
        </is>
      </c>
      <c r="E288" s="11" t="inlineStr">
        <is>
          <t>Thusis</t>
        </is>
      </c>
      <c r="F288" s="11" t="inlineStr">
        <is>
          <t>7430</t>
        </is>
      </c>
      <c r="G288" s="11" t="inlineStr">
        <is>
          <t>GR</t>
        </is>
      </c>
      <c r="H288" s="11" t="inlineStr">
        <is>
          <t>Betriebsleiter ARA</t>
        </is>
      </c>
      <c r="I288" s="11" t="inlineStr">
        <is>
          <t>Techniker</t>
        </is>
      </c>
      <c r="J288" s="11" t="inlineStr">
        <is>
          <t>info@ara-domleschg.ch</t>
        </is>
      </c>
      <c r="K288" s="11" t="inlineStr">
        <is>
          <t>+41 81 651 13 00</t>
        </is>
      </c>
      <c r="L288" s="11" t="n"/>
      <c r="M288" s="11" t="inlineStr">
        <is>
          <t>offen</t>
        </is>
      </c>
      <c r="N288" s="11" t="inlineStr">
        <is>
          <t>Betriebsleiter ARA Domleschg; simap.ch Alert GR ARA</t>
        </is>
      </c>
      <c r="O288" s="11" t="inlineStr">
        <is>
          <t>NEA-Pflicht 1× 250 kVA; Hinterrhein-Schutz; 24h; Domleschg GR</t>
        </is>
      </c>
      <c r="P288" s="11" t="inlineStr">
        <is>
          <t>Generator</t>
        </is>
      </c>
      <c r="Q288" s="11" t="n"/>
      <c r="R288" s="11" t="inlineStr">
        <is>
          <t>Adr: Thusis, 7430 GR | Hinterrhein-Schutz; ARA Domleschg; simap.ch-Pflicht</t>
        </is>
      </c>
      <c r="S288" s="11" t="inlineStr">
        <is>
          <t>ARA Domleschg</t>
        </is>
      </c>
    </row>
    <row r="289">
      <c r="A289" s="11" t="n">
        <v>286</v>
      </c>
      <c r="B289" s="11" t="inlineStr">
        <is>
          <t>B</t>
        </is>
      </c>
      <c r="C289" s="11" t="inlineStr">
        <is>
          <t>Bau/Infrastruktur</t>
        </is>
      </c>
      <c r="D289" s="11" t="inlineStr">
        <is>
          <t>ARA Engadin (Inn-/En-Gewässerschutz)</t>
        </is>
      </c>
      <c r="E289" s="11" t="inlineStr">
        <is>
          <t>Samedan</t>
        </is>
      </c>
      <c r="F289" s="11" t="inlineStr">
        <is>
          <t>7503</t>
        </is>
      </c>
      <c r="G289" s="11" t="inlineStr">
        <is>
          <t>GR</t>
        </is>
      </c>
      <c r="H289" s="11" t="inlineStr">
        <is>
          <t>Betriebsleiter ARA</t>
        </is>
      </c>
      <c r="I289" s="11" t="inlineStr">
        <is>
          <t>Techniker</t>
        </is>
      </c>
      <c r="J289" s="11" t="inlineStr">
        <is>
          <t>info@ara-engadin.ch</t>
        </is>
      </c>
      <c r="K289" s="11" t="inlineStr">
        <is>
          <t>+41 81 852 32 32</t>
        </is>
      </c>
      <c r="L289" s="11" t="n"/>
      <c r="M289" s="11" t="inlineStr">
        <is>
          <t>offen</t>
        </is>
      </c>
      <c r="N289" s="11" t="inlineStr">
        <is>
          <t>Betriebsleiter ARA Engadin; Samedan; alpine Isolation-Pitch</t>
        </is>
      </c>
      <c r="O289" s="11" t="inlineStr">
        <is>
          <t>NEA-Pflicht 1× 200 kVA; En/Inn-Gewässerschutz Engadin; 24h; alpine Lage 1'750 m</t>
        </is>
      </c>
      <c r="P289" s="11" t="inlineStr">
        <is>
          <t>Generator</t>
        </is>
      </c>
      <c r="Q289" s="11" t="n"/>
      <c r="R289" s="11" t="inlineStr">
        <is>
          <t>Adr: Samedan, 7503 GR | ARA Engadin; alpine 1'750 m; En-Schutz; simap.ch</t>
        </is>
      </c>
      <c r="S289" s="11" t="inlineStr">
        <is>
          <t>ARA Engadin</t>
        </is>
      </c>
    </row>
    <row r="290">
      <c r="A290" s="11" t="n">
        <v>287</v>
      </c>
      <c r="B290" s="11" t="inlineStr">
        <is>
          <t>A</t>
        </is>
      </c>
      <c r="C290" s="11" t="inlineStr">
        <is>
          <t>EVU/Netzbetreiber</t>
        </is>
      </c>
      <c r="D290" s="11" t="inlineStr">
        <is>
          <t>Services industriels de Delémont (SID)</t>
        </is>
      </c>
      <c r="E290" s="11" t="inlineStr">
        <is>
          <t>Delémont</t>
        </is>
      </c>
      <c r="F290" s="11" t="inlineStr">
        <is>
          <t>2800</t>
        </is>
      </c>
      <c r="G290" s="11" t="inlineStr">
        <is>
          <t>JU</t>
        </is>
      </c>
      <c r="H290" s="11" t="inlineStr">
        <is>
          <t>Chef de réseau</t>
        </is>
      </c>
      <c r="I290" s="11" t="inlineStr">
        <is>
          <t>Dipl. El.-Ing.</t>
        </is>
      </c>
      <c r="J290" s="11" t="inlineStr">
        <is>
          <t>info@sid-delemont.ch</t>
        </is>
      </c>
      <c r="K290" s="11" t="inlineStr">
        <is>
          <t>+41 32 421 55 55</t>
        </is>
      </c>
      <c r="L290" s="11" t="n"/>
      <c r="M290" s="11" t="inlineStr">
        <is>
          <t>offen</t>
        </is>
      </c>
      <c r="N290" s="11" t="inlineStr">
        <is>
          <t>Chef réseau SID; Rue des Trèfles 1 Delémont; revisionskalender</t>
        </is>
      </c>
      <c r="O290" s="11" t="inlineStr">
        <is>
          <t>Fourniture d'électricité Delémont; révisions MS; NEA bâtiments communaux</t>
        </is>
      </c>
      <c r="P290" s="11" t="inlineStr">
        <is>
          <t>BESS</t>
        </is>
      </c>
      <c r="Q290" s="11" t="n"/>
      <c r="R290" s="11" t="inlineStr">
        <is>
          <t>Adr: Rue des Trèfles 1, 2800 Delémont | EVU Delémont JU; Strom+Wasser+Wärme</t>
        </is>
      </c>
      <c r="S290" s="11" t="inlineStr">
        <is>
          <t>Kantonaler EVU</t>
        </is>
      </c>
    </row>
    <row r="291">
      <c r="A291" s="11" t="n">
        <v>288</v>
      </c>
      <c r="B291" s="11" t="inlineStr">
        <is>
          <t>A</t>
        </is>
      </c>
      <c r="C291" s="11" t="inlineStr">
        <is>
          <t>EVU/Netzbetreiber</t>
        </is>
      </c>
      <c r="D291" s="11" t="inlineStr">
        <is>
          <t>Réseau de distribution Jura bernois (AJB)</t>
        </is>
      </c>
      <c r="E291" s="11" t="inlineStr">
        <is>
          <t>Porrentruy</t>
        </is>
      </c>
      <c r="F291" s="11" t="inlineStr">
        <is>
          <t>2900</t>
        </is>
      </c>
      <c r="G291" s="11" t="inlineStr">
        <is>
          <t>JU</t>
        </is>
      </c>
      <c r="H291" s="11" t="inlineStr">
        <is>
          <t>Betriebsleiter</t>
        </is>
      </c>
      <c r="I291" s="11" t="inlineStr">
        <is>
          <t>Dipl. El.-Ing.</t>
        </is>
      </c>
      <c r="J291" s="11" t="inlineStr">
        <is>
          <t>info@ajb.ch</t>
        </is>
      </c>
      <c r="K291" s="11" t="inlineStr">
        <is>
          <t>+41 32 465 51 51</t>
        </is>
      </c>
      <c r="L291" s="11" t="n"/>
      <c r="M291" s="11" t="inlineStr">
        <is>
          <t>offen</t>
        </is>
      </c>
      <c r="N291" s="11" t="inlineStr">
        <is>
          <t>Betriebsleiter AJB; Porrentruy JU; simap.ch Alert JU</t>
        </is>
      </c>
      <c r="O291" s="11" t="inlineStr">
        <is>
          <t>Versorgung Ajoie/Porrentruy: MS-Revisionen; NEA communale Gebäude</t>
        </is>
      </c>
      <c r="P291" s="11" t="n"/>
      <c r="Q291" s="11" t="n"/>
      <c r="R291" s="11" t="inlineStr">
        <is>
          <t>Adr: Porrentruy, 2900 JU | EVU Ajoie/Porrentruy</t>
        </is>
      </c>
      <c r="S291" s="11" t="inlineStr">
        <is>
          <t>Jura bernois EVU</t>
        </is>
      </c>
    </row>
    <row r="292">
      <c r="A292" s="11" t="n">
        <v>289</v>
      </c>
      <c r="B292" s="11" t="inlineStr">
        <is>
          <t>A</t>
        </is>
      </c>
      <c r="C292" s="11" t="inlineStr">
        <is>
          <t>Spital/Klinik</t>
        </is>
      </c>
      <c r="D292" s="11" t="inlineStr">
        <is>
          <t>Hôpital du Jura (HJU) — 3 sites</t>
        </is>
      </c>
      <c r="E292" s="11" t="inlineStr">
        <is>
          <t>Delémont</t>
        </is>
      </c>
      <c r="F292" s="11" t="inlineStr">
        <is>
          <t>2800</t>
        </is>
      </c>
      <c r="G292" s="11" t="inlineStr">
        <is>
          <t>JU</t>
        </is>
      </c>
      <c r="H292" s="11" t="inlineStr">
        <is>
          <t>Responsable Technique</t>
        </is>
      </c>
      <c r="I292" s="11" t="inlineStr">
        <is>
          <t>Dipl. El.-Ing.</t>
        </is>
      </c>
      <c r="J292" s="11" t="inlineStr">
        <is>
          <t>info@h-ju.ch</t>
        </is>
      </c>
      <c r="K292" s="11" t="inlineStr">
        <is>
          <t>+41 32 421 22 11</t>
        </is>
      </c>
      <c r="L292" s="11" t="n"/>
      <c r="M292" s="11" t="inlineStr">
        <is>
          <t>offen</t>
        </is>
      </c>
      <c r="N292" s="11" t="inlineStr">
        <is>
          <t>Responsable Technique HJU; Delémont; 3 Standorte combiné</t>
        </is>
      </c>
      <c r="O292" s="11" t="inlineStr">
        <is>
          <t>NEA 3× 300 kVA; USV OP/ICU; 3 Standorte Delémont/Porrentruy/Saignelégier; 1'000 MA</t>
        </is>
      </c>
      <c r="P292" s="11" t="inlineStr">
        <is>
          <t>USV</t>
        </is>
      </c>
      <c r="Q292" s="11" t="n"/>
      <c r="R292" s="11" t="inlineStr">
        <is>
          <t>Adr: Rue des Capucins 20, 2800 Delémont | 3 Standorte JU; 1'000 MA; NIV Art. 13</t>
        </is>
      </c>
      <c r="S292" s="11" t="inlineStr">
        <is>
          <t>Hôpital du Jura</t>
        </is>
      </c>
    </row>
    <row r="293">
      <c r="A293" s="11" t="n">
        <v>290</v>
      </c>
      <c r="B293" s="11" t="inlineStr">
        <is>
          <t>A</t>
        </is>
      </c>
      <c r="C293" s="11" t="inlineStr">
        <is>
          <t>Pharma/Chemie</t>
        </is>
      </c>
      <c r="D293" s="11" t="inlineStr">
        <is>
          <t>Compagnie des Montres Longines/Swatch Jura</t>
        </is>
      </c>
      <c r="E293" s="11" t="inlineStr">
        <is>
          <t>Saint-Imier</t>
        </is>
      </c>
      <c r="F293" s="11" t="inlineStr">
        <is>
          <t>2610</t>
        </is>
      </c>
      <c r="G293" s="11" t="inlineStr">
        <is>
          <t>JU</t>
        </is>
      </c>
      <c r="H293" s="11" t="inlineStr">
        <is>
          <t>Responsable Technique</t>
        </is>
      </c>
      <c r="I293" s="11" t="inlineStr">
        <is>
          <t>Ingénieur</t>
        </is>
      </c>
      <c r="J293" s="11" t="inlineStr">
        <is>
          <t>info@longines.com</t>
        </is>
      </c>
      <c r="K293" s="11" t="inlineStr">
        <is>
          <t>+41 32 942 54 25</t>
        </is>
      </c>
      <c r="L293" s="11" t="n"/>
      <c r="M293" s="11" t="inlineStr">
        <is>
          <t>offen</t>
        </is>
      </c>
      <c r="N293" s="11" t="inlineStr">
        <is>
          <t>Responsable Technique Longines Saint-Imier; PQ-Pitch</t>
        </is>
      </c>
      <c r="O293" s="11" t="inlineStr">
        <is>
          <t>Uhrenproduktion Jurabogen: PQ + NEA + USV 300 kVA; EMV; Reinraum</t>
        </is>
      </c>
      <c r="P293" s="11" t="n"/>
      <c r="Q293" s="11" t="n"/>
      <c r="R293" s="11" t="inlineStr">
        <is>
          <t>Adr: François-Bourquin-Strasse, 2610 Saint-Imier | Longines; Swatch Group Jura</t>
        </is>
      </c>
      <c r="S293" s="11" t="inlineStr">
        <is>
          <t>Uhren/Horlogerie</t>
        </is>
      </c>
    </row>
    <row r="294">
      <c r="A294" s="11" t="n">
        <v>291</v>
      </c>
      <c r="B294" s="11" t="inlineStr">
        <is>
          <t>A</t>
        </is>
      </c>
      <c r="C294" s="11" t="inlineStr">
        <is>
          <t>Pharma/Chemie</t>
        </is>
      </c>
      <c r="D294" s="11" t="inlineStr">
        <is>
          <t>Manufacture d'horlogerie Porrentruy</t>
        </is>
      </c>
      <c r="E294" s="11" t="inlineStr">
        <is>
          <t>Porrentruy</t>
        </is>
      </c>
      <c r="F294" s="11" t="inlineStr">
        <is>
          <t>2900</t>
        </is>
      </c>
      <c r="G294" s="11" t="inlineStr">
        <is>
          <t>JU</t>
        </is>
      </c>
      <c r="H294" s="11" t="inlineStr">
        <is>
          <t>Responsable Technique</t>
        </is>
      </c>
      <c r="I294" s="11" t="inlineStr">
        <is>
          <t>Ingénieur</t>
        </is>
      </c>
      <c r="J294" s="11" t="inlineStr">
        <is>
          <t>info@horlogerie-ju.ch</t>
        </is>
      </c>
      <c r="K294" s="11" t="inlineStr">
        <is>
          <t>+41 32 465 11 11</t>
        </is>
      </c>
      <c r="L294" s="11" t="n"/>
      <c r="M294" s="11" t="inlineStr">
        <is>
          <t>offen</t>
        </is>
      </c>
      <c r="N294" s="11" t="inlineStr">
        <is>
          <t>Responsable Technique; Porrentruy JU; Uhren-Cluster PQ-Pitch</t>
        </is>
      </c>
      <c r="O294" s="11" t="inlineStr">
        <is>
          <t>Uhren-Cluster Ajoie: PQ + NEA + USV 200 kVA; EMV; Reinraum; Jura bernois</t>
        </is>
      </c>
      <c r="P294" s="11" t="n"/>
      <c r="Q294" s="11" t="n"/>
      <c r="R294" s="11" t="inlineStr">
        <is>
          <t>Adr: Porrentruy, 2900 JU | Uhren-Cluster Ajoie; PQ sensitiv</t>
        </is>
      </c>
      <c r="S294" s="11" t="inlineStr">
        <is>
          <t>Uhren/Horlogerie</t>
        </is>
      </c>
    </row>
    <row r="295">
      <c r="A295" s="11" t="n">
        <v>292</v>
      </c>
      <c r="B295" s="11" t="inlineStr">
        <is>
          <t>A</t>
        </is>
      </c>
      <c r="C295" s="11" t="inlineStr">
        <is>
          <t>Pharma/Chemie</t>
        </is>
      </c>
      <c r="D295" s="11" t="inlineStr">
        <is>
          <t>Tornos SA (CNC-Drehmaschinen)</t>
        </is>
      </c>
      <c r="E295" s="11" t="inlineStr">
        <is>
          <t>Moutier</t>
        </is>
      </c>
      <c r="F295" s="11" t="inlineStr">
        <is>
          <t>2740</t>
        </is>
      </c>
      <c r="G295" s="11" t="inlineStr">
        <is>
          <t>JU</t>
        </is>
      </c>
      <c r="H295" s="11" t="inlineStr">
        <is>
          <t>Responsable technique</t>
        </is>
      </c>
      <c r="I295" s="11" t="inlineStr">
        <is>
          <t>MSc El.-Ing.</t>
        </is>
      </c>
      <c r="J295" s="11" t="inlineStr">
        <is>
          <t>info@tornos.com</t>
        </is>
      </c>
      <c r="K295" s="11" t="inlineStr">
        <is>
          <t>+41 32 494 44 44</t>
        </is>
      </c>
      <c r="L295" s="11" t="n"/>
      <c r="M295" s="11" t="inlineStr">
        <is>
          <t>offen</t>
        </is>
      </c>
      <c r="N295" s="11" t="inlineStr">
        <is>
          <t>Betriebsleiter Tornos; Rue Industrielle 111 Moutier; FU-PQ-Pitch</t>
        </is>
      </c>
      <c r="O295" s="11" t="inlineStr">
        <is>
          <t>CNC-Maschinen Produktion: Prüfstände FU 1 MVA; PQ; EMV; 1'200 MA</t>
        </is>
      </c>
      <c r="P295" s="11" t="n"/>
      <c r="Q295" s="11" t="n"/>
      <c r="R295" s="11" t="inlineStr">
        <is>
          <t>Adr: Rue Industrielle 111, 2740 Moutier | CNC-Weltmarktführer; FU-Prüfstände intensiv</t>
        </is>
      </c>
      <c r="S295" s="11" t="inlineStr">
        <is>
          <t>Métallurgie/Usinage</t>
        </is>
      </c>
    </row>
    <row r="296">
      <c r="A296" s="11" t="n">
        <v>293</v>
      </c>
      <c r="B296" s="11" t="inlineStr">
        <is>
          <t>A</t>
        </is>
      </c>
      <c r="C296" s="11" t="inlineStr">
        <is>
          <t>Pharma/Chemie</t>
        </is>
      </c>
      <c r="D296" s="11" t="inlineStr">
        <is>
          <t>Mikron SA (Uhrenkomponenten Jura)</t>
        </is>
      </c>
      <c r="E296" s="11" t="inlineStr">
        <is>
          <t>Agno</t>
        </is>
      </c>
      <c r="F296" s="11" t="inlineStr">
        <is>
          <t>6982</t>
        </is>
      </c>
      <c r="G296" s="11" t="inlineStr">
        <is>
          <t>JU</t>
        </is>
      </c>
      <c r="H296" s="11" t="inlineStr">
        <is>
          <t>Betriebsleiter Technik</t>
        </is>
      </c>
      <c r="I296" s="11" t="inlineStr">
        <is>
          <t>Dipl. El.-Ing.</t>
        </is>
      </c>
      <c r="J296" s="11" t="inlineStr">
        <is>
          <t>info@mikron.com</t>
        </is>
      </c>
      <c r="K296" s="11" t="inlineStr">
        <is>
          <t>+41 91 610 85 85</t>
        </is>
      </c>
      <c r="L296" s="11" t="n"/>
      <c r="M296" s="11" t="inlineStr">
        <is>
          <t>offen</t>
        </is>
      </c>
      <c r="N296" s="11" t="inlineStr">
        <is>
          <t>Betriebsleiter Mikron JU-Region; Präzisions-PQ-Pitch</t>
        </is>
      </c>
      <c r="O296" s="11" t="inlineStr">
        <is>
          <t>Präzisionsmaschinen + Uhrenkomponenten: Prüfstände 500 kVA; PQ; EMV</t>
        </is>
      </c>
      <c r="P296" s="11" t="n"/>
      <c r="Q296" s="11" t="n"/>
      <c r="R296" s="11" t="inlineStr">
        <is>
          <t>Adr: Moutier/JU-Region | Präzisionsmaschinen; PQ sensitiv</t>
        </is>
      </c>
      <c r="S296" s="11" t="inlineStr">
        <is>
          <t>Uhren Composants</t>
        </is>
      </c>
    </row>
    <row r="297">
      <c r="A297" s="11" t="n">
        <v>294</v>
      </c>
      <c r="B297" s="11" t="inlineStr">
        <is>
          <t>A</t>
        </is>
      </c>
      <c r="C297" s="11" t="inlineStr">
        <is>
          <t>Gemeinde/Öffentlich</t>
        </is>
      </c>
      <c r="D297" s="11" t="inlineStr">
        <is>
          <t>Canton du Jura (Service des bâtiments)</t>
        </is>
      </c>
      <c r="E297" s="11" t="inlineStr">
        <is>
          <t>Delémont</t>
        </is>
      </c>
      <c r="F297" s="11" t="inlineStr">
        <is>
          <t>2800</t>
        </is>
      </c>
      <c r="G297" s="11" t="inlineStr">
        <is>
          <t>JU</t>
        </is>
      </c>
      <c r="H297" s="11" t="inlineStr">
        <is>
          <t>Chef du Service bâtiments</t>
        </is>
      </c>
      <c r="I297" s="11" t="inlineStr">
        <is>
          <t>Ingénieur cantonal</t>
        </is>
      </c>
      <c r="J297" s="11" t="inlineStr">
        <is>
          <t>info@jura.ch</t>
        </is>
      </c>
      <c r="K297" s="11" t="inlineStr">
        <is>
          <t>+41 32 420 67 40</t>
        </is>
      </c>
      <c r="L297" s="11" t="n"/>
      <c r="M297" s="11" t="inlineStr">
        <is>
          <t>offen</t>
        </is>
      </c>
      <c r="N297" s="11" t="inlineStr">
        <is>
          <t>Service bâtiments JU; Rue du 24-Septembre 2 Delémont; simap.ch</t>
        </is>
      </c>
      <c r="O297" s="11" t="inlineStr">
        <is>
          <t>NEA bâtiments cantonaux JU; 80+ bâtiments; contrat-cadre JU</t>
        </is>
      </c>
      <c r="P297" s="11" t="n"/>
      <c r="Q297" s="11" t="n"/>
      <c r="R297" s="11" t="inlineStr">
        <is>
          <t>Adr: Rue du 24-Septembre 2, 2800 Delémont | Jüngster CH-Kanton (1979); 80+ bâtiments</t>
        </is>
      </c>
      <c r="S297" s="11" t="inlineStr">
        <is>
          <t>Kanton Jura</t>
        </is>
      </c>
    </row>
    <row r="298">
      <c r="A298" s="11" t="n">
        <v>295</v>
      </c>
      <c r="B298" s="11" t="inlineStr">
        <is>
          <t>A</t>
        </is>
      </c>
      <c r="C298" s="11" t="inlineStr">
        <is>
          <t>Bau/Infrastruktur</t>
        </is>
      </c>
      <c r="D298" s="11" t="inlineStr">
        <is>
          <t>STEP Delémont (Station d'épuration)</t>
        </is>
      </c>
      <c r="E298" s="11" t="inlineStr">
        <is>
          <t>Delémont</t>
        </is>
      </c>
      <c r="F298" s="11" t="inlineStr">
        <is>
          <t>2800</t>
        </is>
      </c>
      <c r="G298" s="11" t="inlineStr">
        <is>
          <t>JU</t>
        </is>
      </c>
      <c r="H298" s="11" t="inlineStr">
        <is>
          <t>Responsable STEP</t>
        </is>
      </c>
      <c r="I298" s="11" t="inlineStr">
        <is>
          <t>Techniker</t>
        </is>
      </c>
      <c r="J298" s="11" t="inlineStr">
        <is>
          <t>info@step-delemont.ch</t>
        </is>
      </c>
      <c r="K298" s="11" t="inlineStr">
        <is>
          <t>+41 32 421 56 66</t>
        </is>
      </c>
      <c r="L298" s="11" t="n"/>
      <c r="M298" s="11" t="inlineStr">
        <is>
          <t>offen</t>
        </is>
      </c>
      <c r="N298" s="11" t="inlineStr">
        <is>
          <t>Responsable STEP Delémont; simap.ch Alert JU</t>
        </is>
      </c>
      <c r="O298" s="11" t="inlineStr">
        <is>
          <t>NEA-Pflicht 1× 250 kVA; Birse-Gewässerschutz; 24h</t>
        </is>
      </c>
      <c r="P298" s="11" t="inlineStr">
        <is>
          <t>Generator</t>
        </is>
      </c>
      <c r="Q298" s="11" t="n"/>
      <c r="R298" s="11" t="inlineStr">
        <is>
          <t>Adr: Delémont, 2800 JU | Birse-Schutz; simap.ch-Pflicht</t>
        </is>
      </c>
      <c r="S298" s="11" t="inlineStr">
        <is>
          <t>STEP Jura</t>
        </is>
      </c>
    </row>
    <row r="299">
      <c r="A299" s="11" t="n">
        <v>296</v>
      </c>
      <c r="B299" s="11" t="inlineStr">
        <is>
          <t>A</t>
        </is>
      </c>
      <c r="C299" s="11" t="inlineStr">
        <is>
          <t>Bau/Infrastruktur</t>
        </is>
      </c>
      <c r="D299" s="11" t="inlineStr">
        <is>
          <t>Skigebiet Les Breuleux / Saignelégier</t>
        </is>
      </c>
      <c r="E299" s="11" t="inlineStr">
        <is>
          <t>Saignelégier</t>
        </is>
      </c>
      <c r="F299" s="11" t="inlineStr">
        <is>
          <t>2350</t>
        </is>
      </c>
      <c r="G299" s="11" t="inlineStr">
        <is>
          <t>JU</t>
        </is>
      </c>
      <c r="H299" s="11" t="inlineStr">
        <is>
          <t>Betriebsleiter</t>
        </is>
      </c>
      <c r="I299" s="11" t="inlineStr">
        <is>
          <t>Techniker</t>
        </is>
      </c>
      <c r="J299" s="11" t="inlineStr">
        <is>
          <t>info@lesbreuleux.ch</t>
        </is>
      </c>
      <c r="K299" s="11" t="inlineStr">
        <is>
          <t>+41 32 952 12 12</t>
        </is>
      </c>
      <c r="L299" s="11" t="n"/>
      <c r="M299" s="11" t="inlineStr">
        <is>
          <t>offen</t>
        </is>
      </c>
      <c r="N299" s="11" t="inlineStr">
        <is>
          <t>Betriebsleiter Skigebiet; Herbstkontakt; alpine Isolation-Pitch</t>
        </is>
      </c>
      <c r="O299" s="11" t="inlineStr">
        <is>
          <t>Skigebiet Franches-Montagnes: NEA + Generator 200 kVA; FU-Lifte; alpine Isolation JU</t>
        </is>
      </c>
      <c r="P299" s="11" t="inlineStr">
        <is>
          <t>Generator</t>
        </is>
      </c>
      <c r="Q299" s="11" t="n"/>
      <c r="R299" s="11" t="inlineStr">
        <is>
          <t>Adr: Saignelégier, 2350 JU | Freiberge/Franches-Montagnes; alpine Isolation</t>
        </is>
      </c>
      <c r="S299" s="11" t="inlineStr">
        <is>
          <t>Bergbahn Franches-Montagnes</t>
        </is>
      </c>
    </row>
    <row r="300">
      <c r="A300" s="11" t="n">
        <v>297</v>
      </c>
      <c r="B300" s="11" t="inlineStr">
        <is>
          <t>B</t>
        </is>
      </c>
      <c r="C300" s="11" t="inlineStr">
        <is>
          <t>Pharma/Chemie</t>
        </is>
      </c>
      <c r="D300" s="11" t="inlineStr">
        <is>
          <t>Pratteln Alusuisse-Longza (JU-Verbund)</t>
        </is>
      </c>
      <c r="E300" s="11" t="inlineStr">
        <is>
          <t>Bonfol</t>
        </is>
      </c>
      <c r="F300" s="11" t="inlineStr">
        <is>
          <t>2832</t>
        </is>
      </c>
      <c r="G300" s="11" t="inlineStr">
        <is>
          <t>JU</t>
        </is>
      </c>
      <c r="H300" s="11" t="inlineStr">
        <is>
          <t>Betriebsleiter Technik</t>
        </is>
      </c>
      <c r="I300" s="11" t="inlineStr">
        <is>
          <t>MSc Chemie</t>
        </is>
      </c>
      <c r="J300" s="11" t="inlineStr">
        <is>
          <t>info@bonfol.ch</t>
        </is>
      </c>
      <c r="K300" s="11" t="inlineStr">
        <is>
          <t>+41 32 474 40 40</t>
        </is>
      </c>
      <c r="L300" s="11" t="n"/>
      <c r="M300" s="11" t="inlineStr">
        <is>
          <t>offen</t>
        </is>
      </c>
      <c r="N300" s="11" t="inlineStr">
        <is>
          <t>Betriebsleiter Industrie Bonfol; JU-Industrieregion ansprechen</t>
        </is>
      </c>
      <c r="O300" s="11" t="inlineStr">
        <is>
          <t>Chemie/Metallurgie Bonfol: NEA 500 kVA; FU-Rührer; PQ; alte Industrieregion JU</t>
        </is>
      </c>
      <c r="P300" s="11" t="n"/>
      <c r="Q300" s="11" t="n"/>
      <c r="R300" s="11" t="inlineStr">
        <is>
          <t>Adr: Bonfol, 2832 JU | JU-Industrieregion; FU-Rührer</t>
        </is>
      </c>
      <c r="S300" s="11" t="inlineStr">
        <is>
          <t>Métallurgie</t>
        </is>
      </c>
    </row>
    <row r="301">
      <c r="A301" s="11" t="n">
        <v>298</v>
      </c>
      <c r="B301" s="11" t="inlineStr">
        <is>
          <t>B</t>
        </is>
      </c>
      <c r="C301" s="11" t="inlineStr">
        <is>
          <t>Rechenzentrum/IT</t>
        </is>
      </c>
      <c r="D301" s="11" t="inlineStr">
        <is>
          <t>Banque Cantonale du Jura (BCJ)</t>
        </is>
      </c>
      <c r="E301" s="11" t="inlineStr">
        <is>
          <t>Porrentruy</t>
        </is>
      </c>
      <c r="F301" s="11" t="inlineStr">
        <is>
          <t>2900</t>
        </is>
      </c>
      <c r="G301" s="11" t="inlineStr">
        <is>
          <t>JU</t>
        </is>
      </c>
      <c r="H301" s="11" t="inlineStr">
        <is>
          <t>Responsable IT</t>
        </is>
      </c>
      <c r="I301" s="11" t="inlineStr">
        <is>
          <t>MSc Inf.</t>
        </is>
      </c>
      <c r="J301" s="11" t="inlineStr">
        <is>
          <t>info@bcj.ch</t>
        </is>
      </c>
      <c r="K301" s="11" t="inlineStr">
        <is>
          <t>+41 32 466 24 24</t>
        </is>
      </c>
      <c r="L301" s="11" t="n"/>
      <c r="M301" s="11" t="inlineStr">
        <is>
          <t>offen</t>
        </is>
      </c>
      <c r="N301" s="11" t="inlineStr">
        <is>
          <t>IT-Infrastruktur BCJ; Rue de la Banque 11 Porrentruy; FINMA</t>
        </is>
      </c>
      <c r="O301" s="11" t="inlineStr">
        <is>
          <t>USV RZ 1× 200 kVA; NEA; PQ FINMA; HQ Porrentruy</t>
        </is>
      </c>
      <c r="P301" s="11" t="inlineStr">
        <is>
          <t>USV</t>
        </is>
      </c>
      <c r="Q301" s="11" t="n"/>
      <c r="R301" s="11" t="inlineStr">
        <is>
          <t>Adr: Rue de la Banque 11, 2900 Porrentruy | Kantonalbank JU; FINMA</t>
        </is>
      </c>
      <c r="S301" s="11" t="inlineStr">
        <is>
          <t>Banque cantonale</t>
        </is>
      </c>
    </row>
    <row r="302">
      <c r="A302" s="11" t="n">
        <v>299</v>
      </c>
      <c r="B302" s="11" t="inlineStr">
        <is>
          <t>B</t>
        </is>
      </c>
      <c r="C302" s="11" t="inlineStr">
        <is>
          <t>Pharma/Chemie</t>
        </is>
      </c>
      <c r="D302" s="11" t="inlineStr">
        <is>
          <t>Cité d'Horlogerie (Musée + Ateliers) La Chaux-de-Fonds</t>
        </is>
      </c>
      <c r="E302" s="11" t="inlineStr">
        <is>
          <t>La Chaux-de-Fonds</t>
        </is>
      </c>
      <c r="F302" s="11" t="inlineStr">
        <is>
          <t>2300</t>
        </is>
      </c>
      <c r="G302" s="11" t="inlineStr">
        <is>
          <t>JU</t>
        </is>
      </c>
      <c r="H302" s="11" t="inlineStr">
        <is>
          <t>Responsable Technique</t>
        </is>
      </c>
      <c r="I302" s="11" t="inlineStr">
        <is>
          <t>Techniker</t>
        </is>
      </c>
      <c r="J302" s="11" t="inlineStr">
        <is>
          <t>info@horlogerie.ch</t>
        </is>
      </c>
      <c r="K302" s="11" t="inlineStr">
        <is>
          <t>+41 32 967 68 68</t>
        </is>
      </c>
      <c r="L302" s="11" t="n"/>
      <c r="M302" s="11" t="inlineStr">
        <is>
          <t>offen</t>
        </is>
      </c>
      <c r="N302" s="11" t="inlineStr">
        <is>
          <t>Responsable Technique; UNESCO Uhren-Cluster JU/NE ansprechen</t>
        </is>
      </c>
      <c r="O302" s="11" t="inlineStr">
        <is>
          <t>Uhrenatelier + Musée: NEA 100 kVA; PQ; EMV; Uhren-Cluster UNESCO</t>
        </is>
      </c>
      <c r="P302" s="11" t="n"/>
      <c r="Q302" s="11" t="n"/>
      <c r="R302" s="11" t="inlineStr">
        <is>
          <t>Adr: La Chaux-de-Fonds, 2300 NE/JU | UNESCO-Welterbe Uhrenstadt; PQ sensitiv</t>
        </is>
      </c>
      <c r="S302" s="11" t="inlineStr">
        <is>
          <t>Horlogerie</t>
        </is>
      </c>
    </row>
    <row r="303">
      <c r="A303" s="11" t="n">
        <v>300</v>
      </c>
      <c r="B303" s="11" t="inlineStr">
        <is>
          <t>C</t>
        </is>
      </c>
      <c r="C303" s="11" t="inlineStr">
        <is>
          <t>Gemeinde/Öffentlich</t>
        </is>
      </c>
      <c r="D303" s="11" t="inlineStr">
        <is>
          <t>[MiT JU-Kältekunde Nr. 1]</t>
        </is>
      </c>
      <c r="E303" s="11" t="inlineStr">
        <is>
          <t>Delémont</t>
        </is>
      </c>
      <c r="F303" s="11" t="inlineStr">
        <is>
          <t>2800</t>
        </is>
      </c>
      <c r="G303" s="11" t="inlineStr">
        <is>
          <t>JU</t>
        </is>
      </c>
      <c r="H303" s="11" t="inlineStr">
        <is>
          <t>Responsable énergie</t>
        </is>
      </c>
      <c r="I303" s="11" t="inlineStr">
        <is>
          <t>Betriebsleiter</t>
        </is>
      </c>
      <c r="J303" s="11" t="n"/>
      <c r="K303" s="11" t="inlineStr">
        <is>
          <t>(MiT-CRM)</t>
        </is>
      </c>
      <c r="L303" s="11" t="n"/>
      <c r="M303" s="11" t="inlineStr">
        <is>
          <t>offen</t>
        </is>
      </c>
      <c r="N303" s="11" t="inlineStr">
        <is>
          <t>MiT-CRM Roberto/Stefan: JU-Kunden ohne Strom prüfen; DE+FR</t>
        </is>
      </c>
      <c r="O303" s="11" t="inlineStr">
        <is>
          <t>Strom-Add-on MiT-Wärme/Kälte JU</t>
        </is>
      </c>
      <c r="P303" s="11" t="n"/>
      <c r="Q303" s="11" t="n"/>
      <c r="R303" s="11" t="inlineStr">
        <is>
          <t>JU = jüngster Kanton (1979); zweisprachig DE/FR; Uhren + HJU = Top-Accounts</t>
        </is>
      </c>
      <c r="S303" s="11" t="inlineStr">
        <is>
          <t>Cross-Sell MiT</t>
        </is>
      </c>
    </row>
    <row r="304">
      <c r="A304" s="11" t="n">
        <v>301</v>
      </c>
      <c r="B304" s="11" t="inlineStr">
        <is>
          <t>A</t>
        </is>
      </c>
      <c r="C304" s="11" t="inlineStr">
        <is>
          <t>Pharma/Chemie</t>
        </is>
      </c>
      <c r="D304" s="11" t="inlineStr">
        <is>
          <t>Tornos SA (Moutier JU)</t>
        </is>
      </c>
      <c r="E304" s="11" t="inlineStr">
        <is>
          <t>Moutier</t>
        </is>
      </c>
      <c r="F304" s="11" t="inlineStr">
        <is>
          <t>2740</t>
        </is>
      </c>
      <c r="G304" s="11" t="inlineStr">
        <is>
          <t>JU</t>
        </is>
      </c>
      <c r="H304" s="11" t="inlineStr">
        <is>
          <t>Betriebsleiter Elektro</t>
        </is>
      </c>
      <c r="I304" s="11" t="inlineStr">
        <is>
          <t>MSc El.-Ing.</t>
        </is>
      </c>
      <c r="J304" s="11" t="inlineStr">
        <is>
          <t>info@tornos.com</t>
        </is>
      </c>
      <c r="K304" s="11" t="inlineStr">
        <is>
          <t>+41 32 494 44 44</t>
        </is>
      </c>
      <c r="L304" s="11" t="n"/>
      <c r="M304" s="11" t="inlineStr">
        <is>
          <t>offen</t>
        </is>
      </c>
      <c r="N304" s="11" t="inlineStr">
        <is>
          <t>Betriebsleiter Tornos; Rue Industrielle 111 Moutier; FU-PQ-Pitch</t>
        </is>
      </c>
      <c r="O304" s="11" t="inlineStr">
        <is>
          <t>CNC Weltmarktführer: Prüfstände FU 1 MVA; PQ; EMV; 1'200 MA; Krones-nahe</t>
        </is>
      </c>
      <c r="P304" s="11" t="n"/>
      <c r="Q304" s="11" t="n"/>
      <c r="R304" s="11" t="inlineStr">
        <is>
          <t>Adr: Rue Industrielle 111, 2740 Moutier | CNC-Weltmarktführer; 1'200 MA</t>
        </is>
      </c>
      <c r="S304" s="11" t="inlineStr">
        <is>
          <t>CNC / Drehmaschinen</t>
        </is>
      </c>
    </row>
    <row r="305">
      <c r="A305" s="11" t="n">
        <v>302</v>
      </c>
      <c r="B305" s="11" t="inlineStr">
        <is>
          <t>A</t>
        </is>
      </c>
      <c r="C305" s="11" t="inlineStr">
        <is>
          <t>Pharma/Chemie</t>
        </is>
      </c>
      <c r="D305" s="11" t="inlineStr">
        <is>
          <t>Manufacture d'horlogerie Delémont-Cluster</t>
        </is>
      </c>
      <c r="E305" s="11" t="inlineStr">
        <is>
          <t>Delémont</t>
        </is>
      </c>
      <c r="F305" s="11" t="inlineStr">
        <is>
          <t>2800</t>
        </is>
      </c>
      <c r="G305" s="11" t="inlineStr">
        <is>
          <t>JU</t>
        </is>
      </c>
      <c r="H305" s="11" t="inlineStr">
        <is>
          <t>Responsable Technique</t>
        </is>
      </c>
      <c r="I305" s="11" t="inlineStr">
        <is>
          <t>Ingénieur</t>
        </is>
      </c>
      <c r="J305" s="11" t="inlineStr">
        <is>
          <t>info@horlogerie-ju.ch</t>
        </is>
      </c>
      <c r="K305" s="11" t="inlineStr">
        <is>
          <t>+41 32 465 11 11</t>
        </is>
      </c>
      <c r="L305" s="11" t="n"/>
      <c r="M305" s="11" t="inlineStr">
        <is>
          <t>offen</t>
        </is>
      </c>
      <c r="N305" s="11" t="inlineStr">
        <is>
          <t>Responsable Technique Uhren-Cluster JU; Delémont; PQ-Pitch</t>
        </is>
      </c>
      <c r="O305" s="11" t="inlineStr">
        <is>
          <t>Uhren-Cluster Ajoie: PQ + NEA + USV 500 kVA; EMV; Reinraum; mehrere Betriebe JU</t>
        </is>
      </c>
      <c r="P305" s="11" t="n"/>
      <c r="Q305" s="11" t="n"/>
      <c r="R305" s="11" t="inlineStr">
        <is>
          <t>Adr: Delémont, 2800 JU | Uhren-Cluster; mehrere Betriebe; PQ sensitiv</t>
        </is>
      </c>
      <c r="S305" s="11" t="inlineStr">
        <is>
          <t>Uhren/Horlogerie</t>
        </is>
      </c>
    </row>
    <row r="306">
      <c r="A306" s="11" t="n">
        <v>303</v>
      </c>
      <c r="B306" s="11" t="inlineStr">
        <is>
          <t>A</t>
        </is>
      </c>
      <c r="C306" s="11" t="inlineStr">
        <is>
          <t>Spital/Klinik</t>
        </is>
      </c>
      <c r="D306" s="11" t="inlineStr">
        <is>
          <t>HJU Standort Porrentruy</t>
        </is>
      </c>
      <c r="E306" s="11" t="inlineStr">
        <is>
          <t>Porrentruy</t>
        </is>
      </c>
      <c r="F306" s="11" t="inlineStr">
        <is>
          <t>2900</t>
        </is>
      </c>
      <c r="G306" s="11" t="inlineStr">
        <is>
          <t>JU</t>
        </is>
      </c>
      <c r="H306" s="11" t="inlineStr">
        <is>
          <t>Responsable Technique</t>
        </is>
      </c>
      <c r="I306" s="11" t="inlineStr">
        <is>
          <t>Techniker</t>
        </is>
      </c>
      <c r="J306" s="11" t="inlineStr">
        <is>
          <t>info@h-ju.ch</t>
        </is>
      </c>
      <c r="K306" s="11" t="inlineStr">
        <is>
          <t>+41 32 465 22 11</t>
        </is>
      </c>
      <c r="L306" s="11" t="n"/>
      <c r="M306" s="11" t="inlineStr">
        <is>
          <t>offen</t>
        </is>
      </c>
      <c r="N306" s="11" t="inlineStr">
        <is>
          <t>Responsable Technique HJU Porrentruy; HJU-Verbund ansprechen</t>
        </is>
      </c>
      <c r="O306" s="11" t="inlineStr">
        <is>
          <t>NEA 1× 300 kVA; USV OP/ICU; Porrentruy; Standort 2 von HJU-Verbund</t>
        </is>
      </c>
      <c r="P306" s="11" t="inlineStr">
        <is>
          <t>USV</t>
        </is>
      </c>
      <c r="Q306" s="11" t="n"/>
      <c r="R306" s="11" t="inlineStr">
        <is>
          <t>Adr: Porrentruy, 2900 JU | HJU Porrentruy; NIV Art. 13; 2. Standort</t>
        </is>
      </c>
      <c r="S306" s="11" t="inlineStr">
        <is>
          <t>Hôpital du Jura Porrentruy</t>
        </is>
      </c>
    </row>
    <row r="307">
      <c r="A307" s="11" t="n">
        <v>304</v>
      </c>
      <c r="B307" s="11" t="inlineStr">
        <is>
          <t>A</t>
        </is>
      </c>
      <c r="C307" s="11" t="inlineStr">
        <is>
          <t>Spital/Klinik</t>
        </is>
      </c>
      <c r="D307" s="11" t="inlineStr">
        <is>
          <t>HJU Standort Saignelégier</t>
        </is>
      </c>
      <c r="E307" s="11" t="inlineStr">
        <is>
          <t>Saignelégier</t>
        </is>
      </c>
      <c r="F307" s="11" t="inlineStr">
        <is>
          <t>2350</t>
        </is>
      </c>
      <c r="G307" s="11" t="inlineStr">
        <is>
          <t>JU</t>
        </is>
      </c>
      <c r="H307" s="11" t="inlineStr">
        <is>
          <t>Responsable Technique</t>
        </is>
      </c>
      <c r="I307" s="11" t="inlineStr">
        <is>
          <t>Techniker</t>
        </is>
      </c>
      <c r="J307" s="11" t="inlineStr">
        <is>
          <t>info@h-ju.ch</t>
        </is>
      </c>
      <c r="K307" s="11" t="inlineStr">
        <is>
          <t>+41 32 952 32 11</t>
        </is>
      </c>
      <c r="L307" s="11" t="n"/>
      <c r="M307" s="11" t="inlineStr">
        <is>
          <t>offen</t>
        </is>
      </c>
      <c r="N307" s="11" t="inlineStr">
        <is>
          <t>Responsable Technique HJU Saignelégier; alpine Isolation-Pitch</t>
        </is>
      </c>
      <c r="O307" s="11" t="inlineStr">
        <is>
          <t>NEA 1× 200 kVA; USV; Freiberge JU; alpine Isolation Franches-Montagnes</t>
        </is>
      </c>
      <c r="P307" s="11" t="inlineStr">
        <is>
          <t>USV</t>
        </is>
      </c>
      <c r="Q307" s="11" t="n"/>
      <c r="R307" s="11" t="inlineStr">
        <is>
          <t>Adr: Saignelégier, 2350 JU | Freiberge; alpine Isolation; NIV Art. 13</t>
        </is>
      </c>
      <c r="S307" s="11" t="inlineStr">
        <is>
          <t>HJU Saignelégier</t>
        </is>
      </c>
    </row>
    <row r="308">
      <c r="A308" s="11" t="n">
        <v>305</v>
      </c>
      <c r="B308" s="11" t="inlineStr">
        <is>
          <t>A</t>
        </is>
      </c>
      <c r="C308" s="11" t="inlineStr">
        <is>
          <t>Elektroplaner/Engineering</t>
        </is>
      </c>
      <c r="D308" s="11" t="inlineStr">
        <is>
          <t>Electricité DM SA (Delémont JU)</t>
        </is>
      </c>
      <c r="E308" s="11" t="inlineStr">
        <is>
          <t>Delémont</t>
        </is>
      </c>
      <c r="F308" s="11" t="inlineStr">
        <is>
          <t>2800</t>
        </is>
      </c>
      <c r="G308" s="11" t="inlineStr">
        <is>
          <t>JU</t>
        </is>
      </c>
      <c r="H308" s="11" t="inlineStr">
        <is>
          <t>Directeur</t>
        </is>
      </c>
      <c r="I308" s="11" t="inlineStr">
        <is>
          <t>Electrotechnicien</t>
        </is>
      </c>
      <c r="J308" s="11" t="inlineStr">
        <is>
          <t>info@electricite-dm.ch</t>
        </is>
      </c>
      <c r="K308" s="11" t="inlineStr">
        <is>
          <t>+41 32 421 26 26</t>
        </is>
      </c>
      <c r="L308" s="11" t="n"/>
      <c r="M308" s="11" t="inlineStr">
        <is>
          <t>offen</t>
        </is>
      </c>
      <c r="N308" s="11" t="inlineStr">
        <is>
          <t>Directeur Electricité DM; Delémont JU; Partnerschaft JU besprechen</t>
        </is>
      </c>
      <c r="O308" s="11" t="inlineStr">
        <is>
          <t>Elektrounternehmen JU: Industrie+Spitäler; JU-Marktführer; DE+FR</t>
        </is>
      </c>
      <c r="P308" s="11" t="n"/>
      <c r="Q308" s="11" t="n"/>
      <c r="R308" s="11" t="inlineStr">
        <is>
          <t>Adr: Delémont, 2800 JU | Elektrounternehmen JU; Türöffner Tornos+HJU</t>
        </is>
      </c>
      <c r="S308" s="11" t="inlineStr">
        <is>
          <t>Elektrounternehmen JU</t>
        </is>
      </c>
    </row>
    <row r="309">
      <c r="A309" s="11" t="n">
        <v>306</v>
      </c>
      <c r="B309" s="11" t="inlineStr">
        <is>
          <t>B</t>
        </is>
      </c>
      <c r="C309" s="11" t="inlineStr">
        <is>
          <t>Bau/Infrastruktur</t>
        </is>
      </c>
      <c r="D309" s="11" t="inlineStr">
        <is>
          <t>STEP de Delémont (Birse-Schutz)</t>
        </is>
      </c>
      <c r="E309" s="11" t="inlineStr">
        <is>
          <t>Delémont</t>
        </is>
      </c>
      <c r="F309" s="11" t="inlineStr">
        <is>
          <t>2800</t>
        </is>
      </c>
      <c r="G309" s="11" t="inlineStr">
        <is>
          <t>JU</t>
        </is>
      </c>
      <c r="H309" s="11" t="inlineStr">
        <is>
          <t>Responsable STEP</t>
        </is>
      </c>
      <c r="I309" s="11" t="inlineStr">
        <is>
          <t>Techniker</t>
        </is>
      </c>
      <c r="J309" s="11" t="inlineStr">
        <is>
          <t>info@step-delemont.ch</t>
        </is>
      </c>
      <c r="K309" s="11" t="inlineStr">
        <is>
          <t>+41 32 421 56 66</t>
        </is>
      </c>
      <c r="L309" s="11" t="n"/>
      <c r="M309" s="11" t="inlineStr">
        <is>
          <t>offen</t>
        </is>
      </c>
      <c r="N309" s="11" t="inlineStr">
        <is>
          <t>Responsable STEP JU; Delémont; simap.ch Alert JU</t>
        </is>
      </c>
      <c r="O309" s="11" t="inlineStr">
        <is>
          <t>NEA-Pflicht 1× 250 kVA; Birse-Schutz; 24h</t>
        </is>
      </c>
      <c r="P309" s="11" t="inlineStr">
        <is>
          <t>Generator</t>
        </is>
      </c>
      <c r="Q309" s="11" t="n"/>
      <c r="R309" s="11" t="inlineStr">
        <is>
          <t>Adr: Delémont, 2800 JU | Birse-Schutz; Ausschreibungspflicht</t>
        </is>
      </c>
      <c r="S309" s="11" t="inlineStr">
        <is>
          <t>ARA Birse JU</t>
        </is>
      </c>
    </row>
    <row r="310">
      <c r="A310" s="11" t="n">
        <v>307</v>
      </c>
      <c r="B310" s="11" t="inlineStr">
        <is>
          <t>C</t>
        </is>
      </c>
      <c r="C310" s="11" t="inlineStr">
        <is>
          <t>Gemeinde/Öffentlich</t>
        </is>
      </c>
      <c r="D310" s="11" t="inlineStr">
        <is>
          <t>[MiT JU-Kältekunde Nr. 2]</t>
        </is>
      </c>
      <c r="E310" s="11" t="inlineStr">
        <is>
          <t>Delémont</t>
        </is>
      </c>
      <c r="F310" s="11" t="inlineStr">
        <is>
          <t>2800</t>
        </is>
      </c>
      <c r="G310" s="11" t="inlineStr">
        <is>
          <t>JU</t>
        </is>
      </c>
      <c r="H310" s="11" t="inlineStr">
        <is>
          <t>Responsable énergie</t>
        </is>
      </c>
      <c r="I310" s="11" t="inlineStr">
        <is>
          <t>Betriebsleiter</t>
        </is>
      </c>
      <c r="J310" s="11" t="n"/>
      <c r="K310" s="11" t="inlineStr">
        <is>
          <t>(MiT-CRM)</t>
        </is>
      </c>
      <c r="L310" s="11" t="n"/>
      <c r="M310" s="11" t="inlineStr">
        <is>
          <t>offen</t>
        </is>
      </c>
      <c r="N310" s="11" t="inlineStr">
        <is>
          <t>MiT-CRM Roberto/Stefan: JU-Kunden ohne Strom prüfen; DE+FR</t>
        </is>
      </c>
      <c r="O310" s="11" t="inlineStr">
        <is>
          <t>Strom-Add-on MiT-Wärme/Kälte JU</t>
        </is>
      </c>
      <c r="P310" s="11" t="n"/>
      <c r="Q310" s="11" t="n"/>
      <c r="R310" s="11" t="inlineStr">
        <is>
          <t>Tornos CNC + HJU 3 Standorte = schnellste Warmleads JU</t>
        </is>
      </c>
      <c r="S310" s="11" t="inlineStr">
        <is>
          <t>Cross-Sell MiT</t>
        </is>
      </c>
    </row>
    <row r="311">
      <c r="A311" s="11" t="n">
        <v>308</v>
      </c>
      <c r="B311" s="11" t="inlineStr">
        <is>
          <t>A</t>
        </is>
      </c>
      <c r="C311" s="11" t="inlineStr">
        <is>
          <t>EVU/Netzbetreiber</t>
        </is>
      </c>
      <c r="D311" s="11" t="inlineStr">
        <is>
          <t>CKW AG (Centralschweizerische Kraftwerke)</t>
        </is>
      </c>
      <c r="E311" s="11" t="inlineStr">
        <is>
          <t>Rothenburg</t>
        </is>
      </c>
      <c r="F311" s="11" t="inlineStr">
        <is>
          <t>6023</t>
        </is>
      </c>
      <c r="G311" s="11" t="inlineStr">
        <is>
          <t>LU</t>
        </is>
      </c>
      <c r="H311" s="11" t="inlineStr">
        <is>
          <t>Leiter Netzbetrieb</t>
        </is>
      </c>
      <c r="I311" s="11" t="inlineStr">
        <is>
          <t>Dipl. El.-Ing.</t>
        </is>
      </c>
      <c r="J311" s="11" t="inlineStr">
        <is>
          <t>info@ckw.ch</t>
        </is>
      </c>
      <c r="K311" s="11" t="inlineStr">
        <is>
          <t>+41 41 249 51 11</t>
        </is>
      </c>
      <c r="L311" s="11" t="n"/>
      <c r="M311" s="11" t="inlineStr">
        <is>
          <t>offen</t>
        </is>
      </c>
      <c r="N311" s="11" t="inlineStr">
        <is>
          <t>Netzbetrieb CKW; Revisionskalender anfragen</t>
        </is>
      </c>
      <c r="O311" s="11" t="inlineStr">
        <is>
          <t>MS/HS-Revisionen Zentralschweiz; 300'000 Kunden; BESS; HQ→Emmen 2030</t>
        </is>
      </c>
      <c r="P311" s="11" t="inlineStr">
        <is>
          <t>BESS</t>
        </is>
      </c>
      <c r="Q311" s="11" t="n"/>
      <c r="R311" s="11" t="inlineStr">
        <is>
          <t>Adr: Täschmattstrasse 35, 6023 Rothenburg | Kantonaler EVU LU/UR/OW/NW</t>
        </is>
      </c>
      <c r="S311" s="11" t="inlineStr">
        <is>
          <t>Kantonaler EVU</t>
        </is>
      </c>
    </row>
    <row r="312">
      <c r="A312" s="11" t="n">
        <v>309</v>
      </c>
      <c r="B312" s="11" t="inlineStr">
        <is>
          <t>A</t>
        </is>
      </c>
      <c r="C312" s="11" t="inlineStr">
        <is>
          <t>EVU/Netzbetreiber</t>
        </is>
      </c>
      <c r="D312" s="11" t="inlineStr">
        <is>
          <t>Stadtwerk Luzern</t>
        </is>
      </c>
      <c r="E312" s="11" t="inlineStr">
        <is>
          <t>Kriens</t>
        </is>
      </c>
      <c r="F312" s="11" t="inlineStr">
        <is>
          <t>6010</t>
        </is>
      </c>
      <c r="G312" s="11" t="inlineStr">
        <is>
          <t>LU</t>
        </is>
      </c>
      <c r="H312" s="11" t="inlineStr">
        <is>
          <t>Betriebsleiter Netz</t>
        </is>
      </c>
      <c r="I312" s="11" t="inlineStr">
        <is>
          <t>Dipl. El.-Ing.</t>
        </is>
      </c>
      <c r="J312" s="11" t="inlineStr">
        <is>
          <t>info@stadtwerkluzern.ch</t>
        </is>
      </c>
      <c r="K312" s="11" t="inlineStr">
        <is>
          <t>+41 41 319 41 41</t>
        </is>
      </c>
      <c r="L312" s="11" t="n"/>
      <c r="M312" s="11" t="inlineStr">
        <is>
          <t>offen</t>
        </is>
      </c>
      <c r="N312" s="11" t="inlineStr">
        <is>
          <t>Betriebsleiter Stadtwerk Luzern kontaktieren</t>
        </is>
      </c>
      <c r="O312" s="11" t="inlineStr">
        <is>
          <t>Netzersatz Luzern; NEA Stadtgebäude; Fernwärme; 80'000 Kunden</t>
        </is>
      </c>
      <c r="P312" s="11" t="inlineStr">
        <is>
          <t>Wärme</t>
        </is>
      </c>
      <c r="Q312" s="11" t="n"/>
      <c r="R312" s="11" t="inlineStr">
        <is>
          <t>Adr: Industriestrasse 6, 6010 Kriens | Stadtwerk Luzern; Strom+Wasser+Wärme</t>
        </is>
      </c>
      <c r="S312" s="11" t="inlineStr">
        <is>
          <t>Stadtwerk</t>
        </is>
      </c>
    </row>
    <row r="313">
      <c r="A313" s="11" t="n">
        <v>310</v>
      </c>
      <c r="B313" s="11" t="inlineStr">
        <is>
          <t>A</t>
        </is>
      </c>
      <c r="C313" s="11" t="inlineStr">
        <is>
          <t>Spital/Klinik</t>
        </is>
      </c>
      <c r="D313" s="11" t="inlineStr">
        <is>
          <t>LUKS Gruppe AG (Luzerner Kantonsspital)</t>
        </is>
      </c>
      <c r="E313" s="11" t="inlineStr">
        <is>
          <t>Luzern</t>
        </is>
      </c>
      <c r="F313" s="11" t="inlineStr">
        <is>
          <t>6000</t>
        </is>
      </c>
      <c r="G313" s="11" t="inlineStr">
        <is>
          <t>LU</t>
        </is>
      </c>
      <c r="H313" s="11" t="inlineStr">
        <is>
          <t>Leiter TGM</t>
        </is>
      </c>
      <c r="I313" s="11" t="inlineStr">
        <is>
          <t>MSc El.-Ing.</t>
        </is>
      </c>
      <c r="J313" s="11" t="inlineStr">
        <is>
          <t>info@luks.ch</t>
        </is>
      </c>
      <c r="K313" s="11" t="inlineStr">
        <is>
          <t>+41 41 205 11 11</t>
        </is>
      </c>
      <c r="L313" s="11" t="n"/>
      <c r="M313" s="11" t="inlineStr">
        <is>
          <t>offen</t>
        </is>
      </c>
      <c r="N313" s="11" t="inlineStr">
        <is>
          <t>TGM LUKS; Neubau+Betriebsphase-Vertrag anstreben</t>
        </is>
      </c>
      <c r="O313" s="11" t="inlineStr">
        <is>
          <t>NEA 4× 500 kVA; USV OP/ICU; 6'500 MA; Spital NW-Tochter; Neubau</t>
        </is>
      </c>
      <c r="P313" s="11" t="inlineStr">
        <is>
          <t>USV</t>
        </is>
      </c>
      <c r="Q313" s="11" t="n"/>
      <c r="R313" s="11" t="inlineStr">
        <is>
          <t>Adr: Spitalstrasse 3, 6000 Luzern | 6'500 MA; 6. grösstes Spital CH</t>
        </is>
      </c>
      <c r="S313" s="11" t="inlineStr">
        <is>
          <t>Universitätsspital</t>
        </is>
      </c>
    </row>
    <row r="314">
      <c r="A314" s="11" t="n">
        <v>311</v>
      </c>
      <c r="B314" s="11" t="inlineStr">
        <is>
          <t>A</t>
        </is>
      </c>
      <c r="C314" s="11" t="inlineStr">
        <is>
          <t>Spital/Klinik</t>
        </is>
      </c>
      <c r="D314" s="11" t="inlineStr">
        <is>
          <t>Schweizer Paraplegiker-Zentrum (SPZ)</t>
        </is>
      </c>
      <c r="E314" s="11" t="inlineStr">
        <is>
          <t>Nottwil</t>
        </is>
      </c>
      <c r="F314" s="11" t="inlineStr">
        <is>
          <t>6207</t>
        </is>
      </c>
      <c r="G314" s="11" t="inlineStr">
        <is>
          <t>LU</t>
        </is>
      </c>
      <c r="H314" s="11" t="inlineStr">
        <is>
          <t>Betriebsleiter Technik</t>
        </is>
      </c>
      <c r="I314" s="11" t="inlineStr">
        <is>
          <t>Dipl. El.-Ing.</t>
        </is>
      </c>
      <c r="J314" s="11" t="inlineStr">
        <is>
          <t>info@paranet.ch</t>
        </is>
      </c>
      <c r="K314" s="11" t="inlineStr">
        <is>
          <t>+41 41 939 51 51</t>
        </is>
      </c>
      <c r="L314" s="11" t="n"/>
      <c r="M314" s="11" t="inlineStr">
        <is>
          <t>offen</t>
        </is>
      </c>
      <c r="N314" s="11" t="inlineStr">
        <is>
          <t>Betriebsleiter SPZ; Beatmungs-Pitch; Referenz für alle CH-Spitäler</t>
        </is>
      </c>
      <c r="O314" s="11" t="inlineStr">
        <is>
          <t>NEA 2× 400 kVA; USV Beatmung; 24h; 1'100 MA</t>
        </is>
      </c>
      <c r="P314" s="11" t="inlineStr">
        <is>
          <t>USV</t>
        </is>
      </c>
      <c r="Q314" s="11" t="n"/>
      <c r="R314" s="11" t="inlineStr">
        <is>
          <t>Adr: Guido A. Zäch Strasse 1, 6207 Nottwil | Beatmungsabhängige = USV = kein Nein</t>
        </is>
      </c>
      <c r="S314" s="11" t="inlineStr">
        <is>
          <t>Paraplegie</t>
        </is>
      </c>
    </row>
    <row r="315">
      <c r="A315" s="11" t="n">
        <v>312</v>
      </c>
      <c r="B315" s="11" t="inlineStr">
        <is>
          <t>A</t>
        </is>
      </c>
      <c r="C315" s="11" t="inlineStr">
        <is>
          <t>Pharma/Chemie</t>
        </is>
      </c>
      <c r="D315" s="11" t="inlineStr">
        <is>
          <t>Schindler Aufzüge AG (Werk Ebikon)</t>
        </is>
      </c>
      <c r="E315" s="11" t="inlineStr">
        <is>
          <t>Ebikon</t>
        </is>
      </c>
      <c r="F315" s="11" t="inlineStr">
        <is>
          <t>6030</t>
        </is>
      </c>
      <c r="G315" s="11" t="inlineStr">
        <is>
          <t>LU</t>
        </is>
      </c>
      <c r="H315" s="11" t="inlineStr">
        <is>
          <t>Energiemanager</t>
        </is>
      </c>
      <c r="I315" s="11" t="inlineStr">
        <is>
          <t>MSc El.-Ing.</t>
        </is>
      </c>
      <c r="J315" s="11" t="inlineStr">
        <is>
          <t>info@schindler.ch</t>
        </is>
      </c>
      <c r="K315" s="11" t="inlineStr">
        <is>
          <t>+41 41 445 30 00</t>
        </is>
      </c>
      <c r="L315" s="11" t="n"/>
      <c r="M315" s="11" t="inlineStr">
        <is>
          <t>offen</t>
        </is>
      </c>
      <c r="N315" s="11" t="inlineStr">
        <is>
          <t>Energiemanager Schindler Ebikon; FU-PQ-Pitch</t>
        </is>
      </c>
      <c r="O315" s="11" t="inlineStr">
        <is>
          <t>FU-Prüfstände 1.5 MVA; EMV; ISO 50001; 70'000 MA ww</t>
        </is>
      </c>
      <c r="P315" s="11" t="n"/>
      <c r="Q315" s="11" t="n"/>
      <c r="R315" s="11" t="inlineStr">
        <is>
          <t>Adr: Schindlerstrasse 2, 6030 Ebikon | 70'000 MA ww; CHF 11.3 Mrd.</t>
        </is>
      </c>
      <c r="S315" s="11" t="inlineStr">
        <is>
          <t>Aufzüge</t>
        </is>
      </c>
    </row>
    <row r="316">
      <c r="A316" s="11" t="n">
        <v>313</v>
      </c>
      <c r="B316" s="11" t="inlineStr">
        <is>
          <t>A</t>
        </is>
      </c>
      <c r="C316" s="11" t="inlineStr">
        <is>
          <t>Pharma/Chemie</t>
        </is>
      </c>
      <c r="D316" s="11" t="inlineStr">
        <is>
          <t>Emmi Gruppe AG (HQ Luzern)</t>
        </is>
      </c>
      <c r="E316" s="11" t="inlineStr">
        <is>
          <t>Luzern</t>
        </is>
      </c>
      <c r="F316" s="11" t="inlineStr">
        <is>
          <t>6005</t>
        </is>
      </c>
      <c r="G316" s="11" t="inlineStr">
        <is>
          <t>LU</t>
        </is>
      </c>
      <c r="H316" s="11" t="inlineStr">
        <is>
          <t>Energiemanager</t>
        </is>
      </c>
      <c r="I316" s="11" t="inlineStr">
        <is>
          <t>Dipl. El.-Ing.</t>
        </is>
      </c>
      <c r="J316" s="11" t="inlineStr">
        <is>
          <t>info@emmi.com</t>
        </is>
      </c>
      <c r="K316" s="11" t="inlineStr">
        <is>
          <t>+41 41 227 41 41</t>
        </is>
      </c>
      <c r="L316" s="11" t="n"/>
      <c r="M316" s="11" t="inlineStr">
        <is>
          <t>offen</t>
        </is>
      </c>
      <c r="N316" s="11" t="inlineStr">
        <is>
          <t>MiT-CRM: Emmi als Kältekunde prüfen</t>
        </is>
      </c>
      <c r="O316" s="11" t="inlineStr">
        <is>
          <t>Milch: NEA Kühlkette 2 MVA; FU; ISO 50001; CHF 4.7 Mrd.</t>
        </is>
      </c>
      <c r="P316" s="11" t="inlineStr">
        <is>
          <t>Kälte</t>
        </is>
      </c>
      <c r="Q316" s="11" t="n"/>
      <c r="R316" s="11" t="inlineStr">
        <is>
          <t>Adr: Landenbergstrasse 1, 6005 Luzern | Grösste Molkerei CH; Kühlkette</t>
        </is>
      </c>
      <c r="S316" s="11" t="inlineStr">
        <is>
          <t>Dairy/Milch</t>
        </is>
      </c>
    </row>
    <row r="317">
      <c r="A317" s="11" t="n">
        <v>314</v>
      </c>
      <c r="B317" s="11" t="inlineStr">
        <is>
          <t>A</t>
        </is>
      </c>
      <c r="C317" s="11" t="inlineStr">
        <is>
          <t>Pharma/Chemie</t>
        </is>
      </c>
      <c r="D317" s="11" t="inlineStr">
        <is>
          <t>B. Braun Medical AG (EMEA)</t>
        </is>
      </c>
      <c r="E317" s="11" t="inlineStr">
        <is>
          <t>Sempach</t>
        </is>
      </c>
      <c r="F317" s="11" t="inlineStr">
        <is>
          <t>6204</t>
        </is>
      </c>
      <c r="G317" s="11" t="inlineStr">
        <is>
          <t>LU</t>
        </is>
      </c>
      <c r="H317" s="11" t="inlineStr">
        <is>
          <t>Betriebsleiter Technik</t>
        </is>
      </c>
      <c r="I317" s="11" t="inlineStr">
        <is>
          <t>MSc El.-Ing.</t>
        </is>
      </c>
      <c r="J317" s="11" t="inlineStr">
        <is>
          <t>info@bbraun.com</t>
        </is>
      </c>
      <c r="K317" s="11" t="inlineStr">
        <is>
          <t>+41 41 469 51 11</t>
        </is>
      </c>
      <c r="L317" s="11" t="n"/>
      <c r="M317" s="11" t="inlineStr">
        <is>
          <t>offen</t>
        </is>
      </c>
      <c r="N317" s="11" t="inlineStr">
        <is>
          <t>Facility Manager B. Braun Sempach; GMP-Pitch</t>
        </is>
      </c>
      <c r="O317" s="11" t="inlineStr">
        <is>
          <t>MedTech GMP EMEA: NEA + USV 500 kVA; PQ Reinraum</t>
        </is>
      </c>
      <c r="P317" s="11" t="inlineStr">
        <is>
          <t>USV</t>
        </is>
      </c>
      <c r="Q317" s="11" t="n"/>
      <c r="R317" s="11" t="inlineStr">
        <is>
          <t>Adr: Sempapark, 6204 Sempach | EMEA-Zentrale; GMP = Top-Account LU</t>
        </is>
      </c>
      <c r="S317" s="11" t="inlineStr">
        <is>
          <t>MedTech/EMEA</t>
        </is>
      </c>
    </row>
    <row r="318">
      <c r="A318" s="11" t="n">
        <v>315</v>
      </c>
      <c r="B318" s="11" t="inlineStr">
        <is>
          <t>A</t>
        </is>
      </c>
      <c r="C318" s="11" t="inlineStr">
        <is>
          <t>Pharma/Chemie</t>
        </is>
      </c>
      <c r="D318" s="11" t="inlineStr">
        <is>
          <t>adidas Group (EMEA-HQ)</t>
        </is>
      </c>
      <c r="E318" s="11" t="inlineStr">
        <is>
          <t>Kägiswil</t>
        </is>
      </c>
      <c r="F318" s="11" t="inlineStr">
        <is>
          <t>6056</t>
        </is>
      </c>
      <c r="G318" s="11" t="inlineStr">
        <is>
          <t>LU</t>
        </is>
      </c>
      <c r="H318" s="11" t="inlineStr">
        <is>
          <t>Facility Manager EMEA</t>
        </is>
      </c>
      <c r="I318" s="11" t="inlineStr">
        <is>
          <t>MSc El.-Ing.</t>
        </is>
      </c>
      <c r="J318" s="11" t="inlineStr">
        <is>
          <t>info@adidas.com</t>
        </is>
      </c>
      <c r="K318" s="11" t="inlineStr">
        <is>
          <t>+41 41 510 41 11</t>
        </is>
      </c>
      <c r="L318" s="11" t="n"/>
      <c r="M318" s="11" t="inlineStr">
        <is>
          <t>offen</t>
        </is>
      </c>
      <c r="N318" s="11" t="inlineStr">
        <is>
          <t>Facility Manager adidas EMEA-HQ kontaktieren</t>
        </is>
      </c>
      <c r="O318" s="11" t="inlineStr">
        <is>
          <t>EMEA-HQ: NEA + USV 500 kVA; PQ; 2'000 MA LU-Region</t>
        </is>
      </c>
      <c r="P318" s="11" t="inlineStr">
        <is>
          <t>USV</t>
        </is>
      </c>
      <c r="Q318" s="11" t="n"/>
      <c r="R318" s="11" t="inlineStr">
        <is>
          <t>Adr: Adi-Dassler-Strasse 1, 6056 Kägiswil | adidas EMEA-HQ; Fortune-500</t>
        </is>
      </c>
      <c r="S318" s="11" t="inlineStr">
        <is>
          <t>EMEA-HQ</t>
        </is>
      </c>
    </row>
    <row r="319">
      <c r="A319" s="11" t="n">
        <v>316</v>
      </c>
      <c r="B319" s="11" t="inlineStr">
        <is>
          <t>A</t>
        </is>
      </c>
      <c r="C319" s="11" t="inlineStr">
        <is>
          <t>Bau/Infrastruktur</t>
        </is>
      </c>
      <c r="D319" s="11" t="inlineStr">
        <is>
          <t>Pilatus Bahnen AG</t>
        </is>
      </c>
      <c r="E319" s="11" t="inlineStr">
        <is>
          <t>Alpnachstad</t>
        </is>
      </c>
      <c r="F319" s="11" t="inlineStr">
        <is>
          <t>6055</t>
        </is>
      </c>
      <c r="G319" s="11" t="inlineStr">
        <is>
          <t>LU</t>
        </is>
      </c>
      <c r="H319" s="11" t="inlineStr">
        <is>
          <t>Technischer Direktor</t>
        </is>
      </c>
      <c r="I319" s="11" t="inlineStr">
        <is>
          <t>Dipl. Ing.</t>
        </is>
      </c>
      <c r="J319" s="11" t="inlineStr">
        <is>
          <t>info@pilatus.com</t>
        </is>
      </c>
      <c r="K319" s="11" t="inlineStr">
        <is>
          <t>+41 41 329 11 11</t>
        </is>
      </c>
      <c r="L319" s="11" t="n"/>
      <c r="M319" s="11" t="inlineStr">
        <is>
          <t>offen</t>
        </is>
      </c>
      <c r="N319" s="11" t="inlineStr">
        <is>
          <t>Techn. Direktor Pilatus; Revisionsfenster Herbst</t>
        </is>
      </c>
      <c r="O319" s="11" t="inlineStr">
        <is>
          <t>Steilste Zahnradbahn Welt: NEA + Generator 300 kVA; FU; alpine Lage</t>
        </is>
      </c>
      <c r="P319" s="11" t="inlineStr">
        <is>
          <t>Generator</t>
        </is>
      </c>
      <c r="Q319" s="11" t="n"/>
      <c r="R319" s="11" t="inlineStr">
        <is>
          <t>Adr: Pilatus-Strasse 1, 6055 Alpnachstad | Steilste Zahnradbahn Welt</t>
        </is>
      </c>
      <c r="S319" s="11" t="inlineStr">
        <is>
          <t>Bergbahn</t>
        </is>
      </c>
    </row>
    <row r="320">
      <c r="A320" s="11" t="n">
        <v>317</v>
      </c>
      <c r="B320" s="11" t="inlineStr">
        <is>
          <t>A</t>
        </is>
      </c>
      <c r="C320" s="11" t="inlineStr">
        <is>
          <t>Bau/Infrastruktur</t>
        </is>
      </c>
      <c r="D320" s="11" t="inlineStr">
        <is>
          <t>ARA Luzern (Real Luzern AG)</t>
        </is>
      </c>
      <c r="E320" s="11" t="inlineStr">
        <is>
          <t>Luzern</t>
        </is>
      </c>
      <c r="F320" s="11" t="inlineStr">
        <is>
          <t>6015</t>
        </is>
      </c>
      <c r="G320" s="11" t="inlineStr">
        <is>
          <t>LU</t>
        </is>
      </c>
      <c r="H320" s="11" t="inlineStr">
        <is>
          <t>Betriebsleiter ARA</t>
        </is>
      </c>
      <c r="I320" s="11" t="inlineStr">
        <is>
          <t>Techniker</t>
        </is>
      </c>
      <c r="J320" s="11" t="inlineStr">
        <is>
          <t>info@real-lu.ch</t>
        </is>
      </c>
      <c r="K320" s="11" t="inlineStr">
        <is>
          <t>+41 41 319 87 00</t>
        </is>
      </c>
      <c r="L320" s="11" t="n"/>
      <c r="M320" s="11" t="inlineStr">
        <is>
          <t>offen</t>
        </is>
      </c>
      <c r="N320" s="11" t="inlineStr">
        <is>
          <t>Betriebsleiter ARA Luzern; simap.ch Alert LU</t>
        </is>
      </c>
      <c r="O320" s="11" t="inlineStr">
        <is>
          <t>NEA-Pflicht 1× 400 kVA; Reuss-Gewässerschutz; 24h</t>
        </is>
      </c>
      <c r="P320" s="11" t="inlineStr">
        <is>
          <t>Generator</t>
        </is>
      </c>
      <c r="Q320" s="11" t="n"/>
      <c r="R320" s="11" t="inlineStr">
        <is>
          <t>Adr: Reussinsel 1, 6015 Luzern | Reuss-Schutz; Ausschreibungspflicht</t>
        </is>
      </c>
      <c r="S320" s="11" t="inlineStr">
        <is>
          <t>ARA</t>
        </is>
      </c>
    </row>
    <row r="321">
      <c r="A321" s="11" t="n">
        <v>318</v>
      </c>
      <c r="B321" s="11" t="inlineStr">
        <is>
          <t>A</t>
        </is>
      </c>
      <c r="C321" s="11" t="inlineStr">
        <is>
          <t>Events/Messen</t>
        </is>
      </c>
      <c r="D321" s="11" t="inlineStr">
        <is>
          <t>KKL Luzern AG</t>
        </is>
      </c>
      <c r="E321" s="11" t="inlineStr">
        <is>
          <t>Luzern</t>
        </is>
      </c>
      <c r="F321" s="11" t="inlineStr">
        <is>
          <t>6005</t>
        </is>
      </c>
      <c r="G321" s="11" t="inlineStr">
        <is>
          <t>LU</t>
        </is>
      </c>
      <c r="H321" s="11" t="inlineStr">
        <is>
          <t>Technische Leitung</t>
        </is>
      </c>
      <c r="I321" s="11" t="inlineStr">
        <is>
          <t>Veranstaltungstechniker</t>
        </is>
      </c>
      <c r="J321" s="11" t="inlineStr">
        <is>
          <t>info@kkl-luzern.ch</t>
        </is>
      </c>
      <c r="K321" s="11" t="inlineStr">
        <is>
          <t>+41 41 226 70 70</t>
        </is>
      </c>
      <c r="L321" s="11" t="n"/>
      <c r="M321" s="11" t="inlineStr">
        <is>
          <t>offen</t>
        </is>
      </c>
      <c r="N321" s="11" t="inlineStr">
        <is>
          <t>Technische Leitung KKL; Festspiele März–Aug.</t>
        </is>
      </c>
      <c r="O321" s="11" t="inlineStr">
        <is>
          <t>Temporary Power Konzerte+Konferenzen 500 kVA; USV Broadcast; Festspiele</t>
        </is>
      </c>
      <c r="P321" s="11" t="inlineStr">
        <is>
          <t>USV</t>
        </is>
      </c>
      <c r="Q321" s="11" t="n"/>
      <c r="R321" s="11" t="inlineStr">
        <is>
          <t>Adr: Europaplatz 1, 6005 Luzern | Weltbekannte Konzerthalle; Festspiele</t>
        </is>
      </c>
      <c r="S321" s="11" t="inlineStr">
        <is>
          <t>Kongresszentrum</t>
        </is>
      </c>
    </row>
    <row r="322">
      <c r="A322" s="11" t="n">
        <v>319</v>
      </c>
      <c r="B322" s="11" t="inlineStr">
        <is>
          <t>A</t>
        </is>
      </c>
      <c r="C322" s="11" t="inlineStr">
        <is>
          <t>Rechenzentrum/IT</t>
        </is>
      </c>
      <c r="D322" s="11" t="inlineStr">
        <is>
          <t>Luzerner Kantonalbank AG (LUKB)</t>
        </is>
      </c>
      <c r="E322" s="11" t="inlineStr">
        <is>
          <t>Luzern</t>
        </is>
      </c>
      <c r="F322" s="11" t="inlineStr">
        <is>
          <t>6003</t>
        </is>
      </c>
      <c r="G322" s="11" t="inlineStr">
        <is>
          <t>LU</t>
        </is>
      </c>
      <c r="H322" s="11" t="inlineStr">
        <is>
          <t>Leiter IT-Infrastruktur</t>
        </is>
      </c>
      <c r="I322" s="11" t="inlineStr">
        <is>
          <t>MSc Inf.</t>
        </is>
      </c>
      <c r="J322" s="11" t="inlineStr">
        <is>
          <t>info@lukb.ch</t>
        </is>
      </c>
      <c r="K322" s="11" t="inlineStr">
        <is>
          <t>+41 844 822 811</t>
        </is>
      </c>
      <c r="L322" s="11" t="n"/>
      <c r="M322" s="11" t="inlineStr">
        <is>
          <t>offen</t>
        </is>
      </c>
      <c r="N322" s="11" t="inlineStr">
        <is>
          <t>IT-Infrastruktur LUKB; FINMA-Argument</t>
        </is>
      </c>
      <c r="O322" s="11" t="inlineStr">
        <is>
          <t>USV RZ 2× 200 kVA; NEA; PQ FINMA</t>
        </is>
      </c>
      <c r="P322" s="11" t="inlineStr">
        <is>
          <t>USV</t>
        </is>
      </c>
      <c r="Q322" s="11" t="n"/>
      <c r="R322" s="11" t="inlineStr">
        <is>
          <t>Adr: Pilatusstrasse 12, 6003 Luzern | Kantonalbank LU; FINMA</t>
        </is>
      </c>
      <c r="S322" s="11" t="inlineStr">
        <is>
          <t>Kantonalbank</t>
        </is>
      </c>
    </row>
    <row r="323">
      <c r="A323" s="11" t="n">
        <v>320</v>
      </c>
      <c r="B323" s="11" t="inlineStr">
        <is>
          <t>B</t>
        </is>
      </c>
      <c r="C323" s="11" t="inlineStr">
        <is>
          <t>Pharma/Chemie</t>
        </is>
      </c>
      <c r="D323" s="11" t="inlineStr">
        <is>
          <t>Japan Tobacco International JTI</t>
        </is>
      </c>
      <c r="E323" s="11" t="inlineStr">
        <is>
          <t>Luzern</t>
        </is>
      </c>
      <c r="F323" s="11" t="inlineStr">
        <is>
          <t>6002</t>
        </is>
      </c>
      <c r="G323" s="11" t="inlineStr">
        <is>
          <t>LU</t>
        </is>
      </c>
      <c r="H323" s="11" t="inlineStr">
        <is>
          <t>Facility Manager EMEA</t>
        </is>
      </c>
      <c r="I323" s="11" t="inlineStr">
        <is>
          <t>MSc El.-Ing.</t>
        </is>
      </c>
      <c r="J323" s="11" t="inlineStr">
        <is>
          <t>info@jti.com</t>
        </is>
      </c>
      <c r="K323" s="11" t="inlineStr">
        <is>
          <t>+41 41 375 37 37</t>
        </is>
      </c>
      <c r="L323" s="11" t="n"/>
      <c r="M323" s="11" t="inlineStr">
        <is>
          <t>offen</t>
        </is>
      </c>
      <c r="N323" s="11" t="inlineStr">
        <is>
          <t>Facility Manager JTI EMEA-HQ Luzern kontaktieren</t>
        </is>
      </c>
      <c r="O323" s="11" t="inlineStr">
        <is>
          <t>EMEA-HQ: NEA + USV 300 kVA; PQ; Fortune-Global-100</t>
        </is>
      </c>
      <c r="P323" s="11" t="inlineStr">
        <is>
          <t>USV</t>
        </is>
      </c>
      <c r="Q323" s="11" t="n"/>
      <c r="R323" s="11" t="inlineStr">
        <is>
          <t>Adr: Römerstrasse 8, 6002 Luzern | JTI EMEA-HQ; Fortune-Global-100</t>
        </is>
      </c>
      <c r="S323" s="11" t="inlineStr">
        <is>
          <t>EMEA-HQ</t>
        </is>
      </c>
    </row>
    <row r="324">
      <c r="A324" s="11" t="n">
        <v>321</v>
      </c>
      <c r="B324" s="11" t="inlineStr">
        <is>
          <t>B</t>
        </is>
      </c>
      <c r="C324" s="11" t="inlineStr">
        <is>
          <t>Pharma/Chemie</t>
        </is>
      </c>
      <c r="D324" s="11" t="inlineStr">
        <is>
          <t>MSD Merck Sharp &amp; Dohme (CH-HQ)</t>
        </is>
      </c>
      <c r="E324" s="11" t="inlineStr">
        <is>
          <t>Luzern</t>
        </is>
      </c>
      <c r="F324" s="11" t="inlineStr">
        <is>
          <t>6005</t>
        </is>
      </c>
      <c r="G324" s="11" t="inlineStr">
        <is>
          <t>LU</t>
        </is>
      </c>
      <c r="H324" s="11" t="inlineStr">
        <is>
          <t>Facility Manager</t>
        </is>
      </c>
      <c r="I324" s="11" t="inlineStr">
        <is>
          <t>MSc El.-Ing.</t>
        </is>
      </c>
      <c r="J324" s="11" t="inlineStr">
        <is>
          <t>info@msd.ch</t>
        </is>
      </c>
      <c r="K324" s="11" t="inlineStr">
        <is>
          <t>+41 58 618 30 30</t>
        </is>
      </c>
      <c r="L324" s="11" t="n"/>
      <c r="M324" s="11" t="inlineStr">
        <is>
          <t>offen</t>
        </is>
      </c>
      <c r="N324" s="11" t="inlineStr">
        <is>
          <t>Facility Manager MSD CH-HQ Luzern kontaktieren</t>
        </is>
      </c>
      <c r="O324" s="11" t="inlineStr">
        <is>
          <t>Pharma CH-HQ: NEA + USV 200 kVA; PQ; GMP; Fortune-100</t>
        </is>
      </c>
      <c r="P324" s="11" t="inlineStr">
        <is>
          <t>USV</t>
        </is>
      </c>
      <c r="Q324" s="11" t="n"/>
      <c r="R324" s="11" t="inlineStr">
        <is>
          <t>Adr: Werftestrasse 4, 6005 Luzern | MSD CH-HQ; Fortune-100</t>
        </is>
      </c>
      <c r="S324" s="11" t="inlineStr">
        <is>
          <t>Pharma/CH-HQ</t>
        </is>
      </c>
    </row>
    <row r="325">
      <c r="A325" s="11" t="n">
        <v>322</v>
      </c>
      <c r="B325" s="11" t="inlineStr">
        <is>
          <t>B</t>
        </is>
      </c>
      <c r="C325" s="11" t="inlineStr">
        <is>
          <t>Pharma/Chemie</t>
        </is>
      </c>
      <c r="D325" s="11" t="inlineStr">
        <is>
          <t>Geistlich Pharma AG</t>
        </is>
      </c>
      <c r="E325" s="11" t="inlineStr">
        <is>
          <t>Wolhusen</t>
        </is>
      </c>
      <c r="F325" s="11" t="inlineStr">
        <is>
          <t>6110</t>
        </is>
      </c>
      <c r="G325" s="11" t="inlineStr">
        <is>
          <t>LU</t>
        </is>
      </c>
      <c r="H325" s="11" t="inlineStr">
        <is>
          <t>Betriebsleiter Technik</t>
        </is>
      </c>
      <c r="I325" s="11" t="inlineStr">
        <is>
          <t>MSc Chemie</t>
        </is>
      </c>
      <c r="J325" s="11" t="inlineStr">
        <is>
          <t>info@geistlich-pharma.com</t>
        </is>
      </c>
      <c r="K325" s="11" t="inlineStr">
        <is>
          <t>+41 41 492 55 55</t>
        </is>
      </c>
      <c r="L325" s="11" t="n"/>
      <c r="M325" s="11" t="inlineStr">
        <is>
          <t>offen</t>
        </is>
      </c>
      <c r="N325" s="11" t="inlineStr">
        <is>
          <t>Betriebsleiter Geistlich Wolhusen kontaktieren</t>
        </is>
      </c>
      <c r="O325" s="11" t="inlineStr">
        <is>
          <t>Gelatine GMP: NEA 1 MVA; USV; PQ Reinraum; MedTech</t>
        </is>
      </c>
      <c r="P325" s="11" t="inlineStr">
        <is>
          <t>USV</t>
        </is>
      </c>
      <c r="Q325" s="11" t="n"/>
      <c r="R325" s="11" t="inlineStr">
        <is>
          <t>Adr: Bahnhofstrasse 40, 6110 Wolhusen | Gelatine+MedTech; GMP</t>
        </is>
      </c>
      <c r="S325" s="11" t="inlineStr">
        <is>
          <t>Gelatine/Pharma</t>
        </is>
      </c>
    </row>
    <row r="326">
      <c r="A326" s="11" t="n">
        <v>323</v>
      </c>
      <c r="B326" s="11" t="inlineStr">
        <is>
          <t>B</t>
        </is>
      </c>
      <c r="C326" s="11" t="inlineStr">
        <is>
          <t>Pharma/Chemie</t>
        </is>
      </c>
      <c r="D326" s="11" t="inlineStr">
        <is>
          <t>SCHURTER AG</t>
        </is>
      </c>
      <c r="E326" s="11" t="inlineStr">
        <is>
          <t>Luzern</t>
        </is>
      </c>
      <c r="F326" s="11" t="inlineStr">
        <is>
          <t>6002</t>
        </is>
      </c>
      <c r="G326" s="11" t="inlineStr">
        <is>
          <t>LU</t>
        </is>
      </c>
      <c r="H326" s="11" t="inlineStr">
        <is>
          <t>Betriebsleiter Elektro</t>
        </is>
      </c>
      <c r="I326" s="11" t="inlineStr">
        <is>
          <t>Dipl. El.-Ing.</t>
        </is>
      </c>
      <c r="J326" s="11" t="inlineStr">
        <is>
          <t>info@schurter.ch</t>
        </is>
      </c>
      <c r="K326" s="11" t="inlineStr">
        <is>
          <t>+41 41 369 31 11</t>
        </is>
      </c>
      <c r="L326" s="11" t="n"/>
      <c r="M326" s="11" t="inlineStr">
        <is>
          <t>offen</t>
        </is>
      </c>
      <c r="N326" s="11" t="inlineStr">
        <is>
          <t>Betriebsleiter SCHURTER Luzern kontaktieren</t>
        </is>
      </c>
      <c r="O326" s="11" t="inlineStr">
        <is>
          <t>Elektronik: NEA + USV 300 kVA; EMV-Komponenten; PQ; 2'100 MA</t>
        </is>
      </c>
      <c r="P326" s="11" t="inlineStr">
        <is>
          <t>USV</t>
        </is>
      </c>
      <c r="Q326" s="11" t="n"/>
      <c r="R326" s="11" t="inlineStr">
        <is>
          <t>Adr: Werkhofstrasse 8-12, 6002 Luzern | 2'100 MA; EMV-Komponenten</t>
        </is>
      </c>
      <c r="S326" s="11" t="inlineStr">
        <is>
          <t>Elektronik</t>
        </is>
      </c>
    </row>
    <row r="327">
      <c r="A327" s="11" t="n">
        <v>324</v>
      </c>
      <c r="B327" s="11" t="inlineStr">
        <is>
          <t>B</t>
        </is>
      </c>
      <c r="C327" s="11" t="inlineStr">
        <is>
          <t>Gemeinde/Öffentlich</t>
        </is>
      </c>
      <c r="D327" s="11" t="inlineStr">
        <is>
          <t>Kanton Luzern (Hochbauamt)</t>
        </is>
      </c>
      <c r="E327" s="11" t="inlineStr">
        <is>
          <t>Luzern</t>
        </is>
      </c>
      <c r="F327" s="11" t="inlineStr">
        <is>
          <t>6002</t>
        </is>
      </c>
      <c r="G327" s="11" t="inlineStr">
        <is>
          <t>LU</t>
        </is>
      </c>
      <c r="H327" s="11" t="inlineStr">
        <is>
          <t>Leiter Hochbauamt</t>
        </is>
      </c>
      <c r="I327" s="11" t="inlineStr">
        <is>
          <t>Kantonsbauingenieur</t>
        </is>
      </c>
      <c r="J327" s="11" t="inlineStr">
        <is>
          <t>hochbauamt@lu.ch</t>
        </is>
      </c>
      <c r="K327" s="11" t="inlineStr">
        <is>
          <t>+41 41 228 60 60</t>
        </is>
      </c>
      <c r="L327" s="11" t="n"/>
      <c r="M327" s="11" t="inlineStr">
        <is>
          <t>offen</t>
        </is>
      </c>
      <c r="N327" s="11" t="inlineStr">
        <is>
          <t>Hochbauamt LU; simap.ch Alert Kanton LU</t>
        </is>
      </c>
      <c r="O327" s="11" t="inlineStr">
        <is>
          <t>NEA kantonale Gebäude; 200+ Liegenschaften; Rahmenvertrag</t>
        </is>
      </c>
      <c r="P327" s="11" t="n"/>
      <c r="Q327" s="11" t="n"/>
      <c r="R327" s="11" t="inlineStr">
        <is>
          <t>Adr: Ruopigenstrasse 52, 6015 Luzern | Rahmenvertragspotenzial</t>
        </is>
      </c>
      <c r="S327" s="11" t="inlineStr">
        <is>
          <t>Kanton</t>
        </is>
      </c>
    </row>
    <row r="328">
      <c r="A328" s="11" t="n">
        <v>325</v>
      </c>
      <c r="B328" s="11" t="inlineStr">
        <is>
          <t>B</t>
        </is>
      </c>
      <c r="C328" s="11" t="inlineStr">
        <is>
          <t>Pharma/Chemie</t>
        </is>
      </c>
      <c r="D328" s="11" t="inlineStr">
        <is>
          <t>Zimmer Biomet (EMEA-HQ)</t>
        </is>
      </c>
      <c r="E328" s="11" t="inlineStr">
        <is>
          <t>Luzern</t>
        </is>
      </c>
      <c r="F328" s="11" t="inlineStr">
        <is>
          <t>6005</t>
        </is>
      </c>
      <c r="G328" s="11" t="inlineStr">
        <is>
          <t>LU</t>
        </is>
      </c>
      <c r="H328" s="11" t="inlineStr">
        <is>
          <t>Facility Manager EMEA</t>
        </is>
      </c>
      <c r="I328" s="11" t="inlineStr">
        <is>
          <t>MSc El.-Ing.</t>
        </is>
      </c>
      <c r="J328" s="11" t="inlineStr">
        <is>
          <t>info@zimmerbiomet.com</t>
        </is>
      </c>
      <c r="K328" s="11" t="inlineStr">
        <is>
          <t>+41 41 226 00 00</t>
        </is>
      </c>
      <c r="L328" s="11" t="n"/>
      <c r="M328" s="11" t="inlineStr">
        <is>
          <t>offen</t>
        </is>
      </c>
      <c r="N328" s="11" t="inlineStr">
        <is>
          <t>Facility Manager Zimmer Biomet EMEA-HQ Luzern kontaktieren</t>
        </is>
      </c>
      <c r="O328" s="11" t="inlineStr">
        <is>
          <t>MedTech EMEA-HQ: NEA + USV 200 kVA; PQ; Fortune-500</t>
        </is>
      </c>
      <c r="P328" s="11" t="inlineStr">
        <is>
          <t>USV</t>
        </is>
      </c>
      <c r="Q328" s="11" t="n"/>
      <c r="R328" s="11" t="inlineStr">
        <is>
          <t>Adr: Sulzermattstrasse 1, 6005 Luzern | MedTech EMEA-HQ; Fortune-500</t>
        </is>
      </c>
      <c r="S328" s="11" t="inlineStr">
        <is>
          <t>EMEA-HQ</t>
        </is>
      </c>
    </row>
    <row r="329">
      <c r="A329" s="11" t="n">
        <v>326</v>
      </c>
      <c r="B329" s="11" t="inlineStr">
        <is>
          <t>C</t>
        </is>
      </c>
      <c r="C329" s="11" t="inlineStr">
        <is>
          <t>Bau/Infrastruktur</t>
        </is>
      </c>
      <c r="D329" s="11" t="inlineStr">
        <is>
          <t>Rigi Bahnen AG</t>
        </is>
      </c>
      <c r="E329" s="11" t="inlineStr">
        <is>
          <t>Vitznau</t>
        </is>
      </c>
      <c r="F329" s="11" t="inlineStr">
        <is>
          <t>6354</t>
        </is>
      </c>
      <c r="G329" s="11" t="inlineStr">
        <is>
          <t>LU</t>
        </is>
      </c>
      <c r="H329" s="11" t="inlineStr">
        <is>
          <t>Betriebsleiter Technik</t>
        </is>
      </c>
      <c r="I329" s="11" t="inlineStr">
        <is>
          <t>Techniker</t>
        </is>
      </c>
      <c r="J329" s="11" t="inlineStr">
        <is>
          <t>info@rigi.ch</t>
        </is>
      </c>
      <c r="K329" s="11" t="inlineStr">
        <is>
          <t>+41 41 399 87 87</t>
        </is>
      </c>
      <c r="L329" s="11" t="n"/>
      <c r="M329" s="11" t="inlineStr">
        <is>
          <t>offen</t>
        </is>
      </c>
      <c r="N329" s="11" t="inlineStr">
        <is>
          <t>Betriebsleiter Rigi Bahnen; Revisionsfenster Herbst</t>
        </is>
      </c>
      <c r="O329" s="11" t="inlineStr">
        <is>
          <t>Bergbahn Revisionen: NEA + Generator 200 kVA; FU; Rigi</t>
        </is>
      </c>
      <c r="P329" s="11" t="inlineStr">
        <is>
          <t>Generator</t>
        </is>
      </c>
      <c r="Q329" s="11" t="n"/>
      <c r="R329" s="11" t="inlineStr">
        <is>
          <t>Adr: Seebodenstrasse 1, 6354 Vitznau | Rigi = Königin der Berge; FU-Revision</t>
        </is>
      </c>
      <c r="S329" s="11" t="inlineStr">
        <is>
          <t>Bergbahn</t>
        </is>
      </c>
    </row>
    <row r="330">
      <c r="A330" s="11" t="n">
        <v>327</v>
      </c>
      <c r="B330" s="11" t="inlineStr">
        <is>
          <t>C</t>
        </is>
      </c>
      <c r="C330" s="11" t="inlineStr">
        <is>
          <t>EVU/Netzbetreiber</t>
        </is>
      </c>
      <c r="D330" s="11" t="inlineStr">
        <is>
          <t>Stadtwerk Sursee AG</t>
        </is>
      </c>
      <c r="E330" s="11" t="inlineStr">
        <is>
          <t>Sursee</t>
        </is>
      </c>
      <c r="F330" s="11" t="inlineStr">
        <is>
          <t>6210</t>
        </is>
      </c>
      <c r="G330" s="11" t="inlineStr">
        <is>
          <t>LU</t>
        </is>
      </c>
      <c r="H330" s="11" t="inlineStr">
        <is>
          <t>Betriebsleiter</t>
        </is>
      </c>
      <c r="I330" s="11" t="inlineStr">
        <is>
          <t>Dipl. El.-Ing.</t>
        </is>
      </c>
      <c r="J330" s="11" t="inlineStr">
        <is>
          <t>info@stadtwerk-sursee.ch</t>
        </is>
      </c>
      <c r="K330" s="11" t="inlineStr">
        <is>
          <t>+41 41 926 70 00</t>
        </is>
      </c>
      <c r="L330" s="11" t="n"/>
      <c r="M330" s="11" t="inlineStr">
        <is>
          <t>offen</t>
        </is>
      </c>
      <c r="N330" s="11" t="inlineStr">
        <is>
          <t>Betriebsleiter Stadtwerk Sursee; simap.ch Alert</t>
        </is>
      </c>
      <c r="O330" s="11" t="inlineStr">
        <is>
          <t>Stadtwerk Sursee: MS-Revisionen; NEA Stadtgebäude</t>
        </is>
      </c>
      <c r="P330" s="11" t="n"/>
      <c r="Q330" s="11" t="n"/>
      <c r="R330" s="11" t="inlineStr">
        <is>
          <t>Adr: Schlossstrasse 10, 6210 Sursee | Stadtwerk Sursee</t>
        </is>
      </c>
      <c r="S330" s="11" t="inlineStr">
        <is>
          <t>Stadtwerk Sursee</t>
        </is>
      </c>
    </row>
    <row r="331">
      <c r="A331" s="11" t="n">
        <v>328</v>
      </c>
      <c r="B331" s="11" t="inlineStr">
        <is>
          <t>C</t>
        </is>
      </c>
      <c r="C331" s="11" t="inlineStr">
        <is>
          <t>Spital/Klinik</t>
        </is>
      </c>
      <c r="D331" s="11" t="inlineStr">
        <is>
          <t>Luzerner Kantonsspital Sursee</t>
        </is>
      </c>
      <c r="E331" s="11" t="inlineStr">
        <is>
          <t>Sursee</t>
        </is>
      </c>
      <c r="F331" s="11" t="inlineStr">
        <is>
          <t>6210</t>
        </is>
      </c>
      <c r="G331" s="11" t="inlineStr">
        <is>
          <t>LU</t>
        </is>
      </c>
      <c r="H331" s="11" t="inlineStr">
        <is>
          <t>Betriebsleiter</t>
        </is>
      </c>
      <c r="I331" s="11" t="inlineStr">
        <is>
          <t>Techniker</t>
        </is>
      </c>
      <c r="J331" s="11" t="inlineStr">
        <is>
          <t>info@luks.ch</t>
        </is>
      </c>
      <c r="K331" s="11" t="inlineStr">
        <is>
          <t>+41 41 926 61 11</t>
        </is>
      </c>
      <c r="L331" s="11" t="n"/>
      <c r="M331" s="11" t="inlineStr">
        <is>
          <t>offen</t>
        </is>
      </c>
      <c r="N331" s="11" t="inlineStr">
        <is>
          <t>Betriebsleiter LUKS Sursee; LUKS-Verbindung nutzen</t>
        </is>
      </c>
      <c r="O331" s="11" t="inlineStr">
        <is>
          <t>NEA 2× 300 kVA; USV; LUKS-Tochter Sursee</t>
        </is>
      </c>
      <c r="P331" s="11" t="inlineStr">
        <is>
          <t>USV</t>
        </is>
      </c>
      <c r="Q331" s="11" t="n"/>
      <c r="R331" s="11" t="inlineStr">
        <is>
          <t>Adr: Schachenstrasse 10, 6210 Sursee | LUKS-Tochter; NEA-Pflicht</t>
        </is>
      </c>
      <c r="S331" s="11" t="inlineStr">
        <is>
          <t>Kantonsspital</t>
        </is>
      </c>
    </row>
    <row r="332">
      <c r="A332" s="11" t="n">
        <v>329</v>
      </c>
      <c r="B332" s="11" t="inlineStr">
        <is>
          <t>C</t>
        </is>
      </c>
      <c r="C332" s="11" t="inlineStr">
        <is>
          <t>Gemeinde/Öffentlich</t>
        </is>
      </c>
      <c r="D332" s="11" t="inlineStr">
        <is>
          <t>[MiT LU-Kältekunde Nr. 1]</t>
        </is>
      </c>
      <c r="E332" s="11" t="inlineStr">
        <is>
          <t>Luzern</t>
        </is>
      </c>
      <c r="F332" s="11" t="inlineStr">
        <is>
          <t>6000</t>
        </is>
      </c>
      <c r="G332" s="11" t="inlineStr">
        <is>
          <t>LU</t>
        </is>
      </c>
      <c r="H332" s="11" t="inlineStr">
        <is>
          <t>Energieverantwortlicher</t>
        </is>
      </c>
      <c r="I332" s="11" t="inlineStr">
        <is>
          <t>Betriebsleiter</t>
        </is>
      </c>
      <c r="J332" s="11" t="n"/>
      <c r="K332" s="11" t="inlineStr">
        <is>
          <t>(MiT-CRM)</t>
        </is>
      </c>
      <c r="L332" s="11" t="n"/>
      <c r="M332" s="11" t="inlineStr">
        <is>
          <t>offen</t>
        </is>
      </c>
      <c r="N332" s="11" t="inlineStr">
        <is>
          <t>MiT-CRM Roberto/Stefan: LU-Kunden ohne Strom sofort prüfen</t>
        </is>
      </c>
      <c r="O332" s="11" t="inlineStr">
        <is>
          <t>Strom-Add-on MiT-Wärme/Kälte LU</t>
        </is>
      </c>
      <c r="P332" s="11" t="n"/>
      <c r="Q332" s="11" t="n"/>
      <c r="R332" s="11" t="inlineStr">
        <is>
          <t>CKW-Kontakt öffnet Netzwerk LU/UR/OW/NW; SPZ Nottwil = Referenz</t>
        </is>
      </c>
      <c r="S332" s="11" t="inlineStr">
        <is>
          <t>Cross-Sell MiT</t>
        </is>
      </c>
    </row>
    <row r="333">
      <c r="A333" s="11" t="n">
        <v>330</v>
      </c>
      <c r="B333" s="11" t="inlineStr">
        <is>
          <t>A</t>
        </is>
      </c>
      <c r="C333" s="11" t="inlineStr">
        <is>
          <t>Pharma/Chemie</t>
        </is>
      </c>
      <c r="D333" s="11" t="inlineStr">
        <is>
          <t>Hager Group (Werk Oberdorf NW/LU)</t>
        </is>
      </c>
      <c r="E333" s="11" t="inlineStr">
        <is>
          <t>Oberdorf</t>
        </is>
      </c>
      <c r="F333" s="11" t="inlineStr">
        <is>
          <t>6370</t>
        </is>
      </c>
      <c r="G333" s="11" t="inlineStr">
        <is>
          <t>LU</t>
        </is>
      </c>
      <c r="H333" s="11" t="inlineStr">
        <is>
          <t>Betriebsleiter Elektro</t>
        </is>
      </c>
      <c r="I333" s="11" t="inlineStr">
        <is>
          <t>Dipl. El.-Ing.</t>
        </is>
      </c>
      <c r="J333" s="11" t="inlineStr">
        <is>
          <t>info@hagergroup.com</t>
        </is>
      </c>
      <c r="K333" s="11" t="inlineStr">
        <is>
          <t>+41 41 666 52 52</t>
        </is>
      </c>
      <c r="L333" s="11" t="n"/>
      <c r="M333" s="11" t="inlineStr">
        <is>
          <t>offen</t>
        </is>
      </c>
      <c r="N333" s="11" t="inlineStr">
        <is>
          <t>Betriebsleiter Hager Oberdorf NW/LU; FU-PQ-Pitch</t>
        </is>
      </c>
      <c r="O333" s="11" t="inlineStr">
        <is>
          <t>Elektroinstallations-Teile: FU-Fertigungslinien 500 kVA; PQ; EMV; 11'500 MA ww</t>
        </is>
      </c>
      <c r="P333" s="11" t="n"/>
      <c r="Q333" s="11" t="n"/>
      <c r="R333" s="11" t="inlineStr">
        <is>
          <t>Adr: Oberdorf, 6370 NW/LU | Hager Group; Elektroinstallationsteile</t>
        </is>
      </c>
      <c r="S333" s="11" t="inlineStr">
        <is>
          <t>Steckdosen/Schalter</t>
        </is>
      </c>
    </row>
    <row r="334">
      <c r="A334" s="11" t="n">
        <v>331</v>
      </c>
      <c r="B334" s="11" t="inlineStr">
        <is>
          <t>A</t>
        </is>
      </c>
      <c r="C334" s="11" t="inlineStr">
        <is>
          <t>Spital/Klinik</t>
        </is>
      </c>
      <c r="D334" s="11" t="inlineStr">
        <is>
          <t>Hirslanden Klinik St. Anna Luzern</t>
        </is>
      </c>
      <c r="E334" s="11" t="inlineStr">
        <is>
          <t>Luzern</t>
        </is>
      </c>
      <c r="F334" s="11" t="inlineStr">
        <is>
          <t>6006</t>
        </is>
      </c>
      <c r="G334" s="11" t="inlineStr">
        <is>
          <t>LU</t>
        </is>
      </c>
      <c r="H334" s="11" t="inlineStr">
        <is>
          <t>Betriebsleiter Technik</t>
        </is>
      </c>
      <c r="I334" s="11" t="inlineStr">
        <is>
          <t>Techniker</t>
        </is>
      </c>
      <c r="J334" s="11" t="inlineStr">
        <is>
          <t>info.luzern@hirslanden.ch</t>
        </is>
      </c>
      <c r="K334" s="11" t="inlineStr">
        <is>
          <t>+41 41 208 31 11</t>
        </is>
      </c>
      <c r="L334" s="11" t="n"/>
      <c r="M334" s="11" t="inlineStr">
        <is>
          <t>offen</t>
        </is>
      </c>
      <c r="N334" s="11" t="inlineStr">
        <is>
          <t>Betriebsleiter Hirslanden StAnna; Tisackerstrasse 1 LU; Hirslanden-Pitch</t>
        </is>
      </c>
      <c r="O334" s="11" t="inlineStr">
        <is>
          <t>NEA 2× 350 kVA; USV OP; 700 MA; Hirslanden Luzern; Aevis</t>
        </is>
      </c>
      <c r="P334" s="11" t="inlineStr">
        <is>
          <t>USV</t>
        </is>
      </c>
      <c r="Q334" s="11" t="n"/>
      <c r="R334" s="11" t="inlineStr">
        <is>
          <t>Adr: Tisackerstrasse 1, 6006 Luzern | Hirslanden Klinik St. Anna LU; Aevis</t>
        </is>
      </c>
      <c r="S334" s="11" t="inlineStr">
        <is>
          <t>Privatklinik</t>
        </is>
      </c>
    </row>
    <row r="335">
      <c r="A335" s="11" t="n">
        <v>332</v>
      </c>
      <c r="B335" s="11" t="inlineStr">
        <is>
          <t>A</t>
        </is>
      </c>
      <c r="C335" s="11" t="inlineStr">
        <is>
          <t>Industrie/Maschinenbau</t>
        </is>
      </c>
      <c r="D335" s="11" t="inlineStr">
        <is>
          <t>Schindler Aufzüge AG (Zweigwerk Ebikon)</t>
        </is>
      </c>
      <c r="E335" s="11" t="inlineStr">
        <is>
          <t>Ebikon</t>
        </is>
      </c>
      <c r="F335" s="11" t="inlineStr">
        <is>
          <t>6030</t>
        </is>
      </c>
      <c r="G335" s="11" t="inlineStr">
        <is>
          <t>LU</t>
        </is>
      </c>
      <c r="H335" s="11" t="inlineStr">
        <is>
          <t>Betriebsleiter Werk 2</t>
        </is>
      </c>
      <c r="I335" s="11" t="inlineStr">
        <is>
          <t>Dipl. El.-Ing.</t>
        </is>
      </c>
      <c r="J335" s="11" t="inlineStr">
        <is>
          <t>info@schindler.ch</t>
        </is>
      </c>
      <c r="K335" s="11" t="inlineStr">
        <is>
          <t>+41 41 445 30 00</t>
        </is>
      </c>
      <c r="L335" s="11" t="n"/>
      <c r="M335" s="11" t="inlineStr">
        <is>
          <t>offen</t>
        </is>
      </c>
      <c r="N335" s="11" t="inlineStr">
        <is>
          <t>Betriebsleiter Schindler Werk 2 LU; FU-PQ-Pitch Werk 2</t>
        </is>
      </c>
      <c r="O335" s="11" t="inlineStr">
        <is>
          <t>FU-Prüfstände Werk 2: 500 kVA; EMV; ISO 50001; Schindler = CHF 11.3 Mrd.</t>
        </is>
      </c>
      <c r="P335" s="11" t="n"/>
      <c r="Q335" s="11" t="n"/>
      <c r="R335" s="11" t="inlineStr">
        <is>
          <t>Adr: Ebikon, 6030 LU | Schindler Werk 2; FU-Prüfstände; ISO 50001</t>
        </is>
      </c>
      <c r="S335" s="11" t="inlineStr">
        <is>
          <t>Aufzüge Werk</t>
        </is>
      </c>
    </row>
    <row r="336">
      <c r="A336" s="11" t="n">
        <v>333</v>
      </c>
      <c r="B336" s="11" t="inlineStr">
        <is>
          <t>A</t>
        </is>
      </c>
      <c r="C336" s="11" t="inlineStr">
        <is>
          <t>Pharma/Chemie</t>
        </is>
      </c>
      <c r="D336" s="11" t="inlineStr">
        <is>
          <t>Emmi Produktionswerk Dagmersellen</t>
        </is>
      </c>
      <c r="E336" s="11" t="inlineStr">
        <is>
          <t>Dagmersellen</t>
        </is>
      </c>
      <c r="F336" s="11" t="inlineStr">
        <is>
          <t>4917</t>
        </is>
      </c>
      <c r="G336" s="11" t="inlineStr">
        <is>
          <t>LU</t>
        </is>
      </c>
      <c r="H336" s="11" t="inlineStr">
        <is>
          <t>Betriebsleiter Technik</t>
        </is>
      </c>
      <c r="I336" s="11" t="inlineStr">
        <is>
          <t>Dipl. El.-Ing.</t>
        </is>
      </c>
      <c r="J336" s="11" t="inlineStr">
        <is>
          <t>info@emmi.com</t>
        </is>
      </c>
      <c r="K336" s="11" t="inlineStr">
        <is>
          <t>+41 62 921 95 00</t>
        </is>
      </c>
      <c r="L336" s="11" t="n"/>
      <c r="M336" s="11" t="inlineStr">
        <is>
          <t>offen</t>
        </is>
      </c>
      <c r="N336" s="11" t="inlineStr">
        <is>
          <t>MiT-CRM: Emmi Dagmersellen als Kältekunde prüfen</t>
        </is>
      </c>
      <c r="O336" s="11" t="inlineStr">
        <is>
          <t>Milch-Werk: NEA Kühlkette 1 MVA; FU-Pasteurisierer; ISO 50001; Emmi-Gruppe</t>
        </is>
      </c>
      <c r="P336" s="11" t="inlineStr">
        <is>
          <t>Kälte</t>
        </is>
      </c>
      <c r="Q336" s="11" t="n"/>
      <c r="R336" s="11" t="inlineStr">
        <is>
          <t>Adr: Dagmersellen, 4917 LU | Emmi Werk; Kühlkette; ISO 50001</t>
        </is>
      </c>
      <c r="S336" s="11" t="inlineStr">
        <is>
          <t>Nahrungsmittel</t>
        </is>
      </c>
    </row>
    <row r="337">
      <c r="A337" s="11" t="n">
        <v>334</v>
      </c>
      <c r="B337" s="11" t="inlineStr">
        <is>
          <t>A</t>
        </is>
      </c>
      <c r="C337" s="11" t="inlineStr">
        <is>
          <t>Bau/Infrastruktur</t>
        </is>
      </c>
      <c r="D337" s="11" t="inlineStr">
        <is>
          <t>SBB AG Infrastruktur Olten-Luzern-Achse</t>
        </is>
      </c>
      <c r="E337" s="11" t="inlineStr">
        <is>
          <t>Luzern</t>
        </is>
      </c>
      <c r="F337" s="11" t="inlineStr">
        <is>
          <t>6002</t>
        </is>
      </c>
      <c r="G337" s="11" t="inlineStr">
        <is>
          <t>LU</t>
        </is>
      </c>
      <c r="H337" s="11" t="inlineStr">
        <is>
          <t>Betriebsleiter Infra Energie LU</t>
        </is>
      </c>
      <c r="I337" s="11" t="inlineStr">
        <is>
          <t>MSc El.-Ing.</t>
        </is>
      </c>
      <c r="J337" s="11" t="inlineStr">
        <is>
          <t>kontakt@sbb.ch</t>
        </is>
      </c>
      <c r="K337" s="11" t="inlineStr">
        <is>
          <t>+41 58 333 33 33</t>
        </is>
      </c>
      <c r="L337" s="11" t="n"/>
      <c r="M337" s="11" t="inlineStr">
        <is>
          <t>offen</t>
        </is>
      </c>
      <c r="N337" s="11" t="inlineStr">
        <is>
          <t>SBB Infra LU; simap.ch 'SBB Luzern Netzersatz'</t>
        </is>
      </c>
      <c r="O337" s="11" t="inlineStr">
        <is>
          <t>Achse Olten-Luzern: Baustrom + NEA + Revisionen Strecke; Zentralschweiz</t>
        </is>
      </c>
      <c r="P337" s="11" t="n"/>
      <c r="Q337" s="11" t="n"/>
      <c r="R337" s="11" t="inlineStr">
        <is>
          <t>Adr: Bahnhofplatz, 6002 Luzern | SBB Luzern; Zentralschweiz-Achse</t>
        </is>
      </c>
      <c r="S337" s="11" t="inlineStr">
        <is>
          <t>Bundesbahn</t>
        </is>
      </c>
    </row>
    <row r="338">
      <c r="A338" s="11" t="n">
        <v>335</v>
      </c>
      <c r="B338" s="11" t="inlineStr">
        <is>
          <t>B</t>
        </is>
      </c>
      <c r="C338" s="11" t="inlineStr">
        <is>
          <t>Elektroplaner/Engineering</t>
        </is>
      </c>
      <c r="D338" s="11" t="inlineStr">
        <is>
          <t>Elektro Buob AG (Sursee LU)</t>
        </is>
      </c>
      <c r="E338" s="11" t="inlineStr">
        <is>
          <t>Sursee</t>
        </is>
      </c>
      <c r="F338" s="11" t="inlineStr">
        <is>
          <t>6210</t>
        </is>
      </c>
      <c r="G338" s="11" t="inlineStr">
        <is>
          <t>LU</t>
        </is>
      </c>
      <c r="H338" s="11" t="inlineStr">
        <is>
          <t>Inhaber</t>
        </is>
      </c>
      <c r="I338" s="11" t="inlineStr">
        <is>
          <t>Elektroinstallateur EFZ</t>
        </is>
      </c>
      <c r="J338" s="11" t="inlineStr">
        <is>
          <t>info@buob.ch</t>
        </is>
      </c>
      <c r="K338" s="11" t="inlineStr">
        <is>
          <t>+41 41 921 17 17</t>
        </is>
      </c>
      <c r="L338" s="11" t="n"/>
      <c r="M338" s="11" t="inlineStr">
        <is>
          <t>offen</t>
        </is>
      </c>
      <c r="N338" s="11" t="inlineStr">
        <is>
          <t>Inhaber Elektro Buob Sursee; Partnerschaft LU-Sursee besprechen</t>
        </is>
      </c>
      <c r="O338" s="11" t="inlineStr">
        <is>
          <t>Elektrounternehmen Sursee-Region: Industrie+Gewerbe; LU-Marktkenntnis</t>
        </is>
      </c>
      <c r="P338" s="11" t="n"/>
      <c r="Q338" s="11" t="n"/>
      <c r="R338" s="11" t="inlineStr">
        <is>
          <t>Adr: Sursee, 6210 LU | Elektrounternehmen LU-Sursee; Türöffner</t>
        </is>
      </c>
      <c r="S338" s="11" t="inlineStr">
        <is>
          <t>Elektrounternehmen LU</t>
        </is>
      </c>
    </row>
    <row r="339">
      <c r="A339" s="11" t="n">
        <v>336</v>
      </c>
      <c r="B339" s="11" t="inlineStr">
        <is>
          <t>B</t>
        </is>
      </c>
      <c r="C339" s="11" t="inlineStr">
        <is>
          <t>Events/Messen</t>
        </is>
      </c>
      <c r="D339" s="11" t="inlineStr">
        <is>
          <t>Lucerne Festival (KKL + Outdoors)</t>
        </is>
      </c>
      <c r="E339" s="11" t="inlineStr">
        <is>
          <t>Luzern</t>
        </is>
      </c>
      <c r="F339" s="11" t="inlineStr">
        <is>
          <t>6005</t>
        </is>
      </c>
      <c r="G339" s="11" t="inlineStr">
        <is>
          <t>LU</t>
        </is>
      </c>
      <c r="H339" s="11" t="inlineStr">
        <is>
          <t>Technische Leitung</t>
        </is>
      </c>
      <c r="I339" s="11" t="inlineStr">
        <is>
          <t>Veranstaltungstechniker</t>
        </is>
      </c>
      <c r="J339" s="11" t="inlineStr">
        <is>
          <t>info@lucernefestival.ch</t>
        </is>
      </c>
      <c r="K339" s="11" t="inlineStr">
        <is>
          <t>+41 41 226 44 80</t>
        </is>
      </c>
      <c r="L339" s="11" t="n"/>
      <c r="M339" s="11" t="inlineStr">
        <is>
          <t>offen</t>
        </is>
      </c>
      <c r="N339" s="11" t="inlineStr">
        <is>
          <t>Technische Leitung Lucerne Festival; KKL + Outdoor Events; Kontakt Herbst</t>
        </is>
      </c>
      <c r="O339" s="11" t="inlineStr">
        <is>
          <t>Lucerne Festival Sommer: Temporary Power 500 kVA; USV Broadcast; KKL + Outdoor</t>
        </is>
      </c>
      <c r="P339" s="11" t="inlineStr">
        <is>
          <t>USV</t>
        </is>
      </c>
      <c r="Q339" s="11" t="n"/>
      <c r="R339" s="11" t="inlineStr">
        <is>
          <t>Adr: KKL, 6005 Luzern | Lucerne Festival; Weltklasse-Klassik; Broadcast</t>
        </is>
      </c>
      <c r="S339" s="11" t="inlineStr">
        <is>
          <t>Luzerner Festspiele</t>
        </is>
      </c>
    </row>
    <row r="340">
      <c r="A340" s="11" t="n">
        <v>337</v>
      </c>
      <c r="B340" s="11" t="inlineStr">
        <is>
          <t>B</t>
        </is>
      </c>
      <c r="C340" s="11" t="inlineStr">
        <is>
          <t>Bau/Infrastruktur</t>
        </is>
      </c>
      <c r="D340" s="11" t="inlineStr">
        <is>
          <t>ARA Emmen LU (Reuss-Schutz)</t>
        </is>
      </c>
      <c r="E340" s="11" t="inlineStr">
        <is>
          <t>Emmen</t>
        </is>
      </c>
      <c r="F340" s="11" t="inlineStr">
        <is>
          <t>6020</t>
        </is>
      </c>
      <c r="G340" s="11" t="inlineStr">
        <is>
          <t>LU</t>
        </is>
      </c>
      <c r="H340" s="11" t="inlineStr">
        <is>
          <t>Betriebsleiter ARA</t>
        </is>
      </c>
      <c r="I340" s="11" t="inlineStr">
        <is>
          <t>Techniker</t>
        </is>
      </c>
      <c r="J340" s="11" t="inlineStr">
        <is>
          <t>info@ara-emmen.ch</t>
        </is>
      </c>
      <c r="K340" s="11" t="inlineStr">
        <is>
          <t>+41 41 280 68 68</t>
        </is>
      </c>
      <c r="L340" s="11" t="n"/>
      <c r="M340" s="11" t="inlineStr">
        <is>
          <t>offen</t>
        </is>
      </c>
      <c r="N340" s="11" t="inlineStr">
        <is>
          <t>Betriebsleiter ARA Emmen; simap.ch Alert LU</t>
        </is>
      </c>
      <c r="O340" s="11" t="inlineStr">
        <is>
          <t>NEA-Pflicht 1× 400 kVA; Reuss-Schutz LU; 24h</t>
        </is>
      </c>
      <c r="P340" s="11" t="inlineStr">
        <is>
          <t>Generator</t>
        </is>
      </c>
      <c r="Q340" s="11" t="n"/>
      <c r="R340" s="11" t="inlineStr">
        <is>
          <t>Adr: Emmen, 6020 LU | Reuss-Schutz; Ausschreibungspflicht</t>
        </is>
      </c>
      <c r="S340" s="11" t="inlineStr">
        <is>
          <t>ARA Reuss LU</t>
        </is>
      </c>
    </row>
    <row r="341">
      <c r="A341" s="11" t="n">
        <v>338</v>
      </c>
      <c r="B341" s="11" t="inlineStr">
        <is>
          <t>C</t>
        </is>
      </c>
      <c r="C341" s="11" t="inlineStr">
        <is>
          <t>Gemeinde/Öffentlich</t>
        </is>
      </c>
      <c r="D341" s="11" t="inlineStr">
        <is>
          <t>[MiT LU-Kältekunde Nr. 2]</t>
        </is>
      </c>
      <c r="E341" s="11" t="inlineStr">
        <is>
          <t>Luzern</t>
        </is>
      </c>
      <c r="F341" s="11" t="inlineStr">
        <is>
          <t>6000</t>
        </is>
      </c>
      <c r="G341" s="11" t="inlineStr">
        <is>
          <t>LU</t>
        </is>
      </c>
      <c r="H341" s="11" t="inlineStr">
        <is>
          <t>Energieverantwortlicher</t>
        </is>
      </c>
      <c r="I341" s="11" t="inlineStr">
        <is>
          <t>Betriebsleiter</t>
        </is>
      </c>
      <c r="J341" s="11" t="n"/>
      <c r="K341" s="11" t="inlineStr">
        <is>
          <t>(MiT-CRM)</t>
        </is>
      </c>
      <c r="L341" s="11" t="n"/>
      <c r="M341" s="11" t="inlineStr">
        <is>
          <t>offen</t>
        </is>
      </c>
      <c r="N341" s="11" t="inlineStr">
        <is>
          <t>MiT-CRM Roberto/Stefan: LU-Kältekunden ohne Strom prüfen</t>
        </is>
      </c>
      <c r="O341" s="11" t="inlineStr">
        <is>
          <t>Strom-Add-on MiT-Wärme/Kälte LU</t>
        </is>
      </c>
      <c r="P341" s="11" t="n"/>
      <c r="Q341" s="11" t="n"/>
      <c r="R341" s="11" t="inlineStr">
        <is>
          <t>SPZ Nottwil Beatmung + Emmi Kühlkette = schnellste 2 Warmleads LU</t>
        </is>
      </c>
      <c r="S341" s="11" t="inlineStr">
        <is>
          <t>Cross-Sell MiT</t>
        </is>
      </c>
    </row>
    <row r="342">
      <c r="A342" s="11" t="n">
        <v>339</v>
      </c>
      <c r="B342" s="11" t="inlineStr">
        <is>
          <t>A</t>
        </is>
      </c>
      <c r="C342" s="11" t="inlineStr">
        <is>
          <t>EVU/Netzbetreiber</t>
        </is>
      </c>
      <c r="D342" s="11" t="inlineStr">
        <is>
          <t>Viteos SA – Réseau Distribution NE</t>
        </is>
      </c>
      <c r="E342" s="11" t="inlineStr">
        <is>
          <t>La Chaux-de-Fonds</t>
        </is>
      </c>
      <c r="F342" s="11" t="inlineStr">
        <is>
          <t>2300</t>
        </is>
      </c>
      <c r="G342" s="11" t="inlineStr">
        <is>
          <t>NE</t>
        </is>
      </c>
      <c r="H342" s="11" t="inlineStr">
        <is>
          <t>Chef Réseau</t>
        </is>
      </c>
      <c r="I342" s="11" t="inlineStr">
        <is>
          <t>Ing. El.</t>
        </is>
      </c>
      <c r="J342" s="11" t="inlineStr">
        <is>
          <t>info@viteos.ch</t>
        </is>
      </c>
      <c r="K342" s="11" t="inlineStr">
        <is>
          <t>+41 32 889 88 11</t>
        </is>
      </c>
      <c r="L342" s="11" t="n"/>
      <c r="M342" s="11" t="inlineStr">
        <is>
          <t>offen</t>
        </is>
      </c>
      <c r="N342" s="11" t="inlineStr">
        <is>
          <t>Réseau Viteos; FR</t>
        </is>
      </c>
      <c r="O342" s="11" t="inlineStr">
        <is>
          <t>MS-Revisionen NE; Uhren-Industrie-Versorgung; 100'000 Kunden</t>
        </is>
      </c>
      <c r="P342" s="11" t="inlineStr">
        <is>
          <t>Generator</t>
        </is>
      </c>
      <c r="Q342" s="11" t="n"/>
      <c r="R342" s="11" t="inlineStr">
        <is>
          <t>Rue des Uttins 5, 2002 Neuchâtel; 100'000 Kunden</t>
        </is>
      </c>
      <c r="S342" s="11" t="inlineStr">
        <is>
          <t>Kantonaler Versorger</t>
        </is>
      </c>
    </row>
    <row r="343">
      <c r="A343" s="11" t="n">
        <v>340</v>
      </c>
      <c r="B343" s="11" t="inlineStr">
        <is>
          <t>A</t>
        </is>
      </c>
      <c r="C343" s="11" t="inlineStr">
        <is>
          <t>Spital/Klinik</t>
        </is>
      </c>
      <c r="D343" s="11" t="inlineStr">
        <is>
          <t>CHNE – Centre Hospitalier Neuchâtelois (2 Standorte)</t>
        </is>
      </c>
      <c r="E343" s="11" t="inlineStr">
        <is>
          <t>Neuchâtel</t>
        </is>
      </c>
      <c r="F343" s="11" t="inlineStr">
        <is>
          <t>2000</t>
        </is>
      </c>
      <c r="G343" s="11" t="inlineStr">
        <is>
          <t>NE</t>
        </is>
      </c>
      <c r="H343" s="11" t="inlineStr">
        <is>
          <t>Directeur Technique</t>
        </is>
      </c>
      <c r="I343" s="11" t="inlineStr">
        <is>
          <t>Ing. El.</t>
        </is>
      </c>
      <c r="J343" s="11" t="inlineStr">
        <is>
          <t>info@chne.ch</t>
        </is>
      </c>
      <c r="K343" s="11" t="inlineStr">
        <is>
          <t>+41 32 713 31 11</t>
        </is>
      </c>
      <c r="L343" s="11" t="n"/>
      <c r="M343" s="11" t="inlineStr">
        <is>
          <t>offen</t>
        </is>
      </c>
      <c r="N343" s="11" t="inlineStr">
        <is>
          <t>Directeur Technique CHNE; FR</t>
        </is>
      </c>
      <c r="O343" s="11" t="inlineStr">
        <is>
          <t>NEA 2× 400 kVA Pflicht; USV; 2 Standorte NE</t>
        </is>
      </c>
      <c r="P343" s="11" t="inlineStr">
        <is>
          <t>USV</t>
        </is>
      </c>
      <c r="Q343" s="11" t="n"/>
      <c r="R343" s="11" t="inlineStr">
        <is>
          <t>La Chaux-de-Fonds + Neuchâtel; NEA-Pflicht</t>
        </is>
      </c>
      <c r="S343" s="11" t="inlineStr">
        <is>
          <t>Kantonsspital</t>
        </is>
      </c>
    </row>
    <row r="344">
      <c r="A344" s="11" t="n">
        <v>341</v>
      </c>
      <c r="B344" s="11" t="inlineStr">
        <is>
          <t>A</t>
        </is>
      </c>
      <c r="C344" s="11" t="inlineStr">
        <is>
          <t>Pharma/Chemie</t>
        </is>
      </c>
      <c r="D344" s="11" t="inlineStr">
        <is>
          <t>Tissot SA – Werk Le Locle</t>
        </is>
      </c>
      <c r="E344" s="11" t="inlineStr">
        <is>
          <t>Le Locle</t>
        </is>
      </c>
      <c r="F344" s="11" t="inlineStr">
        <is>
          <t>2400</t>
        </is>
      </c>
      <c r="G344" s="11" t="inlineStr">
        <is>
          <t>NE</t>
        </is>
      </c>
      <c r="H344" s="11" t="inlineStr">
        <is>
          <t>Facility Manager</t>
        </is>
      </c>
      <c r="I344" s="11" t="inlineStr">
        <is>
          <t>Ingénieur</t>
        </is>
      </c>
      <c r="J344" s="11" t="inlineStr">
        <is>
          <t>info@tissot.ch</t>
        </is>
      </c>
      <c r="K344" s="11" t="inlineStr">
        <is>
          <t>+41 32 933 31 11</t>
        </is>
      </c>
      <c r="L344" s="11" t="n"/>
      <c r="M344" s="11" t="inlineStr">
        <is>
          <t>offen</t>
        </is>
      </c>
      <c r="N344" s="11" t="inlineStr">
        <is>
          <t>Facility Manager Tissot Le Locle</t>
        </is>
      </c>
      <c r="O344" s="11" t="inlineStr">
        <is>
          <t>Uhrenproduktion Manufaktur: PQ + NEA + USV 200 kVA; EMV Präzision</t>
        </is>
      </c>
      <c r="P344" s="11" t="n"/>
      <c r="Q344" s="11" t="n"/>
      <c r="R344" s="11" t="inlineStr">
        <is>
          <t>Rue du Pont 20, 2400 Le Locle; Swatch Group; Präzision</t>
        </is>
      </c>
      <c r="S344" s="11" t="inlineStr">
        <is>
          <t>Luxusuhr</t>
        </is>
      </c>
    </row>
    <row r="345">
      <c r="A345" s="11" t="n">
        <v>342</v>
      </c>
      <c r="B345" s="11" t="inlineStr">
        <is>
          <t>A</t>
        </is>
      </c>
      <c r="C345" s="11" t="inlineStr">
        <is>
          <t>Pharma/Chemie</t>
        </is>
      </c>
      <c r="D345" s="11" t="inlineStr">
        <is>
          <t>Girard-Perregaux SA – La Chaux-de-Fonds</t>
        </is>
      </c>
      <c r="E345" s="11" t="inlineStr">
        <is>
          <t>La Chaux-de-Fonds</t>
        </is>
      </c>
      <c r="F345" s="11" t="inlineStr">
        <is>
          <t>2300</t>
        </is>
      </c>
      <c r="G345" s="11" t="inlineStr">
        <is>
          <t>NE</t>
        </is>
      </c>
      <c r="H345" s="11" t="inlineStr">
        <is>
          <t>Directeur Technique</t>
        </is>
      </c>
      <c r="I345" s="11" t="inlineStr">
        <is>
          <t>Ingénieur</t>
        </is>
      </c>
      <c r="J345" s="11" t="inlineStr">
        <is>
          <t>info@girard-perregaux.com</t>
        </is>
      </c>
      <c r="K345" s="11" t="inlineStr">
        <is>
          <t>+41 32 913 29 00</t>
        </is>
      </c>
      <c r="L345" s="11" t="n"/>
      <c r="M345" s="11" t="inlineStr">
        <is>
          <t>offen</t>
        </is>
      </c>
      <c r="N345" s="11" t="inlineStr">
        <is>
          <t>Directeur Technique GP identifizieren</t>
        </is>
      </c>
      <c r="O345" s="11" t="inlineStr">
        <is>
          <t>Uhrenproduktion: PQ + NEA 100 kVA; EMV</t>
        </is>
      </c>
      <c r="P345" s="11" t="n"/>
      <c r="Q345" s="11" t="n"/>
      <c r="R345" s="11" t="inlineStr">
        <is>
          <t>La Chaux-de-Fonds; Luxusuhr; Präzision</t>
        </is>
      </c>
      <c r="S345" s="11" t="inlineStr">
        <is>
          <t>Luxusuhr</t>
        </is>
      </c>
    </row>
    <row r="346">
      <c r="A346" s="11" t="n">
        <v>343</v>
      </c>
      <c r="B346" s="11" t="inlineStr">
        <is>
          <t>A</t>
        </is>
      </c>
      <c r="C346" s="11" t="inlineStr">
        <is>
          <t>Pharma/Chemie</t>
        </is>
      </c>
      <c r="D346" s="11" t="inlineStr">
        <is>
          <t>IWC Schaffhausen – Werk (Verw. NE)</t>
        </is>
      </c>
      <c r="E346" s="11" t="inlineStr">
        <is>
          <t>Schaffhausen</t>
        </is>
      </c>
      <c r="F346" s="11" t="inlineStr">
        <is>
          <t>8201</t>
        </is>
      </c>
      <c r="G346" s="11" t="inlineStr">
        <is>
          <t>NE</t>
        </is>
      </c>
      <c r="H346" s="11" t="inlineStr">
        <is>
          <t>Facility Manager</t>
        </is>
      </c>
      <c r="I346" s="11" t="inlineStr">
        <is>
          <t>Ingénieur</t>
        </is>
      </c>
      <c r="J346" s="11" t="inlineStr">
        <is>
          <t>info@iwc.com</t>
        </is>
      </c>
      <c r="K346" s="11" t="inlineStr">
        <is>
          <t>+41 52 635 65 65</t>
        </is>
      </c>
      <c r="L346" s="11" t="n"/>
      <c r="M346" s="11" t="inlineStr">
        <is>
          <t>offen</t>
        </is>
      </c>
      <c r="N346" s="11" t="inlineStr">
        <is>
          <t>Facility Manager IWC</t>
        </is>
      </c>
      <c r="O346" s="11" t="inlineStr">
        <is>
          <t>Uhrenproduktion IWC: PQ + NEA 100 kVA; EMV</t>
        </is>
      </c>
      <c r="P346" s="11" t="n"/>
      <c r="Q346" s="11" t="n"/>
      <c r="R346" s="11" t="inlineStr">
        <is>
          <t>Baumgartenstrasse 15, 8201 Schaffhausen; Luxusuhr</t>
        </is>
      </c>
      <c r="S346" s="11" t="inlineStr">
        <is>
          <t>Luxusuhr</t>
        </is>
      </c>
    </row>
    <row r="347">
      <c r="A347" s="11" t="n">
        <v>344</v>
      </c>
      <c r="B347" s="11" t="inlineStr">
        <is>
          <t>B</t>
        </is>
      </c>
      <c r="C347" s="11" t="inlineStr">
        <is>
          <t>Pharma/Chemie</t>
        </is>
      </c>
      <c r="D347" s="11" t="inlineStr">
        <is>
          <t>CSEM SA – Centre Suisse d'Electronique et de Microtechnique</t>
        </is>
      </c>
      <c r="E347" s="11" t="inlineStr">
        <is>
          <t>Neuchâtel</t>
        </is>
      </c>
      <c r="F347" s="11" t="inlineStr">
        <is>
          <t>2000</t>
        </is>
      </c>
      <c r="G347" s="11" t="inlineStr">
        <is>
          <t>NE</t>
        </is>
      </c>
      <c r="H347" s="11" t="inlineStr">
        <is>
          <t>Responsable Technique</t>
        </is>
      </c>
      <c r="I347" s="11" t="inlineStr">
        <is>
          <t>Ing. MSc</t>
        </is>
      </c>
      <c r="J347" s="11" t="inlineStr">
        <is>
          <t>info@csem.ch</t>
        </is>
      </c>
      <c r="K347" s="11" t="inlineStr">
        <is>
          <t>+41 32 720 51 11</t>
        </is>
      </c>
      <c r="L347" s="11" t="n"/>
      <c r="M347" s="11" t="inlineStr">
        <is>
          <t>offen</t>
        </is>
      </c>
      <c r="N347" s="11" t="inlineStr">
        <is>
          <t>Responsable Technique CSEM Neuchâtel</t>
        </is>
      </c>
      <c r="O347" s="11" t="inlineStr">
        <is>
          <t>Mikrotechnik F&amp;E: PQ + USV + NEA 150 kVA; EMV sensitiv</t>
        </is>
      </c>
      <c r="P347" s="11" t="inlineStr">
        <is>
          <t>USV</t>
        </is>
      </c>
      <c r="Q347" s="11" t="n"/>
      <c r="R347" s="11" t="inlineStr">
        <is>
          <t>Rue Jaquet-Droz 1, 2002 Neuchâtel; Mikrotechnik F&amp;E</t>
        </is>
      </c>
      <c r="S347" s="11" t="inlineStr">
        <is>
          <t>Mikrotechnik</t>
        </is>
      </c>
    </row>
    <row r="348">
      <c r="A348" s="11" t="n">
        <v>345</v>
      </c>
      <c r="B348" s="11" t="inlineStr">
        <is>
          <t>C</t>
        </is>
      </c>
      <c r="C348" s="11" t="inlineStr">
        <is>
          <t>Gemeinde/Öffentlich</t>
        </is>
      </c>
      <c r="D348" s="11" t="inlineStr">
        <is>
          <t>Canton de Neuchâtel – Bâtiments</t>
        </is>
      </c>
      <c r="E348" s="11" t="inlineStr">
        <is>
          <t>Neuchâtel</t>
        </is>
      </c>
      <c r="F348" s="11" t="inlineStr">
        <is>
          <t>2000</t>
        </is>
      </c>
      <c r="G348" s="11" t="inlineStr">
        <is>
          <t>NE</t>
        </is>
      </c>
      <c r="H348" s="11" t="inlineStr">
        <is>
          <t>Chef Bâtiments</t>
        </is>
      </c>
      <c r="I348" s="11" t="inlineStr">
        <is>
          <t>Ingénieur Cantonal</t>
        </is>
      </c>
      <c r="J348" s="11" t="inlineStr">
        <is>
          <t>info@ne.ch</t>
        </is>
      </c>
      <c r="K348" s="11" t="inlineStr">
        <is>
          <t>+41 32 889 62 00</t>
        </is>
      </c>
      <c r="L348" s="11" t="n"/>
      <c r="M348" s="11" t="inlineStr">
        <is>
          <t>offen</t>
        </is>
      </c>
      <c r="N348" s="11" t="inlineStr">
        <is>
          <t>Hochbauamt NE + simap.ch; FR</t>
        </is>
      </c>
      <c r="O348" s="11" t="inlineStr">
        <is>
          <t>NEA kantonale Gebäude 500 kVA; Rahmenvertrag; FR</t>
        </is>
      </c>
      <c r="P348" s="11" t="n"/>
      <c r="Q348" s="11" t="n"/>
      <c r="R348" s="11" t="inlineStr">
        <is>
          <t>Rue de la Collegiale 12, 2000 Neuchâtel</t>
        </is>
      </c>
      <c r="S348" s="11" t="inlineStr">
        <is>
          <t>Kanton</t>
        </is>
      </c>
    </row>
    <row r="349">
      <c r="A349" s="11" t="n">
        <v>346</v>
      </c>
      <c r="B349" s="11" t="inlineStr">
        <is>
          <t>A</t>
        </is>
      </c>
      <c r="C349" s="11" t="inlineStr">
        <is>
          <t>EVU/Netzbetreiber</t>
        </is>
      </c>
      <c r="D349" s="11" t="inlineStr">
        <is>
          <t>Viteos SA (Réseau électrique NE)</t>
        </is>
      </c>
      <c r="E349" s="11" t="inlineStr">
        <is>
          <t>Neuchâtel</t>
        </is>
      </c>
      <c r="F349" s="11" t="inlineStr">
        <is>
          <t>2000</t>
        </is>
      </c>
      <c r="G349" s="11" t="inlineStr">
        <is>
          <t>NE</t>
        </is>
      </c>
      <c r="H349" s="11" t="inlineStr">
        <is>
          <t>Chef du réseau</t>
        </is>
      </c>
      <c r="I349" s="11" t="inlineStr">
        <is>
          <t>Dipl. El.-Ing.</t>
        </is>
      </c>
      <c r="J349" s="11" t="inlineStr">
        <is>
          <t>info@viteos.ch</t>
        </is>
      </c>
      <c r="K349" s="11" t="inlineStr">
        <is>
          <t>+41 32 721 31 11</t>
        </is>
      </c>
      <c r="L349" s="11" t="n"/>
      <c r="M349" s="11" t="inlineStr">
        <is>
          <t>offen</t>
        </is>
      </c>
      <c r="N349" s="11" t="inlineStr">
        <is>
          <t>Chef réseau Viteos; Esp. de l'Europe 11 Neuchâtel; Revisionskalender</t>
        </is>
      </c>
      <c r="O349" s="11" t="inlineStr">
        <is>
          <t>160'000 Kunden NE; MS/HS-Revisionen; BESS; Lac de Neuchâtel; FR/DE</t>
        </is>
      </c>
      <c r="P349" s="11" t="inlineStr">
        <is>
          <t>BESS</t>
        </is>
      </c>
      <c r="Q349" s="11" t="n"/>
      <c r="R349" s="11" t="inlineStr">
        <is>
          <t>Adr: Esp. de l'Europe 11, 2000 Neuchâtel | 160'000 Kunden NE; BESS</t>
        </is>
      </c>
      <c r="S349" s="11" t="inlineStr">
        <is>
          <t>Kantonaler EVU</t>
        </is>
      </c>
    </row>
    <row r="350">
      <c r="A350" s="11" t="n">
        <v>347</v>
      </c>
      <c r="B350" s="11" t="inlineStr">
        <is>
          <t>A</t>
        </is>
      </c>
      <c r="C350" s="11" t="inlineStr">
        <is>
          <t>Pharma/Chemie</t>
        </is>
      </c>
      <c r="D350" s="11" t="inlineStr">
        <is>
          <t>Rolex SA (Werk La Chaux-de-Fonds NE)</t>
        </is>
      </c>
      <c r="E350" s="11" t="inlineStr">
        <is>
          <t>La Chaux-de-Fonds</t>
        </is>
      </c>
      <c r="F350" s="11" t="inlineStr">
        <is>
          <t>2300</t>
        </is>
      </c>
      <c r="G350" s="11" t="inlineStr">
        <is>
          <t>NE</t>
        </is>
      </c>
      <c r="H350" s="11" t="inlineStr">
        <is>
          <t>Facility Manager</t>
        </is>
      </c>
      <c r="I350" s="11" t="inlineStr">
        <is>
          <t>Ingénieur</t>
        </is>
      </c>
      <c r="J350" s="11" t="inlineStr">
        <is>
          <t>info@rolex.com</t>
        </is>
      </c>
      <c r="K350" s="11" t="inlineStr">
        <is>
          <t>+41 32 919 80 00</t>
        </is>
      </c>
      <c r="L350" s="11" t="n"/>
      <c r="M350" s="11" t="inlineStr">
        <is>
          <t>offen</t>
        </is>
      </c>
      <c r="N350" s="11" t="inlineStr">
        <is>
          <t>Facility Manager Rolex La Chaux-de-Fonds; UNESCO-Uhrenstadt; PQ-Pitch</t>
        </is>
      </c>
      <c r="O350" s="11" t="inlineStr">
        <is>
          <t>Uhrenmontage Rolex: PQ + NEA + USV 500 kVA; EMV; Reinraum; UNESCO-Welterbe</t>
        </is>
      </c>
      <c r="P350" s="11" t="n"/>
      <c r="Q350" s="11" t="n"/>
      <c r="R350" s="11" t="inlineStr">
        <is>
          <t>Adr: La Chaux-de-Fonds, 2300 NE | Rolex; UNESCO-Welterbe Uhrenstadt; PQ sensitiv</t>
        </is>
      </c>
      <c r="S350" s="11" t="inlineStr">
        <is>
          <t>Uhren / UNESCO</t>
        </is>
      </c>
    </row>
    <row r="351">
      <c r="A351" s="11" t="n">
        <v>348</v>
      </c>
      <c r="B351" s="11" t="inlineStr">
        <is>
          <t>A</t>
        </is>
      </c>
      <c r="C351" s="11" t="inlineStr">
        <is>
          <t>Pharma/Chemie</t>
        </is>
      </c>
      <c r="D351" s="11" t="inlineStr">
        <is>
          <t>TAG Heuer / LVMH (Le Locle NE)</t>
        </is>
      </c>
      <c r="E351" s="11" t="inlineStr">
        <is>
          <t>Le Locle</t>
        </is>
      </c>
      <c r="F351" s="11" t="inlineStr">
        <is>
          <t>2400</t>
        </is>
      </c>
      <c r="G351" s="11" t="inlineStr">
        <is>
          <t>NE</t>
        </is>
      </c>
      <c r="H351" s="11" t="inlineStr">
        <is>
          <t>Betriebsleiter Technik</t>
        </is>
      </c>
      <c r="I351" s="11" t="inlineStr">
        <is>
          <t>Ingénieur</t>
        </is>
      </c>
      <c r="J351" s="11" t="inlineStr">
        <is>
          <t>info@tagheuer.com</t>
        </is>
      </c>
      <c r="K351" s="11" t="inlineStr">
        <is>
          <t>+41 32 933 54 54</t>
        </is>
      </c>
      <c r="L351" s="11" t="n"/>
      <c r="M351" s="11" t="inlineStr">
        <is>
          <t>offen</t>
        </is>
      </c>
      <c r="N351" s="11" t="inlineStr">
        <is>
          <t>Betriebsleiter TAG Heuer Le Locle; LVMH-Budget; PQ-Pitch</t>
        </is>
      </c>
      <c r="O351" s="11" t="inlineStr">
        <is>
          <t>Uhrenproduktion TAG Heuer: PQ + NEA + USV 300 kVA; EMV; Reinraum; LVMH</t>
        </is>
      </c>
      <c r="P351" s="11" t="n"/>
      <c r="Q351" s="11" t="n"/>
      <c r="R351" s="11" t="inlineStr">
        <is>
          <t>Adr: Le Locle, 2400 NE | TAG Heuer/LVMH; UNESCO Le Locle; PQ sensitiv</t>
        </is>
      </c>
      <c r="S351" s="11" t="inlineStr">
        <is>
          <t>Uhren / IWC</t>
        </is>
      </c>
    </row>
    <row r="352">
      <c r="A352" s="11" t="n">
        <v>349</v>
      </c>
      <c r="B352" s="11" t="inlineStr">
        <is>
          <t>A</t>
        </is>
      </c>
      <c r="C352" s="11" t="inlineStr">
        <is>
          <t>Spital/Klinik</t>
        </is>
      </c>
      <c r="D352" s="11" t="inlineStr">
        <is>
          <t>RHNe (Réseau hospitalier NE — 3 Standorte)</t>
        </is>
      </c>
      <c r="E352" s="11" t="inlineStr">
        <is>
          <t>Neuchâtel</t>
        </is>
      </c>
      <c r="F352" s="11" t="inlineStr">
        <is>
          <t>2000</t>
        </is>
      </c>
      <c r="G352" s="11" t="inlineStr">
        <is>
          <t>NE</t>
        </is>
      </c>
      <c r="H352" s="11" t="inlineStr">
        <is>
          <t>Responsable Technique</t>
        </is>
      </c>
      <c r="I352" s="11" t="inlineStr">
        <is>
          <t>MSc El.-Ing.</t>
        </is>
      </c>
      <c r="J352" s="11" t="inlineStr">
        <is>
          <t>info@rhne.ch</t>
        </is>
      </c>
      <c r="K352" s="11" t="inlineStr">
        <is>
          <t>+41 32 713 31 11</t>
        </is>
      </c>
      <c r="L352" s="11" t="n"/>
      <c r="M352" s="11" t="inlineStr">
        <is>
          <t>offen</t>
        </is>
      </c>
      <c r="N352" s="11" t="inlineStr">
        <is>
          <t>Responsable Technique RHNe; 3 Standorte; simap.ch Alert NE</t>
        </is>
      </c>
      <c r="O352" s="11" t="inlineStr">
        <is>
          <t>NEA 3× 400 kVA; USV OP/ICU; 2'500 MA; Pourtalès+La Chaux+Couvet; 3 Standorte</t>
        </is>
      </c>
      <c r="P352" s="11" t="inlineStr">
        <is>
          <t>USV</t>
        </is>
      </c>
      <c r="Q352" s="11" t="n"/>
      <c r="R352" s="11" t="inlineStr">
        <is>
          <t>Adr: Rue de la Maladière 45, 2000 Neuchâtel | 2'500 MA; 3 Standorte NE</t>
        </is>
      </c>
      <c r="S352" s="11" t="inlineStr">
        <is>
          <t>Kantonsspital</t>
        </is>
      </c>
    </row>
    <row r="353">
      <c r="A353" s="11" t="n">
        <v>350</v>
      </c>
      <c r="B353" s="11" t="inlineStr">
        <is>
          <t>A</t>
        </is>
      </c>
      <c r="C353" s="11" t="inlineStr">
        <is>
          <t>Forschung/Bildung</t>
        </is>
      </c>
      <c r="D353" s="11" t="inlineStr">
        <is>
          <t>CSEM (Centre suisse d'électronique et de microtechnique)</t>
        </is>
      </c>
      <c r="E353" s="11" t="inlineStr">
        <is>
          <t>Neuchâtel</t>
        </is>
      </c>
      <c r="F353" s="11" t="inlineStr">
        <is>
          <t>2002</t>
        </is>
      </c>
      <c r="G353" s="11" t="inlineStr">
        <is>
          <t>NE</t>
        </is>
      </c>
      <c r="H353" s="11" t="inlineStr">
        <is>
          <t>Betriebsleiter Energie</t>
        </is>
      </c>
      <c r="I353" s="11" t="inlineStr">
        <is>
          <t>MSc El.-Ing.</t>
        </is>
      </c>
      <c r="J353" s="11" t="inlineStr">
        <is>
          <t>info@csem.ch</t>
        </is>
      </c>
      <c r="K353" s="11" t="inlineStr">
        <is>
          <t>+41 32 720 51 11</t>
        </is>
      </c>
      <c r="L353" s="11" t="n"/>
      <c r="M353" s="11" t="inlineStr">
        <is>
          <t>offen</t>
        </is>
      </c>
      <c r="N353" s="11" t="inlineStr">
        <is>
          <t>Betriebsleiter Energie CSEM; Jaquet-Droz 1 Neuchâtel; PQ-Pitch</t>
        </is>
      </c>
      <c r="O353" s="11" t="inlineStr">
        <is>
          <t>Forschungsinstitut Elektronik/Mikro: NEA + USV 500 kVA; PQ; EMV; 600 MA</t>
        </is>
      </c>
      <c r="P353" s="11" t="inlineStr">
        <is>
          <t>USV</t>
        </is>
      </c>
      <c r="Q353" s="11" t="n"/>
      <c r="R353" s="11" t="inlineStr">
        <is>
          <t>Adr: Rue Jaquet-Droz 1, 2002 Neuchâtel | CSEM Bundesforschung; 600 MA; PQ sensitiv</t>
        </is>
      </c>
      <c r="S353" s="11" t="inlineStr">
        <is>
          <t>Bundesforschung</t>
        </is>
      </c>
    </row>
    <row r="354">
      <c r="A354" s="11" t="n">
        <v>351</v>
      </c>
      <c r="B354" s="11" t="inlineStr">
        <is>
          <t>A</t>
        </is>
      </c>
      <c r="C354" s="11" t="inlineStr">
        <is>
          <t>Pharma/Chemie</t>
        </is>
      </c>
      <c r="D354" s="11" t="inlineStr">
        <is>
          <t>NIVAROX-FAR SA (Swatch Group / Le Locle)</t>
        </is>
      </c>
      <c r="E354" s="11" t="inlineStr">
        <is>
          <t>Le Locle</t>
        </is>
      </c>
      <c r="F354" s="11" t="inlineStr">
        <is>
          <t>2400</t>
        </is>
      </c>
      <c r="G354" s="11" t="inlineStr">
        <is>
          <t>NE</t>
        </is>
      </c>
      <c r="H354" s="11" t="inlineStr">
        <is>
          <t>Betriebsleiter Technik</t>
        </is>
      </c>
      <c r="I354" s="11" t="inlineStr">
        <is>
          <t>MSc El.-Ing.</t>
        </is>
      </c>
      <c r="J354" s="11" t="inlineStr">
        <is>
          <t>info@nivarox.com</t>
        </is>
      </c>
      <c r="K354" s="11" t="inlineStr">
        <is>
          <t>+41 32 933 22 11</t>
        </is>
      </c>
      <c r="L354" s="11" t="n"/>
      <c r="M354" s="11" t="inlineStr">
        <is>
          <t>offen</t>
        </is>
      </c>
      <c r="N354" s="11" t="inlineStr">
        <is>
          <t>Betriebsleiter NIVAROX; Le Locle NE; Swatch Group Biel als Türöffner</t>
        </is>
      </c>
      <c r="O354" s="11" t="inlineStr">
        <is>
          <t>Uhrenfedern GMP: PQ + NEA + USV 300 kVA; EMV Reinraum; Präzision Nanometer</t>
        </is>
      </c>
      <c r="P354" s="11" t="n"/>
      <c r="Q354" s="11" t="n"/>
      <c r="R354" s="11" t="inlineStr">
        <is>
          <t>Adr: Le Locle, 2400 NE | NIVAROX Swatch Group; Uhrenfedern Nanometer-Präzision</t>
        </is>
      </c>
      <c r="S354" s="11" t="inlineStr">
        <is>
          <t>Uhren Komponenten</t>
        </is>
      </c>
    </row>
    <row r="355">
      <c r="A355" s="11" t="n">
        <v>352</v>
      </c>
      <c r="B355" s="11" t="inlineStr">
        <is>
          <t>A</t>
        </is>
      </c>
      <c r="C355" s="11" t="inlineStr">
        <is>
          <t>Industrie/Maschinenbau</t>
        </is>
      </c>
      <c r="D355" s="11" t="inlineStr">
        <is>
          <t>MIKRON Group (Werk Agno NE-Region)</t>
        </is>
      </c>
      <c r="E355" s="11" t="inlineStr">
        <is>
          <t>Nidau</t>
        </is>
      </c>
      <c r="F355" s="11" t="inlineStr">
        <is>
          <t>2560</t>
        </is>
      </c>
      <c r="G355" s="11" t="inlineStr">
        <is>
          <t>NE</t>
        </is>
      </c>
      <c r="H355" s="11" t="inlineStr">
        <is>
          <t>Betriebsleiter Elektro</t>
        </is>
      </c>
      <c r="I355" s="11" t="inlineStr">
        <is>
          <t>MSc El.-Ing.</t>
        </is>
      </c>
      <c r="J355" s="11" t="inlineStr">
        <is>
          <t>info@mikron.com</t>
        </is>
      </c>
      <c r="K355" s="11" t="inlineStr">
        <is>
          <t>+41 32 366 65 00</t>
        </is>
      </c>
      <c r="L355" s="11" t="n"/>
      <c r="M355" s="11" t="inlineStr">
        <is>
          <t>offen</t>
        </is>
      </c>
      <c r="N355" s="11" t="inlineStr">
        <is>
          <t>Betriebsleiter Mikron Nidau; FU-PQ-Pitch NE</t>
        </is>
      </c>
      <c r="O355" s="11" t="inlineStr">
        <is>
          <t>CNC + MedTech-Produktion: Prüfstände 500 kVA; PQ; EMV; FU-Achsen</t>
        </is>
      </c>
      <c r="P355" s="11" t="n"/>
      <c r="Q355" s="11" t="n"/>
      <c r="R355" s="11" t="inlineStr">
        <is>
          <t>Adr: Nidau BE/NE-Region | Mikron CNC; FU-Achsen intensiv</t>
        </is>
      </c>
      <c r="S355" s="11" t="inlineStr">
        <is>
          <t>CNC / Mikro</t>
        </is>
      </c>
    </row>
    <row r="356">
      <c r="A356" s="11" t="n">
        <v>353</v>
      </c>
      <c r="B356" s="11" t="inlineStr">
        <is>
          <t>B</t>
        </is>
      </c>
      <c r="C356" s="11" t="inlineStr">
        <is>
          <t>Pharma/Chemie</t>
        </is>
      </c>
      <c r="D356" s="11" t="inlineStr">
        <is>
          <t>Nestlé Suisse SA (HQ Vevey-Region NE)</t>
        </is>
      </c>
      <c r="E356" s="11" t="inlineStr">
        <is>
          <t>Orbe</t>
        </is>
      </c>
      <c r="F356" s="11" t="inlineStr">
        <is>
          <t>1350</t>
        </is>
      </c>
      <c r="G356" s="11" t="inlineStr">
        <is>
          <t>NE</t>
        </is>
      </c>
      <c r="H356" s="11" t="inlineStr">
        <is>
          <t>Energiemanager</t>
        </is>
      </c>
      <c r="I356" s="11" t="inlineStr">
        <is>
          <t>MSc El.-Ing.</t>
        </is>
      </c>
      <c r="J356" s="11" t="inlineStr">
        <is>
          <t>info@nestle.com</t>
        </is>
      </c>
      <c r="K356" s="11" t="inlineStr">
        <is>
          <t>+41 24 442 21 11</t>
        </is>
      </c>
      <c r="L356" s="11" t="n"/>
      <c r="M356" s="11" t="inlineStr">
        <is>
          <t>offen</t>
        </is>
      </c>
      <c r="N356" s="11" t="inlineStr">
        <is>
          <t>MiT-CRM: Nestlé Orbe als Kältekunde prüfen; ISO 50001</t>
        </is>
      </c>
      <c r="O356" s="11" t="inlineStr">
        <is>
          <t>Nestlé-Produktion: NEA Kühlkette 2 MVA; ISO 50001; 1'200 MA Werk Orbe</t>
        </is>
      </c>
      <c r="P356" s="11" t="inlineStr">
        <is>
          <t>Kälte</t>
        </is>
      </c>
      <c r="Q356" s="11" t="n"/>
      <c r="R356" s="11" t="inlineStr">
        <is>
          <t>Adr: Orbe, 1350 NE | Nestlé Werk Orbe; Kühlkette; 1'200 MA</t>
        </is>
      </c>
      <c r="S356" s="11" t="inlineStr">
        <is>
          <t>Nahrungsmittel</t>
        </is>
      </c>
    </row>
    <row r="357">
      <c r="A357" s="11" t="n">
        <v>354</v>
      </c>
      <c r="B357" s="11" t="inlineStr">
        <is>
          <t>B</t>
        </is>
      </c>
      <c r="C357" s="11" t="inlineStr">
        <is>
          <t>Gemeinde/Öffentlich</t>
        </is>
      </c>
      <c r="D357" s="11" t="inlineStr">
        <is>
          <t>Canton de Neuchâtel (Domaines de l'Etat)</t>
        </is>
      </c>
      <c r="E357" s="11" t="inlineStr">
        <is>
          <t>Neuchâtel</t>
        </is>
      </c>
      <c r="F357" s="11" t="inlineStr">
        <is>
          <t>2000</t>
        </is>
      </c>
      <c r="G357" s="11" t="inlineStr">
        <is>
          <t>NE</t>
        </is>
      </c>
      <c r="H357" s="11" t="inlineStr">
        <is>
          <t>Chef Domaines</t>
        </is>
      </c>
      <c r="I357" s="11" t="inlineStr">
        <is>
          <t>Ingénieur cantonal</t>
        </is>
      </c>
      <c r="J357" s="11" t="inlineStr">
        <is>
          <t>info@ne.ch</t>
        </is>
      </c>
      <c r="K357" s="11" t="inlineStr">
        <is>
          <t>+41 32 889 60 00</t>
        </is>
      </c>
      <c r="L357" s="11" t="n"/>
      <c r="M357" s="11" t="inlineStr">
        <is>
          <t>offen</t>
        </is>
      </c>
      <c r="N357" s="11" t="inlineStr">
        <is>
          <t>Domaines NE; Château Neuchâtel; simap.ch Alert NE</t>
        </is>
      </c>
      <c r="O357" s="11" t="inlineStr">
        <is>
          <t>NEA kantonale Gebäude NE; 200+ Liegenschaften; Rahmenvertrag</t>
        </is>
      </c>
      <c r="P357" s="11" t="n"/>
      <c r="Q357" s="11" t="n"/>
      <c r="R357" s="11" t="inlineStr">
        <is>
          <t>Adr: Château de Neuchâtel, 2000 NE | 200+ Liegenschaften; Rahmenvertrag</t>
        </is>
      </c>
      <c r="S357" s="11" t="inlineStr">
        <is>
          <t>Kanton NE</t>
        </is>
      </c>
    </row>
    <row r="358">
      <c r="A358" s="11" t="n">
        <v>355</v>
      </c>
      <c r="B358" s="11" t="inlineStr">
        <is>
          <t>B</t>
        </is>
      </c>
      <c r="C358" s="11" t="inlineStr">
        <is>
          <t>Elektroplaner/Engineering</t>
        </is>
      </c>
      <c r="D358" s="11" t="inlineStr">
        <is>
          <t>Menin Electricité SA (Neuchâtel)</t>
        </is>
      </c>
      <c r="E358" s="11" t="inlineStr">
        <is>
          <t>Neuchâtel</t>
        </is>
      </c>
      <c r="F358" s="11" t="inlineStr">
        <is>
          <t>2000</t>
        </is>
      </c>
      <c r="G358" s="11" t="inlineStr">
        <is>
          <t>NE</t>
        </is>
      </c>
      <c r="H358" s="11" t="inlineStr">
        <is>
          <t>Directeur</t>
        </is>
      </c>
      <c r="I358" s="11" t="inlineStr">
        <is>
          <t>Electrotechnicien</t>
        </is>
      </c>
      <c r="J358" s="11" t="inlineStr">
        <is>
          <t>info@menin.ch</t>
        </is>
      </c>
      <c r="K358" s="11" t="inlineStr">
        <is>
          <t>+41 32 724 47 47</t>
        </is>
      </c>
      <c r="L358" s="11" t="n"/>
      <c r="M358" s="11" t="inlineStr">
        <is>
          <t>offen</t>
        </is>
      </c>
      <c r="N358" s="11" t="inlineStr">
        <is>
          <t>Directeur Menin; Neuchâtel; Partnerschaft NE besprechen</t>
        </is>
      </c>
      <c r="O358" s="11" t="inlineStr">
        <is>
          <t>Elektrounternehmen NE: Industrie+Gewerbe+Uhren; NE-Marktführer</t>
        </is>
      </c>
      <c r="P358" s="11" t="n"/>
      <c r="Q358" s="11" t="n"/>
      <c r="R358" s="11" t="inlineStr">
        <is>
          <t>Adr: Neuchâtel, 2000 NE | Elektrounternehmen NE; Uhren+Industrie Türöffner</t>
        </is>
      </c>
      <c r="S358" s="11" t="inlineStr">
        <is>
          <t>Elektrounternehmen NE</t>
        </is>
      </c>
    </row>
    <row r="359">
      <c r="A359" s="11" t="n">
        <v>356</v>
      </c>
      <c r="B359" s="11" t="inlineStr">
        <is>
          <t>B</t>
        </is>
      </c>
      <c r="C359" s="11" t="inlineStr">
        <is>
          <t>Bau/Infrastruktur</t>
        </is>
      </c>
      <c r="D359" s="11" t="inlineStr">
        <is>
          <t>STEP de Neuchâtel (Lac-Schutz)</t>
        </is>
      </c>
      <c r="E359" s="11" t="inlineStr">
        <is>
          <t>Neuchâtel</t>
        </is>
      </c>
      <c r="F359" s="11" t="inlineStr">
        <is>
          <t>2000</t>
        </is>
      </c>
      <c r="G359" s="11" t="inlineStr">
        <is>
          <t>NE</t>
        </is>
      </c>
      <c r="H359" s="11" t="inlineStr">
        <is>
          <t>Responsable STEP</t>
        </is>
      </c>
      <c r="I359" s="11" t="inlineStr">
        <is>
          <t>Techniker</t>
        </is>
      </c>
      <c r="J359" s="11" t="inlineStr">
        <is>
          <t>info@step-ne.ch</t>
        </is>
      </c>
      <c r="K359" s="11" t="inlineStr">
        <is>
          <t>+41 32 713 00 00</t>
        </is>
      </c>
      <c r="L359" s="11" t="n"/>
      <c r="M359" s="11" t="inlineStr">
        <is>
          <t>offen</t>
        </is>
      </c>
      <c r="N359" s="11" t="inlineStr">
        <is>
          <t>Responsable STEP NE; simap.ch Alert NE</t>
        </is>
      </c>
      <c r="O359" s="11" t="inlineStr">
        <is>
          <t>NEA-Pflicht 1× 300 kVA; Neuenburgersee-Schutz; 24h</t>
        </is>
      </c>
      <c r="P359" s="11" t="inlineStr">
        <is>
          <t>Generator</t>
        </is>
      </c>
      <c r="Q359" s="11" t="n"/>
      <c r="R359" s="11" t="inlineStr">
        <is>
          <t>Adr: Neuchâtel, 2000 NE | Neuenburgersee-Schutz; Ausschreibungspflicht</t>
        </is>
      </c>
      <c r="S359" s="11" t="inlineStr">
        <is>
          <t>ARA Serrières NE</t>
        </is>
      </c>
    </row>
    <row r="360">
      <c r="A360" s="11" t="n">
        <v>357</v>
      </c>
      <c r="B360" s="11" t="inlineStr">
        <is>
          <t>C</t>
        </is>
      </c>
      <c r="C360" s="11" t="inlineStr">
        <is>
          <t>Events/Messen</t>
        </is>
      </c>
      <c r="D360" s="11" t="inlineStr">
        <is>
          <t>Musée International de l'Automobile (Geneva)</t>
        </is>
      </c>
      <c r="E360" s="11" t="inlineStr">
        <is>
          <t>La Chaux-de-Fonds</t>
        </is>
      </c>
      <c r="F360" s="11" t="inlineStr">
        <is>
          <t>2300</t>
        </is>
      </c>
      <c r="G360" s="11" t="inlineStr">
        <is>
          <t>NE</t>
        </is>
      </c>
      <c r="H360" s="11" t="inlineStr">
        <is>
          <t>Betriebsleiter</t>
        </is>
      </c>
      <c r="I360" s="11" t="inlineStr">
        <is>
          <t>Techniker</t>
        </is>
      </c>
      <c r="J360" s="11" t="inlineStr">
        <is>
          <t>info@mia.ch</t>
        </is>
      </c>
      <c r="K360" s="11" t="inlineStr">
        <is>
          <t>+41 32 967 68 68</t>
        </is>
      </c>
      <c r="L360" s="11" t="n"/>
      <c r="M360" s="11" t="inlineStr">
        <is>
          <t>offen</t>
        </is>
      </c>
      <c r="N360" s="11" t="inlineStr">
        <is>
          <t>Betriebsleiter Automobilmuseum La Chaux-de-Fonds; Event-Pitch</t>
        </is>
      </c>
      <c r="O360" s="11" t="inlineStr">
        <is>
          <t>Automobilmuseum Events: NEA + Generator 150 kVA; Events; Sonderausstellungen</t>
        </is>
      </c>
      <c r="P360" s="11" t="inlineStr">
        <is>
          <t>Generator</t>
        </is>
      </c>
      <c r="Q360" s="11" t="n"/>
      <c r="R360" s="11" t="inlineStr">
        <is>
          <t>Adr: La Chaux-de-Fonds, 2300 NE | Automobilmuseum; Sonderausstellungen</t>
        </is>
      </c>
      <c r="S360" s="11" t="inlineStr">
        <is>
          <t>Musée Automobiles</t>
        </is>
      </c>
    </row>
    <row r="361">
      <c r="A361" s="11" t="n">
        <v>358</v>
      </c>
      <c r="B361" s="11" t="inlineStr">
        <is>
          <t>C</t>
        </is>
      </c>
      <c r="C361" s="11" t="inlineStr">
        <is>
          <t>Gemeinde/Öffentlich</t>
        </is>
      </c>
      <c r="D361" s="11" t="inlineStr">
        <is>
          <t>[MiT NE-Kältekunde Nr. 1]</t>
        </is>
      </c>
      <c r="E361" s="11" t="inlineStr">
        <is>
          <t>Neuchâtel</t>
        </is>
      </c>
      <c r="F361" s="11" t="inlineStr">
        <is>
          <t>2000</t>
        </is>
      </c>
      <c r="G361" s="11" t="inlineStr">
        <is>
          <t>NE</t>
        </is>
      </c>
      <c r="H361" s="11" t="inlineStr">
        <is>
          <t>Responsable énergie</t>
        </is>
      </c>
      <c r="I361" s="11" t="inlineStr">
        <is>
          <t>Betriebsleiter</t>
        </is>
      </c>
      <c r="J361" s="11" t="n"/>
      <c r="K361" s="11" t="inlineStr">
        <is>
          <t>(MiT-CRM)</t>
        </is>
      </c>
      <c r="L361" s="11" t="n"/>
      <c r="M361" s="11" t="inlineStr">
        <is>
          <t>offen</t>
        </is>
      </c>
      <c r="N361" s="11" t="inlineStr">
        <is>
          <t>MiT-CRM Roberto/Stefan: NE-Kunden ohne Strom prüfen</t>
        </is>
      </c>
      <c r="O361" s="11" t="inlineStr">
        <is>
          <t>Strom-Add-on MiT-Wärme/Kälte NE</t>
        </is>
      </c>
      <c r="P361" s="11" t="n"/>
      <c r="Q361" s="11" t="n"/>
      <c r="R361" s="11" t="inlineStr">
        <is>
          <t>Rolex La Chaux + NIVAROX + CSEM = 3 Top-PQ-Accounts NE</t>
        </is>
      </c>
      <c r="S361" s="11" t="inlineStr">
        <is>
          <t>Cross-Sell MiT</t>
        </is>
      </c>
    </row>
    <row r="362">
      <c r="A362" s="11" t="n">
        <v>359</v>
      </c>
      <c r="B362" s="11" t="inlineStr">
        <is>
          <t>A</t>
        </is>
      </c>
      <c r="C362" s="11" t="inlineStr">
        <is>
          <t>EVU/Netzbetreiber</t>
        </is>
      </c>
      <c r="D362" s="11" t="inlineStr">
        <is>
          <t>EW Nidwalden AG</t>
        </is>
      </c>
      <c r="E362" s="11" t="inlineStr">
        <is>
          <t>Stans</t>
        </is>
      </c>
      <c r="F362" s="11" t="inlineStr">
        <is>
          <t>6370</t>
        </is>
      </c>
      <c r="G362" s="11" t="inlineStr">
        <is>
          <t>NW</t>
        </is>
      </c>
      <c r="H362" s="11" t="inlineStr">
        <is>
          <t>Leiter Netzbetrieb</t>
        </is>
      </c>
      <c r="I362" s="11" t="inlineStr">
        <is>
          <t>Dipl. El.-Ing.</t>
        </is>
      </c>
      <c r="J362" s="11" t="inlineStr">
        <is>
          <t>info@ewnidwalden.ch</t>
        </is>
      </c>
      <c r="K362" s="11" t="inlineStr">
        <is>
          <t>+41 41 619 03 00</t>
        </is>
      </c>
      <c r="L362" s="11" t="n"/>
      <c r="M362" s="11" t="inlineStr">
        <is>
          <t>offen</t>
        </is>
      </c>
      <c r="N362" s="11" t="inlineStr">
        <is>
          <t>Netzbetrieb EW Nidwalden; Engelbergstrasse 3 Stans; Revisionskalender</t>
        </is>
      </c>
      <c r="O362" s="11" t="inlineStr">
        <is>
          <t>Stromversorgung NW; MS-Revisionen; NEA Gemeindegebäude; Vierwaldstättersee-Umfeld</t>
        </is>
      </c>
      <c r="P362" s="11" t="inlineStr">
        <is>
          <t>Generator</t>
        </is>
      </c>
      <c r="Q362" s="11" t="n"/>
      <c r="R362" s="11" t="inlineStr">
        <is>
          <t>Adr: Engelbergstrasse 3, 6370 Stans | Kantonaler EVU NW; Vierwaldstättersee</t>
        </is>
      </c>
      <c r="S362" s="11" t="inlineStr">
        <is>
          <t>Kantonaler EVU</t>
        </is>
      </c>
    </row>
    <row r="363">
      <c r="A363" s="11" t="n">
        <v>360</v>
      </c>
      <c r="B363" s="11" t="inlineStr">
        <is>
          <t>A</t>
        </is>
      </c>
      <c r="C363" s="11" t="inlineStr">
        <is>
          <t>EVU/Netzbetreiber</t>
        </is>
      </c>
      <c r="D363" s="11" t="inlineStr">
        <is>
          <t>CKW AG (Niederlassung NW / Stans)</t>
        </is>
      </c>
      <c r="E363" s="11" t="inlineStr">
        <is>
          <t>Stans</t>
        </is>
      </c>
      <c r="F363" s="11" t="inlineStr">
        <is>
          <t>6370</t>
        </is>
      </c>
      <c r="G363" s="11" t="inlineStr">
        <is>
          <t>NW</t>
        </is>
      </c>
      <c r="H363" s="11" t="inlineStr">
        <is>
          <t>Betriebsleiter Netz NW</t>
        </is>
      </c>
      <c r="I363" s="11" t="inlineStr">
        <is>
          <t>Dipl. El.-Ing.</t>
        </is>
      </c>
      <c r="J363" s="11" t="inlineStr">
        <is>
          <t>info@ckw.ch</t>
        </is>
      </c>
      <c r="K363" s="11" t="inlineStr">
        <is>
          <t>+41 41 249 51 11</t>
        </is>
      </c>
      <c r="L363" s="11" t="n"/>
      <c r="M363" s="11" t="inlineStr">
        <is>
          <t>offen</t>
        </is>
      </c>
      <c r="N363" s="11" t="inlineStr">
        <is>
          <t>CKW-Kontakt Rothenburg für NW nutzen; Verbund-Strategie</t>
        </is>
      </c>
      <c r="O363" s="11" t="inlineStr">
        <is>
          <t>CKW-Versorgungsgebiet NW; MS-Revisionen; 300'000 Kunden Total LU/UR/OW/NW</t>
        </is>
      </c>
      <c r="P363" s="11" t="n"/>
      <c r="Q363" s="11" t="n"/>
      <c r="R363" s="11" t="inlineStr">
        <is>
          <t>Adr: CKW-Verbund, 6023 Rothenburg | CKW = 4-Kantone-EVU LU+UR+OW+NW</t>
        </is>
      </c>
      <c r="S363" s="11" t="inlineStr">
        <is>
          <t>CKW-Verbund</t>
        </is>
      </c>
    </row>
    <row r="364">
      <c r="A364" s="11" t="n">
        <v>361</v>
      </c>
      <c r="B364" s="11" t="inlineStr">
        <is>
          <t>A</t>
        </is>
      </c>
      <c r="C364" s="11" t="inlineStr">
        <is>
          <t>Spital/Klinik</t>
        </is>
      </c>
      <c r="D364" s="11" t="inlineStr">
        <is>
          <t>Kantonsspital Nidwalden (KSOW-Verbund/LUKS)</t>
        </is>
      </c>
      <c r="E364" s="11" t="inlineStr">
        <is>
          <t>Stans</t>
        </is>
      </c>
      <c r="F364" s="11" t="inlineStr">
        <is>
          <t>6370</t>
        </is>
      </c>
      <c r="G364" s="11" t="inlineStr">
        <is>
          <t>NW</t>
        </is>
      </c>
      <c r="H364" s="11" t="inlineStr">
        <is>
          <t>Betriebsleiter Technik</t>
        </is>
      </c>
      <c r="I364" s="11" t="inlineStr">
        <is>
          <t>Dipl. El.-Ing.</t>
        </is>
      </c>
      <c r="J364" s="11" t="inlineStr">
        <is>
          <t>info@ksnw.ch</t>
        </is>
      </c>
      <c r="K364" s="11" t="inlineStr">
        <is>
          <t>+41 41 618 18 18</t>
        </is>
      </c>
      <c r="L364" s="11" t="n"/>
      <c r="M364" s="11" t="inlineStr">
        <is>
          <t>offen</t>
        </is>
      </c>
      <c r="N364" s="11" t="inlineStr">
        <is>
          <t>Betriebsleiter KSNW; Ennetmooserstrasse 19 Stans; LUKS-Verbindung</t>
        </is>
      </c>
      <c r="O364" s="11" t="inlineStr">
        <is>
          <t>NEA 2× 250 kVA; USV OP/ICU; 600 MA; LUKS-Tochter Spital Nidwalden</t>
        </is>
      </c>
      <c r="P364" s="11" t="inlineStr">
        <is>
          <t>USV</t>
        </is>
      </c>
      <c r="Q364" s="11" t="n"/>
      <c r="R364" s="11" t="inlineStr">
        <is>
          <t>Adr: Ennetmooserstrasse 19, 6370 Stans | 600 MA; LUKS-Tochter; NIV Art. 13</t>
        </is>
      </c>
      <c r="S364" s="11" t="inlineStr">
        <is>
          <t>Kantonsspital</t>
        </is>
      </c>
    </row>
    <row r="365">
      <c r="A365" s="11" t="n">
        <v>362</v>
      </c>
      <c r="B365" s="11" t="inlineStr">
        <is>
          <t>A</t>
        </is>
      </c>
      <c r="C365" s="11" t="inlineStr">
        <is>
          <t>Bergbahn/Tourismus</t>
        </is>
      </c>
      <c r="D365" s="11" t="inlineStr">
        <is>
          <t>Titlis Bergbahnen AG (Engelberg NW/OW)</t>
        </is>
      </c>
      <c r="E365" s="11" t="inlineStr">
        <is>
          <t>Engelberg</t>
        </is>
      </c>
      <c r="F365" s="11" t="inlineStr">
        <is>
          <t>6390</t>
        </is>
      </c>
      <c r="G365" s="11" t="inlineStr">
        <is>
          <t>NW</t>
        </is>
      </c>
      <c r="H365" s="11" t="inlineStr">
        <is>
          <t>Technischer Direktor</t>
        </is>
      </c>
      <c r="I365" s="11" t="inlineStr">
        <is>
          <t>MSc Ing.</t>
        </is>
      </c>
      <c r="J365" s="11" t="inlineStr">
        <is>
          <t>info@titlis.ch</t>
        </is>
      </c>
      <c r="K365" s="11" t="inlineStr">
        <is>
          <t>+41 41 639 50 50</t>
        </is>
      </c>
      <c r="L365" s="11" t="n"/>
      <c r="M365" s="11" t="inlineStr">
        <is>
          <t>offen</t>
        </is>
      </c>
      <c r="N365" s="11" t="inlineStr">
        <is>
          <t>Techn. Direktor Titlis; Titlisstrasse 2 Engelberg; Herbst-Revisionsfenster</t>
        </is>
      </c>
      <c r="O365" s="11" t="inlineStr">
        <is>
          <t>Titlis 3'238 m: NEA + Generator 1 MVA; FU-Gondeln Rotair; 1 Mio. Besucher</t>
        </is>
      </c>
      <c r="P365" s="11" t="inlineStr">
        <is>
          <t>Generator</t>
        </is>
      </c>
      <c r="Q365" s="11" t="n"/>
      <c r="R365" s="11" t="inlineStr">
        <is>
          <t>Adr: Titlisstrasse 2, 6390 Engelberg | 1 Mio. Besucher/Jahr; alpine 3'238 m</t>
        </is>
      </c>
      <c r="S365" s="11" t="inlineStr">
        <is>
          <t>Bergbahn Engelberg</t>
        </is>
      </c>
    </row>
    <row r="366">
      <c r="A366" s="11" t="n">
        <v>363</v>
      </c>
      <c r="B366" s="11" t="inlineStr">
        <is>
          <t>A</t>
        </is>
      </c>
      <c r="C366" s="11" t="inlineStr">
        <is>
          <t>Bergbahn/Tourismus</t>
        </is>
      </c>
      <c r="D366" s="11" t="inlineStr">
        <is>
          <t>Bürgenstock Hotels AG (Waldhotel Health)</t>
        </is>
      </c>
      <c r="E366" s="11" t="inlineStr">
        <is>
          <t>Obbürgen</t>
        </is>
      </c>
      <c r="F366" s="11" t="inlineStr">
        <is>
          <t>6363</t>
        </is>
      </c>
      <c r="G366" s="11" t="inlineStr">
        <is>
          <t>NW</t>
        </is>
      </c>
      <c r="H366" s="11" t="inlineStr">
        <is>
          <t>Facility Manager</t>
        </is>
      </c>
      <c r="I366" s="11" t="inlineStr">
        <is>
          <t>Ing.</t>
        </is>
      </c>
      <c r="J366" s="11" t="inlineStr">
        <is>
          <t>info@buergenstock.ch</t>
        </is>
      </c>
      <c r="K366" s="11" t="inlineStr">
        <is>
          <t>+41 41 612 60 00</t>
        </is>
      </c>
      <c r="L366" s="11" t="n"/>
      <c r="M366" s="11" t="inlineStr">
        <is>
          <t>offen</t>
        </is>
      </c>
      <c r="N366" s="11" t="inlineStr">
        <is>
          <t>Facility Manager Bürgenstock; Bürgenstock Resort; Luxus-Pitch</t>
        </is>
      </c>
      <c r="O366" s="11" t="inlineStr">
        <is>
          <t>5-Sterne Luxusresort Bürgenstock: NEA 1× 500 kVA; USV alpine Lage; 500 Zimmer; Orascom</t>
        </is>
      </c>
      <c r="P366" s="11" t="inlineStr">
        <is>
          <t>USV</t>
        </is>
      </c>
      <c r="Q366" s="11" t="n"/>
      <c r="R366" s="11" t="inlineStr">
        <is>
          <t>Adr: Bürgenstock Resort, 6363 Obbürgen | Weltelite; 5-Sterne; alpine Berglage; Orascom</t>
        </is>
      </c>
      <c r="S366" s="11" t="inlineStr">
        <is>
          <t>Luxushotel</t>
        </is>
      </c>
    </row>
    <row r="367">
      <c r="A367" s="11" t="n">
        <v>364</v>
      </c>
      <c r="B367" s="11" t="inlineStr">
        <is>
          <t>A</t>
        </is>
      </c>
      <c r="C367" s="11" t="inlineStr">
        <is>
          <t>Bergbahn/Tourismus</t>
        </is>
      </c>
      <c r="D367" s="11" t="inlineStr">
        <is>
          <t>Klewenalp-Stockhütte AG</t>
        </is>
      </c>
      <c r="E367" s="11" t="inlineStr">
        <is>
          <t>Beckenried</t>
        </is>
      </c>
      <c r="F367" s="11" t="inlineStr">
        <is>
          <t>6375</t>
        </is>
      </c>
      <c r="G367" s="11" t="inlineStr">
        <is>
          <t>NW</t>
        </is>
      </c>
      <c r="H367" s="11" t="inlineStr">
        <is>
          <t>Betriebsleiter</t>
        </is>
      </c>
      <c r="I367" s="11" t="inlineStr">
        <is>
          <t>Techniker</t>
        </is>
      </c>
      <c r="J367" s="11" t="inlineStr">
        <is>
          <t>info@klewenalp.ch</t>
        </is>
      </c>
      <c r="K367" s="11" t="inlineStr">
        <is>
          <t>+41 41 624 15 15</t>
        </is>
      </c>
      <c r="L367" s="11" t="n"/>
      <c r="M367" s="11" t="inlineStr">
        <is>
          <t>offen</t>
        </is>
      </c>
      <c r="N367" s="11" t="inlineStr">
        <is>
          <t>Betriebsleiter Klewenalp; Herbstkontakt Revision</t>
        </is>
      </c>
      <c r="O367" s="11" t="inlineStr">
        <is>
          <t>Klewenalp Bergbahn: NEA + Generator 200 kVA; FU-Gondeln; alpine NW-Seite</t>
        </is>
      </c>
      <c r="P367" s="11" t="inlineStr">
        <is>
          <t>Generator</t>
        </is>
      </c>
      <c r="Q367" s="11" t="n"/>
      <c r="R367" s="11" t="inlineStr">
        <is>
          <t>Adr: Talstation Beckenried, 6375 Beckenried | Klewenalp NW; alpine Seite</t>
        </is>
      </c>
      <c r="S367" s="11" t="inlineStr">
        <is>
          <t>Bergbahn Klewenalp</t>
        </is>
      </c>
    </row>
    <row r="368">
      <c r="A368" s="11" t="n">
        <v>365</v>
      </c>
      <c r="B368" s="11" t="inlineStr">
        <is>
          <t>A</t>
        </is>
      </c>
      <c r="C368" s="11" t="inlineStr">
        <is>
          <t>Pharma/Chemie</t>
        </is>
      </c>
      <c r="D368" s="11" t="inlineStr">
        <is>
          <t>Bucher Hydraulics AG (Werk NW)</t>
        </is>
      </c>
      <c r="E368" s="11" t="inlineStr">
        <is>
          <t>Nidau</t>
        </is>
      </c>
      <c r="F368" s="11" t="inlineStr">
        <is>
          <t>2560</t>
        </is>
      </c>
      <c r="G368" s="11" t="inlineStr">
        <is>
          <t>NW</t>
        </is>
      </c>
      <c r="H368" s="11" t="inlineStr">
        <is>
          <t>Betriebsleiter Elektro</t>
        </is>
      </c>
      <c r="I368" s="11" t="inlineStr">
        <is>
          <t>Dipl. El.-Ing.</t>
        </is>
      </c>
      <c r="J368" s="11" t="inlineStr">
        <is>
          <t>info@bucherhydraulics.com</t>
        </is>
      </c>
      <c r="K368" s="11" t="inlineStr">
        <is>
          <t>+41 41 619 43 00</t>
        </is>
      </c>
      <c r="L368" s="11" t="n"/>
      <c r="M368" s="11" t="inlineStr">
        <is>
          <t>offen</t>
        </is>
      </c>
      <c r="N368" s="11" t="inlineStr">
        <is>
          <t>Betriebsleiter Bucher Hydraulics NW; FU-PQ-Pitch</t>
        </is>
      </c>
      <c r="O368" s="11" t="inlineStr">
        <is>
          <t>Hydraulik-Produktion: NEA 500 kVA; FU-Antriebe; PQ; EMV; Bucher-Gruppe</t>
        </is>
      </c>
      <c r="P368" s="11" t="n"/>
      <c r="Q368" s="11" t="n"/>
      <c r="R368" s="11" t="inlineStr">
        <is>
          <t>Adr: NW-Werk, 6370 Stans | Bucher-Gruppe; Hydraulik; FU-Antriebe</t>
        </is>
      </c>
      <c r="S368" s="11" t="inlineStr">
        <is>
          <t>Metallverarbeitung</t>
        </is>
      </c>
    </row>
    <row r="369">
      <c r="A369" s="11" t="n">
        <v>366</v>
      </c>
      <c r="B369" s="11" t="inlineStr">
        <is>
          <t>A</t>
        </is>
      </c>
      <c r="C369" s="11" t="inlineStr">
        <is>
          <t>Gemeinde/Öffentlich</t>
        </is>
      </c>
      <c r="D369" s="11" t="inlineStr">
        <is>
          <t>Kanton Nidwalden (Hochbauamt)</t>
        </is>
      </c>
      <c r="E369" s="11" t="inlineStr">
        <is>
          <t>Stans</t>
        </is>
      </c>
      <c r="F369" s="11" t="inlineStr">
        <is>
          <t>6371</t>
        </is>
      </c>
      <c r="G369" s="11" t="inlineStr">
        <is>
          <t>NW</t>
        </is>
      </c>
      <c r="H369" s="11" t="inlineStr">
        <is>
          <t>Leiter Hochbauamt</t>
        </is>
      </c>
      <c r="I369" s="11" t="inlineStr">
        <is>
          <t>Kantonsbauingenieur</t>
        </is>
      </c>
      <c r="J369" s="11" t="inlineStr">
        <is>
          <t>info@nw.ch</t>
        </is>
      </c>
      <c r="K369" s="11" t="inlineStr">
        <is>
          <t>+41 41 618 78 78</t>
        </is>
      </c>
      <c r="L369" s="11" t="n"/>
      <c r="M369" s="11" t="inlineStr">
        <is>
          <t>offen</t>
        </is>
      </c>
      <c r="N369" s="11" t="inlineStr">
        <is>
          <t>Hochbauamt NW; Dorfplatz 2 Stans; simap.ch Alert NW</t>
        </is>
      </c>
      <c r="O369" s="11" t="inlineStr">
        <is>
          <t>NEA kantonale Gebäude NW; 80+ Liegenschaften; Rahmenvertrag NW</t>
        </is>
      </c>
      <c r="P369" s="11" t="n"/>
      <c r="Q369" s="11" t="n"/>
      <c r="R369" s="11" t="inlineStr">
        <is>
          <t>Adr: Dorfplatz 2, 6371 Stans | Kanton NW; 80+ Liegenschaften; Rahmenvertrag</t>
        </is>
      </c>
      <c r="S369" s="11" t="inlineStr">
        <is>
          <t>Kanton NW</t>
        </is>
      </c>
    </row>
    <row r="370">
      <c r="A370" s="11" t="n">
        <v>367</v>
      </c>
      <c r="B370" s="11" t="inlineStr">
        <is>
          <t>B</t>
        </is>
      </c>
      <c r="C370" s="11" t="inlineStr">
        <is>
          <t>Pharma/Chemie</t>
        </is>
      </c>
      <c r="D370" s="11" t="inlineStr">
        <is>
          <t>Pilatus Aircraft Ltd. (Stans)</t>
        </is>
      </c>
      <c r="E370" s="11" t="inlineStr">
        <is>
          <t>Stans</t>
        </is>
      </c>
      <c r="F370" s="11" t="inlineStr">
        <is>
          <t>6371</t>
        </is>
      </c>
      <c r="G370" s="11" t="inlineStr">
        <is>
          <t>NW</t>
        </is>
      </c>
      <c r="H370" s="11" t="inlineStr">
        <is>
          <t>Betriebsleiter Technik</t>
        </is>
      </c>
      <c r="I370" s="11" t="inlineStr">
        <is>
          <t>MSc El.-Ing.</t>
        </is>
      </c>
      <c r="J370" s="11" t="inlineStr">
        <is>
          <t>info@pilatus-aircraft.com</t>
        </is>
      </c>
      <c r="K370" s="11" t="inlineStr">
        <is>
          <t>+41 41 619 61 00</t>
        </is>
      </c>
      <c r="L370" s="11" t="n"/>
      <c r="M370" s="11" t="inlineStr">
        <is>
          <t>offen</t>
        </is>
      </c>
      <c r="N370" s="11" t="inlineStr">
        <is>
          <t>Betriebsleiter Pilatus Aircraft; Buochserstrasse 1 Stans; PQ-Pitch</t>
        </is>
      </c>
      <c r="O370" s="11" t="inlineStr">
        <is>
          <t>Flugzeugproduktion PC-12/PC-24: NEA 1 MVA; PQ; EMV; 2'100 MA; CHF 700 Mio.</t>
        </is>
      </c>
      <c r="P370" s="11" t="n"/>
      <c r="Q370" s="11" t="n"/>
      <c r="R370" s="11" t="inlineStr">
        <is>
          <t>Adr: Buochserstrasse 1, 6371 Stans | Pilatus PC-12; 2'100 MA; CHF 700 Mio.; weltbekannt</t>
        </is>
      </c>
      <c r="S370" s="11" t="inlineStr">
        <is>
          <t>Flugzeug/MRO</t>
        </is>
      </c>
    </row>
    <row r="371">
      <c r="A371" s="11" t="n">
        <v>368</v>
      </c>
      <c r="B371" s="11" t="inlineStr">
        <is>
          <t>B</t>
        </is>
      </c>
      <c r="C371" s="11" t="inlineStr">
        <is>
          <t>Bau/Infrastruktur</t>
        </is>
      </c>
      <c r="D371" s="11" t="inlineStr">
        <is>
          <t>ARA Nidwalden (Engelberger Aa-Schutz)</t>
        </is>
      </c>
      <c r="E371" s="11" t="inlineStr">
        <is>
          <t>Buochs</t>
        </is>
      </c>
      <c r="F371" s="11" t="inlineStr">
        <is>
          <t>6374</t>
        </is>
      </c>
      <c r="G371" s="11" t="inlineStr">
        <is>
          <t>NW</t>
        </is>
      </c>
      <c r="H371" s="11" t="inlineStr">
        <is>
          <t>Betriebsleiter ARA</t>
        </is>
      </c>
      <c r="I371" s="11" t="inlineStr">
        <is>
          <t>Techniker</t>
        </is>
      </c>
      <c r="J371" s="11" t="inlineStr">
        <is>
          <t>info@ara-nw.ch</t>
        </is>
      </c>
      <c r="K371" s="11" t="inlineStr">
        <is>
          <t>+41 41 620 30 10</t>
        </is>
      </c>
      <c r="L371" s="11" t="n"/>
      <c r="M371" s="11" t="inlineStr">
        <is>
          <t>offen</t>
        </is>
      </c>
      <c r="N371" s="11" t="inlineStr">
        <is>
          <t>Betriebsleiter ARA NW; Buochs; simap.ch Alert NW</t>
        </is>
      </c>
      <c r="O371" s="11" t="inlineStr">
        <is>
          <t>NEA-Pflicht 1× 200 kVA; Engelberger Aa-Schutz; 24h</t>
        </is>
      </c>
      <c r="P371" s="11" t="inlineStr">
        <is>
          <t>Generator</t>
        </is>
      </c>
      <c r="Q371" s="11" t="n"/>
      <c r="R371" s="11" t="inlineStr">
        <is>
          <t>Adr: Buochs, 6374 NW | Engelberger Aa-Schutz; Ausschreibungspflicht</t>
        </is>
      </c>
      <c r="S371" s="11" t="inlineStr">
        <is>
          <t>ARA Buochs</t>
        </is>
      </c>
    </row>
    <row r="372">
      <c r="A372" s="11" t="n">
        <v>369</v>
      </c>
      <c r="B372" s="11" t="inlineStr">
        <is>
          <t>B</t>
        </is>
      </c>
      <c r="C372" s="11" t="inlineStr">
        <is>
          <t>Bergbahn/Tourismus</t>
        </is>
      </c>
      <c r="D372" s="11" t="inlineStr">
        <is>
          <t>NIDWALDEN Hotel Seehotel Bürgenstock-Umfeld</t>
        </is>
      </c>
      <c r="E372" s="11" t="inlineStr">
        <is>
          <t>Kehrsiten</t>
        </is>
      </c>
      <c r="F372" s="11" t="inlineStr">
        <is>
          <t>6354</t>
        </is>
      </c>
      <c r="G372" s="11" t="inlineStr">
        <is>
          <t>NW</t>
        </is>
      </c>
      <c r="H372" s="11" t="inlineStr">
        <is>
          <t>Facility Manager</t>
        </is>
      </c>
      <c r="I372" s="11" t="inlineStr">
        <is>
          <t>Techniker</t>
        </is>
      </c>
      <c r="J372" s="11" t="inlineStr">
        <is>
          <t>info@seehotel.ch</t>
        </is>
      </c>
      <c r="K372" s="11" t="inlineStr">
        <is>
          <t>+41 41 624 95 20</t>
        </is>
      </c>
      <c r="L372" s="11" t="n"/>
      <c r="M372" s="11" t="inlineStr">
        <is>
          <t>offen</t>
        </is>
      </c>
      <c r="N372" s="11" t="inlineStr">
        <is>
          <t>Facility Manager Seehotel; Kehrsiten NW; Tourismus-Pitch</t>
        </is>
      </c>
      <c r="O372" s="11" t="inlineStr">
        <is>
          <t>Seehotel alpine Lage NW: NEA 1× 200 kVA; USV; Vierwaldstättersee</t>
        </is>
      </c>
      <c r="P372" s="11" t="inlineStr">
        <is>
          <t>USV</t>
        </is>
      </c>
      <c r="Q372" s="11" t="n"/>
      <c r="R372" s="11" t="inlineStr">
        <is>
          <t>Adr: Kehrsiten, 6354 NW | Seehotel Vierwaldstättersee; alpine Lage</t>
        </is>
      </c>
      <c r="S372" s="11" t="inlineStr">
        <is>
          <t>Hotel Luzerner See</t>
        </is>
      </c>
    </row>
    <row r="373">
      <c r="A373" s="11" t="n">
        <v>370</v>
      </c>
      <c r="B373" s="11" t="inlineStr">
        <is>
          <t>C</t>
        </is>
      </c>
      <c r="C373" s="11" t="inlineStr">
        <is>
          <t>Pharma/Chemie</t>
        </is>
      </c>
      <c r="D373" s="11" t="inlineStr">
        <is>
          <t>Käserei Oberdorf NW</t>
        </is>
      </c>
      <c r="E373" s="11" t="inlineStr">
        <is>
          <t>Oberdorf</t>
        </is>
      </c>
      <c r="F373" s="11" t="inlineStr">
        <is>
          <t>6370</t>
        </is>
      </c>
      <c r="G373" s="11" t="inlineStr">
        <is>
          <t>NW</t>
        </is>
      </c>
      <c r="H373" s="11" t="inlineStr">
        <is>
          <t>Betriebsleiter</t>
        </is>
      </c>
      <c r="I373" s="11" t="inlineStr">
        <is>
          <t>Techniker</t>
        </is>
      </c>
      <c r="J373" s="11" t="inlineStr">
        <is>
          <t>info@kaeserei-nw.ch</t>
        </is>
      </c>
      <c r="K373" s="11" t="inlineStr">
        <is>
          <t>+41 41 610 12 34</t>
        </is>
      </c>
      <c r="L373" s="11" t="n"/>
      <c r="M373" s="11" t="inlineStr">
        <is>
          <t>offen</t>
        </is>
      </c>
      <c r="N373" s="11" t="inlineStr">
        <is>
          <t>MiT-CRM: Käserei NW als Kältekunde prüfen</t>
        </is>
      </c>
      <c r="O373" s="11" t="inlineStr">
        <is>
          <t>Käseproduktion NW: NEA Kühlkette 100 kVA; Cross-Sell Kälte</t>
        </is>
      </c>
      <c r="P373" s="11" t="inlineStr">
        <is>
          <t>Kälte</t>
        </is>
      </c>
      <c r="Q373" s="11" t="n"/>
      <c r="R373" s="11" t="inlineStr">
        <is>
          <t>Adr: Oberdorf, 6370 NW | NW-Käse; Kühlkette; Cross-Sell</t>
        </is>
      </c>
      <c r="S373" s="11" t="inlineStr">
        <is>
          <t>Nahrungsmittel</t>
        </is>
      </c>
    </row>
    <row r="374">
      <c r="A374" s="11" t="n">
        <v>371</v>
      </c>
      <c r="B374" s="11" t="inlineStr">
        <is>
          <t>C</t>
        </is>
      </c>
      <c r="C374" s="11" t="inlineStr">
        <is>
          <t>Gemeinde/Öffentlich</t>
        </is>
      </c>
      <c r="D374" s="11" t="inlineStr">
        <is>
          <t>[MiT NW-Kältekunde Nr. 1]</t>
        </is>
      </c>
      <c r="E374" s="11" t="inlineStr">
        <is>
          <t>Stans</t>
        </is>
      </c>
      <c r="F374" s="11" t="inlineStr">
        <is>
          <t>6370</t>
        </is>
      </c>
      <c r="G374" s="11" t="inlineStr">
        <is>
          <t>NW</t>
        </is>
      </c>
      <c r="H374" s="11" t="inlineStr">
        <is>
          <t>Energieverantwortlicher</t>
        </is>
      </c>
      <c r="I374" s="11" t="inlineStr">
        <is>
          <t>Betriebsleiter</t>
        </is>
      </c>
      <c r="J374" s="11" t="n"/>
      <c r="K374" s="11" t="inlineStr">
        <is>
          <t>(MiT-CRM)</t>
        </is>
      </c>
      <c r="L374" s="11" t="n"/>
      <c r="M374" s="11" t="inlineStr">
        <is>
          <t>offen</t>
        </is>
      </c>
      <c r="N374" s="11" t="inlineStr">
        <is>
          <t>MiT-CRM Roberto/Stefan: NW-Kunden ohne Strom prüfen</t>
        </is>
      </c>
      <c r="O374" s="11" t="inlineStr">
        <is>
          <t>Strom-Add-on MiT-Wärme/Kälte NW</t>
        </is>
      </c>
      <c r="P374" s="11" t="n"/>
      <c r="Q374" s="11" t="n"/>
      <c r="R374" s="11" t="inlineStr">
        <is>
          <t>Bürgenstock + Titlis = Kühlkette Hotellerie = Cross-Sell NW</t>
        </is>
      </c>
      <c r="S374" s="11" t="inlineStr">
        <is>
          <t>Cross-Sell MiT</t>
        </is>
      </c>
    </row>
    <row r="375">
      <c r="A375" s="11" t="n">
        <v>372</v>
      </c>
      <c r="B375" s="11" t="inlineStr">
        <is>
          <t>A</t>
        </is>
      </c>
      <c r="C375" s="11" t="inlineStr">
        <is>
          <t>Pharma/Chemie</t>
        </is>
      </c>
      <c r="D375" s="11" t="inlineStr">
        <is>
          <t>Pilatus Aircraft Ltd. — Erweiterung Werk 2</t>
        </is>
      </c>
      <c r="E375" s="11" t="inlineStr">
        <is>
          <t>Stans</t>
        </is>
      </c>
      <c r="F375" s="11" t="inlineStr">
        <is>
          <t>6370</t>
        </is>
      </c>
      <c r="G375" s="11" t="inlineStr">
        <is>
          <t>NW</t>
        </is>
      </c>
      <c r="H375" s="11" t="inlineStr">
        <is>
          <t>Betriebsleiter Elektro Werk 2</t>
        </is>
      </c>
      <c r="I375" s="11" t="inlineStr">
        <is>
          <t>MSc El.-Ing.</t>
        </is>
      </c>
      <c r="J375" s="11" t="inlineStr">
        <is>
          <t>info@pilatus-aircraft.com</t>
        </is>
      </c>
      <c r="K375" s="11" t="inlineStr">
        <is>
          <t>+41 41 619 61 00</t>
        </is>
      </c>
      <c r="L375" s="11" t="n"/>
      <c r="M375" s="11" t="inlineStr">
        <is>
          <t>offen</t>
        </is>
      </c>
      <c r="N375" s="11" t="inlineStr">
        <is>
          <t>Betriebsleiter Pilatus Werk 2; Buochserstrasse 1 Stans; Werk2-Pitch</t>
        </is>
      </c>
      <c r="O375" s="11" t="inlineStr">
        <is>
          <t>PC-24 Werk 2: NEA 1 MVA; PQ; EMV; Avionik Reinraum; Krones/Pilatus = wachsend</t>
        </is>
      </c>
      <c r="P375" s="11" t="n"/>
      <c r="Q375" s="11" t="n"/>
      <c r="R375" s="11" t="inlineStr">
        <is>
          <t>Adr: Buochserstrasse 1, 6370 Stans | Pilatus Werk 2; PC-24 Erweiterung; Avionik</t>
        </is>
      </c>
      <c r="S375" s="11" t="inlineStr">
        <is>
          <t>Flugzeugbau</t>
        </is>
      </c>
    </row>
    <row r="376">
      <c r="A376" s="11" t="n">
        <v>373</v>
      </c>
      <c r="B376" s="11" t="inlineStr">
        <is>
          <t>A</t>
        </is>
      </c>
      <c r="C376" s="11" t="inlineStr">
        <is>
          <t>Bergbahn/Tourismus</t>
        </is>
      </c>
      <c r="D376" s="11" t="inlineStr">
        <is>
          <t>Bürgenstock Hotel AG (Bürgenstock Resort)</t>
        </is>
      </c>
      <c r="E376" s="11" t="inlineStr">
        <is>
          <t>Obbürgen</t>
        </is>
      </c>
      <c r="F376" s="11" t="inlineStr">
        <is>
          <t>6363</t>
        </is>
      </c>
      <c r="G376" s="11" t="inlineStr">
        <is>
          <t>NW</t>
        </is>
      </c>
      <c r="H376" s="11" t="inlineStr">
        <is>
          <t>Director of Engineering</t>
        </is>
      </c>
      <c r="I376" s="11" t="inlineStr">
        <is>
          <t>Ing.</t>
        </is>
      </c>
      <c r="J376" s="11" t="inlineStr">
        <is>
          <t>info@burgenstock.ch</t>
        </is>
      </c>
      <c r="K376" s="11" t="inlineStr">
        <is>
          <t>+41 41 612 60 00</t>
        </is>
      </c>
      <c r="L376" s="11" t="n"/>
      <c r="M376" s="11" t="inlineStr">
        <is>
          <t>offen</t>
        </is>
      </c>
      <c r="N376" s="11" t="inlineStr">
        <is>
          <t>Director of Engineering Bürgenstock Resort; Obbürgen NW; Weltklasse-Pitch</t>
        </is>
      </c>
      <c r="O376" s="11" t="inlineStr">
        <is>
          <t>Bürgenstock Resort 5-Sterne: NEA 1× 600 kVA; USV 24h; alpine 500m; 1'000 MA Resort</t>
        </is>
      </c>
      <c r="P376" s="11" t="inlineStr">
        <is>
          <t>USV</t>
        </is>
      </c>
      <c r="Q376" s="11" t="n"/>
      <c r="R376" s="11" t="inlineStr">
        <is>
          <t>Adr: Bürgenstock Resort, 6363 Obbürgen | Bürgenstock 5-Sterne; 1'000 MA; Weltklasse</t>
        </is>
      </c>
      <c r="S376" s="11" t="inlineStr">
        <is>
          <t>Berghotel Bürgenstock</t>
        </is>
      </c>
    </row>
    <row r="377">
      <c r="A377" s="11" t="n">
        <v>374</v>
      </c>
      <c r="B377" s="11" t="inlineStr">
        <is>
          <t>A</t>
        </is>
      </c>
      <c r="C377" s="11" t="inlineStr">
        <is>
          <t>Pharma/Chemie</t>
        </is>
      </c>
      <c r="D377" s="11" t="inlineStr">
        <is>
          <t>Palfinger AG (Werk NW-Region)</t>
        </is>
      </c>
      <c r="E377" s="11" t="inlineStr">
        <is>
          <t>Stans</t>
        </is>
      </c>
      <c r="F377" s="11" t="inlineStr">
        <is>
          <t>6370</t>
        </is>
      </c>
      <c r="G377" s="11" t="inlineStr">
        <is>
          <t>NW</t>
        </is>
      </c>
      <c r="H377" s="11" t="inlineStr">
        <is>
          <t>Betriebsleiter Technik</t>
        </is>
      </c>
      <c r="I377" s="11" t="inlineStr">
        <is>
          <t>MSc El.-Ing.</t>
        </is>
      </c>
      <c r="J377" s="11" t="inlineStr">
        <is>
          <t>info@palfinger.com</t>
        </is>
      </c>
      <c r="K377" s="11" t="inlineStr">
        <is>
          <t>+41 41 619 55 00</t>
        </is>
      </c>
      <c r="L377" s="11" t="n"/>
      <c r="M377" s="11" t="inlineStr">
        <is>
          <t>offen</t>
        </is>
      </c>
      <c r="N377" s="11" t="inlineStr">
        <is>
          <t>Betriebsleiter Palfinger NW; FU-PQ-Pitch NW</t>
        </is>
      </c>
      <c r="O377" s="11" t="inlineStr">
        <is>
          <t>Kranfahrzeuge: NEA 500 kVA; FU-Fertigungslinien; PQ; EMV; Palfinger-Gruppe</t>
        </is>
      </c>
      <c r="P377" s="11" t="n"/>
      <c r="Q377" s="11" t="n"/>
      <c r="R377" s="11" t="inlineStr">
        <is>
          <t>Adr: Stans, 6370 NW | Palfinger Werk NW; Kranfahrzeuge; FU-Fertigung</t>
        </is>
      </c>
      <c r="S377" s="11" t="inlineStr">
        <is>
          <t>Luft-/Raumfahrt</t>
        </is>
      </c>
    </row>
    <row r="378">
      <c r="A378" s="11" t="n">
        <v>375</v>
      </c>
      <c r="B378" s="11" t="inlineStr">
        <is>
          <t>B</t>
        </is>
      </c>
      <c r="C378" s="11" t="inlineStr">
        <is>
          <t>Elektroplaner/Engineering</t>
        </is>
      </c>
      <c r="D378" s="11" t="inlineStr">
        <is>
          <t>Elektro Bussmann AG (Stans NW)</t>
        </is>
      </c>
      <c r="E378" s="11" t="inlineStr">
        <is>
          <t>Stans</t>
        </is>
      </c>
      <c r="F378" s="11" t="inlineStr">
        <is>
          <t>6370</t>
        </is>
      </c>
      <c r="G378" s="11" t="inlineStr">
        <is>
          <t>NW</t>
        </is>
      </c>
      <c r="H378" s="11" t="inlineStr">
        <is>
          <t>Inhaber</t>
        </is>
      </c>
      <c r="I378" s="11" t="inlineStr">
        <is>
          <t>Elektroinstallateur EFZ</t>
        </is>
      </c>
      <c r="J378" s="11" t="inlineStr">
        <is>
          <t>info@bussmann-elektro.ch</t>
        </is>
      </c>
      <c r="K378" s="11" t="inlineStr">
        <is>
          <t>+41 41 619 71 71</t>
        </is>
      </c>
      <c r="L378" s="11" t="n"/>
      <c r="M378" s="11" t="inlineStr">
        <is>
          <t>offen</t>
        </is>
      </c>
      <c r="N378" s="11" t="inlineStr">
        <is>
          <t>Inhaber Elektro Bussmann Stans; Partnerschaft NW besprechen</t>
        </is>
      </c>
      <c r="O378" s="11" t="inlineStr">
        <is>
          <t>Elektrounternehmen Stans: Industrie+Gewerbe; NW-Marktkenntnis</t>
        </is>
      </c>
      <c r="P378" s="11" t="n"/>
      <c r="Q378" s="11" t="n"/>
      <c r="R378" s="11" t="inlineStr">
        <is>
          <t>Adr: Stans, 6370 NW | Elektrounternehmen NW; Türöffner Pilatus+Bürgenstock</t>
        </is>
      </c>
      <c r="S378" s="11" t="inlineStr">
        <is>
          <t>Elektrounternehmen NW</t>
        </is>
      </c>
    </row>
    <row r="379">
      <c r="A379" s="11" t="n">
        <v>376</v>
      </c>
      <c r="B379" s="11" t="inlineStr">
        <is>
          <t>B</t>
        </is>
      </c>
      <c r="C379" s="11" t="inlineStr">
        <is>
          <t>Bergbahn/Tourismus</t>
        </is>
      </c>
      <c r="D379" s="11" t="inlineStr">
        <is>
          <t>Hotel Swiss Holiday Park (Morschach-Brunnen)</t>
        </is>
      </c>
      <c r="E379" s="11" t="inlineStr">
        <is>
          <t>Morschach</t>
        </is>
      </c>
      <c r="F379" s="11" t="inlineStr">
        <is>
          <t>6443</t>
        </is>
      </c>
      <c r="G379" s="11" t="inlineStr">
        <is>
          <t>NW</t>
        </is>
      </c>
      <c r="H379" s="11" t="inlineStr">
        <is>
          <t>Facility Manager</t>
        </is>
      </c>
      <c r="I379" s="11" t="inlineStr">
        <is>
          <t>Techniker</t>
        </is>
      </c>
      <c r="J379" s="11" t="inlineStr">
        <is>
          <t>info@swissholidaypark.ch</t>
        </is>
      </c>
      <c r="K379" s="11" t="inlineStr">
        <is>
          <t>+41 41 825 48 00</t>
        </is>
      </c>
      <c r="L379" s="11" t="n"/>
      <c r="M379" s="11" t="inlineStr">
        <is>
          <t>offen</t>
        </is>
      </c>
      <c r="N379" s="11" t="inlineStr">
        <is>
          <t>Facility Manager Swiss Holiday Park; Vierwaldstättersee; Tourismus-Pitch</t>
        </is>
      </c>
      <c r="O379" s="11" t="inlineStr">
        <is>
          <t>Ferienpark: NEA 1× 200 kVA; USV; Vierwaldstättersee-Lage; 400+ Zimmer</t>
        </is>
      </c>
      <c r="P379" s="11" t="inlineStr">
        <is>
          <t>USV</t>
        </is>
      </c>
      <c r="Q379" s="11" t="n"/>
      <c r="R379" s="11" t="inlineStr">
        <is>
          <t>Adr: Morschach, 6443 NW | Swiss Holiday Park; 400+ Zimmer; Vierwaldstättersee</t>
        </is>
      </c>
      <c r="S379" s="11" t="inlineStr">
        <is>
          <t>Hotel Stans</t>
        </is>
      </c>
    </row>
    <row r="380">
      <c r="A380" s="11" t="n">
        <v>377</v>
      </c>
      <c r="B380" s="11" t="inlineStr">
        <is>
          <t>C</t>
        </is>
      </c>
      <c r="C380" s="11" t="inlineStr">
        <is>
          <t>Gemeinde/Öffentlich</t>
        </is>
      </c>
      <c r="D380" s="11" t="inlineStr">
        <is>
          <t>[MiT NW-Kältekunde Nr. 2]</t>
        </is>
      </c>
      <c r="E380" s="11" t="inlineStr">
        <is>
          <t>Stans</t>
        </is>
      </c>
      <c r="F380" s="11" t="inlineStr">
        <is>
          <t>6370</t>
        </is>
      </c>
      <c r="G380" s="11" t="inlineStr">
        <is>
          <t>NW</t>
        </is>
      </c>
      <c r="H380" s="11" t="inlineStr">
        <is>
          <t>Energieverantwortlicher</t>
        </is>
      </c>
      <c r="I380" s="11" t="inlineStr">
        <is>
          <t>Betriebsleiter</t>
        </is>
      </c>
      <c r="J380" s="11" t="n"/>
      <c r="K380" s="11" t="inlineStr">
        <is>
          <t>(MiT-CRM)</t>
        </is>
      </c>
      <c r="L380" s="11" t="n"/>
      <c r="M380" s="11" t="inlineStr">
        <is>
          <t>offen</t>
        </is>
      </c>
      <c r="N380" s="11" t="inlineStr">
        <is>
          <t>MiT-CRM Roberto/Stefan: NW-Kunden ohne Strom prüfen</t>
        </is>
      </c>
      <c r="O380" s="11" t="inlineStr">
        <is>
          <t>Strom-Add-on MiT-Wärme/Kälte NW</t>
        </is>
      </c>
      <c r="P380" s="11" t="n"/>
      <c r="Q380" s="11" t="n"/>
      <c r="R380" s="11" t="inlineStr">
        <is>
          <t>Pilatus (PC-24) + Bürgenstock (Weltklasse) = schnellste Top-Warmleads NW</t>
        </is>
      </c>
      <c r="S380" s="11" t="inlineStr">
        <is>
          <t>Cross-Sell MiT</t>
        </is>
      </c>
    </row>
    <row r="381">
      <c r="A381" s="11" t="n">
        <v>378</v>
      </c>
      <c r="B381" s="11" t="inlineStr">
        <is>
          <t>A</t>
        </is>
      </c>
      <c r="C381" s="11" t="inlineStr">
        <is>
          <t>EVU/Netzbetreiber</t>
        </is>
      </c>
      <c r="D381" s="11" t="inlineStr">
        <is>
          <t>EW Obwalden AG</t>
        </is>
      </c>
      <c r="E381" s="11" t="inlineStr">
        <is>
          <t>Sarnen</t>
        </is>
      </c>
      <c r="F381" s="11" t="inlineStr">
        <is>
          <t>6060</t>
        </is>
      </c>
      <c r="G381" s="11" t="inlineStr">
        <is>
          <t>OW</t>
        </is>
      </c>
      <c r="H381" s="11" t="inlineStr">
        <is>
          <t>Leiter Netzbetrieb</t>
        </is>
      </c>
      <c r="I381" s="11" t="inlineStr">
        <is>
          <t>Dipl. El.-Ing.</t>
        </is>
      </c>
      <c r="J381" s="11" t="inlineStr">
        <is>
          <t>info@ewo.ch</t>
        </is>
      </c>
      <c r="K381" s="11" t="inlineStr">
        <is>
          <t>+41 41 666 18 18</t>
        </is>
      </c>
      <c r="L381" s="11" t="n"/>
      <c r="M381" s="11" t="inlineStr">
        <is>
          <t>offen</t>
        </is>
      </c>
      <c r="N381" s="11" t="inlineStr">
        <is>
          <t>Netzbetrieb EWO; Brünigstrasse 162 Sarnen; Revisionskalender</t>
        </is>
      </c>
      <c r="O381" s="11" t="inlineStr">
        <is>
          <t>Stromversorgung OW; MS-Revisionen; NEA Gemeindegebäude; Wasserkraft Sarner-/Lungerersee</t>
        </is>
      </c>
      <c r="P381" s="11" t="inlineStr">
        <is>
          <t>Generator</t>
        </is>
      </c>
      <c r="Q381" s="11" t="n"/>
      <c r="R381" s="11" t="inlineStr">
        <is>
          <t>Adr: Brünigstrasse 162, 6060 Sarnen | Kantonaler EVU OW; Sarner-/Lungerersee Wasserkraft</t>
        </is>
      </c>
      <c r="S381" s="11" t="inlineStr">
        <is>
          <t>Kantonaler EVU</t>
        </is>
      </c>
    </row>
    <row r="382">
      <c r="A382" s="11" t="n">
        <v>379</v>
      </c>
      <c r="B382" s="11" t="inlineStr">
        <is>
          <t>A</t>
        </is>
      </c>
      <c r="C382" s="11" t="inlineStr">
        <is>
          <t>EVU/Netzbetreiber</t>
        </is>
      </c>
      <c r="D382" s="11" t="inlineStr">
        <is>
          <t>CKW AG (Niederlassung OW)</t>
        </is>
      </c>
      <c r="E382" s="11" t="inlineStr">
        <is>
          <t>Sarnen</t>
        </is>
      </c>
      <c r="F382" s="11" t="inlineStr">
        <is>
          <t>6060</t>
        </is>
      </c>
      <c r="G382" s="11" t="inlineStr">
        <is>
          <t>OW</t>
        </is>
      </c>
      <c r="H382" s="11" t="inlineStr">
        <is>
          <t>Betriebsleiter Netz OW</t>
        </is>
      </c>
      <c r="I382" s="11" t="inlineStr">
        <is>
          <t>Dipl. El.-Ing.</t>
        </is>
      </c>
      <c r="J382" s="11" t="inlineStr">
        <is>
          <t>info@ckw.ch</t>
        </is>
      </c>
      <c r="K382" s="11" t="inlineStr">
        <is>
          <t>+41 41 249 51 11</t>
        </is>
      </c>
      <c r="L382" s="11" t="n"/>
      <c r="M382" s="11" t="inlineStr">
        <is>
          <t>offen</t>
        </is>
      </c>
      <c r="N382" s="11" t="inlineStr">
        <is>
          <t>Betriebsleiter CKW OW; CKW-Kontakt Rothenburg nutzen</t>
        </is>
      </c>
      <c r="O382" s="11" t="inlineStr">
        <is>
          <t>CKW-Versorgungsgebiet OW; MS-Revisionen; 300'000 Kunden Total LU/UR/OW/NW</t>
        </is>
      </c>
      <c r="P382" s="11" t="n"/>
      <c r="Q382" s="11" t="n"/>
      <c r="R382" s="11" t="inlineStr">
        <is>
          <t>Adr: CKW-Verbund, 6023 Rothenburg | CKW versorgt LU+UR+OW+NW</t>
        </is>
      </c>
      <c r="S382" s="11" t="inlineStr">
        <is>
          <t>CKW-Verbund</t>
        </is>
      </c>
    </row>
    <row r="383">
      <c r="A383" s="11" t="n">
        <v>380</v>
      </c>
      <c r="B383" s="11" t="inlineStr">
        <is>
          <t>A</t>
        </is>
      </c>
      <c r="C383" s="11" t="inlineStr">
        <is>
          <t>Spital/Klinik</t>
        </is>
      </c>
      <c r="D383" s="11" t="inlineStr">
        <is>
          <t>Kantonsspital Obwalden (KSOW)</t>
        </is>
      </c>
      <c r="E383" s="11" t="inlineStr">
        <is>
          <t>Sarnen</t>
        </is>
      </c>
      <c r="F383" s="11" t="inlineStr">
        <is>
          <t>6060</t>
        </is>
      </c>
      <c r="G383" s="11" t="inlineStr">
        <is>
          <t>OW</t>
        </is>
      </c>
      <c r="H383" s="11" t="inlineStr">
        <is>
          <t>Betriebsleiter Technik</t>
        </is>
      </c>
      <c r="I383" s="11" t="inlineStr">
        <is>
          <t>Dipl. El.-Ing.</t>
        </is>
      </c>
      <c r="J383" s="11" t="inlineStr">
        <is>
          <t>info@ksow.ch</t>
        </is>
      </c>
      <c r="K383" s="11" t="inlineStr">
        <is>
          <t>+41 41 666 44 00</t>
        </is>
      </c>
      <c r="L383" s="11" t="n"/>
      <c r="M383" s="11" t="inlineStr">
        <is>
          <t>offen</t>
        </is>
      </c>
      <c r="N383" s="11" t="inlineStr">
        <is>
          <t>Betriebsleiter KSOW; Brünigstrasse 182 Sarnen; LUKS-Verbindung</t>
        </is>
      </c>
      <c r="O383" s="11" t="inlineStr">
        <is>
          <t>NEA 2× 250 kVA; USV OP/ICU; 650 MA; LUKS-Kooperation</t>
        </is>
      </c>
      <c r="P383" s="11" t="inlineStr">
        <is>
          <t>USV</t>
        </is>
      </c>
      <c r="Q383" s="11" t="n"/>
      <c r="R383" s="11" t="inlineStr">
        <is>
          <t>Adr: Brünigstrasse 182, 6060 Sarnen | 650 MA; LUKS-Kooperation; NIV Art. 13</t>
        </is>
      </c>
      <c r="S383" s="11" t="inlineStr">
        <is>
          <t>Kantonsspital</t>
        </is>
      </c>
    </row>
    <row r="384">
      <c r="A384" s="11" t="n">
        <v>381</v>
      </c>
      <c r="B384" s="11" t="inlineStr">
        <is>
          <t>A</t>
        </is>
      </c>
      <c r="C384" s="11" t="inlineStr">
        <is>
          <t>Bergbahn/Tourismus</t>
        </is>
      </c>
      <c r="D384" s="11" t="inlineStr">
        <is>
          <t>Titlis Bergbahnen AG (Engelberg OW/NW)</t>
        </is>
      </c>
      <c r="E384" s="11" t="inlineStr">
        <is>
          <t>Engelberg</t>
        </is>
      </c>
      <c r="F384" s="11" t="inlineStr">
        <is>
          <t>6390</t>
        </is>
      </c>
      <c r="G384" s="11" t="inlineStr">
        <is>
          <t>OW</t>
        </is>
      </c>
      <c r="H384" s="11" t="inlineStr">
        <is>
          <t>Technischer Direktor</t>
        </is>
      </c>
      <c r="I384" s="11" t="inlineStr">
        <is>
          <t>MSc Ing.</t>
        </is>
      </c>
      <c r="J384" s="11" t="inlineStr">
        <is>
          <t>info@titlis.ch</t>
        </is>
      </c>
      <c r="K384" s="11" t="inlineStr">
        <is>
          <t>+41 41 639 50 50</t>
        </is>
      </c>
      <c r="L384" s="11" t="n"/>
      <c r="M384" s="11" t="inlineStr">
        <is>
          <t>offen</t>
        </is>
      </c>
      <c r="N384" s="11" t="inlineStr">
        <is>
          <t>Techn. Direktor Titlis; Titlisstrasse 2 Engelberg; Revisionsfenster Herbst</t>
        </is>
      </c>
      <c r="O384" s="11" t="inlineStr">
        <is>
          <t>Titlis 3'238 m: NEA + Generator 1 MVA; FU-Gondeln Rotair; alpine Isolation; 1 Mio. Besucher/Jahr</t>
        </is>
      </c>
      <c r="P384" s="11" t="inlineStr">
        <is>
          <t>Generator</t>
        </is>
      </c>
      <c r="Q384" s="11" t="n"/>
      <c r="R384" s="11" t="inlineStr">
        <is>
          <t>Adr: Titlisstrasse 2, 6390 Engelberg | 1 Mio. Besucher/Jahr; Rotair Weltpremiere; 3'238 m</t>
        </is>
      </c>
      <c r="S384" s="11" t="inlineStr">
        <is>
          <t>Bergbahn Engelberg</t>
        </is>
      </c>
    </row>
    <row r="385">
      <c r="A385" s="11" t="n">
        <v>382</v>
      </c>
      <c r="B385" s="11" t="inlineStr">
        <is>
          <t>A</t>
        </is>
      </c>
      <c r="C385" s="11" t="inlineStr">
        <is>
          <t>Bergbahn/Tourismus</t>
        </is>
      </c>
      <c r="D385" s="11" t="inlineStr">
        <is>
          <t>Bergbahnen Hasliberg-Meiringen AG (OW-Anteil)</t>
        </is>
      </c>
      <c r="E385" s="11" t="inlineStr">
        <is>
          <t>Hasliberg</t>
        </is>
      </c>
      <c r="F385" s="11" t="inlineStr">
        <is>
          <t>6083</t>
        </is>
      </c>
      <c r="G385" s="11" t="inlineStr">
        <is>
          <t>OW</t>
        </is>
      </c>
      <c r="H385" s="11" t="inlineStr">
        <is>
          <t>Betriebsleiter</t>
        </is>
      </c>
      <c r="I385" s="11" t="inlineStr">
        <is>
          <t>Techniker</t>
        </is>
      </c>
      <c r="J385" s="11" t="inlineStr">
        <is>
          <t>info@bergbahnen-hasliberg.ch</t>
        </is>
      </c>
      <c r="K385" s="11" t="inlineStr">
        <is>
          <t>+41 33 972 50 50</t>
        </is>
      </c>
      <c r="L385" s="11" t="n"/>
      <c r="M385" s="11" t="inlineStr">
        <is>
          <t>offen</t>
        </is>
      </c>
      <c r="N385" s="11" t="inlineStr">
        <is>
          <t>Betriebsleiter Bergbahnen Hasliberg; Herbstkontakt Revision</t>
        </is>
      </c>
      <c r="O385" s="11" t="inlineStr">
        <is>
          <t>Bergbahnen Haslital: NEA + Generator 300 kVA; FU-Gondeln; alpine OW/BE-Grenze</t>
        </is>
      </c>
      <c r="P385" s="11" t="inlineStr">
        <is>
          <t>Generator</t>
        </is>
      </c>
      <c r="Q385" s="11" t="n"/>
      <c r="R385" s="11" t="inlineStr">
        <is>
          <t>Adr: Hasliberg Hohfluh, 6083 Hasliberg | OW/BE-Grenzgebiet; alpine Bergbahn</t>
        </is>
      </c>
      <c r="S385" s="11" t="inlineStr">
        <is>
          <t>Ski / Bergbahn</t>
        </is>
      </c>
    </row>
    <row r="386">
      <c r="A386" s="11" t="n">
        <v>383</v>
      </c>
      <c r="B386" s="11" t="inlineStr">
        <is>
          <t>A</t>
        </is>
      </c>
      <c r="C386" s="11" t="inlineStr">
        <is>
          <t>Pharma/Chemie</t>
        </is>
      </c>
      <c r="D386" s="11" t="inlineStr">
        <is>
          <t>Erne Holzbau AG (Laufenburg-Verbund)</t>
        </is>
      </c>
      <c r="E386" s="11" t="inlineStr">
        <is>
          <t>Sachseln</t>
        </is>
      </c>
      <c r="F386" s="11" t="inlineStr">
        <is>
          <t>6072</t>
        </is>
      </c>
      <c r="G386" s="11" t="inlineStr">
        <is>
          <t>OW</t>
        </is>
      </c>
      <c r="H386" s="11" t="inlineStr">
        <is>
          <t>Betriebsleiter Technik</t>
        </is>
      </c>
      <c r="I386" s="11" t="inlineStr">
        <is>
          <t>Dipl. El.-Ing.</t>
        </is>
      </c>
      <c r="J386" s="11" t="inlineStr">
        <is>
          <t>info@erne.ch</t>
        </is>
      </c>
      <c r="K386" s="11" t="inlineStr">
        <is>
          <t>+41 62 869 53 00</t>
        </is>
      </c>
      <c r="L386" s="11" t="n"/>
      <c r="M386" s="11" t="inlineStr">
        <is>
          <t>offen</t>
        </is>
      </c>
      <c r="N386" s="11" t="inlineStr">
        <is>
          <t>Betriebsleiter Erne Holzbau OW; simap.ch Alert OW</t>
        </is>
      </c>
      <c r="O386" s="11" t="inlineStr">
        <is>
          <t>Holzbau-Produktion: NEA 300 kVA; FU-Hobelmaschinen; PQ; Werkhallen</t>
        </is>
      </c>
      <c r="P386" s="11" t="inlineStr">
        <is>
          <t>Generator</t>
        </is>
      </c>
      <c r="Q386" s="11" t="n"/>
      <c r="R386" s="11" t="inlineStr">
        <is>
          <t>Adr: Industriestrasse 4, 6072 Sachseln | Holzbau; FU-Hobelmaschinen</t>
        </is>
      </c>
      <c r="S386" s="11" t="inlineStr">
        <is>
          <t>Holzverarbeitung</t>
        </is>
      </c>
    </row>
    <row r="387">
      <c r="A387" s="11" t="n">
        <v>384</v>
      </c>
      <c r="B387" s="11" t="inlineStr">
        <is>
          <t>A</t>
        </is>
      </c>
      <c r="C387" s="11" t="inlineStr">
        <is>
          <t>Gemeinde/Öffentlich</t>
        </is>
      </c>
      <c r="D387" s="11" t="inlineStr">
        <is>
          <t>Kanton Obwalden (Hochbauamt)</t>
        </is>
      </c>
      <c r="E387" s="11" t="inlineStr">
        <is>
          <t>Sarnen</t>
        </is>
      </c>
      <c r="F387" s="11" t="inlineStr">
        <is>
          <t>6061</t>
        </is>
      </c>
      <c r="G387" s="11" t="inlineStr">
        <is>
          <t>OW</t>
        </is>
      </c>
      <c r="H387" s="11" t="inlineStr">
        <is>
          <t>Leiter Hochbauamt</t>
        </is>
      </c>
      <c r="I387" s="11" t="inlineStr">
        <is>
          <t>Kantonsbauingenieur</t>
        </is>
      </c>
      <c r="J387" s="11" t="inlineStr">
        <is>
          <t>info@ow.ch</t>
        </is>
      </c>
      <c r="K387" s="11" t="inlineStr">
        <is>
          <t>+41 41 666 61 62</t>
        </is>
      </c>
      <c r="L387" s="11" t="n"/>
      <c r="M387" s="11" t="inlineStr">
        <is>
          <t>offen</t>
        </is>
      </c>
      <c r="N387" s="11" t="inlineStr">
        <is>
          <t>Hochbauamt OW; Rathaus 1 Sarnen; simap.ch Alert OW</t>
        </is>
      </c>
      <c r="O387" s="11" t="inlineStr">
        <is>
          <t>NEA kantonale Gebäude OW; 80+ Liegenschaften; Rahmenvertrag</t>
        </is>
      </c>
      <c r="P387" s="11" t="n"/>
      <c r="Q387" s="11" t="n"/>
      <c r="R387" s="11" t="inlineStr">
        <is>
          <t>Adr: Rathaus 1, 6061 Sarnen | Kanton OW; 80+ Liegenschaften</t>
        </is>
      </c>
      <c r="S387" s="11" t="inlineStr">
        <is>
          <t>Kanton Obwalden</t>
        </is>
      </c>
    </row>
    <row r="388">
      <c r="A388" s="11" t="n">
        <v>385</v>
      </c>
      <c r="B388" s="11" t="inlineStr">
        <is>
          <t>A</t>
        </is>
      </c>
      <c r="C388" s="11" t="inlineStr">
        <is>
          <t>Bau/Infrastruktur</t>
        </is>
      </c>
      <c r="D388" s="11" t="inlineStr">
        <is>
          <t>ARA Obwalden (Sarneraa-Schutz)</t>
        </is>
      </c>
      <c r="E388" s="11" t="inlineStr">
        <is>
          <t>Sarnen</t>
        </is>
      </c>
      <c r="F388" s="11" t="inlineStr">
        <is>
          <t>6060</t>
        </is>
      </c>
      <c r="G388" s="11" t="inlineStr">
        <is>
          <t>OW</t>
        </is>
      </c>
      <c r="H388" s="11" t="inlineStr">
        <is>
          <t>Betriebsleiter ARA</t>
        </is>
      </c>
      <c r="I388" s="11" t="inlineStr">
        <is>
          <t>Techniker</t>
        </is>
      </c>
      <c r="J388" s="11" t="inlineStr">
        <is>
          <t>info@ara-ow.ch</t>
        </is>
      </c>
      <c r="K388" s="11" t="inlineStr">
        <is>
          <t>+41 41 666 50 22</t>
        </is>
      </c>
      <c r="L388" s="11" t="n"/>
      <c r="M388" s="11" t="inlineStr">
        <is>
          <t>offen</t>
        </is>
      </c>
      <c r="N388" s="11" t="inlineStr">
        <is>
          <t>Betriebsleiter ARA OW; simap.ch Alert OW</t>
        </is>
      </c>
      <c r="O388" s="11" t="inlineStr">
        <is>
          <t>NEA-Pflicht 1× 200 kVA; Sarneraa-Schutz; 24h</t>
        </is>
      </c>
      <c r="P388" s="11" t="inlineStr">
        <is>
          <t>Generator</t>
        </is>
      </c>
      <c r="Q388" s="11" t="n"/>
      <c r="R388" s="11" t="inlineStr">
        <is>
          <t>Adr: Sarnen, 6060 OW | Sarneraa-Schutz; Ausschreibungspflicht</t>
        </is>
      </c>
      <c r="S388" s="11" t="inlineStr">
        <is>
          <t>ARA Sarneraa</t>
        </is>
      </c>
    </row>
    <row r="389">
      <c r="A389" s="11" t="n">
        <v>386</v>
      </c>
      <c r="B389" s="11" t="inlineStr">
        <is>
          <t>B</t>
        </is>
      </c>
      <c r="C389" s="11" t="inlineStr">
        <is>
          <t>Bergbahn/Tourismus</t>
        </is>
      </c>
      <c r="D389" s="11" t="inlineStr">
        <is>
          <t>Hotel Terrace Engelberg (Titlis-Umfeld)</t>
        </is>
      </c>
      <c r="E389" s="11" t="inlineStr">
        <is>
          <t>Engelberg</t>
        </is>
      </c>
      <c r="F389" s="11" t="inlineStr">
        <is>
          <t>6390</t>
        </is>
      </c>
      <c r="G389" s="11" t="inlineStr">
        <is>
          <t>OW</t>
        </is>
      </c>
      <c r="H389" s="11" t="inlineStr">
        <is>
          <t>Facility Manager</t>
        </is>
      </c>
      <c r="I389" s="11" t="inlineStr">
        <is>
          <t>Techniker</t>
        </is>
      </c>
      <c r="J389" s="11" t="inlineStr">
        <is>
          <t>info@hotel-terrace.ch</t>
        </is>
      </c>
      <c r="K389" s="11" t="inlineStr">
        <is>
          <t>+41 41 639 75 75</t>
        </is>
      </c>
      <c r="L389" s="11" t="n"/>
      <c r="M389" s="11" t="inlineStr">
        <is>
          <t>offen</t>
        </is>
      </c>
      <c r="N389" s="11" t="inlineStr">
        <is>
          <t>Facility Manager Hotel Terrace; Engelberg; alpine Isolation-Pitch</t>
        </is>
      </c>
      <c r="O389" s="11" t="inlineStr">
        <is>
          <t>4-Sterne Hotel alpine Lage: NEA 1× 200 kVA; USV; alpine Isolation</t>
        </is>
      </c>
      <c r="P389" s="11" t="inlineStr">
        <is>
          <t>USV</t>
        </is>
      </c>
      <c r="Q389" s="11" t="n"/>
      <c r="R389" s="11" t="inlineStr">
        <is>
          <t>Adr: Dorfstrasse 4, 6390 Engelberg | 4-Sterne; alpine Isolation; Titlis-Umfeld</t>
        </is>
      </c>
      <c r="S389" s="11" t="inlineStr">
        <is>
          <t>Hotel Engelberg</t>
        </is>
      </c>
    </row>
    <row r="390">
      <c r="A390" s="11" t="n">
        <v>387</v>
      </c>
      <c r="B390" s="11" t="inlineStr">
        <is>
          <t>B</t>
        </is>
      </c>
      <c r="C390" s="11" t="inlineStr">
        <is>
          <t>EVU/Netzbetreiber</t>
        </is>
      </c>
      <c r="D390" s="11" t="inlineStr">
        <is>
          <t>Kraftwerke Sarner- und Lungerersee AG</t>
        </is>
      </c>
      <c r="E390" s="11" t="inlineStr">
        <is>
          <t>Lungern</t>
        </is>
      </c>
      <c r="F390" s="11" t="inlineStr">
        <is>
          <t>6078</t>
        </is>
      </c>
      <c r="G390" s="11" t="inlineStr">
        <is>
          <t>OW</t>
        </is>
      </c>
      <c r="H390" s="11" t="inlineStr">
        <is>
          <t>Technischer Leiter</t>
        </is>
      </c>
      <c r="I390" s="11" t="inlineStr">
        <is>
          <t>MSc El.-Ing.</t>
        </is>
      </c>
      <c r="J390" s="11" t="inlineStr">
        <is>
          <t>info@ksl.ch</t>
        </is>
      </c>
      <c r="K390" s="11" t="inlineStr">
        <is>
          <t>+41 41 678 10 10</t>
        </is>
      </c>
      <c r="L390" s="11" t="n"/>
      <c r="M390" s="11" t="inlineStr">
        <is>
          <t>offen</t>
        </is>
      </c>
      <c r="N390" s="11" t="inlineStr">
        <is>
          <t>Technischen Leiter KSL; Lungern OW; Revisionsplanung</t>
        </is>
      </c>
      <c r="O390" s="11" t="inlineStr">
        <is>
          <t>Wasserkraft-Revisionen OW; mobile MS-Einspeisung 5–10 MVA</t>
        </is>
      </c>
      <c r="P390" s="11" t="inlineStr">
        <is>
          <t>Generator</t>
        </is>
      </c>
      <c r="Q390" s="11" t="n"/>
      <c r="R390" s="11" t="inlineStr">
        <is>
          <t>Adr: Lungern, 6078 OW | Wasserkraft Sarner-/Lungerersee; Revisionen</t>
        </is>
      </c>
      <c r="S390" s="11" t="inlineStr">
        <is>
          <t>Kraftwerk Lungerersee</t>
        </is>
      </c>
    </row>
    <row r="391">
      <c r="A391" s="11" t="n">
        <v>388</v>
      </c>
      <c r="B391" s="11" t="inlineStr">
        <is>
          <t>B</t>
        </is>
      </c>
      <c r="C391" s="11" t="inlineStr">
        <is>
          <t>Pharma/Chemie</t>
        </is>
      </c>
      <c r="D391" s="11" t="inlineStr">
        <is>
          <t>Käserei Kerns OW</t>
        </is>
      </c>
      <c r="E391" s="11" t="inlineStr">
        <is>
          <t>Kerns</t>
        </is>
      </c>
      <c r="F391" s="11" t="inlineStr">
        <is>
          <t>6064</t>
        </is>
      </c>
      <c r="G391" s="11" t="inlineStr">
        <is>
          <t>OW</t>
        </is>
      </c>
      <c r="H391" s="11" t="inlineStr">
        <is>
          <t>Betriebsleiter</t>
        </is>
      </c>
      <c r="I391" s="11" t="inlineStr">
        <is>
          <t>Techniker</t>
        </is>
      </c>
      <c r="J391" s="11" t="inlineStr">
        <is>
          <t>info@kaeserei-kerns.ch</t>
        </is>
      </c>
      <c r="K391" s="11" t="inlineStr">
        <is>
          <t>+41 41 660 12 34</t>
        </is>
      </c>
      <c r="L391" s="11" t="n"/>
      <c r="M391" s="11" t="inlineStr">
        <is>
          <t>offen</t>
        </is>
      </c>
      <c r="N391" s="11" t="inlineStr">
        <is>
          <t>MiT-CRM: Käserei Kerns als Kältekunde prüfen; Kälte+Strom</t>
        </is>
      </c>
      <c r="O391" s="11" t="inlineStr">
        <is>
          <t>Käseproduktion OW: NEA Kühlkette 150 kVA; ISO 50001; Rohmilch</t>
        </is>
      </c>
      <c r="P391" s="11" t="inlineStr">
        <is>
          <t>Kälte</t>
        </is>
      </c>
      <c r="Q391" s="11" t="n"/>
      <c r="R391" s="11" t="inlineStr">
        <is>
          <t>Adr: Kerns, 6064 OW | Obwaldner Käse; Kühlkette = NEA-kritisch</t>
        </is>
      </c>
      <c r="S391" s="11" t="inlineStr">
        <is>
          <t>Nahrungsmittel/Käse</t>
        </is>
      </c>
    </row>
    <row r="392">
      <c r="A392" s="11" t="n">
        <v>389</v>
      </c>
      <c r="B392" s="11" t="inlineStr">
        <is>
          <t>C</t>
        </is>
      </c>
      <c r="C392" s="11" t="inlineStr">
        <is>
          <t>Bau/Infrastruktur</t>
        </is>
      </c>
      <c r="D392" s="11" t="inlineStr">
        <is>
          <t>Meiringen-Innertkirchen-Bahn (MIB)</t>
        </is>
      </c>
      <c r="E392" s="11" t="inlineStr">
        <is>
          <t>Meiringen</t>
        </is>
      </c>
      <c r="F392" s="11" t="inlineStr">
        <is>
          <t>3860</t>
        </is>
      </c>
      <c r="G392" s="11" t="inlineStr">
        <is>
          <t>OW</t>
        </is>
      </c>
      <c r="H392" s="11" t="inlineStr">
        <is>
          <t>Betriebsleiter</t>
        </is>
      </c>
      <c r="I392" s="11" t="inlineStr">
        <is>
          <t>Techniker</t>
        </is>
      </c>
      <c r="J392" s="11" t="inlineStr">
        <is>
          <t>info@mib.ch</t>
        </is>
      </c>
      <c r="K392" s="11" t="inlineStr">
        <is>
          <t>+41 33 982 11 22</t>
        </is>
      </c>
      <c r="L392" s="11" t="n"/>
      <c r="M392" s="11" t="inlineStr">
        <is>
          <t>offen</t>
        </is>
      </c>
      <c r="N392" s="11" t="inlineStr">
        <is>
          <t>Betriebsleiter MIB; Brünig-Strecke; alpine Revision</t>
        </is>
      </c>
      <c r="O392" s="11" t="inlineStr">
        <is>
          <t>Schmalspurbahn Brünig: NEA + Generator 150 kVA; FU-Triebwagen; OW/BE</t>
        </is>
      </c>
      <c r="P392" s="11" t="inlineStr">
        <is>
          <t>Generator</t>
        </is>
      </c>
      <c r="Q392" s="11" t="n"/>
      <c r="R392" s="11" t="inlineStr">
        <is>
          <t>Adr: Bahnhof Meiringen, 3860 BE/OW | Schmalspurbahn Brünig; alpine Strecke</t>
        </is>
      </c>
      <c r="S392" s="11" t="inlineStr">
        <is>
          <t>Brünig Pass</t>
        </is>
      </c>
    </row>
    <row r="393">
      <c r="A393" s="11" t="n">
        <v>390</v>
      </c>
      <c r="B393" s="11" t="inlineStr">
        <is>
          <t>C</t>
        </is>
      </c>
      <c r="C393" s="11" t="inlineStr">
        <is>
          <t>Gemeinde/Öffentlich</t>
        </is>
      </c>
      <c r="D393" s="11" t="inlineStr">
        <is>
          <t>[MiT OW-Kältekunde Nr. 1]</t>
        </is>
      </c>
      <c r="E393" s="11" t="inlineStr">
        <is>
          <t>Sarnen</t>
        </is>
      </c>
      <c r="F393" s="11" t="inlineStr">
        <is>
          <t>6060</t>
        </is>
      </c>
      <c r="G393" s="11" t="inlineStr">
        <is>
          <t>OW</t>
        </is>
      </c>
      <c r="H393" s="11" t="inlineStr">
        <is>
          <t>Energieverantwortlicher</t>
        </is>
      </c>
      <c r="I393" s="11" t="inlineStr">
        <is>
          <t>Betriebsleiter</t>
        </is>
      </c>
      <c r="J393" s="11" t="n"/>
      <c r="K393" s="11" t="inlineStr">
        <is>
          <t>(MiT-CRM)</t>
        </is>
      </c>
      <c r="L393" s="11" t="n"/>
      <c r="M393" s="11" t="inlineStr">
        <is>
          <t>offen</t>
        </is>
      </c>
      <c r="N393" s="11" t="inlineStr">
        <is>
          <t>MiT-CRM Roberto/Stefan: OW-Kunden ohne Strom prüfen</t>
        </is>
      </c>
      <c r="O393" s="11" t="inlineStr">
        <is>
          <t>Strom-Add-on MiT-Wärme/Kälte OW</t>
        </is>
      </c>
      <c r="P393" s="11" t="n"/>
      <c r="Q393" s="11" t="n"/>
      <c r="R393" s="11" t="inlineStr">
        <is>
          <t>Engelberg Tourismus = Kühlkette Hotellerie = Cross-Sell-Potenzial</t>
        </is>
      </c>
      <c r="S393" s="11" t="inlineStr">
        <is>
          <t>Cross-Sell MiT</t>
        </is>
      </c>
    </row>
    <row r="394">
      <c r="A394" s="11" t="n">
        <v>391</v>
      </c>
      <c r="B394" s="11" t="inlineStr">
        <is>
          <t>A</t>
        </is>
      </c>
      <c r="C394" s="11" t="inlineStr">
        <is>
          <t>Bergbahn/Tourismus</t>
        </is>
      </c>
      <c r="D394" s="11" t="inlineStr">
        <is>
          <t>Hotel Ramada by Wyndham Engelberg</t>
        </is>
      </c>
      <c r="E394" s="11" t="inlineStr">
        <is>
          <t>Engelberg</t>
        </is>
      </c>
      <c r="F394" s="11" t="inlineStr">
        <is>
          <t>6390</t>
        </is>
      </c>
      <c r="G394" s="11" t="inlineStr">
        <is>
          <t>OW</t>
        </is>
      </c>
      <c r="H394" s="11" t="inlineStr">
        <is>
          <t>Facility Manager</t>
        </is>
      </c>
      <c r="I394" s="11" t="inlineStr">
        <is>
          <t>Techniker</t>
        </is>
      </c>
      <c r="J394" s="11" t="inlineStr">
        <is>
          <t>info@ramada-engelberg.ch</t>
        </is>
      </c>
      <c r="K394" s="11" t="inlineStr">
        <is>
          <t>+41 41 637 13 13</t>
        </is>
      </c>
      <c r="L394" s="11" t="n"/>
      <c r="M394" s="11" t="inlineStr">
        <is>
          <t>offen</t>
        </is>
      </c>
      <c r="N394" s="11" t="inlineStr">
        <is>
          <t>Facility Manager Ramada Engelberg; Titlis-Umfeld OW; 4-Sterne-Pitch</t>
        </is>
      </c>
      <c r="O394" s="11" t="inlineStr">
        <is>
          <t>4-Sterne Hotel Engelberg: NEA 1× 250 kVA; USV; alpine 1'000 m; Titlis-Nähe</t>
        </is>
      </c>
      <c r="P394" s="11" t="inlineStr">
        <is>
          <t>USV</t>
        </is>
      </c>
      <c r="Q394" s="11" t="n"/>
      <c r="R394" s="11" t="inlineStr">
        <is>
          <t>Adr: Dorfstrasse 29, 6390 Engelberg | Ramada 4-Sterne; Titlis-Nähe; alpine OW</t>
        </is>
      </c>
      <c r="S394" s="11" t="inlineStr">
        <is>
          <t>Hotel Engelberg</t>
        </is>
      </c>
    </row>
    <row r="395">
      <c r="A395" s="11" t="n">
        <v>392</v>
      </c>
      <c r="B395" s="11" t="inlineStr">
        <is>
          <t>A</t>
        </is>
      </c>
      <c r="C395" s="11" t="inlineStr">
        <is>
          <t>Pharma/Chemie</t>
        </is>
      </c>
      <c r="D395" s="11" t="inlineStr">
        <is>
          <t>Franke Coffee Systems AG (Werk Sachseln OW)</t>
        </is>
      </c>
      <c r="E395" s="11" t="inlineStr">
        <is>
          <t>Sachseln</t>
        </is>
      </c>
      <c r="F395" s="11" t="inlineStr">
        <is>
          <t>6072</t>
        </is>
      </c>
      <c r="G395" s="11" t="inlineStr">
        <is>
          <t>OW</t>
        </is>
      </c>
      <c r="H395" s="11" t="inlineStr">
        <is>
          <t>Betriebsleiter Technik</t>
        </is>
      </c>
      <c r="I395" s="11" t="inlineStr">
        <is>
          <t>Dipl. El.-Ing.</t>
        </is>
      </c>
      <c r="J395" s="11" t="inlineStr">
        <is>
          <t>info@franke.com</t>
        </is>
      </c>
      <c r="K395" s="11" t="inlineStr">
        <is>
          <t>+41 41 666 75 00</t>
        </is>
      </c>
      <c r="L395" s="11" t="n"/>
      <c r="M395" s="11" t="inlineStr">
        <is>
          <t>offen</t>
        </is>
      </c>
      <c r="N395" s="11" t="inlineStr">
        <is>
          <t>Betriebsleiter Franke Coffee Sachseln; FU-PQ-Pitch OW</t>
        </is>
      </c>
      <c r="O395" s="11" t="inlineStr">
        <is>
          <t>Kaffeemaschinen-Produktion: NEA 500 kVA; FU-Fertigungslinien; PQ; EMV; ISO 50001</t>
        </is>
      </c>
      <c r="P395" s="11" t="n"/>
      <c r="Q395" s="11" t="n"/>
      <c r="R395" s="11" t="inlineStr">
        <is>
          <t>Adr: Industriestrasse 4, 6072 Sachseln | Franke Coffee Systems; FU-Fertigung</t>
        </is>
      </c>
      <c r="S395" s="11" t="inlineStr">
        <is>
          <t>Kaffee/Automaten</t>
        </is>
      </c>
    </row>
    <row r="396">
      <c r="A396" s="11" t="n">
        <v>393</v>
      </c>
      <c r="B396" s="11" t="inlineStr">
        <is>
          <t>A</t>
        </is>
      </c>
      <c r="C396" s="11" t="inlineStr">
        <is>
          <t>Bau/Infrastruktur</t>
        </is>
      </c>
      <c r="D396" s="11" t="inlineStr">
        <is>
          <t>BKW / KW Lungerersee AG (Revision)</t>
        </is>
      </c>
      <c r="E396" s="11" t="inlineStr">
        <is>
          <t>Lungern</t>
        </is>
      </c>
      <c r="F396" s="11" t="inlineStr">
        <is>
          <t>6078</t>
        </is>
      </c>
      <c r="G396" s="11" t="inlineStr">
        <is>
          <t>OW</t>
        </is>
      </c>
      <c r="H396" s="11" t="inlineStr">
        <is>
          <t>Technischer Leiter</t>
        </is>
      </c>
      <c r="I396" s="11" t="inlineStr">
        <is>
          <t>MSc El.-Ing.</t>
        </is>
      </c>
      <c r="J396" s="11" t="inlineStr">
        <is>
          <t>info@ksl-ow.ch</t>
        </is>
      </c>
      <c r="K396" s="11" t="inlineStr">
        <is>
          <t>+41 41 678 10 10</t>
        </is>
      </c>
      <c r="L396" s="11" t="n"/>
      <c r="M396" s="11" t="inlineStr">
        <is>
          <t>offen</t>
        </is>
      </c>
      <c r="N396" s="11" t="inlineStr">
        <is>
          <t>Technischer Leiter KW Lungerersee; Revision-Pitch OW</t>
        </is>
      </c>
      <c r="O396" s="11" t="inlineStr">
        <is>
          <t>Revision Pumpspeicher: mobile MS-Einspeisung 10 MVA; PQ-Monitoring Turbinen</t>
        </is>
      </c>
      <c r="P396" s="11" t="inlineStr">
        <is>
          <t>Generator</t>
        </is>
      </c>
      <c r="Q396" s="11" t="n"/>
      <c r="R396" s="11" t="inlineStr">
        <is>
          <t>Adr: Lungern, 6078 OW | Pumpspeicher Lungerersee; Revision = mobiler MS-Bedarf</t>
        </is>
      </c>
      <c r="S396" s="11" t="inlineStr">
        <is>
          <t>Kraftwerk Lungerersee</t>
        </is>
      </c>
    </row>
    <row r="397">
      <c r="A397" s="11" t="n">
        <v>394</v>
      </c>
      <c r="B397" s="11" t="inlineStr">
        <is>
          <t>B</t>
        </is>
      </c>
      <c r="C397" s="11" t="inlineStr">
        <is>
          <t>Spital/Klinik</t>
        </is>
      </c>
      <c r="D397" s="11" t="inlineStr">
        <is>
          <t>Alterszentrum Engelberg</t>
        </is>
      </c>
      <c r="E397" s="11" t="inlineStr">
        <is>
          <t>Engelberg</t>
        </is>
      </c>
      <c r="F397" s="11" t="inlineStr">
        <is>
          <t>6390</t>
        </is>
      </c>
      <c r="G397" s="11" t="inlineStr">
        <is>
          <t>OW</t>
        </is>
      </c>
      <c r="H397" s="11" t="inlineStr">
        <is>
          <t>Betriebsleiter</t>
        </is>
      </c>
      <c r="I397" s="11" t="inlineStr">
        <is>
          <t>Techniker</t>
        </is>
      </c>
      <c r="J397" s="11" t="inlineStr">
        <is>
          <t>info@az-engelberg.ch</t>
        </is>
      </c>
      <c r="K397" s="11" t="inlineStr">
        <is>
          <t>+41 41 639 63 63</t>
        </is>
      </c>
      <c r="L397" s="11" t="n"/>
      <c r="M397" s="11" t="inlineStr">
        <is>
          <t>offen</t>
        </is>
      </c>
      <c r="N397" s="11" t="inlineStr">
        <is>
          <t>Betriebsleiter AZ Engelberg; alpine Isolation OW; NIV Art. 13</t>
        </is>
      </c>
      <c r="O397" s="11" t="inlineStr">
        <is>
          <t>Alterszentrum alpine Lage: NEA 1× 150 kVA; USV; 24h; alpine 1'000 m OW</t>
        </is>
      </c>
      <c r="P397" s="11" t="inlineStr">
        <is>
          <t>USV</t>
        </is>
      </c>
      <c r="Q397" s="11" t="n"/>
      <c r="R397" s="11" t="inlineStr">
        <is>
          <t>Adr: Engelberg, 6390 OW | Alterszentrum alpine 1'000 m; 24h Pflege</t>
        </is>
      </c>
      <c r="S397" s="11" t="inlineStr">
        <is>
          <t>Alterszentrum OW</t>
        </is>
      </c>
    </row>
    <row r="398">
      <c r="A398" s="11" t="n">
        <v>395</v>
      </c>
      <c r="B398" s="11" t="inlineStr">
        <is>
          <t>B</t>
        </is>
      </c>
      <c r="C398" s="11" t="inlineStr">
        <is>
          <t>Elektroplaner/Engineering</t>
        </is>
      </c>
      <c r="D398" s="11" t="inlineStr">
        <is>
          <t>Elektro Burch AG (Sarnen OW)</t>
        </is>
      </c>
      <c r="E398" s="11" t="inlineStr">
        <is>
          <t>Sarnen</t>
        </is>
      </c>
      <c r="F398" s="11" t="inlineStr">
        <is>
          <t>6060</t>
        </is>
      </c>
      <c r="G398" s="11" t="inlineStr">
        <is>
          <t>OW</t>
        </is>
      </c>
      <c r="H398" s="11" t="inlineStr">
        <is>
          <t>Inhaber</t>
        </is>
      </c>
      <c r="I398" s="11" t="inlineStr">
        <is>
          <t>Elektroinstallateur EFZ</t>
        </is>
      </c>
      <c r="J398" s="11" t="inlineStr">
        <is>
          <t>info@burch-elektro.ch</t>
        </is>
      </c>
      <c r="K398" s="11" t="inlineStr">
        <is>
          <t>+41 41 660 38 38</t>
        </is>
      </c>
      <c r="L398" s="11" t="n"/>
      <c r="M398" s="11" t="inlineStr">
        <is>
          <t>offen</t>
        </is>
      </c>
      <c r="N398" s="11" t="inlineStr">
        <is>
          <t>Inhaber Elektro Burch Sarnen; Partnerschaft OW besprechen</t>
        </is>
      </c>
      <c r="O398" s="11" t="inlineStr">
        <is>
          <t>Elektrounternehmen Sarnen: Industrie+Gewerbe; OW-Marktkenntnis Sarnen-Region</t>
        </is>
      </c>
      <c r="P398" s="11" t="n"/>
      <c r="Q398" s="11" t="n"/>
      <c r="R398" s="11" t="inlineStr">
        <is>
          <t>Adr: Sarnen, 6060 OW | Elektrounternehmen OW; Türöffner KSOW+Titlis</t>
        </is>
      </c>
      <c r="S398" s="11" t="inlineStr">
        <is>
          <t>Elektrounternehmen OW</t>
        </is>
      </c>
    </row>
    <row r="399">
      <c r="A399" s="11" t="n">
        <v>396</v>
      </c>
      <c r="B399" s="11" t="inlineStr">
        <is>
          <t>C</t>
        </is>
      </c>
      <c r="C399" s="11" t="inlineStr">
        <is>
          <t>Gemeinde/Öffentlich</t>
        </is>
      </c>
      <c r="D399" s="11" t="inlineStr">
        <is>
          <t>[MiT OW-Kältekunde Nr. 2]</t>
        </is>
      </c>
      <c r="E399" s="11" t="inlineStr">
        <is>
          <t>Engelberg</t>
        </is>
      </c>
      <c r="F399" s="11" t="inlineStr">
        <is>
          <t>6390</t>
        </is>
      </c>
      <c r="G399" s="11" t="inlineStr">
        <is>
          <t>OW</t>
        </is>
      </c>
      <c r="H399" s="11" t="inlineStr">
        <is>
          <t>Energieverantwortlicher</t>
        </is>
      </c>
      <c r="I399" s="11" t="inlineStr">
        <is>
          <t>Betriebsleiter</t>
        </is>
      </c>
      <c r="J399" s="11" t="n"/>
      <c r="K399" s="11" t="inlineStr">
        <is>
          <t>(MiT-CRM)</t>
        </is>
      </c>
      <c r="L399" s="11" t="n"/>
      <c r="M399" s="11" t="inlineStr">
        <is>
          <t>offen</t>
        </is>
      </c>
      <c r="N399" s="11" t="inlineStr">
        <is>
          <t>MiT-CRM Roberto/Stefan: OW-Kunden ohne Strom prüfen</t>
        </is>
      </c>
      <c r="O399" s="11" t="inlineStr">
        <is>
          <t>Strom-Add-on MiT-Wärme/Kälte OW</t>
        </is>
      </c>
      <c r="P399" s="11" t="n"/>
      <c r="Q399" s="11" t="n"/>
      <c r="R399" s="11" t="inlineStr">
        <is>
          <t>Titlis 1 Mio. Besucher + Franke Coffee Sachseln = schnellste Warmleads OW</t>
        </is>
      </c>
      <c r="S399" s="11" t="inlineStr">
        <is>
          <t>Cross-Sell MiT</t>
        </is>
      </c>
    </row>
    <row r="400">
      <c r="A400" s="11" t="n">
        <v>397</v>
      </c>
      <c r="B400" s="11" t="inlineStr">
        <is>
          <t>A</t>
        </is>
      </c>
      <c r="C400" s="11" t="inlineStr">
        <is>
          <t>EVU/Netzbetreiber</t>
        </is>
      </c>
      <c r="D400" s="11" t="inlineStr">
        <is>
          <t>SAK AG – St.Gallisch-Appenzellische Kraftwerke</t>
        </is>
      </c>
      <c r="E400" s="11" t="inlineStr">
        <is>
          <t>St. Gallen</t>
        </is>
      </c>
      <c r="F400" s="11" t="inlineStr">
        <is>
          <t>9001</t>
        </is>
      </c>
      <c r="G400" s="11" t="inlineStr">
        <is>
          <t>SG</t>
        </is>
      </c>
      <c r="H400" s="11" t="inlineStr">
        <is>
          <t>Leiter Netzbetrieb</t>
        </is>
      </c>
      <c r="I400" s="11" t="inlineStr">
        <is>
          <t>Dipl. El.-Ing.</t>
        </is>
      </c>
      <c r="J400" s="11" t="inlineStr">
        <is>
          <t>info@sak.ch</t>
        </is>
      </c>
      <c r="K400" s="11" t="inlineStr">
        <is>
          <t>+41 71 229 51 51</t>
        </is>
      </c>
      <c r="L400" s="11" t="n"/>
      <c r="M400" s="11" t="inlineStr">
        <is>
          <t>offen</t>
        </is>
      </c>
      <c r="N400" s="11" t="inlineStr">
        <is>
          <t>Netzbetrieb SAK SG + Revisionskalender anfragen</t>
        </is>
      </c>
      <c r="O400" s="11" t="inlineStr">
        <is>
          <t>MS/HS-Revisionen SG+AR+AI; 260'000 Kunden; 460 MA; Unterwerke</t>
        </is>
      </c>
      <c r="P400" s="11" t="inlineStr">
        <is>
          <t>BESS</t>
        </is>
      </c>
      <c r="Q400" s="11" t="n"/>
      <c r="R400" s="11" t="inlineStr">
        <is>
          <t>Vadianstrasse 50, 9001 St. Gallen; SAK = EVU SG+AR+AI</t>
        </is>
      </c>
      <c r="S400" s="11" t="inlineStr">
        <is>
          <t>Kantonaler Versorger</t>
        </is>
      </c>
    </row>
    <row r="401">
      <c r="A401" s="11" t="n">
        <v>398</v>
      </c>
      <c r="B401" s="11" t="inlineStr">
        <is>
          <t>A</t>
        </is>
      </c>
      <c r="C401" s="11" t="inlineStr">
        <is>
          <t>EVU/Netzbetreiber</t>
        </is>
      </c>
      <c r="D401" s="11" t="inlineStr">
        <is>
          <t>Stadtwerk St. Gallen (sgsw)</t>
        </is>
      </c>
      <c r="E401" s="11" t="inlineStr">
        <is>
          <t>St. Gallen</t>
        </is>
      </c>
      <c r="F401" s="11" t="inlineStr">
        <is>
          <t>9001</t>
        </is>
      </c>
      <c r="G401" s="11" t="inlineStr">
        <is>
          <t>SG</t>
        </is>
      </c>
      <c r="H401" s="11" t="inlineStr">
        <is>
          <t>Betriebsleiter Netz</t>
        </is>
      </c>
      <c r="I401" s="11" t="inlineStr">
        <is>
          <t>Betriebsing.</t>
        </is>
      </c>
      <c r="J401" s="11" t="inlineStr">
        <is>
          <t>info@sgsw.ch</t>
        </is>
      </c>
      <c r="K401" s="11" t="inlineStr">
        <is>
          <t>+41 71 224 44 44</t>
        </is>
      </c>
      <c r="L401" s="11" t="n"/>
      <c r="M401" s="11" t="inlineStr">
        <is>
          <t>offen</t>
        </is>
      </c>
      <c r="N401" s="11" t="inlineStr">
        <is>
          <t>Betriebsleiter Netz sgsw SG</t>
        </is>
      </c>
      <c r="O401" s="11" t="inlineStr">
        <is>
          <t>Stadtversorgung SG; MS-Revisionen; NEA Stadtgebäude; Wärme</t>
        </is>
      </c>
      <c r="P401" s="11" t="inlineStr">
        <is>
          <t>Wärme</t>
        </is>
      </c>
      <c r="Q401" s="11" t="n"/>
      <c r="R401" s="11" t="inlineStr">
        <is>
          <t>Vadianstrasse 16, 9000 St. Gallen; Strom+Gas+Wärme</t>
        </is>
      </c>
      <c r="S401" s="11" t="inlineStr">
        <is>
          <t>Stadtwerk</t>
        </is>
      </c>
    </row>
    <row r="402">
      <c r="A402" s="11" t="n">
        <v>399</v>
      </c>
      <c r="B402" s="11" t="inlineStr">
        <is>
          <t>A</t>
        </is>
      </c>
      <c r="C402" s="11" t="inlineStr">
        <is>
          <t>EVU/Netzbetreiber</t>
        </is>
      </c>
      <c r="D402" s="11" t="inlineStr">
        <is>
          <t>Technische Betriebe Gossau TBG</t>
        </is>
      </c>
      <c r="E402" s="11" t="inlineStr">
        <is>
          <t>Gossau</t>
        </is>
      </c>
      <c r="F402" s="11" t="inlineStr">
        <is>
          <t>9200</t>
        </is>
      </c>
      <c r="G402" s="11" t="inlineStr">
        <is>
          <t>SG</t>
        </is>
      </c>
      <c r="H402" s="11" t="inlineStr">
        <is>
          <t>Betriebsleiter</t>
        </is>
      </c>
      <c r="I402" s="11" t="inlineStr">
        <is>
          <t>Betriebsing.</t>
        </is>
      </c>
      <c r="J402" s="11" t="inlineStr">
        <is>
          <t>info@tbg.ch</t>
        </is>
      </c>
      <c r="K402" s="11" t="inlineStr">
        <is>
          <t>+41 71 388 81 11</t>
        </is>
      </c>
      <c r="L402" s="11" t="n"/>
      <c r="M402" s="11" t="inlineStr">
        <is>
          <t>offen</t>
        </is>
      </c>
      <c r="N402" s="11" t="inlineStr">
        <is>
          <t>Betriebsleiter TBG Gossau</t>
        </is>
      </c>
      <c r="O402" s="11" t="inlineStr">
        <is>
          <t>MS-Revisionen Gossau; NEA kommunale Gebäude</t>
        </is>
      </c>
      <c r="P402" s="11" t="n"/>
      <c r="Q402" s="11" t="n"/>
      <c r="R402" s="11" t="inlineStr">
        <is>
          <t>Zürcherstrasse 6, 9200 Gossau; EVU Gossau-Region</t>
        </is>
      </c>
      <c r="S402" s="11" t="inlineStr">
        <is>
          <t>Stadtwerk</t>
        </is>
      </c>
    </row>
    <row r="403">
      <c r="A403" s="11" t="n">
        <v>400</v>
      </c>
      <c r="B403" s="11" t="inlineStr">
        <is>
          <t>A</t>
        </is>
      </c>
      <c r="C403" s="11" t="inlineStr">
        <is>
          <t>Spital/Klinik</t>
        </is>
      </c>
      <c r="D403" s="11" t="inlineStr">
        <is>
          <t>Kantonsspital St. Gallen (KSSG)</t>
        </is>
      </c>
      <c r="E403" s="11" t="inlineStr">
        <is>
          <t>St. Gallen</t>
        </is>
      </c>
      <c r="F403" s="11" t="inlineStr">
        <is>
          <t>9007</t>
        </is>
      </c>
      <c r="G403" s="11" t="inlineStr">
        <is>
          <t>SG</t>
        </is>
      </c>
      <c r="H403" s="11" t="inlineStr">
        <is>
          <t>Betriebsleiter Technik</t>
        </is>
      </c>
      <c r="I403" s="11" t="inlineStr">
        <is>
          <t>MSc El.-Ing.</t>
        </is>
      </c>
      <c r="J403" s="11" t="inlineStr">
        <is>
          <t>info@kssg.ch</t>
        </is>
      </c>
      <c r="K403" s="11" t="inlineStr">
        <is>
          <t>+41 71 494 11 11</t>
        </is>
      </c>
      <c r="L403" s="11" t="n"/>
      <c r="M403" s="11" t="inlineStr">
        <is>
          <t>offen</t>
        </is>
      </c>
      <c r="N403" s="11" t="inlineStr">
        <is>
          <t>Betriebsleiter Technik KSSG; NIV Art. 13; Neubauten</t>
        </is>
      </c>
      <c r="O403" s="11" t="inlineStr">
        <is>
          <t>NEA 4× 500 kVA Pflicht; USV OP/ICU; universitär; 7'200 MA; Neubauten</t>
        </is>
      </c>
      <c r="P403" s="11" t="inlineStr">
        <is>
          <t>USV</t>
        </is>
      </c>
      <c r="Q403" s="11" t="n"/>
      <c r="R403" s="11" t="inlineStr">
        <is>
          <t>Rorschacher Strasse 95, 9007 St. Gallen; 7'200 MA; Neubauten</t>
        </is>
      </c>
      <c r="S403" s="11" t="inlineStr">
        <is>
          <t>Kantonsspital</t>
        </is>
      </c>
    </row>
    <row r="404">
      <c r="A404" s="11" t="n">
        <v>401</v>
      </c>
      <c r="B404" s="11" t="inlineStr">
        <is>
          <t>A</t>
        </is>
      </c>
      <c r="C404" s="11" t="inlineStr">
        <is>
          <t>Spital/Klinik</t>
        </is>
      </c>
      <c r="D404" s="11" t="inlineStr">
        <is>
          <t>Spital Grabs – SRFT Gruppe</t>
        </is>
      </c>
      <c r="E404" s="11" t="inlineStr">
        <is>
          <t>Grabs</t>
        </is>
      </c>
      <c r="F404" s="11" t="inlineStr">
        <is>
          <t>9472</t>
        </is>
      </c>
      <c r="G404" s="11" t="inlineStr">
        <is>
          <t>SG</t>
        </is>
      </c>
      <c r="H404" s="11" t="inlineStr">
        <is>
          <t>Betriebsleiter</t>
        </is>
      </c>
      <c r="I404" s="11" t="inlineStr">
        <is>
          <t>Techniker</t>
        </is>
      </c>
      <c r="J404" s="11" t="inlineStr">
        <is>
          <t>info@srft.ch</t>
        </is>
      </c>
      <c r="K404" s="11" t="inlineStr">
        <is>
          <t>+41 81 772 21 21</t>
        </is>
      </c>
      <c r="L404" s="11" t="n"/>
      <c r="M404" s="11" t="inlineStr">
        <is>
          <t>offen</t>
        </is>
      </c>
      <c r="N404" s="11" t="inlineStr">
        <is>
          <t>Betriebsleiter Spital Grabs + SRFT-Verbund</t>
        </is>
      </c>
      <c r="O404" s="11" t="inlineStr">
        <is>
          <t>NEA 1× 400 kVA Pflicht; USV; ländliche Lage Rheintal</t>
        </is>
      </c>
      <c r="P404" s="11" t="inlineStr">
        <is>
          <t>USV</t>
        </is>
      </c>
      <c r="Q404" s="11" t="n"/>
      <c r="R404" s="11" t="inlineStr">
        <is>
          <t>Spitalstrasse, 9472 Grabs; Rheintal</t>
        </is>
      </c>
      <c r="S404" s="11" t="inlineStr">
        <is>
          <t>Kantonsspital</t>
        </is>
      </c>
    </row>
    <row r="405">
      <c r="A405" s="11" t="n">
        <v>402</v>
      </c>
      <c r="B405" s="11" t="inlineStr">
        <is>
          <t>A</t>
        </is>
      </c>
      <c r="C405" s="11" t="inlineStr">
        <is>
          <t>Spital/Klinik</t>
        </is>
      </c>
      <c r="D405" s="11" t="inlineStr">
        <is>
          <t>Spital Wattwil – SRFT Gruppe</t>
        </is>
      </c>
      <c r="E405" s="11" t="inlineStr">
        <is>
          <t>Wattwil</t>
        </is>
      </c>
      <c r="F405" s="11" t="inlineStr">
        <is>
          <t>9630</t>
        </is>
      </c>
      <c r="G405" s="11" t="inlineStr">
        <is>
          <t>SG</t>
        </is>
      </c>
      <c r="H405" s="11" t="inlineStr">
        <is>
          <t>Betriebsleiter</t>
        </is>
      </c>
      <c r="I405" s="11" t="inlineStr">
        <is>
          <t>Techniker</t>
        </is>
      </c>
      <c r="J405" s="11" t="inlineStr">
        <is>
          <t>info@srft.ch</t>
        </is>
      </c>
      <c r="K405" s="11" t="inlineStr">
        <is>
          <t>+41 71 987 11 11</t>
        </is>
      </c>
      <c r="L405" s="11" t="n"/>
      <c r="M405" s="11" t="inlineStr">
        <is>
          <t>offen</t>
        </is>
      </c>
      <c r="N405" s="11" t="inlineStr">
        <is>
          <t>Betriebsleiter Spital Wattwil</t>
        </is>
      </c>
      <c r="O405" s="11" t="inlineStr">
        <is>
          <t>NEA 1× 350 kVA Pflicht; USV; Toggenburg Lage</t>
        </is>
      </c>
      <c r="P405" s="11" t="inlineStr">
        <is>
          <t>USV</t>
        </is>
      </c>
      <c r="Q405" s="11" t="n"/>
      <c r="R405" s="11" t="inlineStr">
        <is>
          <t>Spitalstrasse 44, 9630 Wattwil; Toggenburg</t>
        </is>
      </c>
      <c r="S405" s="11" t="inlineStr">
        <is>
          <t>Kantonsspital</t>
        </is>
      </c>
    </row>
    <row r="406">
      <c r="A406" s="11" t="n">
        <v>403</v>
      </c>
      <c r="B406" s="11" t="inlineStr">
        <is>
          <t>A</t>
        </is>
      </c>
      <c r="C406" s="11" t="inlineStr">
        <is>
          <t>Pharma/Chemie</t>
        </is>
      </c>
      <c r="D406" s="11" t="inlineStr">
        <is>
          <t>Rieter AG – Werk Ingolstadt / Uzwil SG</t>
        </is>
      </c>
      <c r="E406" s="11" t="inlineStr">
        <is>
          <t>Uzwil</t>
        </is>
      </c>
      <c r="F406" s="11" t="inlineStr">
        <is>
          <t>9240</t>
        </is>
      </c>
      <c r="G406" s="11" t="inlineStr">
        <is>
          <t>SG</t>
        </is>
      </c>
      <c r="H406" s="11" t="inlineStr">
        <is>
          <t>Betriebsleiter Elektro</t>
        </is>
      </c>
      <c r="I406" s="11" t="inlineStr">
        <is>
          <t>Dipl. El.-Ing.</t>
        </is>
      </c>
      <c r="J406" s="11" t="inlineStr">
        <is>
          <t>info@rieter.com</t>
        </is>
      </c>
      <c r="K406" s="11" t="inlineStr">
        <is>
          <t>+41 71 955 11 11</t>
        </is>
      </c>
      <c r="L406" s="11" t="n"/>
      <c r="M406" s="11" t="inlineStr">
        <is>
          <t>offen</t>
        </is>
      </c>
      <c r="N406" s="11" t="inlineStr">
        <is>
          <t>Energieverantwortlichen Rieter Uzwil</t>
        </is>
      </c>
      <c r="O406" s="11" t="inlineStr">
        <is>
          <t>Textilmaschinen: FU-Prüfstände 1 MVA; EMV; Spinnereimaschinen</t>
        </is>
      </c>
      <c r="P406" s="11" t="n"/>
      <c r="Q406" s="11" t="n"/>
      <c r="R406" s="11" t="inlineStr">
        <is>
          <t>Klosterstrasse 20, 9240 Uzwil; Weltmarktführer Spinnereimaschinen</t>
        </is>
      </c>
      <c r="S406" s="11" t="inlineStr">
        <is>
          <t>Textilmaschinen</t>
        </is>
      </c>
    </row>
    <row r="407">
      <c r="A407" s="11" t="n">
        <v>404</v>
      </c>
      <c r="B407" s="11" t="inlineStr">
        <is>
          <t>A</t>
        </is>
      </c>
      <c r="C407" s="11" t="inlineStr">
        <is>
          <t>Pharma/Chemie</t>
        </is>
      </c>
      <c r="D407" s="11" t="inlineStr">
        <is>
          <t>Bühler AG – HQ Uzwil SG</t>
        </is>
      </c>
      <c r="E407" s="11" t="inlineStr">
        <is>
          <t>Uzwil</t>
        </is>
      </c>
      <c r="F407" s="11" t="inlineStr">
        <is>
          <t>9240</t>
        </is>
      </c>
      <c r="G407" s="11" t="inlineStr">
        <is>
          <t>SG</t>
        </is>
      </c>
      <c r="H407" s="11" t="inlineStr">
        <is>
          <t>Energiemanager</t>
        </is>
      </c>
      <c r="I407" s="11" t="inlineStr">
        <is>
          <t>MSc El.-Ing.</t>
        </is>
      </c>
      <c r="J407" s="11" t="inlineStr">
        <is>
          <t>info@buhlergroup.com</t>
        </is>
      </c>
      <c r="K407" s="11" t="inlineStr">
        <is>
          <t>+41 71 955 11 11</t>
        </is>
      </c>
      <c r="L407" s="11" t="n"/>
      <c r="M407" s="11" t="inlineStr">
        <is>
          <t>offen</t>
        </is>
      </c>
      <c r="N407" s="11" t="inlineStr">
        <is>
          <t>Energiemanager Bühler Uzwil identifizieren</t>
        </is>
      </c>
      <c r="O407" s="11" t="inlineStr">
        <is>
          <t>Mühlenmaschinen: FU-Prüfstände 2 MVA; EMV; ISO 50001</t>
        </is>
      </c>
      <c r="P407" s="11" t="n"/>
      <c r="Q407" s="11" t="n"/>
      <c r="R407" s="11" t="inlineStr">
        <is>
          <t>Gupfenstrasse 5, 9240 Uzwil; Weltmarktführer Mühlen; 14'000 MA</t>
        </is>
      </c>
      <c r="S407" s="11" t="inlineStr">
        <is>
          <t>Lebensmittel</t>
        </is>
      </c>
    </row>
    <row r="408">
      <c r="A408" s="11" t="n">
        <v>405</v>
      </c>
      <c r="B408" s="11" t="inlineStr">
        <is>
          <t>A</t>
        </is>
      </c>
      <c r="C408" s="11" t="inlineStr">
        <is>
          <t>Pharma/Chemie</t>
        </is>
      </c>
      <c r="D408" s="11" t="inlineStr">
        <is>
          <t>Groz-Beckert KG – Werk Senn</t>
        </is>
      </c>
      <c r="E408" s="11" t="inlineStr">
        <is>
          <t>St. Georgen / SG</t>
        </is>
      </c>
      <c r="F408" s="11" t="inlineStr">
        <is>
          <t>9000</t>
        </is>
      </c>
      <c r="G408" s="11" t="inlineStr">
        <is>
          <t>SG</t>
        </is>
      </c>
      <c r="H408" s="11" t="inlineStr">
        <is>
          <t>Betriebsleiter Elektro</t>
        </is>
      </c>
      <c r="I408" s="11" t="inlineStr">
        <is>
          <t>Dipl. El.-Ing.</t>
        </is>
      </c>
      <c r="J408" s="11" t="inlineStr">
        <is>
          <t>info@groz-beckert.com</t>
        </is>
      </c>
      <c r="K408" s="11" t="inlineStr">
        <is>
          <t>+41 71 844 00 00</t>
        </is>
      </c>
      <c r="L408" s="11" t="n"/>
      <c r="M408" s="11" t="inlineStr">
        <is>
          <t>offen</t>
        </is>
      </c>
      <c r="N408" s="11" t="inlineStr">
        <is>
          <t>Betriebsleiter identifizieren</t>
        </is>
      </c>
      <c r="O408" s="11" t="inlineStr">
        <is>
          <t>Textilindustrie: FU-Antriebe; Prüfstände; EMV; St. Georgen</t>
        </is>
      </c>
      <c r="P408" s="11" t="n"/>
      <c r="Q408" s="11" t="n"/>
      <c r="R408" s="11" t="inlineStr">
        <is>
          <t>St. Georgen SG; Textilmaschinenzubehör Weltmarkt</t>
        </is>
      </c>
      <c r="S408" s="11" t="inlineStr">
        <is>
          <t>Textilmaschinen</t>
        </is>
      </c>
    </row>
    <row r="409">
      <c r="A409" s="11" t="n">
        <v>406</v>
      </c>
      <c r="B409" s="11" t="inlineStr">
        <is>
          <t>A</t>
        </is>
      </c>
      <c r="C409" s="11" t="inlineStr">
        <is>
          <t>Bau/Infrastruktur</t>
        </is>
      </c>
      <c r="D409" s="11" t="inlineStr">
        <is>
          <t>ARA St. Gallen (ARA Morgental)</t>
        </is>
      </c>
      <c r="E409" s="11" t="inlineStr">
        <is>
          <t>St. Gallen</t>
        </is>
      </c>
      <c r="F409" s="11" t="inlineStr">
        <is>
          <t>9000</t>
        </is>
      </c>
      <c r="G409" s="11" t="inlineStr">
        <is>
          <t>SG</t>
        </is>
      </c>
      <c r="H409" s="11" t="inlineStr">
        <is>
          <t>Betriebsleiter</t>
        </is>
      </c>
      <c r="I409" s="11" t="inlineStr">
        <is>
          <t>Techniker</t>
        </is>
      </c>
      <c r="J409" s="11" t="inlineStr">
        <is>
          <t>info@ara-stgallen.ch</t>
        </is>
      </c>
      <c r="K409" s="11" t="inlineStr">
        <is>
          <t>+41 71 274 51 11</t>
        </is>
      </c>
      <c r="L409" s="11" t="n"/>
      <c r="M409" s="11" t="inlineStr">
        <is>
          <t>offen</t>
        </is>
      </c>
      <c r="N409" s="11" t="inlineStr">
        <is>
          <t>Betriebsleiter ARA SG + simap.ch Alert</t>
        </is>
      </c>
      <c r="O409" s="11" t="inlineStr">
        <is>
          <t>NEA-Pflicht 1× 500 kVA; größte ARA SG; Thur-Schutz</t>
        </is>
      </c>
      <c r="P409" s="11" t="inlineStr">
        <is>
          <t>Generator</t>
        </is>
      </c>
      <c r="Q409" s="11" t="n"/>
      <c r="R409" s="11" t="inlineStr">
        <is>
          <t>Morgental; Thur-Schutz; Ausschreibungspflicht</t>
        </is>
      </c>
      <c r="S409" s="11" t="inlineStr">
        <is>
          <t>ARA</t>
        </is>
      </c>
    </row>
    <row r="410">
      <c r="A410" s="11" t="n">
        <v>407</v>
      </c>
      <c r="B410" s="11" t="inlineStr">
        <is>
          <t>A</t>
        </is>
      </c>
      <c r="C410" s="11" t="inlineStr">
        <is>
          <t>Rechenzentrum/IT</t>
        </is>
      </c>
      <c r="D410" s="11" t="inlineStr">
        <is>
          <t>St. Galler Kantonalbank (SGKB)</t>
        </is>
      </c>
      <c r="E410" s="11" t="inlineStr">
        <is>
          <t>St. Gallen</t>
        </is>
      </c>
      <c r="F410" s="11" t="inlineStr">
        <is>
          <t>9001</t>
        </is>
      </c>
      <c r="G410" s="11" t="inlineStr">
        <is>
          <t>SG</t>
        </is>
      </c>
      <c r="H410" s="11" t="inlineStr">
        <is>
          <t>Leiter IT-Infrastruktur</t>
        </is>
      </c>
      <c r="I410" s="11" t="inlineStr">
        <is>
          <t>MSc Informatik</t>
        </is>
      </c>
      <c r="J410" s="11" t="inlineStr">
        <is>
          <t>info@sgkb.ch</t>
        </is>
      </c>
      <c r="K410" s="11" t="inlineStr">
        <is>
          <t>+41 71 231 31 11</t>
        </is>
      </c>
      <c r="L410" s="11" t="n"/>
      <c r="M410" s="11" t="inlineStr">
        <is>
          <t>offen</t>
        </is>
      </c>
      <c r="N410" s="11" t="inlineStr">
        <is>
          <t>IT-Infrastruktur SGKB identifizieren</t>
        </is>
      </c>
      <c r="O410" s="11" t="inlineStr">
        <is>
          <t>RZ USV 2× 200 kVA; NEA; PQ FINMA</t>
        </is>
      </c>
      <c r="P410" s="11" t="inlineStr">
        <is>
          <t>USV</t>
        </is>
      </c>
      <c r="Q410" s="11" t="n"/>
      <c r="R410" s="11" t="inlineStr">
        <is>
          <t>St. Leonhardstrasse 25, 9001 St. Gallen; FINMA</t>
        </is>
      </c>
      <c r="S410" s="11" t="inlineStr">
        <is>
          <t>Kantonalbank</t>
        </is>
      </c>
    </row>
    <row r="411">
      <c r="A411" s="11" t="n">
        <v>408</v>
      </c>
      <c r="B411" s="11" t="inlineStr">
        <is>
          <t>B</t>
        </is>
      </c>
      <c r="C411" s="11" t="inlineStr">
        <is>
          <t>Spital/Klinik</t>
        </is>
      </c>
      <c r="D411" s="11" t="inlineStr">
        <is>
          <t>Klinik Stephanshorn – Hirslanden</t>
        </is>
      </c>
      <c r="E411" s="11" t="inlineStr">
        <is>
          <t>St. Gallen</t>
        </is>
      </c>
      <c r="F411" s="11" t="inlineStr">
        <is>
          <t>9016</t>
        </is>
      </c>
      <c r="G411" s="11" t="inlineStr">
        <is>
          <t>SG</t>
        </is>
      </c>
      <c r="H411" s="11" t="inlineStr">
        <is>
          <t>Betriebsleiter</t>
        </is>
      </c>
      <c r="I411" s="11" t="inlineStr">
        <is>
          <t>Techniker</t>
        </is>
      </c>
      <c r="J411" s="11" t="inlineStr">
        <is>
          <t>info-stephanshorn@hirslanden.ch</t>
        </is>
      </c>
      <c r="K411" s="11" t="inlineStr">
        <is>
          <t>+41 71 282 82 82</t>
        </is>
      </c>
      <c r="L411" s="11" t="n"/>
      <c r="M411" s="11" t="inlineStr">
        <is>
          <t>offen</t>
        </is>
      </c>
      <c r="N411" s="11" t="inlineStr">
        <is>
          <t>Betriebsleiter Stephanshorn</t>
        </is>
      </c>
      <c r="O411" s="11" t="inlineStr">
        <is>
          <t>NEA 1× 350 kVA; USV OP; Privatklinik SG</t>
        </is>
      </c>
      <c r="P411" s="11" t="inlineStr">
        <is>
          <t>USV</t>
        </is>
      </c>
      <c r="Q411" s="11" t="n"/>
      <c r="R411" s="11" t="inlineStr">
        <is>
          <t>Brauerstrasse 95, 9016 St. Gallen; Hirslanden Gruppe</t>
        </is>
      </c>
      <c r="S411" s="11" t="inlineStr">
        <is>
          <t>Privatklinik</t>
        </is>
      </c>
    </row>
    <row r="412">
      <c r="A412" s="11" t="n">
        <v>409</v>
      </c>
      <c r="B412" s="11" t="inlineStr">
        <is>
          <t>B</t>
        </is>
      </c>
      <c r="C412" s="11" t="inlineStr">
        <is>
          <t>Spital/Klinik</t>
        </is>
      </c>
      <c r="D412" s="11" t="inlineStr">
        <is>
          <t>Psychiatrische Dienste SG – Pfalzklinik</t>
        </is>
      </c>
      <c r="E412" s="11" t="inlineStr">
        <is>
          <t>Wil</t>
        </is>
      </c>
      <c r="F412" s="11" t="inlineStr">
        <is>
          <t>9500</t>
        </is>
      </c>
      <c r="G412" s="11" t="inlineStr">
        <is>
          <t>SG</t>
        </is>
      </c>
      <c r="H412" s="11" t="inlineStr">
        <is>
          <t>Betriebsleiter</t>
        </is>
      </c>
      <c r="I412" s="11" t="inlineStr">
        <is>
          <t>Techniker</t>
        </is>
      </c>
      <c r="J412" s="11" t="inlineStr">
        <is>
          <t>info@pfalzklinik.ch</t>
        </is>
      </c>
      <c r="K412" s="11" t="inlineStr">
        <is>
          <t>+41 71 913 11 11</t>
        </is>
      </c>
      <c r="L412" s="11" t="n"/>
      <c r="M412" s="11" t="inlineStr">
        <is>
          <t>offen</t>
        </is>
      </c>
      <c r="N412" s="11" t="inlineStr">
        <is>
          <t>Betriebsleiter Pfalzklinik Wil SG</t>
        </is>
      </c>
      <c r="O412" s="11" t="inlineStr">
        <is>
          <t>NEA + USV; psychiatrisch 24h; Wil SG</t>
        </is>
      </c>
      <c r="P412" s="11" t="inlineStr">
        <is>
          <t>USV</t>
        </is>
      </c>
      <c r="Q412" s="11" t="n"/>
      <c r="R412" s="11" t="inlineStr">
        <is>
          <t>Zürcherstrasse 30, 9500 Wil; psychiatrisch 24h</t>
        </is>
      </c>
      <c r="S412" s="11" t="inlineStr">
        <is>
          <t>Psychiatrie</t>
        </is>
      </c>
    </row>
    <row r="413">
      <c r="A413" s="11" t="n">
        <v>410</v>
      </c>
      <c r="B413" s="11" t="inlineStr">
        <is>
          <t>B</t>
        </is>
      </c>
      <c r="C413" s="11" t="inlineStr">
        <is>
          <t>Events/Messen</t>
        </is>
      </c>
      <c r="D413" s="11" t="inlineStr">
        <is>
          <t>OLMA – Messen St. Gallen</t>
        </is>
      </c>
      <c r="E413" s="11" t="inlineStr">
        <is>
          <t>St. Gallen</t>
        </is>
      </c>
      <c r="F413" s="11" t="inlineStr">
        <is>
          <t>9008</t>
        </is>
      </c>
      <c r="G413" s="11" t="inlineStr">
        <is>
          <t>SG</t>
        </is>
      </c>
      <c r="H413" s="11" t="inlineStr">
        <is>
          <t>Technische Leitung</t>
        </is>
      </c>
      <c r="I413" s="11" t="inlineStr">
        <is>
          <t>Veranstaltungstechniker</t>
        </is>
      </c>
      <c r="J413" s="11" t="inlineStr">
        <is>
          <t>info@olma-messen.ch</t>
        </is>
      </c>
      <c r="K413" s="11" t="inlineStr">
        <is>
          <t>+41 71 242 01 01</t>
        </is>
      </c>
      <c r="L413" s="11" t="n"/>
      <c r="M413" s="11" t="inlineStr">
        <is>
          <t>offen</t>
        </is>
      </c>
      <c r="N413" s="11" t="inlineStr">
        <is>
          <t>Technische Leitung OLMA; Kontakt vor April</t>
        </is>
      </c>
      <c r="O413" s="11" t="inlineStr">
        <is>
          <t>Temporary Power OLMA + Frühlingsmesse 2 MVA; USV Broadcast</t>
        </is>
      </c>
      <c r="P413" s="11" t="inlineStr">
        <is>
          <t>USV</t>
        </is>
      </c>
      <c r="Q413" s="11" t="n"/>
      <c r="R413" s="11" t="inlineStr">
        <is>
          <t>Splügenstrasse 12, 9008 St. Gallen; OLMA = größte Landwirtschaftsmesse CH</t>
        </is>
      </c>
      <c r="S413" s="11" t="inlineStr">
        <is>
          <t>Messe</t>
        </is>
      </c>
    </row>
    <row r="414">
      <c r="A414" s="11" t="n">
        <v>411</v>
      </c>
      <c r="B414" s="11" t="inlineStr">
        <is>
          <t>B</t>
        </is>
      </c>
      <c r="C414" s="11" t="inlineStr">
        <is>
          <t>Pharma/Chemie</t>
        </is>
      </c>
      <c r="D414" s="11" t="inlineStr">
        <is>
          <t>Hamilton Medical AG – Werk Bonaduz</t>
        </is>
      </c>
      <c r="E414" s="11" t="inlineStr">
        <is>
          <t>Bonaduz</t>
        </is>
      </c>
      <c r="F414" s="11" t="inlineStr">
        <is>
          <t>7402</t>
        </is>
      </c>
      <c r="G414" s="11" t="inlineStr">
        <is>
          <t>SG</t>
        </is>
      </c>
      <c r="H414" s="11" t="inlineStr">
        <is>
          <t>Betriebsleiter Technik</t>
        </is>
      </c>
      <c r="I414" s="11" t="inlineStr">
        <is>
          <t>MSc El.-Ing.</t>
        </is>
      </c>
      <c r="J414" s="11" t="inlineStr">
        <is>
          <t>info@hamilton-medical.com</t>
        </is>
      </c>
      <c r="K414" s="11" t="inlineStr">
        <is>
          <t>+41 81 660 60 10</t>
        </is>
      </c>
      <c r="L414" s="11" t="n"/>
      <c r="M414" s="11" t="inlineStr">
        <is>
          <t>offen</t>
        </is>
      </c>
      <c r="N414" s="11" t="inlineStr">
        <is>
          <t>Betriebsleiter Hamilton Medical identifizieren</t>
        </is>
      </c>
      <c r="O414" s="11" t="inlineStr">
        <is>
          <t>Beatmungsgeräte-Produktion: PQ + NEA + USV 200 kVA; GMP</t>
        </is>
      </c>
      <c r="P414" s="11" t="inlineStr">
        <is>
          <t>USV</t>
        </is>
      </c>
      <c r="Q414" s="11" t="n"/>
      <c r="R414" s="11" t="inlineStr">
        <is>
          <t>Via Crusch 8, 7402 Bonaduz; Beatmungsgeräte Weltmarktführer</t>
        </is>
      </c>
      <c r="S414" s="11" t="inlineStr">
        <is>
          <t>Medizinaltechnik</t>
        </is>
      </c>
    </row>
    <row r="415">
      <c r="A415" s="11" t="n">
        <v>412</v>
      </c>
      <c r="B415" s="11" t="inlineStr">
        <is>
          <t>C</t>
        </is>
      </c>
      <c r="C415" s="11" t="inlineStr">
        <is>
          <t>Bau/Infrastruktur</t>
        </is>
      </c>
      <c r="D415" s="11" t="inlineStr">
        <is>
          <t>ARA Altenrhein AG – Bodensee-Schutz</t>
        </is>
      </c>
      <c r="E415" s="11" t="inlineStr">
        <is>
          <t>Altenrhein</t>
        </is>
      </c>
      <c r="F415" s="11" t="inlineStr">
        <is>
          <t>9423</t>
        </is>
      </c>
      <c r="G415" s="11" t="inlineStr">
        <is>
          <t>SG</t>
        </is>
      </c>
      <c r="H415" s="11" t="inlineStr">
        <is>
          <t>Betriebsleiter</t>
        </is>
      </c>
      <c r="I415" s="11" t="inlineStr">
        <is>
          <t>Techniker</t>
        </is>
      </c>
      <c r="J415" s="11" t="inlineStr">
        <is>
          <t>info@ara-altenrhein.ch</t>
        </is>
      </c>
      <c r="K415" s="11" t="inlineStr">
        <is>
          <t>+41 71 858 49 00</t>
        </is>
      </c>
      <c r="L415" s="11" t="n"/>
      <c r="M415" s="11" t="inlineStr">
        <is>
          <t>offen</t>
        </is>
      </c>
      <c r="N415" s="11" t="inlineStr">
        <is>
          <t>Betriebsleiter ARA Altenrhein + simap.ch</t>
        </is>
      </c>
      <c r="O415" s="11" t="inlineStr">
        <is>
          <t>NEA-Pflicht 1× 400 kVA; Bodensee-Schutz; öffentlich</t>
        </is>
      </c>
      <c r="P415" s="11" t="inlineStr">
        <is>
          <t>Generator</t>
        </is>
      </c>
      <c r="Q415" s="11" t="n"/>
      <c r="R415" s="11" t="inlineStr">
        <is>
          <t>Bodensee-Schutz; Ausschreibungspflicht</t>
        </is>
      </c>
      <c r="S415" s="11" t="inlineStr">
        <is>
          <t>ARA</t>
        </is>
      </c>
    </row>
    <row r="416">
      <c r="A416" s="11" t="n">
        <v>413</v>
      </c>
      <c r="B416" s="11" t="inlineStr">
        <is>
          <t>C</t>
        </is>
      </c>
      <c r="C416" s="11" t="inlineStr">
        <is>
          <t>Bau/Infrastruktur</t>
        </is>
      </c>
      <c r="D416" s="11" t="inlineStr">
        <is>
          <t>SBB – Infrastruktur Region Ost SG</t>
        </is>
      </c>
      <c r="E416" s="11" t="inlineStr">
        <is>
          <t>St. Gallen</t>
        </is>
      </c>
      <c r="F416" s="11" t="inlineStr">
        <is>
          <t>9001</t>
        </is>
      </c>
      <c r="G416" s="11" t="inlineStr">
        <is>
          <t>SG</t>
        </is>
      </c>
      <c r="H416" s="11" t="inlineStr">
        <is>
          <t>Leiter Infrastruktur Energie Ost</t>
        </is>
      </c>
      <c r="I416" s="11" t="inlineStr">
        <is>
          <t>MSc El.-Ing.</t>
        </is>
      </c>
      <c r="J416" s="11" t="inlineStr">
        <is>
          <t>kontakt@sbb.ch</t>
        </is>
      </c>
      <c r="K416" s="11" t="inlineStr">
        <is>
          <t>+41 58 333 33 33</t>
        </is>
      </c>
      <c r="L416" s="11" t="n"/>
      <c r="M416" s="11" t="inlineStr">
        <is>
          <t>offen</t>
        </is>
      </c>
      <c r="N416" s="11" t="inlineStr">
        <is>
          <t>simap.ch SBB Ost + Direktkontakt Infra</t>
        </is>
      </c>
      <c r="O416" s="11" t="inlineStr">
        <is>
          <t>Baustellen SG; Revisionen Bahnhof SG; NEA Bahnhöfe</t>
        </is>
      </c>
      <c r="P416" s="11" t="n"/>
      <c r="Q416" s="11" t="n"/>
      <c r="R416" s="11" t="inlineStr">
        <is>
          <t>St. Gallen; SBB Infrastruktur Ost</t>
        </is>
      </c>
      <c r="S416" s="11" t="inlineStr">
        <is>
          <t>Bahn</t>
        </is>
      </c>
    </row>
    <row r="417">
      <c r="A417" s="11" t="n">
        <v>414</v>
      </c>
      <c r="B417" s="11" t="inlineStr">
        <is>
          <t>C</t>
        </is>
      </c>
      <c r="C417" s="11" t="inlineStr">
        <is>
          <t>Gemeinde/Öffentlich</t>
        </is>
      </c>
      <c r="D417" s="11" t="inlineStr">
        <is>
          <t>Kanton St. Gallen – Hochbauamt</t>
        </is>
      </c>
      <c r="E417" s="11" t="inlineStr">
        <is>
          <t>St. Gallen</t>
        </is>
      </c>
      <c r="F417" s="11" t="inlineStr">
        <is>
          <t>9001</t>
        </is>
      </c>
      <c r="G417" s="11" t="inlineStr">
        <is>
          <t>SG</t>
        </is>
      </c>
      <c r="H417" s="11" t="inlineStr">
        <is>
          <t>Leiter Hochbauamt</t>
        </is>
      </c>
      <c r="I417" s="11" t="inlineStr">
        <is>
          <t>Kantonsbauingenieur</t>
        </is>
      </c>
      <c r="J417" s="11" t="inlineStr">
        <is>
          <t>hba@sg.ch</t>
        </is>
      </c>
      <c r="K417" s="11" t="inlineStr">
        <is>
          <t>+41 58 229 37 00</t>
        </is>
      </c>
      <c r="L417" s="11" t="n"/>
      <c r="M417" s="11" t="inlineStr">
        <is>
          <t>offen</t>
        </is>
      </c>
      <c r="N417" s="11" t="inlineStr">
        <is>
          <t>Hochbauamt SG + simap.ch-Alert</t>
        </is>
      </c>
      <c r="O417" s="11" t="inlineStr">
        <is>
          <t>NEA kantonale Gebäude 1–3 MVA; Rahmenvertrag SG</t>
        </is>
      </c>
      <c r="P417" s="11" t="n"/>
      <c r="Q417" s="11" t="n"/>
      <c r="R417" s="11" t="inlineStr">
        <is>
          <t>Lämmlisbrunnenstrasse 54, 9001 St. Gallen; Rahmenvertrag</t>
        </is>
      </c>
      <c r="S417" s="11" t="inlineStr">
        <is>
          <t>Kanton</t>
        </is>
      </c>
    </row>
    <row r="418">
      <c r="A418" s="11" t="n">
        <v>415</v>
      </c>
      <c r="B418" s="11" t="inlineStr">
        <is>
          <t>C</t>
        </is>
      </c>
      <c r="C418" s="11" t="inlineStr">
        <is>
          <t>Gemeinde/Öffentlich</t>
        </is>
      </c>
      <c r="D418" s="11" t="inlineStr">
        <is>
          <t>Stadt St. Gallen – Stadtbauamt</t>
        </is>
      </c>
      <c r="E418" s="11" t="inlineStr">
        <is>
          <t>St. Gallen</t>
        </is>
      </c>
      <c r="F418" s="11" t="inlineStr">
        <is>
          <t>9001</t>
        </is>
      </c>
      <c r="G418" s="11" t="inlineStr">
        <is>
          <t>SG</t>
        </is>
      </c>
      <c r="H418" s="11" t="inlineStr">
        <is>
          <t>Stadtbauingenieur</t>
        </is>
      </c>
      <c r="I418" s="11" t="inlineStr">
        <is>
          <t>Dipl. Ing.</t>
        </is>
      </c>
      <c r="J418" s="11" t="inlineStr">
        <is>
          <t>info@stadt.sg.ch</t>
        </is>
      </c>
      <c r="K418" s="11" t="inlineStr">
        <is>
          <t>+41 71 224 53 10</t>
        </is>
      </c>
      <c r="L418" s="11" t="n"/>
      <c r="M418" s="11" t="inlineStr">
        <is>
          <t>offen</t>
        </is>
      </c>
      <c r="N418" s="11" t="inlineStr">
        <is>
          <t>Stadtbauamt SG + simap.ch</t>
        </is>
      </c>
      <c r="O418" s="11" t="inlineStr">
        <is>
          <t>NEA Stadtgebäude 1 MVA; Rahmenvertrag</t>
        </is>
      </c>
      <c r="P418" s="11" t="n"/>
      <c r="Q418" s="11" t="n"/>
      <c r="R418" s="11" t="inlineStr">
        <is>
          <t>Rathaus, 9001 St. Gallen; Kantonhauptort</t>
        </is>
      </c>
      <c r="S418" s="11" t="inlineStr">
        <is>
          <t>Stadt</t>
        </is>
      </c>
    </row>
    <row r="419">
      <c r="A419" s="11" t="n">
        <v>416</v>
      </c>
      <c r="B419" s="11" t="inlineStr">
        <is>
          <t>C</t>
        </is>
      </c>
      <c r="C419" s="11" t="inlineStr">
        <is>
          <t>Gemeinde/Öffentlich</t>
        </is>
      </c>
      <c r="D419" s="11" t="inlineStr">
        <is>
          <t>[MiT SG-Bestandskunde Wärme/Kälte]</t>
        </is>
      </c>
      <c r="E419" s="11" t="inlineStr">
        <is>
          <t>St. Gallen allg.</t>
        </is>
      </c>
      <c r="F419" s="11" t="inlineStr">
        <is>
          <t>9000</t>
        </is>
      </c>
      <c r="G419" s="11" t="inlineStr">
        <is>
          <t>SG</t>
        </is>
      </c>
      <c r="H419" s="11" t="inlineStr">
        <is>
          <t>Energieverantwortlicher</t>
        </is>
      </c>
      <c r="I419" s="11" t="inlineStr">
        <is>
          <t>Betriebsleiter</t>
        </is>
      </c>
      <c r="J419" s="11" t="n"/>
      <c r="K419" s="11" t="inlineStr">
        <is>
          <t>–</t>
        </is>
      </c>
      <c r="L419" s="11" t="n"/>
      <c r="M419" s="11" t="inlineStr">
        <is>
          <t>offen</t>
        </is>
      </c>
      <c r="N419" s="11" t="inlineStr">
        <is>
          <t>MiT-CRM: SG-Kunden ohne Strom (Roberto/Stefan)</t>
        </is>
      </c>
      <c r="O419" s="11" t="inlineStr">
        <is>
          <t>Strom-Add-on zu MiT Wärme/Kälte SG</t>
        </is>
      </c>
      <c r="P419" s="11" t="inlineStr">
        <is>
          <t>Wärme</t>
        </is>
      </c>
      <c r="Q419" s="11" t="n"/>
      <c r="R419" s="11" t="inlineStr">
        <is>
          <t>Schnellster Weg SG: Warmlead über Bestandsbasis</t>
        </is>
      </c>
      <c r="S419" s="11" t="inlineStr">
        <is>
          <t>Cross-Sell MiT</t>
        </is>
      </c>
    </row>
    <row r="420">
      <c r="A420" s="11" t="n">
        <v>417</v>
      </c>
      <c r="B420" s="11" t="inlineStr">
        <is>
          <t>A</t>
        </is>
      </c>
      <c r="C420" s="11" t="inlineStr">
        <is>
          <t>Pharma/Chemie</t>
        </is>
      </c>
      <c r="D420" s="11" t="inlineStr">
        <is>
          <t>Rieter AG (Werk St. Gallen)</t>
        </is>
      </c>
      <c r="E420" s="11" t="inlineStr">
        <is>
          <t>Winterthur</t>
        </is>
      </c>
      <c r="F420" s="11" t="inlineStr">
        <is>
          <t>8406</t>
        </is>
      </c>
      <c r="G420" s="11" t="inlineStr">
        <is>
          <t>SG</t>
        </is>
      </c>
      <c r="H420" s="11" t="inlineStr">
        <is>
          <t>Betriebsleiter Elektro</t>
        </is>
      </c>
      <c r="I420" s="11" t="inlineStr">
        <is>
          <t>Dipl. El.-Ing.</t>
        </is>
      </c>
      <c r="J420" s="11" t="inlineStr">
        <is>
          <t>info@rieter.com</t>
        </is>
      </c>
      <c r="K420" s="11" t="inlineStr">
        <is>
          <t>+41 71 228 51 11</t>
        </is>
      </c>
      <c r="L420" s="11" t="n"/>
      <c r="M420" s="11" t="inlineStr">
        <is>
          <t>offen</t>
        </is>
      </c>
      <c r="N420" s="11" t="inlineStr">
        <is>
          <t>Betriebsleiter Rieter SG; FU-PQ-Pitch SG</t>
        </is>
      </c>
      <c r="O420" s="11" t="inlineStr">
        <is>
          <t>Spinnereimaschinen: FU-Prüfstände 1 MVA; PQ; EMV; 4'800 MA ww; SG-Standort</t>
        </is>
      </c>
      <c r="P420" s="11" t="n"/>
      <c r="Q420" s="11" t="n"/>
      <c r="R420" s="11" t="inlineStr">
        <is>
          <t>Adr: St. Gallen SG | Rieter Werk SG; FU-Prüfstände intensiv</t>
        </is>
      </c>
      <c r="S420" s="11" t="inlineStr">
        <is>
          <t>Textil/Maschinen</t>
        </is>
      </c>
    </row>
    <row r="421">
      <c r="A421" s="11" t="n">
        <v>418</v>
      </c>
      <c r="B421" s="11" t="inlineStr">
        <is>
          <t>A</t>
        </is>
      </c>
      <c r="C421" s="11" t="inlineStr">
        <is>
          <t>Pharma/Chemie</t>
        </is>
      </c>
      <c r="D421" s="11" t="inlineStr">
        <is>
          <t>Archroma Management LLC (SG-Region)</t>
        </is>
      </c>
      <c r="E421" s="11" t="inlineStr">
        <is>
          <t>Reinach</t>
        </is>
      </c>
      <c r="F421" s="11" t="inlineStr">
        <is>
          <t>4153</t>
        </is>
      </c>
      <c r="G421" s="11" t="inlineStr">
        <is>
          <t>SG</t>
        </is>
      </c>
      <c r="H421" s="11" t="inlineStr">
        <is>
          <t>Energiemanager</t>
        </is>
      </c>
      <c r="I421" s="11" t="inlineStr">
        <is>
          <t>MSc Chemie</t>
        </is>
      </c>
      <c r="J421" s="11" t="inlineStr">
        <is>
          <t>info@archroma.com</t>
        </is>
      </c>
      <c r="K421" s="11" t="inlineStr">
        <is>
          <t>+41 61 716 61 11</t>
        </is>
      </c>
      <c r="L421" s="11" t="n"/>
      <c r="M421" s="11" t="inlineStr">
        <is>
          <t>offen</t>
        </is>
      </c>
      <c r="N421" s="11" t="inlineStr">
        <is>
          <t>Energiemanager Archroma SG; FU-PQ-Pitch</t>
        </is>
      </c>
      <c r="O421" s="11" t="inlineStr">
        <is>
          <t>Textilchemie: NEA 1 MVA; FU-Reaktoren; PQ; EMV; ISO 50001; CHF 1.5 Mrd.</t>
        </is>
      </c>
      <c r="P421" s="11" t="n"/>
      <c r="Q421" s="11" t="n"/>
      <c r="R421" s="11" t="inlineStr">
        <is>
          <t>Adr: SG-Region | Archroma Textilchemie; FU-Reaktoren; ISO 50001</t>
        </is>
      </c>
      <c r="S421" s="11" t="inlineStr">
        <is>
          <t>Textil/Chemie</t>
        </is>
      </c>
    </row>
    <row r="422">
      <c r="A422" s="11" t="n">
        <v>419</v>
      </c>
      <c r="B422" s="11" t="inlineStr">
        <is>
          <t>A</t>
        </is>
      </c>
      <c r="C422" s="11" t="inlineStr">
        <is>
          <t>Industrie/Maschinenbau</t>
        </is>
      </c>
      <c r="D422" s="11" t="inlineStr">
        <is>
          <t>Bühler Group (Werk Uzwil SG)</t>
        </is>
      </c>
      <c r="E422" s="11" t="inlineStr">
        <is>
          <t>Uzwil</t>
        </is>
      </c>
      <c r="F422" s="11" t="inlineStr">
        <is>
          <t>9240</t>
        </is>
      </c>
      <c r="G422" s="11" t="inlineStr">
        <is>
          <t>SG</t>
        </is>
      </c>
      <c r="H422" s="11" t="inlineStr">
        <is>
          <t>Betriebsleiter Elektro</t>
        </is>
      </c>
      <c r="I422" s="11" t="inlineStr">
        <is>
          <t>MSc El.-Ing.</t>
        </is>
      </c>
      <c r="J422" s="11" t="inlineStr">
        <is>
          <t>info@buhlergroup.com</t>
        </is>
      </c>
      <c r="K422" s="11" t="inlineStr">
        <is>
          <t>+41 71 955 11 11</t>
        </is>
      </c>
      <c r="L422" s="11" t="n"/>
      <c r="M422" s="11" t="inlineStr">
        <is>
          <t>offen</t>
        </is>
      </c>
      <c r="N422" s="11" t="inlineStr">
        <is>
          <t>Betriebsleiter Bühler; Gupfenstrasse 5 Uzwil SG; FU-PQ-Pitch</t>
        </is>
      </c>
      <c r="O422" s="11" t="inlineStr">
        <is>
          <t>Verpackungsmaschinen + Mühlen: Prüfstände 2 MVA; PQ; EMV; 13'000 MA ww; CHF 3.5 Mrd.</t>
        </is>
      </c>
      <c r="P422" s="11" t="n"/>
      <c r="Q422" s="11" t="n"/>
      <c r="R422" s="11" t="inlineStr">
        <is>
          <t>Adr: Gupfenstrasse 5, 9240 Uzwil | Bühler Weltmarktführer; 13'000 MA ww; Prüfstände</t>
        </is>
      </c>
      <c r="S422" s="11" t="inlineStr">
        <is>
          <t>Verpackungsmaschinen</t>
        </is>
      </c>
    </row>
    <row r="423">
      <c r="A423" s="11" t="n">
        <v>420</v>
      </c>
      <c r="B423" s="11" t="inlineStr">
        <is>
          <t>A</t>
        </is>
      </c>
      <c r="C423" s="11" t="inlineStr">
        <is>
          <t>EVU/Netzbetreiber</t>
        </is>
      </c>
      <c r="D423" s="11" t="inlineStr">
        <is>
          <t>Sankt Galler Stadtwerke (sgsw)</t>
        </is>
      </c>
      <c r="E423" s="11" t="inlineStr">
        <is>
          <t>St. Gallen</t>
        </is>
      </c>
      <c r="F423" s="11" t="inlineStr">
        <is>
          <t>9001</t>
        </is>
      </c>
      <c r="G423" s="11" t="inlineStr">
        <is>
          <t>SG</t>
        </is>
      </c>
      <c r="H423" s="11" t="inlineStr">
        <is>
          <t>Betriebsleiter Netz</t>
        </is>
      </c>
      <c r="I423" s="11" t="inlineStr">
        <is>
          <t>Dipl. El.-Ing.</t>
        </is>
      </c>
      <c r="J423" s="11" t="inlineStr">
        <is>
          <t>info@sgsw.ch</t>
        </is>
      </c>
      <c r="K423" s="11" t="inlineStr">
        <is>
          <t>+41 71 224 82 12</t>
        </is>
      </c>
      <c r="L423" s="11" t="n"/>
      <c r="M423" s="11" t="inlineStr">
        <is>
          <t>offen</t>
        </is>
      </c>
      <c r="N423" s="11" t="inlineStr">
        <is>
          <t>Betriebsleiter sgsw; Vadianstrasse 6 St. Gallen; simap.ch Alert SG</t>
        </is>
      </c>
      <c r="O423" s="11" t="inlineStr">
        <is>
          <t>Stadtwerk SG: 70'000 Kunden; MS-Revisionen; BESS; Strom+Gas+Wasser+Wärme</t>
        </is>
      </c>
      <c r="P423" s="11" t="inlineStr">
        <is>
          <t>BESS</t>
        </is>
      </c>
      <c r="Q423" s="11" t="n"/>
      <c r="R423" s="11" t="inlineStr">
        <is>
          <t>Adr: Vadianstrasse 6, 9001 SG | Stadtwerk SG; 70'000 Kunden; BESS</t>
        </is>
      </c>
      <c r="S423" s="11" t="inlineStr">
        <is>
          <t>Kantonaler EVU</t>
        </is>
      </c>
    </row>
    <row r="424">
      <c r="A424" s="11" t="n">
        <v>421</v>
      </c>
      <c r="B424" s="11" t="inlineStr">
        <is>
          <t>A</t>
        </is>
      </c>
      <c r="C424" s="11" t="inlineStr">
        <is>
          <t>Pharma/Chemie</t>
        </is>
      </c>
      <c r="D424" s="11" t="inlineStr">
        <is>
          <t>Hügli Nahrungsmittel AG (Steinach SG)</t>
        </is>
      </c>
      <c r="E424" s="11" t="inlineStr">
        <is>
          <t>Steinach</t>
        </is>
      </c>
      <c r="F424" s="11" t="inlineStr">
        <is>
          <t>9323</t>
        </is>
      </c>
      <c r="G424" s="11" t="inlineStr">
        <is>
          <t>SG</t>
        </is>
      </c>
      <c r="H424" s="11" t="inlineStr">
        <is>
          <t>Betriebsleiter Technik</t>
        </is>
      </c>
      <c r="I424" s="11" t="inlineStr">
        <is>
          <t>Techniker</t>
        </is>
      </c>
      <c r="J424" s="11" t="inlineStr">
        <is>
          <t>info@huegli.com</t>
        </is>
      </c>
      <c r="K424" s="11" t="inlineStr">
        <is>
          <t>+41 71 447 22 22</t>
        </is>
      </c>
      <c r="L424" s="11" t="n"/>
      <c r="M424" s="11" t="inlineStr">
        <is>
          <t>offen</t>
        </is>
      </c>
      <c r="N424" s="11" t="inlineStr">
        <is>
          <t>MiT-CRM: Hügli Steinach als Kältekunde prüfen</t>
        </is>
      </c>
      <c r="O424" s="11" t="inlineStr">
        <is>
          <t>Nahrungsmittel: NEA Kühlkette 500 kVA; FU-Abfüller; ISO 50001; 2'000 MA</t>
        </is>
      </c>
      <c r="P424" s="11" t="inlineStr">
        <is>
          <t>Kälte</t>
        </is>
      </c>
      <c r="Q424" s="11" t="n"/>
      <c r="R424" s="11" t="inlineStr">
        <is>
          <t>Adr: Bleichestrasse 31, 9323 Steinach | Hügli Nahrungsmittel; Kühlkette</t>
        </is>
      </c>
      <c r="S424" s="11" t="inlineStr">
        <is>
          <t>Nahrungsmittel</t>
        </is>
      </c>
    </row>
    <row r="425">
      <c r="A425" s="11" t="n">
        <v>422</v>
      </c>
      <c r="B425" s="11" t="inlineStr">
        <is>
          <t>B</t>
        </is>
      </c>
      <c r="C425" s="11" t="inlineStr">
        <is>
          <t>Spital/Klinik</t>
        </is>
      </c>
      <c r="D425" s="11" t="inlineStr">
        <is>
          <t>RehaClinic (SG-Standorte)</t>
        </is>
      </c>
      <c r="E425" s="11" t="inlineStr">
        <is>
          <t>Walenstadtberg</t>
        </is>
      </c>
      <c r="F425" s="11" t="inlineStr">
        <is>
          <t>8881</t>
        </is>
      </c>
      <c r="G425" s="11" t="inlineStr">
        <is>
          <t>SG</t>
        </is>
      </c>
      <c r="H425" s="11" t="inlineStr">
        <is>
          <t>Betriebsleiter Technik</t>
        </is>
      </c>
      <c r="I425" s="11" t="inlineStr">
        <is>
          <t>Techniker</t>
        </is>
      </c>
      <c r="J425" s="11" t="inlineStr">
        <is>
          <t>info@rehaclinic.ch</t>
        </is>
      </c>
      <c r="K425" s="11" t="inlineStr">
        <is>
          <t>+41 81 736 11 11</t>
        </is>
      </c>
      <c r="L425" s="11" t="n"/>
      <c r="M425" s="11" t="inlineStr">
        <is>
          <t>offen</t>
        </is>
      </c>
      <c r="N425" s="11" t="inlineStr">
        <is>
          <t>Betriebsleiter RehaClinic Walenstadtberg; alpine Isolation-Pitch</t>
        </is>
      </c>
      <c r="O425" s="11" t="inlineStr">
        <is>
          <t>Rehaklinik alpine SG-Lage: NEA 1× 200 kVA; USV; alpine Walensee-Seite</t>
        </is>
      </c>
      <c r="P425" s="11" t="inlineStr">
        <is>
          <t>USV</t>
        </is>
      </c>
      <c r="Q425" s="11" t="n"/>
      <c r="R425" s="11" t="inlineStr">
        <is>
          <t>Adr: Walenstadtberg, 8881 SG | Rehaklinik alpine Lage; Walensee-Seite</t>
        </is>
      </c>
      <c r="S425" s="11" t="inlineStr">
        <is>
          <t>Rehaklinik</t>
        </is>
      </c>
    </row>
    <row r="426">
      <c r="A426" s="11" t="n">
        <v>423</v>
      </c>
      <c r="B426" s="11" t="inlineStr">
        <is>
          <t>B</t>
        </is>
      </c>
      <c r="C426" s="11" t="inlineStr">
        <is>
          <t>Elektroplaner/Engineering</t>
        </is>
      </c>
      <c r="D426" s="11" t="inlineStr">
        <is>
          <t>Schmidiger + Rosasco AG (St. Gallen)</t>
        </is>
      </c>
      <c r="E426" s="11" t="inlineStr">
        <is>
          <t>St. Gallen</t>
        </is>
      </c>
      <c r="F426" s="11" t="inlineStr">
        <is>
          <t>9008</t>
        </is>
      </c>
      <c r="G426" s="11" t="inlineStr">
        <is>
          <t>SG</t>
        </is>
      </c>
      <c r="H426" s="11" t="inlineStr">
        <is>
          <t>Inhaber</t>
        </is>
      </c>
      <c r="I426" s="11" t="inlineStr">
        <is>
          <t>Elektroinstallateur EFZ</t>
        </is>
      </c>
      <c r="J426" s="11" t="inlineStr">
        <is>
          <t>info@sr-ag.ch</t>
        </is>
      </c>
      <c r="K426" s="11" t="inlineStr">
        <is>
          <t>+41 71 244 58 58</t>
        </is>
      </c>
      <c r="L426" s="11" t="n"/>
      <c r="M426" s="11" t="inlineStr">
        <is>
          <t>offen</t>
        </is>
      </c>
      <c r="N426" s="11" t="inlineStr">
        <is>
          <t>Inhaber SR AG; St. Gallen; Partnerschaft SG besprechen</t>
        </is>
      </c>
      <c r="O426" s="11" t="inlineStr">
        <is>
          <t>Elektrounternehmen SG: Industrie+Spitäler+Gewerbe; 100+ MA; SG-Marktführer</t>
        </is>
      </c>
      <c r="P426" s="11" t="n"/>
      <c r="Q426" s="11" t="n"/>
      <c r="R426" s="11" t="inlineStr">
        <is>
          <t>Adr: St. Gallen, 9008 SG | Elektrounternehmen SG; 100+ MA; Türöffner SG</t>
        </is>
      </c>
      <c r="S426" s="11" t="inlineStr">
        <is>
          <t>Elektrounternehmen SG</t>
        </is>
      </c>
    </row>
    <row r="427">
      <c r="A427" s="11" t="n">
        <v>424</v>
      </c>
      <c r="B427" s="11" t="inlineStr">
        <is>
          <t>B</t>
        </is>
      </c>
      <c r="C427" s="11" t="inlineStr">
        <is>
          <t>Bau/Infrastruktur</t>
        </is>
      </c>
      <c r="D427" s="11" t="inlineStr">
        <is>
          <t>ARA St. Gallen (Steinach-Schutz)</t>
        </is>
      </c>
      <c r="E427" s="11" t="inlineStr">
        <is>
          <t>St. Gallen</t>
        </is>
      </c>
      <c r="F427" s="11" t="inlineStr">
        <is>
          <t>9015</t>
        </is>
      </c>
      <c r="G427" s="11" t="inlineStr">
        <is>
          <t>SG</t>
        </is>
      </c>
      <c r="H427" s="11" t="inlineStr">
        <is>
          <t>Betriebsleiter ARA</t>
        </is>
      </c>
      <c r="I427" s="11" t="inlineStr">
        <is>
          <t>Techniker</t>
        </is>
      </c>
      <c r="J427" s="11" t="inlineStr">
        <is>
          <t>info@ara-sg.ch</t>
        </is>
      </c>
      <c r="K427" s="11" t="inlineStr">
        <is>
          <t>+41 71 274 00 00</t>
        </is>
      </c>
      <c r="L427" s="11" t="n"/>
      <c r="M427" s="11" t="inlineStr">
        <is>
          <t>offen</t>
        </is>
      </c>
      <c r="N427" s="11" t="inlineStr">
        <is>
          <t>Betriebsleiter ARA SG; simap.ch Alert SG</t>
        </is>
      </c>
      <c r="O427" s="11" t="inlineStr">
        <is>
          <t>NEA-Pflicht 1× 400 kVA; Steinach-Schutz; 24h</t>
        </is>
      </c>
      <c r="P427" s="11" t="inlineStr">
        <is>
          <t>Generator</t>
        </is>
      </c>
      <c r="Q427" s="11" t="n"/>
      <c r="R427" s="11" t="inlineStr">
        <is>
          <t>Adr: St. Gallen, 9015 SG | Steinach-Schutz; Ausschreibungspflicht</t>
        </is>
      </c>
      <c r="S427" s="11" t="inlineStr">
        <is>
          <t>ARA SG</t>
        </is>
      </c>
    </row>
    <row r="428">
      <c r="A428" s="11" t="n">
        <v>425</v>
      </c>
      <c r="B428" s="11" t="inlineStr">
        <is>
          <t>C</t>
        </is>
      </c>
      <c r="C428" s="11" t="inlineStr">
        <is>
          <t>Events/Messen</t>
        </is>
      </c>
      <c r="D428" s="11" t="inlineStr">
        <is>
          <t>Olma Messen St. Gallen AG</t>
        </is>
      </c>
      <c r="E428" s="11" t="inlineStr">
        <is>
          <t>St. Gallen</t>
        </is>
      </c>
      <c r="F428" s="11" t="inlineStr">
        <is>
          <t>9006</t>
        </is>
      </c>
      <c r="G428" s="11" t="inlineStr">
        <is>
          <t>SG</t>
        </is>
      </c>
      <c r="H428" s="11" t="inlineStr">
        <is>
          <t>Technische Leitung</t>
        </is>
      </c>
      <c r="I428" s="11" t="inlineStr">
        <is>
          <t>Veranstaltungstechniker</t>
        </is>
      </c>
      <c r="J428" s="11" t="inlineStr">
        <is>
          <t>info@olma-messen.ch</t>
        </is>
      </c>
      <c r="K428" s="11" t="inlineStr">
        <is>
          <t>+41 71 242 01 11</t>
        </is>
      </c>
      <c r="L428" s="11" t="n"/>
      <c r="M428" s="11" t="inlineStr">
        <is>
          <t>offen</t>
        </is>
      </c>
      <c r="N428" s="11" t="inlineStr">
        <is>
          <t>Technische Leitung Olma Messen; Splügenstrasse 12 SG; Event-Pitch</t>
        </is>
      </c>
      <c r="O428" s="11" t="inlineStr">
        <is>
          <t>OLMA + Messen: Temporary Power 1 MVA; USV; 20+ Messen/Jahr; 300'000 Besucher OLMA</t>
        </is>
      </c>
      <c r="P428" s="11" t="inlineStr">
        <is>
          <t>USV</t>
        </is>
      </c>
      <c r="Q428" s="11" t="n"/>
      <c r="R428" s="11" t="inlineStr">
        <is>
          <t>Adr: Splügenstrasse 12, 9006 SG | Olma Messen; 20+ Events/Jahr; 300'000 Besucher</t>
        </is>
      </c>
      <c r="S428" s="11" t="inlineStr">
        <is>
          <t>Olma Messen SG</t>
        </is>
      </c>
    </row>
    <row r="429">
      <c r="A429" s="11" t="n">
        <v>426</v>
      </c>
      <c r="B429" s="11" t="inlineStr">
        <is>
          <t>C</t>
        </is>
      </c>
      <c r="C429" s="11" t="inlineStr">
        <is>
          <t>Gemeinde/Öffentlich</t>
        </is>
      </c>
      <c r="D429" s="11" t="inlineStr">
        <is>
          <t>[MiT SG-Kältekunde Nr. 1]</t>
        </is>
      </c>
      <c r="E429" s="11" t="inlineStr">
        <is>
          <t>St. Gallen</t>
        </is>
      </c>
      <c r="F429" s="11" t="inlineStr">
        <is>
          <t>9001</t>
        </is>
      </c>
      <c r="G429" s="11" t="inlineStr">
        <is>
          <t>SG</t>
        </is>
      </c>
      <c r="H429" s="11" t="inlineStr">
        <is>
          <t>Energieverantwortlicher</t>
        </is>
      </c>
      <c r="I429" s="11" t="inlineStr">
        <is>
          <t>Betriebsleiter</t>
        </is>
      </c>
      <c r="J429" s="11" t="n"/>
      <c r="K429" s="11" t="inlineStr">
        <is>
          <t>(MiT-CRM)</t>
        </is>
      </c>
      <c r="L429" s="11" t="n"/>
      <c r="M429" s="11" t="inlineStr">
        <is>
          <t>offen</t>
        </is>
      </c>
      <c r="N429" s="11" t="inlineStr">
        <is>
          <t>MiT-CRM Roberto/Stefan: SG-Kunden ohne Strom prüfen</t>
        </is>
      </c>
      <c r="O429" s="11" t="inlineStr">
        <is>
          <t>Strom-Add-on MiT-Wärme/Kälte SG</t>
        </is>
      </c>
      <c r="P429" s="11" t="n"/>
      <c r="Q429" s="11" t="n"/>
      <c r="R429" s="11" t="inlineStr">
        <is>
          <t>KSSG 7'400 MA + Bühler 13'000 MA = 2 Weltklasse-Accounts SG</t>
        </is>
      </c>
      <c r="S429" s="11" t="inlineStr">
        <is>
          <t>Cross-Sell MiT</t>
        </is>
      </c>
    </row>
    <row r="430">
      <c r="A430" s="11" t="n">
        <v>427</v>
      </c>
      <c r="B430" s="11" t="inlineStr">
        <is>
          <t>A</t>
        </is>
      </c>
      <c r="C430" s="11" t="inlineStr">
        <is>
          <t>EVU/Netzbetreiber</t>
        </is>
      </c>
      <c r="D430" s="11" t="inlineStr">
        <is>
          <t>EKS AG (Elektrizitätswerk Kt. Schaffhausen)</t>
        </is>
      </c>
      <c r="E430" s="11" t="inlineStr">
        <is>
          <t>Schaffhausen</t>
        </is>
      </c>
      <c r="F430" s="11" t="inlineStr">
        <is>
          <t>8201</t>
        </is>
      </c>
      <c r="G430" s="11" t="inlineStr">
        <is>
          <t>SH</t>
        </is>
      </c>
      <c r="H430" s="11" t="inlineStr">
        <is>
          <t>Leiter Netzbetrieb</t>
        </is>
      </c>
      <c r="I430" s="11" t="inlineStr">
        <is>
          <t>Dipl. El.-Ing.</t>
        </is>
      </c>
      <c r="J430" s="11" t="inlineStr">
        <is>
          <t>info@eks.ch</t>
        </is>
      </c>
      <c r="K430" s="11" t="inlineStr">
        <is>
          <t>+41 52 633 55 55</t>
        </is>
      </c>
      <c r="L430" s="11" t="n"/>
      <c r="M430" s="11" t="inlineStr">
        <is>
          <t>offen</t>
        </is>
      </c>
      <c r="N430" s="11" t="inlineStr">
        <is>
          <t>Netzbetrieb EKS; Rheinstrasse 37 Schaffhausen; Revisionskalender anfragen</t>
        </is>
      </c>
      <c r="O430" s="11" t="inlineStr">
        <is>
          <t>110'000 Kunden; 100% CH-Wasserkraft; MS/HS-Revisionen; Bau neues Unterwerk neben Stack Infrastructure RZ; BESS</t>
        </is>
      </c>
      <c r="P430" s="11" t="inlineStr">
        <is>
          <t>BESS</t>
        </is>
      </c>
      <c r="Q430" s="11" t="n"/>
      <c r="R430" s="11" t="inlineStr">
        <is>
          <t>Adr: Rheinstrasse 37, 8201 SH | Kantonaler EVU SH; baut Unterwerk für Stack RZ</t>
        </is>
      </c>
      <c r="S430" s="11" t="inlineStr">
        <is>
          <t>Kantonaler EVU</t>
        </is>
      </c>
    </row>
    <row r="431">
      <c r="A431" s="11" t="n">
        <v>428</v>
      </c>
      <c r="B431" s="11" t="inlineStr">
        <is>
          <t>A</t>
        </is>
      </c>
      <c r="C431" s="11" t="inlineStr">
        <is>
          <t>EVU/Netzbetreiber</t>
        </is>
      </c>
      <c r="D431" s="11" t="inlineStr">
        <is>
          <t>Rheinkraftwerk Neuhausen AG</t>
        </is>
      </c>
      <c r="E431" s="11" t="inlineStr">
        <is>
          <t>Neuhausen am Rheinfall</t>
        </is>
      </c>
      <c r="F431" s="11" t="inlineStr">
        <is>
          <t>8212</t>
        </is>
      </c>
      <c r="G431" s="11" t="inlineStr">
        <is>
          <t>SH</t>
        </is>
      </c>
      <c r="H431" s="11" t="inlineStr">
        <is>
          <t>Betriebsleiter Kraftwerk</t>
        </is>
      </c>
      <c r="I431" s="11" t="inlineStr">
        <is>
          <t>MSc El.-Ing.</t>
        </is>
      </c>
      <c r="J431" s="11" t="inlineStr">
        <is>
          <t>info@rheinkraftwerk.ch</t>
        </is>
      </c>
      <c r="K431" s="11" t="inlineStr">
        <is>
          <t>+41 52 674 25 00</t>
        </is>
      </c>
      <c r="L431" s="11" t="n"/>
      <c r="M431" s="11" t="inlineStr">
        <is>
          <t>offen</t>
        </is>
      </c>
      <c r="N431" s="11" t="inlineStr">
        <is>
          <t>Betriebsleiter Rheinkraftwerk; EKS-Verbindung nutzen</t>
        </is>
      </c>
      <c r="O431" s="11" t="inlineStr">
        <is>
          <t>Wasserkraft-Revisionen; mobile MS-Einspeisung 5–10 MVA; PQ-Monitoring Turbinen</t>
        </is>
      </c>
      <c r="P431" s="11" t="inlineStr">
        <is>
          <t>Generator</t>
        </is>
      </c>
      <c r="Q431" s="11" t="n"/>
      <c r="R431" s="11" t="inlineStr">
        <is>
          <t>Adr: Rheinfall-Strasse 4, 8212 Neuhausen | EKS/ewz Co-Betrieb; Revisionen</t>
        </is>
      </c>
      <c r="S431" s="11" t="inlineStr">
        <is>
          <t>Wasserkraftwerk</t>
        </is>
      </c>
    </row>
    <row r="432">
      <c r="A432" s="11" t="n">
        <v>429</v>
      </c>
      <c r="B432" s="11" t="inlineStr">
        <is>
          <t>A</t>
        </is>
      </c>
      <c r="C432" s="11" t="inlineStr">
        <is>
          <t>EVU/Netzbetreiber</t>
        </is>
      </c>
      <c r="D432" s="11" t="inlineStr">
        <is>
          <t>SH POWER / Städtische Werke Schaffhausen</t>
        </is>
      </c>
      <c r="E432" s="11" t="inlineStr">
        <is>
          <t>Schaffhausen</t>
        </is>
      </c>
      <c r="F432" s="11" t="inlineStr">
        <is>
          <t>8200</t>
        </is>
      </c>
      <c r="G432" s="11" t="inlineStr">
        <is>
          <t>SH</t>
        </is>
      </c>
      <c r="H432" s="11" t="inlineStr">
        <is>
          <t>Betriebsleiter</t>
        </is>
      </c>
      <c r="I432" s="11" t="inlineStr">
        <is>
          <t>Dipl. El.-Ing.</t>
        </is>
      </c>
      <c r="J432" s="11" t="inlineStr">
        <is>
          <t>info@sh-power.ch</t>
        </is>
      </c>
      <c r="K432" s="11" t="inlineStr">
        <is>
          <t>+41 52 632 32 32</t>
        </is>
      </c>
      <c r="L432" s="11" t="n"/>
      <c r="M432" s="11" t="inlineStr">
        <is>
          <t>offen</t>
        </is>
      </c>
      <c r="N432" s="11" t="inlineStr">
        <is>
          <t>Betriebsleiter Städtische Werke SH; simap.ch Alert Schaffhausen</t>
        </is>
      </c>
      <c r="O432" s="11" t="inlineStr">
        <is>
          <t>Netzersatz Stadt SH; NEA kommunale Gebäude; Wärmeverbund</t>
        </is>
      </c>
      <c r="P432" s="11" t="inlineStr">
        <is>
          <t>Wärme</t>
        </is>
      </c>
      <c r="Q432" s="11" t="n"/>
      <c r="R432" s="11" t="inlineStr">
        <is>
          <t>Adr: Herrenacker 15, 8200 SH | Stadtwerk SH; Strom+Wärme+Wasser</t>
        </is>
      </c>
      <c r="S432" s="11" t="inlineStr">
        <is>
          <t>Stadtwerk / Wärme</t>
        </is>
      </c>
    </row>
    <row r="433">
      <c r="A433" s="11" t="n">
        <v>430</v>
      </c>
      <c r="B433" s="11" t="inlineStr">
        <is>
          <t>A</t>
        </is>
      </c>
      <c r="C433" s="11" t="inlineStr">
        <is>
          <t>Pharma/Chemie</t>
        </is>
      </c>
      <c r="D433" s="11" t="inlineStr">
        <is>
          <t>Cilag AG (Johnson &amp; Johnson Schaffhausen)</t>
        </is>
      </c>
      <c r="E433" s="11" t="inlineStr">
        <is>
          <t>Schaffhausen</t>
        </is>
      </c>
      <c r="F433" s="11" t="inlineStr">
        <is>
          <t>8200</t>
        </is>
      </c>
      <c r="G433" s="11" t="inlineStr">
        <is>
          <t>SH</t>
        </is>
      </c>
      <c r="H433" s="11" t="inlineStr">
        <is>
          <t>Energiemanager / Site Engineer</t>
        </is>
      </c>
      <c r="I433" s="11" t="inlineStr">
        <is>
          <t>MSc El.-Ing.</t>
        </is>
      </c>
      <c r="J433" s="11" t="inlineStr">
        <is>
          <t>cilag@its.jnj.com</t>
        </is>
      </c>
      <c r="K433" s="11" t="inlineStr">
        <is>
          <t>+41 52 630 91 11</t>
        </is>
      </c>
      <c r="L433" s="11" t="n"/>
      <c r="M433" s="11" t="inlineStr">
        <is>
          <t>offen</t>
        </is>
      </c>
      <c r="N433" s="11" t="inlineStr">
        <is>
          <t>Energiemanager Cilag; IBG-Referenz nutzen → Partnerschaft</t>
        </is>
      </c>
      <c r="O433" s="11" t="inlineStr">
        <is>
          <t>GMP-Produktion Parenteralia + API: NEA 3× 400 kVA; USV OP/Reinraum; PQ-Monitoring; 1'900 MA; IBG Engineering aktiver Planer</t>
        </is>
      </c>
      <c r="P433" s="11" t="inlineStr">
        <is>
          <t>USV</t>
        </is>
      </c>
      <c r="Q433" s="11" t="n"/>
      <c r="R433" s="11" t="inlineStr">
        <is>
          <t>Adr: Hochstrasse 201, 8200 SH | Fortune-10 J&amp;J; 1'900 MA; IBG = aktiver NEA/USV/PQ-Planer bei Cilag</t>
        </is>
      </c>
      <c r="S433" s="11" t="inlineStr">
        <is>
          <t>Pharma / J&amp;J</t>
        </is>
      </c>
    </row>
    <row r="434">
      <c r="A434" s="11" t="n">
        <v>431</v>
      </c>
      <c r="B434" s="11" t="inlineStr">
        <is>
          <t>A</t>
        </is>
      </c>
      <c r="C434" s="11" t="inlineStr">
        <is>
          <t>Pharma/Chemie</t>
        </is>
      </c>
      <c r="D434" s="11" t="inlineStr">
        <is>
          <t>Georg Fischer AG (GF HQ)</t>
        </is>
      </c>
      <c r="E434" s="11" t="inlineStr">
        <is>
          <t>Schaffhausen</t>
        </is>
      </c>
      <c r="F434" s="11" t="inlineStr">
        <is>
          <t>8201</t>
        </is>
      </c>
      <c r="G434" s="11" t="inlineStr">
        <is>
          <t>SH</t>
        </is>
      </c>
      <c r="H434" s="11" t="inlineStr">
        <is>
          <t>Energiemanager / Betriebsleiter Elektro</t>
        </is>
      </c>
      <c r="I434" s="11" t="inlineStr">
        <is>
          <t>MSc El.-Ing.</t>
        </is>
      </c>
      <c r="J434" s="11" t="inlineStr">
        <is>
          <t>info@georgfischer.com</t>
        </is>
      </c>
      <c r="K434" s="11" t="inlineStr">
        <is>
          <t>+41 52 631 11 11</t>
        </is>
      </c>
      <c r="L434" s="11" t="n"/>
      <c r="M434" s="11" t="inlineStr">
        <is>
          <t>offen</t>
        </is>
      </c>
      <c r="N434" s="11" t="inlineStr">
        <is>
          <t>Energiemanager GF HQ; Amsler-Laffon-Strasse 9 SH; FU-PQ-Pitch</t>
        </is>
      </c>
      <c r="O434" s="11" t="inlineStr">
        <is>
          <t>Produktion + Prüfstände 2 MVA; 15'700 MA ww; FU-Antriebe Rohrsysteme; PQ; ISO 50001; CHF 4'776 Mio. Umsatz 2024</t>
        </is>
      </c>
      <c r="P434" s="11" t="n"/>
      <c r="Q434" s="11" t="n"/>
      <c r="R434" s="11" t="inlineStr">
        <is>
          <t>Adr: Amsler-Laffon-Strasse 9, 8201 SH | Seit 1802 in SH; CHF 4'776 Mio. 2024; 15'700 MA ww</t>
        </is>
      </c>
      <c r="S434" s="11" t="inlineStr">
        <is>
          <t>Flow Solutions / Rohre</t>
        </is>
      </c>
    </row>
    <row r="435">
      <c r="A435" s="11" t="n">
        <v>432</v>
      </c>
      <c r="B435" s="11" t="inlineStr">
        <is>
          <t>A</t>
        </is>
      </c>
      <c r="C435" s="11" t="inlineStr">
        <is>
          <t>Pharma/Chemie</t>
        </is>
      </c>
      <c r="D435" s="11" t="inlineStr">
        <is>
          <t>Georg Fischer Piping Systems Ltd (Werk SH)</t>
        </is>
      </c>
      <c r="E435" s="11" t="inlineStr">
        <is>
          <t>Schaffhausen</t>
        </is>
      </c>
      <c r="F435" s="11" t="inlineStr">
        <is>
          <t>8201</t>
        </is>
      </c>
      <c r="G435" s="11" t="inlineStr">
        <is>
          <t>SH</t>
        </is>
      </c>
      <c r="H435" s="11" t="inlineStr">
        <is>
          <t>Betriebsleiter Technik</t>
        </is>
      </c>
      <c r="I435" s="11" t="inlineStr">
        <is>
          <t>Dipl. El.-Ing.</t>
        </is>
      </c>
      <c r="J435" s="11" t="inlineStr">
        <is>
          <t>piping@georgfischer.com</t>
        </is>
      </c>
      <c r="K435" s="11" t="inlineStr">
        <is>
          <t>+41 52 631 30 00</t>
        </is>
      </c>
      <c r="L435" s="11" t="n"/>
      <c r="M435" s="11" t="inlineStr">
        <is>
          <t>offen</t>
        </is>
      </c>
      <c r="N435" s="11" t="inlineStr">
        <is>
          <t>Betriebsleiter GF Piping; Ebnatstrasse 111 SH; FU-EMV-Pitch</t>
        </is>
      </c>
      <c r="O435" s="11" t="inlineStr">
        <is>
          <t>Rohrsystem-Produktion: FU-Spritzguss + Pressen 1.5 MVA; PQ; EMV; ISO 50001</t>
        </is>
      </c>
      <c r="P435" s="11" t="n"/>
      <c r="Q435" s="11" t="n"/>
      <c r="R435" s="11" t="inlineStr">
        <is>
          <t>Adr: Ebnatstrasse 111, 8201 SH | GF Piping = grösste GF-Division CHF 2.2 Mrd.</t>
        </is>
      </c>
      <c r="S435" s="11" t="inlineStr">
        <is>
          <t>GF Piping Systems Produktion</t>
        </is>
      </c>
    </row>
    <row r="436">
      <c r="A436" s="11" t="n">
        <v>433</v>
      </c>
      <c r="B436" s="11" t="inlineStr">
        <is>
          <t>A</t>
        </is>
      </c>
      <c r="C436" s="11" t="inlineStr">
        <is>
          <t>Pharma/Chemie</t>
        </is>
      </c>
      <c r="D436" s="11" t="inlineStr">
        <is>
          <t>IWC Schaffhausen (Manufakturzentrum 2018)</t>
        </is>
      </c>
      <c r="E436" s="11" t="inlineStr">
        <is>
          <t>Schaffhausen</t>
        </is>
      </c>
      <c r="F436" s="11" t="inlineStr">
        <is>
          <t>8201</t>
        </is>
      </c>
      <c r="G436" s="11" t="inlineStr">
        <is>
          <t>SH</t>
        </is>
      </c>
      <c r="H436" s="11" t="inlineStr">
        <is>
          <t>Facility Manager / Betriebsleiter Technik</t>
        </is>
      </c>
      <c r="I436" s="11" t="inlineStr">
        <is>
          <t>Ingénieur</t>
        </is>
      </c>
      <c r="J436" s="11" t="inlineStr">
        <is>
          <t>info@iwc.com</t>
        </is>
      </c>
      <c r="K436" s="11" t="inlineStr">
        <is>
          <t>+41 52 635 65 65</t>
        </is>
      </c>
      <c r="L436" s="11" t="n"/>
      <c r="M436" s="11" t="inlineStr">
        <is>
          <t>offen</t>
        </is>
      </c>
      <c r="N436" s="11" t="inlineStr">
        <is>
          <t>Facility Manager IWC; Mühlenstalstrasse 380 SH; PQ-Pitch</t>
        </is>
      </c>
      <c r="O436" s="11" t="inlineStr">
        <is>
          <t>Uhrenmontage + F&amp;E Manufaktur: PQ + NEA + USV 300 kVA; EMV höchste Präzision; 1'250 MA; Richemont</t>
        </is>
      </c>
      <c r="P436" s="11" t="n"/>
      <c r="Q436" s="11" t="n"/>
      <c r="R436" s="11" t="inlineStr">
        <is>
          <t>Adr: Mühlenstalstrasse 380, 8201 SH | Richemont; 1'250 MA; Präzisionsuhren = PQ sensitiv</t>
        </is>
      </c>
      <c r="S436" s="11" t="inlineStr">
        <is>
          <t>Luxusuhr / Richemont</t>
        </is>
      </c>
    </row>
    <row r="437">
      <c r="A437" s="11" t="n">
        <v>434</v>
      </c>
      <c r="B437" s="11" t="inlineStr">
        <is>
          <t>A</t>
        </is>
      </c>
      <c r="C437" s="11" t="inlineStr">
        <is>
          <t>Pharma/Chemie</t>
        </is>
      </c>
      <c r="D437" s="11" t="inlineStr">
        <is>
          <t>SIG Group AG (HQ Neuhausen am Rheinfall)</t>
        </is>
      </c>
      <c r="E437" s="11" t="inlineStr">
        <is>
          <t>Neuhausen am Rheinfall</t>
        </is>
      </c>
      <c r="F437" s="11" t="inlineStr">
        <is>
          <t>8212</t>
        </is>
      </c>
      <c r="G437" s="11" t="inlineStr">
        <is>
          <t>SH</t>
        </is>
      </c>
      <c r="H437" s="11" t="inlineStr">
        <is>
          <t>Betriebsleiter Technik / Energiemanager</t>
        </is>
      </c>
      <c r="I437" s="11" t="inlineStr">
        <is>
          <t>MSc El.-Ing.</t>
        </is>
      </c>
      <c r="J437" s="11" t="inlineStr">
        <is>
          <t>info@sig.biz</t>
        </is>
      </c>
      <c r="K437" s="11" t="inlineStr">
        <is>
          <t>+41 52 543 12 00</t>
        </is>
      </c>
      <c r="L437" s="11" t="n"/>
      <c r="M437" s="11" t="inlineStr">
        <is>
          <t>offen</t>
        </is>
      </c>
      <c r="N437" s="11" t="inlineStr">
        <is>
          <t>Betriebsleiter SIG; Laufengasse 18 Neuhausen; FU-EMV-Pitch</t>
        </is>
      </c>
      <c r="O437" s="11" t="inlineStr">
        <is>
          <t>Verpackungsmaschinen + Abfüllanlagen: Prüfstände 1.5 MVA; FU; PQ; EMV; 200 MA Produktion SH</t>
        </is>
      </c>
      <c r="P437" s="11" t="n"/>
      <c r="Q437" s="11" t="n"/>
      <c r="R437" s="11" t="inlineStr">
        <is>
          <t>Adr: Laufengasse 18, 8212 Neuhausen am Rheinfall | Weltmarktführer Kartonverpackung</t>
        </is>
      </c>
      <c r="S437" s="11" t="inlineStr">
        <is>
          <t>Verpackung / Karton</t>
        </is>
      </c>
    </row>
    <row r="438">
      <c r="A438" s="11" t="n">
        <v>435</v>
      </c>
      <c r="B438" s="11" t="inlineStr">
        <is>
          <t>A</t>
        </is>
      </c>
      <c r="C438" s="11" t="inlineStr">
        <is>
          <t>Rechenzentrum/IT</t>
        </is>
      </c>
      <c r="D438" s="11" t="inlineStr">
        <is>
          <t>Stack Infrastructure (RZ Neuhausen am Rheinfall)</t>
        </is>
      </c>
      <c r="E438" s="11" t="inlineStr">
        <is>
          <t>Neuhausen am Rheinfall</t>
        </is>
      </c>
      <c r="F438" s="11" t="inlineStr">
        <is>
          <t>8212</t>
        </is>
      </c>
      <c r="G438" s="11" t="inlineStr">
        <is>
          <t>SH</t>
        </is>
      </c>
      <c r="H438" s="11" t="inlineStr">
        <is>
          <t>Facility Manager / Head of Operations</t>
        </is>
      </c>
      <c r="I438" s="11" t="inlineStr">
        <is>
          <t>MSc El.-Ing.</t>
        </is>
      </c>
      <c r="J438" s="11" t="inlineStr">
        <is>
          <t>info@stackinfra.com</t>
        </is>
      </c>
      <c r="K438" s="11" t="inlineStr">
        <is>
          <t>+41 52 601 00 00</t>
        </is>
      </c>
      <c r="L438" s="11" t="n"/>
      <c r="M438" s="11" t="inlineStr">
        <is>
          <t>offen</t>
        </is>
      </c>
      <c r="N438" s="11" t="inlineStr">
        <is>
          <t>Facility Manager Stack Infrastructure; EKS-Kontakt als Türöffner nutzen</t>
        </is>
      </c>
      <c r="O438" s="11" t="inlineStr">
        <is>
          <t>RZ 8'000 m²; 350 GWh/Jahr (75% kantonaler Strombedarf SH!); NEA massiv; USV; PQ; EKS baut Unterwerk daneben</t>
        </is>
      </c>
      <c r="P438" s="11" t="inlineStr">
        <is>
          <t>USV</t>
        </is>
      </c>
      <c r="Q438" s="11" t="n"/>
      <c r="R438" s="11" t="inlineStr">
        <is>
          <t>Adr: Industriestrasse, 8212 Neuhausen | 8000 m²; 350 GWh = 75% SH-Strombedarf</t>
        </is>
      </c>
      <c r="S438" s="11" t="inlineStr">
        <is>
          <t>Rechenzentrum Rheinfall</t>
        </is>
      </c>
    </row>
    <row r="439">
      <c r="A439" s="11" t="n">
        <v>436</v>
      </c>
      <c r="B439" s="11" t="inlineStr">
        <is>
          <t>A</t>
        </is>
      </c>
      <c r="C439" s="11" t="inlineStr">
        <is>
          <t>Spital/Klinik</t>
        </is>
      </c>
      <c r="D439" s="11" t="inlineStr">
        <is>
          <t>Kantonsspital Schaffhausen (Spitäler SH)</t>
        </is>
      </c>
      <c r="E439" s="11" t="inlineStr">
        <is>
          <t>Schaffhausen</t>
        </is>
      </c>
      <c r="F439" s="11" t="inlineStr">
        <is>
          <t>8208</t>
        </is>
      </c>
      <c r="G439" s="11" t="inlineStr">
        <is>
          <t>SH</t>
        </is>
      </c>
      <c r="H439" s="11" t="inlineStr">
        <is>
          <t>Betriebsleiter Technik / TGM</t>
        </is>
      </c>
      <c r="I439" s="11" t="inlineStr">
        <is>
          <t>Dipl. El.-Ing.</t>
        </is>
      </c>
      <c r="J439" s="11" t="inlineStr">
        <is>
          <t>info@spitaeler-sh.ch</t>
        </is>
      </c>
      <c r="K439" s="11" t="inlineStr">
        <is>
          <t>+41 52 634 00 00</t>
        </is>
      </c>
      <c r="L439" s="11" t="n"/>
      <c r="M439" s="11" t="inlineStr">
        <is>
          <t>offen</t>
        </is>
      </c>
      <c r="N439" s="11" t="inlineStr">
        <is>
          <t>Betriebsleiter TGM KSS; Geissbergstrasse 81 SH; simap.ch Alert SH</t>
        </is>
      </c>
      <c r="O439" s="11" t="inlineStr">
        <is>
          <t>NEA 2× 400 kVA; USV OP/ICU; 24h-Betrieb; 1'200 MA; einziges Akutspital SH</t>
        </is>
      </c>
      <c r="P439" s="11" t="inlineStr">
        <is>
          <t>USV</t>
        </is>
      </c>
      <c r="Q439" s="11" t="n"/>
      <c r="R439" s="11" t="inlineStr">
        <is>
          <t>Adr: Geissbergstrasse 81, 8208 SH | Grösstes Spital SH; 1'200 MA; einziges Akutspital SH</t>
        </is>
      </c>
      <c r="S439" s="11" t="inlineStr">
        <is>
          <t>Kantonsspital</t>
        </is>
      </c>
    </row>
    <row r="440">
      <c r="A440" s="11" t="n">
        <v>437</v>
      </c>
      <c r="B440" s="11" t="inlineStr">
        <is>
          <t>A</t>
        </is>
      </c>
      <c r="C440" s="11" t="inlineStr">
        <is>
          <t>Spital/Klinik</t>
        </is>
      </c>
      <c r="D440" s="11" t="inlineStr">
        <is>
          <t>Psychiatriezentrum Schaffhausen (PZS)</t>
        </is>
      </c>
      <c r="E440" s="11" t="inlineStr">
        <is>
          <t>Schaffhausen</t>
        </is>
      </c>
      <c r="F440" s="11" t="inlineStr">
        <is>
          <t>8208</t>
        </is>
      </c>
      <c r="G440" s="11" t="inlineStr">
        <is>
          <t>SH</t>
        </is>
      </c>
      <c r="H440" s="11" t="inlineStr">
        <is>
          <t>Betriebsleiter Technik</t>
        </is>
      </c>
      <c r="I440" s="11" t="inlineStr">
        <is>
          <t>Techniker</t>
        </is>
      </c>
      <c r="J440" s="11" t="inlineStr">
        <is>
          <t>pzs@spitaeler-sh.ch</t>
        </is>
      </c>
      <c r="K440" s="11" t="inlineStr">
        <is>
          <t>+41 52 634 53 53</t>
        </is>
      </c>
      <c r="L440" s="11" t="n"/>
      <c r="M440" s="11" t="inlineStr">
        <is>
          <t>offen</t>
        </is>
      </c>
      <c r="N440" s="11" t="inlineStr">
        <is>
          <t>Betriebsleiter PZS; Geissbergstrasse 81 SH; Campus-Kombination</t>
        </is>
      </c>
      <c r="O440" s="11" t="inlineStr">
        <is>
          <t>NEA 1× 200 kVA; USV Psychiatrie; 24h-Betrieb; Campus mit KSS</t>
        </is>
      </c>
      <c r="P440" s="11" t="inlineStr">
        <is>
          <t>USV</t>
        </is>
      </c>
      <c r="Q440" s="11" t="n"/>
      <c r="R440" s="11" t="inlineStr">
        <is>
          <t>Adr: Geissbergstrasse 81, 8208 SH | 24h-Betrieb; NEA-Pflicht; KSS-Campus</t>
        </is>
      </c>
      <c r="S440" s="11" t="inlineStr">
        <is>
          <t>Psychiatriezentrum</t>
        </is>
      </c>
    </row>
    <row r="441">
      <c r="A441" s="11" t="n">
        <v>438</v>
      </c>
      <c r="B441" s="11" t="inlineStr">
        <is>
          <t>A</t>
        </is>
      </c>
      <c r="C441" s="11" t="inlineStr">
        <is>
          <t>Spital/Klinik</t>
        </is>
      </c>
      <c r="D441" s="11" t="inlineStr">
        <is>
          <t>Klinik Belair Schaffhausen</t>
        </is>
      </c>
      <c r="E441" s="11" t="inlineStr">
        <is>
          <t>Schaffhausen</t>
        </is>
      </c>
      <c r="F441" s="11" t="inlineStr">
        <is>
          <t>8208</t>
        </is>
      </c>
      <c r="G441" s="11" t="inlineStr">
        <is>
          <t>SH</t>
        </is>
      </c>
      <c r="H441" s="11" t="inlineStr">
        <is>
          <t>Betriebsleiter</t>
        </is>
      </c>
      <c r="I441" s="11" t="inlineStr">
        <is>
          <t>Techniker</t>
        </is>
      </c>
      <c r="J441" s="11" t="inlineStr">
        <is>
          <t>info@klinikbelair.ch</t>
        </is>
      </c>
      <c r="K441" s="11" t="inlineStr">
        <is>
          <t>+41 52 634 85 00</t>
        </is>
      </c>
      <c r="L441" s="11" t="n"/>
      <c r="M441" s="11" t="inlineStr">
        <is>
          <t>offen</t>
        </is>
      </c>
      <c r="N441" s="11" t="inlineStr">
        <is>
          <t>Betriebsleiter Klinik Belair; Guggenbuhl 1 SH; Swiss Medical-Pitch</t>
        </is>
      </c>
      <c r="O441" s="11" t="inlineStr">
        <is>
          <t>NEA 1× 150 kVA; USV Rehaklinik; Aussichtslage; Swiss Medical Network</t>
        </is>
      </c>
      <c r="P441" s="11" t="inlineStr">
        <is>
          <t>USV</t>
        </is>
      </c>
      <c r="Q441" s="11" t="n"/>
      <c r="R441" s="11" t="inlineStr">
        <is>
          <t>Adr: Guggenbuhl 1, 8208 SH | Swiss Medical Network; Rehaklinik; NEA-Pflicht</t>
        </is>
      </c>
      <c r="S441" s="11" t="inlineStr">
        <is>
          <t>Rehaklinik Swiss Medical</t>
        </is>
      </c>
    </row>
    <row r="442">
      <c r="A442" s="11" t="n">
        <v>439</v>
      </c>
      <c r="B442" s="11" t="inlineStr">
        <is>
          <t>A</t>
        </is>
      </c>
      <c r="C442" s="11" t="inlineStr">
        <is>
          <t>Bau/Infrastruktur</t>
        </is>
      </c>
      <c r="D442" s="11" t="inlineStr">
        <is>
          <t>SBB AG Bahnhof + Infrastruktur Schaffhausen</t>
        </is>
      </c>
      <c r="E442" s="11" t="inlineStr">
        <is>
          <t>Schaffhausen</t>
        </is>
      </c>
      <c r="F442" s="11" t="inlineStr">
        <is>
          <t>8201</t>
        </is>
      </c>
      <c r="G442" s="11" t="inlineStr">
        <is>
          <t>SH</t>
        </is>
      </c>
      <c r="H442" s="11" t="inlineStr">
        <is>
          <t>Betriebsleiter Infra Energie SH</t>
        </is>
      </c>
      <c r="I442" s="11" t="inlineStr">
        <is>
          <t>MSc El.-Ing.</t>
        </is>
      </c>
      <c r="J442" s="11" t="inlineStr">
        <is>
          <t>kontakt@sbb.ch</t>
        </is>
      </c>
      <c r="K442" s="11" t="inlineStr">
        <is>
          <t>+41 58 333 33 33</t>
        </is>
      </c>
      <c r="L442" s="11" t="n"/>
      <c r="M442" s="11" t="inlineStr">
        <is>
          <t>offen</t>
        </is>
      </c>
      <c r="N442" s="11" t="inlineStr">
        <is>
          <t>SBB Infra SH; Bahnhofplatz 2 SH; Grenzbahnhof D = erhöhte Anforderungen</t>
        </is>
      </c>
      <c r="O442" s="11" t="inlineStr">
        <is>
          <t>Bahnhof SH: NEA + Baustrom 500 kVA; Revisionen Bahnanlagen SH; Grenzbahnhof D</t>
        </is>
      </c>
      <c r="P442" s="11" t="n"/>
      <c r="Q442" s="11" t="n"/>
      <c r="R442" s="11" t="inlineStr">
        <is>
          <t>Adr: Bahnhofplatz 2, 8201 SH | Internationaler Grenzbahnhof D/CH</t>
        </is>
      </c>
      <c r="S442" s="11" t="inlineStr">
        <is>
          <t>Bundesbahn</t>
        </is>
      </c>
    </row>
    <row r="443">
      <c r="A443" s="11" t="n">
        <v>440</v>
      </c>
      <c r="B443" s="11" t="inlineStr">
        <is>
          <t>A</t>
        </is>
      </c>
      <c r="C443" s="11" t="inlineStr">
        <is>
          <t>Bau/Infrastruktur</t>
        </is>
      </c>
      <c r="D443" s="11" t="inlineStr">
        <is>
          <t>ARA Schaffhausen (Kläranlage / Rhein-Schutz)</t>
        </is>
      </c>
      <c r="E443" s="11" t="inlineStr">
        <is>
          <t>Schaffhausen</t>
        </is>
      </c>
      <c r="F443" s="11" t="inlineStr">
        <is>
          <t>8200</t>
        </is>
      </c>
      <c r="G443" s="11" t="inlineStr">
        <is>
          <t>SH</t>
        </is>
      </c>
      <c r="H443" s="11" t="inlineStr">
        <is>
          <t>Betriebsleiter ARA</t>
        </is>
      </c>
      <c r="I443" s="11" t="inlineStr">
        <is>
          <t>Techniker</t>
        </is>
      </c>
      <c r="J443" s="11" t="inlineStr">
        <is>
          <t>info@ara-sh.ch</t>
        </is>
      </c>
      <c r="K443" s="11" t="inlineStr">
        <is>
          <t>+41 52 630 60 30</t>
        </is>
      </c>
      <c r="L443" s="11" t="n"/>
      <c r="M443" s="11" t="inlineStr">
        <is>
          <t>offen</t>
        </is>
      </c>
      <c r="N443" s="11" t="inlineStr">
        <is>
          <t>Betriebsleiter ARA SH; simap.ch Alert 'Schaffhausen ARA Netzersatz'</t>
        </is>
      </c>
      <c r="O443" s="11" t="inlineStr">
        <is>
          <t>NEA-Pflicht 1× 400 kVA; Rhein-Gewässerschutz Schaffhausen; 24h</t>
        </is>
      </c>
      <c r="P443" s="11" t="inlineStr">
        <is>
          <t>Generator</t>
        </is>
      </c>
      <c r="Q443" s="11" t="n"/>
      <c r="R443" s="11" t="inlineStr">
        <is>
          <t>Adr: Freier Platz 2, 8200 SH | Rhein-Schutz; öffentlich-rechtlich; Ausschreibungspflicht</t>
        </is>
      </c>
      <c r="S443" s="11" t="inlineStr">
        <is>
          <t>ARA Rhein-Schutz</t>
        </is>
      </c>
    </row>
    <row r="444">
      <c r="A444" s="11" t="n">
        <v>441</v>
      </c>
      <c r="B444" s="11" t="inlineStr">
        <is>
          <t>A</t>
        </is>
      </c>
      <c r="C444" s="11" t="inlineStr">
        <is>
          <t>Rechenzentrum/IT</t>
        </is>
      </c>
      <c r="D444" s="11" t="inlineStr">
        <is>
          <t>Schaffhauser Kantonalbank (SHKB)</t>
        </is>
      </c>
      <c r="E444" s="11" t="inlineStr">
        <is>
          <t>Schaffhausen</t>
        </is>
      </c>
      <c r="F444" s="11" t="inlineStr">
        <is>
          <t>8200</t>
        </is>
      </c>
      <c r="G444" s="11" t="inlineStr">
        <is>
          <t>SH</t>
        </is>
      </c>
      <c r="H444" s="11" t="inlineStr">
        <is>
          <t>Leiter IT-Infrastruktur</t>
        </is>
      </c>
      <c r="I444" s="11" t="inlineStr">
        <is>
          <t>MSc Inf.</t>
        </is>
      </c>
      <c r="J444" s="11" t="inlineStr">
        <is>
          <t>info@shkb.ch</t>
        </is>
      </c>
      <c r="K444" s="11" t="inlineStr">
        <is>
          <t>+41 52 635 22 22</t>
        </is>
      </c>
      <c r="L444" s="11" t="n"/>
      <c r="M444" s="11" t="inlineStr">
        <is>
          <t>offen</t>
        </is>
      </c>
      <c r="N444" s="11" t="inlineStr">
        <is>
          <t>IT-Infrastruktur SHKB; Vorstadt 53 Schaffhausen; FINMA-Argument</t>
        </is>
      </c>
      <c r="O444" s="11" t="inlineStr">
        <is>
          <t>USV RZ 2× 200 kVA; NEA; PQ FINMA; Hauptsitz Vorstadt Schaffhausen</t>
        </is>
      </c>
      <c r="P444" s="11" t="inlineStr">
        <is>
          <t>USV</t>
        </is>
      </c>
      <c r="Q444" s="11" t="n"/>
      <c r="R444" s="11" t="inlineStr">
        <is>
          <t>Adr: Vorstadt 53, 8200 SH | Kantonalbank SH; FINMA-reguliert</t>
        </is>
      </c>
      <c r="S444" s="11" t="inlineStr">
        <is>
          <t>Kantonalbank</t>
        </is>
      </c>
    </row>
    <row r="445">
      <c r="A445" s="11" t="n">
        <v>442</v>
      </c>
      <c r="B445" s="11" t="inlineStr">
        <is>
          <t>B</t>
        </is>
      </c>
      <c r="C445" s="11" t="inlineStr">
        <is>
          <t>Pharma/Chemie</t>
        </is>
      </c>
      <c r="D445" s="11" t="inlineStr">
        <is>
          <t>Unilever Schweiz GmbH (Standort SH)</t>
        </is>
      </c>
      <c r="E445" s="11" t="inlineStr">
        <is>
          <t>Schaffhausen</t>
        </is>
      </c>
      <c r="F445" s="11" t="inlineStr">
        <is>
          <t>8201</t>
        </is>
      </c>
      <c r="G445" s="11" t="inlineStr">
        <is>
          <t>SH</t>
        </is>
      </c>
      <c r="H445" s="11" t="inlineStr">
        <is>
          <t>Facility Manager</t>
        </is>
      </c>
      <c r="I445" s="11" t="inlineStr">
        <is>
          <t>MSc El.-Ing.</t>
        </is>
      </c>
      <c r="J445" s="11" t="inlineStr">
        <is>
          <t>info@unilever.ch</t>
        </is>
      </c>
      <c r="K445" s="11" t="inlineStr">
        <is>
          <t>+41 52 566 50 00</t>
        </is>
      </c>
      <c r="L445" s="11" t="n"/>
      <c r="M445" s="11" t="inlineStr">
        <is>
          <t>offen</t>
        </is>
      </c>
      <c r="N445" s="11" t="inlineStr">
        <is>
          <t>Facility Manager Unilever SH; Spitalstrasse 4 SH; Fortune-100-Pitch</t>
        </is>
      </c>
      <c r="O445" s="11" t="inlineStr">
        <is>
          <t>Büro + Logistik SH: NEA + USV 200 kVA; PQ; Fortune-100</t>
        </is>
      </c>
      <c r="P445" s="11" t="inlineStr">
        <is>
          <t>USV</t>
        </is>
      </c>
      <c r="Q445" s="11" t="n"/>
      <c r="R445" s="11" t="inlineStr">
        <is>
          <t>Adr: Spitalstrasse 4, 8201 SH | Fortune-100 Konsumgüter; CHF 60+ Mrd. weltweit</t>
        </is>
      </c>
      <c r="S445" s="11" t="inlineStr">
        <is>
          <t>Konsumgüter</t>
        </is>
      </c>
    </row>
    <row r="446">
      <c r="A446" s="11" t="n">
        <v>443</v>
      </c>
      <c r="B446" s="11" t="inlineStr">
        <is>
          <t>A</t>
        </is>
      </c>
      <c r="C446" s="11" t="inlineStr">
        <is>
          <t>Gemeinde/Öffentlich</t>
        </is>
      </c>
      <c r="D446" s="11" t="inlineStr">
        <is>
          <t>Kanton Schaffhausen (Hochbauamt)</t>
        </is>
      </c>
      <c r="E446" s="11" t="inlineStr">
        <is>
          <t>Schaffhausen</t>
        </is>
      </c>
      <c r="F446" s="11" t="inlineStr">
        <is>
          <t>8200</t>
        </is>
      </c>
      <c r="G446" s="11" t="inlineStr">
        <is>
          <t>SH</t>
        </is>
      </c>
      <c r="H446" s="11" t="inlineStr">
        <is>
          <t>Leiter Hochbauamt</t>
        </is>
      </c>
      <c r="I446" s="11" t="inlineStr">
        <is>
          <t>Kantonsbauingenieur</t>
        </is>
      </c>
      <c r="J446" s="11" t="inlineStr">
        <is>
          <t>hba@sh.ch</t>
        </is>
      </c>
      <c r="K446" s="11" t="inlineStr">
        <is>
          <t>+41 52 632 77 77</t>
        </is>
      </c>
      <c r="L446" s="11" t="n"/>
      <c r="M446" s="11" t="inlineStr">
        <is>
          <t>offen</t>
        </is>
      </c>
      <c r="N446" s="11" t="inlineStr">
        <is>
          <t>Hochbauamt SH; Beckenstube 7 Schaffhausen; simap.ch Alert Kanton SH</t>
        </is>
      </c>
      <c r="O446" s="11" t="inlineStr">
        <is>
          <t>NEA kantonale Gebäude 500 kVA–1.5 MVA; 100+ Liegenschaften; Rahmenvertrag SH</t>
        </is>
      </c>
      <c r="P446" s="11" t="n"/>
      <c r="Q446" s="11" t="n"/>
      <c r="R446" s="11" t="inlineStr">
        <is>
          <t>Adr: Beckenstube 7, 8200 SH | 100+ Liegenschaften; Rahmenvertrag gut möglich</t>
        </is>
      </c>
      <c r="S446" s="11" t="inlineStr">
        <is>
          <t>Kanton Schaffhausen</t>
        </is>
      </c>
    </row>
    <row r="447">
      <c r="A447" s="11" t="n">
        <v>444</v>
      </c>
      <c r="B447" s="11" t="inlineStr">
        <is>
          <t>B</t>
        </is>
      </c>
      <c r="C447" s="11" t="inlineStr">
        <is>
          <t>Gemeinde/Öffentlich</t>
        </is>
      </c>
      <c r="D447" s="11" t="inlineStr">
        <is>
          <t>Stadt Schaffhausen (Hochbauamt)</t>
        </is>
      </c>
      <c r="E447" s="11" t="inlineStr">
        <is>
          <t>Schaffhausen</t>
        </is>
      </c>
      <c r="F447" s="11" t="inlineStr">
        <is>
          <t>8200</t>
        </is>
      </c>
      <c r="G447" s="11" t="inlineStr">
        <is>
          <t>SH</t>
        </is>
      </c>
      <c r="H447" s="11" t="inlineStr">
        <is>
          <t>Stadtbauingenieur</t>
        </is>
      </c>
      <c r="I447" s="11" t="inlineStr">
        <is>
          <t>Dipl. Ing.</t>
        </is>
      </c>
      <c r="J447" s="11" t="inlineStr">
        <is>
          <t>stadthaus@stadt-schaffhausen.ch</t>
        </is>
      </c>
      <c r="K447" s="11" t="inlineStr">
        <is>
          <t>+41 52 632 52 52</t>
        </is>
      </c>
      <c r="L447" s="11" t="n"/>
      <c r="M447" s="11" t="inlineStr">
        <is>
          <t>offen</t>
        </is>
      </c>
      <c r="N447" s="11" t="inlineStr">
        <is>
          <t>Hochbauamt Stadt SH; Stadthaus Schaffhausen; simap.ch Alert Stadt SH</t>
        </is>
      </c>
      <c r="O447" s="11" t="inlineStr">
        <is>
          <t>NEA städtische Gebäude 2× 300 kVA; PQ Stadtversorgung; Altstadt-Bauprojekte</t>
        </is>
      </c>
      <c r="P447" s="11" t="n"/>
      <c r="Q447" s="11" t="n"/>
      <c r="R447" s="11" t="inlineStr">
        <is>
          <t>Adr: Stadthaus, 8200 SH | Mittelalterliche Altstadt; Bauprojekte; simap.ch</t>
        </is>
      </c>
      <c r="S447" s="11" t="inlineStr">
        <is>
          <t>Stadt Schaffhausen</t>
        </is>
      </c>
    </row>
    <row r="448">
      <c r="A448" s="11" t="n">
        <v>445</v>
      </c>
      <c r="B448" s="11" t="inlineStr">
        <is>
          <t>B</t>
        </is>
      </c>
      <c r="C448" s="11" t="inlineStr">
        <is>
          <t>Gemeinde/Öffentlich</t>
        </is>
      </c>
      <c r="D448" s="11" t="inlineStr">
        <is>
          <t>Gemeindeverwaltung Neuhausen am Rheinfall</t>
        </is>
      </c>
      <c r="E448" s="11" t="inlineStr">
        <is>
          <t>Neuhausen am Rheinfall</t>
        </is>
      </c>
      <c r="F448" s="11" t="inlineStr">
        <is>
          <t>8212</t>
        </is>
      </c>
      <c r="G448" s="11" t="inlineStr">
        <is>
          <t>SH</t>
        </is>
      </c>
      <c r="H448" s="11" t="inlineStr">
        <is>
          <t>Betriebsleiter Liegenschaften</t>
        </is>
      </c>
      <c r="I448" s="11" t="inlineStr">
        <is>
          <t>Techniker</t>
        </is>
      </c>
      <c r="J448" s="11" t="inlineStr">
        <is>
          <t>info@neuhausen.ch</t>
        </is>
      </c>
      <c r="K448" s="11" t="inlineStr">
        <is>
          <t>+41 52 674 27 40</t>
        </is>
      </c>
      <c r="L448" s="11" t="n"/>
      <c r="M448" s="11" t="inlineStr">
        <is>
          <t>offen</t>
        </is>
      </c>
      <c r="N448" s="11" t="inlineStr">
        <is>
          <t>Betriebsleiter Neuhausen; Schulstrasse 1; Stack-RZ als Gesprächseinstieg</t>
        </is>
      </c>
      <c r="O448" s="11" t="inlineStr">
        <is>
          <t>NEA kommunale Gebäude; Stack Infrastructure = Energie-Druckpunkt; Industriegemeinde</t>
        </is>
      </c>
      <c r="P448" s="11" t="n"/>
      <c r="Q448" s="11" t="n"/>
      <c r="R448" s="11" t="inlineStr">
        <is>
          <t>Adr: Schulstrasse 1, 8212 Neuhausen | Rheinfall + Stack RZ = Energie-Hotspot SH</t>
        </is>
      </c>
      <c r="S448" s="11" t="inlineStr">
        <is>
          <t>Gemeinde Neuhausen</t>
        </is>
      </c>
    </row>
    <row r="449">
      <c r="A449" s="11" t="n">
        <v>446</v>
      </c>
      <c r="B449" s="11" t="inlineStr">
        <is>
          <t>A</t>
        </is>
      </c>
      <c r="C449" s="11" t="inlineStr">
        <is>
          <t>Elektroplaner/Engineering</t>
        </is>
      </c>
      <c r="D449" s="11" t="inlineStr">
        <is>
          <t>IBG Engineering AG (Referenz-Planer Cilag SH)</t>
        </is>
      </c>
      <c r="E449" s="11" t="inlineStr">
        <is>
          <t>Brüttisellen</t>
        </is>
      </c>
      <c r="F449" s="11" t="inlineStr">
        <is>
          <t>8306</t>
        </is>
      </c>
      <c r="G449" s="11" t="inlineStr">
        <is>
          <t>SH</t>
        </is>
      </c>
      <c r="H449" s="11" t="inlineStr">
        <is>
          <t>Leiter Elektrotechnik / Gebietsleiter SH</t>
        </is>
      </c>
      <c r="I449" s="11" t="inlineStr">
        <is>
          <t>MSc El.-Ing.</t>
        </is>
      </c>
      <c r="J449" s="11" t="inlineStr">
        <is>
          <t>info@ibg.ch</t>
        </is>
      </c>
      <c r="K449" s="11" t="inlineStr">
        <is>
          <t>+41 44 834 01 01</t>
        </is>
      </c>
      <c r="L449" s="11" t="n"/>
      <c r="M449" s="11" t="inlineStr">
        <is>
          <t>offen</t>
        </is>
      </c>
      <c r="N449" s="11" t="inlineStr">
        <is>
          <t>IBG Engineering Gebietsleiter SH; Industrie Lättenstrasse 2 Brüttisellen; Partnerschaft</t>
        </is>
      </c>
      <c r="O449" s="11" t="inlineStr">
        <is>
          <t>IBG = aktiver Elektroplaner für Cilag AG SH (NEA/USV/PQ bereits realisiert); kennt alle SH-Industriekunden</t>
        </is>
      </c>
      <c r="P449" s="11" t="n"/>
      <c r="Q449" s="11" t="n"/>
      <c r="R449" s="11" t="inlineStr">
        <is>
          <t>Adr: Industrie Lättenstrasse 2, 8306 Brüttisellen | IBG = aktiver Planer Cilag SH = Türöffner</t>
        </is>
      </c>
      <c r="S449" s="11" t="inlineStr">
        <is>
          <t>IBG Engineering Referenz-Planer</t>
        </is>
      </c>
    </row>
    <row r="450">
      <c r="A450" s="11" t="n">
        <v>447</v>
      </c>
      <c r="B450" s="11" t="inlineStr">
        <is>
          <t>B</t>
        </is>
      </c>
      <c r="C450" s="11" t="inlineStr">
        <is>
          <t>Lebensmittel/Food</t>
        </is>
      </c>
      <c r="D450" s="11" t="inlineStr">
        <is>
          <t>Brauerei Falken AG</t>
        </is>
      </c>
      <c r="E450" s="11" t="inlineStr">
        <is>
          <t>Schaffhausen</t>
        </is>
      </c>
      <c r="F450" s="11" t="inlineStr">
        <is>
          <t>8200</t>
        </is>
      </c>
      <c r="G450" s="11" t="inlineStr">
        <is>
          <t>SH</t>
        </is>
      </c>
      <c r="H450" s="11" t="inlineStr">
        <is>
          <t>Betriebsleiter Technik</t>
        </is>
      </c>
      <c r="I450" s="11" t="inlineStr">
        <is>
          <t>Techniker</t>
        </is>
      </c>
      <c r="J450" s="11" t="inlineStr">
        <is>
          <t>info@falken.ch</t>
        </is>
      </c>
      <c r="K450" s="11" t="inlineStr">
        <is>
          <t>+41 52 635 32 22</t>
        </is>
      </c>
      <c r="L450" s="11" t="n"/>
      <c r="M450" s="11" t="inlineStr">
        <is>
          <t>offen</t>
        </is>
      </c>
      <c r="N450" s="11" t="inlineStr">
        <is>
          <t>MiT-CRM: Falken Brauerei als Kältekunde prüfen; Freier Platz 1 SH</t>
        </is>
      </c>
      <c r="O450" s="11" t="inlineStr">
        <is>
          <t>Bierproduktion: NEA Kühlkette 400 kVA; FU-Abfüllanlagen; ISO 50001</t>
        </is>
      </c>
      <c r="P450" s="11" t="inlineStr">
        <is>
          <t>Kälte</t>
        </is>
      </c>
      <c r="Q450" s="11" t="n"/>
      <c r="R450" s="11" t="inlineStr">
        <is>
          <t>Adr: Freier Platz 1, 8200 SH | Älteste Brauerei SH seit 1545; Kühlkette</t>
        </is>
      </c>
      <c r="S450" s="11" t="inlineStr">
        <is>
          <t>Brauerei</t>
        </is>
      </c>
    </row>
    <row r="451">
      <c r="A451" s="11" t="n">
        <v>448</v>
      </c>
      <c r="B451" s="11" t="inlineStr">
        <is>
          <t>B</t>
        </is>
      </c>
      <c r="C451" s="11" t="inlineStr">
        <is>
          <t>Bau/Infrastruktur</t>
        </is>
      </c>
      <c r="D451" s="11" t="inlineStr">
        <is>
          <t>Rheinfall AG (Tourismus + Events)</t>
        </is>
      </c>
      <c r="E451" s="11" t="inlineStr">
        <is>
          <t>Neuhausen am Rheinfall</t>
        </is>
      </c>
      <c r="F451" s="11" t="inlineStr">
        <is>
          <t>8212</t>
        </is>
      </c>
      <c r="G451" s="11" t="inlineStr">
        <is>
          <t>SH</t>
        </is>
      </c>
      <c r="H451" s="11" t="inlineStr">
        <is>
          <t>Betriebsleiter Technik</t>
        </is>
      </c>
      <c r="I451" s="11" t="inlineStr">
        <is>
          <t>Techniker</t>
        </is>
      </c>
      <c r="J451" s="11" t="inlineStr">
        <is>
          <t>info@rheinfall.ch</t>
        </is>
      </c>
      <c r="K451" s="11" t="inlineStr">
        <is>
          <t>+41 52 674 52 21</t>
        </is>
      </c>
      <c r="L451" s="11" t="n"/>
      <c r="M451" s="11" t="inlineStr">
        <is>
          <t>offen</t>
        </is>
      </c>
      <c r="N451" s="11" t="inlineStr">
        <is>
          <t>Betriebsleiter Rheinfall AG; Rheinfallquai 30 Neuhausen; Event-Pitch</t>
        </is>
      </c>
      <c r="O451" s="11" t="inlineStr">
        <is>
          <t>Temporary Power Events Rheinfall: Generator 200 kVA; USV Licht+Sound; 1 Mio. Besucher/Jahr</t>
        </is>
      </c>
      <c r="P451" s="11" t="inlineStr">
        <is>
          <t>Generator</t>
        </is>
      </c>
      <c r="Q451" s="11" t="n"/>
      <c r="R451" s="11" t="inlineStr">
        <is>
          <t>Adr: Rheinfallquai 30, 8212 Neuhausen | Grösste Wasserfall Europas; 1 Mio. Besucher</t>
        </is>
      </c>
      <c r="S451" s="11" t="inlineStr">
        <is>
          <t>Events / Rheinfall-Tourismus</t>
        </is>
      </c>
    </row>
    <row r="452">
      <c r="A452" s="11" t="n">
        <v>449</v>
      </c>
      <c r="B452" s="11" t="inlineStr">
        <is>
          <t>B</t>
        </is>
      </c>
      <c r="C452" s="11" t="inlineStr">
        <is>
          <t>Spital/Klinik</t>
        </is>
      </c>
      <c r="D452" s="11" t="inlineStr">
        <is>
          <t>Spital Stein am Rhein</t>
        </is>
      </c>
      <c r="E452" s="11" t="inlineStr">
        <is>
          <t>Stein am Rhein</t>
        </is>
      </c>
      <c r="F452" s="11" t="inlineStr">
        <is>
          <t>8260</t>
        </is>
      </c>
      <c r="G452" s="11" t="inlineStr">
        <is>
          <t>SH</t>
        </is>
      </c>
      <c r="H452" s="11" t="inlineStr">
        <is>
          <t>Betriebsleiter</t>
        </is>
      </c>
      <c r="I452" s="11" t="inlineStr">
        <is>
          <t>Techniker</t>
        </is>
      </c>
      <c r="J452" s="11" t="inlineStr">
        <is>
          <t>info@spital-steinamrhein.ch</t>
        </is>
      </c>
      <c r="K452" s="11" t="inlineStr">
        <is>
          <t>+41 52 742 51 51</t>
        </is>
      </c>
      <c r="L452" s="11" t="n"/>
      <c r="M452" s="11" t="inlineStr">
        <is>
          <t>offen</t>
        </is>
      </c>
      <c r="N452" s="11" t="inlineStr">
        <is>
          <t>Betriebsleiter Spital Stein am Rhein; Hemishoferstrasse 34; simap.ch SH</t>
        </is>
      </c>
      <c r="O452" s="11" t="inlineStr">
        <is>
          <t>NEA 1× 150 kVA; USV; Kleinstspital SH-Ostregion; 24h</t>
        </is>
      </c>
      <c r="P452" s="11" t="inlineStr">
        <is>
          <t>USV</t>
        </is>
      </c>
      <c r="Q452" s="11" t="n"/>
      <c r="R452" s="11" t="inlineStr">
        <is>
          <t>Adr: Hemishoferstrasse 34, 8260 Stein am Rhein | Kleinstspital SH-Ost; NEA-Pflicht</t>
        </is>
      </c>
      <c r="S452" s="11" t="inlineStr">
        <is>
          <t>Kleinstspital SH-Ost</t>
        </is>
      </c>
    </row>
    <row r="453">
      <c r="A453" s="11" t="n">
        <v>450</v>
      </c>
      <c r="B453" s="11" t="inlineStr">
        <is>
          <t>B</t>
        </is>
      </c>
      <c r="C453" s="11" t="inlineStr">
        <is>
          <t>Rechenzentrum/IT</t>
        </is>
      </c>
      <c r="D453" s="11" t="inlineStr">
        <is>
          <t>Swisscom AG (Netzknoten Schaffhausen)</t>
        </is>
      </c>
      <c r="E453" s="11" t="inlineStr">
        <is>
          <t>Schaffhausen</t>
        </is>
      </c>
      <c r="F453" s="11" t="inlineStr">
        <is>
          <t>8200</t>
        </is>
      </c>
      <c r="G453" s="11" t="inlineStr">
        <is>
          <t>SH</t>
        </is>
      </c>
      <c r="H453" s="11" t="inlineStr">
        <is>
          <t>Leiter Network Operations SH</t>
        </is>
      </c>
      <c r="I453" s="11" t="inlineStr">
        <is>
          <t>MSc El.-Ing.</t>
        </is>
      </c>
      <c r="J453" s="11" t="inlineStr">
        <is>
          <t>info@swisscom.ch</t>
        </is>
      </c>
      <c r="K453" s="11" t="inlineStr">
        <is>
          <t>+41 800 800 800</t>
        </is>
      </c>
      <c r="L453" s="11" t="n"/>
      <c r="M453" s="11" t="inlineStr">
        <is>
          <t>offen</t>
        </is>
      </c>
      <c r="N453" s="11" t="inlineStr">
        <is>
          <t>Network Ops Swisscom SH-Knoten; Grenzregion D-Argument</t>
        </is>
      </c>
      <c r="O453" s="11" t="inlineStr">
        <is>
          <t>RZ-Knoten SH: USV 2× 200 kVA; NEA; PQ; Carrier-Grade; Grenzregion D</t>
        </is>
      </c>
      <c r="P453" s="11" t="inlineStr">
        <is>
          <t>USV</t>
        </is>
      </c>
      <c r="Q453" s="11" t="n"/>
      <c r="R453" s="11" t="inlineStr">
        <is>
          <t>Adr: Bahnhofstrasse, 8200 SH | Marktführer CH; Grenzregion D = kritischer Netzknoten</t>
        </is>
      </c>
      <c r="S453" s="11" t="inlineStr">
        <is>
          <t>Telekommunikation</t>
        </is>
      </c>
    </row>
    <row r="454">
      <c r="A454" s="11" t="n">
        <v>451</v>
      </c>
      <c r="B454" s="11" t="inlineStr">
        <is>
          <t>C</t>
        </is>
      </c>
      <c r="C454" s="11" t="inlineStr">
        <is>
          <t>Gemeinde/Öffentlich</t>
        </is>
      </c>
      <c r="D454" s="11" t="inlineStr">
        <is>
          <t>[MiT SH-Bestandskunde Wärme/Kälte Nr. 1]</t>
        </is>
      </c>
      <c r="E454" s="11" t="inlineStr">
        <is>
          <t>Schaffhausen</t>
        </is>
      </c>
      <c r="F454" s="11" t="inlineStr">
        <is>
          <t>8200</t>
        </is>
      </c>
      <c r="G454" s="11" t="inlineStr">
        <is>
          <t>SH</t>
        </is>
      </c>
      <c r="H454" s="11" t="inlineStr">
        <is>
          <t>Energieverantwortlicher</t>
        </is>
      </c>
      <c r="I454" s="11" t="inlineStr">
        <is>
          <t>Betriebsleiter</t>
        </is>
      </c>
      <c r="J454" s="11" t="n"/>
      <c r="K454" s="11" t="inlineStr">
        <is>
          <t>(MiT-CRM)</t>
        </is>
      </c>
      <c r="L454" s="11" t="n"/>
      <c r="M454" s="11" t="inlineStr">
        <is>
          <t>offen</t>
        </is>
      </c>
      <c r="N454" s="11" t="inlineStr">
        <is>
          <t>MiT-CRM Roberto/Stefan: SH-Kunden ohne Stromvertrag sofort identifizieren</t>
        </is>
      </c>
      <c r="O454" s="11" t="inlineStr">
        <is>
          <t>Strom-Add-on zu bestehender MiT-Wärme/Kälte-Lösung SH; sofortiger Warmlead</t>
        </is>
      </c>
      <c r="P454" s="11" t="inlineStr">
        <is>
          <t>Wärme</t>
        </is>
      </c>
      <c r="Q454" s="11" t="n"/>
      <c r="R454" s="11" t="inlineStr">
        <is>
          <t>Schnellster Weg zum ersten SH-Stromauftrag: Bestandskunden Wärme/Kälte SH</t>
        </is>
      </c>
      <c r="S454" s="11" t="inlineStr">
        <is>
          <t>Cross-Sell MiT</t>
        </is>
      </c>
    </row>
    <row r="455">
      <c r="A455" s="11" t="n">
        <v>452</v>
      </c>
      <c r="B455" s="11" t="inlineStr">
        <is>
          <t>A</t>
        </is>
      </c>
      <c r="C455" s="11" t="inlineStr">
        <is>
          <t>EVU/Netzbetreiber</t>
        </is>
      </c>
      <c r="D455" s="11" t="inlineStr">
        <is>
          <t>AEK Energie AG</t>
        </is>
      </c>
      <c r="E455" s="11" t="inlineStr">
        <is>
          <t>Solothurn</t>
        </is>
      </c>
      <c r="F455" s="11" t="inlineStr">
        <is>
          <t>4500</t>
        </is>
      </c>
      <c r="G455" s="11" t="inlineStr">
        <is>
          <t>SO</t>
        </is>
      </c>
      <c r="H455" s="11" t="inlineStr">
        <is>
          <t>Leiter Netzbetrieb</t>
        </is>
      </c>
      <c r="I455" s="11" t="inlineStr">
        <is>
          <t>Dipl. El.-Ing.</t>
        </is>
      </c>
      <c r="J455" s="11" t="inlineStr">
        <is>
          <t>info@aek.ch</t>
        </is>
      </c>
      <c r="K455" s="11" t="inlineStr">
        <is>
          <t>+41 32 624 84 00</t>
        </is>
      </c>
      <c r="L455" s="11" t="n"/>
      <c r="M455" s="11" t="inlineStr">
        <is>
          <t>offen</t>
        </is>
      </c>
      <c r="N455" s="11" t="inlineStr">
        <is>
          <t>Netzbetrieb AEK Solothurn</t>
        </is>
      </c>
      <c r="O455" s="11" t="inlineStr">
        <is>
          <t>MS-Revisionen SO; 100'000 Kunden; Unterwerke Gösgen/Olten</t>
        </is>
      </c>
      <c r="P455" s="11" t="inlineStr">
        <is>
          <t>Generator</t>
        </is>
      </c>
      <c r="Q455" s="11" t="n"/>
      <c r="R455" s="11" t="inlineStr">
        <is>
          <t>Bahnhofstrasse 47, 4502 Solothurn; 100'000 Kunden SO</t>
        </is>
      </c>
      <c r="S455" s="11" t="inlineStr">
        <is>
          <t>Kantonaler Versorger</t>
        </is>
      </c>
    </row>
    <row r="456">
      <c r="A456" s="11" t="n">
        <v>453</v>
      </c>
      <c r="B456" s="11" t="inlineStr">
        <is>
          <t>A</t>
        </is>
      </c>
      <c r="C456" s="11" t="inlineStr">
        <is>
          <t>EVU/Netzbetreiber</t>
        </is>
      </c>
      <c r="D456" s="11" t="inlineStr">
        <is>
          <t>Stadtwerk Olten – Technische Betriebe</t>
        </is>
      </c>
      <c r="E456" s="11" t="inlineStr">
        <is>
          <t>Olten</t>
        </is>
      </c>
      <c r="F456" s="11" t="inlineStr">
        <is>
          <t>4600</t>
        </is>
      </c>
      <c r="G456" s="11" t="inlineStr">
        <is>
          <t>SO</t>
        </is>
      </c>
      <c r="H456" s="11" t="inlineStr">
        <is>
          <t>Betriebsleiter</t>
        </is>
      </c>
      <c r="I456" s="11" t="inlineStr">
        <is>
          <t>Betriebsing.</t>
        </is>
      </c>
      <c r="J456" s="11" t="inlineStr">
        <is>
          <t>info@tbobern.ch</t>
        </is>
      </c>
      <c r="K456" s="11" t="inlineStr">
        <is>
          <t>+41 62 205 44 44</t>
        </is>
      </c>
      <c r="L456" s="11" t="n"/>
      <c r="M456" s="11" t="inlineStr">
        <is>
          <t>offen</t>
        </is>
      </c>
      <c r="N456" s="11" t="inlineStr">
        <is>
          <t>Betriebsleiter Stadtwerk Olten</t>
        </is>
      </c>
      <c r="O456" s="11" t="inlineStr">
        <is>
          <t>MS-Revisionen Olten; NEA Stadtgebäude; SBB-Knotenpunkt</t>
        </is>
      </c>
      <c r="P456" s="11" t="n"/>
      <c r="Q456" s="11" t="n"/>
      <c r="R456" s="11" t="inlineStr">
        <is>
          <t>Engelbergstrasse 1, 4600 Olten; SBB-Knotenpunkt</t>
        </is>
      </c>
      <c r="S456" s="11" t="inlineStr">
        <is>
          <t>Stadtwerk</t>
        </is>
      </c>
    </row>
    <row r="457">
      <c r="A457" s="11" t="n">
        <v>454</v>
      </c>
      <c r="B457" s="11" t="inlineStr">
        <is>
          <t>A</t>
        </is>
      </c>
      <c r="C457" s="11" t="inlineStr">
        <is>
          <t>Spital/Klinik</t>
        </is>
      </c>
      <c r="D457" s="11" t="inlineStr">
        <is>
          <t>Solothurner Spitäler AG (soH) – 4 Standorte</t>
        </is>
      </c>
      <c r="E457" s="11" t="inlineStr">
        <is>
          <t>Solothurn</t>
        </is>
      </c>
      <c r="F457" s="11" t="inlineStr">
        <is>
          <t>4500</t>
        </is>
      </c>
      <c r="G457" s="11" t="inlineStr">
        <is>
          <t>SO</t>
        </is>
      </c>
      <c r="H457" s="11" t="inlineStr">
        <is>
          <t>Betriebsleiter Technik</t>
        </is>
      </c>
      <c r="I457" s="11" t="inlineStr">
        <is>
          <t>Dipl. El.-Ing.</t>
        </is>
      </c>
      <c r="J457" s="11" t="inlineStr">
        <is>
          <t>info@solothurnerspitaeler.ch</t>
        </is>
      </c>
      <c r="K457" s="11" t="inlineStr">
        <is>
          <t>+41 32 627 41 41</t>
        </is>
      </c>
      <c r="L457" s="11" t="n"/>
      <c r="M457" s="11" t="inlineStr">
        <is>
          <t>offen</t>
        </is>
      </c>
      <c r="N457" s="11" t="inlineStr">
        <is>
          <t>Betriebsleiter soH; 4 Standorte = Rahmenvertrag</t>
        </is>
      </c>
      <c r="O457" s="11" t="inlineStr">
        <is>
          <t>NEA 4 Standorte 3× 400 kVA Pflicht; USV; 3'800 MA</t>
        </is>
      </c>
      <c r="P457" s="11" t="inlineStr">
        <is>
          <t>USV</t>
        </is>
      </c>
      <c r="Q457" s="11" t="n"/>
      <c r="R457" s="11" t="inlineStr">
        <is>
          <t>Schöngrünstrasse 42, 4500 Solothurn; Bürgerspital + Olten + Dornach + Balsthal</t>
        </is>
      </c>
      <c r="S457" s="11" t="inlineStr">
        <is>
          <t>Spitalgruppe</t>
        </is>
      </c>
    </row>
    <row r="458">
      <c r="A458" s="11" t="n">
        <v>455</v>
      </c>
      <c r="B458" s="11" t="inlineStr">
        <is>
          <t>A</t>
        </is>
      </c>
      <c r="C458" s="11" t="inlineStr">
        <is>
          <t>Pharma/Chemie</t>
        </is>
      </c>
      <c r="D458" s="11" t="inlineStr">
        <is>
          <t>Biogen – Werk Luterbach SO</t>
        </is>
      </c>
      <c r="E458" s="11" t="inlineStr">
        <is>
          <t>Luterbach</t>
        </is>
      </c>
      <c r="F458" s="11" t="inlineStr">
        <is>
          <t>4542</t>
        </is>
      </c>
      <c r="G458" s="11" t="inlineStr">
        <is>
          <t>SO</t>
        </is>
      </c>
      <c r="H458" s="11" t="inlineStr">
        <is>
          <t>Energiemanager</t>
        </is>
      </c>
      <c r="I458" s="11" t="inlineStr">
        <is>
          <t>MSc Energie</t>
        </is>
      </c>
      <c r="J458" s="11" t="inlineStr">
        <is>
          <t>info@biogen.com</t>
        </is>
      </c>
      <c r="K458" s="11" t="inlineStr">
        <is>
          <t>+41 32 674 72 00</t>
        </is>
      </c>
      <c r="L458" s="11" t="n"/>
      <c r="M458" s="11" t="inlineStr">
        <is>
          <t>offen</t>
        </is>
      </c>
      <c r="N458" s="11" t="inlineStr">
        <is>
          <t>Energiemanager Biogen Luterbach; Neubau = Baustrom</t>
        </is>
      </c>
      <c r="O458" s="11" t="inlineStr">
        <is>
          <t>Biopharma GMP: NEA 2 MVA; USV; PQ Reinräume; CHF 1.5 Mrd. Neubau</t>
        </is>
      </c>
      <c r="P458" s="11" t="inlineStr">
        <is>
          <t>USV</t>
        </is>
      </c>
      <c r="Q458" s="11" t="n"/>
      <c r="R458" s="11" t="inlineStr">
        <is>
          <t>Okenstrasse 2, 4542 Luterbach; CHF 1.5 Mrd. Investition Neubau</t>
        </is>
      </c>
      <c r="S458" s="11" t="inlineStr">
        <is>
          <t>Biopharma</t>
        </is>
      </c>
    </row>
    <row r="459">
      <c r="A459" s="11" t="n">
        <v>456</v>
      </c>
      <c r="B459" s="11" t="inlineStr">
        <is>
          <t>A</t>
        </is>
      </c>
      <c r="C459" s="11" t="inlineStr">
        <is>
          <t>Pharma/Chemie</t>
        </is>
      </c>
      <c r="D459" s="11" t="inlineStr">
        <is>
          <t>Straumann Group AG – Werk Villeret</t>
        </is>
      </c>
      <c r="E459" s="11" t="inlineStr">
        <is>
          <t>Villeret</t>
        </is>
      </c>
      <c r="F459" s="11" t="inlineStr">
        <is>
          <t>2613</t>
        </is>
      </c>
      <c r="G459" s="11" t="inlineStr">
        <is>
          <t>SO</t>
        </is>
      </c>
      <c r="H459" s="11" t="inlineStr">
        <is>
          <t>Betriebsleiter Technik</t>
        </is>
      </c>
      <c r="I459" s="11" t="inlineStr">
        <is>
          <t>MSc El.-Ing.</t>
        </is>
      </c>
      <c r="J459" s="11" t="inlineStr">
        <is>
          <t>info@straumann.com</t>
        </is>
      </c>
      <c r="K459" s="11" t="inlineStr">
        <is>
          <t>+41 32 944 21 11</t>
        </is>
      </c>
      <c r="L459" s="11" t="n"/>
      <c r="M459" s="11" t="inlineStr">
        <is>
          <t>offen</t>
        </is>
      </c>
      <c r="N459" s="11" t="inlineStr">
        <is>
          <t>Facility Manager Straumann Villeret identifizieren</t>
        </is>
      </c>
      <c r="O459" s="11" t="inlineStr">
        <is>
          <t>Dental-Implantat-Fertigung: PQ + NEA + USV 300 kVA; Präzision</t>
        </is>
      </c>
      <c r="P459" s="11" t="inlineStr">
        <is>
          <t>USV</t>
        </is>
      </c>
      <c r="Q459" s="11" t="n"/>
      <c r="R459" s="11" t="inlineStr">
        <is>
          <t>Hauptstrasse, 2613 Villeret; Dental-Weltmarktführer</t>
        </is>
      </c>
      <c r="S459" s="11" t="inlineStr">
        <is>
          <t>MedTech</t>
        </is>
      </c>
    </row>
    <row r="460">
      <c r="A460" s="11" t="n">
        <v>457</v>
      </c>
      <c r="B460" s="11" t="inlineStr">
        <is>
          <t>A</t>
        </is>
      </c>
      <c r="C460" s="11" t="inlineStr">
        <is>
          <t>Pharma/Chemie</t>
        </is>
      </c>
      <c r="D460" s="11" t="inlineStr">
        <is>
          <t>Rolex SA – Werk Biel-Umgebung / SO</t>
        </is>
      </c>
      <c r="E460" s="11" t="inlineStr">
        <is>
          <t>Grenchen</t>
        </is>
      </c>
      <c r="F460" s="11" t="inlineStr">
        <is>
          <t>2540</t>
        </is>
      </c>
      <c r="G460" s="11" t="inlineStr">
        <is>
          <t>SO</t>
        </is>
      </c>
      <c r="H460" s="11" t="inlineStr">
        <is>
          <t>Facility Manager</t>
        </is>
      </c>
      <c r="I460" s="11" t="inlineStr">
        <is>
          <t>Ingénieur</t>
        </is>
      </c>
      <c r="J460" s="11" t="inlineStr">
        <is>
          <t>info@rolex.com</t>
        </is>
      </c>
      <c r="K460" s="11" t="inlineStr">
        <is>
          <t>+41 32 654 41 11</t>
        </is>
      </c>
      <c r="L460" s="11" t="n"/>
      <c r="M460" s="11" t="inlineStr">
        <is>
          <t>offen</t>
        </is>
      </c>
      <c r="N460" s="11" t="inlineStr">
        <is>
          <t>Facility Manager Rolex Grenchen identifizieren</t>
        </is>
      </c>
      <c r="O460" s="11" t="inlineStr">
        <is>
          <t>Uhrenkomponenten: PQ + NEA 200 kVA; EMV Präzision</t>
        </is>
      </c>
      <c r="P460" s="11" t="n"/>
      <c r="Q460" s="11" t="n"/>
      <c r="R460" s="11" t="inlineStr">
        <is>
          <t>Grenchen SO; Uhren = PQ sensitiv</t>
        </is>
      </c>
      <c r="S460" s="11" t="inlineStr">
        <is>
          <t>Uhren</t>
        </is>
      </c>
    </row>
    <row r="461">
      <c r="A461" s="11" t="n">
        <v>458</v>
      </c>
      <c r="B461" s="11" t="inlineStr">
        <is>
          <t>B</t>
        </is>
      </c>
      <c r="C461" s="11" t="inlineStr">
        <is>
          <t>Bau/Infrastruktur</t>
        </is>
      </c>
      <c r="D461" s="11" t="inlineStr">
        <is>
          <t>ARA Solothurn – Aare-Schutz</t>
        </is>
      </c>
      <c r="E461" s="11" t="inlineStr">
        <is>
          <t>Solothurn</t>
        </is>
      </c>
      <c r="F461" s="11" t="inlineStr">
        <is>
          <t>4500</t>
        </is>
      </c>
      <c r="G461" s="11" t="inlineStr">
        <is>
          <t>SO</t>
        </is>
      </c>
      <c r="H461" s="11" t="inlineStr">
        <is>
          <t>Betriebsleiter</t>
        </is>
      </c>
      <c r="I461" s="11" t="inlineStr">
        <is>
          <t>Techniker</t>
        </is>
      </c>
      <c r="J461" s="11" t="inlineStr">
        <is>
          <t>info@ara-so.ch</t>
        </is>
      </c>
      <c r="K461" s="11" t="inlineStr">
        <is>
          <t>+41 32 624 71 71</t>
        </is>
      </c>
      <c r="L461" s="11" t="n"/>
      <c r="M461" s="11" t="inlineStr">
        <is>
          <t>offen</t>
        </is>
      </c>
      <c r="N461" s="11" t="inlineStr">
        <is>
          <t>Betriebsleiter + simap.ch Alert SO</t>
        </is>
      </c>
      <c r="O461" s="11" t="inlineStr">
        <is>
          <t>NEA-Pflicht 1× 350 kVA; Aare-Schutz</t>
        </is>
      </c>
      <c r="P461" s="11" t="inlineStr">
        <is>
          <t>Generator</t>
        </is>
      </c>
      <c r="Q461" s="11" t="n"/>
      <c r="R461" s="11" t="inlineStr">
        <is>
          <t>Aare-Schutz; Ausschreibungspflicht</t>
        </is>
      </c>
      <c r="S461" s="11" t="inlineStr">
        <is>
          <t>ARA</t>
        </is>
      </c>
    </row>
    <row r="462">
      <c r="A462" s="11" t="n">
        <v>459</v>
      </c>
      <c r="B462" s="11" t="inlineStr">
        <is>
          <t>B</t>
        </is>
      </c>
      <c r="C462" s="11" t="inlineStr">
        <is>
          <t>Bau/Infrastruktur</t>
        </is>
      </c>
      <c r="D462" s="11" t="inlineStr">
        <is>
          <t>ARA Olten AG – Aare/Dünnern-Schutz</t>
        </is>
      </c>
      <c r="E462" s="11" t="inlineStr">
        <is>
          <t>Olten</t>
        </is>
      </c>
      <c r="F462" s="11" t="inlineStr">
        <is>
          <t>4600</t>
        </is>
      </c>
      <c r="G462" s="11" t="inlineStr">
        <is>
          <t>SO</t>
        </is>
      </c>
      <c r="H462" s="11" t="inlineStr">
        <is>
          <t>Betriebsleiter</t>
        </is>
      </c>
      <c r="I462" s="11" t="inlineStr">
        <is>
          <t>Techniker</t>
        </is>
      </c>
      <c r="J462" s="11" t="inlineStr">
        <is>
          <t>info@ara-olten.ch</t>
        </is>
      </c>
      <c r="K462" s="11" t="inlineStr">
        <is>
          <t>+41 62 287 07 77</t>
        </is>
      </c>
      <c r="L462" s="11" t="n"/>
      <c r="M462" s="11" t="inlineStr">
        <is>
          <t>offen</t>
        </is>
      </c>
      <c r="N462" s="11" t="inlineStr">
        <is>
          <t>Betriebsleiter ARA Olten + simap.ch</t>
        </is>
      </c>
      <c r="O462" s="11" t="inlineStr">
        <is>
          <t>NEA-Pflicht 1× 300 kVA; Aare-Dünnern-Schutz</t>
        </is>
      </c>
      <c r="P462" s="11" t="inlineStr">
        <is>
          <t>Generator</t>
        </is>
      </c>
      <c r="Q462" s="11" t="n"/>
      <c r="R462" s="11" t="inlineStr">
        <is>
          <t>Aare-Schutz Olten; Ausschreibungspflicht</t>
        </is>
      </c>
      <c r="S462" s="11" t="inlineStr">
        <is>
          <t>ARA</t>
        </is>
      </c>
    </row>
    <row r="463">
      <c r="A463" s="11" t="n">
        <v>460</v>
      </c>
      <c r="B463" s="11" t="inlineStr">
        <is>
          <t>C</t>
        </is>
      </c>
      <c r="C463" s="11" t="inlineStr">
        <is>
          <t>Gemeinde/Öffentlich</t>
        </is>
      </c>
      <c r="D463" s="11" t="inlineStr">
        <is>
          <t>Kanton Solothurn – Hochbauamt</t>
        </is>
      </c>
      <c r="E463" s="11" t="inlineStr">
        <is>
          <t>Solothurn</t>
        </is>
      </c>
      <c r="F463" s="11" t="inlineStr">
        <is>
          <t>4509</t>
        </is>
      </c>
      <c r="G463" s="11" t="inlineStr">
        <is>
          <t>SO</t>
        </is>
      </c>
      <c r="H463" s="11" t="inlineStr">
        <is>
          <t>Leiter Hochbauamt</t>
        </is>
      </c>
      <c r="I463" s="11" t="inlineStr">
        <is>
          <t>Kantonsbauingenieur</t>
        </is>
      </c>
      <c r="J463" s="11" t="inlineStr">
        <is>
          <t>hochbauamt@so.ch</t>
        </is>
      </c>
      <c r="K463" s="11" t="inlineStr">
        <is>
          <t>+41 32 627 22 30</t>
        </is>
      </c>
      <c r="L463" s="11" t="n"/>
      <c r="M463" s="11" t="inlineStr">
        <is>
          <t>offen</t>
        </is>
      </c>
      <c r="N463" s="11" t="inlineStr">
        <is>
          <t>Hochbauamt SO + simap.ch Alert</t>
        </is>
      </c>
      <c r="O463" s="11" t="inlineStr">
        <is>
          <t>NEA kantonale Gebäude 500 kVA; Rahmenvertrag</t>
        </is>
      </c>
      <c r="P463" s="11" t="n"/>
      <c r="Q463" s="11" t="n"/>
      <c r="R463" s="11" t="inlineStr">
        <is>
          <t>Rathausgasse 16, 4509 Solothurn; Rahmenvertrag</t>
        </is>
      </c>
      <c r="S463" s="11" t="inlineStr">
        <is>
          <t>Kanton</t>
        </is>
      </c>
    </row>
    <row r="464">
      <c r="A464" s="11" t="n">
        <v>461</v>
      </c>
      <c r="B464" s="11" t="inlineStr">
        <is>
          <t>C</t>
        </is>
      </c>
      <c r="C464" s="11" t="inlineStr">
        <is>
          <t>Gemeinde/Öffentlich</t>
        </is>
      </c>
      <c r="D464" s="11" t="inlineStr">
        <is>
          <t>[MiT SO-Bestandskunde Wärme/Kälte]</t>
        </is>
      </c>
      <c r="E464" s="11" t="inlineStr">
        <is>
          <t>Solothurn allg.</t>
        </is>
      </c>
      <c r="F464" s="11" t="inlineStr">
        <is>
          <t>4500</t>
        </is>
      </c>
      <c r="G464" s="11" t="inlineStr">
        <is>
          <t>SO</t>
        </is>
      </c>
      <c r="H464" s="11" t="inlineStr">
        <is>
          <t>Energieverantwortlicher</t>
        </is>
      </c>
      <c r="I464" s="11" t="inlineStr">
        <is>
          <t>Betriebsleiter</t>
        </is>
      </c>
      <c r="J464" s="11" t="n"/>
      <c r="K464" s="11" t="inlineStr">
        <is>
          <t>–</t>
        </is>
      </c>
      <c r="L464" s="11" t="n"/>
      <c r="M464" s="11" t="inlineStr">
        <is>
          <t>offen</t>
        </is>
      </c>
      <c r="N464" s="11" t="inlineStr">
        <is>
          <t>MiT-CRM: SO-Kunden ohne Strom</t>
        </is>
      </c>
      <c r="O464" s="11" t="inlineStr">
        <is>
          <t>Strom-Add-on zu MiT Wärme/Kälte SO</t>
        </is>
      </c>
      <c r="P464" s="11" t="inlineStr">
        <is>
          <t>Wärme</t>
        </is>
      </c>
      <c r="Q464" s="11" t="n"/>
      <c r="R464" s="11" t="inlineStr">
        <is>
          <t>Warmlead über Bestandsbasis SO</t>
        </is>
      </c>
      <c r="S464" s="11" t="inlineStr">
        <is>
          <t>Cross-Sell MiT</t>
        </is>
      </c>
    </row>
    <row r="465">
      <c r="A465" s="11" t="n">
        <v>462</v>
      </c>
      <c r="B465" s="11" t="inlineStr">
        <is>
          <t>A</t>
        </is>
      </c>
      <c r="C465" s="11" t="inlineStr">
        <is>
          <t>EVU/Netzbetreiber</t>
        </is>
      </c>
      <c r="D465" s="11" t="inlineStr">
        <is>
          <t>Energie Seeland AG (ESB)</t>
        </is>
      </c>
      <c r="E465" s="11" t="inlineStr">
        <is>
          <t>Biel/Bienne</t>
        </is>
      </c>
      <c r="F465" s="11" t="inlineStr">
        <is>
          <t>2500</t>
        </is>
      </c>
      <c r="G465" s="11" t="inlineStr">
        <is>
          <t>SO</t>
        </is>
      </c>
      <c r="H465" s="11" t="inlineStr">
        <is>
          <t>Leiter Netzbetrieb</t>
        </is>
      </c>
      <c r="I465" s="11" t="inlineStr">
        <is>
          <t>Dipl. El.-Ing.</t>
        </is>
      </c>
      <c r="J465" s="11" t="inlineStr">
        <is>
          <t>info@esb.ch</t>
        </is>
      </c>
      <c r="K465" s="11" t="inlineStr">
        <is>
          <t>+41 32 344 50 50</t>
        </is>
      </c>
      <c r="L465" s="11" t="n"/>
      <c r="M465" s="11" t="inlineStr">
        <is>
          <t>offen</t>
        </is>
      </c>
      <c r="N465" s="11" t="inlineStr">
        <is>
          <t>Netzbetrieb ESB; Revisionskalender anfragen; SO/BE-Grenzregion</t>
        </is>
      </c>
      <c r="O465" s="11" t="inlineStr">
        <is>
          <t>EVU SO/BE-Grenzregion: MS/HS-Revisionen; NEA kommunale Gebäude; BESS</t>
        </is>
      </c>
      <c r="P465" s="11" t="inlineStr">
        <is>
          <t>BESS</t>
        </is>
      </c>
      <c r="Q465" s="11" t="n"/>
      <c r="R465" s="11" t="inlineStr">
        <is>
          <t>Adr: Biel Region | EVU SO/BE; Strom+Wärme+Wasser</t>
        </is>
      </c>
      <c r="S465" s="11" t="inlineStr">
        <is>
          <t>Kantonaler EVU</t>
        </is>
      </c>
    </row>
    <row r="466">
      <c r="A466" s="11" t="n">
        <v>463</v>
      </c>
      <c r="B466" s="11" t="inlineStr">
        <is>
          <t>A</t>
        </is>
      </c>
      <c r="C466" s="11" t="inlineStr">
        <is>
          <t>EVU/Netzbetreiber</t>
        </is>
      </c>
      <c r="D466" s="11" t="inlineStr">
        <is>
          <t>Stadtwerk Olten AG</t>
        </is>
      </c>
      <c r="E466" s="11" t="inlineStr">
        <is>
          <t>Olten</t>
        </is>
      </c>
      <c r="F466" s="11" t="inlineStr">
        <is>
          <t>4600</t>
        </is>
      </c>
      <c r="G466" s="11" t="inlineStr">
        <is>
          <t>SO</t>
        </is>
      </c>
      <c r="H466" s="11" t="inlineStr">
        <is>
          <t>Betriebsleiter</t>
        </is>
      </c>
      <c r="I466" s="11" t="inlineStr">
        <is>
          <t>Dipl. El.-Ing.</t>
        </is>
      </c>
      <c r="J466" s="11" t="inlineStr">
        <is>
          <t>info@stadtwerk-olten.ch</t>
        </is>
      </c>
      <c r="K466" s="11" t="inlineStr">
        <is>
          <t>+41 62 206 12 12</t>
        </is>
      </c>
      <c r="L466" s="11" t="n"/>
      <c r="M466" s="11" t="inlineStr">
        <is>
          <t>offen</t>
        </is>
      </c>
      <c r="N466" s="11" t="inlineStr">
        <is>
          <t>Betriebsleiter Stadtwerk Olten; Römerstrasse 1 Olten</t>
        </is>
      </c>
      <c r="O466" s="11" t="inlineStr">
        <is>
          <t>Stadtwerk Olten: MS-Revisionen; NEA Stadtgebäude; Fernwärme; Cross-Sell</t>
        </is>
      </c>
      <c r="P466" s="11" t="inlineStr">
        <is>
          <t>Wärme</t>
        </is>
      </c>
      <c r="Q466" s="11" t="n"/>
      <c r="R466" s="11" t="inlineStr">
        <is>
          <t>Adr: Römerstrasse 1, 4600 Olten | Stadtwerk Olten; Strom+Wärme+Wasser</t>
        </is>
      </c>
      <c r="S466" s="11" t="inlineStr">
        <is>
          <t>Stadtwerk Olten</t>
        </is>
      </c>
    </row>
    <row r="467">
      <c r="A467" s="11" t="n">
        <v>464</v>
      </c>
      <c r="B467" s="11" t="inlineStr">
        <is>
          <t>A</t>
        </is>
      </c>
      <c r="C467" s="11" t="inlineStr">
        <is>
          <t>Spital/Klinik</t>
        </is>
      </c>
      <c r="D467" s="11" t="inlineStr">
        <is>
          <t>Kantonsspital Olten (KSSO)</t>
        </is>
      </c>
      <c r="E467" s="11" t="inlineStr">
        <is>
          <t>Olten</t>
        </is>
      </c>
      <c r="F467" s="11" t="inlineStr">
        <is>
          <t>4600</t>
        </is>
      </c>
      <c r="G467" s="11" t="inlineStr">
        <is>
          <t>SO</t>
        </is>
      </c>
      <c r="H467" s="11" t="inlineStr">
        <is>
          <t>Betriebsleiter TGM</t>
        </is>
      </c>
      <c r="I467" s="11" t="inlineStr">
        <is>
          <t>MSc El.-Ing.</t>
        </is>
      </c>
      <c r="J467" s="11" t="inlineStr">
        <is>
          <t>info@ksso.ch</t>
        </is>
      </c>
      <c r="K467" s="11" t="inlineStr">
        <is>
          <t>+41 62 311 41 41</t>
        </is>
      </c>
      <c r="L467" s="11" t="n"/>
      <c r="M467" s="11" t="inlineStr">
        <is>
          <t>offen</t>
        </is>
      </c>
      <c r="N467" s="11" t="inlineStr">
        <is>
          <t>TGM KSSO; Baslerstrasse 150 Olten; simap.ch Alert SO</t>
        </is>
      </c>
      <c r="O467" s="11" t="inlineStr">
        <is>
          <t>NEA 3× 400 kVA; USV OP/ICU; 2'100 MA; KSSO + Bürgerspital Solothurn</t>
        </is>
      </c>
      <c r="P467" s="11" t="inlineStr">
        <is>
          <t>USV</t>
        </is>
      </c>
      <c r="Q467" s="11" t="n"/>
      <c r="R467" s="11" t="inlineStr">
        <is>
          <t>Adr: Baslerstrasse 150, 4600 Olten | 2'100 MA; grösstes Spital SO</t>
        </is>
      </c>
      <c r="S467" s="11" t="inlineStr">
        <is>
          <t>Kantonsspital</t>
        </is>
      </c>
    </row>
    <row r="468">
      <c r="A468" s="11" t="n">
        <v>465</v>
      </c>
      <c r="B468" s="11" t="inlineStr">
        <is>
          <t>A</t>
        </is>
      </c>
      <c r="C468" s="11" t="inlineStr">
        <is>
          <t>Spital/Klinik</t>
        </is>
      </c>
      <c r="D468" s="11" t="inlineStr">
        <is>
          <t>Bürgerspital Solothurn</t>
        </is>
      </c>
      <c r="E468" s="11" t="inlineStr">
        <is>
          <t>Solothurn</t>
        </is>
      </c>
      <c r="F468" s="11" t="inlineStr">
        <is>
          <t>4500</t>
        </is>
      </c>
      <c r="G468" s="11" t="inlineStr">
        <is>
          <t>SO</t>
        </is>
      </c>
      <c r="H468" s="11" t="inlineStr">
        <is>
          <t>Betriebsleiter Technik</t>
        </is>
      </c>
      <c r="I468" s="11" t="inlineStr">
        <is>
          <t>Dipl. El.-Ing.</t>
        </is>
      </c>
      <c r="J468" s="11" t="inlineStr">
        <is>
          <t>info@buergerspital.ch</t>
        </is>
      </c>
      <c r="K468" s="11" t="inlineStr">
        <is>
          <t>+41 32 627 41 41</t>
        </is>
      </c>
      <c r="L468" s="11" t="n"/>
      <c r="M468" s="11" t="inlineStr">
        <is>
          <t>offen</t>
        </is>
      </c>
      <c r="N468" s="11" t="inlineStr">
        <is>
          <t>Betriebsleiter Bürgerspital; Schöngrünstrasse 42 Solothurn</t>
        </is>
      </c>
      <c r="O468" s="11" t="inlineStr">
        <is>
          <t>NEA 2× 350 kVA; USV OP/ICU; 1'200 MA; Solothurn Stadt; NIV Art. 13</t>
        </is>
      </c>
      <c r="P468" s="11" t="inlineStr">
        <is>
          <t>USV</t>
        </is>
      </c>
      <c r="Q468" s="11" t="n"/>
      <c r="R468" s="11" t="inlineStr">
        <is>
          <t>Adr: Schöngrünstrasse 42, 4500 Solothurn | 1'200 MA; NIV Art. 13</t>
        </is>
      </c>
      <c r="S468" s="11" t="inlineStr">
        <is>
          <t>Bürgerspital</t>
        </is>
      </c>
    </row>
    <row r="469">
      <c r="A469" s="11" t="n">
        <v>466</v>
      </c>
      <c r="B469" s="11" t="inlineStr">
        <is>
          <t>A</t>
        </is>
      </c>
      <c r="C469" s="11" t="inlineStr">
        <is>
          <t>Pharma/Chemie</t>
        </is>
      </c>
      <c r="D469" s="11" t="inlineStr">
        <is>
          <t>Cartier / Richemont (Werk Grenchen SO)</t>
        </is>
      </c>
      <c r="E469" s="11" t="inlineStr">
        <is>
          <t>Grenchen</t>
        </is>
      </c>
      <c r="F469" s="11" t="inlineStr">
        <is>
          <t>2540</t>
        </is>
      </c>
      <c r="G469" s="11" t="inlineStr">
        <is>
          <t>SO</t>
        </is>
      </c>
      <c r="H469" s="11" t="inlineStr">
        <is>
          <t>Betriebsleiter Technik</t>
        </is>
      </c>
      <c r="I469" s="11" t="inlineStr">
        <is>
          <t>Ingénieur</t>
        </is>
      </c>
      <c r="J469" s="11" t="inlineStr">
        <is>
          <t>info@cartier.com</t>
        </is>
      </c>
      <c r="K469" s="11" t="inlineStr">
        <is>
          <t>+41 32 654 11 11</t>
        </is>
      </c>
      <c r="L469" s="11" t="n"/>
      <c r="M469" s="11" t="inlineStr">
        <is>
          <t>offen</t>
        </is>
      </c>
      <c r="N469" s="11" t="inlineStr">
        <is>
          <t>Betriebsleiter Cartier Grenchen; Richemont-Argument; PQ-Pitch</t>
        </is>
      </c>
      <c r="O469" s="11" t="inlineStr">
        <is>
          <t>Uhrenmontage + Gehäuse: PQ + NEA + USV 500 kVA; EMV; Reinraum; Richemont</t>
        </is>
      </c>
      <c r="P469" s="11" t="n"/>
      <c r="Q469" s="11" t="n"/>
      <c r="R469" s="11" t="inlineStr">
        <is>
          <t>Adr: Grenchen, 2540 SO | Richemont/Cartier; Uhren Grenchen-Cluster; PQ sensitiv</t>
        </is>
      </c>
      <c r="S469" s="11" t="inlineStr">
        <is>
          <t>Uhren/Zubehör</t>
        </is>
      </c>
    </row>
    <row r="470">
      <c r="A470" s="11" t="n">
        <v>467</v>
      </c>
      <c r="B470" s="11" t="inlineStr">
        <is>
          <t>A</t>
        </is>
      </c>
      <c r="C470" s="11" t="inlineStr">
        <is>
          <t>Pharma/Chemie</t>
        </is>
      </c>
      <c r="D470" s="11" t="inlineStr">
        <is>
          <t>Swatch Group Werk Grenchen</t>
        </is>
      </c>
      <c r="E470" s="11" t="inlineStr">
        <is>
          <t>Grenchen</t>
        </is>
      </c>
      <c r="F470" s="11" t="inlineStr">
        <is>
          <t>2540</t>
        </is>
      </c>
      <c r="G470" s="11" t="inlineStr">
        <is>
          <t>SO</t>
        </is>
      </c>
      <c r="H470" s="11" t="inlineStr">
        <is>
          <t>Betriebsleiter Technik</t>
        </is>
      </c>
      <c r="I470" s="11" t="inlineStr">
        <is>
          <t>Dipl. El.-Ing.</t>
        </is>
      </c>
      <c r="J470" s="11" t="inlineStr">
        <is>
          <t>info@swatchgroup.com</t>
        </is>
      </c>
      <c r="K470" s="11" t="inlineStr">
        <is>
          <t>+41 32 343 68 11</t>
        </is>
      </c>
      <c r="L470" s="11" t="n"/>
      <c r="M470" s="11" t="inlineStr">
        <is>
          <t>offen</t>
        </is>
      </c>
      <c r="N470" s="11" t="inlineStr">
        <is>
          <t>Betriebsleiter Swatch Grenchen; Swatch Group HQ Biel als Türöffner</t>
        </is>
      </c>
      <c r="O470" s="11" t="inlineStr">
        <is>
          <t>Swatch Uhrenproduktion: PQ + NEA + USV 300 kVA; EMV; Reinraum; 18 Standorte</t>
        </is>
      </c>
      <c r="P470" s="11" t="n"/>
      <c r="Q470" s="11" t="n"/>
      <c r="R470" s="11" t="inlineStr">
        <is>
          <t>Adr: Grenchen, 2540 SO | Swatch Group Werk; Uhren-Cluster Grenchen-Biel</t>
        </is>
      </c>
      <c r="S470" s="11" t="inlineStr">
        <is>
          <t>Uhren / Swatch</t>
        </is>
      </c>
    </row>
    <row r="471">
      <c r="A471" s="11" t="n">
        <v>468</v>
      </c>
      <c r="B471" s="11" t="inlineStr">
        <is>
          <t>A</t>
        </is>
      </c>
      <c r="C471" s="11" t="inlineStr">
        <is>
          <t>Pharma/Chemie</t>
        </is>
      </c>
      <c r="D471" s="11" t="inlineStr">
        <is>
          <t>Perlen Paper AG (SO-Werk)</t>
        </is>
      </c>
      <c r="E471" s="11" t="inlineStr">
        <is>
          <t>Perlen</t>
        </is>
      </c>
      <c r="F471" s="11" t="inlineStr">
        <is>
          <t>6037</t>
        </is>
      </c>
      <c r="G471" s="11" t="inlineStr">
        <is>
          <t>SO</t>
        </is>
      </c>
      <c r="H471" s="11" t="inlineStr">
        <is>
          <t>Betriebsleiter Elektro</t>
        </is>
      </c>
      <c r="I471" s="11" t="inlineStr">
        <is>
          <t>Dipl. El.-Ing.</t>
        </is>
      </c>
      <c r="J471" s="11" t="inlineStr">
        <is>
          <t>info@perlenpaper.ch</t>
        </is>
      </c>
      <c r="K471" s="11" t="inlineStr">
        <is>
          <t>+41 41 455 91 11</t>
        </is>
      </c>
      <c r="L471" s="11" t="n"/>
      <c r="M471" s="11" t="inlineStr">
        <is>
          <t>offen</t>
        </is>
      </c>
      <c r="N471" s="11" t="inlineStr">
        <is>
          <t>Betriebsleiter Perlen Paper; FU-PQ-Pitch SO</t>
        </is>
      </c>
      <c r="O471" s="11" t="inlineStr">
        <is>
          <t>Papierfabrik: NEA 2 MVA; FU-Antriebe intensiv; PQ; ISO 50001</t>
        </is>
      </c>
      <c r="P471" s="11" t="n"/>
      <c r="Q471" s="11" t="n"/>
      <c r="R471" s="11" t="inlineStr">
        <is>
          <t>Adr: Perlen LU/SO | Papierfabrik; FU-intensiv; grenzregion LU/SO</t>
        </is>
      </c>
      <c r="S471" s="11" t="inlineStr">
        <is>
          <t>Papierproduktion</t>
        </is>
      </c>
    </row>
    <row r="472">
      <c r="A472" s="11" t="n">
        <v>469</v>
      </c>
      <c r="B472" s="11" t="inlineStr">
        <is>
          <t>A</t>
        </is>
      </c>
      <c r="C472" s="11" t="inlineStr">
        <is>
          <t>Bau/Infrastruktur</t>
        </is>
      </c>
      <c r="D472" s="11" t="inlineStr">
        <is>
          <t>SBB AG Infrastruktur Olten (Knotenpunkt)</t>
        </is>
      </c>
      <c r="E472" s="11" t="inlineStr">
        <is>
          <t>Olten</t>
        </is>
      </c>
      <c r="F472" s="11" t="inlineStr">
        <is>
          <t>4600</t>
        </is>
      </c>
      <c r="G472" s="11" t="inlineStr">
        <is>
          <t>SO</t>
        </is>
      </c>
      <c r="H472" s="11" t="inlineStr">
        <is>
          <t>Betriebsleiter Infra Energie SO</t>
        </is>
      </c>
      <c r="I472" s="11" t="inlineStr">
        <is>
          <t>MSc El.-Ing.</t>
        </is>
      </c>
      <c r="J472" s="11" t="inlineStr">
        <is>
          <t>kontakt@sbb.ch</t>
        </is>
      </c>
      <c r="K472" s="11" t="inlineStr">
        <is>
          <t>+41 58 333 33 33</t>
        </is>
      </c>
      <c r="L472" s="11" t="n"/>
      <c r="M472" s="11" t="inlineStr">
        <is>
          <t>offen</t>
        </is>
      </c>
      <c r="N472" s="11" t="inlineStr">
        <is>
          <t>SBB Infra Olten; Grösster CH-Knotenpunkt; simap.ch 'SBB Olten'</t>
        </is>
      </c>
      <c r="O472" s="11" t="inlineStr">
        <is>
          <t>Grösster SBB-Knotenpunkt CH: Baustrom + NEA + Revisionen Rangierbahnhof; CH-Herzschlag</t>
        </is>
      </c>
      <c r="P472" s="11" t="n"/>
      <c r="Q472" s="11" t="n"/>
      <c r="R472" s="11" t="inlineStr">
        <is>
          <t>Adr: Bahnhofstrasse 2, 4600 Olten | Grösster SBB-Knotenpunkt CH; Rangierbahnhof</t>
        </is>
      </c>
      <c r="S472" s="11" t="inlineStr">
        <is>
          <t>Bundesbahn</t>
        </is>
      </c>
    </row>
    <row r="473">
      <c r="A473" s="11" t="n">
        <v>470</v>
      </c>
      <c r="B473" s="11" t="inlineStr">
        <is>
          <t>A</t>
        </is>
      </c>
      <c r="C473" s="11" t="inlineStr">
        <is>
          <t>Industrie/Maschinenbau</t>
        </is>
      </c>
      <c r="D473" s="11" t="inlineStr">
        <is>
          <t>Tornos SA (Drehmaschinen Moutier SO)</t>
        </is>
      </c>
      <c r="E473" s="11" t="inlineStr">
        <is>
          <t>Moutier</t>
        </is>
      </c>
      <c r="F473" s="11" t="inlineStr">
        <is>
          <t>2740</t>
        </is>
      </c>
      <c r="G473" s="11" t="inlineStr">
        <is>
          <t>SO</t>
        </is>
      </c>
      <c r="H473" s="11" t="inlineStr">
        <is>
          <t>Betriebsleiter Elektro</t>
        </is>
      </c>
      <c r="I473" s="11" t="inlineStr">
        <is>
          <t>MSc El.-Ing.</t>
        </is>
      </c>
      <c r="J473" s="11" t="inlineStr">
        <is>
          <t>info@tornos.com</t>
        </is>
      </c>
      <c r="K473" s="11" t="inlineStr">
        <is>
          <t>+41 32 494 44 44</t>
        </is>
      </c>
      <c r="L473" s="11" t="n"/>
      <c r="M473" s="11" t="inlineStr">
        <is>
          <t>offen</t>
        </is>
      </c>
      <c r="N473" s="11" t="inlineStr">
        <is>
          <t>Betriebsleiter Tornos; Rue Industrielle 111 Moutier; FU-PQ-Pitch</t>
        </is>
      </c>
      <c r="O473" s="11" t="inlineStr">
        <is>
          <t>CNC-Maschinen Prüfstände: FU 1 MVA; PQ; EMV; 1'200 MA; CNC-Weltmarktführer</t>
        </is>
      </c>
      <c r="P473" s="11" t="n"/>
      <c r="Q473" s="11" t="n"/>
      <c r="R473" s="11" t="inlineStr">
        <is>
          <t>Adr: Rue Industrielle 111, 2740 Moutier | CNC-Weltmarktführer; 1'200 MA</t>
        </is>
      </c>
      <c r="S473" s="11" t="inlineStr">
        <is>
          <t>Werkzeugmaschinen</t>
        </is>
      </c>
    </row>
    <row r="474">
      <c r="A474" s="11" t="n">
        <v>471</v>
      </c>
      <c r="B474" s="11" t="inlineStr">
        <is>
          <t>B</t>
        </is>
      </c>
      <c r="C474" s="11" t="inlineStr">
        <is>
          <t>Pharma/Chemie</t>
        </is>
      </c>
      <c r="D474" s="11" t="inlineStr">
        <is>
          <t>Stahl Gerlafingen AG (Werk Gerlafingen SO)</t>
        </is>
      </c>
      <c r="E474" s="11" t="inlineStr">
        <is>
          <t>Gerlafingen</t>
        </is>
      </c>
      <c r="F474" s="11" t="inlineStr">
        <is>
          <t>4563</t>
        </is>
      </c>
      <c r="G474" s="11" t="inlineStr">
        <is>
          <t>SO</t>
        </is>
      </c>
      <c r="H474" s="11" t="inlineStr">
        <is>
          <t>Betriebsleiter Elektro</t>
        </is>
      </c>
      <c r="I474" s="11" t="inlineStr">
        <is>
          <t>MSc El.-Ing.</t>
        </is>
      </c>
      <c r="J474" s="11" t="inlineStr">
        <is>
          <t>info@gerlafingen.ch</t>
        </is>
      </c>
      <c r="K474" s="11" t="inlineStr">
        <is>
          <t>+41 32 675 25 25</t>
        </is>
      </c>
      <c r="L474" s="11" t="n"/>
      <c r="M474" s="11" t="inlineStr">
        <is>
          <t>offen</t>
        </is>
      </c>
      <c r="N474" s="11" t="inlineStr">
        <is>
          <t>Betriebsleiter Stahl Gerlafingen; Industriestrasse; Lichtbogenofen-Pitch</t>
        </is>
      </c>
      <c r="O474" s="11" t="inlineStr">
        <is>
          <t>Lichtbogenofen Stahl: NEA 5 MVA; 50+ MVA Ofen; PQ extremste NRW CH; 600 MA</t>
        </is>
      </c>
      <c r="P474" s="11" t="n"/>
      <c r="Q474" s="11" t="n"/>
      <c r="R474" s="11" t="inlineStr">
        <is>
          <t>Adr: Industriestrasse 26, 4563 Gerlafingen | Lichtbogenofen; stärkste NRW SO</t>
        </is>
      </c>
      <c r="S474" s="11" t="inlineStr">
        <is>
          <t>Stahl / Metall</t>
        </is>
      </c>
    </row>
    <row r="475">
      <c r="A475" s="11" t="n">
        <v>472</v>
      </c>
      <c r="B475" s="11" t="inlineStr">
        <is>
          <t>B</t>
        </is>
      </c>
      <c r="C475" s="11" t="inlineStr">
        <is>
          <t>Gemeinde/Öffentlich</t>
        </is>
      </c>
      <c r="D475" s="11" t="inlineStr">
        <is>
          <t>Kanton Solothurn (Hochbauamt)</t>
        </is>
      </c>
      <c r="E475" s="11" t="inlineStr">
        <is>
          <t>Solothurn</t>
        </is>
      </c>
      <c r="F475" s="11" t="inlineStr">
        <is>
          <t>4509</t>
        </is>
      </c>
      <c r="G475" s="11" t="inlineStr">
        <is>
          <t>SO</t>
        </is>
      </c>
      <c r="H475" s="11" t="inlineStr">
        <is>
          <t>Leiter Hochbauamt</t>
        </is>
      </c>
      <c r="I475" s="11" t="inlineStr">
        <is>
          <t>Kantonsbauingenieur</t>
        </is>
      </c>
      <c r="J475" s="11" t="inlineStr">
        <is>
          <t>hochbauamt@so.ch</t>
        </is>
      </c>
      <c r="K475" s="11" t="inlineStr">
        <is>
          <t>+41 32 627 20 00</t>
        </is>
      </c>
      <c r="L475" s="11" t="n"/>
      <c r="M475" s="11" t="inlineStr">
        <is>
          <t>offen</t>
        </is>
      </c>
      <c r="N475" s="11" t="inlineStr">
        <is>
          <t>Hochbauamt SO; Rötihof SO; simap.ch Alert Kanton SO</t>
        </is>
      </c>
      <c r="O475" s="11" t="inlineStr">
        <is>
          <t>NEA kantonale Gebäude SO; 200+ Liegenschaften; Rahmenvertrag</t>
        </is>
      </c>
      <c r="P475" s="11" t="n"/>
      <c r="Q475" s="11" t="n"/>
      <c r="R475" s="11" t="inlineStr">
        <is>
          <t>Adr: Werkhofstrasse 65, 4509 Solothurn | 200+ Liegenschaften; Rahmenvertrag</t>
        </is>
      </c>
      <c r="S475" s="11" t="inlineStr">
        <is>
          <t>Kanton SO</t>
        </is>
      </c>
    </row>
    <row r="476">
      <c r="A476" s="11" t="n">
        <v>473</v>
      </c>
      <c r="B476" s="11" t="inlineStr">
        <is>
          <t>B</t>
        </is>
      </c>
      <c r="C476" s="11" t="inlineStr">
        <is>
          <t>Elektroplaner/Engineering</t>
        </is>
      </c>
      <c r="D476" s="11" t="inlineStr">
        <is>
          <t>Arpagaus Elektro AG (Olten SO-Region)</t>
        </is>
      </c>
      <c r="E476" s="11" t="inlineStr">
        <is>
          <t>Olten</t>
        </is>
      </c>
      <c r="F476" s="11" t="inlineStr">
        <is>
          <t>4600</t>
        </is>
      </c>
      <c r="G476" s="11" t="inlineStr">
        <is>
          <t>SO</t>
        </is>
      </c>
      <c r="H476" s="11" t="inlineStr">
        <is>
          <t>Inhaber</t>
        </is>
      </c>
      <c r="I476" s="11" t="inlineStr">
        <is>
          <t>Elektroinstallateur EFZ</t>
        </is>
      </c>
      <c r="J476" s="11" t="inlineStr">
        <is>
          <t>info@arpagaus.ch</t>
        </is>
      </c>
      <c r="K476" s="11" t="inlineStr">
        <is>
          <t>+41 62 212 34 56</t>
        </is>
      </c>
      <c r="L476" s="11" t="n"/>
      <c r="M476" s="11" t="inlineStr">
        <is>
          <t>offen</t>
        </is>
      </c>
      <c r="N476" s="11" t="inlineStr">
        <is>
          <t>Inhaber Arpagaus; Olten SO; Partnerschaft besprechen</t>
        </is>
      </c>
      <c r="O476" s="11" t="inlineStr">
        <is>
          <t>Elektrounternehmen Olten-Region: Industrie+Gewerbe; lokaler Marktführer SO</t>
        </is>
      </c>
      <c r="P476" s="11" t="n"/>
      <c r="Q476" s="11" t="n"/>
      <c r="R476" s="11" t="inlineStr">
        <is>
          <t>Adr: Olten, 4600 SO | Elektrounternehmen SO-Region; Industrie+Gewerbe</t>
        </is>
      </c>
      <c r="S476" s="11" t="inlineStr">
        <is>
          <t>Elektrounternehmen SO</t>
        </is>
      </c>
    </row>
    <row r="477">
      <c r="A477" s="11" t="n">
        <v>474</v>
      </c>
      <c r="B477" s="11" t="inlineStr">
        <is>
          <t>B</t>
        </is>
      </c>
      <c r="C477" s="11" t="inlineStr">
        <is>
          <t>Bau/Infrastruktur</t>
        </is>
      </c>
      <c r="D477" s="11" t="inlineStr">
        <is>
          <t>ARA Solothurn (Aare-Schutz)</t>
        </is>
      </c>
      <c r="E477" s="11" t="inlineStr">
        <is>
          <t>Solothurn</t>
        </is>
      </c>
      <c r="F477" s="11" t="inlineStr">
        <is>
          <t>4500</t>
        </is>
      </c>
      <c r="G477" s="11" t="inlineStr">
        <is>
          <t>SO</t>
        </is>
      </c>
      <c r="H477" s="11" t="inlineStr">
        <is>
          <t>Betriebsleiter ARA</t>
        </is>
      </c>
      <c r="I477" s="11" t="inlineStr">
        <is>
          <t>Techniker</t>
        </is>
      </c>
      <c r="J477" s="11" t="inlineStr">
        <is>
          <t>info@ara-so.ch</t>
        </is>
      </c>
      <c r="K477" s="11" t="inlineStr">
        <is>
          <t>+41 32 621 44 00</t>
        </is>
      </c>
      <c r="L477" s="11" t="n"/>
      <c r="M477" s="11" t="inlineStr">
        <is>
          <t>offen</t>
        </is>
      </c>
      <c r="N477" s="11" t="inlineStr">
        <is>
          <t>Betriebsleiter ARA SO; simap.ch Alert SO</t>
        </is>
      </c>
      <c r="O477" s="11" t="inlineStr">
        <is>
          <t>NEA-Pflicht 1× 400 kVA; Aare-Gewässerschutz; 24h</t>
        </is>
      </c>
      <c r="P477" s="11" t="inlineStr">
        <is>
          <t>Generator</t>
        </is>
      </c>
      <c r="Q477" s="11" t="n"/>
      <c r="R477" s="11" t="inlineStr">
        <is>
          <t>Adr: Solothurn, 4500 SO | Aare-Schutz; Ausschreibungspflicht</t>
        </is>
      </c>
      <c r="S477" s="11" t="inlineStr">
        <is>
          <t>ARA Aare SO</t>
        </is>
      </c>
    </row>
    <row r="478">
      <c r="A478" s="11" t="n">
        <v>475</v>
      </c>
      <c r="B478" s="11" t="inlineStr">
        <is>
          <t>C</t>
        </is>
      </c>
      <c r="C478" s="11" t="inlineStr">
        <is>
          <t>Events/Messen</t>
        </is>
      </c>
      <c r="D478" s="11" t="inlineStr">
        <is>
          <t>Oltimer-Messe Olten (Swiss Classic World)</t>
        </is>
      </c>
      <c r="E478" s="11" t="inlineStr">
        <is>
          <t>Olten</t>
        </is>
      </c>
      <c r="F478" s="11" t="inlineStr">
        <is>
          <t>4600</t>
        </is>
      </c>
      <c r="G478" s="11" t="inlineStr">
        <is>
          <t>SO</t>
        </is>
      </c>
      <c r="H478" s="11" t="inlineStr">
        <is>
          <t>Technische Leitung</t>
        </is>
      </c>
      <c r="I478" s="11" t="inlineStr">
        <is>
          <t>Veranstaltungstechniker</t>
        </is>
      </c>
      <c r="J478" s="11" t="inlineStr">
        <is>
          <t>info@swissclassicworld.ch</t>
        </is>
      </c>
      <c r="K478" s="11" t="inlineStr">
        <is>
          <t>+41 62 206 55 00</t>
        </is>
      </c>
      <c r="L478" s="11" t="n"/>
      <c r="M478" s="11" t="inlineStr">
        <is>
          <t>offen</t>
        </is>
      </c>
      <c r="N478" s="11" t="inlineStr">
        <is>
          <t>Technische Leitung Swiss Classic World; Olten; Event-Pitch</t>
        </is>
      </c>
      <c r="O478" s="11" t="inlineStr">
        <is>
          <t>Messe: Temporary Power 300 kVA; USV; Jahresevent Hallenstadion Olten</t>
        </is>
      </c>
      <c r="P478" s="11" t="inlineStr">
        <is>
          <t>Generator</t>
        </is>
      </c>
      <c r="Q478" s="11" t="n"/>
      <c r="R478" s="11" t="inlineStr">
        <is>
          <t>Adr: Olten, 4600 SO | Swiss Classic World; Messe; Temporary Power</t>
        </is>
      </c>
      <c r="S478" s="11" t="inlineStr">
        <is>
          <t>Oldtimer Solothurn</t>
        </is>
      </c>
    </row>
    <row r="479">
      <c r="A479" s="11" t="n">
        <v>476</v>
      </c>
      <c r="B479" s="11" t="inlineStr">
        <is>
          <t>C</t>
        </is>
      </c>
      <c r="C479" s="11" t="inlineStr">
        <is>
          <t>Gemeinde/Öffentlich</t>
        </is>
      </c>
      <c r="D479" s="11" t="inlineStr">
        <is>
          <t>[MiT SO-Kältekunde Nr. 1]</t>
        </is>
      </c>
      <c r="E479" s="11" t="inlineStr">
        <is>
          <t>Olten</t>
        </is>
      </c>
      <c r="F479" s="11" t="inlineStr">
        <is>
          <t>4600</t>
        </is>
      </c>
      <c r="G479" s="11" t="inlineStr">
        <is>
          <t>SO</t>
        </is>
      </c>
      <c r="H479" s="11" t="inlineStr">
        <is>
          <t>Energieverantwortlicher</t>
        </is>
      </c>
      <c r="I479" s="11" t="inlineStr">
        <is>
          <t>Betriebsleiter</t>
        </is>
      </c>
      <c r="J479" s="11" t="n"/>
      <c r="K479" s="11" t="inlineStr">
        <is>
          <t>(MiT-CRM)</t>
        </is>
      </c>
      <c r="L479" s="11" t="n"/>
      <c r="M479" s="11" t="inlineStr">
        <is>
          <t>offen</t>
        </is>
      </c>
      <c r="N479" s="11" t="inlineStr">
        <is>
          <t>MiT-CRM Roberto/Stefan: SO-Kunden ohne Strom prüfen</t>
        </is>
      </c>
      <c r="O479" s="11" t="inlineStr">
        <is>
          <t>Strom-Add-on MiT-Wärme/Kälte SO</t>
        </is>
      </c>
      <c r="P479" s="11" t="n"/>
      <c r="Q479" s="11" t="n"/>
      <c r="R479" s="11" t="inlineStr">
        <is>
          <t>SBB Olten = CH-Herzschlag = grösster Warmlead SO</t>
        </is>
      </c>
      <c r="S479" s="11" t="inlineStr">
        <is>
          <t>Cross-Sell MiT</t>
        </is>
      </c>
    </row>
    <row r="480">
      <c r="A480" s="11" t="n">
        <v>477</v>
      </c>
      <c r="B480" s="11" t="inlineStr">
        <is>
          <t>A</t>
        </is>
      </c>
      <c r="C480" s="11" t="inlineStr">
        <is>
          <t>EVU/Netzbetreiber</t>
        </is>
      </c>
      <c r="D480" s="11" t="inlineStr">
        <is>
          <t>ebs Energie AG (Innerschwyz)</t>
        </is>
      </c>
      <c r="E480" s="11" t="inlineStr">
        <is>
          <t>Schwyz</t>
        </is>
      </c>
      <c r="F480" s="11" t="inlineStr">
        <is>
          <t>6430</t>
        </is>
      </c>
      <c r="G480" s="11" t="inlineStr">
        <is>
          <t>SZ</t>
        </is>
      </c>
      <c r="H480" s="11" t="inlineStr">
        <is>
          <t>Leiter Netzbetrieb</t>
        </is>
      </c>
      <c r="I480" s="11" t="inlineStr">
        <is>
          <t>Dipl. El.-Ing.</t>
        </is>
      </c>
      <c r="J480" s="11" t="inlineStr">
        <is>
          <t>info@ebs.swiss</t>
        </is>
      </c>
      <c r="K480" s="11" t="inlineStr">
        <is>
          <t>+41 41 819 54 00</t>
        </is>
      </c>
      <c r="L480" s="11" t="n"/>
      <c r="M480" s="11" t="inlineStr">
        <is>
          <t>offen</t>
        </is>
      </c>
      <c r="N480" s="11" t="inlineStr">
        <is>
          <t>Netzbetrieb ebs; Rickenbachstrasse 8 Schwyz; Revisionskalender</t>
        </is>
      </c>
      <c r="O480" s="11" t="inlineStr">
        <is>
          <t>Stromversorgung Innerschwyz; Wasserkraftwerke; 100 MA; Strom+Gas+Telekommunikation</t>
        </is>
      </c>
      <c r="P480" s="11" t="inlineStr">
        <is>
          <t>BESS</t>
        </is>
      </c>
      <c r="Q480" s="11" t="n"/>
      <c r="R480" s="11" t="inlineStr">
        <is>
          <t>Adr: Rickenbachstrasse 8, 6430 Schwyz | Kantonaler EVU Innerschwyz; 100 MA; Strom+Gas+Telekommunikation</t>
        </is>
      </c>
      <c r="S480" s="11" t="inlineStr">
        <is>
          <t>Kantonaler EVU</t>
        </is>
      </c>
    </row>
    <row r="481">
      <c r="A481" s="11" t="n">
        <v>478</v>
      </c>
      <c r="B481" s="11" t="inlineStr">
        <is>
          <t>A</t>
        </is>
      </c>
      <c r="C481" s="11" t="inlineStr">
        <is>
          <t>EVU/Netzbetreiber</t>
        </is>
      </c>
      <c r="D481" s="11" t="inlineStr">
        <is>
          <t>EW Höfe AG (Pfäffikon SZ)</t>
        </is>
      </c>
      <c r="E481" s="11" t="inlineStr">
        <is>
          <t>Pfäffikon SZ</t>
        </is>
      </c>
      <c r="F481" s="11" t="inlineStr">
        <is>
          <t>8808</t>
        </is>
      </c>
      <c r="G481" s="11" t="inlineStr">
        <is>
          <t>SZ</t>
        </is>
      </c>
      <c r="H481" s="11" t="inlineStr">
        <is>
          <t>Betriebsleiter</t>
        </is>
      </c>
      <c r="I481" s="11" t="inlineStr">
        <is>
          <t>Dipl. El.-Ing.</t>
        </is>
      </c>
      <c r="J481" s="11" t="inlineStr">
        <is>
          <t>info@ewh.ch</t>
        </is>
      </c>
      <c r="K481" s="11" t="inlineStr">
        <is>
          <t>+41 55 417 82 82</t>
        </is>
      </c>
      <c r="L481" s="11" t="n"/>
      <c r="M481" s="11" t="inlineStr">
        <is>
          <t>offen</t>
        </is>
      </c>
      <c r="N481" s="11" t="inlineStr">
        <is>
          <t>Betriebsleiter EWH; Sihlbruggstrasse 105 Pfäffikon; simap.ch SZ</t>
        </is>
      </c>
      <c r="O481" s="11" t="inlineStr">
        <is>
          <t>Stromversorgung Ausserschwyz; MS-Revisionen; NEA Gemeindegebäude Höfe-Region</t>
        </is>
      </c>
      <c r="P481" s="11" t="n"/>
      <c r="Q481" s="11" t="n"/>
      <c r="R481" s="11" t="inlineStr">
        <is>
          <t>Adr: Sihlbruggstrasse 105, 8808 Pfäffikon SZ | EW Höfe; Ausserschwyz</t>
        </is>
      </c>
      <c r="S481" s="11" t="inlineStr">
        <is>
          <t>Ausserschwyz</t>
        </is>
      </c>
    </row>
    <row r="482">
      <c r="A482" s="11" t="n">
        <v>479</v>
      </c>
      <c r="B482" s="11" t="inlineStr">
        <is>
          <t>A</t>
        </is>
      </c>
      <c r="C482" s="11" t="inlineStr">
        <is>
          <t>Pharma/Chemie</t>
        </is>
      </c>
      <c r="D482" s="11" t="inlineStr">
        <is>
          <t>Kühne + Nagel International AG (HQ Schindellegi)</t>
        </is>
      </c>
      <c r="E482" s="11" t="inlineStr">
        <is>
          <t>Schindellegi</t>
        </is>
      </c>
      <c r="F482" s="11" t="inlineStr">
        <is>
          <t>8834</t>
        </is>
      </c>
      <c r="G482" s="11" t="inlineStr">
        <is>
          <t>SZ</t>
        </is>
      </c>
      <c r="H482" s="11" t="inlineStr">
        <is>
          <t>Facility Manager CH</t>
        </is>
      </c>
      <c r="I482" s="11" t="inlineStr">
        <is>
          <t>MSc El.-Ing.</t>
        </is>
      </c>
      <c r="J482" s="11" t="inlineStr">
        <is>
          <t>info@kuehne-nagel.com</t>
        </is>
      </c>
      <c r="K482" s="11" t="inlineStr">
        <is>
          <t>+41 44 786 95 11</t>
        </is>
      </c>
      <c r="L482" s="11" t="n"/>
      <c r="M482" s="11" t="inlineStr">
        <is>
          <t>offen</t>
        </is>
      </c>
      <c r="N482" s="11" t="inlineStr">
        <is>
          <t>Facility Manager Kühne+Nagel HQ; Schindellegi; Fortune-100</t>
        </is>
      </c>
      <c r="O482" s="11" t="inlineStr">
        <is>
          <t>Logistik-HQ: NEA + USV 500 kVA; PQ Fortune-100; 80'000 MA ww; CHF 36.9 Mrd. Umsatz</t>
        </is>
      </c>
      <c r="P482" s="11" t="inlineStr">
        <is>
          <t>USV</t>
        </is>
      </c>
      <c r="Q482" s="11" t="n"/>
      <c r="R482" s="11" t="inlineStr">
        <is>
          <t>Adr: Dorfstrasse 50, 8834 Schindellegi | CHF 36.9 Mrd.; 80'000 MA ww; Grösstes Unternehmen SZ</t>
        </is>
      </c>
      <c r="S482" s="11" t="inlineStr">
        <is>
          <t>Logistik/Spedition</t>
        </is>
      </c>
    </row>
    <row r="483">
      <c r="A483" s="11" t="n">
        <v>480</v>
      </c>
      <c r="B483" s="11" t="inlineStr">
        <is>
          <t>A</t>
        </is>
      </c>
      <c r="C483" s="11" t="inlineStr">
        <is>
          <t>Spital/Klinik</t>
        </is>
      </c>
      <c r="D483" s="11" t="inlineStr">
        <is>
          <t>Spital Schwyz AG (Kantonsspital)</t>
        </is>
      </c>
      <c r="E483" s="11" t="inlineStr">
        <is>
          <t>Schwyz</t>
        </is>
      </c>
      <c r="F483" s="11" t="inlineStr">
        <is>
          <t>6430</t>
        </is>
      </c>
      <c r="G483" s="11" t="inlineStr">
        <is>
          <t>SZ</t>
        </is>
      </c>
      <c r="H483" s="11" t="inlineStr">
        <is>
          <t>Betriebsleiter Technik</t>
        </is>
      </c>
      <c r="I483" s="11" t="inlineStr">
        <is>
          <t>Dipl. El.-Ing.</t>
        </is>
      </c>
      <c r="J483" s="11" t="inlineStr">
        <is>
          <t>info@spitalschwyz.ch</t>
        </is>
      </c>
      <c r="K483" s="11" t="inlineStr">
        <is>
          <t>+41 41 819 20 00</t>
        </is>
      </c>
      <c r="L483" s="11" t="n"/>
      <c r="M483" s="11" t="inlineStr">
        <is>
          <t>offen</t>
        </is>
      </c>
      <c r="N483" s="11" t="inlineStr">
        <is>
          <t>Betriebsleiter Spital Schwyz; Rickenbachstrasse 19; simap.ch SZ</t>
        </is>
      </c>
      <c r="O483" s="11" t="inlineStr">
        <is>
          <t>NEA 2× 300 kVA; USV OP/ICU; 800 MA; Kantonsspital SZ</t>
        </is>
      </c>
      <c r="P483" s="11" t="inlineStr">
        <is>
          <t>USV</t>
        </is>
      </c>
      <c r="Q483" s="11" t="n"/>
      <c r="R483" s="11" t="inlineStr">
        <is>
          <t>Adr: Rickenbachstrasse 19, 6430 Schwyz | Kantonsspital SZ; 800 MA; NIV Art. 13</t>
        </is>
      </c>
      <c r="S483" s="11" t="inlineStr">
        <is>
          <t>Kantonsspital</t>
        </is>
      </c>
    </row>
    <row r="484">
      <c r="A484" s="11" t="n">
        <v>481</v>
      </c>
      <c r="B484" s="11" t="inlineStr">
        <is>
          <t>A</t>
        </is>
      </c>
      <c r="C484" s="11" t="inlineStr">
        <is>
          <t>Spital/Klinik</t>
        </is>
      </c>
      <c r="D484" s="11" t="inlineStr">
        <is>
          <t>Spital Lachen AG</t>
        </is>
      </c>
      <c r="E484" s="11" t="inlineStr">
        <is>
          <t>Lachen</t>
        </is>
      </c>
      <c r="F484" s="11" t="inlineStr">
        <is>
          <t>8853</t>
        </is>
      </c>
      <c r="G484" s="11" t="inlineStr">
        <is>
          <t>SZ</t>
        </is>
      </c>
      <c r="H484" s="11" t="inlineStr">
        <is>
          <t>Betriebsleiter Technik</t>
        </is>
      </c>
      <c r="I484" s="11" t="inlineStr">
        <is>
          <t>Techniker</t>
        </is>
      </c>
      <c r="J484" s="11" t="inlineStr">
        <is>
          <t>info@spitallachen.ch</t>
        </is>
      </c>
      <c r="K484" s="11" t="inlineStr">
        <is>
          <t>+41 55 451 92 92</t>
        </is>
      </c>
      <c r="L484" s="11" t="n"/>
      <c r="M484" s="11" t="inlineStr">
        <is>
          <t>offen</t>
        </is>
      </c>
      <c r="N484" s="11" t="inlineStr">
        <is>
          <t>Betriebsleiter Spital Lachen; Oberdorfstrasse 41 Lachen</t>
        </is>
      </c>
      <c r="O484" s="11" t="inlineStr">
        <is>
          <t>NEA 2× 250 kVA; USV; 500 MA; Zürichsee-Region SZ</t>
        </is>
      </c>
      <c r="P484" s="11" t="inlineStr">
        <is>
          <t>USV</t>
        </is>
      </c>
      <c r="Q484" s="11" t="n"/>
      <c r="R484" s="11" t="inlineStr">
        <is>
          <t>Adr: Oberdorfstrasse 41, 8853 Lachen | 500 MA; Zürichsee-Region SZ</t>
        </is>
      </c>
      <c r="S484" s="11" t="inlineStr">
        <is>
          <t>Spital</t>
        </is>
      </c>
    </row>
    <row r="485">
      <c r="A485" s="11" t="n">
        <v>482</v>
      </c>
      <c r="B485" s="11" t="inlineStr">
        <is>
          <t>A</t>
        </is>
      </c>
      <c r="C485" s="11" t="inlineStr">
        <is>
          <t>Spital/Klinik</t>
        </is>
      </c>
      <c r="D485" s="11" t="inlineStr">
        <is>
          <t>AMEOS Spital Einsiedeln</t>
        </is>
      </c>
      <c r="E485" s="11" t="inlineStr">
        <is>
          <t>Einsiedeln</t>
        </is>
      </c>
      <c r="F485" s="11" t="inlineStr">
        <is>
          <t>8840</t>
        </is>
      </c>
      <c r="G485" s="11" t="inlineStr">
        <is>
          <t>SZ</t>
        </is>
      </c>
      <c r="H485" s="11" t="inlineStr">
        <is>
          <t>Betriebsleiter Technik</t>
        </is>
      </c>
      <c r="I485" s="11" t="inlineStr">
        <is>
          <t>Techniker</t>
        </is>
      </c>
      <c r="J485" s="11" t="inlineStr">
        <is>
          <t>info@ameos.eu</t>
        </is>
      </c>
      <c r="K485" s="11" t="inlineStr">
        <is>
          <t>+41 55 418 61 11</t>
        </is>
      </c>
      <c r="L485" s="11" t="n"/>
      <c r="M485" s="11" t="inlineStr">
        <is>
          <t>offen</t>
        </is>
      </c>
      <c r="N485" s="11" t="inlineStr">
        <is>
          <t>Betriebsleiter AMEOS Einsiedeln; Spitalstrasse 27 Einsiedeln</t>
        </is>
      </c>
      <c r="O485" s="11" t="inlineStr">
        <is>
          <t>NEA 1× 200 kVA; USV; 300 MA; AMEOS-Gruppe; Pilgerzentrum Einsiedeln</t>
        </is>
      </c>
      <c r="P485" s="11" t="inlineStr">
        <is>
          <t>USV</t>
        </is>
      </c>
      <c r="Q485" s="11" t="n"/>
      <c r="R485" s="11" t="inlineStr">
        <is>
          <t>Adr: Spitalstrasse 27, 8840 Einsiedeln | AMEOS-Gruppe; Pilgerzentrum; NIV Art. 13</t>
        </is>
      </c>
      <c r="S485" s="11" t="inlineStr">
        <is>
          <t>AMEOS-Gruppe</t>
        </is>
      </c>
    </row>
    <row r="486">
      <c r="A486" s="11" t="n">
        <v>483</v>
      </c>
      <c r="B486" s="11" t="inlineStr">
        <is>
          <t>A</t>
        </is>
      </c>
      <c r="C486" s="11" t="inlineStr">
        <is>
          <t>Spital/Klinik</t>
        </is>
      </c>
      <c r="D486" s="11" t="inlineStr">
        <is>
          <t>AMEOS Seeklinikum Brunnen AG</t>
        </is>
      </c>
      <c r="E486" s="11" t="inlineStr">
        <is>
          <t>Brunnen</t>
        </is>
      </c>
      <c r="F486" s="11" t="inlineStr">
        <is>
          <t>6440</t>
        </is>
      </c>
      <c r="G486" s="11" t="inlineStr">
        <is>
          <t>SZ</t>
        </is>
      </c>
      <c r="H486" s="11" t="inlineStr">
        <is>
          <t>Betriebsleiter Technik</t>
        </is>
      </c>
      <c r="I486" s="11" t="inlineStr">
        <is>
          <t>Techniker</t>
        </is>
      </c>
      <c r="J486" s="11" t="inlineStr">
        <is>
          <t>info@ameos.eu</t>
        </is>
      </c>
      <c r="K486" s="11" t="inlineStr">
        <is>
          <t>+41 41 825 04 00</t>
        </is>
      </c>
      <c r="L486" s="11" t="n"/>
      <c r="M486" s="11" t="inlineStr">
        <is>
          <t>offen</t>
        </is>
      </c>
      <c r="N486" s="11" t="inlineStr">
        <is>
          <t>Betriebsleiter AMEOS Seeklinikum; Brunnen SZ; AMEOS-Verbindung</t>
        </is>
      </c>
      <c r="O486" s="11" t="inlineStr">
        <is>
          <t>Psychiatrie Seeklinikum: NEA 1× 200 kVA; USV; Vierwaldstättersee</t>
        </is>
      </c>
      <c r="P486" s="11" t="inlineStr">
        <is>
          <t>USV</t>
        </is>
      </c>
      <c r="Q486" s="11" t="n"/>
      <c r="R486" s="11" t="inlineStr">
        <is>
          <t>Adr: Seestrasse 1, 6440 Brunnen | AMEOS Psychiatrie; Vierwaldstättersee</t>
        </is>
      </c>
      <c r="S486" s="11" t="inlineStr">
        <is>
          <t>Seeklinikum</t>
        </is>
      </c>
    </row>
    <row r="487">
      <c r="A487" s="11" t="n">
        <v>484</v>
      </c>
      <c r="B487" s="11" t="inlineStr">
        <is>
          <t>A</t>
        </is>
      </c>
      <c r="C487" s="11" t="inlineStr">
        <is>
          <t>Rechenzentrum/IT</t>
        </is>
      </c>
      <c r="D487" s="11" t="inlineStr">
        <is>
          <t>Schwyzer Kantonalbank (SZKB)</t>
        </is>
      </c>
      <c r="E487" s="11" t="inlineStr">
        <is>
          <t>Schwyz</t>
        </is>
      </c>
      <c r="F487" s="11" t="inlineStr">
        <is>
          <t>6431</t>
        </is>
      </c>
      <c r="G487" s="11" t="inlineStr">
        <is>
          <t>SZ</t>
        </is>
      </c>
      <c r="H487" s="11" t="inlineStr">
        <is>
          <t>Leiter IT-Infrastruktur</t>
        </is>
      </c>
      <c r="I487" s="11" t="inlineStr">
        <is>
          <t>MSc Inf.</t>
        </is>
      </c>
      <c r="J487" s="11" t="inlineStr">
        <is>
          <t>info@szkb.ch</t>
        </is>
      </c>
      <c r="K487" s="11" t="inlineStr">
        <is>
          <t>+41 58 800 28 00</t>
        </is>
      </c>
      <c r="L487" s="11" t="n"/>
      <c r="M487" s="11" t="inlineStr">
        <is>
          <t>offen</t>
        </is>
      </c>
      <c r="N487" s="11" t="inlineStr">
        <is>
          <t>IT-Infrastruktur SZKB; Bahnhofstrasse 3 Schwyz; FINMA-Argument</t>
        </is>
      </c>
      <c r="O487" s="11" t="inlineStr">
        <is>
          <t>USV RZ 2× 200 kVA; NEA; PQ FINMA; Hauptsitz Schwyz</t>
        </is>
      </c>
      <c r="P487" s="11" t="inlineStr">
        <is>
          <t>USV</t>
        </is>
      </c>
      <c r="Q487" s="11" t="n"/>
      <c r="R487" s="11" t="inlineStr">
        <is>
          <t>Adr: Bahnhofstrasse 3, 6431 Schwyz | Kantonalbank SZ; FINMA</t>
        </is>
      </c>
      <c r="S487" s="11" t="inlineStr">
        <is>
          <t>Kantonalbank</t>
        </is>
      </c>
    </row>
    <row r="488">
      <c r="A488" s="11" t="n">
        <v>485</v>
      </c>
      <c r="B488" s="11" t="inlineStr">
        <is>
          <t>A</t>
        </is>
      </c>
      <c r="C488" s="11" t="inlineStr">
        <is>
          <t>Pharma/Chemie</t>
        </is>
      </c>
      <c r="D488" s="11" t="inlineStr">
        <is>
          <t>Nespresso/Nestlé (Produktion Orbe → Lager SZ)</t>
        </is>
      </c>
      <c r="E488" s="11" t="inlineStr">
        <is>
          <t>Pfäffikon SZ</t>
        </is>
      </c>
      <c r="F488" s="11" t="inlineStr">
        <is>
          <t>8808</t>
        </is>
      </c>
      <c r="G488" s="11" t="inlineStr">
        <is>
          <t>SZ</t>
        </is>
      </c>
      <c r="H488" s="11" t="inlineStr">
        <is>
          <t>Betriebsleiter Technik</t>
        </is>
      </c>
      <c r="I488" s="11" t="inlineStr">
        <is>
          <t>Techniker</t>
        </is>
      </c>
      <c r="J488" s="11" t="inlineStr">
        <is>
          <t>info@nespresso.com</t>
        </is>
      </c>
      <c r="K488" s="11" t="inlineStr">
        <is>
          <t>+41 800 55 82 53</t>
        </is>
      </c>
      <c r="L488" s="11" t="n"/>
      <c r="M488" s="11" t="inlineStr">
        <is>
          <t>offen</t>
        </is>
      </c>
      <c r="N488" s="11" t="inlineStr">
        <is>
          <t>MiT-CRM: Nespresso/Nestlé SZ-Logistik als Kältekunde prüfen</t>
        </is>
      </c>
      <c r="O488" s="11" t="inlineStr">
        <is>
          <t>Logistik+Lager Nespresso SZ-Region: NEA Kühlkette 300 kVA; FU-Förderbänder</t>
        </is>
      </c>
      <c r="P488" s="11" t="inlineStr">
        <is>
          <t>Kälte</t>
        </is>
      </c>
      <c r="Q488" s="11" t="n"/>
      <c r="R488" s="11" t="inlineStr">
        <is>
          <t>Adr: Pfäffikon SZ Region | Nestlé-Logistik; Kühlkette SZ</t>
        </is>
      </c>
      <c r="S488" s="11" t="inlineStr">
        <is>
          <t>Kaffee/Getränke</t>
        </is>
      </c>
    </row>
    <row r="489">
      <c r="A489" s="11" t="n">
        <v>486</v>
      </c>
      <c r="B489" s="11" t="inlineStr">
        <is>
          <t>A</t>
        </is>
      </c>
      <c r="C489" s="11" t="inlineStr">
        <is>
          <t>Bau/Infrastruktur</t>
        </is>
      </c>
      <c r="D489" s="11" t="inlineStr">
        <is>
          <t>Mythen Gemeindewerk AG</t>
        </is>
      </c>
      <c r="E489" s="11" t="inlineStr">
        <is>
          <t>Schwyz</t>
        </is>
      </c>
      <c r="F489" s="11" t="inlineStr">
        <is>
          <t>6430</t>
        </is>
      </c>
      <c r="G489" s="11" t="inlineStr">
        <is>
          <t>SZ</t>
        </is>
      </c>
      <c r="H489" s="11" t="inlineStr">
        <is>
          <t>Betriebsleiter Technik</t>
        </is>
      </c>
      <c r="I489" s="11" t="inlineStr">
        <is>
          <t>Techniker</t>
        </is>
      </c>
      <c r="J489" s="11" t="inlineStr">
        <is>
          <t>info@mythen.ch</t>
        </is>
      </c>
      <c r="K489" s="11" t="inlineStr">
        <is>
          <t>+41 41 819 56 56</t>
        </is>
      </c>
      <c r="L489" s="11" t="n"/>
      <c r="M489" s="11" t="inlineStr">
        <is>
          <t>offen</t>
        </is>
      </c>
      <c r="N489" s="11" t="inlineStr">
        <is>
          <t>Betriebsleiter Mythen-Bahn; Herbstkontakt Revision</t>
        </is>
      </c>
      <c r="O489" s="11" t="inlineStr">
        <is>
          <t>Grosser Mythen Bergbahn: NEA + Generator 200 kVA; FU; alpine 1'898 m</t>
        </is>
      </c>
      <c r="P489" s="11" t="inlineStr">
        <is>
          <t>Generator</t>
        </is>
      </c>
      <c r="Q489" s="11" t="n"/>
      <c r="R489" s="11" t="inlineStr">
        <is>
          <t>Adr: Talstation Mythen, 6430 Schwyz | Grosser Mythen 1'898 m</t>
        </is>
      </c>
      <c r="S489" s="11" t="inlineStr">
        <is>
          <t>Bergbahn</t>
        </is>
      </c>
    </row>
    <row r="490">
      <c r="A490" s="11" t="n">
        <v>487</v>
      </c>
      <c r="B490" s="11" t="inlineStr">
        <is>
          <t>B</t>
        </is>
      </c>
      <c r="C490" s="11" t="inlineStr">
        <is>
          <t>Bau/Infrastruktur</t>
        </is>
      </c>
      <c r="D490" s="11" t="inlineStr">
        <is>
          <t>Stoos Bergbahnen AG</t>
        </is>
      </c>
      <c r="E490" s="11" t="inlineStr">
        <is>
          <t>Stoos</t>
        </is>
      </c>
      <c r="F490" s="11" t="inlineStr">
        <is>
          <t>6433</t>
        </is>
      </c>
      <c r="G490" s="11" t="inlineStr">
        <is>
          <t>SZ</t>
        </is>
      </c>
      <c r="H490" s="11" t="inlineStr">
        <is>
          <t>Betriebsleiter</t>
        </is>
      </c>
      <c r="I490" s="11" t="inlineStr">
        <is>
          <t>Techniker</t>
        </is>
      </c>
      <c r="J490" s="11" t="inlineStr">
        <is>
          <t>info@stoos.ch</t>
        </is>
      </c>
      <c r="K490" s="11" t="inlineStr">
        <is>
          <t>+41 41 817 70 70</t>
        </is>
      </c>
      <c r="L490" s="11" t="n"/>
      <c r="M490" s="11" t="inlineStr">
        <is>
          <t>offen</t>
        </is>
      </c>
      <c r="N490" s="11" t="inlineStr">
        <is>
          <t>Betriebsleiter Stoos Bergbahnen; Herbstkontakt</t>
        </is>
      </c>
      <c r="O490" s="11" t="inlineStr">
        <is>
          <t>Stoos steilste Standseilbahn Welt + Bergbahn: NEA + Generator 300 kVA; FU</t>
        </is>
      </c>
      <c r="P490" s="11" t="inlineStr">
        <is>
          <t>Generator</t>
        </is>
      </c>
      <c r="Q490" s="11" t="n"/>
      <c r="R490" s="11" t="inlineStr">
        <is>
          <t>Adr: Talstation Morschach, 6443 SZ | Steilste Standseilbahn Welt</t>
        </is>
      </c>
      <c r="S490" s="11" t="inlineStr">
        <is>
          <t>Bergbahn Stoos</t>
        </is>
      </c>
    </row>
    <row r="491">
      <c r="A491" s="11" t="n">
        <v>488</v>
      </c>
      <c r="B491" s="11" t="inlineStr">
        <is>
          <t>B</t>
        </is>
      </c>
      <c r="C491" s="11" t="inlineStr">
        <is>
          <t>Pharma/Chemie</t>
        </is>
      </c>
      <c r="D491" s="11" t="inlineStr">
        <is>
          <t>Papierfabrik Perlen AG (CP-Gruppe SZ)</t>
        </is>
      </c>
      <c r="E491" s="11" t="inlineStr">
        <is>
          <t>Perlen</t>
        </is>
      </c>
      <c r="F491" s="11" t="inlineStr">
        <is>
          <t>6037</t>
        </is>
      </c>
      <c r="G491" s="11" t="inlineStr">
        <is>
          <t>SZ</t>
        </is>
      </c>
      <c r="H491" s="11" t="inlineStr">
        <is>
          <t>Betriebsleiter Elektro</t>
        </is>
      </c>
      <c r="I491" s="11" t="inlineStr">
        <is>
          <t>Dipl. El.-Ing.</t>
        </is>
      </c>
      <c r="J491" s="11" t="inlineStr">
        <is>
          <t>info@papierfabrik-perlen.ch</t>
        </is>
      </c>
      <c r="K491" s="11" t="inlineStr">
        <is>
          <t>+41 41 455 91 11</t>
        </is>
      </c>
      <c r="L491" s="11" t="n"/>
      <c r="M491" s="11" t="inlineStr">
        <is>
          <t>offen</t>
        </is>
      </c>
      <c r="N491" s="11" t="inlineStr">
        <is>
          <t>Betriebsleiter Papierfabrik; SZ-LU-Region; FU-PQ-Pitch</t>
        </is>
      </c>
      <c r="O491" s="11" t="inlineStr">
        <is>
          <t>Papierfabrik: NEA 2 MVA; FU-Antriebe intensiv; PQ; ISO 50001</t>
        </is>
      </c>
      <c r="P491" s="11" t="n"/>
      <c r="Q491" s="11" t="n"/>
      <c r="R491" s="11" t="inlineStr">
        <is>
          <t>Adr: Perlenstrasse 17, 6037 Root (LU/SZ) | Papierfabrik; FU-intensiv</t>
        </is>
      </c>
      <c r="S491" s="11" t="inlineStr">
        <is>
          <t>Papierproduktion</t>
        </is>
      </c>
    </row>
    <row r="492">
      <c r="A492" s="11" t="n">
        <v>489</v>
      </c>
      <c r="B492" s="11" t="inlineStr">
        <is>
          <t>B</t>
        </is>
      </c>
      <c r="C492" s="11" t="inlineStr">
        <is>
          <t>Gemeinde/Öffentlich</t>
        </is>
      </c>
      <c r="D492" s="11" t="inlineStr">
        <is>
          <t>Kanton Schwyz (Hochbauamt)</t>
        </is>
      </c>
      <c r="E492" s="11" t="inlineStr">
        <is>
          <t>Schwyz</t>
        </is>
      </c>
      <c r="F492" s="11" t="inlineStr">
        <is>
          <t>6431</t>
        </is>
      </c>
      <c r="G492" s="11" t="inlineStr">
        <is>
          <t>SZ</t>
        </is>
      </c>
      <c r="H492" s="11" t="inlineStr">
        <is>
          <t>Leiter Hochbauamt</t>
        </is>
      </c>
      <c r="I492" s="11" t="inlineStr">
        <is>
          <t>Kantonsbauingenieur</t>
        </is>
      </c>
      <c r="J492" s="11" t="inlineStr">
        <is>
          <t>hba@sz.ch</t>
        </is>
      </c>
      <c r="K492" s="11" t="inlineStr">
        <is>
          <t>+41 41 819 20 00</t>
        </is>
      </c>
      <c r="L492" s="11" t="n"/>
      <c r="M492" s="11" t="inlineStr">
        <is>
          <t>offen</t>
        </is>
      </c>
      <c r="N492" s="11" t="inlineStr">
        <is>
          <t>Hochbauamt SZ; Bahnhofstrasse 9 Schwyz; simap.ch Alert SZ</t>
        </is>
      </c>
      <c r="O492" s="11" t="inlineStr">
        <is>
          <t>NEA kantonale Gebäude SZ; 150+ Liegenschaften; Rahmenvertrag SZ</t>
        </is>
      </c>
      <c r="P492" s="11" t="n"/>
      <c r="Q492" s="11" t="n"/>
      <c r="R492" s="11" t="inlineStr">
        <is>
          <t>Adr: Bahnhofstrasse 9, 6431 Schwyz | 150+ Liegenschaften; Rahmenvertrag</t>
        </is>
      </c>
      <c r="S492" s="11" t="inlineStr">
        <is>
          <t>Kanton Schwyz</t>
        </is>
      </c>
    </row>
    <row r="493">
      <c r="A493" s="11" t="n">
        <v>490</v>
      </c>
      <c r="B493" s="11" t="inlineStr">
        <is>
          <t>B</t>
        </is>
      </c>
      <c r="C493" s="11" t="inlineStr">
        <is>
          <t>Pharma/Chemie</t>
        </is>
      </c>
      <c r="D493" s="11" t="inlineStr">
        <is>
          <t>Migros Einkaufszentrum Seedamm-Center</t>
        </is>
      </c>
      <c r="E493" s="11" t="inlineStr">
        <is>
          <t>Pfäffikon SZ</t>
        </is>
      </c>
      <c r="F493" s="11" t="inlineStr">
        <is>
          <t>8808</t>
        </is>
      </c>
      <c r="G493" s="11" t="inlineStr">
        <is>
          <t>SZ</t>
        </is>
      </c>
      <c r="H493" s="11" t="inlineStr">
        <is>
          <t>Facility Manager</t>
        </is>
      </c>
      <c r="I493" s="11" t="inlineStr">
        <is>
          <t>Techniker</t>
        </is>
      </c>
      <c r="J493" s="11" t="inlineStr">
        <is>
          <t>info@seedamm.ch</t>
        </is>
      </c>
      <c r="K493" s="11" t="inlineStr">
        <is>
          <t>+41 55 416 01 01</t>
        </is>
      </c>
      <c r="L493" s="11" t="n"/>
      <c r="M493" s="11" t="inlineStr">
        <is>
          <t>offen</t>
        </is>
      </c>
      <c r="N493" s="11" t="inlineStr">
        <is>
          <t>Facility Manager Seedamm Center; Seedammstrasse 3 Pfäffikon</t>
        </is>
      </c>
      <c r="O493" s="11" t="inlineStr">
        <is>
          <t>Einkaufszentrum + Geschäfte: NEA 500 kVA; USV IT; FU-Lüftung; 100'000 Besucher/Tag</t>
        </is>
      </c>
      <c r="P493" s="11" t="inlineStr">
        <is>
          <t>USV</t>
        </is>
      </c>
      <c r="Q493" s="11" t="n"/>
      <c r="R493" s="11" t="inlineStr">
        <is>
          <t>Adr: Seedammstrasse 3, 8808 Pfäffikon SZ | Grösstes EKZ SZ; 100'000 Besucher/Tag</t>
        </is>
      </c>
      <c r="S493" s="11" t="inlineStr">
        <is>
          <t>Retail/Shopping</t>
        </is>
      </c>
    </row>
    <row r="494">
      <c r="A494" s="11" t="n">
        <v>491</v>
      </c>
      <c r="B494" s="11" t="inlineStr">
        <is>
          <t>B</t>
        </is>
      </c>
      <c r="C494" s="11" t="inlineStr">
        <is>
          <t>Bau/Infrastruktur</t>
        </is>
      </c>
      <c r="D494" s="11" t="inlineStr">
        <is>
          <t>ARA Schindellegi / Ausserschwyz</t>
        </is>
      </c>
      <c r="E494" s="11" t="inlineStr">
        <is>
          <t>Schindellegi</t>
        </is>
      </c>
      <c r="F494" s="11" t="inlineStr">
        <is>
          <t>8834</t>
        </is>
      </c>
      <c r="G494" s="11" t="inlineStr">
        <is>
          <t>SZ</t>
        </is>
      </c>
      <c r="H494" s="11" t="inlineStr">
        <is>
          <t>Betriebsleiter ARA</t>
        </is>
      </c>
      <c r="I494" s="11" t="inlineStr">
        <is>
          <t>Techniker</t>
        </is>
      </c>
      <c r="J494" s="11" t="inlineStr">
        <is>
          <t>info@ara-sz.ch</t>
        </is>
      </c>
      <c r="K494" s="11" t="inlineStr">
        <is>
          <t>+41 44 786 90 00</t>
        </is>
      </c>
      <c r="L494" s="11" t="n"/>
      <c r="M494" s="11" t="inlineStr">
        <is>
          <t>offen</t>
        </is>
      </c>
      <c r="N494" s="11" t="inlineStr">
        <is>
          <t>Betriebsleiter ARA SZ; simap.ch Alert SZ</t>
        </is>
      </c>
      <c r="O494" s="11" t="inlineStr">
        <is>
          <t>NEA-Pflicht 1× 300 kVA; Sihl-Gewässerschutz; 24h</t>
        </is>
      </c>
      <c r="P494" s="11" t="inlineStr">
        <is>
          <t>Generator</t>
        </is>
      </c>
      <c r="Q494" s="11" t="n"/>
      <c r="R494" s="11" t="inlineStr">
        <is>
          <t>Adr: Schindellegi, 8834 SZ | Sihl-Schutz; Ausschreibungspflicht</t>
        </is>
      </c>
      <c r="S494" s="11" t="inlineStr">
        <is>
          <t>ARA Reuss</t>
        </is>
      </c>
    </row>
    <row r="495">
      <c r="A495" s="11" t="n">
        <v>492</v>
      </c>
      <c r="B495" s="11" t="inlineStr">
        <is>
          <t>C</t>
        </is>
      </c>
      <c r="C495" s="11" t="inlineStr">
        <is>
          <t>Pharma/Chemie</t>
        </is>
      </c>
      <c r="D495" s="11" t="inlineStr">
        <is>
          <t>Alpenbitter Distillerie (Einsiedeln)</t>
        </is>
      </c>
      <c r="E495" s="11" t="inlineStr">
        <is>
          <t>Einsiedeln</t>
        </is>
      </c>
      <c r="F495" s="11" t="inlineStr">
        <is>
          <t>8840</t>
        </is>
      </c>
      <c r="G495" s="11" t="inlineStr">
        <is>
          <t>SZ</t>
        </is>
      </c>
      <c r="H495" s="11" t="inlineStr">
        <is>
          <t>Betriebsleiter</t>
        </is>
      </c>
      <c r="I495" s="11" t="inlineStr">
        <is>
          <t>Techniker</t>
        </is>
      </c>
      <c r="J495" s="11" t="inlineStr">
        <is>
          <t>info@alpenbitter.ch</t>
        </is>
      </c>
      <c r="K495" s="11" t="inlineStr">
        <is>
          <t>+41 55 412 37 71</t>
        </is>
      </c>
      <c r="L495" s="11" t="n"/>
      <c r="M495" s="11" t="inlineStr">
        <is>
          <t>offen</t>
        </is>
      </c>
      <c r="N495" s="11" t="inlineStr">
        <is>
          <t>MiT-CRM: Alpenbitter als Kältekunde prüfen</t>
        </is>
      </c>
      <c r="O495" s="11" t="inlineStr">
        <is>
          <t>Distillerie Produktion: NEA Kühlkette 150 kVA; FU-Abfüller; ISO 50001</t>
        </is>
      </c>
      <c r="P495" s="11" t="inlineStr">
        <is>
          <t>Kälte</t>
        </is>
      </c>
      <c r="Q495" s="11" t="n"/>
      <c r="R495" s="11" t="inlineStr">
        <is>
          <t>Adr: Schauerstrasse 2, 8840 Einsiedeln | Alpenbitter; Destillerie Kühlkette</t>
        </is>
      </c>
      <c r="S495" s="11" t="inlineStr">
        <is>
          <t>Spirituosen/Getränke</t>
        </is>
      </c>
    </row>
    <row r="496">
      <c r="A496" s="11" t="n">
        <v>493</v>
      </c>
      <c r="B496" s="11" t="inlineStr">
        <is>
          <t>C</t>
        </is>
      </c>
      <c r="C496" s="11" t="inlineStr">
        <is>
          <t>Gemeinde/Öffentlich</t>
        </is>
      </c>
      <c r="D496" s="11" t="inlineStr">
        <is>
          <t>[MiT SZ-Kältekunde Nr. 1]</t>
        </is>
      </c>
      <c r="E496" s="11" t="inlineStr">
        <is>
          <t>Schwyz</t>
        </is>
      </c>
      <c r="F496" s="11" t="inlineStr">
        <is>
          <t>6430</t>
        </is>
      </c>
      <c r="G496" s="11" t="inlineStr">
        <is>
          <t>SZ</t>
        </is>
      </c>
      <c r="H496" s="11" t="inlineStr">
        <is>
          <t>Energieverantwortlicher</t>
        </is>
      </c>
      <c r="I496" s="11" t="inlineStr">
        <is>
          <t>Betriebsleiter</t>
        </is>
      </c>
      <c r="J496" s="11" t="n"/>
      <c r="K496" s="11" t="inlineStr">
        <is>
          <t>(MiT-CRM)</t>
        </is>
      </c>
      <c r="L496" s="11" t="n"/>
      <c r="M496" s="11" t="inlineStr">
        <is>
          <t>offen</t>
        </is>
      </c>
      <c r="N496" s="11" t="inlineStr">
        <is>
          <t>MiT-CRM Roberto/Stefan: SZ-Kunden ohne Strom prüfen</t>
        </is>
      </c>
      <c r="O496" s="11" t="inlineStr">
        <is>
          <t>Strom-Add-on MiT-Wärme/Kälte SZ</t>
        </is>
      </c>
      <c r="P496" s="11" t="n"/>
      <c r="Q496" s="11" t="n"/>
      <c r="R496" s="11" t="inlineStr">
        <is>
          <t>ebs Innerschwyz = Türöffner zu allen SZ-EVU-Kunden</t>
        </is>
      </c>
      <c r="S496" s="11" t="inlineStr">
        <is>
          <t>Cross-Sell MiT</t>
        </is>
      </c>
    </row>
    <row r="497">
      <c r="A497" s="11" t="n">
        <v>494</v>
      </c>
      <c r="B497" s="11" t="inlineStr">
        <is>
          <t>C</t>
        </is>
      </c>
      <c r="C497" s="11" t="inlineStr">
        <is>
          <t>Bergbahn/Tourismus</t>
        </is>
      </c>
      <c r="D497" s="11" t="inlineStr">
        <is>
          <t>Rigi Bahnen AG (Arth-Goldau/Vitznau)</t>
        </is>
      </c>
      <c r="E497" s="11" t="inlineStr">
        <is>
          <t>Arth-Goldau</t>
        </is>
      </c>
      <c r="F497" s="11" t="inlineStr">
        <is>
          <t>6415</t>
        </is>
      </c>
      <c r="G497" s="11" t="inlineStr">
        <is>
          <t>SZ</t>
        </is>
      </c>
      <c r="H497" s="11" t="inlineStr">
        <is>
          <t>Betriebsleiter Technik</t>
        </is>
      </c>
      <c r="I497" s="11" t="inlineStr">
        <is>
          <t>Techniker</t>
        </is>
      </c>
      <c r="J497" s="11" t="inlineStr">
        <is>
          <t>info@rigi.ch</t>
        </is>
      </c>
      <c r="K497" s="11" t="inlineStr">
        <is>
          <t>+41 41 399 87 87</t>
        </is>
      </c>
      <c r="L497" s="11" t="n"/>
      <c r="M497" s="11" t="inlineStr">
        <is>
          <t>offen</t>
        </is>
      </c>
      <c r="N497" s="11" t="inlineStr">
        <is>
          <t>Betriebsleiter Rigi SZ; Herbst-Revisionsfenster</t>
        </is>
      </c>
      <c r="O497" s="11" t="inlineStr">
        <is>
          <t>Rigi Bergbahn: NEA + Generator 200 kVA; FU; SZ+LU; Königin der Berge</t>
        </is>
      </c>
      <c r="P497" s="11" t="inlineStr">
        <is>
          <t>Generator</t>
        </is>
      </c>
      <c r="Q497" s="11" t="n"/>
      <c r="R497" s="11" t="inlineStr">
        <is>
          <t>Adr: Bahnhofstrasse 5, 6415 Arth-Goldau | Rigi = Königin der Berge; SZ+LU</t>
        </is>
      </c>
      <c r="S497" s="11" t="inlineStr">
        <is>
          <t>Kaltbad Rigi</t>
        </is>
      </c>
    </row>
    <row r="498">
      <c r="A498" s="11" t="n">
        <v>495</v>
      </c>
      <c r="B498" s="11" t="inlineStr">
        <is>
          <t>A</t>
        </is>
      </c>
      <c r="C498" s="11" t="inlineStr">
        <is>
          <t>Pharma/Chemie</t>
        </is>
      </c>
      <c r="D498" s="11" t="inlineStr">
        <is>
          <t>Kühne + Nagel Erweiterung Campus Schindellegi</t>
        </is>
      </c>
      <c r="E498" s="11" t="inlineStr">
        <is>
          <t>Schindellegi</t>
        </is>
      </c>
      <c r="F498" s="11" t="inlineStr">
        <is>
          <t>8834</t>
        </is>
      </c>
      <c r="G498" s="11" t="inlineStr">
        <is>
          <t>SZ</t>
        </is>
      </c>
      <c r="H498" s="11" t="inlineStr">
        <is>
          <t>Head of Facility Management</t>
        </is>
      </c>
      <c r="I498" s="11" t="inlineStr">
        <is>
          <t>MSc El.-Ing.</t>
        </is>
      </c>
      <c r="J498" s="11" t="inlineStr">
        <is>
          <t>info@kuehne-nagel.com</t>
        </is>
      </c>
      <c r="K498" s="11" t="inlineStr">
        <is>
          <t>+41 44 786 95 11</t>
        </is>
      </c>
      <c r="L498" s="11" t="n"/>
      <c r="M498" s="11" t="inlineStr">
        <is>
          <t>offen</t>
        </is>
      </c>
      <c r="N498" s="11" t="inlineStr">
        <is>
          <t>Head Facility K+N Campus; Dorfstrasse 50 Schindellegi; Erweiterung ansprechen</t>
        </is>
      </c>
      <c r="O498" s="11" t="inlineStr">
        <is>
          <t>Campus-Erweiterung: NEA + USV 1 MVA; PQ; IT-Ausbau 2025; CHF 36.9 Mrd.</t>
        </is>
      </c>
      <c r="P498" s="11" t="inlineStr">
        <is>
          <t>USV</t>
        </is>
      </c>
      <c r="Q498" s="11" t="n"/>
      <c r="R498" s="11" t="inlineStr">
        <is>
          <t>Adr: Dorfstrasse 50, 8834 Schindellegi | K+N HQ; Campus-Erweiterung 2025; Fortune-100</t>
        </is>
      </c>
      <c r="S498" s="11" t="inlineStr">
        <is>
          <t>Logistik HQ</t>
        </is>
      </c>
    </row>
    <row r="499">
      <c r="A499" s="11" t="n">
        <v>496</v>
      </c>
      <c r="B499" s="11" t="inlineStr">
        <is>
          <t>A</t>
        </is>
      </c>
      <c r="C499" s="11" t="inlineStr">
        <is>
          <t>Pharma/Chemie</t>
        </is>
      </c>
      <c r="D499" s="11" t="inlineStr">
        <is>
          <t>Galaxus AG (Digitec Lager Pfäffikon SZ)</t>
        </is>
      </c>
      <c r="E499" s="11" t="inlineStr">
        <is>
          <t>Pfäffikon SZ</t>
        </is>
      </c>
      <c r="F499" s="11" t="inlineStr">
        <is>
          <t>8808</t>
        </is>
      </c>
      <c r="G499" s="11" t="inlineStr">
        <is>
          <t>SZ</t>
        </is>
      </c>
      <c r="H499" s="11" t="inlineStr">
        <is>
          <t>Betriebsleiter Technik</t>
        </is>
      </c>
      <c r="I499" s="11" t="inlineStr">
        <is>
          <t>Dipl. El.-Ing.</t>
        </is>
      </c>
      <c r="J499" s="11" t="inlineStr">
        <is>
          <t>info@galaxus.ch</t>
        </is>
      </c>
      <c r="K499" s="11" t="inlineStr">
        <is>
          <t>+41 44 575 95 00</t>
        </is>
      </c>
      <c r="L499" s="11" t="n"/>
      <c r="M499" s="11" t="inlineStr">
        <is>
          <t>offen</t>
        </is>
      </c>
      <c r="N499" s="11" t="inlineStr">
        <is>
          <t>Betriebsleiter Galaxus Lager Pfäffikon; 24h-Betrieb-Pitch</t>
        </is>
      </c>
      <c r="O499" s="11" t="inlineStr">
        <is>
          <t>Grösstes CH-Online-Lager: NEA 1 MVA; FU-Förderbänder; USV IT; 24h Betrieb</t>
        </is>
      </c>
      <c r="P499" s="11" t="inlineStr">
        <is>
          <t>USV</t>
        </is>
      </c>
      <c r="Q499" s="11" t="n"/>
      <c r="R499" s="11" t="inlineStr">
        <is>
          <t>Adr: Pfäffikon SZ, 8808 SZ | Galaxus/Digitec; grösstes CH-E-Commerce-Lager; 24h</t>
        </is>
      </c>
      <c r="S499" s="11" t="inlineStr">
        <is>
          <t>E-Commerce</t>
        </is>
      </c>
    </row>
    <row r="500">
      <c r="A500" s="11" t="n">
        <v>497</v>
      </c>
      <c r="B500" s="11" t="inlineStr">
        <is>
          <t>A</t>
        </is>
      </c>
      <c r="C500" s="11" t="inlineStr">
        <is>
          <t>Bau/Infrastruktur</t>
        </is>
      </c>
      <c r="D500" s="11" t="inlineStr">
        <is>
          <t>Sihlsee-Tunnel / A3 Infrastruktur ASTRA</t>
        </is>
      </c>
      <c r="E500" s="11" t="inlineStr">
        <is>
          <t>Freienbach</t>
        </is>
      </c>
      <c r="F500" s="11" t="inlineStr">
        <is>
          <t>8807</t>
        </is>
      </c>
      <c r="G500" s="11" t="inlineStr">
        <is>
          <t>SZ</t>
        </is>
      </c>
      <c r="H500" s="11" t="inlineStr">
        <is>
          <t>Betriebsleiter Tunnel</t>
        </is>
      </c>
      <c r="I500" s="11" t="inlineStr">
        <is>
          <t>MSc El.-Ing.</t>
        </is>
      </c>
      <c r="J500" s="11" t="inlineStr">
        <is>
          <t>info@astra.admin.ch</t>
        </is>
      </c>
      <c r="K500" s="11" t="inlineStr">
        <is>
          <t>+41 31 323 40 00</t>
        </is>
      </c>
      <c r="L500" s="11" t="n"/>
      <c r="M500" s="11" t="inlineStr">
        <is>
          <t>offen</t>
        </is>
      </c>
      <c r="N500" s="11" t="inlineStr">
        <is>
          <t>ASTRA Betriebsleiter; simap.ch 'SZ Tunnel Netzersatz'</t>
        </is>
      </c>
      <c r="O500" s="11" t="inlineStr">
        <is>
          <t>Autobahn-Infrastruktur SZ: NEA Tunnelbeleuchtung; 24h; simap.ch</t>
        </is>
      </c>
      <c r="P500" s="11" t="n"/>
      <c r="Q500" s="11" t="n"/>
      <c r="R500" s="11" t="inlineStr">
        <is>
          <t>Adr: Freienbach, 8807 SZ | A3 Infrastruktur; Tunnel 24h = NEA</t>
        </is>
      </c>
      <c r="S500" s="11" t="inlineStr">
        <is>
          <t>Strassentunnel</t>
        </is>
      </c>
    </row>
    <row r="501">
      <c r="A501" s="11" t="n">
        <v>498</v>
      </c>
      <c r="B501" s="11" t="inlineStr">
        <is>
          <t>B</t>
        </is>
      </c>
      <c r="C501" s="11" t="inlineStr">
        <is>
          <t>Spital/Klinik</t>
        </is>
      </c>
      <c r="D501" s="11" t="inlineStr">
        <is>
          <t>Alterszentrum Lachen (AZ SZ-See)</t>
        </is>
      </c>
      <c r="E501" s="11" t="inlineStr">
        <is>
          <t>Lachen</t>
        </is>
      </c>
      <c r="F501" s="11" t="inlineStr">
        <is>
          <t>8853</t>
        </is>
      </c>
      <c r="G501" s="11" t="inlineStr">
        <is>
          <t>SZ</t>
        </is>
      </c>
      <c r="H501" s="11" t="inlineStr">
        <is>
          <t>Betriebsleiter</t>
        </is>
      </c>
      <c r="I501" s="11" t="inlineStr">
        <is>
          <t>Techniker</t>
        </is>
      </c>
      <c r="J501" s="11" t="inlineStr">
        <is>
          <t>info@alterzentrum-lachen.ch</t>
        </is>
      </c>
      <c r="K501" s="11" t="inlineStr">
        <is>
          <t>+41 55 451 80 80</t>
        </is>
      </c>
      <c r="L501" s="11" t="n"/>
      <c r="M501" s="11" t="inlineStr">
        <is>
          <t>offen</t>
        </is>
      </c>
      <c r="N501" s="11" t="inlineStr">
        <is>
          <t>Betriebsleiter AZ Lachen; simap.ch Alert SZ</t>
        </is>
      </c>
      <c r="O501" s="11" t="inlineStr">
        <is>
          <t>Alterszentrum: NEA 1× 150 kVA; USV; 24h Pflege; Zürichsee SZ-Seite</t>
        </is>
      </c>
      <c r="P501" s="11" t="inlineStr">
        <is>
          <t>USV</t>
        </is>
      </c>
      <c r="Q501" s="11" t="n"/>
      <c r="R501" s="11" t="inlineStr">
        <is>
          <t>Adr: Lachen, 8853 SZ | Alterszentrum 24h Pflege; NIV Art. 13</t>
        </is>
      </c>
      <c r="S501" s="11" t="inlineStr">
        <is>
          <t>Pflegezentrum</t>
        </is>
      </c>
    </row>
    <row r="502">
      <c r="A502" s="11" t="n">
        <v>499</v>
      </c>
      <c r="B502" s="11" t="inlineStr">
        <is>
          <t>B</t>
        </is>
      </c>
      <c r="C502" s="11" t="inlineStr">
        <is>
          <t>Elektroplaner/Engineering</t>
        </is>
      </c>
      <c r="D502" s="11" t="inlineStr">
        <is>
          <t>Elektro Zehnder AG (Schwyz)</t>
        </is>
      </c>
      <c r="E502" s="11" t="inlineStr">
        <is>
          <t>Schwyz</t>
        </is>
      </c>
      <c r="F502" s="11" t="inlineStr">
        <is>
          <t>6430</t>
        </is>
      </c>
      <c r="G502" s="11" t="inlineStr">
        <is>
          <t>SZ</t>
        </is>
      </c>
      <c r="H502" s="11" t="inlineStr">
        <is>
          <t>Inhaber</t>
        </is>
      </c>
      <c r="I502" s="11" t="inlineStr">
        <is>
          <t>Elektroinstallateur EFZ</t>
        </is>
      </c>
      <c r="J502" s="11" t="inlineStr">
        <is>
          <t>info@zehnder-elektro.ch</t>
        </is>
      </c>
      <c r="K502" s="11" t="inlineStr">
        <is>
          <t>+41 41 819 19 19</t>
        </is>
      </c>
      <c r="L502" s="11" t="n"/>
      <c r="M502" s="11" t="inlineStr">
        <is>
          <t>offen</t>
        </is>
      </c>
      <c r="N502" s="11" t="inlineStr">
        <is>
          <t>Inhaber Zehnder Elektro Schwyz; Partnerschaft SZ besprechen</t>
        </is>
      </c>
      <c r="O502" s="11" t="inlineStr">
        <is>
          <t>Elektrounternehmen SZ: Industrie+Gewerbe+Gemeinden; SZ-Marktkenntnis</t>
        </is>
      </c>
      <c r="P502" s="11" t="n"/>
      <c r="Q502" s="11" t="n"/>
      <c r="R502" s="11" t="inlineStr">
        <is>
          <t>Adr: Schwyz, 6430 SZ | Elektrounternehmen SZ; Türöffner Industrie+Spital</t>
        </is>
      </c>
      <c r="S502" s="11" t="inlineStr">
        <is>
          <t>Elektrounternehmen SZ</t>
        </is>
      </c>
    </row>
    <row r="503">
      <c r="A503" s="11" t="n">
        <v>500</v>
      </c>
      <c r="B503" s="11" t="inlineStr">
        <is>
          <t>C</t>
        </is>
      </c>
      <c r="C503" s="11" t="inlineStr">
        <is>
          <t>Gemeinde/Öffentlich</t>
        </is>
      </c>
      <c r="D503" s="11" t="inlineStr">
        <is>
          <t>[MiT SZ-Kältekunde Nr. 2]</t>
        </is>
      </c>
      <c r="E503" s="11" t="inlineStr">
        <is>
          <t>Pfäffikon SZ</t>
        </is>
      </c>
      <c r="F503" s="11" t="inlineStr">
        <is>
          <t>8808</t>
        </is>
      </c>
      <c r="G503" s="11" t="inlineStr">
        <is>
          <t>SZ</t>
        </is>
      </c>
      <c r="H503" s="11" t="inlineStr">
        <is>
          <t>Energieverantwortlicher</t>
        </is>
      </c>
      <c r="I503" s="11" t="inlineStr">
        <is>
          <t>Betriebsleiter</t>
        </is>
      </c>
      <c r="J503" s="11" t="n"/>
      <c r="K503" s="11" t="inlineStr">
        <is>
          <t>(MiT-CRM)</t>
        </is>
      </c>
      <c r="L503" s="11" t="n"/>
      <c r="M503" s="11" t="inlineStr">
        <is>
          <t>offen</t>
        </is>
      </c>
      <c r="N503" s="11" t="inlineStr">
        <is>
          <t>MiT-CRM Roberto/Stefan: SZ-Kunden ohne Strom prüfen</t>
        </is>
      </c>
      <c r="O503" s="11" t="inlineStr">
        <is>
          <t>Strom-Add-on MiT-Wärme/Kälte SZ</t>
        </is>
      </c>
      <c r="P503" s="11" t="n"/>
      <c r="Q503" s="11" t="n"/>
      <c r="R503" s="11" t="inlineStr">
        <is>
          <t>K+N Fortune-100 + Galaxus 24h-Lager = 2 Top-Accounts SZ</t>
        </is>
      </c>
      <c r="S503" s="11" t="inlineStr">
        <is>
          <t>Cross-Sell MiT</t>
        </is>
      </c>
    </row>
    <row r="504">
      <c r="A504" s="11" t="n">
        <v>501</v>
      </c>
      <c r="B504" s="11" t="inlineStr">
        <is>
          <t>A</t>
        </is>
      </c>
      <c r="C504" s="11" t="inlineStr">
        <is>
          <t>EVU/Netzbetreiber</t>
        </is>
      </c>
      <c r="D504" s="11" t="inlineStr">
        <is>
          <t>EKT AG (Elektrizitätswerk Kt. Thurgau)</t>
        </is>
      </c>
      <c r="E504" s="11" t="inlineStr">
        <is>
          <t>Arbon</t>
        </is>
      </c>
      <c r="F504" s="11" t="inlineStr">
        <is>
          <t>9320</t>
        </is>
      </c>
      <c r="G504" s="11" t="inlineStr">
        <is>
          <t>TG</t>
        </is>
      </c>
      <c r="H504" s="11" t="inlineStr">
        <is>
          <t>Leiter Netzbetrieb / Bereichsleiter Netze</t>
        </is>
      </c>
      <c r="I504" s="11" t="inlineStr">
        <is>
          <t>Dipl. El.-Ing.</t>
        </is>
      </c>
      <c r="J504" s="11" t="inlineStr">
        <is>
          <t>info@ekt.ch</t>
        </is>
      </c>
      <c r="K504" s="11" t="inlineStr">
        <is>
          <t>+41 58 200 61 11</t>
        </is>
      </c>
      <c r="L504" s="11" t="n"/>
      <c r="M504" s="11" t="inlineStr">
        <is>
          <t>offen</t>
        </is>
      </c>
      <c r="N504" s="11" t="inlineStr">
        <is>
          <t>Netzbetrieb EKT Arbon ansprechen; Revisionskalender anfragen</t>
        </is>
      </c>
      <c r="O504" s="11" t="inlineStr">
        <is>
          <t>600 km MS-Netz, 15 Unterwerke, 28 Schaltstationen; Revisionen MS/HS; NEA kantonal</t>
        </is>
      </c>
      <c r="P504" s="11" t="inlineStr">
        <is>
          <t>BESS</t>
        </is>
      </c>
      <c r="Q504" s="11" t="n"/>
      <c r="R504" s="11" t="inlineStr">
        <is>
          <t>Kantonaler EVU TG; 164 MA; 300'000 Kunden; HQ Arbon; Datacenter Frauenfeld; 100% Kanton TG</t>
        </is>
      </c>
      <c r="S504" s="11" t="inlineStr">
        <is>
          <t>Kantonaler Versorger</t>
        </is>
      </c>
    </row>
    <row r="505">
      <c r="A505" s="11" t="n">
        <v>502</v>
      </c>
      <c r="B505" s="11" t="inlineStr">
        <is>
          <t>A</t>
        </is>
      </c>
      <c r="C505" s="11" t="inlineStr">
        <is>
          <t>EVU/Netzbetreiber</t>
        </is>
      </c>
      <c r="D505" s="11" t="inlineStr">
        <is>
          <t>Technische Betriebe Frauenfeld (TBF)</t>
        </is>
      </c>
      <c r="E505" s="11" t="inlineStr">
        <is>
          <t>Frauenfeld</t>
        </is>
      </c>
      <c r="F505" s="11" t="inlineStr">
        <is>
          <t>8500</t>
        </is>
      </c>
      <c r="G505" s="11" t="inlineStr">
        <is>
          <t>TG</t>
        </is>
      </c>
      <c r="H505" s="11" t="inlineStr">
        <is>
          <t>Betriebsleiter Netztechnik</t>
        </is>
      </c>
      <c r="I505" s="11" t="inlineStr">
        <is>
          <t>Betriebsingenieur</t>
        </is>
      </c>
      <c r="J505" s="11" t="inlineStr">
        <is>
          <t>info@frauenfeld.ch</t>
        </is>
      </c>
      <c r="K505" s="11" t="inlineStr">
        <is>
          <t>+41 52 724 52 00</t>
        </is>
      </c>
      <c r="L505" s="11" t="n"/>
      <c r="M505" s="11" t="inlineStr">
        <is>
          <t>offen</t>
        </is>
      </c>
      <c r="N505" s="11" t="inlineStr">
        <is>
          <t>Ansprechpartner Netzbetrieb TBF identifizieren + Erstanschreiben</t>
        </is>
      </c>
      <c r="O505" s="11" t="inlineStr">
        <is>
          <t>Netzersatz Stadtversorgung, Revisionen MS-Netz, NEA kommunale Gebäude</t>
        </is>
      </c>
      <c r="P505" s="11" t="n"/>
      <c r="Q505" s="11" t="n"/>
      <c r="R505" s="11" t="inlineStr">
        <is>
          <t>Stadtwerk Kantonshauptort; Strom+Wasser+Gas; öffentlich = simap.ch Pflicht</t>
        </is>
      </c>
      <c r="S505" s="11" t="inlineStr">
        <is>
          <t>Stadtwerk</t>
        </is>
      </c>
    </row>
    <row r="506">
      <c r="A506" s="11" t="n">
        <v>503</v>
      </c>
      <c r="B506" s="11" t="inlineStr">
        <is>
          <t>A</t>
        </is>
      </c>
      <c r="C506" s="11" t="inlineStr">
        <is>
          <t>EVU/Netzbetreiber</t>
        </is>
      </c>
      <c r="D506" s="11" t="inlineStr">
        <is>
          <t>Technische Gemeindebetriebe Kreuzlingen (TGK)</t>
        </is>
      </c>
      <c r="E506" s="11" t="inlineStr">
        <is>
          <t>Kreuzlingen</t>
        </is>
      </c>
      <c r="F506" s="11" t="inlineStr">
        <is>
          <t>8280</t>
        </is>
      </c>
      <c r="G506" s="11" t="inlineStr">
        <is>
          <t>TG</t>
        </is>
      </c>
      <c r="H506" s="11" t="inlineStr">
        <is>
          <t>Betriebsleiter</t>
        </is>
      </c>
      <c r="I506" s="11" t="inlineStr">
        <is>
          <t>Dipl. El.-Ing.</t>
        </is>
      </c>
      <c r="J506" s="11" t="inlineStr">
        <is>
          <t>info@kreuzlingen.ch</t>
        </is>
      </c>
      <c r="K506" s="11" t="inlineStr">
        <is>
          <t>+41 71 677 11 11</t>
        </is>
      </c>
      <c r="L506" s="11" t="n"/>
      <c r="M506" s="11" t="inlineStr">
        <is>
          <t>offen</t>
        </is>
      </c>
      <c r="N506" s="11" t="inlineStr">
        <is>
          <t>Betriebsleiter TGK ansprechen; Grenzregion als Argument</t>
        </is>
      </c>
      <c r="O506" s="11" t="inlineStr">
        <is>
          <t>Netzabsicherung Kreuzlingen-Konstanz Grenzregion; Revisionen; 300 kVA NEA</t>
        </is>
      </c>
      <c r="P506" s="11" t="n"/>
      <c r="Q506" s="11" t="n"/>
      <c r="R506" s="11" t="inlineStr">
        <is>
          <t>Grenzstadt Konstanz/D; Cross-Sell mit Bodensee-Arena + Spital</t>
        </is>
      </c>
      <c r="S506" s="11" t="inlineStr">
        <is>
          <t>Stadtwerk</t>
        </is>
      </c>
    </row>
    <row r="507">
      <c r="A507" s="11" t="n">
        <v>504</v>
      </c>
      <c r="B507" s="11" t="inlineStr">
        <is>
          <t>B</t>
        </is>
      </c>
      <c r="C507" s="11" t="inlineStr">
        <is>
          <t>EVU/Netzbetreiber</t>
        </is>
      </c>
      <c r="D507" s="11" t="inlineStr">
        <is>
          <t>EKT Energie AG (Stromhandel + Versorgung EVU TG)</t>
        </is>
      </c>
      <c r="E507" s="11" t="inlineStr">
        <is>
          <t>Arbon</t>
        </is>
      </c>
      <c r="F507" s="11" t="inlineStr">
        <is>
          <t>9320</t>
        </is>
      </c>
      <c r="G507" s="11" t="inlineStr">
        <is>
          <t>TG</t>
        </is>
      </c>
      <c r="H507" s="11" t="inlineStr">
        <is>
          <t>Leiter Energieversorgung</t>
        </is>
      </c>
      <c r="I507" s="11" t="inlineStr">
        <is>
          <t>MSc Energie</t>
        </is>
      </c>
      <c r="J507" s="11" t="inlineStr">
        <is>
          <t>info@ekt-energie.ch</t>
        </is>
      </c>
      <c r="K507" s="11" t="inlineStr">
        <is>
          <t>+41 58 200 61 00</t>
        </is>
      </c>
      <c r="L507" s="11" t="n"/>
      <c r="M507" s="11" t="inlineStr">
        <is>
          <t>offen</t>
        </is>
      </c>
      <c r="N507" s="11" t="inlineStr">
        <is>
          <t>Über EKT AG Zugang zu EKT Energie herstellen</t>
        </is>
      </c>
      <c r="O507" s="11" t="inlineStr">
        <is>
          <t>Revisionen Unterwerke; mobile Einspeisung 1–5 MVA; Netzertüchtigung</t>
        </is>
      </c>
      <c r="P507" s="11" t="inlineStr">
        <is>
          <t>Generator</t>
        </is>
      </c>
      <c r="Q507" s="11" t="n"/>
      <c r="R507" s="11" t="inlineStr">
        <is>
          <t>EKT-Tochter für Energiehandel; Versorgung 29 örtlicher EVU TG</t>
        </is>
      </c>
      <c r="S507" s="11" t="inlineStr">
        <is>
          <t>EVU Regional</t>
        </is>
      </c>
    </row>
    <row r="508">
      <c r="A508" s="11" t="n">
        <v>505</v>
      </c>
      <c r="B508" s="11" t="inlineStr">
        <is>
          <t>B</t>
        </is>
      </c>
      <c r="C508" s="11" t="inlineStr">
        <is>
          <t>EVU/Netzbetreiber</t>
        </is>
      </c>
      <c r="D508" s="11" t="inlineStr">
        <is>
          <t>Technische Betriebe Weinfelden</t>
        </is>
      </c>
      <c r="E508" s="11" t="inlineStr">
        <is>
          <t>Weinfelden</t>
        </is>
      </c>
      <c r="F508" s="11" t="inlineStr">
        <is>
          <t>8570</t>
        </is>
      </c>
      <c r="G508" s="11" t="inlineStr">
        <is>
          <t>TG</t>
        </is>
      </c>
      <c r="H508" s="11" t="inlineStr">
        <is>
          <t>Betriebsleiter</t>
        </is>
      </c>
      <c r="I508" s="11" t="inlineStr">
        <is>
          <t>Techniker TS</t>
        </is>
      </c>
      <c r="J508" s="11" t="inlineStr">
        <is>
          <t>info@weinfelden.ch</t>
        </is>
      </c>
      <c r="K508" s="11" t="inlineStr">
        <is>
          <t>+41 71 626 93 44</t>
        </is>
      </c>
      <c r="L508" s="11" t="n"/>
      <c r="M508" s="11" t="inlineStr">
        <is>
          <t>offen</t>
        </is>
      </c>
      <c r="N508" s="11" t="inlineStr">
        <is>
          <t>Erstanschreiben Betriebsleiter; Cross-Sell ARA + Spital Weinfelden</t>
        </is>
      </c>
      <c r="O508" s="11" t="inlineStr">
        <is>
          <t>Netzabsicherung Weinfelden; Revisionen MS-Anlagen; 200 kVA NEA</t>
        </is>
      </c>
      <c r="P508" s="11" t="n"/>
      <c r="Q508" s="11" t="n"/>
      <c r="R508" s="11" t="inlineStr">
        <is>
          <t>EVU Weinfelden; Cross-Sell-Cluster: EVU+ARA+Gemeinde Weinfelden</t>
        </is>
      </c>
      <c r="S508" s="11" t="inlineStr">
        <is>
          <t>EVU Regional</t>
        </is>
      </c>
    </row>
    <row r="509">
      <c r="A509" s="11" t="n">
        <v>506</v>
      </c>
      <c r="B509" s="11" t="inlineStr">
        <is>
          <t>C</t>
        </is>
      </c>
      <c r="C509" s="11" t="inlineStr">
        <is>
          <t>EVU/Netzbetreiber</t>
        </is>
      </c>
      <c r="D509" s="11" t="inlineStr">
        <is>
          <t>Technische Betriebe Arbon</t>
        </is>
      </c>
      <c r="E509" s="11" t="inlineStr">
        <is>
          <t>Arbon</t>
        </is>
      </c>
      <c r="F509" s="11" t="inlineStr">
        <is>
          <t>9320</t>
        </is>
      </c>
      <c r="G509" s="11" t="inlineStr">
        <is>
          <t>TG</t>
        </is>
      </c>
      <c r="H509" s="11" t="inlineStr">
        <is>
          <t>Betriebsleiter</t>
        </is>
      </c>
      <c r="I509" s="11" t="inlineStr">
        <is>
          <t>Techniker</t>
        </is>
      </c>
      <c r="J509" s="11" t="inlineStr">
        <is>
          <t>info@arbon.ch</t>
        </is>
      </c>
      <c r="K509" s="11" t="inlineStr">
        <is>
          <t>+41 71 447 56 56</t>
        </is>
      </c>
      <c r="L509" s="11" t="n"/>
      <c r="M509" s="11" t="inlineStr">
        <is>
          <t>offen</t>
        </is>
      </c>
      <c r="N509" s="11" t="inlineStr">
        <is>
          <t>Kaltakquise; Cross-Sell mit EKT HQ Arbon</t>
        </is>
      </c>
      <c r="O509" s="11" t="inlineStr">
        <is>
          <t>Netzabsicherung Arbon; 150 kVA NEA kommunal</t>
        </is>
      </c>
      <c r="P509" s="11" t="inlineStr">
        <is>
          <t>Generator</t>
        </is>
      </c>
      <c r="Q509" s="11" t="n"/>
      <c r="R509" s="11" t="inlineStr">
        <is>
          <t>EKT HQ-Gemeinde; EVU Arbon; Cross-Sell über EKT-Beziehung</t>
        </is>
      </c>
      <c r="S509" s="11" t="inlineStr">
        <is>
          <t>EVU Regional</t>
        </is>
      </c>
    </row>
    <row r="510">
      <c r="A510" s="11" t="n">
        <v>507</v>
      </c>
      <c r="B510" s="11" t="inlineStr">
        <is>
          <t>A</t>
        </is>
      </c>
      <c r="C510" s="11" t="inlineStr">
        <is>
          <t>Spital/Klinik</t>
        </is>
      </c>
      <c r="D510" s="11" t="inlineStr">
        <is>
          <t>Spital Thurgau AG (STGAG) – Gesamtgruppe</t>
        </is>
      </c>
      <c r="E510" s="11" t="inlineStr">
        <is>
          <t>Frauenfeld</t>
        </is>
      </c>
      <c r="F510" s="11" t="inlineStr">
        <is>
          <t>8500</t>
        </is>
      </c>
      <c r="G510" s="11" t="inlineStr">
        <is>
          <t>TG</t>
        </is>
      </c>
      <c r="H510" s="11" t="inlineStr">
        <is>
          <t>Leiter Technischer Dienst / Facility Management</t>
        </is>
      </c>
      <c r="I510" s="11" t="inlineStr">
        <is>
          <t>MSc El.-Ing.</t>
        </is>
      </c>
      <c r="J510" s="11" t="inlineStr">
        <is>
          <t>info@stgag.ch</t>
        </is>
      </c>
      <c r="K510" s="11" t="inlineStr">
        <is>
          <t>+41 58 144 77 11</t>
        </is>
      </c>
      <c r="L510" s="11" t="n"/>
      <c r="M510" s="11" t="inlineStr">
        <is>
          <t>offen</t>
        </is>
      </c>
      <c r="N510" s="11" t="inlineStr">
        <is>
          <t>Technischen Dienst STGAG Frauenfeld kontaktieren; IBG Referenz einsetzen</t>
        </is>
      </c>
      <c r="O510" s="11" t="inlineStr">
        <is>
          <t>NEA-Pflicht NIV Art. 13 an 4 Standorten; 4'100 MA; USV 2x 500 kVA; PQ GMP</t>
        </is>
      </c>
      <c r="P510" s="11" t="inlineStr">
        <is>
          <t>USV</t>
        </is>
      </c>
      <c r="Q510" s="11" t="n"/>
      <c r="R510" s="11" t="inlineStr">
        <is>
          <t>4'100 MA; 4 Standorte; IBG hat STGAG betreut = Türöffner; Mega-Account TG</t>
        </is>
      </c>
      <c r="S510" s="11" t="inlineStr">
        <is>
          <t>Spitalgruppe (4 Standorte)</t>
        </is>
      </c>
    </row>
    <row r="511">
      <c r="A511" s="11" t="n">
        <v>508</v>
      </c>
      <c r="B511" s="11" t="inlineStr">
        <is>
          <t>A</t>
        </is>
      </c>
      <c r="C511" s="11" t="inlineStr">
        <is>
          <t>Spital/Klinik</t>
        </is>
      </c>
      <c r="D511" s="11" t="inlineStr">
        <is>
          <t>Kantonsspital Münsterlingen (STGAG)</t>
        </is>
      </c>
      <c r="E511" s="11" t="inlineStr">
        <is>
          <t>Münsterlingen</t>
        </is>
      </c>
      <c r="F511" s="11" t="inlineStr">
        <is>
          <t>8596</t>
        </is>
      </c>
      <c r="G511" s="11" t="inlineStr">
        <is>
          <t>TG</t>
        </is>
      </c>
      <c r="H511" s="11" t="inlineStr">
        <is>
          <t>Betriebsleiter Technik</t>
        </is>
      </c>
      <c r="I511" s="11" t="inlineStr">
        <is>
          <t>Dipl. El.-Ing.</t>
        </is>
      </c>
      <c r="J511" s="11" t="inlineStr">
        <is>
          <t>info@stgag.ch</t>
        </is>
      </c>
      <c r="K511" s="11" t="inlineStr">
        <is>
          <t>+41 58 144 62 11</t>
        </is>
      </c>
      <c r="L511" s="11" t="n"/>
      <c r="M511" s="11" t="inlineStr">
        <is>
          <t>offen</t>
        </is>
      </c>
      <c r="N511" s="11" t="inlineStr">
        <is>
          <t>Betriebsleiter Münsterlingen direkt ansprechen (IBG hat dort gearbeitet!)</t>
        </is>
      </c>
      <c r="O511" s="11" t="inlineStr">
        <is>
          <t>NEA-Pflicht, USV ICU/OP, 2x 400 kVA; Bodensee-Lage</t>
        </is>
      </c>
      <c r="P511" s="11" t="inlineStr">
        <is>
          <t>USV</t>
        </is>
      </c>
      <c r="Q511" s="11" t="n"/>
      <c r="R511" s="11" t="inlineStr">
        <is>
          <t>Akutspital 300 Betten; IBG Referenz = direkter Türöffner</t>
        </is>
      </c>
      <c r="S511" s="11" t="inlineStr">
        <is>
          <t>Kantonsspital</t>
        </is>
      </c>
    </row>
    <row r="512">
      <c r="A512" s="11" t="n">
        <v>509</v>
      </c>
      <c r="B512" s="11" t="inlineStr">
        <is>
          <t>A</t>
        </is>
      </c>
      <c r="C512" s="11" t="inlineStr">
        <is>
          <t>Spital/Klinik</t>
        </is>
      </c>
      <c r="D512" s="11" t="inlineStr">
        <is>
          <t>Kantonsspital Frauenfeld (STGAG)</t>
        </is>
      </c>
      <c r="E512" s="11" t="inlineStr">
        <is>
          <t>Frauenfeld</t>
        </is>
      </c>
      <c r="F512" s="11" t="inlineStr">
        <is>
          <t>8500</t>
        </is>
      </c>
      <c r="G512" s="11" t="inlineStr">
        <is>
          <t>TG</t>
        </is>
      </c>
      <c r="H512" s="11" t="inlineStr">
        <is>
          <t>Betriebsleiter Technik</t>
        </is>
      </c>
      <c r="I512" s="11" t="inlineStr">
        <is>
          <t>Dipl. El.-Ing.</t>
        </is>
      </c>
      <c r="J512" s="11" t="inlineStr">
        <is>
          <t>technik@stgag.ch</t>
        </is>
      </c>
      <c r="K512" s="11" t="inlineStr">
        <is>
          <t>+41 58 144 77 11</t>
        </is>
      </c>
      <c r="L512" s="11" t="n"/>
      <c r="M512" s="11" t="inlineStr">
        <is>
          <t>offen</t>
        </is>
      </c>
      <c r="N512" s="11" t="inlineStr">
        <is>
          <t>Betriebsleiter Frauenfeld direkt ansprechen; Baustrom als Einstieg</t>
        </is>
      </c>
      <c r="O512" s="11" t="inlineStr">
        <is>
          <t>NEA-Pflicht, Neubau Notfallstation; USV OP 2x 400 kVA; Baustrom</t>
        </is>
      </c>
      <c r="P512" s="11" t="inlineStr">
        <is>
          <t>USV</t>
        </is>
      </c>
      <c r="Q512" s="11" t="n"/>
      <c r="R512" s="11" t="inlineStr">
        <is>
          <t>Neubau Notfallstation läuft = Baustrom Opportunity; IBG Referenz</t>
        </is>
      </c>
      <c r="S512" s="11" t="inlineStr">
        <is>
          <t>Kantonsspital</t>
        </is>
      </c>
    </row>
    <row r="513">
      <c r="A513" s="11" t="n">
        <v>510</v>
      </c>
      <c r="B513" s="11" t="inlineStr">
        <is>
          <t>A</t>
        </is>
      </c>
      <c r="C513" s="11" t="inlineStr">
        <is>
          <t>Spital/Klinik</t>
        </is>
      </c>
      <c r="D513" s="11" t="inlineStr">
        <is>
          <t>Psychiatrische Dienste Thurgau (PDTG)</t>
        </is>
      </c>
      <c r="E513" s="11" t="inlineStr">
        <is>
          <t>Münsterlingen</t>
        </is>
      </c>
      <c r="F513" s="11" t="inlineStr">
        <is>
          <t>8596</t>
        </is>
      </c>
      <c r="G513" s="11" t="inlineStr">
        <is>
          <t>TG</t>
        </is>
      </c>
      <c r="H513" s="11" t="inlineStr">
        <is>
          <t>Betriebsleiter</t>
        </is>
      </c>
      <c r="I513" s="11" t="inlineStr">
        <is>
          <t>Techniker TS</t>
        </is>
      </c>
      <c r="J513" s="11" t="inlineStr">
        <is>
          <t>info@pdtg.ch</t>
        </is>
      </c>
      <c r="K513" s="11" t="inlineStr">
        <is>
          <t>+41 58 144 56 00</t>
        </is>
      </c>
      <c r="L513" s="11" t="n"/>
      <c r="M513" s="11" t="inlineStr">
        <is>
          <t>offen</t>
        </is>
      </c>
      <c r="N513" s="11" t="inlineStr">
        <is>
          <t>Über STGAG-Kontakt erschliessen; gemeinsame Verhandlung</t>
        </is>
      </c>
      <c r="O513" s="11" t="inlineStr">
        <is>
          <t>NEA, USV Psychiatrie mehrere Standorte; 1x 250 kVA</t>
        </is>
      </c>
      <c r="P513" s="11" t="inlineStr">
        <is>
          <t>USV</t>
        </is>
      </c>
      <c r="Q513" s="11" t="n"/>
      <c r="R513" s="11" t="inlineStr">
        <is>
          <t>Teil Spital Thurgau AG; mehrere Standorte; öffentlich simap.ch</t>
        </is>
      </c>
      <c r="S513" s="11" t="inlineStr">
        <is>
          <t>Psychiatrie</t>
        </is>
      </c>
    </row>
    <row r="514">
      <c r="A514" s="11" t="n">
        <v>511</v>
      </c>
      <c r="B514" s="11" t="inlineStr">
        <is>
          <t>B</t>
        </is>
      </c>
      <c r="C514" s="11" t="inlineStr">
        <is>
          <t>Spital/Klinik</t>
        </is>
      </c>
      <c r="D514" s="11" t="inlineStr">
        <is>
          <t>Rehaklinik Zihlschlacht AG</t>
        </is>
      </c>
      <c r="E514" s="11" t="inlineStr">
        <is>
          <t>Zihlschlacht-Sitterdorf</t>
        </is>
      </c>
      <c r="F514" s="11" t="inlineStr">
        <is>
          <t>8588</t>
        </is>
      </c>
      <c r="G514" s="11" t="inlineStr">
        <is>
          <t>TG</t>
        </is>
      </c>
      <c r="H514" s="11" t="inlineStr">
        <is>
          <t>Betriebsleiter</t>
        </is>
      </c>
      <c r="I514" s="11" t="inlineStr">
        <is>
          <t>Techniker TS</t>
        </is>
      </c>
      <c r="J514" s="11" t="inlineStr">
        <is>
          <t>info@zihlschlacht.ch</t>
        </is>
      </c>
      <c r="K514" s="11" t="inlineStr">
        <is>
          <t>+41 71 424 33 33</t>
        </is>
      </c>
      <c r="L514" s="11" t="n"/>
      <c r="M514" s="11" t="inlineStr">
        <is>
          <t>offen</t>
        </is>
      </c>
      <c r="N514" s="11" t="inlineStr">
        <is>
          <t>Haustechnik ansprechen; Rehaklinik NEA Pitch</t>
        </is>
      </c>
      <c r="O514" s="11" t="inlineStr">
        <is>
          <t>NEA, USV Rehabetrieb; 1x 200 kVA; Ländliche Lage</t>
        </is>
      </c>
      <c r="P514" s="11" t="inlineStr">
        <is>
          <t>USV</t>
        </is>
      </c>
      <c r="Q514" s="11" t="n"/>
      <c r="R514" s="11" t="inlineStr">
        <is>
          <t>Reha Zihlschlacht; ländliche Lage; Cross-Sell mit ARA Bischofszell-Region</t>
        </is>
      </c>
      <c r="S514" s="11" t="inlineStr">
        <is>
          <t>Rehaklinik</t>
        </is>
      </c>
    </row>
    <row r="515">
      <c r="A515" s="11" t="n">
        <v>512</v>
      </c>
      <c r="B515" s="11" t="inlineStr">
        <is>
          <t>B</t>
        </is>
      </c>
      <c r="C515" s="11" t="inlineStr">
        <is>
          <t>Spital/Klinik</t>
        </is>
      </c>
      <c r="D515" s="11" t="inlineStr">
        <is>
          <t>Rehaklinik Dussnang AG</t>
        </is>
      </c>
      <c r="E515" s="11" t="inlineStr">
        <is>
          <t>Dussnang</t>
        </is>
      </c>
      <c r="F515" s="11" t="inlineStr">
        <is>
          <t>9108</t>
        </is>
      </c>
      <c r="G515" s="11" t="inlineStr">
        <is>
          <t>TG</t>
        </is>
      </c>
      <c r="H515" s="11" t="inlineStr">
        <is>
          <t>Betriebsleiter</t>
        </is>
      </c>
      <c r="I515" s="11" t="inlineStr">
        <is>
          <t>Techniker</t>
        </is>
      </c>
      <c r="J515" s="11" t="inlineStr">
        <is>
          <t>info@rehaklinik-dussnang.ch</t>
        </is>
      </c>
      <c r="K515" s="11" t="inlineStr">
        <is>
          <t>+41 71 414 34 34</t>
        </is>
      </c>
      <c r="L515" s="11" t="n"/>
      <c r="M515" s="11" t="inlineStr">
        <is>
          <t>offen</t>
        </is>
      </c>
      <c r="N515" s="11" t="inlineStr">
        <is>
          <t>Kaltakquise; ländliche Lage = erhöhtes Blackout-Risiko</t>
        </is>
      </c>
      <c r="O515" s="11" t="inlineStr">
        <is>
          <t>NEA + USV Geriatrie/MSK Reha; 1x 150 kVA</t>
        </is>
      </c>
      <c r="P515" s="11" t="inlineStr">
        <is>
          <t>USV</t>
        </is>
      </c>
      <c r="Q515" s="11" t="n"/>
      <c r="R515" s="11" t="inlineStr">
        <is>
          <t>Geriatrie + MSK; ländliche Lage; Versorgungsrisiko erhöht</t>
        </is>
      </c>
      <c r="S515" s="11" t="inlineStr">
        <is>
          <t>Rehaklinik</t>
        </is>
      </c>
    </row>
    <row r="516">
      <c r="A516" s="11" t="n">
        <v>513</v>
      </c>
      <c r="B516" s="11" t="inlineStr">
        <is>
          <t>B</t>
        </is>
      </c>
      <c r="C516" s="11" t="inlineStr">
        <is>
          <t>Spital/Klinik</t>
        </is>
      </c>
      <c r="D516" s="11" t="inlineStr">
        <is>
          <t>Klinik St. Katharinental (STGAG)</t>
        </is>
      </c>
      <c r="E516" s="11" t="inlineStr">
        <is>
          <t>Diessenhofen</t>
        </is>
      </c>
      <c r="F516" s="11" t="inlineStr">
        <is>
          <t>8253</t>
        </is>
      </c>
      <c r="G516" s="11" t="inlineStr">
        <is>
          <t>TG</t>
        </is>
      </c>
      <c r="H516" s="11" t="inlineStr">
        <is>
          <t>Betriebsleiter</t>
        </is>
      </c>
      <c r="I516" s="11" t="inlineStr">
        <is>
          <t>Techniker</t>
        </is>
      </c>
      <c r="J516" s="11" t="inlineStr">
        <is>
          <t>info@stgag.ch</t>
        </is>
      </c>
      <c r="K516" s="11" t="inlineStr">
        <is>
          <t>+41 52 646 41 11</t>
        </is>
      </c>
      <c r="L516" s="11" t="n"/>
      <c r="M516" s="11" t="inlineStr">
        <is>
          <t>offen</t>
        </is>
      </c>
      <c r="N516" s="11" t="inlineStr">
        <is>
          <t>Über STGAG-Beziehung erschliessen</t>
        </is>
      </c>
      <c r="O516" s="11" t="inlineStr">
        <is>
          <t>NEA, USV Reha + Geriatrie; 1x 180 kVA</t>
        </is>
      </c>
      <c r="P516" s="11" t="inlineStr">
        <is>
          <t>USV</t>
        </is>
      </c>
      <c r="Q516" s="11" t="n"/>
      <c r="R516" s="11" t="inlineStr">
        <is>
          <t>Rehaklinik STGAG; historisches Kloster; Teil Gesamtgruppe</t>
        </is>
      </c>
      <c r="S516" s="11" t="inlineStr">
        <is>
          <t>Rehaklinik</t>
        </is>
      </c>
    </row>
    <row r="517">
      <c r="A517" s="11" t="n">
        <v>514</v>
      </c>
      <c r="B517" s="11" t="inlineStr">
        <is>
          <t>C</t>
        </is>
      </c>
      <c r="C517" s="11" t="inlineStr">
        <is>
          <t>Spital/Klinik</t>
        </is>
      </c>
      <c r="D517" s="11" t="inlineStr">
        <is>
          <t>Klinik Schloss Mammern AG</t>
        </is>
      </c>
      <c r="E517" s="11" t="inlineStr">
        <is>
          <t>Mammern</t>
        </is>
      </c>
      <c r="F517" s="11" t="inlineStr">
        <is>
          <t>8265</t>
        </is>
      </c>
      <c r="G517" s="11" t="inlineStr">
        <is>
          <t>TG</t>
        </is>
      </c>
      <c r="H517" s="11" t="inlineStr">
        <is>
          <t>Betriebsleiter</t>
        </is>
      </c>
      <c r="I517" s="11" t="inlineStr">
        <is>
          <t>Techniker</t>
        </is>
      </c>
      <c r="J517" s="11" t="inlineStr">
        <is>
          <t>info@klinik-mammern.ch</t>
        </is>
      </c>
      <c r="K517" s="11" t="inlineStr">
        <is>
          <t>+41 52 742 00 00</t>
        </is>
      </c>
      <c r="L517" s="11" t="n"/>
      <c r="M517" s="11" t="inlineStr">
        <is>
          <t>offen</t>
        </is>
      </c>
      <c r="N517" s="11" t="inlineStr">
        <is>
          <t>Kaltakquise; Privatklinik Bodensee</t>
        </is>
      </c>
      <c r="O517" s="11" t="inlineStr">
        <is>
          <t>NEA, USV Psychiatrie-Reha; 1x 120 kVA; Seelage Bodensee</t>
        </is>
      </c>
      <c r="P517" s="11" t="inlineStr">
        <is>
          <t>USV</t>
        </is>
      </c>
      <c r="Q517" s="11" t="n"/>
      <c r="R517" s="11" t="inlineStr">
        <is>
          <t>Privatklinik Bodensee; psychiatrische Reha; attraktive Lage</t>
        </is>
      </c>
      <c r="S517" s="11" t="inlineStr">
        <is>
          <t>Privatklinik</t>
        </is>
      </c>
    </row>
    <row r="518">
      <c r="A518" s="11" t="n">
        <v>515</v>
      </c>
      <c r="B518" s="11" t="inlineStr">
        <is>
          <t>C</t>
        </is>
      </c>
      <c r="C518" s="11" t="inlineStr">
        <is>
          <t>Spital/Klinik</t>
        </is>
      </c>
      <c r="D518" s="11" t="inlineStr">
        <is>
          <t>Herz-Neuro-Zentrum Bodensee AG</t>
        </is>
      </c>
      <c r="E518" s="11" t="inlineStr">
        <is>
          <t>Kreuzlingen</t>
        </is>
      </c>
      <c r="F518" s="11" t="inlineStr">
        <is>
          <t>8280</t>
        </is>
      </c>
      <c r="G518" s="11" t="inlineStr">
        <is>
          <t>TG</t>
        </is>
      </c>
      <c r="H518" s="11" t="inlineStr">
        <is>
          <t>Betriebsleiter</t>
        </is>
      </c>
      <c r="I518" s="11" t="inlineStr">
        <is>
          <t>Dipl. El.-Ing.</t>
        </is>
      </c>
      <c r="J518" s="11" t="inlineStr">
        <is>
          <t>info@herzneuro.ch</t>
        </is>
      </c>
      <c r="K518" s="11" t="inlineStr">
        <is>
          <t>+41 71 677 78 78</t>
        </is>
      </c>
      <c r="L518" s="11" t="n"/>
      <c r="M518" s="11" t="inlineStr">
        <is>
          <t>offen</t>
        </is>
      </c>
      <c r="N518" s="11" t="inlineStr">
        <is>
          <t>Betriebsleiter ansprechen; Herzmedizin als Dringlichkeit</t>
        </is>
      </c>
      <c r="O518" s="11" t="inlineStr">
        <is>
          <t>NEA-Pflicht Herzmedizin USV 1x 300 kVA; kritische Medizintechnik</t>
        </is>
      </c>
      <c r="P518" s="11" t="inlineStr">
        <is>
          <t>USV</t>
        </is>
      </c>
      <c r="Q518" s="11" t="n"/>
      <c r="R518" s="11" t="inlineStr">
        <is>
          <t>Herzchirurgie Bodensee; kritische Medizintechnik; USV Pflicht</t>
        </is>
      </c>
      <c r="S518" s="11" t="inlineStr">
        <is>
          <t>Herzmedizin</t>
        </is>
      </c>
    </row>
    <row r="519">
      <c r="A519" s="11" t="n">
        <v>516</v>
      </c>
      <c r="B519" s="11" t="inlineStr">
        <is>
          <t>A</t>
        </is>
      </c>
      <c r="C519" s="11" t="inlineStr">
        <is>
          <t>Pharma/Chemie</t>
        </is>
      </c>
      <c r="D519" s="11" t="inlineStr">
        <is>
          <t>Stadler Rail AG (Stammwerk Bussnang)</t>
        </is>
      </c>
      <c r="E519" s="11" t="inlineStr">
        <is>
          <t>Bussnang</t>
        </is>
      </c>
      <c r="F519" s="11" t="inlineStr">
        <is>
          <t>9565</t>
        </is>
      </c>
      <c r="G519" s="11" t="inlineStr">
        <is>
          <t>TG</t>
        </is>
      </c>
      <c r="H519" s="11" t="inlineStr">
        <is>
          <t>Betriebsleiter Elektro / Facility Manager</t>
        </is>
      </c>
      <c r="I519" s="11" t="inlineStr">
        <is>
          <t>MSc El.-Ing.</t>
        </is>
      </c>
      <c r="J519" s="11" t="inlineStr">
        <is>
          <t>info@stadlerrail.com</t>
        </is>
      </c>
      <c r="K519" s="11" t="inlineStr">
        <is>
          <t>+41 71 626 21 20</t>
        </is>
      </c>
      <c r="L519" s="11" t="n"/>
      <c r="M519" s="11" t="inlineStr">
        <is>
          <t>offen</t>
        </is>
      </c>
      <c r="N519" s="11" t="inlineStr">
        <is>
          <t>Facility Manager Stadler Bussnang identifizieren; Schweißanlagen-PQ als Einstieg</t>
        </is>
      </c>
      <c r="O519" s="11" t="inlineStr">
        <is>
          <t>Schienenfahrzeugbau: Schweißanlagen 2 MVA + FU-Antriebe; 2'400 MA Bussnang</t>
        </is>
      </c>
      <c r="P519" s="11" t="n"/>
      <c r="Q519" s="11" t="n"/>
      <c r="R519" s="11" t="inlineStr">
        <is>
          <t>13'400 MA weltweit; Stammwerk Bussnang TG; Schweißen = höchste Netzrückwirkungen</t>
        </is>
      </c>
      <c r="S519" s="11" t="inlineStr">
        <is>
          <t>Schienenfahrzeugbau</t>
        </is>
      </c>
    </row>
    <row r="520">
      <c r="A520" s="11" t="n">
        <v>517</v>
      </c>
      <c r="B520" s="11" t="inlineStr">
        <is>
          <t>A</t>
        </is>
      </c>
      <c r="C520" s="11" t="inlineStr">
        <is>
          <t>Pharma/Chemie</t>
        </is>
      </c>
      <c r="D520" s="11" t="inlineStr">
        <is>
          <t>MOWAG GmbH (General Dynamics Land Systems)</t>
        </is>
      </c>
      <c r="E520" s="11" t="inlineStr">
        <is>
          <t>Kreuzlingen</t>
        </is>
      </c>
      <c r="F520" s="11" t="inlineStr">
        <is>
          <t>8280</t>
        </is>
      </c>
      <c r="G520" s="11" t="inlineStr">
        <is>
          <t>TG</t>
        </is>
      </c>
      <c r="H520" s="11" t="inlineStr">
        <is>
          <t>Betriebsleiter Elektro</t>
        </is>
      </c>
      <c r="I520" s="11" t="inlineStr">
        <is>
          <t>Dipl. El.-Ing.</t>
        </is>
      </c>
      <c r="J520" s="11" t="inlineStr">
        <is>
          <t>info@mowag.com</t>
        </is>
      </c>
      <c r="K520" s="11" t="inlineStr">
        <is>
          <t>+41 71 677 24 24</t>
        </is>
      </c>
      <c r="L520" s="11" t="n"/>
      <c r="M520" s="11" t="inlineStr">
        <is>
          <t>offen</t>
        </is>
      </c>
      <c r="N520" s="11" t="inlineStr">
        <is>
          <t>Energieverantwortlichen identifizieren; Schweißen-PQ als Differenziator</t>
        </is>
      </c>
      <c r="O520" s="11" t="inlineStr">
        <is>
          <t>Gepanzerte Fahrzeuge: Schweißen + Prüfstand 1.5 MVA; FU-Antriebe; PQ</t>
        </is>
      </c>
      <c r="P520" s="11" t="n"/>
      <c r="Q520" s="11" t="n"/>
      <c r="R520" s="11" t="inlineStr">
        <is>
          <t>General Dynamics; gepanzerte Fahrzeuge; Schweißen + Prüfstand = PQ-intensiv</t>
        </is>
      </c>
      <c r="S520" s="11" t="inlineStr">
        <is>
          <t>Rüstung / Fahrzeugbau</t>
        </is>
      </c>
    </row>
    <row r="521">
      <c r="A521" s="11" t="n">
        <v>518</v>
      </c>
      <c r="B521" s="11" t="inlineStr">
        <is>
          <t>A</t>
        </is>
      </c>
      <c r="C521" s="11" t="inlineStr">
        <is>
          <t>Pharma/Chemie</t>
        </is>
      </c>
      <c r="D521" s="11" t="inlineStr">
        <is>
          <t>Hügli Nährmittel AG</t>
        </is>
      </c>
      <c r="E521" s="11" t="inlineStr">
        <is>
          <t>Steinach</t>
        </is>
      </c>
      <c r="F521" s="11" t="inlineStr">
        <is>
          <t>9323</t>
        </is>
      </c>
      <c r="G521" s="11" t="inlineStr">
        <is>
          <t>TG</t>
        </is>
      </c>
      <c r="H521" s="11" t="inlineStr">
        <is>
          <t>Betriebsleiter Elektro / Energieverantwortlicher</t>
        </is>
      </c>
      <c r="I521" s="11" t="inlineStr">
        <is>
          <t>Dipl. El.-Ing.</t>
        </is>
      </c>
      <c r="J521" s="11" t="inlineStr">
        <is>
          <t>info@huegli.com</t>
        </is>
      </c>
      <c r="K521" s="11" t="inlineStr">
        <is>
          <t>+41 71 447 22 22</t>
        </is>
      </c>
      <c r="L521" s="11" t="n"/>
      <c r="M521" s="11" t="inlineStr">
        <is>
          <t>offen</t>
        </is>
      </c>
      <c r="N521" s="11" t="inlineStr">
        <is>
          <t>Energieverantwortlichen identifizieren; Cross-Sell Kälte+Strom</t>
        </is>
      </c>
      <c r="O521" s="11" t="inlineStr">
        <is>
          <t>Lebensmittelproduktion: Kühlkette NEA + PQ; 500 kVA Generator; FU-Antriebe</t>
        </is>
      </c>
      <c r="P521" s="11" t="inlineStr">
        <is>
          <t>Kälte</t>
        </is>
      </c>
      <c r="Q521" s="11" t="n"/>
      <c r="R521" s="11" t="inlineStr">
        <is>
          <t>Convenience + Instantkaffee; Kühlkette = NEA-kritisch; FU-intensiv</t>
        </is>
      </c>
      <c r="S521" s="11" t="inlineStr">
        <is>
          <t>Lebensmittel</t>
        </is>
      </c>
    </row>
    <row r="522">
      <c r="A522" s="11" t="n">
        <v>519</v>
      </c>
      <c r="B522" s="11" t="inlineStr">
        <is>
          <t>A</t>
        </is>
      </c>
      <c r="C522" s="11" t="inlineStr">
        <is>
          <t>Pharma/Chemie</t>
        </is>
      </c>
      <c r="D522" s="11" t="inlineStr">
        <is>
          <t>Gallus Group AG (Etikettiermaschinen)</t>
        </is>
      </c>
      <c r="E522" s="11" t="inlineStr">
        <is>
          <t>St.Gallen/Arbon-Region</t>
        </is>
      </c>
      <c r="F522" s="11" t="inlineStr">
        <is>
          <t>9320</t>
        </is>
      </c>
      <c r="G522" s="11" t="inlineStr">
        <is>
          <t>TG</t>
        </is>
      </c>
      <c r="H522" s="11" t="inlineStr">
        <is>
          <t>Betriebsleiter Technik</t>
        </is>
      </c>
      <c r="I522" s="11" t="inlineStr">
        <is>
          <t>Dipl. El.-Ing.</t>
        </is>
      </c>
      <c r="J522" s="11" t="inlineStr">
        <is>
          <t>info@gallusgroup.com</t>
        </is>
      </c>
      <c r="K522" s="11" t="inlineStr">
        <is>
          <t>+41 71 242 85 00</t>
        </is>
      </c>
      <c r="L522" s="11" t="n"/>
      <c r="M522" s="11" t="inlineStr">
        <is>
          <t>offen</t>
        </is>
      </c>
      <c r="N522" s="11" t="inlineStr">
        <is>
          <t>Standort TG-Region verifizieren + Erstanschreiben</t>
        </is>
      </c>
      <c r="O522" s="11" t="inlineStr">
        <is>
          <t>Druckmaschinen FU-Antriebe + PQ + Prüfstand; 400 kVA Generator</t>
        </is>
      </c>
      <c r="P522" s="11" t="n"/>
      <c r="Q522" s="11" t="n"/>
      <c r="R522" s="11" t="inlineStr">
        <is>
          <t>Weltmarktführer Etikettiermaschinen; FU-intensiv; Heidelberg-Gruppe</t>
        </is>
      </c>
      <c r="S522" s="11" t="inlineStr">
        <is>
          <t>Druckmaschinenbau</t>
        </is>
      </c>
    </row>
    <row r="523">
      <c r="A523" s="11" t="n">
        <v>520</v>
      </c>
      <c r="B523" s="11" t="inlineStr">
        <is>
          <t>B</t>
        </is>
      </c>
      <c r="C523" s="11" t="inlineStr">
        <is>
          <t>Pharma/Chemie</t>
        </is>
      </c>
      <c r="D523" s="11" t="inlineStr">
        <is>
          <t>Haco AG (Instantkaffee + Convenience)</t>
        </is>
      </c>
      <c r="E523" s="11" t="inlineStr">
        <is>
          <t>Gümligen-Region TG</t>
        </is>
      </c>
      <c r="F523" s="11" t="inlineStr">
        <is>
          <t>8500</t>
        </is>
      </c>
      <c r="G523" s="11" t="inlineStr">
        <is>
          <t>TG</t>
        </is>
      </c>
      <c r="H523" s="11" t="inlineStr">
        <is>
          <t>Betriebsleiter Elektro</t>
        </is>
      </c>
      <c r="I523" s="11" t="inlineStr">
        <is>
          <t>Techniker</t>
        </is>
      </c>
      <c r="J523" s="11" t="inlineStr">
        <is>
          <t>info@haco.ch</t>
        </is>
      </c>
      <c r="K523" s="11" t="inlineStr">
        <is>
          <t>+41 31 958 41 11</t>
        </is>
      </c>
      <c r="L523" s="11" t="n"/>
      <c r="M523" s="11" t="inlineStr">
        <is>
          <t>offen</t>
        </is>
      </c>
      <c r="N523" s="11" t="inlineStr">
        <is>
          <t>Standort TG prüfen; Kaltakquise</t>
        </is>
      </c>
      <c r="O523" s="11" t="inlineStr">
        <is>
          <t>Nahrungsmittelproduktion: NEA Kühlkette; 250 kVA Generator</t>
        </is>
      </c>
      <c r="P523" s="11" t="inlineStr">
        <is>
          <t>Kälte</t>
        </is>
      </c>
      <c r="Q523" s="11" t="n"/>
      <c r="R523" s="11" t="inlineStr">
        <is>
          <t>Instantkaffee + Saucen; Produktion; Kühlkette NEA-kritisch</t>
        </is>
      </c>
      <c r="S523" s="11" t="inlineStr">
        <is>
          <t>Nahrungsmittel</t>
        </is>
      </c>
    </row>
    <row r="524">
      <c r="A524" s="11" t="n">
        <v>521</v>
      </c>
      <c r="B524" s="11" t="inlineStr">
        <is>
          <t>B</t>
        </is>
      </c>
      <c r="C524" s="11" t="inlineStr">
        <is>
          <t>Pharma/Chemie</t>
        </is>
      </c>
      <c r="D524" s="11" t="inlineStr">
        <is>
          <t>A.Vogel AG (Bioforce)</t>
        </is>
      </c>
      <c r="E524" s="11" t="inlineStr">
        <is>
          <t>Roggwil TG</t>
        </is>
      </c>
      <c r="F524" s="11" t="inlineStr">
        <is>
          <t>9325</t>
        </is>
      </c>
      <c r="G524" s="11" t="inlineStr">
        <is>
          <t>TG</t>
        </is>
      </c>
      <c r="H524" s="11" t="inlineStr">
        <is>
          <t>Betriebsleiter Technik</t>
        </is>
      </c>
      <c r="I524" s="11" t="inlineStr">
        <is>
          <t>Techniker TS</t>
        </is>
      </c>
      <c r="J524" s="11" t="inlineStr">
        <is>
          <t>info@avogel.ch</t>
        </is>
      </c>
      <c r="K524" s="11" t="inlineStr">
        <is>
          <t>+41 71 454 61 61</t>
        </is>
      </c>
      <c r="L524" s="11" t="n"/>
      <c r="M524" s="11" t="inlineStr">
        <is>
          <t>offen</t>
        </is>
      </c>
      <c r="N524" s="11" t="inlineStr">
        <is>
          <t>Betriebsleiter ansprechen; GMP als Einstieg</t>
        </is>
      </c>
      <c r="O524" s="11" t="inlineStr">
        <is>
          <t>Pharma-GMP-Produktion: NEA + USV 200 kVA; PQ Reinraum</t>
        </is>
      </c>
      <c r="P524" s="11" t="inlineStr">
        <is>
          <t>USV</t>
        </is>
      </c>
      <c r="Q524" s="11" t="n"/>
      <c r="R524" s="11" t="inlineStr">
        <is>
          <t>Pflanzliche Heilmittel; Roggwil TG; GMP = PQ/NEA Anforderungen</t>
        </is>
      </c>
      <c r="S524" s="11" t="inlineStr">
        <is>
          <t>Pflanzliche Heilmittel</t>
        </is>
      </c>
    </row>
    <row r="525">
      <c r="A525" s="11" t="n">
        <v>522</v>
      </c>
      <c r="B525" s="11" t="inlineStr">
        <is>
          <t>B</t>
        </is>
      </c>
      <c r="C525" s="11" t="inlineStr">
        <is>
          <t>Pharma/Chemie</t>
        </is>
      </c>
      <c r="D525" s="11" t="inlineStr">
        <is>
          <t>Granini / Eckes-Granini Schweiz AG</t>
        </is>
      </c>
      <c r="E525" s="11" t="inlineStr">
        <is>
          <t>Frauenfeld</t>
        </is>
      </c>
      <c r="F525" s="11" t="inlineStr">
        <is>
          <t>8500</t>
        </is>
      </c>
      <c r="G525" s="11" t="inlineStr">
        <is>
          <t>TG</t>
        </is>
      </c>
      <c r="H525" s="11" t="inlineStr">
        <is>
          <t>Betriebsleiter Technik</t>
        </is>
      </c>
      <c r="I525" s="11" t="inlineStr">
        <is>
          <t>Techniker</t>
        </is>
      </c>
      <c r="J525" s="11" t="inlineStr">
        <is>
          <t>info@eckes-granini.ch</t>
        </is>
      </c>
      <c r="K525" s="11" t="inlineStr">
        <is>
          <t>+41 52 723 66 44</t>
        </is>
      </c>
      <c r="L525" s="11" t="n"/>
      <c r="M525" s="11" t="inlineStr">
        <is>
          <t>offen</t>
        </is>
      </c>
      <c r="N525" s="11" t="inlineStr">
        <is>
          <t>Betriebsleiter Frauenfeld ansprechen</t>
        </is>
      </c>
      <c r="O525" s="11" t="inlineStr">
        <is>
          <t>Getränkeproduktion: Kühlkette NEA 300 kVA; FU-Antriebe</t>
        </is>
      </c>
      <c r="P525" s="11" t="inlineStr">
        <is>
          <t>Kälte</t>
        </is>
      </c>
      <c r="Q525" s="11" t="n"/>
      <c r="R525" s="11" t="inlineStr">
        <is>
          <t>Granini Säfte; Produktionswerk Frauenfeld; Kühlkette = NEA-kritisch</t>
        </is>
      </c>
      <c r="S525" s="11" t="inlineStr">
        <is>
          <t>Getränke / Nahrungsmittel</t>
        </is>
      </c>
    </row>
    <row r="526">
      <c r="A526" s="11" t="n">
        <v>523</v>
      </c>
      <c r="B526" s="11" t="inlineStr">
        <is>
          <t>B</t>
        </is>
      </c>
      <c r="C526" s="11" t="inlineStr">
        <is>
          <t>Pharma/Chemie</t>
        </is>
      </c>
      <c r="D526" s="11" t="inlineStr">
        <is>
          <t>Schottli AG (Formenbau Spritzguss)</t>
        </is>
      </c>
      <c r="E526" s="11" t="inlineStr">
        <is>
          <t>Diessenhofen</t>
        </is>
      </c>
      <c r="F526" s="11" t="inlineStr">
        <is>
          <t>8253</t>
        </is>
      </c>
      <c r="G526" s="11" t="inlineStr">
        <is>
          <t>TG</t>
        </is>
      </c>
      <c r="H526" s="11" t="inlineStr">
        <is>
          <t>Betriebsleiter Elektro</t>
        </is>
      </c>
      <c r="I526" s="11" t="inlineStr">
        <is>
          <t>Techniker</t>
        </is>
      </c>
      <c r="J526" s="11" t="inlineStr">
        <is>
          <t>info@schottli.ch</t>
        </is>
      </c>
      <c r="K526" s="11" t="inlineStr">
        <is>
          <t>+41 52 646 28 28</t>
        </is>
      </c>
      <c r="L526" s="11" t="n"/>
      <c r="M526" s="11" t="inlineStr">
        <is>
          <t>offen</t>
        </is>
      </c>
      <c r="N526" s="11" t="inlineStr">
        <is>
          <t>Erstanschreiben; Spritzguss PQ als Differenziator</t>
        </is>
      </c>
      <c r="O526" s="11" t="inlineStr">
        <is>
          <t>FU-Antriebe Spritzguss + PQ + EMV; 200 kVA Generator</t>
        </is>
      </c>
      <c r="P526" s="11" t="n"/>
      <c r="Q526" s="11" t="n"/>
      <c r="R526" s="11" t="inlineStr">
        <is>
          <t>Formenbau + Spritzguss; Grenzregion TG/SH; FU-Antriebe</t>
        </is>
      </c>
      <c r="S526" s="11" t="inlineStr">
        <is>
          <t>Kunststoff / Automotive</t>
        </is>
      </c>
    </row>
    <row r="527">
      <c r="A527" s="11" t="n">
        <v>524</v>
      </c>
      <c r="B527" s="11" t="inlineStr">
        <is>
          <t>C</t>
        </is>
      </c>
      <c r="C527" s="11" t="inlineStr">
        <is>
          <t>Pharma/Chemie</t>
        </is>
      </c>
      <c r="D527" s="11" t="inlineStr">
        <is>
          <t>Sanadom AG / Medtech Bodensee-Region TG</t>
        </is>
      </c>
      <c r="E527" s="11" t="inlineStr">
        <is>
          <t>Kreuzlingen</t>
        </is>
      </c>
      <c r="F527" s="11" t="inlineStr">
        <is>
          <t>8280</t>
        </is>
      </c>
      <c r="G527" s="11" t="inlineStr">
        <is>
          <t>TG</t>
        </is>
      </c>
      <c r="H527" s="11" t="inlineStr">
        <is>
          <t>Betriebsleiter</t>
        </is>
      </c>
      <c r="I527" s="11" t="inlineStr">
        <is>
          <t>Techniker</t>
        </is>
      </c>
      <c r="J527" s="11" t="inlineStr">
        <is>
          <t>info@kreuzlingen-medtech.ch</t>
        </is>
      </c>
      <c r="K527" s="11" t="inlineStr">
        <is>
          <t>+41 71 677 00 00</t>
        </is>
      </c>
      <c r="L527" s="11" t="n"/>
      <c r="M527" s="11" t="inlineStr">
        <is>
          <t>offen</t>
        </is>
      </c>
      <c r="N527" s="11" t="inlineStr">
        <is>
          <t>MedTech-Cluster Kreuzlingen identifizieren</t>
        </is>
      </c>
      <c r="O527" s="11" t="inlineStr">
        <is>
          <t>MedTech-Produktion: USV 100 kVA; NEA; PQ</t>
        </is>
      </c>
      <c r="P527" s="11" t="inlineStr">
        <is>
          <t>USV</t>
        </is>
      </c>
      <c r="Q527" s="11" t="n"/>
      <c r="R527" s="11" t="inlineStr">
        <is>
          <t>MedTech-Cluster Bodensee; diverse KMU; PQ-Potenzial</t>
        </is>
      </c>
      <c r="S527" s="11" t="inlineStr">
        <is>
          <t>Medizintechnik</t>
        </is>
      </c>
    </row>
    <row r="528">
      <c r="A528" s="11" t="n">
        <v>525</v>
      </c>
      <c r="B528" s="11" t="inlineStr">
        <is>
          <t>A</t>
        </is>
      </c>
      <c r="C528" s="11" t="inlineStr">
        <is>
          <t>Industrie/Maschinenbau</t>
        </is>
      </c>
      <c r="D528" s="11" t="inlineStr">
        <is>
          <t>Zuckerfabrik Frauenfeld AG</t>
        </is>
      </c>
      <c r="E528" s="11" t="inlineStr">
        <is>
          <t>Frauenfeld</t>
        </is>
      </c>
      <c r="F528" s="11" t="inlineStr">
        <is>
          <t>8500</t>
        </is>
      </c>
      <c r="G528" s="11" t="inlineStr">
        <is>
          <t>TG</t>
        </is>
      </c>
      <c r="H528" s="11" t="inlineStr">
        <is>
          <t>Betriebsleiter Elektro</t>
        </is>
      </c>
      <c r="I528" s="11" t="inlineStr">
        <is>
          <t>Dipl. El.-Ing.</t>
        </is>
      </c>
      <c r="J528" s="11" t="inlineStr">
        <is>
          <t>info@zucker.ch</t>
        </is>
      </c>
      <c r="K528" s="11" t="inlineStr">
        <is>
          <t>+41 52 723 80 00</t>
        </is>
      </c>
      <c r="L528" s="11" t="n"/>
      <c r="M528" s="11" t="inlineStr">
        <is>
          <t>offen</t>
        </is>
      </c>
      <c r="N528" s="11" t="inlineStr">
        <is>
          <t>Betriebsleiter vor Kampagnenstart (Aug.) kontaktieren</t>
        </is>
      </c>
      <c r="O528" s="11" t="inlineStr">
        <is>
          <t>Saisonbetrieb: Kampagne Okt.–Feb. 10 MVA Spitzenlast; FU-Zentrifugen + Pressen</t>
        </is>
      </c>
      <c r="P528" s="11" t="inlineStr">
        <is>
          <t>Generator</t>
        </is>
      </c>
      <c r="Q528" s="11" t="n"/>
      <c r="R528" s="11" t="inlineStr">
        <is>
          <t>Saisonale Spitzenlast Oktober–Februar; FU = stärkste Netzrückwirkungen TG</t>
        </is>
      </c>
      <c r="S528" s="11" t="inlineStr">
        <is>
          <t>Zuckerfabrik</t>
        </is>
      </c>
    </row>
    <row r="529">
      <c r="A529" s="11" t="n">
        <v>526</v>
      </c>
      <c r="B529" s="11" t="inlineStr">
        <is>
          <t>A</t>
        </is>
      </c>
      <c r="C529" s="11" t="inlineStr">
        <is>
          <t>Industrie/Maschinenbau</t>
        </is>
      </c>
      <c r="D529" s="11" t="inlineStr">
        <is>
          <t>Bodensee-Arena (Eishockey + Events)</t>
        </is>
      </c>
      <c r="E529" s="11" t="inlineStr">
        <is>
          <t>Kreuzlingen</t>
        </is>
      </c>
      <c r="F529" s="11" t="inlineStr">
        <is>
          <t>8280</t>
        </is>
      </c>
      <c r="G529" s="11" t="inlineStr">
        <is>
          <t>TG</t>
        </is>
      </c>
      <c r="H529" s="11" t="inlineStr">
        <is>
          <t>Technische Leitung</t>
        </is>
      </c>
      <c r="I529" s="11" t="inlineStr">
        <is>
          <t>Veranstaltungstechniker</t>
        </is>
      </c>
      <c r="J529" s="11" t="inlineStr">
        <is>
          <t>info@bodensee-arena.ch</t>
        </is>
      </c>
      <c r="K529" s="11" t="inlineStr">
        <is>
          <t>+41 71 677 35 88</t>
        </is>
      </c>
      <c r="L529" s="11" t="n"/>
      <c r="M529" s="11" t="inlineStr">
        <is>
          <t>offen</t>
        </is>
      </c>
      <c r="N529" s="11" t="inlineStr">
        <is>
          <t>Technische Leitung kontaktieren; Saisonplanung Herbst</t>
        </is>
      </c>
      <c r="O529" s="11" t="inlineStr">
        <is>
          <t>Temporary Power Konzerte bis 6'000 Personen; USV Broadcast; 500 kVA</t>
        </is>
      </c>
      <c r="P529" s="11" t="inlineStr">
        <is>
          <t>USV</t>
        </is>
      </c>
      <c r="Q529" s="11" t="n"/>
      <c r="R529" s="11" t="inlineStr">
        <is>
          <t>DJ BoBo / SRF Sendungen; Eishockey EHC Kreuzlingen; Temporary Power</t>
        </is>
      </c>
      <c r="S529" s="11" t="inlineStr">
        <is>
          <t>Events / Arena</t>
        </is>
      </c>
    </row>
    <row r="530">
      <c r="A530" s="11" t="n">
        <v>527</v>
      </c>
      <c r="B530" s="11" t="inlineStr">
        <is>
          <t>B</t>
        </is>
      </c>
      <c r="C530" s="11" t="inlineStr">
        <is>
          <t>Industrie/Maschinenbau</t>
        </is>
      </c>
      <c r="D530" s="11" t="inlineStr">
        <is>
          <t>SBB Infrastruktur (Region Thurgau / Knotenpunkt Frauenfeld)</t>
        </is>
      </c>
      <c r="E530" s="11" t="inlineStr">
        <is>
          <t>Frauenfeld</t>
        </is>
      </c>
      <c r="F530" s="11" t="inlineStr">
        <is>
          <t>8500</t>
        </is>
      </c>
      <c r="G530" s="11" t="inlineStr">
        <is>
          <t>TG</t>
        </is>
      </c>
      <c r="H530" s="11" t="inlineStr">
        <is>
          <t>Leiter Infrastruktur Energie TG</t>
        </is>
      </c>
      <c r="I530" s="11" t="inlineStr">
        <is>
          <t>MSc El.-Ing.</t>
        </is>
      </c>
      <c r="J530" s="11" t="inlineStr">
        <is>
          <t>kontakt@sbb.ch</t>
        </is>
      </c>
      <c r="K530" s="11" t="inlineStr">
        <is>
          <t>+41 58 333 33 33</t>
        </is>
      </c>
      <c r="L530" s="11" t="n"/>
      <c r="M530" s="11" t="inlineStr">
        <is>
          <t>offen</t>
        </is>
      </c>
      <c r="N530" s="11" t="inlineStr">
        <is>
          <t>simap.ch SBB-Alert TG + Direktkontakt Infra</t>
        </is>
      </c>
      <c r="O530" s="11" t="inlineStr">
        <is>
          <t>Baustellen Strom 200–600 kVA; Revisionen Gleisanlagen TG; NEA Bahnhöfe</t>
        </is>
      </c>
      <c r="P530" s="11" t="n"/>
      <c r="Q530" s="11" t="n"/>
      <c r="R530" s="11" t="inlineStr">
        <is>
          <t>Thurtallinie + Bodensee-Romanshorn-Linie; laufende Bauprojekte</t>
        </is>
      </c>
      <c r="S530" s="11" t="inlineStr">
        <is>
          <t>Bahn</t>
        </is>
      </c>
    </row>
    <row r="531">
      <c r="A531" s="11" t="n">
        <v>528</v>
      </c>
      <c r="B531" s="11" t="inlineStr">
        <is>
          <t>B</t>
        </is>
      </c>
      <c r="C531" s="11" t="inlineStr">
        <is>
          <t>Industrie/Maschinenbau</t>
        </is>
      </c>
      <c r="D531" s="11" t="inlineStr">
        <is>
          <t>Hafen Romanshorn AG</t>
        </is>
      </c>
      <c r="E531" s="11" t="inlineStr">
        <is>
          <t>Romanshorn</t>
        </is>
      </c>
      <c r="F531" s="11" t="inlineStr">
        <is>
          <t>8590</t>
        </is>
      </c>
      <c r="G531" s="11" t="inlineStr">
        <is>
          <t>TG</t>
        </is>
      </c>
      <c r="H531" s="11" t="inlineStr">
        <is>
          <t>Betriebsleiter</t>
        </is>
      </c>
      <c r="I531" s="11" t="inlineStr">
        <is>
          <t>Techniker</t>
        </is>
      </c>
      <c r="J531" s="11" t="inlineStr">
        <is>
          <t>info@hafen-romanshorn.ch</t>
        </is>
      </c>
      <c r="K531" s="11" t="inlineStr">
        <is>
          <t>+41 71 466 34 34</t>
        </is>
      </c>
      <c r="L531" s="11" t="n"/>
      <c r="M531" s="11" t="inlineStr">
        <is>
          <t>offen</t>
        </is>
      </c>
      <c r="N531" s="11" t="inlineStr">
        <is>
          <t>Betriebsleiter Hafen Romanshorn ansprechen</t>
        </is>
      </c>
      <c r="O531" s="11" t="inlineStr">
        <is>
          <t>Hafenbetrieb: NEA Kräne + Terminal 300 kVA; Fähre D-CH</t>
        </is>
      </c>
      <c r="P531" s="11" t="inlineStr">
        <is>
          <t>Generator</t>
        </is>
      </c>
      <c r="Q531" s="11" t="n"/>
      <c r="R531" s="11" t="inlineStr">
        <is>
          <t>Bodensee-Fähre; Hafen; Fährbetrieb = NEA für Terminal + Beleuchtung</t>
        </is>
      </c>
      <c r="S531" s="11" t="inlineStr">
        <is>
          <t>Bau / Hafen</t>
        </is>
      </c>
    </row>
    <row r="532">
      <c r="A532" s="11" t="n">
        <v>529</v>
      </c>
      <c r="B532" s="11" t="inlineStr">
        <is>
          <t>C</t>
        </is>
      </c>
      <c r="C532" s="11" t="inlineStr">
        <is>
          <t>Industrie/Maschinenbau</t>
        </is>
      </c>
      <c r="D532" s="11" t="inlineStr">
        <is>
          <t>fenaco Genossenschaft (LANDI TG / UFA)</t>
        </is>
      </c>
      <c r="E532" s="11" t="inlineStr">
        <is>
          <t>Frauenfeld</t>
        </is>
      </c>
      <c r="F532" s="11" t="inlineStr">
        <is>
          <t>8500</t>
        </is>
      </c>
      <c r="G532" s="11" t="inlineStr">
        <is>
          <t>TG</t>
        </is>
      </c>
      <c r="H532" s="11" t="inlineStr">
        <is>
          <t>Betriebsleiter Technik</t>
        </is>
      </c>
      <c r="I532" s="11" t="inlineStr">
        <is>
          <t>Techniker</t>
        </is>
      </c>
      <c r="J532" s="11" t="inlineStr">
        <is>
          <t>info@fenaco.com</t>
        </is>
      </c>
      <c r="K532" s="11" t="inlineStr">
        <is>
          <t>+41 58 433 66 66</t>
        </is>
      </c>
      <c r="L532" s="11" t="n"/>
      <c r="M532" s="11" t="inlineStr">
        <is>
          <t>offen</t>
        </is>
      </c>
      <c r="N532" s="11" t="inlineStr">
        <is>
          <t>MiT-CRM: fenaco als Kältekunde prüfen</t>
        </is>
      </c>
      <c r="O532" s="11" t="inlineStr">
        <is>
          <t>Lager + Logistik: NEA Kühlzellen + Siloanlagen; 300 kVA Generator</t>
        </is>
      </c>
      <c r="P532" s="11" t="inlineStr">
        <is>
          <t>Generator</t>
        </is>
      </c>
      <c r="Q532" s="11" t="n"/>
      <c r="R532" s="11" t="inlineStr">
        <is>
          <t>Agrargenossenschaft; Kühlzellen + Lager = NEA-kritisch; TG-Schwerpunkt</t>
        </is>
      </c>
      <c r="S532" s="11" t="inlineStr">
        <is>
          <t>Landwirtschaft / Food</t>
        </is>
      </c>
    </row>
    <row r="533">
      <c r="A533" s="11" t="n">
        <v>530</v>
      </c>
      <c r="B533" s="11" t="inlineStr">
        <is>
          <t>A</t>
        </is>
      </c>
      <c r="C533" s="11" t="inlineStr">
        <is>
          <t>Rechenzentrum/IT</t>
        </is>
      </c>
      <c r="D533" s="11" t="inlineStr">
        <is>
          <t>EKT Datacenter Thurgau (EKT AG)</t>
        </is>
      </c>
      <c r="E533" s="11" t="inlineStr">
        <is>
          <t>Frauenfeld</t>
        </is>
      </c>
      <c r="F533" s="11" t="inlineStr">
        <is>
          <t>8500</t>
        </is>
      </c>
      <c r="G533" s="11" t="inlineStr">
        <is>
          <t>TG</t>
        </is>
      </c>
      <c r="H533" s="11" t="inlineStr">
        <is>
          <t>Leiter IT-Infrastruktur</t>
        </is>
      </c>
      <c r="I533" s="11" t="inlineStr">
        <is>
          <t>MSc Informatik</t>
        </is>
      </c>
      <c r="J533" s="11" t="inlineStr">
        <is>
          <t>datacenter@ekt.ch</t>
        </is>
      </c>
      <c r="K533" s="11" t="inlineStr">
        <is>
          <t>+41 58 200 66 00</t>
        </is>
      </c>
      <c r="L533" s="11" t="n"/>
      <c r="M533" s="11" t="inlineStr">
        <is>
          <t>offen</t>
        </is>
      </c>
      <c r="N533" s="11" t="inlineStr">
        <is>
          <t>Über EKT AG Netzbetrieb direkt Zugang zu Datacenter erschliessen</t>
        </is>
      </c>
      <c r="O533" s="11" t="inlineStr">
        <is>
          <t>Eigenes RZ; USV 99.9% SLA; 2x 200 kVA; FINMA-analoge Anforderungen</t>
        </is>
      </c>
      <c r="P533" s="11" t="inlineStr">
        <is>
          <t>USV</t>
        </is>
      </c>
      <c r="Q533" s="11" t="n"/>
      <c r="R533" s="11" t="inlineStr">
        <is>
          <t>EKT-eigenes RZ Frauenfeld; 99.9% SLA; Cross-Sell über EKT Beziehung</t>
        </is>
      </c>
      <c r="S533" s="11" t="inlineStr">
        <is>
          <t>Rechenzentrum</t>
        </is>
      </c>
    </row>
    <row r="534">
      <c r="A534" s="11" t="n">
        <v>531</v>
      </c>
      <c r="B534" s="11" t="inlineStr">
        <is>
          <t>A</t>
        </is>
      </c>
      <c r="C534" s="11" t="inlineStr">
        <is>
          <t>Rechenzentrum/IT</t>
        </is>
      </c>
      <c r="D534" s="11" t="inlineStr">
        <is>
          <t>Thurgauer Kantonalbank (TKB)</t>
        </is>
      </c>
      <c r="E534" s="11" t="inlineStr">
        <is>
          <t>Weinfelden</t>
        </is>
      </c>
      <c r="F534" s="11" t="inlineStr">
        <is>
          <t>8570</t>
        </is>
      </c>
      <c r="G534" s="11" t="inlineStr">
        <is>
          <t>TG</t>
        </is>
      </c>
      <c r="H534" s="11" t="inlineStr">
        <is>
          <t>Leiter IT-Infrastruktur</t>
        </is>
      </c>
      <c r="I534" s="11" t="inlineStr">
        <is>
          <t>MSc Informatik</t>
        </is>
      </c>
      <c r="J534" s="11" t="inlineStr">
        <is>
          <t>info@tkb.ch</t>
        </is>
      </c>
      <c r="K534" s="11" t="inlineStr">
        <is>
          <t>+41 71 626 71 71</t>
        </is>
      </c>
      <c r="L534" s="11" t="n"/>
      <c r="M534" s="11" t="inlineStr">
        <is>
          <t>offen</t>
        </is>
      </c>
      <c r="N534" s="11" t="inlineStr">
        <is>
          <t>IT-Infrastrukturleiter TKB identifizieren; FINMA-Argument</t>
        </is>
      </c>
      <c r="O534" s="11" t="inlineStr">
        <is>
          <t>USV RZ 2x 250 kVA; NEA; PQ FINMA-konform; Filialnetz TG</t>
        </is>
      </c>
      <c r="P534" s="11" t="inlineStr">
        <is>
          <t>USV</t>
        </is>
      </c>
      <c r="Q534" s="11" t="n"/>
      <c r="R534" s="11" t="inlineStr">
        <is>
          <t>Kantonalbank TG; HQ Weinfelden; FINMA = NEA+USV Pflicht; eigene IT-Infra</t>
        </is>
      </c>
      <c r="S534" s="11" t="inlineStr">
        <is>
          <t>Kantonalbank</t>
        </is>
      </c>
    </row>
    <row r="535">
      <c r="A535" s="11" t="n">
        <v>532</v>
      </c>
      <c r="B535" s="11" t="inlineStr">
        <is>
          <t>B</t>
        </is>
      </c>
      <c r="C535" s="11" t="inlineStr">
        <is>
          <t>Rechenzentrum/IT</t>
        </is>
      </c>
      <c r="D535" s="11" t="inlineStr">
        <is>
          <t>Swisscom AG (Infrastruktur Region Thurgau)</t>
        </is>
      </c>
      <c r="E535" s="11" t="inlineStr">
        <is>
          <t>Frauenfeld</t>
        </is>
      </c>
      <c r="F535" s="11" t="inlineStr">
        <is>
          <t>8500</t>
        </is>
      </c>
      <c r="G535" s="11" t="inlineStr">
        <is>
          <t>TG</t>
        </is>
      </c>
      <c r="H535" s="11" t="inlineStr">
        <is>
          <t>Leiter Infrastruktur</t>
        </is>
      </c>
      <c r="I535" s="11" t="inlineStr">
        <is>
          <t>Dipl. Ing. Telekom</t>
        </is>
      </c>
      <c r="J535" s="11" t="inlineStr">
        <is>
          <t>enterprise@swisscom.ch</t>
        </is>
      </c>
      <c r="K535" s="11" t="inlineStr">
        <is>
          <t>+41 58 221 12 34</t>
        </is>
      </c>
      <c r="L535" s="11" t="n"/>
      <c r="M535" s="11" t="inlineStr">
        <is>
          <t>offen</t>
        </is>
      </c>
      <c r="N535" s="11" t="inlineStr">
        <is>
          <t>Rahmenvertrag Swisscom Bern prüfen; TG-Infrastruktur ableiten</t>
        </is>
      </c>
      <c r="O535" s="11" t="inlineStr">
        <is>
          <t>Notfallstrom TK-Antennen + RZ-Backup TG; 100 kVA USV je Standort</t>
        </is>
      </c>
      <c r="P535" s="11" t="inlineStr">
        <is>
          <t>Generator</t>
        </is>
      </c>
      <c r="Q535" s="11" t="n"/>
      <c r="R535" s="11" t="inlineStr">
        <is>
          <t>Kritische TK-Infrastruktur; Rahmenvertragspotenzial; 5G-Ausbau TG</t>
        </is>
      </c>
      <c r="S535" s="11" t="inlineStr">
        <is>
          <t>Telekommunikation</t>
        </is>
      </c>
    </row>
    <row r="536">
      <c r="A536" s="11" t="n">
        <v>533</v>
      </c>
      <c r="B536" s="11" t="inlineStr">
        <is>
          <t>B</t>
        </is>
      </c>
      <c r="C536" s="11" t="inlineStr">
        <is>
          <t>Rechenzentrum/IT</t>
        </is>
      </c>
      <c r="D536" s="11" t="inlineStr">
        <is>
          <t>NEGXT AG (ex Kierzek AG, EKT-Tochter)</t>
        </is>
      </c>
      <c r="E536" s="11" t="inlineStr">
        <is>
          <t>Kreuzlingen</t>
        </is>
      </c>
      <c r="F536" s="11" t="inlineStr">
        <is>
          <t>8280</t>
        </is>
      </c>
      <c r="G536" s="11" t="inlineStr">
        <is>
          <t>TG</t>
        </is>
      </c>
      <c r="H536" s="11" t="inlineStr">
        <is>
          <t>Geschäftsführer</t>
        </is>
      </c>
      <c r="I536" s="11" t="inlineStr">
        <is>
          <t>MSc Informatik</t>
        </is>
      </c>
      <c r="J536" s="11" t="inlineStr">
        <is>
          <t>info@negxt.ch</t>
        </is>
      </c>
      <c r="K536" s="11" t="inlineStr">
        <is>
          <t>+41 71 677 00 00</t>
        </is>
      </c>
      <c r="L536" s="11" t="n"/>
      <c r="M536" s="11" t="inlineStr">
        <is>
          <t>offen</t>
        </is>
      </c>
      <c r="N536" s="11" t="inlineStr">
        <is>
          <t>Über EKT AG Kontakt herstellen; NEGXT als TG-Multiplikator nutzen</t>
        </is>
      </c>
      <c r="O536" s="11" t="inlineStr">
        <is>
          <t>Elektroplanung TG; IT-Dienstleistungen; Empfehlungspartner</t>
        </is>
      </c>
      <c r="P536" s="11" t="n"/>
      <c r="Q536" s="11" t="n"/>
      <c r="R536" s="11" t="inlineStr">
        <is>
          <t>EKT-Tochter; führender Elektroplanungsbetrieb TG; Cross-Referenz-Potenzial</t>
        </is>
      </c>
      <c r="S536" s="11" t="inlineStr">
        <is>
          <t>IT-Dienstleister</t>
        </is>
      </c>
    </row>
    <row r="537">
      <c r="A537" s="11" t="n">
        <v>534</v>
      </c>
      <c r="B537" s="11" t="inlineStr">
        <is>
          <t>A</t>
        </is>
      </c>
      <c r="C537" s="11" t="inlineStr">
        <is>
          <t>Bau/Infrastruktur</t>
        </is>
      </c>
      <c r="D537" s="11" t="inlineStr">
        <is>
          <t>ARA Frauenfeld (Abwasserverband Frauenfeld)</t>
        </is>
      </c>
      <c r="E537" s="11" t="inlineStr">
        <is>
          <t>Frauenfeld</t>
        </is>
      </c>
      <c r="F537" s="11" t="inlineStr">
        <is>
          <t>8500</t>
        </is>
      </c>
      <c r="G537" s="11" t="inlineStr">
        <is>
          <t>TG</t>
        </is>
      </c>
      <c r="H537" s="11" t="inlineStr">
        <is>
          <t>Betriebsleiter</t>
        </is>
      </c>
      <c r="I537" s="11" t="inlineStr">
        <is>
          <t>Techniker TS</t>
        </is>
      </c>
      <c r="J537" s="11" t="inlineStr">
        <is>
          <t>info@ara-frauenfeld.ch</t>
        </is>
      </c>
      <c r="K537" s="11" t="inlineStr">
        <is>
          <t>+41 52 723 05 55</t>
        </is>
      </c>
      <c r="L537" s="11" t="n"/>
      <c r="M537" s="11" t="inlineStr">
        <is>
          <t>offen</t>
        </is>
      </c>
      <c r="N537" s="11" t="inlineStr">
        <is>
          <t>Betriebsleiter anschreiben + simap.ch Alert ARA TG</t>
        </is>
      </c>
      <c r="O537" s="11" t="inlineStr">
        <is>
          <t>NEA-Pflicht Kläranlage 1x 400 kVA; Gewässerschutz Thur</t>
        </is>
      </c>
      <c r="P537" s="11" t="inlineStr">
        <is>
          <t>Generator</t>
        </is>
      </c>
      <c r="Q537" s="11" t="n"/>
      <c r="R537" s="11" t="inlineStr">
        <is>
          <t>Öffentlich-rechtlich; Thur-Gewässerschutz; Ausschreibungspflicht</t>
        </is>
      </c>
      <c r="S537" s="11" t="inlineStr">
        <is>
          <t>ARA</t>
        </is>
      </c>
    </row>
    <row r="538">
      <c r="A538" s="11" t="n">
        <v>535</v>
      </c>
      <c r="B538" s="11" t="inlineStr">
        <is>
          <t>A</t>
        </is>
      </c>
      <c r="C538" s="11" t="inlineStr">
        <is>
          <t>Bau/Infrastruktur</t>
        </is>
      </c>
      <c r="D538" s="11" t="inlineStr">
        <is>
          <t>ARA Kreuzlingen / Bodensee-Region</t>
        </is>
      </c>
      <c r="E538" s="11" t="inlineStr">
        <is>
          <t>Kreuzlingen</t>
        </is>
      </c>
      <c r="F538" s="11" t="inlineStr">
        <is>
          <t>8280</t>
        </is>
      </c>
      <c r="G538" s="11" t="inlineStr">
        <is>
          <t>TG</t>
        </is>
      </c>
      <c r="H538" s="11" t="inlineStr">
        <is>
          <t>Betriebsleiter</t>
        </is>
      </c>
      <c r="I538" s="11" t="inlineStr">
        <is>
          <t>Techniker</t>
        </is>
      </c>
      <c r="J538" s="11" t="inlineStr">
        <is>
          <t>info@ara-kreuzlingen.ch</t>
        </is>
      </c>
      <c r="K538" s="11" t="inlineStr">
        <is>
          <t>+41 71 677 65 65</t>
        </is>
      </c>
      <c r="L538" s="11" t="n"/>
      <c r="M538" s="11" t="inlineStr">
        <is>
          <t>offen</t>
        </is>
      </c>
      <c r="N538" s="11" t="inlineStr">
        <is>
          <t>Betriebsleiter + simap.ch Alert</t>
        </is>
      </c>
      <c r="O538" s="11" t="inlineStr">
        <is>
          <t>NEA-Pflicht 1x 300 kVA; Bodensee-Gewässerschutz</t>
        </is>
      </c>
      <c r="P538" s="11" t="inlineStr">
        <is>
          <t>Generator</t>
        </is>
      </c>
      <c r="Q538" s="11" t="n"/>
      <c r="R538" s="11" t="inlineStr">
        <is>
          <t>Bodensee-Schutz = besonders kritisch; Cross-Sell mit TGK + Spital</t>
        </is>
      </c>
      <c r="S538" s="11" t="inlineStr">
        <is>
          <t>ARA</t>
        </is>
      </c>
    </row>
    <row r="539">
      <c r="A539" s="11" t="n">
        <v>536</v>
      </c>
      <c r="B539" s="11" t="inlineStr">
        <is>
          <t>A</t>
        </is>
      </c>
      <c r="C539" s="11" t="inlineStr">
        <is>
          <t>Bau/Infrastruktur</t>
        </is>
      </c>
      <c r="D539" s="11" t="inlineStr">
        <is>
          <t>ARA Weinfelden (Abwasserverband Weinfelden)</t>
        </is>
      </c>
      <c r="E539" s="11" t="inlineStr">
        <is>
          <t>Weinfelden</t>
        </is>
      </c>
      <c r="F539" s="11" t="inlineStr">
        <is>
          <t>8570</t>
        </is>
      </c>
      <c r="G539" s="11" t="inlineStr">
        <is>
          <t>TG</t>
        </is>
      </c>
      <c r="H539" s="11" t="inlineStr">
        <is>
          <t>Betriebsleiter</t>
        </is>
      </c>
      <c r="I539" s="11" t="inlineStr">
        <is>
          <t>Techniker</t>
        </is>
      </c>
      <c r="J539" s="11" t="inlineStr">
        <is>
          <t>info@ara-weinfelden.ch</t>
        </is>
      </c>
      <c r="K539" s="11" t="inlineStr">
        <is>
          <t>+41 71 626 34 34</t>
        </is>
      </c>
      <c r="L539" s="11" t="n"/>
      <c r="M539" s="11" t="inlineStr">
        <is>
          <t>offen</t>
        </is>
      </c>
      <c r="N539" s="11" t="inlineStr">
        <is>
          <t>Kaltakquise; Cross-Sell-Cluster Weinfelden</t>
        </is>
      </c>
      <c r="O539" s="11" t="inlineStr">
        <is>
          <t>NEA-Pflicht 1x 250 kVA; Thur-Schutz</t>
        </is>
      </c>
      <c r="P539" s="11" t="inlineStr">
        <is>
          <t>Generator</t>
        </is>
      </c>
      <c r="Q539" s="11" t="n"/>
      <c r="R539" s="11" t="inlineStr">
        <is>
          <t>Weinfelden-Cluster: EVU+ARA+Gemeinde+TKB = 1 Akquiserunde</t>
        </is>
      </c>
      <c r="S539" s="11" t="inlineStr">
        <is>
          <t>ARA</t>
        </is>
      </c>
    </row>
    <row r="540">
      <c r="A540" s="11" t="n">
        <v>537</v>
      </c>
      <c r="B540" s="11" t="inlineStr">
        <is>
          <t>B</t>
        </is>
      </c>
      <c r="C540" s="11" t="inlineStr">
        <is>
          <t>Bau/Infrastruktur</t>
        </is>
      </c>
      <c r="D540" s="11" t="inlineStr">
        <is>
          <t>ARA Bischofszell (Abwasserverband Bischofszell)</t>
        </is>
      </c>
      <c r="E540" s="11" t="inlineStr">
        <is>
          <t>Bischofszell</t>
        </is>
      </c>
      <c r="F540" s="11" t="inlineStr">
        <is>
          <t>9220</t>
        </is>
      </c>
      <c r="G540" s="11" t="inlineStr">
        <is>
          <t>TG</t>
        </is>
      </c>
      <c r="H540" s="11" t="inlineStr">
        <is>
          <t>Betriebsleiter</t>
        </is>
      </c>
      <c r="I540" s="11" t="inlineStr">
        <is>
          <t>Techniker</t>
        </is>
      </c>
      <c r="J540" s="11" t="inlineStr">
        <is>
          <t>info@ara-bischofszell.ch</t>
        </is>
      </c>
      <c r="K540" s="11" t="inlineStr">
        <is>
          <t>+41 71 422 10 10</t>
        </is>
      </c>
      <c r="L540" s="11" t="n"/>
      <c r="M540" s="11" t="inlineStr">
        <is>
          <t>offen</t>
        </is>
      </c>
      <c r="N540" s="11" t="inlineStr">
        <is>
          <t>Über EKT-Wärme-Beziehung erschliessen (EKT Bischofszell-Sittertal AG)</t>
        </is>
      </c>
      <c r="O540" s="11" t="inlineStr">
        <is>
          <t>NEA-Pflicht 1x 200 kVA; neue ARA mit EKT-Wärmepumpe</t>
        </is>
      </c>
      <c r="P540" s="11" t="inlineStr">
        <is>
          <t>Generator</t>
        </is>
      </c>
      <c r="Q540" s="11" t="n"/>
      <c r="R540" s="11" t="inlineStr">
        <is>
          <t>EKT hat Wärmenetz an ARA angeschlossen = idealer Cross-Sell</t>
        </is>
      </c>
      <c r="S540" s="11" t="inlineStr">
        <is>
          <t>ARA</t>
        </is>
      </c>
    </row>
    <row r="541">
      <c r="A541" s="11" t="n">
        <v>538</v>
      </c>
      <c r="B541" s="11" t="inlineStr">
        <is>
          <t>B</t>
        </is>
      </c>
      <c r="C541" s="11" t="inlineStr">
        <is>
          <t>Bau/Infrastruktur</t>
        </is>
      </c>
      <c r="D541" s="11" t="inlineStr">
        <is>
          <t>Frauenfeld-Wil-Bahn AG (FW)</t>
        </is>
      </c>
      <c r="E541" s="11" t="inlineStr">
        <is>
          <t>Frauenfeld</t>
        </is>
      </c>
      <c r="F541" s="11" t="inlineStr">
        <is>
          <t>8500</t>
        </is>
      </c>
      <c r="G541" s="11" t="inlineStr">
        <is>
          <t>TG</t>
        </is>
      </c>
      <c r="H541" s="11" t="inlineStr">
        <is>
          <t>Betriebsleiter Technik</t>
        </is>
      </c>
      <c r="I541" s="11" t="inlineStr">
        <is>
          <t>Dipl. El.-Ing.</t>
        </is>
      </c>
      <c r="J541" s="11" t="inlineStr">
        <is>
          <t>info@fw-bahn.ch</t>
        </is>
      </c>
      <c r="K541" s="11" t="inlineStr">
        <is>
          <t>+41 52 724 15 15</t>
        </is>
      </c>
      <c r="L541" s="11" t="n"/>
      <c r="M541" s="11" t="inlineStr">
        <is>
          <t>offen</t>
        </is>
      </c>
      <c r="N541" s="11" t="inlineStr">
        <is>
          <t>Betriebsleiter FW ansprechen; Revisionsplanung Frühjahr</t>
        </is>
      </c>
      <c r="O541" s="11" t="inlineStr">
        <is>
          <t>Revisionen Schmalspur-Bahn; 200 kVA Generator; Fahrstrom PQ</t>
        </is>
      </c>
      <c r="P541" s="11" t="n"/>
      <c r="Q541" s="11" t="n"/>
      <c r="R541" s="11" t="inlineStr">
        <is>
          <t>Schmalspurbahn; Revisionen Frühjahr; Fahrstrom = FU PQ-relevant</t>
        </is>
      </c>
      <c r="S541" s="11" t="inlineStr">
        <is>
          <t>Bahn / Tram</t>
        </is>
      </c>
    </row>
    <row r="542">
      <c r="A542" s="11" t="n">
        <v>539</v>
      </c>
      <c r="B542" s="11" t="inlineStr">
        <is>
          <t>B</t>
        </is>
      </c>
      <c r="C542" s="11" t="inlineStr">
        <is>
          <t>Bau/Infrastruktur</t>
        </is>
      </c>
      <c r="D542" s="11" t="inlineStr">
        <is>
          <t>Tschopp + Hiestand AG (Bau Region TG)</t>
        </is>
      </c>
      <c r="E542" s="11" t="inlineStr">
        <is>
          <t>Frauenfeld</t>
        </is>
      </c>
      <c r="F542" s="11" t="inlineStr">
        <is>
          <t>8500</t>
        </is>
      </c>
      <c r="G542" s="11" t="inlineStr">
        <is>
          <t>TG</t>
        </is>
      </c>
      <c r="H542" s="11" t="inlineStr">
        <is>
          <t>Bauleitung Elektro</t>
        </is>
      </c>
      <c r="I542" s="11" t="inlineStr">
        <is>
          <t>Elektroplaner</t>
        </is>
      </c>
      <c r="J542" s="11" t="inlineStr">
        <is>
          <t>info@tschopp-hiestand.ch</t>
        </is>
      </c>
      <c r="K542" s="11" t="inlineStr">
        <is>
          <t>+41 52 724 20 20</t>
        </is>
      </c>
      <c r="L542" s="11" t="n"/>
      <c r="M542" s="11" t="inlineStr">
        <is>
          <t>offen</t>
        </is>
      </c>
      <c r="N542" s="11" t="inlineStr">
        <is>
          <t>Bauleitung ansprechen; Weiterempfehlungspartner aufbauen</t>
        </is>
      </c>
      <c r="O542" s="11" t="inlineStr">
        <is>
          <t>Baustromversorgung Grossprojekte TG; 200–400 kVA Generator</t>
        </is>
      </c>
      <c r="P542" s="11" t="inlineStr">
        <is>
          <t>Generator</t>
        </is>
      </c>
      <c r="Q542" s="11" t="n"/>
      <c r="R542" s="11" t="inlineStr">
        <is>
          <t>Regionaler GU TG; regelmäßige Projekte; Empfehlungspotenzial</t>
        </is>
      </c>
      <c r="S542" s="11" t="inlineStr">
        <is>
          <t>Generalunternehmer</t>
        </is>
      </c>
    </row>
    <row r="543">
      <c r="A543" s="11" t="n">
        <v>540</v>
      </c>
      <c r="B543" s="11" t="inlineStr">
        <is>
          <t>C</t>
        </is>
      </c>
      <c r="C543" s="11" t="inlineStr">
        <is>
          <t>Bau/Infrastruktur</t>
        </is>
      </c>
      <c r="D543" s="11" t="inlineStr">
        <is>
          <t>Strabag SE / Müller-Steinag (Bau TG)</t>
        </is>
      </c>
      <c r="E543" s="11" t="inlineStr">
        <is>
          <t>Frauenfeld</t>
        </is>
      </c>
      <c r="F543" s="11" t="inlineStr">
        <is>
          <t>8500</t>
        </is>
      </c>
      <c r="G543" s="11" t="inlineStr">
        <is>
          <t>TG</t>
        </is>
      </c>
      <c r="H543" s="11" t="inlineStr">
        <is>
          <t>Projektleitung Elektro</t>
        </is>
      </c>
      <c r="I543" s="11" t="inlineStr">
        <is>
          <t>Bauingenieur</t>
        </is>
      </c>
      <c r="J543" s="11" t="inlineStr">
        <is>
          <t>office.ch@strabag.com</t>
        </is>
      </c>
      <c r="K543" s="11" t="inlineStr">
        <is>
          <t>+41 44 555 09 00</t>
        </is>
      </c>
      <c r="L543" s="11" t="n"/>
      <c r="M543" s="11" t="inlineStr">
        <is>
          <t>offen</t>
        </is>
      </c>
      <c r="N543" s="11" t="inlineStr">
        <is>
          <t>simap.ch Projekte TG identifizieren</t>
        </is>
      </c>
      <c r="O543" s="11" t="inlineStr">
        <is>
          <t>Baustromversorgung 200–400 kVA; Grenzregion D</t>
        </is>
      </c>
      <c r="P543" s="11" t="inlineStr">
        <is>
          <t>Generator</t>
        </is>
      </c>
      <c r="Q543" s="11" t="n"/>
      <c r="R543" s="11" t="inlineStr">
        <is>
          <t>Internationaler GU; Bauprojekte TG; simap.ch-pflichtig</t>
        </is>
      </c>
      <c r="S543" s="11" t="inlineStr">
        <is>
          <t>Bauunternehmen</t>
        </is>
      </c>
    </row>
    <row r="544">
      <c r="A544" s="11" t="n">
        <v>541</v>
      </c>
      <c r="B544" s="11" t="inlineStr">
        <is>
          <t>B</t>
        </is>
      </c>
      <c r="C544" s="11" t="inlineStr">
        <is>
          <t>Elektroplaner/Engineering</t>
        </is>
      </c>
      <c r="D544" s="11" t="inlineStr">
        <is>
          <t>Kierzek AG (jetzt NEGXT AG, EKT-Tochter)</t>
        </is>
      </c>
      <c r="E544" s="11" t="inlineStr">
        <is>
          <t>Kreuzlingen</t>
        </is>
      </c>
      <c r="F544" s="11" t="inlineStr">
        <is>
          <t>8280</t>
        </is>
      </c>
      <c r="G544" s="11" t="inlineStr">
        <is>
          <t>TG</t>
        </is>
      </c>
      <c r="H544" s="11" t="inlineStr">
        <is>
          <t>Geschäftsführer</t>
        </is>
      </c>
      <c r="I544" s="11" t="inlineStr">
        <is>
          <t>Dipl. El.-Ing.</t>
        </is>
      </c>
      <c r="J544" s="11" t="inlineStr">
        <is>
          <t>info@negxt.ch</t>
        </is>
      </c>
      <c r="K544" s="11" t="inlineStr">
        <is>
          <t>+41 71 677 22 22</t>
        </is>
      </c>
      <c r="L544" s="11" t="n"/>
      <c r="M544" s="11" t="inlineStr">
        <is>
          <t>offen</t>
        </is>
      </c>
      <c r="N544" s="11" t="inlineStr">
        <is>
          <t>Netzwerkgespräch; EKT-Verbindung nutzen; Kierzek betreut viele TG-Kunden</t>
        </is>
      </c>
      <c r="O544" s="11" t="inlineStr">
        <is>
          <t>Elektroplanung TG; führender Betrieb; Empfehlungspartner für PQ/NEA</t>
        </is>
      </c>
      <c r="P544" s="11" t="n"/>
      <c r="Q544" s="11" t="n"/>
      <c r="R544" s="11" t="inlineStr">
        <is>
          <t>EKT-Gruppe Mitglied; führende Elektroplanung TG; idealer Multiplikator</t>
        </is>
      </c>
      <c r="S544" s="11" t="inlineStr">
        <is>
          <t>Elektroplanung</t>
        </is>
      </c>
    </row>
    <row r="545">
      <c r="A545" s="11" t="n">
        <v>542</v>
      </c>
      <c r="B545" s="11" t="inlineStr">
        <is>
          <t>C</t>
        </is>
      </c>
      <c r="C545" s="11" t="inlineStr">
        <is>
          <t>Elektroplaner/Engineering</t>
        </is>
      </c>
      <c r="D545" s="11" t="inlineStr">
        <is>
          <t>Stutz Elektrounternehmungen AG</t>
        </is>
      </c>
      <c r="E545" s="11" t="inlineStr">
        <is>
          <t>Weinfelden</t>
        </is>
      </c>
      <c r="F545" s="11" t="inlineStr">
        <is>
          <t>8570</t>
        </is>
      </c>
      <c r="G545" s="11" t="inlineStr">
        <is>
          <t>TG</t>
        </is>
      </c>
      <c r="H545" s="11" t="inlineStr">
        <is>
          <t>Geschäftsführer</t>
        </is>
      </c>
      <c r="I545" s="11" t="inlineStr">
        <is>
          <t>Elektroinstallateur</t>
        </is>
      </c>
      <c r="J545" s="11" t="inlineStr">
        <is>
          <t>info@stutz-elektro.ch</t>
        </is>
      </c>
      <c r="K545" s="11" t="inlineStr">
        <is>
          <t>+41 71 626 26 26</t>
        </is>
      </c>
      <c r="L545" s="11" t="n"/>
      <c r="M545" s="11" t="inlineStr">
        <is>
          <t>offen</t>
        </is>
      </c>
      <c r="N545" s="11" t="inlineStr">
        <is>
          <t>Kaltakquise; lokaler Elektrounternehmer als Netzwerk</t>
        </is>
      </c>
      <c r="O545" s="11" t="inlineStr">
        <is>
          <t>Elektrounternehmen TG; Weiterempfehlung Generator/NEA</t>
        </is>
      </c>
      <c r="P545" s="11" t="inlineStr">
        <is>
          <t>Generator</t>
        </is>
      </c>
      <c r="Q545" s="11" t="n"/>
      <c r="R545" s="11" t="inlineStr">
        <is>
          <t>Lokaler Elektrounternehmer; Netzwerk TG; Empfehlungspotenzial</t>
        </is>
      </c>
      <c r="S545" s="11" t="inlineStr">
        <is>
          <t>Elektrounternehmen</t>
        </is>
      </c>
    </row>
    <row r="546">
      <c r="A546" s="11" t="n">
        <v>543</v>
      </c>
      <c r="B546" s="11" t="inlineStr">
        <is>
          <t>A</t>
        </is>
      </c>
      <c r="C546" s="11" t="inlineStr">
        <is>
          <t>Gemeinde/Öffentlich</t>
        </is>
      </c>
      <c r="D546" s="11" t="inlineStr">
        <is>
          <t>Stadt Frauenfeld (Stadtbauamt)</t>
        </is>
      </c>
      <c r="E546" s="11" t="inlineStr">
        <is>
          <t>Frauenfeld</t>
        </is>
      </c>
      <c r="F546" s="11" t="inlineStr">
        <is>
          <t>8500</t>
        </is>
      </c>
      <c r="G546" s="11" t="inlineStr">
        <is>
          <t>TG</t>
        </is>
      </c>
      <c r="H546" s="11" t="inlineStr">
        <is>
          <t>Stadtbauamt</t>
        </is>
      </c>
      <c r="I546" s="11" t="inlineStr">
        <is>
          <t>Stadtbauingenieur</t>
        </is>
      </c>
      <c r="J546" s="11" t="inlineStr">
        <is>
          <t>stadtbauamt@frauenfeld.ch</t>
        </is>
      </c>
      <c r="K546" s="11" t="inlineStr">
        <is>
          <t>+41 52 724 52 00</t>
        </is>
      </c>
      <c r="L546" s="11" t="n"/>
      <c r="M546" s="11" t="inlineStr">
        <is>
          <t>offen</t>
        </is>
      </c>
      <c r="N546" s="11" t="inlineStr">
        <is>
          <t>simap.ch Alert Frauenfeld + Direktkontakt Stadtbauamt</t>
        </is>
      </c>
      <c r="O546" s="11" t="inlineStr">
        <is>
          <t>NEA kritische Gebäude (Feuerwehr, EOC) 2x 250 kVA; PQ Stadtversorgung</t>
        </is>
      </c>
      <c r="P546" s="11" t="n"/>
      <c r="Q546" s="11" t="n"/>
      <c r="R546" s="11" t="inlineStr">
        <is>
          <t>Kantonshauptort TG; viele öffentliche Gebäude; Ausschreibungspflicht</t>
        </is>
      </c>
      <c r="S546" s="11" t="inlineStr">
        <is>
          <t>Hauptort</t>
        </is>
      </c>
    </row>
    <row r="547">
      <c r="A547" s="11" t="n">
        <v>544</v>
      </c>
      <c r="B547" s="11" t="inlineStr">
        <is>
          <t>A</t>
        </is>
      </c>
      <c r="C547" s="11" t="inlineStr">
        <is>
          <t>Gemeinde/Öffentlich</t>
        </is>
      </c>
      <c r="D547" s="11" t="inlineStr">
        <is>
          <t>Kanton Thurgau (Hochbauamt)</t>
        </is>
      </c>
      <c r="E547" s="11" t="inlineStr">
        <is>
          <t>Frauenfeld</t>
        </is>
      </c>
      <c r="F547" s="11" t="inlineStr">
        <is>
          <t>8500</t>
        </is>
      </c>
      <c r="G547" s="11" t="inlineStr">
        <is>
          <t>TG</t>
        </is>
      </c>
      <c r="H547" s="11" t="inlineStr">
        <is>
          <t>Leiter Hochbauamt</t>
        </is>
      </c>
      <c r="I547" s="11" t="inlineStr">
        <is>
          <t>Kantonsbauingenieur</t>
        </is>
      </c>
      <c r="J547" s="11" t="inlineStr">
        <is>
          <t>hochbauamt@tg.ch</t>
        </is>
      </c>
      <c r="K547" s="11" t="inlineStr">
        <is>
          <t>+41 52 724 25 00</t>
        </is>
      </c>
      <c r="L547" s="11" t="n"/>
      <c r="M547" s="11" t="inlineStr">
        <is>
          <t>offen</t>
        </is>
      </c>
      <c r="N547" s="11" t="inlineStr">
        <is>
          <t>simap.ch bundesweit + Hochbauamt direkt ansprechen</t>
        </is>
      </c>
      <c r="O547" s="11" t="inlineStr">
        <is>
          <t>NEA kantonale Gebäude 500 kVA–1 MVA; Rahmenvertrag Liegenschaften</t>
        </is>
      </c>
      <c r="P547" s="11" t="n"/>
      <c r="Q547" s="11" t="n"/>
      <c r="R547" s="11" t="inlineStr">
        <is>
          <t>Kantonale Liegenschaften TG; Rahmenvertragspotenzial; simap.ch Pflicht</t>
        </is>
      </c>
      <c r="S547" s="11" t="inlineStr">
        <is>
          <t>Kanton</t>
        </is>
      </c>
    </row>
    <row r="548">
      <c r="A548" s="11" t="n">
        <v>545</v>
      </c>
      <c r="B548" s="11" t="inlineStr">
        <is>
          <t>B</t>
        </is>
      </c>
      <c r="C548" s="11" t="inlineStr">
        <is>
          <t>Gemeinde/Öffentlich</t>
        </is>
      </c>
      <c r="D548" s="11" t="inlineStr">
        <is>
          <t>Stadt Kreuzlingen (Stadtbauamt)</t>
        </is>
      </c>
      <c r="E548" s="11" t="inlineStr">
        <is>
          <t>Kreuzlingen</t>
        </is>
      </c>
      <c r="F548" s="11" t="inlineStr">
        <is>
          <t>8280</t>
        </is>
      </c>
      <c r="G548" s="11" t="inlineStr">
        <is>
          <t>TG</t>
        </is>
      </c>
      <c r="H548" s="11" t="inlineStr">
        <is>
          <t>Stadtbauamt</t>
        </is>
      </c>
      <c r="I548" s="11" t="inlineStr">
        <is>
          <t>Techniker</t>
        </is>
      </c>
      <c r="J548" s="11" t="inlineStr">
        <is>
          <t>stadtbauamt@kreuzlingen.ch</t>
        </is>
      </c>
      <c r="K548" s="11" t="inlineStr">
        <is>
          <t>+41 71 677 11 11</t>
        </is>
      </c>
      <c r="L548" s="11" t="n"/>
      <c r="M548" s="11" t="inlineStr">
        <is>
          <t>offen</t>
        </is>
      </c>
      <c r="N548" s="11" t="inlineStr">
        <is>
          <t>simap.ch + Direktkontakt; Kreuzlingen-Cluster ausschöpfen</t>
        </is>
      </c>
      <c r="O548" s="11" t="inlineStr">
        <is>
          <t>NEA kommunale Gebäude 2x 150 kVA; Grenzregion D</t>
        </is>
      </c>
      <c r="P548" s="11" t="n"/>
      <c r="Q548" s="11" t="n"/>
      <c r="R548" s="11" t="inlineStr">
        <is>
          <t>Grenzstadt; Kreuzlingen-Cluster: Stadt+EVU+ARA+Arena+MOWAG</t>
        </is>
      </c>
      <c r="S548" s="11" t="inlineStr">
        <is>
          <t>Stadt</t>
        </is>
      </c>
    </row>
    <row r="549">
      <c r="A549" s="11" t="n">
        <v>546</v>
      </c>
      <c r="B549" s="11" t="inlineStr">
        <is>
          <t>B</t>
        </is>
      </c>
      <c r="C549" s="11" t="inlineStr">
        <is>
          <t>Gemeinde/Öffentlich</t>
        </is>
      </c>
      <c r="D549" s="11" t="inlineStr">
        <is>
          <t>Stadt Weinfelden</t>
        </is>
      </c>
      <c r="E549" s="11" t="inlineStr">
        <is>
          <t>Weinfelden</t>
        </is>
      </c>
      <c r="F549" s="11" t="inlineStr">
        <is>
          <t>8570</t>
        </is>
      </c>
      <c r="G549" s="11" t="inlineStr">
        <is>
          <t>TG</t>
        </is>
      </c>
      <c r="H549" s="11" t="inlineStr">
        <is>
          <t>Stadtbauamt</t>
        </is>
      </c>
      <c r="I549" s="11" t="inlineStr">
        <is>
          <t>Techniker</t>
        </is>
      </c>
      <c r="J549" s="11" t="inlineStr">
        <is>
          <t>stadtbauamt@weinfelden.ch</t>
        </is>
      </c>
      <c r="K549" s="11" t="inlineStr">
        <is>
          <t>+41 71 626 93 00</t>
        </is>
      </c>
      <c r="L549" s="11" t="n"/>
      <c r="M549" s="11" t="inlineStr">
        <is>
          <t>offen</t>
        </is>
      </c>
      <c r="N549" s="11" t="inlineStr">
        <is>
          <t>simap.ch + Direktkontakt; Cluster Weinfelden sehr dicht</t>
        </is>
      </c>
      <c r="O549" s="11" t="inlineStr">
        <is>
          <t>NEA kommunale Gebäude 1x 150 kVA; Wirtschaftszentrum TG</t>
        </is>
      </c>
      <c r="P549" s="11" t="inlineStr">
        <is>
          <t>Generator</t>
        </is>
      </c>
      <c r="Q549" s="11" t="n"/>
      <c r="R549" s="11" t="inlineStr">
        <is>
          <t>Wirtschaftszentrum TG; Cross-Sell-Cluster Weinfelden = 4 A-Kunden nahe beisammen</t>
        </is>
      </c>
      <c r="S549" s="11" t="inlineStr">
        <is>
          <t>Stadt</t>
        </is>
      </c>
    </row>
    <row r="550">
      <c r="A550" s="11" t="n">
        <v>547</v>
      </c>
      <c r="B550" s="11" t="inlineStr">
        <is>
          <t>B</t>
        </is>
      </c>
      <c r="C550" s="11" t="inlineStr">
        <is>
          <t>Gemeinde/Öffentlich</t>
        </is>
      </c>
      <c r="D550" s="11" t="inlineStr">
        <is>
          <t>Bildungszentrum Wirtschaft Weinfelden (BZW)</t>
        </is>
      </c>
      <c r="E550" s="11" t="inlineStr">
        <is>
          <t>Weinfelden</t>
        </is>
      </c>
      <c r="F550" s="11" t="inlineStr">
        <is>
          <t>8570</t>
        </is>
      </c>
      <c r="G550" s="11" t="inlineStr">
        <is>
          <t>TG</t>
        </is>
      </c>
      <c r="H550" s="11" t="inlineStr">
        <is>
          <t>Hauswart / IT-Infrastruktur</t>
        </is>
      </c>
      <c r="I550" s="11" t="inlineStr">
        <is>
          <t>Techniker</t>
        </is>
      </c>
      <c r="J550" s="11" t="inlineStr">
        <is>
          <t>info@bzwweinfelden.ch</t>
        </is>
      </c>
      <c r="K550" s="11" t="inlineStr">
        <is>
          <t>+41 71 626 28 28</t>
        </is>
      </c>
      <c r="L550" s="11" t="n"/>
      <c r="M550" s="11" t="inlineStr">
        <is>
          <t>offen</t>
        </is>
      </c>
      <c r="N550" s="11" t="inlineStr">
        <is>
          <t>simap.ch + Direktkontakt</t>
        </is>
      </c>
      <c r="O550" s="11" t="inlineStr">
        <is>
          <t>NEA für Schulgebäude 1x 100 kVA; IT-Infrastruktur</t>
        </is>
      </c>
      <c r="P550" s="11" t="inlineStr">
        <is>
          <t>Generator</t>
        </is>
      </c>
      <c r="Q550" s="11" t="n"/>
      <c r="R550" s="11" t="inlineStr">
        <is>
          <t>Kantonale Schule TG; Ausschreibungspflicht</t>
        </is>
      </c>
      <c r="S550" s="11" t="inlineStr">
        <is>
          <t>Bildung</t>
        </is>
      </c>
    </row>
    <row r="551">
      <c r="A551" s="11" t="n">
        <v>548</v>
      </c>
      <c r="B551" s="11" t="inlineStr">
        <is>
          <t>A</t>
        </is>
      </c>
      <c r="C551" s="11" t="inlineStr">
        <is>
          <t>Gemeinde/Öffentlich</t>
        </is>
      </c>
      <c r="D551" s="11" t="inlineStr">
        <is>
          <t>Kursaal Weinfelden / Hotel Thurgauerhof</t>
        </is>
      </c>
      <c r="E551" s="11" t="inlineStr">
        <is>
          <t>Weinfelden</t>
        </is>
      </c>
      <c r="F551" s="11" t="inlineStr">
        <is>
          <t>8570</t>
        </is>
      </c>
      <c r="G551" s="11" t="inlineStr">
        <is>
          <t>TG</t>
        </is>
      </c>
      <c r="H551" s="11" t="inlineStr">
        <is>
          <t>Haustechnik</t>
        </is>
      </c>
      <c r="I551" s="11" t="inlineStr">
        <is>
          <t>Hoteltechniker</t>
        </is>
      </c>
      <c r="J551" s="11" t="inlineStr">
        <is>
          <t>info@thurgauerhof.ch</t>
        </is>
      </c>
      <c r="K551" s="11" t="inlineStr">
        <is>
          <t>+41 71 622 01 11</t>
        </is>
      </c>
      <c r="L551" s="11" t="n"/>
      <c r="M551" s="11" t="inlineStr">
        <is>
          <t>offen</t>
        </is>
      </c>
      <c r="N551" s="11" t="inlineStr">
        <is>
          <t>Haustechnik-Leiter kontaktieren</t>
        </is>
      </c>
      <c r="O551" s="11" t="inlineStr">
        <is>
          <t>USV IT/Konferenz 1x 80 kVA; NEA Hotel 200 kVA</t>
        </is>
      </c>
      <c r="P551" s="11" t="inlineStr">
        <is>
          <t>USV</t>
        </is>
      </c>
      <c r="Q551" s="11" t="n"/>
      <c r="R551" s="11" t="inlineStr">
        <is>
          <t>Tagungshotel TG; Events + Kongresse; Cross-Sell Weinfelden-Cluster</t>
        </is>
      </c>
      <c r="S551" s="11" t="inlineStr">
        <is>
          <t>Luxushotel</t>
        </is>
      </c>
    </row>
    <row r="552">
      <c r="A552" s="11" t="n">
        <v>549</v>
      </c>
      <c r="B552" s="11" t="inlineStr">
        <is>
          <t>B</t>
        </is>
      </c>
      <c r="C552" s="11" t="inlineStr">
        <is>
          <t>Gemeinde/Öffentlich</t>
        </is>
      </c>
      <c r="D552" s="11" t="inlineStr">
        <is>
          <t>Thurgau Bodensee Events (diverse Openairs TG)</t>
        </is>
      </c>
      <c r="E552" s="11" t="inlineStr">
        <is>
          <t>Kreuzlingen</t>
        </is>
      </c>
      <c r="F552" s="11" t="inlineStr">
        <is>
          <t>8280</t>
        </is>
      </c>
      <c r="G552" s="11" t="inlineStr">
        <is>
          <t>TG</t>
        </is>
      </c>
      <c r="H552" s="11" t="inlineStr">
        <is>
          <t>Eventkoordinator</t>
        </is>
      </c>
      <c r="I552" s="11" t="inlineStr">
        <is>
          <t>Event Manager</t>
        </is>
      </c>
      <c r="J552" s="11" t="inlineStr">
        <is>
          <t>info@thurgau-bodensee.ch</t>
        </is>
      </c>
      <c r="K552" s="11" t="inlineStr">
        <is>
          <t>+41 71 677 77 11</t>
        </is>
      </c>
      <c r="L552" s="11" t="n"/>
      <c r="M552" s="11" t="inlineStr">
        <is>
          <t>offen</t>
        </is>
      </c>
      <c r="N552" s="11" t="inlineStr">
        <is>
          <t>Tourismus TG kontaktieren; Events Bodensee-Saison (Apr.–Okt.)</t>
        </is>
      </c>
      <c r="O552" s="11" t="inlineStr">
        <is>
          <t>Temporary Power Events Bodensee; 200–500 kVA saisonal</t>
        </is>
      </c>
      <c r="P552" s="11" t="inlineStr">
        <is>
          <t>USV</t>
        </is>
      </c>
      <c r="Q552" s="11" t="n"/>
      <c r="R552" s="11" t="inlineStr">
        <is>
          <t>Bodensee-Events; Saison April–Oktober; wachsendes Potenzial</t>
        </is>
      </c>
      <c r="S552" s="11" t="inlineStr">
        <is>
          <t>Events</t>
        </is>
      </c>
    </row>
    <row r="553">
      <c r="A553" s="11" t="n">
        <v>550</v>
      </c>
      <c r="B553" s="11" t="inlineStr">
        <is>
          <t>A</t>
        </is>
      </c>
      <c r="C553" s="11" t="inlineStr">
        <is>
          <t>Gemeinde/Öffentlich</t>
        </is>
      </c>
      <c r="D553" s="11" t="inlineStr">
        <is>
          <t>[MiT TG-Bestandskunde Industrie / Kälte]</t>
        </is>
      </c>
      <c r="E553" s="11" t="inlineStr">
        <is>
          <t>Thurgau allg.</t>
        </is>
      </c>
      <c r="F553" s="11" t="inlineStr">
        <is>
          <t>8500</t>
        </is>
      </c>
      <c r="G553" s="11" t="inlineStr">
        <is>
          <t>TG</t>
        </is>
      </c>
      <c r="H553" s="11" t="inlineStr">
        <is>
          <t>Energieverantwortlicher</t>
        </is>
      </c>
      <c r="I553" s="11" t="inlineStr">
        <is>
          <t>Betriebsleiter</t>
        </is>
      </c>
      <c r="J553" s="11" t="n"/>
      <c r="K553" s="11" t="n"/>
      <c r="L553" s="11" t="n"/>
      <c r="M553" s="11" t="inlineStr">
        <is>
          <t>offen</t>
        </is>
      </c>
      <c r="N553" s="11" t="inlineStr">
        <is>
          <t>MiT-CRM: TG-Kunden ohne Strom-Vertrag identifizieren (Roberto/Stefan)</t>
        </is>
      </c>
      <c r="O553" s="11" t="inlineStr">
        <is>
          <t>Stromversorgung als Ergänzung zu bestehender Wärme/Kälte-Lösung MiT</t>
        </is>
      </c>
      <c r="P553" s="11" t="inlineStr">
        <is>
          <t>Wärme</t>
        </is>
      </c>
      <c r="Q553" s="11" t="n"/>
      <c r="R553" s="11" t="inlineStr">
        <is>
          <t>Schnellster Weg TG: Warmlead über Wärme/Kälte-Bestandsbasis</t>
        </is>
      </c>
      <c r="S553" s="11" t="inlineStr">
        <is>
          <t>Cross-Sell MiT</t>
        </is>
      </c>
    </row>
    <row r="554">
      <c r="A554" s="11" t="n">
        <v>551</v>
      </c>
      <c r="B554" s="11" t="inlineStr">
        <is>
          <t>A</t>
        </is>
      </c>
      <c r="C554" s="11" t="inlineStr">
        <is>
          <t>EVU/Netzbetreiber</t>
        </is>
      </c>
      <c r="D554" s="11" t="inlineStr">
        <is>
          <t>AET – Azienda Elettrica Ticinese</t>
        </is>
      </c>
      <c r="E554" s="11" t="inlineStr">
        <is>
          <t>Bellinzona</t>
        </is>
      </c>
      <c r="F554" s="11" t="inlineStr">
        <is>
          <t>6501</t>
        </is>
      </c>
      <c r="G554" s="11" t="inlineStr">
        <is>
          <t>TI</t>
        </is>
      </c>
      <c r="H554" s="11" t="inlineStr">
        <is>
          <t>Responsabile Rete</t>
        </is>
      </c>
      <c r="I554" s="11" t="inlineStr">
        <is>
          <t>Ing. El.</t>
        </is>
      </c>
      <c r="J554" s="11" t="inlineStr">
        <is>
          <t>info@aet.ch</t>
        </is>
      </c>
      <c r="K554" s="11" t="inlineStr">
        <is>
          <t>+41 91 821 91 11</t>
        </is>
      </c>
      <c r="L554" s="11" t="n"/>
      <c r="M554" s="11" t="inlineStr">
        <is>
          <t>offen</t>
        </is>
      </c>
      <c r="N554" s="11" t="inlineStr">
        <is>
          <t>Rete AET kontaktieren; IT</t>
        </is>
      </c>
      <c r="O554" s="11" t="inlineStr">
        <is>
          <t>MS/HS-Revisionen TI; 130'000 Kunden; grenzüberschreitend I</t>
        </is>
      </c>
      <c r="P554" s="11" t="inlineStr">
        <is>
          <t>Generator</t>
        </is>
      </c>
      <c r="Q554" s="11" t="n"/>
      <c r="R554" s="11" t="inlineStr">
        <is>
          <t>Viale Stefano Franscini 2, 6500 Bellinzona; 130'000 Kunden</t>
        </is>
      </c>
      <c r="S554" s="11" t="inlineStr">
        <is>
          <t>Kantonaler Versorger</t>
        </is>
      </c>
    </row>
    <row r="555">
      <c r="A555" s="11" t="n">
        <v>552</v>
      </c>
      <c r="B555" s="11" t="inlineStr">
        <is>
          <t>A</t>
        </is>
      </c>
      <c r="C555" s="11" t="inlineStr">
        <is>
          <t>EVU/Netzbetreiber</t>
        </is>
      </c>
      <c r="D555" s="11" t="inlineStr">
        <is>
          <t>AIL – Azienda Industriale di Lugano</t>
        </is>
      </c>
      <c r="E555" s="11" t="inlineStr">
        <is>
          <t>Lugano</t>
        </is>
      </c>
      <c r="F555" s="11" t="inlineStr">
        <is>
          <t>6900</t>
        </is>
      </c>
      <c r="G555" s="11" t="inlineStr">
        <is>
          <t>TI</t>
        </is>
      </c>
      <c r="H555" s="11" t="inlineStr">
        <is>
          <t>Responsabile Rete</t>
        </is>
      </c>
      <c r="I555" s="11" t="inlineStr">
        <is>
          <t>Ing. El.</t>
        </is>
      </c>
      <c r="J555" s="11" t="inlineStr">
        <is>
          <t>info@ail.ch</t>
        </is>
      </c>
      <c r="K555" s="11" t="inlineStr">
        <is>
          <t>+41 58 321 31 11</t>
        </is>
      </c>
      <c r="L555" s="11" t="n"/>
      <c r="M555" s="11" t="inlineStr">
        <is>
          <t>offen</t>
        </is>
      </c>
      <c r="N555" s="11" t="inlineStr">
        <is>
          <t>Rete AIL Lugano; IT</t>
        </is>
      </c>
      <c r="O555" s="11" t="inlineStr">
        <is>
          <t>Netzersatz Lugano; Revisionen MS; Fernwärme; 60'000 Kunden</t>
        </is>
      </c>
      <c r="P555" s="11" t="inlineStr">
        <is>
          <t>Wärme</t>
        </is>
      </c>
      <c r="Q555" s="11" t="n"/>
      <c r="R555" s="11" t="inlineStr">
        <is>
          <t>Via Serafino Balestra 17, 6900 Lugano; Strom+Wärme+Wasser</t>
        </is>
      </c>
      <c r="S555" s="11" t="inlineStr">
        <is>
          <t>Stadtwerk</t>
        </is>
      </c>
    </row>
    <row r="556">
      <c r="A556" s="11" t="n">
        <v>553</v>
      </c>
      <c r="B556" s="11" t="inlineStr">
        <is>
          <t>A</t>
        </is>
      </c>
      <c r="C556" s="11" t="inlineStr">
        <is>
          <t>Spital/Klinik</t>
        </is>
      </c>
      <c r="D556" s="11" t="inlineStr">
        <is>
          <t>EOC – Ente Ospedaliero Cantonale (6 Standorte)</t>
        </is>
      </c>
      <c r="E556" s="11" t="inlineStr">
        <is>
          <t>Bellinzona</t>
        </is>
      </c>
      <c r="F556" s="11" t="inlineStr">
        <is>
          <t>6500</t>
        </is>
      </c>
      <c r="G556" s="11" t="inlineStr">
        <is>
          <t>TI</t>
        </is>
      </c>
      <c r="H556" s="11" t="inlineStr">
        <is>
          <t>Responsabile Tecnico</t>
        </is>
      </c>
      <c r="I556" s="11" t="inlineStr">
        <is>
          <t>Ing. El.</t>
        </is>
      </c>
      <c r="J556" s="11" t="inlineStr">
        <is>
          <t>info@eoc.ch</t>
        </is>
      </c>
      <c r="K556" s="11" t="inlineStr">
        <is>
          <t>+41 58 666 11 11</t>
        </is>
      </c>
      <c r="L556" s="11" t="n"/>
      <c r="M556" s="11" t="inlineStr">
        <is>
          <t>offen</t>
        </is>
      </c>
      <c r="N556" s="11" t="inlineStr">
        <is>
          <t>Responsabile Tecnico EOC; IT; 6 Standorte</t>
        </is>
      </c>
      <c r="O556" s="11" t="inlineStr">
        <is>
          <t>NEA 6 Standorte: 4× 500 kVA Pflicht; USV; 4'800 MA; IT</t>
        </is>
      </c>
      <c r="P556" s="11" t="inlineStr">
        <is>
          <t>USV</t>
        </is>
      </c>
      <c r="Q556" s="11" t="n"/>
      <c r="R556" s="11" t="inlineStr">
        <is>
          <t>Via Ospedale 12, 6500 Bellinzona; 6 Standorte TI</t>
        </is>
      </c>
      <c r="S556" s="11" t="inlineStr">
        <is>
          <t>Spitalgruppe</t>
        </is>
      </c>
    </row>
    <row r="557">
      <c r="A557" s="11" t="n">
        <v>554</v>
      </c>
      <c r="B557" s="11" t="inlineStr">
        <is>
          <t>A</t>
        </is>
      </c>
      <c r="C557" s="11" t="inlineStr">
        <is>
          <t>Rechenzentrum/IT</t>
        </is>
      </c>
      <c r="D557" s="11" t="inlineStr">
        <is>
          <t>Julius Bär &amp; Co. AG – Lugano</t>
        </is>
      </c>
      <c r="E557" s="11" t="inlineStr">
        <is>
          <t>Lugano</t>
        </is>
      </c>
      <c r="F557" s="11" t="inlineStr">
        <is>
          <t>6904</t>
        </is>
      </c>
      <c r="G557" s="11" t="inlineStr">
        <is>
          <t>TI</t>
        </is>
      </c>
      <c r="H557" s="11" t="inlineStr">
        <is>
          <t>Responsabile IT</t>
        </is>
      </c>
      <c r="I557" s="11" t="inlineStr">
        <is>
          <t>Informatico</t>
        </is>
      </c>
      <c r="J557" s="11" t="inlineStr">
        <is>
          <t>info@juliusbaer.com</t>
        </is>
      </c>
      <c r="K557" s="11" t="inlineStr">
        <is>
          <t>+41 58 888 11 11</t>
        </is>
      </c>
      <c r="L557" s="11" t="n"/>
      <c r="M557" s="11" t="inlineStr">
        <is>
          <t>offen</t>
        </is>
      </c>
      <c r="N557" s="11" t="inlineStr">
        <is>
          <t>IT-Infrastruktur Julius Bär Lugano</t>
        </is>
      </c>
      <c r="O557" s="11" t="inlineStr">
        <is>
          <t>RZ USV 2× 200 kVA; NEA; PQ FINMA; Private Banking</t>
        </is>
      </c>
      <c r="P557" s="11" t="inlineStr">
        <is>
          <t>USV</t>
        </is>
      </c>
      <c r="Q557" s="11" t="n"/>
      <c r="R557" s="11" t="inlineStr">
        <is>
          <t>Piazza Riziero Rezzonico 3, 6901 Lugano; FINMA; Private Banking</t>
        </is>
      </c>
      <c r="S557" s="11" t="inlineStr">
        <is>
          <t>Privatbank</t>
        </is>
      </c>
    </row>
    <row r="558">
      <c r="A558" s="11" t="n">
        <v>555</v>
      </c>
      <c r="B558" s="11" t="inlineStr">
        <is>
          <t>A</t>
        </is>
      </c>
      <c r="C558" s="11" t="inlineStr">
        <is>
          <t>Events/Messen</t>
        </is>
      </c>
      <c r="D558" s="11" t="inlineStr">
        <is>
          <t>Festival del Film Locarno (FFL)</t>
        </is>
      </c>
      <c r="E558" s="11" t="inlineStr">
        <is>
          <t>Locarno</t>
        </is>
      </c>
      <c r="F558" s="11" t="inlineStr">
        <is>
          <t>6600</t>
        </is>
      </c>
      <c r="G558" s="11" t="inlineStr">
        <is>
          <t>TI</t>
        </is>
      </c>
      <c r="H558" s="11" t="inlineStr">
        <is>
          <t>Direttore Tecnico</t>
        </is>
      </c>
      <c r="I558" s="11" t="inlineStr">
        <is>
          <t>Tecnico</t>
        </is>
      </c>
      <c r="J558" s="11" t="inlineStr">
        <is>
          <t>info@pardo.ch</t>
        </is>
      </c>
      <c r="K558" s="11" t="inlineStr">
        <is>
          <t>+41 91 756 21 21</t>
        </is>
      </c>
      <c r="L558" s="11" t="n"/>
      <c r="M558" s="11" t="inlineStr">
        <is>
          <t>offen</t>
        </is>
      </c>
      <c r="N558" s="11" t="inlineStr">
        <is>
          <t>Direttore Tecnico FFL; Kontakt bis März/April</t>
        </is>
      </c>
      <c r="O558" s="11" t="inlineStr">
        <is>
          <t>Temporary Power Festival 500 kVA; USV Broadcast Film/TV</t>
        </is>
      </c>
      <c r="P558" s="11" t="inlineStr">
        <is>
          <t>USV</t>
        </is>
      </c>
      <c r="Q558" s="11" t="n"/>
      <c r="R558" s="11" t="inlineStr">
        <is>
          <t>Viale Franscini 5, 6600 Locarno; jährl. August; Weltbekannt</t>
        </is>
      </c>
      <c r="S558" s="11" t="inlineStr">
        <is>
          <t>Filmfestival</t>
        </is>
      </c>
    </row>
    <row r="559">
      <c r="A559" s="11" t="n">
        <v>556</v>
      </c>
      <c r="B559" s="11" t="inlineStr">
        <is>
          <t>B</t>
        </is>
      </c>
      <c r="C559" s="11" t="inlineStr">
        <is>
          <t>Pharma/Chemie</t>
        </is>
      </c>
      <c r="D559" s="11" t="inlineStr">
        <is>
          <t>Läderach – Chocolatier Suisse (Werk TI)</t>
        </is>
      </c>
      <c r="E559" s="11" t="inlineStr">
        <is>
          <t>Lugano</t>
        </is>
      </c>
      <c r="F559" s="11" t="inlineStr">
        <is>
          <t>6900</t>
        </is>
      </c>
      <c r="G559" s="11" t="inlineStr">
        <is>
          <t>TI</t>
        </is>
      </c>
      <c r="H559" s="11" t="inlineStr">
        <is>
          <t>Betriebsleiter Technik</t>
        </is>
      </c>
      <c r="I559" s="11" t="inlineStr">
        <is>
          <t>Techniker</t>
        </is>
      </c>
      <c r="J559" s="11" t="inlineStr">
        <is>
          <t>info@laederach.com</t>
        </is>
      </c>
      <c r="K559" s="11" t="inlineStr">
        <is>
          <t>+41 91 960 88 00</t>
        </is>
      </c>
      <c r="L559" s="11" t="n"/>
      <c r="M559" s="11" t="inlineStr">
        <is>
          <t>offen</t>
        </is>
      </c>
      <c r="N559" s="11" t="inlineStr">
        <is>
          <t>MiT-CRM: Läderach als Kältekunde prüfen</t>
        </is>
      </c>
      <c r="O559" s="11" t="inlineStr">
        <is>
          <t>Schokolade: NEA Kühlkette + PQ 200 kVA</t>
        </is>
      </c>
      <c r="P559" s="11" t="inlineStr">
        <is>
          <t>Kälte</t>
        </is>
      </c>
      <c r="Q559" s="11" t="n"/>
      <c r="R559" s="11" t="inlineStr">
        <is>
          <t>Lugano TI; Kühlkette = NEA-kritisch; Cross-Sell</t>
        </is>
      </c>
      <c r="S559" s="11" t="inlineStr">
        <is>
          <t>Lebensmittel</t>
        </is>
      </c>
    </row>
    <row r="560">
      <c r="A560" s="11" t="n">
        <v>557</v>
      </c>
      <c r="B560" s="11" t="inlineStr">
        <is>
          <t>B</t>
        </is>
      </c>
      <c r="C560" s="11" t="inlineStr">
        <is>
          <t>Bau/Infrastruktur</t>
        </is>
      </c>
      <c r="D560" s="11" t="inlineStr">
        <is>
          <t>ARA Lugano – Vedeggio</t>
        </is>
      </c>
      <c r="E560" s="11" t="inlineStr">
        <is>
          <t>Lugano</t>
        </is>
      </c>
      <c r="F560" s="11" t="inlineStr">
        <is>
          <t>6963</t>
        </is>
      </c>
      <c r="G560" s="11" t="inlineStr">
        <is>
          <t>TI</t>
        </is>
      </c>
      <c r="H560" s="11" t="inlineStr">
        <is>
          <t>Responsabile Tecnico</t>
        </is>
      </c>
      <c r="I560" s="11" t="inlineStr">
        <is>
          <t>Tecnico</t>
        </is>
      </c>
      <c r="J560" s="11" t="inlineStr">
        <is>
          <t>info@ara-lugano.ch</t>
        </is>
      </c>
      <c r="K560" s="11" t="inlineStr">
        <is>
          <t>+41 91 960 24 00</t>
        </is>
      </c>
      <c r="L560" s="11" t="n"/>
      <c r="M560" s="11" t="inlineStr">
        <is>
          <t>offen</t>
        </is>
      </c>
      <c r="N560" s="11" t="inlineStr">
        <is>
          <t>Responsabile + simap.ch Alert TI; IT</t>
        </is>
      </c>
      <c r="O560" s="11" t="inlineStr">
        <is>
          <t>NEA-Pflicht 1× 400 kVA; Schutz Luganer See</t>
        </is>
      </c>
      <c r="P560" s="11" t="inlineStr">
        <is>
          <t>Generator</t>
        </is>
      </c>
      <c r="Q560" s="11" t="n"/>
      <c r="R560" s="11" t="inlineStr">
        <is>
          <t>Luganer See-Schutz; Pflicht; IT</t>
        </is>
      </c>
      <c r="S560" s="11" t="inlineStr">
        <is>
          <t>ARA</t>
        </is>
      </c>
    </row>
    <row r="561">
      <c r="A561" s="11" t="n">
        <v>558</v>
      </c>
      <c r="B561" s="11" t="inlineStr">
        <is>
          <t>C</t>
        </is>
      </c>
      <c r="C561" s="11" t="inlineStr">
        <is>
          <t>Gemeinde/Öffentlich</t>
        </is>
      </c>
      <c r="D561" s="11" t="inlineStr">
        <is>
          <t>Cantone Ticino – Ufficio Edifici</t>
        </is>
      </c>
      <c r="E561" s="11" t="inlineStr">
        <is>
          <t>Bellinzona</t>
        </is>
      </c>
      <c r="F561" s="11" t="inlineStr">
        <is>
          <t>6501</t>
        </is>
      </c>
      <c r="G561" s="11" t="inlineStr">
        <is>
          <t>TI</t>
        </is>
      </c>
      <c r="H561" s="11" t="inlineStr">
        <is>
          <t>Capo Ufficio</t>
        </is>
      </c>
      <c r="I561" s="11" t="inlineStr">
        <is>
          <t>Ingegnere Cantonale</t>
        </is>
      </c>
      <c r="J561" s="11" t="inlineStr">
        <is>
          <t>info@ti.ch</t>
        </is>
      </c>
      <c r="K561" s="11" t="inlineStr">
        <is>
          <t>+41 91 814 21 11</t>
        </is>
      </c>
      <c r="L561" s="11" t="n"/>
      <c r="M561" s="11" t="inlineStr">
        <is>
          <t>offen</t>
        </is>
      </c>
      <c r="N561" s="11" t="inlineStr">
        <is>
          <t>Ufficio Edifici TI + simap.ch; IT</t>
        </is>
      </c>
      <c r="O561" s="11" t="inlineStr">
        <is>
          <t>NEA kantonale Gebäude 1 MVA; Rahmenvertrag; IT</t>
        </is>
      </c>
      <c r="P561" s="11" t="n"/>
      <c r="Q561" s="11" t="n"/>
      <c r="R561" s="11" t="inlineStr">
        <is>
          <t>Via Canonico Ghiringhelli 1, 6500 Bellinzona; IT</t>
        </is>
      </c>
      <c r="S561" s="11" t="inlineStr">
        <is>
          <t>Kanton</t>
        </is>
      </c>
    </row>
    <row r="562">
      <c r="A562" s="11" t="n">
        <v>559</v>
      </c>
      <c r="B562" s="11" t="inlineStr">
        <is>
          <t>A</t>
        </is>
      </c>
      <c r="C562" s="11" t="inlineStr">
        <is>
          <t>EVU/Netzbetreiber</t>
        </is>
      </c>
      <c r="D562" s="11" t="inlineStr">
        <is>
          <t>Aziende Industriali di Lugano (AIL)</t>
        </is>
      </c>
      <c r="E562" s="11" t="inlineStr">
        <is>
          <t>Lugano</t>
        </is>
      </c>
      <c r="F562" s="11" t="inlineStr">
        <is>
          <t>6900</t>
        </is>
      </c>
      <c r="G562" s="11" t="inlineStr">
        <is>
          <t>TI</t>
        </is>
      </c>
      <c r="H562" s="11" t="inlineStr">
        <is>
          <t>Responsabile Rete</t>
        </is>
      </c>
      <c r="I562" s="11" t="inlineStr">
        <is>
          <t>Ing. El.</t>
        </is>
      </c>
      <c r="J562" s="11" t="inlineStr">
        <is>
          <t>info@ail.ch</t>
        </is>
      </c>
      <c r="K562" s="11" t="inlineStr">
        <is>
          <t>+41 91 954 54 54</t>
        </is>
      </c>
      <c r="L562" s="11" t="n"/>
      <c r="M562" s="11" t="inlineStr">
        <is>
          <t>offen</t>
        </is>
      </c>
      <c r="N562" s="11" t="inlineStr">
        <is>
          <t>Responsabile Rete AIL; Via Serafino Balestra 16 Lugano; Revisionskalender</t>
        </is>
      </c>
      <c r="O562" s="11" t="inlineStr">
        <is>
          <t>Stadtwerk Lugano: 100'000 Kunden; MS/HS-Revisionen; BESS; Strom+Gas+Wasser</t>
        </is>
      </c>
      <c r="P562" s="11" t="inlineStr">
        <is>
          <t>BESS</t>
        </is>
      </c>
      <c r="Q562" s="11" t="n"/>
      <c r="R562" s="11" t="inlineStr">
        <is>
          <t>Adr: Via Serafino Balestra 16, 6900 Lugano | Stadtwerk Lugano; 100'000 Kunden</t>
        </is>
      </c>
      <c r="S562" s="11" t="inlineStr">
        <is>
          <t>Kantonaler EVU</t>
        </is>
      </c>
    </row>
    <row r="563">
      <c r="A563" s="11" t="n">
        <v>560</v>
      </c>
      <c r="B563" s="11" t="inlineStr">
        <is>
          <t>A</t>
        </is>
      </c>
      <c r="C563" s="11" t="inlineStr">
        <is>
          <t>EVU/Netzbetreiber</t>
        </is>
      </c>
      <c r="D563" s="11" t="inlineStr">
        <is>
          <t>AET (Azienda Elettrica Ticinese)</t>
        </is>
      </c>
      <c r="E563" s="11" t="inlineStr">
        <is>
          <t>Bellinzona</t>
        </is>
      </c>
      <c r="F563" s="11" t="inlineStr">
        <is>
          <t>6500</t>
        </is>
      </c>
      <c r="G563" s="11" t="inlineStr">
        <is>
          <t>TI</t>
        </is>
      </c>
      <c r="H563" s="11" t="inlineStr">
        <is>
          <t>Direttore Tecnico</t>
        </is>
      </c>
      <c r="I563" s="11" t="inlineStr">
        <is>
          <t>Ing. El.</t>
        </is>
      </c>
      <c r="J563" s="11" t="inlineStr">
        <is>
          <t>info@aet.ch</t>
        </is>
      </c>
      <c r="K563" s="11" t="inlineStr">
        <is>
          <t>+41 91 821 91 11</t>
        </is>
      </c>
      <c r="L563" s="11" t="n"/>
      <c r="M563" s="11" t="inlineStr">
        <is>
          <t>offen</t>
        </is>
      </c>
      <c r="N563" s="11" t="inlineStr">
        <is>
          <t>Direttore AET; Via Lugano 4 Bellinzona; Revisionskalender TI</t>
        </is>
      </c>
      <c r="O563" s="11" t="inlineStr">
        <is>
          <t>Grösster TI-EVU: Wasserkraft Verzasca+Maggia; 400'000 Kunden; MS/HS-Revisionen</t>
        </is>
      </c>
      <c r="P563" s="11" t="inlineStr">
        <is>
          <t>BESS</t>
        </is>
      </c>
      <c r="Q563" s="11" t="n"/>
      <c r="R563" s="11" t="inlineStr">
        <is>
          <t>Adr: Via Lugano 4, 6500 Bellinzona | Grösster TI-EVU; Wasserkraft; 400'000 Kunden</t>
        </is>
      </c>
      <c r="S563" s="11" t="inlineStr">
        <is>
          <t>Kantonaler EVU</t>
        </is>
      </c>
    </row>
    <row r="564">
      <c r="A564" s="11" t="n">
        <v>561</v>
      </c>
      <c r="B564" s="11" t="inlineStr">
        <is>
          <t>A</t>
        </is>
      </c>
      <c r="C564" s="11" t="inlineStr">
        <is>
          <t>Spital/Klinik</t>
        </is>
      </c>
      <c r="D564" s="11" t="inlineStr">
        <is>
          <t>EOC (Ente Ospedaliero Cantonale) — 5 Standorte</t>
        </is>
      </c>
      <c r="E564" s="11" t="inlineStr">
        <is>
          <t>Bellinzona</t>
        </is>
      </c>
      <c r="F564" s="11" t="inlineStr">
        <is>
          <t>6500</t>
        </is>
      </c>
      <c r="G564" s="11" t="inlineStr">
        <is>
          <t>TI</t>
        </is>
      </c>
      <c r="H564" s="11" t="inlineStr">
        <is>
          <t>Responsabile Tecnico</t>
        </is>
      </c>
      <c r="I564" s="11" t="inlineStr">
        <is>
          <t>Ing. El.</t>
        </is>
      </c>
      <c r="J564" s="11" t="inlineStr">
        <is>
          <t>info@eoc.ch</t>
        </is>
      </c>
      <c r="K564" s="11" t="inlineStr">
        <is>
          <t>+41 91 811 61 11</t>
        </is>
      </c>
      <c r="L564" s="11" t="n"/>
      <c r="M564" s="11" t="inlineStr">
        <is>
          <t>offen</t>
        </is>
      </c>
      <c r="N564" s="11" t="inlineStr">
        <is>
          <t>Responsabile Tecnico EOC; Via Ospedale Bellinzona; simap.ch Alert TI</t>
        </is>
      </c>
      <c r="O564" s="11" t="inlineStr">
        <is>
          <t>NEA 5× 500 kVA; USV OP/ICU; 6'000 MA; 5 Standorte TI; Neubau Bellinzona 2023</t>
        </is>
      </c>
      <c r="P564" s="11" t="inlineStr">
        <is>
          <t>USV</t>
        </is>
      </c>
      <c r="Q564" s="11" t="n"/>
      <c r="R564" s="11" t="inlineStr">
        <is>
          <t>Adr: Via Ospedale 1, 6500 Bellinzona | 6'000 MA; 5 Standorte TI; Neubau 2023</t>
        </is>
      </c>
      <c r="S564" s="11" t="inlineStr">
        <is>
          <t>Kantonsspital</t>
        </is>
      </c>
    </row>
    <row r="565">
      <c r="A565" s="11" t="n">
        <v>562</v>
      </c>
      <c r="B565" s="11" t="inlineStr">
        <is>
          <t>A</t>
        </is>
      </c>
      <c r="C565" s="11" t="inlineStr">
        <is>
          <t>Rechenzentrum/IT</t>
        </is>
      </c>
      <c r="D565" s="11" t="inlineStr">
        <is>
          <t>DFT (Data Center TI — Green Datacenter)</t>
        </is>
      </c>
      <c r="E565" s="11" t="inlineStr">
        <is>
          <t>Bioggio</t>
        </is>
      </c>
      <c r="F565" s="11" t="inlineStr">
        <is>
          <t>6934</t>
        </is>
      </c>
      <c r="G565" s="11" t="inlineStr">
        <is>
          <t>TI</t>
        </is>
      </c>
      <c r="H565" s="11" t="inlineStr">
        <is>
          <t>Responsabile RZ</t>
        </is>
      </c>
      <c r="I565" s="11" t="inlineStr">
        <is>
          <t>Ing. El.</t>
        </is>
      </c>
      <c r="J565" s="11" t="inlineStr">
        <is>
          <t>info@dft.ch</t>
        </is>
      </c>
      <c r="K565" s="11" t="inlineStr">
        <is>
          <t>+41 91 913 05 00</t>
        </is>
      </c>
      <c r="L565" s="11" t="n"/>
      <c r="M565" s="11" t="inlineStr">
        <is>
          <t>offen</t>
        </is>
      </c>
      <c r="N565" s="11" t="inlineStr">
        <is>
          <t>Responsabile DFT; Bioggio TI; Tier-3-Pitch + Wasserkraft-Argument</t>
        </is>
      </c>
      <c r="O565" s="11" t="inlineStr">
        <is>
          <t>RZ Ticino: NEA 5 MVA; USV Tier-3; PQ; 0% CO2; 100% Wasserkraft TI</t>
        </is>
      </c>
      <c r="P565" s="11" t="inlineStr">
        <is>
          <t>USV</t>
        </is>
      </c>
      <c r="Q565" s="11" t="n"/>
      <c r="R565" s="11" t="inlineStr">
        <is>
          <t>Adr: Via Lugano 18, 6934 Bioggio | RZ Ticino; Tier-3; 100% Wasserkraft; IT-Hub</t>
        </is>
      </c>
      <c r="S565" s="11" t="inlineStr">
        <is>
          <t>Rechenzentrum</t>
        </is>
      </c>
    </row>
    <row r="566">
      <c r="A566" s="11" t="n">
        <v>563</v>
      </c>
      <c r="B566" s="11" t="inlineStr">
        <is>
          <t>A</t>
        </is>
      </c>
      <c r="C566" s="11" t="inlineStr">
        <is>
          <t>Bau/Infrastruktur</t>
        </is>
      </c>
      <c r="D566" s="11" t="inlineStr">
        <is>
          <t>Aeroporto di Lugano-Agno</t>
        </is>
      </c>
      <c r="E566" s="11" t="inlineStr">
        <is>
          <t>Agno</t>
        </is>
      </c>
      <c r="F566" s="11" t="inlineStr">
        <is>
          <t>6982</t>
        </is>
      </c>
      <c r="G566" s="11" t="inlineStr">
        <is>
          <t>TI</t>
        </is>
      </c>
      <c r="H566" s="11" t="inlineStr">
        <is>
          <t>Responsabile Tecnico</t>
        </is>
      </c>
      <c r="I566" s="11" t="inlineStr">
        <is>
          <t>Ing.</t>
        </is>
      </c>
      <c r="J566" s="11" t="inlineStr">
        <is>
          <t>info@lugano-airport.ch</t>
        </is>
      </c>
      <c r="K566" s="11" t="inlineStr">
        <is>
          <t>+41 91 610 11 11</t>
        </is>
      </c>
      <c r="L566" s="11" t="n"/>
      <c r="M566" s="11" t="inlineStr">
        <is>
          <t>offen</t>
        </is>
      </c>
      <c r="N566" s="11" t="inlineStr">
        <is>
          <t>Responsabile Tecnico Lugano Airport; Agno TI; Flughafen-Pitch TI</t>
        </is>
      </c>
      <c r="O566" s="11" t="inlineStr">
        <is>
          <t>Flughafen TI: NEA 2 MVA; USV Terminal; PQ; Gate nach Europa; 350'000 Pax</t>
        </is>
      </c>
      <c r="P566" s="11" t="inlineStr">
        <is>
          <t>USV</t>
        </is>
      </c>
      <c r="Q566" s="11" t="n"/>
      <c r="R566" s="11" t="inlineStr">
        <is>
          <t>Adr: Via di Agno, 6982 Agno | Flughafen Lugano; 350'000 Pax; Finanzplatz TI</t>
        </is>
      </c>
      <c r="S566" s="11" t="inlineStr">
        <is>
          <t>Flughafen</t>
        </is>
      </c>
    </row>
    <row r="567">
      <c r="A567" s="11" t="n">
        <v>564</v>
      </c>
      <c r="B567" s="11" t="inlineStr">
        <is>
          <t>A</t>
        </is>
      </c>
      <c r="C567" s="11" t="inlineStr">
        <is>
          <t>Pharma/Chemie</t>
        </is>
      </c>
      <c r="D567" s="11" t="inlineStr">
        <is>
          <t>DePuy Synthes (J&amp;J Werk Zuchwil+Bevaix TI)</t>
        </is>
      </c>
      <c r="E567" s="11" t="inlineStr">
        <is>
          <t>Mendrisio</t>
        </is>
      </c>
      <c r="F567" s="11" t="inlineStr">
        <is>
          <t>6850</t>
        </is>
      </c>
      <c r="G567" s="11" t="inlineStr">
        <is>
          <t>TI</t>
        </is>
      </c>
      <c r="H567" s="11" t="inlineStr">
        <is>
          <t>Betriebsleiter Technik</t>
        </is>
      </c>
      <c r="I567" s="11" t="inlineStr">
        <is>
          <t>MSc El.-Ing.</t>
        </is>
      </c>
      <c r="J567" s="11" t="inlineStr">
        <is>
          <t>info@depuysynthes.com</t>
        </is>
      </c>
      <c r="K567" s="11" t="inlineStr">
        <is>
          <t>+41 91 640 42 42</t>
        </is>
      </c>
      <c r="L567" s="11" t="n"/>
      <c r="M567" s="11" t="inlineStr">
        <is>
          <t>offen</t>
        </is>
      </c>
      <c r="N567" s="11" t="inlineStr">
        <is>
          <t>Betriebsleiter DePuy Synthes Mendrisio TI; J&amp;J-Argument; GMP-Pitch</t>
        </is>
      </c>
      <c r="O567" s="11" t="inlineStr">
        <is>
          <t>MedTech GMP TI: NEA + USV 500 kVA; PQ Reinraum; EMV; J&amp;J Tochter</t>
        </is>
      </c>
      <c r="P567" s="11" t="inlineStr">
        <is>
          <t>USV</t>
        </is>
      </c>
      <c r="Q567" s="11" t="n"/>
      <c r="R567" s="11" t="inlineStr">
        <is>
          <t>Adr: Mendrisio, 6850 TI | DePuy Synthes J&amp;J; GMP MedTech; Fortune-10</t>
        </is>
      </c>
      <c r="S567" s="11" t="inlineStr">
        <is>
          <t>MedTech / Ortho</t>
        </is>
      </c>
    </row>
    <row r="568">
      <c r="A568" s="11" t="n">
        <v>565</v>
      </c>
      <c r="B568" s="11" t="inlineStr">
        <is>
          <t>A</t>
        </is>
      </c>
      <c r="C568" s="11" t="inlineStr">
        <is>
          <t>Bau/Infrastruktur</t>
        </is>
      </c>
      <c r="D568" s="11" t="inlineStr">
        <is>
          <t>AlpTransit / NEAT Südportal Bodio TI</t>
        </is>
      </c>
      <c r="E568" s="11" t="inlineStr">
        <is>
          <t>Bodio</t>
        </is>
      </c>
      <c r="F568" s="11" t="inlineStr">
        <is>
          <t>6743</t>
        </is>
      </c>
      <c r="G568" s="11" t="inlineStr">
        <is>
          <t>TI</t>
        </is>
      </c>
      <c r="H568" s="11" t="inlineStr">
        <is>
          <t>Betriebsleiter Energie TI</t>
        </is>
      </c>
      <c r="I568" s="11" t="inlineStr">
        <is>
          <t>MSc El.-Ing.</t>
        </is>
      </c>
      <c r="J568" s="11" t="inlineStr">
        <is>
          <t>info@alptransit.ch</t>
        </is>
      </c>
      <c r="K568" s="11" t="inlineStr">
        <is>
          <t>+41 91 873 61 11</t>
        </is>
      </c>
      <c r="L568" s="11" t="n"/>
      <c r="M568" s="11" t="inlineStr">
        <is>
          <t>offen</t>
        </is>
      </c>
      <c r="N568" s="11" t="inlineStr">
        <is>
          <t>Betriebsleiter Energie NEAT Bodio TI; Südportal-Pitch</t>
        </is>
      </c>
      <c r="O568" s="11" t="inlineStr">
        <is>
          <t>NEAT Südportal: NEA + Betrieb Tunnel; Baustrom+Betrieb; 24h TI-Seite</t>
        </is>
      </c>
      <c r="P568" s="11" t="n"/>
      <c r="Q568" s="11" t="n"/>
      <c r="R568" s="11" t="inlineStr">
        <is>
          <t>Adr: Bodio, 6743 TI | NEAT Südportal; längster Eisenbahntunnel Welt; 24h</t>
        </is>
      </c>
      <c r="S568" s="11" t="inlineStr">
        <is>
          <t>NEAT Gotthard Süd</t>
        </is>
      </c>
    </row>
    <row r="569">
      <c r="A569" s="11" t="n">
        <v>566</v>
      </c>
      <c r="B569" s="11" t="inlineStr">
        <is>
          <t>B</t>
        </is>
      </c>
      <c r="C569" s="11" t="inlineStr">
        <is>
          <t>Pharma/Chemie</t>
        </is>
      </c>
      <c r="D569" s="11" t="inlineStr">
        <is>
          <t>BSI SA / EFG Bank (Finanzplatz Lugano)</t>
        </is>
      </c>
      <c r="E569" s="11" t="inlineStr">
        <is>
          <t>Lugano</t>
        </is>
      </c>
      <c r="F569" s="11" t="inlineStr">
        <is>
          <t>6900</t>
        </is>
      </c>
      <c r="G569" s="11" t="inlineStr">
        <is>
          <t>TI</t>
        </is>
      </c>
      <c r="H569" s="11" t="inlineStr">
        <is>
          <t>Facility Manager</t>
        </is>
      </c>
      <c r="I569" s="11" t="inlineStr">
        <is>
          <t>MSc Inf.</t>
        </is>
      </c>
      <c r="J569" s="11" t="inlineStr">
        <is>
          <t>info@efgbank.com</t>
        </is>
      </c>
      <c r="K569" s="11" t="inlineStr">
        <is>
          <t>+41 91 973 15 15</t>
        </is>
      </c>
      <c r="L569" s="11" t="n"/>
      <c r="M569" s="11" t="inlineStr">
        <is>
          <t>offen</t>
        </is>
      </c>
      <c r="N569" s="11" t="inlineStr">
        <is>
          <t>Facility Manager EFG Bank Lugano; FINMA-Argument</t>
        </is>
      </c>
      <c r="O569" s="11" t="inlineStr">
        <is>
          <t>Finanzplatz Lugano: USV RZ 2× 300 kVA; NEA; PQ FINMA</t>
        </is>
      </c>
      <c r="P569" s="11" t="inlineStr">
        <is>
          <t>USV</t>
        </is>
      </c>
      <c r="Q569" s="11" t="n"/>
      <c r="R569" s="11" t="inlineStr">
        <is>
          <t>Adr: Lugano, 6900 TI | EFG Bank; Finanzplatz TI; FINMA</t>
        </is>
      </c>
      <c r="S569" s="11" t="inlineStr">
        <is>
          <t>Finanzplatz / Bank</t>
        </is>
      </c>
    </row>
    <row r="570">
      <c r="A570" s="11" t="n">
        <v>567</v>
      </c>
      <c r="B570" s="11" t="inlineStr">
        <is>
          <t>B</t>
        </is>
      </c>
      <c r="C570" s="11" t="inlineStr">
        <is>
          <t>Gemeinde/Öffentlich</t>
        </is>
      </c>
      <c r="D570" s="11" t="inlineStr">
        <is>
          <t>Cantone Ticino (Sezione costruzioni)</t>
        </is>
      </c>
      <c r="E570" s="11" t="inlineStr">
        <is>
          <t>Bellinzona</t>
        </is>
      </c>
      <c r="F570" s="11" t="inlineStr">
        <is>
          <t>6500</t>
        </is>
      </c>
      <c r="G570" s="11" t="inlineStr">
        <is>
          <t>TI</t>
        </is>
      </c>
      <c r="H570" s="11" t="inlineStr">
        <is>
          <t>Capo Sezione</t>
        </is>
      </c>
      <c r="I570" s="11" t="inlineStr">
        <is>
          <t>Ingegnere cantonale</t>
        </is>
      </c>
      <c r="J570" s="11" t="inlineStr">
        <is>
          <t>info@ti.ch</t>
        </is>
      </c>
      <c r="K570" s="11" t="inlineStr">
        <is>
          <t>+41 91 814 37 00</t>
        </is>
      </c>
      <c r="L570" s="11" t="n"/>
      <c r="M570" s="11" t="inlineStr">
        <is>
          <t>offen</t>
        </is>
      </c>
      <c r="N570" s="11" t="inlineStr">
        <is>
          <t>Sezione costruzioni TI; Viale Stefano Franscini 17 Bellinzona; simap.ch</t>
        </is>
      </c>
      <c r="O570" s="11" t="inlineStr">
        <is>
          <t>NEA kantonale Gebäude TI; 300+ Liegenschaften; Rahmenvertrag TI</t>
        </is>
      </c>
      <c r="P570" s="11" t="n"/>
      <c r="Q570" s="11" t="n"/>
      <c r="R570" s="11" t="inlineStr">
        <is>
          <t>Adr: Viale Stefano Franscini 17, 6500 Bellinzona | 300+ Liegenschaften TI</t>
        </is>
      </c>
      <c r="S570" s="11" t="inlineStr">
        <is>
          <t>Kanton TI</t>
        </is>
      </c>
    </row>
    <row r="571">
      <c r="A571" s="11" t="n">
        <v>568</v>
      </c>
      <c r="B571" s="11" t="inlineStr">
        <is>
          <t>B</t>
        </is>
      </c>
      <c r="C571" s="11" t="inlineStr">
        <is>
          <t>Elektroplaner/Engineering</t>
        </is>
      </c>
      <c r="D571" s="11" t="inlineStr">
        <is>
          <t>Ofisa Impianti SA (Lugano TI)</t>
        </is>
      </c>
      <c r="E571" s="11" t="inlineStr">
        <is>
          <t>Lugano</t>
        </is>
      </c>
      <c r="F571" s="11" t="inlineStr">
        <is>
          <t>6900</t>
        </is>
      </c>
      <c r="G571" s="11" t="inlineStr">
        <is>
          <t>TI</t>
        </is>
      </c>
      <c r="H571" s="11" t="inlineStr">
        <is>
          <t>Direttore</t>
        </is>
      </c>
      <c r="I571" s="11" t="inlineStr">
        <is>
          <t>Elettroinstallatore</t>
        </is>
      </c>
      <c r="J571" s="11" t="inlineStr">
        <is>
          <t>info@ofisa.ch</t>
        </is>
      </c>
      <c r="K571" s="11" t="inlineStr">
        <is>
          <t>+41 91 971 31 11</t>
        </is>
      </c>
      <c r="L571" s="11" t="n"/>
      <c r="M571" s="11" t="inlineStr">
        <is>
          <t>offen</t>
        </is>
      </c>
      <c r="N571" s="11" t="inlineStr">
        <is>
          <t>Direttore Ofisa; Lugano TI; Partnerschaft TI besprechen</t>
        </is>
      </c>
      <c r="O571" s="11" t="inlineStr">
        <is>
          <t>Elektrounternehmen Lugano: Industrie+Spitäler+Hotels; TI-Marktführer Lugano</t>
        </is>
      </c>
      <c r="P571" s="11" t="n"/>
      <c r="Q571" s="11" t="n"/>
      <c r="R571" s="11" t="inlineStr">
        <is>
          <t>Adr: Lugano, 6900 TI | Elektrounternehmen TI; Türöffner EOC+AIL+Airport</t>
        </is>
      </c>
      <c r="S571" s="11" t="inlineStr">
        <is>
          <t>Elektrounternehmen TI</t>
        </is>
      </c>
    </row>
    <row r="572">
      <c r="A572" s="11" t="n">
        <v>569</v>
      </c>
      <c r="B572" s="11" t="inlineStr">
        <is>
          <t>B</t>
        </is>
      </c>
      <c r="C572" s="11" t="inlineStr">
        <is>
          <t>Bau/Infrastruktur</t>
        </is>
      </c>
      <c r="D572" s="11" t="inlineStr">
        <is>
          <t>STAP Mendrisio (Laveggio-Schutz)</t>
        </is>
      </c>
      <c r="E572" s="11" t="inlineStr">
        <is>
          <t>Mendrisio</t>
        </is>
      </c>
      <c r="F572" s="11" t="inlineStr">
        <is>
          <t>6850</t>
        </is>
      </c>
      <c r="G572" s="11" t="inlineStr">
        <is>
          <t>TI</t>
        </is>
      </c>
      <c r="H572" s="11" t="inlineStr">
        <is>
          <t>Responsabile STAP</t>
        </is>
      </c>
      <c r="I572" s="11" t="inlineStr">
        <is>
          <t>Tecnico</t>
        </is>
      </c>
      <c r="J572" s="11" t="inlineStr">
        <is>
          <t>info@stap-ti.ch</t>
        </is>
      </c>
      <c r="K572" s="11" t="inlineStr">
        <is>
          <t>+41 91 646 30 30</t>
        </is>
      </c>
      <c r="L572" s="11" t="n"/>
      <c r="M572" s="11" t="inlineStr">
        <is>
          <t>offen</t>
        </is>
      </c>
      <c r="N572" s="11" t="inlineStr">
        <is>
          <t>Responsabile STAP; Mendrisio TI; simap.ch Alert TI</t>
        </is>
      </c>
      <c r="O572" s="11" t="inlineStr">
        <is>
          <t>NEA-Pflicht 1× 300 kVA; Laveggio-Gewässerschutz; 24h TI-Süd</t>
        </is>
      </c>
      <c r="P572" s="11" t="inlineStr">
        <is>
          <t>Generator</t>
        </is>
      </c>
      <c r="Q572" s="11" t="n"/>
      <c r="R572" s="11" t="inlineStr">
        <is>
          <t>Adr: Mendrisio, 6850 TI | Laveggio-Schutz; Ausschreibungspflicht</t>
        </is>
      </c>
      <c r="S572" s="11" t="inlineStr">
        <is>
          <t>ARA Lugano TI</t>
        </is>
      </c>
    </row>
    <row r="573">
      <c r="A573" s="11" t="n">
        <v>570</v>
      </c>
      <c r="B573" s="11" t="inlineStr">
        <is>
          <t>B</t>
        </is>
      </c>
      <c r="C573" s="11" t="inlineStr">
        <is>
          <t>Bergbahn/Tourismus</t>
        </is>
      </c>
      <c r="D573" s="11" t="inlineStr">
        <is>
          <t>Monte San Salvatore / Lugano Ferrovia</t>
        </is>
      </c>
      <c r="E573" s="11" t="inlineStr">
        <is>
          <t>Paradiso</t>
        </is>
      </c>
      <c r="F573" s="11" t="inlineStr">
        <is>
          <t>6900</t>
        </is>
      </c>
      <c r="G573" s="11" t="inlineStr">
        <is>
          <t>TI</t>
        </is>
      </c>
      <c r="H573" s="11" t="inlineStr">
        <is>
          <t>Betriebsleiter Technik</t>
        </is>
      </c>
      <c r="I573" s="11" t="inlineStr">
        <is>
          <t>Techniker</t>
        </is>
      </c>
      <c r="J573" s="11" t="inlineStr">
        <is>
          <t>info@montesansalvatore.ch</t>
        </is>
      </c>
      <c r="K573" s="11" t="inlineStr">
        <is>
          <t>+41 91 985 28 28</t>
        </is>
      </c>
      <c r="L573" s="11" t="n"/>
      <c r="M573" s="11" t="inlineStr">
        <is>
          <t>offen</t>
        </is>
      </c>
      <c r="N573" s="11" t="inlineStr">
        <is>
          <t>Betriebsleiter Monte San Salvatore; Herbstkontakt; Lugano-Tourismus</t>
        </is>
      </c>
      <c r="O573" s="11" t="inlineStr">
        <is>
          <t>Bergbahn Lugano: NEA + Generator 200 kVA; FU; alpine TI-Lage; Tourismus Lugano</t>
        </is>
      </c>
      <c r="P573" s="11" t="inlineStr">
        <is>
          <t>Generator</t>
        </is>
      </c>
      <c r="Q573" s="11" t="n"/>
      <c r="R573" s="11" t="inlineStr">
        <is>
          <t>Adr: Paradiso, 6900 TI | Monte San Salvatore; Lugano-Tourismus; Bergbahn</t>
        </is>
      </c>
      <c r="S573" s="11" t="inlineStr">
        <is>
          <t>Bergbahn Lugano</t>
        </is>
      </c>
    </row>
    <row r="574">
      <c r="A574" s="11" t="n">
        <v>571</v>
      </c>
      <c r="B574" s="11" t="inlineStr">
        <is>
          <t>C</t>
        </is>
      </c>
      <c r="C574" s="11" t="inlineStr">
        <is>
          <t>Gemeinde/Öffentlich</t>
        </is>
      </c>
      <c r="D574" s="11" t="inlineStr">
        <is>
          <t>[MiT TI-Kältekunde Nr. 1]</t>
        </is>
      </c>
      <c r="E574" s="11" t="inlineStr">
        <is>
          <t>Lugano</t>
        </is>
      </c>
      <c r="F574" s="11" t="inlineStr">
        <is>
          <t>6900</t>
        </is>
      </c>
      <c r="G574" s="11" t="inlineStr">
        <is>
          <t>TI</t>
        </is>
      </c>
      <c r="H574" s="11" t="inlineStr">
        <is>
          <t>Responsabile energia</t>
        </is>
      </c>
      <c r="I574" s="11" t="inlineStr">
        <is>
          <t>Betriebsleiter</t>
        </is>
      </c>
      <c r="J574" s="11" t="n"/>
      <c r="K574" s="11" t="inlineStr">
        <is>
          <t>(MiT-CRM)</t>
        </is>
      </c>
      <c r="L574" s="11" t="n"/>
      <c r="M574" s="11" t="inlineStr">
        <is>
          <t>offen</t>
        </is>
      </c>
      <c r="N574" s="11" t="inlineStr">
        <is>
          <t>MiT-CRM Roberto/Stefan: TI-Kunden ohne Strom prüfen; IT</t>
        </is>
      </c>
      <c r="O574" s="11" t="inlineStr">
        <is>
          <t>Strom-Add-on MiT-Wärme/Kälte TI</t>
        </is>
      </c>
      <c r="P574" s="11" t="n"/>
      <c r="Q574" s="11" t="n"/>
      <c r="R574" s="11" t="inlineStr">
        <is>
          <t>EOC 5 Standorte + AIL + AET = 3 Top-Accounts TI; IT-sprachig = DE Vorteil</t>
        </is>
      </c>
      <c r="S574" s="11" t="inlineStr">
        <is>
          <t>Cross-Sell MiT</t>
        </is>
      </c>
    </row>
    <row r="575">
      <c r="A575" s="11" t="n">
        <v>572</v>
      </c>
      <c r="B575" s="11" t="inlineStr">
        <is>
          <t>A</t>
        </is>
      </c>
      <c r="C575" s="11" t="inlineStr">
        <is>
          <t>EVU/Netzbetreiber</t>
        </is>
      </c>
      <c r="D575" s="11" t="inlineStr">
        <is>
          <t>EWA energieUri AG (ehemals EWA)</t>
        </is>
      </c>
      <c r="E575" s="11" t="inlineStr">
        <is>
          <t>Altdorf</t>
        </is>
      </c>
      <c r="F575" s="11" t="inlineStr">
        <is>
          <t>6460</t>
        </is>
      </c>
      <c r="G575" s="11" t="inlineStr">
        <is>
          <t>UR</t>
        </is>
      </c>
      <c r="H575" s="11" t="inlineStr">
        <is>
          <t>Leiter Netzbetrieb</t>
        </is>
      </c>
      <c r="I575" s="11" t="inlineStr">
        <is>
          <t>Dipl. El.-Ing.</t>
        </is>
      </c>
      <c r="J575" s="11" t="inlineStr">
        <is>
          <t>info@energieuri.ch</t>
        </is>
      </c>
      <c r="K575" s="11" t="inlineStr">
        <is>
          <t>+41 41 874 87 00</t>
        </is>
      </c>
      <c r="L575" s="11" t="n"/>
      <c r="M575" s="11" t="inlineStr">
        <is>
          <t>offen</t>
        </is>
      </c>
      <c r="N575" s="11" t="inlineStr">
        <is>
          <t>Netzbetrieb energieUri; Tellsgasse 1 Altdorf; Revisions- und Windpark-Pitch</t>
        </is>
      </c>
      <c r="O575" s="11" t="inlineStr">
        <is>
          <t>Stromversorgung URI-weit; Wasserkraftwerke Reuss-Kaskade; Windpark Gütsch 2025; BESS; 51% Kanton URI</t>
        </is>
      </c>
      <c r="P575" s="11" t="inlineStr">
        <is>
          <t>BESS</t>
        </is>
      </c>
      <c r="Q575" s="11" t="n"/>
      <c r="R575" s="11" t="inlineStr">
        <is>
          <t>Adr: Tellsgasse 1, 6460 Altdorf | Kantonaler EVU URI; Windpark Gütsch 2025; 1'500 GWh Wasserproduktion</t>
        </is>
      </c>
      <c r="S575" s="11" t="inlineStr">
        <is>
          <t>Kantonaler EVU</t>
        </is>
      </c>
    </row>
    <row r="576">
      <c r="A576" s="11" t="n">
        <v>573</v>
      </c>
      <c r="B576" s="11" t="inlineStr">
        <is>
          <t>A</t>
        </is>
      </c>
      <c r="C576" s="11" t="inlineStr">
        <is>
          <t>EVU/Netzbetreiber</t>
        </is>
      </c>
      <c r="D576" s="11" t="inlineStr">
        <is>
          <t>SBB Kraftwerk Amsteg (grösstes KW URI)</t>
        </is>
      </c>
      <c r="E576" s="11" t="inlineStr">
        <is>
          <t>Amsteg</t>
        </is>
      </c>
      <c r="F576" s="11" t="inlineStr">
        <is>
          <t>6474</t>
        </is>
      </c>
      <c r="G576" s="11" t="inlineStr">
        <is>
          <t>UR</t>
        </is>
      </c>
      <c r="H576" s="11" t="inlineStr">
        <is>
          <t>Betriebsleiter Kraftwerk</t>
        </is>
      </c>
      <c r="I576" s="11" t="inlineStr">
        <is>
          <t>MSc El.-Ing.</t>
        </is>
      </c>
      <c r="J576" s="11" t="inlineStr">
        <is>
          <t>fuehrungen@sbb.ch</t>
        </is>
      </c>
      <c r="K576" s="11" t="inlineStr">
        <is>
          <t>+41 58 333 33 33</t>
        </is>
      </c>
      <c r="L576" s="11" t="n"/>
      <c r="M576" s="11" t="inlineStr">
        <is>
          <t>offen</t>
        </is>
      </c>
      <c r="N576" s="11" t="inlineStr">
        <is>
          <t>Betriebsleiter KW Amsteg; SBB-Infrastruktur Energie kontaktieren</t>
        </is>
      </c>
      <c r="O576" s="11" t="inlineStr">
        <is>
          <t>KW Amsteg 450 GWh; Reusskaskade; Göschenen-Wassen-Amsteg; SBB-Bahnnetz Gotthard</t>
        </is>
      </c>
      <c r="P576" s="11" t="n"/>
      <c r="Q576" s="11" t="n"/>
      <c r="R576" s="11" t="inlineStr">
        <is>
          <t>Adr: Kraftwerk Amsteg, 6474 Amsteg | 450 GWh Jahresproduktion; Bahnstrom Gotthard; Reusskaskade</t>
        </is>
      </c>
      <c r="S576" s="11" t="inlineStr">
        <is>
          <t>Wasserkraft SBB</t>
        </is>
      </c>
    </row>
    <row r="577">
      <c r="A577" s="11" t="n">
        <v>574</v>
      </c>
      <c r="B577" s="11" t="inlineStr">
        <is>
          <t>A</t>
        </is>
      </c>
      <c r="C577" s="11" t="inlineStr">
        <is>
          <t>EVU/Netzbetreiber</t>
        </is>
      </c>
      <c r="D577" s="11" t="inlineStr">
        <is>
          <t>Kraftwerk Göschenen AG (SBB 55%)</t>
        </is>
      </c>
      <c r="E577" s="11" t="inlineStr">
        <is>
          <t>Göschenen</t>
        </is>
      </c>
      <c r="F577" s="11" t="inlineStr">
        <is>
          <t>6487</t>
        </is>
      </c>
      <c r="G577" s="11" t="inlineStr">
        <is>
          <t>UR</t>
        </is>
      </c>
      <c r="H577" s="11" t="inlineStr">
        <is>
          <t>Technischer Leiter</t>
        </is>
      </c>
      <c r="I577" s="11" t="inlineStr">
        <is>
          <t>MSc El.-Ing.</t>
        </is>
      </c>
      <c r="J577" s="11" t="inlineStr">
        <is>
          <t>info@kwg.ch</t>
        </is>
      </c>
      <c r="K577" s="11" t="inlineStr">
        <is>
          <t>+41 41 886 80 00</t>
        </is>
      </c>
      <c r="L577" s="11" t="n"/>
      <c r="M577" s="11" t="inlineStr">
        <is>
          <t>offen</t>
        </is>
      </c>
      <c r="N577" s="11" t="inlineStr">
        <is>
          <t>Technischen Leiter KW Göschenen; Revisionstermine anfragen</t>
        </is>
      </c>
      <c r="O577" s="11" t="inlineStr">
        <is>
          <t>KW Göschenen: Stausee; Revision periodisch; mobile MS-Einspeisung 20–50 MVA</t>
        </is>
      </c>
      <c r="P577" s="11" t="inlineStr">
        <is>
          <t>Generator</t>
        </is>
      </c>
      <c r="Q577" s="11" t="n"/>
      <c r="R577" s="11" t="inlineStr">
        <is>
          <t>Adr: Kraftwerk, 6487 Göschenen | SBB 55%; Stausee Göschenen; Revision = mobiler MS-Bedarf</t>
        </is>
      </c>
      <c r="S577" s="11" t="inlineStr">
        <is>
          <t>Wasserkraft</t>
        </is>
      </c>
    </row>
    <row r="578">
      <c r="A578" s="11" t="n">
        <v>575</v>
      </c>
      <c r="B578" s="11" t="inlineStr">
        <is>
          <t>A</t>
        </is>
      </c>
      <c r="C578" s="11" t="inlineStr">
        <is>
          <t>Pharma/Chemie</t>
        </is>
      </c>
      <c r="D578" s="11" t="inlineStr">
        <is>
          <t>Dätwyler Holding AG (HQ Altdorf)</t>
        </is>
      </c>
      <c r="E578" s="11" t="inlineStr">
        <is>
          <t>Altdorf</t>
        </is>
      </c>
      <c r="F578" s="11" t="inlineStr">
        <is>
          <t>6460</t>
        </is>
      </c>
      <c r="G578" s="11" t="inlineStr">
        <is>
          <t>UR</t>
        </is>
      </c>
      <c r="H578" s="11" t="inlineStr">
        <is>
          <t>Betriebsleiter Technik</t>
        </is>
      </c>
      <c r="I578" s="11" t="inlineStr">
        <is>
          <t>MSc El.-Ing.</t>
        </is>
      </c>
      <c r="J578" s="11" t="inlineStr">
        <is>
          <t>info@daetwyler.com</t>
        </is>
      </c>
      <c r="K578" s="11" t="inlineStr">
        <is>
          <t>+41 41 875 11 00</t>
        </is>
      </c>
      <c r="L578" s="11" t="n"/>
      <c r="M578" s="11" t="inlineStr">
        <is>
          <t>offen</t>
        </is>
      </c>
      <c r="N578" s="11" t="inlineStr">
        <is>
          <t>Betriebsleiter Technik Dätwyler; Gotthardstrasse 31 Altdorf</t>
        </is>
      </c>
      <c r="O578" s="11" t="inlineStr">
        <is>
          <t>Dichtungskomponenten + Med.tech: NEA 1 MVA; FU-Antriebe; PQ; EMV; CHF 1.2 Mrd. Umsatz</t>
        </is>
      </c>
      <c r="P578" s="11" t="inlineStr">
        <is>
          <t>Generator</t>
        </is>
      </c>
      <c r="Q578" s="11" t="n"/>
      <c r="R578" s="11" t="inlineStr">
        <is>
          <t>Adr: Gotthardstrasse 31, 6460 Altdorf | CHF 1.2 Mrd. Umsatz; Grösstes Unternehmen URI</t>
        </is>
      </c>
      <c r="S578" s="11" t="inlineStr">
        <is>
          <t>Mischkonzern</t>
        </is>
      </c>
    </row>
    <row r="579">
      <c r="A579" s="11" t="n">
        <v>576</v>
      </c>
      <c r="B579" s="11" t="inlineStr">
        <is>
          <t>A</t>
        </is>
      </c>
      <c r="C579" s="11" t="inlineStr">
        <is>
          <t>Spital/Klinik</t>
        </is>
      </c>
      <c r="D579" s="11" t="inlineStr">
        <is>
          <t>Kantonsspital Uri AG</t>
        </is>
      </c>
      <c r="E579" s="11" t="inlineStr">
        <is>
          <t>Altdorf</t>
        </is>
      </c>
      <c r="F579" s="11" t="inlineStr">
        <is>
          <t>6460</t>
        </is>
      </c>
      <c r="G579" s="11" t="inlineStr">
        <is>
          <t>UR</t>
        </is>
      </c>
      <c r="H579" s="11" t="inlineStr">
        <is>
          <t>Betriebsleiter Technik</t>
        </is>
      </c>
      <c r="I579" s="11" t="inlineStr">
        <is>
          <t>Dipl. El.-Ing.</t>
        </is>
      </c>
      <c r="J579" s="11" t="inlineStr">
        <is>
          <t>info@ksuri.ch</t>
        </is>
      </c>
      <c r="K579" s="11" t="inlineStr">
        <is>
          <t>+41 41 875 51 11</t>
        </is>
      </c>
      <c r="L579" s="11" t="n"/>
      <c r="M579" s="11" t="inlineStr">
        <is>
          <t>offen</t>
        </is>
      </c>
      <c r="N579" s="11" t="inlineStr">
        <is>
          <t>Betriebsleiter KSUri; Spitalstrasse 1 Altdorf; NIV Art. 13</t>
        </is>
      </c>
      <c r="O579" s="11" t="inlineStr">
        <is>
          <t>NEA 2× 300 kVA; USV OP/ICU; 600 MA; einziges Akutspital URI</t>
        </is>
      </c>
      <c r="P579" s="11" t="inlineStr">
        <is>
          <t>USV</t>
        </is>
      </c>
      <c r="Q579" s="11" t="n"/>
      <c r="R579" s="11" t="inlineStr">
        <is>
          <t>Adr: Spitalstrasse 1, 6460 Altdorf | Einziges Akutspital URI; 600 MA; NEA-Pflicht</t>
        </is>
      </c>
      <c r="S579" s="11" t="inlineStr">
        <is>
          <t>Kantonsspital</t>
        </is>
      </c>
    </row>
    <row r="580">
      <c r="A580" s="11" t="n">
        <v>577</v>
      </c>
      <c r="B580" s="11" t="inlineStr">
        <is>
          <t>A</t>
        </is>
      </c>
      <c r="C580" s="11" t="inlineStr">
        <is>
          <t>Bau/Infrastruktur</t>
        </is>
      </c>
      <c r="D580" s="11" t="inlineStr">
        <is>
          <t>AlpTransit Gotthard / NEAT-Betrieb</t>
        </is>
      </c>
      <c r="E580" s="11" t="inlineStr">
        <is>
          <t>Erstfeld</t>
        </is>
      </c>
      <c r="F580" s="11" t="inlineStr">
        <is>
          <t>6472</t>
        </is>
      </c>
      <c r="G580" s="11" t="inlineStr">
        <is>
          <t>UR</t>
        </is>
      </c>
      <c r="H580" s="11" t="inlineStr">
        <is>
          <t>Betriebsleiter Energie</t>
        </is>
      </c>
      <c r="I580" s="11" t="inlineStr">
        <is>
          <t>MSc El.-Ing.</t>
        </is>
      </c>
      <c r="J580" s="11" t="inlineStr">
        <is>
          <t>info@alptransit.ch</t>
        </is>
      </c>
      <c r="K580" s="11" t="inlineStr">
        <is>
          <t>+41 41 882 11 11</t>
        </is>
      </c>
      <c r="L580" s="11" t="n"/>
      <c r="M580" s="11" t="inlineStr">
        <is>
          <t>offen</t>
        </is>
      </c>
      <c r="N580" s="11" t="inlineStr">
        <is>
          <t>Betriebsleiter Energie NEAT; Erstfeld URI; Tunnelbetrieb-Pitch</t>
        </is>
      </c>
      <c r="O580" s="11" t="inlineStr">
        <is>
          <t>NEAT Gotthard-Basistunnel: Baustrom + Betrieb; NEA Nordportal Erstfeld; FU-Betrieb Tunnel</t>
        </is>
      </c>
      <c r="P580" s="11" t="inlineStr">
        <is>
          <t>USV</t>
        </is>
      </c>
      <c r="Q580" s="11" t="n"/>
      <c r="R580" s="11" t="inlineStr">
        <is>
          <t>Adr: Nordportal Erstfeld, 6472 Erstfeld | NEAT Gotthard-Basistunnel; längster Eisenbahntunnel Welt</t>
        </is>
      </c>
      <c r="S580" s="11" t="inlineStr">
        <is>
          <t>Gotthard-Tunnel</t>
        </is>
      </c>
    </row>
    <row r="581">
      <c r="A581" s="11" t="n">
        <v>578</v>
      </c>
      <c r="B581" s="11" t="inlineStr">
        <is>
          <t>A</t>
        </is>
      </c>
      <c r="C581" s="11" t="inlineStr">
        <is>
          <t>Bergbahn/Tourismus</t>
        </is>
      </c>
      <c r="D581" s="11" t="inlineStr">
        <is>
          <t>Andermatt Swiss Alps AG (SkiArena Andermatt-Sedrun)</t>
        </is>
      </c>
      <c r="E581" s="11" t="inlineStr">
        <is>
          <t>Andermatt</t>
        </is>
      </c>
      <c r="F581" s="11" t="inlineStr">
        <is>
          <t>6490</t>
        </is>
      </c>
      <c r="G581" s="11" t="inlineStr">
        <is>
          <t>UR</t>
        </is>
      </c>
      <c r="H581" s="11" t="inlineStr">
        <is>
          <t>Technischer Direktor</t>
        </is>
      </c>
      <c r="I581" s="11" t="inlineStr">
        <is>
          <t>MSc Ing.</t>
        </is>
      </c>
      <c r="J581" s="11" t="inlineStr">
        <is>
          <t>info@andermatt-swissalps.ch</t>
        </is>
      </c>
      <c r="K581" s="11" t="inlineStr">
        <is>
          <t>+41 41 888 77 00</t>
        </is>
      </c>
      <c r="L581" s="11" t="n"/>
      <c r="M581" s="11" t="inlineStr">
        <is>
          <t>offen</t>
        </is>
      </c>
      <c r="N581" s="11" t="inlineStr">
        <is>
          <t>Techn. Direktor Andermatt Swiss Alps; Revisionsfenster Herbst</t>
        </is>
      </c>
      <c r="O581" s="11" t="inlineStr">
        <is>
          <t>SkiArena 180 km Pisten: NEA + Generator 1 MVA; FU-Gondeln/Lifte; alpine 2'961 m; Orascom-Investment</t>
        </is>
      </c>
      <c r="P581" s="11" t="inlineStr">
        <is>
          <t>Generator</t>
        </is>
      </c>
      <c r="Q581" s="11" t="n"/>
      <c r="R581" s="11" t="inlineStr">
        <is>
          <t>Adr: Gotthardstrasse 90, 6490 Andermatt | Orascom; 180 km Pisten; alpine 2'961 m</t>
        </is>
      </c>
      <c r="S581" s="11" t="inlineStr">
        <is>
          <t>Alpine Destination</t>
        </is>
      </c>
    </row>
    <row r="582">
      <c r="A582" s="11" t="n">
        <v>579</v>
      </c>
      <c r="B582" s="11" t="inlineStr">
        <is>
          <t>A</t>
        </is>
      </c>
      <c r="C582" s="11" t="inlineStr">
        <is>
          <t>Bergbahn/Tourismus</t>
        </is>
      </c>
      <c r="D582" s="11" t="inlineStr">
        <is>
          <t>Gemsstock Bergbahn AG (Andermatt)</t>
        </is>
      </c>
      <c r="E582" s="11" t="inlineStr">
        <is>
          <t>Andermatt</t>
        </is>
      </c>
      <c r="F582" s="11" t="inlineStr">
        <is>
          <t>6490</t>
        </is>
      </c>
      <c r="G582" s="11" t="inlineStr">
        <is>
          <t>UR</t>
        </is>
      </c>
      <c r="H582" s="11" t="inlineStr">
        <is>
          <t>Betriebsleiter</t>
        </is>
      </c>
      <c r="I582" s="11" t="inlineStr">
        <is>
          <t>Techniker</t>
        </is>
      </c>
      <c r="J582" s="11" t="inlineStr">
        <is>
          <t>info@gemsstock.ch</t>
        </is>
      </c>
      <c r="K582" s="11" t="inlineStr">
        <is>
          <t>+41 41 887 14 54</t>
        </is>
      </c>
      <c r="L582" s="11" t="n"/>
      <c r="M582" s="11" t="inlineStr">
        <is>
          <t>offen</t>
        </is>
      </c>
      <c r="N582" s="11" t="inlineStr">
        <is>
          <t>Betriebsleiter Gemsstock; Herbstkontakt Revision</t>
        </is>
      </c>
      <c r="O582" s="11" t="inlineStr">
        <is>
          <t>Gemsstock 2'961 m: NEA + Generator 200 kVA; FU-Gondeln; alpine Isolation; Seilbahn</t>
        </is>
      </c>
      <c r="P582" s="11" t="inlineStr">
        <is>
          <t>Generator</t>
        </is>
      </c>
      <c r="Q582" s="11" t="n"/>
      <c r="R582" s="11" t="inlineStr">
        <is>
          <t>Adr: Talstation Gemsstock, 6490 Andermatt | 2'961 m; alpine Isolation; FU-Revision</t>
        </is>
      </c>
      <c r="S582" s="11" t="inlineStr">
        <is>
          <t>Skilift/Bergbahn</t>
        </is>
      </c>
    </row>
    <row r="583">
      <c r="A583" s="11" t="n">
        <v>580</v>
      </c>
      <c r="B583" s="11" t="inlineStr">
        <is>
          <t>A</t>
        </is>
      </c>
      <c r="C583" s="11" t="inlineStr">
        <is>
          <t>Bergbahn/Tourismus</t>
        </is>
      </c>
      <c r="D583" s="11" t="inlineStr">
        <is>
          <t>The Chedi Andermatt (Orascom)</t>
        </is>
      </c>
      <c r="E583" s="11" t="inlineStr">
        <is>
          <t>Andermatt</t>
        </is>
      </c>
      <c r="F583" s="11" t="inlineStr">
        <is>
          <t>6490</t>
        </is>
      </c>
      <c r="G583" s="11" t="inlineStr">
        <is>
          <t>UR</t>
        </is>
      </c>
      <c r="H583" s="11" t="inlineStr">
        <is>
          <t>Facility Manager</t>
        </is>
      </c>
      <c r="I583" s="11" t="inlineStr">
        <is>
          <t>Ing.</t>
        </is>
      </c>
      <c r="J583" s="11" t="inlineStr">
        <is>
          <t>info@thechediandermatt.com</t>
        </is>
      </c>
      <c r="K583" s="11" t="inlineStr">
        <is>
          <t>+41 41 888 74 74</t>
        </is>
      </c>
      <c r="L583" s="11" t="n"/>
      <c r="M583" s="11" t="inlineStr">
        <is>
          <t>offen</t>
        </is>
      </c>
      <c r="N583" s="11" t="inlineStr">
        <is>
          <t>Facility Manager The Chedi; Reuss 5 Andermatt; Luxus-Pitch</t>
        </is>
      </c>
      <c r="O583" s="11" t="inlineStr">
        <is>
          <t>5-Sterne Luxushotel: NEA 1× 400 kVA; USV alpine Lage; 245 Zimmer; Orascom</t>
        </is>
      </c>
      <c r="P583" s="11" t="inlineStr">
        <is>
          <t>USV</t>
        </is>
      </c>
      <c r="Q583" s="11" t="n"/>
      <c r="R583" s="11" t="inlineStr">
        <is>
          <t>Adr: Reuss 5, 6490 Andermatt | 5-Sterne; Orascom-Gruppe; alpine Lage; höchstes Budget</t>
        </is>
      </c>
      <c r="S583" s="11" t="inlineStr">
        <is>
          <t>Hotel/Resort</t>
        </is>
      </c>
    </row>
    <row r="584">
      <c r="A584" s="11" t="n">
        <v>581</v>
      </c>
      <c r="B584" s="11" t="inlineStr">
        <is>
          <t>B</t>
        </is>
      </c>
      <c r="C584" s="11" t="inlineStr">
        <is>
          <t>EVU/Netzbetreiber</t>
        </is>
      </c>
      <c r="D584" s="11" t="inlineStr">
        <is>
          <t>Elektrizitätswerk Ursern (EWU)</t>
        </is>
      </c>
      <c r="E584" s="11" t="inlineStr">
        <is>
          <t>Andermatt</t>
        </is>
      </c>
      <c r="F584" s="11" t="inlineStr">
        <is>
          <t>6490</t>
        </is>
      </c>
      <c r="G584" s="11" t="inlineStr">
        <is>
          <t>UR</t>
        </is>
      </c>
      <c r="H584" s="11" t="inlineStr">
        <is>
          <t>Betriebsleiter</t>
        </is>
      </c>
      <c r="I584" s="11" t="inlineStr">
        <is>
          <t>Techniker</t>
        </is>
      </c>
      <c r="J584" s="11" t="inlineStr">
        <is>
          <t>info@ursern.ch</t>
        </is>
      </c>
      <c r="K584" s="11" t="inlineStr">
        <is>
          <t>+41 41 887 01 25</t>
        </is>
      </c>
      <c r="L584" s="11" t="n"/>
      <c r="M584" s="11" t="inlineStr">
        <is>
          <t>offen</t>
        </is>
      </c>
      <c r="N584" s="11" t="inlineStr">
        <is>
          <t>Betriebsleiter EWU; Andermatt URI; alpine Isolation-Pitch</t>
        </is>
      </c>
      <c r="O584" s="11" t="inlineStr">
        <is>
          <t>Stromversorgung Urserntal: MS-Revisionen; NEA Gemeindegebäude; alpine Isolation</t>
        </is>
      </c>
      <c r="P584" s="11" t="n"/>
      <c r="Q584" s="11" t="n"/>
      <c r="R584" s="11" t="inlineStr">
        <is>
          <t>Adr: Gemeindehaus, 6490 Andermatt | EWU Urserntal; alpine 1'444 m</t>
        </is>
      </c>
      <c r="S584" s="11" t="inlineStr">
        <is>
          <t>Elektrizitätswerk Ursern</t>
        </is>
      </c>
    </row>
    <row r="585">
      <c r="A585" s="11" t="n">
        <v>582</v>
      </c>
      <c r="B585" s="11" t="inlineStr">
        <is>
          <t>B</t>
        </is>
      </c>
      <c r="C585" s="11" t="inlineStr">
        <is>
          <t>Bau/Infrastruktur</t>
        </is>
      </c>
      <c r="D585" s="11" t="inlineStr">
        <is>
          <t>SBB Infrastruktur Erstfeld (NEAT Nordportal)</t>
        </is>
      </c>
      <c r="E585" s="11" t="inlineStr">
        <is>
          <t>Erstfeld</t>
        </is>
      </c>
      <c r="F585" s="11" t="inlineStr">
        <is>
          <t>6472</t>
        </is>
      </c>
      <c r="G585" s="11" t="inlineStr">
        <is>
          <t>UR</t>
        </is>
      </c>
      <c r="H585" s="11" t="inlineStr">
        <is>
          <t>Betriebsleiter Infra Energie</t>
        </is>
      </c>
      <c r="I585" s="11" t="inlineStr">
        <is>
          <t>MSc El.-Ing.</t>
        </is>
      </c>
      <c r="J585" s="11" t="inlineStr">
        <is>
          <t>kontakt@sbb.ch</t>
        </is>
      </c>
      <c r="K585" s="11" t="inlineStr">
        <is>
          <t>+41 58 333 33 33</t>
        </is>
      </c>
      <c r="L585" s="11" t="n"/>
      <c r="M585" s="11" t="inlineStr">
        <is>
          <t>offen</t>
        </is>
      </c>
      <c r="N585" s="11" t="inlineStr">
        <is>
          <t>SBB Infra Erstfeld; simap.ch Alert URI SBB</t>
        </is>
      </c>
      <c r="O585" s="11" t="inlineStr">
        <is>
          <t>NEAT Nordportal Erstfeld: Baustrom + Betrieb; NEA; Revisionen Strecke; 350 MA</t>
        </is>
      </c>
      <c r="P585" s="11" t="n"/>
      <c r="Q585" s="11" t="n"/>
      <c r="R585" s="11" t="inlineStr">
        <is>
          <t>Adr: Gotthardstrasse 1, 6472 Erstfeld | NEAT Nordportal; SBB Infrastruktur Gotthard</t>
        </is>
      </c>
      <c r="S585" s="11" t="inlineStr">
        <is>
          <t>NEAT Betrieb</t>
        </is>
      </c>
    </row>
    <row r="586">
      <c r="A586" s="11" t="n">
        <v>583</v>
      </c>
      <c r="B586" s="11" t="inlineStr">
        <is>
          <t>B</t>
        </is>
      </c>
      <c r="C586" s="11" t="inlineStr">
        <is>
          <t>Gemeinde/Öffentlich</t>
        </is>
      </c>
      <c r="D586" s="11" t="inlineStr">
        <is>
          <t>Kanton Uri (Hochbauamt)</t>
        </is>
      </c>
      <c r="E586" s="11" t="inlineStr">
        <is>
          <t>Altdorf</t>
        </is>
      </c>
      <c r="F586" s="11" t="inlineStr">
        <is>
          <t>6460</t>
        </is>
      </c>
      <c r="G586" s="11" t="inlineStr">
        <is>
          <t>UR</t>
        </is>
      </c>
      <c r="H586" s="11" t="inlineStr">
        <is>
          <t>Leiter Hochbauamt</t>
        </is>
      </c>
      <c r="I586" s="11" t="inlineStr">
        <is>
          <t>Kantonsbauingenieur</t>
        </is>
      </c>
      <c r="J586" s="11" t="inlineStr">
        <is>
          <t>info@ur.ch</t>
        </is>
      </c>
      <c r="K586" s="11" t="inlineStr">
        <is>
          <t>+41 41 875 20 00</t>
        </is>
      </c>
      <c r="L586" s="11" t="n"/>
      <c r="M586" s="11" t="inlineStr">
        <is>
          <t>offen</t>
        </is>
      </c>
      <c r="N586" s="11" t="inlineStr">
        <is>
          <t>Hochbauamt URI; Rathausplatz 1 Altdorf; simap.ch Alert</t>
        </is>
      </c>
      <c r="O586" s="11" t="inlineStr">
        <is>
          <t>NEA kantonale Gebäude; 100+ Liegenschaften; Rahmenvertrag URI</t>
        </is>
      </c>
      <c r="P586" s="11" t="n"/>
      <c r="Q586" s="11" t="n"/>
      <c r="R586" s="11" t="inlineStr">
        <is>
          <t>Adr: Rathausplatz 1, 6460 Altdorf | Kanton URI; 100+ Liegenschaften</t>
        </is>
      </c>
      <c r="S586" s="11" t="inlineStr">
        <is>
          <t>Kanton Uri</t>
        </is>
      </c>
    </row>
    <row r="587">
      <c r="A587" s="11" t="n">
        <v>584</v>
      </c>
      <c r="B587" s="11" t="inlineStr">
        <is>
          <t>B</t>
        </is>
      </c>
      <c r="C587" s="11" t="inlineStr">
        <is>
          <t>Bau/Infrastruktur</t>
        </is>
      </c>
      <c r="D587" s="11" t="inlineStr">
        <is>
          <t>ARA Reuss Altdorf / Regionale Kläranlage</t>
        </is>
      </c>
      <c r="E587" s="11" t="inlineStr">
        <is>
          <t>Altdorf</t>
        </is>
      </c>
      <c r="F587" s="11" t="inlineStr">
        <is>
          <t>6460</t>
        </is>
      </c>
      <c r="G587" s="11" t="inlineStr">
        <is>
          <t>UR</t>
        </is>
      </c>
      <c r="H587" s="11" t="inlineStr">
        <is>
          <t>Betriebsleiter ARA</t>
        </is>
      </c>
      <c r="I587" s="11" t="inlineStr">
        <is>
          <t>Techniker</t>
        </is>
      </c>
      <c r="J587" s="11" t="inlineStr">
        <is>
          <t>info@ara-uri.ch</t>
        </is>
      </c>
      <c r="K587" s="11" t="inlineStr">
        <is>
          <t>+41 41 870 10 10</t>
        </is>
      </c>
      <c r="L587" s="11" t="n"/>
      <c r="M587" s="11" t="inlineStr">
        <is>
          <t>offen</t>
        </is>
      </c>
      <c r="N587" s="11" t="inlineStr">
        <is>
          <t>Betriebsleiter ARA URI; simap.ch Alert</t>
        </is>
      </c>
      <c r="O587" s="11" t="inlineStr">
        <is>
          <t>NEA-Pflicht 1× 300 kVA; Reuss-Gewässerschutz; 24h</t>
        </is>
      </c>
      <c r="P587" s="11" t="inlineStr">
        <is>
          <t>Generator</t>
        </is>
      </c>
      <c r="Q587" s="11" t="n"/>
      <c r="R587" s="11" t="inlineStr">
        <is>
          <t>Adr: Reussstrasse, 6460 Altdorf | Reuss-Schutz; simap.ch-Pflicht</t>
        </is>
      </c>
      <c r="S587" s="11" t="inlineStr">
        <is>
          <t>ARA Reuss</t>
        </is>
      </c>
    </row>
    <row r="588">
      <c r="A588" s="11" t="n">
        <v>585</v>
      </c>
      <c r="B588" s="11" t="inlineStr">
        <is>
          <t>B</t>
        </is>
      </c>
      <c r="C588" s="11" t="inlineStr">
        <is>
          <t>Pharma/Chemie</t>
        </is>
      </c>
      <c r="D588" s="11" t="inlineStr">
        <is>
          <t>Dätwyler Pharma Packaging AG (Werk URI)</t>
        </is>
      </c>
      <c r="E588" s="11" t="inlineStr">
        <is>
          <t>Schattdorf</t>
        </is>
      </c>
      <c r="F588" s="11" t="inlineStr">
        <is>
          <t>6467</t>
        </is>
      </c>
      <c r="G588" s="11" t="inlineStr">
        <is>
          <t>UR</t>
        </is>
      </c>
      <c r="H588" s="11" t="inlineStr">
        <is>
          <t>Betriebsleiter Elektro</t>
        </is>
      </c>
      <c r="I588" s="11" t="inlineStr">
        <is>
          <t>Dipl. El.-Ing.</t>
        </is>
      </c>
      <c r="J588" s="11" t="inlineStr">
        <is>
          <t>info@daetwyler.com</t>
        </is>
      </c>
      <c r="K588" s="11" t="inlineStr">
        <is>
          <t>+41 41 875 11 00</t>
        </is>
      </c>
      <c r="L588" s="11" t="n"/>
      <c r="M588" s="11" t="inlineStr">
        <is>
          <t>offen</t>
        </is>
      </c>
      <c r="N588" s="11" t="inlineStr">
        <is>
          <t>Betriebsleiter Dätwyler Pharma Schattdorf; Dätwyler-Verbindung nutzen</t>
        </is>
      </c>
      <c r="O588" s="11" t="inlineStr">
        <is>
          <t>Pharma-Verpackung: NEA 500 kVA; FU-Pressen; PQ; EMV; Dätwyler-Gruppe</t>
        </is>
      </c>
      <c r="P588" s="11" t="n"/>
      <c r="Q588" s="11" t="n"/>
      <c r="R588" s="11" t="inlineStr">
        <is>
          <t>Adr: Schattdorf, 6467 URI | Dätwyler-Tochter; Pharma-Verpackung; FU-Pressen</t>
        </is>
      </c>
      <c r="S588" s="11" t="inlineStr">
        <is>
          <t>Baumaterial/Käse</t>
        </is>
      </c>
    </row>
    <row r="589">
      <c r="A589" s="11" t="n">
        <v>586</v>
      </c>
      <c r="B589" s="11" t="inlineStr">
        <is>
          <t>C</t>
        </is>
      </c>
      <c r="C589" s="11" t="inlineStr">
        <is>
          <t>Bergbahn/Tourismus</t>
        </is>
      </c>
      <c r="D589" s="11" t="inlineStr">
        <is>
          <t>Stoos-Bahnen AG</t>
        </is>
      </c>
      <c r="E589" s="11" t="inlineStr">
        <is>
          <t>Morschach</t>
        </is>
      </c>
      <c r="F589" s="11" t="inlineStr">
        <is>
          <t>6443</t>
        </is>
      </c>
      <c r="G589" s="11" t="inlineStr">
        <is>
          <t>UR</t>
        </is>
      </c>
      <c r="H589" s="11" t="inlineStr">
        <is>
          <t>Betriebsleiter</t>
        </is>
      </c>
      <c r="I589" s="11" t="inlineStr">
        <is>
          <t>Techniker</t>
        </is>
      </c>
      <c r="J589" s="11" t="inlineStr">
        <is>
          <t>info@stoos.ch</t>
        </is>
      </c>
      <c r="K589" s="11" t="inlineStr">
        <is>
          <t>+41 41 830 11 11</t>
        </is>
      </c>
      <c r="L589" s="11" t="n"/>
      <c r="M589" s="11" t="inlineStr">
        <is>
          <t>offen</t>
        </is>
      </c>
      <c r="N589" s="11" t="inlineStr">
        <is>
          <t>Betriebsleiter Stoos-Bahnen; Herbst-Revisionsfenster</t>
        </is>
      </c>
      <c r="O589" s="11" t="inlineStr">
        <is>
          <t>Stoos-Bahn steilste Standseilbahn Welt: NEA + Generator 200 kVA; FU; alpine 1'300 m</t>
        </is>
      </c>
      <c r="P589" s="11" t="inlineStr">
        <is>
          <t>Generator</t>
        </is>
      </c>
      <c r="Q589" s="11" t="n"/>
      <c r="R589" s="11" t="inlineStr">
        <is>
          <t>Adr: Talstation Stoos, 6443 Morschach | Steilste Standseilbahn Welt; alpine Isolation</t>
        </is>
      </c>
      <c r="S589" s="11" t="inlineStr">
        <is>
          <t>Bergbahn Fronalpstock</t>
        </is>
      </c>
    </row>
    <row r="590">
      <c r="A590" s="11" t="n">
        <v>587</v>
      </c>
      <c r="B590" s="11" t="inlineStr">
        <is>
          <t>C</t>
        </is>
      </c>
      <c r="C590" s="11" t="inlineStr">
        <is>
          <t>Bergbahn/Tourismus</t>
        </is>
      </c>
      <c r="D590" s="11" t="inlineStr">
        <is>
          <t>Berghotel Urnerboden</t>
        </is>
      </c>
      <c r="E590" s="11" t="inlineStr">
        <is>
          <t>Spiringen</t>
        </is>
      </c>
      <c r="F590" s="11" t="inlineStr">
        <is>
          <t>6462</t>
        </is>
      </c>
      <c r="G590" s="11" t="inlineStr">
        <is>
          <t>UR</t>
        </is>
      </c>
      <c r="H590" s="11" t="inlineStr">
        <is>
          <t>Facility Manager</t>
        </is>
      </c>
      <c r="I590" s="11" t="inlineStr">
        <is>
          <t>Techniker</t>
        </is>
      </c>
      <c r="J590" s="11" t="inlineStr">
        <is>
          <t>info@urnerboden.ch</t>
        </is>
      </c>
      <c r="K590" s="11" t="inlineStr">
        <is>
          <t>+41 41 879 11 11</t>
        </is>
      </c>
      <c r="L590" s="11" t="n"/>
      <c r="M590" s="11" t="inlineStr">
        <is>
          <t>offen</t>
        </is>
      </c>
      <c r="N590" s="11" t="inlineStr">
        <is>
          <t>Facility Manager; alpine Isolation-Pitch</t>
        </is>
      </c>
      <c r="O590" s="11" t="inlineStr">
        <is>
          <t>Alpine Destination Urnerboden: NEA 100 kVA; Isolation; alpine 1'378 m</t>
        </is>
      </c>
      <c r="P590" s="11" t="inlineStr">
        <is>
          <t>Generator</t>
        </is>
      </c>
      <c r="Q590" s="11" t="n"/>
      <c r="R590" s="11" t="inlineStr">
        <is>
          <t>Adr: Urnerboden, 6462 Spiringen | Grösste Alp der Schweiz; alpine Isolation</t>
        </is>
      </c>
      <c r="S590" s="11" t="inlineStr">
        <is>
          <t>Hotel Alpine</t>
        </is>
      </c>
    </row>
    <row r="591">
      <c r="A591" s="11" t="n">
        <v>588</v>
      </c>
      <c r="B591" s="11" t="inlineStr">
        <is>
          <t>C</t>
        </is>
      </c>
      <c r="C591" s="11" t="inlineStr">
        <is>
          <t>Gemeinde/Öffentlich</t>
        </is>
      </c>
      <c r="D591" s="11" t="inlineStr">
        <is>
          <t>[MiT URI-Kältekunde Nr. 1]</t>
        </is>
      </c>
      <c r="E591" s="11" t="inlineStr">
        <is>
          <t>Altdorf</t>
        </is>
      </c>
      <c r="F591" s="11" t="inlineStr">
        <is>
          <t>6460</t>
        </is>
      </c>
      <c r="G591" s="11" t="inlineStr">
        <is>
          <t>UR</t>
        </is>
      </c>
      <c r="H591" s="11" t="inlineStr">
        <is>
          <t>Energieverantwortlicher</t>
        </is>
      </c>
      <c r="I591" s="11" t="inlineStr">
        <is>
          <t>Betriebsleiter</t>
        </is>
      </c>
      <c r="J591" s="11" t="n"/>
      <c r="K591" s="11" t="inlineStr">
        <is>
          <t>(MiT-CRM)</t>
        </is>
      </c>
      <c r="L591" s="11" t="n"/>
      <c r="M591" s="11" t="inlineStr">
        <is>
          <t>offen</t>
        </is>
      </c>
      <c r="N591" s="11" t="inlineStr">
        <is>
          <t>MiT-CRM Roberto/Stefan: URI-Kunden ohne Strom prüfen</t>
        </is>
      </c>
      <c r="O591" s="11" t="inlineStr">
        <is>
          <t>Strom-Add-on MiT-Wärme/Kälte URI</t>
        </is>
      </c>
      <c r="P591" s="11" t="n"/>
      <c r="Q591" s="11" t="n"/>
      <c r="R591" s="11" t="inlineStr">
        <is>
          <t>CKW versorgt LU/UR/OW/NW = 1 CKW-Kontakt öffnet alle 4 Kantone</t>
        </is>
      </c>
      <c r="S591" s="11" t="inlineStr">
        <is>
          <t>Cross-Sell MiT</t>
        </is>
      </c>
    </row>
    <row r="592">
      <c r="A592" s="11" t="n">
        <v>589</v>
      </c>
      <c r="B592" s="11" t="inlineStr">
        <is>
          <t>C</t>
        </is>
      </c>
      <c r="C592" s="11" t="inlineStr">
        <is>
          <t>Gemeinde/Öffentlich</t>
        </is>
      </c>
      <c r="D592" s="11" t="inlineStr">
        <is>
          <t>Gemeindewerke Erstfeld (GWE)</t>
        </is>
      </c>
      <c r="E592" s="11" t="inlineStr">
        <is>
          <t>Erstfeld</t>
        </is>
      </c>
      <c r="F592" s="11" t="inlineStr">
        <is>
          <t>6472</t>
        </is>
      </c>
      <c r="G592" s="11" t="inlineStr">
        <is>
          <t>UR</t>
        </is>
      </c>
      <c r="H592" s="11" t="inlineStr">
        <is>
          <t>Betriebsleiter</t>
        </is>
      </c>
      <c r="I592" s="11" t="inlineStr">
        <is>
          <t>Techniker</t>
        </is>
      </c>
      <c r="J592" s="11" t="inlineStr">
        <is>
          <t>info@gwe.ch</t>
        </is>
      </c>
      <c r="K592" s="11" t="inlineStr">
        <is>
          <t>+41 41 882 14 24</t>
        </is>
      </c>
      <c r="L592" s="11" t="n"/>
      <c r="M592" s="11" t="inlineStr">
        <is>
          <t>offen</t>
        </is>
      </c>
      <c r="N592" s="11" t="inlineStr">
        <is>
          <t>Betriebsleiter GWE Erstfeld; simap.ch Alert</t>
        </is>
      </c>
      <c r="O592" s="11" t="inlineStr">
        <is>
          <t>Stromversorgung Erstfeld: MS-Revisionen; NEA Gemeindegebäude</t>
        </is>
      </c>
      <c r="P592" s="11" t="n"/>
      <c r="Q592" s="11" t="n"/>
      <c r="R592" s="11" t="inlineStr">
        <is>
          <t>Adr: Gotthardstrasse 100, 6472 Erstfeld | GWE; NEAT Nordportal</t>
        </is>
      </c>
      <c r="S592" s="11" t="inlineStr">
        <is>
          <t>Gemeindewerk Erstfeld</t>
        </is>
      </c>
    </row>
    <row r="593">
      <c r="A593" s="11" t="n">
        <v>590</v>
      </c>
      <c r="B593" s="11" t="inlineStr">
        <is>
          <t>A</t>
        </is>
      </c>
      <c r="C593" s="11" t="inlineStr">
        <is>
          <t>Bergbahn/Tourismus</t>
        </is>
      </c>
      <c r="D593" s="11" t="inlineStr">
        <is>
          <t>Radisson Blu Andermatt (Orascom)</t>
        </is>
      </c>
      <c r="E593" s="11" t="inlineStr">
        <is>
          <t>Andermatt</t>
        </is>
      </c>
      <c r="F593" s="11" t="inlineStr">
        <is>
          <t>6490</t>
        </is>
      </c>
      <c r="G593" s="11" t="inlineStr">
        <is>
          <t>UR</t>
        </is>
      </c>
      <c r="H593" s="11" t="inlineStr">
        <is>
          <t>Facility Manager</t>
        </is>
      </c>
      <c r="I593" s="11" t="inlineStr">
        <is>
          <t>Ing.</t>
        </is>
      </c>
      <c r="J593" s="11" t="inlineStr">
        <is>
          <t>info@radissonhotels.com</t>
        </is>
      </c>
      <c r="K593" s="11" t="inlineStr">
        <is>
          <t>+41 41 888 88 00</t>
        </is>
      </c>
      <c r="L593" s="11" t="n"/>
      <c r="M593" s="11" t="inlineStr">
        <is>
          <t>offen</t>
        </is>
      </c>
      <c r="N593" s="11" t="inlineStr">
        <is>
          <t>Facility Manager Radisson Andermatt; Orascom-Budget; alpine Pitch</t>
        </is>
      </c>
      <c r="O593" s="11" t="inlineStr">
        <is>
          <t>4-Sterne Radisson Andermatt: NEA 1× 300 kVA; USV alpine Lage; 152 Zimmer; Orascom</t>
        </is>
      </c>
      <c r="P593" s="11" t="inlineStr">
        <is>
          <t>USV</t>
        </is>
      </c>
      <c r="Q593" s="11" t="n"/>
      <c r="R593" s="11" t="inlineStr">
        <is>
          <t>Adr: Gotthardstrasse 75, 6490 Andermatt | Radisson 4-Sterne; Orascom; 152 Zimmer</t>
        </is>
      </c>
      <c r="S593" s="11" t="inlineStr">
        <is>
          <t>Hotel Andermatt</t>
        </is>
      </c>
    </row>
    <row r="594">
      <c r="A594" s="11" t="n">
        <v>591</v>
      </c>
      <c r="B594" s="11" t="inlineStr">
        <is>
          <t>A</t>
        </is>
      </c>
      <c r="C594" s="11" t="inlineStr">
        <is>
          <t>Bergbahn/Tourismus</t>
        </is>
      </c>
      <c r="D594" s="11" t="inlineStr">
        <is>
          <t>The Andermatt Chedi (5-Sterne Suite Hotel)</t>
        </is>
      </c>
      <c r="E594" s="11" t="inlineStr">
        <is>
          <t>Andermatt</t>
        </is>
      </c>
      <c r="F594" s="11" t="inlineStr">
        <is>
          <t>6490</t>
        </is>
      </c>
      <c r="G594" s="11" t="inlineStr">
        <is>
          <t>UR</t>
        </is>
      </c>
      <c r="H594" s="11" t="inlineStr">
        <is>
          <t>Facility Manager</t>
        </is>
      </c>
      <c r="I594" s="11" t="inlineStr">
        <is>
          <t>Ing.</t>
        </is>
      </c>
      <c r="J594" s="11" t="inlineStr">
        <is>
          <t>info@thechediandermatt.com</t>
        </is>
      </c>
      <c r="K594" s="11" t="inlineStr">
        <is>
          <t>+41 41 888 74 74</t>
        </is>
      </c>
      <c r="L594" s="11" t="n"/>
      <c r="M594" s="11" t="inlineStr">
        <is>
          <t>offen</t>
        </is>
      </c>
      <c r="N594" s="11" t="inlineStr">
        <is>
          <t>Facility Manager The Chedi; Reuss 5 Andermatt; absolute Top-Priorität URI</t>
        </is>
      </c>
      <c r="O594" s="11" t="inlineStr">
        <is>
          <t>5-Sterne Chedi: NEA 1× 500 kVA; USV 24h; alpine Isolation; 55 Suiten; Orascom</t>
        </is>
      </c>
      <c r="P594" s="11" t="inlineStr">
        <is>
          <t>USV</t>
        </is>
      </c>
      <c r="Q594" s="11" t="n"/>
      <c r="R594" s="11" t="inlineStr">
        <is>
          <t>Adr: Reuss 5, 6490 Andermatt | 5-Sterne; 55 Suiten; Orascom; alpine = kein Nein</t>
        </is>
      </c>
      <c r="S594" s="11" t="inlineStr">
        <is>
          <t>Andermatt Reuss</t>
        </is>
      </c>
    </row>
    <row r="595">
      <c r="A595" s="11" t="n">
        <v>592</v>
      </c>
      <c r="B595" s="11" t="inlineStr">
        <is>
          <t>A</t>
        </is>
      </c>
      <c r="C595" s="11" t="inlineStr">
        <is>
          <t>Bau/Infrastruktur</t>
        </is>
      </c>
      <c r="D595" s="11" t="inlineStr">
        <is>
          <t>SBB Kraftwerk Wassen AG (290 GWh)</t>
        </is>
      </c>
      <c r="E595" s="11" t="inlineStr">
        <is>
          <t>Wassen</t>
        </is>
      </c>
      <c r="F595" s="11" t="inlineStr">
        <is>
          <t>6484</t>
        </is>
      </c>
      <c r="G595" s="11" t="inlineStr">
        <is>
          <t>UR</t>
        </is>
      </c>
      <c r="H595" s="11" t="inlineStr">
        <is>
          <t>Betriebsleiter KW</t>
        </is>
      </c>
      <c r="I595" s="11" t="inlineStr">
        <is>
          <t>MSc El.-Ing.</t>
        </is>
      </c>
      <c r="J595" s="11" t="inlineStr">
        <is>
          <t>kontakt@sbb.ch</t>
        </is>
      </c>
      <c r="K595" s="11" t="inlineStr">
        <is>
          <t>+41 58 333 33 33</t>
        </is>
      </c>
      <c r="L595" s="11" t="n"/>
      <c r="M595" s="11" t="inlineStr">
        <is>
          <t>offen</t>
        </is>
      </c>
      <c r="N595" s="11" t="inlineStr">
        <is>
          <t>Betriebsleiter KW Wassen; SBB-Infrastruktur Energie kontaktieren</t>
        </is>
      </c>
      <c r="O595" s="11" t="inlineStr">
        <is>
          <t>KW Wassen 290 GWh: Reusskaskade; Revisionen mobile MS-Einspeisung 20 MVA</t>
        </is>
      </c>
      <c r="P595" s="11" t="inlineStr">
        <is>
          <t>Generator</t>
        </is>
      </c>
      <c r="Q595" s="11" t="n"/>
      <c r="R595" s="11" t="inlineStr">
        <is>
          <t>Adr: Wassen, 6484 UR | SBB KW Wassen; 290 GWh; Reusskaskade Stufe 2</t>
        </is>
      </c>
      <c r="S595" s="11" t="inlineStr">
        <is>
          <t>Kraftwerk Wassen</t>
        </is>
      </c>
    </row>
    <row r="596">
      <c r="A596" s="11" t="n">
        <v>593</v>
      </c>
      <c r="B596" s="11" t="inlineStr">
        <is>
          <t>B</t>
        </is>
      </c>
      <c r="C596" s="11" t="inlineStr">
        <is>
          <t>Bergbahn/Tourismus</t>
        </is>
      </c>
      <c r="D596" s="11" t="inlineStr">
        <is>
          <t>Bergbahnen Andermatt (Gemsstock + Oberalp)</t>
        </is>
      </c>
      <c r="E596" s="11" t="inlineStr">
        <is>
          <t>Andermatt</t>
        </is>
      </c>
      <c r="F596" s="11" t="inlineStr">
        <is>
          <t>6490</t>
        </is>
      </c>
      <c r="G596" s="11" t="inlineStr">
        <is>
          <t>UR</t>
        </is>
      </c>
      <c r="H596" s="11" t="inlineStr">
        <is>
          <t>Betriebsleiter Technik</t>
        </is>
      </c>
      <c r="I596" s="11" t="inlineStr">
        <is>
          <t>Techniker</t>
        </is>
      </c>
      <c r="J596" s="11" t="inlineStr">
        <is>
          <t>info@andermatt-bergbahnen.ch</t>
        </is>
      </c>
      <c r="K596" s="11" t="inlineStr">
        <is>
          <t>+41 41 887 14 54</t>
        </is>
      </c>
      <c r="L596" s="11" t="n"/>
      <c r="M596" s="11" t="inlineStr">
        <is>
          <t>offen</t>
        </is>
      </c>
      <c r="N596" s="11" t="inlineStr">
        <is>
          <t>Betriebsleiter Bergbahnen Andermatt; Herbst-Revisionsfenster UR</t>
        </is>
      </c>
      <c r="O596" s="11" t="inlineStr">
        <is>
          <t>Gemsstock + Oberalp: NEA + Generator 400 kVA; FU; alpine 2'961 m; Orascom-Ausbau</t>
        </is>
      </c>
      <c r="P596" s="11" t="inlineStr">
        <is>
          <t>Generator</t>
        </is>
      </c>
      <c r="Q596" s="11" t="n"/>
      <c r="R596" s="11" t="inlineStr">
        <is>
          <t>Adr: Andermatt, 6490 UR | Gemsstock + Oberalp; Orascom-Ausbau; 2'961 m</t>
        </is>
      </c>
      <c r="S596" s="11" t="inlineStr">
        <is>
          <t>Skigebiet Gemsstock</t>
        </is>
      </c>
    </row>
    <row r="597">
      <c r="A597" s="11" t="n">
        <v>594</v>
      </c>
      <c r="B597" s="11" t="inlineStr">
        <is>
          <t>B</t>
        </is>
      </c>
      <c r="C597" s="11" t="inlineStr">
        <is>
          <t>Pharma/Chemie</t>
        </is>
      </c>
      <c r="D597" s="11" t="inlineStr">
        <is>
          <t>Ruag Ammotec (Werk Altdorf UR)</t>
        </is>
      </c>
      <c r="E597" s="11" t="inlineStr">
        <is>
          <t>Altdorf</t>
        </is>
      </c>
      <c r="F597" s="11" t="inlineStr">
        <is>
          <t>6460</t>
        </is>
      </c>
      <c r="G597" s="11" t="inlineStr">
        <is>
          <t>UR</t>
        </is>
      </c>
      <c r="H597" s="11" t="inlineStr">
        <is>
          <t>Betriebsleiter Elektro</t>
        </is>
      </c>
      <c r="I597" s="11" t="inlineStr">
        <is>
          <t>MSc El.-Ing.</t>
        </is>
      </c>
      <c r="J597" s="11" t="inlineStr">
        <is>
          <t>info@ruag.com</t>
        </is>
      </c>
      <c r="K597" s="11" t="inlineStr">
        <is>
          <t>+41 41 875 51 11</t>
        </is>
      </c>
      <c r="L597" s="11" t="n"/>
      <c r="M597" s="11" t="inlineStr">
        <is>
          <t>offen</t>
        </is>
      </c>
      <c r="N597" s="11" t="inlineStr">
        <is>
          <t>Betriebsleiter RUAG Altdorf; Werkstrasse Altdorf; Sicherheits-Pitch</t>
        </is>
      </c>
      <c r="O597" s="11" t="inlineStr">
        <is>
          <t>Munitionsherstellung: NEA 1 MVA; USV; PQ; Sicherheitsanlage; RUAG-Gruppe</t>
        </is>
      </c>
      <c r="P597" s="11" t="inlineStr">
        <is>
          <t>USV</t>
        </is>
      </c>
      <c r="Q597" s="11" t="n"/>
      <c r="R597" s="11" t="inlineStr">
        <is>
          <t>Adr: Altdorf, 6460 UR | RUAG Ammotec; Sicherheitsanlage; NEA absolut kritisch</t>
        </is>
      </c>
      <c r="S597" s="11" t="inlineStr">
        <is>
          <t>Rüstungswerk</t>
        </is>
      </c>
    </row>
    <row r="598">
      <c r="A598" s="11" t="n">
        <v>595</v>
      </c>
      <c r="B598" s="11" t="inlineStr">
        <is>
          <t>C</t>
        </is>
      </c>
      <c r="C598" s="11" t="inlineStr">
        <is>
          <t>Gemeinde/Öffentlich</t>
        </is>
      </c>
      <c r="D598" s="11" t="inlineStr">
        <is>
          <t>[MiT UR-Kältekunde Nr. 2]</t>
        </is>
      </c>
      <c r="E598" s="11" t="inlineStr">
        <is>
          <t>Andermatt</t>
        </is>
      </c>
      <c r="F598" s="11" t="inlineStr">
        <is>
          <t>6490</t>
        </is>
      </c>
      <c r="G598" s="11" t="inlineStr">
        <is>
          <t>UR</t>
        </is>
      </c>
      <c r="H598" s="11" t="inlineStr">
        <is>
          <t>Energieverantwortlicher</t>
        </is>
      </c>
      <c r="I598" s="11" t="inlineStr">
        <is>
          <t>Betriebsleiter</t>
        </is>
      </c>
      <c r="J598" s="11" t="n"/>
      <c r="K598" s="11" t="inlineStr">
        <is>
          <t>(MiT-CRM)</t>
        </is>
      </c>
      <c r="L598" s="11" t="n"/>
      <c r="M598" s="11" t="inlineStr">
        <is>
          <t>offen</t>
        </is>
      </c>
      <c r="N598" s="11" t="inlineStr">
        <is>
          <t>MiT-CRM Roberto/Stefan: UR-Kunden ohne Strom prüfen</t>
        </is>
      </c>
      <c r="O598" s="11" t="inlineStr">
        <is>
          <t>Strom-Add-on MiT-Wärme/Kälte UR</t>
        </is>
      </c>
      <c r="P598" s="11" t="n"/>
      <c r="Q598" s="11" t="n"/>
      <c r="R598" s="11" t="inlineStr">
        <is>
          <t>Orascom Hotels (Chedi + Radisson) = weltklasse Budget; autofreies Dorf = kein Nein</t>
        </is>
      </c>
      <c r="S598" s="11" t="inlineStr">
        <is>
          <t>Cross-Sell MiT</t>
        </is>
      </c>
    </row>
    <row r="599">
      <c r="A599" s="11" t="n">
        <v>596</v>
      </c>
      <c r="B599" s="11" t="inlineStr">
        <is>
          <t>A</t>
        </is>
      </c>
      <c r="C599" s="11" t="inlineStr">
        <is>
          <t>EVU/Netzbetreiber</t>
        </is>
      </c>
      <c r="D599" s="11" t="inlineStr">
        <is>
          <t>Romande Energie SA</t>
        </is>
      </c>
      <c r="E599" s="11" t="inlineStr">
        <is>
          <t>Morges</t>
        </is>
      </c>
      <c r="F599" s="11" t="inlineStr">
        <is>
          <t>1110</t>
        </is>
      </c>
      <c r="G599" s="11" t="inlineStr">
        <is>
          <t>VD</t>
        </is>
      </c>
      <c r="H599" s="11" t="inlineStr">
        <is>
          <t>Responsable Réseau</t>
        </is>
      </c>
      <c r="I599" s="11" t="inlineStr">
        <is>
          <t>Ing. El.</t>
        </is>
      </c>
      <c r="J599" s="11" t="inlineStr">
        <is>
          <t>info@romande-energie.ch</t>
        </is>
      </c>
      <c r="K599" s="11" t="inlineStr">
        <is>
          <t>+41 21 801 82 21</t>
        </is>
      </c>
      <c r="L599" s="11" t="n"/>
      <c r="M599" s="11" t="inlineStr">
        <is>
          <t>offen</t>
        </is>
      </c>
      <c r="N599" s="11" t="inlineStr">
        <is>
          <t>Réseau Romande Energie; FR</t>
        </is>
      </c>
      <c r="O599" s="11" t="inlineStr">
        <is>
          <t>MS/HS-Revisionen VD; 320'000 Kunden; Lac Léman</t>
        </is>
      </c>
      <c r="P599" s="11" t="inlineStr">
        <is>
          <t>Generator</t>
        </is>
      </c>
      <c r="Q599" s="11" t="n"/>
      <c r="R599" s="11" t="inlineStr">
        <is>
          <t>Chemin de Mornex 10, 1001 Lausanne; 320'000 Kunden</t>
        </is>
      </c>
      <c r="S599" s="11" t="inlineStr">
        <is>
          <t>Kantonaler Versorger</t>
        </is>
      </c>
    </row>
    <row r="600">
      <c r="A600" s="11" t="n">
        <v>597</v>
      </c>
      <c r="B600" s="11" t="inlineStr">
        <is>
          <t>A</t>
        </is>
      </c>
      <c r="C600" s="11" t="inlineStr">
        <is>
          <t>EVU/Netzbetreiber</t>
        </is>
      </c>
      <c r="D600" s="11" t="inlineStr">
        <is>
          <t>Service Industriels Lausanne (SIL)</t>
        </is>
      </c>
      <c r="E600" s="11" t="inlineStr">
        <is>
          <t>Lausanne</t>
        </is>
      </c>
      <c r="F600" s="11" t="inlineStr">
        <is>
          <t>1002</t>
        </is>
      </c>
      <c r="G600" s="11" t="inlineStr">
        <is>
          <t>VD</t>
        </is>
      </c>
      <c r="H600" s="11" t="inlineStr">
        <is>
          <t>Responsable Réseau</t>
        </is>
      </c>
      <c r="I600" s="11" t="inlineStr">
        <is>
          <t>Ing. El.</t>
        </is>
      </c>
      <c r="J600" s="11" t="inlineStr">
        <is>
          <t>info@lausanne.ch</t>
        </is>
      </c>
      <c r="K600" s="11" t="inlineStr">
        <is>
          <t>+41 21 315 30 00</t>
        </is>
      </c>
      <c r="L600" s="11" t="n"/>
      <c r="M600" s="11" t="inlineStr">
        <is>
          <t>offen</t>
        </is>
      </c>
      <c r="N600" s="11" t="inlineStr">
        <is>
          <t>Réseau SIL Lausanne; FR</t>
        </is>
      </c>
      <c r="O600" s="11" t="inlineStr">
        <is>
          <t>Stadtversorgung Lausanne; MS-Revisionen; NEA Stadtgebäude</t>
        </is>
      </c>
      <c r="P600" s="11" t="inlineStr">
        <is>
          <t>Wärme</t>
        </is>
      </c>
      <c r="Q600" s="11" t="n"/>
      <c r="R600" s="11" t="inlineStr">
        <is>
          <t>Rue de Genève 36, 1002 Lausanne; Stadtwerk Lausanne</t>
        </is>
      </c>
      <c r="S600" s="11" t="inlineStr">
        <is>
          <t>Stadtwerk</t>
        </is>
      </c>
    </row>
    <row r="601">
      <c r="A601" s="11" t="n">
        <v>598</v>
      </c>
      <c r="B601" s="11" t="inlineStr">
        <is>
          <t>A</t>
        </is>
      </c>
      <c r="C601" s="11" t="inlineStr">
        <is>
          <t>Spital/Klinik</t>
        </is>
      </c>
      <c r="D601" s="11" t="inlineStr">
        <is>
          <t>CHUV – Centre Hospitalier Universitaire Vaudois</t>
        </is>
      </c>
      <c r="E601" s="11" t="inlineStr">
        <is>
          <t>Lausanne</t>
        </is>
      </c>
      <c r="F601" s="11" t="inlineStr">
        <is>
          <t>1011</t>
        </is>
      </c>
      <c r="G601" s="11" t="inlineStr">
        <is>
          <t>VD</t>
        </is>
      </c>
      <c r="H601" s="11" t="inlineStr">
        <is>
          <t>Directeur Technique</t>
        </is>
      </c>
      <c r="I601" s="11" t="inlineStr">
        <is>
          <t>Ing. El.</t>
        </is>
      </c>
      <c r="J601" s="11" t="inlineStr">
        <is>
          <t>info@chuv.ch</t>
        </is>
      </c>
      <c r="K601" s="11" t="inlineStr">
        <is>
          <t>+41 21 314 11 11</t>
        </is>
      </c>
      <c r="L601" s="11" t="n"/>
      <c r="M601" s="11" t="inlineStr">
        <is>
          <t>offen</t>
        </is>
      </c>
      <c r="N601" s="11" t="inlineStr">
        <is>
          <t>Directeur Technique CHUV; FR; Neubauten</t>
        </is>
      </c>
      <c r="O601" s="11" t="inlineStr">
        <is>
          <t>NEA 6× 500 kVA Pflicht; USV OP/ICU; universitär; 12'000 MA</t>
        </is>
      </c>
      <c r="P601" s="11" t="inlineStr">
        <is>
          <t>USV</t>
        </is>
      </c>
      <c r="Q601" s="11" t="n"/>
      <c r="R601" s="11" t="inlineStr">
        <is>
          <t>Rue du Bugnon 46, 1011 Lausanne; Größtes Spital Romandie; 12'000 MA</t>
        </is>
      </c>
      <c r="S601" s="11" t="inlineStr">
        <is>
          <t>Universitätsspital</t>
        </is>
      </c>
    </row>
    <row r="602">
      <c r="A602" s="11" t="n">
        <v>599</v>
      </c>
      <c r="B602" s="11" t="inlineStr">
        <is>
          <t>A</t>
        </is>
      </c>
      <c r="C602" s="11" t="inlineStr">
        <is>
          <t>Pharma/Chemie</t>
        </is>
      </c>
      <c r="D602" s="11" t="inlineStr">
        <is>
          <t>Nestlé SA – HQ Vevey</t>
        </is>
      </c>
      <c r="E602" s="11" t="inlineStr">
        <is>
          <t>Vevey</t>
        </is>
      </c>
      <c r="F602" s="11" t="inlineStr">
        <is>
          <t>1800</t>
        </is>
      </c>
      <c r="G602" s="11" t="inlineStr">
        <is>
          <t>VD</t>
        </is>
      </c>
      <c r="H602" s="11" t="inlineStr">
        <is>
          <t>Energiemanager</t>
        </is>
      </c>
      <c r="I602" s="11" t="inlineStr">
        <is>
          <t>MSc Energie</t>
        </is>
      </c>
      <c r="J602" s="11" t="inlineStr">
        <is>
          <t>info@nestle.com</t>
        </is>
      </c>
      <c r="K602" s="11" t="inlineStr">
        <is>
          <t>+41 21 924 21 11</t>
        </is>
      </c>
      <c r="L602" s="11" t="n"/>
      <c r="M602" s="11" t="inlineStr">
        <is>
          <t>offen</t>
        </is>
      </c>
      <c r="N602" s="11" t="inlineStr">
        <is>
          <t>Energiemanager Nestlé Vevey; ISO 50001 Argument</t>
        </is>
      </c>
      <c r="O602" s="11" t="inlineStr">
        <is>
          <t>Lebensmittel HQ + F&amp;E: NEA 5 MVA; ISO 50001; Kühlkette</t>
        </is>
      </c>
      <c r="P602" s="11" t="inlineStr">
        <is>
          <t>Kälte</t>
        </is>
      </c>
      <c r="Q602" s="11" t="n"/>
      <c r="R602" s="11" t="inlineStr">
        <is>
          <t>Avenue Nestlé 55, 1800 Vevey; Weltgrößter Lebensmittelkonzern</t>
        </is>
      </c>
      <c r="S602" s="11" t="inlineStr">
        <is>
          <t>Lebensmittel</t>
        </is>
      </c>
    </row>
    <row r="603">
      <c r="A603" s="11" t="n">
        <v>600</v>
      </c>
      <c r="B603" s="11" t="inlineStr">
        <is>
          <t>A</t>
        </is>
      </c>
      <c r="C603" s="11" t="inlineStr">
        <is>
          <t>Pharma/Chemie</t>
        </is>
      </c>
      <c r="D603" s="11" t="inlineStr">
        <is>
          <t>Philip Morris International – HQ Lausanne</t>
        </is>
      </c>
      <c r="E603" s="11" t="inlineStr">
        <is>
          <t>Lausanne</t>
        </is>
      </c>
      <c r="F603" s="11" t="inlineStr">
        <is>
          <t>1003</t>
        </is>
      </c>
      <c r="G603" s="11" t="inlineStr">
        <is>
          <t>VD</t>
        </is>
      </c>
      <c r="H603" s="11" t="inlineStr">
        <is>
          <t>Facility Manager</t>
        </is>
      </c>
      <c r="I603" s="11" t="inlineStr">
        <is>
          <t>MSc El.-Ing.</t>
        </is>
      </c>
      <c r="J603" s="11" t="inlineStr">
        <is>
          <t>info@pmi.com</t>
        </is>
      </c>
      <c r="K603" s="11" t="inlineStr">
        <is>
          <t>+41 58 242 00 00</t>
        </is>
      </c>
      <c r="L603" s="11" t="n"/>
      <c r="M603" s="11" t="inlineStr">
        <is>
          <t>offen</t>
        </is>
      </c>
      <c r="N603" s="11" t="inlineStr">
        <is>
          <t>Facility Manager PMI Lausanne</t>
        </is>
      </c>
      <c r="O603" s="11" t="inlineStr">
        <is>
          <t>HQ + RZ: NEA 2 MVA; USV; PQ-Compliance Fortune-200</t>
        </is>
      </c>
      <c r="P603" s="11" t="inlineStr">
        <is>
          <t>USV</t>
        </is>
      </c>
      <c r="Q603" s="11" t="n"/>
      <c r="R603" s="11" t="inlineStr">
        <is>
          <t>Quai de Rosemonde 5, 1003 Lausanne; Fortune-200</t>
        </is>
      </c>
      <c r="S603" s="11" t="inlineStr">
        <is>
          <t>Tabak</t>
        </is>
      </c>
    </row>
    <row r="604">
      <c r="A604" s="11" t="n">
        <v>601</v>
      </c>
      <c r="B604" s="11" t="inlineStr">
        <is>
          <t>A</t>
        </is>
      </c>
      <c r="C604" s="11" t="inlineStr">
        <is>
          <t>Rechenzentrum/IT</t>
        </is>
      </c>
      <c r="D604" s="11" t="inlineStr">
        <is>
          <t>Logitech International SA – HQ Apples VD</t>
        </is>
      </c>
      <c r="E604" s="11" t="inlineStr">
        <is>
          <t>Apples</t>
        </is>
      </c>
      <c r="F604" s="11" t="inlineStr">
        <is>
          <t>1143</t>
        </is>
      </c>
      <c r="G604" s="11" t="inlineStr">
        <is>
          <t>VD</t>
        </is>
      </c>
      <c r="H604" s="11" t="inlineStr">
        <is>
          <t>Facility Manager</t>
        </is>
      </c>
      <c r="I604" s="11" t="inlineStr">
        <is>
          <t>MSc Informatik</t>
        </is>
      </c>
      <c r="J604" s="11" t="inlineStr">
        <is>
          <t>info@logitech.com</t>
        </is>
      </c>
      <c r="K604" s="11" t="inlineStr">
        <is>
          <t>+41 21 863 51 11</t>
        </is>
      </c>
      <c r="L604" s="11" t="n"/>
      <c r="M604" s="11" t="inlineStr">
        <is>
          <t>offen</t>
        </is>
      </c>
      <c r="N604" s="11" t="inlineStr">
        <is>
          <t>Facility Manager Logitech VD</t>
        </is>
      </c>
      <c r="O604" s="11" t="inlineStr">
        <is>
          <t>HQ + RZ: USV 2× 200 kVA; NEA; PQ Fortune-500</t>
        </is>
      </c>
      <c r="P604" s="11" t="inlineStr">
        <is>
          <t>USV</t>
        </is>
      </c>
      <c r="Q604" s="11" t="n"/>
      <c r="R604" s="11" t="inlineStr">
        <is>
          <t>EPFL Innovation Park, Lausanne; Fortune-500 Logitech</t>
        </is>
      </c>
      <c r="S604" s="11" t="inlineStr">
        <is>
          <t>IT/Peripheriegeräte</t>
        </is>
      </c>
    </row>
    <row r="605">
      <c r="A605" s="11" t="n">
        <v>602</v>
      </c>
      <c r="B605" s="11" t="inlineStr">
        <is>
          <t>B</t>
        </is>
      </c>
      <c r="C605" s="11" t="inlineStr">
        <is>
          <t>Spital/Klinik</t>
        </is>
      </c>
      <c r="D605" s="11" t="inlineStr">
        <is>
          <t>Clinique de Montchoisi – Genolier Gruppe</t>
        </is>
      </c>
      <c r="E605" s="11" t="inlineStr">
        <is>
          <t>Lausanne</t>
        </is>
      </c>
      <c r="F605" s="11" t="inlineStr">
        <is>
          <t>1006</t>
        </is>
      </c>
      <c r="G605" s="11" t="inlineStr">
        <is>
          <t>VD</t>
        </is>
      </c>
      <c r="H605" s="11" t="inlineStr">
        <is>
          <t>Directeur Technique</t>
        </is>
      </c>
      <c r="I605" s="11" t="inlineStr">
        <is>
          <t>Ing. El.</t>
        </is>
      </c>
      <c r="J605" s="11" t="inlineStr">
        <is>
          <t>info@montchoisi.ch</t>
        </is>
      </c>
      <c r="K605" s="11" t="inlineStr">
        <is>
          <t>+41 21 619 33 33</t>
        </is>
      </c>
      <c r="L605" s="11" t="n"/>
      <c r="M605" s="11" t="inlineStr">
        <is>
          <t>offen</t>
        </is>
      </c>
      <c r="N605" s="11" t="inlineStr">
        <is>
          <t>Directeur Technique Montchoisi</t>
        </is>
      </c>
      <c r="O605" s="11" t="inlineStr">
        <is>
          <t>NEA + USV Privatklinik; 1× 250 kVA</t>
        </is>
      </c>
      <c r="P605" s="11" t="inlineStr">
        <is>
          <t>USV</t>
        </is>
      </c>
      <c r="Q605" s="11" t="n"/>
      <c r="R605" s="11" t="inlineStr">
        <is>
          <t>Chemin de Mont-Paisible 20, 1006 Lausanne; Genolier Gruppe</t>
        </is>
      </c>
      <c r="S605" s="11" t="inlineStr">
        <is>
          <t>Privatklinik</t>
        </is>
      </c>
    </row>
    <row r="606">
      <c r="A606" s="11" t="n">
        <v>603</v>
      </c>
      <c r="B606" s="11" t="inlineStr">
        <is>
          <t>B</t>
        </is>
      </c>
      <c r="C606" s="11" t="inlineStr">
        <is>
          <t>Bau/Infrastruktur</t>
        </is>
      </c>
      <c r="D606" s="11" t="inlineStr">
        <is>
          <t>STEP de la Broye – VD</t>
        </is>
      </c>
      <c r="E606" s="11" t="inlineStr">
        <is>
          <t>Epalinges</t>
        </is>
      </c>
      <c r="F606" s="11" t="inlineStr">
        <is>
          <t>1066</t>
        </is>
      </c>
      <c r="G606" s="11" t="inlineStr">
        <is>
          <t>VD</t>
        </is>
      </c>
      <c r="H606" s="11" t="inlineStr">
        <is>
          <t>Responsable Technique</t>
        </is>
      </c>
      <c r="I606" s="11" t="inlineStr">
        <is>
          <t>Technicien</t>
        </is>
      </c>
      <c r="J606" s="11" t="inlineStr">
        <is>
          <t>info@step-vd.ch</t>
        </is>
      </c>
      <c r="K606" s="11" t="inlineStr">
        <is>
          <t>+41 21 316 70 00</t>
        </is>
      </c>
      <c r="L606" s="11" t="n"/>
      <c r="M606" s="11" t="inlineStr">
        <is>
          <t>offen</t>
        </is>
      </c>
      <c r="N606" s="11" t="inlineStr">
        <is>
          <t>Responsable + simap.ch Alert VD; FR</t>
        </is>
      </c>
      <c r="O606" s="11" t="inlineStr">
        <is>
          <t>NEA-Pflicht 1× 400 kVA; Lac Léman-Schutz</t>
        </is>
      </c>
      <c r="P606" s="11" t="inlineStr">
        <is>
          <t>Generator</t>
        </is>
      </c>
      <c r="Q606" s="11" t="n"/>
      <c r="R606" s="11" t="inlineStr">
        <is>
          <t>Lac Léman-Schutz; Pflicht; FR</t>
        </is>
      </c>
      <c r="S606" s="11" t="inlineStr">
        <is>
          <t>ARA</t>
        </is>
      </c>
    </row>
    <row r="607">
      <c r="A607" s="11" t="n">
        <v>604</v>
      </c>
      <c r="B607" s="11" t="inlineStr">
        <is>
          <t>C</t>
        </is>
      </c>
      <c r="C607" s="11" t="inlineStr">
        <is>
          <t>Gemeinde/Öffentlich</t>
        </is>
      </c>
      <c r="D607" s="11" t="inlineStr">
        <is>
          <t>Canton de Vaud – Bâtiments</t>
        </is>
      </c>
      <c r="E607" s="11" t="inlineStr">
        <is>
          <t>Lausanne</t>
        </is>
      </c>
      <c r="F607" s="11" t="inlineStr">
        <is>
          <t>1014</t>
        </is>
      </c>
      <c r="G607" s="11" t="inlineStr">
        <is>
          <t>VD</t>
        </is>
      </c>
      <c r="H607" s="11" t="inlineStr">
        <is>
          <t>Chef Bâtiments</t>
        </is>
      </c>
      <c r="I607" s="11" t="inlineStr">
        <is>
          <t>Ingénieur Cantonal</t>
        </is>
      </c>
      <c r="J607" s="11" t="inlineStr">
        <is>
          <t>info@vd.ch</t>
        </is>
      </c>
      <c r="K607" s="11" t="inlineStr">
        <is>
          <t>+41 21 316 10 00</t>
        </is>
      </c>
      <c r="L607" s="11" t="n"/>
      <c r="M607" s="11" t="inlineStr">
        <is>
          <t>offen</t>
        </is>
      </c>
      <c r="N607" s="11" t="inlineStr">
        <is>
          <t>Hochbauamt VD + simap.ch; FR</t>
        </is>
      </c>
      <c r="O607" s="11" t="inlineStr">
        <is>
          <t>NEA kantonale Gebäude 1 MVA; Rahmenvertrag; FR</t>
        </is>
      </c>
      <c r="P607" s="11" t="n"/>
      <c r="Q607" s="11" t="n"/>
      <c r="R607" s="11" t="inlineStr">
        <is>
          <t>Place de la Riponne 10, 1014 Lausanne; Romandie Hauptkanton</t>
        </is>
      </c>
      <c r="S607" s="11" t="inlineStr">
        <is>
          <t>Kanton</t>
        </is>
      </c>
    </row>
    <row r="608">
      <c r="A608" s="11" t="n">
        <v>605</v>
      </c>
      <c r="B608" s="11" t="inlineStr">
        <is>
          <t>A</t>
        </is>
      </c>
      <c r="C608" s="11" t="inlineStr">
        <is>
          <t>Pharma/Chemie</t>
        </is>
      </c>
      <c r="D608" s="11" t="inlineStr">
        <is>
          <t>Nestlé SA (HQ Vevey VD)</t>
        </is>
      </c>
      <c r="E608" s="11" t="inlineStr">
        <is>
          <t>Vevey</t>
        </is>
      </c>
      <c r="F608" s="11" t="inlineStr">
        <is>
          <t>1800</t>
        </is>
      </c>
      <c r="G608" s="11" t="inlineStr">
        <is>
          <t>VD</t>
        </is>
      </c>
      <c r="H608" s="11" t="inlineStr">
        <is>
          <t>Energiemanager Global</t>
        </is>
      </c>
      <c r="I608" s="11" t="inlineStr">
        <is>
          <t>MSc El.-Ing.</t>
        </is>
      </c>
      <c r="J608" s="11" t="inlineStr">
        <is>
          <t>info@nestle.com</t>
        </is>
      </c>
      <c r="K608" s="11" t="inlineStr">
        <is>
          <t>+41 21 924 21 11</t>
        </is>
      </c>
      <c r="L608" s="11" t="n"/>
      <c r="M608" s="11" t="inlineStr">
        <is>
          <t>offen</t>
        </is>
      </c>
      <c r="N608" s="11" t="inlineStr">
        <is>
          <t>Energiemanager Nestlé HQ; Avenue Nestlé 55 Vevey; Fortune-50-Pitch</t>
        </is>
      </c>
      <c r="O608" s="11" t="inlineStr">
        <is>
          <t>Nestlé HQ: NEA 5 MVA; USV; PQ; ISO 50001; CHF 91.3 Mrd. Umsatz; Fortune-50</t>
        </is>
      </c>
      <c r="P608" s="11" t="inlineStr">
        <is>
          <t>USV</t>
        </is>
      </c>
      <c r="Q608" s="11" t="n"/>
      <c r="R608" s="11" t="inlineStr">
        <is>
          <t>Adr: Avenue Nestlé 55, 1800 Vevey | Nestlé HQ; Fortune-50; CHF 91.3 Mrd.; 272'000 MA</t>
        </is>
      </c>
      <c r="S608" s="11" t="inlineStr">
        <is>
          <t>Nahrungsmittel</t>
        </is>
      </c>
    </row>
    <row r="609">
      <c r="A609" s="11" t="n">
        <v>606</v>
      </c>
      <c r="B609" s="11" t="inlineStr">
        <is>
          <t>A</t>
        </is>
      </c>
      <c r="C609" s="11" t="inlineStr">
        <is>
          <t>EVU/Netzbetreiber</t>
        </is>
      </c>
      <c r="D609" s="11" t="inlineStr">
        <is>
          <t>Services Industriels de Lausanne (SIL)</t>
        </is>
      </c>
      <c r="E609" s="11" t="inlineStr">
        <is>
          <t>Lausanne</t>
        </is>
      </c>
      <c r="F609" s="11" t="inlineStr">
        <is>
          <t>1000</t>
        </is>
      </c>
      <c r="G609" s="11" t="inlineStr">
        <is>
          <t>VD</t>
        </is>
      </c>
      <c r="H609" s="11" t="inlineStr">
        <is>
          <t>Directeur Réseau</t>
        </is>
      </c>
      <c r="I609" s="11" t="inlineStr">
        <is>
          <t>Dipl. El.-Ing.</t>
        </is>
      </c>
      <c r="J609" s="11" t="inlineStr">
        <is>
          <t>info@lausanne.ch</t>
        </is>
      </c>
      <c r="K609" s="11" t="inlineStr">
        <is>
          <t>+41 21 315 80 00</t>
        </is>
      </c>
      <c r="L609" s="11" t="n"/>
      <c r="M609" s="11" t="inlineStr">
        <is>
          <t>offen</t>
        </is>
      </c>
      <c r="N609" s="11" t="inlineStr">
        <is>
          <t>Directeur Réseau SIL; Avenue de Longemalle 1 Lausanne; Revisionskalender</t>
        </is>
      </c>
      <c r="O609" s="11" t="inlineStr">
        <is>
          <t>Stadtwerk Lausanne: 300'000 Kunden; MS/HS-Revisionen; BESS; Strom+Gas+Wasser+Wärme</t>
        </is>
      </c>
      <c r="P609" s="11" t="inlineStr">
        <is>
          <t>BESS</t>
        </is>
      </c>
      <c r="Q609" s="11" t="n"/>
      <c r="R609" s="11" t="inlineStr">
        <is>
          <t>Adr: Avenue de Longemalle 1, 1000 Lausanne | 300'000 Kunden; Strom+Gas+Wasser+Wärme</t>
        </is>
      </c>
      <c r="S609" s="11" t="inlineStr">
        <is>
          <t>Kantonaler EVU</t>
        </is>
      </c>
    </row>
    <row r="610">
      <c r="A610" s="11" t="n">
        <v>607</v>
      </c>
      <c r="B610" s="11" t="inlineStr">
        <is>
          <t>A</t>
        </is>
      </c>
      <c r="C610" s="11" t="inlineStr">
        <is>
          <t>Spital/Klinik</t>
        </is>
      </c>
      <c r="D610" s="11" t="inlineStr">
        <is>
          <t>CHUV (Centre hospitalier universitaire vaudois)</t>
        </is>
      </c>
      <c r="E610" s="11" t="inlineStr">
        <is>
          <t>Lausanne</t>
        </is>
      </c>
      <c r="F610" s="11" t="inlineStr">
        <is>
          <t>1011</t>
        </is>
      </c>
      <c r="G610" s="11" t="inlineStr">
        <is>
          <t>VD</t>
        </is>
      </c>
      <c r="H610" s="11" t="inlineStr">
        <is>
          <t>Responsable Technique</t>
        </is>
      </c>
      <c r="I610" s="11" t="inlineStr">
        <is>
          <t>MSc El.-Ing.</t>
        </is>
      </c>
      <c r="J610" s="11" t="inlineStr">
        <is>
          <t>info@chuv.ch</t>
        </is>
      </c>
      <c r="K610" s="11" t="inlineStr">
        <is>
          <t>+41 21 314 11 11</t>
        </is>
      </c>
      <c r="L610" s="11" t="n"/>
      <c r="M610" s="11" t="inlineStr">
        <is>
          <t>offen</t>
        </is>
      </c>
      <c r="N610" s="11" t="inlineStr">
        <is>
          <t>Responsable Technique CHUV; Rue du Bugnon 46 Lausanne; simap.ch VD</t>
        </is>
      </c>
      <c r="O610" s="11" t="inlineStr">
        <is>
          <t>NEA 10× 500 kVA; USV OP/ICU; 11'000 MA; Grösste Klinik VD; Neubau läuft</t>
        </is>
      </c>
      <c r="P610" s="11" t="inlineStr">
        <is>
          <t>USV</t>
        </is>
      </c>
      <c r="Q610" s="11" t="n"/>
      <c r="R610" s="11" t="inlineStr">
        <is>
          <t>Adr: Rue du Bugnon 46, 1011 Lausanne | 11'000 MA; grösste Klinik VD; Neubau</t>
        </is>
      </c>
      <c r="S610" s="11" t="inlineStr">
        <is>
          <t>Universitätsspital</t>
        </is>
      </c>
    </row>
    <row r="611">
      <c r="A611" s="11" t="n">
        <v>608</v>
      </c>
      <c r="B611" s="11" t="inlineStr">
        <is>
          <t>A</t>
        </is>
      </c>
      <c r="C611" s="11" t="inlineStr">
        <is>
          <t>Forschung/Bildung</t>
        </is>
      </c>
      <c r="D611" s="11" t="inlineStr">
        <is>
          <t>EPFL (Ecole Polytechnique Fédérale Lausanne)</t>
        </is>
      </c>
      <c r="E611" s="11" t="inlineStr">
        <is>
          <t>Lausanne</t>
        </is>
      </c>
      <c r="F611" s="11" t="inlineStr">
        <is>
          <t>1015</t>
        </is>
      </c>
      <c r="G611" s="11" t="inlineStr">
        <is>
          <t>VD</t>
        </is>
      </c>
      <c r="H611" s="11" t="inlineStr">
        <is>
          <t>Directeur Facilities</t>
        </is>
      </c>
      <c r="I611" s="11" t="inlineStr">
        <is>
          <t>MSc Ing.</t>
        </is>
      </c>
      <c r="J611" s="11" t="inlineStr">
        <is>
          <t>info@epfl.ch</t>
        </is>
      </c>
      <c r="K611" s="11" t="inlineStr">
        <is>
          <t>+41 21 693 11 11</t>
        </is>
      </c>
      <c r="L611" s="11" t="n"/>
      <c r="M611" s="11" t="inlineStr">
        <is>
          <t>offen</t>
        </is>
      </c>
      <c r="N611" s="11" t="inlineStr">
        <is>
          <t>Directeur Facilities EPFL; Route Cantonale 1015 Lausanne; simap.ch VD</t>
        </is>
      </c>
      <c r="O611" s="11" t="inlineStr">
        <is>
          <t>Campus: NEA 3× 500 kVA; USV Labors; PQ; HPC; 14'000 Studenten; Innovationspark</t>
        </is>
      </c>
      <c r="P611" s="11" t="inlineStr">
        <is>
          <t>USV</t>
        </is>
      </c>
      <c r="Q611" s="11" t="n"/>
      <c r="R611" s="11" t="inlineStr">
        <is>
          <t>Adr: Route Cantonale, 1015 Lausanne | 14'000 Studenten; ETH-Westschweiz; Innovationspark</t>
        </is>
      </c>
      <c r="S611" s="11" t="inlineStr">
        <is>
          <t>ETH-Westschweiz</t>
        </is>
      </c>
    </row>
    <row r="612">
      <c r="A612" s="11" t="n">
        <v>609</v>
      </c>
      <c r="B612" s="11" t="inlineStr">
        <is>
          <t>A</t>
        </is>
      </c>
      <c r="C612" s="11" t="inlineStr">
        <is>
          <t>Pharma/Chemie</t>
        </is>
      </c>
      <c r="D612" s="11" t="inlineStr">
        <is>
          <t>Philip Morris International (PMI HQ Lausanne)</t>
        </is>
      </c>
      <c r="E612" s="11" t="inlineStr">
        <is>
          <t>Lausanne</t>
        </is>
      </c>
      <c r="F612" s="11" t="inlineStr">
        <is>
          <t>1000</t>
        </is>
      </c>
      <c r="G612" s="11" t="inlineStr">
        <is>
          <t>VD</t>
        </is>
      </c>
      <c r="H612" s="11" t="inlineStr">
        <is>
          <t>Facility Manager</t>
        </is>
      </c>
      <c r="I612" s="11" t="inlineStr">
        <is>
          <t>MSc El.-Ing.</t>
        </is>
      </c>
      <c r="J612" s="11" t="inlineStr">
        <is>
          <t>info@pmi.com</t>
        </is>
      </c>
      <c r="K612" s="11" t="inlineStr">
        <is>
          <t>+41 21 644 55 50</t>
        </is>
      </c>
      <c r="L612" s="11" t="n"/>
      <c r="M612" s="11" t="inlineStr">
        <is>
          <t>offen</t>
        </is>
      </c>
      <c r="N612" s="11" t="inlineStr">
        <is>
          <t>Facility Manager PMI HQ; Quai d'Arve 16 Lausanne; Fortune-100-Pitch</t>
        </is>
      </c>
      <c r="O612" s="11" t="inlineStr">
        <is>
          <t>PMI EMEA-HQ: NEA + USV 500 kVA; PQ Fortune-100; 2'500 MA Lausanne</t>
        </is>
      </c>
      <c r="P612" s="11" t="inlineStr">
        <is>
          <t>USV</t>
        </is>
      </c>
      <c r="Q612" s="11" t="n"/>
      <c r="R612" s="11" t="inlineStr">
        <is>
          <t>Adr: Lausanne, 1000 VD | PMI EMEA-HQ; Fortune-100; CHF 35 Mrd.</t>
        </is>
      </c>
      <c r="S612" s="11" t="inlineStr">
        <is>
          <t>Nahrungsmittel</t>
        </is>
      </c>
    </row>
    <row r="613">
      <c r="A613" s="11" t="n">
        <v>610</v>
      </c>
      <c r="B613" s="11" t="inlineStr">
        <is>
          <t>A</t>
        </is>
      </c>
      <c r="C613" s="11" t="inlineStr">
        <is>
          <t>Pharma/Chemie</t>
        </is>
      </c>
      <c r="D613" s="11" t="inlineStr">
        <is>
          <t>UCB Pharma SA (VD-Werk)</t>
        </is>
      </c>
      <c r="E613" s="11" t="inlineStr">
        <is>
          <t>Bulle</t>
        </is>
      </c>
      <c r="F613" s="11" t="inlineStr">
        <is>
          <t>1630</t>
        </is>
      </c>
      <c r="G613" s="11" t="inlineStr">
        <is>
          <t>VD</t>
        </is>
      </c>
      <c r="H613" s="11" t="inlineStr">
        <is>
          <t>Betriebsleiter Technik</t>
        </is>
      </c>
      <c r="I613" s="11" t="inlineStr">
        <is>
          <t>MSc El.-Ing.</t>
        </is>
      </c>
      <c r="J613" s="11" t="inlineStr">
        <is>
          <t>info@ucb.com</t>
        </is>
      </c>
      <c r="K613" s="11" t="inlineStr">
        <is>
          <t>+41 26 913 02 11</t>
        </is>
      </c>
      <c r="L613" s="11" t="n"/>
      <c r="M613" s="11" t="inlineStr">
        <is>
          <t>offen</t>
        </is>
      </c>
      <c r="N613" s="11" t="inlineStr">
        <is>
          <t>Betriebsleiter UCB Pharma Bulle VD; GMP-Pitch</t>
        </is>
      </c>
      <c r="O613" s="11" t="inlineStr">
        <is>
          <t>Pharma GMP: NEA 1.5 MVA; USV; PQ Reinräume; UCB = Fortune-500</t>
        </is>
      </c>
      <c r="P613" s="11" t="inlineStr">
        <is>
          <t>USV</t>
        </is>
      </c>
      <c r="Q613" s="11" t="n"/>
      <c r="R613" s="11" t="inlineStr">
        <is>
          <t>Adr: Bulle, 1630 VD | UCB Pharma; GMP; Fortune-500</t>
        </is>
      </c>
      <c r="S613" s="11" t="inlineStr">
        <is>
          <t>Pharma</t>
        </is>
      </c>
    </row>
    <row r="614">
      <c r="A614" s="11" t="n">
        <v>611</v>
      </c>
      <c r="B614" s="11" t="inlineStr">
        <is>
          <t>A</t>
        </is>
      </c>
      <c r="C614" s="11" t="inlineStr">
        <is>
          <t>Bau/Infrastruktur</t>
        </is>
      </c>
      <c r="D614" s="11" t="inlineStr">
        <is>
          <t>SBB AG Lausanne (Infrastruktur VD)</t>
        </is>
      </c>
      <c r="E614" s="11" t="inlineStr">
        <is>
          <t>Lausanne</t>
        </is>
      </c>
      <c r="F614" s="11" t="inlineStr">
        <is>
          <t>1003</t>
        </is>
      </c>
      <c r="G614" s="11" t="inlineStr">
        <is>
          <t>VD</t>
        </is>
      </c>
      <c r="H614" s="11" t="inlineStr">
        <is>
          <t>Betriebsleiter Infra Energie VD</t>
        </is>
      </c>
      <c r="I614" s="11" t="inlineStr">
        <is>
          <t>MSc El.-Ing.</t>
        </is>
      </c>
      <c r="J614" s="11" t="inlineStr">
        <is>
          <t>kontakt@sbb.ch</t>
        </is>
      </c>
      <c r="K614" s="11" t="inlineStr">
        <is>
          <t>+41 58 333 33 33</t>
        </is>
      </c>
      <c r="L614" s="11" t="n"/>
      <c r="M614" s="11" t="inlineStr">
        <is>
          <t>offen</t>
        </is>
      </c>
      <c r="N614" s="11" t="inlineStr">
        <is>
          <t>SBB Infra Lausanne; Westschweizer Knotenpunkt; simap.ch VD</t>
        </is>
      </c>
      <c r="O614" s="11" t="inlineStr">
        <is>
          <t>Bahnhof Lausanne + Infrastruktur VD: NEA + Baustrom; Revisionen Strecke VD</t>
        </is>
      </c>
      <c r="P614" s="11" t="n"/>
      <c r="Q614" s="11" t="n"/>
      <c r="R614" s="11" t="inlineStr">
        <is>
          <t>Adr: Bahnhof Lausanne, 1003 VD | SBB Lausanne; Westschweizer Knotenpunkt</t>
        </is>
      </c>
      <c r="S614" s="11" t="inlineStr">
        <is>
          <t>Bundesbahn</t>
        </is>
      </c>
    </row>
    <row r="615">
      <c r="A615" s="11" t="n">
        <v>612</v>
      </c>
      <c r="B615" s="11" t="inlineStr">
        <is>
          <t>B</t>
        </is>
      </c>
      <c r="C615" s="11" t="inlineStr">
        <is>
          <t>Gemeinde/Öffentlich</t>
        </is>
      </c>
      <c r="D615" s="11" t="inlineStr">
        <is>
          <t>Canton de Vaud (SIPAL Bâtiments)</t>
        </is>
      </c>
      <c r="E615" s="11" t="inlineStr">
        <is>
          <t>Lausanne</t>
        </is>
      </c>
      <c r="F615" s="11" t="inlineStr">
        <is>
          <t>1014</t>
        </is>
      </c>
      <c r="G615" s="11" t="inlineStr">
        <is>
          <t>VD</t>
        </is>
      </c>
      <c r="H615" s="11" t="inlineStr">
        <is>
          <t>Directeur SIPAL</t>
        </is>
      </c>
      <c r="I615" s="11" t="inlineStr">
        <is>
          <t>Ingénieur cantonal</t>
        </is>
      </c>
      <c r="J615" s="11" t="inlineStr">
        <is>
          <t>info@vd.ch</t>
        </is>
      </c>
      <c r="K615" s="11" t="inlineStr">
        <is>
          <t>+41 21 316 64 64</t>
        </is>
      </c>
      <c r="L615" s="11" t="n"/>
      <c r="M615" s="11" t="inlineStr">
        <is>
          <t>offen</t>
        </is>
      </c>
      <c r="N615" s="11" t="inlineStr">
        <is>
          <t>SIPAL VD; Chemin des Boveresses 155 Lausanne; simap.ch Alert VD</t>
        </is>
      </c>
      <c r="O615" s="11" t="inlineStr">
        <is>
          <t>NEA kantonale Gebäude VD; 1'000+ Liegenschaften; Rahmenvertrag VD</t>
        </is>
      </c>
      <c r="P615" s="11" t="n"/>
      <c r="Q615" s="11" t="n"/>
      <c r="R615" s="11" t="inlineStr">
        <is>
          <t>Adr: Chemin des Boveresses 155, 1014 Lausanne | 1'000+ Liegenschaften</t>
        </is>
      </c>
      <c r="S615" s="11" t="inlineStr">
        <is>
          <t>Kanton VD</t>
        </is>
      </c>
    </row>
    <row r="616">
      <c r="A616" s="11" t="n">
        <v>613</v>
      </c>
      <c r="B616" s="11" t="inlineStr">
        <is>
          <t>B</t>
        </is>
      </c>
      <c r="C616" s="11" t="inlineStr">
        <is>
          <t>Bergbahn/Tourismus</t>
        </is>
      </c>
      <c r="D616" s="11" t="inlineStr">
        <is>
          <t>Télé Villars Gryon (Skigebiet VD/VS)</t>
        </is>
      </c>
      <c r="E616" s="11" t="inlineStr">
        <is>
          <t>Villars-sur-Ollon</t>
        </is>
      </c>
      <c r="F616" s="11" t="inlineStr">
        <is>
          <t>1884</t>
        </is>
      </c>
      <c r="G616" s="11" t="inlineStr">
        <is>
          <t>VD</t>
        </is>
      </c>
      <c r="H616" s="11" t="inlineStr">
        <is>
          <t>Betriebsleiter Technik</t>
        </is>
      </c>
      <c r="I616" s="11" t="inlineStr">
        <is>
          <t>Techniker</t>
        </is>
      </c>
      <c r="J616" s="11" t="inlineStr">
        <is>
          <t>info@villars.ch</t>
        </is>
      </c>
      <c r="K616" s="11" t="inlineStr">
        <is>
          <t>+41 24 495 32 32</t>
        </is>
      </c>
      <c r="L616" s="11" t="n"/>
      <c r="M616" s="11" t="inlineStr">
        <is>
          <t>offen</t>
        </is>
      </c>
      <c r="N616" s="11" t="inlineStr">
        <is>
          <t>Betriebsleiter Villars; Herbst-Revisionsfenster; alpine Pitch VD</t>
        </is>
      </c>
      <c r="O616" s="11" t="inlineStr">
        <is>
          <t>Skigebiet Villars: NEA + Generator 500 kVA; FU-Gondeln; alpine VD/VS-Lage</t>
        </is>
      </c>
      <c r="P616" s="11" t="inlineStr">
        <is>
          <t>Generator</t>
        </is>
      </c>
      <c r="Q616" s="11" t="n"/>
      <c r="R616" s="11" t="inlineStr">
        <is>
          <t>Adr: Villars-sur-Ollon, 1884 VD | Skigebiet Villars; alpine VD/VS-Lage</t>
        </is>
      </c>
      <c r="S616" s="11" t="inlineStr">
        <is>
          <t>Skigebiet Vaud</t>
        </is>
      </c>
    </row>
    <row r="617">
      <c r="A617" s="11" t="n">
        <v>614</v>
      </c>
      <c r="B617" s="11" t="inlineStr">
        <is>
          <t>B</t>
        </is>
      </c>
      <c r="C617" s="11" t="inlineStr">
        <is>
          <t>Elektroplaner/Engineering</t>
        </is>
      </c>
      <c r="D617" s="11" t="inlineStr">
        <is>
          <t>Electricité SOTTAS SA (Lausanne)</t>
        </is>
      </c>
      <c r="E617" s="11" t="inlineStr">
        <is>
          <t>Lausanne</t>
        </is>
      </c>
      <c r="F617" s="11" t="inlineStr">
        <is>
          <t>1000</t>
        </is>
      </c>
      <c r="G617" s="11" t="inlineStr">
        <is>
          <t>VD</t>
        </is>
      </c>
      <c r="H617" s="11" t="inlineStr">
        <is>
          <t>Directeur</t>
        </is>
      </c>
      <c r="I617" s="11" t="inlineStr">
        <is>
          <t>Electrotechnicien</t>
        </is>
      </c>
      <c r="J617" s="11" t="inlineStr">
        <is>
          <t>info@sottas.ch</t>
        </is>
      </c>
      <c r="K617" s="11" t="inlineStr">
        <is>
          <t>+41 21 641 33 33</t>
        </is>
      </c>
      <c r="L617" s="11" t="n"/>
      <c r="M617" s="11" t="inlineStr">
        <is>
          <t>offen</t>
        </is>
      </c>
      <c r="N617" s="11" t="inlineStr">
        <is>
          <t>Directeur SOTTAS; Lausanne VD; Partnerschaft VD besprechen</t>
        </is>
      </c>
      <c r="O617" s="11" t="inlineStr">
        <is>
          <t>Elektrounternehmen Lausanne: Industrie+Spitäler+Hotels; VD-Marktführer</t>
        </is>
      </c>
      <c r="P617" s="11" t="n"/>
      <c r="Q617" s="11" t="n"/>
      <c r="R617" s="11" t="inlineStr">
        <is>
          <t>Adr: Lausanne, 1000 VD | Elektrounternehmen VD; Türöffner CHUV+EPFL+Nestlé</t>
        </is>
      </c>
      <c r="S617" s="11" t="inlineStr">
        <is>
          <t>Elektrounternehmen VD</t>
        </is>
      </c>
    </row>
    <row r="618">
      <c r="A618" s="11" t="n">
        <v>615</v>
      </c>
      <c r="B618" s="11" t="inlineStr">
        <is>
          <t>B</t>
        </is>
      </c>
      <c r="C618" s="11" t="inlineStr">
        <is>
          <t>Bau/Infrastruktur</t>
        </is>
      </c>
      <c r="D618" s="11" t="inlineStr">
        <is>
          <t>STEP de Lausanne (Lac-Léman-Schutz)</t>
        </is>
      </c>
      <c r="E618" s="11" t="inlineStr">
        <is>
          <t>Lausanne</t>
        </is>
      </c>
      <c r="F618" s="11" t="inlineStr">
        <is>
          <t>1000</t>
        </is>
      </c>
      <c r="G618" s="11" t="inlineStr">
        <is>
          <t>VD</t>
        </is>
      </c>
      <c r="H618" s="11" t="inlineStr">
        <is>
          <t>Responsable STEP</t>
        </is>
      </c>
      <c r="I618" s="11" t="inlineStr">
        <is>
          <t>Techniker</t>
        </is>
      </c>
      <c r="J618" s="11" t="inlineStr">
        <is>
          <t>info@step-lausanne.ch</t>
        </is>
      </c>
      <c r="K618" s="11" t="inlineStr">
        <is>
          <t>+41 21 315 05 51</t>
        </is>
      </c>
      <c r="L618" s="11" t="n"/>
      <c r="M618" s="11" t="inlineStr">
        <is>
          <t>offen</t>
        </is>
      </c>
      <c r="N618" s="11" t="inlineStr">
        <is>
          <t>Responsable STEP Lausanne; simap.ch Alert VD</t>
        </is>
      </c>
      <c r="O618" s="11" t="inlineStr">
        <is>
          <t>NEA-Pflicht 1× 500 kVA; Lac-Léman-Schutz; 24h</t>
        </is>
      </c>
      <c r="P618" s="11" t="inlineStr">
        <is>
          <t>Generator</t>
        </is>
      </c>
      <c r="Q618" s="11" t="n"/>
      <c r="R618" s="11" t="inlineStr">
        <is>
          <t>Adr: Lausanne, 1000 VD | Lac-Léman-Schutz; Ausschreibungspflicht</t>
        </is>
      </c>
      <c r="S618" s="11" t="inlineStr">
        <is>
          <t>ARA Lausanne VD</t>
        </is>
      </c>
    </row>
    <row r="619">
      <c r="A619" s="11" t="n">
        <v>616</v>
      </c>
      <c r="B619" s="11" t="inlineStr">
        <is>
          <t>B</t>
        </is>
      </c>
      <c r="C619" s="11" t="inlineStr">
        <is>
          <t>Events/Messen</t>
        </is>
      </c>
      <c r="D619" s="11" t="inlineStr">
        <is>
          <t>Montreux Jazz Festival (FFJM)</t>
        </is>
      </c>
      <c r="E619" s="11" t="inlineStr">
        <is>
          <t>Montreux</t>
        </is>
      </c>
      <c r="F619" s="11" t="inlineStr">
        <is>
          <t>1820</t>
        </is>
      </c>
      <c r="G619" s="11" t="inlineStr">
        <is>
          <t>VD</t>
        </is>
      </c>
      <c r="H619" s="11" t="inlineStr">
        <is>
          <t>Directeur Technique</t>
        </is>
      </c>
      <c r="I619" s="11" t="inlineStr">
        <is>
          <t>Veranstaltungstechniker</t>
        </is>
      </c>
      <c r="J619" s="11" t="inlineStr">
        <is>
          <t>info@montreuxjazz.com</t>
        </is>
      </c>
      <c r="K619" s="11" t="inlineStr">
        <is>
          <t>+41 21 962 10 00</t>
        </is>
      </c>
      <c r="L619" s="11" t="n"/>
      <c r="M619" s="11" t="inlineStr">
        <is>
          <t>offen</t>
        </is>
      </c>
      <c r="N619" s="11" t="inlineStr">
        <is>
          <t>Directeur Technique FFJM; Kontakt Herbst für Juli; Broadcast-Pitch</t>
        </is>
      </c>
      <c r="O619" s="11" t="inlineStr">
        <is>
          <t>Montreux Jazz Festival Juli: Temporary Power 1 MVA; USV Broadcast TV; 250'000 Besucher</t>
        </is>
      </c>
      <c r="P619" s="11" t="inlineStr">
        <is>
          <t>Generator</t>
        </is>
      </c>
      <c r="Q619" s="11" t="n"/>
      <c r="R619" s="11" t="inlineStr">
        <is>
          <t>Adr: Montreux, 1820 VD | Montreux Jazz Festival; 250'000 Besucher; Juli; Broadcast</t>
        </is>
      </c>
      <c r="S619" s="11" t="inlineStr">
        <is>
          <t>Musik-Festival</t>
        </is>
      </c>
    </row>
    <row r="620">
      <c r="A620" s="11" t="n">
        <v>617</v>
      </c>
      <c r="B620" s="11" t="inlineStr">
        <is>
          <t>C</t>
        </is>
      </c>
      <c r="C620" s="11" t="inlineStr">
        <is>
          <t>Gemeinde/Öffentlich</t>
        </is>
      </c>
      <c r="D620" s="11" t="inlineStr">
        <is>
          <t>[MiT VD-Kältekunde Nr. 1]</t>
        </is>
      </c>
      <c r="E620" s="11" t="inlineStr">
        <is>
          <t>Lausanne</t>
        </is>
      </c>
      <c r="F620" s="11" t="inlineStr">
        <is>
          <t>1000</t>
        </is>
      </c>
      <c r="G620" s="11" t="inlineStr">
        <is>
          <t>VD</t>
        </is>
      </c>
      <c r="H620" s="11" t="inlineStr">
        <is>
          <t>Responsable énergie</t>
        </is>
      </c>
      <c r="I620" s="11" t="inlineStr">
        <is>
          <t>Betriebsleiter</t>
        </is>
      </c>
      <c r="J620" s="11" t="n"/>
      <c r="K620" s="11" t="inlineStr">
        <is>
          <t>(MiT-CRM)</t>
        </is>
      </c>
      <c r="L620" s="11" t="n"/>
      <c r="M620" s="11" t="inlineStr">
        <is>
          <t>offen</t>
        </is>
      </c>
      <c r="N620" s="11" t="inlineStr">
        <is>
          <t>MiT-CRM Roberto/Stefan: VD-Kunden ohne Strom prüfen</t>
        </is>
      </c>
      <c r="O620" s="11" t="inlineStr">
        <is>
          <t>Strom-Add-on MiT-Wärme/Kälte VD</t>
        </is>
      </c>
      <c r="P620" s="11" t="n"/>
      <c r="Q620" s="11" t="n"/>
      <c r="R620" s="11" t="inlineStr">
        <is>
          <t>Nestlé HQ Fortune-50 + CHUV + EPFL = 3 weltbekannte Top-Accounts VD</t>
        </is>
      </c>
      <c r="S620" s="11" t="inlineStr">
        <is>
          <t>Cross-Sell MiT</t>
        </is>
      </c>
    </row>
    <row r="621">
      <c r="A621" s="11" t="n">
        <v>618</v>
      </c>
      <c r="B621" s="11" t="inlineStr">
        <is>
          <t>A</t>
        </is>
      </c>
      <c r="C621" s="11" t="inlineStr">
        <is>
          <t>EVU/Netzbetreiber</t>
        </is>
      </c>
      <c r="D621" s="11" t="inlineStr">
        <is>
          <t>Alpiq Holding AG – Wasserkraft Wallis</t>
        </is>
      </c>
      <c r="E621" s="11" t="inlineStr">
        <is>
          <t>Lausanne / Visp</t>
        </is>
      </c>
      <c r="F621" s="11" t="inlineStr">
        <is>
          <t>3930</t>
        </is>
      </c>
      <c r="G621" s="11" t="inlineStr">
        <is>
          <t>VS</t>
        </is>
      </c>
      <c r="H621" s="11" t="inlineStr">
        <is>
          <t>Responsable Réseau VS</t>
        </is>
      </c>
      <c r="I621" s="11" t="inlineStr">
        <is>
          <t>Ing. El.</t>
        </is>
      </c>
      <c r="J621" s="11" t="inlineStr">
        <is>
          <t>info@alpiq.com</t>
        </is>
      </c>
      <c r="K621" s="11" t="inlineStr">
        <is>
          <t>+41 58 286 21 11</t>
        </is>
      </c>
      <c r="L621" s="11" t="n"/>
      <c r="M621" s="11" t="inlineStr">
        <is>
          <t>offen</t>
        </is>
      </c>
      <c r="N621" s="11" t="inlineStr">
        <is>
          <t>Netzbetrieb Alpiq VS; DE/FR</t>
        </is>
      </c>
      <c r="O621" s="11" t="inlineStr">
        <is>
          <t>Revisionen Großwasserkraftwerke VS; mobile MS 10–50 MVA; BESS</t>
        </is>
      </c>
      <c r="P621" s="11" t="inlineStr">
        <is>
          <t>BESS</t>
        </is>
      </c>
      <c r="Q621" s="11" t="n"/>
      <c r="R621" s="11" t="inlineStr">
        <is>
          <t>Route de Lausanne 70, 1951 Sion; Wasserkraft-Kanton CH</t>
        </is>
      </c>
      <c r="S621" s="11" t="inlineStr">
        <is>
          <t>Kantonaler Versorger</t>
        </is>
      </c>
    </row>
    <row r="622">
      <c r="A622" s="11" t="n">
        <v>619</v>
      </c>
      <c r="B622" s="11" t="inlineStr">
        <is>
          <t>A</t>
        </is>
      </c>
      <c r="C622" s="11" t="inlineStr">
        <is>
          <t>EVU/Netzbetreiber</t>
        </is>
      </c>
      <c r="D622" s="11" t="inlineStr">
        <is>
          <t>OIKEN SA – Réseau Bas-Valais</t>
        </is>
      </c>
      <c r="E622" s="11" t="inlineStr">
        <is>
          <t>Visp / Sierre</t>
        </is>
      </c>
      <c r="F622" s="11" t="inlineStr">
        <is>
          <t>3960</t>
        </is>
      </c>
      <c r="G622" s="11" t="inlineStr">
        <is>
          <t>VS</t>
        </is>
      </c>
      <c r="H622" s="11" t="inlineStr">
        <is>
          <t>Responsable Réseau</t>
        </is>
      </c>
      <c r="I622" s="11" t="inlineStr">
        <is>
          <t>Ing. El.</t>
        </is>
      </c>
      <c r="J622" s="11" t="inlineStr">
        <is>
          <t>info@oiken.ch</t>
        </is>
      </c>
      <c r="K622" s="11" t="inlineStr">
        <is>
          <t>+41 27 477 21 11</t>
        </is>
      </c>
      <c r="L622" s="11" t="n"/>
      <c r="M622" s="11" t="inlineStr">
        <is>
          <t>offen</t>
        </is>
      </c>
      <c r="N622" s="11" t="inlineStr">
        <is>
          <t>Réseau OIKEN ansprechen; FR/DE</t>
        </is>
      </c>
      <c r="O622" s="11" t="inlineStr">
        <is>
          <t>MS-Revisionen Unterwallis; Lonza-Umfeld; NEA</t>
        </is>
      </c>
      <c r="P622" s="11" t="inlineStr">
        <is>
          <t>Generator</t>
        </is>
      </c>
      <c r="Q622" s="11" t="n"/>
      <c r="R622" s="11" t="inlineStr">
        <is>
          <t>Sierre; Unterwallis EVU</t>
        </is>
      </c>
      <c r="S622" s="11" t="inlineStr">
        <is>
          <t>Lokaler Versorger</t>
        </is>
      </c>
    </row>
    <row r="623">
      <c r="A623" s="11" t="n">
        <v>620</v>
      </c>
      <c r="B623" s="11" t="inlineStr">
        <is>
          <t>A</t>
        </is>
      </c>
      <c r="C623" s="11" t="inlineStr">
        <is>
          <t>Pharma/Chemie</t>
        </is>
      </c>
      <c r="D623" s="11" t="inlineStr">
        <is>
          <t>Lonza AG – Stammwerk Visp</t>
        </is>
      </c>
      <c r="E623" s="11" t="inlineStr">
        <is>
          <t>Visp</t>
        </is>
      </c>
      <c r="F623" s="11" t="inlineStr">
        <is>
          <t>3930</t>
        </is>
      </c>
      <c r="G623" s="11" t="inlineStr">
        <is>
          <t>VS</t>
        </is>
      </c>
      <c r="H623" s="11" t="inlineStr">
        <is>
          <t>Energiemanager</t>
        </is>
      </c>
      <c r="I623" s="11" t="inlineStr">
        <is>
          <t>MSc Energie</t>
        </is>
      </c>
      <c r="J623" s="11" t="inlineStr">
        <is>
          <t>info@lonza.com</t>
        </is>
      </c>
      <c r="K623" s="11" t="inlineStr">
        <is>
          <t>+41 27 948 11 11</t>
        </is>
      </c>
      <c r="L623" s="11" t="n"/>
      <c r="M623" s="11" t="inlineStr">
        <is>
          <t>offen</t>
        </is>
      </c>
      <c r="N623" s="11" t="inlineStr">
        <is>
          <t>Energiemanager Lonza Visp identifizieren; GMP-Argument</t>
        </is>
      </c>
      <c r="O623" s="11" t="inlineStr">
        <is>
          <t>Biopharma GMP: NEA 5 MVA; USV; PQ Reinräume; 2'800 MA</t>
        </is>
      </c>
      <c r="P623" s="11" t="inlineStr">
        <is>
          <t>USV</t>
        </is>
      </c>
      <c r="Q623" s="11" t="n"/>
      <c r="R623" s="11" t="inlineStr">
        <is>
          <t>Industriestrasse, 3930 Visp; 2'800 MA; größter Industriebetrieb VS</t>
        </is>
      </c>
      <c r="S623" s="11" t="inlineStr">
        <is>
          <t>Biopharma</t>
        </is>
      </c>
    </row>
    <row r="624">
      <c r="A624" s="11" t="n">
        <v>621</v>
      </c>
      <c r="B624" s="11" t="inlineStr">
        <is>
          <t>A</t>
        </is>
      </c>
      <c r="C624" s="11" t="inlineStr">
        <is>
          <t>Spital/Klinik</t>
        </is>
      </c>
      <c r="D624" s="11" t="inlineStr">
        <is>
          <t>Spital Wallis (HVS/RSV) – 4 Standorte</t>
        </is>
      </c>
      <c r="E624" s="11" t="inlineStr">
        <is>
          <t>Sitten</t>
        </is>
      </c>
      <c r="F624" s="11" t="inlineStr">
        <is>
          <t>1951</t>
        </is>
      </c>
      <c r="G624" s="11" t="inlineStr">
        <is>
          <t>VS</t>
        </is>
      </c>
      <c r="H624" s="11" t="inlineStr">
        <is>
          <t>Betriebsleiter Technik</t>
        </is>
      </c>
      <c r="I624" s="11" t="inlineStr">
        <is>
          <t>Dipl. El.-Ing.</t>
        </is>
      </c>
      <c r="J624" s="11" t="inlineStr">
        <is>
          <t>info@hopitalvs.ch</t>
        </is>
      </c>
      <c r="K624" s="11" t="inlineStr">
        <is>
          <t>+41 27 603 40 00</t>
        </is>
      </c>
      <c r="L624" s="11" t="n"/>
      <c r="M624" s="11" t="inlineStr">
        <is>
          <t>offen</t>
        </is>
      </c>
      <c r="N624" s="11" t="inlineStr">
        <is>
          <t>Betriebsleiter Spital Wallis; DE/FR; 4 Standorte</t>
        </is>
      </c>
      <c r="O624" s="11" t="inlineStr">
        <is>
          <t>NEA 4 Standorte: 3× 400 kVA Pflicht; USV; Berglage; DE/FR</t>
        </is>
      </c>
      <c r="P624" s="11" t="inlineStr">
        <is>
          <t>USV</t>
        </is>
      </c>
      <c r="Q624" s="11" t="n"/>
      <c r="R624" s="11" t="inlineStr">
        <is>
          <t>Avenue du Grand-Champsec 80, 1951 Sitten; 4 Standorte VS</t>
        </is>
      </c>
      <c r="S624" s="11" t="inlineStr">
        <is>
          <t>Kantonsspital</t>
        </is>
      </c>
    </row>
    <row r="625">
      <c r="A625" s="11" t="n">
        <v>622</v>
      </c>
      <c r="B625" s="11" t="inlineStr">
        <is>
          <t>A</t>
        </is>
      </c>
      <c r="C625" s="11" t="inlineStr">
        <is>
          <t>Pharma/Chemie</t>
        </is>
      </c>
      <c r="D625" s="11" t="inlineStr">
        <is>
          <t>Aluminium + Industrie Visp – Rio Tinto (ex Alcan)</t>
        </is>
      </c>
      <c r="E625" s="11" t="inlineStr">
        <is>
          <t>Visp</t>
        </is>
      </c>
      <c r="F625" s="11" t="inlineStr">
        <is>
          <t>3930</t>
        </is>
      </c>
      <c r="G625" s="11" t="inlineStr">
        <is>
          <t>VS</t>
        </is>
      </c>
      <c r="H625" s="11" t="inlineStr">
        <is>
          <t>Energiemanager</t>
        </is>
      </c>
      <c r="I625" s="11" t="inlineStr">
        <is>
          <t>MSc El.-Ing.</t>
        </is>
      </c>
      <c r="J625" s="11" t="inlineStr">
        <is>
          <t>info@riotinto.com</t>
        </is>
      </c>
      <c r="K625" s="11" t="inlineStr">
        <is>
          <t>+41 27 948 11 00</t>
        </is>
      </c>
      <c r="L625" s="11" t="n"/>
      <c r="M625" s="11" t="inlineStr">
        <is>
          <t>offen</t>
        </is>
      </c>
      <c r="N625" s="11" t="inlineStr">
        <is>
          <t>Energiemanager Aluminiumwerk Visp</t>
        </is>
      </c>
      <c r="O625" s="11" t="inlineStr">
        <is>
          <t>Aluminiumschmelze: 3 MVA Generator; PQ; hochintensiv; 24h</t>
        </is>
      </c>
      <c r="P625" s="11" t="inlineStr">
        <is>
          <t>Generator</t>
        </is>
      </c>
      <c r="Q625" s="11" t="n"/>
      <c r="R625" s="11" t="inlineStr">
        <is>
          <t>Visp; Aluminiumschmelze = intensivste industrielle Last VS</t>
        </is>
      </c>
      <c r="S625" s="11" t="inlineStr">
        <is>
          <t>Aluminium</t>
        </is>
      </c>
    </row>
    <row r="626">
      <c r="A626" s="11" t="n">
        <v>623</v>
      </c>
      <c r="B626" s="11" t="inlineStr">
        <is>
          <t>B</t>
        </is>
      </c>
      <c r="C626" s="11" t="inlineStr">
        <is>
          <t>Pharma/Chemie</t>
        </is>
      </c>
      <c r="D626" s="11" t="inlineStr">
        <is>
          <t>Zermatt Bergbahnen AG – Matterhorn Glacier Paradise</t>
        </is>
      </c>
      <c r="E626" s="11" t="inlineStr">
        <is>
          <t>Zermatt</t>
        </is>
      </c>
      <c r="F626" s="11" t="inlineStr">
        <is>
          <t>3920</t>
        </is>
      </c>
      <c r="G626" s="11" t="inlineStr">
        <is>
          <t>VS</t>
        </is>
      </c>
      <c r="H626" s="11" t="inlineStr">
        <is>
          <t>Technischer Direktor</t>
        </is>
      </c>
      <c r="I626" s="11" t="inlineStr">
        <is>
          <t>Dipl. Ing.</t>
        </is>
      </c>
      <c r="J626" s="11" t="inlineStr">
        <is>
          <t>info@matterhornparadise.ch</t>
        </is>
      </c>
      <c r="K626" s="11" t="inlineStr">
        <is>
          <t>+41 27 966 01 01</t>
        </is>
      </c>
      <c r="L626" s="11" t="n"/>
      <c r="M626" s="11" t="inlineStr">
        <is>
          <t>offen</t>
        </is>
      </c>
      <c r="N626" s="11" t="inlineStr">
        <is>
          <t>Technischen Betriebsleiter Zermatt Bergbahnen; Herbst</t>
        </is>
      </c>
      <c r="O626" s="11" t="inlineStr">
        <is>
          <t>Revision Gondeln/Lifte; 500 kVA Generator; FU-Antriebe; Matterhorn</t>
        </is>
      </c>
      <c r="P626" s="11" t="inlineStr">
        <is>
          <t>Generator</t>
        </is>
      </c>
      <c r="Q626" s="11" t="n"/>
      <c r="R626" s="11" t="inlineStr">
        <is>
          <t>Bahnhofplatz, 3920 Zermatt; Matterhorn = weltberühmt</t>
        </is>
      </c>
      <c r="S626" s="11" t="inlineStr">
        <is>
          <t>Bergbahn</t>
        </is>
      </c>
    </row>
    <row r="627">
      <c r="A627" s="11" t="n">
        <v>624</v>
      </c>
      <c r="B627" s="11" t="inlineStr">
        <is>
          <t>B</t>
        </is>
      </c>
      <c r="C627" s="11" t="inlineStr">
        <is>
          <t>Pharma/Chemie</t>
        </is>
      </c>
      <c r="D627" s="11" t="inlineStr">
        <is>
          <t>Bergbahnen Saas-Fee AG</t>
        </is>
      </c>
      <c r="E627" s="11" t="inlineStr">
        <is>
          <t>Saas-Fee</t>
        </is>
      </c>
      <c r="F627" s="11" t="inlineStr">
        <is>
          <t>3906</t>
        </is>
      </c>
      <c r="G627" s="11" t="inlineStr">
        <is>
          <t>VS</t>
        </is>
      </c>
      <c r="H627" s="11" t="inlineStr">
        <is>
          <t>Betriebsleiter</t>
        </is>
      </c>
      <c r="I627" s="11" t="inlineStr">
        <is>
          <t>Techniker</t>
        </is>
      </c>
      <c r="J627" s="11" t="inlineStr">
        <is>
          <t>info@saas-fee.ch</t>
        </is>
      </c>
      <c r="K627" s="11" t="inlineStr">
        <is>
          <t>+41 27 958 10 00</t>
        </is>
      </c>
      <c r="L627" s="11" t="n"/>
      <c r="M627" s="11" t="inlineStr">
        <is>
          <t>offen</t>
        </is>
      </c>
      <c r="N627" s="11" t="inlineStr">
        <is>
          <t>Herbstkontakt; Revisionsfenster Frühling</t>
        </is>
      </c>
      <c r="O627" s="11" t="inlineStr">
        <is>
          <t>Revision Liftanlagen; 300 kVA Generator; FU; Bergtal</t>
        </is>
      </c>
      <c r="P627" s="11" t="inlineStr">
        <is>
          <t>Generator</t>
        </is>
      </c>
      <c r="Q627" s="11" t="n"/>
      <c r="R627" s="11" t="inlineStr">
        <is>
          <t>3906 Saas-Fee; autofreies Bergdorf; FU-intensiv</t>
        </is>
      </c>
      <c r="S627" s="11" t="inlineStr">
        <is>
          <t>Bergbahn</t>
        </is>
      </c>
    </row>
    <row r="628">
      <c r="A628" s="11" t="n">
        <v>625</v>
      </c>
      <c r="B628" s="11" t="inlineStr">
        <is>
          <t>C</t>
        </is>
      </c>
      <c r="C628" s="11" t="inlineStr">
        <is>
          <t>Gemeinde/Öffentlich</t>
        </is>
      </c>
      <c r="D628" s="11" t="inlineStr">
        <is>
          <t>Kanton Wallis – Hochbauamt</t>
        </is>
      </c>
      <c r="E628" s="11" t="inlineStr">
        <is>
          <t>Sitten</t>
        </is>
      </c>
      <c r="F628" s="11" t="inlineStr">
        <is>
          <t>1951</t>
        </is>
      </c>
      <c r="G628" s="11" t="inlineStr">
        <is>
          <t>VS</t>
        </is>
      </c>
      <c r="H628" s="11" t="inlineStr">
        <is>
          <t>Leiter Hochbauamt</t>
        </is>
      </c>
      <c r="I628" s="11" t="inlineStr">
        <is>
          <t>Kantonsbauingenieur</t>
        </is>
      </c>
      <c r="J628" s="11" t="inlineStr">
        <is>
          <t>hochbauamt@vs.ch</t>
        </is>
      </c>
      <c r="K628" s="11" t="inlineStr">
        <is>
          <t>+41 27 606 28 00</t>
        </is>
      </c>
      <c r="L628" s="11" t="n"/>
      <c r="M628" s="11" t="inlineStr">
        <is>
          <t>offen</t>
        </is>
      </c>
      <c r="N628" s="11" t="inlineStr">
        <is>
          <t>Hochbauamt VS + simap.ch; DE/FR</t>
        </is>
      </c>
      <c r="O628" s="11" t="inlineStr">
        <is>
          <t>NEA kantonale Gebäude 500 kVA; Rahmenvertrag VS</t>
        </is>
      </c>
      <c r="P628" s="11" t="n"/>
      <c r="Q628" s="11" t="n"/>
      <c r="R628" s="11" t="inlineStr">
        <is>
          <t>Place de la Planta 1, 1951 Sitten; zweisprachig</t>
        </is>
      </c>
      <c r="S628" s="11" t="inlineStr">
        <is>
          <t>Kanton</t>
        </is>
      </c>
    </row>
    <row r="629">
      <c r="A629" s="11" t="n">
        <v>626</v>
      </c>
      <c r="B629" s="11" t="inlineStr">
        <is>
          <t>A</t>
        </is>
      </c>
      <c r="C629" s="11" t="inlineStr">
        <is>
          <t>Pharma/Chemie</t>
        </is>
      </c>
      <c r="D629" s="11" t="inlineStr">
        <is>
          <t>Lonza AG (Stammwerk Visp VS)</t>
        </is>
      </c>
      <c r="E629" s="11" t="inlineStr">
        <is>
          <t>Visp</t>
        </is>
      </c>
      <c r="F629" s="11" t="inlineStr">
        <is>
          <t>3930</t>
        </is>
      </c>
      <c r="G629" s="11" t="inlineStr">
        <is>
          <t>VS</t>
        </is>
      </c>
      <c r="H629" s="11" t="inlineStr">
        <is>
          <t>Energiemanager Lonza Visp</t>
        </is>
      </c>
      <c r="I629" s="11" t="inlineStr">
        <is>
          <t>MSc El.-Ing.</t>
        </is>
      </c>
      <c r="J629" s="11" t="inlineStr">
        <is>
          <t>energy@lonza.com</t>
        </is>
      </c>
      <c r="K629" s="11" t="inlineStr">
        <is>
          <t>+41 27 948 61 11</t>
        </is>
      </c>
      <c r="L629" s="11" t="n"/>
      <c r="M629" s="11" t="inlineStr">
        <is>
          <t>offen</t>
        </is>
      </c>
      <c r="N629" s="11" t="inlineStr">
        <is>
          <t>Energiemanager Lonza Visp; Lonzastrasse 1 Visp; GMP-Pitch + mRNA</t>
        </is>
      </c>
      <c r="O629" s="11" t="inlineStr">
        <is>
          <t>Grösster GMP-Biopharma-Standort Europa: NEA 10 MVA; USV; PQ; 5'000 MA; mRNA-Produktion</t>
        </is>
      </c>
      <c r="P629" s="11" t="inlineStr">
        <is>
          <t>USV</t>
        </is>
      </c>
      <c r="Q629" s="11" t="n"/>
      <c r="R629" s="11" t="inlineStr">
        <is>
          <t>Adr: Lonzastrasse 1, 3930 Visp | Grösster GMP-Standort Europa; 5'000 MA; mRNA</t>
        </is>
      </c>
      <c r="S629" s="11" t="inlineStr">
        <is>
          <t>Biopharma GMP</t>
        </is>
      </c>
    </row>
    <row r="630">
      <c r="A630" s="11" t="n">
        <v>627</v>
      </c>
      <c r="B630" s="11" t="inlineStr">
        <is>
          <t>A</t>
        </is>
      </c>
      <c r="C630" s="11" t="inlineStr">
        <is>
          <t>EVU/Netzbetreiber</t>
        </is>
      </c>
      <c r="D630" s="11" t="inlineStr">
        <is>
          <t>Energie Electrique du Simplon (EES) / WEW AG</t>
        </is>
      </c>
      <c r="E630" s="11" t="inlineStr">
        <is>
          <t>Brig</t>
        </is>
      </c>
      <c r="F630" s="11" t="inlineStr">
        <is>
          <t>3900</t>
        </is>
      </c>
      <c r="G630" s="11" t="inlineStr">
        <is>
          <t>VS</t>
        </is>
      </c>
      <c r="H630" s="11" t="inlineStr">
        <is>
          <t>Leiter Netzbetrieb</t>
        </is>
      </c>
      <c r="I630" s="11" t="inlineStr">
        <is>
          <t>Dipl. El.-Ing.</t>
        </is>
      </c>
      <c r="J630" s="11" t="inlineStr">
        <is>
          <t>info@eww.ch</t>
        </is>
      </c>
      <c r="K630" s="11" t="inlineStr">
        <is>
          <t>+41 27 922 14 14</t>
        </is>
      </c>
      <c r="L630" s="11" t="n"/>
      <c r="M630" s="11" t="inlineStr">
        <is>
          <t>offen</t>
        </is>
      </c>
      <c r="N630" s="11" t="inlineStr">
        <is>
          <t>Netzbetrieb WEW; Revisionskalender Oberwallis; BESS</t>
        </is>
      </c>
      <c r="O630" s="11" t="inlineStr">
        <is>
          <t>Energieversorgung Oberwallis: MS-Revisionen; NEA kommunale Gebäude; Wasserkraft Rhône</t>
        </is>
      </c>
      <c r="P630" s="11" t="inlineStr">
        <is>
          <t>BESS</t>
        </is>
      </c>
      <c r="Q630" s="11" t="n"/>
      <c r="R630" s="11" t="inlineStr">
        <is>
          <t>Adr: Brig, 3900 VS | EVU Oberwallis; Wasserkraft Rhône; BESS</t>
        </is>
      </c>
      <c r="S630" s="11" t="inlineStr">
        <is>
          <t>Kantonaler EVU</t>
        </is>
      </c>
    </row>
    <row r="631">
      <c r="A631" s="11" t="n">
        <v>628</v>
      </c>
      <c r="B631" s="11" t="inlineStr">
        <is>
          <t>A</t>
        </is>
      </c>
      <c r="C631" s="11" t="inlineStr">
        <is>
          <t>Spital/Klinik</t>
        </is>
      </c>
      <c r="D631" s="11" t="inlineStr">
        <is>
          <t>Spital STS AG (Thun + Zweisimmen) / HVS</t>
        </is>
      </c>
      <c r="E631" s="11" t="inlineStr">
        <is>
          <t>Sion</t>
        </is>
      </c>
      <c r="F631" s="11" t="inlineStr">
        <is>
          <t>1951</t>
        </is>
      </c>
      <c r="G631" s="11" t="inlineStr">
        <is>
          <t>VS</t>
        </is>
      </c>
      <c r="H631" s="11" t="inlineStr">
        <is>
          <t>Responsable Technique</t>
        </is>
      </c>
      <c r="I631" s="11" t="inlineStr">
        <is>
          <t>MSc El.-Ing.</t>
        </is>
      </c>
      <c r="J631" s="11" t="inlineStr">
        <is>
          <t>info@hopvs.ch</t>
        </is>
      </c>
      <c r="K631" s="11" t="inlineStr">
        <is>
          <t>+41 27 603 41 11</t>
        </is>
      </c>
      <c r="L631" s="11" t="n"/>
      <c r="M631" s="11" t="inlineStr">
        <is>
          <t>offen</t>
        </is>
      </c>
      <c r="N631" s="11" t="inlineStr">
        <is>
          <t>Responsable Technique HVS; Sion VS; 4 Standorte; simap.ch Alert VS</t>
        </is>
      </c>
      <c r="O631" s="11" t="inlineStr">
        <is>
          <t>HVS 4 Standorte VS: NEA 4× 400 kVA; USV OP/ICU; 3'000 MA; DE+FR</t>
        </is>
      </c>
      <c r="P631" s="11" t="inlineStr">
        <is>
          <t>USV</t>
        </is>
      </c>
      <c r="Q631" s="11" t="n"/>
      <c r="R631" s="11" t="inlineStr">
        <is>
          <t>Adr: Avenue du Grand-Champsec 80, 1951 Sion | 4 Standorte VS; 3'000 MA; DE+FR</t>
        </is>
      </c>
      <c r="S631" s="11" t="inlineStr">
        <is>
          <t>Kantonsspital</t>
        </is>
      </c>
    </row>
    <row r="632">
      <c r="A632" s="11" t="n">
        <v>629</v>
      </c>
      <c r="B632" s="11" t="inlineStr">
        <is>
          <t>A</t>
        </is>
      </c>
      <c r="C632" s="11" t="inlineStr">
        <is>
          <t>Bau/Infrastruktur</t>
        </is>
      </c>
      <c r="D632" s="11" t="inlineStr">
        <is>
          <t>Grande Dixence SA (Grösster Staudamm Welt)</t>
        </is>
      </c>
      <c r="E632" s="11" t="inlineStr">
        <is>
          <t>Sion</t>
        </is>
      </c>
      <c r="F632" s="11" t="inlineStr">
        <is>
          <t>1950</t>
        </is>
      </c>
      <c r="G632" s="11" t="inlineStr">
        <is>
          <t>VS</t>
        </is>
      </c>
      <c r="H632" s="11" t="inlineStr">
        <is>
          <t>Technischer Direktor</t>
        </is>
      </c>
      <c r="I632" s="11" t="inlineStr">
        <is>
          <t>MSc El.-Ing.</t>
        </is>
      </c>
      <c r="J632" s="11" t="inlineStr">
        <is>
          <t>info@grande-dixence.ch</t>
        </is>
      </c>
      <c r="K632" s="11" t="inlineStr">
        <is>
          <t>+41 27 329 34 34</t>
        </is>
      </c>
      <c r="L632" s="11" t="n"/>
      <c r="M632" s="11" t="inlineStr">
        <is>
          <t>offen</t>
        </is>
      </c>
      <c r="N632" s="11" t="inlineStr">
        <is>
          <t>Technischen Direktor Grande Dixence; alpine 2'365 m; Revisions-Pitch</t>
        </is>
      </c>
      <c r="O632" s="11" t="inlineStr">
        <is>
          <t>Grösster Staudamm Welt: Revisionen mobile MS-Einspeisung 50–100 MVA; Wasserkraft</t>
        </is>
      </c>
      <c r="P632" s="11" t="inlineStr">
        <is>
          <t>Generator</t>
        </is>
      </c>
      <c r="Q632" s="11" t="n"/>
      <c r="R632" s="11" t="inlineStr">
        <is>
          <t>Adr: Sion, 1950 VS | Grande Dixence; grösster Staudamm Welt 2'365 m; Revisionen</t>
        </is>
      </c>
      <c r="S632" s="11" t="inlineStr">
        <is>
          <t>Staudamm / Kraftwerk</t>
        </is>
      </c>
    </row>
    <row r="633">
      <c r="A633" s="11" t="n">
        <v>630</v>
      </c>
      <c r="B633" s="11" t="inlineStr">
        <is>
          <t>A</t>
        </is>
      </c>
      <c r="C633" s="11" t="inlineStr">
        <is>
          <t>Bergbahn/Tourismus</t>
        </is>
      </c>
      <c r="D633" s="11" t="inlineStr">
        <is>
          <t>Zermatt Bergbahnen AG (Matterhorn)</t>
        </is>
      </c>
      <c r="E633" s="11" t="inlineStr">
        <is>
          <t>Zermatt</t>
        </is>
      </c>
      <c r="F633" s="11" t="inlineStr">
        <is>
          <t>3920</t>
        </is>
      </c>
      <c r="G633" s="11" t="inlineStr">
        <is>
          <t>VS</t>
        </is>
      </c>
      <c r="H633" s="11" t="inlineStr">
        <is>
          <t>Technischer Direktor</t>
        </is>
      </c>
      <c r="I633" s="11" t="inlineStr">
        <is>
          <t>MSc Ing.</t>
        </is>
      </c>
      <c r="J633" s="11" t="inlineStr">
        <is>
          <t>info@matterhorngroup.ch</t>
        </is>
      </c>
      <c r="K633" s="11" t="inlineStr">
        <is>
          <t>+41 27 966 01 01</t>
        </is>
      </c>
      <c r="L633" s="11" t="n"/>
      <c r="M633" s="11" t="inlineStr">
        <is>
          <t>offen</t>
        </is>
      </c>
      <c r="N633" s="11" t="inlineStr">
        <is>
          <t>Techn. Direktor Zermatt Bergbahnen; Herbst-Revisionsfenster; Weltklasse-Pitch</t>
        </is>
      </c>
      <c r="O633" s="11" t="inlineStr">
        <is>
          <t>Zermatt Bergbahnen: NEA + Generator 2 MVA; FU-Gondeln; alpine 3'883 m; autofreies Dorf</t>
        </is>
      </c>
      <c r="P633" s="11" t="inlineStr">
        <is>
          <t>Generator</t>
        </is>
      </c>
      <c r="Q633" s="11" t="n"/>
      <c r="R633" s="11" t="inlineStr">
        <is>
          <t>Adr: Bahnhofplatz 5, 3920 Zermatt | Autofreies Dorf; 3'883 m; Weltbekanntes Matterhorn</t>
        </is>
      </c>
      <c r="S633" s="11" t="inlineStr">
        <is>
          <t>Skigebiet Zermatt</t>
        </is>
      </c>
    </row>
    <row r="634">
      <c r="A634" s="11" t="n">
        <v>631</v>
      </c>
      <c r="B634" s="11" t="inlineStr">
        <is>
          <t>A</t>
        </is>
      </c>
      <c r="C634" s="11" t="inlineStr">
        <is>
          <t>Bergbahn/Tourismus</t>
        </is>
      </c>
      <c r="D634" s="11" t="inlineStr">
        <is>
          <t>Téléverbier SA (4 Vallées)</t>
        </is>
      </c>
      <c r="E634" s="11" t="inlineStr">
        <is>
          <t>Verbier</t>
        </is>
      </c>
      <c r="F634" s="11" t="inlineStr">
        <is>
          <t>1936</t>
        </is>
      </c>
      <c r="G634" s="11" t="inlineStr">
        <is>
          <t>VS</t>
        </is>
      </c>
      <c r="H634" s="11" t="inlineStr">
        <is>
          <t>Directeur Technique</t>
        </is>
      </c>
      <c r="I634" s="11" t="inlineStr">
        <is>
          <t>Ing.</t>
        </is>
      </c>
      <c r="J634" s="11" t="inlineStr">
        <is>
          <t>info@televerbier.ch</t>
        </is>
      </c>
      <c r="K634" s="11" t="inlineStr">
        <is>
          <t>+41 27 775 27 75</t>
        </is>
      </c>
      <c r="L634" s="11" t="n"/>
      <c r="M634" s="11" t="inlineStr">
        <is>
          <t>offen</t>
        </is>
      </c>
      <c r="N634" s="11" t="inlineStr">
        <is>
          <t>Directeur Technique Téléverbier; Herbst-Revision; Verbier-Luxus-Pitch</t>
        </is>
      </c>
      <c r="O634" s="11" t="inlineStr">
        <is>
          <t>Verbier 4 Vallées: NEA + Generator 2 MVA; FU-Gondeln+Lifte; alpine VS; WEF-nahe</t>
        </is>
      </c>
      <c r="P634" s="11" t="inlineStr">
        <is>
          <t>Generator</t>
        </is>
      </c>
      <c r="Q634" s="11" t="n"/>
      <c r="R634" s="11" t="inlineStr">
        <is>
          <t>Adr: Verbier, 1936 VS | 4 Vallées; WEF-nahe; alpine Luxus; höchstes Tourismus-Budget VS</t>
        </is>
      </c>
      <c r="S634" s="11" t="inlineStr">
        <is>
          <t>Skigebiet Verbier</t>
        </is>
      </c>
    </row>
    <row r="635">
      <c r="A635" s="11" t="n">
        <v>632</v>
      </c>
      <c r="B635" s="11" t="inlineStr">
        <is>
          <t>B</t>
        </is>
      </c>
      <c r="C635" s="11" t="inlineStr">
        <is>
          <t>Pharma/Chemie</t>
        </is>
      </c>
      <c r="D635" s="11" t="inlineStr">
        <is>
          <t>Aluminiumwerk Steg AG (Steg VS)</t>
        </is>
      </c>
      <c r="E635" s="11" t="inlineStr">
        <is>
          <t>Steg</t>
        </is>
      </c>
      <c r="F635" s="11" t="inlineStr">
        <is>
          <t>3940</t>
        </is>
      </c>
      <c r="G635" s="11" t="inlineStr">
        <is>
          <t>VS</t>
        </is>
      </c>
      <c r="H635" s="11" t="inlineStr">
        <is>
          <t>Betriebsleiter Elektro</t>
        </is>
      </c>
      <c r="I635" s="11" t="inlineStr">
        <is>
          <t>MSc El.-Ing.</t>
        </is>
      </c>
      <c r="J635" s="11" t="inlineStr">
        <is>
          <t>info@aluminiumwerk.ch</t>
        </is>
      </c>
      <c r="K635" s="11" t="inlineStr">
        <is>
          <t>+41 27 932 31 11</t>
        </is>
      </c>
      <c r="L635" s="11" t="n"/>
      <c r="M635" s="11" t="inlineStr">
        <is>
          <t>offen</t>
        </is>
      </c>
      <c r="N635" s="11" t="inlineStr">
        <is>
          <t>Betriebsleiter Aluminiumwerk Steg; FU+Ofen-PQ-Pitch VS</t>
        </is>
      </c>
      <c r="O635" s="11" t="inlineStr">
        <is>
          <t>Aluminiumproduktion: NEA 2 MVA; Induktionsofen 10+ MVA; PQ; EMV; stärkste NRW VS</t>
        </is>
      </c>
      <c r="P635" s="11" t="n"/>
      <c r="Q635" s="11" t="n"/>
      <c r="R635" s="11" t="inlineStr">
        <is>
          <t>Adr: Steg, 3940 VS | Aluminiumwerk; Induktionsofen; stärkste NRW VS</t>
        </is>
      </c>
      <c r="S635" s="11" t="inlineStr">
        <is>
          <t>Aluminium</t>
        </is>
      </c>
    </row>
    <row r="636">
      <c r="A636" s="11" t="n">
        <v>633</v>
      </c>
      <c r="B636" s="11" t="inlineStr">
        <is>
          <t>B</t>
        </is>
      </c>
      <c r="C636" s="11" t="inlineStr">
        <is>
          <t>Gemeinde/Öffentlich</t>
        </is>
      </c>
      <c r="D636" s="11" t="inlineStr">
        <is>
          <t>Canton du Valais (SBMA Bâtiments)</t>
        </is>
      </c>
      <c r="E636" s="11" t="inlineStr">
        <is>
          <t>Sion</t>
        </is>
      </c>
      <c r="F636" s="11" t="inlineStr">
        <is>
          <t>1950</t>
        </is>
      </c>
      <c r="G636" s="11" t="inlineStr">
        <is>
          <t>VS</t>
        </is>
      </c>
      <c r="H636" s="11" t="inlineStr">
        <is>
          <t>Chef SBMA</t>
        </is>
      </c>
      <c r="I636" s="11" t="inlineStr">
        <is>
          <t>Ingénieur cantonal</t>
        </is>
      </c>
      <c r="J636" s="11" t="inlineStr">
        <is>
          <t>info@vs.ch</t>
        </is>
      </c>
      <c r="K636" s="11" t="inlineStr">
        <is>
          <t>+41 27 606 20 00</t>
        </is>
      </c>
      <c r="L636" s="11" t="n"/>
      <c r="M636" s="11" t="inlineStr">
        <is>
          <t>offen</t>
        </is>
      </c>
      <c r="N636" s="11" t="inlineStr">
        <is>
          <t>SBMA VS; Rue des Remparts 1 Sion; simap.ch Alert VS</t>
        </is>
      </c>
      <c r="O636" s="11" t="inlineStr">
        <is>
          <t>NEA kantonale Gebäude VS; 300+ Liegenschaften; Rahmenvertrag VS</t>
        </is>
      </c>
      <c r="P636" s="11" t="n"/>
      <c r="Q636" s="11" t="n"/>
      <c r="R636" s="11" t="inlineStr">
        <is>
          <t>Adr: Rue des Remparts 1, 1950 Sion | 300+ Liegenschaften; DE+FR Wallis</t>
        </is>
      </c>
      <c r="S636" s="11" t="inlineStr">
        <is>
          <t>Kanton VS</t>
        </is>
      </c>
    </row>
    <row r="637">
      <c r="A637" s="11" t="n">
        <v>634</v>
      </c>
      <c r="B637" s="11" t="inlineStr">
        <is>
          <t>B</t>
        </is>
      </c>
      <c r="C637" s="11" t="inlineStr">
        <is>
          <t>Elektroplaner/Engineering</t>
        </is>
      </c>
      <c r="D637" s="11" t="inlineStr">
        <is>
          <t>Studer Energies SA (Sierre VS)</t>
        </is>
      </c>
      <c r="E637" s="11" t="inlineStr">
        <is>
          <t>Sierre</t>
        </is>
      </c>
      <c r="F637" s="11" t="inlineStr">
        <is>
          <t>3960</t>
        </is>
      </c>
      <c r="G637" s="11" t="inlineStr">
        <is>
          <t>VS</t>
        </is>
      </c>
      <c r="H637" s="11" t="inlineStr">
        <is>
          <t>Directeur</t>
        </is>
      </c>
      <c r="I637" s="11" t="inlineStr">
        <is>
          <t>Electrotechnicien</t>
        </is>
      </c>
      <c r="J637" s="11" t="inlineStr">
        <is>
          <t>info@studer-energies.ch</t>
        </is>
      </c>
      <c r="K637" s="11" t="inlineStr">
        <is>
          <t>+41 27 452 34 34</t>
        </is>
      </c>
      <c r="L637" s="11" t="n"/>
      <c r="M637" s="11" t="inlineStr">
        <is>
          <t>offen</t>
        </is>
      </c>
      <c r="N637" s="11" t="inlineStr">
        <is>
          <t>Directeur Studer Energies; Sierre VS; Partnerschaft VS besprechen</t>
        </is>
      </c>
      <c r="O637" s="11" t="inlineStr">
        <is>
          <t>Elektrounternehmen VS: Industrie+Bergbahnen+Hotels; VS-Marktführer Oberwallis</t>
        </is>
      </c>
      <c r="P637" s="11" t="n"/>
      <c r="Q637" s="11" t="n"/>
      <c r="R637" s="11" t="inlineStr">
        <is>
          <t>Adr: Sierre, 3960 VS | Elektrounternehmen VS; Lonza+Bergbahnen+Hotels Türöffner</t>
        </is>
      </c>
      <c r="S637" s="11" t="inlineStr">
        <is>
          <t>Elektrounternehmen VS</t>
        </is>
      </c>
    </row>
    <row r="638">
      <c r="A638" s="11" t="n">
        <v>635</v>
      </c>
      <c r="B638" s="11" t="inlineStr">
        <is>
          <t>B</t>
        </is>
      </c>
      <c r="C638" s="11" t="inlineStr">
        <is>
          <t>Bau/Infrastruktur</t>
        </is>
      </c>
      <c r="D638" s="11" t="inlineStr">
        <is>
          <t>STEP de Sion (Rhône-Schutz VS)</t>
        </is>
      </c>
      <c r="E638" s="11" t="inlineStr">
        <is>
          <t>Sion</t>
        </is>
      </c>
      <c r="F638" s="11" t="inlineStr">
        <is>
          <t>1950</t>
        </is>
      </c>
      <c r="G638" s="11" t="inlineStr">
        <is>
          <t>VS</t>
        </is>
      </c>
      <c r="H638" s="11" t="inlineStr">
        <is>
          <t>Responsable STEP</t>
        </is>
      </c>
      <c r="I638" s="11" t="inlineStr">
        <is>
          <t>Techniker</t>
        </is>
      </c>
      <c r="J638" s="11" t="inlineStr">
        <is>
          <t>info@step-sion.ch</t>
        </is>
      </c>
      <c r="K638" s="11" t="inlineStr">
        <is>
          <t>+41 27 606 80 00</t>
        </is>
      </c>
      <c r="L638" s="11" t="n"/>
      <c r="M638" s="11" t="inlineStr">
        <is>
          <t>offen</t>
        </is>
      </c>
      <c r="N638" s="11" t="inlineStr">
        <is>
          <t>Responsable STEP VS; Sion; simap.ch Alert VS</t>
        </is>
      </c>
      <c r="O638" s="11" t="inlineStr">
        <is>
          <t>NEA-Pflicht 1× 400 kVA; Rhône-Schutz VS; 24h</t>
        </is>
      </c>
      <c r="P638" s="11" t="inlineStr">
        <is>
          <t>Generator</t>
        </is>
      </c>
      <c r="Q638" s="11" t="n"/>
      <c r="R638" s="11" t="inlineStr">
        <is>
          <t>Adr: Sion, 1950 VS | Rhône-Schutz; Ausschreibungspflicht</t>
        </is>
      </c>
      <c r="S638" s="11" t="inlineStr">
        <is>
          <t>ARA Rhône VS</t>
        </is>
      </c>
    </row>
    <row r="639">
      <c r="A639" s="11" t="n">
        <v>636</v>
      </c>
      <c r="B639" s="11" t="inlineStr">
        <is>
          <t>B</t>
        </is>
      </c>
      <c r="C639" s="11" t="inlineStr">
        <is>
          <t>Bergbahn/Tourismus</t>
        </is>
      </c>
      <c r="D639" s="11" t="inlineStr">
        <is>
          <t>Mont Cervin Palace Zermatt (Zermatt Unplugged)</t>
        </is>
      </c>
      <c r="E639" s="11" t="inlineStr">
        <is>
          <t>Zermatt</t>
        </is>
      </c>
      <c r="F639" s="11" t="inlineStr">
        <is>
          <t>3920</t>
        </is>
      </c>
      <c r="G639" s="11" t="inlineStr">
        <is>
          <t>VS</t>
        </is>
      </c>
      <c r="H639" s="11" t="inlineStr">
        <is>
          <t>Facility Manager</t>
        </is>
      </c>
      <c r="I639" s="11" t="inlineStr">
        <is>
          <t>Techniker</t>
        </is>
      </c>
      <c r="J639" s="11" t="inlineStr">
        <is>
          <t>info@seilerhotels.ch</t>
        </is>
      </c>
      <c r="K639" s="11" t="inlineStr">
        <is>
          <t>+41 27 966 88 88</t>
        </is>
      </c>
      <c r="L639" s="11" t="n"/>
      <c r="M639" s="11" t="inlineStr">
        <is>
          <t>offen</t>
        </is>
      </c>
      <c r="N639" s="11" t="inlineStr">
        <is>
          <t>Facility Manager Mont Cervin; autofreies Zermatt; Luxus-Pitch</t>
        </is>
      </c>
      <c r="O639" s="11" t="inlineStr">
        <is>
          <t>5-Sterne Palace Zermatt: NEA 1× 400 kVA; USV; autofreies Dorf; Seiler Hotels</t>
        </is>
      </c>
      <c r="P639" s="11" t="inlineStr">
        <is>
          <t>USV</t>
        </is>
      </c>
      <c r="Q639" s="11" t="n"/>
      <c r="R639" s="11" t="inlineStr">
        <is>
          <t>Adr: Bahnhofstrasse 31, 3920 Zermatt | 5-Sterne; autofreies Dorf; Seiler Hotels</t>
        </is>
      </c>
      <c r="S639" s="11" t="inlineStr">
        <is>
          <t>Luxushotel Zermatt</t>
        </is>
      </c>
    </row>
    <row r="640">
      <c r="A640" s="11" t="n">
        <v>637</v>
      </c>
      <c r="B640" s="11" t="inlineStr">
        <is>
          <t>C</t>
        </is>
      </c>
      <c r="C640" s="11" t="inlineStr">
        <is>
          <t>Gemeinde/Öffentlich</t>
        </is>
      </c>
      <c r="D640" s="11" t="inlineStr">
        <is>
          <t>[MiT VS-Kältekunde Nr. 1]</t>
        </is>
      </c>
      <c r="E640" s="11" t="inlineStr">
        <is>
          <t>Visp</t>
        </is>
      </c>
      <c r="F640" s="11" t="inlineStr">
        <is>
          <t>3930</t>
        </is>
      </c>
      <c r="G640" s="11" t="inlineStr">
        <is>
          <t>VS</t>
        </is>
      </c>
      <c r="H640" s="11" t="inlineStr">
        <is>
          <t>Energieverantwortlicher</t>
        </is>
      </c>
      <c r="I640" s="11" t="inlineStr">
        <is>
          <t>Betriebsleiter</t>
        </is>
      </c>
      <c r="J640" s="11" t="n"/>
      <c r="K640" s="11" t="inlineStr">
        <is>
          <t>(MiT-CRM)</t>
        </is>
      </c>
      <c r="L640" s="11" t="n"/>
      <c r="M640" s="11" t="inlineStr">
        <is>
          <t>offen</t>
        </is>
      </c>
      <c r="N640" s="11" t="inlineStr">
        <is>
          <t>MiT-CRM Roberto/Stefan: VS-Kunden ohne Strom prüfen; DE+FR</t>
        </is>
      </c>
      <c r="O640" s="11" t="inlineStr">
        <is>
          <t>Strom-Add-on MiT-Wärme/Kälte VS</t>
        </is>
      </c>
      <c r="P640" s="11" t="n"/>
      <c r="Q640" s="11" t="n"/>
      <c r="R640" s="11" t="inlineStr">
        <is>
          <t>Lonza Visp = grösster GMP-Standort Europa = absoluter Top-Account VS</t>
        </is>
      </c>
      <c r="S640" s="11" t="inlineStr">
        <is>
          <t>Cross-Sell MiT</t>
        </is>
      </c>
    </row>
    <row r="641">
      <c r="A641" s="11" t="n">
        <v>638</v>
      </c>
      <c r="B641" s="11" t="inlineStr">
        <is>
          <t>A</t>
        </is>
      </c>
      <c r="C641" s="11" t="inlineStr">
        <is>
          <t>EVU/Netzbetreiber</t>
        </is>
      </c>
      <c r="D641" s="11" t="inlineStr">
        <is>
          <t>WWZ Energie AG – Wasserwerke Zug</t>
        </is>
      </c>
      <c r="E641" s="11" t="inlineStr">
        <is>
          <t>Zug</t>
        </is>
      </c>
      <c r="F641" s="11" t="inlineStr">
        <is>
          <t>6300</t>
        </is>
      </c>
      <c r="G641" s="11" t="inlineStr">
        <is>
          <t>ZG</t>
        </is>
      </c>
      <c r="H641" s="11" t="inlineStr">
        <is>
          <t>Betriebsleiter Netz</t>
        </is>
      </c>
      <c r="I641" s="11" t="inlineStr">
        <is>
          <t>Dipl. El.-Ing.</t>
        </is>
      </c>
      <c r="J641" s="11" t="inlineStr">
        <is>
          <t>info@wwz.ch</t>
        </is>
      </c>
      <c r="K641" s="11" t="inlineStr">
        <is>
          <t>+41 41 748 11 11</t>
        </is>
      </c>
      <c r="L641" s="11" t="n"/>
      <c r="M641" s="11" t="inlineStr">
        <is>
          <t>offen</t>
        </is>
      </c>
      <c r="N641" s="11" t="inlineStr">
        <is>
          <t>Netzbetrieb WWZ Zug ansprechen</t>
        </is>
      </c>
      <c r="O641" s="11" t="inlineStr">
        <is>
          <t>MS-Revisionen ZG; 65'000 Kunden; Unterwerke; Wärme+Gas</t>
        </is>
      </c>
      <c r="P641" s="11" t="inlineStr">
        <is>
          <t>Generator</t>
        </is>
      </c>
      <c r="Q641" s="11" t="n"/>
      <c r="R641" s="11" t="inlineStr">
        <is>
          <t>Chollerstrasse 24, 6300 Zug; Strom+Gas+Wärme; 65'000 Kunden</t>
        </is>
      </c>
      <c r="S641" s="11" t="inlineStr">
        <is>
          <t>Stadtwerk</t>
        </is>
      </c>
    </row>
    <row r="642">
      <c r="A642" s="11" t="n">
        <v>639</v>
      </c>
      <c r="B642" s="11" t="inlineStr">
        <is>
          <t>A</t>
        </is>
      </c>
      <c r="C642" s="11" t="inlineStr">
        <is>
          <t>Pharma/Chemie</t>
        </is>
      </c>
      <c r="D642" s="11" t="inlineStr">
        <is>
          <t>Glencore plc – HQ Baar ZG</t>
        </is>
      </c>
      <c r="E642" s="11" t="inlineStr">
        <is>
          <t>Baar</t>
        </is>
      </c>
      <c r="F642" s="11" t="inlineStr">
        <is>
          <t>6340</t>
        </is>
      </c>
      <c r="G642" s="11" t="inlineStr">
        <is>
          <t>ZG</t>
        </is>
      </c>
      <c r="H642" s="11" t="inlineStr">
        <is>
          <t>Leiter Facility / Energie</t>
        </is>
      </c>
      <c r="I642" s="11" t="inlineStr">
        <is>
          <t>MSc El.-Ing.</t>
        </is>
      </c>
      <c r="J642" s="11" t="inlineStr">
        <is>
          <t>info@glencore.com</t>
        </is>
      </c>
      <c r="K642" s="11" t="inlineStr">
        <is>
          <t>+41 41 709 20 00</t>
        </is>
      </c>
      <c r="L642" s="11" t="n"/>
      <c r="M642" s="11" t="inlineStr">
        <is>
          <t>offen</t>
        </is>
      </c>
      <c r="N642" s="11" t="inlineStr">
        <is>
          <t>Facility Manager Glencore Baar identifizieren</t>
        </is>
      </c>
      <c r="O642" s="11" t="inlineStr">
        <is>
          <t>HQ + RZ: USV 2× 300 kVA; NEA; PQ Fortune-50</t>
        </is>
      </c>
      <c r="P642" s="11" t="inlineStr">
        <is>
          <t>USV</t>
        </is>
      </c>
      <c r="Q642" s="11" t="n"/>
      <c r="R642" s="11" t="inlineStr">
        <is>
          <t>Baarermattstrasse 3, 6341 Baar; Fortune-50; Rohstoffriese</t>
        </is>
      </c>
      <c r="S642" s="11" t="inlineStr">
        <is>
          <t>Rohstoffhandel</t>
        </is>
      </c>
    </row>
    <row r="643">
      <c r="A643" s="11" t="n">
        <v>640</v>
      </c>
      <c r="B643" s="11" t="inlineStr">
        <is>
          <t>A</t>
        </is>
      </c>
      <c r="C643" s="11" t="inlineStr">
        <is>
          <t>Pharma/Chemie</t>
        </is>
      </c>
      <c r="D643" s="11" t="inlineStr">
        <is>
          <t>Roche Diagnostics GmbH – Rotkreuz ZG</t>
        </is>
      </c>
      <c r="E643" s="11" t="inlineStr">
        <is>
          <t>Rotkreuz</t>
        </is>
      </c>
      <c r="F643" s="11" t="inlineStr">
        <is>
          <t>6343</t>
        </is>
      </c>
      <c r="G643" s="11" t="inlineStr">
        <is>
          <t>ZG</t>
        </is>
      </c>
      <c r="H643" s="11" t="inlineStr">
        <is>
          <t>Energiemanager</t>
        </is>
      </c>
      <c r="I643" s="11" t="inlineStr">
        <is>
          <t>MSc El.-Ing.</t>
        </is>
      </c>
      <c r="J643" s="11" t="inlineStr">
        <is>
          <t>info@roche.com</t>
        </is>
      </c>
      <c r="K643" s="11" t="inlineStr">
        <is>
          <t>+41 41 799 61 11</t>
        </is>
      </c>
      <c r="L643" s="11" t="n"/>
      <c r="M643" s="11" t="inlineStr">
        <is>
          <t>offen</t>
        </is>
      </c>
      <c r="N643" s="11" t="inlineStr">
        <is>
          <t>Energiemanager Roche Diagnostics Rotkreuz</t>
        </is>
      </c>
      <c r="O643" s="11" t="inlineStr">
        <is>
          <t>MedTech + Diagnostik GMP: NEA 2 MVA; USV; PQ Reinräume</t>
        </is>
      </c>
      <c r="P643" s="11" t="inlineStr">
        <is>
          <t>USV</t>
        </is>
      </c>
      <c r="Q643" s="11" t="n"/>
      <c r="R643" s="11" t="inlineStr">
        <is>
          <t>Industriestrasse 7, 6343 Rotkreuz; Roche Diagnostics EMEA HQ</t>
        </is>
      </c>
      <c r="S643" s="11" t="inlineStr">
        <is>
          <t>Diagnostik</t>
        </is>
      </c>
    </row>
    <row r="644">
      <c r="A644" s="11" t="n">
        <v>641</v>
      </c>
      <c r="B644" s="11" t="inlineStr">
        <is>
          <t>A</t>
        </is>
      </c>
      <c r="C644" s="11" t="inlineStr">
        <is>
          <t>Pharma/Chemie</t>
        </is>
      </c>
      <c r="D644" s="11" t="inlineStr">
        <is>
          <t>V-Zug AG – HQ + Werk Zug</t>
        </is>
      </c>
      <c r="E644" s="11" t="inlineStr">
        <is>
          <t>Zug</t>
        </is>
      </c>
      <c r="F644" s="11" t="inlineStr">
        <is>
          <t>6301</t>
        </is>
      </c>
      <c r="G644" s="11" t="inlineStr">
        <is>
          <t>ZG</t>
        </is>
      </c>
      <c r="H644" s="11" t="inlineStr">
        <is>
          <t>Energiemanager</t>
        </is>
      </c>
      <c r="I644" s="11" t="inlineStr">
        <is>
          <t>MSc El.-Ing.</t>
        </is>
      </c>
      <c r="J644" s="11" t="inlineStr">
        <is>
          <t>info@vzug.com</t>
        </is>
      </c>
      <c r="K644" s="11" t="inlineStr">
        <is>
          <t>+41 41 767 67 67</t>
        </is>
      </c>
      <c r="L644" s="11" t="n"/>
      <c r="M644" s="11" t="inlineStr">
        <is>
          <t>offen</t>
        </is>
      </c>
      <c r="N644" s="11" t="inlineStr">
        <is>
          <t>Energiemanager V-Zug; FU-Pitch</t>
        </is>
      </c>
      <c r="O644" s="11" t="inlineStr">
        <is>
          <t>Hausgeräte-Produktion: FU-Antriebe + Prüfstände 1 MVA; EMV</t>
        </is>
      </c>
      <c r="P644" s="11" t="n"/>
      <c r="Q644" s="11" t="n"/>
      <c r="R644" s="11" t="inlineStr">
        <is>
          <t>Industriestrasse 66, 6301 Zug; Schweizer Premium-Hausgeräte</t>
        </is>
      </c>
      <c r="S644" s="11" t="inlineStr">
        <is>
          <t>Haushaltsgeräte</t>
        </is>
      </c>
    </row>
    <row r="645">
      <c r="A645" s="11" t="n">
        <v>642</v>
      </c>
      <c r="B645" s="11" t="inlineStr">
        <is>
          <t>A</t>
        </is>
      </c>
      <c r="C645" s="11" t="inlineStr">
        <is>
          <t>Spital/Klinik</t>
        </is>
      </c>
      <c r="D645" s="11" t="inlineStr">
        <is>
          <t>Zuger Kantonsspital AG</t>
        </is>
      </c>
      <c r="E645" s="11" t="inlineStr">
        <is>
          <t>Zug</t>
        </is>
      </c>
      <c r="F645" s="11" t="inlineStr">
        <is>
          <t>6300</t>
        </is>
      </c>
      <c r="G645" s="11" t="inlineStr">
        <is>
          <t>ZG</t>
        </is>
      </c>
      <c r="H645" s="11" t="inlineStr">
        <is>
          <t>Betriebsleiter Technik</t>
        </is>
      </c>
      <c r="I645" s="11" t="inlineStr">
        <is>
          <t>Dipl. El.-Ing.</t>
        </is>
      </c>
      <c r="J645" s="11" t="inlineStr">
        <is>
          <t>info@zgks.ch</t>
        </is>
      </c>
      <c r="K645" s="11" t="inlineStr">
        <is>
          <t>+41 41 399 11 11</t>
        </is>
      </c>
      <c r="L645" s="11" t="n"/>
      <c r="M645" s="11" t="inlineStr">
        <is>
          <t>offen</t>
        </is>
      </c>
      <c r="N645" s="11" t="inlineStr">
        <is>
          <t>Betriebsleiter ZKS; Neubau Baustrom prüfen</t>
        </is>
      </c>
      <c r="O645" s="11" t="inlineStr">
        <is>
          <t>NEA 2× 400 kVA Pflicht; USV OP; Neubau Bettenhaus geplant</t>
        </is>
      </c>
      <c r="P645" s="11" t="inlineStr">
        <is>
          <t>USV</t>
        </is>
      </c>
      <c r="Q645" s="11" t="n"/>
      <c r="R645" s="11" t="inlineStr">
        <is>
          <t>Landhausstrasse 11, 6340 Baar; Neubau geplant</t>
        </is>
      </c>
      <c r="S645" s="11" t="inlineStr">
        <is>
          <t>Kantonsspital</t>
        </is>
      </c>
    </row>
    <row r="646">
      <c r="A646" s="11" t="n">
        <v>643</v>
      </c>
      <c r="B646" s="11" t="inlineStr">
        <is>
          <t>A</t>
        </is>
      </c>
      <c r="C646" s="11" t="inlineStr">
        <is>
          <t>Rechenzentrum/IT</t>
        </is>
      </c>
      <c r="D646" s="11" t="inlineStr">
        <is>
          <t>Zuger Kantonalbank (ZKB ZG)</t>
        </is>
      </c>
      <c r="E646" s="11" t="inlineStr">
        <is>
          <t>Zug</t>
        </is>
      </c>
      <c r="F646" s="11" t="inlineStr">
        <is>
          <t>6300</t>
        </is>
      </c>
      <c r="G646" s="11" t="inlineStr">
        <is>
          <t>ZG</t>
        </is>
      </c>
      <c r="H646" s="11" t="inlineStr">
        <is>
          <t>Leiter IT-Infrastruktur</t>
        </is>
      </c>
      <c r="I646" s="11" t="inlineStr">
        <is>
          <t>MSc Informatik</t>
        </is>
      </c>
      <c r="J646" s="11" t="inlineStr">
        <is>
          <t>info@zugerkb.ch</t>
        </is>
      </c>
      <c r="K646" s="11" t="inlineStr">
        <is>
          <t>+41 41 709 11 11</t>
        </is>
      </c>
      <c r="L646" s="11" t="n"/>
      <c r="M646" s="11" t="inlineStr">
        <is>
          <t>offen</t>
        </is>
      </c>
      <c r="N646" s="11" t="inlineStr">
        <is>
          <t>IT-Infrastruktur Zuger Kantonalbank</t>
        </is>
      </c>
      <c r="O646" s="11" t="inlineStr">
        <is>
          <t>RZ USV 2× 200 kVA; NEA; PQ FINMA</t>
        </is>
      </c>
      <c r="P646" s="11" t="inlineStr">
        <is>
          <t>USV</t>
        </is>
      </c>
      <c r="Q646" s="11" t="n"/>
      <c r="R646" s="11" t="inlineStr">
        <is>
          <t>Bahnhofstrasse 1, 6301 Zug; FINMA; Steuerparadies</t>
        </is>
      </c>
      <c r="S646" s="11" t="inlineStr">
        <is>
          <t>Kantonalbank</t>
        </is>
      </c>
    </row>
    <row r="647">
      <c r="A647" s="11" t="n">
        <v>644</v>
      </c>
      <c r="B647" s="11" t="inlineStr">
        <is>
          <t>B</t>
        </is>
      </c>
      <c r="C647" s="11" t="inlineStr">
        <is>
          <t>Pharma/Chemie</t>
        </is>
      </c>
      <c r="D647" s="11" t="inlineStr">
        <is>
          <t>Sika AG – HQ Baar ZG</t>
        </is>
      </c>
      <c r="E647" s="11" t="inlineStr">
        <is>
          <t>Baar</t>
        </is>
      </c>
      <c r="F647" s="11" t="inlineStr">
        <is>
          <t>6341</t>
        </is>
      </c>
      <c r="G647" s="11" t="inlineStr">
        <is>
          <t>ZG</t>
        </is>
      </c>
      <c r="H647" s="11" t="inlineStr">
        <is>
          <t>Energiemanager</t>
        </is>
      </c>
      <c r="I647" s="11" t="inlineStr">
        <is>
          <t>Dipl. El.-Ing.</t>
        </is>
      </c>
      <c r="J647" s="11" t="inlineStr">
        <is>
          <t>info@sika.com</t>
        </is>
      </c>
      <c r="K647" s="11" t="inlineStr">
        <is>
          <t>+41 58 436 68 00</t>
        </is>
      </c>
      <c r="L647" s="11" t="n"/>
      <c r="M647" s="11" t="inlineStr">
        <is>
          <t>offen</t>
        </is>
      </c>
      <c r="N647" s="11" t="inlineStr">
        <is>
          <t>Energieverantwortlichen Sika Baar identifizieren</t>
        </is>
      </c>
      <c r="O647" s="11" t="inlineStr">
        <is>
          <t>Bauchemie HQ: NEA 1 MVA; PQ; FU-Antriebe Mischer</t>
        </is>
      </c>
      <c r="P647" s="11" t="n"/>
      <c r="Q647" s="11" t="n"/>
      <c r="R647" s="11" t="inlineStr">
        <is>
          <t>Tüffenwies 16, 6341 Baar; Bauchemie-Weltkonzern</t>
        </is>
      </c>
      <c r="S647" s="11" t="inlineStr">
        <is>
          <t>Spezialchemie</t>
        </is>
      </c>
    </row>
    <row r="648">
      <c r="A648" s="11" t="n">
        <v>645</v>
      </c>
      <c r="B648" s="11" t="inlineStr">
        <is>
          <t>C</t>
        </is>
      </c>
      <c r="C648" s="11" t="inlineStr">
        <is>
          <t>Gemeinde/Öffentlich</t>
        </is>
      </c>
      <c r="D648" s="11" t="inlineStr">
        <is>
          <t>Kanton Zug – Hochbauamt</t>
        </is>
      </c>
      <c r="E648" s="11" t="inlineStr">
        <is>
          <t>Zug</t>
        </is>
      </c>
      <c r="F648" s="11" t="inlineStr">
        <is>
          <t>6300</t>
        </is>
      </c>
      <c r="G648" s="11" t="inlineStr">
        <is>
          <t>ZG</t>
        </is>
      </c>
      <c r="H648" s="11" t="inlineStr">
        <is>
          <t>Leiter Hochbauamt</t>
        </is>
      </c>
      <c r="I648" s="11" t="inlineStr">
        <is>
          <t>Kantonsbauingenieur</t>
        </is>
      </c>
      <c r="J648" s="11" t="inlineStr">
        <is>
          <t>hochbauamt@zg.ch</t>
        </is>
      </c>
      <c r="K648" s="11" t="inlineStr">
        <is>
          <t>+41 41 728 54 54</t>
        </is>
      </c>
      <c r="L648" s="11" t="n"/>
      <c r="M648" s="11" t="inlineStr">
        <is>
          <t>offen</t>
        </is>
      </c>
      <c r="N648" s="11" t="inlineStr">
        <is>
          <t>Hochbauamt ZG + simap.ch Alert</t>
        </is>
      </c>
      <c r="O648" s="11" t="inlineStr">
        <is>
          <t>NEA kantonale Gebäude 500 kVA; Rahmenvertrag</t>
        </is>
      </c>
      <c r="P648" s="11" t="n"/>
      <c r="Q648" s="11" t="n"/>
      <c r="R648" s="11" t="inlineStr">
        <is>
          <t>Aabachstrasse 5, 6300 Zug; Steuerparadies; viele HQ</t>
        </is>
      </c>
      <c r="S648" s="11" t="inlineStr">
        <is>
          <t>Kanton</t>
        </is>
      </c>
    </row>
    <row r="649">
      <c r="A649" s="11" t="n">
        <v>646</v>
      </c>
      <c r="B649" s="11" t="inlineStr">
        <is>
          <t>A</t>
        </is>
      </c>
      <c r="C649" s="11" t="inlineStr">
        <is>
          <t>Pharma/Chemie</t>
        </is>
      </c>
      <c r="D649" s="11" t="inlineStr">
        <is>
          <t>Glencore International AG (HQ Baar ZG)</t>
        </is>
      </c>
      <c r="E649" s="11" t="inlineStr">
        <is>
          <t>Baar</t>
        </is>
      </c>
      <c r="F649" s="11" t="inlineStr">
        <is>
          <t>6340</t>
        </is>
      </c>
      <c r="G649" s="11" t="inlineStr">
        <is>
          <t>ZG</t>
        </is>
      </c>
      <c r="H649" s="11" t="inlineStr">
        <is>
          <t>Facility Manager HQ</t>
        </is>
      </c>
      <c r="I649" s="11" t="inlineStr">
        <is>
          <t>MSc El.-Ing.</t>
        </is>
      </c>
      <c r="J649" s="11" t="inlineStr">
        <is>
          <t>info@glencore.com</t>
        </is>
      </c>
      <c r="K649" s="11" t="inlineStr">
        <is>
          <t>+41 41 709 20 00</t>
        </is>
      </c>
      <c r="L649" s="11" t="n"/>
      <c r="M649" s="11" t="inlineStr">
        <is>
          <t>offen</t>
        </is>
      </c>
      <c r="N649" s="11" t="inlineStr">
        <is>
          <t>Facility Manager Glencore HQ; Baarermattstrasse 3 Baar; Fortune-10-Pitch</t>
        </is>
      </c>
      <c r="O649" s="11" t="inlineStr">
        <is>
          <t>Rohstoff-HQ: NEA + USV 1 MVA; PQ Fortune-10; CHF 238 Mrd. Umsatz; 4'000 MA Baar</t>
        </is>
      </c>
      <c r="P649" s="11" t="inlineStr">
        <is>
          <t>USV</t>
        </is>
      </c>
      <c r="Q649" s="11" t="n"/>
      <c r="R649" s="11" t="inlineStr">
        <is>
          <t>Adr: Baarermattstrasse 3, 6340 Baar | Glencore; CHF 238 Mrd.; Fortune-10; Rohstoff-HQ</t>
        </is>
      </c>
      <c r="S649" s="11" t="inlineStr">
        <is>
          <t>Rohstoffhandel HQ</t>
        </is>
      </c>
    </row>
    <row r="650">
      <c r="A650" s="11" t="n">
        <v>647</v>
      </c>
      <c r="B650" s="11" t="inlineStr">
        <is>
          <t>A</t>
        </is>
      </c>
      <c r="C650" s="11" t="inlineStr">
        <is>
          <t>Pharma/Chemie</t>
        </is>
      </c>
      <c r="D650" s="11" t="inlineStr">
        <is>
          <t>Roche AG (Werk Rotkreuz ZG)</t>
        </is>
      </c>
      <c r="E650" s="11" t="inlineStr">
        <is>
          <t>Rotkreuz</t>
        </is>
      </c>
      <c r="F650" s="11" t="inlineStr">
        <is>
          <t>6343</t>
        </is>
      </c>
      <c r="G650" s="11" t="inlineStr">
        <is>
          <t>ZG</t>
        </is>
      </c>
      <c r="H650" s="11" t="inlineStr">
        <is>
          <t>Energiemanager</t>
        </is>
      </c>
      <c r="I650" s="11" t="inlineStr">
        <is>
          <t>MSc El.-Ing.</t>
        </is>
      </c>
      <c r="J650" s="11" t="inlineStr">
        <is>
          <t>info@roche.com</t>
        </is>
      </c>
      <c r="K650" s="11" t="inlineStr">
        <is>
          <t>+41 41 799 11 11</t>
        </is>
      </c>
      <c r="L650" s="11" t="n"/>
      <c r="M650" s="11" t="inlineStr">
        <is>
          <t>offen</t>
        </is>
      </c>
      <c r="N650" s="11" t="inlineStr">
        <is>
          <t>Energiemanager Roche Rotkreuz; Route de la Corniche 7; GMP-Pitch</t>
        </is>
      </c>
      <c r="O650" s="11" t="inlineStr">
        <is>
          <t>Diagnostik GMP: NEA 3 MVA; USV Labors; PQ Reinräume; 6'000 MA; Roche Diagnostics</t>
        </is>
      </c>
      <c r="P650" s="11" t="inlineStr">
        <is>
          <t>USV</t>
        </is>
      </c>
      <c r="Q650" s="11" t="n"/>
      <c r="R650" s="11" t="inlineStr">
        <is>
          <t>Adr: Route de la Corniche 7, 6343 Rotkreuz | Roche Diagnostics; 6'000 MA; GMP</t>
        </is>
      </c>
      <c r="S650" s="11" t="inlineStr">
        <is>
          <t>Pharma MedTech</t>
        </is>
      </c>
    </row>
    <row r="651">
      <c r="A651" s="11" t="n">
        <v>648</v>
      </c>
      <c r="B651" s="11" t="inlineStr">
        <is>
          <t>A</t>
        </is>
      </c>
      <c r="C651" s="11" t="inlineStr">
        <is>
          <t>Pharma/Chemie</t>
        </is>
      </c>
      <c r="D651" s="11" t="inlineStr">
        <is>
          <t>Siemens Healthineers AG (Werk ZG)</t>
        </is>
      </c>
      <c r="E651" s="11" t="inlineStr">
        <is>
          <t>Steinhausen</t>
        </is>
      </c>
      <c r="F651" s="11" t="inlineStr">
        <is>
          <t>6312</t>
        </is>
      </c>
      <c r="G651" s="11" t="inlineStr">
        <is>
          <t>ZG</t>
        </is>
      </c>
      <c r="H651" s="11" t="inlineStr">
        <is>
          <t>Betriebsleiter Technik</t>
        </is>
      </c>
      <c r="I651" s="11" t="inlineStr">
        <is>
          <t>MSc El.-Ing.</t>
        </is>
      </c>
      <c r="J651" s="11" t="inlineStr">
        <is>
          <t>info@siemens-healthineers.com</t>
        </is>
      </c>
      <c r="K651" s="11" t="inlineStr">
        <is>
          <t>+41 41 749 20 00</t>
        </is>
      </c>
      <c r="L651" s="11" t="n"/>
      <c r="M651" s="11" t="inlineStr">
        <is>
          <t>offen</t>
        </is>
      </c>
      <c r="N651" s="11" t="inlineStr">
        <is>
          <t>Betriebsleiter Siemens Healthineers Steinhausen; MedTech-PQ-Pitch</t>
        </is>
      </c>
      <c r="O651" s="11" t="inlineStr">
        <is>
          <t>MedTech Diagnostik: NEA + USV 500 kVA; PQ Reinräume; EMV; 1'500 MA ZG</t>
        </is>
      </c>
      <c r="P651" s="11" t="inlineStr">
        <is>
          <t>USV</t>
        </is>
      </c>
      <c r="Q651" s="11" t="n"/>
      <c r="R651" s="11" t="inlineStr">
        <is>
          <t>Adr: Steinhausen, 6312 ZG | Siemens Healthineers; Diagnostik; 1'500 MA</t>
        </is>
      </c>
      <c r="S651" s="11" t="inlineStr">
        <is>
          <t>Medizintechnik</t>
        </is>
      </c>
    </row>
    <row r="652">
      <c r="A652" s="11" t="n">
        <v>649</v>
      </c>
      <c r="B652" s="11" t="inlineStr">
        <is>
          <t>A</t>
        </is>
      </c>
      <c r="C652" s="11" t="inlineStr">
        <is>
          <t>Spital/Klinik</t>
        </is>
      </c>
      <c r="D652" s="11" t="inlineStr">
        <is>
          <t>Zuger Kantonsspital AG (ZGKS)</t>
        </is>
      </c>
      <c r="E652" s="11" t="inlineStr">
        <is>
          <t>Baar</t>
        </is>
      </c>
      <c r="F652" s="11" t="inlineStr">
        <is>
          <t>6340</t>
        </is>
      </c>
      <c r="G652" s="11" t="inlineStr">
        <is>
          <t>ZG</t>
        </is>
      </c>
      <c r="H652" s="11" t="inlineStr">
        <is>
          <t>Betriebsleiter TGM</t>
        </is>
      </c>
      <c r="I652" s="11" t="inlineStr">
        <is>
          <t>MSc El.-Ing.</t>
        </is>
      </c>
      <c r="J652" s="11" t="inlineStr">
        <is>
          <t>info@zgks.ch</t>
        </is>
      </c>
      <c r="K652" s="11" t="inlineStr">
        <is>
          <t>+41 41 399 11 11</t>
        </is>
      </c>
      <c r="L652" s="11" t="n"/>
      <c r="M652" s="11" t="inlineStr">
        <is>
          <t>offen</t>
        </is>
      </c>
      <c r="N652" s="11" t="inlineStr">
        <is>
          <t>TGM ZGKS; Landhausstrasse 11 Baar; Neubau-Betriebsphase ansprechen</t>
        </is>
      </c>
      <c r="O652" s="11" t="inlineStr">
        <is>
          <t>NEA 3× 400 kVA; USV OP/ICU; 1'600 MA; Neubau 2024 abgeschlossen</t>
        </is>
      </c>
      <c r="P652" s="11" t="inlineStr">
        <is>
          <t>USV</t>
        </is>
      </c>
      <c r="Q652" s="11" t="n"/>
      <c r="R652" s="11" t="inlineStr">
        <is>
          <t>Adr: Landhausstrasse 11, 6340 Baar | 1'600 MA; Neubau 2024; NIV Art. 13</t>
        </is>
      </c>
      <c r="S652" s="11" t="inlineStr">
        <is>
          <t>Kantonsspital</t>
        </is>
      </c>
    </row>
    <row r="653">
      <c r="A653" s="11" t="n">
        <v>650</v>
      </c>
      <c r="B653" s="11" t="inlineStr">
        <is>
          <t>A</t>
        </is>
      </c>
      <c r="C653" s="11" t="inlineStr">
        <is>
          <t>Rechenzentrum/IT</t>
        </is>
      </c>
      <c r="D653" s="11" t="inlineStr">
        <is>
          <t>Equinix ZU1 Zürich/Zug (RZ ZG-Region)</t>
        </is>
      </c>
      <c r="E653" s="11" t="inlineStr">
        <is>
          <t>Zug</t>
        </is>
      </c>
      <c r="F653" s="11" t="inlineStr">
        <is>
          <t>6300</t>
        </is>
      </c>
      <c r="G653" s="11" t="inlineStr">
        <is>
          <t>ZG</t>
        </is>
      </c>
      <c r="H653" s="11" t="inlineStr">
        <is>
          <t>Facility Manager DACH</t>
        </is>
      </c>
      <c r="I653" s="11" t="inlineStr">
        <is>
          <t>MSc El.-Ing.</t>
        </is>
      </c>
      <c r="J653" s="11" t="inlineStr">
        <is>
          <t>info@equinix.com</t>
        </is>
      </c>
      <c r="K653" s="11" t="inlineStr">
        <is>
          <t>+41 44 445 99 00</t>
        </is>
      </c>
      <c r="L653" s="11" t="n"/>
      <c r="M653" s="11" t="inlineStr">
        <is>
          <t>offen</t>
        </is>
      </c>
      <c r="N653" s="11" t="inlineStr">
        <is>
          <t>Facility Manager Equinix ZG; Tier-4-Pitch; Fortune-500</t>
        </is>
      </c>
      <c r="O653" s="11" t="inlineStr">
        <is>
          <t>RZ ZG-Region: NEA 5 MVA; USV; PQ Tier-4; Fortune-500 Equinix</t>
        </is>
      </c>
      <c r="P653" s="11" t="inlineStr">
        <is>
          <t>USV</t>
        </is>
      </c>
      <c r="Q653" s="11" t="n"/>
      <c r="R653" s="11" t="inlineStr">
        <is>
          <t>Adr: ZG-Region | Equinix Tier-4; Fortune-500; weltweit 240+ RZ</t>
        </is>
      </c>
      <c r="S653" s="11" t="inlineStr">
        <is>
          <t>Rechenzentrum</t>
        </is>
      </c>
    </row>
    <row r="654">
      <c r="A654" s="11" t="n">
        <v>651</v>
      </c>
      <c r="B654" s="11" t="inlineStr">
        <is>
          <t>A</t>
        </is>
      </c>
      <c r="C654" s="11" t="inlineStr">
        <is>
          <t>EVU/Netzbetreiber</t>
        </is>
      </c>
      <c r="D654" s="11" t="inlineStr">
        <is>
          <t>WWZ (Wasserwerke Zug AG)</t>
        </is>
      </c>
      <c r="E654" s="11" t="inlineStr">
        <is>
          <t>Zug</t>
        </is>
      </c>
      <c r="F654" s="11" t="inlineStr">
        <is>
          <t>6301</t>
        </is>
      </c>
      <c r="G654" s="11" t="inlineStr">
        <is>
          <t>ZG</t>
        </is>
      </c>
      <c r="H654" s="11" t="inlineStr">
        <is>
          <t>Leiter Netzbetrieb</t>
        </is>
      </c>
      <c r="I654" s="11" t="inlineStr">
        <is>
          <t>Dipl. El.-Ing.</t>
        </is>
      </c>
      <c r="J654" s="11" t="inlineStr">
        <is>
          <t>info@wwz.ch</t>
        </is>
      </c>
      <c r="K654" s="11" t="inlineStr">
        <is>
          <t>+41 41 748 11 11</t>
        </is>
      </c>
      <c r="L654" s="11" t="n"/>
      <c r="M654" s="11" t="inlineStr">
        <is>
          <t>offen</t>
        </is>
      </c>
      <c r="N654" s="11" t="inlineStr">
        <is>
          <t>Netzbetrieb WWZ; Baarerstrasse 54 Zug; Revisionskalender anfragen</t>
        </is>
      </c>
      <c r="O654" s="11" t="inlineStr">
        <is>
          <t>Stadtwerk ZG: Strom+Gas+Wasser+Wärme; 55'000 Kunden; MS-Revisionen; BESS</t>
        </is>
      </c>
      <c r="P654" s="11" t="inlineStr">
        <is>
          <t>BESS</t>
        </is>
      </c>
      <c r="Q654" s="11" t="n"/>
      <c r="R654" s="11" t="inlineStr">
        <is>
          <t>Adr: Baarerstrasse 54, 6301 Zug | WWZ; 55'000 Kunden; Strom+Wasser+Wärme</t>
        </is>
      </c>
      <c r="S654" s="11" t="inlineStr">
        <is>
          <t>Kantonaler EVU</t>
        </is>
      </c>
    </row>
    <row r="655">
      <c r="A655" s="11" t="n">
        <v>652</v>
      </c>
      <c r="B655" s="11" t="inlineStr">
        <is>
          <t>A</t>
        </is>
      </c>
      <c r="C655" s="11" t="inlineStr">
        <is>
          <t>Pharma/Chemie</t>
        </is>
      </c>
      <c r="D655" s="11" t="inlineStr">
        <is>
          <t>Jacobs Holding AG / Barry Callebaut HQ</t>
        </is>
      </c>
      <c r="E655" s="11" t="inlineStr">
        <is>
          <t>Zug</t>
        </is>
      </c>
      <c r="F655" s="11" t="inlineStr">
        <is>
          <t>6302</t>
        </is>
      </c>
      <c r="G655" s="11" t="inlineStr">
        <is>
          <t>ZG</t>
        </is>
      </c>
      <c r="H655" s="11" t="inlineStr">
        <is>
          <t>Facility Manager</t>
        </is>
      </c>
      <c r="I655" s="11" t="inlineStr">
        <is>
          <t>MSc El.-Ing.</t>
        </is>
      </c>
      <c r="J655" s="11" t="inlineStr">
        <is>
          <t>info@jacobs-holding.com</t>
        </is>
      </c>
      <c r="K655" s="11" t="inlineStr">
        <is>
          <t>+41 41 726 10 00</t>
        </is>
      </c>
      <c r="L655" s="11" t="n"/>
      <c r="M655" s="11" t="inlineStr">
        <is>
          <t>offen</t>
        </is>
      </c>
      <c r="N655" s="11" t="inlineStr">
        <is>
          <t>Facility Manager Jacobs Holding; Friesenbergstrasse Zug; Holding-Pitch</t>
        </is>
      </c>
      <c r="O655" s="11" t="inlineStr">
        <is>
          <t>Holding HQ: NEA + USV 300 kVA; PQ; Jacobs = Barry Callebaut + Henniez; ZG</t>
        </is>
      </c>
      <c r="P655" s="11" t="inlineStr">
        <is>
          <t>USV</t>
        </is>
      </c>
      <c r="Q655" s="11" t="n"/>
      <c r="R655" s="11" t="inlineStr">
        <is>
          <t>Adr: Friesenbergstrasse, 6302 Zug | Jacobs Holding; Barry Callebaut-Mutter</t>
        </is>
      </c>
      <c r="S655" s="11" t="inlineStr">
        <is>
          <t>Agrar/Chemie HQ</t>
        </is>
      </c>
    </row>
    <row r="656">
      <c r="A656" s="11" t="n">
        <v>653</v>
      </c>
      <c r="B656" s="11" t="inlineStr">
        <is>
          <t>B</t>
        </is>
      </c>
      <c r="C656" s="11" t="inlineStr">
        <is>
          <t>Pharma/Chemie</t>
        </is>
      </c>
      <c r="D656" s="11" t="inlineStr">
        <is>
          <t>V-Zug AG (Haushaltsgeräte, Werk Zug)</t>
        </is>
      </c>
      <c r="E656" s="11" t="inlineStr">
        <is>
          <t>Zug</t>
        </is>
      </c>
      <c r="F656" s="11" t="inlineStr">
        <is>
          <t>6300</t>
        </is>
      </c>
      <c r="G656" s="11" t="inlineStr">
        <is>
          <t>ZG</t>
        </is>
      </c>
      <c r="H656" s="11" t="inlineStr">
        <is>
          <t>Betriebsleiter Technik</t>
        </is>
      </c>
      <c r="I656" s="11" t="inlineStr">
        <is>
          <t>Dipl. El.-Ing.</t>
        </is>
      </c>
      <c r="J656" s="11" t="inlineStr">
        <is>
          <t>info@vzug.ch</t>
        </is>
      </c>
      <c r="K656" s="11" t="inlineStr">
        <is>
          <t>+41 41 767 67 67</t>
        </is>
      </c>
      <c r="L656" s="11" t="n"/>
      <c r="M656" s="11" t="inlineStr">
        <is>
          <t>offen</t>
        </is>
      </c>
      <c r="N656" s="11" t="inlineStr">
        <is>
          <t>Betriebsleiter V-Zug; Industriestrasse 66 Zug; FU-PQ-Pitch</t>
        </is>
      </c>
      <c r="O656" s="11" t="inlineStr">
        <is>
          <t>Haushaltsgeräte Produktion: NEA 500 kVA; FU-Fertigungsstrassen; PQ; ISO 50001</t>
        </is>
      </c>
      <c r="P656" s="11" t="n"/>
      <c r="Q656" s="11" t="n"/>
      <c r="R656" s="11" t="inlineStr">
        <is>
          <t>Adr: Industriestrasse 66, 6300 Zug | V-Zug Haushaltsgeräte; FU-Fertigung</t>
        </is>
      </c>
      <c r="S656" s="11" t="inlineStr">
        <is>
          <t>Pharma HQ</t>
        </is>
      </c>
    </row>
    <row r="657">
      <c r="A657" s="11" t="n">
        <v>654</v>
      </c>
      <c r="B657" s="11" t="inlineStr">
        <is>
          <t>B</t>
        </is>
      </c>
      <c r="C657" s="11" t="inlineStr">
        <is>
          <t>Spital/Klinik</t>
        </is>
      </c>
      <c r="D657" s="11" t="inlineStr">
        <is>
          <t>AndreasKlinik Cham (Hirslanden)</t>
        </is>
      </c>
      <c r="E657" s="11" t="inlineStr">
        <is>
          <t>Cham</t>
        </is>
      </c>
      <c r="F657" s="11" t="inlineStr">
        <is>
          <t>6330</t>
        </is>
      </c>
      <c r="G657" s="11" t="inlineStr">
        <is>
          <t>ZG</t>
        </is>
      </c>
      <c r="H657" s="11" t="inlineStr">
        <is>
          <t>Betriebsleiter Technik</t>
        </is>
      </c>
      <c r="I657" s="11" t="inlineStr">
        <is>
          <t>Techniker</t>
        </is>
      </c>
      <c r="J657" s="11" t="inlineStr">
        <is>
          <t>info@andreasklinik.ch</t>
        </is>
      </c>
      <c r="K657" s="11" t="inlineStr">
        <is>
          <t>+41 41 783 03 03</t>
        </is>
      </c>
      <c r="L657" s="11" t="n"/>
      <c r="M657" s="11" t="inlineStr">
        <is>
          <t>offen</t>
        </is>
      </c>
      <c r="N657" s="11" t="inlineStr">
        <is>
          <t>Betriebsleiter AndreasKlinik; Rigistrasse 1 Cham; Hirslanden-Pitch</t>
        </is>
      </c>
      <c r="O657" s="11" t="inlineStr">
        <is>
          <t>Privatklinik Hirslanden: NEA 1× 250 kVA; USV; 300 MA; Hirslanden-Verbund</t>
        </is>
      </c>
      <c r="P657" s="11" t="inlineStr">
        <is>
          <t>USV</t>
        </is>
      </c>
      <c r="Q657" s="11" t="n"/>
      <c r="R657" s="11" t="inlineStr">
        <is>
          <t>Adr: Rigistrasse 1, 6330 Cham | Hirslanden-Gruppe; Privatklinik ZG; NIV Art. 13</t>
        </is>
      </c>
      <c r="S657" s="11" t="inlineStr">
        <is>
          <t>Klinik</t>
        </is>
      </c>
    </row>
    <row r="658">
      <c r="A658" s="11" t="n">
        <v>655</v>
      </c>
      <c r="B658" s="11" t="inlineStr">
        <is>
          <t>B</t>
        </is>
      </c>
      <c r="C658" s="11" t="inlineStr">
        <is>
          <t>Gemeinde/Öffentlich</t>
        </is>
      </c>
      <c r="D658" s="11" t="inlineStr">
        <is>
          <t>Kanton Zug (Hochbauamt)</t>
        </is>
      </c>
      <c r="E658" s="11" t="inlineStr">
        <is>
          <t>Zug</t>
        </is>
      </c>
      <c r="F658" s="11" t="inlineStr">
        <is>
          <t>6300</t>
        </is>
      </c>
      <c r="G658" s="11" t="inlineStr">
        <is>
          <t>ZG</t>
        </is>
      </c>
      <c r="H658" s="11" t="inlineStr">
        <is>
          <t>Leiter Hochbauamt</t>
        </is>
      </c>
      <c r="I658" s="11" t="inlineStr">
        <is>
          <t>Kantonsbauingenieur</t>
        </is>
      </c>
      <c r="J658" s="11" t="inlineStr">
        <is>
          <t>hochbauamt@zg.ch</t>
        </is>
      </c>
      <c r="K658" s="11" t="inlineStr">
        <is>
          <t>+41 41 728 30 00</t>
        </is>
      </c>
      <c r="L658" s="11" t="n"/>
      <c r="M658" s="11" t="inlineStr">
        <is>
          <t>offen</t>
        </is>
      </c>
      <c r="N658" s="11" t="inlineStr">
        <is>
          <t>Hochbauamt ZG; Postfach 156 Zug; simap.ch Alert ZG</t>
        </is>
      </c>
      <c r="O658" s="11" t="inlineStr">
        <is>
          <t>NEA kantonale Gebäude ZG; 150+ Liegenschaften; tiefste Steuern CH</t>
        </is>
      </c>
      <c r="P658" s="11" t="n"/>
      <c r="Q658" s="11" t="n"/>
      <c r="R658" s="11" t="inlineStr">
        <is>
          <t>Adr: Aabachstrasse 5, 6300 Zug | Tiefste Steuern CH; 150+ Liegenschaften</t>
        </is>
      </c>
      <c r="S658" s="11" t="inlineStr">
        <is>
          <t>Kanton ZG</t>
        </is>
      </c>
    </row>
    <row r="659">
      <c r="A659" s="11" t="n">
        <v>656</v>
      </c>
      <c r="B659" s="11" t="inlineStr">
        <is>
          <t>B</t>
        </is>
      </c>
      <c r="C659" s="11" t="inlineStr">
        <is>
          <t>Elektroplaner/Engineering</t>
        </is>
      </c>
      <c r="D659" s="11" t="inlineStr">
        <is>
          <t>Elektro-Installationen EI AG (Zug)</t>
        </is>
      </c>
      <c r="E659" s="11" t="inlineStr">
        <is>
          <t>Zug</t>
        </is>
      </c>
      <c r="F659" s="11" t="inlineStr">
        <is>
          <t>6300</t>
        </is>
      </c>
      <c r="G659" s="11" t="inlineStr">
        <is>
          <t>ZG</t>
        </is>
      </c>
      <c r="H659" s="11" t="inlineStr">
        <is>
          <t>Inhaber</t>
        </is>
      </c>
      <c r="I659" s="11" t="inlineStr">
        <is>
          <t>Elektroinstallateur EFZ</t>
        </is>
      </c>
      <c r="J659" s="11" t="inlineStr">
        <is>
          <t>info@ei-ag.ch</t>
        </is>
      </c>
      <c r="K659" s="11" t="inlineStr">
        <is>
          <t>+41 41 740 22 33</t>
        </is>
      </c>
      <c r="L659" s="11" t="n"/>
      <c r="M659" s="11" t="inlineStr">
        <is>
          <t>offen</t>
        </is>
      </c>
      <c r="N659" s="11" t="inlineStr">
        <is>
          <t>Inhaber EI AG Zug; Partnerschaft + ZG-Akquise besprechen</t>
        </is>
      </c>
      <c r="O659" s="11" t="inlineStr">
        <is>
          <t>Elektrounternehmen Zug: Industrie+Gewerbe+Büro; ZG-Marktkenntnis; lokaler Türöffner</t>
        </is>
      </c>
      <c r="P659" s="11" t="n"/>
      <c r="Q659" s="11" t="n"/>
      <c r="R659" s="11" t="inlineStr">
        <is>
          <t>Adr: Zug, 6300 ZG | Elektrounternehmen ZG; Türöffner Industrie+Pharma</t>
        </is>
      </c>
      <c r="S659" s="11" t="inlineStr">
        <is>
          <t>Elektrounternehmen ZG</t>
        </is>
      </c>
    </row>
    <row r="660">
      <c r="A660" s="11" t="n">
        <v>657</v>
      </c>
      <c r="B660" s="11" t="inlineStr">
        <is>
          <t>B</t>
        </is>
      </c>
      <c r="C660" s="11" t="inlineStr">
        <is>
          <t>Bau/Infrastruktur</t>
        </is>
      </c>
      <c r="D660" s="11" t="inlineStr">
        <is>
          <t>ARA Zug (Lorze-/Zugersee-Schutz)</t>
        </is>
      </c>
      <c r="E660" s="11" t="inlineStr">
        <is>
          <t>Zug</t>
        </is>
      </c>
      <c r="F660" s="11" t="inlineStr">
        <is>
          <t>6300</t>
        </is>
      </c>
      <c r="G660" s="11" t="inlineStr">
        <is>
          <t>ZG</t>
        </is>
      </c>
      <c r="H660" s="11" t="inlineStr">
        <is>
          <t>Betriebsleiter ARA</t>
        </is>
      </c>
      <c r="I660" s="11" t="inlineStr">
        <is>
          <t>Techniker</t>
        </is>
      </c>
      <c r="J660" s="11" t="inlineStr">
        <is>
          <t>info@ara-zug.ch</t>
        </is>
      </c>
      <c r="K660" s="11" t="inlineStr">
        <is>
          <t>+41 41 748 82 82</t>
        </is>
      </c>
      <c r="L660" s="11" t="n"/>
      <c r="M660" s="11" t="inlineStr">
        <is>
          <t>offen</t>
        </is>
      </c>
      <c r="N660" s="11" t="inlineStr">
        <is>
          <t>Betriebsleiter ARA Zug; Lorzenstrasse 60; simap.ch Alert ZG</t>
        </is>
      </c>
      <c r="O660" s="11" t="inlineStr">
        <is>
          <t>NEA-Pflicht 1× 300 kVA; Lorze-/Zugersee-Schutz; 24h</t>
        </is>
      </c>
      <c r="P660" s="11" t="inlineStr">
        <is>
          <t>Generator</t>
        </is>
      </c>
      <c r="Q660" s="11" t="n"/>
      <c r="R660" s="11" t="inlineStr">
        <is>
          <t>Adr: Lorzenstrasse 60, 6300 Zug | Zugersee-Schutz; Ausschreibungspflicht</t>
        </is>
      </c>
      <c r="S660" s="11" t="inlineStr">
        <is>
          <t>ARA Lorze ZG</t>
        </is>
      </c>
    </row>
    <row r="661">
      <c r="A661" s="11" t="n">
        <v>658</v>
      </c>
      <c r="B661" s="11" t="inlineStr">
        <is>
          <t>C</t>
        </is>
      </c>
      <c r="C661" s="11" t="inlineStr">
        <is>
          <t>Pharma/Chemie</t>
        </is>
      </c>
      <c r="D661" s="11" t="inlineStr">
        <is>
          <t>Spie Suisse AG (FM-Dienstleister ZG)</t>
        </is>
      </c>
      <c r="E661" s="11" t="inlineStr">
        <is>
          <t>Zug</t>
        </is>
      </c>
      <c r="F661" s="11" t="inlineStr">
        <is>
          <t>6300</t>
        </is>
      </c>
      <c r="G661" s="11" t="inlineStr">
        <is>
          <t>ZG</t>
        </is>
      </c>
      <c r="H661" s="11" t="inlineStr">
        <is>
          <t>Betriebsleiter FM</t>
        </is>
      </c>
      <c r="I661" s="11" t="inlineStr">
        <is>
          <t>Dipl. El.-Ing.</t>
        </is>
      </c>
      <c r="J661" s="11" t="inlineStr">
        <is>
          <t>info@spie.ch</t>
        </is>
      </c>
      <c r="K661" s="11" t="inlineStr">
        <is>
          <t>+41 58 580 80 00</t>
        </is>
      </c>
      <c r="L661" s="11" t="n"/>
      <c r="M661" s="11" t="inlineStr">
        <is>
          <t>offen</t>
        </is>
      </c>
      <c r="N661" s="11" t="inlineStr">
        <is>
          <t>Betriebsleiter Spie Suisse; FM-Partnerschaft ZG ansprechen</t>
        </is>
      </c>
      <c r="O661" s="11" t="inlineStr">
        <is>
          <t>FM-Dienstleister CH: NEA + USV Kunden; Facility Management ZG-Konzerne</t>
        </is>
      </c>
      <c r="P661" s="11" t="inlineStr">
        <is>
          <t>USV</t>
        </is>
      </c>
      <c r="Q661" s="11" t="n"/>
      <c r="R661" s="11" t="inlineStr">
        <is>
          <t>Adr: Zug Region | Spie FM; Türöffner zu ZG-Konzernen via FM-Partnerschaft</t>
        </is>
      </c>
      <c r="S661" s="11" t="inlineStr">
        <is>
          <t>Immobilien/FM</t>
        </is>
      </c>
    </row>
    <row r="662">
      <c r="A662" s="11" t="n">
        <v>659</v>
      </c>
      <c r="B662" s="11" t="inlineStr">
        <is>
          <t>C</t>
        </is>
      </c>
      <c r="C662" s="11" t="inlineStr">
        <is>
          <t>Gemeinde/Öffentlich</t>
        </is>
      </c>
      <c r="D662" s="11" t="inlineStr">
        <is>
          <t>[MiT ZG-Kältekunde Nr. 1]</t>
        </is>
      </c>
      <c r="E662" s="11" t="inlineStr">
        <is>
          <t>Zug</t>
        </is>
      </c>
      <c r="F662" s="11" t="inlineStr">
        <is>
          <t>6300</t>
        </is>
      </c>
      <c r="G662" s="11" t="inlineStr">
        <is>
          <t>ZG</t>
        </is>
      </c>
      <c r="H662" s="11" t="inlineStr">
        <is>
          <t>Energieverantwortlicher</t>
        </is>
      </c>
      <c r="I662" s="11" t="inlineStr">
        <is>
          <t>Betriebsleiter</t>
        </is>
      </c>
      <c r="J662" s="11" t="n"/>
      <c r="K662" s="11" t="inlineStr">
        <is>
          <t>(MiT-CRM)</t>
        </is>
      </c>
      <c r="L662" s="11" t="n"/>
      <c r="M662" s="11" t="inlineStr">
        <is>
          <t>offen</t>
        </is>
      </c>
      <c r="N662" s="11" t="inlineStr">
        <is>
          <t>MiT-CRM Roberto/Stefan: ZG-Kunden ohne Strom prüfen</t>
        </is>
      </c>
      <c r="O662" s="11" t="inlineStr">
        <is>
          <t>Strom-Add-on MiT-Wärme/Kälte ZG</t>
        </is>
      </c>
      <c r="P662" s="11" t="n"/>
      <c r="Q662" s="11" t="n"/>
      <c r="R662" s="11" t="inlineStr">
        <is>
          <t>Glencore + Roche Rotkreuz = Fortune-10/50 ZG = grösste Budgets CH</t>
        </is>
      </c>
      <c r="S662" s="11" t="inlineStr">
        <is>
          <t>Cross-Sell MiT</t>
        </is>
      </c>
    </row>
    <row r="663">
      <c r="A663" s="11" t="n">
        <v>660</v>
      </c>
      <c r="B663" s="11" t="inlineStr">
        <is>
          <t>A</t>
        </is>
      </c>
      <c r="C663" s="11" t="inlineStr">
        <is>
          <t>EVU/Netzbetreiber</t>
        </is>
      </c>
      <c r="D663" s="11" t="inlineStr">
        <is>
          <t>EKZ Elektrizitätswerke Kt. Zürich</t>
        </is>
      </c>
      <c r="E663" s="11" t="inlineStr">
        <is>
          <t>Zürich</t>
        </is>
      </c>
      <c r="F663" s="11" t="inlineStr">
        <is>
          <t>8050</t>
        </is>
      </c>
      <c r="G663" s="11" t="inlineStr">
        <is>
          <t>ZH</t>
        </is>
      </c>
      <c r="H663" s="11" t="inlineStr">
        <is>
          <t>Leiter Netzbetrieb</t>
        </is>
      </c>
      <c r="I663" s="11" t="inlineStr">
        <is>
          <t>Dipl. El.-Ing.</t>
        </is>
      </c>
      <c r="J663" s="11" t="inlineStr">
        <is>
          <t>info@ekz.ch</t>
        </is>
      </c>
      <c r="K663" s="11" t="inlineStr">
        <is>
          <t>+41 58 359 51 11</t>
        </is>
      </c>
      <c r="L663" s="11" t="n"/>
      <c r="M663" s="11" t="inlineStr">
        <is>
          <t>offen</t>
        </is>
      </c>
      <c r="N663" s="11" t="inlineStr">
        <is>
          <t>Netzbetrieb EKZ; Revisionskalender anfragen; Termin Q3 2026</t>
        </is>
      </c>
      <c r="O663" s="11" t="inlineStr">
        <is>
          <t>17'187 km Netz; 1 Mio. Kunden; MS/HS-Revisionen; 15 Unterwerke; BESS</t>
        </is>
      </c>
      <c r="P663" s="11" t="inlineStr">
        <is>
          <t>BESS</t>
        </is>
      </c>
      <c r="Q663" s="11" t="n"/>
      <c r="R663" s="11" t="inlineStr">
        <is>
          <t>Adr: Affolternstrasse 44, 8050 ZH | 10% CH-Strom; CHF 1'228 Mio. Umsatz 2024</t>
        </is>
      </c>
      <c r="S663" s="11" t="inlineStr">
        <is>
          <t>Kantonaler EVU</t>
        </is>
      </c>
    </row>
    <row r="664">
      <c r="A664" s="11" t="n">
        <v>661</v>
      </c>
      <c r="B664" s="11" t="inlineStr">
        <is>
          <t>A</t>
        </is>
      </c>
      <c r="C664" s="11" t="inlineStr">
        <is>
          <t>EVU/Netzbetreiber</t>
        </is>
      </c>
      <c r="D664" s="11" t="inlineStr">
        <is>
          <t>ewz Elektrizitätswerk Stadt Zürich</t>
        </is>
      </c>
      <c r="E664" s="11" t="inlineStr">
        <is>
          <t>Zürich</t>
        </is>
      </c>
      <c r="F664" s="11" t="inlineStr">
        <is>
          <t>8023</t>
        </is>
      </c>
      <c r="G664" s="11" t="inlineStr">
        <is>
          <t>ZH</t>
        </is>
      </c>
      <c r="H664" s="11" t="inlineStr">
        <is>
          <t>Betriebsleiter Netz</t>
        </is>
      </c>
      <c r="I664" s="11" t="inlineStr">
        <is>
          <t>Dipl. El.-Ing.</t>
        </is>
      </c>
      <c r="J664" s="11" t="inlineStr">
        <is>
          <t>info@ewz.ch</t>
        </is>
      </c>
      <c r="K664" s="11" t="inlineStr">
        <is>
          <t>+41 58 319 41 11</t>
        </is>
      </c>
      <c r="L664" s="11" t="n"/>
      <c r="M664" s="11" t="inlineStr">
        <is>
          <t>offen</t>
        </is>
      </c>
      <c r="N664" s="11" t="inlineStr">
        <is>
          <t>Netzverantwortlichen ewz kontaktieren; simap.ch Alert Zürich</t>
        </is>
      </c>
      <c r="O664" s="11" t="inlineStr">
        <is>
          <t>Netzersatz Stadtversorgung; MS-Revisionen; NEA Stadtgebäude; Fernwärme; 450'000 Kunden</t>
        </is>
      </c>
      <c r="P664" s="11" t="n"/>
      <c r="Q664" s="11" t="n"/>
      <c r="R664" s="11" t="inlineStr">
        <is>
          <t>Adr: Tramstrasse 35, 8023 ZH | Stadtwerk Zürich; Strom+Wärme+Breitband</t>
        </is>
      </c>
      <c r="S664" s="11" t="inlineStr">
        <is>
          <t>Stadtwerk</t>
        </is>
      </c>
    </row>
    <row r="665">
      <c r="A665" s="11" t="n">
        <v>662</v>
      </c>
      <c r="B665" s="11" t="inlineStr">
        <is>
          <t>A</t>
        </is>
      </c>
      <c r="C665" s="11" t="inlineStr">
        <is>
          <t>EVU/Netzbetreiber</t>
        </is>
      </c>
      <c r="D665" s="11" t="inlineStr">
        <is>
          <t>Stadtwerk Winterthur</t>
        </is>
      </c>
      <c r="E665" s="11" t="inlineStr">
        <is>
          <t>Winterthur</t>
        </is>
      </c>
      <c r="F665" s="11" t="inlineStr">
        <is>
          <t>8401</t>
        </is>
      </c>
      <c r="G665" s="11" t="inlineStr">
        <is>
          <t>ZH</t>
        </is>
      </c>
      <c r="H665" s="11" t="inlineStr">
        <is>
          <t>Betriebsleiter Energie</t>
        </is>
      </c>
      <c r="I665" s="11" t="inlineStr">
        <is>
          <t>Betriebsing.</t>
        </is>
      </c>
      <c r="J665" s="11" t="inlineStr">
        <is>
          <t>energie@win.ch</t>
        </is>
      </c>
      <c r="K665" s="11" t="inlineStr">
        <is>
          <t>+41 52 267 67 67</t>
        </is>
      </c>
      <c r="L665" s="11" t="n"/>
      <c r="M665" s="11" t="inlineStr">
        <is>
          <t>offen</t>
        </is>
      </c>
      <c r="N665" s="11" t="inlineStr">
        <is>
          <t>Betriebsleiter ansprechen; Cross-Sell WTH prüfen</t>
        </is>
      </c>
      <c r="O665" s="11" t="inlineStr">
        <is>
          <t>MS-Revisionen WTH; NEA kommunale Gebäude; Fernwärme; BESS-Pilot</t>
        </is>
      </c>
      <c r="P665" s="11" t="inlineStr">
        <is>
          <t>Wärme</t>
        </is>
      </c>
      <c r="Q665" s="11" t="n"/>
      <c r="R665" s="11" t="inlineStr">
        <is>
          <t>Adr: Unterer Deutweg 45, 8401 WTH | Stadtwerk WTH; Strom+Gas+Wärme</t>
        </is>
      </c>
      <c r="S665" s="11" t="inlineStr">
        <is>
          <t>Stadtwerk</t>
        </is>
      </c>
    </row>
    <row r="666">
      <c r="A666" s="11" t="n">
        <v>663</v>
      </c>
      <c r="B666" s="11" t="inlineStr">
        <is>
          <t>A</t>
        </is>
      </c>
      <c r="C666" s="11" t="inlineStr">
        <is>
          <t>Spital/Klinik</t>
        </is>
      </c>
      <c r="D666" s="11" t="inlineStr">
        <is>
          <t>Universitätsspital Zürich (USZ)</t>
        </is>
      </c>
      <c r="E666" s="11" t="inlineStr">
        <is>
          <t>Zürich</t>
        </is>
      </c>
      <c r="F666" s="11" t="inlineStr">
        <is>
          <t>8091</t>
        </is>
      </c>
      <c r="G666" s="11" t="inlineStr">
        <is>
          <t>ZH</t>
        </is>
      </c>
      <c r="H666" s="11" t="inlineStr">
        <is>
          <t>Leiter Technisches Management</t>
        </is>
      </c>
      <c r="I666" s="11" t="inlineStr">
        <is>
          <t>MSc El.-Ing.</t>
        </is>
      </c>
      <c r="J666" s="11" t="inlineStr">
        <is>
          <t>info@usz.ch</t>
        </is>
      </c>
      <c r="K666" s="11" t="inlineStr">
        <is>
          <t>+41 44 255 11 11</t>
        </is>
      </c>
      <c r="L666" s="11" t="n"/>
      <c r="M666" s="11" t="inlineStr">
        <is>
          <t>offen</t>
        </is>
      </c>
      <c r="N666" s="11" t="inlineStr">
        <is>
          <t>TGM USZ; simap.ch Alert USZ; Neubauten ansprechen</t>
        </is>
      </c>
      <c r="O666" s="11" t="inlineStr">
        <is>
          <t>NEA 4× 500 kVA; USV OP/ICU/Reinraum; 7'452 MA; Neubauten laufend</t>
        </is>
      </c>
      <c r="P666" s="11" t="inlineStr">
        <is>
          <t>USV</t>
        </is>
      </c>
      <c r="Q666" s="11" t="n"/>
      <c r="R666" s="11" t="inlineStr">
        <is>
          <t>Adr: Rämistrasse 100, 8091 ZH | Grösstes Spital Deutschschweiz; CHF 1.5 Mrd.</t>
        </is>
      </c>
      <c r="S666" s="11" t="inlineStr">
        <is>
          <t>Universitätsspital</t>
        </is>
      </c>
    </row>
    <row r="667">
      <c r="A667" s="11" t="n">
        <v>664</v>
      </c>
      <c r="B667" s="11" t="inlineStr">
        <is>
          <t>A</t>
        </is>
      </c>
      <c r="C667" s="11" t="inlineStr">
        <is>
          <t>Spital/Klinik</t>
        </is>
      </c>
      <c r="D667" s="11" t="inlineStr">
        <is>
          <t>Hirslanden Klinik Zürich</t>
        </is>
      </c>
      <c r="E667" s="11" t="inlineStr">
        <is>
          <t>Zürich</t>
        </is>
      </c>
      <c r="F667" s="11" t="inlineStr">
        <is>
          <t>8032</t>
        </is>
      </c>
      <c r="G667" s="11" t="inlineStr">
        <is>
          <t>ZH</t>
        </is>
      </c>
      <c r="H667" s="11" t="inlineStr">
        <is>
          <t>Regionalleiter Technik</t>
        </is>
      </c>
      <c r="I667" s="11" t="inlineStr">
        <is>
          <t>Dipl. El.-Ing.</t>
        </is>
      </c>
      <c r="J667" s="11" t="inlineStr">
        <is>
          <t>technik.zuerich@hirslanden.ch</t>
        </is>
      </c>
      <c r="K667" s="11" t="inlineStr">
        <is>
          <t>+41 44 387 21 11</t>
        </is>
      </c>
      <c r="L667" s="11" t="n"/>
      <c r="M667" s="11" t="inlineStr">
        <is>
          <t>offen</t>
        </is>
      </c>
      <c r="N667" s="11" t="inlineStr">
        <is>
          <t>Regionalleiter Technik Hirslanden ZH identifizieren</t>
        </is>
      </c>
      <c r="O667" s="11" t="inlineStr">
        <is>
          <t>NEA 2× 400 kVA; USV OP; 2 ZH-Standorte; Aevis-Konzern</t>
        </is>
      </c>
      <c r="P667" s="11" t="inlineStr">
        <is>
          <t>USV</t>
        </is>
      </c>
      <c r="Q667" s="11" t="n"/>
      <c r="R667" s="11" t="inlineStr">
        <is>
          <t>Adr: Witellikerstrasse 40, 8032 ZH | Aevis Victoria; CHF 1.796 Mrd.</t>
        </is>
      </c>
      <c r="S667" s="11" t="inlineStr">
        <is>
          <t>Privatklinikgruppe</t>
        </is>
      </c>
    </row>
    <row r="668">
      <c r="A668" s="11" t="n">
        <v>665</v>
      </c>
      <c r="B668" s="11" t="inlineStr">
        <is>
          <t>A</t>
        </is>
      </c>
      <c r="C668" s="11" t="inlineStr">
        <is>
          <t>Spital/Klinik</t>
        </is>
      </c>
      <c r="D668" s="11" t="inlineStr">
        <is>
          <t>Kantonsspital Winterthur (KSW)</t>
        </is>
      </c>
      <c r="E668" s="11" t="inlineStr">
        <is>
          <t>Winterthur</t>
        </is>
      </c>
      <c r="F668" s="11" t="inlineStr">
        <is>
          <t>8401</t>
        </is>
      </c>
      <c r="G668" s="11" t="inlineStr">
        <is>
          <t>ZH</t>
        </is>
      </c>
      <c r="H668" s="11" t="inlineStr">
        <is>
          <t>Betriebsleiter Technik</t>
        </is>
      </c>
      <c r="I668" s="11" t="inlineStr">
        <is>
          <t>Dipl. El.-Ing.</t>
        </is>
      </c>
      <c r="J668" s="11" t="inlineStr">
        <is>
          <t>info@ksw.ch</t>
        </is>
      </c>
      <c r="K668" s="11" t="inlineStr">
        <is>
          <t>+41 52 266 21 21</t>
        </is>
      </c>
      <c r="L668" s="11" t="n"/>
      <c r="M668" s="11" t="inlineStr">
        <is>
          <t>offen</t>
        </is>
      </c>
      <c r="N668" s="11" t="inlineStr">
        <is>
          <t>Betriebsleiter KSW; Neubau-Betriebsphase-Vertrag anstreben</t>
        </is>
      </c>
      <c r="O668" s="11" t="inlineStr">
        <is>
          <t>NEA 2× 400 kVA; USV ICU/OP; 3'542 MA; Neubau Bettenhaus 2025</t>
        </is>
      </c>
      <c r="P668" s="11" t="inlineStr">
        <is>
          <t>USV</t>
        </is>
      </c>
      <c r="Q668" s="11" t="n"/>
      <c r="R668" s="11" t="inlineStr">
        <is>
          <t>Adr: Brauerstrasse 15, 8401 WTH | 3'542 MA; Neubau 2025</t>
        </is>
      </c>
      <c r="S668" s="11" t="inlineStr">
        <is>
          <t>Kantonsspital</t>
        </is>
      </c>
    </row>
    <row r="669">
      <c r="A669" s="11" t="n">
        <v>666</v>
      </c>
      <c r="B669" s="11" t="inlineStr">
        <is>
          <t>A</t>
        </is>
      </c>
      <c r="C669" s="11" t="inlineStr">
        <is>
          <t>Spital/Klinik</t>
        </is>
      </c>
      <c r="D669" s="11" t="inlineStr">
        <is>
          <t>Kinderspital Zürich (Kispi)</t>
        </is>
      </c>
      <c r="E669" s="11" t="inlineStr">
        <is>
          <t>Zürich</t>
        </is>
      </c>
      <c r="F669" s="11" t="inlineStr">
        <is>
          <t>8032</t>
        </is>
      </c>
      <c r="G669" s="11" t="inlineStr">
        <is>
          <t>ZH</t>
        </is>
      </c>
      <c r="H669" s="11" t="inlineStr">
        <is>
          <t>Betriebsleiter Haustechnik</t>
        </is>
      </c>
      <c r="I669" s="11" t="inlineStr">
        <is>
          <t>Techniker</t>
        </is>
      </c>
      <c r="J669" s="11" t="inlineStr">
        <is>
          <t>info@kispi.uzh.ch</t>
        </is>
      </c>
      <c r="K669" s="11" t="inlineStr">
        <is>
          <t>+41 44 266 71 11</t>
        </is>
      </c>
      <c r="L669" s="11" t="n"/>
      <c r="M669" s="11" t="inlineStr">
        <is>
          <t>offen</t>
        </is>
      </c>
      <c r="N669" s="11" t="inlineStr">
        <is>
          <t>Haustechnik KiSpi; Neubau Lengg abgeschlossen</t>
        </is>
      </c>
      <c r="O669" s="11" t="inlineStr">
        <is>
          <t>NEA 2× 300 kVA; USV Pädiatrie; 1'600 MA; Neubau Lengg 2024</t>
        </is>
      </c>
      <c r="P669" s="11" t="inlineStr">
        <is>
          <t>USV</t>
        </is>
      </c>
      <c r="Q669" s="11" t="n"/>
      <c r="R669" s="11" t="inlineStr">
        <is>
          <t>Adr: Steinwiesstrasse 75, 8032 ZH | 1'600 MA; Neubau 2024</t>
        </is>
      </c>
      <c r="S669" s="11" t="inlineStr">
        <is>
          <t>Kinderspital</t>
        </is>
      </c>
    </row>
    <row r="670">
      <c r="A670" s="11" t="n">
        <v>667</v>
      </c>
      <c r="B670" s="11" t="inlineStr">
        <is>
          <t>A</t>
        </is>
      </c>
      <c r="C670" s="11" t="inlineStr">
        <is>
          <t>Spital/Klinik</t>
        </is>
      </c>
      <c r="D670" s="11" t="inlineStr">
        <is>
          <t>Schulthess Klinik AG</t>
        </is>
      </c>
      <c r="E670" s="11" t="inlineStr">
        <is>
          <t>Zürich</t>
        </is>
      </c>
      <c r="F670" s="11" t="inlineStr">
        <is>
          <t>8008</t>
        </is>
      </c>
      <c r="G670" s="11" t="inlineStr">
        <is>
          <t>ZH</t>
        </is>
      </c>
      <c r="H670" s="11" t="inlineStr">
        <is>
          <t>Betriebsleiter Technik</t>
        </is>
      </c>
      <c r="I670" s="11" t="inlineStr">
        <is>
          <t>Techniker</t>
        </is>
      </c>
      <c r="J670" s="11" t="inlineStr">
        <is>
          <t>info@schulthess-klinik.ch</t>
        </is>
      </c>
      <c r="K670" s="11" t="inlineStr">
        <is>
          <t>+41 44 385 75 75</t>
        </is>
      </c>
      <c r="L670" s="11" t="n"/>
      <c r="M670" s="11" t="inlineStr">
        <is>
          <t>offen</t>
        </is>
      </c>
      <c r="N670" s="11" t="inlineStr">
        <is>
          <t>Betriebsleiter Schulthess Klinik kontaktieren</t>
        </is>
      </c>
      <c r="O670" s="11" t="inlineStr">
        <is>
          <t>NEA 1× 250 kVA; USV Orthopädie; 1'131 MA</t>
        </is>
      </c>
      <c r="P670" s="11" t="inlineStr">
        <is>
          <t>USV</t>
        </is>
      </c>
      <c r="Q670" s="11" t="n"/>
      <c r="R670" s="11" t="inlineStr">
        <is>
          <t>Adr: Lengghalde 2, 8008 ZH | 1'131 MA; CHF 198 Mio.</t>
        </is>
      </c>
      <c r="S670" s="11" t="inlineStr">
        <is>
          <t>Rehaklinik</t>
        </is>
      </c>
    </row>
    <row r="671">
      <c r="A671" s="11" t="n">
        <v>668</v>
      </c>
      <c r="B671" s="11" t="inlineStr">
        <is>
          <t>A</t>
        </is>
      </c>
      <c r="C671" s="11" t="inlineStr">
        <is>
          <t>Pharma/Chemie</t>
        </is>
      </c>
      <c r="D671" s="11" t="inlineStr">
        <is>
          <t>ABB Ltd. Schweiz HQ</t>
        </is>
      </c>
      <c r="E671" s="11" t="inlineStr">
        <is>
          <t>Zürich</t>
        </is>
      </c>
      <c r="F671" s="11" t="inlineStr">
        <is>
          <t>8050</t>
        </is>
      </c>
      <c r="G671" s="11" t="inlineStr">
        <is>
          <t>ZH</t>
        </is>
      </c>
      <c r="H671" s="11" t="inlineStr">
        <is>
          <t>Energiemanager Schweiz</t>
        </is>
      </c>
      <c r="I671" s="11" t="inlineStr">
        <is>
          <t>MSc El.-Ing.</t>
        </is>
      </c>
      <c r="J671" s="11" t="inlineStr">
        <is>
          <t>info@ch.abb.com</t>
        </is>
      </c>
      <c r="K671" s="11" t="inlineStr">
        <is>
          <t>+41 58 585 00 00</t>
        </is>
      </c>
      <c r="L671" s="11" t="n"/>
      <c r="M671" s="11" t="inlineStr">
        <is>
          <t>offen</t>
        </is>
      </c>
      <c r="N671" s="11" t="inlineStr">
        <is>
          <t>Energiemanager ABB ZH/Baden; FU-PQ-Pitch Q2 2026</t>
        </is>
      </c>
      <c r="O671" s="11" t="inlineStr">
        <is>
          <t>FU-Prüfstände 5 MVA; 3'850 MA CH; PQ; EMV; ISO 50001; 8 CH-Standorte</t>
        </is>
      </c>
      <c r="P671" s="11" t="inlineStr">
        <is>
          <t>Generator</t>
        </is>
      </c>
      <c r="Q671" s="11" t="n"/>
      <c r="R671" s="11" t="inlineStr">
        <is>
          <t>Adr: Affolternstrasse 44, 8050 ZH | USD 32.85 Mrd. 2024; 104'400 MA ww</t>
        </is>
      </c>
      <c r="S671" s="11" t="inlineStr">
        <is>
          <t>Elektrotechnik</t>
        </is>
      </c>
    </row>
    <row r="672">
      <c r="A672" s="11" t="n">
        <v>669</v>
      </c>
      <c r="B672" s="11" t="inlineStr">
        <is>
          <t>A</t>
        </is>
      </c>
      <c r="C672" s="11" t="inlineStr">
        <is>
          <t>Bau/Infrastruktur</t>
        </is>
      </c>
      <c r="D672" s="11" t="inlineStr">
        <is>
          <t>Flughafen Zürich AG</t>
        </is>
      </c>
      <c r="E672" s="11" t="inlineStr">
        <is>
          <t>Kloten</t>
        </is>
      </c>
      <c r="F672" s="11" t="inlineStr">
        <is>
          <t>8058</t>
        </is>
      </c>
      <c r="G672" s="11" t="inlineStr">
        <is>
          <t>ZH</t>
        </is>
      </c>
      <c r="H672" s="11" t="inlineStr">
        <is>
          <t>Leiter Energie &amp; Facility</t>
        </is>
      </c>
      <c r="I672" s="11" t="inlineStr">
        <is>
          <t>MSc El.-Ing.</t>
        </is>
      </c>
      <c r="J672" s="11" t="inlineStr">
        <is>
          <t>info@flughafen-zuerich.ch</t>
        </is>
      </c>
      <c r="K672" s="11" t="inlineStr">
        <is>
          <t>+41 43 816 22 11</t>
        </is>
      </c>
      <c r="L672" s="11" t="n"/>
      <c r="M672" s="11" t="inlineStr">
        <is>
          <t>offen</t>
        </is>
      </c>
      <c r="N672" s="11" t="inlineStr">
        <is>
          <t>Facility-Energie Flughafen ZRH; Rahmenvertrag via simap.ch</t>
        </is>
      </c>
      <c r="O672" s="11" t="inlineStr">
        <is>
          <t>NEA Terminal 5 MVA; USV Check-in/Control; PQ; 30 Mio. Pax</t>
        </is>
      </c>
      <c r="P672" s="11" t="inlineStr">
        <is>
          <t>USV</t>
        </is>
      </c>
      <c r="Q672" s="11" t="n"/>
      <c r="R672" s="11" t="inlineStr">
        <is>
          <t>Adr: Flughafenstrasse 1, 8058 Kloten | Bester Flughafen Europas 21×</t>
        </is>
      </c>
      <c r="S672" s="11" t="inlineStr">
        <is>
          <t>Flughafen</t>
        </is>
      </c>
    </row>
    <row r="673">
      <c r="A673" s="11" t="n">
        <v>670</v>
      </c>
      <c r="B673" s="11" t="inlineStr">
        <is>
          <t>A</t>
        </is>
      </c>
      <c r="C673" s="11" t="inlineStr">
        <is>
          <t>Rechenzentrum/IT</t>
        </is>
      </c>
      <c r="D673" s="11" t="inlineStr">
        <is>
          <t>Google Switzerland GmbH</t>
        </is>
      </c>
      <c r="E673" s="11" t="inlineStr">
        <is>
          <t>Zürich</t>
        </is>
      </c>
      <c r="F673" s="11" t="inlineStr">
        <is>
          <t>8002</t>
        </is>
      </c>
      <c r="G673" s="11" t="inlineStr">
        <is>
          <t>ZH</t>
        </is>
      </c>
      <c r="H673" s="11" t="inlineStr">
        <is>
          <t>Head of Facilities EMEA</t>
        </is>
      </c>
      <c r="I673" s="11" t="inlineStr">
        <is>
          <t>MSc Inf.</t>
        </is>
      </c>
      <c r="J673" s="11" t="inlineStr">
        <is>
          <t>ch-jobs@google.com</t>
        </is>
      </c>
      <c r="K673" s="11" t="inlineStr">
        <is>
          <t>+41 44 668 18 68</t>
        </is>
      </c>
      <c r="L673" s="11" t="n"/>
      <c r="M673" s="11" t="inlineStr">
        <is>
          <t>offen</t>
        </is>
      </c>
      <c r="N673" s="11" t="inlineStr">
        <is>
          <t>Head of Facilities Google ZH identifizieren</t>
        </is>
      </c>
      <c r="O673" s="11" t="inlineStr">
        <is>
          <t>RZ USV 6× 500 kVA; NEA 2 MVA; PQ Fortune-10; 4'000 MA ZH</t>
        </is>
      </c>
      <c r="P673" s="11" t="inlineStr">
        <is>
          <t>USV</t>
        </is>
      </c>
      <c r="Q673" s="11" t="n"/>
      <c r="R673" s="11" t="inlineStr">
        <is>
          <t>Adr: Brandschenkestrasse 110, 8002 ZH | Europas grösster Google-Standort</t>
        </is>
      </c>
      <c r="S673" s="11" t="inlineStr">
        <is>
          <t>IT-Konzern</t>
        </is>
      </c>
    </row>
    <row r="674">
      <c r="A674" s="11" t="n">
        <v>671</v>
      </c>
      <c r="B674" s="11" t="inlineStr">
        <is>
          <t>A</t>
        </is>
      </c>
      <c r="C674" s="11" t="inlineStr">
        <is>
          <t>Rechenzentrum/IT</t>
        </is>
      </c>
      <c r="D674" s="11" t="inlineStr">
        <is>
          <t>Zürcher Kantonalbank (ZKB)</t>
        </is>
      </c>
      <c r="E674" s="11" t="inlineStr">
        <is>
          <t>Zürich</t>
        </is>
      </c>
      <c r="F674" s="11" t="inlineStr">
        <is>
          <t>8001</t>
        </is>
      </c>
      <c r="G674" s="11" t="inlineStr">
        <is>
          <t>ZH</t>
        </is>
      </c>
      <c r="H674" s="11" t="inlineStr">
        <is>
          <t>Leiter IT-Infrastruktur</t>
        </is>
      </c>
      <c r="I674" s="11" t="inlineStr">
        <is>
          <t>MSc Inf.</t>
        </is>
      </c>
      <c r="J674" s="11" t="inlineStr">
        <is>
          <t>info@zkb.ch</t>
        </is>
      </c>
      <c r="K674" s="11" t="inlineStr">
        <is>
          <t>+41 44 292 92 92</t>
        </is>
      </c>
      <c r="L674" s="11" t="n"/>
      <c r="M674" s="11" t="inlineStr">
        <is>
          <t>offen</t>
        </is>
      </c>
      <c r="N674" s="11" t="inlineStr">
        <is>
          <t>IT-Infrastrukturleiter ZKB; FINMA-Argument</t>
        </is>
      </c>
      <c r="O674" s="11" t="inlineStr">
        <is>
          <t>USV RZ 4× 500 kVA; NEA 2 MVA; PQ FINMA</t>
        </is>
      </c>
      <c r="P674" s="11" t="inlineStr">
        <is>
          <t>USV</t>
        </is>
      </c>
      <c r="Q674" s="11" t="n"/>
      <c r="R674" s="11" t="inlineStr">
        <is>
          <t>Adr: Bahnhofstrasse 9, 8001 ZH | Grösste Kantonalbank CH; FINMA</t>
        </is>
      </c>
      <c r="S674" s="11" t="inlineStr">
        <is>
          <t>Kantonalbank</t>
        </is>
      </c>
    </row>
    <row r="675">
      <c r="A675" s="11" t="n">
        <v>672</v>
      </c>
      <c r="B675" s="11" t="inlineStr">
        <is>
          <t>A</t>
        </is>
      </c>
      <c r="C675" s="11" t="inlineStr">
        <is>
          <t>Rechenzentrum/IT</t>
        </is>
      </c>
      <c r="D675" s="11" t="inlineStr">
        <is>
          <t>UBS Group AG</t>
        </is>
      </c>
      <c r="E675" s="11" t="inlineStr">
        <is>
          <t>Zürich</t>
        </is>
      </c>
      <c r="F675" s="11" t="inlineStr">
        <is>
          <t>8001</t>
        </is>
      </c>
      <c r="G675" s="11" t="inlineStr">
        <is>
          <t>ZH</t>
        </is>
      </c>
      <c r="H675" s="11" t="inlineStr">
        <is>
          <t>Leiter IT-Infrastruktur CH</t>
        </is>
      </c>
      <c r="I675" s="11" t="inlineStr">
        <is>
          <t>MSc Inf.</t>
        </is>
      </c>
      <c r="J675" s="11" t="inlineStr">
        <is>
          <t>info@ubs.com</t>
        </is>
      </c>
      <c r="K675" s="11" t="inlineStr">
        <is>
          <t>+41 44 234 11 11</t>
        </is>
      </c>
      <c r="L675" s="11" t="n"/>
      <c r="M675" s="11" t="inlineStr">
        <is>
          <t>offen</t>
        </is>
      </c>
      <c r="N675" s="11" t="inlineStr">
        <is>
          <t>IT-Infrastruktur UBS ZH; FINMA-Argument</t>
        </is>
      </c>
      <c r="O675" s="11" t="inlineStr">
        <is>
          <t>USV RZ 6× 500 kVA; NEA 3 MVA; PQ FINMA</t>
        </is>
      </c>
      <c r="P675" s="11" t="inlineStr">
        <is>
          <t>USV</t>
        </is>
      </c>
      <c r="Q675" s="11" t="n"/>
      <c r="R675" s="11" t="inlineStr">
        <is>
          <t>Adr: Bahnhofstrasse 45, 8001 ZH | Grösste CH-Bank; FINMA</t>
        </is>
      </c>
      <c r="S675" s="11" t="inlineStr">
        <is>
          <t>Grossbank</t>
        </is>
      </c>
    </row>
    <row r="676">
      <c r="A676" s="11" t="n">
        <v>673</v>
      </c>
      <c r="B676" s="11" t="inlineStr">
        <is>
          <t>A</t>
        </is>
      </c>
      <c r="C676" s="11" t="inlineStr">
        <is>
          <t>Bau/Infrastruktur</t>
        </is>
      </c>
      <c r="D676" s="11" t="inlineStr">
        <is>
          <t>SBB AG Infrastruktur Zürich</t>
        </is>
      </c>
      <c r="E676" s="11" t="inlineStr">
        <is>
          <t>Zürich</t>
        </is>
      </c>
      <c r="F676" s="11" t="inlineStr">
        <is>
          <t>8021</t>
        </is>
      </c>
      <c r="G676" s="11" t="inlineStr">
        <is>
          <t>ZH</t>
        </is>
      </c>
      <c r="H676" s="11" t="inlineStr">
        <is>
          <t>Leiter Infra Energie ZH</t>
        </is>
      </c>
      <c r="I676" s="11" t="inlineStr">
        <is>
          <t>MSc El.-Ing.</t>
        </is>
      </c>
      <c r="J676" s="11" t="inlineStr">
        <is>
          <t>kontakt@sbb.ch</t>
        </is>
      </c>
      <c r="K676" s="11" t="inlineStr">
        <is>
          <t>+41 58 333 33 33</t>
        </is>
      </c>
      <c r="L676" s="11" t="n"/>
      <c r="M676" s="11" t="inlineStr">
        <is>
          <t>offen</t>
        </is>
      </c>
      <c r="N676" s="11" t="inlineStr">
        <is>
          <t>simap.ch SBB ZH + Direktkontakt Infra Energie</t>
        </is>
      </c>
      <c r="O676" s="11" t="inlineStr">
        <is>
          <t>Baustellen ZH 200–2'000 kVA; Revisionen; NEA Bahnhöfe ZH</t>
        </is>
      </c>
      <c r="P676" s="11" t="n"/>
      <c r="Q676" s="11" t="n"/>
      <c r="R676" s="11" t="inlineStr">
        <is>
          <t>Adr: Hilfikerstrasse 3, 3000 Bern | HB Zürich meistfrequentierter Bahnhof CH</t>
        </is>
      </c>
      <c r="S676" s="11" t="inlineStr">
        <is>
          <t>Bundesbahn</t>
        </is>
      </c>
    </row>
    <row r="677">
      <c r="A677" s="11" t="n">
        <v>674</v>
      </c>
      <c r="B677" s="11" t="inlineStr">
        <is>
          <t>A</t>
        </is>
      </c>
      <c r="C677" s="11" t="inlineStr">
        <is>
          <t>Pharma/Chemie</t>
        </is>
      </c>
      <c r="D677" s="11" t="inlineStr">
        <is>
          <t>Sulzer AG Werk Winterthur</t>
        </is>
      </c>
      <c r="E677" s="11" t="inlineStr">
        <is>
          <t>Winterthur</t>
        </is>
      </c>
      <c r="F677" s="11" t="inlineStr">
        <is>
          <t>8401</t>
        </is>
      </c>
      <c r="G677" s="11" t="inlineStr">
        <is>
          <t>ZH</t>
        </is>
      </c>
      <c r="H677" s="11" t="inlineStr">
        <is>
          <t>Betriebsleiter Elektro</t>
        </is>
      </c>
      <c r="I677" s="11" t="inlineStr">
        <is>
          <t>Dipl. El.-Ing.</t>
        </is>
      </c>
      <c r="J677" s="11" t="inlineStr">
        <is>
          <t>info@sulzer.com</t>
        </is>
      </c>
      <c r="K677" s="11" t="inlineStr">
        <is>
          <t>+41 52 262 11 22</t>
        </is>
      </c>
      <c r="L677" s="11" t="n"/>
      <c r="M677" s="11" t="inlineStr">
        <is>
          <t>offen</t>
        </is>
      </c>
      <c r="N677" s="11" t="inlineStr">
        <is>
          <t>Energieverantwortlichen Sulzer WTH; FU-PQ-Pitch</t>
        </is>
      </c>
      <c r="O677" s="11" t="inlineStr">
        <is>
          <t>Pumpen-Prüfstände 2 MVA; PQ; EMV; FU; 13'816 MA ww</t>
        </is>
      </c>
      <c r="P677" s="11" t="n"/>
      <c r="Q677" s="11" t="n"/>
      <c r="R677" s="11" t="inlineStr">
        <is>
          <t>Adr: Eschermattstrasse 6, 8401 WTH | CHF 3.155 Mrd.; Weltmarktführer Pumpen</t>
        </is>
      </c>
      <c r="S677" s="11" t="inlineStr">
        <is>
          <t>Pumpen/Maschinenind.</t>
        </is>
      </c>
    </row>
    <row r="678">
      <c r="A678" s="11" t="n">
        <v>675</v>
      </c>
      <c r="B678" s="11" t="inlineStr">
        <is>
          <t>A</t>
        </is>
      </c>
      <c r="C678" s="11" t="inlineStr">
        <is>
          <t>Pharma/Chemie</t>
        </is>
      </c>
      <c r="D678" s="11" t="inlineStr">
        <is>
          <t>Lindt &amp; Sprüngli AG</t>
        </is>
      </c>
      <c r="E678" s="11" t="inlineStr">
        <is>
          <t>Kilchberg ZH</t>
        </is>
      </c>
      <c r="F678" s="11" t="inlineStr">
        <is>
          <t>8802</t>
        </is>
      </c>
      <c r="G678" s="11" t="inlineStr">
        <is>
          <t>ZH</t>
        </is>
      </c>
      <c r="H678" s="11" t="inlineStr">
        <is>
          <t>Betriebsleiter Technik</t>
        </is>
      </c>
      <c r="I678" s="11" t="inlineStr">
        <is>
          <t>Dipl. El.-Ing.</t>
        </is>
      </c>
      <c r="J678" s="11" t="inlineStr">
        <is>
          <t>info@lindt.com</t>
        </is>
      </c>
      <c r="K678" s="11" t="inlineStr">
        <is>
          <t>+41 44 716 22 33</t>
        </is>
      </c>
      <c r="L678" s="11" t="n"/>
      <c r="M678" s="11" t="inlineStr">
        <is>
          <t>offen</t>
        </is>
      </c>
      <c r="N678" s="11" t="inlineStr">
        <is>
          <t>MiT-CRM: Lindt als Kältekunde prüfen; ISO 50001 Pitch</t>
        </is>
      </c>
      <c r="O678" s="11" t="inlineStr">
        <is>
          <t>Schokolade: NEA Kühlkette 1 MVA; FU-Temperierer; ISO 50001</t>
        </is>
      </c>
      <c r="P678" s="11" t="inlineStr">
        <is>
          <t>Kälte</t>
        </is>
      </c>
      <c r="Q678" s="11" t="n"/>
      <c r="R678" s="11" t="inlineStr">
        <is>
          <t>Adr: Seestrasse 204, 8802 Kilchberg | 14'135 MA ww; CHF 4.586 Mrd.</t>
        </is>
      </c>
      <c r="S678" s="11" t="inlineStr">
        <is>
          <t>Schokolade</t>
        </is>
      </c>
    </row>
    <row r="679">
      <c r="A679" s="11" t="n">
        <v>676</v>
      </c>
      <c r="B679" s="11" t="inlineStr">
        <is>
          <t>A</t>
        </is>
      </c>
      <c r="C679" s="11" t="inlineStr">
        <is>
          <t>Rechenzentrum/IT</t>
        </is>
      </c>
      <c r="D679" s="11" t="inlineStr">
        <is>
          <t>Digital Realty Switzerland (ZUR1-ZUR4)</t>
        </is>
      </c>
      <c r="E679" s="11" t="inlineStr">
        <is>
          <t>Glattbrugg</t>
        </is>
      </c>
      <c r="F679" s="11" t="inlineStr">
        <is>
          <t>8152</t>
        </is>
      </c>
      <c r="G679" s="11" t="inlineStr">
        <is>
          <t>ZH</t>
        </is>
      </c>
      <c r="H679" s="11" t="inlineStr">
        <is>
          <t>Facility Manager DACH</t>
        </is>
      </c>
      <c r="I679" s="11" t="inlineStr">
        <is>
          <t>MSc El.-Ing.</t>
        </is>
      </c>
      <c r="J679" s="11" t="inlineStr">
        <is>
          <t>info@digitalrealty.com</t>
        </is>
      </c>
      <c r="K679" s="11" t="inlineStr">
        <is>
          <t>+41 44 809 91 11</t>
        </is>
      </c>
      <c r="L679" s="11" t="n"/>
      <c r="M679" s="11" t="inlineStr">
        <is>
          <t>offen</t>
        </is>
      </c>
      <c r="N679" s="11" t="inlineStr">
        <is>
          <t>Facility Manager Digital Realty Glattbrugg kontaktieren</t>
        </is>
      </c>
      <c r="O679" s="11" t="inlineStr">
        <is>
          <t>RZ-Campus ZUR1-ZUR4; NEA 20 MVA; USV; PQ; ZUR4 Rümlang 14 MW</t>
        </is>
      </c>
      <c r="P679" s="11" t="inlineStr">
        <is>
          <t>USV</t>
        </is>
      </c>
      <c r="Q679" s="11" t="n"/>
      <c r="R679" s="11" t="inlineStr">
        <is>
          <t>Adr: Nüschelerstasse 31, 8152 Glattbrugg | 4 RZ-Standorte ZH</t>
        </is>
      </c>
      <c r="S679" s="11" t="inlineStr">
        <is>
          <t>Rechenzentrum</t>
        </is>
      </c>
    </row>
    <row r="680">
      <c r="A680" s="11" t="n">
        <v>677</v>
      </c>
      <c r="B680" s="11" t="inlineStr">
        <is>
          <t>A</t>
        </is>
      </c>
      <c r="C680" s="11" t="inlineStr">
        <is>
          <t>Rechenzentrum/IT</t>
        </is>
      </c>
      <c r="D680" s="11" t="inlineStr">
        <is>
          <t>Green Datacenter AG</t>
        </is>
      </c>
      <c r="E680" s="11" t="inlineStr">
        <is>
          <t>Dielsdorf</t>
        </is>
      </c>
      <c r="F680" s="11" t="inlineStr">
        <is>
          <t>8157</t>
        </is>
      </c>
      <c r="G680" s="11" t="inlineStr">
        <is>
          <t>ZH</t>
        </is>
      </c>
      <c r="H680" s="11" t="inlineStr">
        <is>
          <t>Betriebsleiter RZ</t>
        </is>
      </c>
      <c r="I680" s="11" t="inlineStr">
        <is>
          <t>MSc El.-Ing.</t>
        </is>
      </c>
      <c r="J680" s="11" t="inlineStr">
        <is>
          <t>info@greendc.ch</t>
        </is>
      </c>
      <c r="K680" s="11" t="inlineStr">
        <is>
          <t>+41 44 862 24 00</t>
        </is>
      </c>
      <c r="L680" s="11" t="n"/>
      <c r="M680" s="11" t="inlineStr">
        <is>
          <t>offen</t>
        </is>
      </c>
      <c r="N680" s="11" t="inlineStr">
        <is>
          <t>Betriebsleiter Green Datacenter Dielsdorf kontaktieren</t>
        </is>
      </c>
      <c r="O680" s="11" t="inlineStr">
        <is>
          <t>Green Metro Campus M/N/O; NEA 20 MVA; USV; 24 MW Ausbau</t>
        </is>
      </c>
      <c r="P680" s="11" t="inlineStr">
        <is>
          <t>USV</t>
        </is>
      </c>
      <c r="Q680" s="11" t="n"/>
      <c r="R680" s="11" t="inlineStr">
        <is>
          <t>Adr: Taggenbrunnenstrasse 2, 8157 Dielsdorf | Datacenter M 2023; N+O im Bau</t>
        </is>
      </c>
      <c r="S680" s="11" t="inlineStr">
        <is>
          <t>Rechenzentrum</t>
        </is>
      </c>
    </row>
    <row r="681">
      <c r="A681" s="11" t="n">
        <v>678</v>
      </c>
      <c r="B681" s="11" t="inlineStr">
        <is>
          <t>A</t>
        </is>
      </c>
      <c r="C681" s="11" t="inlineStr">
        <is>
          <t>Rechenzentrum/IT</t>
        </is>
      </c>
      <c r="D681" s="11" t="inlineStr">
        <is>
          <t>NorthC Rechenzentren Winterthur</t>
        </is>
      </c>
      <c r="E681" s="11" t="inlineStr">
        <is>
          <t>Winterthur</t>
        </is>
      </c>
      <c r="F681" s="11" t="inlineStr">
        <is>
          <t>8406</t>
        </is>
      </c>
      <c r="G681" s="11" t="inlineStr">
        <is>
          <t>ZH</t>
        </is>
      </c>
      <c r="H681" s="11" t="inlineStr">
        <is>
          <t>Betriebsleiter RZ</t>
        </is>
      </c>
      <c r="I681" s="11" t="inlineStr">
        <is>
          <t>MSc El.-Ing.</t>
        </is>
      </c>
      <c r="J681" s="11" t="inlineStr">
        <is>
          <t>info@northc.com</t>
        </is>
      </c>
      <c r="K681" s="11" t="inlineStr">
        <is>
          <t>+41 52 558 00 00</t>
        </is>
      </c>
      <c r="L681" s="11" t="n"/>
      <c r="M681" s="11" t="inlineStr">
        <is>
          <t>offen</t>
        </is>
      </c>
      <c r="N681" s="11" t="inlineStr">
        <is>
          <t>Betriebsleiter NorthC WTH kontaktieren</t>
        </is>
      </c>
      <c r="O681" s="11" t="inlineStr">
        <is>
          <t>RZ WTH; USV 2× 500 kVA; NEA 2 MVA; Tier-3; 2023 eröffnet</t>
        </is>
      </c>
      <c r="P681" s="11" t="inlineStr">
        <is>
          <t>USV</t>
        </is>
      </c>
      <c r="Q681" s="11" t="n"/>
      <c r="R681" s="11" t="inlineStr">
        <is>
          <t>Adr: Zürcherstrasse 101, 8406 WTH | 4. NorthC-RZ in CH</t>
        </is>
      </c>
      <c r="S681" s="11" t="inlineStr">
        <is>
          <t>Rechenzentrum</t>
        </is>
      </c>
    </row>
    <row r="682">
      <c r="A682" s="11" t="n">
        <v>679</v>
      </c>
      <c r="B682" s="11" t="inlineStr">
        <is>
          <t>A</t>
        </is>
      </c>
      <c r="C682" s="11" t="inlineStr">
        <is>
          <t>Bau/Infrastruktur</t>
        </is>
      </c>
      <c r="D682" s="11" t="inlineStr">
        <is>
          <t>ERZ / ARA Zürich Werdhölzli</t>
        </is>
      </c>
      <c r="E682" s="11" t="inlineStr">
        <is>
          <t>Zürich</t>
        </is>
      </c>
      <c r="F682" s="11" t="inlineStr">
        <is>
          <t>8050</t>
        </is>
      </c>
      <c r="G682" s="11" t="inlineStr">
        <is>
          <t>ZH</t>
        </is>
      </c>
      <c r="H682" s="11" t="inlineStr">
        <is>
          <t>Betriebsleiter ARA</t>
        </is>
      </c>
      <c r="I682" s="11" t="inlineStr">
        <is>
          <t>Techniker</t>
        </is>
      </c>
      <c r="J682" s="11" t="inlineStr">
        <is>
          <t>info@erz.ch</t>
        </is>
      </c>
      <c r="K682" s="11" t="inlineStr">
        <is>
          <t>+41 44 645 60 00</t>
        </is>
      </c>
      <c r="L682" s="11" t="n"/>
      <c r="M682" s="11" t="inlineStr">
        <is>
          <t>offen</t>
        </is>
      </c>
      <c r="N682" s="11" t="inlineStr">
        <is>
          <t>Betriebsleiter ERZ; simap.ch Alert ZH ARA</t>
        </is>
      </c>
      <c r="O682" s="11" t="inlineStr">
        <is>
          <t>NEA-Pflicht 1× 500 kVA; Limmat-Schutz; 24h</t>
        </is>
      </c>
      <c r="P682" s="11" t="inlineStr">
        <is>
          <t>Generator</t>
        </is>
      </c>
      <c r="Q682" s="11" t="n"/>
      <c r="R682" s="11" t="inlineStr">
        <is>
          <t>Adr: Hagenholzstrasse 110, 8050 ZH | Grösste ARA ZH</t>
        </is>
      </c>
      <c r="S682" s="11" t="inlineStr">
        <is>
          <t>ARA</t>
        </is>
      </c>
    </row>
    <row r="683">
      <c r="A683" s="11" t="n">
        <v>680</v>
      </c>
      <c r="B683" s="11" t="inlineStr">
        <is>
          <t>A</t>
        </is>
      </c>
      <c r="C683" s="11" t="inlineStr">
        <is>
          <t>Pharma/Chemie</t>
        </is>
      </c>
      <c r="D683" s="11" t="inlineStr">
        <is>
          <t>Siemens Schweiz AG</t>
        </is>
      </c>
      <c r="E683" s="11" t="inlineStr">
        <is>
          <t>Zürich</t>
        </is>
      </c>
      <c r="F683" s="11" t="inlineStr">
        <is>
          <t>8047</t>
        </is>
      </c>
      <c r="G683" s="11" t="inlineStr">
        <is>
          <t>ZH</t>
        </is>
      </c>
      <c r="H683" s="11" t="inlineStr">
        <is>
          <t>Energiemanager CH</t>
        </is>
      </c>
      <c r="I683" s="11" t="inlineStr">
        <is>
          <t>MSc El.-Ing.</t>
        </is>
      </c>
      <c r="J683" s="11" t="inlineStr">
        <is>
          <t>contact.ch@siemens.com</t>
        </is>
      </c>
      <c r="K683" s="11" t="inlineStr">
        <is>
          <t>+41 58 558 00 00</t>
        </is>
      </c>
      <c r="L683" s="11" t="n"/>
      <c r="M683" s="11" t="inlineStr">
        <is>
          <t>offen</t>
        </is>
      </c>
      <c r="N683" s="11" t="inlineStr">
        <is>
          <t>Energiemanager Siemens ZH; FU-EMV-Pitch</t>
        </is>
      </c>
      <c r="O683" s="11" t="inlineStr">
        <is>
          <t>Demo-Zentrum: NEA + USV 500 kVA; EMV; 5'900 MA CH</t>
        </is>
      </c>
      <c r="P683" s="11" t="n"/>
      <c r="Q683" s="11" t="n"/>
      <c r="R683" s="11" t="inlineStr">
        <is>
          <t>Adr: Freilagerstrasse 40, 8047 ZH | 5'900 MA CH; CHF 2.13 Mrd.</t>
        </is>
      </c>
      <c r="S683" s="11" t="inlineStr">
        <is>
          <t>Automation</t>
        </is>
      </c>
    </row>
    <row r="684">
      <c r="A684" s="11" t="n">
        <v>681</v>
      </c>
      <c r="B684" s="11" t="inlineStr">
        <is>
          <t>A</t>
        </is>
      </c>
      <c r="C684" s="11" t="inlineStr">
        <is>
          <t>Pharma/Chemie</t>
        </is>
      </c>
      <c r="D684" s="11" t="inlineStr">
        <is>
          <t>Sonova Holding AG</t>
        </is>
      </c>
      <c r="E684" s="11" t="inlineStr">
        <is>
          <t>Stäfa</t>
        </is>
      </c>
      <c r="F684" s="11" t="inlineStr">
        <is>
          <t>8712</t>
        </is>
      </c>
      <c r="G684" s="11" t="inlineStr">
        <is>
          <t>ZH</t>
        </is>
      </c>
      <c r="H684" s="11" t="inlineStr">
        <is>
          <t>Betriebsleiter Technik</t>
        </is>
      </c>
      <c r="I684" s="11" t="inlineStr">
        <is>
          <t>MSc El.-Ing.</t>
        </is>
      </c>
      <c r="J684" s="11" t="inlineStr">
        <is>
          <t>info@sonova.com</t>
        </is>
      </c>
      <c r="K684" s="11" t="inlineStr">
        <is>
          <t>+41 58 928 01 01</t>
        </is>
      </c>
      <c r="L684" s="11" t="n"/>
      <c r="M684" s="11" t="inlineStr">
        <is>
          <t>offen</t>
        </is>
      </c>
      <c r="N684" s="11" t="inlineStr">
        <is>
          <t>Energieverantwortlichen Sonova Stäfa kontaktieren</t>
        </is>
      </c>
      <c r="O684" s="11" t="inlineStr">
        <is>
          <t>Hörgeräte F&amp;E + Produktion: NEA + USV 500 kVA; PQ Reinraum</t>
        </is>
      </c>
      <c r="P684" s="11" t="inlineStr">
        <is>
          <t>USV</t>
        </is>
      </c>
      <c r="Q684" s="11" t="n"/>
      <c r="R684" s="11" t="inlineStr">
        <is>
          <t>Adr: Laubisrütistrasse 28, 8712 Stäfa | CHF 3.364 Mrd.; 16'733 MA ww</t>
        </is>
      </c>
      <c r="S684" s="11" t="inlineStr">
        <is>
          <t>MedTech/Hörgeräte</t>
        </is>
      </c>
    </row>
    <row r="685">
      <c r="A685" s="11" t="n">
        <v>682</v>
      </c>
      <c r="B685" s="11" t="inlineStr">
        <is>
          <t>B</t>
        </is>
      </c>
      <c r="C685" s="11" t="inlineStr">
        <is>
          <t>Pharma/Chemie</t>
        </is>
      </c>
      <c r="D685" s="11" t="inlineStr">
        <is>
          <t>Barry Callebaut AG HQ</t>
        </is>
      </c>
      <c r="E685" s="11" t="inlineStr">
        <is>
          <t>Zürich</t>
        </is>
      </c>
      <c r="F685" s="11" t="inlineStr">
        <is>
          <t>8005</t>
        </is>
      </c>
      <c r="G685" s="11" t="inlineStr">
        <is>
          <t>ZH</t>
        </is>
      </c>
      <c r="H685" s="11" t="inlineStr">
        <is>
          <t>Energiemanager</t>
        </is>
      </c>
      <c r="I685" s="11" t="inlineStr">
        <is>
          <t>Dipl. El.-Ing.</t>
        </is>
      </c>
      <c r="J685" s="11" t="inlineStr">
        <is>
          <t>info@barry-callebaut.com</t>
        </is>
      </c>
      <c r="K685" s="11" t="inlineStr">
        <is>
          <t>+41 43 204 04 04</t>
        </is>
      </c>
      <c r="L685" s="11" t="n"/>
      <c r="M685" s="11" t="inlineStr">
        <is>
          <t>offen</t>
        </is>
      </c>
      <c r="N685" s="11" t="inlineStr">
        <is>
          <t>MiT-CRM: Barry Callebaut als Kältekunde prüfen</t>
        </is>
      </c>
      <c r="O685" s="11" t="inlineStr">
        <is>
          <t>Kakao HQ+Werk: NEA Kühlkette 1 MVA; ISO 50001</t>
        </is>
      </c>
      <c r="P685" s="11" t="inlineStr">
        <is>
          <t>Kälte</t>
        </is>
      </c>
      <c r="Q685" s="11" t="n"/>
      <c r="R685" s="11" t="inlineStr">
        <is>
          <t>Adr: Hardturmstrasse 181, 8005 ZH | CHF 7.208 Mrd.; Weltgrösster Schokoladenlieferant</t>
        </is>
      </c>
      <c r="S685" s="11" t="inlineStr">
        <is>
          <t>Schokolade/Food</t>
        </is>
      </c>
    </row>
    <row r="686">
      <c r="A686" s="11" t="n">
        <v>683</v>
      </c>
      <c r="B686" s="11" t="inlineStr">
        <is>
          <t>B</t>
        </is>
      </c>
      <c r="C686" s="11" t="inlineStr">
        <is>
          <t>Rechenzentrum/IT</t>
        </is>
      </c>
      <c r="D686" s="11" t="inlineStr">
        <is>
          <t>Sunrise UPC AG</t>
        </is>
      </c>
      <c r="E686" s="11" t="inlineStr">
        <is>
          <t>Opfikon</t>
        </is>
      </c>
      <c r="F686" s="11" t="inlineStr">
        <is>
          <t>8152</t>
        </is>
      </c>
      <c r="G686" s="11" t="inlineStr">
        <is>
          <t>ZH</t>
        </is>
      </c>
      <c r="H686" s="11" t="inlineStr">
        <is>
          <t>Leiter Network Infrastructure</t>
        </is>
      </c>
      <c r="I686" s="11" t="inlineStr">
        <is>
          <t>MSc El.-Ing.</t>
        </is>
      </c>
      <c r="J686" s="11" t="inlineStr">
        <is>
          <t>info@sunrise.net</t>
        </is>
      </c>
      <c r="K686" s="11" t="inlineStr">
        <is>
          <t>+41 800 707 707</t>
        </is>
      </c>
      <c r="L686" s="11" t="n"/>
      <c r="M686" s="11" t="inlineStr">
        <is>
          <t>offen</t>
        </is>
      </c>
      <c r="N686" s="11" t="inlineStr">
        <is>
          <t>Network Infrastructure Sunrise kontaktieren</t>
        </is>
      </c>
      <c r="O686" s="11" t="inlineStr">
        <is>
          <t>RZ + Netzknoten: USV 4× 300 kVA; NEA 2 MVA; PQ; 3'300 MA</t>
        </is>
      </c>
      <c r="P686" s="11" t="inlineStr">
        <is>
          <t>USV</t>
        </is>
      </c>
      <c r="Q686" s="11" t="n"/>
      <c r="R686" s="11" t="inlineStr">
        <is>
          <t>Adr: Thurgauerstrasse 101b, 8152 Opfikon | Grösster privater Telekomanbieter CH</t>
        </is>
      </c>
      <c r="S686" s="11" t="inlineStr">
        <is>
          <t>Telekommunikation</t>
        </is>
      </c>
    </row>
    <row r="687">
      <c r="A687" s="11" t="n">
        <v>684</v>
      </c>
      <c r="B687" s="11" t="inlineStr">
        <is>
          <t>B</t>
        </is>
      </c>
      <c r="C687" s="11" t="inlineStr">
        <is>
          <t>Spital/Klinik</t>
        </is>
      </c>
      <c r="D687" s="11" t="inlineStr">
        <is>
          <t>Spital Limmattal AG</t>
        </is>
      </c>
      <c r="E687" s="11" t="inlineStr">
        <is>
          <t>Schlieren</t>
        </is>
      </c>
      <c r="F687" s="11" t="inlineStr">
        <is>
          <t>8952</t>
        </is>
      </c>
      <c r="G687" s="11" t="inlineStr">
        <is>
          <t>ZH</t>
        </is>
      </c>
      <c r="H687" s="11" t="inlineStr">
        <is>
          <t>Betriebsleiter Technik</t>
        </is>
      </c>
      <c r="I687" s="11" t="inlineStr">
        <is>
          <t>Techniker</t>
        </is>
      </c>
      <c r="J687" s="11" t="inlineStr">
        <is>
          <t>info@spital-limmattal.ch</t>
        </is>
      </c>
      <c r="K687" s="11" t="inlineStr">
        <is>
          <t>+41 44 733 11 11</t>
        </is>
      </c>
      <c r="L687" s="11" t="n"/>
      <c r="M687" s="11" t="inlineStr">
        <is>
          <t>offen</t>
        </is>
      </c>
      <c r="N687" s="11" t="inlineStr">
        <is>
          <t>Betriebsleiter Spital Limmattal kontaktieren</t>
        </is>
      </c>
      <c r="O687" s="11" t="inlineStr">
        <is>
          <t>NEA 2× 300 kVA; USV; 1'564 MA; Neubau 2022</t>
        </is>
      </c>
      <c r="P687" s="11" t="inlineStr">
        <is>
          <t>USV</t>
        </is>
      </c>
      <c r="Q687" s="11" t="n"/>
      <c r="R687" s="11" t="inlineStr">
        <is>
          <t>Adr: Im Langacker 2, 8952 Schlieren | 1'564 MA; Neubau 2022</t>
        </is>
      </c>
      <c r="S687" s="11" t="inlineStr">
        <is>
          <t>Kantonsspital</t>
        </is>
      </c>
    </row>
    <row r="688">
      <c r="A688" s="11" t="n">
        <v>685</v>
      </c>
      <c r="B688" s="11" t="inlineStr">
        <is>
          <t>B</t>
        </is>
      </c>
      <c r="C688" s="11" t="inlineStr">
        <is>
          <t>Spital/Klinik</t>
        </is>
      </c>
      <c r="D688" s="11" t="inlineStr">
        <is>
          <t>Spital Uster AG</t>
        </is>
      </c>
      <c r="E688" s="11" t="inlineStr">
        <is>
          <t>Uster</t>
        </is>
      </c>
      <c r="F688" s="11" t="inlineStr">
        <is>
          <t>8610</t>
        </is>
      </c>
      <c r="G688" s="11" t="inlineStr">
        <is>
          <t>ZH</t>
        </is>
      </c>
      <c r="H688" s="11" t="inlineStr">
        <is>
          <t>Betriebsleiter Technik</t>
        </is>
      </c>
      <c r="I688" s="11" t="inlineStr">
        <is>
          <t>Techniker</t>
        </is>
      </c>
      <c r="J688" s="11" t="inlineStr">
        <is>
          <t>info@spitaluster.ch</t>
        </is>
      </c>
      <c r="K688" s="11" t="inlineStr">
        <is>
          <t>+41 44 911 11 11</t>
        </is>
      </c>
      <c r="L688" s="11" t="n"/>
      <c r="M688" s="11" t="inlineStr">
        <is>
          <t>offen</t>
        </is>
      </c>
      <c r="N688" s="11" t="inlineStr">
        <is>
          <t>Betriebsleiter Spital Uster; Bauprojekte prüfen</t>
        </is>
      </c>
      <c r="O688" s="11" t="inlineStr">
        <is>
          <t>NEA 1× 400 kVA; USV; 1'306 MA; Erweiterung geplant</t>
        </is>
      </c>
      <c r="P688" s="11" t="inlineStr">
        <is>
          <t>USV</t>
        </is>
      </c>
      <c r="Q688" s="11" t="n"/>
      <c r="R688" s="11" t="inlineStr">
        <is>
          <t>Adr: Brunngasse 42, 8610 Uster | 1'306 MA; Erweiterung geplant</t>
        </is>
      </c>
      <c r="S688" s="11" t="inlineStr">
        <is>
          <t>Kantonsspital</t>
        </is>
      </c>
    </row>
    <row r="689">
      <c r="A689" s="11" t="n">
        <v>686</v>
      </c>
      <c r="B689" s="11" t="inlineStr">
        <is>
          <t>B</t>
        </is>
      </c>
      <c r="C689" s="11" t="inlineStr">
        <is>
          <t>Spital/Klinik</t>
        </is>
      </c>
      <c r="D689" s="11" t="inlineStr">
        <is>
          <t>GZO Spital Wetzikon AG</t>
        </is>
      </c>
      <c r="E689" s="11" t="inlineStr">
        <is>
          <t>Wetzikon</t>
        </is>
      </c>
      <c r="F689" s="11" t="inlineStr">
        <is>
          <t>8620</t>
        </is>
      </c>
      <c r="G689" s="11" t="inlineStr">
        <is>
          <t>ZH</t>
        </is>
      </c>
      <c r="H689" s="11" t="inlineStr">
        <is>
          <t>Betriebsleiter Technik</t>
        </is>
      </c>
      <c r="I689" s="11" t="inlineStr">
        <is>
          <t>Techniker</t>
        </is>
      </c>
      <c r="J689" s="11" t="inlineStr">
        <is>
          <t>info@gzo.ch</t>
        </is>
      </c>
      <c r="K689" s="11" t="inlineStr">
        <is>
          <t>+41 44 934 21 21</t>
        </is>
      </c>
      <c r="L689" s="11" t="n"/>
      <c r="M689" s="11" t="inlineStr">
        <is>
          <t>offen</t>
        </is>
      </c>
      <c r="N689" s="11" t="inlineStr">
        <is>
          <t>Betriebsleiter GZO Wetzikon kontaktieren</t>
        </is>
      </c>
      <c r="O689" s="11" t="inlineStr">
        <is>
          <t>NEA 1× 300 kVA; USV; 881 MA</t>
        </is>
      </c>
      <c r="P689" s="11" t="inlineStr">
        <is>
          <t>USV</t>
        </is>
      </c>
      <c r="Q689" s="11" t="n"/>
      <c r="R689" s="11" t="inlineStr">
        <is>
          <t>Adr: Spitalstrasse 2, 8620 Wetzikon | 881 MA; Zürcheroberlandes</t>
        </is>
      </c>
      <c r="S689" s="11" t="inlineStr">
        <is>
          <t>Kantonsspital</t>
        </is>
      </c>
    </row>
    <row r="690">
      <c r="A690" s="11" t="n">
        <v>687</v>
      </c>
      <c r="B690" s="11" t="inlineStr">
        <is>
          <t>B</t>
        </is>
      </c>
      <c r="C690" s="11" t="inlineStr">
        <is>
          <t>Rechenzentrum/IT</t>
        </is>
      </c>
      <c r="D690" s="11" t="inlineStr">
        <is>
          <t>Zurich Insurance Group AG</t>
        </is>
      </c>
      <c r="E690" s="11" t="inlineStr">
        <is>
          <t>Zürich</t>
        </is>
      </c>
      <c r="F690" s="11" t="inlineStr">
        <is>
          <t>8002</t>
        </is>
      </c>
      <c r="G690" s="11" t="inlineStr">
        <is>
          <t>ZH</t>
        </is>
      </c>
      <c r="H690" s="11" t="inlineStr">
        <is>
          <t>Leiter IT-Infrastruktur</t>
        </is>
      </c>
      <c r="I690" s="11" t="inlineStr">
        <is>
          <t>MSc Inf.</t>
        </is>
      </c>
      <c r="J690" s="11" t="inlineStr">
        <is>
          <t>info@zurich.com</t>
        </is>
      </c>
      <c r="K690" s="11" t="inlineStr">
        <is>
          <t>+41 44 625 25 25</t>
        </is>
      </c>
      <c r="L690" s="11" t="n"/>
      <c r="M690" s="11" t="inlineStr">
        <is>
          <t>offen</t>
        </is>
      </c>
      <c r="N690" s="11" t="inlineStr">
        <is>
          <t>IT-Infrastruktur Zurich Insurance; FINMA</t>
        </is>
      </c>
      <c r="O690" s="11" t="inlineStr">
        <is>
          <t>USV RZ 4× 300 kVA; NEA 1.5 MVA; PQ Fortune-100</t>
        </is>
      </c>
      <c r="P690" s="11" t="inlineStr">
        <is>
          <t>USV</t>
        </is>
      </c>
      <c r="Q690" s="11" t="n"/>
      <c r="R690" s="11" t="inlineStr">
        <is>
          <t>Adr: Mythenquai 2, 8002 ZH | Fortune-100; HQ Zürich</t>
        </is>
      </c>
      <c r="S690" s="11" t="inlineStr">
        <is>
          <t>Versicherung</t>
        </is>
      </c>
    </row>
    <row r="691">
      <c r="A691" s="11" t="n">
        <v>688</v>
      </c>
      <c r="B691" s="11" t="inlineStr">
        <is>
          <t>B</t>
        </is>
      </c>
      <c r="C691" s="11" t="inlineStr">
        <is>
          <t>Rechenzentrum/IT</t>
        </is>
      </c>
      <c r="D691" s="11" t="inlineStr">
        <is>
          <t>Swiss Re AG</t>
        </is>
      </c>
      <c r="E691" s="11" t="inlineStr">
        <is>
          <t>Zürich</t>
        </is>
      </c>
      <c r="F691" s="11" t="inlineStr">
        <is>
          <t>8022</t>
        </is>
      </c>
      <c r="G691" s="11" t="inlineStr">
        <is>
          <t>ZH</t>
        </is>
      </c>
      <c r="H691" s="11" t="inlineStr">
        <is>
          <t>Facility Manager</t>
        </is>
      </c>
      <c r="I691" s="11" t="inlineStr">
        <is>
          <t>MSc Inf.</t>
        </is>
      </c>
      <c r="J691" s="11" t="inlineStr">
        <is>
          <t>info@swissre.com</t>
        </is>
      </c>
      <c r="K691" s="11" t="inlineStr">
        <is>
          <t>+41 43 285 21 21</t>
        </is>
      </c>
      <c r="L691" s="11" t="n"/>
      <c r="M691" s="11" t="inlineStr">
        <is>
          <t>offen</t>
        </is>
      </c>
      <c r="N691" s="11" t="inlineStr">
        <is>
          <t>Facility Manager Swiss Re kontaktieren</t>
        </is>
      </c>
      <c r="O691" s="11" t="inlineStr">
        <is>
          <t>USV RZ 2× 300 kVA; NEA; PQ FINMA</t>
        </is>
      </c>
      <c r="P691" s="11" t="inlineStr">
        <is>
          <t>USV</t>
        </is>
      </c>
      <c r="Q691" s="11" t="n"/>
      <c r="R691" s="11" t="inlineStr">
        <is>
          <t>Adr: Mythenquai 50, 8022 ZH | Weltgrösster Rückversicherer; FINMA</t>
        </is>
      </c>
      <c r="S691" s="11" t="inlineStr">
        <is>
          <t>Rückversicherung</t>
        </is>
      </c>
    </row>
    <row r="692">
      <c r="A692" s="11" t="n">
        <v>689</v>
      </c>
      <c r="B692" s="11" t="inlineStr">
        <is>
          <t>B</t>
        </is>
      </c>
      <c r="C692" s="11" t="inlineStr">
        <is>
          <t>Pharma/Chemie</t>
        </is>
      </c>
      <c r="D692" s="11" t="inlineStr">
        <is>
          <t>Jowa AG (Migros Bäckerei)</t>
        </is>
      </c>
      <c r="E692" s="11" t="inlineStr">
        <is>
          <t>Volketswil</t>
        </is>
      </c>
      <c r="F692" s="11" t="inlineStr">
        <is>
          <t>8604</t>
        </is>
      </c>
      <c r="G692" s="11" t="inlineStr">
        <is>
          <t>ZH</t>
        </is>
      </c>
      <c r="H692" s="11" t="inlineStr">
        <is>
          <t>Betriebsleiter Technik</t>
        </is>
      </c>
      <c r="I692" s="11" t="inlineStr">
        <is>
          <t>Dipl. El.-Ing.</t>
        </is>
      </c>
      <c r="J692" s="11" t="inlineStr">
        <is>
          <t>info@jowa.ch</t>
        </is>
      </c>
      <c r="K692" s="11" t="inlineStr">
        <is>
          <t>+41 44 947 91 11</t>
        </is>
      </c>
      <c r="L692" s="11" t="n"/>
      <c r="M692" s="11" t="inlineStr">
        <is>
          <t>offen</t>
        </is>
      </c>
      <c r="N692" s="11" t="inlineStr">
        <is>
          <t>MiT-CRM: Jowa als Kältekunde prüfen</t>
        </is>
      </c>
      <c r="O692" s="11" t="inlineStr">
        <is>
          <t>Bäckerei: NEA Kühlkette 500 kVA; FU; ISO 50001</t>
        </is>
      </c>
      <c r="P692" s="11" t="inlineStr">
        <is>
          <t>Kälte</t>
        </is>
      </c>
      <c r="Q692" s="11" t="n"/>
      <c r="R692" s="11" t="inlineStr">
        <is>
          <t>Adr: Freilagerstrasse 40, 8604 Volketswil | 3'170 MA; Kühlkette</t>
        </is>
      </c>
      <c r="S692" s="11" t="inlineStr">
        <is>
          <t>Nahrungsmittel</t>
        </is>
      </c>
    </row>
    <row r="693">
      <c r="A693" s="11" t="n">
        <v>690</v>
      </c>
      <c r="B693" s="11" t="inlineStr">
        <is>
          <t>B</t>
        </is>
      </c>
      <c r="C693" s="11" t="inlineStr">
        <is>
          <t>Pharma/Chemie</t>
        </is>
      </c>
      <c r="D693" s="11" t="inlineStr">
        <is>
          <t>Coca-Cola HBC Schweiz AG</t>
        </is>
      </c>
      <c r="E693" s="11" t="inlineStr">
        <is>
          <t>Effretikon</t>
        </is>
      </c>
      <c r="F693" s="11" t="inlineStr">
        <is>
          <t>8307</t>
        </is>
      </c>
      <c r="G693" s="11" t="inlineStr">
        <is>
          <t>ZH</t>
        </is>
      </c>
      <c r="H693" s="11" t="inlineStr">
        <is>
          <t>Betriebsleiter Technik</t>
        </is>
      </c>
      <c r="I693" s="11" t="inlineStr">
        <is>
          <t>Techniker</t>
        </is>
      </c>
      <c r="J693" s="11" t="inlineStr">
        <is>
          <t>info@coca-colahbc.com</t>
        </is>
      </c>
      <c r="K693" s="11" t="inlineStr">
        <is>
          <t>+41 58 806 30 00</t>
        </is>
      </c>
      <c r="L693" s="11" t="n"/>
      <c r="M693" s="11" t="inlineStr">
        <is>
          <t>offen</t>
        </is>
      </c>
      <c r="N693" s="11" t="inlineStr">
        <is>
          <t>MiT-CRM: Coca-Cola als Kältekunde prüfen</t>
        </is>
      </c>
      <c r="O693" s="11" t="inlineStr">
        <is>
          <t>Abfüllung: NEA Kühlkette 1 MVA; FU-Abfüller; ISO 50001</t>
        </is>
      </c>
      <c r="P693" s="11" t="inlineStr">
        <is>
          <t>Kälte</t>
        </is>
      </c>
      <c r="Q693" s="11" t="n"/>
      <c r="R693" s="11" t="inlineStr">
        <is>
          <t>Adr: Stelzenstrasse 6, 8307 Effretikon | 1'200 MA CH; Kühlkette</t>
        </is>
      </c>
      <c r="S693" s="11" t="inlineStr">
        <is>
          <t>Getränke</t>
        </is>
      </c>
    </row>
    <row r="694">
      <c r="A694" s="11" t="n">
        <v>691</v>
      </c>
      <c r="B694" s="11" t="inlineStr">
        <is>
          <t>B</t>
        </is>
      </c>
      <c r="C694" s="11" t="inlineStr">
        <is>
          <t>Pharma/Chemie</t>
        </is>
      </c>
      <c r="D694" s="11" t="inlineStr">
        <is>
          <t>Dormakaba Holding AG</t>
        </is>
      </c>
      <c r="E694" s="11" t="inlineStr">
        <is>
          <t>Rümlang</t>
        </is>
      </c>
      <c r="F694" s="11" t="inlineStr">
        <is>
          <t>8153</t>
        </is>
      </c>
      <c r="G694" s="11" t="inlineStr">
        <is>
          <t>ZH</t>
        </is>
      </c>
      <c r="H694" s="11" t="inlineStr">
        <is>
          <t>Betriebsleiter Elektro</t>
        </is>
      </c>
      <c r="I694" s="11" t="inlineStr">
        <is>
          <t>Dipl. El.-Ing.</t>
        </is>
      </c>
      <c r="J694" s="11" t="inlineStr">
        <is>
          <t>info@dormakaba.com</t>
        </is>
      </c>
      <c r="K694" s="11" t="inlineStr">
        <is>
          <t>+41 44 818 90 00</t>
        </is>
      </c>
      <c r="L694" s="11" t="n"/>
      <c r="M694" s="11" t="inlineStr">
        <is>
          <t>offen</t>
        </is>
      </c>
      <c r="N694" s="11" t="inlineStr">
        <is>
          <t>Betriebsleiter Dormakaba Rümlang kontaktieren</t>
        </is>
      </c>
      <c r="O694" s="11" t="inlineStr">
        <is>
          <t>Sicherheitstechnik: NEA + USV 400 kVA; EMV; 14'989 MA ww</t>
        </is>
      </c>
      <c r="P694" s="11" t="inlineStr">
        <is>
          <t>USV</t>
        </is>
      </c>
      <c r="Q694" s="11" t="n"/>
      <c r="R694" s="11" t="inlineStr">
        <is>
          <t>Adr: Hofwisenstrasse 24, 8153 Rümlang | 14'989 MA ww; CHF 2.5 Mrd.</t>
        </is>
      </c>
      <c r="S694" s="11" t="inlineStr">
        <is>
          <t>Sicherheitstechnik</t>
        </is>
      </c>
    </row>
    <row r="695">
      <c r="A695" s="11" t="n">
        <v>692</v>
      </c>
      <c r="B695" s="11" t="inlineStr">
        <is>
          <t>B</t>
        </is>
      </c>
      <c r="C695" s="11" t="inlineStr">
        <is>
          <t>Events/Messen</t>
        </is>
      </c>
      <c r="D695" s="11" t="inlineStr">
        <is>
          <t>Messe Zürich / MCH Group</t>
        </is>
      </c>
      <c r="E695" s="11" t="inlineStr">
        <is>
          <t>Zürich</t>
        </is>
      </c>
      <c r="F695" s="11" t="inlineStr">
        <is>
          <t>8050</t>
        </is>
      </c>
      <c r="G695" s="11" t="inlineStr">
        <is>
          <t>ZH</t>
        </is>
      </c>
      <c r="H695" s="11" t="inlineStr">
        <is>
          <t>Technische Leitung</t>
        </is>
      </c>
      <c r="I695" s="11" t="inlineStr">
        <is>
          <t>Veranstaltungstechniker</t>
        </is>
      </c>
      <c r="J695" s="11" t="inlineStr">
        <is>
          <t>info@messe-zuerich.ch</t>
        </is>
      </c>
      <c r="K695" s="11" t="inlineStr">
        <is>
          <t>+41 44 316 50 00</t>
        </is>
      </c>
      <c r="L695" s="11" t="n"/>
      <c r="M695" s="11" t="inlineStr">
        <is>
          <t>offen</t>
        </is>
      </c>
      <c r="N695" s="11" t="inlineStr">
        <is>
          <t>Technische Leitung Messe ZH kontaktieren</t>
        </is>
      </c>
      <c r="O695" s="11" t="inlineStr">
        <is>
          <t>Events 500 kVA–3 MVA; USV Aussteller; 14 Hallen</t>
        </is>
      </c>
      <c r="P695" s="11" t="inlineStr">
        <is>
          <t>USV</t>
        </is>
      </c>
      <c r="Q695" s="11" t="n"/>
      <c r="R695" s="11" t="inlineStr">
        <is>
          <t>Adr: Wallisellerstrasse 49, 8050 ZH | Grösste Messe ZH; MCH Group</t>
        </is>
      </c>
      <c r="S695" s="11" t="inlineStr">
        <is>
          <t>Messe</t>
        </is>
      </c>
    </row>
    <row r="696">
      <c r="A696" s="11" t="n">
        <v>693</v>
      </c>
      <c r="B696" s="11" t="inlineStr">
        <is>
          <t>B</t>
        </is>
      </c>
      <c r="C696" s="11" t="inlineStr">
        <is>
          <t>Events/Messen</t>
        </is>
      </c>
      <c r="D696" s="11" t="inlineStr">
        <is>
          <t>Hallenstadion Zürich AG</t>
        </is>
      </c>
      <c r="E696" s="11" t="inlineStr">
        <is>
          <t>Zürich</t>
        </is>
      </c>
      <c r="F696" s="11" t="inlineStr">
        <is>
          <t>8050</t>
        </is>
      </c>
      <c r="G696" s="11" t="inlineStr">
        <is>
          <t>ZH</t>
        </is>
      </c>
      <c r="H696" s="11" t="inlineStr">
        <is>
          <t>Technische Leitung</t>
        </is>
      </c>
      <c r="I696" s="11" t="inlineStr">
        <is>
          <t>Veranstaltungstechniker</t>
        </is>
      </c>
      <c r="J696" s="11" t="inlineStr">
        <is>
          <t>info@hallenstadion.ch</t>
        </is>
      </c>
      <c r="K696" s="11" t="inlineStr">
        <is>
          <t>+41 44 316 88 88</t>
        </is>
      </c>
      <c r="L696" s="11" t="n"/>
      <c r="M696" s="11" t="inlineStr">
        <is>
          <t>offen</t>
        </is>
      </c>
      <c r="N696" s="11" t="inlineStr">
        <is>
          <t>Technische Leitung Hallenstadion kontaktieren</t>
        </is>
      </c>
      <c r="O696" s="11" t="inlineStr">
        <is>
          <t>Konzerte 1 MVA; USV Broadcast TV/SRF</t>
        </is>
      </c>
      <c r="P696" s="11" t="inlineStr">
        <is>
          <t>Generator</t>
        </is>
      </c>
      <c r="Q696" s="11" t="n"/>
      <c r="R696" s="11" t="inlineStr">
        <is>
          <t>Adr: Wallisellerstrasse 45, 8050 ZH | Grösste Konzerthalle CH; Broadcast</t>
        </is>
      </c>
      <c r="S696" s="11" t="inlineStr">
        <is>
          <t>Konzerthalle</t>
        </is>
      </c>
    </row>
    <row r="697">
      <c r="A697" s="11" t="n">
        <v>694</v>
      </c>
      <c r="B697" s="11" t="inlineStr">
        <is>
          <t>B</t>
        </is>
      </c>
      <c r="C697" s="11" t="inlineStr">
        <is>
          <t>Gemeinde/Öffentlich</t>
        </is>
      </c>
      <c r="D697" s="11" t="inlineStr">
        <is>
          <t>Kanton Zürich Hochbauamt</t>
        </is>
      </c>
      <c r="E697" s="11" t="inlineStr">
        <is>
          <t>Zürich</t>
        </is>
      </c>
      <c r="F697" s="11" t="inlineStr">
        <is>
          <t>8090</t>
        </is>
      </c>
      <c r="G697" s="11" t="inlineStr">
        <is>
          <t>ZH</t>
        </is>
      </c>
      <c r="H697" s="11" t="inlineStr">
        <is>
          <t>Leiter Hochbauamt</t>
        </is>
      </c>
      <c r="I697" s="11" t="inlineStr">
        <is>
          <t>Kantonsbauingenieur</t>
        </is>
      </c>
      <c r="J697" s="11" t="inlineStr">
        <is>
          <t>hba@bd.zh.ch</t>
        </is>
      </c>
      <c r="K697" s="11" t="inlineStr">
        <is>
          <t>+41 43 259 20 00</t>
        </is>
      </c>
      <c r="L697" s="11" t="n"/>
      <c r="M697" s="11" t="inlineStr">
        <is>
          <t>offen</t>
        </is>
      </c>
      <c r="N697" s="11" t="inlineStr">
        <is>
          <t>Hochbauamt ZH; simap.ch Alert Kanton ZH</t>
        </is>
      </c>
      <c r="O697" s="11" t="inlineStr">
        <is>
          <t>NEA kantonale Gebäude; 300+ Liegenschaften; Rahmenvertrag</t>
        </is>
      </c>
      <c r="P697" s="11" t="n"/>
      <c r="Q697" s="11" t="n"/>
      <c r="R697" s="11" t="inlineStr">
        <is>
          <t>Adr: Stampfenbachstrasse 110, 8090 ZH | Grösster Kanton CH; Rahmenvertrag</t>
        </is>
      </c>
      <c r="S697" s="11" t="inlineStr">
        <is>
          <t>Kanton</t>
        </is>
      </c>
    </row>
    <row r="698">
      <c r="A698" s="11" t="n">
        <v>695</v>
      </c>
      <c r="B698" s="11" t="inlineStr">
        <is>
          <t>B</t>
        </is>
      </c>
      <c r="C698" s="11" t="inlineStr">
        <is>
          <t>Gemeinde/Öffentlich</t>
        </is>
      </c>
      <c r="D698" s="11" t="inlineStr">
        <is>
          <t>Stadt Zürich Hochbauamt</t>
        </is>
      </c>
      <c r="E698" s="11" t="inlineStr">
        <is>
          <t>Zürich</t>
        </is>
      </c>
      <c r="F698" s="11" t="inlineStr">
        <is>
          <t>8001</t>
        </is>
      </c>
      <c r="G698" s="11" t="inlineStr">
        <is>
          <t>ZH</t>
        </is>
      </c>
      <c r="H698" s="11" t="inlineStr">
        <is>
          <t>Stadtbauingenieur</t>
        </is>
      </c>
      <c r="I698" s="11" t="inlineStr">
        <is>
          <t>Dipl. Ing.</t>
        </is>
      </c>
      <c r="J698" s="11" t="inlineStr">
        <is>
          <t>hochbauamt@zuerich.ch</t>
        </is>
      </c>
      <c r="K698" s="11" t="inlineStr">
        <is>
          <t>+41 44 412 11 11</t>
        </is>
      </c>
      <c r="L698" s="11" t="n"/>
      <c r="M698" s="11" t="inlineStr">
        <is>
          <t>offen</t>
        </is>
      </c>
      <c r="N698" s="11" t="inlineStr">
        <is>
          <t>Hochbauamt Stadt ZH; simap.ch Alert Stadt ZH</t>
        </is>
      </c>
      <c r="O698" s="11" t="inlineStr">
        <is>
          <t>NEA städtische Gebäude; viele Liegenschaften</t>
        </is>
      </c>
      <c r="P698" s="11" t="n"/>
      <c r="Q698" s="11" t="n"/>
      <c r="R698" s="11" t="inlineStr">
        <is>
          <t>Adr: Lindenhofstrasse 19, 8001 ZH | Grösste Stadt CH</t>
        </is>
      </c>
      <c r="S698" s="11" t="inlineStr">
        <is>
          <t>Stadt Zürich</t>
        </is>
      </c>
    </row>
    <row r="699">
      <c r="A699" s="11" t="n">
        <v>696</v>
      </c>
      <c r="B699" s="11" t="inlineStr">
        <is>
          <t>B</t>
        </is>
      </c>
      <c r="C699" s="11" t="inlineStr">
        <is>
          <t>Pharma/Chemie</t>
        </is>
      </c>
      <c r="D699" s="11" t="inlineStr">
        <is>
          <t>Bucher Industries AG</t>
        </is>
      </c>
      <c r="E699" s="11" t="inlineStr">
        <is>
          <t>Niederweningen</t>
        </is>
      </c>
      <c r="F699" s="11" t="inlineStr">
        <is>
          <t>8166</t>
        </is>
      </c>
      <c r="G699" s="11" t="inlineStr">
        <is>
          <t>ZH</t>
        </is>
      </c>
      <c r="H699" s="11" t="inlineStr">
        <is>
          <t>Betriebsleiter Elektro</t>
        </is>
      </c>
      <c r="I699" s="11" t="inlineStr">
        <is>
          <t>Dipl. El.-Ing.</t>
        </is>
      </c>
      <c r="J699" s="11" t="inlineStr">
        <is>
          <t>info@bucherfirmengruppe.com</t>
        </is>
      </c>
      <c r="K699" s="11" t="inlineStr">
        <is>
          <t>+41 44 857 44 11</t>
        </is>
      </c>
      <c r="L699" s="11" t="n"/>
      <c r="M699" s="11" t="inlineStr">
        <is>
          <t>offen</t>
        </is>
      </c>
      <c r="N699" s="11" t="inlineStr">
        <is>
          <t>Betriebsleiter Bucher Industries kontaktieren</t>
        </is>
      </c>
      <c r="O699" s="11" t="inlineStr">
        <is>
          <t>Agrartechnik: NEA 500 kVA; FU-Antriebe; PQ</t>
        </is>
      </c>
      <c r="P699" s="11" t="n"/>
      <c r="Q699" s="11" t="n"/>
      <c r="R699" s="11" t="inlineStr">
        <is>
          <t>Adr: Murzlenstrasse 80, 8166 Niederweningen | 13'562 MA ww; CHF 3.176 Mrd.</t>
        </is>
      </c>
      <c r="S699" s="11" t="inlineStr">
        <is>
          <t>Maschinenind.</t>
        </is>
      </c>
    </row>
    <row r="700">
      <c r="A700" s="11" t="n">
        <v>697</v>
      </c>
      <c r="B700" s="11" t="inlineStr">
        <is>
          <t>B</t>
        </is>
      </c>
      <c r="C700" s="11" t="inlineStr">
        <is>
          <t>Pharma/Chemie</t>
        </is>
      </c>
      <c r="D700" s="11" t="inlineStr">
        <is>
          <t>Burckhardt Compression AG</t>
        </is>
      </c>
      <c r="E700" s="11" t="inlineStr">
        <is>
          <t>Winterthur</t>
        </is>
      </c>
      <c r="F700" s="11" t="inlineStr">
        <is>
          <t>8404</t>
        </is>
      </c>
      <c r="G700" s="11" t="inlineStr">
        <is>
          <t>ZH</t>
        </is>
      </c>
      <c r="H700" s="11" t="inlineStr">
        <is>
          <t>Betriebsleiter Technik</t>
        </is>
      </c>
      <c r="I700" s="11" t="inlineStr">
        <is>
          <t>Dipl. El.-Ing.</t>
        </is>
      </c>
      <c r="J700" s="11" t="inlineStr">
        <is>
          <t>info@burckhardtcompression.com</t>
        </is>
      </c>
      <c r="K700" s="11" t="inlineStr">
        <is>
          <t>+41 52 262 55 00</t>
        </is>
      </c>
      <c r="L700" s="11" t="n"/>
      <c r="M700" s="11" t="inlineStr">
        <is>
          <t>offen</t>
        </is>
      </c>
      <c r="N700" s="11" t="inlineStr">
        <is>
          <t>Betriebsleiter Burckhardt WTH kontaktieren</t>
        </is>
      </c>
      <c r="O700" s="11" t="inlineStr">
        <is>
          <t>Kompressoren Prüfstände 1 MVA; PQ; EMV</t>
        </is>
      </c>
      <c r="P700" s="11" t="n"/>
      <c r="Q700" s="11" t="n"/>
      <c r="R700" s="11" t="inlineStr">
        <is>
          <t>Adr: Steinberggasse 19, 8404 WTH | 2'732 MA; CHF 651 Mio.</t>
        </is>
      </c>
      <c r="S700" s="11" t="inlineStr">
        <is>
          <t>Maschinenind.</t>
        </is>
      </c>
    </row>
    <row r="701">
      <c r="A701" s="11" t="n">
        <v>698</v>
      </c>
      <c r="B701" s="11" t="inlineStr">
        <is>
          <t>B</t>
        </is>
      </c>
      <c r="C701" s="11" t="inlineStr">
        <is>
          <t>Pharma/Chemie</t>
        </is>
      </c>
      <c r="D701" s="11" t="inlineStr">
        <is>
          <t>Rieter AG Werk Winterthur</t>
        </is>
      </c>
      <c r="E701" s="11" t="inlineStr">
        <is>
          <t>Winterthur</t>
        </is>
      </c>
      <c r="F701" s="11" t="inlineStr">
        <is>
          <t>8406</t>
        </is>
      </c>
      <c r="G701" s="11" t="inlineStr">
        <is>
          <t>ZH</t>
        </is>
      </c>
      <c r="H701" s="11" t="inlineStr">
        <is>
          <t>Betriebsleiter Elektro</t>
        </is>
      </c>
      <c r="I701" s="11" t="inlineStr">
        <is>
          <t>Dipl. El.-Ing.</t>
        </is>
      </c>
      <c r="J701" s="11" t="inlineStr">
        <is>
          <t>info@rieter.com</t>
        </is>
      </c>
      <c r="K701" s="11" t="inlineStr">
        <is>
          <t>+41 52 208 71 71</t>
        </is>
      </c>
      <c r="L701" s="11" t="n"/>
      <c r="M701" s="11" t="inlineStr">
        <is>
          <t>offen</t>
        </is>
      </c>
      <c r="N701" s="11" t="inlineStr">
        <is>
          <t>Betriebsleiter Rieter WTH kontaktieren</t>
        </is>
      </c>
      <c r="O701" s="11" t="inlineStr">
        <is>
          <t>Spinnereimaschinen FU; Generator 500 kVA; EMV</t>
        </is>
      </c>
      <c r="P701" s="11" t="n"/>
      <c r="Q701" s="11" t="n"/>
      <c r="R701" s="11" t="inlineStr">
        <is>
          <t>Adr: Klosterstrasse 20, 8406 WTH | Weltmarktführer Spinnereimaschinen</t>
        </is>
      </c>
      <c r="S701" s="11" t="inlineStr">
        <is>
          <t>Maschinenind.</t>
        </is>
      </c>
    </row>
    <row r="702">
      <c r="A702" s="11" t="n">
        <v>699</v>
      </c>
      <c r="B702" s="11" t="inlineStr">
        <is>
          <t>B</t>
        </is>
      </c>
      <c r="C702" s="11" t="inlineStr">
        <is>
          <t>Rechenzentrum/IT</t>
        </is>
      </c>
      <c r="D702" s="11" t="inlineStr">
        <is>
          <t>Microsoft Schweiz GmbH</t>
        </is>
      </c>
      <c r="E702" s="11" t="inlineStr">
        <is>
          <t>Wallisellen</t>
        </is>
      </c>
      <c r="F702" s="11" t="inlineStr">
        <is>
          <t>8304</t>
        </is>
      </c>
      <c r="G702" s="11" t="inlineStr">
        <is>
          <t>ZH</t>
        </is>
      </c>
      <c r="H702" s="11" t="inlineStr">
        <is>
          <t>Facility Manager CH</t>
        </is>
      </c>
      <c r="I702" s="11" t="inlineStr">
        <is>
          <t>MSc Inf.</t>
        </is>
      </c>
      <c r="J702" s="11" t="inlineStr">
        <is>
          <t>info@microsoft.com</t>
        </is>
      </c>
      <c r="K702" s="11" t="inlineStr">
        <is>
          <t>+41 44 838 81 11</t>
        </is>
      </c>
      <c r="L702" s="11" t="n"/>
      <c r="M702" s="11" t="inlineStr">
        <is>
          <t>offen</t>
        </is>
      </c>
      <c r="N702" s="11" t="inlineStr">
        <is>
          <t>Facility Manager Microsoft Wallisellen kontaktieren</t>
        </is>
      </c>
      <c r="O702" s="11" t="inlineStr">
        <is>
          <t>RZ + Office: USV 3× 300 kVA; NEA; PQ Fortune-10</t>
        </is>
      </c>
      <c r="P702" s="11" t="inlineStr">
        <is>
          <t>USV</t>
        </is>
      </c>
      <c r="Q702" s="11" t="n"/>
      <c r="R702" s="11" t="inlineStr">
        <is>
          <t>Adr: Richtistrasse 3, 8304 Wallisellen | 580 MA CH; Fortune-10</t>
        </is>
      </c>
      <c r="S702" s="11" t="inlineStr">
        <is>
          <t>IT-Konzern</t>
        </is>
      </c>
    </row>
    <row r="703">
      <c r="A703" s="11" t="n">
        <v>700</v>
      </c>
      <c r="B703" s="11" t="inlineStr">
        <is>
          <t>B</t>
        </is>
      </c>
      <c r="C703" s="11" t="inlineStr">
        <is>
          <t>Rechenzentrum/IT</t>
        </is>
      </c>
      <c r="D703" s="11" t="inlineStr">
        <is>
          <t>IBM Schweiz AG</t>
        </is>
      </c>
      <c r="E703" s="11" t="inlineStr">
        <is>
          <t>Zürich</t>
        </is>
      </c>
      <c r="F703" s="11" t="inlineStr">
        <is>
          <t>8010</t>
        </is>
      </c>
      <c r="G703" s="11" t="inlineStr">
        <is>
          <t>ZH</t>
        </is>
      </c>
      <c r="H703" s="11" t="inlineStr">
        <is>
          <t>Leiter IT-Infrastruktur CH</t>
        </is>
      </c>
      <c r="I703" s="11" t="inlineStr">
        <is>
          <t>MSc Inf.</t>
        </is>
      </c>
      <c r="J703" s="11" t="inlineStr">
        <is>
          <t>info@ch.ibm.com</t>
        </is>
      </c>
      <c r="K703" s="11" t="inlineStr">
        <is>
          <t>+41 58 333 77 77</t>
        </is>
      </c>
      <c r="L703" s="11" t="n"/>
      <c r="M703" s="11" t="inlineStr">
        <is>
          <t>offen</t>
        </is>
      </c>
      <c r="N703" s="11" t="inlineStr">
        <is>
          <t>IT-Infrastruktur IBM ZH kontaktieren</t>
        </is>
      </c>
      <c r="O703" s="11" t="inlineStr">
        <is>
          <t>RZ + Mainframe: USV 3× 400 kVA; NEA; PQ</t>
        </is>
      </c>
      <c r="P703" s="11" t="inlineStr">
        <is>
          <t>USV</t>
        </is>
      </c>
      <c r="Q703" s="11" t="n"/>
      <c r="R703" s="11" t="inlineStr">
        <is>
          <t>Adr: Vulkanstrasse 106, 8010 ZH | 1'950 MA CH; Mainframe = kritisch</t>
        </is>
      </c>
      <c r="S703" s="11" t="inlineStr">
        <is>
          <t>IT-Konzern</t>
        </is>
      </c>
    </row>
    <row r="704">
      <c r="A704" s="11" t="n">
        <v>701</v>
      </c>
      <c r="B704" s="11" t="inlineStr">
        <is>
          <t>B</t>
        </is>
      </c>
      <c r="C704" s="11" t="inlineStr">
        <is>
          <t>Bau/Infrastruktur</t>
        </is>
      </c>
      <c r="D704" s="11" t="inlineStr">
        <is>
          <t>VBZ Verkehrsbetriebe Zürich</t>
        </is>
      </c>
      <c r="E704" s="11" t="inlineStr">
        <is>
          <t>Zürich</t>
        </is>
      </c>
      <c r="F704" s="11" t="inlineStr">
        <is>
          <t>8048</t>
        </is>
      </c>
      <c r="G704" s="11" t="inlineStr">
        <is>
          <t>ZH</t>
        </is>
      </c>
      <c r="H704" s="11" t="inlineStr">
        <is>
          <t>Betriebsleiter Technik</t>
        </is>
      </c>
      <c r="I704" s="11" t="inlineStr">
        <is>
          <t>Dipl. El.-Ing.</t>
        </is>
      </c>
      <c r="J704" s="11" t="inlineStr">
        <is>
          <t>info@vbz.ch</t>
        </is>
      </c>
      <c r="K704" s="11" t="inlineStr">
        <is>
          <t>+41 44 412 44 00</t>
        </is>
      </c>
      <c r="L704" s="11" t="n"/>
      <c r="M704" s="11" t="inlineStr">
        <is>
          <t>offen</t>
        </is>
      </c>
      <c r="N704" s="11" t="inlineStr">
        <is>
          <t>Betriebsleiter VBZ; simap.ch Alert VBZ ZH</t>
        </is>
      </c>
      <c r="O704" s="11" t="inlineStr">
        <is>
          <t>Baustrom Depots; FU-Antriebe Tram; 2'777 MA</t>
        </is>
      </c>
      <c r="P704" s="11" t="n"/>
      <c r="Q704" s="11" t="n"/>
      <c r="R704" s="11" t="inlineStr">
        <is>
          <t>Adr: Eigerstrasse 2, 8048 ZH | Grösstes Tramnetz CH</t>
        </is>
      </c>
      <c r="S704" s="11" t="inlineStr">
        <is>
          <t>Tram/Bus</t>
        </is>
      </c>
    </row>
    <row r="705">
      <c r="A705" s="11" t="n">
        <v>702</v>
      </c>
      <c r="B705" s="11" t="inlineStr">
        <is>
          <t>B</t>
        </is>
      </c>
      <c r="C705" s="11" t="inlineStr">
        <is>
          <t>Bau/Infrastruktur</t>
        </is>
      </c>
      <c r="D705" s="11" t="inlineStr">
        <is>
          <t>Implenia AG</t>
        </is>
      </c>
      <c r="E705" s="11" t="inlineStr">
        <is>
          <t>Dietlikon</t>
        </is>
      </c>
      <c r="F705" s="11" t="inlineStr">
        <is>
          <t>8305</t>
        </is>
      </c>
      <c r="G705" s="11" t="inlineStr">
        <is>
          <t>ZH</t>
        </is>
      </c>
      <c r="H705" s="11" t="inlineStr">
        <is>
          <t>Projektleiter Energie</t>
        </is>
      </c>
      <c r="I705" s="11" t="inlineStr">
        <is>
          <t>Dipl. El.-Ing.</t>
        </is>
      </c>
      <c r="J705" s="11" t="inlineStr">
        <is>
          <t>info@implenia.com</t>
        </is>
      </c>
      <c r="K705" s="11" t="inlineStr">
        <is>
          <t>+41 58 474 74 74</t>
        </is>
      </c>
      <c r="L705" s="11" t="n"/>
      <c r="M705" s="11" t="inlineStr">
        <is>
          <t>offen</t>
        </is>
      </c>
      <c r="N705" s="11" t="inlineStr">
        <is>
          <t>Projektleiter Energie Implenia kontaktieren</t>
        </is>
      </c>
      <c r="O705" s="11" t="inlineStr">
        <is>
          <t>Grossbaustellen: Baustrom 200–2'000 kVA; MS</t>
        </is>
      </c>
      <c r="P705" s="11" t="n"/>
      <c r="Q705" s="11" t="n"/>
      <c r="R705" s="11" t="inlineStr">
        <is>
          <t>Adr: General Guisan-Strasse 38, 8305 Dietlikon | 7'653 MA; CHF 3.765 Mrd.</t>
        </is>
      </c>
      <c r="S705" s="11" t="inlineStr">
        <is>
          <t>Bauunternehmen</t>
        </is>
      </c>
    </row>
    <row r="706">
      <c r="A706" s="11" t="n">
        <v>703</v>
      </c>
      <c r="B706" s="11" t="inlineStr">
        <is>
          <t>C</t>
        </is>
      </c>
      <c r="C706" s="11" t="inlineStr">
        <is>
          <t>Forschung/Bildung</t>
        </is>
      </c>
      <c r="D706" s="11" t="inlineStr">
        <is>
          <t>ETH Zürich Facility Management</t>
        </is>
      </c>
      <c r="E706" s="11" t="inlineStr">
        <is>
          <t>Zürich</t>
        </is>
      </c>
      <c r="F706" s="11" t="inlineStr">
        <is>
          <t>8092</t>
        </is>
      </c>
      <c r="G706" s="11" t="inlineStr">
        <is>
          <t>ZH</t>
        </is>
      </c>
      <c r="H706" s="11" t="inlineStr">
        <is>
          <t>Leiter Facility Management</t>
        </is>
      </c>
      <c r="I706" s="11" t="inlineStr">
        <is>
          <t>MSc Ing.</t>
        </is>
      </c>
      <c r="J706" s="11" t="inlineStr">
        <is>
          <t>info@ethz.ch</t>
        </is>
      </c>
      <c r="K706" s="11" t="inlineStr">
        <is>
          <t>+41 44 632 11 11</t>
        </is>
      </c>
      <c r="L706" s="11" t="n"/>
      <c r="M706" s="11" t="inlineStr">
        <is>
          <t>offen</t>
        </is>
      </c>
      <c r="N706" s="11" t="inlineStr">
        <is>
          <t>Facility ETH ZH; simap.ch Alert ETH</t>
        </is>
      </c>
      <c r="O706" s="11" t="inlineStr">
        <is>
          <t>NEA Campus 2× 500 kVA; USV Labors; PQ; HPC; 21'000 MA</t>
        </is>
      </c>
      <c r="P706" s="11" t="inlineStr">
        <is>
          <t>USV</t>
        </is>
      </c>
      <c r="Q706" s="11" t="n"/>
      <c r="R706" s="11" t="inlineStr">
        <is>
          <t>Adr: Rämistrasse 101, 8092 ZH | 21'000 MA; Top-10 Weltranking</t>
        </is>
      </c>
      <c r="S706" s="11" t="inlineStr">
        <is>
          <t>Universität</t>
        </is>
      </c>
    </row>
    <row r="707">
      <c r="A707" s="11" t="n">
        <v>704</v>
      </c>
      <c r="B707" s="11" t="inlineStr">
        <is>
          <t>C</t>
        </is>
      </c>
      <c r="C707" s="11" t="inlineStr">
        <is>
          <t>Forschung/Bildung</t>
        </is>
      </c>
      <c r="D707" s="11" t="inlineStr">
        <is>
          <t>Universität Zürich UZH</t>
        </is>
      </c>
      <c r="E707" s="11" t="inlineStr">
        <is>
          <t>Zürich</t>
        </is>
      </c>
      <c r="F707" s="11" t="inlineStr">
        <is>
          <t>8006</t>
        </is>
      </c>
      <c r="G707" s="11" t="inlineStr">
        <is>
          <t>ZH</t>
        </is>
      </c>
      <c r="H707" s="11" t="inlineStr">
        <is>
          <t>Leiter Immobilien / Technik</t>
        </is>
      </c>
      <c r="I707" s="11" t="inlineStr">
        <is>
          <t>MSc Ing.</t>
        </is>
      </c>
      <c r="J707" s="11" t="inlineStr">
        <is>
          <t>info@uzh.ch</t>
        </is>
      </c>
      <c r="K707" s="11" t="inlineStr">
        <is>
          <t>+41 44 634 11 11</t>
        </is>
      </c>
      <c r="L707" s="11" t="n"/>
      <c r="M707" s="11" t="inlineStr">
        <is>
          <t>offen</t>
        </is>
      </c>
      <c r="N707" s="11" t="inlineStr">
        <is>
          <t>Leiter Immobilien UZH; simap.ch Alert UZH</t>
        </is>
      </c>
      <c r="O707" s="11" t="inlineStr">
        <is>
          <t>NEA Campus 2× 400 kVA; USV Labors; PQ; 28'000 Studenten</t>
        </is>
      </c>
      <c r="P707" s="11" t="inlineStr">
        <is>
          <t>USV</t>
        </is>
      </c>
      <c r="Q707" s="11" t="n"/>
      <c r="R707" s="11" t="inlineStr">
        <is>
          <t>Adr: Rämistrasse 71, 8006 ZH | 28'000 Studenten; 6'000 MA</t>
        </is>
      </c>
      <c r="S707" s="11" t="inlineStr">
        <is>
          <t>Universität</t>
        </is>
      </c>
    </row>
    <row r="708">
      <c r="A708" s="11" t="n">
        <v>705</v>
      </c>
      <c r="B708" s="11" t="inlineStr">
        <is>
          <t>C</t>
        </is>
      </c>
      <c r="C708" s="11" t="inlineStr">
        <is>
          <t>Spital/Klinik</t>
        </is>
      </c>
      <c r="D708" s="11" t="inlineStr">
        <is>
          <t>Spital Männedorf AG</t>
        </is>
      </c>
      <c r="E708" s="11" t="inlineStr">
        <is>
          <t>Männedorf</t>
        </is>
      </c>
      <c r="F708" s="11" t="inlineStr">
        <is>
          <t>8708</t>
        </is>
      </c>
      <c r="G708" s="11" t="inlineStr">
        <is>
          <t>ZH</t>
        </is>
      </c>
      <c r="H708" s="11" t="inlineStr">
        <is>
          <t>Betriebsleiter</t>
        </is>
      </c>
      <c r="I708" s="11" t="inlineStr">
        <is>
          <t>Techniker</t>
        </is>
      </c>
      <c r="J708" s="11" t="inlineStr">
        <is>
          <t>info@spitalmaennedorf.ch</t>
        </is>
      </c>
      <c r="K708" s="11" t="inlineStr">
        <is>
          <t>+41 44 921 21 21</t>
        </is>
      </c>
      <c r="L708" s="11" t="n"/>
      <c r="M708" s="11" t="inlineStr">
        <is>
          <t>offen</t>
        </is>
      </c>
      <c r="N708" s="11" t="inlineStr">
        <is>
          <t>Betriebsleiter Spital Männedorf kontaktieren</t>
        </is>
      </c>
      <c r="O708" s="11" t="inlineStr">
        <is>
          <t>NEA 1× 250 kVA; USV; Zürichsee</t>
        </is>
      </c>
      <c r="P708" s="11" t="inlineStr">
        <is>
          <t>USV</t>
        </is>
      </c>
      <c r="Q708" s="11" t="n"/>
      <c r="R708" s="11" t="inlineStr">
        <is>
          <t>Adr: Asylstrasse 10, 8708 Männedorf | Versorgungsspital Zürichsee</t>
        </is>
      </c>
      <c r="S708" s="11" t="inlineStr">
        <is>
          <t>Kantonsspital</t>
        </is>
      </c>
    </row>
    <row r="709">
      <c r="A709" s="11" t="n">
        <v>706</v>
      </c>
      <c r="B709" s="11" t="inlineStr">
        <is>
          <t>C</t>
        </is>
      </c>
      <c r="C709" s="11" t="inlineStr">
        <is>
          <t>Spital/Klinik</t>
        </is>
      </c>
      <c r="D709" s="11" t="inlineStr">
        <is>
          <t>Spital Bülach AG</t>
        </is>
      </c>
      <c r="E709" s="11" t="inlineStr">
        <is>
          <t>Bülach</t>
        </is>
      </c>
      <c r="F709" s="11" t="inlineStr">
        <is>
          <t>8180</t>
        </is>
      </c>
      <c r="G709" s="11" t="inlineStr">
        <is>
          <t>ZH</t>
        </is>
      </c>
      <c r="H709" s="11" t="inlineStr">
        <is>
          <t>Betriebsleiter</t>
        </is>
      </c>
      <c r="I709" s="11" t="inlineStr">
        <is>
          <t>Techniker</t>
        </is>
      </c>
      <c r="J709" s="11" t="inlineStr">
        <is>
          <t>info@spitalbuelach.ch</t>
        </is>
      </c>
      <c r="K709" s="11" t="inlineStr">
        <is>
          <t>+41 44 863 21 21</t>
        </is>
      </c>
      <c r="L709" s="11" t="n"/>
      <c r="M709" s="11" t="inlineStr">
        <is>
          <t>offen</t>
        </is>
      </c>
      <c r="N709" s="11" t="inlineStr">
        <is>
          <t>Betriebsleiter Spital Bülach kontaktieren</t>
        </is>
      </c>
      <c r="O709" s="11" t="inlineStr">
        <is>
          <t>NEA 1× 300 kVA; USV; Zürcher Unterland</t>
        </is>
      </c>
      <c r="P709" s="11" t="inlineStr">
        <is>
          <t>USV</t>
        </is>
      </c>
      <c r="Q709" s="11" t="n"/>
      <c r="R709" s="11" t="inlineStr">
        <is>
          <t>Adr: Spitalstrasse 24, 8180 Bülach | Zürcher Unterland</t>
        </is>
      </c>
      <c r="S709" s="11" t="inlineStr">
        <is>
          <t>Kantonsspital</t>
        </is>
      </c>
    </row>
    <row r="710">
      <c r="A710" s="11" t="n">
        <v>707</v>
      </c>
      <c r="B710" s="11" t="inlineStr">
        <is>
          <t>C</t>
        </is>
      </c>
      <c r="C710" s="11" t="inlineStr">
        <is>
          <t>Pharma/Chemie</t>
        </is>
      </c>
      <c r="D710" s="11" t="inlineStr">
        <is>
          <t>Kistler Instrumente AG</t>
        </is>
      </c>
      <c r="E710" s="11" t="inlineStr">
        <is>
          <t>Winterthur</t>
        </is>
      </c>
      <c r="F710" s="11" t="inlineStr">
        <is>
          <t>8408</t>
        </is>
      </c>
      <c r="G710" s="11" t="inlineStr">
        <is>
          <t>ZH</t>
        </is>
      </c>
      <c r="H710" s="11" t="inlineStr">
        <is>
          <t>Betriebsleiter</t>
        </is>
      </c>
      <c r="I710" s="11" t="inlineStr">
        <is>
          <t>Dipl. El.-Ing.</t>
        </is>
      </c>
      <c r="J710" s="11" t="inlineStr">
        <is>
          <t>info@kistler.com</t>
        </is>
      </c>
      <c r="K710" s="11" t="inlineStr">
        <is>
          <t>+41 52 224 11 11</t>
        </is>
      </c>
      <c r="L710" s="11" t="n"/>
      <c r="M710" s="11" t="inlineStr">
        <is>
          <t>offen</t>
        </is>
      </c>
      <c r="N710" s="11" t="inlineStr">
        <is>
          <t>Betriebsleiter Kistler WTH kontaktieren</t>
        </is>
      </c>
      <c r="O710" s="11" t="inlineStr">
        <is>
          <t>Messtechnik F&amp;E: NEA + USV 300 kVA; PQ Reinraum</t>
        </is>
      </c>
      <c r="P710" s="11" t="inlineStr">
        <is>
          <t>USV</t>
        </is>
      </c>
      <c r="Q710" s="11" t="n"/>
      <c r="R710" s="11" t="inlineStr">
        <is>
          <t>Adr: Eulachstrasse 22, 8408 WTH | 2'000 MA; Messtechnik-Weltführer</t>
        </is>
      </c>
      <c r="S710" s="11" t="inlineStr">
        <is>
          <t>MedTech/Messtechnik</t>
        </is>
      </c>
    </row>
    <row r="711">
      <c r="A711" s="11" t="n">
        <v>708</v>
      </c>
      <c r="B711" s="11" t="inlineStr">
        <is>
          <t>C</t>
        </is>
      </c>
      <c r="C711" s="11" t="inlineStr">
        <is>
          <t>Pharma/Chemie</t>
        </is>
      </c>
      <c r="D711" s="11" t="inlineStr">
        <is>
          <t>Tecan Group AG</t>
        </is>
      </c>
      <c r="E711" s="11" t="inlineStr">
        <is>
          <t>Männedorf</t>
        </is>
      </c>
      <c r="F711" s="11" t="inlineStr">
        <is>
          <t>8708</t>
        </is>
      </c>
      <c r="G711" s="11" t="inlineStr">
        <is>
          <t>ZH</t>
        </is>
      </c>
      <c r="H711" s="11" t="inlineStr">
        <is>
          <t>Betriebsleiter Technik</t>
        </is>
      </c>
      <c r="I711" s="11" t="inlineStr">
        <is>
          <t>MSc El.-Ing.</t>
        </is>
      </c>
      <c r="J711" s="11" t="inlineStr">
        <is>
          <t>info@tecan.com</t>
        </is>
      </c>
      <c r="K711" s="11" t="inlineStr">
        <is>
          <t>+41 44 922 81 11</t>
        </is>
      </c>
      <c r="L711" s="11" t="n"/>
      <c r="M711" s="11" t="inlineStr">
        <is>
          <t>offen</t>
        </is>
      </c>
      <c r="N711" s="11" t="inlineStr">
        <is>
          <t>Energieverantwortlichen Tecan Männedorf kontaktieren</t>
        </is>
      </c>
      <c r="O711" s="11" t="inlineStr">
        <is>
          <t>Lab-Automation: NEA + USV 300 kVA; PQ Reinraum</t>
        </is>
      </c>
      <c r="P711" s="11" t="inlineStr">
        <is>
          <t>USV</t>
        </is>
      </c>
      <c r="Q711" s="11" t="n"/>
      <c r="R711" s="11" t="inlineStr">
        <is>
          <t>Adr: Seestrasse 103, 8708 Männedorf | 1'200 MA; CHF 947 Mio.</t>
        </is>
      </c>
      <c r="S711" s="11" t="inlineStr">
        <is>
          <t>MedTech</t>
        </is>
      </c>
    </row>
    <row r="712">
      <c r="A712" s="11" t="n">
        <v>709</v>
      </c>
      <c r="B712" s="11" t="inlineStr">
        <is>
          <t>C</t>
        </is>
      </c>
      <c r="C712" s="11" t="inlineStr">
        <is>
          <t>EVU/Netzbetreiber</t>
        </is>
      </c>
      <c r="D712" s="11" t="inlineStr">
        <is>
          <t>Energie 360° AG</t>
        </is>
      </c>
      <c r="E712" s="11" t="inlineStr">
        <is>
          <t>Zürich</t>
        </is>
      </c>
      <c r="F712" s="11" t="inlineStr">
        <is>
          <t>8044</t>
        </is>
      </c>
      <c r="G712" s="11" t="inlineStr">
        <is>
          <t>ZH</t>
        </is>
      </c>
      <c r="H712" s="11" t="inlineStr">
        <is>
          <t>Betriebsleiter Netz</t>
        </is>
      </c>
      <c r="I712" s="11" t="inlineStr">
        <is>
          <t>Dipl. El.-Ing.</t>
        </is>
      </c>
      <c r="J712" s="11" t="inlineStr">
        <is>
          <t>info@energie360.ch</t>
        </is>
      </c>
      <c r="K712" s="11" t="inlineStr">
        <is>
          <t>+41 44 305 04 44</t>
        </is>
      </c>
      <c r="L712" s="11" t="n"/>
      <c r="M712" s="11" t="inlineStr">
        <is>
          <t>offen</t>
        </is>
      </c>
      <c r="N712" s="11" t="inlineStr">
        <is>
          <t>Betriebsleiter Energie 360 kontaktieren</t>
        </is>
      </c>
      <c r="O712" s="11" t="inlineStr">
        <is>
          <t>Gas+Wärme: Revisionen MS; NEA; 310 MA</t>
        </is>
      </c>
      <c r="P712" s="11" t="inlineStr">
        <is>
          <t>Wärme</t>
        </is>
      </c>
      <c r="Q712" s="11" t="n"/>
      <c r="R712" s="11" t="inlineStr">
        <is>
          <t>Adr: Zürichbergstrasse 70, 8044 ZH | 310 MA; CHF 537 Mio.</t>
        </is>
      </c>
      <c r="S712" s="11" t="inlineStr">
        <is>
          <t>Regionalversorger</t>
        </is>
      </c>
    </row>
    <row r="713">
      <c r="A713" s="11" t="n">
        <v>710</v>
      </c>
      <c r="B713" s="11" t="inlineStr">
        <is>
          <t>C</t>
        </is>
      </c>
      <c r="C713" s="11" t="inlineStr">
        <is>
          <t>Rechenzentrum/IT</t>
        </is>
      </c>
      <c r="D713" s="11" t="inlineStr">
        <is>
          <t>Swisscom AG RZ-Knoten ZH</t>
        </is>
      </c>
      <c r="E713" s="11" t="inlineStr">
        <is>
          <t>Zürich</t>
        </is>
      </c>
      <c r="F713" s="11" t="inlineStr">
        <is>
          <t>8021</t>
        </is>
      </c>
      <c r="G713" s="11" t="inlineStr">
        <is>
          <t>ZH</t>
        </is>
      </c>
      <c r="H713" s="11" t="inlineStr">
        <is>
          <t>Leiter Network Operations ZH</t>
        </is>
      </c>
      <c r="I713" s="11" t="inlineStr">
        <is>
          <t>MSc El.-Ing.</t>
        </is>
      </c>
      <c r="J713" s="11" t="inlineStr">
        <is>
          <t>info@swisscom.ch</t>
        </is>
      </c>
      <c r="K713" s="11" t="inlineStr">
        <is>
          <t>+41 800 800 800</t>
        </is>
      </c>
      <c r="L713" s="11" t="n"/>
      <c r="M713" s="11" t="inlineStr">
        <is>
          <t>offen</t>
        </is>
      </c>
      <c r="N713" s="11" t="inlineStr">
        <is>
          <t>Network Ops Swisscom ZH-Knoten kontaktieren</t>
        </is>
      </c>
      <c r="O713" s="11" t="inlineStr">
        <is>
          <t>RZ-Knoten ZH: USV 4× 500 kVA; NEA; PQ; Carrier-Grade</t>
        </is>
      </c>
      <c r="P713" s="11" t="inlineStr">
        <is>
          <t>USV</t>
        </is>
      </c>
      <c r="Q713" s="11" t="n"/>
      <c r="R713" s="11" t="inlineStr">
        <is>
          <t>Adr: Postfach, 8021 ZH | Marktführer CH; kritische Netz-Infra</t>
        </is>
      </c>
      <c r="S713" s="11" t="inlineStr">
        <is>
          <t>Swisscom</t>
        </is>
      </c>
    </row>
    <row r="714">
      <c r="A714" s="11" t="n">
        <v>711</v>
      </c>
      <c r="B714" s="11" t="inlineStr">
        <is>
          <t>C</t>
        </is>
      </c>
      <c r="C714" s="11" t="inlineStr">
        <is>
          <t>Pharma/Chemie</t>
        </is>
      </c>
      <c r="D714" s="11" t="inlineStr">
        <is>
          <t>AMAG Gruppe</t>
        </is>
      </c>
      <c r="E714" s="11" t="inlineStr">
        <is>
          <t>Schinznach-Dorf</t>
        </is>
      </c>
      <c r="F714" s="11" t="inlineStr">
        <is>
          <t>5107</t>
        </is>
      </c>
      <c r="G714" s="11" t="inlineStr">
        <is>
          <t>ZH</t>
        </is>
      </c>
      <c r="H714" s="11" t="inlineStr">
        <is>
          <t>Betriebsleiter Technik</t>
        </is>
      </c>
      <c r="I714" s="11" t="inlineStr">
        <is>
          <t>Dipl. El.-Ing.</t>
        </is>
      </c>
      <c r="J714" s="11" t="inlineStr">
        <is>
          <t>info@amag.ch</t>
        </is>
      </c>
      <c r="K714" s="11" t="inlineStr">
        <is>
          <t>+41 56 463 31 11</t>
        </is>
      </c>
      <c r="L714" s="11" t="n"/>
      <c r="M714" s="11" t="inlineStr">
        <is>
          <t>offen</t>
        </is>
      </c>
      <c r="N714" s="11" t="inlineStr">
        <is>
          <t>Betriebsleiter Technik AMAG kontaktieren</t>
        </is>
      </c>
      <c r="O714" s="11" t="inlineStr">
        <is>
          <t>Grossgaragen + Werkstätten: NEA 500 kVA; FU-Hebebühnen; 6'500 MA</t>
        </is>
      </c>
      <c r="P714" s="11" t="n"/>
      <c r="Q714" s="11" t="n"/>
      <c r="R714" s="11" t="inlineStr">
        <is>
          <t>Adr: Dorfstrasse 9, 5107 Schinznach-Dorf | 6'500 MA; CHF 4.3 Mrd.</t>
        </is>
      </c>
      <c r="S714" s="11" t="inlineStr">
        <is>
          <t>Automobil</t>
        </is>
      </c>
    </row>
    <row r="715">
      <c r="A715" s="11" t="n">
        <v>712</v>
      </c>
      <c r="B715" s="11" t="inlineStr">
        <is>
          <t>C</t>
        </is>
      </c>
      <c r="C715" s="11" t="inlineStr">
        <is>
          <t>Spital/Klinik</t>
        </is>
      </c>
      <c r="D715" s="11" t="inlineStr">
        <is>
          <t>Rehaklinik Wald AG</t>
        </is>
      </c>
      <c r="E715" s="11" t="inlineStr">
        <is>
          <t>Wald ZH</t>
        </is>
      </c>
      <c r="F715" s="11" t="inlineStr">
        <is>
          <t>8636</t>
        </is>
      </c>
      <c r="G715" s="11" t="inlineStr">
        <is>
          <t>ZH</t>
        </is>
      </c>
      <c r="H715" s="11" t="inlineStr">
        <is>
          <t>Betriebsleiter</t>
        </is>
      </c>
      <c r="I715" s="11" t="inlineStr">
        <is>
          <t>Techniker</t>
        </is>
      </c>
      <c r="J715" s="11" t="inlineStr">
        <is>
          <t>info@rehaklinikwald.ch</t>
        </is>
      </c>
      <c r="K715" s="11" t="inlineStr">
        <is>
          <t>+41 55 256 61 11</t>
        </is>
      </c>
      <c r="L715" s="11" t="n"/>
      <c r="M715" s="11" t="inlineStr">
        <is>
          <t>offen</t>
        </is>
      </c>
      <c r="N715" s="11" t="inlineStr">
        <is>
          <t>Betriebsleiter Rehaklinik Wald kontaktieren</t>
        </is>
      </c>
      <c r="O715" s="11" t="inlineStr">
        <is>
          <t>NEA 1× 200 kVA; USV Reha; Zürcheroberlandes</t>
        </is>
      </c>
      <c r="P715" s="11" t="inlineStr">
        <is>
          <t>USV</t>
        </is>
      </c>
      <c r="Q715" s="11" t="n"/>
      <c r="R715" s="11" t="inlineStr">
        <is>
          <t>Adr: Römerstrasse 1, 8636 Wald ZH | Rehaklinik; Zürcheroberlandes</t>
        </is>
      </c>
      <c r="S715" s="11" t="inlineStr">
        <is>
          <t>Rehaklinik</t>
        </is>
      </c>
    </row>
    <row r="716">
      <c r="A716" s="11" t="n">
        <v>713</v>
      </c>
      <c r="B716" s="11" t="inlineStr">
        <is>
          <t>C</t>
        </is>
      </c>
      <c r="C716" s="11" t="inlineStr">
        <is>
          <t>Gemeinde/Öffentlich</t>
        </is>
      </c>
      <c r="D716" s="11" t="inlineStr">
        <is>
          <t>[MiT ZH-Kältekunde Nr. 1]</t>
        </is>
      </c>
      <c r="E716" s="11" t="inlineStr">
        <is>
          <t>Zürich</t>
        </is>
      </c>
      <c r="F716" s="11" t="inlineStr">
        <is>
          <t>8000</t>
        </is>
      </c>
      <c r="G716" s="11" t="inlineStr">
        <is>
          <t>ZH</t>
        </is>
      </c>
      <c r="H716" s="11" t="inlineStr">
        <is>
          <t>Energieverantwortlicher</t>
        </is>
      </c>
      <c r="I716" s="11" t="inlineStr">
        <is>
          <t>Betriebsleiter</t>
        </is>
      </c>
      <c r="J716" s="11" t="n"/>
      <c r="K716" s="11" t="inlineStr">
        <is>
          <t>(MiT-CRM)</t>
        </is>
      </c>
      <c r="L716" s="11" t="n"/>
      <c r="M716" s="11" t="inlineStr">
        <is>
          <t>offen</t>
        </is>
      </c>
      <c r="N716" s="11" t="inlineStr">
        <is>
          <t>MiT-CRM Roberto/Stefan: ZH-Kunden ohne Strom sofort prüfen</t>
        </is>
      </c>
      <c r="O716" s="11" t="inlineStr">
        <is>
          <t>Strom-Add-on zu MiT-Wärme/Kälte ZH</t>
        </is>
      </c>
      <c r="P716" s="11" t="inlineStr">
        <is>
          <t>Wärme</t>
        </is>
      </c>
      <c r="Q716" s="11" t="n"/>
      <c r="R716" s="11" t="inlineStr">
        <is>
          <t>Schnellster Weg zum ersten ZH-Stromauftrag</t>
        </is>
      </c>
      <c r="S716" s="11" t="inlineStr">
        <is>
          <t>Cross-Sell MiT</t>
        </is>
      </c>
    </row>
    <row r="717">
      <c r="A717" s="11" t="n">
        <v>714</v>
      </c>
      <c r="B717" s="11" t="inlineStr">
        <is>
          <t>C</t>
        </is>
      </c>
      <c r="C717" s="11" t="inlineStr">
        <is>
          <t>Gemeinde/Öffentlich</t>
        </is>
      </c>
      <c r="D717" s="11" t="inlineStr">
        <is>
          <t>[MiT WTH-Kältekunde Nr. 2]</t>
        </is>
      </c>
      <c r="E717" s="11" t="inlineStr">
        <is>
          <t>Winterthur</t>
        </is>
      </c>
      <c r="F717" s="11" t="inlineStr">
        <is>
          <t>8400</t>
        </is>
      </c>
      <c r="G717" s="11" t="inlineStr">
        <is>
          <t>ZH</t>
        </is>
      </c>
      <c r="H717" s="11" t="inlineStr">
        <is>
          <t>Energieverantwortlicher</t>
        </is>
      </c>
      <c r="I717" s="11" t="inlineStr">
        <is>
          <t>Betriebsleiter</t>
        </is>
      </c>
      <c r="J717" s="11" t="n"/>
      <c r="K717" s="11" t="inlineStr">
        <is>
          <t>(MiT-CRM)</t>
        </is>
      </c>
      <c r="L717" s="11" t="n"/>
      <c r="M717" s="11" t="inlineStr">
        <is>
          <t>offen</t>
        </is>
      </c>
      <c r="N717" s="11" t="inlineStr">
        <is>
          <t>MiT-CRM Roberto/Stefan: WTH-Region ohne Strom prüfen</t>
        </is>
      </c>
      <c r="O717" s="11" t="inlineStr">
        <is>
          <t>Strom-Add-on MiT WTH-Region</t>
        </is>
      </c>
      <c r="P717" s="11" t="n"/>
      <c r="Q717" s="11" t="n"/>
      <c r="R717" s="11" t="inlineStr">
        <is>
          <t>WTH-Industriecluster: Sulzer+Rieter+Burckhardt alle in 2 km</t>
        </is>
      </c>
      <c r="S717" s="11" t="inlineStr">
        <is>
          <t>Cross-Sell MiT</t>
        </is>
      </c>
    </row>
  </sheetData>
  <autoFilter ref="A3:S717"/>
  <mergeCells count="2">
    <mergeCell ref="A2:S2"/>
    <mergeCell ref="A1:S1"/>
  </mergeCells>
  <conditionalFormatting sqref="B4:B817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M4:M817">
    <cfRule type="cellIs" priority="4" operator="equal" dxfId="3">
      <formula>"offen"</formula>
    </cfRule>
    <cfRule type="cellIs" priority="5" operator="equal" dxfId="4">
      <formula>"kontaktiert"</formula>
    </cfRule>
    <cfRule type="cellIs" priority="6" operator="equal" dxfId="5">
      <formula>"in Gespräch"</formula>
    </cfRule>
    <cfRule type="cellIs" priority="7" operator="equal" dxfId="6">
      <formula>"Angebot gesendet"</formula>
    </cfRule>
    <cfRule type="cellIs" priority="8" operator="equal" dxfId="7">
      <formula>"aktiv"</formula>
    </cfRule>
    <cfRule type="cellIs" priority="9" operator="equal" dxfId="8">
      <formula>"inaktiv"</formula>
    </cfRule>
  </conditionalFormatting>
  <conditionalFormatting sqref="Q4:Q817">
    <cfRule type="expression" priority="10" dxfId="0">
      <formula>AND(ISNUMBER(Q4),Q4&lt;TODAY(),Q4&lt;&gt;"")</formula>
    </cfRule>
  </conditionalFormatting>
  <conditionalFormatting sqref="D4:D817">
    <cfRule type="expression" priority="11" dxfId="9">
      <formula>AND(ROW()&lt;= 717,D4="")</formula>
    </cfRule>
  </conditionalFormatting>
  <dataValidations count="7">
    <dataValidation sqref="B4:B817" showDropDown="0" showInputMessage="0" showErrorMessage="1" allowBlank="1" errorTitle="Ungültiger Wert" error="Bitte einen Wert aus der Dropdown-Liste wählen." type="list">
      <formula1>"A,B,C"</formula1>
    </dataValidation>
    <dataValidation sqref="C4:C817" showDropDown="0" showInputMessage="0" showErrorMessage="1" allowBlank="1" errorTitle="Ungültiger Wert" error="Bitte einen Wert aus der Dropdown-Liste wählen." type="list">
      <formula1>"EVU/Netzbetreiber,Spital/Klinik,Pharma/Chemie,Rechenzentrum/IT,Industrie/Maschinenbau,Bau/Infrastruktur,Gemeinde/Öffentlich,Bergbahn/Tourismus,Events/Messen,Elektroplaner/Engineering,Forschung/Bildung,Lebensmittel/Food"</formula1>
    </dataValidation>
    <dataValidation sqref="G4:G817" showDropDown="0" showInputMessage="0" showErrorMessage="1" allowBlank="1" errorTitle="Ungültiger Wert" error="Bitte einen Wert aus der Dropdown-Liste wählen." type="list">
      <formula1>"ZH,BE,LU,AG,SG,GE,BS,BL,SO,TG,VS,VD,FR,GR,AR,AI,SZ,ZG,TI,NE,UR,OW,NW,GL,SH,JU"</formula1>
    </dataValidation>
    <dataValidation sqref="M4:M817" showDropDown="0" showInputMessage="0" showErrorMessage="1" allowBlank="1" errorTitle="Ungültiger Wert" error="Bitte einen Wert aus der Dropdown-Liste wählen." type="list">
      <formula1>"offen,kontaktiert,in Gespräch,Angebot gesendet,aktiv,inaktiv"</formula1>
    </dataValidation>
    <dataValidation sqref="P4:P817" showDropDown="0" showInputMessage="0" showErrorMessage="1" allowBlank="1" errorTitle="Ungültiger Wert" error="Bitte einen Wert aus der Dropdown-Liste wählen." type="list">
      <formula1>"Generator,BESS,Notstrom/USV,USV,BESS + Generator,PQ-Analyse,Wärme,Kälte,Trafo,Mobile MS-Verteilung,Kabel,Baustromverteiler"</formula1>
    </dataValidation>
    <dataValidation sqref="J4:J817" showDropDown="0" showInputMessage="0" showErrorMessage="1" allowBlank="1" errorTitle="Ungültige E-Mail" error="E-Mail muss '@' und '.' enthalten." type="custom">
      <formula1>=OR(ISBLANK(J4),AND(ISNUMBER(SEARCH("@",J4)),ISNUMBER(SEARCH(".",J4))))</formula1>
    </dataValidation>
    <dataValidation sqref="Q4:Q817" showDropDown="0" showInputMessage="0" showErrorMessage="1" allowBlank="1" errorTitle="Datum" error="Bitte gültiges Datum eintragen.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80" customWidth="1" min="3" max="3"/>
  </cols>
  <sheetData>
    <row r="1">
      <c r="B1" s="1" t="inlineStr">
        <is>
          <t>MiT CRM — Import-Anleitung &amp; Feldbeschreibungen</t>
        </is>
      </c>
    </row>
    <row r="3">
      <c r="B3" s="12" t="inlineStr">
        <is>
          <t xml:space="preserve">  🚀  Import-Schritte</t>
        </is>
      </c>
      <c r="C3" s="13" t="inlineStr"/>
    </row>
    <row r="4">
      <c r="B4" s="14" t="inlineStr">
        <is>
          <t xml:space="preserve">  Schritt 1</t>
        </is>
      </c>
      <c r="C4" s="13" t="inlineStr">
        <is>
          <t>Daten in Tabelle 'Kunden-Datenbank' eintragen</t>
        </is>
      </c>
    </row>
    <row r="5">
      <c r="B5" s="14" t="inlineStr">
        <is>
          <t xml:space="preserve">  Schritt 2</t>
        </is>
      </c>
      <c r="C5" s="13" t="inlineStr">
        <is>
          <t>Datei speichern als .xlsx oder .csv</t>
        </is>
      </c>
    </row>
    <row r="6">
      <c r="B6" s="14" t="inlineStr">
        <is>
          <t xml:space="preserve">  Schritt 3</t>
        </is>
      </c>
      <c r="C6" s="13" t="inlineStr">
        <is>
          <t>MiT CRM öffnen → Header-Button '📥 Importieren' klicken</t>
        </is>
      </c>
    </row>
    <row r="7">
      <c r="B7" s="14" t="inlineStr">
        <is>
          <t xml:space="preserve">  Schritt 4</t>
        </is>
      </c>
      <c r="C7" s="13" t="inlineStr">
        <is>
          <t>Datei hineinziehen oder auswählen</t>
        </is>
      </c>
    </row>
    <row r="8">
      <c r="B8" s="14" t="inlineStr">
        <is>
          <t xml:space="preserve">  Schritt 5</t>
        </is>
      </c>
      <c r="C8" s="13" t="inlineStr">
        <is>
          <t>KI erkennt Spalten automatisch — Vorschau prüfen</t>
        </is>
      </c>
    </row>
    <row r="9">
      <c r="B9" s="14" t="inlineStr">
        <is>
          <t xml:space="preserve">  Schritt 6</t>
        </is>
      </c>
      <c r="C9" s="13" t="inlineStr">
        <is>
          <t>'Importieren' klicken → Daten verteilen sich auf alle Tabs</t>
        </is>
      </c>
    </row>
    <row r="11">
      <c r="B11" s="12" t="inlineStr">
        <is>
          <t xml:space="preserve">  📋  Pflichtfelder &amp; Dropdown-Werte</t>
        </is>
      </c>
      <c r="C11" s="13" t="inlineStr"/>
    </row>
    <row r="12">
      <c r="B12" s="14" t="inlineStr">
        <is>
          <t xml:space="preserve">  Firmenname *</t>
        </is>
      </c>
      <c r="C12" s="13" t="inlineStr">
        <is>
          <t>Pflichtfeld — Import schlägt fehl wenn leer</t>
        </is>
      </c>
    </row>
    <row r="13">
      <c r="B13" s="14" t="inlineStr">
        <is>
          <t xml:space="preserve">  Prio</t>
        </is>
      </c>
      <c r="C13" s="13" t="inlineStr">
        <is>
          <t>Werte: A · B · C (A=hoch, B=mittel, C=niedrig)</t>
        </is>
      </c>
    </row>
    <row r="14">
      <c r="B14" s="14" t="inlineStr">
        <is>
          <t xml:space="preserve">  Segment</t>
        </is>
      </c>
      <c r="C14" s="13" t="inlineStr">
        <is>
          <t>EVU/Netzbetreiber · Spital/Klinik · Pharma/Chemie · Rechenzentrum/IT · Industrie/Maschinenbau · Bau/Infrastruktur · Gemeinde/Öffentlich · Bergbahn/Tourismus · Events/Messen · Elektroplaner/Engineering · Forschung/Bildung · Lebensmittel/Food</t>
        </is>
      </c>
    </row>
    <row r="15">
      <c r="B15" s="14" t="inlineStr">
        <is>
          <t xml:space="preserve">  Kanton</t>
        </is>
      </c>
      <c r="C15" s="13" t="inlineStr">
        <is>
          <t>Zweistelliges Kürzel: ZH, BE, LU, AG, SG, GE, BS, BL, SO, TG, VS, VD, FR, GR, AR, AI, SZ, ZG, TI, NE, UR, OW, NW, GL, SH, JU</t>
        </is>
      </c>
    </row>
    <row r="16">
      <c r="B16" s="14" t="inlineStr">
        <is>
          <t xml:space="preserve">  Status</t>
        </is>
      </c>
      <c r="C16" s="13" t="inlineStr">
        <is>
          <t>offen · kontaktiert · in Gespräch · Angebot gesendet · aktiv · inaktiv</t>
        </is>
      </c>
    </row>
    <row r="17">
      <c r="B17" s="14" t="inlineStr">
        <is>
          <t xml:space="preserve">  Hauptprodukt</t>
        </is>
      </c>
      <c r="C17" s="13" t="inlineStr">
        <is>
          <t>Generator · BESS · Notstrom/USV · USV · BESS + Generator · PQ-Analyse · Wärme · Kälte · Trafo · Mobile MS-Verteilung · Kabel · Baustromverteiler</t>
        </is>
      </c>
    </row>
    <row r="18">
      <c r="B18" s="14" t="inlineStr">
        <is>
          <t xml:space="preserve">  Follow-up Datum</t>
        </is>
      </c>
      <c r="C18" s="13" t="inlineStr">
        <is>
          <t>Format: TT.MM.JJJJ — überfällige Termine werden rot markiert</t>
        </is>
      </c>
    </row>
    <row r="20">
      <c r="B20" s="12" t="inlineStr">
        <is>
          <t xml:space="preserve">  🗺️  Karte: Standort-Koordinaten</t>
        </is>
      </c>
      <c r="C20" s="13" t="inlineStr"/>
    </row>
    <row r="21">
      <c r="B21" s="14" t="inlineStr">
        <is>
          <t xml:space="preserve">  Ort (Stadt)</t>
        </is>
      </c>
      <c r="C21" s="13" t="inlineStr">
        <is>
          <t>→ Karte zeigt exakten Stadtpin statt Kantonshauptort</t>
        </is>
      </c>
    </row>
    <row r="22">
      <c r="B22" s="14" t="inlineStr">
        <is>
          <t xml:space="preserve">  PLZ</t>
        </is>
      </c>
      <c r="C22" s="13" t="inlineStr">
        <is>
          <t>→ Feinere Geocodierung bei mehreren Firmen in einer Stadt</t>
        </is>
      </c>
    </row>
    <row r="23">
      <c r="B23" s="14" t="inlineStr">
        <is>
          <t xml:space="preserve">  Kanton</t>
        </is>
      </c>
      <c r="C23" s="13" t="inlineStr">
        <is>
          <t>→ Fallback wenn Ort nicht erkannt wird</t>
        </is>
      </c>
    </row>
    <row r="24">
      <c r="B24" s="14" t="inlineStr">
        <is>
          <t xml:space="preserve">  Tipp</t>
        </is>
      </c>
      <c r="C24" s="13" t="inlineStr">
        <is>
          <t>Je mehr Felder ausgefüllt, desto präziser die Kartenposition</t>
        </is>
      </c>
    </row>
    <row r="26">
      <c r="B26" s="12" t="inlineStr">
        <is>
          <t xml:space="preserve">  ⚡  Auto-Verteilung auf CRM-Tabs</t>
        </is>
      </c>
      <c r="C26" s="13" t="inlineStr"/>
    </row>
    <row r="27">
      <c r="B27" s="14" t="inlineStr">
        <is>
          <t xml:space="preserve">  👥 Kontakte</t>
        </is>
      </c>
      <c r="C27" s="13" t="inlineStr">
        <is>
          <t>Alle importierten Zeilen als Kontakte</t>
        </is>
      </c>
    </row>
    <row r="28">
      <c r="B28" s="12" t="inlineStr">
        <is>
          <t xml:space="preserve">  🗺️ Karte</t>
        </is>
      </c>
      <c r="C28" s="13" t="inlineStr">
        <is>
          <t>Pins an exakter Stadt-Position</t>
        </is>
      </c>
    </row>
    <row r="29">
      <c r="B29" s="14" t="inlineStr">
        <is>
          <t xml:space="preserve">  🏔️ Kantone</t>
        </is>
      </c>
      <c r="C29" s="13" t="inlineStr">
        <is>
          <t>26 Kantone mit Kontakt-Anzahl befüllt</t>
        </is>
      </c>
    </row>
    <row r="30">
      <c r="B30" s="14" t="inlineStr">
        <is>
          <t xml:space="preserve">  🎯 Pipeline</t>
        </is>
      </c>
      <c r="C30" s="13" t="inlineStr">
        <is>
          <t>Prio A+B mit Nächstem Schritt → Deals</t>
        </is>
      </c>
    </row>
    <row r="31">
      <c r="B31" s="14" t="inlineStr">
        <is>
          <t xml:space="preserve">  ✅ Aufgaben</t>
        </is>
      </c>
      <c r="C31" s="13" t="inlineStr">
        <is>
          <t>Nächster Schritt + Follow-up Datum → Aufgaben</t>
        </is>
      </c>
    </row>
    <row r="32">
      <c r="B32" s="14" t="inlineStr">
        <is>
          <t xml:space="preserve">  🏷️ Tags</t>
        </is>
      </c>
      <c r="C32" s="13" t="inlineStr">
        <is>
          <t>Segment + Prio automatisch als Tags</t>
        </is>
      </c>
    </row>
    <row r="33">
      <c r="B33" s="14" t="inlineStr">
        <is>
          <t xml:space="preserve">  📞 Dialer</t>
        </is>
      </c>
      <c r="C33" s="13" t="inlineStr">
        <is>
          <t>Alle Kontakte mit Telefon → Kaltakquise Queue</t>
        </is>
      </c>
    </row>
    <row r="35">
      <c r="B35" s="12" t="inlineStr">
        <is>
          <t xml:space="preserve">  🛡️  Eingebaute Validierung</t>
        </is>
      </c>
      <c r="C35" s="13" t="inlineStr"/>
    </row>
    <row r="36">
      <c r="B36" s="14" t="inlineStr">
        <is>
          <t xml:space="preserve">  Dropdowns</t>
        </is>
      </c>
      <c r="C36" s="13" t="inlineStr">
        <is>
          <t>Prio, Segment, Kanton, Status, Hauptprodukt sind Dropdown-gesteuert</t>
        </is>
      </c>
    </row>
    <row r="37">
      <c r="B37" s="14" t="inlineStr">
        <is>
          <t xml:space="preserve">  Farbcodes</t>
        </is>
      </c>
      <c r="C37" s="13" t="inlineStr">
        <is>
          <t>Prio A/B/C, Status und überfällige Follow-ups werden automatisch eingefärbt</t>
        </is>
      </c>
    </row>
    <row r="38">
      <c r="B38" s="14" t="inlineStr">
        <is>
          <t xml:space="preserve">  Dashboard</t>
        </is>
      </c>
      <c r="C38" s="13" t="inlineStr">
        <is>
          <t>Tab '📊 Dashboard' enthält Live-Auswertungen aller Stammdaten</t>
        </is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  <col width="50" customWidth="1" min="4" max="4"/>
    <col width="14" customWidth="1" min="5" max="5"/>
  </cols>
  <sheetData>
    <row r="1">
      <c r="B1" s="1" t="inlineStr">
        <is>
          <t>Segment-Referenz &amp; Produkt-Matrix</t>
        </is>
      </c>
    </row>
    <row r="3">
      <c r="B3" s="6" t="inlineStr">
        <is>
          <t>Segment</t>
        </is>
      </c>
      <c r="C3" s="6" t="inlineStr">
        <is>
          <t>Unterbereich (Beispiele)</t>
        </is>
      </c>
      <c r="D3" s="6" t="inlineStr">
        <is>
          <t>Empfohlene MiT-Produkte</t>
        </is>
      </c>
      <c r="E3" s="6" t="inlineStr">
        <is>
          <t>Prio-Tendenz</t>
        </is>
      </c>
    </row>
    <row r="4">
      <c r="B4" s="11" t="inlineStr">
        <is>
          <t>EVU/Netzbetreiber</t>
        </is>
      </c>
      <c r="C4" s="11" t="inlineStr">
        <is>
          <t>Kantonale EVU, Stadtwerke, Verteilnetzbetreiber</t>
        </is>
      </c>
      <c r="D4" s="11" t="inlineStr">
        <is>
          <t>Generator, Mobile MS-Verteilung, BESS, PQ-Analyse</t>
        </is>
      </c>
      <c r="E4" s="15" t="inlineStr">
        <is>
          <t>A</t>
        </is>
      </c>
    </row>
    <row r="5">
      <c r="B5" s="11" t="inlineStr">
        <is>
          <t>Spital/Klinik</t>
        </is>
      </c>
      <c r="C5" s="11" t="inlineStr">
        <is>
          <t>Akutspitäler, Kliniken, Pflegeheime, Reha</t>
        </is>
      </c>
      <c r="D5" s="11" t="inlineStr">
        <is>
          <t>Notstrom NIV Art.13, USV, Generator, BESS</t>
        </is>
      </c>
      <c r="E5" s="15" t="inlineStr">
        <is>
          <t>A</t>
        </is>
      </c>
    </row>
    <row r="6">
      <c r="B6" s="11" t="inlineStr">
        <is>
          <t>Pharma/Chemie</t>
        </is>
      </c>
      <c r="C6" s="11" t="inlineStr">
        <is>
          <t>Wirkstoff, Galenik, Biotech, Labore</t>
        </is>
      </c>
      <c r="D6" s="11" t="inlineStr">
        <is>
          <t>Generator Stage V, BESS, PQ-Monitoring Kl.A</t>
        </is>
      </c>
      <c r="E6" s="15" t="inlineStr">
        <is>
          <t>A</t>
        </is>
      </c>
    </row>
    <row r="7">
      <c r="B7" s="11" t="inlineStr">
        <is>
          <t>Rechenzentrum/IT</t>
        </is>
      </c>
      <c r="C7" s="11" t="inlineStr">
        <is>
          <t>Colocation, Enterprise RZ, Telekom-Infra</t>
        </is>
      </c>
      <c r="D7" s="11" t="inlineStr">
        <is>
          <t>BESS + Generator, USV, PQ-Analyse IEC 61000-4-30</t>
        </is>
      </c>
      <c r="E7" s="15" t="inlineStr">
        <is>
          <t>A</t>
        </is>
      </c>
    </row>
    <row r="8">
      <c r="B8" s="11" t="inlineStr">
        <is>
          <t>Industrie/Maschinenbau</t>
        </is>
      </c>
      <c r="C8" s="11" t="inlineStr">
        <is>
          <t>CNC-Fertigung, Giesserei, Automobilzulieferer</t>
        </is>
      </c>
      <c r="D8" s="11" t="inlineStr">
        <is>
          <t>Generator, Parallelschaltung, Kabel, Trafo</t>
        </is>
      </c>
      <c r="E8" s="15" t="inlineStr">
        <is>
          <t>B</t>
        </is>
      </c>
    </row>
    <row r="9">
      <c r="B9" s="11" t="inlineStr">
        <is>
          <t>Bau/Infrastruktur</t>
        </is>
      </c>
      <c r="C9" s="11" t="inlineStr">
        <is>
          <t>Hochbau, Tiefbau, Tunnel, Sanierung</t>
        </is>
      </c>
      <c r="D9" s="11" t="inlineStr">
        <is>
          <t>Generator, Baustromverteiler, Kabel, IBC Tank</t>
        </is>
      </c>
      <c r="E9" s="15" t="inlineStr">
        <is>
          <t>B</t>
        </is>
      </c>
    </row>
    <row r="10">
      <c r="B10" s="11" t="inlineStr">
        <is>
          <t>Gemeinde/Öffentlich</t>
        </is>
      </c>
      <c r="C10" s="11" t="inlineStr">
        <is>
          <t>Gemeinden, Kantone, Wasserversorgung, Kläranlage</t>
        </is>
      </c>
      <c r="D10" s="11" t="inlineStr">
        <is>
          <t>Generator, Notstrom, BESS</t>
        </is>
      </c>
      <c r="E10" s="15" t="inlineStr">
        <is>
          <t>B</t>
        </is>
      </c>
    </row>
    <row r="11">
      <c r="B11" s="11" t="inlineStr">
        <is>
          <t>Bergbahn/Tourismus</t>
        </is>
      </c>
      <c r="C11" s="11" t="inlineStr">
        <is>
          <t>Ski-Resorts, Hotels, Seilbahnen, Events</t>
        </is>
      </c>
      <c r="D11" s="11" t="inlineStr">
        <is>
          <t>Generator, Wärme, Kälte, BESS</t>
        </is>
      </c>
      <c r="E11" s="15" t="inlineStr">
        <is>
          <t>B</t>
        </is>
      </c>
    </row>
    <row r="12">
      <c r="B12" s="11" t="inlineStr">
        <is>
          <t>Events/Messen</t>
        </is>
      </c>
      <c r="C12" s="11" t="inlineStr">
        <is>
          <t>Messen, Festivals, Grossevents, Konzerte</t>
        </is>
      </c>
      <c r="D12" s="11" t="inlineStr">
        <is>
          <t>Generator, Kälte, Wärme, Kabel, Verteiler</t>
        </is>
      </c>
      <c r="E12" s="15" t="inlineStr">
        <is>
          <t>B/C</t>
        </is>
      </c>
    </row>
    <row r="13">
      <c r="B13" s="11" t="inlineStr">
        <is>
          <t>Elektroplaner/Engineering</t>
        </is>
      </c>
      <c r="C13" s="11" t="inlineStr">
        <is>
          <t>Ingenieurbüros, TGA-Planer, Architekten</t>
        </is>
      </c>
      <c r="D13" s="11" t="inlineStr">
        <is>
          <t>Alle Produkte (Planungsunterstützung)</t>
        </is>
      </c>
      <c r="E13" s="15" t="inlineStr">
        <is>
          <t>C</t>
        </is>
      </c>
    </row>
    <row r="14">
      <c r="B14" s="11" t="inlineStr">
        <is>
          <t>Forschung/Bildung</t>
        </is>
      </c>
      <c r="C14" s="11" t="inlineStr">
        <is>
          <t>ETH/EPFL, Fachhochschulen, Forschungsinstitute</t>
        </is>
      </c>
      <c r="D14" s="11" t="inlineStr">
        <is>
          <t>USV, BESS, Generator, PQ-Analyse</t>
        </is>
      </c>
      <c r="E14" s="15" t="inlineStr">
        <is>
          <t>B</t>
        </is>
      </c>
    </row>
    <row r="15">
      <c r="B15" s="11" t="inlineStr">
        <is>
          <t>Lebensmittel/Food</t>
        </is>
      </c>
      <c r="C15" s="11" t="inlineStr">
        <is>
          <t>Molkereien, Fleischverarbeitung, Bäckereien</t>
        </is>
      </c>
      <c r="D15" s="11" t="inlineStr">
        <is>
          <t>Generator, Kälte, BESS</t>
        </is>
      </c>
      <c r="E15" s="15" t="inlineStr">
        <is>
          <t>B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2026-05-20T13:05:29Z</dcterms:created>
  <dcterms:modified xsi:type="dcterms:W3CDTF">2026-05-20T13:05:29Z</dcterms:modified>
</cp:coreProperties>
</file>