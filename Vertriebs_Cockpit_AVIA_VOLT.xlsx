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peline" sheetId="2" state="visible" r:id="rId2"/>
    <sheet name="Live-Daten" sheetId="3" state="visible" r:id="rId3"/>
    <sheet name="Listen" sheetId="4" state="visible" r:id="rId4"/>
    <sheet name="Anleit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 &quot;CHF&quot;"/>
  </numFmts>
  <fonts count="24">
    <font>
      <name val="Calibri"/>
      <family val="2"/>
      <color theme="1"/>
      <sz val="11"/>
      <scheme val="minor"/>
    </font>
    <font>
      <name val="Calibri"/>
      <b val="1"/>
      <color rgb="001B2430"/>
      <sz val="13"/>
    </font>
    <font>
      <name val="Calibri"/>
      <i val="1"/>
      <color rgb="005A6573"/>
      <sz val="9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color rgb="001B2430"/>
      <sz val="10"/>
    </font>
    <font>
      <name val="Calibri"/>
      <color rgb="001B2430"/>
      <sz val="12"/>
    </font>
    <font>
      <name val="Calibri"/>
      <b val="1"/>
      <color rgb="001B2430"/>
      <sz val="11"/>
    </font>
    <font>
      <name val="Calibri"/>
      <b val="1"/>
      <color rgb="001B2430"/>
      <sz val="22"/>
    </font>
    <font>
      <name val="Calibri"/>
      <b val="1"/>
      <color rgb="00E2001A"/>
      <sz val="11"/>
    </font>
    <font>
      <name val="Calibri"/>
      <b val="1"/>
      <color rgb="005A6573"/>
      <sz val="9"/>
    </font>
    <font>
      <name val="Calibri"/>
      <b val="1"/>
      <color rgb="001B2430"/>
      <sz val="20"/>
    </font>
    <font>
      <name val="Calibri"/>
      <b val="1"/>
      <color rgb="00E2001A"/>
      <sz val="20"/>
    </font>
    <font>
      <name val="Calibri"/>
      <b val="1"/>
      <color rgb="002A3543"/>
      <sz val="20"/>
    </font>
    <font>
      <name val="Calibri"/>
      <b val="1"/>
      <color rgb="001E9E5A"/>
      <sz val="20"/>
    </font>
    <font>
      <name val="Calibri"/>
      <b val="1"/>
      <color rgb="001B2430"/>
      <sz val="12"/>
    </font>
    <font>
      <name val="Calibri"/>
      <b val="1"/>
      <color rgb="001B2430"/>
      <sz val="18"/>
    </font>
    <font>
      <name val="Calibri"/>
      <i val="1"/>
      <color rgb="005A6573"/>
      <sz val="10"/>
    </font>
    <font>
      <name val="Calibri"/>
      <b val="1"/>
      <color rgb="00FFFFFF"/>
      <sz val="12"/>
    </font>
    <font>
      <name val="Calibri"/>
      <b val="1"/>
      <color rgb="001B2430"/>
      <sz val="10"/>
    </font>
    <font>
      <name val="Calibri"/>
      <color rgb="005A6573"/>
      <sz val="9"/>
    </font>
    <font>
      <name val="Calibri"/>
      <b val="1"/>
      <color rgb="001B2430"/>
      <sz val="16"/>
    </font>
    <font>
      <name val="Calibri"/>
      <color rgb="005A6573"/>
      <sz val="6"/>
    </font>
    <font>
      <name val="Calibri"/>
      <b val="1"/>
      <color rgb="00E2001A"/>
      <sz val="12"/>
    </font>
  </fonts>
  <fills count="7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2F5F8"/>
      </pattern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E2001A"/>
      </patternFill>
    </fill>
  </fills>
  <borders count="8">
    <border>
      <left/>
      <right/>
      <top/>
      <bottom/>
      <diagonal/>
    </border>
    <border>
      <left style="thin">
        <color rgb="00E3E8ED"/>
      </left>
      <right style="thin">
        <color rgb="00E3E8ED"/>
      </right>
      <top style="thin">
        <color rgb="00E3E8ED"/>
      </top>
      <bottom style="thin">
        <color rgb="00E3E8ED"/>
      </bottom>
    </border>
    <border>
      <left style="thin">
        <color rgb="00E3E8ED"/>
      </left>
      <right style="thin">
        <color rgb="00E3E8ED"/>
      </right>
      <top style="medium">
        <color rgb="001B2430"/>
      </top>
      <bottom style="medium">
        <color rgb="001B2430"/>
      </bottom>
    </border>
    <border>
      <top style="medium">
        <color rgb="001B2430"/>
      </top>
      <bottom style="medium">
        <color rgb="001B2430"/>
      </bottom>
    </border>
    <border>
      <left style="thin">
        <color rgb="00E3E8ED"/>
      </left>
      <top style="thin">
        <color rgb="00E3E8ED"/>
      </top>
    </border>
    <border>
      <right style="thin">
        <color rgb="00E3E8ED"/>
      </right>
      <top style="thin">
        <color rgb="00E3E8ED"/>
      </top>
    </border>
    <border>
      <left style="thin">
        <color rgb="00E3E8ED"/>
      </left>
      <bottom style="thin">
        <color rgb="00E3E8ED"/>
      </bottom>
    </border>
    <border>
      <right style="thin">
        <color rgb="00E3E8ED"/>
      </right>
      <bottom style="thin">
        <color rgb="00E3E8E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4" applyAlignment="1" pivotButton="0" quotePrefix="0" xfId="0">
      <alignment horizontal="left" vertical="center" indent="1"/>
    </xf>
    <xf numFmtId="0" fontId="0" fillId="5" borderId="5" pivotButton="0" quotePrefix="0" xfId="0"/>
    <xf numFmtId="166" fontId="11" fillId="5" borderId="6" applyAlignment="1" pivotButton="0" quotePrefix="0" xfId="0">
      <alignment horizontal="left" vertical="center" indent="1"/>
    </xf>
    <xf numFmtId="0" fontId="0" fillId="5" borderId="7" pivotButton="0" quotePrefix="0" xfId="0"/>
    <xf numFmtId="166" fontId="12" fillId="5" borderId="6" applyAlignment="1" pivotButton="0" quotePrefix="0" xfId="0">
      <alignment horizontal="left" vertical="center" indent="1"/>
    </xf>
    <xf numFmtId="1" fontId="13" fillId="5" borderId="6" applyAlignment="1" pivotButton="0" quotePrefix="0" xfId="0">
      <alignment horizontal="left" vertical="center" indent="1"/>
    </xf>
    <xf numFmtId="166" fontId="14" fillId="5" borderId="6" applyAlignment="1" pivotButton="0" quotePrefix="0" xfId="0">
      <alignment horizontal="left" vertical="center" indent="1"/>
    </xf>
    <xf numFmtId="9" fontId="11" fillId="5" borderId="6" applyAlignment="1" pivotButton="0" quotePrefix="0" xfId="0">
      <alignment horizontal="left" vertical="center" indent="1"/>
    </xf>
    <xf numFmtId="166" fontId="13" fillId="5" borderId="6" applyAlignment="1" pivotButton="0" quotePrefix="0" xfId="0">
      <alignment horizontal="left" vertical="center" indent="1"/>
    </xf>
    <xf numFmtId="0" fontId="1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applyAlignment="1" pivotButton="0" quotePrefix="0" xfId="0">
      <alignment horizontal="right" vertical="center"/>
    </xf>
    <xf numFmtId="9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166" fontId="7" fillId="4" borderId="3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9" fontId="0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B30015"/>
        <sz val="10"/>
      </font>
      <fill>
        <patternFill patternType="solid">
          <fgColor rgb="00FADBD8"/>
        </patternFill>
      </fill>
    </dxf>
    <dxf>
      <font>
        <name val="Calibri"/>
        <b val="1"/>
        <color rgb="001E9E5A"/>
        <sz val="10"/>
      </font>
      <fill>
        <patternFill patternType="solid">
          <fgColor rgb="00D5F0DE"/>
        </patternFill>
      </fill>
    </dxf>
    <dxf>
      <font>
        <name val="Calibri"/>
        <color rgb="005A6573"/>
        <sz val="10"/>
      </font>
      <fill>
        <patternFill patternType="solid">
          <fgColor rgb="00ED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Pipeline nach Phase (CHF)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'Dashboard'!$B$17:$B$22</f>
            </numRef>
          </cat>
          <val>
            <numRef>
              <f>'Dashboard'!$C$17:$C$22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Gew. Forecast je Verantwortlich (CHF)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'Dashboard'!F16</f>
            </strRef>
          </tx>
          <spPr>
            <a:ln>
              <a:prstDash val="solid"/>
            </a:ln>
          </spPr>
          <cat>
            <numRef>
              <f>'Dashboard'!$E$17:$E$21</f>
            </numRef>
          </cat>
          <val>
            <numRef>
              <f>'Dashboard'!$F$17:$F$21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peline" displayName="Pipeline" ref="A4:Q24" headerRowCount="1">
  <autoFilter ref="A4:Q24"/>
  <tableColumns count="17">
    <tableColumn id="1" name="Deal-ID"/>
    <tableColumn id="2" name="Firma"/>
    <tableColumn id="3" name="Ansprechpartner"/>
    <tableColumn id="4" name="Region"/>
    <tableColumn id="5" name="Branche"/>
    <tableColumn id="6" name="Produkt / Lösung"/>
    <tableColumn id="7" name="Phase"/>
    <tableColumn id="8" name="Priorität"/>
    <tableColumn id="9" name="Volumen (CHF)"/>
    <tableColumn id="10" name="Wahrsch. %"/>
    <tableColumn id="11" name="Gew. Wert (CHF)"/>
    <tableColumn id="12" name="Erstkontakt"/>
    <tableColumn id="13" name="Erw. Abschluss"/>
    <tableColumn id="14" name="Tage bis Abschl."/>
    <tableColumn id="15" name="Verantwortlich"/>
    <tableColumn id="16" name="Nächster Schritt"/>
    <tableColumn id="17" name="Ampe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 ht="30" customHeight="1">
      <c r="B2" s="1" t="inlineStr">
        <is>
          <t>VERTRIEBS-COCKPIT</t>
        </is>
      </c>
    </row>
    <row r="3">
      <c r="B3" s="2" t="inlineStr">
        <is>
          <t>AVIA VOLT Suisse  ·  Pipeline-Steuerung &amp; Forecast  ·  Burak Ücöz</t>
        </is>
      </c>
    </row>
    <row r="4"/>
    <row r="5">
      <c r="B5" s="3" t="inlineStr">
        <is>
          <t>PIPELINE GESAMT</t>
        </is>
      </c>
      <c r="C5" s="4" t="n"/>
      <c r="D5" s="3" t="inlineStr">
        <is>
          <t>GEWICHTETER FORECAST</t>
        </is>
      </c>
      <c r="E5" s="4" t="n"/>
      <c r="F5" s="3" t="inlineStr">
        <is>
          <t>OFFENE DEALS</t>
        </is>
      </c>
      <c r="G5" s="4" t="n"/>
    </row>
    <row r="6" ht="30" customHeight="1">
      <c r="B6" s="5">
        <f>SUM(Pipeline!I5:I24)</f>
        <v/>
      </c>
      <c r="C6" s="6" t="n"/>
      <c r="D6" s="7">
        <f>SUM(Pipeline!K5:K24)</f>
        <v/>
      </c>
      <c r="E6" s="6" t="n"/>
      <c r="F6" s="8">
        <f>COUNTIFS(Pipeline!G5:G24,"&lt;&gt;Gewonnen",Pipeline!G5:G24,"&lt;&gt;Verloren")</f>
        <v/>
      </c>
      <c r="G6" s="6" t="n"/>
    </row>
    <row r="9">
      <c r="B9" s="3" t="inlineStr">
        <is>
          <t>GEWONNEN (YTD)</t>
        </is>
      </c>
      <c r="C9" s="4" t="n"/>
      <c r="D9" s="3" t="inlineStr">
        <is>
          <t>WIN-RATE</t>
        </is>
      </c>
      <c r="E9" s="4" t="n"/>
      <c r="F9" s="3" t="inlineStr">
        <is>
          <t>Ø DEAL-GRÖSSE</t>
        </is>
      </c>
      <c r="G9" s="4" t="n"/>
    </row>
    <row r="10" ht="30" customHeight="1">
      <c r="B10" s="9">
        <f>SUMIFS(Pipeline!I5:I24,Pipeline!G5:G24,"Gewonnen")</f>
        <v/>
      </c>
      <c r="C10" s="6" t="n"/>
      <c r="D10" s="10">
        <f>IFERROR(COUNTIF(Pipeline!G5:G24,"Gewonnen")/(COUNTIF(Pipeline!G5:G24,"Gewonnen")+COUNTIF(Pipeline!G5:G24,"Verloren")),0)</f>
        <v/>
      </c>
      <c r="E10" s="6" t="n"/>
      <c r="F10" s="11">
        <f>IFERROR(AVERAGE(Pipeline!I5:I24),0)</f>
        <v/>
      </c>
      <c r="G10" s="6" t="n"/>
    </row>
    <row r="15">
      <c r="B15" s="12" t="inlineStr">
        <is>
          <t>Pipeline nach Phase</t>
        </is>
      </c>
      <c r="E15" s="12" t="inlineStr">
        <is>
          <t>Gew. Forecast je Verantwortlich</t>
        </is>
      </c>
    </row>
    <row r="16">
      <c r="B16" s="13" t="inlineStr">
        <is>
          <t>Phase</t>
        </is>
      </c>
      <c r="C16" s="13" t="inlineStr">
        <is>
          <t>Volumen (CHF)</t>
        </is>
      </c>
      <c r="E16" s="13" t="inlineStr">
        <is>
          <t>Verantwortlich</t>
        </is>
      </c>
      <c r="F16" s="13" t="inlineStr">
        <is>
          <t>Gew. Wert (CHF)</t>
        </is>
      </c>
    </row>
    <row r="17">
      <c r="B17" s="14" t="inlineStr">
        <is>
          <t>Lead</t>
        </is>
      </c>
      <c r="C17" s="15">
        <f>SUMIFS(Pipeline!I5:I24,Pipeline!G5:G24,B17)</f>
        <v/>
      </c>
      <c r="E17" s="14" t="inlineStr">
        <is>
          <t>Burak Ücöz</t>
        </is>
      </c>
      <c r="F17" s="15">
        <f>SUMIFS(Pipeline!K5:K24,Pipeline!O5:O24,E17)</f>
        <v/>
      </c>
    </row>
    <row r="18">
      <c r="B18" s="14" t="inlineStr">
        <is>
          <t>Qualifiziert</t>
        </is>
      </c>
      <c r="C18" s="15">
        <f>SUMIFS(Pipeline!I5:I24,Pipeline!G5:G24,B18)</f>
        <v/>
      </c>
      <c r="E18" s="14" t="inlineStr">
        <is>
          <t>S. Meier</t>
        </is>
      </c>
      <c r="F18" s="15">
        <f>SUMIFS(Pipeline!K5:K24,Pipeline!O5:O24,E18)</f>
        <v/>
      </c>
    </row>
    <row r="19">
      <c r="B19" s="14" t="inlineStr">
        <is>
          <t>Angebot</t>
        </is>
      </c>
      <c r="C19" s="15">
        <f>SUMIFS(Pipeline!I5:I24,Pipeline!G5:G24,B19)</f>
        <v/>
      </c>
      <c r="E19" s="14" t="inlineStr">
        <is>
          <t>L. Rossi</t>
        </is>
      </c>
      <c r="F19" s="15">
        <f>SUMIFS(Pipeline!K5:K24,Pipeline!O5:O24,E19)</f>
        <v/>
      </c>
    </row>
    <row r="20">
      <c r="B20" s="14" t="inlineStr">
        <is>
          <t>Verhandlung</t>
        </is>
      </c>
      <c r="C20" s="15">
        <f>SUMIFS(Pipeline!I5:I24,Pipeline!G5:G24,B20)</f>
        <v/>
      </c>
      <c r="E20" s="14" t="inlineStr">
        <is>
          <t>N. Keller</t>
        </is>
      </c>
      <c r="F20" s="15">
        <f>SUMIFS(Pipeline!K5:K24,Pipeline!O5:O24,E20)</f>
        <v/>
      </c>
    </row>
    <row r="21">
      <c r="B21" s="14" t="inlineStr">
        <is>
          <t>Gewonnen</t>
        </is>
      </c>
      <c r="C21" s="15">
        <f>SUMIFS(Pipeline!I5:I24,Pipeline!G5:G24,B21)</f>
        <v/>
      </c>
      <c r="E21" s="14" t="inlineStr">
        <is>
          <t>A. Favre</t>
        </is>
      </c>
      <c r="F21" s="15">
        <f>SUMIFS(Pipeline!K5:K24,Pipeline!O5:O24,E21)</f>
        <v/>
      </c>
    </row>
    <row r="22">
      <c r="B22" s="14" t="inlineStr">
        <is>
          <t>Verloren</t>
        </is>
      </c>
      <c r="C22" s="15">
        <f>SUMIFS(Pipeline!I5:I24,Pipeline!G5:G24,B22)</f>
        <v/>
      </c>
    </row>
  </sheetData>
  <mergeCells count="15">
    <mergeCell ref="D6:E6"/>
    <mergeCell ref="B6:C6"/>
    <mergeCell ref="D10:E10"/>
    <mergeCell ref="F10:G10"/>
    <mergeCell ref="B5:C5"/>
    <mergeCell ref="B4:H4"/>
    <mergeCell ref="F5:G5"/>
    <mergeCell ref="D5:E5"/>
    <mergeCell ref="B10:C10"/>
    <mergeCell ref="B2:H2"/>
    <mergeCell ref="F6:G6"/>
    <mergeCell ref="B9:C9"/>
    <mergeCell ref="B3:H3"/>
    <mergeCell ref="D9:E9"/>
    <mergeCell ref="F9:G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2" customWidth="1" min="4" max="4"/>
    <col width="15" customWidth="1" min="5" max="5"/>
    <col width="22" customWidth="1" min="6" max="6"/>
    <col width="14" customWidth="1" min="7" max="7"/>
    <col width="11" customWidth="1" min="8" max="8"/>
    <col width="15" customWidth="1" min="9" max="9"/>
    <col width="11" customWidth="1" min="10" max="10"/>
    <col width="16" customWidth="1" min="11" max="11"/>
    <col width="13" customWidth="1" min="12" max="12"/>
    <col width="14" customWidth="1" min="13" max="13"/>
    <col width="15" customWidth="1" min="14" max="14"/>
    <col width="15" customWidth="1" min="15" max="15"/>
    <col width="26" customWidth="1" min="16" max="16"/>
    <col width="8" customWidth="1" min="17" max="17"/>
  </cols>
  <sheetData>
    <row r="1" ht="30" customHeight="1">
      <c r="A1" s="16" t="inlineStr">
        <is>
          <t>VERTRIEBS-PIPELINE  ·  AVIA VOLT Suisse</t>
        </is>
      </c>
    </row>
    <row r="2" ht="16" customHeight="1">
      <c r="A2" s="17" t="inlineStr">
        <is>
          <t>Tipp: Filtern über die Pfeile in der Kopfzeile · Phase/Priorität/Region per Dropdown · Wahrscheinlichkeit, gewichteter Wert, Tage bis Abschluss &amp; Ampel rechnen automatisch.</t>
        </is>
      </c>
    </row>
    <row r="4" ht="26" customHeight="1">
      <c r="A4" s="18" t="inlineStr">
        <is>
          <t>Deal-ID</t>
        </is>
      </c>
      <c r="B4" s="18" t="inlineStr">
        <is>
          <t>Firma</t>
        </is>
      </c>
      <c r="C4" s="18" t="inlineStr">
        <is>
          <t>Ansprechpartner</t>
        </is>
      </c>
      <c r="D4" s="18" t="inlineStr">
        <is>
          <t>Region</t>
        </is>
      </c>
      <c r="E4" s="18" t="inlineStr">
        <is>
          <t>Branche</t>
        </is>
      </c>
      <c r="F4" s="18" t="inlineStr">
        <is>
          <t>Produkt / Lösung</t>
        </is>
      </c>
      <c r="G4" s="18" t="inlineStr">
        <is>
          <t>Phase</t>
        </is>
      </c>
      <c r="H4" s="18" t="inlineStr">
        <is>
          <t>Priorität</t>
        </is>
      </c>
      <c r="I4" s="18" t="inlineStr">
        <is>
          <t>Volumen (CHF)</t>
        </is>
      </c>
      <c r="J4" s="18" t="inlineStr">
        <is>
          <t>Wahrsch. %</t>
        </is>
      </c>
      <c r="K4" s="18" t="inlineStr">
        <is>
          <t>Gew. Wert (CHF)</t>
        </is>
      </c>
      <c r="L4" s="18" t="inlineStr">
        <is>
          <t>Erstkontakt</t>
        </is>
      </c>
      <c r="M4" s="18" t="inlineStr">
        <is>
          <t>Erw. Abschluss</t>
        </is>
      </c>
      <c r="N4" s="18" t="inlineStr">
        <is>
          <t>Tage bis Abschl.</t>
        </is>
      </c>
      <c r="O4" s="18" t="inlineStr">
        <is>
          <t>Verantwortlich</t>
        </is>
      </c>
      <c r="P4" s="18" t="inlineStr">
        <is>
          <t>Nächster Schritt</t>
        </is>
      </c>
      <c r="Q4" s="18" t="inlineStr">
        <is>
          <t>Ampel</t>
        </is>
      </c>
    </row>
    <row r="5" ht="20" customHeight="1">
      <c r="A5" s="19" t="inlineStr">
        <is>
          <t>D-1001</t>
        </is>
      </c>
      <c r="B5" s="19" t="inlineStr">
        <is>
          <t>Migros Ostschweiz</t>
        </is>
      </c>
      <c r="C5" s="19" t="inlineStr">
        <is>
          <t>R. Brunner</t>
        </is>
      </c>
      <c r="D5" s="19" t="inlineStr">
        <is>
          <t>St. Gallen</t>
        </is>
      </c>
      <c r="E5" s="19" t="inlineStr">
        <is>
          <t>Detailhandel</t>
        </is>
      </c>
      <c r="F5" s="19" t="inlineStr">
        <is>
          <t>DC-HPC 150 kW</t>
        </is>
      </c>
      <c r="G5" s="19" t="inlineStr">
        <is>
          <t>Verhandlung</t>
        </is>
      </c>
      <c r="H5" s="19" t="inlineStr">
        <is>
          <t>Hoch</t>
        </is>
      </c>
      <c r="I5" s="20" t="n">
        <v>340000</v>
      </c>
      <c r="J5" s="21">
        <f>IFERROR(XLOOKUP(G5,Listen!$A$5:$A$10,Listen!$B$5:$B$10),VLOOKUP(G5,Listen!$A$5:$B$10,2,FALSE))</f>
        <v/>
      </c>
      <c r="K5" s="20">
        <f>I5*J5</f>
        <v/>
      </c>
      <c r="L5" s="22" t="n">
        <v>46154</v>
      </c>
      <c r="M5" s="22" t="n">
        <v>46230</v>
      </c>
      <c r="N5" s="23">
        <f>IF(OR(G5="Gewonnen",G5="Verloren"),"—",M5-TODAY())</f>
        <v/>
      </c>
      <c r="O5" s="19" t="inlineStr">
        <is>
          <t>Burak Ücöz</t>
        </is>
      </c>
      <c r="P5" s="19" t="inlineStr">
        <is>
          <t>Vertrag final abstimmen</t>
        </is>
      </c>
      <c r="Q5" s="24">
        <f>IF(G5="Gewonnen","✅",IF(G5="Verloren","⬛",IF(N5&lt;=14,"🔴",IF(N5&lt;=45,"🟡","🟢"))))</f>
        <v/>
      </c>
    </row>
    <row r="6" ht="20" customHeight="1">
      <c r="A6" s="25" t="inlineStr">
        <is>
          <t>D-1002</t>
        </is>
      </c>
      <c r="B6" s="25" t="inlineStr">
        <is>
          <t>Planzer Transport</t>
        </is>
      </c>
      <c r="C6" s="25" t="inlineStr">
        <is>
          <t>M. Planzer</t>
        </is>
      </c>
      <c r="D6" s="25" t="inlineStr">
        <is>
          <t>Zürich</t>
        </is>
      </c>
      <c r="E6" s="25" t="inlineStr">
        <is>
          <t>Logistik</t>
        </is>
      </c>
      <c r="F6" s="25" t="inlineStr">
        <is>
          <t>Lastmanagement-System</t>
        </is>
      </c>
      <c r="G6" s="25" t="inlineStr">
        <is>
          <t>Angebot</t>
        </is>
      </c>
      <c r="H6" s="25" t="inlineStr">
        <is>
          <t>Hoch</t>
        </is>
      </c>
      <c r="I6" s="26" t="n">
        <v>210000</v>
      </c>
      <c r="J6" s="27">
        <f>IFERROR(XLOOKUP(G6,Listen!$A$5:$A$10,Listen!$B$5:$B$10),VLOOKUP(G6,Listen!$A$5:$B$10,2,FALSE))</f>
        <v/>
      </c>
      <c r="K6" s="26">
        <f>I6*J6</f>
        <v/>
      </c>
      <c r="L6" s="28" t="n">
        <v>46175</v>
      </c>
      <c r="M6" s="28" t="n">
        <v>46244</v>
      </c>
      <c r="N6" s="29">
        <f>IF(OR(G6="Gewonnen",G6="Verloren"),"—",M6-TODAY())</f>
        <v/>
      </c>
      <c r="O6" s="25" t="inlineStr">
        <is>
          <t>Burak Ücöz</t>
        </is>
      </c>
      <c r="P6" s="25" t="inlineStr">
        <is>
          <t>Angebot nachfassen</t>
        </is>
      </c>
      <c r="Q6" s="30">
        <f>IF(G6="Gewonnen","✅",IF(G6="Verloren","⬛",IF(N6&lt;=14,"🔴",IF(N6&lt;=45,"🟡","🟢"))))</f>
        <v/>
      </c>
    </row>
    <row r="7" ht="20" customHeight="1">
      <c r="A7" s="19" t="inlineStr">
        <is>
          <t>D-1003</t>
        </is>
      </c>
      <c r="B7" s="19" t="inlineStr">
        <is>
          <t>SBB Immobilien</t>
        </is>
      </c>
      <c r="C7" s="19" t="inlineStr">
        <is>
          <t>C. Wyss</t>
        </is>
      </c>
      <c r="D7" s="19" t="inlineStr">
        <is>
          <t>Bern</t>
        </is>
      </c>
      <c r="E7" s="19" t="inlineStr">
        <is>
          <t>Immobilien</t>
        </is>
      </c>
      <c r="F7" s="19" t="inlineStr">
        <is>
          <t>DC-Schnelllader 60 kW</t>
        </is>
      </c>
      <c r="G7" s="19" t="inlineStr">
        <is>
          <t>Qualifiziert</t>
        </is>
      </c>
      <c r="H7" s="19" t="inlineStr">
        <is>
          <t>Hoch</t>
        </is>
      </c>
      <c r="I7" s="20" t="n">
        <v>480000</v>
      </c>
      <c r="J7" s="21">
        <f>IFERROR(XLOOKUP(G7,Listen!$A$5:$A$10,Listen!$B$5:$B$10),VLOOKUP(G7,Listen!$A$5:$B$10,2,FALSE))</f>
        <v/>
      </c>
      <c r="K7" s="20">
        <f>I7*J7</f>
        <v/>
      </c>
      <c r="L7" s="22" t="n">
        <v>46188</v>
      </c>
      <c r="M7" s="22" t="n">
        <v>46281</v>
      </c>
      <c r="N7" s="23">
        <f>IF(OR(G7="Gewonnen",G7="Verloren"),"—",M7-TODAY())</f>
        <v/>
      </c>
      <c r="O7" s="19" t="inlineStr">
        <is>
          <t>S. Meier</t>
        </is>
      </c>
      <c r="P7" s="19" t="inlineStr">
        <is>
          <t>Standort-Audit terminieren</t>
        </is>
      </c>
      <c r="Q7" s="24">
        <f>IF(G7="Gewonnen","✅",IF(G7="Verloren","⬛",IF(N7&lt;=14,"🔴",IF(N7&lt;=45,"🟡","🟢"))))</f>
        <v/>
      </c>
    </row>
    <row r="8" ht="20" customHeight="1">
      <c r="A8" s="25" t="inlineStr">
        <is>
          <t>D-1004</t>
        </is>
      </c>
      <c r="B8" s="25" t="inlineStr">
        <is>
          <t>Coop Mineraloel</t>
        </is>
      </c>
      <c r="C8" s="25" t="inlineStr">
        <is>
          <t>T. Frei</t>
        </is>
      </c>
      <c r="D8" s="25" t="inlineStr">
        <is>
          <t>Aargau</t>
        </is>
      </c>
      <c r="E8" s="25" t="inlineStr">
        <is>
          <t>Tankstellen</t>
        </is>
      </c>
      <c r="F8" s="25" t="inlineStr">
        <is>
          <t>DC-HPC 150 kW</t>
        </is>
      </c>
      <c r="G8" s="25" t="inlineStr">
        <is>
          <t>Verhandlung</t>
        </is>
      </c>
      <c r="H8" s="25" t="inlineStr">
        <is>
          <t>Hoch</t>
        </is>
      </c>
      <c r="I8" s="26" t="n">
        <v>620000</v>
      </c>
      <c r="J8" s="27">
        <f>IFERROR(XLOOKUP(G8,Listen!$A$5:$A$10,Listen!$B$5:$B$10),VLOOKUP(G8,Listen!$A$5:$B$10,2,FALSE))</f>
        <v/>
      </c>
      <c r="K8" s="26">
        <f>I8*J8</f>
        <v/>
      </c>
      <c r="L8" s="28" t="n">
        <v>46142</v>
      </c>
      <c r="M8" s="28" t="n">
        <v>46221</v>
      </c>
      <c r="N8" s="29">
        <f>IF(OR(G8="Gewonnen",G8="Verloren"),"—",M8-TODAY())</f>
        <v/>
      </c>
      <c r="O8" s="25" t="inlineStr">
        <is>
          <t>Burak Ücöz</t>
        </is>
      </c>
      <c r="P8" s="25" t="inlineStr">
        <is>
          <t>Preisstaffel bestätigen</t>
        </is>
      </c>
      <c r="Q8" s="30">
        <f>IF(G8="Gewonnen","✅",IF(G8="Verloren","⬛",IF(N8&lt;=14,"🔴",IF(N8&lt;=45,"🟡","🟢"))))</f>
        <v/>
      </c>
    </row>
    <row r="9" ht="20" customHeight="1">
      <c r="A9" s="19" t="inlineStr">
        <is>
          <t>D-1005</t>
        </is>
      </c>
      <c r="B9" s="19" t="inlineStr">
        <is>
          <t>Hotel Belvédère</t>
        </is>
      </c>
      <c r="C9" s="19" t="inlineStr">
        <is>
          <t>G. Rossi</t>
        </is>
      </c>
      <c r="D9" s="19" t="inlineStr">
        <is>
          <t>Wallis</t>
        </is>
      </c>
      <c r="E9" s="19" t="inlineStr">
        <is>
          <t>Hotellerie</t>
        </is>
      </c>
      <c r="F9" s="19" t="inlineStr">
        <is>
          <t>AC-Ladestation 22 kW</t>
        </is>
      </c>
      <c r="G9" s="19" t="inlineStr">
        <is>
          <t>Angebot</t>
        </is>
      </c>
      <c r="H9" s="19" t="inlineStr">
        <is>
          <t>Mittel</t>
        </is>
      </c>
      <c r="I9" s="20" t="n">
        <v>48000</v>
      </c>
      <c r="J9" s="21">
        <f>IFERROR(XLOOKUP(G9,Listen!$A$5:$A$10,Listen!$B$5:$B$10),VLOOKUP(G9,Listen!$A$5:$B$10,2,FALSE))</f>
        <v/>
      </c>
      <c r="K9" s="20">
        <f>I9*J9</f>
        <v/>
      </c>
      <c r="L9" s="22" t="n">
        <v>46184</v>
      </c>
      <c r="M9" s="22" t="n">
        <v>46236</v>
      </c>
      <c r="N9" s="23">
        <f>IF(OR(G9="Gewonnen",G9="Verloren"),"—",M9-TODAY())</f>
        <v/>
      </c>
      <c r="O9" s="19" t="inlineStr">
        <is>
          <t>L. Rossi</t>
        </is>
      </c>
      <c r="P9" s="19" t="inlineStr">
        <is>
          <t>Referenzbesuch anbieten</t>
        </is>
      </c>
      <c r="Q9" s="24">
        <f>IF(G9="Gewonnen","✅",IF(G9="Verloren","⬛",IF(N9&lt;=14,"🔴",IF(N9&lt;=45,"🟡","🟢"))))</f>
        <v/>
      </c>
    </row>
    <row r="10" ht="20" customHeight="1">
      <c r="A10" s="25" t="inlineStr">
        <is>
          <t>D-1006</t>
        </is>
      </c>
      <c r="B10" s="25" t="inlineStr">
        <is>
          <t>Stadt Zürich TAZ</t>
        </is>
      </c>
      <c r="C10" s="25" t="inlineStr">
        <is>
          <t>P. Huber</t>
        </is>
      </c>
      <c r="D10" s="25" t="inlineStr">
        <is>
          <t>Zürich</t>
        </is>
      </c>
      <c r="E10" s="25" t="inlineStr">
        <is>
          <t>Öffentliche Hand</t>
        </is>
      </c>
      <c r="F10" s="25" t="inlineStr">
        <is>
          <t>Full-Service Betrieb</t>
        </is>
      </c>
      <c r="G10" s="25" t="inlineStr">
        <is>
          <t>Qualifiziert</t>
        </is>
      </c>
      <c r="H10" s="25" t="inlineStr">
        <is>
          <t>Hoch</t>
        </is>
      </c>
      <c r="I10" s="26" t="n">
        <v>390000</v>
      </c>
      <c r="J10" s="27">
        <f>IFERROR(XLOOKUP(G10,Listen!$A$5:$A$10,Listen!$B$5:$B$10),VLOOKUP(G10,Listen!$A$5:$B$10,2,FALSE))</f>
        <v/>
      </c>
      <c r="K10" s="26">
        <f>I10*J10</f>
        <v/>
      </c>
      <c r="L10" s="28" t="n">
        <v>46166</v>
      </c>
      <c r="M10" s="28" t="n">
        <v>46296</v>
      </c>
      <c r="N10" s="29">
        <f>IF(OR(G10="Gewonnen",G10="Verloren"),"—",M10-TODAY())</f>
        <v/>
      </c>
      <c r="O10" s="25" t="inlineStr">
        <is>
          <t>N. Keller</t>
        </is>
      </c>
      <c r="P10" s="25" t="inlineStr">
        <is>
          <t>Ausschreibungsunterlagen prüfen</t>
        </is>
      </c>
      <c r="Q10" s="30">
        <f>IF(G10="Gewonnen","✅",IF(G10="Verloren","⬛",IF(N10&lt;=14,"🔴",IF(N10&lt;=45,"🟡","🟢"))))</f>
        <v/>
      </c>
    </row>
    <row r="11" ht="20" customHeight="1">
      <c r="A11" s="19" t="inlineStr">
        <is>
          <t>D-1007</t>
        </is>
      </c>
      <c r="B11" s="19" t="inlineStr">
        <is>
          <t>Emmi Gruppe</t>
        </is>
      </c>
      <c r="C11" s="19" t="inlineStr">
        <is>
          <t>D. Schmid</t>
        </is>
      </c>
      <c r="D11" s="19" t="inlineStr">
        <is>
          <t>Luzern</t>
        </is>
      </c>
      <c r="E11" s="19" t="inlineStr">
        <is>
          <t>Industrie</t>
        </is>
      </c>
      <c r="F11" s="19" t="inlineStr">
        <is>
          <t>PV + Speicher Kombi</t>
        </is>
      </c>
      <c r="G11" s="19" t="inlineStr">
        <is>
          <t>Lead</t>
        </is>
      </c>
      <c r="H11" s="19" t="inlineStr">
        <is>
          <t>Mittel</t>
        </is>
      </c>
      <c r="I11" s="20" t="n">
        <v>275000</v>
      </c>
      <c r="J11" s="21">
        <f>IFERROR(XLOOKUP(G11,Listen!$A$5:$A$10,Listen!$B$5:$B$10),VLOOKUP(G11,Listen!$A$5:$B$10,2,FALSE))</f>
        <v/>
      </c>
      <c r="K11" s="20">
        <f>I11*J11</f>
        <v/>
      </c>
      <c r="L11" s="22" t="n">
        <v>46200</v>
      </c>
      <c r="M11" s="22" t="n">
        <v>46326</v>
      </c>
      <c r="N11" s="23">
        <f>IF(OR(G11="Gewonnen",G11="Verloren"),"—",M11-TODAY())</f>
        <v/>
      </c>
      <c r="O11" s="19" t="inlineStr">
        <is>
          <t>S. Meier</t>
        </is>
      </c>
      <c r="P11" s="19" t="inlineStr">
        <is>
          <t>Erstgespräch vereinbaren</t>
        </is>
      </c>
      <c r="Q11" s="24">
        <f>IF(G11="Gewonnen","✅",IF(G11="Verloren","⬛",IF(N11&lt;=14,"🔴",IF(N11&lt;=45,"🟡","🟢"))))</f>
        <v/>
      </c>
    </row>
    <row r="12" ht="20" customHeight="1">
      <c r="A12" s="25" t="inlineStr">
        <is>
          <t>D-1008</t>
        </is>
      </c>
      <c r="B12" s="25" t="inlineStr">
        <is>
          <t>Groupe Mutuel</t>
        </is>
      </c>
      <c r="C12" s="25" t="inlineStr">
        <is>
          <t>J. Favre</t>
        </is>
      </c>
      <c r="D12" s="25" t="inlineStr">
        <is>
          <t>Waadt</t>
        </is>
      </c>
      <c r="E12" s="25" t="inlineStr">
        <is>
          <t>Immobilien</t>
        </is>
      </c>
      <c r="F12" s="25" t="inlineStr">
        <is>
          <t>AC-Ladestation 22 kW</t>
        </is>
      </c>
      <c r="G12" s="25" t="inlineStr">
        <is>
          <t>Angebot</t>
        </is>
      </c>
      <c r="H12" s="25" t="inlineStr">
        <is>
          <t>Mittel</t>
        </is>
      </c>
      <c r="I12" s="26" t="n">
        <v>96000</v>
      </c>
      <c r="J12" s="27">
        <f>IFERROR(XLOOKUP(G12,Listen!$A$5:$A$10,Listen!$B$5:$B$10),VLOOKUP(G12,Listen!$A$5:$B$10,2,FALSE))</f>
        <v/>
      </c>
      <c r="K12" s="26">
        <f>I12*J12</f>
        <v/>
      </c>
      <c r="L12" s="28" t="n">
        <v>46179</v>
      </c>
      <c r="M12" s="28" t="n">
        <v>46248</v>
      </c>
      <c r="N12" s="29">
        <f>IF(OR(G12="Gewonnen",G12="Verloren"),"—",M12-TODAY())</f>
        <v/>
      </c>
      <c r="O12" s="25" t="inlineStr">
        <is>
          <t>A. Favre</t>
        </is>
      </c>
      <c r="P12" s="25" t="inlineStr">
        <is>
          <t>Angebot v2 senden</t>
        </is>
      </c>
      <c r="Q12" s="30">
        <f>IF(G12="Gewonnen","✅",IF(G12="Verloren","⬛",IF(N12&lt;=14,"🔴",IF(N12&lt;=45,"🟡","🟢"))))</f>
        <v/>
      </c>
    </row>
    <row r="13" ht="20" customHeight="1">
      <c r="A13" s="19" t="inlineStr">
        <is>
          <t>D-1009</t>
        </is>
      </c>
      <c r="B13" s="19" t="inlineStr">
        <is>
          <t>Läderach</t>
        </is>
      </c>
      <c r="C13" s="19" t="inlineStr">
        <is>
          <t>S. Läderach</t>
        </is>
      </c>
      <c r="D13" s="19" t="inlineStr">
        <is>
          <t>Aargau</t>
        </is>
      </c>
      <c r="E13" s="19" t="inlineStr">
        <is>
          <t>Detailhandel</t>
        </is>
      </c>
      <c r="F13" s="19" t="inlineStr">
        <is>
          <t>AC-Ladestation 22 kW</t>
        </is>
      </c>
      <c r="G13" s="19" t="inlineStr">
        <is>
          <t>Gewonnen</t>
        </is>
      </c>
      <c r="H13" s="19" t="inlineStr">
        <is>
          <t>Mittel</t>
        </is>
      </c>
      <c r="I13" s="20" t="n">
        <v>62000</v>
      </c>
      <c r="J13" s="21">
        <f>IFERROR(XLOOKUP(G13,Listen!$A$5:$A$10,Listen!$B$5:$B$10),VLOOKUP(G13,Listen!$A$5:$B$10,2,FALSE))</f>
        <v/>
      </c>
      <c r="K13" s="20">
        <f>I13*J13</f>
        <v/>
      </c>
      <c r="L13" s="22" t="n">
        <v>46118</v>
      </c>
      <c r="M13" s="22" t="n">
        <v>46202</v>
      </c>
      <c r="N13" s="23">
        <f>IF(OR(G13="Gewonnen",G13="Verloren"),"—",M13-TODAY())</f>
        <v/>
      </c>
      <c r="O13" s="19" t="inlineStr">
        <is>
          <t>Burak Ücöz</t>
        </is>
      </c>
      <c r="P13" s="19" t="inlineStr">
        <is>
          <t>Umsetzung übergeben</t>
        </is>
      </c>
      <c r="Q13" s="24">
        <f>IF(G13="Gewonnen","✅",IF(G13="Verloren","⬛",IF(N13&lt;=14,"🔴",IF(N13&lt;=45,"🟡","🟢"))))</f>
        <v/>
      </c>
    </row>
    <row r="14" ht="20" customHeight="1">
      <c r="A14" s="25" t="inlineStr">
        <is>
          <t>D-1010</t>
        </is>
      </c>
      <c r="B14" s="25" t="inlineStr">
        <is>
          <t>Post Fleet</t>
        </is>
      </c>
      <c r="C14" s="25" t="inlineStr">
        <is>
          <t>M. Berger</t>
        </is>
      </c>
      <c r="D14" s="25" t="inlineStr">
        <is>
          <t>Bern</t>
        </is>
      </c>
      <c r="E14" s="25" t="inlineStr">
        <is>
          <t>Flottenbetrieb</t>
        </is>
      </c>
      <c r="F14" s="25" t="inlineStr">
        <is>
          <t>Lastmanagement-System</t>
        </is>
      </c>
      <c r="G14" s="25" t="inlineStr">
        <is>
          <t>Verhandlung</t>
        </is>
      </c>
      <c r="H14" s="25" t="inlineStr">
        <is>
          <t>Hoch</t>
        </is>
      </c>
      <c r="I14" s="26" t="n">
        <v>540000</v>
      </c>
      <c r="J14" s="27">
        <f>IFERROR(XLOOKUP(G14,Listen!$A$5:$A$10,Listen!$B$5:$B$10),VLOOKUP(G14,Listen!$A$5:$B$10,2,FALSE))</f>
        <v/>
      </c>
      <c r="K14" s="26">
        <f>I14*J14</f>
        <v/>
      </c>
      <c r="L14" s="28" t="n">
        <v>46158</v>
      </c>
      <c r="M14" s="28" t="n">
        <v>46226</v>
      </c>
      <c r="N14" s="29">
        <f>IF(OR(G14="Gewonnen",G14="Verloren"),"—",M14-TODAY())</f>
        <v/>
      </c>
      <c r="O14" s="25" t="inlineStr">
        <is>
          <t>Burak Ücöz</t>
        </is>
      </c>
      <c r="P14" s="25" t="inlineStr">
        <is>
          <t>Rahmenvertrag verhandeln</t>
        </is>
      </c>
      <c r="Q14" s="30">
        <f>IF(G14="Gewonnen","✅",IF(G14="Verloren","⬛",IF(N14&lt;=14,"🔴",IF(N14&lt;=45,"🟡","🟢"))))</f>
        <v/>
      </c>
    </row>
    <row r="15" ht="20" customHeight="1">
      <c r="A15" s="19" t="inlineStr">
        <is>
          <t>D-1011</t>
        </is>
      </c>
      <c r="B15" s="19" t="inlineStr">
        <is>
          <t>TCS Genf</t>
        </is>
      </c>
      <c r="C15" s="19" t="inlineStr">
        <is>
          <t>F. Dubois</t>
        </is>
      </c>
      <c r="D15" s="19" t="inlineStr">
        <is>
          <t>Genf</t>
        </is>
      </c>
      <c r="E15" s="19" t="inlineStr">
        <is>
          <t>Öffentliche Hand</t>
        </is>
      </c>
      <c r="F15" s="19" t="inlineStr">
        <is>
          <t>DC-Schnelllader 60 kW</t>
        </is>
      </c>
      <c r="G15" s="19" t="inlineStr">
        <is>
          <t>Qualifiziert</t>
        </is>
      </c>
      <c r="H15" s="19" t="inlineStr">
        <is>
          <t>Mittel</t>
        </is>
      </c>
      <c r="I15" s="20" t="n">
        <v>180000</v>
      </c>
      <c r="J15" s="21">
        <f>IFERROR(XLOOKUP(G15,Listen!$A$5:$A$10,Listen!$B$5:$B$10),VLOOKUP(G15,Listen!$A$5:$B$10,2,FALSE))</f>
        <v/>
      </c>
      <c r="K15" s="20">
        <f>I15*J15</f>
        <v/>
      </c>
      <c r="L15" s="22" t="n">
        <v>46191</v>
      </c>
      <c r="M15" s="22" t="n">
        <v>46272</v>
      </c>
      <c r="N15" s="23">
        <f>IF(OR(G15="Gewonnen",G15="Verloren"),"—",M15-TODAY())</f>
        <v/>
      </c>
      <c r="O15" s="19" t="inlineStr">
        <is>
          <t>A. Favre</t>
        </is>
      </c>
      <c r="P15" s="19" t="inlineStr">
        <is>
          <t>Bedarf konkretisieren</t>
        </is>
      </c>
      <c r="Q15" s="24">
        <f>IF(G15="Gewonnen","✅",IF(G15="Verloren","⬛",IF(N15&lt;=14,"🔴",IF(N15&lt;=45,"🟡","🟢"))))</f>
        <v/>
      </c>
    </row>
    <row r="16" ht="20" customHeight="1">
      <c r="A16" s="25" t="inlineStr">
        <is>
          <t>D-1012</t>
        </is>
      </c>
      <c r="B16" s="25" t="inlineStr">
        <is>
          <t>IKEA Spreitenbach</t>
        </is>
      </c>
      <c r="C16" s="25" t="inlineStr">
        <is>
          <t>K. Nilsson</t>
        </is>
      </c>
      <c r="D16" s="25" t="inlineStr">
        <is>
          <t>Aargau</t>
        </is>
      </c>
      <c r="E16" s="25" t="inlineStr">
        <is>
          <t>Detailhandel</t>
        </is>
      </c>
      <c r="F16" s="25" t="inlineStr">
        <is>
          <t>DC-HPC 150 kW</t>
        </is>
      </c>
      <c r="G16" s="25" t="inlineStr">
        <is>
          <t>Angebot</t>
        </is>
      </c>
      <c r="H16" s="25" t="inlineStr">
        <is>
          <t>Hoch</t>
        </is>
      </c>
      <c r="I16" s="26" t="n">
        <v>410000</v>
      </c>
      <c r="J16" s="27">
        <f>IFERROR(XLOOKUP(G16,Listen!$A$5:$A$10,Listen!$B$5:$B$10),VLOOKUP(G16,Listen!$A$5:$B$10,2,FALSE))</f>
        <v/>
      </c>
      <c r="K16" s="26">
        <f>I16*J16</f>
        <v/>
      </c>
      <c r="L16" s="28" t="n">
        <v>46173</v>
      </c>
      <c r="M16" s="28" t="n">
        <v>46241</v>
      </c>
      <c r="N16" s="29">
        <f>IF(OR(G16="Gewonnen",G16="Verloren"),"—",M16-TODAY())</f>
        <v/>
      </c>
      <c r="O16" s="25" t="inlineStr">
        <is>
          <t>S. Meier</t>
        </is>
      </c>
      <c r="P16" s="25" t="inlineStr">
        <is>
          <t>Business-Case rechnen</t>
        </is>
      </c>
      <c r="Q16" s="30">
        <f>IF(G16="Gewonnen","✅",IF(G16="Verloren","⬛",IF(N16&lt;=14,"🔴",IF(N16&lt;=45,"🟡","🟢"))))</f>
        <v/>
      </c>
    </row>
    <row r="17" ht="20" customHeight="1">
      <c r="A17" s="19" t="inlineStr">
        <is>
          <t>D-1013</t>
        </is>
      </c>
      <c r="B17" s="19" t="inlineStr">
        <is>
          <t>Manor AG</t>
        </is>
      </c>
      <c r="C17" s="19" t="inlineStr">
        <is>
          <t>B. Keller</t>
        </is>
      </c>
      <c r="D17" s="19" t="inlineStr">
        <is>
          <t>Basel</t>
        </is>
      </c>
      <c r="E17" s="19" t="inlineStr">
        <is>
          <t>Detailhandel</t>
        </is>
      </c>
      <c r="F17" s="19" t="inlineStr">
        <is>
          <t>DC-Schnelllader 60 kW</t>
        </is>
      </c>
      <c r="G17" s="19" t="inlineStr">
        <is>
          <t>Lead</t>
        </is>
      </c>
      <c r="H17" s="19" t="inlineStr">
        <is>
          <t>Niedrig</t>
        </is>
      </c>
      <c r="I17" s="20" t="n">
        <v>150000</v>
      </c>
      <c r="J17" s="21">
        <f>IFERROR(XLOOKUP(G17,Listen!$A$5:$A$10,Listen!$B$5:$B$10),VLOOKUP(G17,Listen!$A$5:$B$10,2,FALSE))</f>
        <v/>
      </c>
      <c r="K17" s="20">
        <f>I17*J17</f>
        <v/>
      </c>
      <c r="L17" s="22" t="n">
        <v>46202</v>
      </c>
      <c r="M17" s="22" t="n">
        <v>46316</v>
      </c>
      <c r="N17" s="23">
        <f>IF(OR(G17="Gewonnen",G17="Verloren"),"—",M17-TODAY())</f>
        <v/>
      </c>
      <c r="O17" s="19" t="inlineStr">
        <is>
          <t>L. Rossi</t>
        </is>
      </c>
      <c r="P17" s="19" t="inlineStr">
        <is>
          <t>Entscheider identifizieren</t>
        </is>
      </c>
      <c r="Q17" s="24">
        <f>IF(G17="Gewonnen","✅",IF(G17="Verloren","⬛",IF(N17&lt;=14,"🔴",IF(N17&lt;=45,"🟡","🟢"))))</f>
        <v/>
      </c>
    </row>
    <row r="18" ht="20" customHeight="1">
      <c r="A18" s="25" t="inlineStr">
        <is>
          <t>D-1014</t>
        </is>
      </c>
      <c r="B18" s="25" t="inlineStr">
        <is>
          <t>Kambly SA</t>
        </is>
      </c>
      <c r="C18" s="25" t="inlineStr">
        <is>
          <t>E. Kambly</t>
        </is>
      </c>
      <c r="D18" s="25" t="inlineStr">
        <is>
          <t>Bern</t>
        </is>
      </c>
      <c r="E18" s="25" t="inlineStr">
        <is>
          <t>Industrie</t>
        </is>
      </c>
      <c r="F18" s="25" t="inlineStr">
        <is>
          <t>PV + Speicher Kombi</t>
        </is>
      </c>
      <c r="G18" s="25" t="inlineStr">
        <is>
          <t>Verloren</t>
        </is>
      </c>
      <c r="H18" s="25" t="inlineStr">
        <is>
          <t>Niedrig</t>
        </is>
      </c>
      <c r="I18" s="26" t="n">
        <v>88000</v>
      </c>
      <c r="J18" s="27">
        <f>IFERROR(XLOOKUP(G18,Listen!$A$5:$A$10,Listen!$B$5:$B$10),VLOOKUP(G18,Listen!$A$5:$B$10,2,FALSE))</f>
        <v/>
      </c>
      <c r="K18" s="26">
        <f>I18*J18</f>
        <v/>
      </c>
      <c r="L18" s="28" t="n">
        <v>46136</v>
      </c>
      <c r="M18" s="28" t="n">
        <v>46196</v>
      </c>
      <c r="N18" s="29">
        <f>IF(OR(G18="Gewonnen",G18="Verloren"),"—",M18-TODAY())</f>
        <v/>
      </c>
      <c r="O18" s="25" t="inlineStr">
        <is>
          <t>N. Keller</t>
        </is>
      </c>
      <c r="P18" s="25" t="inlineStr">
        <is>
          <t>Verloren an Wettbewerb</t>
        </is>
      </c>
      <c r="Q18" s="30">
        <f>IF(G18="Gewonnen","✅",IF(G18="Verloren","⬛",IF(N18&lt;=14,"🔴",IF(N18&lt;=45,"🟡","🟢"))))</f>
        <v/>
      </c>
    </row>
    <row r="19" ht="20" customHeight="1">
      <c r="A19" s="19" t="inlineStr">
        <is>
          <t>D-1015</t>
        </is>
      </c>
      <c r="B19" s="19" t="inlineStr">
        <is>
          <t>Autogrill Schweiz</t>
        </is>
      </c>
      <c r="C19" s="19" t="inlineStr">
        <is>
          <t>R. Conti</t>
        </is>
      </c>
      <c r="D19" s="19" t="inlineStr">
        <is>
          <t>Tessin</t>
        </is>
      </c>
      <c r="E19" s="19" t="inlineStr">
        <is>
          <t>Tankstellen</t>
        </is>
      </c>
      <c r="F19" s="19" t="inlineStr">
        <is>
          <t>DC-HPC 150 kW</t>
        </is>
      </c>
      <c r="G19" s="19" t="inlineStr">
        <is>
          <t>Angebot</t>
        </is>
      </c>
      <c r="H19" s="19" t="inlineStr">
        <is>
          <t>Hoch</t>
        </is>
      </c>
      <c r="I19" s="20" t="n">
        <v>355000</v>
      </c>
      <c r="J19" s="21">
        <f>IFERROR(XLOOKUP(G19,Listen!$A$5:$A$10,Listen!$B$5:$B$10),VLOOKUP(G19,Listen!$A$5:$B$10,2,FALSE))</f>
        <v/>
      </c>
      <c r="K19" s="20">
        <f>I19*J19</f>
        <v/>
      </c>
      <c r="L19" s="22" t="n">
        <v>46181</v>
      </c>
      <c r="M19" s="22" t="n">
        <v>46234</v>
      </c>
      <c r="N19" s="23">
        <f>IF(OR(G19="Gewonnen",G19="Verloren"),"—",M19-TODAY())</f>
        <v/>
      </c>
      <c r="O19" s="19" t="inlineStr">
        <is>
          <t>Burak Ücöz</t>
        </is>
      </c>
      <c r="P19" s="19" t="inlineStr">
        <is>
          <t>Termin CFO fixieren</t>
        </is>
      </c>
      <c r="Q19" s="24">
        <f>IF(G19="Gewonnen","✅",IF(G19="Verloren","⬛",IF(N19&lt;=14,"🔴",IF(N19&lt;=45,"🟡","🟢"))))</f>
        <v/>
      </c>
    </row>
    <row r="20" ht="20" customHeight="1">
      <c r="A20" s="25" t="inlineStr">
        <is>
          <t>D-1016</t>
        </is>
      </c>
      <c r="B20" s="25" t="inlineStr">
        <is>
          <t>Bucherer</t>
        </is>
      </c>
      <c r="C20" s="25" t="inlineStr">
        <is>
          <t>V. Huber</t>
        </is>
      </c>
      <c r="D20" s="25" t="inlineStr">
        <is>
          <t>Luzern</t>
        </is>
      </c>
      <c r="E20" s="25" t="inlineStr">
        <is>
          <t>Detailhandel</t>
        </is>
      </c>
      <c r="F20" s="25" t="inlineStr">
        <is>
          <t>AC-Ladestation 22 kW</t>
        </is>
      </c>
      <c r="G20" s="25" t="inlineStr">
        <is>
          <t>Gewonnen</t>
        </is>
      </c>
      <c r="H20" s="25" t="inlineStr">
        <is>
          <t>Mittel</t>
        </is>
      </c>
      <c r="I20" s="26" t="n">
        <v>54000</v>
      </c>
      <c r="J20" s="27">
        <f>IFERROR(XLOOKUP(G20,Listen!$A$5:$A$10,Listen!$B$5:$B$10),VLOOKUP(G20,Listen!$A$5:$B$10,2,FALSE))</f>
        <v/>
      </c>
      <c r="K20" s="26">
        <f>I20*J20</f>
        <v/>
      </c>
      <c r="L20" s="28" t="n">
        <v>46111</v>
      </c>
      <c r="M20" s="28" t="n">
        <v>46186</v>
      </c>
      <c r="N20" s="29">
        <f>IF(OR(G20="Gewonnen",G20="Verloren"),"—",M20-TODAY())</f>
        <v/>
      </c>
      <c r="O20" s="25" t="inlineStr">
        <is>
          <t>L. Rossi</t>
        </is>
      </c>
      <c r="P20" s="25" t="inlineStr">
        <is>
          <t>Umsetzung läuft</t>
        </is>
      </c>
      <c r="Q20" s="30">
        <f>IF(G20="Gewonnen","✅",IF(G20="Verloren","⬛",IF(N20&lt;=14,"🔴",IF(N20&lt;=45,"🟡","🟢"))))</f>
        <v/>
      </c>
    </row>
    <row r="21" ht="20" customHeight="1">
      <c r="A21" s="19" t="inlineStr">
        <is>
          <t>D-1017</t>
        </is>
      </c>
      <c r="B21" s="19" t="inlineStr">
        <is>
          <t>Denner AG</t>
        </is>
      </c>
      <c r="C21" s="19" t="inlineStr">
        <is>
          <t>H. Müller</t>
        </is>
      </c>
      <c r="D21" s="19" t="inlineStr">
        <is>
          <t>Zürich</t>
        </is>
      </c>
      <c r="E21" s="19" t="inlineStr">
        <is>
          <t>Detailhandel</t>
        </is>
      </c>
      <c r="F21" s="19" t="inlineStr">
        <is>
          <t>Lastmanagement-System</t>
        </is>
      </c>
      <c r="G21" s="19" t="inlineStr">
        <is>
          <t>Qualifiziert</t>
        </is>
      </c>
      <c r="H21" s="19" t="inlineStr">
        <is>
          <t>Mittel</t>
        </is>
      </c>
      <c r="I21" s="20" t="n">
        <v>230000</v>
      </c>
      <c r="J21" s="21">
        <f>IFERROR(XLOOKUP(G21,Listen!$A$5:$A$10,Listen!$B$5:$B$10),VLOOKUP(G21,Listen!$A$5:$B$10,2,FALSE))</f>
        <v/>
      </c>
      <c r="K21" s="20">
        <f>I21*J21</f>
        <v/>
      </c>
      <c r="L21" s="22" t="n">
        <v>46194</v>
      </c>
      <c r="M21" s="22" t="n">
        <v>46276</v>
      </c>
      <c r="N21" s="23">
        <f>IF(OR(G21="Gewonnen",G21="Verloren"),"—",M21-TODAY())</f>
        <v/>
      </c>
      <c r="O21" s="19" t="inlineStr">
        <is>
          <t>S. Meier</t>
        </is>
      </c>
      <c r="P21" s="19" t="inlineStr">
        <is>
          <t>Standortliste anfordern</t>
        </is>
      </c>
      <c r="Q21" s="24">
        <f>IF(G21="Gewonnen","✅",IF(G21="Verloren","⬛",IF(N21&lt;=14,"🔴",IF(N21&lt;=45,"🟡","🟢"))))</f>
        <v/>
      </c>
    </row>
    <row r="22" ht="20" customHeight="1">
      <c r="A22" s="25" t="inlineStr">
        <is>
          <t>D-1018</t>
        </is>
      </c>
      <c r="B22" s="25" t="inlineStr">
        <is>
          <t>Flughafen Genf</t>
        </is>
      </c>
      <c r="C22" s="25" t="inlineStr">
        <is>
          <t>P. Girard</t>
        </is>
      </c>
      <c r="D22" s="25" t="inlineStr">
        <is>
          <t>Genf</t>
        </is>
      </c>
      <c r="E22" s="25" t="inlineStr">
        <is>
          <t>Öffentliche Hand</t>
        </is>
      </c>
      <c r="F22" s="25" t="inlineStr">
        <is>
          <t>DC-HPC 150 kW</t>
        </is>
      </c>
      <c r="G22" s="25" t="inlineStr">
        <is>
          <t>Verhandlung</t>
        </is>
      </c>
      <c r="H22" s="25" t="inlineStr">
        <is>
          <t>Hoch</t>
        </is>
      </c>
      <c r="I22" s="26" t="n">
        <v>780000</v>
      </c>
      <c r="J22" s="27">
        <f>IFERROR(XLOOKUP(G22,Listen!$A$5:$A$10,Listen!$B$5:$B$10),VLOOKUP(G22,Listen!$A$5:$B$10,2,FALSE))</f>
        <v/>
      </c>
      <c r="K22" s="26">
        <f>I22*J22</f>
        <v/>
      </c>
      <c r="L22" s="28" t="n">
        <v>46148</v>
      </c>
      <c r="M22" s="28" t="n">
        <v>46224</v>
      </c>
      <c r="N22" s="29">
        <f>IF(OR(G22="Gewonnen",G22="Verloren"),"—",M22-TODAY())</f>
        <v/>
      </c>
      <c r="O22" s="25" t="inlineStr">
        <is>
          <t>Burak Ücöz</t>
        </is>
      </c>
      <c r="P22" s="25" t="inlineStr">
        <is>
          <t>Vertragsentwurf senden</t>
        </is>
      </c>
      <c r="Q22" s="30">
        <f>IF(G22="Gewonnen","✅",IF(G22="Verloren","⬛",IF(N22&lt;=14,"🔴",IF(N22&lt;=45,"🟡","🟢"))))</f>
        <v/>
      </c>
    </row>
    <row r="23" ht="20" customHeight="1">
      <c r="A23" s="19" t="inlineStr">
        <is>
          <t>D-1019</t>
        </is>
      </c>
      <c r="B23" s="19" t="inlineStr">
        <is>
          <t>Valora / avec</t>
        </is>
      </c>
      <c r="C23" s="19" t="inlineStr">
        <is>
          <t>N. Weber</t>
        </is>
      </c>
      <c r="D23" s="19" t="inlineStr">
        <is>
          <t>St. Gallen</t>
        </is>
      </c>
      <c r="E23" s="19" t="inlineStr">
        <is>
          <t>Detailhandel</t>
        </is>
      </c>
      <c r="F23" s="19" t="inlineStr">
        <is>
          <t>AC-Ladestation 22 kW</t>
        </is>
      </c>
      <c r="G23" s="19" t="inlineStr">
        <is>
          <t>Lead</t>
        </is>
      </c>
      <c r="H23" s="19" t="inlineStr">
        <is>
          <t>Niedrig</t>
        </is>
      </c>
      <c r="I23" s="20" t="n">
        <v>72000</v>
      </c>
      <c r="J23" s="21">
        <f>IFERROR(XLOOKUP(G23,Listen!$A$5:$A$10,Listen!$B$5:$B$10),VLOOKUP(G23,Listen!$A$5:$B$10,2,FALSE))</f>
        <v/>
      </c>
      <c r="K23" s="20">
        <f>I23*J23</f>
        <v/>
      </c>
      <c r="L23" s="22" t="n">
        <v>46203</v>
      </c>
      <c r="M23" s="22" t="n">
        <v>46306</v>
      </c>
      <c r="N23" s="23">
        <f>IF(OR(G23="Gewonnen",G23="Verloren"),"—",M23-TODAY())</f>
        <v/>
      </c>
      <c r="O23" s="19" t="inlineStr">
        <is>
          <t>A. Favre</t>
        </is>
      </c>
      <c r="P23" s="19" t="inlineStr">
        <is>
          <t>Bedarf klären</t>
        </is>
      </c>
      <c r="Q23" s="24">
        <f>IF(G23="Gewonnen","✅",IF(G23="Verloren","⬛",IF(N23&lt;=14,"🔴",IF(N23&lt;=45,"🟡","🟢"))))</f>
        <v/>
      </c>
    </row>
    <row r="24" ht="20" customHeight="1">
      <c r="A24" s="25" t="inlineStr">
        <is>
          <t>D-1020</t>
        </is>
      </c>
      <c r="B24" s="25" t="inlineStr">
        <is>
          <t>Aldi Suisse</t>
        </is>
      </c>
      <c r="C24" s="25" t="inlineStr">
        <is>
          <t>M. Fischer</t>
        </is>
      </c>
      <c r="D24" s="25" t="inlineStr">
        <is>
          <t>Aargau</t>
        </is>
      </c>
      <c r="E24" s="25" t="inlineStr">
        <is>
          <t>Detailhandel</t>
        </is>
      </c>
      <c r="F24" s="25" t="inlineStr">
        <is>
          <t>DC-Schnelllader 60 kW</t>
        </is>
      </c>
      <c r="G24" s="25" t="inlineStr">
        <is>
          <t>Angebot</t>
        </is>
      </c>
      <c r="H24" s="25" t="inlineStr">
        <is>
          <t>Hoch</t>
        </is>
      </c>
      <c r="I24" s="26" t="n">
        <v>445000</v>
      </c>
      <c r="J24" s="27">
        <f>IFERROR(XLOOKUP(G24,Listen!$A$5:$A$10,Listen!$B$5:$B$10),VLOOKUP(G24,Listen!$A$5:$B$10,2,FALSE))</f>
        <v/>
      </c>
      <c r="K24" s="26">
        <f>I24*J24</f>
        <v/>
      </c>
      <c r="L24" s="28" t="n">
        <v>46177</v>
      </c>
      <c r="M24" s="28" t="n">
        <v>46246</v>
      </c>
      <c r="N24" s="29">
        <f>IF(OR(G24="Gewonnen",G24="Verloren"),"—",M24-TODAY())</f>
        <v/>
      </c>
      <c r="O24" s="25" t="inlineStr">
        <is>
          <t>Burak Ücöz</t>
        </is>
      </c>
      <c r="P24" s="25" t="inlineStr">
        <is>
          <t>Pilotstandort definieren</t>
        </is>
      </c>
      <c r="Q24" s="30">
        <f>IF(G24="Gewonnen","✅",IF(G24="Verloren","⬛",IF(N24&lt;=14,"🔴",IF(N24&lt;=45,"🟡","🟢"))))</f>
        <v/>
      </c>
    </row>
    <row r="25" ht="22" customHeight="1">
      <c r="B25" s="31" t="inlineStr">
        <is>
          <t>Σ Summe / Forecast</t>
        </is>
      </c>
      <c r="I25" s="32">
        <f>SUBTOTAL(109,I5:I24)</f>
        <v/>
      </c>
      <c r="K25" s="32">
        <f>SUBTOTAL(109,K5:K24)</f>
        <v/>
      </c>
    </row>
  </sheetData>
  <mergeCells count="2">
    <mergeCell ref="A2:Q2"/>
    <mergeCell ref="A1:Q1"/>
  </mergeCells>
  <conditionalFormatting sqref="I5:I24">
    <cfRule type="colorScale" priority="1">
      <colorScale>
        <cfvo type="min"/>
        <cfvo type="percentile" val="50"/>
        <cfvo type="max"/>
        <color rgb="00FDE7E9"/>
        <color rgb="00FBD5A5"/>
        <color rgb="00C6E7D0"/>
      </colorScale>
    </cfRule>
  </conditionalFormatting>
  <conditionalFormatting sqref="H5:H24">
    <cfRule type="cellIs" priority="2" operator="equal" dxfId="0">
      <formula>"Hoch"</formula>
    </cfRule>
  </conditionalFormatting>
  <conditionalFormatting sqref="G5:G24">
    <cfRule type="cellIs" priority="3" operator="equal" dxfId="1">
      <formula>"Gewonnen"</formula>
    </cfRule>
    <cfRule type="cellIs" priority="4" operator="equal" dxfId="2">
      <formula>"Verloren"</formula>
    </cfRule>
  </conditionalFormatting>
  <dataValidations count="6">
    <dataValidation sqref="G5:G24" showDropDown="0" showInputMessage="0" showErrorMessage="0" allowBlank="1" errorTitle="Ungültige Eingabe" error="Bitte einen Wert aus der Liste wählen." prompt="Aus Dropdown wählen" type="list">
      <formula1>=Listen!$I$5:$I$10</formula1>
    </dataValidation>
    <dataValidation sqref="H5:H24" showDropDown="0" showInputMessage="0" showErrorMessage="0" allowBlank="1" errorTitle="Ungültige Eingabe" error="Bitte einen Wert aus der Liste wählen." prompt="Aus Dropdown wählen" type="list">
      <formula1>=Listen!$D$5:$D$7</formula1>
    </dataValidation>
    <dataValidation sqref="D5:D24" showDropDown="0" showInputMessage="0" showErrorMessage="0" allowBlank="1" errorTitle="Ungültige Eingabe" error="Bitte einen Wert aus der Liste wählen." prompt="Aus Dropdown wählen" type="list">
      <formula1>=Listen!$E$5:$E$14</formula1>
    </dataValidation>
    <dataValidation sqref="E5:E24" showDropDown="0" showInputMessage="0" showErrorMessage="0" allowBlank="1" errorTitle="Ungültige Eingabe" error="Bitte einen Wert aus der Liste wählen." prompt="Aus Dropdown wählen" type="list">
      <formula1>=Listen!$F$5:$F$12</formula1>
    </dataValidation>
    <dataValidation sqref="F5:F24" showDropDown="0" showInputMessage="0" showErrorMessage="0" allowBlank="1" errorTitle="Ungültige Eingabe" error="Bitte einen Wert aus der Liste wählen." prompt="Aus Dropdown wählen" type="list">
      <formula1>=Listen!$G$5:$G$10</formula1>
    </dataValidation>
    <dataValidation sqref="O5:O24" showDropDown="0" showInputMessage="0" showErrorMessage="0" allowBlank="1" errorTitle="Ungültige Eingabe" error="Bitte einen Wert aus der Liste wählen." prompt="Aus Dropdown wählen" type="list">
      <formula1>=Listen!$H$5:$H$9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2">
      <c r="B2" s="33" t="inlineStr">
        <is>
          <t>LIVE-DATEN  ·  Online-Abruf per Knopfdruck</t>
        </is>
      </c>
    </row>
    <row r="3">
      <c r="B3" s="34" t="inlineStr">
        <is>
          <t>Aktuelle CHF-Wechselkurse &amp; frei konfigurierbare Datenbank-Anbindung. Aktualisieren mit  Daten ▸ Alle aktualisieren  (Strg+Alt+F5).</t>
        </is>
      </c>
    </row>
    <row r="5" ht="30" customHeight="1">
      <c r="B5" s="35" t="inlineStr">
        <is>
          <t>🔄  LIVE-DATEN JETZT AKTUALISIEREN</t>
        </is>
      </c>
      <c r="C5" s="36" t="n"/>
      <c r="D5" s="36" t="n"/>
      <c r="E5" s="37" t="inlineStr">
        <is>
          <t>→  Menüband: Daten ▸ Alle aktualisieren  ·  oder Strg+Alt+F5</t>
        </is>
      </c>
    </row>
    <row r="7">
      <c r="B7" s="38" t="inlineStr">
        <is>
          <t>Referenzwährung</t>
        </is>
      </c>
      <c r="C7" t="inlineStr">
        <is>
          <t>CHF</t>
        </is>
      </c>
    </row>
    <row r="9">
      <c r="B9" s="39" t="inlineStr">
        <is>
          <t>Währung</t>
        </is>
      </c>
      <c r="C9" s="39" t="inlineStr">
        <is>
          <t>Kurs (1 CHF =)</t>
        </is>
      </c>
      <c r="D9" s="39" t="inlineStr">
        <is>
          <t>Stand</t>
        </is>
      </c>
      <c r="E9" s="39" t="inlineStr">
        <is>
          <t>Quelle</t>
        </is>
      </c>
    </row>
    <row r="10">
      <c r="B10" s="40" t="inlineStr">
        <is>
          <t>EUR</t>
        </is>
      </c>
      <c r="C10" s="40" t="inlineStr"/>
      <c r="D10" s="40" t="inlineStr"/>
      <c r="E10" s="41" t="inlineStr">
        <is>
          <t>frankfurter.app</t>
        </is>
      </c>
    </row>
    <row r="11">
      <c r="B11" s="40" t="inlineStr">
        <is>
          <t>USD</t>
        </is>
      </c>
      <c r="C11" s="40" t="inlineStr"/>
      <c r="D11" s="40" t="inlineStr"/>
      <c r="E11" s="41" t="inlineStr">
        <is>
          <t>frankfurter.app</t>
        </is>
      </c>
    </row>
    <row r="12">
      <c r="B12" s="40" t="inlineStr">
        <is>
          <t>GBP</t>
        </is>
      </c>
      <c r="C12" s="40" t="inlineStr"/>
      <c r="D12" s="40" t="inlineStr"/>
      <c r="E12" s="41" t="inlineStr">
        <is>
          <t>frankfurter.app</t>
        </is>
      </c>
    </row>
    <row r="14">
      <c r="B14" s="37" t="inlineStr">
        <is>
          <t>Hinweis: Diese Tabelle füllt sich nach dem ersten Einrichten der Web-Abfrage automatisch. Schritt-für-Schritt in Blatt „Anleitung“.</t>
        </is>
      </c>
    </row>
    <row r="15"/>
    <row r="17">
      <c r="B17" s="12" t="inlineStr">
        <is>
          <t>Eigene Datenbank (SQL / Cloud) anbinden</t>
        </is>
      </c>
    </row>
    <row r="18">
      <c r="B18" s="42" t="inlineStr">
        <is>
          <t>Power Query ▸ Daten abrufen ▸ Aus Datenbank (SQL Server / MySQL / PostgreSQL) oder ▸ Aus dem Web / SharePoint / Google Sheets. Fertige M-Vorlagen in data/PowerQuery_Vorlagen.m.</t>
        </is>
      </c>
    </row>
    <row r="19"/>
    <row r="20"/>
  </sheetData>
  <mergeCells count="6">
    <mergeCell ref="B5:D5"/>
    <mergeCell ref="B2:F2"/>
    <mergeCell ref="B3:F3"/>
    <mergeCell ref="E5:F5"/>
    <mergeCell ref="B18:F20"/>
    <mergeCell ref="B14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3" t="inlineStr">
        <is>
          <t>Stammdaten / Lookups</t>
        </is>
      </c>
    </row>
    <row r="2">
      <c r="A2" s="44" t="inlineStr">
        <is>
          <t>Diese Werte speisen die Dropdowns und die automatische Wahrscheinlichkeit.</t>
        </is>
      </c>
    </row>
    <row r="4">
      <c r="A4" s="13" t="inlineStr">
        <is>
          <t>Phase</t>
        </is>
      </c>
      <c r="B4" s="13" t="inlineStr">
        <is>
          <t>Wahrsch.</t>
        </is>
      </c>
      <c r="D4" s="13" t="inlineStr">
        <is>
          <t>Prioritäten</t>
        </is>
      </c>
      <c r="E4" s="13" t="inlineStr">
        <is>
          <t>Regionen</t>
        </is>
      </c>
      <c r="F4" s="13" t="inlineStr">
        <is>
          <t>Branchen</t>
        </is>
      </c>
      <c r="G4" s="13" t="inlineStr">
        <is>
          <t>Produkte</t>
        </is>
      </c>
      <c r="H4" s="13" t="inlineStr">
        <is>
          <t>Team</t>
        </is>
      </c>
      <c r="I4" s="13" t="inlineStr">
        <is>
          <t>Phasen</t>
        </is>
      </c>
    </row>
    <row r="5">
      <c r="A5" s="14" t="inlineStr">
        <is>
          <t>Lead</t>
        </is>
      </c>
      <c r="B5" s="45" t="n">
        <v>0.1</v>
      </c>
      <c r="D5" s="14" t="inlineStr">
        <is>
          <t>Hoch</t>
        </is>
      </c>
      <c r="E5" s="14" t="inlineStr">
        <is>
          <t>Zürich</t>
        </is>
      </c>
      <c r="F5" s="14" t="inlineStr">
        <is>
          <t>Detailhandel</t>
        </is>
      </c>
      <c r="G5" s="14" t="inlineStr">
        <is>
          <t>AC-Ladestation 22 kW</t>
        </is>
      </c>
      <c r="H5" s="14" t="inlineStr">
        <is>
          <t>Burak Ücöz</t>
        </is>
      </c>
      <c r="I5" s="14" t="inlineStr">
        <is>
          <t>Lead</t>
        </is>
      </c>
    </row>
    <row r="6">
      <c r="A6" s="14" t="inlineStr">
        <is>
          <t>Qualifiziert</t>
        </is>
      </c>
      <c r="B6" s="45" t="n">
        <v>0.25</v>
      </c>
      <c r="D6" s="14" t="inlineStr">
        <is>
          <t>Mittel</t>
        </is>
      </c>
      <c r="E6" s="14" t="inlineStr">
        <is>
          <t>Bern</t>
        </is>
      </c>
      <c r="F6" s="14" t="inlineStr">
        <is>
          <t>Logistik</t>
        </is>
      </c>
      <c r="G6" s="14" t="inlineStr">
        <is>
          <t>DC-Schnelllader 60 kW</t>
        </is>
      </c>
      <c r="H6" s="14" t="inlineStr">
        <is>
          <t>S. Meier</t>
        </is>
      </c>
      <c r="I6" s="14" t="inlineStr">
        <is>
          <t>Qualifiziert</t>
        </is>
      </c>
    </row>
    <row r="7">
      <c r="A7" s="14" t="inlineStr">
        <is>
          <t>Angebot</t>
        </is>
      </c>
      <c r="B7" s="45" t="n">
        <v>0.5</v>
      </c>
      <c r="D7" s="14" t="inlineStr">
        <is>
          <t>Niedrig</t>
        </is>
      </c>
      <c r="E7" s="14" t="inlineStr">
        <is>
          <t>Waadt</t>
        </is>
      </c>
      <c r="F7" s="14" t="inlineStr">
        <is>
          <t>Immobilien</t>
        </is>
      </c>
      <c r="G7" s="14" t="inlineStr">
        <is>
          <t>DC-HPC 150 kW</t>
        </is>
      </c>
      <c r="H7" s="14" t="inlineStr">
        <is>
          <t>L. Rossi</t>
        </is>
      </c>
      <c r="I7" s="14" t="inlineStr">
        <is>
          <t>Angebot</t>
        </is>
      </c>
    </row>
    <row r="8">
      <c r="A8" s="14" t="inlineStr">
        <is>
          <t>Verhandlung</t>
        </is>
      </c>
      <c r="B8" s="45" t="n">
        <v>0.75</v>
      </c>
      <c r="E8" s="14" t="inlineStr">
        <is>
          <t>Genf</t>
        </is>
      </c>
      <c r="F8" s="14" t="inlineStr">
        <is>
          <t>Hotellerie</t>
        </is>
      </c>
      <c r="G8" s="14" t="inlineStr">
        <is>
          <t>Lastmanagement-System</t>
        </is>
      </c>
      <c r="H8" s="14" t="inlineStr">
        <is>
          <t>N. Keller</t>
        </is>
      </c>
      <c r="I8" s="14" t="inlineStr">
        <is>
          <t>Verhandlung</t>
        </is>
      </c>
    </row>
    <row r="9">
      <c r="A9" s="14" t="inlineStr">
        <is>
          <t>Gewonnen</t>
        </is>
      </c>
      <c r="B9" s="45" t="n">
        <v>1</v>
      </c>
      <c r="E9" s="14" t="inlineStr">
        <is>
          <t>Basel</t>
        </is>
      </c>
      <c r="F9" s="14" t="inlineStr">
        <is>
          <t>Öffentliche Hand</t>
        </is>
      </c>
      <c r="G9" s="14" t="inlineStr">
        <is>
          <t>Full-Service Betrieb</t>
        </is>
      </c>
      <c r="H9" s="14" t="inlineStr">
        <is>
          <t>A. Favre</t>
        </is>
      </c>
      <c r="I9" s="14" t="inlineStr">
        <is>
          <t>Gewonnen</t>
        </is>
      </c>
    </row>
    <row r="10">
      <c r="A10" s="14" t="inlineStr">
        <is>
          <t>Verloren</t>
        </is>
      </c>
      <c r="B10" s="45" t="n">
        <v>0</v>
      </c>
      <c r="E10" s="14" t="inlineStr">
        <is>
          <t>Aargau</t>
        </is>
      </c>
      <c r="F10" s="14" t="inlineStr">
        <is>
          <t>Industrie</t>
        </is>
      </c>
      <c r="G10" s="14" t="inlineStr">
        <is>
          <t>PV + Speicher Kombi</t>
        </is>
      </c>
      <c r="I10" s="14" t="inlineStr">
        <is>
          <t>Verloren</t>
        </is>
      </c>
    </row>
    <row r="11">
      <c r="E11" s="14" t="inlineStr">
        <is>
          <t>St. Gallen</t>
        </is>
      </c>
      <c r="F11" s="14" t="inlineStr">
        <is>
          <t>Tankstellen</t>
        </is>
      </c>
    </row>
    <row r="12">
      <c r="E12" s="14" t="inlineStr">
        <is>
          <t>Tessin</t>
        </is>
      </c>
      <c r="F12" s="14" t="inlineStr">
        <is>
          <t>Flottenbetrieb</t>
        </is>
      </c>
    </row>
    <row r="13">
      <c r="E13" s="14" t="inlineStr">
        <is>
          <t>Luzern</t>
        </is>
      </c>
    </row>
    <row r="14">
      <c r="E14" s="14" t="inlineStr">
        <is>
          <t>Wallis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46" t="inlineStr">
        <is>
          <t>So arbeitest du perfekt mit diesem Cockpit</t>
        </is>
      </c>
    </row>
    <row r="3">
      <c r="B3" s="47" t="inlineStr"/>
    </row>
    <row r="4">
      <c r="B4" s="48" t="inlineStr">
        <is>
          <t>1 · Dashboard</t>
        </is>
      </c>
    </row>
    <row r="5">
      <c r="B5" s="49" t="inlineStr">
        <is>
          <t>KPIs (Pipeline, gewichteter Forecast, Win-Rate …) und Diagramme rechnen automatisch.</t>
        </is>
      </c>
    </row>
    <row r="6">
      <c r="B6" s="49" t="inlineStr">
        <is>
          <t>Alles aktualisiert sich, sobald du in der Pipeline etwas änderst.</t>
        </is>
      </c>
    </row>
    <row r="7">
      <c r="B7" s="47" t="inlineStr"/>
    </row>
    <row r="8">
      <c r="B8" s="48" t="inlineStr">
        <is>
          <t>2 · Pipeline (Herzstück)</t>
        </is>
      </c>
    </row>
    <row r="9">
      <c r="B9" s="49" t="inlineStr">
        <is>
          <t>• Filtern: Pfeile in der blauen Kopfzeile → nach Region, Phase, Verantwortlich … filtern &amp; sortieren.</t>
        </is>
      </c>
    </row>
    <row r="10">
      <c r="B10" s="49" t="inlineStr">
        <is>
          <t>• Dropdowns: Phase, Priorität, Region, Branche, Produkt, Verantwortlich – nur gültige Werte.</t>
        </is>
      </c>
    </row>
    <row r="11">
      <c r="B11" s="49" t="inlineStr">
        <is>
          <t>• Automatik: Wahrscheinlichkeit folgt der Phase; Gew. Wert = Volumen × Wahrsch.;</t>
        </is>
      </c>
    </row>
    <row r="12">
      <c r="B12" s="49" t="inlineStr">
        <is>
          <t xml:space="preserve">  Tage bis Abschluss &amp; Ampel (🔴≤14 T, 🟡≤45 T, 🟢 sonst) rechnen selbst.</t>
        </is>
      </c>
    </row>
    <row r="13">
      <c r="B13" s="49" t="inlineStr">
        <is>
          <t>• Neue Zeile: einfach unter der letzten Zeile weiterschreiben – die Tabelle wächst automatisch mit.</t>
        </is>
      </c>
    </row>
    <row r="14">
      <c r="B14" s="47" t="inlineStr"/>
    </row>
    <row r="15">
      <c r="B15" s="48" t="inlineStr">
        <is>
          <t>3 · Live-Daten online abrufen (per Knopfdruck)</t>
        </is>
      </c>
    </row>
    <row r="16">
      <c r="B16" s="49" t="inlineStr">
        <is>
          <t>Einmal einrichten – danach genügt „Alle aktualisieren“ (Strg+Alt+F5):</t>
        </is>
      </c>
    </row>
    <row r="17">
      <c r="B17" s="49" t="inlineStr">
        <is>
          <t xml:space="preserve">  a) Daten ▸ Daten abrufen ▸ Aus Datei ▸ Web-Abfrage (.iqy)  →  data/Live_CHF_Kurse.iqy wählen.</t>
        </is>
      </c>
    </row>
    <row r="18">
      <c r="B18" s="49" t="inlineStr">
        <is>
          <t xml:space="preserve">     (oder Doppelklick auf die .iqy-Datei – Excel öffnet die Abfrage direkt.)</t>
        </is>
      </c>
    </row>
    <row r="19">
      <c r="B19" s="49" t="inlineStr">
        <is>
          <t xml:space="preserve">  b) Zielbereich = Blatt „Live-Daten“, Zelle B10.  Fertig.</t>
        </is>
      </c>
    </row>
    <row r="20">
      <c r="B20" s="49" t="inlineStr">
        <is>
          <t xml:space="preserve">  c) Eigene Datenbank: Daten ▸ Aus Datenbank (SQL/MySQL/PostgreSQL) oder Aus dem Web –</t>
        </is>
      </c>
    </row>
    <row r="21">
      <c r="B21" s="49" t="inlineStr">
        <is>
          <t xml:space="preserve">     M-Code-Vorlagen liegen in data/PowerQuery_Vorlagen.m (Server/Zugangsdaten eintragen).</t>
        </is>
      </c>
    </row>
    <row r="22">
      <c r="B22" s="47" t="inlineStr"/>
    </row>
    <row r="23">
      <c r="B23" s="48" t="inlineStr">
        <is>
          <t>4 · Automatisch aktualisieren</t>
        </is>
      </c>
    </row>
    <row r="24">
      <c r="B24" s="49" t="inlineStr">
        <is>
          <t>Rechtsklick auf die Abfrage ▸ Eigenschaften ▸ „Aktualisieren beim Öffnen“ / alle X Minuten.</t>
        </is>
      </c>
    </row>
    <row r="25">
      <c r="B25" s="47" t="inlineStr"/>
    </row>
    <row r="26">
      <c r="B26" s="42" t="inlineStr">
        <is>
          <t>Farbwelt: AVIA-Navy #1B2430 + AVIA-Rot #E2001A. Reproduzierbar via  python3 src/build_excel.py.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2026-07-03T06:12:12Z</dcterms:created>
  <dcterms:modified xsi:type="dcterms:W3CDTF">2026-07-03T06:12:12Z</dcterms:modified>
</cp:coreProperties>
</file>