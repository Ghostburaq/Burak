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Top-Player" sheetId="2" state="visible" r:id="rId4"/>
    <sheet name="90-Tage-Plan" sheetId="3" state="visible" r:id="rId5"/>
    <sheet name="Rechenzentren" sheetId="4" state="visible" r:id="rId6"/>
    <sheet name="Produktbedarf" sheetId="5" state="visible" r:id="rId7"/>
    <sheet name="Portfolio" sheetId="6" state="visible" r:id="rId8"/>
    <sheet name="Annahmen" sheetId="7" state="visible" r:id="rId9"/>
    <sheet name="Beobachten" sheetId="8" state="visible" r:id="rId10"/>
    <sheet name="Wettbewerb" sheetId="9" state="visible" r:id="rId11"/>
    <sheet name="Glossar" sheetId="10" state="visible" r:id="rId12"/>
    <sheet name="Methode &amp; Quellen" sheetId="11" state="visible" r:id="rId13"/>
    <sheet name="Listen" sheetId="12" state="hidden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<sst xmlns="http://schemas.openxmlformats.org/spreadsheetml/2006/main" count="1146" uniqueCount="748">
  <si>
    <t xml:space="preserve">Top-Player Power Schweiz 2027</t>
  </si>
  <si>
    <t xml:space="preserve">Mobil in Time AG · Strom Schweiz  |  Stand 27.09.2026  |  VERTRAULICH, intern</t>
  </si>
  <si>
    <t xml:space="preserve">So liest du die Liste</t>
  </si>
  <si>
    <t xml:space="preserve">1. Nur Projekte, bei denen Power-Mieten über CHF 50'000 möglich sind. Schwerpunkt Rechenzentren, dazu Tunnel, Netz, Spitäler, Industrie, Events.</t>
  </si>
  <si>
    <t xml:space="preserve">2. Potenzial = was das Projekt an Generator-, Lastbank- und BESS-Miete bringen kann (Szenario, blau, änderbar).</t>
  </si>
  <si>
    <t xml:space="preserve">3. Erwartung 2027 = Potenzial × Anteil, der 2027 anfällt × Wahrscheinlichkeit, dass MiT gewinnt. Das ist die realistische Zahl.</t>
  </si>
  <si>
    <t xml:space="preserve">4. Sätze sind Markt-Richtwerte (US, umgerechnet), keine MiT-Preise. Im Blatt «Annahmen» Spalte E eure Sätze eintragen: alles rechnet neu.</t>
  </si>
  <si>
    <t xml:space="preserve">5. Trafo-Miete, Transport, Service und Treibstoff sind nicht eingerechnet: das Potenzial ist konservativ.</t>
  </si>
  <si>
    <t xml:space="preserve">Top-Player</t>
  </si>
  <si>
    <t xml:space="preserve">Potenzial brutto CHF</t>
  </si>
  <si>
    <t xml:space="preserve">Erwartung 2027 CHF</t>
  </si>
  <si>
    <t xml:space="preserve">davon Rechenzentren</t>
  </si>
  <si>
    <t xml:space="preserve">Prio A</t>
  </si>
  <si>
    <t xml:space="preserve">Nach Segment</t>
  </si>
  <si>
    <t xml:space="preserve">Segment</t>
  </si>
  <si>
    <t xml:space="preserve">Anzahl</t>
  </si>
  <si>
    <t xml:space="preserve">Anteil an Erwartung</t>
  </si>
  <si>
    <t xml:space="preserve">Rechenzentrum</t>
  </si>
  <si>
    <t xml:space="preserve">Infrastruktur</t>
  </si>
  <si>
    <t xml:space="preserve">Netz / Unterwerk</t>
  </si>
  <si>
    <t xml:space="preserve">Spital</t>
  </si>
  <si>
    <t xml:space="preserve">Industrie</t>
  </si>
  <si>
    <t xml:space="preserve">Event</t>
  </si>
  <si>
    <t xml:space="preserve">Kanal-Partner</t>
  </si>
  <si>
    <t xml:space="preserve">Total</t>
  </si>
  <si>
    <t xml:space="preserve">Top 10 nach Erwartung 2027</t>
  </si>
  <si>
    <t xml:space="preserve">Rang</t>
  </si>
  <si>
    <t xml:space="preserve">Projekt / Kunde</t>
  </si>
  <si>
    <t xml:space="preserve">Potenzial CHF</t>
  </si>
  <si>
    <t xml:space="preserve">Prio</t>
  </si>
  <si>
    <t xml:space="preserve">Blätter in dieser Datei</t>
  </si>
  <si>
    <t xml:space="preserve">Die 38 Projekte mit Potenzial, Szenario, Kontakt und nächstem Schritt</t>
  </si>
  <si>
    <t xml:space="preserve">90-Tage-Plan</t>
  </si>
  <si>
    <t xml:space="preserve">Aufgaben Okt. 2026 bis Jan. 2027 mit Status zum Abhaken</t>
  </si>
  <si>
    <t xml:space="preserve">Rechenzentren</t>
  </si>
  <si>
    <t xml:space="preserve">Alle RZ-Projekte 2026-2028 mit MW, Zeitplan, GU, Netzanschluss</t>
  </si>
  <si>
    <t xml:space="preserve">Produktbedarf</t>
  </si>
  <si>
    <t xml:space="preserve">Welches Segment welches Power-Produkt braucht</t>
  </si>
  <si>
    <t xml:space="preserve">Portfolio</t>
  </si>
  <si>
    <t xml:space="preserve">Was wir vermieten, Kennwerte, Cross-Sell</t>
  </si>
  <si>
    <t xml:space="preserve">Annahmen</t>
  </si>
  <si>
    <t xml:space="preserve">Mietsätze, Kurs, Schwellen: hier MiT-Sätze eintragen</t>
  </si>
  <si>
    <t xml:space="preserve">Beobachten</t>
  </si>
  <si>
    <t xml:space="preserve">Unter CHF 50'000 oder noch zu unsicher</t>
  </si>
  <si>
    <t xml:space="preserve">Wettbewerb</t>
  </si>
  <si>
    <t xml:space="preserve">Anbieter mobiler Power in der Schweiz</t>
  </si>
  <si>
    <t xml:space="preserve">Glossar</t>
  </si>
  <si>
    <t xml:space="preserve">Alle Abkürzungen</t>
  </si>
  <si>
    <t xml:space="preserve">Methode &amp; Quellen</t>
  </si>
  <si>
    <t xml:space="preserve">Wie gerechnet wurde und woher die Fakten stammen</t>
  </si>
  <si>
    <t xml:space="preserve">Stand 90-Tage-Plan</t>
  </si>
  <si>
    <t xml:space="preserve">offen</t>
  </si>
  <si>
    <t xml:space="preserve">in Arbeit</t>
  </si>
  <si>
    <t xml:space="preserve">erledigt</t>
  </si>
  <si>
    <t xml:space="preserve">verschoben</t>
  </si>
  <si>
    <t xml:space="preserve">Stand 27.09.2026  |  38 Projekte mit Potenzial über CHF 50'000  |  sortiert nach Erwartung 2027  |  VERTRAULICH</t>
  </si>
  <si>
    <t xml:space="preserve">Blaue Zahlen = Szenario-Annahmen, änderbar. Potenzial = Generator (MVA × Wochen × Satz) + Lastbank (MW × Wochen × Satz) + BESS (MW × Monate × Satz). Sätze im Blatt «Annahmen».</t>
  </si>
  <si>
    <t xml:space="preserve">Einstieg über</t>
  </si>
  <si>
    <t xml:space="preserve">Ort</t>
  </si>
  <si>
    <t xml:space="preserve">Kt.</t>
  </si>
  <si>
    <t xml:space="preserve">Region</t>
  </si>
  <si>
    <t xml:space="preserve">Sprache</t>
  </si>
  <si>
    <t xml:space="preserve">Anlass und Zeitfenster</t>
  </si>
  <si>
    <t xml:space="preserve">Power-Bedarf</t>
  </si>
  <si>
    <t xml:space="preserve">Generator MVA</t>
  </si>
  <si>
    <t xml:space="preserve">Generator Wochen</t>
  </si>
  <si>
    <t xml:space="preserve">Lastbank MW</t>
  </si>
  <si>
    <t xml:space="preserve">Lastbank Wochen</t>
  </si>
  <si>
    <t xml:space="preserve">BESS MW</t>
  </si>
  <si>
    <t xml:space="preserve">BESS Monate</t>
  </si>
  <si>
    <t xml:space="preserve">Potenzial Power CHF</t>
  </si>
  <si>
    <t xml:space="preserve">Anteil 2027</t>
  </si>
  <si>
    <t xml:space="preserve">Wahrschein-lichkeit</t>
  </si>
  <si>
    <t xml:space="preserve">Cross-Sell Wärme / Kälte</t>
  </si>
  <si>
    <t xml:space="preserve">Nächster Schritt</t>
  </si>
  <si>
    <t xml:space="preserve">Verantwortlich</t>
  </si>
  <si>
    <t xml:space="preserve">Status MiT (CRM)</t>
  </si>
  <si>
    <t xml:space="preserve">Zielrolle</t>
  </si>
  <si>
    <t xml:space="preserve">Ansprechperson (Name)</t>
  </si>
  <si>
    <t xml:space="preserve">Kontakt (Tel. / E-Mail)</t>
  </si>
  <si>
    <t xml:space="preserve">Letzter Kontakt</t>
  </si>
  <si>
    <t xml:space="preserve">Nächster Termin</t>
  </si>
  <si>
    <t xml:space="preserve">Quelle</t>
  </si>
  <si>
    <t xml:space="preserve">Hinweis / Annahme</t>
  </si>
  <si>
    <t xml:space="preserve">2. Gotthardröhre</t>
  </si>
  <si>
    <t xml:space="preserve">ASTRA; Marti-Gruppe (Hauptlos Süd)</t>
  </si>
  <si>
    <t xml:space="preserve">Göschenen / Airolo</t>
  </si>
  <si>
    <t xml:space="preserve">UR/TI</t>
  </si>
  <si>
    <t xml:space="preserve">Tessin</t>
  </si>
  <si>
    <t xml:space="preserve">DE/IT</t>
  </si>
  <si>
    <t xml:space="preserve">CHF 2,14 Mrd., Vortrieb bis ca. 2029/30</t>
  </si>
  <si>
    <t xml:space="preserve">Backup-Generatoren für Vortrieb und Lüftung, Lastspitzen</t>
  </si>
  <si>
    <t xml:space="preserve">Bauheizung Portalinstallationen</t>
  </si>
  <si>
    <t xml:space="preserve">Marti Baustellenleitung Airolo: Backup-Konzept und Wartungsfenster</t>
  </si>
  <si>
    <t xml:space="preserve">Offen: CRM prüfen</t>
  </si>
  <si>
    <t xml:space="preserve">Bauleitung ARGE, Baustelleneinrichtung, Einkauf</t>
  </si>
  <si>
    <t xml:space="preserve">Link</t>
  </si>
  <si>
    <t xml:space="preserve">Sisikoner Tunnel (Neue Axenstrasse)</t>
  </si>
  <si>
    <t xml:space="preserve">ARGE Implenia/Frutiger; Bauherr ASTRA</t>
  </si>
  <si>
    <t xml:space="preserve">Sisikon</t>
  </si>
  <si>
    <t xml:space="preserve">UR</t>
  </si>
  <si>
    <t xml:space="preserve">Zentralschweiz</t>
  </si>
  <si>
    <t xml:space="preserve">DE</t>
  </si>
  <si>
    <t xml:space="preserve">über CHF 430 Mio., Bau Okt. 2025 bis 2034</t>
  </si>
  <si>
    <t xml:space="preserve">Baustrom und Netzersatz für Lüftung</t>
  </si>
  <si>
    <t xml:space="preserve">Bauheizung, Entfeuchtung im Tunnel</t>
  </si>
  <si>
    <t xml:space="preserve">ARGE-Bauleitung: Rahmen für Baustrom-Backup</t>
  </si>
  <si>
    <t xml:space="preserve">Kantonsspital Aarau «Dreiklang»</t>
  </si>
  <si>
    <t xml:space="preserve">KSA; TU Implenia</t>
  </si>
  <si>
    <t xml:space="preserve">Aarau</t>
  </si>
  <si>
    <t xml:space="preserve">AG</t>
  </si>
  <si>
    <t xml:space="preserve">Nordwestschweiz</t>
  </si>
  <si>
    <t xml:space="preserve">ca. CHF 750 Mio., Übergabe 15.09.2026, Umzug Jan. 2027, danach Rückbau</t>
  </si>
  <si>
    <t xml:space="preserve">NEA-Lasttest mit Lastbank, Netzersatz beim Umzug, Baustrom Rückbau</t>
  </si>
  <si>
    <t xml:space="preserve">Klima/Kühlung während Umzug</t>
  </si>
  <si>
    <t xml:space="preserve">KSA Technik und Implenia: NEA-Test und Rückbau-Baustrom jetzt anbieten</t>
  </si>
  <si>
    <t xml:space="preserve">Leiter Technik und Betrieb, TU-Projektleitung</t>
  </si>
  <si>
    <t xml:space="preserve">STACK ZUR02 Beringen</t>
  </si>
  <si>
    <t xml:space="preserve">STACK Infrastructure; PM MBA Projektmanagement</t>
  </si>
  <si>
    <t xml:space="preserve">Beringen</t>
  </si>
  <si>
    <t xml:space="preserve">SH</t>
  </si>
  <si>
    <t xml:space="preserve">Ostschweiz</t>
  </si>
  <si>
    <t xml:space="preserve">EN/DE</t>
  </si>
  <si>
    <t xml:space="preserve">36 MW IT, Betriebsstart Herbst 2026, neues Unterwerk vom Betreiber finanziert</t>
  </si>
  <si>
    <t xml:space="preserve">Lastbank für IST je Data Hall, Generator-Überbrückung falls Unterwerk verzögert, Tankcontainer</t>
  </si>
  <si>
    <t xml:space="preserve">Temporäre Kühlung beim IST, falls Kälte nicht fertig</t>
  </si>
  <si>
    <t xml:space="preserve">Commissioning-Manager STACK und MBA sofort anfragen: IST-Plan der nächsten Phasen</t>
  </si>
  <si>
    <t xml:space="preserve">Commissioning-Manager, Construction Manager, Critical Facility Ops</t>
  </si>
  <si>
    <t xml:space="preserve">Hot Lead. Phase 1 läuft evtl. schon, Ziel sind Folgephasen 2027.</t>
  </si>
  <si>
    <t xml:space="preserve">Bachem Werk Sisslerfeld</t>
  </si>
  <si>
    <t xml:space="preserve">Bachem</t>
  </si>
  <si>
    <t xml:space="preserve">Eiken</t>
  </si>
  <si>
    <t xml:space="preserve">über CHF 500 Mio., Greenfield, Bau bis ca. 2030</t>
  </si>
  <si>
    <t xml:space="preserve">Baustrom bis Netzanschluss, später Qualifizierung</t>
  </si>
  <si>
    <t xml:space="preserve">Bauheizung, Bautrocknung</t>
  </si>
  <si>
    <t xml:space="preserve">Bachem Engineering und GU: Baustromkonzept</t>
  </si>
  <si>
    <t xml:space="preserve">Engineering / Utilities, Technischer Einkauf</t>
  </si>
  <si>
    <t xml:space="preserve">Pumpspeicherwerk Grimsel 4</t>
  </si>
  <si>
    <t xml:space="preserve">KWO (BKW-Beteiligung)</t>
  </si>
  <si>
    <t xml:space="preserve">Grimsel</t>
  </si>
  <si>
    <t xml:space="preserve">BE</t>
  </si>
  <si>
    <t xml:space="preserve">Mittelland/Bern</t>
  </si>
  <si>
    <t xml:space="preserve">CHF 300 Mio., 2 × 84 MW, Bau Juni 2026 bis 2032</t>
  </si>
  <si>
    <t xml:space="preserve">Baustrom und Backup für hochalpine Untertagebaustelle</t>
  </si>
  <si>
    <t xml:space="preserve">Bauheizung, Entfeuchtung</t>
  </si>
  <si>
    <t xml:space="preserve">KWO Projektleitung: Backup-Konzept Kaverne</t>
  </si>
  <si>
    <t xml:space="preserve">BKW-Nähe: Konkurrenzlage prüfen.</t>
  </si>
  <si>
    <t xml:space="preserve">Vantage ZRH3 Volketswil</t>
  </si>
  <si>
    <t xml:space="preserve">Vantage Data Centers</t>
  </si>
  <si>
    <t xml:space="preserve">Volketswil</t>
  </si>
  <si>
    <t xml:space="preserve">ZH</t>
  </si>
  <si>
    <t xml:space="preserve">Zürich</t>
  </si>
  <si>
    <t xml:space="preserve">EN</t>
  </si>
  <si>
    <t xml:space="preserve">100 bis 150 MW Campus, Phase 1 live 2028, neue Unterwerke nötig, Engpass im Vornetz</t>
  </si>
  <si>
    <t xml:space="preserve">Generator/BESS-Überbrückung bis Netzanschluss, später Lastbank-IST</t>
  </si>
  <si>
    <t xml:space="preserve">Temporäre Kühlung, Abwärme-Thema mit Energie 360°</t>
  </si>
  <si>
    <t xml:space="preserve">Beziehung jetzt aufbauen, Beschaffung oft EMEA-zentral</t>
  </si>
  <si>
    <t xml:space="preserve">Grösstes Einzelpotenzial, tiefe Wahrscheinlichkeit. Quellen: EKZ blue (2025), DCD, Energie 360°; genauen Artikel-Link ergänzen.</t>
  </si>
  <si>
    <t xml:space="preserve">ETAVIS / VINCI Energies (Rahmen)</t>
  </si>
  <si>
    <t xml:space="preserve">VINCI Energies: ETAVIS, Actemium, Gfeller</t>
  </si>
  <si>
    <t xml:space="preserve">DE/FR/IT</t>
  </si>
  <si>
    <t xml:space="preserve">&gt;2'400 MA ETAVIS; Infrastruktur, RZ, Industrie</t>
  </si>
  <si>
    <t xml:space="preserve">Baustrom, Lastbank bei Inbetriebnahmen</t>
  </si>
  <si>
    <t xml:space="preserve">Bauheizung</t>
  </si>
  <si>
    <t xml:space="preserve">VINCI Einkauf CH: Rahmen für Power</t>
  </si>
  <si>
    <t xml:space="preserve">Einkauf Gruppe, Bereichsleiter Grossprojekte</t>
  </si>
  <si>
    <t xml:space="preserve">Rahmenvolumen ist Annahme.</t>
  </si>
  <si>
    <t xml:space="preserve">Burkhalter Gruppe (Rahmen)</t>
  </si>
  <si>
    <t xml:space="preserve">Burkhalter Holding, 83 Gesellschaften</t>
  </si>
  <si>
    <t xml:space="preserve">5'356 FTE, 169 Standorte (31.12.2025)</t>
  </si>
  <si>
    <t xml:space="preserve">Baustrom und NEA-Tests über viele Töchter</t>
  </si>
  <si>
    <t xml:space="preserve">Bauheizung, Trocknung über dieselben Baustellen</t>
  </si>
  <si>
    <t xml:space="preserve">Zentraler Einkauf: Rahmenvertrag, dann Töchter regional</t>
  </si>
  <si>
    <t xml:space="preserve">Rahmenvolumen (MVA-Wochen) ist Annahme.</t>
  </si>
  <si>
    <t xml:space="preserve">Green Metro-Campus Dielsdorf (nächstes RZ)</t>
  </si>
  <si>
    <t xml:space="preserve">Green; PM MBA Projektmanagement</t>
  </si>
  <si>
    <t xml:space="preserve">Dielsdorf</t>
  </si>
  <si>
    <t xml:space="preserve">Baustart weiteres RZ 2026, Campus-Anschluss 50 MW über neues EKZ-UW</t>
  </si>
  <si>
    <t xml:space="preserve">Baustrom-Generator, später Lastbank für IST (2028)</t>
  </si>
  <si>
    <t xml:space="preserve">Bauheizung und Bautrocknung im Winter</t>
  </si>
  <si>
    <t xml:space="preserve">Mit dem Lupfig-Kontakt bei Green gleich mitverhandeln</t>
  </si>
  <si>
    <t xml:space="preserve">NorthC Arlesheim (uptownBasel)</t>
  </si>
  <si>
    <t xml:space="preserve">NorthC Datacenters</t>
  </si>
  <si>
    <t xml:space="preserve">Arlesheim</t>
  </si>
  <si>
    <t xml:space="preserve">BL</t>
  </si>
  <si>
    <t xml:space="preserve">DE/EN</t>
  </si>
  <si>
    <t xml:space="preserve">4,5 MW IT (Ausbau 7,5), Betrieb ab Mitte 2027, NEA mit HVO</t>
  </si>
  <si>
    <t xml:space="preserve">Lastbank für IST, Generator für Tests</t>
  </si>
  <si>
    <t xml:space="preserve">HVO-Generatoren passen zum Nachhaltigkeitskonzept</t>
  </si>
  <si>
    <t xml:space="preserve">NorthC Projektleitung CH: IST-Termin 2027 und Lastbank-Bedarf klären</t>
  </si>
  <si>
    <t xml:space="preserve">Equans Switzerland (Rahmen)</t>
  </si>
  <si>
    <t xml:space="preserve">Bouygues / Equans</t>
  </si>
  <si>
    <t xml:space="preserve">DE/FR</t>
  </si>
  <si>
    <t xml:space="preserve">&gt;1'600 MA, Energie, Verkehr, Industrie, FM</t>
  </si>
  <si>
    <t xml:space="preserve">Netzersatz, NEA-Tests, Baustrom</t>
  </si>
  <si>
    <t xml:space="preserve">Heizung/Kühlung im FM-Geschäft</t>
  </si>
  <si>
    <t xml:space="preserve">Equans Einkauf und FM-Leitung gemeinsam</t>
  </si>
  <si>
    <t xml:space="preserve">Digital Realty ZUR4 Glattbrugg</t>
  </si>
  <si>
    <t xml:space="preserve">Digital Realty (GU noch unbekannt)</t>
  </si>
  <si>
    <t xml:space="preserve">Opfikon-Glattbrugg</t>
  </si>
  <si>
    <t xml:space="preserve">15 MW IT, Spatenstich 27.08.2026, Fertigstellung 2028, High-Density/KI</t>
  </si>
  <si>
    <t xml:space="preserve">Baustrom 2027, Lastbank für IST 2028 (≈ IT-Last)</t>
  </si>
  <si>
    <t xml:space="preserve">Bauheizung Winter 2026/27, Kühlung beim IST</t>
  </si>
  <si>
    <t xml:space="preserve">GU/Elektro über Baugesuch und simap ermitteln, dann Baustrom offerieren</t>
  </si>
  <si>
    <t xml:space="preserve">Deck auf Englisch klären.</t>
  </si>
  <si>
    <t xml:space="preserve">Bahnhof Zürich Stadelhofen (4. Gleis)</t>
  </si>
  <si>
    <t xml:space="preserve">SBB</t>
  </si>
  <si>
    <t xml:space="preserve">CHF 1,1 Mrd., Baustart 2027, ca. 10 Jahre</t>
  </si>
  <si>
    <t xml:space="preserve">Leise BESS für Nachtarbeit, Netzersatz</t>
  </si>
  <si>
    <t xml:space="preserve">Bautrocknung</t>
  </si>
  <si>
    <t xml:space="preserve">BESS-Hybrid als leise Lösung für Innenstadt positionieren</t>
  </si>
  <si>
    <t xml:space="preserve">Öffentliche Beschaffung.</t>
  </si>
  <si>
    <t xml:space="preserve">CKW: UW Sursee und Trafostations-Erneuerung</t>
  </si>
  <si>
    <t xml:space="preserve">CKW</t>
  </si>
  <si>
    <t xml:space="preserve">Sursee / Zentralschweiz</t>
  </si>
  <si>
    <t xml:space="preserve">LU</t>
  </si>
  <si>
    <t xml:space="preserve">UW Sursee IBN Frühling 2027 (CHF 11 Mio.), ca. 2'500 Trafostationen im Netz</t>
  </si>
  <si>
    <t xml:space="preserve">Netzersatz bei Umschaltungen, Generatoren für Trafostations-Tausch</t>
  </si>
  <si>
    <t xml:space="preserve">CKW Netzbau: Rahmen für Netzersatz beim Stationstausch</t>
  </si>
  <si>
    <t xml:space="preserve">Leiter Netzbau / Unterwerke, Projektleiter UW</t>
  </si>
  <si>
    <t xml:space="preserve">Szenario: UW Sursee 2 MVA × 4 Wo plus Stationstausch 0,5 MVA × 20 Wo = ca. 18 MVA-Wochen.</t>
  </si>
  <si>
    <t xml:space="preserve">USZ Campus MITTE1|2</t>
  </si>
  <si>
    <t xml:space="preserve">USZ; b+p baurealisation</t>
  </si>
  <si>
    <t xml:space="preserve">CHF 950 Mio., Bau laufend, Betrieb 2031</t>
  </si>
  <si>
    <t xml:space="preserve">Netzersatz und BESS bei Umschaltungen im Vollbetrieb</t>
  </si>
  <si>
    <t xml:space="preserve">Klima/Kühlung Provisorien</t>
  </si>
  <si>
    <t xml:space="preserve">USZ Technik: Umschaltkonzept 2027</t>
  </si>
  <si>
    <t xml:space="preserve">Axpo UW Niederurnen (Gesamterneuerung)</t>
  </si>
  <si>
    <t xml:space="preserve">Axpo Grid</t>
  </si>
  <si>
    <t xml:space="preserve">Niederurnen</t>
  </si>
  <si>
    <t xml:space="preserve">GL</t>
  </si>
  <si>
    <t xml:space="preserve">110/16 kV, ab Frühling 2026 ca. 3 Jahre, etappenweise</t>
  </si>
  <si>
    <t xml:space="preserve">Netzersatz und Eigenbedarf bei Umschaltungen, mobiler Trafo (Wert fehlt)</t>
  </si>
  <si>
    <t xml:space="preserve">Axpo Grid Projektleitung: Etappenplan 2027</t>
  </si>
  <si>
    <t xml:space="preserve">Trafo-Miete nicht eingerechnet.</t>
  </si>
  <si>
    <t xml:space="preserve">Genève Aéroport Cap2030 / Plateforme multimodale</t>
  </si>
  <si>
    <t xml:space="preserve">Genève Aéroport; Losinger Marazzi (LMB)</t>
  </si>
  <si>
    <t xml:space="preserve">Genf</t>
  </si>
  <si>
    <t xml:space="preserve">GE</t>
  </si>
  <si>
    <t xml:space="preserve">West (Romandie)</t>
  </si>
  <si>
    <t xml:space="preserve">FR</t>
  </si>
  <si>
    <t xml:space="preserve">ca. CHF 560 bis 640 Mio., Multimodal 2026-2029, Terminal ab 2027</t>
  </si>
  <si>
    <t xml:space="preserve">Baustrom und USV/BESS im laufenden Terminalbetrieb</t>
  </si>
  <si>
    <t xml:space="preserve">Bauheizung, Klima Provisorien</t>
  </si>
  <si>
    <t xml:space="preserve">Losinger Marazzi Bauleitung GVA, Französisch</t>
  </si>
  <si>
    <t xml:space="preserve">Brüttener Tunnel (MehrSpur Zürich-Winterthur)</t>
  </si>
  <si>
    <t xml:space="preserve">Bassersdorf / Dietlikon</t>
  </si>
  <si>
    <t xml:space="preserve">Hauptarbeiten ab 2027, TBM ab 2029</t>
  </si>
  <si>
    <t xml:space="preserve">Installationsplätze vor Netzanschluss: Baustrom</t>
  </si>
  <si>
    <t xml:space="preserve">SBB Infrastruktur Projekte: Baustrom-Ausschreibung verfolgen (simap)</t>
  </si>
  <si>
    <t xml:space="preserve">Roche Basel Bau 51 und laufende Bauten</t>
  </si>
  <si>
    <t xml:space="preserve">Roche</t>
  </si>
  <si>
    <t xml:space="preserve">Basel / Kaiseraugst</t>
  </si>
  <si>
    <t xml:space="preserve">BS</t>
  </si>
  <si>
    <t xml:space="preserve">Bau 51 CHF 790 Mio. (Grundstein 21.09.2026), ca. CHF 1,4 Mrd. laufende Bauten</t>
  </si>
  <si>
    <t xml:space="preserve">Baustrom, später Lastbank/USV bei Qualifizierung</t>
  </si>
  <si>
    <t xml:space="preserve">Klima/Reinraum-Provisorien</t>
  </si>
  <si>
    <t xml:space="preserve">Zugang über Installateur/FM vor Ort (ETAVIS K+S, Selmoni, CBRE)</t>
  </si>
  <si>
    <t xml:space="preserve">NorthC Genf «The Hive»</t>
  </si>
  <si>
    <t xml:space="preserve">Kanton Genf</t>
  </si>
  <si>
    <t xml:space="preserve">FR/EN</t>
  </si>
  <si>
    <t xml:space="preserve">4,5 MW IT (3 × 1,5 MW), Baustart Q1 2026, fertig Q2 2028</t>
  </si>
  <si>
    <t xml:space="preserve">Baustrom, Lastbank je 1,5-MW-Stufe</t>
  </si>
  <si>
    <t xml:space="preserve">Bauheizung, später Kühlung beim IST</t>
  </si>
  <si>
    <t xml:space="preserve">Zusammen mit Arlesheim als Paket anbieten</t>
  </si>
  <si>
    <t xml:space="preserve">FlexBase Technologiezentrum Laufenburg</t>
  </si>
  <si>
    <t xml:space="preserve">FlexBase; Bau ERNE Gruppe</t>
  </si>
  <si>
    <t xml:space="preserve">Laufenburg</t>
  </si>
  <si>
    <t xml:space="preserve">KI-RZ plus Redox-Flow-Speicher &gt;800 MW, Vollbetrieb Sommer 2028 (Zeitplan umstritten)</t>
  </si>
  <si>
    <t xml:space="preserve">Baustrom über Jahre, später Commissioning</t>
  </si>
  <si>
    <t xml:space="preserve">Über ERNE einsteigen, Finanzierung beobachten</t>
  </si>
  <si>
    <t xml:space="preserve">Bewilligt ist nur die Gebäudehülle.</t>
  </si>
  <si>
    <t xml:space="preserve">BKW Building Solutions (Rahmen)</t>
  </si>
  <si>
    <t xml:space="preserve">BKW: AEK, ISP, swisspro, Arnold, inelectro</t>
  </si>
  <si>
    <t xml:space="preserve">Ostermundigen</t>
  </si>
  <si>
    <t xml:space="preserve">ca. 4'000 MA in ca. 50 Firmen</t>
  </si>
  <si>
    <t xml:space="preserve">Baustrom, Netzersatz (Arnold: Kabelnetzbau)</t>
  </si>
  <si>
    <t xml:space="preserve">BKW BS Einkauf; BKW ist auch Energie-Anbieter</t>
  </si>
  <si>
    <t xml:space="preserve">CKW Gebäudetechnik und EKZ Eltop (Rahmen)</t>
  </si>
  <si>
    <t xml:space="preserve">Axpo-Gruppe (CKW) / EKZ</t>
  </si>
  <si>
    <t xml:space="preserve">Luzern / Zürich</t>
  </si>
  <si>
    <t xml:space="preserve">LU/ZH</t>
  </si>
  <si>
    <t xml:space="preserve">ca. 1'400 MA CKW GT, ca. 550 MA EKZ Eltop</t>
  </si>
  <si>
    <t xml:space="preserve">Baustrom, BESS</t>
  </si>
  <si>
    <t xml:space="preserve">Getrennt ansprechen, gemeinsam auswerten</t>
  </si>
  <si>
    <t xml:space="preserve">FIS Ski-WM Crans-Montana 2027</t>
  </si>
  <si>
    <t xml:space="preserve">Swiss-Ski / OK Crans-Montana 2027</t>
  </si>
  <si>
    <t xml:space="preserve">Crans-Montana</t>
  </si>
  <si>
    <t xml:space="preserve">VS</t>
  </si>
  <si>
    <t xml:space="preserve">01.-14.02.2027, zwei Wochen Broadcast, Fan-Zonen, Hospitality</t>
  </si>
  <si>
    <t xml:space="preserve">Redundante Generatoren (n+1), BESS für Hospitality</t>
  </si>
  <si>
    <t xml:space="preserve">Zeltheizung, Heizzentralen</t>
  </si>
  <si>
    <t xml:space="preserve">OK Crans-Montana 2027 sofort kontaktieren, Französisch</t>
  </si>
  <si>
    <t xml:space="preserve">Produktionsleitung, Technische Leitung OK</t>
  </si>
  <si>
    <t xml:space="preserve">Szenario-Grösse ist Annahme.</t>
  </si>
  <si>
    <t xml:space="preserve">Green Zürich West 4 Lupfig</t>
  </si>
  <si>
    <t xml:space="preserve">Green; GU Implenia</t>
  </si>
  <si>
    <t xml:space="preserve">Lupfig</t>
  </si>
  <si>
    <t xml:space="preserve">12 MW IT, Inbetriebnahme 2026 geplant (eine Quelle nennt 2027)</t>
  </si>
  <si>
    <t xml:space="preserve">Lastbank für IST, Generator für Tests und Überbrückung</t>
  </si>
  <si>
    <t xml:space="preserve">Temporäre Kühlung beim IST</t>
  </si>
  <si>
    <t xml:space="preserve">Green Facility/Commissioning und Implenia-Projektleitung kontaktieren</t>
  </si>
  <si>
    <t xml:space="preserve">Commissioning läuft vermutlich jetzt. Tempo zählt.</t>
  </si>
  <si>
    <t xml:space="preserve">Lonza Stein Fill &amp; Finish (plus Visp)</t>
  </si>
  <si>
    <t xml:space="preserve">Lonza</t>
  </si>
  <si>
    <t xml:space="preserve">Stein / Visp</t>
  </si>
  <si>
    <t xml:space="preserve">AG/VS</t>
  </si>
  <si>
    <t xml:space="preserve">CHF 500 Mio. Anlage Stein operativ ab H1 2027, Ibex Visp im Ramp-up</t>
  </si>
  <si>
    <t xml:space="preserve">NEA-Lasttests, temporäre USV, Netzersatz bei Validierung</t>
  </si>
  <si>
    <t xml:space="preserve">Kühlung bei Validierung</t>
  </si>
  <si>
    <t xml:space="preserve">Lonza Engineering Stein: Inbetriebnahme H1 2027</t>
  </si>
  <si>
    <t xml:space="preserve">WEF Annual Meeting 2027</t>
  </si>
  <si>
    <t xml:space="preserve">World Economic Forum</t>
  </si>
  <si>
    <t xml:space="preserve">Davos</t>
  </si>
  <si>
    <t xml:space="preserve">GR</t>
  </si>
  <si>
    <t xml:space="preserve">18.-22.01.2027, Pavillons und Sicherheit bei knappem Ortsnetz</t>
  </si>
  <si>
    <t xml:space="preserve">Generatoren redundant, BESS-Hybrid für leise Zonen</t>
  </si>
  <si>
    <t xml:space="preserve">Zeltheizung, Heizzentralen (MiT-Kern)</t>
  </si>
  <si>
    <t xml:space="preserve">Offerte für 2027 jetzt, Aufbau startet im Dezember</t>
  </si>
  <si>
    <t xml:space="preserve">Stadtautobahn St.Gallen (BSA-Umstellung)</t>
  </si>
  <si>
    <t xml:space="preserve">ASTRA</t>
  </si>
  <si>
    <t xml:space="preserve">St. Gallen</t>
  </si>
  <si>
    <t xml:space="preserve">SG</t>
  </si>
  <si>
    <t xml:space="preserve">ca. CHF 524 Mio., Schlussarbeiten 2027 bis Sommer 2028</t>
  </si>
  <si>
    <t xml:space="preserve">Netzersatz für Lüftung und Beleuchtung bei Umstellung</t>
  </si>
  <si>
    <t xml:space="preserve">ASTRA Filiale Winterthur / BSA-Unternehmer: Umschaltplan</t>
  </si>
  <si>
    <t xml:space="preserve">Romande Energie: UW-Modernisierung HS/MS</t>
  </si>
  <si>
    <t xml:space="preserve">Romande Energie</t>
  </si>
  <si>
    <t xml:space="preserve">Kanton Waadt</t>
  </si>
  <si>
    <t xml:space="preserve">VD</t>
  </si>
  <si>
    <t xml:space="preserve">Mehrere Unterwerk-Umbauten 2024-2027</t>
  </si>
  <si>
    <t xml:space="preserve">Netzersatz, mobiler Trafo (Wert fehlt)</t>
  </si>
  <si>
    <t xml:space="preserve">Romande Energie Netzbau, Französisch</t>
  </si>
  <si>
    <t xml:space="preserve">Flughafen Zürich: neuer Tower</t>
  </si>
  <si>
    <t xml:space="preserve">Flughafen Zürich AG</t>
  </si>
  <si>
    <t xml:space="preserve">Kloten</t>
  </si>
  <si>
    <t xml:space="preserve">Tower-Bau ab 2027 (ca. 2 Jahre), Dock A ab 2030 (&gt; CHF 1 Mrd.)</t>
  </si>
  <si>
    <t xml:space="preserve">Netzersatz und BESS bei Umschaltungen im 24/7-Betrieb</t>
  </si>
  <si>
    <t xml:space="preserve">Klima/Kühlung für Provisorien</t>
  </si>
  <si>
    <t xml:space="preserve">Flughafen Energie/Technik: Rahmen für Umschaltungen anbieten</t>
  </si>
  <si>
    <t xml:space="preserve">A1 Wankdorf-Schönbühl (8-Spur-Ausbau)</t>
  </si>
  <si>
    <t xml:space="preserve">Bern / Schönbühl</t>
  </si>
  <si>
    <t xml:space="preserve">CHF 474 Mio., ab 2027, ca. 6 Jahre</t>
  </si>
  <si>
    <t xml:space="preserve">Generatoren für Lichtsignale, Beleuchtung, Installationsplätze</t>
  </si>
  <si>
    <t xml:space="preserve">Zuschlag an Bau-ARGE abwarten, dann ARGE ansprechen</t>
  </si>
  <si>
    <t xml:space="preserve">Kantonsspital St.Gallen Haus 07B</t>
  </si>
  <si>
    <t xml:space="preserve">HOCH Health Ostschweiz</t>
  </si>
  <si>
    <t xml:space="preserve">Rohbau 2026, Ausbau 2027/28, Übergabe 2029</t>
  </si>
  <si>
    <t xml:space="preserve">Baustrom Ausbau, später NEA-Test</t>
  </si>
  <si>
    <t xml:space="preserve">Bauheizung, Trocknung</t>
  </si>
  <si>
    <t xml:space="preserve">HOCH Bau und Technik: Ausbauphase 2027</t>
  </si>
  <si>
    <t xml:space="preserve">Novartis Schweizerhalle und Stein</t>
  </si>
  <si>
    <t xml:space="preserve">Novartis</t>
  </si>
  <si>
    <t xml:space="preserve">Pratteln / Stein</t>
  </si>
  <si>
    <t xml:space="preserve">BL/AG</t>
  </si>
  <si>
    <t xml:space="preserve">USD 80 Mio. siRNA Schweizerhalle, USD 26 Mio. Sterile Stein, bis ca. 2028</t>
  </si>
  <si>
    <t xml:space="preserve">Netzersatz bei Umbauten im GMP-Betrieb</t>
  </si>
  <si>
    <t xml:space="preserve">Klima</t>
  </si>
  <si>
    <t xml:space="preserve">Novartis Engineering: Umschaltfenster</t>
  </si>
  <si>
    <t xml:space="preserve">ewz UW Sihlfeld (Erneuerung)</t>
  </si>
  <si>
    <t xml:space="preserve">ewz</t>
  </si>
  <si>
    <t xml:space="preserve">Innerstädtisches Unterwerk, 2027-2029</t>
  </si>
  <si>
    <t xml:space="preserve">Provisorien: Generator-Netzersatz, mobiler Trafo (Wert fehlt)</t>
  </si>
  <si>
    <t xml:space="preserve">ewz Netzbau: Provisoriumskonzept, IVöB-Verfahren beachten</t>
  </si>
  <si>
    <t xml:space="preserve">Gare de Lausanne (Léman 2030)</t>
  </si>
  <si>
    <t xml:space="preserve">SBB/CFF</t>
  </si>
  <si>
    <t xml:space="preserve">Lausanne</t>
  </si>
  <si>
    <t xml:space="preserve">Hauptarbeiten ab Ende 2027, viele Nachtschichten</t>
  </si>
  <si>
    <t xml:space="preserve">BESS und Generator für Nachtbaustellen</t>
  </si>
  <si>
    <t xml:space="preserve">CFF Projektleitung Lausanne, Dokumente auf Französisch</t>
  </si>
  <si>
    <t xml:space="preserve">Swissgrid UW Innertkirchen (neue GIS)</t>
  </si>
  <si>
    <t xml:space="preserve">Swissgrid</t>
  </si>
  <si>
    <t xml:space="preserve">Innertkirchen</t>
  </si>
  <si>
    <t xml:space="preserve">ca. CHF 33 Mio., Baustart frühestens 2027</t>
  </si>
  <si>
    <t xml:space="preserve">Eigenbedarf und Provisorien während Umschaltung</t>
  </si>
  <si>
    <t xml:space="preserve">Swissgrid Projektleitung, Ausschreibung verfolgen</t>
  </si>
  <si>
    <t xml:space="preserve">ESAF 2028 Thun</t>
  </si>
  <si>
    <t xml:space="preserve">OK ESAF 2028</t>
  </si>
  <si>
    <t xml:space="preserve">Thun</t>
  </si>
  <si>
    <t xml:space="preserve">25.-27.08.2028, Aufbau ab Frühsommer 2028</t>
  </si>
  <si>
    <t xml:space="preserve">Arena, Festgelände, Camping: Generatoren und BESS</t>
  </si>
  <si>
    <t xml:space="preserve">Kühlung Gastro</t>
  </si>
  <si>
    <t xml:space="preserve">Offerte und Konzept 2027, Umsatz 2028</t>
  </si>
  <si>
    <t xml:space="preserve">Umsatz fällt 2028 an.</t>
  </si>
  <si>
    <t xml:space="preserve">90-Tage-Plan Oktober 2026 bis Januar 2027</t>
  </si>
  <si>
    <t xml:space="preserve">Vorschlag, im Team bestätigen. Status per Dropdown, überfällige Termine werden rot.</t>
  </si>
  <si>
    <t xml:space="preserve">Nr.</t>
  </si>
  <si>
    <t xml:space="preserve">Monat</t>
  </si>
  <si>
    <t xml:space="preserve">Termin</t>
  </si>
  <si>
    <t xml:space="preserve">Aufgabe</t>
  </si>
  <si>
    <t xml:space="preserve">Status</t>
  </si>
  <si>
    <t xml:space="preserve">Ergebnis / Notiz</t>
  </si>
  <si>
    <t xml:space="preserve">Oktober</t>
  </si>
  <si>
    <t xml:space="preserve">Commissioning-Manager kontaktieren, IST-Plan der Folgephasen klären</t>
  </si>
  <si>
    <t xml:space="preserve">IST-Termin und Lastbank-Bedarf mit Green und Implenia klären</t>
  </si>
  <si>
    <t xml:space="preserve">NEA-Lasttest Umzug Jan. 2027 und Rückbau-Baustrom offerieren</t>
  </si>
  <si>
    <t xml:space="preserve">OK kontaktieren, Bedarf abfragen (Unterlagen Französisch)</t>
  </si>
  <si>
    <t xml:space="preserve">Arlesheim und Genf als Paket anbieten</t>
  </si>
  <si>
    <t xml:space="preserve">NorthC Arlesheim (uptownBasel) / NorthC Genf «The Hive»</t>
  </si>
  <si>
    <t xml:space="preserve">November</t>
  </si>
  <si>
    <t xml:space="preserve">Rahmengespräch Einkauf Gruppe</t>
  </si>
  <si>
    <t xml:space="preserve">Rahmengespräch Einkauf VINCI Energies CH</t>
  </si>
  <si>
    <t xml:space="preserve">Rahmengespräch Einkauf und FM-Leitung</t>
  </si>
  <si>
    <t xml:space="preserve">Offerte abgeben, Aufbau startet im Dezember</t>
  </si>
  <si>
    <t xml:space="preserve">GU/Elektro über simap und Baugesuch ermitteln, Baustrom offerieren</t>
  </si>
  <si>
    <t xml:space="preserve">Dezember</t>
  </si>
  <si>
    <t xml:space="preserve">MiT-Mietsätze im Blatt «Annahmen» Spalte E eintragen</t>
  </si>
  <si>
    <t xml:space="preserve">alle</t>
  </si>
  <si>
    <t xml:space="preserve">Kundenstatus aus CRM für alle Top-Player eintragen</t>
  </si>
  <si>
    <t xml:space="preserve">Backup-Rahmen mit Baustellenleitung besprechen</t>
  </si>
  <si>
    <t xml:space="preserve">2. Gotthardröhre / Sisikoner Tunnel (Neue Axenstrasse)</t>
  </si>
  <si>
    <t xml:space="preserve">Januar</t>
  </si>
  <si>
    <t xml:space="preserve">Review im Team, Pipeline neu rechnen, Prio anpassen</t>
  </si>
  <si>
    <t xml:space="preserve">Beziehung aufbauen, RZ 2028 aufgleisen</t>
  </si>
  <si>
    <t xml:space="preserve">Rechenzentren Schweiz 2026-2028</t>
  </si>
  <si>
    <t xml:space="preserve">Fakten aus öffentlichen Quellen, Stand 27.09.2026. (?) = unsicher. Potenzial nur für Top-Player (Blatt «Top-Player»).</t>
  </si>
  <si>
    <t xml:space="preserve">Betreiber / Projekt</t>
  </si>
  <si>
    <t xml:space="preserve">Standort</t>
  </si>
  <si>
    <t xml:space="preserve">IT-Leistung MW</t>
  </si>
  <si>
    <t xml:space="preserve">Zeitplan</t>
  </si>
  <si>
    <t xml:space="preserve">GU / PM</t>
  </si>
  <si>
    <t xml:space="preserve">Netzanschluss</t>
  </si>
  <si>
    <t xml:space="preserve">Für uns</t>
  </si>
  <si>
    <t xml:space="preserve">STACK ZUR02</t>
  </si>
  <si>
    <t xml:space="preserve">Beringen SH</t>
  </si>
  <si>
    <t xml:space="preserve">36</t>
  </si>
  <si>
    <t xml:space="preserve">Aufrichte 2025, Betriebsstart Herbst 2026</t>
  </si>
  <si>
    <t xml:space="preserve">PM MBA Projektmanagement</t>
  </si>
  <si>
    <t xml:space="preserve">neues Unterwerk vom Betreiber finanziert, ca. 350 GWh/a</t>
  </si>
  <si>
    <t xml:space="preserve">Hot Lead: Folgephasen-IST 2027</t>
  </si>
  <si>
    <t xml:space="preserve">stackinfra.com; shn.ch 12.02.2026</t>
  </si>
  <si>
    <t xml:space="preserve">Green Zürich West 4</t>
  </si>
  <si>
    <t xml:space="preserve">Lupfig AG</t>
  </si>
  <si>
    <t xml:space="preserve">12</t>
  </si>
  <si>
    <t xml:space="preserve">Baustart 01/2025, IBN 2026 (eine Quelle: 2027)</t>
  </si>
  <si>
    <t xml:space="preserve">GU Implenia (&gt; CHF 150 Mio.)</t>
  </si>
  <si>
    <t xml:space="preserve">Abwärme ins Netz IBB</t>
  </si>
  <si>
    <t xml:space="preserve">Hot Lead: Commissioning läuft</t>
  </si>
  <si>
    <t xml:space="preserve">implenia.com 27.03.2025</t>
  </si>
  <si>
    <t xml:space="preserve">Green Metro-Campus</t>
  </si>
  <si>
    <t xml:space="preserve">Dielsdorf ZH</t>
  </si>
  <si>
    <t xml:space="preserve">Campus-Anschluss 50 MW</t>
  </si>
  <si>
    <t xml:space="preserve">RZ2/RZ3 im Bau, weiteres RZ Baustart 2026</t>
  </si>
  <si>
    <t xml:space="preserve">EKZ-UW Dielsdorf (CHF 14 Mio., 50 MW) seit 09/2025</t>
  </si>
  <si>
    <t xml:space="preserve">Baustrom 2027, IST 2028</t>
  </si>
  <si>
    <t xml:space="preserve">baublatt.ch; ekz.ch</t>
  </si>
  <si>
    <t xml:space="preserve">Digital Realty ZUR4</t>
  </si>
  <si>
    <t xml:space="preserve">Opfikon-Glattbrugg ZH</t>
  </si>
  <si>
    <t xml:space="preserve">15</t>
  </si>
  <si>
    <t xml:space="preserve">Spatenstich 27.08.2026, fertig 2028</t>
  </si>
  <si>
    <t xml:space="preserve">unbekannt: simap / Baugesuch prüfen</t>
  </si>
  <si>
    <t xml:space="preserve">unbekannt</t>
  </si>
  <si>
    <t xml:space="preserve">investor.digitalrealty.com 27.08.2026</t>
  </si>
  <si>
    <t xml:space="preserve">Vantage ZRH3</t>
  </si>
  <si>
    <t xml:space="preserve">Volketswil ZH</t>
  </si>
  <si>
    <t xml:space="preserve">100 bis 150</t>
  </si>
  <si>
    <t xml:space="preserve">Phase 1 live 2028</t>
  </si>
  <si>
    <t xml:space="preserve">neue Unterwerke nötig, Engpass Vornetz Axpo/Swissgrid</t>
  </si>
  <si>
    <t xml:space="preserve">Beziehung aufbauen, EMEA-Beschaffung</t>
  </si>
  <si>
    <t xml:space="preserve">ekz.ch/blue 2025; datacenterdynamics.com</t>
  </si>
  <si>
    <t xml:space="preserve">NorthC Arlesheim</t>
  </si>
  <si>
    <t xml:space="preserve">Arlesheim BL</t>
  </si>
  <si>
    <t xml:space="preserve">4,5 (Ausbau 7,5)</t>
  </si>
  <si>
    <t xml:space="preserve">Betrieb ab Mitte 2027</t>
  </si>
  <si>
    <t xml:space="preserve">6 MVA, NEA mit HVO</t>
  </si>
  <si>
    <t xml:space="preserve">IST 2027</t>
  </si>
  <si>
    <t xml:space="preserve">northcdatacenters.com 11.09.2025</t>
  </si>
  <si>
    <t xml:space="preserve">NorthC «The Hive»</t>
  </si>
  <si>
    <t xml:space="preserve">4,5 (3 × 1,5)</t>
  </si>
  <si>
    <t xml:space="preserve">Baustart Q1 2026, fertig Q2 2028</t>
  </si>
  <si>
    <t xml:space="preserve">NEA mit HVO, Direct-to-Chip</t>
  </si>
  <si>
    <t xml:space="preserve">northcdatacenters.com</t>
  </si>
  <si>
    <t xml:space="preserve">FlexBase TZL</t>
  </si>
  <si>
    <t xml:space="preserve">Laufenburg AG</t>
  </si>
  <si>
    <t xml:space="preserve">bis ca. 500 (technisch, ?)</t>
  </si>
  <si>
    <t xml:space="preserve">Spatenstich 05.05.2025, Vollbetrieb Sommer 2028 (umstritten)</t>
  </si>
  <si>
    <t xml:space="preserve">ERNE Gruppe</t>
  </si>
  <si>
    <t xml:space="preserve">Swissgrid Phase 1 bewilligt, 800 MW</t>
  </si>
  <si>
    <t xml:space="preserve">Beobachten, über ERNE</t>
  </si>
  <si>
    <t xml:space="preserve">flexbase.ch; srf.ch</t>
  </si>
  <si>
    <t xml:space="preserve">Equinix ZH4 Phase 6</t>
  </si>
  <si>
    <t xml:space="preserve">?</t>
  </si>
  <si>
    <t xml:space="preserve">CHF 40 Mio., fertig 2027</t>
  </si>
  <si>
    <t xml:space="preserve">Beobachten (unter CHF 50'000)</t>
  </si>
  <si>
    <t xml:space="preserve">inside-it.ch 12.11.2024</t>
  </si>
  <si>
    <t xml:space="preserve">NTT Zurich 1</t>
  </si>
  <si>
    <t xml:space="preserve">Rümlang ZH</t>
  </si>
  <si>
    <t xml:space="preserve">20</t>
  </si>
  <si>
    <t xml:space="preserve">in Betrieb, keine Erweiterung gefunden</t>
  </si>
  <si>
    <t xml:space="preserve">–</t>
  </si>
  <si>
    <t xml:space="preserve">NEA-Tests wiederkehrend</t>
  </si>
  <si>
    <t xml:space="preserve">datacentermap.com</t>
  </si>
  <si>
    <t xml:space="preserve">ENKA Beringerfeld</t>
  </si>
  <si>
    <t xml:space="preserve">Baugesuch in Vorprüfung, Widerstand</t>
  </si>
  <si>
    <t xml:space="preserve">ENKA İnşaat</t>
  </si>
  <si>
    <t xml:space="preserve">unklar</t>
  </si>
  <si>
    <t xml:space="preserve">shaz.ch 10.08.2026</t>
  </si>
  <si>
    <t xml:space="preserve">Commissioning (IST) in Kürze</t>
  </si>
  <si>
    <t xml:space="preserve">IST Level 5: Strom, Kälte und Notstrom laufen gemeinsam auf Design-Last, Netz wird getrennt, Fehler werden simuliert.</t>
  </si>
  <si>
    <t xml:space="preserve">Lastbank-Leistung ≈ Design-IT-Last der getesteten Data Hall, dazu Heizlastbänke im White Space.</t>
  </si>
  <si>
    <t xml:space="preserve">Laststufen 25 / 50 / 75 / 100 %, danach mehrere Stunden Volllast.</t>
  </si>
  <si>
    <t xml:space="preserve">IST-Fenster typisch 4 bis 6 Wochen; 8 bis 16 Wochen von erster Energisierung bis IST-Abschluss je Data Hall.</t>
  </si>
  <si>
    <t xml:space="preserve">Mängel im IST erzwingen Re-Tests und damit erneute Lastbank-Miete.</t>
  </si>
  <si>
    <t xml:space="preserve">Quellen: anvilfield.com (IST Field Guide), sunbeltsolomon.com, hillstone.co.uk (US/UK-Fachquellen).</t>
  </si>
  <si>
    <t xml:space="preserve">Produktbedarf je Segment</t>
  </si>
  <si>
    <t xml:space="preserve">3 = Kernbedarf, 2 = häufig, 1 = gelegentlich, 0 = kaum. Einschätzung aus den Szenarien, änderbar.</t>
  </si>
  <si>
    <t xml:space="preserve">Generator</t>
  </si>
  <si>
    <t xml:space="preserve">Lastbank</t>
  </si>
  <si>
    <t xml:space="preserve">BESS</t>
  </si>
  <si>
    <t xml:space="preserve">Mobiler Trafo</t>
  </si>
  <si>
    <t xml:space="preserve">NEA-Test / USV</t>
  </si>
  <si>
    <t xml:space="preserve">Tank / HVO</t>
  </si>
  <si>
    <t xml:space="preserve">Lesart: Generator ist überall Türöffner, Lastbank im RZ, Trafo im Netz, BESS bei Events und Nachtbaustellen.</t>
  </si>
  <si>
    <t xml:space="preserve">Portfolio Power und Cross-Sell</t>
  </si>
  <si>
    <t xml:space="preserve">Was wir vermieten, wofür, an wen. Kennwerte laut Quelle; fehlende Werte als Lücke markiert.</t>
  </si>
  <si>
    <t xml:space="preserve">Produkt</t>
  </si>
  <si>
    <t xml:space="preserve">Wofür</t>
  </si>
  <si>
    <t xml:space="preserve">Typische Kunden</t>
  </si>
  <si>
    <t xml:space="preserve">Kennwerte / Hinweis</t>
  </si>
  <si>
    <t xml:space="preserve">Baustrom, Netzersatz, Events, Überbrückung bis Netzanschluss</t>
  </si>
  <si>
    <t xml:space="preserve">GU/TU, Tunnel, RZ im Bau, Events, Netzbetreiber</t>
  </si>
  <si>
    <t xml:space="preserve">Aggreko CH: 30 bis 2'100 kVA, Diesel, Gas, HVO, Stage V. Immer klären: Prime (Dauer) oder Standby (Notstrom).</t>
  </si>
  <si>
    <t xml:space="preserve">aggreko.com/de-ch/products/generators</t>
  </si>
  <si>
    <t xml:space="preserve">Künstliche Last für NEA-Tests und RZ-Commissioning (IST)</t>
  </si>
  <si>
    <t xml:space="preserve">RZ, Spitäler, Pharma, Facility Manager</t>
  </si>
  <si>
    <t xml:space="preserve">Aggreko: 100 bis 6'250 kW, Commissioning Level L1 bis L5, flüssigkeitsgekühlte Varianten für KI-RZ.</t>
  </si>
  <si>
    <t xml:space="preserve">aggreko.com (Data Centre Commissioning, Load Banks)</t>
  </si>
  <si>
    <t xml:space="preserve">Leise, emissionsfreie Versorgung, Lastspitzen kappen, Hybrid mit Generator</t>
  </si>
  <si>
    <t xml:space="preserve">Events, Nachtbaustellen, Innenstadt, Spitäler</t>
  </si>
  <si>
    <t xml:space="preserve">Beispiel Aggreko: 1 MW / 1,2 MWh. Immer nutzbare Kapazität (kWh) und C-Rate angeben, nicht Nennkapazität.</t>
  </si>
  <si>
    <t xml:space="preserve">aggreko.com</t>
  </si>
  <si>
    <t xml:space="preserve">Provisorische Einspeisung MS/NS bei Unterwerk- und Stationsumbau</t>
  </si>
  <si>
    <t xml:space="preserve">Netzbetreiber, Industrie, Grossbaustellen</t>
  </si>
  <si>
    <t xml:space="preserve">Bei MiT nicht belegt, über Aggreko prüfen. Mietsatz: Wert fehlt, aus Preisliste ergänzen.</t>
  </si>
  <si>
    <t xml:space="preserve">NEA-Test und Messung</t>
  </si>
  <si>
    <t xml:space="preserve">Netzersatzanlage unter Last prüfen, Netzqualität vor und nach Umschaltung messen</t>
  </si>
  <si>
    <t xml:space="preserve">Spitäler, Industrie, RZ, Facility Manager</t>
  </si>
  <si>
    <t xml:space="preserve">Messung nach EN 50160 (Spannungsmerkmale) mit Geräten nach IEC 61000-4-30 Klasse A.</t>
  </si>
  <si>
    <t xml:space="preserve">eigene Fachkompetenz</t>
  </si>
  <si>
    <t xml:space="preserve">Tankcontainer / HVO</t>
  </si>
  <si>
    <t xml:space="preserve">Treibstoff-Logistik für Dauerbetrieb, erneuerbarer Diesel</t>
  </si>
  <si>
    <t xml:space="preserve">Tunnel, RZ-Überbrückung, Events</t>
  </si>
  <si>
    <t xml:space="preserve">1 MVA bei 75 % Last: ca. 139 bis 154 l/h (Cummins C1000 D5), rund CHF 350 pro Stunde bei 2,41 CHF/l.</t>
  </si>
  <si>
    <t xml:space="preserve">Cummins-Datenblatt; TCS 18.09.2026</t>
  </si>
  <si>
    <t xml:space="preserve">Bauheizung, Trocknung, temporäre Kühlung, Zeltheizung, Entfeuchtung</t>
  </si>
  <si>
    <t xml:space="preserve">Winterbaustellen, RZ-IST, Spital-Umzug, WEF, Ski-WM</t>
  </si>
  <si>
    <t xml:space="preserve">MiT-Kerngeschäft. Kühlung Richtwert ca. CHF 16'400 pro MW (therm.) und Monat (US-Lease, umgerechnet).</t>
  </si>
  <si>
    <t xml:space="preserve">mobilintime.com; kwipped.com</t>
  </si>
  <si>
    <t xml:space="preserve">Annahmen: Mietsätze und Schwellen</t>
  </si>
  <si>
    <t xml:space="preserve">Stand 27.09.2026  |  gelbe Zellen = Eingaben  |  Spalte E «MiT-Satz» überschreibt den Richtwert</t>
  </si>
  <si>
    <t xml:space="preserve">Parameter</t>
  </si>
  <si>
    <t xml:space="preserve">Richtwert</t>
  </si>
  <si>
    <t xml:space="preserve">Einheit</t>
  </si>
  <si>
    <t xml:space="preserve">Quelle / Herleitung</t>
  </si>
  <si>
    <t xml:space="preserve">MiT-Satz (eintragen)</t>
  </si>
  <si>
    <t xml:space="preserve">gilt</t>
  </si>
  <si>
    <t xml:space="preserve">Wechselkurs USD/CHF</t>
  </si>
  <si>
    <t xml:space="preserve">CHF je USD</t>
  </si>
  <si>
    <t xml:space="preserve">Stichdatum 24.09.2026: 1 USD = 0,828 CHF (exchangerates.org.uk / Wise)</t>
  </si>
  <si>
    <t xml:space="preserve">cos phi (Generator-Nennleistung)</t>
  </si>
  <si>
    <t xml:space="preserve">Standard 0,8: 1 MVA ≈ 0,8 MW Wirkleistung</t>
  </si>
  <si>
    <t xml:space="preserve">Generator Miete, tief</t>
  </si>
  <si>
    <t xml:space="preserve">USD pro MW und Woche</t>
  </si>
  <si>
    <t xml:space="preserve">US-Richtwert 500 kW: 2'500-3'900 USD/Woche, hochgerechnet auf 1 MW (dieselfuelhq.com, 2026)</t>
  </si>
  <si>
    <t xml:space="preserve">Generator Miete, hoch</t>
  </si>
  <si>
    <t xml:space="preserve">wie oben</t>
  </si>
  <si>
    <t xml:space="preserve">Generator Miete (Modell)</t>
  </si>
  <si>
    <t xml:space="preserve">CHF pro MVA und Woche</t>
  </si>
  <si>
    <t xml:space="preserve">Mittelwert × cos phi × Kurs. Nur Grössenordnung, durch MiT-Preisliste ersetzen</t>
  </si>
  <si>
    <t xml:space="preserve">Lastbank Miete, tief</t>
  </si>
  <si>
    <t xml:space="preserve">US-Richtwert 1-MW-Lastbank: 1'600-3'100 USD/Woche (countbricks.com, 2026)</t>
  </si>
  <si>
    <t xml:space="preserve">Lastbank Miete, hoch</t>
  </si>
  <si>
    <t xml:space="preserve">Lastbank Miete (Modell)</t>
  </si>
  <si>
    <t xml:space="preserve">CHF pro MW und Woche</t>
  </si>
  <si>
    <t xml:space="preserve">Mittelwert × Kurs. Ohne Personal/Engineering für IST</t>
  </si>
  <si>
    <t xml:space="preserve">BESS Miete, tief</t>
  </si>
  <si>
    <t xml:space="preserve">USD pro MW und Monat</t>
  </si>
  <si>
    <t xml:space="preserve">Bandbreite 10'000-50'000 USD/MW/Monat (ritarpower.com, Herstellerblog, nicht belastbar)</t>
  </si>
  <si>
    <t xml:space="preserve">BESS Miete, hoch</t>
  </si>
  <si>
    <t xml:space="preserve">BESS Miete (Modell)</t>
  </si>
  <si>
    <t xml:space="preserve">CHF pro MW und Monat</t>
  </si>
  <si>
    <t xml:space="preserve">Mittelwert × Kurs. Nutzbare Kapazität und C-Rate je Projekt klären</t>
  </si>
  <si>
    <t xml:space="preserve">Mobiler Trafo Miete</t>
  </si>
  <si>
    <t xml:space="preserve">Wert fehlt</t>
  </si>
  <si>
    <t xml:space="preserve">CHF pro Woche</t>
  </si>
  <si>
    <t xml:space="preserve">Öffentlich nicht gefunden: aus MiT-Preisliste ergänzen. Nicht im Potenzial enthalten</t>
  </si>
  <si>
    <t xml:space="preserve">Transport, Montage, Service</t>
  </si>
  <si>
    <t xml:space="preserve">CHF</t>
  </si>
  <si>
    <t xml:space="preserve">Nicht im Potenzial enthalten: aus MiT-Preisliste ergänzen</t>
  </si>
  <si>
    <t xml:space="preserve">Dieselverbrauch 1 MVA bei 75 % Last</t>
  </si>
  <si>
    <t xml:space="preserve">l/h</t>
  </si>
  <si>
    <t xml:space="preserve">Cummins C1000 D5: 139 l/h Prime, 154 l/h Standby (Datenblatt)</t>
  </si>
  <si>
    <t xml:space="preserve">Dieselpreis Schweiz</t>
  </si>
  <si>
    <t xml:space="preserve">CHF/l</t>
  </si>
  <si>
    <t xml:space="preserve">TCS 18.09.2026: 2,41 CHF/l (Tankstelle, Gewerbepreis tiefer)</t>
  </si>
  <si>
    <t xml:space="preserve">Treibstoffkosten 1 MVA bei 75 % Last</t>
  </si>
  <si>
    <t xml:space="preserve">CHF pro Stunde</t>
  </si>
  <si>
    <t xml:space="preserve">Argument für BESS-Hybrid: jede Stunde Generator-Leerlauf kostet</t>
  </si>
  <si>
    <t xml:space="preserve">Temporäre Kühlung (Cross-Sell)</t>
  </si>
  <si>
    <t xml:space="preserve">CHF pro MW (therm.) und Monat</t>
  </si>
  <si>
    <t xml:space="preserve">US-Lease 500 t Chiller (ca. 1,75 MW) 34'666 USD/Monat (kwipped.com). Nur Info</t>
  </si>
  <si>
    <t xml:space="preserve">Prio A ab Erwartung 2027</t>
  </si>
  <si>
    <t xml:space="preserve">Erwartung = Potenzial × Anteil 2027 × Wahrscheinlichkeit</t>
  </si>
  <si>
    <t xml:space="preserve">Prio B ab Erwartung 2027</t>
  </si>
  <si>
    <t xml:space="preserve">darunter Prio C</t>
  </si>
  <si>
    <t xml:space="preserve">Schwelle Top-Player (Potenzial)</t>
  </si>
  <si>
    <t xml:space="preserve">Vorgabe: Projekte mit mehr als CHF 50'000 Potenzial</t>
  </si>
  <si>
    <t xml:space="preserve">Unter CHF 50'000, zu früh oder zu unsicher. Quartalsweise prüfen, bei neuem Anlass in «Top-Player» übernehmen.</t>
  </si>
  <si>
    <t xml:space="preserve">Warum (noch) nicht Top</t>
  </si>
  <si>
    <t xml:space="preserve">CHF 40 Mio. Ausbau, fertig 2027. Kleiner Commissioning-Umfang.</t>
  </si>
  <si>
    <t xml:space="preserve">ENKA Rechenzentrum Beringerfeld</t>
  </si>
  <si>
    <t xml:space="preserve">Baugesuch in Vorprüfung, starker Widerstand.</t>
  </si>
  <si>
    <t xml:space="preserve">Microsoft / AWS / Google Cloud-Regionen</t>
  </si>
  <si>
    <t xml:space="preserve">Zürich / Genf</t>
  </si>
  <si>
    <t xml:space="preserve">Standorte nicht öffentlich, meist Colocation: Zugang über Green, Vantage, STACK.</t>
  </si>
  <si>
    <t xml:space="preserve">Swiss Government Cloud (BIT)</t>
  </si>
  <si>
    <t xml:space="preserve">Bund</t>
  </si>
  <si>
    <t xml:space="preserve">CHF 319 Mio. 2025-2032, Private Cloud in eigenen RZ.</t>
  </si>
  <si>
    <t xml:space="preserve">Alpiq BESS Niedergösgen 300 MW / 1,2 GWh</t>
  </si>
  <si>
    <t xml:space="preserve">Niedergösgen SO</t>
  </si>
  <si>
    <t xml:space="preserve">Bau 2027, IBN 2029: Baustrom klein, Partner-Thema BESS.</t>
  </si>
  <si>
    <t xml:space="preserve">BESS Bonaduz 60 MW / 120 MWh</t>
  </si>
  <si>
    <t xml:space="preserve">Bonaduz GR</t>
  </si>
  <si>
    <t xml:space="preserve">COD H1 2027, Commissioning-Support prüfen.</t>
  </si>
  <si>
    <t xml:space="preserve">Spital Sion Erweiterung</t>
  </si>
  <si>
    <t xml:space="preserve">Sion VS</t>
  </si>
  <si>
    <t xml:space="preserve">OP-Bündelung bis Ende 2027, Umfang eher unter CHF 50'000.</t>
  </si>
  <si>
    <t xml:space="preserve">Swiss Chip FabLab Dübendorf</t>
  </si>
  <si>
    <t xml:space="preserve">Dübendorf ZH</t>
  </si>
  <si>
    <t xml:space="preserve">Finanzierung offen, Betrieb ab 2028 geplant.</t>
  </si>
  <si>
    <t xml:space="preserve">Weltcup Adelboden und Lauberhorn</t>
  </si>
  <si>
    <t xml:space="preserve">Adelboden / Wengen BE</t>
  </si>
  <si>
    <t xml:space="preserve">Je unter CHF 50'000 Miete, zusammen interessant. BKW Sponsor Lauberhorn.</t>
  </si>
  <si>
    <t xml:space="preserve">Sommer-Openairs (St.Gallen, Frauenfeld, Gurten, Paléo, Montreux)</t>
  </si>
  <si>
    <t xml:space="preserve">diverse</t>
  </si>
  <si>
    <t xml:space="preserve">Einzeln meist unter CHF 50'000, als Saisonpaket prüfen.</t>
  </si>
  <si>
    <t xml:space="preserve">Art Basel 2027</t>
  </si>
  <si>
    <t xml:space="preserve">Basel</t>
  </si>
  <si>
    <t xml:space="preserve">Satelliten-Pavillons, Umfang unklar.</t>
  </si>
  <si>
    <t xml:space="preserve">Zimmerberg-Basistunnel II</t>
  </si>
  <si>
    <t xml:space="preserve">Thalwil-Baar</t>
  </si>
  <si>
    <t xml:space="preserve">Bau ab 2029.</t>
  </si>
  <si>
    <t xml:space="preserve">Stadion Hardturm Zürich</t>
  </si>
  <si>
    <t xml:space="preserve">Baubeginn frühestens 2027/28.</t>
  </si>
  <si>
    <t xml:space="preserve">Facility Manager</t>
  </si>
  <si>
    <t xml:space="preserve">ISS, CBRE, Honegger (NEA-Test-Programme)</t>
  </si>
  <si>
    <t xml:space="preserve">national</t>
  </si>
  <si>
    <t xml:space="preserve">Wiederkehrende NEA-Tests, je Objekt klein: als Rahmen prüfen.</t>
  </si>
  <si>
    <t xml:space="preserve">Elektroplaner</t>
  </si>
  <si>
    <t xml:space="preserve">Amstein + Walthert, HHM, Scherler</t>
  </si>
  <si>
    <t xml:space="preserve">Kaufen nicht selbst, schreiben aber Notstrom und Lastbank-Tests aus.</t>
  </si>
  <si>
    <t xml:space="preserve">Wettbewerb mobiler Strom Schweiz</t>
  </si>
  <si>
    <t xml:space="preserve">Aus Websuche, Angaben auf der verlinkten Seite prüfen.</t>
  </si>
  <si>
    <t xml:space="preserve">Anbieter</t>
  </si>
  <si>
    <t xml:space="preserve">Angebot</t>
  </si>
  <si>
    <t xml:space="preserve">Avesco Rent (Cat)</t>
  </si>
  <si>
    <t xml:space="preserve">Cat-Generatoren, z.B. XQP500 (550 kVA)</t>
  </si>
  <si>
    <t xml:space="preserve">Bimex</t>
  </si>
  <si>
    <t xml:space="preserve">Aggregate bis 2'000 kVA, netzparallel</t>
  </si>
  <si>
    <t xml:space="preserve">GENGA AG</t>
  </si>
  <si>
    <t xml:space="preserve">bis 670 kVA, auf Anfrage bis 2'500 kVA</t>
  </si>
  <si>
    <t xml:space="preserve">Kummler+Matter EVT</t>
  </si>
  <si>
    <t xml:space="preserve">Mobile Trafostationen MS/NS (Partner und Wettbewerber)</t>
  </si>
  <si>
    <t xml:space="preserve">Arag Bau</t>
  </si>
  <si>
    <t xml:space="preserve">Generatoren 20 bis 608 kVA</t>
  </si>
  <si>
    <t xml:space="preserve">Loxam CH / Boels CH</t>
  </si>
  <si>
    <t xml:space="preserve">Generatoren bis ca. 150 kVA</t>
  </si>
  <si>
    <t xml:space="preserve">Energyst (Cat Rental Power)</t>
  </si>
  <si>
    <t xml:space="preserve">Generatoren, Trafos, Lastbänke; CH vermutlich über Avesco</t>
  </si>
  <si>
    <t xml:space="preserve">Glossar: Abkürzungen</t>
  </si>
  <si>
    <t xml:space="preserve">Gleiche Liste wie im Anhang der Präsentation.</t>
  </si>
  <si>
    <t xml:space="preserve">Kürzel</t>
  </si>
  <si>
    <t xml:space="preserve">Bedeutung</t>
  </si>
  <si>
    <t xml:space="preserve">Battery Energy Storage System, Batteriespeicher</t>
  </si>
  <si>
    <t xml:space="preserve">NEA</t>
  </si>
  <si>
    <t xml:space="preserve">Netzersatzanlage (Notstromaggregat)</t>
  </si>
  <si>
    <t xml:space="preserve">USV</t>
  </si>
  <si>
    <t xml:space="preserve">Unterbrechungsfreie Stromversorgung</t>
  </si>
  <si>
    <t xml:space="preserve">IST / L1-L5</t>
  </si>
  <si>
    <t xml:space="preserve">Integrated Systems Test, RZ-Gesamttest = Level 5</t>
  </si>
  <si>
    <t xml:space="preserve">kVA / MVA</t>
  </si>
  <si>
    <t xml:space="preserve">Scheinleistung (Nennleistung Generator)</t>
  </si>
  <si>
    <t xml:space="preserve">kW / MW</t>
  </si>
  <si>
    <t xml:space="preserve">Wirkleistung; bei cos phi 0,8: 1 MVA ≈ 0,8 MW</t>
  </si>
  <si>
    <t xml:space="preserve">IT-MW</t>
  </si>
  <si>
    <t xml:space="preserve">Elektrische Leistung der Server im RZ</t>
  </si>
  <si>
    <t xml:space="preserve">UW / GIS</t>
  </si>
  <si>
    <t xml:space="preserve">Unterwerk / gasisolierte Schaltanlage</t>
  </si>
  <si>
    <t xml:space="preserve">HS / MS / NS</t>
  </si>
  <si>
    <t xml:space="preserve">Hoch-, Mittel-, Niederspannung</t>
  </si>
  <si>
    <t xml:space="preserve">HVO</t>
  </si>
  <si>
    <t xml:space="preserve">Hydriertes Pflanzenöl, erneuerbarer Diesel</t>
  </si>
  <si>
    <t xml:space="preserve">TBM / BSA</t>
  </si>
  <si>
    <t xml:space="preserve">Tunnelbohrmaschine / Tunnel-Sicherheitstechnik</t>
  </si>
  <si>
    <t xml:space="preserve">RZ</t>
  </si>
  <si>
    <t xml:space="preserve">GU / TU / ARGE</t>
  </si>
  <si>
    <t xml:space="preserve">General-, Totalunternehmer / Arbeitsgemeinschaft</t>
  </si>
  <si>
    <t xml:space="preserve">IBN / PM</t>
  </si>
  <si>
    <t xml:space="preserve">Inbetriebnahme / Projektmanagement</t>
  </si>
  <si>
    <t xml:space="preserve">IVöB / simap</t>
  </si>
  <si>
    <t xml:space="preserve">Beschaffungsrecht / Ausschreibungsportal</t>
  </si>
  <si>
    <t xml:space="preserve">EMEA</t>
  </si>
  <si>
    <t xml:space="preserve">Europa, Nahost, Afrika: zentraler Einkauf</t>
  </si>
  <si>
    <t xml:space="preserve">GMP</t>
  </si>
  <si>
    <t xml:space="preserve">Good Manufacturing Practice (Pharma-Regeln)</t>
  </si>
  <si>
    <t xml:space="preserve">ASTRA / SBB</t>
  </si>
  <si>
    <t xml:space="preserve">Bundesamt für Strassen / Schweizerische Bundesbahnen</t>
  </si>
  <si>
    <t xml:space="preserve">EKZ / ewz / CKW / IWB</t>
  </si>
  <si>
    <t xml:space="preserve">Stromversorger Kt. Zürich, Stadt Zürich, Zentralschweiz, Basel</t>
  </si>
  <si>
    <t xml:space="preserve">KWO / KSA / USZ / KSSG</t>
  </si>
  <si>
    <t xml:space="preserve">Kraftwerke Oberhasli; Spitäler Aarau, Zürich, St.Gallen</t>
  </si>
  <si>
    <t xml:space="preserve">WEF / FIS / ESAF</t>
  </si>
  <si>
    <t xml:space="preserve">World Economic Forum / Ski-Weltverband / Schwingfest</t>
  </si>
  <si>
    <t xml:space="preserve">CRM / FX</t>
  </si>
  <si>
    <t xml:space="preserve">Kundendatenbank / Wechselkurs</t>
  </si>
  <si>
    <t xml:space="preserve">Methode und Quellen</t>
  </si>
  <si>
    <t xml:space="preserve">Stand 27.09.2026</t>
  </si>
  <si>
    <t xml:space="preserve">Auswahl</t>
  </si>
  <si>
    <t xml:space="preserve">Websuche 27.09.2026 zu Rechenzentren, Grossbaustellen, Unterwerken, Spitälern, Pharma und Events 2026-2028 in der Schweiz.</t>
  </si>
  <si>
    <t xml:space="preserve">Aufgenommen, wenn das Power-Szenario mehr als CHF 50'000 Miete ergibt. Alles andere steht in «Beobachten».</t>
  </si>
  <si>
    <t xml:space="preserve">Szenario</t>
  </si>
  <si>
    <t xml:space="preserve">Je Projekt: Generator MVA × Wochen, Lastbank MW × Wochen, BESS MW × Monate. Grössen sind eigene Annahmen aus den öffentlichen Fakten</t>
  </si>
  <si>
    <t xml:space="preserve">(z.B. Lastbank für IST ≈ IT-Last einer Data Hall, 3-4 Wochen; Tunnel-Backup 52 Wochen). Blaue Zellen anpassen, sobald ihr mehr wisst.</t>
  </si>
  <si>
    <t xml:space="preserve">Sätze</t>
  </si>
  <si>
    <t xml:space="preserve">Öffentliche Listenpreise ab 100 kVA gibt es in CH/DE/AT nicht (nur auf Anfrage). Genutzt werden US-Richtwerte, umgerechnet 0,828 CHF/USD (24.09.2026).</t>
  </si>
  <si>
    <t xml:space="preserve">Diese Werte sind Grössenordnung, keine Offertenbasis. MiT-Sätze in «Annahmen» Spalte E eintragen.</t>
  </si>
  <si>
    <t xml:space="preserve">Welcher Teil des Volumens ins Kalenderjahr 2027 fällt (Bau- bzw. Eventtermine aus den Quellen).</t>
  </si>
  <si>
    <t xml:space="preserve">Wahrscheinlichkeit</t>
  </si>
  <si>
    <t xml:space="preserve">Chance, dass MiT den Auftrag gewinnt: 10 % (EMEA-Beschaffung, unsicherer Zeitplan) bis 30 % (konkreter Anlass, Region nah).</t>
  </si>
  <si>
    <t xml:space="preserve">Commissioning</t>
  </si>
  <si>
    <t xml:space="preserve">Integrated Systems Test (Level 5): Last ≈ Design-IT-Last, Stufen 25/50/75/100 %, IST-Fenster 4-6 Wochen (anvilfield.com, sunbeltsolomon.com).</t>
  </si>
  <si>
    <t xml:space="preserve">Netzengpass</t>
  </si>
  <si>
    <t xml:space="preserve">EKZ: über 100 Anschlussanfragen von RZ, 6 von 9 neuen Unterwerken entstehen für RZ, Engpass im Vornetz Axpo/Swissgrid (ekz.ch, 2025).</t>
  </si>
  <si>
    <t xml:space="preserve">Nicht enthalten</t>
  </si>
  <si>
    <t xml:space="preserve">Trafo-Miete, Transport, Montage, Service, Treibstoff: Potenzial ist bewusst konservativ.</t>
  </si>
  <si>
    <t xml:space="preserve">Kundenstatus</t>
  </si>
  <si>
    <t xml:space="preserve">MiT-Status (Bestand, verloren, Aufbau) ist nicht öffentlich: Spalte «Status MiT (CRM)» aus dem CRM füllen.</t>
  </si>
  <si>
    <t xml:space="preserve">Vertraulich</t>
  </si>
  <si>
    <t xml:space="preserve">Interne Arbeitsliste. Keine Weitergabe an Kunden.</t>
  </si>
  <si>
    <t xml:space="preserve">Team</t>
  </si>
  <si>
    <t xml:space="preserve">Burak</t>
  </si>
  <si>
    <t xml:space="preserve">Mauro</t>
  </si>
  <si>
    <t xml:space="preserve">A-Kunde</t>
  </si>
  <si>
    <t xml:space="preserve">Jörg</t>
  </si>
  <si>
    <t xml:space="preserve">Bestandskunde mit Potenzial</t>
  </si>
  <si>
    <t xml:space="preserve">Roberto</t>
  </si>
  <si>
    <t xml:space="preserve">Verlorener Kunde</t>
  </si>
  <si>
    <t xml:space="preserve">Potenzial / Aufbau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</si>
</sst>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#,##0;\-#,##0;\-"/>
    <numFmt numFmtId="167" formatCode="0%"/>
    <numFmt numFmtId="168" formatCode="General"/>
    <numFmt numFmtId="169" formatCode="#,##0"/>
    <numFmt numFmtId="170" formatCode="0.0"/>
    <numFmt numFmtId="171" formatCode="dd\.mm\.yyyy"/>
    <numFmt numFmtId="172" formatCode="0.000"/>
    <numFmt numFmtId="173" formatCode="0.00"/>
    <numFmt numFmtId="174" formatCode="@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0"/>
      <charset val="1"/>
    </font>
    <font>
      <i val="true"/>
      <sz val="9"/>
      <color rgb="FF58595B"/>
      <name val="Arial"/>
      <family val="0"/>
      <charset val="1"/>
    </font>
    <font>
      <b val="true"/>
      <sz val="12"/>
      <color rgb="FFE0003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E00036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E0003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8595B"/>
        <bgColor rgb="FF333333"/>
      </patternFill>
    </fill>
    <fill>
      <patternFill patternType="solid">
        <fgColor rgb="FFE00036"/>
        <bgColor rgb="FF80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2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2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E000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8595B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00036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58595B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E0003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58595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Erwartung 2027 nach Segment (CHF)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Start!D15</c:f>
              <c:strCache>
                <c:ptCount val="1"/>
                <c:pt idx="0">
                  <c:v>Erwartung 2027 CHF</c:v>
                </c:pt>
              </c:strCache>
            </c:strRef>
          </c:tx>
          <c:spPr>
            <a:solidFill>
              <a:srgbClr val="e0003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Start!$A$16:$A$22</c:f>
              <c:strCache>
                <c:ptCount val="7"/>
                <c:pt idx="0">
                  <c:v>Rechenzentrum</c:v>
                </c:pt>
                <c:pt idx="1">
                  <c:v>Infrastruktur</c:v>
                </c:pt>
                <c:pt idx="2">
                  <c:v>Netz / Unterwerk</c:v>
                </c:pt>
                <c:pt idx="3">
                  <c:v>Spital</c:v>
                </c:pt>
                <c:pt idx="4">
                  <c:v>Industrie</c:v>
                </c:pt>
                <c:pt idx="5">
                  <c:v>Event</c:v>
                </c:pt>
                <c:pt idx="6">
                  <c:v>Kanal-Partner</c:v>
                </c:pt>
              </c:strCache>
            </c:strRef>
          </c:cat>
          <c:val>
            <c:numRef>
              <c:f>Start!$D$16:$D$22</c:f>
              <c:numCache>
                <c:formatCode>#,##0;\-#,##0;\-</c:formatCode>
                <c:ptCount val="7"/>
                <c:pt idx="0">
                  <c:v>171300</c:v>
                </c:pt>
                <c:pt idx="1">
                  <c:v>248100</c:v>
                </c:pt>
                <c:pt idx="2">
                  <c:v>55400</c:v>
                </c:pt>
                <c:pt idx="3">
                  <c:v>65100</c:v>
                </c:pt>
                <c:pt idx="4">
                  <c:v>69700</c:v>
                </c:pt>
                <c:pt idx="5">
                  <c:v>24100</c:v>
                </c:pt>
                <c:pt idx="6">
                  <c:v>101400</c:v>
                </c:pt>
              </c:numCache>
            </c:numRef>
          </c:val>
        </c:ser>
        <c:gapWidth val="150"/>
        <c:overlap val="0"/>
        <c:axId val="17392476"/>
        <c:axId val="83371683"/>
      </c:barChart>
      <c:catAx>
        <c:axId val="173924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71683"/>
        <c:crosses val="autoZero"/>
        <c:auto val="1"/>
        <c:lblAlgn val="ctr"/>
        <c:lblOffset val="100"/>
        <c:noMultiLvlLbl val="0"/>
      </c:catAx>
      <c:valAx>
        <c:axId val="8337168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924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10: Erwartung 2027 (CHF)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Start!D26</c:f>
              <c:strCache>
                <c:ptCount val="1"/>
                <c:pt idx="0">
                  <c:v>Erwartung 2027 CHF</c:v>
                </c:pt>
              </c:strCache>
            </c:strRef>
          </c:tx>
          <c:spPr>
            <a:solidFill>
              <a:srgbClr val="5859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Start!$B$27:$B$36</c:f>
              <c:strCache>
                <c:ptCount val="10"/>
                <c:pt idx="0">
                  <c:v>2. Gotthardröhre</c:v>
                </c:pt>
                <c:pt idx="1">
                  <c:v>Sisikoner Tunnel (Neue Axenstrasse)</c:v>
                </c:pt>
                <c:pt idx="2">
                  <c:v>Kantonsspital Aarau «Dreiklang»</c:v>
                </c:pt>
                <c:pt idx="3">
                  <c:v>STACK ZUR02 Beringen</c:v>
                </c:pt>
                <c:pt idx="4">
                  <c:v>Bachem Werk Sisslerfeld</c:v>
                </c:pt>
                <c:pt idx="5">
                  <c:v>Pumpspeicherwerk Grimsel 4</c:v>
                </c:pt>
                <c:pt idx="6">
                  <c:v>Vantage ZRH3 Volketswil</c:v>
                </c:pt>
                <c:pt idx="7">
                  <c:v>ETAVIS / VINCI Energies (Rahmen)</c:v>
                </c:pt>
                <c:pt idx="8">
                  <c:v>Burkhalter Gruppe (Rahmen)</c:v>
                </c:pt>
                <c:pt idx="9">
                  <c:v>Green Metro-Campus Dielsdorf (nächstes RZ)</c:v>
                </c:pt>
              </c:strCache>
            </c:strRef>
          </c:cat>
          <c:val>
            <c:numRef>
              <c:f>Start!$D$27:$D$36</c:f>
              <c:numCache>
                <c:formatCode>#,##0;\-#,##0;\-</c:formatCode>
                <c:ptCount val="10"/>
                <c:pt idx="0">
                  <c:v>66100</c:v>
                </c:pt>
                <c:pt idx="1">
                  <c:v>66100</c:v>
                </c:pt>
                <c:pt idx="2">
                  <c:v>38000</c:v>
                </c:pt>
                <c:pt idx="3">
                  <c:v>37000</c:v>
                </c:pt>
                <c:pt idx="4">
                  <c:v>33900</c:v>
                </c:pt>
                <c:pt idx="5">
                  <c:v>33100</c:v>
                </c:pt>
                <c:pt idx="6">
                  <c:v>28000</c:v>
                </c:pt>
                <c:pt idx="7">
                  <c:v>27800</c:v>
                </c:pt>
                <c:pt idx="8">
                  <c:v>25400</c:v>
                </c:pt>
                <c:pt idx="9">
                  <c:v>23500</c:v>
                </c:pt>
              </c:numCache>
            </c:numRef>
          </c:val>
        </c:ser>
        <c:gapWidth val="150"/>
        <c:overlap val="0"/>
        <c:axId val="98907009"/>
        <c:axId val="15598575"/>
      </c:barChart>
      <c:catAx>
        <c:axId val="9890700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98575"/>
        <c:crosses val="autoZero"/>
        <c:auto val="1"/>
        <c:lblAlgn val="ctr"/>
        <c:lblOffset val="100"/>
        <c:noMultiLvlLbl val="0"/>
      </c:catAx>
      <c:valAx>
        <c:axId val="15598575"/>
        <c:scaling>
          <c:orientation val="minMax"/>
        </c:scaling>
        <c:delete val="0"/>
        <c:axPos val="l"/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070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12</xdr:row>
      <xdr:rowOff>100800</xdr:rowOff>
    </xdr:from>
    <xdr:to>
      <xdr:col>12</xdr:col>
      <xdr:colOff>681480</xdr:colOff>
      <xdr:row>25</xdr:row>
      <xdr:rowOff>294480</xdr:rowOff>
    </xdr:to>
    <xdr:graphicFrame>
      <xdr:nvGraphicFramePr>
        <xdr:cNvPr id="0" name="Chart 1"/>
        <xdr:cNvGraphicFramePr/>
      </xdr:nvGraphicFramePr>
      <xdr:xfrm>
        <a:off x="12623760" y="27432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100800</xdr:rowOff>
    </xdr:from>
    <xdr:to>
      <xdr:col>12</xdr:col>
      <xdr:colOff>681480</xdr:colOff>
      <xdr:row>46</xdr:row>
      <xdr:rowOff>102240</xdr:rowOff>
    </xdr:to>
    <xdr:graphicFrame>
      <xdr:nvGraphicFramePr>
        <xdr:cNvPr id="1" name="Chart 2"/>
        <xdr:cNvGraphicFramePr/>
      </xdr:nvGraphicFramePr>
      <xdr:xfrm>
        <a:off x="12623760" y="64008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opPlayer" displayName="TopPlayer" ref="A4:AF42" headerRowCount="1" totalsRowCount="0" totalsRowShown="0">
  <autoFilter ref="A4:AF42"/>
  <tableColumns count="32">
    <tableColumn id="1" name="Rang"/>
    <tableColumn id="2" name="Prio"/>
    <tableColumn id="3" name="Segment"/>
    <tableColumn id="4" name="Projekt / Kunde"/>
    <tableColumn id="5" name="Einstieg über"/>
    <tableColumn id="6" name="Ort"/>
    <tableColumn id="7" name="Kt."/>
    <tableColumn id="8" name="Region"/>
    <tableColumn id="9" name="Sprache"/>
    <tableColumn id="10" name="Anlass und Zeitfenster"/>
    <tableColumn id="11" name="Power-Bedarf"/>
    <tableColumn id="12" name="Generator MVA"/>
    <tableColumn id="13" name="Generator Wochen"/>
    <tableColumn id="14" name="Lastbank MW"/>
    <tableColumn id="15" name="Lastbank Wochen"/>
    <tableColumn id="16" name="BESS MW"/>
    <tableColumn id="17" name="BESS Monate"/>
    <tableColumn id="18" name="Potenzial Power CHF"/>
    <tableColumn id="19" name="Anteil 2027"/>
    <tableColumn id="20" name="Wahrschein-lichkeit"/>
    <tableColumn id="21" name="Erwartung 2027 CHF"/>
    <tableColumn id="22" name="Cross-Sell Wärme / Kälte"/>
    <tableColumn id="23" name="Nächster Schritt"/>
    <tableColumn id="24" name="Verantwortlich"/>
    <tableColumn id="25" name="Status MiT (CRM)"/>
    <tableColumn id="26" name="Zielrolle"/>
    <tableColumn id="27" name="Ansprechperson (Name)"/>
    <tableColumn id="28" name="Kontakt (Tel. / E-Mail)"/>
    <tableColumn id="29" name="Letzter Kontakt"/>
    <tableColumn id="30" name="Nächster Termin"/>
    <tableColumn id="31" name="Quelle"/>
    <tableColumn id="32" name="Hinweis / Annah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op_Player_Power_Schweiz_2027.xlsx" TargetMode="External"/><Relationship Id="rId2" Type="http://schemas.openxmlformats.org/officeDocument/2006/relationships/hyperlink" Target="Top_Player_Power_Schweiz_2027.xlsx" TargetMode="External"/><Relationship Id="rId3" Type="http://schemas.openxmlformats.org/officeDocument/2006/relationships/hyperlink" Target="Top_Player_Power_Schweiz_2027.xlsx" TargetMode="External"/><Relationship Id="rId4" Type="http://schemas.openxmlformats.org/officeDocument/2006/relationships/hyperlink" Target="Top_Player_Power_Schweiz_2027.xlsx" TargetMode="External"/><Relationship Id="rId5" Type="http://schemas.openxmlformats.org/officeDocument/2006/relationships/hyperlink" Target="Top_Player_Power_Schweiz_2027.xlsx" TargetMode="External"/><Relationship Id="rId6" Type="http://schemas.openxmlformats.org/officeDocument/2006/relationships/hyperlink" Target="Top_Player_Power_Schweiz_2027.xlsx" TargetMode="External"/><Relationship Id="rId7" Type="http://schemas.openxmlformats.org/officeDocument/2006/relationships/hyperlink" Target="Top_Player_Power_Schweiz_2027.xlsx" TargetMode="External"/><Relationship Id="rId8" Type="http://schemas.openxmlformats.org/officeDocument/2006/relationships/hyperlink" Target="Top_Player_Power_Schweiz_2027.xlsx" TargetMode="External"/><Relationship Id="rId9" Type="http://schemas.openxmlformats.org/officeDocument/2006/relationships/hyperlink" Target="Top_Player_Power_Schweiz_2027.xlsx" TargetMode="External"/><Relationship Id="rId10" Type="http://schemas.openxmlformats.org/officeDocument/2006/relationships/hyperlink" Target="Top_Player_Power_Schweiz_2027.xlsx" TargetMode="External"/><Relationship Id="rId1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stra.admin.ch/astra/de/home/themen/nationalstrassen/baustellen/medienmitteilungen/bellinzona/statolavorigottardo.html" TargetMode="External"/><Relationship Id="rId2" Type="http://schemas.openxmlformats.org/officeDocument/2006/relationships/hyperlink" Target="https://implenia.com/medien/artikel/implenia-erhaelt-zuschlag-fuer-sisikoner-tunnel-herzstueck-der-neuen-axenstrasse-in-der-innerschweiz/" TargetMode="External"/><Relationship Id="rId3" Type="http://schemas.openxmlformats.org/officeDocument/2006/relationships/hyperlink" Target="https://www.ksa.ch/de/kantonsspital-aarau/ueber-uns/die-bauprojekte/neubau-dreiklang" TargetMode="External"/><Relationship Id="rId4" Type="http://schemas.openxmlformats.org/officeDocument/2006/relationships/hyperlink" Target="https://www.stackinfra.com/about/news-press/news/new-data-center-campus-in-beringen-switzerland/" TargetMode="External"/><Relationship Id="rId5" Type="http://schemas.openxmlformats.org/officeDocument/2006/relationships/hyperlink" Target="https://www.bachem.com/wp-content/uploads/2026/07/2026-07-21-Press-Release-BSF-FINAL-DE.pdf" TargetMode="External"/><Relationship Id="rId6" Type="http://schemas.openxmlformats.org/officeDocument/2006/relationships/hyperlink" Target="https://www.grimselstrom.ch/projekte/pumpspeicherwerk-grimsel-4" TargetMode="External"/><Relationship Id="rId7" Type="http://schemas.openxmlformats.org/officeDocument/2006/relationships/hyperlink" Target="https://www.datacenterdynamics.com/" TargetMode="External"/><Relationship Id="rId8" Type="http://schemas.openxmlformats.org/officeDocument/2006/relationships/hyperlink" Target="https://www.vinci-energies.ch/unsere-bereiche/etavis/" TargetMode="External"/><Relationship Id="rId9" Type="http://schemas.openxmlformats.org/officeDocument/2006/relationships/hyperlink" Target="https://ch.marketscreener.com/boerse-nachrichten/burkhalter-kurzversion-nichtfinanzielle-berichterstattung-2025-ce7e50ded98bf423" TargetMode="External"/><Relationship Id="rId10" Type="http://schemas.openxmlformats.org/officeDocument/2006/relationships/hyperlink" Target="https://www.baublatt.ch/bauprojekte/green-baut-viertes-rechenzentrum-auf-metro-campus-in-dielsdorf-zh-36395" TargetMode="External"/><Relationship Id="rId11" Type="http://schemas.openxmlformats.org/officeDocument/2006/relationships/hyperlink" Target="https://www.northcdatacenters.com/de/pressemitteilungen/northc-baut-auf-dem-campus-uptownbasel-das-rechenzentrum-der-zukunft/" TargetMode="External"/><Relationship Id="rId12" Type="http://schemas.openxmlformats.org/officeDocument/2006/relationships/hyperlink" Target="https://www.phase5.ch/nun-heisst-es-offiziell-equans-switzerland" TargetMode="External"/><Relationship Id="rId13" Type="http://schemas.openxmlformats.org/officeDocument/2006/relationships/hyperlink" Target="https://www.inside-it.ch/spatenstich-fuer-neues-rz-von-digital-reality-in-glattbrugg-20260827" TargetMode="External"/><Relationship Id="rId14" Type="http://schemas.openxmlformats.org/officeDocument/2006/relationships/hyperlink" Target="https://www.nzz.ch/zuerich/grossprojekt-stadelhofen-was-der-bahnhofsumbau-bedeutet-ld.1884585" TargetMode="External"/><Relationship Id="rId15" Type="http://schemas.openxmlformats.org/officeDocument/2006/relationships/hyperlink" Target="https://www.luzernerzeitung.ch/zentralschweiz/kanton-luzern/stromnetz-ckw-investiert-11-millionen-franken-in-unterwerk-sursee-ld.2761224" TargetMode="External"/><Relationship Id="rId16" Type="http://schemas.openxmlformats.org/officeDocument/2006/relationships/hyperlink" Target="https://www.usz.ch/standorte/usz-campus/campusmitte/" TargetMode="External"/><Relationship Id="rId17" Type="http://schemas.openxmlformats.org/officeDocument/2006/relationships/hyperlink" Target="https://www.axpo.com/ch/de/newsroom/medienmitteilungen/2026/gesamterneuerung-des-unterwerks-niederurnen-im-kanton-glarus---a.html" TargetMode="External"/><Relationship Id="rId18" Type="http://schemas.openxmlformats.org/officeDocument/2006/relationships/hyperlink" Target="https://gva.blog/les-futurs-grands-chantiers-de-geneve-aeroport-dici-2033/" TargetMode="External"/><Relationship Id="rId19" Type="http://schemas.openxmlformats.org/officeDocument/2006/relationships/hyperlink" Target="https://www.tagesanzeiger.ch/bruettener-tunnel-baustart-2026-in-bassersdorf-und-dietlikon-747315398294" TargetMode="External"/><Relationship Id="rId20" Type="http://schemas.openxmlformats.org/officeDocument/2006/relationships/hyperlink" Target="https://www.baublatt.ch/bauprojekte/roche-legt-grundstein-fuer-neuen-produktionsbau-in-basel-39630" TargetMode="External"/><Relationship Id="rId21" Type="http://schemas.openxmlformats.org/officeDocument/2006/relationships/hyperlink" Target="https://www.northcdatacenters.com/en/press-releases/northc-group-to-build-new-high-tech-data-center-in-geneva-switzerland/" TargetMode="External"/><Relationship Id="rId22" Type="http://schemas.openxmlformats.org/officeDocument/2006/relationships/hyperlink" Target="https://flexbase.ch/en/project-overview" TargetMode="External"/><Relationship Id="rId23" Type="http://schemas.openxmlformats.org/officeDocument/2006/relationships/hyperlink" Target="https://www.bkw.com/en/about-us/building-solutions" TargetMode="External"/><Relationship Id="rId24" Type="http://schemas.openxmlformats.org/officeDocument/2006/relationships/hyperlink" Target="https://www.ckw.ch/gebaeudetechnik/elektroinstallationen" TargetMode="External"/><Relationship Id="rId25" Type="http://schemas.openxmlformats.org/officeDocument/2006/relationships/hyperlink" Target="https://www.cransmontana2027.ch/en/" TargetMode="External"/><Relationship Id="rId26" Type="http://schemas.openxmlformats.org/officeDocument/2006/relationships/hyperlink" Target="https://implenia.com/medien/artikel/implenia-gewinnt-attraktive-neue-projekte-in-den-bereichen-datacenter-gesundheit-sowie-energie-und-verkehrsinfrastruktur/" TargetMode="External"/><Relationship Id="rId27" Type="http://schemas.openxmlformats.org/officeDocument/2006/relationships/hyperlink" Target="https://www.bioprocessintl.com/facilities-capacity/lonza-expands-stein-site-again-with-commercial-fill-finish-plant" TargetMode="External"/><Relationship Id="rId28" Type="http://schemas.openxmlformats.org/officeDocument/2006/relationships/hyperlink" Target="https://www.davos.ch/en/experience/events/world-economic-forum-annual-meeting-2027" TargetMode="External"/><Relationship Id="rId29" Type="http://schemas.openxmlformats.org/officeDocument/2006/relationships/hyperlink" Target="https://stadtautobahn.ch/zahlen-fakten/" TargetMode="External"/><Relationship Id="rId30" Type="http://schemas.openxmlformats.org/officeDocument/2006/relationships/hyperlink" Target="https://www.pme.ch/conseils-dexperts/romande-energie/moderniser-les-postes-electriques-haute-et-moyenne-tension-pour-relever-les-defis/y3npfj2" TargetMode="External"/><Relationship Id="rId31" Type="http://schemas.openxmlformats.org/officeDocument/2006/relationships/hyperlink" Target="https://www.flughafen-zuerich.ch/en/company/flughafen-zuerich/airport-development/current-construction-projects/main-airport-complex-development" TargetMode="External"/><Relationship Id="rId32" Type="http://schemas.openxmlformats.org/officeDocument/2006/relationships/hyperlink" Target="https://www.srf.ch/news/ausbau-autobahn-a1-zwischen-schoenbuehl-und-wankdorf-gibt-es-mehr-fahrspuren" TargetMode="External"/><Relationship Id="rId33" Type="http://schemas.openxmlformats.org/officeDocument/2006/relationships/hyperlink" Target="https://www.kssg.ch/immobilien-und-betrieb/bauprojekte/neubauprojekt-come-together/neubau-haus-07b" TargetMode="External"/><Relationship Id="rId34" Type="http://schemas.openxmlformats.org/officeDocument/2006/relationships/hyperlink" Target="https://www.novartis.com/ch-de/news/media-releases/novartis-passt-produktionsaktivitaeten-der-schweiz-und-investiert-innovative-herstelltechnologien" TargetMode="External"/><Relationship Id="rId35" Type="http://schemas.openxmlformats.org/officeDocument/2006/relationships/hyperlink" Target="https://www.stadt-zuerich.ch/de/aktuell/medienmitteilungen/2026/03/ewz-unterwerk-sihlfeld-wird-erneuert.html" TargetMode="External"/><Relationship Id="rId36" Type="http://schemas.openxmlformats.org/officeDocument/2006/relationships/hyperlink" Target="https://company.sbb.ch/fr/developpement-ferroviaire/projets/suisse-romande-valais/leman-2030/nos-projets/gare-lausanne.html" TargetMode="External"/><Relationship Id="rId37" Type="http://schemas.openxmlformats.org/officeDocument/2006/relationships/hyperlink" Target="https://www.plattformj.ch/artikel/164567/" TargetMode="External"/><Relationship Id="rId38" Type="http://schemas.openxmlformats.org/officeDocument/2006/relationships/hyperlink" Target="https://www.esaf2028.ch/" TargetMode="External"/><Relationship Id="rId39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inside-it.ch/equinix-baut-data-center-in-zuerich-aus-20241112" TargetMode="External"/><Relationship Id="rId2" Type="http://schemas.openxmlformats.org/officeDocument/2006/relationships/hyperlink" Target="https://www.shn.ch/" TargetMode="External"/><Relationship Id="rId3" Type="http://schemas.openxmlformats.org/officeDocument/2006/relationships/hyperlink" Target="https://news.microsoft.com/de-ch/" TargetMode="External"/><Relationship Id="rId4" Type="http://schemas.openxmlformats.org/officeDocument/2006/relationships/hyperlink" Target="https://www.bit.admin.ch/" TargetMode="External"/><Relationship Id="rId5" Type="http://schemas.openxmlformats.org/officeDocument/2006/relationships/hyperlink" Target="https://www.ess-news.com/" TargetMode="External"/><Relationship Id="rId6" Type="http://schemas.openxmlformats.org/officeDocument/2006/relationships/hyperlink" Target="https://www.energy-storage.news/" TargetMode="External"/><Relationship Id="rId7" Type="http://schemas.openxmlformats.org/officeDocument/2006/relationships/hyperlink" Target="https://www.lenouvelliste.ch/" TargetMode="External"/><Relationship Id="rId8" Type="http://schemas.openxmlformats.org/officeDocument/2006/relationships/hyperlink" Target="https://www.itmagazine.ch/artikel/85232/" TargetMode="External"/><Relationship Id="rId9" Type="http://schemas.openxmlformats.org/officeDocument/2006/relationships/hyperlink" Target="https://www.lauberhorn.ch/en/races/" TargetMode="External"/><Relationship Id="rId10" Type="http://schemas.openxmlformats.org/officeDocument/2006/relationships/hyperlink" Target="https://www.openairsg.ch/" TargetMode="External"/><Relationship Id="rId11" Type="http://schemas.openxmlformats.org/officeDocument/2006/relationships/hyperlink" Target="https://www.basel.com/en/events/art-basel" TargetMode="External"/><Relationship Id="rId12" Type="http://schemas.openxmlformats.org/officeDocument/2006/relationships/hyperlink" Target="https://company.sbb.ch/" TargetMode="External"/><Relationship Id="rId13" Type="http://schemas.openxmlformats.org/officeDocument/2006/relationships/hyperlink" Target="https://www.20min.ch/" TargetMode="External"/><Relationship Id="rId14" Type="http://schemas.openxmlformats.org/officeDocument/2006/relationships/hyperlink" Target="https://ch.issworld.com/" TargetMode="External"/><Relationship Id="rId15" Type="http://schemas.openxmlformats.org/officeDocument/2006/relationships/hyperlink" Target="https://amstein-walthert.ch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avescorent.ch/de/mietkategorie/power-system/" TargetMode="External"/><Relationship Id="rId2" Type="http://schemas.openxmlformats.org/officeDocument/2006/relationships/hyperlink" Target="https://www.bimex.ch/mieten/" TargetMode="External"/><Relationship Id="rId3" Type="http://schemas.openxmlformats.org/officeDocument/2006/relationships/hyperlink" Target="https://www.genga.ch/" TargetMode="External"/><Relationship Id="rId4" Type="http://schemas.openxmlformats.org/officeDocument/2006/relationships/hyperlink" Target="https://kuma-evt.ch/de/kompetenzen/energie/energieversorgung/bauprovisorien-mittel-niederspannung" TargetMode="External"/><Relationship Id="rId5" Type="http://schemas.openxmlformats.org/officeDocument/2006/relationships/hyperlink" Target="https://www.arag-bau.ch/" TargetMode="External"/><Relationship Id="rId6" Type="http://schemas.openxmlformats.org/officeDocument/2006/relationships/hyperlink" Target="https://www.loxam.ch/" TargetMode="External"/><Relationship Id="rId7" Type="http://schemas.openxmlformats.org/officeDocument/2006/relationships/hyperlink" Target="https://www.energyst.com/solution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0036"/>
    <pageSetUpPr fitToPage="false"/>
  </sheetPr>
  <dimension ref="A1:J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10" min="7" style="0" width="1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5" t="s">
        <v>8</v>
      </c>
      <c r="B11" s="5"/>
      <c r="C11" s="5" t="s">
        <v>9</v>
      </c>
      <c r="D11" s="5"/>
      <c r="E11" s="6" t="s">
        <v>10</v>
      </c>
      <c r="F11" s="6"/>
      <c r="G11" s="5" t="s">
        <v>11</v>
      </c>
      <c r="H11" s="5"/>
      <c r="I11" s="5" t="s">
        <v>12</v>
      </c>
      <c r="J11" s="5"/>
    </row>
    <row r="12" customFormat="false" ht="36" hidden="false" customHeight="true" outlineLevel="0" collapsed="false">
      <c r="A12" s="7" t="n">
        <f aca="false">COUNTA('Top-Player'!$D$5:$D$42)</f>
        <v>38</v>
      </c>
      <c r="B12" s="7"/>
      <c r="C12" s="8" t="n">
        <f aca="false">SUM('Top-Player'!$R$5:$R$42)</f>
        <v>5280200</v>
      </c>
      <c r="D12" s="8"/>
      <c r="E12" s="9" t="n">
        <f aca="false">SUM('Top-Player'!$U$5:$U$42)</f>
        <v>735100</v>
      </c>
      <c r="F12" s="9"/>
      <c r="G12" s="8" t="n">
        <f aca="false">SUMIF('Top-Player'!$C$5:$C$42,"Rechenzentrum",'Top-Player'!$U$5:$U$42)</f>
        <v>171300</v>
      </c>
      <c r="H12" s="8"/>
      <c r="I12" s="7" t="n">
        <f aca="false">COUNTIF('Top-Player'!$B$5:$B$42,"A")</f>
        <v>9</v>
      </c>
      <c r="J12" s="7"/>
    </row>
    <row r="14" customFormat="false" ht="15" hidden="false" customHeight="false" outlineLevel="0" collapsed="false">
      <c r="A14" s="3" t="s">
        <v>13</v>
      </c>
    </row>
    <row r="15" customFormat="false" ht="31.5" hidden="false" customHeight="true" outlineLevel="0" collapsed="false">
      <c r="A15" s="10" t="s">
        <v>14</v>
      </c>
      <c r="B15" s="10" t="s">
        <v>15</v>
      </c>
      <c r="C15" s="10" t="s">
        <v>9</v>
      </c>
      <c r="D15" s="10" t="s">
        <v>10</v>
      </c>
      <c r="E15" s="10" t="s">
        <v>16</v>
      </c>
    </row>
    <row r="16" customFormat="false" ht="15" hidden="false" customHeight="false" outlineLevel="0" collapsed="false">
      <c r="A16" s="11" t="s">
        <v>17</v>
      </c>
      <c r="B16" s="11" t="n">
        <f aca="false">COUNTIF('Top-Player'!$C$5:$C$42,A16)</f>
        <v>8</v>
      </c>
      <c r="C16" s="12" t="n">
        <f aca="false">SUMIF('Top-Player'!$C$5:$C$42,A16,'Top-Player'!$R$5:$R$42)</f>
        <v>1761400</v>
      </c>
      <c r="D16" s="12" t="n">
        <f aca="false">SUMIF('Top-Player'!$C$5:$C$42,A16,'Top-Player'!$U$5:$U$42)</f>
        <v>171300</v>
      </c>
      <c r="E16" s="13" t="n">
        <f aca="false">IF(SUM($D$16:$D$22)=0,0,D16/SUM($D$16:$D$22))</f>
        <v>0.233029519793225</v>
      </c>
    </row>
    <row r="17" customFormat="false" ht="15" hidden="false" customHeight="false" outlineLevel="0" collapsed="false">
      <c r="A17" s="11" t="s">
        <v>18</v>
      </c>
      <c r="B17" s="11" t="n">
        <f aca="false">COUNTIF('Top-Player'!$C$5:$C$42,A17)</f>
        <v>10</v>
      </c>
      <c r="C17" s="12" t="n">
        <f aca="false">SUMIF('Top-Player'!$C$5:$C$42,A17,'Top-Player'!$R$5:$R$42)</f>
        <v>1702100</v>
      </c>
      <c r="D17" s="12" t="n">
        <f aca="false">SUMIF('Top-Player'!$C$5:$C$42,A17,'Top-Player'!$U$5:$U$42)</f>
        <v>248100</v>
      </c>
      <c r="E17" s="13" t="n">
        <f aca="false">IF(SUM($D$16:$D$22)=0,0,D17/SUM($D$16:$D$22))</f>
        <v>0.337505101346756</v>
      </c>
    </row>
    <row r="18" customFormat="false" ht="15" hidden="false" customHeight="false" outlineLevel="0" collapsed="false">
      <c r="A18" s="11" t="s">
        <v>19</v>
      </c>
      <c r="B18" s="11" t="n">
        <f aca="false">COUNTIF('Top-Player'!$C$5:$C$42,A18)</f>
        <v>5</v>
      </c>
      <c r="C18" s="12" t="n">
        <f aca="false">SUMIF('Top-Player'!$C$5:$C$42,A18,'Top-Player'!$R$5:$R$42)</f>
        <v>313700</v>
      </c>
      <c r="D18" s="12" t="n">
        <f aca="false">SUMIF('Top-Player'!$C$5:$C$42,A18,'Top-Player'!$U$5:$U$42)</f>
        <v>55400</v>
      </c>
      <c r="E18" s="13" t="n">
        <f aca="false">IF(SUM($D$16:$D$22)=0,0,D18/SUM($D$16:$D$22))</f>
        <v>0.0753638960685621</v>
      </c>
    </row>
    <row r="19" customFormat="false" ht="15" hidden="false" customHeight="false" outlineLevel="0" collapsed="false">
      <c r="A19" s="11" t="s">
        <v>20</v>
      </c>
      <c r="B19" s="11" t="n">
        <f aca="false">COUNTIF('Top-Player'!$C$5:$C$42,A19)</f>
        <v>3</v>
      </c>
      <c r="C19" s="12" t="n">
        <f aca="false">SUMIF('Top-Player'!$C$5:$C$42,A19,'Top-Player'!$R$5:$R$42)</f>
        <v>332400</v>
      </c>
      <c r="D19" s="12" t="n">
        <f aca="false">SUMIF('Top-Player'!$C$5:$C$42,A19,'Top-Player'!$U$5:$U$42)</f>
        <v>65100</v>
      </c>
      <c r="E19" s="13" t="n">
        <f aca="false">IF(SUM($D$16:$D$22)=0,0,D19/SUM($D$16:$D$22))</f>
        <v>0.0885593796762345</v>
      </c>
    </row>
    <row r="20" customFormat="false" ht="15" hidden="false" customHeight="false" outlineLevel="0" collapsed="false">
      <c r="A20" s="11" t="s">
        <v>21</v>
      </c>
      <c r="B20" s="11" t="n">
        <f aca="false">COUNTIF('Top-Player'!$C$5:$C$42,A20)</f>
        <v>4</v>
      </c>
      <c r="C20" s="12" t="n">
        <f aca="false">SUMIF('Top-Player'!$C$5:$C$42,A20,'Top-Player'!$R$5:$R$42)</f>
        <v>389400</v>
      </c>
      <c r="D20" s="12" t="n">
        <f aca="false">SUMIF('Top-Player'!$C$5:$C$42,A20,'Top-Player'!$U$5:$U$42)</f>
        <v>69700</v>
      </c>
      <c r="E20" s="13" t="n">
        <f aca="false">IF(SUM($D$16:$D$22)=0,0,D20/SUM($D$16:$D$22))</f>
        <v>0.0948170316963678</v>
      </c>
    </row>
    <row r="21" customFormat="false" ht="15" hidden="false" customHeight="false" outlineLevel="0" collapsed="false">
      <c r="A21" s="11" t="s">
        <v>22</v>
      </c>
      <c r="B21" s="11" t="n">
        <f aca="false">COUNTIF('Top-Player'!$C$5:$C$42,A21)</f>
        <v>3</v>
      </c>
      <c r="C21" s="12" t="n">
        <f aca="false">SUMIF('Top-Player'!$C$5:$C$42,A21,'Top-Player'!$R$5:$R$42)</f>
        <v>231700</v>
      </c>
      <c r="D21" s="12" t="n">
        <f aca="false">SUMIF('Top-Player'!$C$5:$C$42,A21,'Top-Player'!$U$5:$U$42)</f>
        <v>24100</v>
      </c>
      <c r="E21" s="13" t="n">
        <f aca="false">IF(SUM($D$16:$D$22)=0,0,D21/SUM($D$16:$D$22))</f>
        <v>0.0327846551489593</v>
      </c>
    </row>
    <row r="22" customFormat="false" ht="15" hidden="false" customHeight="false" outlineLevel="0" collapsed="false">
      <c r="A22" s="11" t="s">
        <v>23</v>
      </c>
      <c r="B22" s="11" t="n">
        <f aca="false">COUNTIF('Top-Player'!$C$5:$C$42,A22)</f>
        <v>5</v>
      </c>
      <c r="C22" s="12" t="n">
        <f aca="false">SUMIF('Top-Player'!$C$5:$C$42,A22,'Top-Player'!$R$5:$R$42)</f>
        <v>549500</v>
      </c>
      <c r="D22" s="12" t="n">
        <f aca="false">SUMIF('Top-Player'!$C$5:$C$42,A22,'Top-Player'!$U$5:$U$42)</f>
        <v>101400</v>
      </c>
      <c r="E22" s="13" t="n">
        <f aca="false">IF(SUM($D$16:$D$22)=0,0,D22/SUM($D$16:$D$22))</f>
        <v>0.137940416269895</v>
      </c>
    </row>
    <row r="23" customFormat="false" ht="15" hidden="false" customHeight="false" outlineLevel="0" collapsed="false">
      <c r="A23" s="14" t="s">
        <v>24</v>
      </c>
      <c r="B23" s="15" t="n">
        <f aca="false">SUM(B16:B22)</f>
        <v>38</v>
      </c>
      <c r="C23" s="16" t="n">
        <f aca="false">SUM(C16:C22)</f>
        <v>5280200</v>
      </c>
      <c r="D23" s="16" t="n">
        <f aca="false">SUM(D16:D22)</f>
        <v>735100</v>
      </c>
      <c r="E23" s="11"/>
    </row>
    <row r="25" customFormat="false" ht="15" hidden="false" customHeight="false" outlineLevel="0" collapsed="false">
      <c r="A25" s="3" t="s">
        <v>25</v>
      </c>
    </row>
    <row r="26" customFormat="false" ht="31.5" hidden="false" customHeight="true" outlineLevel="0" collapsed="false">
      <c r="A26" s="10" t="s">
        <v>26</v>
      </c>
      <c r="B26" s="10" t="s">
        <v>27</v>
      </c>
      <c r="C26" s="10" t="s">
        <v>14</v>
      </c>
      <c r="D26" s="10" t="s">
        <v>10</v>
      </c>
      <c r="E26" s="10" t="s">
        <v>28</v>
      </c>
      <c r="F26" s="10" t="s">
        <v>29</v>
      </c>
    </row>
    <row r="27" customFormat="false" ht="15" hidden="false" customHeight="false" outlineLevel="0" collapsed="false">
      <c r="A27" s="11" t="n">
        <v>1</v>
      </c>
      <c r="B27" s="11" t="str">
        <f aca="false">INDEX('Top-Player'!$D$5:$D$42,MATCH(1,'Top-Player'!$A$5:$A$42,0))</f>
        <v>2. Gotthardröhre</v>
      </c>
      <c r="C27" s="11" t="str">
        <f aca="false">INDEX('Top-Player'!$C$5:$C$42,MATCH(1,'Top-Player'!$A$5:$A$42,0))</f>
        <v>Infrastruktur</v>
      </c>
      <c r="D27" s="12" t="n">
        <f aca="false">INDEX('Top-Player'!$U$5:$U$42,MATCH(1,'Top-Player'!$A$5:$A$42,0))</f>
        <v>66100</v>
      </c>
      <c r="E27" s="12" t="n">
        <f aca="false">INDEX('Top-Player'!$R$5:$R$42,MATCH(1,'Top-Player'!$A$5:$A$42,0))</f>
        <v>440900</v>
      </c>
      <c r="F27" s="11" t="str">
        <f aca="false">INDEX('Top-Player'!$B$5:$B$42,MATCH(1,'Top-Player'!$A$5:$A$42,0))</f>
        <v>A</v>
      </c>
    </row>
    <row r="28" customFormat="false" ht="15" hidden="false" customHeight="false" outlineLevel="0" collapsed="false">
      <c r="A28" s="11" t="n">
        <v>2</v>
      </c>
      <c r="B28" s="11" t="str">
        <f aca="false">INDEX('Top-Player'!$D$5:$D$42,MATCH(2,'Top-Player'!$A$5:$A$42,0))</f>
        <v>Sisikoner Tunnel (Neue Axenstrasse)</v>
      </c>
      <c r="C28" s="11" t="str">
        <f aca="false">INDEX('Top-Player'!$C$5:$C$42,MATCH(2,'Top-Player'!$A$5:$A$42,0))</f>
        <v>Infrastruktur</v>
      </c>
      <c r="D28" s="12" t="n">
        <f aca="false">INDEX('Top-Player'!$U$5:$U$42,MATCH(2,'Top-Player'!$A$5:$A$42,0))</f>
        <v>66100</v>
      </c>
      <c r="E28" s="12" t="n">
        <f aca="false">INDEX('Top-Player'!$R$5:$R$42,MATCH(2,'Top-Player'!$A$5:$A$42,0))</f>
        <v>330700</v>
      </c>
      <c r="F28" s="11" t="str">
        <f aca="false">INDEX('Top-Player'!$B$5:$B$42,MATCH(2,'Top-Player'!$A$5:$A$42,0))</f>
        <v>A</v>
      </c>
    </row>
    <row r="29" customFormat="false" ht="15" hidden="false" customHeight="false" outlineLevel="0" collapsed="false">
      <c r="A29" s="11" t="n">
        <v>3</v>
      </c>
      <c r="B29" s="11" t="str">
        <f aca="false">INDEX('Top-Player'!$D$5:$D$42,MATCH(3,'Top-Player'!$A$5:$A$42,0))</f>
        <v>Kantonsspital Aarau «Dreiklang»</v>
      </c>
      <c r="C29" s="11" t="str">
        <f aca="false">INDEX('Top-Player'!$C$5:$C$42,MATCH(3,'Top-Player'!$A$5:$A$42,0))</f>
        <v>Spital</v>
      </c>
      <c r="D29" s="12" t="n">
        <f aca="false">INDEX('Top-Player'!$U$5:$U$42,MATCH(3,'Top-Player'!$A$5:$A$42,0))</f>
        <v>38000</v>
      </c>
      <c r="E29" s="12" t="n">
        <f aca="false">INDEX('Top-Player'!$R$5:$R$42,MATCH(3,'Top-Player'!$A$5:$A$42,0))</f>
        <v>151900</v>
      </c>
      <c r="F29" s="11" t="str">
        <f aca="false">INDEX('Top-Player'!$B$5:$B$42,MATCH(3,'Top-Player'!$A$5:$A$42,0))</f>
        <v>A</v>
      </c>
    </row>
    <row r="30" customFormat="false" ht="15" hidden="false" customHeight="false" outlineLevel="0" collapsed="false">
      <c r="A30" s="11" t="n">
        <v>4</v>
      </c>
      <c r="B30" s="11" t="str">
        <f aca="false">INDEX('Top-Player'!$D$5:$D$42,MATCH(4,'Top-Player'!$A$5:$A$42,0))</f>
        <v>STACK ZUR02 Beringen</v>
      </c>
      <c r="C30" s="11" t="str">
        <f aca="false">INDEX('Top-Player'!$C$5:$C$42,MATCH(4,'Top-Player'!$A$5:$A$42,0))</f>
        <v>Rechenzentrum</v>
      </c>
      <c r="D30" s="12" t="n">
        <f aca="false">INDEX('Top-Player'!$U$5:$U$42,MATCH(4,'Top-Player'!$A$5:$A$42,0))</f>
        <v>37000</v>
      </c>
      <c r="E30" s="12" t="n">
        <f aca="false">INDEX('Top-Player'!$R$5:$R$42,MATCH(4,'Top-Player'!$A$5:$A$42,0))</f>
        <v>205700</v>
      </c>
      <c r="F30" s="11" t="str">
        <f aca="false">INDEX('Top-Player'!$B$5:$B$42,MATCH(4,'Top-Player'!$A$5:$A$42,0))</f>
        <v>A</v>
      </c>
    </row>
    <row r="31" customFormat="false" ht="15" hidden="false" customHeight="false" outlineLevel="0" collapsed="false">
      <c r="A31" s="11" t="n">
        <v>5</v>
      </c>
      <c r="B31" s="11" t="str">
        <f aca="false">INDEX('Top-Player'!$D$5:$D$42,MATCH(5,'Top-Player'!$A$5:$A$42,0))</f>
        <v>Bachem Werk Sisslerfeld</v>
      </c>
      <c r="C31" s="11" t="str">
        <f aca="false">INDEX('Top-Player'!$C$5:$C$42,MATCH(5,'Top-Player'!$A$5:$A$42,0))</f>
        <v>Industrie</v>
      </c>
      <c r="D31" s="12" t="n">
        <f aca="false">INDEX('Top-Player'!$U$5:$U$42,MATCH(5,'Top-Player'!$A$5:$A$42,0))</f>
        <v>33900</v>
      </c>
      <c r="E31" s="12" t="n">
        <f aca="false">INDEX('Top-Player'!$R$5:$R$42,MATCH(5,'Top-Player'!$A$5:$A$42,0))</f>
        <v>169600</v>
      </c>
      <c r="F31" s="11" t="str">
        <f aca="false">INDEX('Top-Player'!$B$5:$B$42,MATCH(5,'Top-Player'!$A$5:$A$42,0))</f>
        <v>A</v>
      </c>
    </row>
    <row r="32" customFormat="false" ht="15" hidden="false" customHeight="false" outlineLevel="0" collapsed="false">
      <c r="A32" s="11" t="n">
        <v>6</v>
      </c>
      <c r="B32" s="11" t="str">
        <f aca="false">INDEX('Top-Player'!$D$5:$D$42,MATCH(6,'Top-Player'!$A$5:$A$42,0))</f>
        <v>Pumpspeicherwerk Grimsel 4</v>
      </c>
      <c r="C32" s="11" t="str">
        <f aca="false">INDEX('Top-Player'!$C$5:$C$42,MATCH(6,'Top-Player'!$A$5:$A$42,0))</f>
        <v>Infrastruktur</v>
      </c>
      <c r="D32" s="12" t="n">
        <f aca="false">INDEX('Top-Player'!$U$5:$U$42,MATCH(6,'Top-Player'!$A$5:$A$42,0))</f>
        <v>33100</v>
      </c>
      <c r="E32" s="12" t="n">
        <f aca="false">INDEX('Top-Player'!$R$5:$R$42,MATCH(6,'Top-Player'!$A$5:$A$42,0))</f>
        <v>220400</v>
      </c>
      <c r="F32" s="11" t="str">
        <f aca="false">INDEX('Top-Player'!$B$5:$B$42,MATCH(6,'Top-Player'!$A$5:$A$42,0))</f>
        <v>A</v>
      </c>
    </row>
    <row r="33" customFormat="false" ht="15" hidden="false" customHeight="false" outlineLevel="0" collapsed="false">
      <c r="A33" s="11" t="n">
        <v>7</v>
      </c>
      <c r="B33" s="11" t="str">
        <f aca="false">INDEX('Top-Player'!$D$5:$D$42,MATCH(7,'Top-Player'!$A$5:$A$42,0))</f>
        <v>Vantage ZRH3 Volketswil</v>
      </c>
      <c r="C33" s="11" t="str">
        <f aca="false">INDEX('Top-Player'!$C$5:$C$42,MATCH(7,'Top-Player'!$A$5:$A$42,0))</f>
        <v>Rechenzentrum</v>
      </c>
      <c r="D33" s="12" t="n">
        <f aca="false">INDEX('Top-Player'!$U$5:$U$42,MATCH(7,'Top-Player'!$A$5:$A$42,0))</f>
        <v>28000</v>
      </c>
      <c r="E33" s="12" t="n">
        <f aca="false">INDEX('Top-Player'!$R$5:$R$42,MATCH(7,'Top-Player'!$A$5:$A$42,0))</f>
        <v>700200</v>
      </c>
      <c r="F33" s="11" t="str">
        <f aca="false">INDEX('Top-Player'!$B$5:$B$42,MATCH(7,'Top-Player'!$A$5:$A$42,0))</f>
        <v>A</v>
      </c>
    </row>
    <row r="34" customFormat="false" ht="15" hidden="false" customHeight="false" outlineLevel="0" collapsed="false">
      <c r="A34" s="11" t="n">
        <v>8</v>
      </c>
      <c r="B34" s="11" t="str">
        <f aca="false">INDEX('Top-Player'!$D$5:$D$42,MATCH(8,'Top-Player'!$A$5:$A$42,0))</f>
        <v>ETAVIS / VINCI Energies (Rahmen)</v>
      </c>
      <c r="C34" s="11" t="str">
        <f aca="false">INDEX('Top-Player'!$C$5:$C$42,MATCH(8,'Top-Player'!$A$5:$A$42,0))</f>
        <v>Kanal-Partner</v>
      </c>
      <c r="D34" s="12" t="n">
        <f aca="false">INDEX('Top-Player'!$U$5:$U$42,MATCH(8,'Top-Player'!$A$5:$A$42,0))</f>
        <v>27800</v>
      </c>
      <c r="E34" s="12" t="n">
        <f aca="false">INDEX('Top-Player'!$R$5:$R$42,MATCH(8,'Top-Player'!$A$5:$A$42,0))</f>
        <v>138900</v>
      </c>
      <c r="F34" s="11" t="str">
        <f aca="false">INDEX('Top-Player'!$B$5:$B$42,MATCH(8,'Top-Player'!$A$5:$A$42,0))</f>
        <v>A</v>
      </c>
    </row>
    <row r="35" customFormat="false" ht="15" hidden="false" customHeight="false" outlineLevel="0" collapsed="false">
      <c r="A35" s="11" t="n">
        <v>9</v>
      </c>
      <c r="B35" s="11" t="str">
        <f aca="false">INDEX('Top-Player'!$D$5:$D$42,MATCH(9,'Top-Player'!$A$5:$A$42,0))</f>
        <v>Burkhalter Gruppe (Rahmen)</v>
      </c>
      <c r="C35" s="11" t="str">
        <f aca="false">INDEX('Top-Player'!$C$5:$C$42,MATCH(9,'Top-Player'!$A$5:$A$42,0))</f>
        <v>Kanal-Partner</v>
      </c>
      <c r="D35" s="12" t="n">
        <f aca="false">INDEX('Top-Player'!$U$5:$U$42,MATCH(9,'Top-Player'!$A$5:$A$42,0))</f>
        <v>25400</v>
      </c>
      <c r="E35" s="12" t="n">
        <f aca="false">INDEX('Top-Player'!$R$5:$R$42,MATCH(9,'Top-Player'!$A$5:$A$42,0))</f>
        <v>127200</v>
      </c>
      <c r="F35" s="11" t="str">
        <f aca="false">INDEX('Top-Player'!$B$5:$B$42,MATCH(9,'Top-Player'!$A$5:$A$42,0))</f>
        <v>A</v>
      </c>
    </row>
    <row r="36" customFormat="false" ht="15" hidden="false" customHeight="false" outlineLevel="0" collapsed="false">
      <c r="A36" s="11" t="n">
        <v>10</v>
      </c>
      <c r="B36" s="11" t="str">
        <f aca="false">INDEX('Top-Player'!$D$5:$D$42,MATCH(10,'Top-Player'!$A$5:$A$42,0))</f>
        <v>Green Metro-Campus Dielsdorf (nächstes RZ)</v>
      </c>
      <c r="C36" s="11" t="str">
        <f aca="false">INDEX('Top-Player'!$C$5:$C$42,MATCH(10,'Top-Player'!$A$5:$A$42,0))</f>
        <v>Rechenzentrum</v>
      </c>
      <c r="D36" s="12" t="n">
        <f aca="false">INDEX('Top-Player'!$U$5:$U$42,MATCH(10,'Top-Player'!$A$5:$A$42,0))</f>
        <v>23500</v>
      </c>
      <c r="E36" s="12" t="n">
        <f aca="false">INDEX('Top-Player'!$R$5:$R$42,MATCH(10,'Top-Player'!$A$5:$A$42,0))</f>
        <v>156900</v>
      </c>
      <c r="F36" s="11" t="str">
        <f aca="false">INDEX('Top-Player'!$B$5:$B$42,MATCH(10,'Top-Player'!$A$5:$A$42,0))</f>
        <v>B</v>
      </c>
    </row>
    <row r="39" customFormat="false" ht="15" hidden="false" customHeight="false" outlineLevel="0" collapsed="false">
      <c r="A39" s="3" t="s">
        <v>30</v>
      </c>
    </row>
    <row r="40" customFormat="false" ht="15" hidden="false" customHeight="false" outlineLevel="0" collapsed="false">
      <c r="A40" s="17" t="s">
        <v>8</v>
      </c>
      <c r="B40" s="18" t="s">
        <v>31</v>
      </c>
    </row>
    <row r="41" customFormat="false" ht="15" hidden="false" customHeight="false" outlineLevel="0" collapsed="false">
      <c r="A41" s="17" t="s">
        <v>32</v>
      </c>
      <c r="B41" s="18" t="s">
        <v>33</v>
      </c>
    </row>
    <row r="42" customFormat="false" ht="15" hidden="false" customHeight="false" outlineLevel="0" collapsed="false">
      <c r="A42" s="17" t="s">
        <v>34</v>
      </c>
      <c r="B42" s="18" t="s">
        <v>35</v>
      </c>
    </row>
    <row r="43" customFormat="false" ht="15" hidden="false" customHeight="false" outlineLevel="0" collapsed="false">
      <c r="A43" s="17" t="s">
        <v>36</v>
      </c>
      <c r="B43" s="18" t="s">
        <v>37</v>
      </c>
    </row>
    <row r="44" customFormat="false" ht="15" hidden="false" customHeight="false" outlineLevel="0" collapsed="false">
      <c r="A44" s="17" t="s">
        <v>38</v>
      </c>
      <c r="B44" s="18" t="s">
        <v>39</v>
      </c>
    </row>
    <row r="45" customFormat="false" ht="15" hidden="false" customHeight="false" outlineLevel="0" collapsed="false">
      <c r="A45" s="17" t="s">
        <v>40</v>
      </c>
      <c r="B45" s="18" t="s">
        <v>41</v>
      </c>
    </row>
    <row r="46" customFormat="false" ht="15" hidden="false" customHeight="false" outlineLevel="0" collapsed="false">
      <c r="A46" s="17" t="s">
        <v>42</v>
      </c>
      <c r="B46" s="18" t="s">
        <v>43</v>
      </c>
    </row>
    <row r="47" customFormat="false" ht="15" hidden="false" customHeight="false" outlineLevel="0" collapsed="false">
      <c r="A47" s="17" t="s">
        <v>44</v>
      </c>
      <c r="B47" s="18" t="s">
        <v>45</v>
      </c>
    </row>
    <row r="48" customFormat="false" ht="15" hidden="false" customHeight="false" outlineLevel="0" collapsed="false">
      <c r="A48" s="17" t="s">
        <v>46</v>
      </c>
      <c r="B48" s="18" t="s">
        <v>47</v>
      </c>
    </row>
    <row r="49" customFormat="false" ht="15" hidden="false" customHeight="false" outlineLevel="0" collapsed="false">
      <c r="A49" s="17" t="s">
        <v>48</v>
      </c>
      <c r="B49" s="18" t="s">
        <v>49</v>
      </c>
    </row>
    <row r="51" customFormat="false" ht="15" hidden="false" customHeight="false" outlineLevel="0" collapsed="false">
      <c r="A51" s="3" t="s">
        <v>50</v>
      </c>
    </row>
    <row r="52" customFormat="false" ht="15" hidden="false" customHeight="false" outlineLevel="0" collapsed="false">
      <c r="A52" s="18" t="s">
        <v>51</v>
      </c>
      <c r="B52" s="19" t="n">
        <f aca="false">COUNTIF('90-Tage-Plan'!$H$5:$H$19,A52)</f>
        <v>15</v>
      </c>
    </row>
    <row r="53" customFormat="false" ht="15" hidden="false" customHeight="false" outlineLevel="0" collapsed="false">
      <c r="A53" s="18" t="s">
        <v>52</v>
      </c>
      <c r="B53" s="19" t="n">
        <f aca="false">COUNTIF('90-Tage-Plan'!$H$5:$H$19,A53)</f>
        <v>0</v>
      </c>
    </row>
    <row r="54" customFormat="false" ht="15" hidden="false" customHeight="false" outlineLevel="0" collapsed="false">
      <c r="A54" s="18" t="s">
        <v>53</v>
      </c>
      <c r="B54" s="19" t="n">
        <f aca="false">COUNTIF('90-Tage-Plan'!$H$5:$H$19,A54)</f>
        <v>0</v>
      </c>
    </row>
    <row r="55" customFormat="false" ht="15" hidden="false" customHeight="false" outlineLevel="0" collapsed="false">
      <c r="A55" s="18" t="s">
        <v>54</v>
      </c>
      <c r="B55" s="19" t="n">
        <f aca="false">COUNTIF('90-Tage-Plan'!$H$5:$H$19,A55)</f>
        <v>0</v>
      </c>
    </row>
  </sheetData>
  <mergeCells count="10"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</mergeCells>
  <hyperlinks>
    <hyperlink ref="A40" r:id="rId1" location="'Top-Player'!A1" display="Top-Player"/>
    <hyperlink ref="A41" r:id="rId2" location="'90-Tage-Plan'!A1" display="90-Tage-Plan"/>
    <hyperlink ref="A42" r:id="rId3" location="'Rechenzentren'!A1" display="Rechenzentren"/>
    <hyperlink ref="A43" r:id="rId4" location="'Produktbedarf'!A1" display="Produktbedarf"/>
    <hyperlink ref="A44" r:id="rId5" location="'Portfolio'!A1" display="Portfolio"/>
    <hyperlink ref="A45" r:id="rId6" location="'Annahmen'!A1" display="Annahmen"/>
    <hyperlink ref="A46" r:id="rId7" location="'Beobachten'!A1" display="Beobachten"/>
    <hyperlink ref="A47" r:id="rId8" location="'Wettbewerb'!A1" display="Wettbewerb"/>
    <hyperlink ref="A48" r:id="rId9" location="'Glossar'!A1" display="Glossar"/>
    <hyperlink ref="A49" r:id="rId10" location="'Methode%20&amp;%20Quellen'!A1" display="Methode &amp; Quell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0036"/>
    <pageSetUpPr fitToPage="false"/>
  </sheetPr>
  <dimension ref="A1:A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5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8" min="8" style="0" width="15"/>
    <col collapsed="false" customWidth="true" hidden="false" outlineLevel="0" max="9" min="9" style="0" width="8"/>
    <col collapsed="false" customWidth="true" hidden="false" outlineLevel="0" max="10" min="10" style="0" width="40"/>
    <col collapsed="false" customWidth="true" hidden="false" outlineLevel="0" max="11" min="11" style="0" width="38"/>
    <col collapsed="false" customWidth="true" hidden="false" outlineLevel="0" max="15" min="12" style="0" width="9"/>
    <col collapsed="false" customWidth="true" hidden="false" outlineLevel="0" max="17" min="16" style="0" width="8"/>
    <col collapsed="false" customWidth="true" hidden="false" outlineLevel="0" max="18" min="18" style="0" width="13"/>
    <col collapsed="false" customWidth="true" hidden="false" outlineLevel="0" max="19" min="19" style="0" width="9"/>
    <col collapsed="false" customWidth="true" hidden="false" outlineLevel="0" max="20" min="20" style="0" width="10"/>
    <col collapsed="false" customWidth="true" hidden="false" outlineLevel="0" max="21" min="21" style="0" width="13"/>
    <col collapsed="false" customWidth="true" hidden="false" outlineLevel="0" max="22" min="22" style="0" width="28"/>
    <col collapsed="false" customWidth="true" hidden="false" outlineLevel="0" max="23" min="23" style="0" width="38"/>
    <col collapsed="false" customWidth="true" hidden="false" outlineLevel="0" max="24" min="24" style="0" width="13"/>
    <col collapsed="false" customWidth="true" hidden="false" outlineLevel="0" max="25" min="25" style="0" width="18"/>
    <col collapsed="false" customWidth="true" hidden="false" outlineLevel="0" max="26" min="26" style="0" width="30"/>
    <col collapsed="false" customWidth="true" hidden="false" outlineLevel="0" max="27" min="27" style="0" width="22"/>
    <col collapsed="false" customWidth="true" hidden="false" outlineLevel="0" max="28" min="28" style="0" width="24"/>
    <col collapsed="false" customWidth="true" hidden="false" outlineLevel="0" max="30" min="29" style="0" width="11"/>
    <col collapsed="false" customWidth="true" hidden="false" outlineLevel="0" max="31" min="31" style="0" width="9"/>
    <col collapsed="false" customWidth="true" hidden="false" outlineLevel="0" max="32" min="32" style="0" width="3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55</v>
      </c>
    </row>
    <row r="3" customFormat="false" ht="15" hidden="false" customHeight="false" outlineLevel="0" collapsed="false">
      <c r="A3" s="20" t="s">
        <v>56</v>
      </c>
    </row>
    <row r="4" customFormat="false" ht="31.5" hidden="false" customHeight="true" outlineLevel="0" collapsed="false">
      <c r="A4" s="10" t="s">
        <v>26</v>
      </c>
      <c r="B4" s="10" t="s">
        <v>29</v>
      </c>
      <c r="C4" s="10" t="s">
        <v>14</v>
      </c>
      <c r="D4" s="10" t="s">
        <v>27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  <c r="K4" s="10" t="s">
        <v>63</v>
      </c>
      <c r="L4" s="10" t="s">
        <v>64</v>
      </c>
      <c r="M4" s="10" t="s">
        <v>65</v>
      </c>
      <c r="N4" s="10" t="s">
        <v>66</v>
      </c>
      <c r="O4" s="10" t="s">
        <v>67</v>
      </c>
      <c r="P4" s="10" t="s">
        <v>68</v>
      </c>
      <c r="Q4" s="10" t="s">
        <v>69</v>
      </c>
      <c r="R4" s="10" t="s">
        <v>70</v>
      </c>
      <c r="S4" s="10" t="s">
        <v>71</v>
      </c>
      <c r="T4" s="10" t="s">
        <v>72</v>
      </c>
      <c r="U4" s="10" t="s">
        <v>10</v>
      </c>
      <c r="V4" s="10" t="s">
        <v>73</v>
      </c>
      <c r="W4" s="10" t="s">
        <v>74</v>
      </c>
      <c r="X4" s="10" t="s">
        <v>75</v>
      </c>
      <c r="Y4" s="10" t="s">
        <v>76</v>
      </c>
      <c r="Z4" s="10" t="s">
        <v>77</v>
      </c>
      <c r="AA4" s="10" t="s">
        <v>78</v>
      </c>
      <c r="AB4" s="10" t="s">
        <v>79</v>
      </c>
      <c r="AC4" s="10" t="s">
        <v>80</v>
      </c>
      <c r="AD4" s="10" t="s">
        <v>81</v>
      </c>
      <c r="AE4" s="10" t="s">
        <v>82</v>
      </c>
      <c r="AF4" s="10" t="s">
        <v>83</v>
      </c>
    </row>
    <row r="5" customFormat="false" ht="51.75" hidden="false" customHeight="true" outlineLevel="0" collapsed="false">
      <c r="A5" s="21" t="n">
        <f aca="false">RANK(U5,$U$5:$U$42)+COUNTIF($U$5:U5,U5)-1</f>
        <v>1</v>
      </c>
      <c r="B5" s="22" t="str">
        <f aca="false">IF(U5&gt;=Annahmen!$B$24,"A",IF(U5&gt;=Annahmen!$B$25,"B","C"))</f>
        <v>A</v>
      </c>
      <c r="C5" s="23" t="s">
        <v>18</v>
      </c>
      <c r="D5" s="24" t="s">
        <v>84</v>
      </c>
      <c r="E5" s="23" t="s">
        <v>85</v>
      </c>
      <c r="F5" s="23" t="s">
        <v>86</v>
      </c>
      <c r="G5" s="21" t="s">
        <v>87</v>
      </c>
      <c r="H5" s="25" t="s">
        <v>88</v>
      </c>
      <c r="I5" s="21" t="s">
        <v>89</v>
      </c>
      <c r="J5" s="23" t="s">
        <v>90</v>
      </c>
      <c r="K5" s="23" t="s">
        <v>91</v>
      </c>
      <c r="L5" s="26" t="n">
        <v>2</v>
      </c>
      <c r="M5" s="27" t="n">
        <v>52</v>
      </c>
      <c r="N5" s="26" t="n">
        <v>0</v>
      </c>
      <c r="O5" s="27" t="n">
        <v>0</v>
      </c>
      <c r="P5" s="26" t="n">
        <v>0</v>
      </c>
      <c r="Q5" s="27" t="n">
        <v>0</v>
      </c>
      <c r="R5" s="28" t="n">
        <f aca="false">ROUND(L5*M5*Annahmen!$F$9+N5*O5*Annahmen!$F$12+P5*Q5*Annahmen!$F$15,-2)</f>
        <v>440900</v>
      </c>
      <c r="S5" s="29" t="n">
        <v>1</v>
      </c>
      <c r="T5" s="29" t="n">
        <v>0.15</v>
      </c>
      <c r="U5" s="30" t="n">
        <f aca="false">ROUND(R5*S5*T5,-2)</f>
        <v>66100</v>
      </c>
      <c r="V5" s="23" t="s">
        <v>92</v>
      </c>
      <c r="W5" s="31" t="s">
        <v>93</v>
      </c>
      <c r="X5" s="27"/>
      <c r="Y5" s="27" t="s">
        <v>94</v>
      </c>
      <c r="Z5" s="23" t="s">
        <v>95</v>
      </c>
      <c r="AA5" s="27"/>
      <c r="AB5" s="27"/>
      <c r="AC5" s="32"/>
      <c r="AD5" s="32"/>
      <c r="AE5" s="33" t="s">
        <v>96</v>
      </c>
      <c r="AF5" s="23"/>
    </row>
    <row r="6" customFormat="false" ht="51.75" hidden="false" customHeight="true" outlineLevel="0" collapsed="false">
      <c r="A6" s="21" t="n">
        <f aca="false">RANK(U6,$U$5:$U$42)+COUNTIF($U$5:U6,U6)-1</f>
        <v>2</v>
      </c>
      <c r="B6" s="22" t="str">
        <f aca="false">IF(U6&gt;=Annahmen!$B$24,"A",IF(U6&gt;=Annahmen!$B$25,"B","C"))</f>
        <v>A</v>
      </c>
      <c r="C6" s="23" t="s">
        <v>18</v>
      </c>
      <c r="D6" s="24" t="s">
        <v>97</v>
      </c>
      <c r="E6" s="23" t="s">
        <v>98</v>
      </c>
      <c r="F6" s="23" t="s">
        <v>99</v>
      </c>
      <c r="G6" s="21" t="s">
        <v>100</v>
      </c>
      <c r="H6" s="25" t="s">
        <v>101</v>
      </c>
      <c r="I6" s="21" t="s">
        <v>102</v>
      </c>
      <c r="J6" s="23" t="s">
        <v>103</v>
      </c>
      <c r="K6" s="23" t="s">
        <v>104</v>
      </c>
      <c r="L6" s="26" t="n">
        <v>1.5</v>
      </c>
      <c r="M6" s="27" t="n">
        <v>52</v>
      </c>
      <c r="N6" s="26" t="n">
        <v>0</v>
      </c>
      <c r="O6" s="27" t="n">
        <v>0</v>
      </c>
      <c r="P6" s="26" t="n">
        <v>0</v>
      </c>
      <c r="Q6" s="27" t="n">
        <v>0</v>
      </c>
      <c r="R6" s="28" t="n">
        <f aca="false">ROUND(L6*M6*Annahmen!$F$9+N6*O6*Annahmen!$F$12+P6*Q6*Annahmen!$F$15,-2)</f>
        <v>330700</v>
      </c>
      <c r="S6" s="29" t="n">
        <v>1</v>
      </c>
      <c r="T6" s="29" t="n">
        <v>0.2</v>
      </c>
      <c r="U6" s="30" t="n">
        <f aca="false">ROUND(R6*S6*T6,-2)</f>
        <v>66100</v>
      </c>
      <c r="V6" s="23" t="s">
        <v>105</v>
      </c>
      <c r="W6" s="31" t="s">
        <v>106</v>
      </c>
      <c r="X6" s="27"/>
      <c r="Y6" s="27" t="s">
        <v>94</v>
      </c>
      <c r="Z6" s="23" t="s">
        <v>95</v>
      </c>
      <c r="AA6" s="27"/>
      <c r="AB6" s="27"/>
      <c r="AC6" s="32"/>
      <c r="AD6" s="32"/>
      <c r="AE6" s="33" t="s">
        <v>96</v>
      </c>
      <c r="AF6" s="23"/>
    </row>
    <row r="7" customFormat="false" ht="51.75" hidden="false" customHeight="true" outlineLevel="0" collapsed="false">
      <c r="A7" s="21" t="n">
        <f aca="false">RANK(U7,$U$5:$U$42)+COUNTIF($U$5:U7,U7)-1</f>
        <v>3</v>
      </c>
      <c r="B7" s="22" t="str">
        <f aca="false">IF(U7&gt;=Annahmen!$B$24,"A",IF(U7&gt;=Annahmen!$B$25,"B","C"))</f>
        <v>A</v>
      </c>
      <c r="C7" s="23" t="s">
        <v>20</v>
      </c>
      <c r="D7" s="24" t="s">
        <v>107</v>
      </c>
      <c r="E7" s="23" t="s">
        <v>108</v>
      </c>
      <c r="F7" s="23" t="s">
        <v>109</v>
      </c>
      <c r="G7" s="21" t="s">
        <v>110</v>
      </c>
      <c r="H7" s="25" t="s">
        <v>111</v>
      </c>
      <c r="I7" s="21" t="s">
        <v>102</v>
      </c>
      <c r="J7" s="23" t="s">
        <v>112</v>
      </c>
      <c r="K7" s="23" t="s">
        <v>113</v>
      </c>
      <c r="L7" s="26" t="n">
        <v>1</v>
      </c>
      <c r="M7" s="27" t="n">
        <v>34</v>
      </c>
      <c r="N7" s="26" t="n">
        <v>2</v>
      </c>
      <c r="O7" s="27" t="n">
        <v>2</v>
      </c>
      <c r="P7" s="26" t="n">
        <v>0</v>
      </c>
      <c r="Q7" s="27" t="n">
        <v>0</v>
      </c>
      <c r="R7" s="28" t="n">
        <f aca="false">ROUND(L7*M7*Annahmen!$F$9+N7*O7*Annahmen!$F$12+P7*Q7*Annahmen!$F$15,-2)</f>
        <v>151900</v>
      </c>
      <c r="S7" s="29" t="n">
        <v>1</v>
      </c>
      <c r="T7" s="29" t="n">
        <v>0.25</v>
      </c>
      <c r="U7" s="30" t="n">
        <f aca="false">ROUND(R7*S7*T7,-2)</f>
        <v>38000</v>
      </c>
      <c r="V7" s="23" t="s">
        <v>114</v>
      </c>
      <c r="W7" s="31" t="s">
        <v>115</v>
      </c>
      <c r="X7" s="27"/>
      <c r="Y7" s="27" t="s">
        <v>94</v>
      </c>
      <c r="Z7" s="23" t="s">
        <v>116</v>
      </c>
      <c r="AA7" s="27"/>
      <c r="AB7" s="27"/>
      <c r="AC7" s="32"/>
      <c r="AD7" s="32"/>
      <c r="AE7" s="33" t="s">
        <v>96</v>
      </c>
      <c r="AF7" s="23"/>
    </row>
    <row r="8" customFormat="false" ht="51.75" hidden="false" customHeight="true" outlineLevel="0" collapsed="false">
      <c r="A8" s="21" t="n">
        <f aca="false">RANK(U8,$U$5:$U$42)+COUNTIF($U$5:U8,U8)-1</f>
        <v>4</v>
      </c>
      <c r="B8" s="22" t="str">
        <f aca="false">IF(U8&gt;=Annahmen!$B$24,"A",IF(U8&gt;=Annahmen!$B$25,"B","C"))</f>
        <v>A</v>
      </c>
      <c r="C8" s="23" t="s">
        <v>17</v>
      </c>
      <c r="D8" s="24" t="s">
        <v>117</v>
      </c>
      <c r="E8" s="23" t="s">
        <v>118</v>
      </c>
      <c r="F8" s="23" t="s">
        <v>119</v>
      </c>
      <c r="G8" s="21" t="s">
        <v>120</v>
      </c>
      <c r="H8" s="25" t="s">
        <v>121</v>
      </c>
      <c r="I8" s="21" t="s">
        <v>122</v>
      </c>
      <c r="J8" s="23" t="s">
        <v>123</v>
      </c>
      <c r="K8" s="23" t="s">
        <v>124</v>
      </c>
      <c r="L8" s="26" t="n">
        <v>4</v>
      </c>
      <c r="M8" s="27" t="n">
        <v>8</v>
      </c>
      <c r="N8" s="26" t="n">
        <v>12</v>
      </c>
      <c r="O8" s="27" t="n">
        <v>3</v>
      </c>
      <c r="P8" s="26" t="n">
        <v>0</v>
      </c>
      <c r="Q8" s="27" t="n">
        <v>0</v>
      </c>
      <c r="R8" s="28" t="n">
        <f aca="false">ROUND(L8*M8*Annahmen!$F$9+N8*O8*Annahmen!$F$12+P8*Q8*Annahmen!$F$15,-2)</f>
        <v>205700</v>
      </c>
      <c r="S8" s="29" t="n">
        <v>0.6</v>
      </c>
      <c r="T8" s="29" t="n">
        <v>0.3</v>
      </c>
      <c r="U8" s="30" t="n">
        <f aca="false">ROUND(R8*S8*T8,-2)</f>
        <v>37000</v>
      </c>
      <c r="V8" s="23" t="s">
        <v>125</v>
      </c>
      <c r="W8" s="31" t="s">
        <v>126</v>
      </c>
      <c r="X8" s="27"/>
      <c r="Y8" s="27" t="s">
        <v>94</v>
      </c>
      <c r="Z8" s="23" t="s">
        <v>127</v>
      </c>
      <c r="AA8" s="27"/>
      <c r="AB8" s="27"/>
      <c r="AC8" s="32"/>
      <c r="AD8" s="32"/>
      <c r="AE8" s="33" t="s">
        <v>96</v>
      </c>
      <c r="AF8" s="23" t="s">
        <v>128</v>
      </c>
    </row>
    <row r="9" customFormat="false" ht="51.75" hidden="false" customHeight="true" outlineLevel="0" collapsed="false">
      <c r="A9" s="21" t="n">
        <f aca="false">RANK(U9,$U$5:$U$42)+COUNTIF($U$5:U9,U9)-1</f>
        <v>5</v>
      </c>
      <c r="B9" s="22" t="str">
        <f aca="false">IF(U9&gt;=Annahmen!$B$24,"A",IF(U9&gt;=Annahmen!$B$25,"B","C"))</f>
        <v>A</v>
      </c>
      <c r="C9" s="23" t="s">
        <v>21</v>
      </c>
      <c r="D9" s="24" t="s">
        <v>129</v>
      </c>
      <c r="E9" s="23" t="s">
        <v>130</v>
      </c>
      <c r="F9" s="23" t="s">
        <v>131</v>
      </c>
      <c r="G9" s="21" t="s">
        <v>110</v>
      </c>
      <c r="H9" s="25" t="s">
        <v>111</v>
      </c>
      <c r="I9" s="21" t="s">
        <v>102</v>
      </c>
      <c r="J9" s="23" t="s">
        <v>132</v>
      </c>
      <c r="K9" s="23" t="s">
        <v>133</v>
      </c>
      <c r="L9" s="26" t="n">
        <v>1</v>
      </c>
      <c r="M9" s="27" t="n">
        <v>40</v>
      </c>
      <c r="N9" s="26" t="n">
        <v>0</v>
      </c>
      <c r="O9" s="27" t="n">
        <v>0</v>
      </c>
      <c r="P9" s="26" t="n">
        <v>0</v>
      </c>
      <c r="Q9" s="27" t="n">
        <v>0</v>
      </c>
      <c r="R9" s="28" t="n">
        <f aca="false">ROUND(L9*M9*Annahmen!$F$9+N9*O9*Annahmen!$F$12+P9*Q9*Annahmen!$F$15,-2)</f>
        <v>169600</v>
      </c>
      <c r="S9" s="29" t="n">
        <v>1</v>
      </c>
      <c r="T9" s="29" t="n">
        <v>0.2</v>
      </c>
      <c r="U9" s="30" t="n">
        <f aca="false">ROUND(R9*S9*T9,-2)</f>
        <v>33900</v>
      </c>
      <c r="V9" s="23" t="s">
        <v>134</v>
      </c>
      <c r="W9" s="31" t="s">
        <v>135</v>
      </c>
      <c r="X9" s="27"/>
      <c r="Y9" s="27" t="s">
        <v>94</v>
      </c>
      <c r="Z9" s="23" t="s">
        <v>136</v>
      </c>
      <c r="AA9" s="27"/>
      <c r="AB9" s="27"/>
      <c r="AC9" s="32"/>
      <c r="AD9" s="32"/>
      <c r="AE9" s="33" t="s">
        <v>96</v>
      </c>
      <c r="AF9" s="23"/>
    </row>
    <row r="10" customFormat="false" ht="51.75" hidden="false" customHeight="true" outlineLevel="0" collapsed="false">
      <c r="A10" s="21" t="n">
        <f aca="false">RANK(U10,$U$5:$U$42)+COUNTIF($U$5:U10,U10)-1</f>
        <v>6</v>
      </c>
      <c r="B10" s="22" t="str">
        <f aca="false">IF(U10&gt;=Annahmen!$B$24,"A",IF(U10&gt;=Annahmen!$B$25,"B","C"))</f>
        <v>A</v>
      </c>
      <c r="C10" s="23" t="s">
        <v>18</v>
      </c>
      <c r="D10" s="24" t="s">
        <v>137</v>
      </c>
      <c r="E10" s="23" t="s">
        <v>138</v>
      </c>
      <c r="F10" s="23" t="s">
        <v>139</v>
      </c>
      <c r="G10" s="21" t="s">
        <v>140</v>
      </c>
      <c r="H10" s="25" t="s">
        <v>141</v>
      </c>
      <c r="I10" s="21" t="s">
        <v>102</v>
      </c>
      <c r="J10" s="23" t="s">
        <v>142</v>
      </c>
      <c r="K10" s="23" t="s">
        <v>143</v>
      </c>
      <c r="L10" s="26" t="n">
        <v>1</v>
      </c>
      <c r="M10" s="27" t="n">
        <v>52</v>
      </c>
      <c r="N10" s="26" t="n">
        <v>0</v>
      </c>
      <c r="O10" s="27" t="n">
        <v>0</v>
      </c>
      <c r="P10" s="26" t="n">
        <v>0</v>
      </c>
      <c r="Q10" s="27" t="n">
        <v>0</v>
      </c>
      <c r="R10" s="28" t="n">
        <f aca="false">ROUND(L10*M10*Annahmen!$F$9+N10*O10*Annahmen!$F$12+P10*Q10*Annahmen!$F$15,-2)</f>
        <v>220400</v>
      </c>
      <c r="S10" s="29" t="n">
        <v>1</v>
      </c>
      <c r="T10" s="29" t="n">
        <v>0.15</v>
      </c>
      <c r="U10" s="30" t="n">
        <f aca="false">ROUND(R10*S10*T10,-2)</f>
        <v>33100</v>
      </c>
      <c r="V10" s="23" t="s">
        <v>144</v>
      </c>
      <c r="W10" s="31" t="s">
        <v>145</v>
      </c>
      <c r="X10" s="27"/>
      <c r="Y10" s="27" t="s">
        <v>94</v>
      </c>
      <c r="Z10" s="23" t="s">
        <v>95</v>
      </c>
      <c r="AA10" s="27"/>
      <c r="AB10" s="27"/>
      <c r="AC10" s="32"/>
      <c r="AD10" s="32"/>
      <c r="AE10" s="33" t="s">
        <v>96</v>
      </c>
      <c r="AF10" s="23" t="s">
        <v>146</v>
      </c>
    </row>
    <row r="11" customFormat="false" ht="51.75" hidden="false" customHeight="true" outlineLevel="0" collapsed="false">
      <c r="A11" s="21" t="n">
        <f aca="false">RANK(U11,$U$5:$U$42)+COUNTIF($U$5:U11,U11)-1</f>
        <v>7</v>
      </c>
      <c r="B11" s="22" t="str">
        <f aca="false">IF(U11&gt;=Annahmen!$B$24,"A",IF(U11&gt;=Annahmen!$B$25,"B","C"))</f>
        <v>A</v>
      </c>
      <c r="C11" s="23" t="s">
        <v>17</v>
      </c>
      <c r="D11" s="24" t="s">
        <v>147</v>
      </c>
      <c r="E11" s="23" t="s">
        <v>148</v>
      </c>
      <c r="F11" s="23" t="s">
        <v>149</v>
      </c>
      <c r="G11" s="21" t="s">
        <v>150</v>
      </c>
      <c r="H11" s="25" t="s">
        <v>151</v>
      </c>
      <c r="I11" s="21" t="s">
        <v>152</v>
      </c>
      <c r="J11" s="23" t="s">
        <v>153</v>
      </c>
      <c r="K11" s="23" t="s">
        <v>154</v>
      </c>
      <c r="L11" s="26" t="n">
        <v>5</v>
      </c>
      <c r="M11" s="27" t="n">
        <v>26</v>
      </c>
      <c r="N11" s="26" t="n">
        <v>0</v>
      </c>
      <c r="O11" s="27" t="n">
        <v>0</v>
      </c>
      <c r="P11" s="26" t="n">
        <v>1</v>
      </c>
      <c r="Q11" s="27" t="n">
        <v>6</v>
      </c>
      <c r="R11" s="28" t="n">
        <f aca="false">ROUND(L11*M11*Annahmen!$F$9+N11*O11*Annahmen!$F$12+P11*Q11*Annahmen!$F$15,-2)</f>
        <v>700200</v>
      </c>
      <c r="S11" s="29" t="n">
        <v>0.4</v>
      </c>
      <c r="T11" s="29" t="n">
        <v>0.1</v>
      </c>
      <c r="U11" s="30" t="n">
        <f aca="false">ROUND(R11*S11*T11,-2)</f>
        <v>28000</v>
      </c>
      <c r="V11" s="23" t="s">
        <v>155</v>
      </c>
      <c r="W11" s="31" t="s">
        <v>156</v>
      </c>
      <c r="X11" s="27"/>
      <c r="Y11" s="27" t="s">
        <v>94</v>
      </c>
      <c r="Z11" s="23" t="s">
        <v>127</v>
      </c>
      <c r="AA11" s="27"/>
      <c r="AB11" s="27"/>
      <c r="AC11" s="32"/>
      <c r="AD11" s="32"/>
      <c r="AE11" s="33" t="s">
        <v>96</v>
      </c>
      <c r="AF11" s="23" t="s">
        <v>157</v>
      </c>
    </row>
    <row r="12" customFormat="false" ht="51.75" hidden="false" customHeight="true" outlineLevel="0" collapsed="false">
      <c r="A12" s="21" t="n">
        <f aca="false">RANK(U12,$U$5:$U$42)+COUNTIF($U$5:U12,U12)-1</f>
        <v>8</v>
      </c>
      <c r="B12" s="22" t="str">
        <f aca="false">IF(U12&gt;=Annahmen!$B$24,"A",IF(U12&gt;=Annahmen!$B$25,"B","C"))</f>
        <v>A</v>
      </c>
      <c r="C12" s="23" t="s">
        <v>23</v>
      </c>
      <c r="D12" s="24" t="s">
        <v>158</v>
      </c>
      <c r="E12" s="23" t="s">
        <v>159</v>
      </c>
      <c r="F12" s="23" t="s">
        <v>151</v>
      </c>
      <c r="G12" s="21" t="s">
        <v>150</v>
      </c>
      <c r="H12" s="25" t="s">
        <v>151</v>
      </c>
      <c r="I12" s="21" t="s">
        <v>160</v>
      </c>
      <c r="J12" s="23" t="s">
        <v>161</v>
      </c>
      <c r="K12" s="23" t="s">
        <v>162</v>
      </c>
      <c r="L12" s="26" t="n">
        <v>1</v>
      </c>
      <c r="M12" s="27" t="n">
        <v>30</v>
      </c>
      <c r="N12" s="26" t="n">
        <v>1</v>
      </c>
      <c r="O12" s="27" t="n">
        <v>6</v>
      </c>
      <c r="P12" s="26" t="n">
        <v>0</v>
      </c>
      <c r="Q12" s="27" t="n">
        <v>0</v>
      </c>
      <c r="R12" s="28" t="n">
        <f aca="false">ROUND(L12*M12*Annahmen!$F$9+N12*O12*Annahmen!$F$12+P12*Q12*Annahmen!$F$15,-2)</f>
        <v>138900</v>
      </c>
      <c r="S12" s="29" t="n">
        <v>1</v>
      </c>
      <c r="T12" s="29" t="n">
        <v>0.2</v>
      </c>
      <c r="U12" s="30" t="n">
        <f aca="false">ROUND(R12*S12*T12,-2)</f>
        <v>27800</v>
      </c>
      <c r="V12" s="23" t="s">
        <v>163</v>
      </c>
      <c r="W12" s="31" t="s">
        <v>164</v>
      </c>
      <c r="X12" s="27"/>
      <c r="Y12" s="27" t="s">
        <v>94</v>
      </c>
      <c r="Z12" s="23" t="s">
        <v>165</v>
      </c>
      <c r="AA12" s="27"/>
      <c r="AB12" s="27"/>
      <c r="AC12" s="32"/>
      <c r="AD12" s="32"/>
      <c r="AE12" s="33" t="s">
        <v>96</v>
      </c>
      <c r="AF12" s="23" t="s">
        <v>166</v>
      </c>
    </row>
    <row r="13" customFormat="false" ht="51.75" hidden="false" customHeight="true" outlineLevel="0" collapsed="false">
      <c r="A13" s="21" t="n">
        <f aca="false">RANK(U13,$U$5:$U$42)+COUNTIF($U$5:U13,U13)-1</f>
        <v>9</v>
      </c>
      <c r="B13" s="22" t="str">
        <f aca="false">IF(U13&gt;=Annahmen!$B$24,"A",IF(U13&gt;=Annahmen!$B$25,"B","C"))</f>
        <v>A</v>
      </c>
      <c r="C13" s="23" t="s">
        <v>23</v>
      </c>
      <c r="D13" s="24" t="s">
        <v>167</v>
      </c>
      <c r="E13" s="23" t="s">
        <v>168</v>
      </c>
      <c r="F13" s="23" t="s">
        <v>151</v>
      </c>
      <c r="G13" s="21" t="s">
        <v>150</v>
      </c>
      <c r="H13" s="25" t="s">
        <v>151</v>
      </c>
      <c r="I13" s="21" t="s">
        <v>160</v>
      </c>
      <c r="J13" s="23" t="s">
        <v>169</v>
      </c>
      <c r="K13" s="23" t="s">
        <v>170</v>
      </c>
      <c r="L13" s="26" t="n">
        <v>1</v>
      </c>
      <c r="M13" s="27" t="n">
        <v>30</v>
      </c>
      <c r="N13" s="26" t="n">
        <v>0</v>
      </c>
      <c r="O13" s="27" t="n">
        <v>0</v>
      </c>
      <c r="P13" s="26" t="n">
        <v>0</v>
      </c>
      <c r="Q13" s="27" t="n">
        <v>0</v>
      </c>
      <c r="R13" s="28" t="n">
        <f aca="false">ROUND(L13*M13*Annahmen!$F$9+N13*O13*Annahmen!$F$12+P13*Q13*Annahmen!$F$15,-2)</f>
        <v>127200</v>
      </c>
      <c r="S13" s="29" t="n">
        <v>1</v>
      </c>
      <c r="T13" s="29" t="n">
        <v>0.2</v>
      </c>
      <c r="U13" s="30" t="n">
        <f aca="false">ROUND(R13*S13*T13,-2)</f>
        <v>25400</v>
      </c>
      <c r="V13" s="23" t="s">
        <v>171</v>
      </c>
      <c r="W13" s="31" t="s">
        <v>172</v>
      </c>
      <c r="X13" s="27"/>
      <c r="Y13" s="27" t="s">
        <v>94</v>
      </c>
      <c r="Z13" s="23" t="s">
        <v>165</v>
      </c>
      <c r="AA13" s="27"/>
      <c r="AB13" s="27"/>
      <c r="AC13" s="32"/>
      <c r="AD13" s="32"/>
      <c r="AE13" s="33" t="s">
        <v>96</v>
      </c>
      <c r="AF13" s="23" t="s">
        <v>173</v>
      </c>
    </row>
    <row r="14" customFormat="false" ht="51.75" hidden="false" customHeight="true" outlineLevel="0" collapsed="false">
      <c r="A14" s="21" t="n">
        <f aca="false">RANK(U14,$U$5:$U$42)+COUNTIF($U$5:U14,U14)-1</f>
        <v>10</v>
      </c>
      <c r="B14" s="22" t="str">
        <f aca="false">IF(U14&gt;=Annahmen!$B$24,"A",IF(U14&gt;=Annahmen!$B$25,"B","C"))</f>
        <v>B</v>
      </c>
      <c r="C14" s="23" t="s">
        <v>17</v>
      </c>
      <c r="D14" s="24" t="s">
        <v>174</v>
      </c>
      <c r="E14" s="23" t="s">
        <v>175</v>
      </c>
      <c r="F14" s="23" t="s">
        <v>176</v>
      </c>
      <c r="G14" s="21" t="s">
        <v>150</v>
      </c>
      <c r="H14" s="25" t="s">
        <v>151</v>
      </c>
      <c r="I14" s="21" t="s">
        <v>102</v>
      </c>
      <c r="J14" s="23" t="s">
        <v>177</v>
      </c>
      <c r="K14" s="23" t="s">
        <v>178</v>
      </c>
      <c r="L14" s="26" t="n">
        <v>1</v>
      </c>
      <c r="M14" s="27" t="n">
        <v>26</v>
      </c>
      <c r="N14" s="26" t="n">
        <v>6</v>
      </c>
      <c r="O14" s="27" t="n">
        <v>4</v>
      </c>
      <c r="P14" s="26" t="n">
        <v>0</v>
      </c>
      <c r="Q14" s="27" t="n">
        <v>0</v>
      </c>
      <c r="R14" s="28" t="n">
        <f aca="false">ROUND(L14*M14*Annahmen!$F$9+N14*O14*Annahmen!$F$12+P14*Q14*Annahmen!$F$15,-2)</f>
        <v>156900</v>
      </c>
      <c r="S14" s="29" t="n">
        <v>0.6</v>
      </c>
      <c r="T14" s="29" t="n">
        <v>0.25</v>
      </c>
      <c r="U14" s="30" t="n">
        <f aca="false">ROUND(R14*S14*T14,-2)</f>
        <v>23500</v>
      </c>
      <c r="V14" s="23" t="s">
        <v>179</v>
      </c>
      <c r="W14" s="31" t="s">
        <v>180</v>
      </c>
      <c r="X14" s="27"/>
      <c r="Y14" s="27" t="s">
        <v>94</v>
      </c>
      <c r="Z14" s="23" t="s">
        <v>127</v>
      </c>
      <c r="AA14" s="27"/>
      <c r="AB14" s="27"/>
      <c r="AC14" s="32"/>
      <c r="AD14" s="32"/>
      <c r="AE14" s="33" t="s">
        <v>96</v>
      </c>
      <c r="AF14" s="23"/>
    </row>
    <row r="15" customFormat="false" ht="51.75" hidden="false" customHeight="true" outlineLevel="0" collapsed="false">
      <c r="A15" s="21" t="n">
        <f aca="false">RANK(U15,$U$5:$U$42)+COUNTIF($U$5:U15,U15)-1</f>
        <v>11</v>
      </c>
      <c r="B15" s="22" t="str">
        <f aca="false">IF(U15&gt;=Annahmen!$B$24,"A",IF(U15&gt;=Annahmen!$B$25,"B","C"))</f>
        <v>B</v>
      </c>
      <c r="C15" s="23" t="s">
        <v>17</v>
      </c>
      <c r="D15" s="24" t="s">
        <v>181</v>
      </c>
      <c r="E15" s="23" t="s">
        <v>182</v>
      </c>
      <c r="F15" s="23" t="s">
        <v>183</v>
      </c>
      <c r="G15" s="21" t="s">
        <v>184</v>
      </c>
      <c r="H15" s="25" t="s">
        <v>111</v>
      </c>
      <c r="I15" s="21" t="s">
        <v>185</v>
      </c>
      <c r="J15" s="23" t="s">
        <v>186</v>
      </c>
      <c r="K15" s="23" t="s">
        <v>187</v>
      </c>
      <c r="L15" s="26" t="n">
        <v>1</v>
      </c>
      <c r="M15" s="27" t="n">
        <v>12</v>
      </c>
      <c r="N15" s="26" t="n">
        <v>4.5</v>
      </c>
      <c r="O15" s="27" t="n">
        <v>3</v>
      </c>
      <c r="P15" s="26" t="n">
        <v>0</v>
      </c>
      <c r="Q15" s="27" t="n">
        <v>0</v>
      </c>
      <c r="R15" s="28" t="n">
        <f aca="false">ROUND(L15*M15*Annahmen!$F$9+N15*O15*Annahmen!$F$12+P15*Q15*Annahmen!$F$15,-2)</f>
        <v>77100</v>
      </c>
      <c r="S15" s="29" t="n">
        <v>1</v>
      </c>
      <c r="T15" s="29" t="n">
        <v>0.3</v>
      </c>
      <c r="U15" s="30" t="n">
        <f aca="false">ROUND(R15*S15*T15,-2)</f>
        <v>23100</v>
      </c>
      <c r="V15" s="23" t="s">
        <v>188</v>
      </c>
      <c r="W15" s="31" t="s">
        <v>189</v>
      </c>
      <c r="X15" s="27"/>
      <c r="Y15" s="27" t="s">
        <v>94</v>
      </c>
      <c r="Z15" s="23" t="s">
        <v>127</v>
      </c>
      <c r="AA15" s="27"/>
      <c r="AB15" s="27"/>
      <c r="AC15" s="32"/>
      <c r="AD15" s="32"/>
      <c r="AE15" s="33" t="s">
        <v>96</v>
      </c>
      <c r="AF15" s="23"/>
    </row>
    <row r="16" customFormat="false" ht="51.75" hidden="false" customHeight="true" outlineLevel="0" collapsed="false">
      <c r="A16" s="21" t="n">
        <f aca="false">RANK(U16,$U$5:$U$42)+COUNTIF($U$5:U16,U16)-1</f>
        <v>12</v>
      </c>
      <c r="B16" s="22" t="str">
        <f aca="false">IF(U16&gt;=Annahmen!$B$24,"A",IF(U16&gt;=Annahmen!$B$25,"B","C"))</f>
        <v>B</v>
      </c>
      <c r="C16" s="23" t="s">
        <v>23</v>
      </c>
      <c r="D16" s="24" t="s">
        <v>190</v>
      </c>
      <c r="E16" s="23" t="s">
        <v>191</v>
      </c>
      <c r="F16" s="23" t="s">
        <v>151</v>
      </c>
      <c r="G16" s="21" t="s">
        <v>150</v>
      </c>
      <c r="H16" s="25" t="s">
        <v>151</v>
      </c>
      <c r="I16" s="21" t="s">
        <v>192</v>
      </c>
      <c r="J16" s="23" t="s">
        <v>193</v>
      </c>
      <c r="K16" s="23" t="s">
        <v>194</v>
      </c>
      <c r="L16" s="26" t="n">
        <v>1</v>
      </c>
      <c r="M16" s="27" t="n">
        <v>25</v>
      </c>
      <c r="N16" s="26" t="n">
        <v>1</v>
      </c>
      <c r="O16" s="27" t="n">
        <v>4</v>
      </c>
      <c r="P16" s="26" t="n">
        <v>0</v>
      </c>
      <c r="Q16" s="27" t="n">
        <v>0</v>
      </c>
      <c r="R16" s="28" t="n">
        <f aca="false">ROUND(L16*M16*Annahmen!$F$9+N16*O16*Annahmen!$F$12+P16*Q16*Annahmen!$F$15,-2)</f>
        <v>113800</v>
      </c>
      <c r="S16" s="29" t="n">
        <v>1</v>
      </c>
      <c r="T16" s="29" t="n">
        <v>0.2</v>
      </c>
      <c r="U16" s="30" t="n">
        <f aca="false">ROUND(R16*S16*T16,-2)</f>
        <v>22800</v>
      </c>
      <c r="V16" s="23" t="s">
        <v>195</v>
      </c>
      <c r="W16" s="31" t="s">
        <v>196</v>
      </c>
      <c r="X16" s="27"/>
      <c r="Y16" s="27" t="s">
        <v>94</v>
      </c>
      <c r="Z16" s="23" t="s">
        <v>165</v>
      </c>
      <c r="AA16" s="27"/>
      <c r="AB16" s="27"/>
      <c r="AC16" s="32"/>
      <c r="AD16" s="32"/>
      <c r="AE16" s="33" t="s">
        <v>96</v>
      </c>
      <c r="AF16" s="23" t="s">
        <v>166</v>
      </c>
    </row>
    <row r="17" customFormat="false" ht="51.75" hidden="false" customHeight="true" outlineLevel="0" collapsed="false">
      <c r="A17" s="21" t="n">
        <f aca="false">RANK(U17,$U$5:$U$42)+COUNTIF($U$5:U17,U17)-1</f>
        <v>13</v>
      </c>
      <c r="B17" s="22" t="str">
        <f aca="false">IF(U17&gt;=Annahmen!$B$24,"A",IF(U17&gt;=Annahmen!$B$25,"B","C"))</f>
        <v>B</v>
      </c>
      <c r="C17" s="23" t="s">
        <v>17</v>
      </c>
      <c r="D17" s="24" t="s">
        <v>197</v>
      </c>
      <c r="E17" s="23" t="s">
        <v>198</v>
      </c>
      <c r="F17" s="23" t="s">
        <v>199</v>
      </c>
      <c r="G17" s="21" t="s">
        <v>150</v>
      </c>
      <c r="H17" s="25" t="s">
        <v>151</v>
      </c>
      <c r="I17" s="21" t="s">
        <v>152</v>
      </c>
      <c r="J17" s="23" t="s">
        <v>200</v>
      </c>
      <c r="K17" s="23" t="s">
        <v>201</v>
      </c>
      <c r="L17" s="26" t="n">
        <v>1</v>
      </c>
      <c r="M17" s="27" t="n">
        <v>26</v>
      </c>
      <c r="N17" s="26" t="n">
        <v>15</v>
      </c>
      <c r="O17" s="27" t="n">
        <v>4</v>
      </c>
      <c r="P17" s="26" t="n">
        <v>0</v>
      </c>
      <c r="Q17" s="27" t="n">
        <v>0</v>
      </c>
      <c r="R17" s="28" t="n">
        <f aca="false">ROUND(L17*M17*Annahmen!$F$9+N17*O17*Annahmen!$F$12+P17*Q17*Annahmen!$F$15,-2)</f>
        <v>227000</v>
      </c>
      <c r="S17" s="29" t="n">
        <v>0.45</v>
      </c>
      <c r="T17" s="29" t="n">
        <v>0.2</v>
      </c>
      <c r="U17" s="30" t="n">
        <f aca="false">ROUND(R17*S17*T17,-2)</f>
        <v>20400</v>
      </c>
      <c r="V17" s="23" t="s">
        <v>202</v>
      </c>
      <c r="W17" s="31" t="s">
        <v>203</v>
      </c>
      <c r="X17" s="27"/>
      <c r="Y17" s="27" t="s">
        <v>94</v>
      </c>
      <c r="Z17" s="23" t="s">
        <v>127</v>
      </c>
      <c r="AA17" s="27"/>
      <c r="AB17" s="27"/>
      <c r="AC17" s="32"/>
      <c r="AD17" s="32"/>
      <c r="AE17" s="33" t="s">
        <v>96</v>
      </c>
      <c r="AF17" s="23" t="s">
        <v>204</v>
      </c>
    </row>
    <row r="18" customFormat="false" ht="51.75" hidden="false" customHeight="true" outlineLevel="0" collapsed="false">
      <c r="A18" s="21" t="n">
        <f aca="false">RANK(U18,$U$5:$U$42)+COUNTIF($U$5:U18,U18)-1</f>
        <v>14</v>
      </c>
      <c r="B18" s="22" t="str">
        <f aca="false">IF(U18&gt;=Annahmen!$B$24,"A",IF(U18&gt;=Annahmen!$B$25,"B","C"))</f>
        <v>B</v>
      </c>
      <c r="C18" s="23" t="s">
        <v>18</v>
      </c>
      <c r="D18" s="24" t="s">
        <v>205</v>
      </c>
      <c r="E18" s="23" t="s">
        <v>206</v>
      </c>
      <c r="F18" s="23" t="s">
        <v>151</v>
      </c>
      <c r="G18" s="21" t="s">
        <v>150</v>
      </c>
      <c r="H18" s="25" t="s">
        <v>151</v>
      </c>
      <c r="I18" s="21" t="s">
        <v>102</v>
      </c>
      <c r="J18" s="23" t="s">
        <v>207</v>
      </c>
      <c r="K18" s="23" t="s">
        <v>208</v>
      </c>
      <c r="L18" s="26" t="n">
        <v>0.5</v>
      </c>
      <c r="M18" s="27" t="n">
        <v>26</v>
      </c>
      <c r="N18" s="26" t="n">
        <v>0</v>
      </c>
      <c r="O18" s="27" t="n">
        <v>0</v>
      </c>
      <c r="P18" s="26" t="n">
        <v>0.5</v>
      </c>
      <c r="Q18" s="27" t="n">
        <v>6</v>
      </c>
      <c r="R18" s="28" t="n">
        <f aca="false">ROUND(L18*M18*Annahmen!$F$9+N18*O18*Annahmen!$F$12+P18*Q18*Annahmen!$F$15,-2)</f>
        <v>129600</v>
      </c>
      <c r="S18" s="29" t="n">
        <v>1</v>
      </c>
      <c r="T18" s="29" t="n">
        <v>0.15</v>
      </c>
      <c r="U18" s="30" t="n">
        <f aca="false">ROUND(R18*S18*T18,-2)</f>
        <v>19400</v>
      </c>
      <c r="V18" s="23" t="s">
        <v>209</v>
      </c>
      <c r="W18" s="31" t="s">
        <v>210</v>
      </c>
      <c r="X18" s="27"/>
      <c r="Y18" s="27" t="s">
        <v>94</v>
      </c>
      <c r="Z18" s="23" t="s">
        <v>95</v>
      </c>
      <c r="AA18" s="27"/>
      <c r="AB18" s="27"/>
      <c r="AC18" s="32"/>
      <c r="AD18" s="32"/>
      <c r="AE18" s="33" t="s">
        <v>96</v>
      </c>
      <c r="AF18" s="23" t="s">
        <v>211</v>
      </c>
    </row>
    <row r="19" customFormat="false" ht="51.75" hidden="false" customHeight="true" outlineLevel="0" collapsed="false">
      <c r="A19" s="21" t="n">
        <f aca="false">RANK(U19,$U$5:$U$42)+COUNTIF($U$5:U19,U19)-1</f>
        <v>15</v>
      </c>
      <c r="B19" s="22" t="str">
        <f aca="false">IF(U19&gt;=Annahmen!$B$24,"A",IF(U19&gt;=Annahmen!$B$25,"B","C"))</f>
        <v>B</v>
      </c>
      <c r="C19" s="23" t="s">
        <v>19</v>
      </c>
      <c r="D19" s="24" t="s">
        <v>212</v>
      </c>
      <c r="E19" s="23" t="s">
        <v>213</v>
      </c>
      <c r="F19" s="23" t="s">
        <v>214</v>
      </c>
      <c r="G19" s="21" t="s">
        <v>215</v>
      </c>
      <c r="H19" s="25" t="s">
        <v>101</v>
      </c>
      <c r="I19" s="21" t="s">
        <v>102</v>
      </c>
      <c r="J19" s="23" t="s">
        <v>216</v>
      </c>
      <c r="K19" s="23" t="s">
        <v>217</v>
      </c>
      <c r="L19" s="26" t="n">
        <v>1</v>
      </c>
      <c r="M19" s="27" t="n">
        <v>18</v>
      </c>
      <c r="N19" s="26" t="n">
        <v>0</v>
      </c>
      <c r="O19" s="27" t="n">
        <v>0</v>
      </c>
      <c r="P19" s="26" t="n">
        <v>0</v>
      </c>
      <c r="Q19" s="27" t="n">
        <v>0</v>
      </c>
      <c r="R19" s="28" t="n">
        <f aca="false">ROUND(L19*M19*Annahmen!$F$9+N19*O19*Annahmen!$F$12+P19*Q19*Annahmen!$F$15,-2)</f>
        <v>76300</v>
      </c>
      <c r="S19" s="29" t="n">
        <v>1</v>
      </c>
      <c r="T19" s="29" t="n">
        <v>0.25</v>
      </c>
      <c r="U19" s="30" t="n">
        <f aca="false">ROUND(R19*S19*T19,-2)</f>
        <v>19100</v>
      </c>
      <c r="V19" s="23"/>
      <c r="W19" s="31" t="s">
        <v>218</v>
      </c>
      <c r="X19" s="27"/>
      <c r="Y19" s="27" t="s">
        <v>94</v>
      </c>
      <c r="Z19" s="23" t="s">
        <v>219</v>
      </c>
      <c r="AA19" s="27"/>
      <c r="AB19" s="27"/>
      <c r="AC19" s="32"/>
      <c r="AD19" s="32"/>
      <c r="AE19" s="33" t="s">
        <v>96</v>
      </c>
      <c r="AF19" s="23" t="s">
        <v>220</v>
      </c>
    </row>
    <row r="20" customFormat="false" ht="51.75" hidden="false" customHeight="true" outlineLevel="0" collapsed="false">
      <c r="A20" s="21" t="n">
        <f aca="false">RANK(U20,$U$5:$U$42)+COUNTIF($U$5:U20,U20)-1</f>
        <v>16</v>
      </c>
      <c r="B20" s="22" t="str">
        <f aca="false">IF(U20&gt;=Annahmen!$B$24,"A",IF(U20&gt;=Annahmen!$B$25,"B","C"))</f>
        <v>B</v>
      </c>
      <c r="C20" s="23" t="s">
        <v>20</v>
      </c>
      <c r="D20" s="24" t="s">
        <v>221</v>
      </c>
      <c r="E20" s="23" t="s">
        <v>222</v>
      </c>
      <c r="F20" s="23" t="s">
        <v>151</v>
      </c>
      <c r="G20" s="21" t="s">
        <v>150</v>
      </c>
      <c r="H20" s="25" t="s">
        <v>151</v>
      </c>
      <c r="I20" s="21" t="s">
        <v>102</v>
      </c>
      <c r="J20" s="23" t="s">
        <v>223</v>
      </c>
      <c r="K20" s="23" t="s">
        <v>224</v>
      </c>
      <c r="L20" s="26" t="n">
        <v>1</v>
      </c>
      <c r="M20" s="27" t="n">
        <v>12</v>
      </c>
      <c r="N20" s="26" t="n">
        <v>0</v>
      </c>
      <c r="O20" s="27" t="n">
        <v>0</v>
      </c>
      <c r="P20" s="26" t="n">
        <v>0.5</v>
      </c>
      <c r="Q20" s="27" t="n">
        <v>6</v>
      </c>
      <c r="R20" s="28" t="n">
        <f aca="false">ROUND(L20*M20*Annahmen!$F$9+N20*O20*Annahmen!$F$12+P20*Q20*Annahmen!$F$15,-2)</f>
        <v>125400</v>
      </c>
      <c r="S20" s="29" t="n">
        <v>1</v>
      </c>
      <c r="T20" s="29" t="n">
        <v>0.15</v>
      </c>
      <c r="U20" s="30" t="n">
        <f aca="false">ROUND(R20*S20*T20,-2)</f>
        <v>18800</v>
      </c>
      <c r="V20" s="23" t="s">
        <v>225</v>
      </c>
      <c r="W20" s="31" t="s">
        <v>226</v>
      </c>
      <c r="X20" s="27"/>
      <c r="Y20" s="27" t="s">
        <v>94</v>
      </c>
      <c r="Z20" s="23" t="s">
        <v>116</v>
      </c>
      <c r="AA20" s="27"/>
      <c r="AB20" s="27"/>
      <c r="AC20" s="32"/>
      <c r="AD20" s="32"/>
      <c r="AE20" s="33" t="s">
        <v>96</v>
      </c>
      <c r="AF20" s="23" t="s">
        <v>211</v>
      </c>
    </row>
    <row r="21" customFormat="false" ht="51.75" hidden="false" customHeight="true" outlineLevel="0" collapsed="false">
      <c r="A21" s="21" t="n">
        <f aca="false">RANK(U21,$U$5:$U$42)+COUNTIF($U$5:U21,U21)-1</f>
        <v>17</v>
      </c>
      <c r="B21" s="22" t="str">
        <f aca="false">IF(U21&gt;=Annahmen!$B$24,"A",IF(U21&gt;=Annahmen!$B$25,"B","C"))</f>
        <v>B</v>
      </c>
      <c r="C21" s="23" t="s">
        <v>19</v>
      </c>
      <c r="D21" s="24" t="s">
        <v>227</v>
      </c>
      <c r="E21" s="23" t="s">
        <v>228</v>
      </c>
      <c r="F21" s="23" t="s">
        <v>229</v>
      </c>
      <c r="G21" s="21" t="s">
        <v>230</v>
      </c>
      <c r="H21" s="25" t="s">
        <v>121</v>
      </c>
      <c r="I21" s="21" t="s">
        <v>102</v>
      </c>
      <c r="J21" s="23" t="s">
        <v>231</v>
      </c>
      <c r="K21" s="23" t="s">
        <v>232</v>
      </c>
      <c r="L21" s="26" t="n">
        <v>2</v>
      </c>
      <c r="M21" s="27" t="n">
        <v>8</v>
      </c>
      <c r="N21" s="26" t="n">
        <v>0</v>
      </c>
      <c r="O21" s="27" t="n">
        <v>0</v>
      </c>
      <c r="P21" s="26" t="n">
        <v>0</v>
      </c>
      <c r="Q21" s="27" t="n">
        <v>0</v>
      </c>
      <c r="R21" s="28" t="n">
        <f aca="false">ROUND(L21*M21*Annahmen!$F$9+N21*O21*Annahmen!$F$12+P21*Q21*Annahmen!$F$15,-2)</f>
        <v>67800</v>
      </c>
      <c r="S21" s="29" t="n">
        <v>1</v>
      </c>
      <c r="T21" s="29" t="n">
        <v>0.25</v>
      </c>
      <c r="U21" s="30" t="n">
        <f aca="false">ROUND(R21*S21*T21,-2)</f>
        <v>17000</v>
      </c>
      <c r="V21" s="23"/>
      <c r="W21" s="31" t="s">
        <v>233</v>
      </c>
      <c r="X21" s="27"/>
      <c r="Y21" s="27" t="s">
        <v>94</v>
      </c>
      <c r="Z21" s="23" t="s">
        <v>219</v>
      </c>
      <c r="AA21" s="27"/>
      <c r="AB21" s="27"/>
      <c r="AC21" s="32"/>
      <c r="AD21" s="32"/>
      <c r="AE21" s="33" t="s">
        <v>96</v>
      </c>
      <c r="AF21" s="23" t="s">
        <v>234</v>
      </c>
    </row>
    <row r="22" customFormat="false" ht="51.75" hidden="false" customHeight="true" outlineLevel="0" collapsed="false">
      <c r="A22" s="21" t="n">
        <f aca="false">RANK(U22,$U$5:$U$42)+COUNTIF($U$5:U22,U22)-1</f>
        <v>18</v>
      </c>
      <c r="B22" s="22" t="str">
        <f aca="false">IF(U22&gt;=Annahmen!$B$24,"A",IF(U22&gt;=Annahmen!$B$25,"B","C"))</f>
        <v>B</v>
      </c>
      <c r="C22" s="23" t="s">
        <v>18</v>
      </c>
      <c r="D22" s="24" t="s">
        <v>235</v>
      </c>
      <c r="E22" s="23" t="s">
        <v>236</v>
      </c>
      <c r="F22" s="23" t="s">
        <v>237</v>
      </c>
      <c r="G22" s="21" t="s">
        <v>238</v>
      </c>
      <c r="H22" s="25" t="s">
        <v>239</v>
      </c>
      <c r="I22" s="21" t="s">
        <v>240</v>
      </c>
      <c r="J22" s="23" t="s">
        <v>241</v>
      </c>
      <c r="K22" s="23" t="s">
        <v>242</v>
      </c>
      <c r="L22" s="26" t="n">
        <v>1</v>
      </c>
      <c r="M22" s="27" t="n">
        <v>26</v>
      </c>
      <c r="N22" s="26" t="n">
        <v>0</v>
      </c>
      <c r="O22" s="27" t="n">
        <v>0</v>
      </c>
      <c r="P22" s="26" t="n">
        <v>0.5</v>
      </c>
      <c r="Q22" s="27" t="n">
        <v>6</v>
      </c>
      <c r="R22" s="28" t="n">
        <f aca="false">ROUND(L22*M22*Annahmen!$F$9+N22*O22*Annahmen!$F$12+P22*Q22*Annahmen!$F$15,-2)</f>
        <v>184700</v>
      </c>
      <c r="S22" s="29" t="n">
        <v>0.6</v>
      </c>
      <c r="T22" s="29" t="n">
        <v>0.15</v>
      </c>
      <c r="U22" s="30" t="n">
        <f aca="false">ROUND(R22*S22*T22,-2)</f>
        <v>16600</v>
      </c>
      <c r="V22" s="23" t="s">
        <v>243</v>
      </c>
      <c r="W22" s="31" t="s">
        <v>244</v>
      </c>
      <c r="X22" s="27"/>
      <c r="Y22" s="27" t="s">
        <v>94</v>
      </c>
      <c r="Z22" s="23" t="s">
        <v>95</v>
      </c>
      <c r="AA22" s="27"/>
      <c r="AB22" s="27"/>
      <c r="AC22" s="32"/>
      <c r="AD22" s="32"/>
      <c r="AE22" s="33" t="s">
        <v>96</v>
      </c>
      <c r="AF22" s="23"/>
    </row>
    <row r="23" customFormat="false" ht="51.75" hidden="false" customHeight="true" outlineLevel="0" collapsed="false">
      <c r="A23" s="21" t="n">
        <f aca="false">RANK(U23,$U$5:$U$42)+COUNTIF($U$5:U23,U23)-1</f>
        <v>19</v>
      </c>
      <c r="B23" s="22" t="str">
        <f aca="false">IF(U23&gt;=Annahmen!$B$24,"A",IF(U23&gt;=Annahmen!$B$25,"B","C"))</f>
        <v>B</v>
      </c>
      <c r="C23" s="23" t="s">
        <v>18</v>
      </c>
      <c r="D23" s="24" t="s">
        <v>245</v>
      </c>
      <c r="E23" s="23" t="s">
        <v>206</v>
      </c>
      <c r="F23" s="23" t="s">
        <v>246</v>
      </c>
      <c r="G23" s="21" t="s">
        <v>150</v>
      </c>
      <c r="H23" s="25" t="s">
        <v>151</v>
      </c>
      <c r="I23" s="21" t="s">
        <v>102</v>
      </c>
      <c r="J23" s="23" t="s">
        <v>247</v>
      </c>
      <c r="K23" s="23" t="s">
        <v>248</v>
      </c>
      <c r="L23" s="26" t="n">
        <v>1</v>
      </c>
      <c r="M23" s="27" t="n">
        <v>26</v>
      </c>
      <c r="N23" s="26" t="n">
        <v>0</v>
      </c>
      <c r="O23" s="27" t="n">
        <v>0</v>
      </c>
      <c r="P23" s="26" t="n">
        <v>0</v>
      </c>
      <c r="Q23" s="27" t="n">
        <v>0</v>
      </c>
      <c r="R23" s="28" t="n">
        <f aca="false">ROUND(L23*M23*Annahmen!$F$9+N23*O23*Annahmen!$F$12+P23*Q23*Annahmen!$F$15,-2)</f>
        <v>110200</v>
      </c>
      <c r="S23" s="29" t="n">
        <v>1</v>
      </c>
      <c r="T23" s="29" t="n">
        <v>0.15</v>
      </c>
      <c r="U23" s="30" t="n">
        <f aca="false">ROUND(R23*S23*T23,-2)</f>
        <v>16500</v>
      </c>
      <c r="V23" s="23" t="s">
        <v>163</v>
      </c>
      <c r="W23" s="31" t="s">
        <v>249</v>
      </c>
      <c r="X23" s="27"/>
      <c r="Y23" s="27" t="s">
        <v>94</v>
      </c>
      <c r="Z23" s="23" t="s">
        <v>95</v>
      </c>
      <c r="AA23" s="27"/>
      <c r="AB23" s="27"/>
      <c r="AC23" s="32"/>
      <c r="AD23" s="32"/>
      <c r="AE23" s="33" t="s">
        <v>96</v>
      </c>
      <c r="AF23" s="23" t="s">
        <v>211</v>
      </c>
    </row>
    <row r="24" customFormat="false" ht="51.75" hidden="false" customHeight="true" outlineLevel="0" collapsed="false">
      <c r="A24" s="21" t="n">
        <f aca="false">RANK(U24,$U$5:$U$42)+COUNTIF($U$5:U24,U24)-1</f>
        <v>20</v>
      </c>
      <c r="B24" s="22" t="str">
        <f aca="false">IF(U24&gt;=Annahmen!$B$24,"A",IF(U24&gt;=Annahmen!$B$25,"B","C"))</f>
        <v>B</v>
      </c>
      <c r="C24" s="23" t="s">
        <v>21</v>
      </c>
      <c r="D24" s="24" t="s">
        <v>250</v>
      </c>
      <c r="E24" s="23" t="s">
        <v>251</v>
      </c>
      <c r="F24" s="23" t="s">
        <v>252</v>
      </c>
      <c r="G24" s="21" t="s">
        <v>253</v>
      </c>
      <c r="H24" s="25" t="s">
        <v>111</v>
      </c>
      <c r="I24" s="21" t="s">
        <v>185</v>
      </c>
      <c r="J24" s="23" t="s">
        <v>254</v>
      </c>
      <c r="K24" s="23" t="s">
        <v>255</v>
      </c>
      <c r="L24" s="26" t="n">
        <v>1</v>
      </c>
      <c r="M24" s="27" t="n">
        <v>26</v>
      </c>
      <c r="N24" s="26" t="n">
        <v>0</v>
      </c>
      <c r="O24" s="27" t="n">
        <v>0</v>
      </c>
      <c r="P24" s="26" t="n">
        <v>0</v>
      </c>
      <c r="Q24" s="27" t="n">
        <v>0</v>
      </c>
      <c r="R24" s="28" t="n">
        <f aca="false">ROUND(L24*M24*Annahmen!$F$9+N24*O24*Annahmen!$F$12+P24*Q24*Annahmen!$F$15,-2)</f>
        <v>110200</v>
      </c>
      <c r="S24" s="29" t="n">
        <v>1</v>
      </c>
      <c r="T24" s="29" t="n">
        <v>0.15</v>
      </c>
      <c r="U24" s="30" t="n">
        <f aca="false">ROUND(R24*S24*T24,-2)</f>
        <v>16500</v>
      </c>
      <c r="V24" s="23" t="s">
        <v>256</v>
      </c>
      <c r="W24" s="31" t="s">
        <v>257</v>
      </c>
      <c r="X24" s="27"/>
      <c r="Y24" s="27" t="s">
        <v>94</v>
      </c>
      <c r="Z24" s="23" t="s">
        <v>136</v>
      </c>
      <c r="AA24" s="27"/>
      <c r="AB24" s="27"/>
      <c r="AC24" s="32"/>
      <c r="AD24" s="32"/>
      <c r="AE24" s="33" t="s">
        <v>96</v>
      </c>
      <c r="AF24" s="23"/>
    </row>
    <row r="25" customFormat="false" ht="51.75" hidden="false" customHeight="true" outlineLevel="0" collapsed="false">
      <c r="A25" s="21" t="n">
        <f aca="false">RANK(U25,$U$5:$U$42)+COUNTIF($U$5:U25,U25)-1</f>
        <v>21</v>
      </c>
      <c r="B25" s="22" t="str">
        <f aca="false">IF(U25&gt;=Annahmen!$B$24,"A",IF(U25&gt;=Annahmen!$B$25,"B","C"))</f>
        <v>B</v>
      </c>
      <c r="C25" s="23" t="s">
        <v>17</v>
      </c>
      <c r="D25" s="24" t="s">
        <v>258</v>
      </c>
      <c r="E25" s="23" t="s">
        <v>182</v>
      </c>
      <c r="F25" s="23" t="s">
        <v>259</v>
      </c>
      <c r="G25" s="21" t="s">
        <v>238</v>
      </c>
      <c r="H25" s="25" t="s">
        <v>239</v>
      </c>
      <c r="I25" s="21" t="s">
        <v>260</v>
      </c>
      <c r="J25" s="23" t="s">
        <v>261</v>
      </c>
      <c r="K25" s="23" t="s">
        <v>262</v>
      </c>
      <c r="L25" s="26" t="n">
        <v>0.5</v>
      </c>
      <c r="M25" s="27" t="n">
        <v>40</v>
      </c>
      <c r="N25" s="26" t="n">
        <v>1.5</v>
      </c>
      <c r="O25" s="27" t="n">
        <v>3</v>
      </c>
      <c r="P25" s="26" t="n">
        <v>0</v>
      </c>
      <c r="Q25" s="27" t="n">
        <v>0</v>
      </c>
      <c r="R25" s="28" t="n">
        <f aca="false">ROUND(L25*M25*Annahmen!$F$9+N25*O25*Annahmen!$F$12+P25*Q25*Annahmen!$F$15,-2)</f>
        <v>93500</v>
      </c>
      <c r="S25" s="29" t="n">
        <v>0.6</v>
      </c>
      <c r="T25" s="29" t="n">
        <v>0.25</v>
      </c>
      <c r="U25" s="30" t="n">
        <f aca="false">ROUND(R25*S25*T25,-2)</f>
        <v>14000</v>
      </c>
      <c r="V25" s="23" t="s">
        <v>263</v>
      </c>
      <c r="W25" s="31" t="s">
        <v>264</v>
      </c>
      <c r="X25" s="27"/>
      <c r="Y25" s="27" t="s">
        <v>94</v>
      </c>
      <c r="Z25" s="23" t="s">
        <v>127</v>
      </c>
      <c r="AA25" s="27"/>
      <c r="AB25" s="27"/>
      <c r="AC25" s="32"/>
      <c r="AD25" s="32"/>
      <c r="AE25" s="33" t="s">
        <v>96</v>
      </c>
      <c r="AF25" s="23"/>
    </row>
    <row r="26" customFormat="false" ht="51.75" hidden="false" customHeight="true" outlineLevel="0" collapsed="false">
      <c r="A26" s="21" t="n">
        <f aca="false">RANK(U26,$U$5:$U$42)+COUNTIF($U$5:U26,U26)-1</f>
        <v>22</v>
      </c>
      <c r="B26" s="22" t="str">
        <f aca="false">IF(U26&gt;=Annahmen!$B$24,"A",IF(U26&gt;=Annahmen!$B$25,"B","C"))</f>
        <v>B</v>
      </c>
      <c r="C26" s="23" t="s">
        <v>17</v>
      </c>
      <c r="D26" s="24" t="s">
        <v>265</v>
      </c>
      <c r="E26" s="23" t="s">
        <v>266</v>
      </c>
      <c r="F26" s="23" t="s">
        <v>267</v>
      </c>
      <c r="G26" s="21" t="s">
        <v>110</v>
      </c>
      <c r="H26" s="25" t="s">
        <v>111</v>
      </c>
      <c r="I26" s="21" t="s">
        <v>185</v>
      </c>
      <c r="J26" s="23" t="s">
        <v>268</v>
      </c>
      <c r="K26" s="23" t="s">
        <v>269</v>
      </c>
      <c r="L26" s="26" t="n">
        <v>2</v>
      </c>
      <c r="M26" s="27" t="n">
        <v>26</v>
      </c>
      <c r="N26" s="26" t="n">
        <v>0</v>
      </c>
      <c r="O26" s="27" t="n">
        <v>0</v>
      </c>
      <c r="P26" s="26" t="n">
        <v>0</v>
      </c>
      <c r="Q26" s="27" t="n">
        <v>0</v>
      </c>
      <c r="R26" s="28" t="n">
        <f aca="false">ROUND(L26*M26*Annahmen!$F$9+N26*O26*Annahmen!$F$12+P26*Q26*Annahmen!$F$15,-2)</f>
        <v>220400</v>
      </c>
      <c r="S26" s="29" t="n">
        <v>0.6</v>
      </c>
      <c r="T26" s="29" t="n">
        <v>0.1</v>
      </c>
      <c r="U26" s="30" t="n">
        <f aca="false">ROUND(R26*S26*T26,-2)</f>
        <v>13200</v>
      </c>
      <c r="V26" s="23" t="s">
        <v>134</v>
      </c>
      <c r="W26" s="31" t="s">
        <v>270</v>
      </c>
      <c r="X26" s="27"/>
      <c r="Y26" s="27" t="s">
        <v>94</v>
      </c>
      <c r="Z26" s="23" t="s">
        <v>127</v>
      </c>
      <c r="AA26" s="27"/>
      <c r="AB26" s="27"/>
      <c r="AC26" s="32"/>
      <c r="AD26" s="32"/>
      <c r="AE26" s="33" t="s">
        <v>96</v>
      </c>
      <c r="AF26" s="23" t="s">
        <v>271</v>
      </c>
    </row>
    <row r="27" customFormat="false" ht="51.75" hidden="false" customHeight="true" outlineLevel="0" collapsed="false">
      <c r="A27" s="21" t="n">
        <f aca="false">RANK(U27,$U$5:$U$42)+COUNTIF($U$5:U27,U27)-1</f>
        <v>23</v>
      </c>
      <c r="B27" s="22" t="str">
        <f aca="false">IF(U27&gt;=Annahmen!$B$24,"A",IF(U27&gt;=Annahmen!$B$25,"B","C"))</f>
        <v>B</v>
      </c>
      <c r="C27" s="23" t="s">
        <v>23</v>
      </c>
      <c r="D27" s="24" t="s">
        <v>272</v>
      </c>
      <c r="E27" s="23" t="s">
        <v>273</v>
      </c>
      <c r="F27" s="23" t="s">
        <v>274</v>
      </c>
      <c r="G27" s="21" t="s">
        <v>140</v>
      </c>
      <c r="H27" s="25" t="s">
        <v>141</v>
      </c>
      <c r="I27" s="21" t="s">
        <v>192</v>
      </c>
      <c r="J27" s="23" t="s">
        <v>275</v>
      </c>
      <c r="K27" s="23" t="s">
        <v>276</v>
      </c>
      <c r="L27" s="26" t="n">
        <v>1</v>
      </c>
      <c r="M27" s="27" t="n">
        <v>20</v>
      </c>
      <c r="N27" s="26" t="n">
        <v>0</v>
      </c>
      <c r="O27" s="27" t="n">
        <v>0</v>
      </c>
      <c r="P27" s="26" t="n">
        <v>0</v>
      </c>
      <c r="Q27" s="27" t="n">
        <v>0</v>
      </c>
      <c r="R27" s="28" t="n">
        <f aca="false">ROUND(L27*M27*Annahmen!$F$9+N27*O27*Annahmen!$F$12+P27*Q27*Annahmen!$F$15,-2)</f>
        <v>84800</v>
      </c>
      <c r="S27" s="29" t="n">
        <v>1</v>
      </c>
      <c r="T27" s="29" t="n">
        <v>0.15</v>
      </c>
      <c r="U27" s="30" t="n">
        <f aca="false">ROUND(R27*S27*T27,-2)</f>
        <v>12700</v>
      </c>
      <c r="V27" s="23" t="s">
        <v>163</v>
      </c>
      <c r="W27" s="31" t="s">
        <v>277</v>
      </c>
      <c r="X27" s="27"/>
      <c r="Y27" s="27" t="s">
        <v>94</v>
      </c>
      <c r="Z27" s="23" t="s">
        <v>165</v>
      </c>
      <c r="AA27" s="27"/>
      <c r="AB27" s="27"/>
      <c r="AC27" s="32"/>
      <c r="AD27" s="32"/>
      <c r="AE27" s="33" t="s">
        <v>96</v>
      </c>
      <c r="AF27" s="23" t="s">
        <v>166</v>
      </c>
    </row>
    <row r="28" customFormat="false" ht="51.75" hidden="false" customHeight="true" outlineLevel="0" collapsed="false">
      <c r="A28" s="21" t="n">
        <f aca="false">RANK(U28,$U$5:$U$42)+COUNTIF($U$5:U28,U28)-1</f>
        <v>24</v>
      </c>
      <c r="B28" s="22" t="str">
        <f aca="false">IF(U28&gt;=Annahmen!$B$24,"A",IF(U28&gt;=Annahmen!$B$25,"B","C"))</f>
        <v>B</v>
      </c>
      <c r="C28" s="23" t="s">
        <v>23</v>
      </c>
      <c r="D28" s="24" t="s">
        <v>278</v>
      </c>
      <c r="E28" s="23" t="s">
        <v>279</v>
      </c>
      <c r="F28" s="23" t="s">
        <v>280</v>
      </c>
      <c r="G28" s="21" t="s">
        <v>281</v>
      </c>
      <c r="H28" s="25" t="s">
        <v>101</v>
      </c>
      <c r="I28" s="21" t="s">
        <v>102</v>
      </c>
      <c r="J28" s="23" t="s">
        <v>282</v>
      </c>
      <c r="K28" s="23" t="s">
        <v>283</v>
      </c>
      <c r="L28" s="26" t="n">
        <v>1</v>
      </c>
      <c r="M28" s="27" t="n">
        <v>20</v>
      </c>
      <c r="N28" s="26" t="n">
        <v>0</v>
      </c>
      <c r="O28" s="27" t="n">
        <v>0</v>
      </c>
      <c r="P28" s="26" t="n">
        <v>0</v>
      </c>
      <c r="Q28" s="27" t="n">
        <v>0</v>
      </c>
      <c r="R28" s="28" t="n">
        <f aca="false">ROUND(L28*M28*Annahmen!$F$9+N28*O28*Annahmen!$F$12+P28*Q28*Annahmen!$F$15,-2)</f>
        <v>84800</v>
      </c>
      <c r="S28" s="29" t="n">
        <v>1</v>
      </c>
      <c r="T28" s="29" t="n">
        <v>0.15</v>
      </c>
      <c r="U28" s="30" t="n">
        <f aca="false">ROUND(R28*S28*T28,-2)</f>
        <v>12700</v>
      </c>
      <c r="V28" s="23" t="s">
        <v>163</v>
      </c>
      <c r="W28" s="31" t="s">
        <v>284</v>
      </c>
      <c r="X28" s="27"/>
      <c r="Y28" s="27" t="s">
        <v>94</v>
      </c>
      <c r="Z28" s="23" t="s">
        <v>165</v>
      </c>
      <c r="AA28" s="27"/>
      <c r="AB28" s="27"/>
      <c r="AC28" s="32"/>
      <c r="AD28" s="32"/>
      <c r="AE28" s="33" t="s">
        <v>96</v>
      </c>
      <c r="AF28" s="23" t="s">
        <v>166</v>
      </c>
    </row>
    <row r="29" customFormat="false" ht="51.75" hidden="false" customHeight="true" outlineLevel="0" collapsed="false">
      <c r="A29" s="21" t="n">
        <f aca="false">RANK(U29,$U$5:$U$42)+COUNTIF($U$5:U29,U29)-1</f>
        <v>25</v>
      </c>
      <c r="B29" s="22" t="str">
        <f aca="false">IF(U29&gt;=Annahmen!$B$24,"A",IF(U29&gt;=Annahmen!$B$25,"B","C"))</f>
        <v>B</v>
      </c>
      <c r="C29" s="23" t="s">
        <v>22</v>
      </c>
      <c r="D29" s="24" t="s">
        <v>285</v>
      </c>
      <c r="E29" s="23" t="s">
        <v>286</v>
      </c>
      <c r="F29" s="23" t="s">
        <v>287</v>
      </c>
      <c r="G29" s="21" t="s">
        <v>288</v>
      </c>
      <c r="H29" s="25" t="s">
        <v>239</v>
      </c>
      <c r="I29" s="21" t="s">
        <v>240</v>
      </c>
      <c r="J29" s="23" t="s">
        <v>289</v>
      </c>
      <c r="K29" s="23" t="s">
        <v>290</v>
      </c>
      <c r="L29" s="26" t="n">
        <v>3</v>
      </c>
      <c r="M29" s="27" t="n">
        <v>4</v>
      </c>
      <c r="N29" s="26" t="n">
        <v>0</v>
      </c>
      <c r="O29" s="27" t="n">
        <v>0</v>
      </c>
      <c r="P29" s="26" t="n">
        <v>0.5</v>
      </c>
      <c r="Q29" s="27" t="n">
        <v>1</v>
      </c>
      <c r="R29" s="28" t="n">
        <f aca="false">ROUND(L29*M29*Annahmen!$F$9+N29*O29*Annahmen!$F$12+P29*Q29*Annahmen!$F$15,-2)</f>
        <v>63300</v>
      </c>
      <c r="S29" s="29" t="n">
        <v>1</v>
      </c>
      <c r="T29" s="29" t="n">
        <v>0.2</v>
      </c>
      <c r="U29" s="30" t="n">
        <f aca="false">ROUND(R29*S29*T29,-2)</f>
        <v>12700</v>
      </c>
      <c r="V29" s="23" t="s">
        <v>291</v>
      </c>
      <c r="W29" s="31" t="s">
        <v>292</v>
      </c>
      <c r="X29" s="27"/>
      <c r="Y29" s="27" t="s">
        <v>94</v>
      </c>
      <c r="Z29" s="23" t="s">
        <v>293</v>
      </c>
      <c r="AA29" s="27"/>
      <c r="AB29" s="27"/>
      <c r="AC29" s="32"/>
      <c r="AD29" s="32"/>
      <c r="AE29" s="33" t="s">
        <v>96</v>
      </c>
      <c r="AF29" s="23" t="s">
        <v>294</v>
      </c>
    </row>
    <row r="30" customFormat="false" ht="51.75" hidden="false" customHeight="true" outlineLevel="0" collapsed="false">
      <c r="A30" s="21" t="n">
        <f aca="false">RANK(U30,$U$5:$U$42)+COUNTIF($U$5:U30,U30)-1</f>
        <v>26</v>
      </c>
      <c r="B30" s="22" t="str">
        <f aca="false">IF(U30&gt;=Annahmen!$B$24,"A",IF(U30&gt;=Annahmen!$B$25,"B","C"))</f>
        <v>B</v>
      </c>
      <c r="C30" s="23" t="s">
        <v>17</v>
      </c>
      <c r="D30" s="24" t="s">
        <v>295</v>
      </c>
      <c r="E30" s="23" t="s">
        <v>296</v>
      </c>
      <c r="F30" s="23" t="s">
        <v>297</v>
      </c>
      <c r="G30" s="21" t="s">
        <v>110</v>
      </c>
      <c r="H30" s="25" t="s">
        <v>111</v>
      </c>
      <c r="I30" s="21" t="s">
        <v>102</v>
      </c>
      <c r="J30" s="23" t="s">
        <v>298</v>
      </c>
      <c r="K30" s="23" t="s">
        <v>299</v>
      </c>
      <c r="L30" s="26" t="n">
        <v>2</v>
      </c>
      <c r="M30" s="27" t="n">
        <v>4</v>
      </c>
      <c r="N30" s="26" t="n">
        <v>6</v>
      </c>
      <c r="O30" s="27" t="n">
        <v>4</v>
      </c>
      <c r="P30" s="26" t="n">
        <v>0</v>
      </c>
      <c r="Q30" s="27" t="n">
        <v>0</v>
      </c>
      <c r="R30" s="28" t="n">
        <f aca="false">ROUND(L30*M30*Annahmen!$F$9+N30*O30*Annahmen!$F$12+P30*Q30*Annahmen!$F$15,-2)</f>
        <v>80600</v>
      </c>
      <c r="S30" s="29" t="n">
        <v>0.5</v>
      </c>
      <c r="T30" s="29" t="n">
        <v>0.3</v>
      </c>
      <c r="U30" s="30" t="n">
        <f aca="false">ROUND(R30*S30*T30,-2)</f>
        <v>12100</v>
      </c>
      <c r="V30" s="23" t="s">
        <v>300</v>
      </c>
      <c r="W30" s="31" t="s">
        <v>301</v>
      </c>
      <c r="X30" s="27"/>
      <c r="Y30" s="27" t="s">
        <v>94</v>
      </c>
      <c r="Z30" s="23" t="s">
        <v>127</v>
      </c>
      <c r="AA30" s="27"/>
      <c r="AB30" s="27"/>
      <c r="AC30" s="32"/>
      <c r="AD30" s="32"/>
      <c r="AE30" s="33" t="s">
        <v>96</v>
      </c>
      <c r="AF30" s="23" t="s">
        <v>302</v>
      </c>
    </row>
    <row r="31" customFormat="false" ht="51.75" hidden="false" customHeight="true" outlineLevel="0" collapsed="false">
      <c r="A31" s="21" t="n">
        <f aca="false">RANK(U31,$U$5:$U$42)+COUNTIF($U$5:U31,U31)-1</f>
        <v>27</v>
      </c>
      <c r="B31" s="22" t="str">
        <f aca="false">IF(U31&gt;=Annahmen!$B$24,"A",IF(U31&gt;=Annahmen!$B$25,"B","C"))</f>
        <v>B</v>
      </c>
      <c r="C31" s="23" t="s">
        <v>21</v>
      </c>
      <c r="D31" s="24" t="s">
        <v>303</v>
      </c>
      <c r="E31" s="23" t="s">
        <v>304</v>
      </c>
      <c r="F31" s="23" t="s">
        <v>305</v>
      </c>
      <c r="G31" s="21" t="s">
        <v>306</v>
      </c>
      <c r="H31" s="25" t="s">
        <v>111</v>
      </c>
      <c r="I31" s="21" t="s">
        <v>185</v>
      </c>
      <c r="J31" s="23" t="s">
        <v>307</v>
      </c>
      <c r="K31" s="23" t="s">
        <v>308</v>
      </c>
      <c r="L31" s="26" t="n">
        <v>1</v>
      </c>
      <c r="M31" s="27" t="n">
        <v>12</v>
      </c>
      <c r="N31" s="26" t="n">
        <v>2</v>
      </c>
      <c r="O31" s="27" t="n">
        <v>2</v>
      </c>
      <c r="P31" s="26" t="n">
        <v>0</v>
      </c>
      <c r="Q31" s="27" t="n">
        <v>0</v>
      </c>
      <c r="R31" s="28" t="n">
        <f aca="false">ROUND(L31*M31*Annahmen!$F$9+N31*O31*Annahmen!$F$12+P31*Q31*Annahmen!$F$15,-2)</f>
        <v>58700</v>
      </c>
      <c r="S31" s="29" t="n">
        <v>1</v>
      </c>
      <c r="T31" s="29" t="n">
        <v>0.2</v>
      </c>
      <c r="U31" s="30" t="n">
        <f aca="false">ROUND(R31*S31*T31,-2)</f>
        <v>11700</v>
      </c>
      <c r="V31" s="23" t="s">
        <v>309</v>
      </c>
      <c r="W31" s="31" t="s">
        <v>310</v>
      </c>
      <c r="X31" s="27"/>
      <c r="Y31" s="27" t="s">
        <v>94</v>
      </c>
      <c r="Z31" s="23" t="s">
        <v>136</v>
      </c>
      <c r="AA31" s="27"/>
      <c r="AB31" s="27"/>
      <c r="AC31" s="32"/>
      <c r="AD31" s="32"/>
      <c r="AE31" s="33" t="s">
        <v>96</v>
      </c>
      <c r="AF31" s="23"/>
    </row>
    <row r="32" customFormat="false" ht="51.75" hidden="false" customHeight="true" outlineLevel="0" collapsed="false">
      <c r="A32" s="21" t="n">
        <f aca="false">RANK(U32,$U$5:$U$42)+COUNTIF($U$5:U32,U32)-1</f>
        <v>28</v>
      </c>
      <c r="B32" s="22" t="str">
        <f aca="false">IF(U32&gt;=Annahmen!$B$24,"A",IF(U32&gt;=Annahmen!$B$25,"B","C"))</f>
        <v>B</v>
      </c>
      <c r="C32" s="23" t="s">
        <v>22</v>
      </c>
      <c r="D32" s="24" t="s">
        <v>311</v>
      </c>
      <c r="E32" s="23" t="s">
        <v>312</v>
      </c>
      <c r="F32" s="23" t="s">
        <v>313</v>
      </c>
      <c r="G32" s="21" t="s">
        <v>314</v>
      </c>
      <c r="H32" s="25" t="s">
        <v>121</v>
      </c>
      <c r="I32" s="21" t="s">
        <v>122</v>
      </c>
      <c r="J32" s="23" t="s">
        <v>315</v>
      </c>
      <c r="K32" s="23" t="s">
        <v>316</v>
      </c>
      <c r="L32" s="26" t="n">
        <v>4</v>
      </c>
      <c r="M32" s="27" t="n">
        <v>3</v>
      </c>
      <c r="N32" s="26" t="n">
        <v>0</v>
      </c>
      <c r="O32" s="27" t="n">
        <v>0</v>
      </c>
      <c r="P32" s="26" t="n">
        <v>1</v>
      </c>
      <c r="Q32" s="27" t="n">
        <v>1</v>
      </c>
      <c r="R32" s="28" t="n">
        <f aca="false">ROUND(L32*M32*Annahmen!$F$9+N32*O32*Annahmen!$F$12+P32*Q32*Annahmen!$F$15,-2)</f>
        <v>75700</v>
      </c>
      <c r="S32" s="29" t="n">
        <v>1</v>
      </c>
      <c r="T32" s="29" t="n">
        <v>0.15</v>
      </c>
      <c r="U32" s="30" t="n">
        <f aca="false">ROUND(R32*S32*T32,-2)</f>
        <v>11400</v>
      </c>
      <c r="V32" s="23" t="s">
        <v>317</v>
      </c>
      <c r="W32" s="31" t="s">
        <v>318</v>
      </c>
      <c r="X32" s="27"/>
      <c r="Y32" s="27" t="s">
        <v>94</v>
      </c>
      <c r="Z32" s="23" t="s">
        <v>293</v>
      </c>
      <c r="AA32" s="27"/>
      <c r="AB32" s="27"/>
      <c r="AC32" s="32"/>
      <c r="AD32" s="32"/>
      <c r="AE32" s="33" t="s">
        <v>96</v>
      </c>
      <c r="AF32" s="23" t="s">
        <v>294</v>
      </c>
    </row>
    <row r="33" customFormat="false" ht="51.75" hidden="false" customHeight="true" outlineLevel="0" collapsed="false">
      <c r="A33" s="21" t="n">
        <f aca="false">RANK(U33,$U$5:$U$42)+COUNTIF($U$5:U33,U33)-1</f>
        <v>29</v>
      </c>
      <c r="B33" s="22" t="str">
        <f aca="false">IF(U33&gt;=Annahmen!$B$24,"A",IF(U33&gt;=Annahmen!$B$25,"B","C"))</f>
        <v>B</v>
      </c>
      <c r="C33" s="23" t="s">
        <v>18</v>
      </c>
      <c r="D33" s="24" t="s">
        <v>319</v>
      </c>
      <c r="E33" s="23" t="s">
        <v>320</v>
      </c>
      <c r="F33" s="23" t="s">
        <v>321</v>
      </c>
      <c r="G33" s="21" t="s">
        <v>322</v>
      </c>
      <c r="H33" s="25" t="s">
        <v>121</v>
      </c>
      <c r="I33" s="21" t="s">
        <v>102</v>
      </c>
      <c r="J33" s="23" t="s">
        <v>323</v>
      </c>
      <c r="K33" s="23" t="s">
        <v>324</v>
      </c>
      <c r="L33" s="26" t="n">
        <v>1</v>
      </c>
      <c r="M33" s="27" t="n">
        <v>12</v>
      </c>
      <c r="N33" s="26" t="n">
        <v>0</v>
      </c>
      <c r="O33" s="27" t="n">
        <v>0</v>
      </c>
      <c r="P33" s="26" t="n">
        <v>0</v>
      </c>
      <c r="Q33" s="27" t="n">
        <v>0</v>
      </c>
      <c r="R33" s="28" t="n">
        <f aca="false">ROUND(L33*M33*Annahmen!$F$9+N33*O33*Annahmen!$F$12+P33*Q33*Annahmen!$F$15,-2)</f>
        <v>50900</v>
      </c>
      <c r="S33" s="29" t="n">
        <v>1</v>
      </c>
      <c r="T33" s="29" t="n">
        <v>0.2</v>
      </c>
      <c r="U33" s="30" t="n">
        <f aca="false">ROUND(R33*S33*T33,-2)</f>
        <v>10200</v>
      </c>
      <c r="V33" s="23"/>
      <c r="W33" s="31" t="s">
        <v>325</v>
      </c>
      <c r="X33" s="27"/>
      <c r="Y33" s="27" t="s">
        <v>94</v>
      </c>
      <c r="Z33" s="23" t="s">
        <v>95</v>
      </c>
      <c r="AA33" s="27"/>
      <c r="AB33" s="27"/>
      <c r="AC33" s="32"/>
      <c r="AD33" s="32"/>
      <c r="AE33" s="33" t="s">
        <v>96</v>
      </c>
      <c r="AF33" s="23"/>
    </row>
    <row r="34" customFormat="false" ht="51.75" hidden="false" customHeight="true" outlineLevel="0" collapsed="false">
      <c r="A34" s="21" t="n">
        <f aca="false">RANK(U34,$U$5:$U$42)+COUNTIF($U$5:U34,U34)-1</f>
        <v>30</v>
      </c>
      <c r="B34" s="22" t="str">
        <f aca="false">IF(U34&gt;=Annahmen!$B$24,"A",IF(U34&gt;=Annahmen!$B$25,"B","C"))</f>
        <v>B</v>
      </c>
      <c r="C34" s="23" t="s">
        <v>19</v>
      </c>
      <c r="D34" s="24" t="s">
        <v>326</v>
      </c>
      <c r="E34" s="23" t="s">
        <v>327</v>
      </c>
      <c r="F34" s="23" t="s">
        <v>328</v>
      </c>
      <c r="G34" s="21" t="s">
        <v>329</v>
      </c>
      <c r="H34" s="25" t="s">
        <v>239</v>
      </c>
      <c r="I34" s="21" t="s">
        <v>240</v>
      </c>
      <c r="J34" s="23" t="s">
        <v>330</v>
      </c>
      <c r="K34" s="23" t="s">
        <v>331</v>
      </c>
      <c r="L34" s="26" t="n">
        <v>1</v>
      </c>
      <c r="M34" s="27" t="n">
        <v>12</v>
      </c>
      <c r="N34" s="26" t="n">
        <v>0</v>
      </c>
      <c r="O34" s="27" t="n">
        <v>0</v>
      </c>
      <c r="P34" s="26" t="n">
        <v>0</v>
      </c>
      <c r="Q34" s="27" t="n">
        <v>0</v>
      </c>
      <c r="R34" s="28" t="n">
        <f aca="false">ROUND(L34*M34*Annahmen!$F$9+N34*O34*Annahmen!$F$12+P34*Q34*Annahmen!$F$15,-2)</f>
        <v>50900</v>
      </c>
      <c r="S34" s="29" t="n">
        <v>1</v>
      </c>
      <c r="T34" s="29" t="n">
        <v>0.2</v>
      </c>
      <c r="U34" s="30" t="n">
        <f aca="false">ROUND(R34*S34*T34,-2)</f>
        <v>10200</v>
      </c>
      <c r="V34" s="23"/>
      <c r="W34" s="31" t="s">
        <v>332</v>
      </c>
      <c r="X34" s="27"/>
      <c r="Y34" s="27" t="s">
        <v>94</v>
      </c>
      <c r="Z34" s="23" t="s">
        <v>219</v>
      </c>
      <c r="AA34" s="27"/>
      <c r="AB34" s="27"/>
      <c r="AC34" s="32"/>
      <c r="AD34" s="32"/>
      <c r="AE34" s="33" t="s">
        <v>96</v>
      </c>
      <c r="AF34" s="23"/>
    </row>
    <row r="35" customFormat="false" ht="51.75" hidden="false" customHeight="true" outlineLevel="0" collapsed="false">
      <c r="A35" s="21" t="n">
        <f aca="false">RANK(U35,$U$5:$U$42)+COUNTIF($U$5:U35,U35)-1</f>
        <v>31</v>
      </c>
      <c r="B35" s="22" t="str">
        <f aca="false">IF(U35&gt;=Annahmen!$B$24,"A",IF(U35&gt;=Annahmen!$B$25,"B","C"))</f>
        <v>C</v>
      </c>
      <c r="C35" s="23" t="s">
        <v>18</v>
      </c>
      <c r="D35" s="24" t="s">
        <v>333</v>
      </c>
      <c r="E35" s="23" t="s">
        <v>334</v>
      </c>
      <c r="F35" s="23" t="s">
        <v>335</v>
      </c>
      <c r="G35" s="21" t="s">
        <v>150</v>
      </c>
      <c r="H35" s="25" t="s">
        <v>151</v>
      </c>
      <c r="I35" s="21" t="s">
        <v>102</v>
      </c>
      <c r="J35" s="23" t="s">
        <v>336</v>
      </c>
      <c r="K35" s="23" t="s">
        <v>337</v>
      </c>
      <c r="L35" s="26" t="n">
        <v>1</v>
      </c>
      <c r="M35" s="27" t="n">
        <v>12</v>
      </c>
      <c r="N35" s="26" t="n">
        <v>0</v>
      </c>
      <c r="O35" s="27" t="n">
        <v>0</v>
      </c>
      <c r="P35" s="26" t="n">
        <v>0.5</v>
      </c>
      <c r="Q35" s="27" t="n">
        <v>6</v>
      </c>
      <c r="R35" s="28" t="n">
        <f aca="false">ROUND(L35*M35*Annahmen!$F$9+N35*O35*Annahmen!$F$12+P35*Q35*Annahmen!$F$15,-2)</f>
        <v>125400</v>
      </c>
      <c r="S35" s="29" t="n">
        <v>0.5</v>
      </c>
      <c r="T35" s="29" t="n">
        <v>0.15</v>
      </c>
      <c r="U35" s="30" t="n">
        <f aca="false">ROUND(R35*S35*T35,-2)</f>
        <v>9400</v>
      </c>
      <c r="V35" s="23" t="s">
        <v>338</v>
      </c>
      <c r="W35" s="31" t="s">
        <v>339</v>
      </c>
      <c r="X35" s="27"/>
      <c r="Y35" s="27" t="s">
        <v>94</v>
      </c>
      <c r="Z35" s="23" t="s">
        <v>95</v>
      </c>
      <c r="AA35" s="27"/>
      <c r="AB35" s="27"/>
      <c r="AC35" s="32"/>
      <c r="AD35" s="32"/>
      <c r="AE35" s="33" t="s">
        <v>96</v>
      </c>
      <c r="AF35" s="23"/>
    </row>
    <row r="36" customFormat="false" ht="51.75" hidden="false" customHeight="true" outlineLevel="0" collapsed="false">
      <c r="A36" s="21" t="n">
        <f aca="false">RANK(U36,$U$5:$U$42)+COUNTIF($U$5:U36,U36)-1</f>
        <v>32</v>
      </c>
      <c r="B36" s="22" t="str">
        <f aca="false">IF(U36&gt;=Annahmen!$B$24,"A",IF(U36&gt;=Annahmen!$B$25,"B","C"))</f>
        <v>C</v>
      </c>
      <c r="C36" s="23" t="s">
        <v>18</v>
      </c>
      <c r="D36" s="24" t="s">
        <v>340</v>
      </c>
      <c r="E36" s="23" t="s">
        <v>320</v>
      </c>
      <c r="F36" s="23" t="s">
        <v>341</v>
      </c>
      <c r="G36" s="21" t="s">
        <v>140</v>
      </c>
      <c r="H36" s="25" t="s">
        <v>141</v>
      </c>
      <c r="I36" s="21" t="s">
        <v>102</v>
      </c>
      <c r="J36" s="23" t="s">
        <v>342</v>
      </c>
      <c r="K36" s="23" t="s">
        <v>343</v>
      </c>
      <c r="L36" s="26" t="n">
        <v>0.5</v>
      </c>
      <c r="M36" s="27" t="n">
        <v>26</v>
      </c>
      <c r="N36" s="26" t="n">
        <v>0</v>
      </c>
      <c r="O36" s="27" t="n">
        <v>0</v>
      </c>
      <c r="P36" s="26" t="n">
        <v>0</v>
      </c>
      <c r="Q36" s="27" t="n">
        <v>0</v>
      </c>
      <c r="R36" s="28" t="n">
        <f aca="false">ROUND(L36*M36*Annahmen!$F$9+N36*O36*Annahmen!$F$12+P36*Q36*Annahmen!$F$15,-2)</f>
        <v>55100</v>
      </c>
      <c r="S36" s="29" t="n">
        <v>1</v>
      </c>
      <c r="T36" s="29" t="n">
        <v>0.15</v>
      </c>
      <c r="U36" s="30" t="n">
        <f aca="false">ROUND(R36*S36*T36,-2)</f>
        <v>8300</v>
      </c>
      <c r="V36" s="23"/>
      <c r="W36" s="31" t="s">
        <v>344</v>
      </c>
      <c r="X36" s="27"/>
      <c r="Y36" s="27" t="s">
        <v>94</v>
      </c>
      <c r="Z36" s="23" t="s">
        <v>95</v>
      </c>
      <c r="AA36" s="27"/>
      <c r="AB36" s="27"/>
      <c r="AC36" s="32"/>
      <c r="AD36" s="32"/>
      <c r="AE36" s="33" t="s">
        <v>96</v>
      </c>
      <c r="AF36" s="23"/>
    </row>
    <row r="37" customFormat="false" ht="51.75" hidden="false" customHeight="true" outlineLevel="0" collapsed="false">
      <c r="A37" s="21" t="n">
        <f aca="false">RANK(U37,$U$5:$U$42)+COUNTIF($U$5:U37,U37)-1</f>
        <v>33</v>
      </c>
      <c r="B37" s="22" t="str">
        <f aca="false">IF(U37&gt;=Annahmen!$B$24,"A",IF(U37&gt;=Annahmen!$B$25,"B","C"))</f>
        <v>C</v>
      </c>
      <c r="C37" s="23" t="s">
        <v>20</v>
      </c>
      <c r="D37" s="24" t="s">
        <v>345</v>
      </c>
      <c r="E37" s="23" t="s">
        <v>346</v>
      </c>
      <c r="F37" s="23" t="s">
        <v>321</v>
      </c>
      <c r="G37" s="21" t="s">
        <v>322</v>
      </c>
      <c r="H37" s="25" t="s">
        <v>121</v>
      </c>
      <c r="I37" s="21" t="s">
        <v>102</v>
      </c>
      <c r="J37" s="23" t="s">
        <v>347</v>
      </c>
      <c r="K37" s="23" t="s">
        <v>348</v>
      </c>
      <c r="L37" s="26" t="n">
        <v>0.5</v>
      </c>
      <c r="M37" s="27" t="n">
        <v>26</v>
      </c>
      <c r="N37" s="26" t="n">
        <v>0</v>
      </c>
      <c r="O37" s="27" t="n">
        <v>0</v>
      </c>
      <c r="P37" s="26" t="n">
        <v>0</v>
      </c>
      <c r="Q37" s="27" t="n">
        <v>0</v>
      </c>
      <c r="R37" s="28" t="n">
        <f aca="false">ROUND(L37*M37*Annahmen!$F$9+N37*O37*Annahmen!$F$12+P37*Q37*Annahmen!$F$15,-2)</f>
        <v>55100</v>
      </c>
      <c r="S37" s="29" t="n">
        <v>1</v>
      </c>
      <c r="T37" s="29" t="n">
        <v>0.15</v>
      </c>
      <c r="U37" s="30" t="n">
        <f aca="false">ROUND(R37*S37*T37,-2)</f>
        <v>8300</v>
      </c>
      <c r="V37" s="23" t="s">
        <v>349</v>
      </c>
      <c r="W37" s="31" t="s">
        <v>350</v>
      </c>
      <c r="X37" s="27"/>
      <c r="Y37" s="27" t="s">
        <v>94</v>
      </c>
      <c r="Z37" s="23" t="s">
        <v>116</v>
      </c>
      <c r="AA37" s="27"/>
      <c r="AB37" s="27"/>
      <c r="AC37" s="32"/>
      <c r="AD37" s="32"/>
      <c r="AE37" s="33" t="s">
        <v>96</v>
      </c>
      <c r="AF37" s="23"/>
    </row>
    <row r="38" customFormat="false" ht="51.75" hidden="false" customHeight="true" outlineLevel="0" collapsed="false">
      <c r="A38" s="21" t="n">
        <f aca="false">RANK(U38,$U$5:$U$42)+COUNTIF($U$5:U38,U38)-1</f>
        <v>34</v>
      </c>
      <c r="B38" s="22" t="str">
        <f aca="false">IF(U38&gt;=Annahmen!$B$24,"A",IF(U38&gt;=Annahmen!$B$25,"B","C"))</f>
        <v>C</v>
      </c>
      <c r="C38" s="23" t="s">
        <v>21</v>
      </c>
      <c r="D38" s="24" t="s">
        <v>351</v>
      </c>
      <c r="E38" s="23" t="s">
        <v>352</v>
      </c>
      <c r="F38" s="23" t="s">
        <v>353</v>
      </c>
      <c r="G38" s="21" t="s">
        <v>354</v>
      </c>
      <c r="H38" s="25" t="s">
        <v>111</v>
      </c>
      <c r="I38" s="21" t="s">
        <v>185</v>
      </c>
      <c r="J38" s="23" t="s">
        <v>355</v>
      </c>
      <c r="K38" s="23" t="s">
        <v>356</v>
      </c>
      <c r="L38" s="26" t="n">
        <v>1</v>
      </c>
      <c r="M38" s="27" t="n">
        <v>12</v>
      </c>
      <c r="N38" s="26" t="n">
        <v>0</v>
      </c>
      <c r="O38" s="27" t="n">
        <v>0</v>
      </c>
      <c r="P38" s="26" t="n">
        <v>0</v>
      </c>
      <c r="Q38" s="27" t="n">
        <v>0</v>
      </c>
      <c r="R38" s="28" t="n">
        <f aca="false">ROUND(L38*M38*Annahmen!$F$9+N38*O38*Annahmen!$F$12+P38*Q38*Annahmen!$F$15,-2)</f>
        <v>50900</v>
      </c>
      <c r="S38" s="29" t="n">
        <v>1</v>
      </c>
      <c r="T38" s="29" t="n">
        <v>0.15</v>
      </c>
      <c r="U38" s="30" t="n">
        <f aca="false">ROUND(R38*S38*T38,-2)</f>
        <v>7600</v>
      </c>
      <c r="V38" s="23" t="s">
        <v>357</v>
      </c>
      <c r="W38" s="31" t="s">
        <v>358</v>
      </c>
      <c r="X38" s="27"/>
      <c r="Y38" s="27" t="s">
        <v>94</v>
      </c>
      <c r="Z38" s="23" t="s">
        <v>136</v>
      </c>
      <c r="AA38" s="27"/>
      <c r="AB38" s="27"/>
      <c r="AC38" s="32"/>
      <c r="AD38" s="32"/>
      <c r="AE38" s="33" t="s">
        <v>96</v>
      </c>
      <c r="AF38" s="23"/>
    </row>
    <row r="39" customFormat="false" ht="51.75" hidden="false" customHeight="true" outlineLevel="0" collapsed="false">
      <c r="A39" s="21" t="n">
        <f aca="false">RANK(U39,$U$5:$U$42)+COUNTIF($U$5:U39,U39)-1</f>
        <v>35</v>
      </c>
      <c r="B39" s="22" t="str">
        <f aca="false">IF(U39&gt;=Annahmen!$B$24,"A",IF(U39&gt;=Annahmen!$B$25,"B","C"))</f>
        <v>C</v>
      </c>
      <c r="C39" s="23" t="s">
        <v>19</v>
      </c>
      <c r="D39" s="24" t="s">
        <v>359</v>
      </c>
      <c r="E39" s="23" t="s">
        <v>360</v>
      </c>
      <c r="F39" s="23" t="s">
        <v>151</v>
      </c>
      <c r="G39" s="21" t="s">
        <v>150</v>
      </c>
      <c r="H39" s="25" t="s">
        <v>151</v>
      </c>
      <c r="I39" s="21" t="s">
        <v>102</v>
      </c>
      <c r="J39" s="23" t="s">
        <v>361</v>
      </c>
      <c r="K39" s="23" t="s">
        <v>362</v>
      </c>
      <c r="L39" s="26" t="n">
        <v>2</v>
      </c>
      <c r="M39" s="27" t="n">
        <v>8</v>
      </c>
      <c r="N39" s="26" t="n">
        <v>0</v>
      </c>
      <c r="O39" s="27" t="n">
        <v>0</v>
      </c>
      <c r="P39" s="26" t="n">
        <v>0</v>
      </c>
      <c r="Q39" s="27" t="n">
        <v>0</v>
      </c>
      <c r="R39" s="28" t="n">
        <f aca="false">ROUND(L39*M39*Annahmen!$F$9+N39*O39*Annahmen!$F$12+P39*Q39*Annahmen!$F$15,-2)</f>
        <v>67800</v>
      </c>
      <c r="S39" s="29" t="n">
        <v>0.5</v>
      </c>
      <c r="T39" s="29" t="n">
        <v>0.2</v>
      </c>
      <c r="U39" s="30" t="n">
        <f aca="false">ROUND(R39*S39*T39,-2)</f>
        <v>6800</v>
      </c>
      <c r="V39" s="23"/>
      <c r="W39" s="31" t="s">
        <v>363</v>
      </c>
      <c r="X39" s="27"/>
      <c r="Y39" s="27" t="s">
        <v>94</v>
      </c>
      <c r="Z39" s="23" t="s">
        <v>219</v>
      </c>
      <c r="AA39" s="27"/>
      <c r="AB39" s="27"/>
      <c r="AC39" s="32"/>
      <c r="AD39" s="32"/>
      <c r="AE39" s="33" t="s">
        <v>96</v>
      </c>
      <c r="AF39" s="23" t="s">
        <v>211</v>
      </c>
    </row>
    <row r="40" customFormat="false" ht="51.75" hidden="false" customHeight="true" outlineLevel="0" collapsed="false">
      <c r="A40" s="21" t="n">
        <f aca="false">RANK(U40,$U$5:$U$42)+COUNTIF($U$5:U40,U40)-1</f>
        <v>36</v>
      </c>
      <c r="B40" s="22" t="str">
        <f aca="false">IF(U40&gt;=Annahmen!$B$24,"A",IF(U40&gt;=Annahmen!$B$25,"B","C"))</f>
        <v>C</v>
      </c>
      <c r="C40" s="23" t="s">
        <v>18</v>
      </c>
      <c r="D40" s="24" t="s">
        <v>364</v>
      </c>
      <c r="E40" s="23" t="s">
        <v>365</v>
      </c>
      <c r="F40" s="23" t="s">
        <v>366</v>
      </c>
      <c r="G40" s="21" t="s">
        <v>329</v>
      </c>
      <c r="H40" s="25" t="s">
        <v>239</v>
      </c>
      <c r="I40" s="21" t="s">
        <v>240</v>
      </c>
      <c r="J40" s="23" t="s">
        <v>367</v>
      </c>
      <c r="K40" s="23" t="s">
        <v>368</v>
      </c>
      <c r="L40" s="26" t="n">
        <v>0.5</v>
      </c>
      <c r="M40" s="27" t="n">
        <v>8</v>
      </c>
      <c r="N40" s="26" t="n">
        <v>0</v>
      </c>
      <c r="O40" s="27" t="n">
        <v>0</v>
      </c>
      <c r="P40" s="26" t="n">
        <v>0.5</v>
      </c>
      <c r="Q40" s="27" t="n">
        <v>3</v>
      </c>
      <c r="R40" s="28" t="n">
        <f aca="false">ROUND(L40*M40*Annahmen!$F$9+N40*O40*Annahmen!$F$12+P40*Q40*Annahmen!$F$15,-2)</f>
        <v>54200</v>
      </c>
      <c r="S40" s="29" t="n">
        <v>0.3</v>
      </c>
      <c r="T40" s="29" t="n">
        <v>0.15</v>
      </c>
      <c r="U40" s="30" t="n">
        <f aca="false">ROUND(R40*S40*T40,-2)</f>
        <v>2400</v>
      </c>
      <c r="V40" s="23" t="s">
        <v>209</v>
      </c>
      <c r="W40" s="31" t="s">
        <v>369</v>
      </c>
      <c r="X40" s="27"/>
      <c r="Y40" s="27" t="s">
        <v>94</v>
      </c>
      <c r="Z40" s="23" t="s">
        <v>95</v>
      </c>
      <c r="AA40" s="27"/>
      <c r="AB40" s="27"/>
      <c r="AC40" s="32"/>
      <c r="AD40" s="32"/>
      <c r="AE40" s="33" t="s">
        <v>96</v>
      </c>
      <c r="AF40" s="23"/>
    </row>
    <row r="41" customFormat="false" ht="51.75" hidden="false" customHeight="true" outlineLevel="0" collapsed="false">
      <c r="A41" s="21" t="n">
        <f aca="false">RANK(U41,$U$5:$U$42)+COUNTIF($U$5:U41,U41)-1</f>
        <v>37</v>
      </c>
      <c r="B41" s="22" t="str">
        <f aca="false">IF(U41&gt;=Annahmen!$B$24,"A",IF(U41&gt;=Annahmen!$B$25,"B","C"))</f>
        <v>C</v>
      </c>
      <c r="C41" s="23" t="s">
        <v>19</v>
      </c>
      <c r="D41" s="24" t="s">
        <v>370</v>
      </c>
      <c r="E41" s="23" t="s">
        <v>371</v>
      </c>
      <c r="F41" s="23" t="s">
        <v>372</v>
      </c>
      <c r="G41" s="21" t="s">
        <v>140</v>
      </c>
      <c r="H41" s="25" t="s">
        <v>141</v>
      </c>
      <c r="I41" s="21" t="s">
        <v>102</v>
      </c>
      <c r="J41" s="23" t="s">
        <v>373</v>
      </c>
      <c r="K41" s="23" t="s">
        <v>374</v>
      </c>
      <c r="L41" s="26" t="n">
        <v>1</v>
      </c>
      <c r="M41" s="27" t="n">
        <v>12</v>
      </c>
      <c r="N41" s="26" t="n">
        <v>0</v>
      </c>
      <c r="O41" s="27" t="n">
        <v>0</v>
      </c>
      <c r="P41" s="26" t="n">
        <v>0</v>
      </c>
      <c r="Q41" s="27" t="n">
        <v>0</v>
      </c>
      <c r="R41" s="28" t="n">
        <f aca="false">ROUND(L41*M41*Annahmen!$F$9+N41*O41*Annahmen!$F$12+P41*Q41*Annahmen!$F$15,-2)</f>
        <v>50900</v>
      </c>
      <c r="S41" s="29" t="n">
        <v>0.3</v>
      </c>
      <c r="T41" s="29" t="n">
        <v>0.15</v>
      </c>
      <c r="U41" s="30" t="n">
        <f aca="false">ROUND(R41*S41*T41,-2)</f>
        <v>2300</v>
      </c>
      <c r="V41" s="23"/>
      <c r="W41" s="31" t="s">
        <v>375</v>
      </c>
      <c r="X41" s="27"/>
      <c r="Y41" s="27" t="s">
        <v>94</v>
      </c>
      <c r="Z41" s="23" t="s">
        <v>219</v>
      </c>
      <c r="AA41" s="27"/>
      <c r="AB41" s="27"/>
      <c r="AC41" s="32"/>
      <c r="AD41" s="32"/>
      <c r="AE41" s="33" t="s">
        <v>96</v>
      </c>
      <c r="AF41" s="23"/>
    </row>
    <row r="42" customFormat="false" ht="51.75" hidden="false" customHeight="true" outlineLevel="0" collapsed="false">
      <c r="A42" s="21" t="n">
        <f aca="false">RANK(U42,$U$5:$U$42)+COUNTIF($U$5:U42,U42)-1</f>
        <v>38</v>
      </c>
      <c r="B42" s="22" t="str">
        <f aca="false">IF(U42&gt;=Annahmen!$B$24,"A",IF(U42&gt;=Annahmen!$B$25,"B","C"))</f>
        <v>C</v>
      </c>
      <c r="C42" s="23" t="s">
        <v>22</v>
      </c>
      <c r="D42" s="24" t="s">
        <v>376</v>
      </c>
      <c r="E42" s="23" t="s">
        <v>377</v>
      </c>
      <c r="F42" s="23" t="s">
        <v>378</v>
      </c>
      <c r="G42" s="21" t="s">
        <v>140</v>
      </c>
      <c r="H42" s="25" t="s">
        <v>141</v>
      </c>
      <c r="I42" s="21" t="s">
        <v>102</v>
      </c>
      <c r="J42" s="23" t="s">
        <v>379</v>
      </c>
      <c r="K42" s="23" t="s">
        <v>380</v>
      </c>
      <c r="L42" s="26" t="n">
        <v>4</v>
      </c>
      <c r="M42" s="27" t="n">
        <v>4</v>
      </c>
      <c r="N42" s="26" t="n">
        <v>0</v>
      </c>
      <c r="O42" s="27" t="n">
        <v>0</v>
      </c>
      <c r="P42" s="26" t="n">
        <v>1</v>
      </c>
      <c r="Q42" s="27" t="n">
        <v>1</v>
      </c>
      <c r="R42" s="28" t="n">
        <f aca="false">ROUND(L42*M42*Annahmen!$F$9+N42*O42*Annahmen!$F$12+P42*Q42*Annahmen!$F$15,-2)</f>
        <v>92700</v>
      </c>
      <c r="S42" s="29" t="n">
        <v>0</v>
      </c>
      <c r="T42" s="29" t="n">
        <v>0.2</v>
      </c>
      <c r="U42" s="30" t="n">
        <f aca="false">ROUND(R42*S42*T42,-2)</f>
        <v>0</v>
      </c>
      <c r="V42" s="23" t="s">
        <v>381</v>
      </c>
      <c r="W42" s="31" t="s">
        <v>382</v>
      </c>
      <c r="X42" s="27"/>
      <c r="Y42" s="27" t="s">
        <v>94</v>
      </c>
      <c r="Z42" s="23" t="s">
        <v>293</v>
      </c>
      <c r="AA42" s="27"/>
      <c r="AB42" s="27"/>
      <c r="AC42" s="32"/>
      <c r="AD42" s="32"/>
      <c r="AE42" s="33" t="s">
        <v>96</v>
      </c>
      <c r="AF42" s="23" t="s">
        <v>383</v>
      </c>
    </row>
  </sheetData>
  <conditionalFormatting sqref="B5:B42">
    <cfRule type="cellIs" priority="2" operator="equal" aboveAverage="0" equalAverage="0" bottom="0" percent="0" rank="0" text="" dxfId="8">
      <formula>"A"</formula>
    </cfRule>
    <cfRule type="cellIs" priority="3" operator="equal" aboveAverage="0" equalAverage="0" bottom="0" percent="0" rank="0" text="" dxfId="9">
      <formula>"B"</formula>
    </cfRule>
    <cfRule type="cellIs" priority="4" operator="equal" aboveAverage="0" equalAverage="0" bottom="0" percent="0" rank="0" text="" dxfId="10">
      <formula>"C"</formula>
    </cfRule>
  </conditionalFormatting>
  <conditionalFormatting sqref="R5:R42">
    <cfRule type="cellIs" priority="5" operator="lessThan" aboveAverage="0" equalAverage="0" bottom="0" percent="0" rank="0" text="" dxfId="11">
      <formula>Annahmen!$B$26</formula>
    </cfRule>
    <cfRule type="dataBar" priority="6">
      <dataBar showValue="1" minLength="10" maxLength="90">
        <cfvo type="min" val="0"/>
        <cfvo type="max" val="0"/>
        <color rgb="FFF4A6B8"/>
      </dataBar>
      <extLst>
        <ext xmlns:x14="http://schemas.microsoft.com/office/spreadsheetml/2009/9/main" uri="{B025F937-C7B1-47D3-B67F-A62EFF666E3E}">
          <x14:id>{BB10ADFD-BE9E-4387-8BA5-3BC8FC9DAF39}</x14:id>
        </ext>
      </extLst>
    </cfRule>
  </conditionalFormatting>
  <conditionalFormatting sqref="U5:U42">
    <cfRule type="dataBar" priority="7">
      <dataBar showValue="1" minLength="10" maxLength="90">
        <cfvo type="min" val="0"/>
        <cfvo type="max" val="0"/>
        <color rgb="FFF4A6B8"/>
      </dataBar>
      <extLst>
        <ext xmlns:x14="http://schemas.microsoft.com/office/spreadsheetml/2009/9/main" uri="{B025F937-C7B1-47D3-B67F-A62EFF666E3E}">
          <x14:id>{F49CB32C-95BA-46B1-95BC-8F359681B64E}</x14:id>
        </ext>
      </extLst>
    </cfRule>
  </conditionalFormatting>
  <dataValidations count="4">
    <dataValidation allowBlank="true" errorStyle="stop" operator="between" showDropDown="false" showErrorMessage="false" showInputMessage="false" sqref="C5:C92" type="list">
      <formula1>Listen!$A$2:$A$8</formula1>
      <formula2>0</formula2>
    </dataValidation>
    <dataValidation allowBlank="true" errorStyle="stop" operator="between" showDropDown="false" showErrorMessage="false" showInputMessage="false" sqref="X5:X92" type="list">
      <formula1>Listen!$B$2:$B$5</formula1>
      <formula2>0</formula2>
    </dataValidation>
    <dataValidation allowBlank="true" errorStyle="stop" operator="between" showDropDown="false" showErrorMessage="false" showInputMessage="false" sqref="Y5:Y92" type="list">
      <formula1>Listen!$C$2:$C$6</formula1>
      <formula2>0</formula2>
    </dataValidation>
    <dataValidation allowBlank="true" error="Wert zwischen 0 % und 100 %" errorStyle="stop" operator="between" showDropDown="false" showErrorMessage="false" showInputMessage="false" sqref="S5:T92" type="decimal">
      <formula1>0</formula1>
      <formula2>1</formula2>
    </dataValidation>
  </dataValidations>
  <hyperlinks>
    <hyperlink ref="AE5" r:id="rId1" display="Link"/>
    <hyperlink ref="AE6" r:id="rId2" display="Link"/>
    <hyperlink ref="AE7" r:id="rId3" display="Link"/>
    <hyperlink ref="AE8" r:id="rId4" display="Link"/>
    <hyperlink ref="AE9" r:id="rId5" display="Link"/>
    <hyperlink ref="AE10" r:id="rId6" display="Link"/>
    <hyperlink ref="AE11" r:id="rId7" display="Link"/>
    <hyperlink ref="AE12" r:id="rId8" display="Link"/>
    <hyperlink ref="AE13" r:id="rId9" display="Link"/>
    <hyperlink ref="AE14" r:id="rId10" display="Link"/>
    <hyperlink ref="AE15" r:id="rId11" display="Link"/>
    <hyperlink ref="AE16" r:id="rId12" display="Link"/>
    <hyperlink ref="AE17" r:id="rId13" display="Link"/>
    <hyperlink ref="AE18" r:id="rId14" display="Link"/>
    <hyperlink ref="AE19" r:id="rId15" display="Link"/>
    <hyperlink ref="AE20" r:id="rId16" display="Link"/>
    <hyperlink ref="AE21" r:id="rId17" display="Link"/>
    <hyperlink ref="AE22" r:id="rId18" display="Link"/>
    <hyperlink ref="AE23" r:id="rId19" display="Link"/>
    <hyperlink ref="AE24" r:id="rId20" display="Link"/>
    <hyperlink ref="AE25" r:id="rId21" display="Link"/>
    <hyperlink ref="AE26" r:id="rId22" display="Link"/>
    <hyperlink ref="AE27" r:id="rId23" display="Link"/>
    <hyperlink ref="AE28" r:id="rId24" display="Link"/>
    <hyperlink ref="AE29" r:id="rId25" display="Link"/>
    <hyperlink ref="AE30" r:id="rId26" display="Link"/>
    <hyperlink ref="AE31" r:id="rId27" display="Link"/>
    <hyperlink ref="AE32" r:id="rId28" display="Link"/>
    <hyperlink ref="AE33" r:id="rId29" display="Link"/>
    <hyperlink ref="AE34" r:id="rId30" display="Link"/>
    <hyperlink ref="AE35" r:id="rId31" display="Link"/>
    <hyperlink ref="AE36" r:id="rId32" display="Link"/>
    <hyperlink ref="AE37" r:id="rId33" display="Link"/>
    <hyperlink ref="AE38" r:id="rId34" display="Link"/>
    <hyperlink ref="AE39" r:id="rId35" display="Link"/>
    <hyperlink ref="AE40" r:id="rId36" display="Link"/>
    <hyperlink ref="AE41" r:id="rId37" display="Link"/>
    <hyperlink ref="AE42" r:id="rId38" display="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9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10ADFD-BE9E-4387-8BA5-3BC8FC9DAF39}">
            <x14:dataBar minLength="10" maxLength="90" axisPosition="none" gradient="true">
              <x14:cfvo type="min"/>
              <x14:cfvo type="max"/>
              <x14:negativeFillColor rgb="FFF4A6B8"/>
              <x14:axisColor rgb="FF000000"/>
            </x14:dataBar>
          </x14:cfRule>
          <xm:sqref>R5:R42</xm:sqref>
        </x14:conditionalFormatting>
        <x14:conditionalFormatting xmlns:xm="http://schemas.microsoft.com/office/excel/2006/main">
          <x14:cfRule type="dataBar" id="{F49CB32C-95BA-46B1-95BC-8F359681B64E}">
            <x14:dataBar minLength="10" maxLength="90" axisPosition="none" gradient="true">
              <x14:cfvo type="min"/>
              <x14:cfvo type="max"/>
              <x14:negativeFillColor rgb="FFF4A6B8"/>
              <x14:axisColor rgb="FF000000"/>
            </x14:dataBar>
          </x14:cfRule>
          <xm:sqref>U5:U42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1"/>
    <col collapsed="false" customWidth="true" hidden="false" outlineLevel="0" max="4" min="4" style="0" width="58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36"/>
  </cols>
  <sheetData>
    <row r="1" customFormat="false" ht="22.05" hidden="false" customHeight="false" outlineLevel="0" collapsed="false">
      <c r="A1" s="1" t="s">
        <v>384</v>
      </c>
    </row>
    <row r="2" customFormat="false" ht="15" hidden="false" customHeight="false" outlineLevel="0" collapsed="false">
      <c r="A2" s="2" t="s">
        <v>385</v>
      </c>
    </row>
    <row r="4" customFormat="false" ht="31.5" hidden="false" customHeight="true" outlineLevel="0" collapsed="false">
      <c r="A4" s="10" t="s">
        <v>386</v>
      </c>
      <c r="B4" s="10" t="s">
        <v>387</v>
      </c>
      <c r="C4" s="10" t="s">
        <v>388</v>
      </c>
      <c r="D4" s="10" t="s">
        <v>389</v>
      </c>
      <c r="E4" s="10" t="s">
        <v>27</v>
      </c>
      <c r="F4" s="10" t="s">
        <v>10</v>
      </c>
      <c r="G4" s="10" t="s">
        <v>75</v>
      </c>
      <c r="H4" s="10" t="s">
        <v>390</v>
      </c>
      <c r="I4" s="10" t="s">
        <v>391</v>
      </c>
    </row>
    <row r="5" customFormat="false" ht="31.5" hidden="false" customHeight="true" outlineLevel="0" collapsed="false">
      <c r="A5" s="34" t="n">
        <v>1</v>
      </c>
      <c r="B5" s="34" t="s">
        <v>392</v>
      </c>
      <c r="C5" s="35" t="n">
        <v>46311</v>
      </c>
      <c r="D5" s="34" t="s">
        <v>393</v>
      </c>
      <c r="E5" s="36" t="s">
        <v>117</v>
      </c>
      <c r="F5" s="37" t="n">
        <f aca="false">IFERROR(INDEX('Top-Player'!$U$5:$U$42,MATCH("STACK ZUR02 Beringen",'Top-Player'!$D$5:$D$42,0)),0)</f>
        <v>37000</v>
      </c>
      <c r="G5" s="38"/>
      <c r="H5" s="38" t="s">
        <v>51</v>
      </c>
      <c r="I5" s="38"/>
    </row>
    <row r="6" customFormat="false" ht="31.5" hidden="false" customHeight="true" outlineLevel="0" collapsed="false">
      <c r="A6" s="34" t="n">
        <v>2</v>
      </c>
      <c r="B6" s="34" t="s">
        <v>392</v>
      </c>
      <c r="C6" s="35" t="n">
        <v>46311</v>
      </c>
      <c r="D6" s="34" t="s">
        <v>394</v>
      </c>
      <c r="E6" s="36" t="s">
        <v>295</v>
      </c>
      <c r="F6" s="37" t="n">
        <f aca="false">IFERROR(INDEX('Top-Player'!$U$5:$U$42,MATCH("Green Zürich West 4 Lupfig",'Top-Player'!$D$5:$D$42,0)),0)</f>
        <v>12100</v>
      </c>
      <c r="G6" s="38"/>
      <c r="H6" s="38" t="s">
        <v>51</v>
      </c>
      <c r="I6" s="38"/>
    </row>
    <row r="7" customFormat="false" ht="31.5" hidden="false" customHeight="true" outlineLevel="0" collapsed="false">
      <c r="A7" s="34" t="n">
        <v>3</v>
      </c>
      <c r="B7" s="34" t="s">
        <v>392</v>
      </c>
      <c r="C7" s="35" t="n">
        <v>46318</v>
      </c>
      <c r="D7" s="34" t="s">
        <v>395</v>
      </c>
      <c r="E7" s="36" t="s">
        <v>107</v>
      </c>
      <c r="F7" s="37" t="n">
        <f aca="false">IFERROR(INDEX('Top-Player'!$U$5:$U$42,MATCH("Kantonsspital Aarau «Dreiklang»",'Top-Player'!$D$5:$D$42,0)),0)</f>
        <v>38000</v>
      </c>
      <c r="G7" s="38"/>
      <c r="H7" s="38" t="s">
        <v>51</v>
      </c>
      <c r="I7" s="38"/>
    </row>
    <row r="8" customFormat="false" ht="31.5" hidden="false" customHeight="true" outlineLevel="0" collapsed="false">
      <c r="A8" s="34" t="n">
        <v>4</v>
      </c>
      <c r="B8" s="34" t="s">
        <v>392</v>
      </c>
      <c r="C8" s="35" t="n">
        <v>46318</v>
      </c>
      <c r="D8" s="34" t="s">
        <v>396</v>
      </c>
      <c r="E8" s="36" t="s">
        <v>285</v>
      </c>
      <c r="F8" s="37" t="n">
        <f aca="false">IFERROR(INDEX('Top-Player'!$U$5:$U$42,MATCH("FIS Ski-WM Crans-Montana 2027",'Top-Player'!$D$5:$D$42,0)),0)</f>
        <v>12700</v>
      </c>
      <c r="G8" s="38"/>
      <c r="H8" s="38" t="s">
        <v>51</v>
      </c>
      <c r="I8" s="38"/>
    </row>
    <row r="9" customFormat="false" ht="31.5" hidden="false" customHeight="true" outlineLevel="0" collapsed="false">
      <c r="A9" s="34" t="n">
        <v>5</v>
      </c>
      <c r="B9" s="34" t="s">
        <v>392</v>
      </c>
      <c r="C9" s="35" t="n">
        <v>46325</v>
      </c>
      <c r="D9" s="34" t="s">
        <v>397</v>
      </c>
      <c r="E9" s="36" t="s">
        <v>398</v>
      </c>
      <c r="F9" s="37" t="n">
        <f aca="false">IFERROR(INDEX('Top-Player'!$U$5:$U$42,MATCH("NorthC Arlesheim (uptownBasel)",'Top-Player'!$D$5:$D$42,0)),0)+IFERROR(INDEX('Top-Player'!$U$5:$U$42,MATCH("NorthC Genf «The Hive»",'Top-Player'!$D$5:$D$42,0)),0)</f>
        <v>37100</v>
      </c>
      <c r="G9" s="38"/>
      <c r="H9" s="38" t="s">
        <v>51</v>
      </c>
      <c r="I9" s="38"/>
    </row>
    <row r="10" customFormat="false" ht="31.5" hidden="false" customHeight="true" outlineLevel="0" collapsed="false">
      <c r="A10" s="34" t="n">
        <v>6</v>
      </c>
      <c r="B10" s="34" t="s">
        <v>399</v>
      </c>
      <c r="C10" s="35" t="n">
        <v>46339</v>
      </c>
      <c r="D10" s="34" t="s">
        <v>400</v>
      </c>
      <c r="E10" s="36" t="s">
        <v>167</v>
      </c>
      <c r="F10" s="37" t="n">
        <f aca="false">IFERROR(INDEX('Top-Player'!$U$5:$U$42,MATCH("Burkhalter Gruppe (Rahmen)",'Top-Player'!$D$5:$D$42,0)),0)</f>
        <v>25400</v>
      </c>
      <c r="G10" s="38"/>
      <c r="H10" s="38" t="s">
        <v>51</v>
      </c>
      <c r="I10" s="38"/>
    </row>
    <row r="11" customFormat="false" ht="31.5" hidden="false" customHeight="true" outlineLevel="0" collapsed="false">
      <c r="A11" s="34" t="n">
        <v>7</v>
      </c>
      <c r="B11" s="34" t="s">
        <v>399</v>
      </c>
      <c r="C11" s="35" t="n">
        <v>46339</v>
      </c>
      <c r="D11" s="34" t="s">
        <v>401</v>
      </c>
      <c r="E11" s="36" t="s">
        <v>158</v>
      </c>
      <c r="F11" s="37" t="n">
        <f aca="false">IFERROR(INDEX('Top-Player'!$U$5:$U$42,MATCH("ETAVIS",'Top-Player'!$D$5:$D$42,0)),0)+IFERROR(INDEX('Top-Player'!$U$5:$U$42,MATCH("VINCI Energies (Rahmen)",'Top-Player'!$D$5:$D$42,0)),0)</f>
        <v>0</v>
      </c>
      <c r="G11" s="38"/>
      <c r="H11" s="38" t="s">
        <v>51</v>
      </c>
      <c r="I11" s="38"/>
    </row>
    <row r="12" customFormat="false" ht="31.5" hidden="false" customHeight="true" outlineLevel="0" collapsed="false">
      <c r="A12" s="34" t="n">
        <v>8</v>
      </c>
      <c r="B12" s="34" t="s">
        <v>399</v>
      </c>
      <c r="C12" s="35" t="n">
        <v>46346</v>
      </c>
      <c r="D12" s="34" t="s">
        <v>402</v>
      </c>
      <c r="E12" s="36" t="s">
        <v>190</v>
      </c>
      <c r="F12" s="37" t="n">
        <f aca="false">IFERROR(INDEX('Top-Player'!$U$5:$U$42,MATCH("Equans Switzerland (Rahmen)",'Top-Player'!$D$5:$D$42,0)),0)</f>
        <v>22800</v>
      </c>
      <c r="G12" s="38"/>
      <c r="H12" s="38" t="s">
        <v>51</v>
      </c>
      <c r="I12" s="38"/>
    </row>
    <row r="13" customFormat="false" ht="31.5" hidden="false" customHeight="true" outlineLevel="0" collapsed="false">
      <c r="A13" s="34" t="n">
        <v>9</v>
      </c>
      <c r="B13" s="34" t="s">
        <v>399</v>
      </c>
      <c r="C13" s="35" t="n">
        <v>46346</v>
      </c>
      <c r="D13" s="34" t="s">
        <v>403</v>
      </c>
      <c r="E13" s="36" t="s">
        <v>311</v>
      </c>
      <c r="F13" s="37" t="n">
        <f aca="false">IFERROR(INDEX('Top-Player'!$U$5:$U$42,MATCH("WEF Annual Meeting 2027",'Top-Player'!$D$5:$D$42,0)),0)</f>
        <v>11400</v>
      </c>
      <c r="G13" s="38"/>
      <c r="H13" s="38" t="s">
        <v>51</v>
      </c>
      <c r="I13" s="38"/>
    </row>
    <row r="14" customFormat="false" ht="31.5" hidden="false" customHeight="true" outlineLevel="0" collapsed="false">
      <c r="A14" s="34" t="n">
        <v>10</v>
      </c>
      <c r="B14" s="34" t="s">
        <v>399</v>
      </c>
      <c r="C14" s="35" t="n">
        <v>46353</v>
      </c>
      <c r="D14" s="34" t="s">
        <v>404</v>
      </c>
      <c r="E14" s="36" t="s">
        <v>197</v>
      </c>
      <c r="F14" s="37" t="n">
        <f aca="false">IFERROR(INDEX('Top-Player'!$U$5:$U$42,MATCH("Digital Realty ZUR4 Glattbrugg",'Top-Player'!$D$5:$D$42,0)),0)</f>
        <v>20400</v>
      </c>
      <c r="G14" s="38"/>
      <c r="H14" s="38" t="s">
        <v>51</v>
      </c>
      <c r="I14" s="38"/>
    </row>
    <row r="15" customFormat="false" ht="31.5" hidden="false" customHeight="true" outlineLevel="0" collapsed="false">
      <c r="A15" s="34" t="n">
        <v>11</v>
      </c>
      <c r="B15" s="34" t="s">
        <v>405</v>
      </c>
      <c r="C15" s="35" t="n">
        <v>46360</v>
      </c>
      <c r="D15" s="34" t="s">
        <v>406</v>
      </c>
      <c r="E15" s="36" t="s">
        <v>407</v>
      </c>
      <c r="F15" s="37"/>
      <c r="G15" s="38"/>
      <c r="H15" s="38" t="s">
        <v>51</v>
      </c>
      <c r="I15" s="38"/>
    </row>
    <row r="16" customFormat="false" ht="31.5" hidden="false" customHeight="true" outlineLevel="0" collapsed="false">
      <c r="A16" s="34" t="n">
        <v>12</v>
      </c>
      <c r="B16" s="34" t="s">
        <v>405</v>
      </c>
      <c r="C16" s="35" t="n">
        <v>46367</v>
      </c>
      <c r="D16" s="34" t="s">
        <v>408</v>
      </c>
      <c r="E16" s="36" t="s">
        <v>407</v>
      </c>
      <c r="F16" s="37"/>
      <c r="G16" s="38"/>
      <c r="H16" s="38" t="s">
        <v>51</v>
      </c>
      <c r="I16" s="38"/>
    </row>
    <row r="17" customFormat="false" ht="31.5" hidden="false" customHeight="true" outlineLevel="0" collapsed="false">
      <c r="A17" s="34" t="n">
        <v>13</v>
      </c>
      <c r="B17" s="34" t="s">
        <v>405</v>
      </c>
      <c r="C17" s="35" t="n">
        <v>46374</v>
      </c>
      <c r="D17" s="34" t="s">
        <v>409</v>
      </c>
      <c r="E17" s="36" t="s">
        <v>410</v>
      </c>
      <c r="F17" s="37" t="n">
        <f aca="false">IFERROR(INDEX('Top-Player'!$U$5:$U$42,MATCH("2. Gotthardröhre",'Top-Player'!$D$5:$D$42,0)),0)+IFERROR(INDEX('Top-Player'!$U$5:$U$42,MATCH("Sisikoner Tunnel (Neue Axenstrasse)",'Top-Player'!$D$5:$D$42,0)),0)</f>
        <v>132200</v>
      </c>
      <c r="G17" s="38"/>
      <c r="H17" s="38" t="s">
        <v>51</v>
      </c>
      <c r="I17" s="38"/>
    </row>
    <row r="18" customFormat="false" ht="31.5" hidden="false" customHeight="true" outlineLevel="0" collapsed="false">
      <c r="A18" s="34" t="n">
        <v>14</v>
      </c>
      <c r="B18" s="34" t="s">
        <v>411</v>
      </c>
      <c r="C18" s="35" t="n">
        <v>46402</v>
      </c>
      <c r="D18" s="34" t="s">
        <v>412</v>
      </c>
      <c r="E18" s="36" t="s">
        <v>407</v>
      </c>
      <c r="F18" s="37"/>
      <c r="G18" s="38"/>
      <c r="H18" s="38" t="s">
        <v>51</v>
      </c>
      <c r="I18" s="38"/>
    </row>
    <row r="19" customFormat="false" ht="31.5" hidden="false" customHeight="true" outlineLevel="0" collapsed="false">
      <c r="A19" s="34" t="n">
        <v>15</v>
      </c>
      <c r="B19" s="34" t="s">
        <v>411</v>
      </c>
      <c r="C19" s="35" t="n">
        <v>46409</v>
      </c>
      <c r="D19" s="34" t="s">
        <v>413</v>
      </c>
      <c r="E19" s="36" t="s">
        <v>147</v>
      </c>
      <c r="F19" s="37" t="n">
        <f aca="false">IFERROR(INDEX('Top-Player'!$U$5:$U$42,MATCH("Vantage ZRH3 Volketswil",'Top-Player'!$D$5:$D$42,0)),0)</f>
        <v>28000</v>
      </c>
      <c r="G19" s="38"/>
      <c r="H19" s="38" t="s">
        <v>51</v>
      </c>
      <c r="I19" s="38"/>
    </row>
  </sheetData>
  <conditionalFormatting sqref="H5:H19">
    <cfRule type="cellIs" priority="2" operator="equal" aboveAverage="0" equalAverage="0" bottom="0" percent="0" rank="0" text="" dxfId="12">
      <formula>"erledigt"</formula>
    </cfRule>
    <cfRule type="cellIs" priority="3" operator="equal" aboveAverage="0" equalAverage="0" bottom="0" percent="0" rank="0" text="" dxfId="13">
      <formula>"in Arbeit"</formula>
    </cfRule>
  </conditionalFormatting>
  <conditionalFormatting sqref="C5:C19">
    <cfRule type="expression" priority="4" aboveAverage="0" equalAverage="0" bottom="0" percent="0" rank="0" text="" dxfId="11">
      <formula>AND(C5&lt;TODAY(),H5&lt;&gt;"erledigt")</formula>
    </cfRule>
  </conditionalFormatting>
  <dataValidations count="2">
    <dataValidation allowBlank="true" errorStyle="stop" operator="between" showDropDown="false" showErrorMessage="false" showInputMessage="false" sqref="H5:H49" type="list">
      <formula1>"offen,in Arbeit,erledigt,verschoben"</formula1>
      <formula2>0</formula2>
    </dataValidation>
    <dataValidation allowBlank="true" errorStyle="stop" operator="between" showDropDown="false" showErrorMessage="false" showInputMessage="false" sqref="G5:G49" type="list">
      <formula1>Listen!$B$2:$B$5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36"/>
    <col collapsed="false" customWidth="true" hidden="false" outlineLevel="0" max="7" min="7" style="0" width="28"/>
    <col collapsed="false" customWidth="true" hidden="false" outlineLevel="0" max="8" min="8" style="0" width="32"/>
  </cols>
  <sheetData>
    <row r="1" customFormat="false" ht="22.05" hidden="false" customHeight="false" outlineLevel="0" collapsed="false">
      <c r="A1" s="1" t="s">
        <v>414</v>
      </c>
    </row>
    <row r="2" customFormat="false" ht="15" hidden="false" customHeight="false" outlineLevel="0" collapsed="false">
      <c r="A2" s="2" t="s">
        <v>415</v>
      </c>
    </row>
    <row r="4" customFormat="false" ht="31.5" hidden="false" customHeight="true" outlineLevel="0" collapsed="false">
      <c r="A4" s="10" t="s">
        <v>416</v>
      </c>
      <c r="B4" s="10" t="s">
        <v>417</v>
      </c>
      <c r="C4" s="10" t="s">
        <v>418</v>
      </c>
      <c r="D4" s="10" t="s">
        <v>419</v>
      </c>
      <c r="E4" s="10" t="s">
        <v>420</v>
      </c>
      <c r="F4" s="10" t="s">
        <v>421</v>
      </c>
      <c r="G4" s="10" t="s">
        <v>422</v>
      </c>
      <c r="H4" s="10" t="s">
        <v>82</v>
      </c>
    </row>
    <row r="5" customFormat="false" ht="42" hidden="false" customHeight="true" outlineLevel="0" collapsed="false">
      <c r="A5" s="36" t="s">
        <v>423</v>
      </c>
      <c r="B5" s="34" t="s">
        <v>424</v>
      </c>
      <c r="C5" s="34" t="s">
        <v>425</v>
      </c>
      <c r="D5" s="34" t="s">
        <v>426</v>
      </c>
      <c r="E5" s="34" t="s">
        <v>427</v>
      </c>
      <c r="F5" s="34" t="s">
        <v>428</v>
      </c>
      <c r="G5" s="39" t="s">
        <v>429</v>
      </c>
      <c r="H5" s="34" t="s">
        <v>430</v>
      </c>
    </row>
    <row r="6" customFormat="false" ht="42" hidden="false" customHeight="true" outlineLevel="0" collapsed="false">
      <c r="A6" s="36" t="s">
        <v>431</v>
      </c>
      <c r="B6" s="34" t="s">
        <v>432</v>
      </c>
      <c r="C6" s="34" t="s">
        <v>433</v>
      </c>
      <c r="D6" s="34" t="s">
        <v>434</v>
      </c>
      <c r="E6" s="34" t="s">
        <v>435</v>
      </c>
      <c r="F6" s="34" t="s">
        <v>436</v>
      </c>
      <c r="G6" s="39" t="s">
        <v>437</v>
      </c>
      <c r="H6" s="34" t="s">
        <v>438</v>
      </c>
    </row>
    <row r="7" customFormat="false" ht="42" hidden="false" customHeight="true" outlineLevel="0" collapsed="false">
      <c r="A7" s="36" t="s">
        <v>439</v>
      </c>
      <c r="B7" s="34" t="s">
        <v>440</v>
      </c>
      <c r="C7" s="34" t="s">
        <v>441</v>
      </c>
      <c r="D7" s="34" t="s">
        <v>442</v>
      </c>
      <c r="E7" s="34" t="s">
        <v>427</v>
      </c>
      <c r="F7" s="34" t="s">
        <v>443</v>
      </c>
      <c r="G7" s="34" t="s">
        <v>444</v>
      </c>
      <c r="H7" s="34" t="s">
        <v>445</v>
      </c>
    </row>
    <row r="8" customFormat="false" ht="42" hidden="false" customHeight="true" outlineLevel="0" collapsed="false">
      <c r="A8" s="36" t="s">
        <v>446</v>
      </c>
      <c r="B8" s="34" t="s">
        <v>447</v>
      </c>
      <c r="C8" s="34" t="s">
        <v>448</v>
      </c>
      <c r="D8" s="34" t="s">
        <v>449</v>
      </c>
      <c r="E8" s="34" t="s">
        <v>450</v>
      </c>
      <c r="F8" s="34" t="s">
        <v>451</v>
      </c>
      <c r="G8" s="34" t="s">
        <v>444</v>
      </c>
      <c r="H8" s="34" t="s">
        <v>452</v>
      </c>
    </row>
    <row r="9" customFormat="false" ht="42" hidden="false" customHeight="true" outlineLevel="0" collapsed="false">
      <c r="A9" s="36" t="s">
        <v>453</v>
      </c>
      <c r="B9" s="34" t="s">
        <v>454</v>
      </c>
      <c r="C9" s="34" t="s">
        <v>455</v>
      </c>
      <c r="D9" s="34" t="s">
        <v>456</v>
      </c>
      <c r="E9" s="34" t="s">
        <v>451</v>
      </c>
      <c r="F9" s="34" t="s">
        <v>457</v>
      </c>
      <c r="G9" s="34" t="s">
        <v>458</v>
      </c>
      <c r="H9" s="34" t="s">
        <v>459</v>
      </c>
    </row>
    <row r="10" customFormat="false" ht="42" hidden="false" customHeight="true" outlineLevel="0" collapsed="false">
      <c r="A10" s="36" t="s">
        <v>460</v>
      </c>
      <c r="B10" s="34" t="s">
        <v>461</v>
      </c>
      <c r="C10" s="34" t="s">
        <v>462</v>
      </c>
      <c r="D10" s="34" t="s">
        <v>463</v>
      </c>
      <c r="E10" s="34" t="s">
        <v>451</v>
      </c>
      <c r="F10" s="34" t="s">
        <v>464</v>
      </c>
      <c r="G10" s="34" t="s">
        <v>465</v>
      </c>
      <c r="H10" s="34" t="s">
        <v>466</v>
      </c>
    </row>
    <row r="11" customFormat="false" ht="42" hidden="false" customHeight="true" outlineLevel="0" collapsed="false">
      <c r="A11" s="36" t="s">
        <v>467</v>
      </c>
      <c r="B11" s="34" t="s">
        <v>259</v>
      </c>
      <c r="C11" s="34" t="s">
        <v>468</v>
      </c>
      <c r="D11" s="34" t="s">
        <v>469</v>
      </c>
      <c r="E11" s="34" t="s">
        <v>451</v>
      </c>
      <c r="F11" s="34" t="s">
        <v>470</v>
      </c>
      <c r="G11" s="34" t="s">
        <v>444</v>
      </c>
      <c r="H11" s="34" t="s">
        <v>471</v>
      </c>
    </row>
    <row r="12" customFormat="false" ht="42" hidden="false" customHeight="true" outlineLevel="0" collapsed="false">
      <c r="A12" s="36" t="s">
        <v>472</v>
      </c>
      <c r="B12" s="34" t="s">
        <v>473</v>
      </c>
      <c r="C12" s="34" t="s">
        <v>474</v>
      </c>
      <c r="D12" s="34" t="s">
        <v>475</v>
      </c>
      <c r="E12" s="34" t="s">
        <v>476</v>
      </c>
      <c r="F12" s="34" t="s">
        <v>477</v>
      </c>
      <c r="G12" s="34" t="s">
        <v>478</v>
      </c>
      <c r="H12" s="34" t="s">
        <v>479</v>
      </c>
    </row>
    <row r="13" customFormat="false" ht="42" hidden="false" customHeight="true" outlineLevel="0" collapsed="false">
      <c r="A13" s="36" t="s">
        <v>480</v>
      </c>
      <c r="B13" s="34" t="s">
        <v>151</v>
      </c>
      <c r="C13" s="34" t="s">
        <v>481</v>
      </c>
      <c r="D13" s="34" t="s">
        <v>482</v>
      </c>
      <c r="E13" s="34" t="s">
        <v>481</v>
      </c>
      <c r="F13" s="34" t="s">
        <v>481</v>
      </c>
      <c r="G13" s="34" t="s">
        <v>483</v>
      </c>
      <c r="H13" s="34" t="s">
        <v>484</v>
      </c>
    </row>
    <row r="14" customFormat="false" ht="42" hidden="false" customHeight="true" outlineLevel="0" collapsed="false">
      <c r="A14" s="36" t="s">
        <v>485</v>
      </c>
      <c r="B14" s="34" t="s">
        <v>486</v>
      </c>
      <c r="C14" s="34" t="s">
        <v>487</v>
      </c>
      <c r="D14" s="34" t="s">
        <v>488</v>
      </c>
      <c r="E14" s="34" t="s">
        <v>489</v>
      </c>
      <c r="F14" s="34" t="s">
        <v>489</v>
      </c>
      <c r="G14" s="34" t="s">
        <v>490</v>
      </c>
      <c r="H14" s="34" t="s">
        <v>491</v>
      </c>
    </row>
    <row r="15" customFormat="false" ht="42" hidden="false" customHeight="true" outlineLevel="0" collapsed="false">
      <c r="A15" s="36" t="s">
        <v>492</v>
      </c>
      <c r="B15" s="34" t="s">
        <v>424</v>
      </c>
      <c r="C15" s="34" t="s">
        <v>481</v>
      </c>
      <c r="D15" s="34" t="s">
        <v>493</v>
      </c>
      <c r="E15" s="34" t="s">
        <v>494</v>
      </c>
      <c r="F15" s="34" t="s">
        <v>495</v>
      </c>
      <c r="G15" s="34" t="s">
        <v>42</v>
      </c>
      <c r="H15" s="34" t="s">
        <v>496</v>
      </c>
    </row>
    <row r="17" customFormat="false" ht="15" hidden="false" customHeight="false" outlineLevel="0" collapsed="false">
      <c r="A17" s="3" t="s">
        <v>497</v>
      </c>
    </row>
    <row r="18" customFormat="false" ht="15" hidden="false" customHeight="false" outlineLevel="0" collapsed="false">
      <c r="A18" s="18" t="s">
        <v>498</v>
      </c>
    </row>
    <row r="19" customFormat="false" ht="15" hidden="false" customHeight="false" outlineLevel="0" collapsed="false">
      <c r="A19" s="18" t="s">
        <v>499</v>
      </c>
    </row>
    <row r="20" customFormat="false" ht="15" hidden="false" customHeight="false" outlineLevel="0" collapsed="false">
      <c r="A20" s="18" t="s">
        <v>500</v>
      </c>
    </row>
    <row r="21" customFormat="false" ht="15" hidden="false" customHeight="false" outlineLevel="0" collapsed="false">
      <c r="A21" s="18" t="s">
        <v>501</v>
      </c>
    </row>
    <row r="22" customFormat="false" ht="15" hidden="false" customHeight="false" outlineLevel="0" collapsed="false">
      <c r="A22" s="18" t="s">
        <v>502</v>
      </c>
    </row>
    <row r="23" customFormat="false" ht="15" hidden="false" customHeight="false" outlineLevel="0" collapsed="false">
      <c r="A23" s="40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7"/>
  </cols>
  <sheetData>
    <row r="1" customFormat="false" ht="22.05" hidden="false" customHeight="false" outlineLevel="0" collapsed="false">
      <c r="A1" s="1" t="s">
        <v>504</v>
      </c>
    </row>
    <row r="2" customFormat="false" ht="15" hidden="false" customHeight="false" outlineLevel="0" collapsed="false">
      <c r="A2" s="2" t="s">
        <v>505</v>
      </c>
    </row>
    <row r="4" customFormat="false" ht="31.5" hidden="false" customHeight="true" outlineLevel="0" collapsed="false">
      <c r="A4" s="10" t="s">
        <v>14</v>
      </c>
      <c r="B4" s="10" t="s">
        <v>506</v>
      </c>
      <c r="C4" s="10" t="s">
        <v>507</v>
      </c>
      <c r="D4" s="10" t="s">
        <v>508</v>
      </c>
      <c r="E4" s="10" t="s">
        <v>509</v>
      </c>
      <c r="F4" s="10" t="s">
        <v>510</v>
      </c>
      <c r="G4" s="10" t="s">
        <v>511</v>
      </c>
      <c r="H4" s="10" t="s">
        <v>8</v>
      </c>
      <c r="I4" s="10" t="s">
        <v>10</v>
      </c>
    </row>
    <row r="5" customFormat="false" ht="25.5" hidden="false" customHeight="true" outlineLevel="0" collapsed="false">
      <c r="A5" s="14" t="s">
        <v>17</v>
      </c>
      <c r="B5" s="41" t="n">
        <v>3</v>
      </c>
      <c r="C5" s="41" t="n">
        <v>3</v>
      </c>
      <c r="D5" s="41" t="n">
        <v>2</v>
      </c>
      <c r="E5" s="41" t="n">
        <v>1</v>
      </c>
      <c r="F5" s="41" t="n">
        <v>3</v>
      </c>
      <c r="G5" s="41" t="n">
        <v>2</v>
      </c>
      <c r="H5" s="42" t="n">
        <f aca="false">COUNTIF('Top-Player'!$C$5:$C$42,A5)</f>
        <v>8</v>
      </c>
      <c r="I5" s="43" t="n">
        <f aca="false">SUMIF('Top-Player'!$C$5:$C$42,A5,'Top-Player'!$U$5:$U$42)</f>
        <v>171300</v>
      </c>
    </row>
    <row r="6" customFormat="false" ht="25.5" hidden="false" customHeight="true" outlineLevel="0" collapsed="false">
      <c r="A6" s="14" t="s">
        <v>18</v>
      </c>
      <c r="B6" s="41" t="n">
        <v>3</v>
      </c>
      <c r="C6" s="41" t="n">
        <v>0</v>
      </c>
      <c r="D6" s="41" t="n">
        <v>2</v>
      </c>
      <c r="E6" s="41" t="n">
        <v>1</v>
      </c>
      <c r="F6" s="41" t="n">
        <v>0</v>
      </c>
      <c r="G6" s="41" t="n">
        <v>3</v>
      </c>
      <c r="H6" s="42" t="n">
        <f aca="false">COUNTIF('Top-Player'!$C$5:$C$42,A6)</f>
        <v>10</v>
      </c>
      <c r="I6" s="43" t="n">
        <f aca="false">SUMIF('Top-Player'!$C$5:$C$42,A6,'Top-Player'!$U$5:$U$42)</f>
        <v>248100</v>
      </c>
    </row>
    <row r="7" customFormat="false" ht="25.5" hidden="false" customHeight="true" outlineLevel="0" collapsed="false">
      <c r="A7" s="14" t="s">
        <v>19</v>
      </c>
      <c r="B7" s="41" t="n">
        <v>3</v>
      </c>
      <c r="C7" s="41" t="n">
        <v>0</v>
      </c>
      <c r="D7" s="41" t="n">
        <v>1</v>
      </c>
      <c r="E7" s="41" t="n">
        <v>3</v>
      </c>
      <c r="F7" s="41" t="n">
        <v>1</v>
      </c>
      <c r="G7" s="41" t="n">
        <v>1</v>
      </c>
      <c r="H7" s="42" t="n">
        <f aca="false">COUNTIF('Top-Player'!$C$5:$C$42,A7)</f>
        <v>5</v>
      </c>
      <c r="I7" s="43" t="n">
        <f aca="false">SUMIF('Top-Player'!$C$5:$C$42,A7,'Top-Player'!$U$5:$U$42)</f>
        <v>55400</v>
      </c>
    </row>
    <row r="8" customFormat="false" ht="25.5" hidden="false" customHeight="true" outlineLevel="0" collapsed="false">
      <c r="A8" s="14" t="s">
        <v>20</v>
      </c>
      <c r="B8" s="41" t="n">
        <v>2</v>
      </c>
      <c r="C8" s="41" t="n">
        <v>2</v>
      </c>
      <c r="D8" s="41" t="n">
        <v>2</v>
      </c>
      <c r="E8" s="41" t="n">
        <v>1</v>
      </c>
      <c r="F8" s="41" t="n">
        <v>3</v>
      </c>
      <c r="G8" s="41" t="n">
        <v>1</v>
      </c>
      <c r="H8" s="42" t="n">
        <f aca="false">COUNTIF('Top-Player'!$C$5:$C$42,A8)</f>
        <v>3</v>
      </c>
      <c r="I8" s="43" t="n">
        <f aca="false">SUMIF('Top-Player'!$C$5:$C$42,A8,'Top-Player'!$U$5:$U$42)</f>
        <v>65100</v>
      </c>
    </row>
    <row r="9" customFormat="false" ht="25.5" hidden="false" customHeight="true" outlineLevel="0" collapsed="false">
      <c r="A9" s="14" t="s">
        <v>21</v>
      </c>
      <c r="B9" s="41" t="n">
        <v>3</v>
      </c>
      <c r="C9" s="41" t="n">
        <v>1</v>
      </c>
      <c r="D9" s="41" t="n">
        <v>1</v>
      </c>
      <c r="E9" s="41" t="n">
        <v>1</v>
      </c>
      <c r="F9" s="41" t="n">
        <v>2</v>
      </c>
      <c r="G9" s="41" t="n">
        <v>1</v>
      </c>
      <c r="H9" s="42" t="n">
        <f aca="false">COUNTIF('Top-Player'!$C$5:$C$42,A9)</f>
        <v>4</v>
      </c>
      <c r="I9" s="43" t="n">
        <f aca="false">SUMIF('Top-Player'!$C$5:$C$42,A9,'Top-Player'!$U$5:$U$42)</f>
        <v>69700</v>
      </c>
    </row>
    <row r="10" customFormat="false" ht="25.5" hidden="false" customHeight="true" outlineLevel="0" collapsed="false">
      <c r="A10" s="14" t="s">
        <v>22</v>
      </c>
      <c r="B10" s="41" t="n">
        <v>3</v>
      </c>
      <c r="C10" s="41" t="n">
        <v>0</v>
      </c>
      <c r="D10" s="41" t="n">
        <v>3</v>
      </c>
      <c r="E10" s="41" t="n">
        <v>0</v>
      </c>
      <c r="F10" s="41" t="n">
        <v>0</v>
      </c>
      <c r="G10" s="41" t="n">
        <v>2</v>
      </c>
      <c r="H10" s="42" t="n">
        <f aca="false">COUNTIF('Top-Player'!$C$5:$C$42,A10)</f>
        <v>3</v>
      </c>
      <c r="I10" s="43" t="n">
        <f aca="false">SUMIF('Top-Player'!$C$5:$C$42,A10,'Top-Player'!$U$5:$U$42)</f>
        <v>24100</v>
      </c>
    </row>
    <row r="11" customFormat="false" ht="25.5" hidden="false" customHeight="true" outlineLevel="0" collapsed="false">
      <c r="A11" s="14" t="s">
        <v>23</v>
      </c>
      <c r="B11" s="41" t="n">
        <v>3</v>
      </c>
      <c r="C11" s="41" t="n">
        <v>1</v>
      </c>
      <c r="D11" s="41" t="n">
        <v>1</v>
      </c>
      <c r="E11" s="41" t="n">
        <v>1</v>
      </c>
      <c r="F11" s="41" t="n">
        <v>2</v>
      </c>
      <c r="G11" s="41" t="n">
        <v>1</v>
      </c>
      <c r="H11" s="42" t="n">
        <f aca="false">COUNTIF('Top-Player'!$C$5:$C$42,A11)</f>
        <v>5</v>
      </c>
      <c r="I11" s="43" t="n">
        <f aca="false">SUMIF('Top-Player'!$C$5:$C$42,A11,'Top-Player'!$U$5:$U$42)</f>
        <v>101400</v>
      </c>
    </row>
    <row r="13" customFormat="false" ht="15" hidden="false" customHeight="false" outlineLevel="0" collapsed="false">
      <c r="A13" s="40" t="s">
        <v>512</v>
      </c>
    </row>
  </sheetData>
  <conditionalFormatting sqref="B5:G11">
    <cfRule type="colorScale" priority="2">
      <colorScale>
        <cfvo type="num" val="0"/>
        <cfvo type="num" val="1.5"/>
        <cfvo type="num" val="3"/>
        <color rgb="FFF2F2F2"/>
        <color rgb="FFBDBDBD"/>
        <color rgb="FFE0003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30"/>
  </cols>
  <sheetData>
    <row r="1" customFormat="false" ht="22.05" hidden="false" customHeight="false" outlineLevel="0" collapsed="false">
      <c r="A1" s="1" t="s">
        <v>513</v>
      </c>
    </row>
    <row r="2" customFormat="false" ht="15" hidden="false" customHeight="false" outlineLevel="0" collapsed="false">
      <c r="A2" s="2" t="s">
        <v>514</v>
      </c>
    </row>
    <row r="4" customFormat="false" ht="31.5" hidden="false" customHeight="true" outlineLevel="0" collapsed="false">
      <c r="A4" s="10" t="s">
        <v>515</v>
      </c>
      <c r="B4" s="10" t="s">
        <v>516</v>
      </c>
      <c r="C4" s="10" t="s">
        <v>517</v>
      </c>
      <c r="D4" s="10" t="s">
        <v>518</v>
      </c>
      <c r="E4" s="10" t="s">
        <v>82</v>
      </c>
    </row>
    <row r="5" customFormat="false" ht="48" hidden="false" customHeight="true" outlineLevel="0" collapsed="false">
      <c r="A5" s="36" t="s">
        <v>506</v>
      </c>
      <c r="B5" s="34" t="s">
        <v>519</v>
      </c>
      <c r="C5" s="34" t="s">
        <v>520</v>
      </c>
      <c r="D5" s="34" t="s">
        <v>521</v>
      </c>
      <c r="E5" s="34" t="s">
        <v>522</v>
      </c>
    </row>
    <row r="6" customFormat="false" ht="48" hidden="false" customHeight="true" outlineLevel="0" collapsed="false">
      <c r="A6" s="36" t="s">
        <v>507</v>
      </c>
      <c r="B6" s="34" t="s">
        <v>523</v>
      </c>
      <c r="C6" s="34" t="s">
        <v>524</v>
      </c>
      <c r="D6" s="34" t="s">
        <v>525</v>
      </c>
      <c r="E6" s="34" t="s">
        <v>526</v>
      </c>
    </row>
    <row r="7" customFormat="false" ht="48" hidden="false" customHeight="true" outlineLevel="0" collapsed="false">
      <c r="A7" s="36" t="s">
        <v>508</v>
      </c>
      <c r="B7" s="34" t="s">
        <v>527</v>
      </c>
      <c r="C7" s="34" t="s">
        <v>528</v>
      </c>
      <c r="D7" s="34" t="s">
        <v>529</v>
      </c>
      <c r="E7" s="34" t="s">
        <v>530</v>
      </c>
    </row>
    <row r="8" customFormat="false" ht="48" hidden="false" customHeight="true" outlineLevel="0" collapsed="false">
      <c r="A8" s="36" t="s">
        <v>509</v>
      </c>
      <c r="B8" s="34" t="s">
        <v>531</v>
      </c>
      <c r="C8" s="34" t="s">
        <v>532</v>
      </c>
      <c r="D8" s="39" t="s">
        <v>533</v>
      </c>
      <c r="E8" s="34" t="s">
        <v>530</v>
      </c>
    </row>
    <row r="9" customFormat="false" ht="48" hidden="false" customHeight="true" outlineLevel="0" collapsed="false">
      <c r="A9" s="36" t="s">
        <v>534</v>
      </c>
      <c r="B9" s="34" t="s">
        <v>535</v>
      </c>
      <c r="C9" s="34" t="s">
        <v>536</v>
      </c>
      <c r="D9" s="34" t="s">
        <v>537</v>
      </c>
      <c r="E9" s="34" t="s">
        <v>538</v>
      </c>
    </row>
    <row r="10" customFormat="false" ht="48" hidden="false" customHeight="true" outlineLevel="0" collapsed="false">
      <c r="A10" s="36" t="s">
        <v>539</v>
      </c>
      <c r="B10" s="34" t="s">
        <v>540</v>
      </c>
      <c r="C10" s="34" t="s">
        <v>541</v>
      </c>
      <c r="D10" s="34" t="s">
        <v>542</v>
      </c>
      <c r="E10" s="34" t="s">
        <v>543</v>
      </c>
    </row>
    <row r="11" customFormat="false" ht="48" hidden="false" customHeight="true" outlineLevel="0" collapsed="false">
      <c r="A11" s="36" t="s">
        <v>73</v>
      </c>
      <c r="B11" s="34" t="s">
        <v>544</v>
      </c>
      <c r="C11" s="34" t="s">
        <v>545</v>
      </c>
      <c r="D11" s="34" t="s">
        <v>546</v>
      </c>
      <c r="E11" s="34" t="s">
        <v>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22.05" hidden="false" customHeight="false" outlineLevel="0" collapsed="false">
      <c r="A1" s="1" t="s">
        <v>548</v>
      </c>
    </row>
    <row r="2" customFormat="false" ht="15" hidden="false" customHeight="false" outlineLevel="0" collapsed="false">
      <c r="A2" s="2" t="s">
        <v>549</v>
      </c>
    </row>
    <row r="4" customFormat="false" ht="31.5" hidden="false" customHeight="true" outlineLevel="0" collapsed="false">
      <c r="A4" s="10" t="s">
        <v>550</v>
      </c>
      <c r="B4" s="10" t="s">
        <v>551</v>
      </c>
      <c r="C4" s="10" t="s">
        <v>552</v>
      </c>
      <c r="D4" s="10" t="s">
        <v>553</v>
      </c>
      <c r="E4" s="10" t="s">
        <v>554</v>
      </c>
      <c r="F4" s="10" t="s">
        <v>555</v>
      </c>
    </row>
    <row r="5" customFormat="false" ht="15" hidden="false" customHeight="false" outlineLevel="0" collapsed="false">
      <c r="A5" s="44" t="s">
        <v>556</v>
      </c>
      <c r="B5" s="45" t="n">
        <v>0.828</v>
      </c>
      <c r="C5" s="44" t="s">
        <v>557</v>
      </c>
      <c r="D5" s="44" t="s">
        <v>558</v>
      </c>
      <c r="E5" s="44"/>
      <c r="F5" s="44"/>
    </row>
    <row r="6" customFormat="false" ht="15" hidden="false" customHeight="false" outlineLevel="0" collapsed="false">
      <c r="A6" s="44" t="s">
        <v>559</v>
      </c>
      <c r="B6" s="46" t="n">
        <v>0.8</v>
      </c>
      <c r="C6" s="44"/>
      <c r="D6" s="44" t="s">
        <v>560</v>
      </c>
      <c r="E6" s="44"/>
      <c r="F6" s="44"/>
    </row>
    <row r="7" customFormat="false" ht="28.35" hidden="false" customHeight="false" outlineLevel="0" collapsed="false">
      <c r="A7" s="44" t="s">
        <v>561</v>
      </c>
      <c r="B7" s="47" t="n">
        <v>5000</v>
      </c>
      <c r="C7" s="44" t="s">
        <v>562</v>
      </c>
      <c r="D7" s="44" t="s">
        <v>563</v>
      </c>
      <c r="E7" s="44"/>
      <c r="F7" s="44"/>
    </row>
    <row r="8" customFormat="false" ht="15" hidden="false" customHeight="false" outlineLevel="0" collapsed="false">
      <c r="A8" s="44" t="s">
        <v>564</v>
      </c>
      <c r="B8" s="47" t="n">
        <v>7800</v>
      </c>
      <c r="C8" s="44" t="s">
        <v>562</v>
      </c>
      <c r="D8" s="44" t="s">
        <v>565</v>
      </c>
      <c r="E8" s="44"/>
      <c r="F8" s="44"/>
    </row>
    <row r="9" customFormat="false" ht="15" hidden="false" customHeight="false" outlineLevel="0" collapsed="false">
      <c r="A9" s="44" t="s">
        <v>566</v>
      </c>
      <c r="B9" s="48" t="n">
        <f aca="false">AVERAGE(B7:B8)*B6*B5</f>
        <v>4239.36</v>
      </c>
      <c r="C9" s="44" t="s">
        <v>567</v>
      </c>
      <c r="D9" s="44" t="s">
        <v>568</v>
      </c>
      <c r="E9" s="47"/>
      <c r="F9" s="49" t="n">
        <f aca="false">IF(E9&lt;&gt;"",E9,B9)</f>
        <v>4239.36</v>
      </c>
    </row>
    <row r="10" customFormat="false" ht="15" hidden="false" customHeight="false" outlineLevel="0" collapsed="false">
      <c r="A10" s="44" t="s">
        <v>569</v>
      </c>
      <c r="B10" s="47" t="n">
        <v>1600</v>
      </c>
      <c r="C10" s="44" t="s">
        <v>562</v>
      </c>
      <c r="D10" s="44" t="s">
        <v>570</v>
      </c>
      <c r="E10" s="44"/>
      <c r="F10" s="44"/>
    </row>
    <row r="11" customFormat="false" ht="15" hidden="false" customHeight="false" outlineLevel="0" collapsed="false">
      <c r="A11" s="44" t="s">
        <v>571</v>
      </c>
      <c r="B11" s="47" t="n">
        <v>3100</v>
      </c>
      <c r="C11" s="44" t="s">
        <v>562</v>
      </c>
      <c r="D11" s="44" t="s">
        <v>565</v>
      </c>
      <c r="E11" s="44"/>
      <c r="F11" s="44"/>
    </row>
    <row r="12" customFormat="false" ht="15" hidden="false" customHeight="false" outlineLevel="0" collapsed="false">
      <c r="A12" s="44" t="s">
        <v>572</v>
      </c>
      <c r="B12" s="48" t="n">
        <f aca="false">AVERAGE(B10:B11)*B5</f>
        <v>1945.8</v>
      </c>
      <c r="C12" s="44" t="s">
        <v>573</v>
      </c>
      <c r="D12" s="44" t="s">
        <v>574</v>
      </c>
      <c r="E12" s="47"/>
      <c r="F12" s="49" t="n">
        <f aca="false">IF(E12&lt;&gt;"",E12,B12)</f>
        <v>1945.8</v>
      </c>
    </row>
    <row r="13" customFormat="false" ht="28.35" hidden="false" customHeight="false" outlineLevel="0" collapsed="false">
      <c r="A13" s="44" t="s">
        <v>575</v>
      </c>
      <c r="B13" s="47" t="n">
        <v>10000</v>
      </c>
      <c r="C13" s="44" t="s">
        <v>576</v>
      </c>
      <c r="D13" s="44" t="s">
        <v>577</v>
      </c>
      <c r="E13" s="44"/>
      <c r="F13" s="44"/>
    </row>
    <row r="14" customFormat="false" ht="15" hidden="false" customHeight="false" outlineLevel="0" collapsed="false">
      <c r="A14" s="44" t="s">
        <v>578</v>
      </c>
      <c r="B14" s="47" t="n">
        <v>50000</v>
      </c>
      <c r="C14" s="44" t="s">
        <v>576</v>
      </c>
      <c r="D14" s="44" t="s">
        <v>565</v>
      </c>
      <c r="E14" s="44"/>
      <c r="F14" s="44"/>
    </row>
    <row r="15" customFormat="false" ht="15" hidden="false" customHeight="false" outlineLevel="0" collapsed="false">
      <c r="A15" s="44" t="s">
        <v>579</v>
      </c>
      <c r="B15" s="48" t="n">
        <f aca="false">AVERAGE(B13:B14)*B5</f>
        <v>24840</v>
      </c>
      <c r="C15" s="44" t="s">
        <v>580</v>
      </c>
      <c r="D15" s="44" t="s">
        <v>581</v>
      </c>
      <c r="E15" s="47"/>
      <c r="F15" s="49" t="n">
        <f aca="false">IF(E15&lt;&gt;"",E15,B15)</f>
        <v>24840</v>
      </c>
    </row>
    <row r="16" customFormat="false" ht="15" hidden="false" customHeight="false" outlineLevel="0" collapsed="false">
      <c r="A16" s="44" t="s">
        <v>582</v>
      </c>
      <c r="B16" s="50" t="s">
        <v>583</v>
      </c>
      <c r="C16" s="44" t="s">
        <v>584</v>
      </c>
      <c r="D16" s="44" t="s">
        <v>585</v>
      </c>
      <c r="E16" s="44"/>
      <c r="F16" s="44"/>
    </row>
    <row r="17" customFormat="false" ht="15" hidden="false" customHeight="false" outlineLevel="0" collapsed="false">
      <c r="A17" s="44" t="s">
        <v>586</v>
      </c>
      <c r="B17" s="50" t="s">
        <v>583</v>
      </c>
      <c r="C17" s="44" t="s">
        <v>587</v>
      </c>
      <c r="D17" s="44" t="s">
        <v>588</v>
      </c>
      <c r="E17" s="44"/>
      <c r="F17" s="44"/>
    </row>
    <row r="19" customFormat="false" ht="15" hidden="false" customHeight="false" outlineLevel="0" collapsed="false">
      <c r="A19" s="44" t="s">
        <v>589</v>
      </c>
      <c r="B19" s="47" t="n">
        <v>145</v>
      </c>
      <c r="C19" s="44" t="s">
        <v>590</v>
      </c>
      <c r="D19" s="44" t="s">
        <v>591</v>
      </c>
      <c r="E19" s="44"/>
      <c r="F19" s="44"/>
    </row>
    <row r="20" customFormat="false" ht="15" hidden="false" customHeight="false" outlineLevel="0" collapsed="false">
      <c r="A20" s="44" t="s">
        <v>592</v>
      </c>
      <c r="B20" s="46" t="n">
        <v>2.41</v>
      </c>
      <c r="C20" s="44" t="s">
        <v>593</v>
      </c>
      <c r="D20" s="44" t="s">
        <v>594</v>
      </c>
      <c r="E20" s="44"/>
      <c r="F20" s="44"/>
    </row>
    <row r="21" customFormat="false" ht="15" hidden="false" customHeight="false" outlineLevel="0" collapsed="false">
      <c r="A21" s="44" t="s">
        <v>595</v>
      </c>
      <c r="B21" s="48" t="n">
        <f aca="false">B19*B20</f>
        <v>349.45</v>
      </c>
      <c r="C21" s="44" t="s">
        <v>596</v>
      </c>
      <c r="D21" s="44" t="s">
        <v>597</v>
      </c>
      <c r="E21" s="44"/>
      <c r="F21" s="44"/>
    </row>
    <row r="22" customFormat="false" ht="28.35" hidden="false" customHeight="false" outlineLevel="0" collapsed="false">
      <c r="A22" s="44" t="s">
        <v>598</v>
      </c>
      <c r="B22" s="48" t="n">
        <f aca="false">34666/1.75*B5</f>
        <v>16401.9702857143</v>
      </c>
      <c r="C22" s="44" t="s">
        <v>599</v>
      </c>
      <c r="D22" s="44" t="s">
        <v>600</v>
      </c>
      <c r="E22" s="44"/>
      <c r="F22" s="44"/>
    </row>
    <row r="24" customFormat="false" ht="15" hidden="false" customHeight="false" outlineLevel="0" collapsed="false">
      <c r="A24" s="44" t="s">
        <v>601</v>
      </c>
      <c r="B24" s="47" t="n">
        <v>25000</v>
      </c>
      <c r="C24" s="44" t="s">
        <v>587</v>
      </c>
      <c r="D24" s="44" t="s">
        <v>602</v>
      </c>
      <c r="E24" s="44"/>
      <c r="F24" s="44"/>
    </row>
    <row r="25" customFormat="false" ht="15" hidden="false" customHeight="false" outlineLevel="0" collapsed="false">
      <c r="A25" s="44" t="s">
        <v>603</v>
      </c>
      <c r="B25" s="47" t="n">
        <v>10000</v>
      </c>
      <c r="C25" s="44" t="s">
        <v>587</v>
      </c>
      <c r="D25" s="44" t="s">
        <v>604</v>
      </c>
      <c r="E25" s="44"/>
      <c r="F25" s="44"/>
    </row>
    <row r="26" customFormat="false" ht="15" hidden="false" customHeight="false" outlineLevel="0" collapsed="false">
      <c r="A26" s="44" t="s">
        <v>605</v>
      </c>
      <c r="B26" s="47" t="n">
        <v>50000</v>
      </c>
      <c r="C26" s="44" t="s">
        <v>587</v>
      </c>
      <c r="D26" s="44" t="s">
        <v>606</v>
      </c>
      <c r="E26" s="44"/>
      <c r="F26" s="4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70"/>
    <col collapsed="false" customWidth="true" hidden="false" outlineLevel="0" max="5" min="5" style="0" width="9"/>
  </cols>
  <sheetData>
    <row r="1" customFormat="false" ht="22.0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607</v>
      </c>
    </row>
    <row r="4" customFormat="false" ht="31.5" hidden="false" customHeight="true" outlineLevel="0" collapsed="false">
      <c r="A4" s="10" t="s">
        <v>14</v>
      </c>
      <c r="B4" s="10" t="s">
        <v>27</v>
      </c>
      <c r="C4" s="10" t="s">
        <v>58</v>
      </c>
      <c r="D4" s="10" t="s">
        <v>608</v>
      </c>
      <c r="E4" s="10" t="s">
        <v>82</v>
      </c>
    </row>
    <row r="5" customFormat="false" ht="15" hidden="false" customHeight="false" outlineLevel="0" collapsed="false">
      <c r="A5" s="51" t="s">
        <v>17</v>
      </c>
      <c r="B5" s="52" t="s">
        <v>480</v>
      </c>
      <c r="C5" s="51" t="s">
        <v>151</v>
      </c>
      <c r="D5" s="51" t="s">
        <v>609</v>
      </c>
      <c r="E5" s="53" t="s">
        <v>96</v>
      </c>
    </row>
    <row r="6" customFormat="false" ht="15" hidden="false" customHeight="false" outlineLevel="0" collapsed="false">
      <c r="A6" s="51" t="s">
        <v>17</v>
      </c>
      <c r="B6" s="52" t="s">
        <v>610</v>
      </c>
      <c r="C6" s="51" t="s">
        <v>424</v>
      </c>
      <c r="D6" s="51" t="s">
        <v>611</v>
      </c>
      <c r="E6" s="53" t="s">
        <v>96</v>
      </c>
    </row>
    <row r="7" customFormat="false" ht="15" hidden="false" customHeight="false" outlineLevel="0" collapsed="false">
      <c r="A7" s="51" t="s">
        <v>17</v>
      </c>
      <c r="B7" s="52" t="s">
        <v>612</v>
      </c>
      <c r="C7" s="51" t="s">
        <v>613</v>
      </c>
      <c r="D7" s="51" t="s">
        <v>614</v>
      </c>
      <c r="E7" s="53" t="s">
        <v>96</v>
      </c>
    </row>
    <row r="8" customFormat="false" ht="15" hidden="false" customHeight="false" outlineLevel="0" collapsed="false">
      <c r="A8" s="51" t="s">
        <v>17</v>
      </c>
      <c r="B8" s="52" t="s">
        <v>615</v>
      </c>
      <c r="C8" s="51" t="s">
        <v>616</v>
      </c>
      <c r="D8" s="51" t="s">
        <v>617</v>
      </c>
      <c r="E8" s="53" t="s">
        <v>96</v>
      </c>
    </row>
    <row r="9" customFormat="false" ht="15" hidden="false" customHeight="false" outlineLevel="0" collapsed="false">
      <c r="A9" s="51" t="s">
        <v>19</v>
      </c>
      <c r="B9" s="52" t="s">
        <v>618</v>
      </c>
      <c r="C9" s="51" t="s">
        <v>619</v>
      </c>
      <c r="D9" s="51" t="s">
        <v>620</v>
      </c>
      <c r="E9" s="53" t="s">
        <v>96</v>
      </c>
    </row>
    <row r="10" customFormat="false" ht="15" hidden="false" customHeight="false" outlineLevel="0" collapsed="false">
      <c r="A10" s="51" t="s">
        <v>19</v>
      </c>
      <c r="B10" s="52" t="s">
        <v>621</v>
      </c>
      <c r="C10" s="51" t="s">
        <v>622</v>
      </c>
      <c r="D10" s="51" t="s">
        <v>623</v>
      </c>
      <c r="E10" s="53" t="s">
        <v>96</v>
      </c>
    </row>
    <row r="11" customFormat="false" ht="15" hidden="false" customHeight="false" outlineLevel="0" collapsed="false">
      <c r="A11" s="51" t="s">
        <v>20</v>
      </c>
      <c r="B11" s="52" t="s">
        <v>624</v>
      </c>
      <c r="C11" s="51" t="s">
        <v>625</v>
      </c>
      <c r="D11" s="51" t="s">
        <v>626</v>
      </c>
      <c r="E11" s="53" t="s">
        <v>96</v>
      </c>
    </row>
    <row r="12" customFormat="false" ht="15" hidden="false" customHeight="false" outlineLevel="0" collapsed="false">
      <c r="A12" s="51" t="s">
        <v>21</v>
      </c>
      <c r="B12" s="52" t="s">
        <v>627</v>
      </c>
      <c r="C12" s="51" t="s">
        <v>628</v>
      </c>
      <c r="D12" s="51" t="s">
        <v>629</v>
      </c>
      <c r="E12" s="53" t="s">
        <v>96</v>
      </c>
    </row>
    <row r="13" customFormat="false" ht="15" hidden="false" customHeight="false" outlineLevel="0" collapsed="false">
      <c r="A13" s="51" t="s">
        <v>22</v>
      </c>
      <c r="B13" s="52" t="s">
        <v>630</v>
      </c>
      <c r="C13" s="51" t="s">
        <v>631</v>
      </c>
      <c r="D13" s="51" t="s">
        <v>632</v>
      </c>
      <c r="E13" s="53" t="s">
        <v>96</v>
      </c>
    </row>
    <row r="14" customFormat="false" ht="22.35" hidden="false" customHeight="false" outlineLevel="0" collapsed="false">
      <c r="A14" s="51" t="s">
        <v>22</v>
      </c>
      <c r="B14" s="52" t="s">
        <v>633</v>
      </c>
      <c r="C14" s="51" t="s">
        <v>634</v>
      </c>
      <c r="D14" s="51" t="s">
        <v>635</v>
      </c>
      <c r="E14" s="53" t="s">
        <v>96</v>
      </c>
    </row>
    <row r="15" customFormat="false" ht="15" hidden="false" customHeight="false" outlineLevel="0" collapsed="false">
      <c r="A15" s="51" t="s">
        <v>22</v>
      </c>
      <c r="B15" s="52" t="s">
        <v>636</v>
      </c>
      <c r="C15" s="51" t="s">
        <v>637</v>
      </c>
      <c r="D15" s="51" t="s">
        <v>638</v>
      </c>
      <c r="E15" s="53" t="s">
        <v>96</v>
      </c>
    </row>
    <row r="16" customFormat="false" ht="15" hidden="false" customHeight="false" outlineLevel="0" collapsed="false">
      <c r="A16" s="51" t="s">
        <v>18</v>
      </c>
      <c r="B16" s="52" t="s">
        <v>639</v>
      </c>
      <c r="C16" s="51" t="s">
        <v>640</v>
      </c>
      <c r="D16" s="51" t="s">
        <v>641</v>
      </c>
      <c r="E16" s="53" t="s">
        <v>96</v>
      </c>
    </row>
    <row r="17" customFormat="false" ht="15" hidden="false" customHeight="false" outlineLevel="0" collapsed="false">
      <c r="A17" s="51" t="s">
        <v>18</v>
      </c>
      <c r="B17" s="52" t="s">
        <v>642</v>
      </c>
      <c r="C17" s="51" t="s">
        <v>151</v>
      </c>
      <c r="D17" s="51" t="s">
        <v>643</v>
      </c>
      <c r="E17" s="53" t="s">
        <v>96</v>
      </c>
    </row>
    <row r="18" customFormat="false" ht="15" hidden="false" customHeight="false" outlineLevel="0" collapsed="false">
      <c r="A18" s="51" t="s">
        <v>644</v>
      </c>
      <c r="B18" s="52" t="s">
        <v>645</v>
      </c>
      <c r="C18" s="51" t="s">
        <v>646</v>
      </c>
      <c r="D18" s="51" t="s">
        <v>647</v>
      </c>
      <c r="E18" s="53" t="s">
        <v>96</v>
      </c>
    </row>
    <row r="19" customFormat="false" ht="15" hidden="false" customHeight="false" outlineLevel="0" collapsed="false">
      <c r="A19" s="51" t="s">
        <v>648</v>
      </c>
      <c r="B19" s="52" t="s">
        <v>649</v>
      </c>
      <c r="C19" s="51" t="s">
        <v>646</v>
      </c>
      <c r="D19" s="51" t="s">
        <v>650</v>
      </c>
      <c r="E19" s="53" t="s">
        <v>96</v>
      </c>
    </row>
  </sheetData>
  <hyperlinks>
    <hyperlink ref="E5" r:id="rId1" display="Link"/>
    <hyperlink ref="E6" r:id="rId2" display="Link"/>
    <hyperlink ref="E7" r:id="rId3" display="Link"/>
    <hyperlink ref="E8" r:id="rId4" display="Link"/>
    <hyperlink ref="E9" r:id="rId5" display="Link"/>
    <hyperlink ref="E10" r:id="rId6" display="Link"/>
    <hyperlink ref="E11" r:id="rId7" display="Link"/>
    <hyperlink ref="E12" r:id="rId8" display="Link"/>
    <hyperlink ref="E13" r:id="rId9" display="Link"/>
    <hyperlink ref="E14" r:id="rId10" display="Link"/>
    <hyperlink ref="E15" r:id="rId11" display="Link"/>
    <hyperlink ref="E16" r:id="rId12" display="Link"/>
    <hyperlink ref="E17" r:id="rId13" display="Link"/>
    <hyperlink ref="E18" r:id="rId14" display="Link"/>
    <hyperlink ref="E19" r:id="rId15" display="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9"/>
  </cols>
  <sheetData>
    <row r="1" customFormat="false" ht="22.05" hidden="false" customHeight="false" outlineLevel="0" collapsed="false">
      <c r="A1" s="1" t="s">
        <v>651</v>
      </c>
    </row>
    <row r="2" customFormat="false" ht="15" hidden="false" customHeight="false" outlineLevel="0" collapsed="false">
      <c r="A2" s="2" t="s">
        <v>652</v>
      </c>
    </row>
    <row r="4" customFormat="false" ht="31.5" hidden="false" customHeight="true" outlineLevel="0" collapsed="false">
      <c r="A4" s="10" t="s">
        <v>653</v>
      </c>
      <c r="B4" s="10" t="s">
        <v>654</v>
      </c>
      <c r="C4" s="10" t="s">
        <v>82</v>
      </c>
    </row>
    <row r="5" customFormat="false" ht="15" hidden="false" customHeight="false" outlineLevel="0" collapsed="false">
      <c r="A5" s="54" t="s">
        <v>655</v>
      </c>
      <c r="B5" s="55" t="s">
        <v>656</v>
      </c>
      <c r="C5" s="56" t="s">
        <v>96</v>
      </c>
    </row>
    <row r="6" customFormat="false" ht="15" hidden="false" customHeight="false" outlineLevel="0" collapsed="false">
      <c r="A6" s="54" t="s">
        <v>657</v>
      </c>
      <c r="B6" s="55" t="s">
        <v>658</v>
      </c>
      <c r="C6" s="56" t="s">
        <v>96</v>
      </c>
    </row>
    <row r="7" customFormat="false" ht="15" hidden="false" customHeight="false" outlineLevel="0" collapsed="false">
      <c r="A7" s="54" t="s">
        <v>659</v>
      </c>
      <c r="B7" s="55" t="s">
        <v>660</v>
      </c>
      <c r="C7" s="56" t="s">
        <v>96</v>
      </c>
    </row>
    <row r="8" customFormat="false" ht="15" hidden="false" customHeight="false" outlineLevel="0" collapsed="false">
      <c r="A8" s="54" t="s">
        <v>661</v>
      </c>
      <c r="B8" s="55" t="s">
        <v>662</v>
      </c>
      <c r="C8" s="56" t="s">
        <v>96</v>
      </c>
    </row>
    <row r="9" customFormat="false" ht="15" hidden="false" customHeight="false" outlineLevel="0" collapsed="false">
      <c r="A9" s="54" t="s">
        <v>663</v>
      </c>
      <c r="B9" s="55" t="s">
        <v>664</v>
      </c>
      <c r="C9" s="56" t="s">
        <v>96</v>
      </c>
    </row>
    <row r="10" customFormat="false" ht="15" hidden="false" customHeight="false" outlineLevel="0" collapsed="false">
      <c r="A10" s="54" t="s">
        <v>665</v>
      </c>
      <c r="B10" s="55" t="s">
        <v>666</v>
      </c>
      <c r="C10" s="56" t="s">
        <v>96</v>
      </c>
    </row>
    <row r="11" customFormat="false" ht="15" hidden="false" customHeight="false" outlineLevel="0" collapsed="false">
      <c r="A11" s="54" t="s">
        <v>667</v>
      </c>
      <c r="B11" s="55" t="s">
        <v>668</v>
      </c>
      <c r="C11" s="56" t="s">
        <v>96</v>
      </c>
    </row>
  </sheetData>
  <hyperlinks>
    <hyperlink ref="C5" r:id="rId1" display="Link"/>
    <hyperlink ref="C6" r:id="rId2" display="Link"/>
    <hyperlink ref="C7" r:id="rId3" display="Link"/>
    <hyperlink ref="C8" r:id="rId4" display="Link"/>
    <hyperlink ref="C9" r:id="rId5" display="Link"/>
    <hyperlink ref="C10" r:id="rId6" display="Link"/>
    <hyperlink ref="C11" r:id="rId7" display="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22.05" hidden="false" customHeight="false" outlineLevel="0" collapsed="false">
      <c r="A1" s="1" t="s">
        <v>669</v>
      </c>
    </row>
    <row r="2" customFormat="false" ht="15" hidden="false" customHeight="false" outlineLevel="0" collapsed="false">
      <c r="A2" s="2" t="s">
        <v>670</v>
      </c>
    </row>
    <row r="4" customFormat="false" ht="31.5" hidden="false" customHeight="true" outlineLevel="0" collapsed="false">
      <c r="A4" s="10" t="s">
        <v>671</v>
      </c>
      <c r="B4" s="10" t="s">
        <v>672</v>
      </c>
    </row>
    <row r="5" customFormat="false" ht="15" hidden="false" customHeight="false" outlineLevel="0" collapsed="false">
      <c r="A5" s="14" t="s">
        <v>508</v>
      </c>
      <c r="B5" s="11" t="s">
        <v>673</v>
      </c>
    </row>
    <row r="6" customFormat="false" ht="15" hidden="false" customHeight="false" outlineLevel="0" collapsed="false">
      <c r="A6" s="14" t="s">
        <v>674</v>
      </c>
      <c r="B6" s="11" t="s">
        <v>675</v>
      </c>
    </row>
    <row r="7" customFormat="false" ht="15" hidden="false" customHeight="false" outlineLevel="0" collapsed="false">
      <c r="A7" s="14" t="s">
        <v>676</v>
      </c>
      <c r="B7" s="11" t="s">
        <v>677</v>
      </c>
    </row>
    <row r="8" customFormat="false" ht="15" hidden="false" customHeight="false" outlineLevel="0" collapsed="false">
      <c r="A8" s="14" t="s">
        <v>678</v>
      </c>
      <c r="B8" s="11" t="s">
        <v>679</v>
      </c>
    </row>
    <row r="9" customFormat="false" ht="15" hidden="false" customHeight="false" outlineLevel="0" collapsed="false">
      <c r="A9" s="14" t="s">
        <v>680</v>
      </c>
      <c r="B9" s="11" t="s">
        <v>681</v>
      </c>
    </row>
    <row r="10" customFormat="false" ht="15" hidden="false" customHeight="false" outlineLevel="0" collapsed="false">
      <c r="A10" s="14" t="s">
        <v>682</v>
      </c>
      <c r="B10" s="11" t="s">
        <v>683</v>
      </c>
    </row>
    <row r="11" customFormat="false" ht="15" hidden="false" customHeight="false" outlineLevel="0" collapsed="false">
      <c r="A11" s="14" t="s">
        <v>684</v>
      </c>
      <c r="B11" s="11" t="s">
        <v>685</v>
      </c>
    </row>
    <row r="12" customFormat="false" ht="15" hidden="false" customHeight="false" outlineLevel="0" collapsed="false">
      <c r="A12" s="14" t="s">
        <v>686</v>
      </c>
      <c r="B12" s="11" t="s">
        <v>687</v>
      </c>
    </row>
    <row r="13" customFormat="false" ht="15" hidden="false" customHeight="false" outlineLevel="0" collapsed="false">
      <c r="A13" s="14" t="s">
        <v>688</v>
      </c>
      <c r="B13" s="11" t="s">
        <v>689</v>
      </c>
    </row>
    <row r="14" customFormat="false" ht="15" hidden="false" customHeight="false" outlineLevel="0" collapsed="false">
      <c r="A14" s="14" t="s">
        <v>690</v>
      </c>
      <c r="B14" s="11" t="s">
        <v>691</v>
      </c>
    </row>
    <row r="15" customFormat="false" ht="15" hidden="false" customHeight="false" outlineLevel="0" collapsed="false">
      <c r="A15" s="14" t="s">
        <v>692</v>
      </c>
      <c r="B15" s="11" t="s">
        <v>693</v>
      </c>
    </row>
    <row r="16" customFormat="false" ht="15" hidden="false" customHeight="false" outlineLevel="0" collapsed="false">
      <c r="A16" s="14" t="s">
        <v>694</v>
      </c>
      <c r="B16" s="11" t="s">
        <v>17</v>
      </c>
    </row>
    <row r="17" customFormat="false" ht="15" hidden="false" customHeight="false" outlineLevel="0" collapsed="false">
      <c r="A17" s="14" t="s">
        <v>695</v>
      </c>
      <c r="B17" s="11" t="s">
        <v>696</v>
      </c>
    </row>
    <row r="18" customFormat="false" ht="15" hidden="false" customHeight="false" outlineLevel="0" collapsed="false">
      <c r="A18" s="14" t="s">
        <v>697</v>
      </c>
      <c r="B18" s="11" t="s">
        <v>698</v>
      </c>
    </row>
    <row r="19" customFormat="false" ht="15" hidden="false" customHeight="false" outlineLevel="0" collapsed="false">
      <c r="A19" s="14" t="s">
        <v>699</v>
      </c>
      <c r="B19" s="11" t="s">
        <v>700</v>
      </c>
    </row>
    <row r="20" customFormat="false" ht="15" hidden="false" customHeight="false" outlineLevel="0" collapsed="false">
      <c r="A20" s="14" t="s">
        <v>701</v>
      </c>
      <c r="B20" s="11" t="s">
        <v>702</v>
      </c>
    </row>
    <row r="21" customFormat="false" ht="15" hidden="false" customHeight="false" outlineLevel="0" collapsed="false">
      <c r="A21" s="14" t="s">
        <v>703</v>
      </c>
      <c r="B21" s="11" t="s">
        <v>704</v>
      </c>
    </row>
    <row r="22" customFormat="false" ht="15" hidden="false" customHeight="false" outlineLevel="0" collapsed="false">
      <c r="A22" s="14" t="s">
        <v>705</v>
      </c>
      <c r="B22" s="11" t="s">
        <v>706</v>
      </c>
    </row>
    <row r="23" customFormat="false" ht="15" hidden="false" customHeight="false" outlineLevel="0" collapsed="false">
      <c r="A23" s="14" t="s">
        <v>707</v>
      </c>
      <c r="B23" s="11" t="s">
        <v>708</v>
      </c>
    </row>
    <row r="24" customFormat="false" ht="15" hidden="false" customHeight="false" outlineLevel="0" collapsed="false">
      <c r="A24" s="14" t="s">
        <v>709</v>
      </c>
      <c r="B24" s="11" t="s">
        <v>710</v>
      </c>
    </row>
    <row r="25" customFormat="false" ht="15" hidden="false" customHeight="false" outlineLevel="0" collapsed="false">
      <c r="A25" s="14" t="s">
        <v>711</v>
      </c>
      <c r="B25" s="11" t="s">
        <v>712</v>
      </c>
    </row>
    <row r="26" customFormat="false" ht="15" hidden="false" customHeight="false" outlineLevel="0" collapsed="false">
      <c r="A26" s="14" t="s">
        <v>713</v>
      </c>
      <c r="B26" s="11" t="s">
        <v>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0"/>
  </cols>
  <sheetData>
    <row r="1" customFormat="false" ht="22.05" hidden="false" customHeight="false" outlineLevel="0" collapsed="false">
      <c r="A1" s="1" t="s">
        <v>715</v>
      </c>
    </row>
    <row r="2" customFormat="false" ht="15" hidden="false" customHeight="false" outlineLevel="0" collapsed="false">
      <c r="A2" s="2" t="s">
        <v>716</v>
      </c>
    </row>
    <row r="4" customFormat="false" ht="15" hidden="false" customHeight="false" outlineLevel="0" collapsed="false">
      <c r="A4" s="57" t="s">
        <v>717</v>
      </c>
      <c r="B4" s="18" t="s">
        <v>718</v>
      </c>
    </row>
    <row r="5" customFormat="false" ht="15" hidden="false" customHeight="false" outlineLevel="0" collapsed="false">
      <c r="A5" s="57"/>
      <c r="B5" s="18" t="s">
        <v>719</v>
      </c>
    </row>
    <row r="6" customFormat="false" ht="15" hidden="false" customHeight="false" outlineLevel="0" collapsed="false">
      <c r="A6" s="57" t="s">
        <v>720</v>
      </c>
      <c r="B6" s="18" t="s">
        <v>721</v>
      </c>
    </row>
    <row r="7" customFormat="false" ht="15" hidden="false" customHeight="false" outlineLevel="0" collapsed="false">
      <c r="A7" s="57"/>
      <c r="B7" s="18" t="s">
        <v>722</v>
      </c>
    </row>
    <row r="8" customFormat="false" ht="15" hidden="false" customHeight="false" outlineLevel="0" collapsed="false">
      <c r="A8" s="57" t="s">
        <v>723</v>
      </c>
      <c r="B8" s="18" t="s">
        <v>724</v>
      </c>
    </row>
    <row r="9" customFormat="false" ht="15" hidden="false" customHeight="false" outlineLevel="0" collapsed="false">
      <c r="A9" s="57"/>
      <c r="B9" s="18" t="s">
        <v>725</v>
      </c>
    </row>
    <row r="10" customFormat="false" ht="15" hidden="false" customHeight="false" outlineLevel="0" collapsed="false">
      <c r="A10" s="57" t="s">
        <v>71</v>
      </c>
      <c r="B10" s="18" t="s">
        <v>726</v>
      </c>
    </row>
    <row r="11" customFormat="false" ht="15" hidden="false" customHeight="false" outlineLevel="0" collapsed="false">
      <c r="A11" s="57" t="s">
        <v>727</v>
      </c>
      <c r="B11" s="18" t="s">
        <v>728</v>
      </c>
    </row>
    <row r="12" customFormat="false" ht="15" hidden="false" customHeight="false" outlineLevel="0" collapsed="false">
      <c r="A12" s="57" t="s">
        <v>729</v>
      </c>
      <c r="B12" s="18" t="s">
        <v>730</v>
      </c>
    </row>
    <row r="13" customFormat="false" ht="15" hidden="false" customHeight="false" outlineLevel="0" collapsed="false">
      <c r="A13" s="57" t="s">
        <v>731</v>
      </c>
      <c r="B13" s="18" t="s">
        <v>732</v>
      </c>
    </row>
    <row r="14" customFormat="false" ht="15" hidden="false" customHeight="false" outlineLevel="0" collapsed="false">
      <c r="A14" s="57" t="s">
        <v>733</v>
      </c>
      <c r="B14" s="18" t="s">
        <v>734</v>
      </c>
    </row>
    <row r="15" customFormat="false" ht="15" hidden="false" customHeight="false" outlineLevel="0" collapsed="false">
      <c r="A15" s="57" t="s">
        <v>735</v>
      </c>
      <c r="B15" s="18" t="s">
        <v>736</v>
      </c>
    </row>
    <row r="16" customFormat="false" ht="15" hidden="false" customHeight="false" outlineLevel="0" collapsed="false">
      <c r="A16" s="57" t="s">
        <v>737</v>
      </c>
      <c r="B16" s="18" t="s">
        <v>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s">
        <v>739</v>
      </c>
      <c r="C1" s="0" t="s">
        <v>390</v>
      </c>
    </row>
    <row r="2" customFormat="false" ht="15" hidden="false" customHeight="false" outlineLevel="0" collapsed="false">
      <c r="A2" s="0" t="s">
        <v>17</v>
      </c>
      <c r="B2" s="0" t="s">
        <v>740</v>
      </c>
      <c r="C2" s="0" t="s">
        <v>94</v>
      </c>
    </row>
    <row r="3" customFormat="false" ht="15" hidden="false" customHeight="false" outlineLevel="0" collapsed="false">
      <c r="A3" s="0" t="s">
        <v>18</v>
      </c>
      <c r="B3" s="0" t="s">
        <v>741</v>
      </c>
      <c r="C3" s="0" t="s">
        <v>742</v>
      </c>
    </row>
    <row r="4" customFormat="false" ht="15" hidden="false" customHeight="false" outlineLevel="0" collapsed="false">
      <c r="A4" s="0" t="s">
        <v>19</v>
      </c>
      <c r="B4" s="0" t="s">
        <v>743</v>
      </c>
      <c r="C4" s="0" t="s">
        <v>744</v>
      </c>
    </row>
    <row r="5" customFormat="false" ht="15" hidden="false" customHeight="false" outlineLevel="0" collapsed="false">
      <c r="A5" s="0" t="s">
        <v>20</v>
      </c>
      <c r="B5" s="0" t="s">
        <v>745</v>
      </c>
      <c r="C5" s="0" t="s">
        <v>746</v>
      </c>
    </row>
    <row r="6" customFormat="false" ht="15" hidden="false" customHeight="false" outlineLevel="0" collapsed="false">
      <c r="A6" s="0" t="s">
        <v>21</v>
      </c>
      <c r="C6" s="0" t="s">
        <v>747</v>
      </c>
    </row>
    <row r="7" customFormat="false" ht="15" hidden="false" customHeight="false" outlineLevel="0" collapsed="false">
      <c r="A7" s="0" t="s">
        <v>22</v>
      </c>
    </row>
    <row r="8" customFormat="false" ht="15" hidden="false" customHeight="false" outlineLevel="0" collapsed="false">
      <c r="A8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2026-09-28T19:59:22Z</dcterms:created>
  <dc:creator>openpyxl</dc:creator>
  <dc:description/>
  <dc:language>en-US</dc:language>
  <cp:lastModifiedBy/>
  <dcterms:modified xsi:type="dcterms:W3CDTF">2026-09-28T19:59:24Z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