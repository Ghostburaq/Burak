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Top-Player" sheetId="2" state="visible" r:id="rId4"/>
    <sheet name="90-Tage-Plan" sheetId="3" state="visible" r:id="rId5"/>
    <sheet name="Events 2027" sheetId="4" state="visible" r:id="rId6"/>
    <sheet name="EVU &amp; Energie 2027" sheetId="5" state="visible" r:id="rId7"/>
    <sheet name="Rechenzentren" sheetId="6" state="visible" r:id="rId8"/>
    <sheet name="Produktbedarf" sheetId="7" state="visible" r:id="rId9"/>
    <sheet name="Portfolio" sheetId="8" state="visible" r:id="rId10"/>
    <sheet name="Annahmen" sheetId="9" state="visible" r:id="rId11"/>
    <sheet name="Beobachten" sheetId="10" state="visible" r:id="rId12"/>
    <sheet name="Wettbewerb" sheetId="11" state="visible" r:id="rId13"/>
    <sheet name="Glossar" sheetId="12" state="visible" r:id="rId14"/>
    <sheet name="Methode &amp; Quellen" sheetId="13" state="visible" r:id="rId15"/>
    <sheet name="Listen" sheetId="14" state="hidden"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<sst xmlns="http://schemas.openxmlformats.org/spreadsheetml/2006/main" count="2219" uniqueCount="1292">
  <si>
    <t xml:space="preserve">Top-Player Power Schweiz 2027</t>
  </si>
  <si>
    <t xml:space="preserve">Mobil in Time AG · Strom Schweiz  |  Stand 27.09.2026  |  VERTRAULICH, intern</t>
  </si>
  <si>
    <t xml:space="preserve">So liest du die Liste</t>
  </si>
  <si>
    <t xml:space="preserve">1. Nur Projekte, bei denen Power-Mieten über CHF 50'000 möglich sind. Schwerpunkt Rechenzentren, dazu Tunnel, Netz, Spitäler, Industrie, Events.</t>
  </si>
  <si>
    <t xml:space="preserve">2. Potenzial = was das Projekt an Generator-, Lastbank- und BESS-Miete bringen kann (Szenario, blau, änderbar).</t>
  </si>
  <si>
    <t xml:space="preserve">3. Erwartung 2027 = Potenzial × Anteil, der 2027 anfällt × Wahrscheinlichkeit, dass MiT gewinnt. Das ist die realistische Zahl.</t>
  </si>
  <si>
    <t xml:space="preserve">4. Sätze sind Markt-Richtwerte (US, umgerechnet), keine MiT-Preise. Im Blatt «Annahmen» Spalte E eure Sätze eintragen: alles rechnet neu.</t>
  </si>
  <si>
    <t xml:space="preserve">5. Trafo-Miete, Transport, Service und Treibstoff sind nicht eingerechnet: das Potenzial ist konservativ.</t>
  </si>
  <si>
    <t xml:space="preserve">Top-Player</t>
  </si>
  <si>
    <t xml:space="preserve">Potenzial brutto CHF</t>
  </si>
  <si>
    <t xml:space="preserve">Erwartung 2027 CHF</t>
  </si>
  <si>
    <t xml:space="preserve">davon Rechenzentren</t>
  </si>
  <si>
    <t xml:space="preserve">Prio A</t>
  </si>
  <si>
    <t xml:space="preserve">Nach Segment</t>
  </si>
  <si>
    <t xml:space="preserve">Segment</t>
  </si>
  <si>
    <t xml:space="preserve">Anzahl</t>
  </si>
  <si>
    <t xml:space="preserve">Anteil an Erwartung</t>
  </si>
  <si>
    <t xml:space="preserve">Rechenzentrum</t>
  </si>
  <si>
    <t xml:space="preserve">Infrastruktur</t>
  </si>
  <si>
    <t xml:space="preserve">Netz / Energie</t>
  </si>
  <si>
    <t xml:space="preserve">Spital</t>
  </si>
  <si>
    <t xml:space="preserve">Industrie</t>
  </si>
  <si>
    <t xml:space="preserve">Event</t>
  </si>
  <si>
    <t xml:space="preserve">Kanal-Partner</t>
  </si>
  <si>
    <t xml:space="preserve">Total</t>
  </si>
  <si>
    <t xml:space="preserve">Top 10 nach Erwartung 2027</t>
  </si>
  <si>
    <t xml:space="preserve">Rang</t>
  </si>
  <si>
    <t xml:space="preserve">Projekt / Kunde</t>
  </si>
  <si>
    <t xml:space="preserve">Potenzial CHF</t>
  </si>
  <si>
    <t xml:space="preserve">Prio</t>
  </si>
  <si>
    <t xml:space="preserve">Blätter in dieser Datei</t>
  </si>
  <si>
    <t xml:space="preserve">Die 52 Projekte und Pakete über CHF 50'000 mit Szenario, Kontakt, nächstem Schritt</t>
  </si>
  <si>
    <t xml:space="preserve">Events 2027</t>
  </si>
  <si>
    <t xml:space="preserve">56 Anlässe 2026/27 einzeln, gebündelt in Saisonpakete</t>
  </si>
  <si>
    <t xml:space="preserve">EVU &amp; Energie 2027</t>
  </si>
  <si>
    <t xml:space="preserve">Weitere Netz-, Kraftwerks-, Solar- und Fernwärmeprojekte</t>
  </si>
  <si>
    <t xml:space="preserve">90-Tage-Plan</t>
  </si>
  <si>
    <t xml:space="preserve">Aufgaben Okt. 2026 bis Jan. 2027 mit Status zum Abhaken</t>
  </si>
  <si>
    <t xml:space="preserve">Rechenzentren</t>
  </si>
  <si>
    <t xml:space="preserve">Alle RZ-Projekte 2026-2028 mit MW, Zeitplan, GU, Netzanschluss</t>
  </si>
  <si>
    <t xml:space="preserve">Produktbedarf</t>
  </si>
  <si>
    <t xml:space="preserve">Welches Segment welches Power-Produkt braucht</t>
  </si>
  <si>
    <t xml:space="preserve">Portfolio</t>
  </si>
  <si>
    <t xml:space="preserve">Was wir vermieten, Kennwerte, Cross-Sell</t>
  </si>
  <si>
    <t xml:space="preserve">Annahmen</t>
  </si>
  <si>
    <t xml:space="preserve">Mietsätze, Kurs, Schwellen: hier MiT-Sätze eintragen</t>
  </si>
  <si>
    <t xml:space="preserve">Beobachten</t>
  </si>
  <si>
    <t xml:space="preserve">Unter CHF 50'000 oder noch zu unsicher</t>
  </si>
  <si>
    <t xml:space="preserve">Wettbewerb</t>
  </si>
  <si>
    <t xml:space="preserve">Anbieter mobiler Power in der Schweiz</t>
  </si>
  <si>
    <t xml:space="preserve">Glossar</t>
  </si>
  <si>
    <t xml:space="preserve">Alle Abkürzungen</t>
  </si>
  <si>
    <t xml:space="preserve">Stand 90-Tage-Plan</t>
  </si>
  <si>
    <t xml:space="preserve">Wie gerechnet wurde und woher die Fakten stammen</t>
  </si>
  <si>
    <t xml:space="preserve">offen</t>
  </si>
  <si>
    <t xml:space="preserve">in Arbeit</t>
  </si>
  <si>
    <t xml:space="preserve">erledigt</t>
  </si>
  <si>
    <t xml:space="preserve">verschoben</t>
  </si>
  <si>
    <t xml:space="preserve">Stand 27.09.2026  |  52 Projekte mit Potenzial über CHF 50'000  |  sortiert nach Erwartung 2027  |  VERTRAULICH</t>
  </si>
  <si>
    <t xml:space="preserve">Blaue Zahlen = Szenario-Annahmen, änderbar. Potenzial = Generator (MVA × Wochen × Satz) + Lastbank (MW × Wochen × Satz) + BESS (MW × Monate × Satz). Sätze im Blatt «Annahmen».</t>
  </si>
  <si>
    <t xml:space="preserve">Einstieg über</t>
  </si>
  <si>
    <t xml:space="preserve">Ort</t>
  </si>
  <si>
    <t xml:space="preserve">Kt.</t>
  </si>
  <si>
    <t xml:space="preserve">Region</t>
  </si>
  <si>
    <t xml:space="preserve">Sprache</t>
  </si>
  <si>
    <t xml:space="preserve">Anlass und Zeitfenster</t>
  </si>
  <si>
    <t xml:space="preserve">Power-Bedarf</t>
  </si>
  <si>
    <t xml:space="preserve">Generator MVA</t>
  </si>
  <si>
    <t xml:space="preserve">Generator Wochen</t>
  </si>
  <si>
    <t xml:space="preserve">Lastbank MW</t>
  </si>
  <si>
    <t xml:space="preserve">Lastbank Wochen</t>
  </si>
  <si>
    <t xml:space="preserve">BESS MW</t>
  </si>
  <si>
    <t xml:space="preserve">BESS Monate</t>
  </si>
  <si>
    <t xml:space="preserve">Potenzial Power CHF</t>
  </si>
  <si>
    <t xml:space="preserve">Anteil 2027</t>
  </si>
  <si>
    <t xml:space="preserve">Wahrschein-lichkeit</t>
  </si>
  <si>
    <t xml:space="preserve">Cross-Sell Wärme / Kälte</t>
  </si>
  <si>
    <t xml:space="preserve">Nächster Schritt</t>
  </si>
  <si>
    <t xml:space="preserve">Verantwortlich</t>
  </si>
  <si>
    <t xml:space="preserve">Status MiT (CRM)</t>
  </si>
  <si>
    <t xml:space="preserve">Zielrolle</t>
  </si>
  <si>
    <t xml:space="preserve">Ansprechperson (Name)</t>
  </si>
  <si>
    <t xml:space="preserve">Kontakt (Tel. / E-Mail)</t>
  </si>
  <si>
    <t xml:space="preserve">Letzter Kontakt</t>
  </si>
  <si>
    <t xml:space="preserve">Nächster Termin</t>
  </si>
  <si>
    <t xml:space="preserve">Quelle</t>
  </si>
  <si>
    <t xml:space="preserve">Hinweis / Annahme</t>
  </si>
  <si>
    <t xml:space="preserve">2. Gotthardröhre</t>
  </si>
  <si>
    <t xml:space="preserve">ASTRA; Marti-Gruppe (Hauptlos Süd)</t>
  </si>
  <si>
    <t xml:space="preserve">Göschenen / Airolo</t>
  </si>
  <si>
    <t xml:space="preserve">UR/TI</t>
  </si>
  <si>
    <t xml:space="preserve">Tessin</t>
  </si>
  <si>
    <t xml:space="preserve">DE/IT</t>
  </si>
  <si>
    <t xml:space="preserve">CHF 2,14 Mrd., Vortrieb bis ca. 2029/30</t>
  </si>
  <si>
    <t xml:space="preserve">Backup-Generatoren für Vortrieb und Lüftung, Lastspitzen</t>
  </si>
  <si>
    <t xml:space="preserve">Bauheizung Portalinstallationen</t>
  </si>
  <si>
    <t xml:space="preserve">Marti Baustellenleitung Airolo: Backup-Konzept und Wartungsfenster</t>
  </si>
  <si>
    <t xml:space="preserve">Offen: CRM prüfen</t>
  </si>
  <si>
    <t xml:space="preserve">Bauleitung ARGE, Baustelleneinrichtung, Einkauf</t>
  </si>
  <si>
    <t xml:space="preserve">Link</t>
  </si>
  <si>
    <t xml:space="preserve">Sisikoner Tunnel (Neue Axenstrasse)</t>
  </si>
  <si>
    <t xml:space="preserve">ARGE Implenia/Frutiger; Bauherr ASTRA</t>
  </si>
  <si>
    <t xml:space="preserve">Sisikon</t>
  </si>
  <si>
    <t xml:space="preserve">UR</t>
  </si>
  <si>
    <t xml:space="preserve">Zentralschweiz</t>
  </si>
  <si>
    <t xml:space="preserve">DE</t>
  </si>
  <si>
    <t xml:space="preserve">über CHF 430 Mio., Bau Okt. 2025 bis 2034</t>
  </si>
  <si>
    <t xml:space="preserve">Baustrom und Netzersatz für Lüftung</t>
  </si>
  <si>
    <t xml:space="preserve">Bauheizung, Entfeuchtung im Tunnel</t>
  </si>
  <si>
    <t xml:space="preserve">ARGE-Bauleitung: Rahmen für Baustrom-Backup</t>
  </si>
  <si>
    <t xml:space="preserve">Kantonsspital Aarau «Dreiklang»</t>
  </si>
  <si>
    <t xml:space="preserve">KSA; TU Implenia</t>
  </si>
  <si>
    <t xml:space="preserve">Aarau</t>
  </si>
  <si>
    <t xml:space="preserve">AG</t>
  </si>
  <si>
    <t xml:space="preserve">Nordwestschweiz</t>
  </si>
  <si>
    <t xml:space="preserve">ca. CHF 750 Mio., Übergabe 15.09.2026, Umzug Jan. 2027, danach Rückbau</t>
  </si>
  <si>
    <t xml:space="preserve">NEA-Lasttest mit Lastbank, Netzersatz beim Umzug, Baustrom Rückbau</t>
  </si>
  <si>
    <t xml:space="preserve">Klima/Kühlung während Umzug</t>
  </si>
  <si>
    <t xml:space="preserve">KSA Technik und Implenia: NEA-Test und Rückbau-Baustrom jetzt anbieten</t>
  </si>
  <si>
    <t xml:space="preserve">Leiter Technik und Betrieb, TU-Projektleitung</t>
  </si>
  <si>
    <t xml:space="preserve">STACK ZUR02 Beringen</t>
  </si>
  <si>
    <t xml:space="preserve">STACK Infrastructure; PM MBA Projektmanagement</t>
  </si>
  <si>
    <t xml:space="preserve">Beringen</t>
  </si>
  <si>
    <t xml:space="preserve">SH</t>
  </si>
  <si>
    <t xml:space="preserve">Ostschweiz</t>
  </si>
  <si>
    <t xml:space="preserve">EN/DE</t>
  </si>
  <si>
    <t xml:space="preserve">36 MW IT, Betriebsstart Herbst 2026, neues Unterwerk vom Betreiber finanziert</t>
  </si>
  <si>
    <t xml:space="preserve">Lastbank für IST je Data Hall, Generator-Überbrückung falls Unterwerk verzögert, Tankcontainer</t>
  </si>
  <si>
    <t xml:space="preserve">Temporäre Kühlung beim IST, falls Kälte nicht fertig</t>
  </si>
  <si>
    <t xml:space="preserve">Commissioning-Manager STACK und MBA sofort anfragen: IST-Plan der nächsten Phasen</t>
  </si>
  <si>
    <t xml:space="preserve">Commissioning-Manager, Construction Manager, Critical Facility Ops</t>
  </si>
  <si>
    <t xml:space="preserve">Hot Lead. Phase 1 läuft evtl. schon, Ziel sind Folgephasen 2027.</t>
  </si>
  <si>
    <t xml:space="preserve">Bachem Werk Sisslerfeld</t>
  </si>
  <si>
    <t xml:space="preserve">Bachem</t>
  </si>
  <si>
    <t xml:space="preserve">Eiken</t>
  </si>
  <si>
    <t xml:space="preserve">über CHF 500 Mio., Greenfield, Bau bis ca. 2030</t>
  </si>
  <si>
    <t xml:space="preserve">Baustrom bis Netzanschluss, später Qualifizierung</t>
  </si>
  <si>
    <t xml:space="preserve">Bauheizung, Bautrocknung</t>
  </si>
  <si>
    <t xml:space="preserve">Bachem Engineering und GU: Baustromkonzept</t>
  </si>
  <si>
    <t xml:space="preserve">Engineering / Utilities, Technischer Einkauf</t>
  </si>
  <si>
    <t xml:space="preserve">Pumpspeicherwerk Grimsel 4</t>
  </si>
  <si>
    <t xml:space="preserve">KWO (BKW-Beteiligung)</t>
  </si>
  <si>
    <t xml:space="preserve">Grimsel</t>
  </si>
  <si>
    <t xml:space="preserve">BE</t>
  </si>
  <si>
    <t xml:space="preserve">Mittelland/Bern</t>
  </si>
  <si>
    <t xml:space="preserve">CHF 300 Mio., 2 × 84 MW, Bau Juni 2026 bis 2032</t>
  </si>
  <si>
    <t xml:space="preserve">Baustrom und Backup für hochalpine Untertagebaustelle</t>
  </si>
  <si>
    <t xml:space="preserve">Bauheizung, Entfeuchtung</t>
  </si>
  <si>
    <t xml:space="preserve">KWO Projektleitung: Backup-Konzept Kaverne</t>
  </si>
  <si>
    <t xml:space="preserve">BKW-Nähe: Konkurrenzlage prüfen.</t>
  </si>
  <si>
    <t xml:space="preserve">Paket Alpine Solar-Baustellen 2027</t>
  </si>
  <si>
    <t xml:space="preserve">mehrere, siehe Detailblatt</t>
  </si>
  <si>
    <t xml:space="preserve">diverse</t>
  </si>
  <si>
    <t xml:space="preserve">div.</t>
  </si>
  <si>
    <t xml:space="preserve">DE/FR/IT</t>
  </si>
  <si>
    <t xml:space="preserve">6 Anlässe/Baustellen: Madrisa Solar, Sedrun Solar, NalpSolar, Solarkraftwerk Samedan, Grengiols Solar (mit UW Heiligkreuz), Belalp Solar</t>
  </si>
  <si>
    <t xml:space="preserve">Baustrom auf 2'000 bis 2'700 m ohne Netz, ganze Bausaison</t>
  </si>
  <si>
    <t xml:space="preserve">Bauheizung, Trocknung</t>
  </si>
  <si>
    <t xml:space="preserve">Bauherren und GU der Solar-Express-Anlagen ab Q1 2027 ansprechen</t>
  </si>
  <si>
    <t xml:space="preserve">Leiter Netzbau / Unterwerke, Projektleiter UW</t>
  </si>
  <si>
    <t xml:space="preserve">Paket-Szenario = Summe der Solar-Baustellen im Blatt «EVU &amp; Energie 2027».</t>
  </si>
  <si>
    <t xml:space="preserve">Vantage ZRH3 Volketswil</t>
  </si>
  <si>
    <t xml:space="preserve">Vantage Data Centers</t>
  </si>
  <si>
    <t xml:space="preserve">Volketswil</t>
  </si>
  <si>
    <t xml:space="preserve">ZH</t>
  </si>
  <si>
    <t xml:space="preserve">Zürich</t>
  </si>
  <si>
    <t xml:space="preserve">EN</t>
  </si>
  <si>
    <t xml:space="preserve">100 bis 150 MW Campus, Phase 1 live 2028, neue Unterwerke nötig, Engpass im Vornetz</t>
  </si>
  <si>
    <t xml:space="preserve">Generator/BESS-Überbrückung bis Netzanschluss, später Lastbank-IST</t>
  </si>
  <si>
    <t xml:space="preserve">Temporäre Kühlung, Abwärme-Thema mit Energie 360°</t>
  </si>
  <si>
    <t xml:space="preserve">Beziehung jetzt aufbauen, Beschaffung oft EMEA-zentral</t>
  </si>
  <si>
    <t xml:space="preserve">Grösstes Einzelpotenzial, tiefe Wahrscheinlichkeit. Quellen: EKZ blue (2025), DCD, Energie 360°; genauen Artikel-Link ergänzen.</t>
  </si>
  <si>
    <t xml:space="preserve">ETAVIS / VINCI Energies (Rahmen)</t>
  </si>
  <si>
    <t xml:space="preserve">VINCI Energies: ETAVIS, Actemium, Gfeller</t>
  </si>
  <si>
    <t xml:space="preserve">&gt;2'400 MA ETAVIS; Infrastruktur, RZ, Industrie</t>
  </si>
  <si>
    <t xml:space="preserve">Baustrom, Lastbank bei Inbetriebnahmen</t>
  </si>
  <si>
    <t xml:space="preserve">Bauheizung</t>
  </si>
  <si>
    <t xml:space="preserve">VINCI Einkauf CH: Rahmen für Power</t>
  </si>
  <si>
    <t xml:space="preserve">Einkauf Gruppe, Bereichsleiter Grossprojekte</t>
  </si>
  <si>
    <t xml:space="preserve">Rahmenvolumen ist Annahme.</t>
  </si>
  <si>
    <t xml:space="preserve">Burkhalter Gruppe (Rahmen)</t>
  </si>
  <si>
    <t xml:space="preserve">Burkhalter Holding, 83 Gesellschaften</t>
  </si>
  <si>
    <t xml:space="preserve">5'356 FTE, 169 Standorte (31.12.2025)</t>
  </si>
  <si>
    <t xml:space="preserve">Baustrom und NEA-Tests über viele Töchter</t>
  </si>
  <si>
    <t xml:space="preserve">Bauheizung, Trocknung über dieselben Baustellen</t>
  </si>
  <si>
    <t xml:space="preserve">Zentraler Einkauf: Rahmenvertrag, dann Töchter regional</t>
  </si>
  <si>
    <t xml:space="preserve">Rahmenvolumen (MVA-Wochen) ist Annahme.</t>
  </si>
  <si>
    <t xml:space="preserve">Green Metro-Campus Dielsdorf (nächstes RZ)</t>
  </si>
  <si>
    <t xml:space="preserve">Green; PM MBA Projektmanagement</t>
  </si>
  <si>
    <t xml:space="preserve">Dielsdorf</t>
  </si>
  <si>
    <t xml:space="preserve">Baustart weiteres RZ 2026, Campus-Anschluss 50 MW über neues EKZ-UW</t>
  </si>
  <si>
    <t xml:space="preserve">Baustrom-Generator, später Lastbank für IST (2028)</t>
  </si>
  <si>
    <t xml:space="preserve">Bauheizung und Bautrocknung im Winter</t>
  </si>
  <si>
    <t xml:space="preserve">Mit dem Lupfig-Kontakt bei Green gleich mitverhandeln</t>
  </si>
  <si>
    <t xml:space="preserve">NorthC Arlesheim (uptownBasel)</t>
  </si>
  <si>
    <t xml:space="preserve">NorthC Datacenters</t>
  </si>
  <si>
    <t xml:space="preserve">Arlesheim</t>
  </si>
  <si>
    <t xml:space="preserve">BL</t>
  </si>
  <si>
    <t xml:space="preserve">DE/EN</t>
  </si>
  <si>
    <t xml:space="preserve">4,5 MW IT (Ausbau 7,5), Betrieb ab Mitte 2027, NEA mit HVO</t>
  </si>
  <si>
    <t xml:space="preserve">Lastbank für IST, Generator für Tests</t>
  </si>
  <si>
    <t xml:space="preserve">HVO-Generatoren passen zum Nachhaltigkeitskonzept</t>
  </si>
  <si>
    <t xml:space="preserve">NorthC Projektleitung CH: IST-Termin 2027 und Lastbank-Bedarf klären</t>
  </si>
  <si>
    <t xml:space="preserve">Equans Switzerland (Rahmen)</t>
  </si>
  <si>
    <t xml:space="preserve">Bouygues / Equans</t>
  </si>
  <si>
    <t xml:space="preserve">DE/FR</t>
  </si>
  <si>
    <t xml:space="preserve">&gt;1'600 MA, Energie, Verkehr, Industrie, FM</t>
  </si>
  <si>
    <t xml:space="preserve">Netzersatz, NEA-Tests, Baustrom</t>
  </si>
  <si>
    <t xml:space="preserve">Heizung/Kühlung im FM-Geschäft</t>
  </si>
  <si>
    <t xml:space="preserve">Equans Einkauf und FM-Leitung gemeinsam</t>
  </si>
  <si>
    <t xml:space="preserve">Digital Realty ZUR4 Glattbrugg</t>
  </si>
  <si>
    <t xml:space="preserve">Digital Realty (GU noch unbekannt)</t>
  </si>
  <si>
    <t xml:space="preserve">Opfikon-Glattbrugg</t>
  </si>
  <si>
    <t xml:space="preserve">15 MW IT, Spatenstich 27.08.2026, Fertigstellung 2028, High-Density/KI</t>
  </si>
  <si>
    <t xml:space="preserve">Baustrom 2027, Lastbank für IST 2028 (≈ IT-Last)</t>
  </si>
  <si>
    <t xml:space="preserve">Bauheizung Winter 2026/27, Kühlung beim IST</t>
  </si>
  <si>
    <t xml:space="preserve">GU/Elektro über Baugesuch und simap ermitteln, dann Baustrom offerieren</t>
  </si>
  <si>
    <t xml:space="preserve">Deck auf Englisch klären.</t>
  </si>
  <si>
    <t xml:space="preserve">Bahnhof Zürich Stadelhofen (4. Gleis)</t>
  </si>
  <si>
    <t xml:space="preserve">SBB</t>
  </si>
  <si>
    <t xml:space="preserve">CHF 1,1 Mrd., Baustart 2027, ca. 10 Jahre</t>
  </si>
  <si>
    <t xml:space="preserve">Leise BESS für Nachtarbeit, Netzersatz</t>
  </si>
  <si>
    <t xml:space="preserve">Bautrocknung</t>
  </si>
  <si>
    <t xml:space="preserve">BESS-Hybrid als leise Lösung für Innenstadt positionieren</t>
  </si>
  <si>
    <t xml:space="preserve">Öffentliche Beschaffung.</t>
  </si>
  <si>
    <t xml:space="preserve">CKW: UW Sursee und Trafostations-Erneuerung</t>
  </si>
  <si>
    <t xml:space="preserve">CKW</t>
  </si>
  <si>
    <t xml:space="preserve">Sursee / Zentralschweiz</t>
  </si>
  <si>
    <t xml:space="preserve">LU</t>
  </si>
  <si>
    <t xml:space="preserve">UW Sursee IBN Frühling 2027 (CHF 11 Mio.), ca. 2'500 Trafostationen im Netz</t>
  </si>
  <si>
    <t xml:space="preserve">Netzersatz bei Umschaltungen, Generatoren für Trafostations-Tausch</t>
  </si>
  <si>
    <t xml:space="preserve">CKW Netzbau: Rahmen für Netzersatz beim Stationstausch</t>
  </si>
  <si>
    <t xml:space="preserve">Szenario: UW Sursee 2 MVA × 4 Wo plus Stationstausch 0,5 MVA × 20 Wo = ca. 18 MVA-Wochen.</t>
  </si>
  <si>
    <t xml:space="preserve">USZ Campus MITTE1|2</t>
  </si>
  <si>
    <t xml:space="preserve">USZ; b+p baurealisation</t>
  </si>
  <si>
    <t xml:space="preserve">CHF 950 Mio., Bau laufend, Betrieb 2031</t>
  </si>
  <si>
    <t xml:space="preserve">Netzersatz und BESS bei Umschaltungen im Vollbetrieb</t>
  </si>
  <si>
    <t xml:space="preserve">Klima/Kühlung Provisorien</t>
  </si>
  <si>
    <t xml:space="preserve">USZ Technik: Umschaltkonzept 2027</t>
  </si>
  <si>
    <t xml:space="preserve">Axpo UW Niederurnen (Gesamterneuerung)</t>
  </si>
  <si>
    <t xml:space="preserve">Axpo Grid</t>
  </si>
  <si>
    <t xml:space="preserve">Niederurnen</t>
  </si>
  <si>
    <t xml:space="preserve">GL</t>
  </si>
  <si>
    <t xml:space="preserve">110/16 kV, ab Frühling 2026 ca. 3 Jahre, etappenweise</t>
  </si>
  <si>
    <t xml:space="preserve">Netzersatz und Eigenbedarf bei Umschaltungen, mobiler Trafo (Wert fehlt)</t>
  </si>
  <si>
    <t xml:space="preserve">Axpo Grid Projektleitung: Etappenplan 2027</t>
  </si>
  <si>
    <t xml:space="preserve">Trafo-Miete nicht eingerechnet.</t>
  </si>
  <si>
    <t xml:space="preserve">Poste Galmiz (Neubau, Verkabelung 125 kV)</t>
  </si>
  <si>
    <t xml:space="preserve">Groupe E / Swissgrid</t>
  </si>
  <si>
    <t xml:space="preserve">Galmiz FR</t>
  </si>
  <si>
    <t xml:space="preserve">West (Romandie)</t>
  </si>
  <si>
    <t xml:space="preserve">Bau ab H2 2025, IBN Ende 2028. CHF 53 Mio., 220/125 kV</t>
  </si>
  <si>
    <t xml:space="preserve">Netzersatz und mobiler Trafo bei Umschaltungen, Baustrom</t>
  </si>
  <si>
    <t xml:space="preserve">Projektleitung kontaktieren, Umschalt- bzw. Bauplan 2027 klären</t>
  </si>
  <si>
    <t xml:space="preserve">Genève Aéroport Cap2030 / Plateforme multimodale</t>
  </si>
  <si>
    <t xml:space="preserve">Genève Aéroport; Losinger Marazzi (LMB)</t>
  </si>
  <si>
    <t xml:space="preserve">Genf</t>
  </si>
  <si>
    <t xml:space="preserve">GE</t>
  </si>
  <si>
    <t xml:space="preserve">FR</t>
  </si>
  <si>
    <t xml:space="preserve">ca. CHF 560 bis 640 Mio., Multimodal 2026-2029, Terminal ab 2027</t>
  </si>
  <si>
    <t xml:space="preserve">Baustrom und USV/BESS im laufenden Terminalbetrieb</t>
  </si>
  <si>
    <t xml:space="preserve">Bauheizung, Klima Provisorien</t>
  </si>
  <si>
    <t xml:space="preserve">Losinger Marazzi Bauleitung GVA, Französisch</t>
  </si>
  <si>
    <t xml:space="preserve">Brüttener Tunnel (MehrSpur Zürich-Winterthur)</t>
  </si>
  <si>
    <t xml:space="preserve">Bassersdorf / Dietlikon</t>
  </si>
  <si>
    <t xml:space="preserve">Hauptarbeiten ab 2027, TBM ab 2029</t>
  </si>
  <si>
    <t xml:space="preserve">Installationsplätze vor Netzanschluss: Baustrom</t>
  </si>
  <si>
    <t xml:space="preserve">SBB Infrastruktur Projekte: Baustrom-Ausschreibung verfolgen (simap)</t>
  </si>
  <si>
    <t xml:space="preserve">Roche Basel Bau 51 und laufende Bauten</t>
  </si>
  <si>
    <t xml:space="preserve">Roche</t>
  </si>
  <si>
    <t xml:space="preserve">Basel / Kaiseraugst</t>
  </si>
  <si>
    <t xml:space="preserve">BS</t>
  </si>
  <si>
    <t xml:space="preserve">Bau 51 CHF 790 Mio. (Grundstein 21.09.2026), ca. CHF 1,4 Mrd. laufende Bauten</t>
  </si>
  <si>
    <t xml:space="preserve">Baustrom, später Lastbank/USV bei Qualifizierung</t>
  </si>
  <si>
    <t xml:space="preserve">Klima/Reinraum-Provisorien</t>
  </si>
  <si>
    <t xml:space="preserve">Zugang über Installateur/FM vor Ort (ETAVIS K+S, Selmoni, CBRE)</t>
  </si>
  <si>
    <t xml:space="preserve">Paket Sommer-Festivals 2027</t>
  </si>
  <si>
    <t xml:space="preserve">national</t>
  </si>
  <si>
    <t xml:space="preserve">15 Anlässe/Baustellen: Greenfield Festival, Open Air Gampel, Heitere Open Air, Seaside Festival, SummerDays Festival, Lakelive Festival, Luzern Live, Openair Lumnezia, Zermatt Unplugged, Caribana Festival, Festi'neuch, Sion sous les étoiles, JazzAscona, Estival Jazz Lugano, Polymanga</t>
  </si>
  <si>
    <t xml:space="preserve">Generatoren und BESS-Hybrid für Bühnen, Camping, Gastro</t>
  </si>
  <si>
    <t xml:space="preserve">Kühlung Gastro</t>
  </si>
  <si>
    <t xml:space="preserve">Veranstalter im Winter ansprechen, Offerten bis März; Romandie/Tessin auf FR/IT</t>
  </si>
  <si>
    <t xml:space="preserve">Produktionsleitung, Technische Leitung OK</t>
  </si>
  <si>
    <t xml:space="preserve">Paket-Szenario = Summe der Einzel-Events im Blatt «Events 2027».</t>
  </si>
  <si>
    <t xml:space="preserve">NorthC Genf «The Hive»</t>
  </si>
  <si>
    <t xml:space="preserve">Kanton Genf</t>
  </si>
  <si>
    <t xml:space="preserve">FR/EN</t>
  </si>
  <si>
    <t xml:space="preserve">4,5 MW IT (3 × 1,5 MW), Baustart Q1 2026, fertig Q2 2028</t>
  </si>
  <si>
    <t xml:space="preserve">Baustrom, Lastbank je 1,5-MW-Stufe</t>
  </si>
  <si>
    <t xml:space="preserve">Bauheizung, später Kühlung beim IST</t>
  </si>
  <si>
    <t xml:space="preserve">Zusammen mit Arlesheim als Paket anbieten</t>
  </si>
  <si>
    <t xml:space="preserve">UW Laax (Gesamterneuerung)</t>
  </si>
  <si>
    <t xml:space="preserve">Repower</t>
  </si>
  <si>
    <t xml:space="preserve">Laax GR</t>
  </si>
  <si>
    <t xml:space="preserve">07/2025 bis Ende 2027. CHF 8,4 Mio.</t>
  </si>
  <si>
    <t xml:space="preserve">Skigebiet hängt am UW: Netzersatz im Winter kritisch</t>
  </si>
  <si>
    <t xml:space="preserve">FlexBase Technologiezentrum Laufenburg</t>
  </si>
  <si>
    <t xml:space="preserve">FlexBase; Bau ERNE Gruppe</t>
  </si>
  <si>
    <t xml:space="preserve">Laufenburg</t>
  </si>
  <si>
    <t xml:space="preserve">KI-RZ plus Redox-Flow-Speicher &gt;800 MW, Vollbetrieb Sommer 2028 (Zeitplan umstritten)</t>
  </si>
  <si>
    <t xml:space="preserve">Baustrom über Jahre, später Commissioning</t>
  </si>
  <si>
    <t xml:space="preserve">Über ERNE einsteigen, Finanzierung beobachten</t>
  </si>
  <si>
    <t xml:space="preserve">Bewilligt ist nur die Gebäudehülle.</t>
  </si>
  <si>
    <t xml:space="preserve">BKW Building Solutions (Rahmen)</t>
  </si>
  <si>
    <t xml:space="preserve">BKW: AEK, ISP, swisspro, Arnold, inelectro</t>
  </si>
  <si>
    <t xml:space="preserve">Ostermundigen</t>
  </si>
  <si>
    <t xml:space="preserve">ca. 4'000 MA in ca. 50 Firmen</t>
  </si>
  <si>
    <t xml:space="preserve">Baustrom, Netzersatz (Arnold: Kabelnetzbau)</t>
  </si>
  <si>
    <t xml:space="preserve">BKW BS Einkauf; BKW ist auch Energie-Anbieter</t>
  </si>
  <si>
    <t xml:space="preserve">CKW Gebäudetechnik und EKZ Eltop (Rahmen)</t>
  </si>
  <si>
    <t xml:space="preserve">Axpo-Gruppe (CKW) / EKZ</t>
  </si>
  <si>
    <t xml:space="preserve">Luzern / Zürich</t>
  </si>
  <si>
    <t xml:space="preserve">LU/ZH</t>
  </si>
  <si>
    <t xml:space="preserve">ca. 1'400 MA CKW GT, ca. 550 MA EKZ Eltop</t>
  </si>
  <si>
    <t xml:space="preserve">Baustrom, BESS</t>
  </si>
  <si>
    <t xml:space="preserve">Getrennt ansprechen, gemeinsam auswerten</t>
  </si>
  <si>
    <t xml:space="preserve">FIS Ski-WM Crans-Montana 2027</t>
  </si>
  <si>
    <t xml:space="preserve">Swiss-Ski / OK Crans-Montana 2027</t>
  </si>
  <si>
    <t xml:space="preserve">Crans-Montana</t>
  </si>
  <si>
    <t xml:space="preserve">VS</t>
  </si>
  <si>
    <t xml:space="preserve">01.-14.02.2027, zwei Wochen Broadcast, Fan-Zonen, Hospitality</t>
  </si>
  <si>
    <t xml:space="preserve">Redundante Generatoren (n+1), BESS für Hospitality</t>
  </si>
  <si>
    <t xml:space="preserve">Zeltheizung, Heizzentralen</t>
  </si>
  <si>
    <t xml:space="preserve">OK Crans-Montana 2027 sofort kontaktieren, Französisch</t>
  </si>
  <si>
    <t xml:space="preserve">Szenario-Grösse ist Annahme.</t>
  </si>
  <si>
    <t xml:space="preserve">CoolCity: Energiezentrale UW Selnau, Microtunnel</t>
  </si>
  <si>
    <t xml:space="preserve">ewz</t>
  </si>
  <si>
    <t xml:space="preserve">Zürich ZH</t>
  </si>
  <si>
    <t xml:space="preserve">Microtunnel ab 2027, Hauptphase 2027-2032. ca. CHF 300 Mio.</t>
  </si>
  <si>
    <t xml:space="preserve">Baustrom für Tunnelbohrmaschine, Umbau im Bestand</t>
  </si>
  <si>
    <t xml:space="preserve">Green Zürich West 4 Lupfig</t>
  </si>
  <si>
    <t xml:space="preserve">Green; GU Implenia</t>
  </si>
  <si>
    <t xml:space="preserve">Lupfig</t>
  </si>
  <si>
    <t xml:space="preserve">12 MW IT, Inbetriebnahme 2026 geplant (eine Quelle nennt 2027)</t>
  </si>
  <si>
    <t xml:space="preserve">Lastbank für IST, Generator für Tests und Überbrückung</t>
  </si>
  <si>
    <t xml:space="preserve">Temporäre Kühlung beim IST</t>
  </si>
  <si>
    <t xml:space="preserve">Green Facility/Commissioning und Implenia-Projektleitung kontaktieren</t>
  </si>
  <si>
    <t xml:space="preserve">Commissioning läuft vermutlich jetzt. Tempo zählt.</t>
  </si>
  <si>
    <t xml:space="preserve">Lonza Stein Fill &amp; Finish (plus Visp)</t>
  </si>
  <si>
    <t xml:space="preserve">Lonza</t>
  </si>
  <si>
    <t xml:space="preserve">Stein / Visp</t>
  </si>
  <si>
    <t xml:space="preserve">AG/VS</t>
  </si>
  <si>
    <t xml:space="preserve">CHF 500 Mio. Anlage Stein operativ ab H1 2027, Ibex Visp im Ramp-up</t>
  </si>
  <si>
    <t xml:space="preserve">NEA-Lasttests, temporäre USV, Netzersatz bei Validierung</t>
  </si>
  <si>
    <t xml:space="preserve">Kühlung bei Validierung</t>
  </si>
  <si>
    <t xml:space="preserve">Lonza Engineering Stein: Inbetriebnahme H1 2027</t>
  </si>
  <si>
    <t xml:space="preserve">KKW-Revisionen 2027 (Beznau, Leibstadt, Gösgen)</t>
  </si>
  <si>
    <t xml:space="preserve">Axpo / KKL / KKG</t>
  </si>
  <si>
    <t xml:space="preserve">Döttingen, Leibstadt AG; Däniken SO</t>
  </si>
  <si>
    <t xml:space="preserve">Beznau März-Mai und ab Aug., Leibstadt Apr.-Mai, Gösgen Ende Mai-Juni (Muster, Termine 2027 offen). 2 × 365 MW, 1'200 MW, 1'010 MW</t>
  </si>
  <si>
    <t xml:space="preserve">Baustrom für Revisionsdörfer, Ersatz für Hilfssysteme (strenge Auflagen)</t>
  </si>
  <si>
    <t xml:space="preserve">WEF Annual Meeting 2027</t>
  </si>
  <si>
    <t xml:space="preserve">World Economic Forum</t>
  </si>
  <si>
    <t xml:space="preserve">Davos</t>
  </si>
  <si>
    <t xml:space="preserve">GR</t>
  </si>
  <si>
    <t xml:space="preserve">18.-22.01.2027, Pavillons und Sicherheit bei knappem Ortsnetz</t>
  </si>
  <si>
    <t xml:space="preserve">Generatoren redundant, BESS-Hybrid für leise Zonen</t>
  </si>
  <si>
    <t xml:space="preserve">Zeltheizung, Heizzentralen (MiT-Kern)</t>
  </si>
  <si>
    <t xml:space="preserve">Offerte für 2027 jetzt, Aufbau startet im Dezember</t>
  </si>
  <si>
    <t xml:space="preserve">Reservekraftwerk Sisslerfeld 1 und Stein (HVO)</t>
  </si>
  <si>
    <t xml:space="preserve">GETEC</t>
  </si>
  <si>
    <t xml:space="preserve">Eiken / Stein AG</t>
  </si>
  <si>
    <t xml:space="preserve">IBN Eiken Anfang 2027, Stein 2028. 13 MW + 44 MW</t>
  </si>
  <si>
    <t xml:space="preserve">Lastbank für Abnahme- und Leistungstests, Baustrom</t>
  </si>
  <si>
    <t xml:space="preserve">UW Mörel (380-kV-GIS, neuer Trafo)</t>
  </si>
  <si>
    <t xml:space="preserve">Swissgrid</t>
  </si>
  <si>
    <t xml:space="preserve">Mörel VS</t>
  </si>
  <si>
    <t xml:space="preserve">Umbau ab 2027. 380/220 kV</t>
  </si>
  <si>
    <t xml:space="preserve">Baustrom im Bergtal, Eigenbedarf, Lastbank für Trafo/GIS-Tests</t>
  </si>
  <si>
    <t xml:space="preserve">Stadtautobahn St.Gallen (BSA-Umstellung)</t>
  </si>
  <si>
    <t xml:space="preserve">ASTRA</t>
  </si>
  <si>
    <t xml:space="preserve">St. Gallen</t>
  </si>
  <si>
    <t xml:space="preserve">SG</t>
  </si>
  <si>
    <t xml:space="preserve">ca. CHF 524 Mio., Schlussarbeiten 2027 bis Sommer 2028</t>
  </si>
  <si>
    <t xml:space="preserve">Netzersatz für Lüftung und Beleuchtung bei Umstellung</t>
  </si>
  <si>
    <t xml:space="preserve">ASTRA Filiale Winterthur / BSA-Unternehmer: Umschaltplan</t>
  </si>
  <si>
    <t xml:space="preserve">Romande Energie: UW-Modernisierung HS/MS</t>
  </si>
  <si>
    <t xml:space="preserve">Romande Energie</t>
  </si>
  <si>
    <t xml:space="preserve">Kanton Waadt</t>
  </si>
  <si>
    <t xml:space="preserve">VD</t>
  </si>
  <si>
    <t xml:space="preserve">Mehrere Unterwerk-Umbauten 2024-2027</t>
  </si>
  <si>
    <t xml:space="preserve">Netzersatz, mobiler Trafo (Wert fehlt)</t>
  </si>
  <si>
    <t xml:space="preserve">Romande Energie Netzbau, Französisch</t>
  </si>
  <si>
    <t xml:space="preserve">Paket Sport-Grossanlässe 2027</t>
  </si>
  <si>
    <t xml:space="preserve">13 Anlässe/Baustellen: Ruder-WM Luzern, Beachvolleyball-EM, CSIO St.Gallen, Swiss Open Gstaad, IRONMAN Switzerland, Tour de Suisse, Tour de Romandie, Weltklasse Zürich, Athletissima, OL-EM 2027, Eiskunstlauf-EM, CHI Genève, Grand-Prix von Bern / Frauenlauf</t>
  </si>
  <si>
    <t xml:space="preserve">TV-Compounds mit Redundanz, Tribünen, Hospitality</t>
  </si>
  <si>
    <t xml:space="preserve">Klima Hospitality</t>
  </si>
  <si>
    <t xml:space="preserve">Ruder-WM Luzern zuerst (TV-Redundanz), dann Gstaad, CSIO</t>
  </si>
  <si>
    <t xml:space="preserve">Paket Märkte, Messen, Fasnacht, Zirkus</t>
  </si>
  <si>
    <t xml:space="preserve">13 Anlässe/Baustellen: Circus Knie Tournee, BEA, LUGA, OLMA, Tier&amp;Technik, AGRAMA, Montreux Noël, Bellevue Noël (neu), Basler Weihnachtsmarkt, Murten Licht-Festival, Basler Fasnacht, Luzerner Fasnacht, Rabadan Bellinzona</t>
  </si>
  <si>
    <t xml:space="preserve">Chalets, Zelte, Chilbi, Zirkus: Backup und Zusatzlast</t>
  </si>
  <si>
    <t xml:space="preserve">Zeltheizung, Heizung Chalets</t>
  </si>
  <si>
    <t xml:space="preserve">Bellevue Noël (neuer Betreiber) sofort, Knie für Saison 2027</t>
  </si>
  <si>
    <t xml:space="preserve">Flughafen Zürich: neuer Tower</t>
  </si>
  <si>
    <t xml:space="preserve">Flughafen Zürich AG</t>
  </si>
  <si>
    <t xml:space="preserve">Kloten</t>
  </si>
  <si>
    <t xml:space="preserve">Tower-Bau ab 2027 (ca. 2 Jahre), Dock A ab 2030 (&gt; CHF 1 Mrd.)</t>
  </si>
  <si>
    <t xml:space="preserve">Netzersatz und BESS bei Umschaltungen im 24/7-Betrieb</t>
  </si>
  <si>
    <t xml:space="preserve">Klima/Kühlung für Provisorien</t>
  </si>
  <si>
    <t xml:space="preserve">Flughafen Energie/Technik: Rahmen für Umschaltungen anbieten</t>
  </si>
  <si>
    <t xml:space="preserve">A1 Wankdorf-Schönbühl (8-Spur-Ausbau)</t>
  </si>
  <si>
    <t xml:space="preserve">Bern / Schönbühl</t>
  </si>
  <si>
    <t xml:space="preserve">CHF 474 Mio., ab 2027, ca. 6 Jahre</t>
  </si>
  <si>
    <t xml:space="preserve">Generatoren für Lichtsignale, Beleuchtung, Installationsplätze</t>
  </si>
  <si>
    <t xml:space="preserve">Zuschlag an Bau-ARGE abwarten, dann ARGE ansprechen</t>
  </si>
  <si>
    <t xml:space="preserve">Kantonsspital St.Gallen Haus 07B</t>
  </si>
  <si>
    <t xml:space="preserve">HOCH Health Ostschweiz</t>
  </si>
  <si>
    <t xml:space="preserve">Rohbau 2026, Ausbau 2027/28, Übergabe 2029</t>
  </si>
  <si>
    <t xml:space="preserve">Baustrom Ausbau, später NEA-Test</t>
  </si>
  <si>
    <t xml:space="preserve">HOCH Bau und Technik: Ausbauphase 2027</t>
  </si>
  <si>
    <t xml:space="preserve">Novartis Schweizerhalle und Stein</t>
  </si>
  <si>
    <t xml:space="preserve">Novartis</t>
  </si>
  <si>
    <t xml:space="preserve">Pratteln / Stein</t>
  </si>
  <si>
    <t xml:space="preserve">BL/AG</t>
  </si>
  <si>
    <t xml:space="preserve">USD 80 Mio. siRNA Schweizerhalle, USD 26 Mio. Sterile Stein, bis ca. 2028</t>
  </si>
  <si>
    <t xml:space="preserve">Netzersatz bei Umbauten im GMP-Betrieb</t>
  </si>
  <si>
    <t xml:space="preserve">Klima</t>
  </si>
  <si>
    <t xml:space="preserve">Novartis Engineering: Umschaltfenster</t>
  </si>
  <si>
    <t xml:space="preserve">Kraftwerk Ritom (Neubau)</t>
  </si>
  <si>
    <t xml:space="preserve">SBB / AET</t>
  </si>
  <si>
    <t xml:space="preserve">Quinto TI</t>
  </si>
  <si>
    <t xml:space="preserve">IBN 2027. 2 × 60 MW Turbinen, CHF 250 Mio.</t>
  </si>
  <si>
    <t xml:space="preserve">Eigenbedarf und Tests bei der IBN, Baustrom</t>
  </si>
  <si>
    <t xml:space="preserve">ewz UW Sihlfeld (Erneuerung)</t>
  </si>
  <si>
    <t xml:space="preserve">Innerstädtisches Unterwerk, 2027-2029</t>
  </si>
  <si>
    <t xml:space="preserve">Provisorien: Generator-Netzersatz, mobiler Trafo (Wert fehlt)</t>
  </si>
  <si>
    <t xml:space="preserve">ewz Netzbau: Provisoriumskonzept, IVöB-Verfahren beachten</t>
  </si>
  <si>
    <t xml:space="preserve">Ersatzneubau UW Steinachstrasse</t>
  </si>
  <si>
    <t xml:space="preserve">St.Galler Stadtwerke</t>
  </si>
  <si>
    <t xml:space="preserve">St. Gallen SG</t>
  </si>
  <si>
    <t xml:space="preserve">Baustart Anfang 2027, IBN Ende 2030. Innenstadt-UW</t>
  </si>
  <si>
    <t xml:space="preserve">Provisorien und Netzersatz beim Rückbau, Baustrom</t>
  </si>
  <si>
    <t xml:space="preserve">Neues UW Aarau</t>
  </si>
  <si>
    <t xml:space="preserve">Eniwa</t>
  </si>
  <si>
    <t xml:space="preserve">Aarau AG</t>
  </si>
  <si>
    <t xml:space="preserve">Bau ab 11/2025, Umschaltung Sommer 2029. 110/16 kV, ca. 40'000 Einwohner</t>
  </si>
  <si>
    <t xml:space="preserve">Etappenumschaltungen, mobiler Trafo, Baustrom</t>
  </si>
  <si>
    <t xml:space="preserve">Leitung Innertkirchen-Ulrichen (Grimseltunnel)</t>
  </si>
  <si>
    <t xml:space="preserve">Oberhasli BE / Goms VS</t>
  </si>
  <si>
    <t xml:space="preserve">Bau frühestens 2027, fertig 2034. 220 auf 380 kV, 27 km</t>
  </si>
  <si>
    <t xml:space="preserve">Baustrom an Tunnel- und Leitungsbaustellen ohne Netz</t>
  </si>
  <si>
    <t xml:space="preserve">Gare de Lausanne (Léman 2030)</t>
  </si>
  <si>
    <t xml:space="preserve">SBB/CFF</t>
  </si>
  <si>
    <t xml:space="preserve">Lausanne</t>
  </si>
  <si>
    <t xml:space="preserve">Hauptarbeiten ab Ende 2027, viele Nachtschichten</t>
  </si>
  <si>
    <t xml:space="preserve">BESS und Generator für Nachtbaustellen</t>
  </si>
  <si>
    <t xml:space="preserve">CFF Projektleitung Lausanne, Dokumente auf Französisch</t>
  </si>
  <si>
    <t xml:space="preserve">Swissgrid UW Innertkirchen (neue GIS)</t>
  </si>
  <si>
    <t xml:space="preserve">Innertkirchen</t>
  </si>
  <si>
    <t xml:space="preserve">ca. CHF 33 Mio., Baustart frühestens 2027</t>
  </si>
  <si>
    <t xml:space="preserve">Eigenbedarf und Provisorien während Umschaltung</t>
  </si>
  <si>
    <t xml:space="preserve">Swissgrid Projektleitung, Ausschreibung verfolgen</t>
  </si>
  <si>
    <t xml:space="preserve">ESAF 2028 Thun</t>
  </si>
  <si>
    <t xml:space="preserve">OK ESAF 2028</t>
  </si>
  <si>
    <t xml:space="preserve">Thun</t>
  </si>
  <si>
    <t xml:space="preserve">25.-27.08.2028, Aufbau ab Frühsommer 2028</t>
  </si>
  <si>
    <t xml:space="preserve">Arena, Festgelände, Camping: Generatoren und BESS</t>
  </si>
  <si>
    <t xml:space="preserve">Offerte und Konzept 2027, Umsatz 2028</t>
  </si>
  <si>
    <t xml:space="preserve">Umsatz fällt 2028 an.</t>
  </si>
  <si>
    <t xml:space="preserve">90-Tage-Plan Oktober 2026 bis Januar 2027</t>
  </si>
  <si>
    <t xml:space="preserve">Vorschlag, im Team bestätigen. Status per Dropdown, überfällige Termine werden rot.</t>
  </si>
  <si>
    <t xml:space="preserve">Nr.</t>
  </si>
  <si>
    <t xml:space="preserve">Monat</t>
  </si>
  <si>
    <t xml:space="preserve">Termin</t>
  </si>
  <si>
    <t xml:space="preserve">Aufgabe</t>
  </si>
  <si>
    <t xml:space="preserve">Status</t>
  </si>
  <si>
    <t xml:space="preserve">Ergebnis / Notiz</t>
  </si>
  <si>
    <t xml:space="preserve">Oktober</t>
  </si>
  <si>
    <t xml:space="preserve">Commissioning-Manager kontaktieren, IST-Plan der Folgephasen klären</t>
  </si>
  <si>
    <t xml:space="preserve">IST-Termin und Lastbank-Bedarf mit Green und Implenia klären</t>
  </si>
  <si>
    <t xml:space="preserve">NEA-Lasttest Umzug Jan. 2027 und Rückbau-Baustrom offerieren</t>
  </si>
  <si>
    <t xml:space="preserve">OK kontaktieren, Bedarf abfragen (Unterlagen Französisch)</t>
  </si>
  <si>
    <t xml:space="preserve">Arlesheim und Genf als Paket anbieten</t>
  </si>
  <si>
    <t xml:space="preserve">NorthC Arlesheim (uptownBasel) / NorthC Genf «The Hive»</t>
  </si>
  <si>
    <t xml:space="preserve">November</t>
  </si>
  <si>
    <t xml:space="preserve">Rahmengespräch Einkauf Gruppe</t>
  </si>
  <si>
    <t xml:space="preserve">Rahmengespräch Einkauf VINCI Energies CH</t>
  </si>
  <si>
    <t xml:space="preserve">Rahmengespräch Einkauf und FM-Leitung</t>
  </si>
  <si>
    <t xml:space="preserve">Offerte abgeben, Aufbau startet im Dezember</t>
  </si>
  <si>
    <t xml:space="preserve">GU/Elektro über simap und Baugesuch ermitteln, Baustrom offerieren</t>
  </si>
  <si>
    <t xml:space="preserve">Dezember</t>
  </si>
  <si>
    <t xml:space="preserve">MiT-Mietsätze im Blatt «Annahmen» Spalte E eintragen</t>
  </si>
  <si>
    <t xml:space="preserve">alle</t>
  </si>
  <si>
    <t xml:space="preserve">Kundenstatus aus CRM für alle Top-Player eintragen</t>
  </si>
  <si>
    <t xml:space="preserve">Backup-Rahmen mit Baustellenleitung besprechen</t>
  </si>
  <si>
    <t xml:space="preserve">2. Gotthardröhre / Sisikoner Tunnel (Neue Axenstrasse)</t>
  </si>
  <si>
    <t xml:space="preserve">Januar</t>
  </si>
  <si>
    <t xml:space="preserve">Review im Team, Pipeline neu rechnen, Prio anpassen</t>
  </si>
  <si>
    <t xml:space="preserve">Beziehung aufbauen, RZ 2028 aufgleisen</t>
  </si>
  <si>
    <t xml:space="preserve">Neuer Betreiber, Stromkonzept und Backup anbieten (Start 19.11.)</t>
  </si>
  <si>
    <t xml:space="preserve">Netzersatz für Winter 2026/27 anbieten (Skigebiet hängt am UW)</t>
  </si>
  <si>
    <t xml:space="preserve">Laax Open, Lenzerheide, White Turf kontaktieren: Aufbau Dez./Jan. (Paket knapp unter CHF 50'000)</t>
  </si>
  <si>
    <t xml:space="preserve">Groupe E Netzbau: Umschaltplan 2027 und Trafo-/Netzersatzbedarf</t>
  </si>
  <si>
    <t xml:space="preserve">Lastbank für Abnahmetests Anfang 2027 offerieren</t>
  </si>
  <si>
    <t xml:space="preserve">OK kontaktieren: TV-Compound, Redundanz, Hospitality</t>
  </si>
  <si>
    <t xml:space="preserve">Festival-Veranstalter für Saison 2027 ansprechen</t>
  </si>
  <si>
    <t xml:space="preserve">Events 2026/27</t>
  </si>
  <si>
    <t xml:space="preserve">56 Anlässe mit Strombedarf. Szenario je Anlass (blau) ist Annahme. Pakete ab CHF 50'000 erscheinen im Blatt «Top-Player» und rechnen per Formel aus diesem Blatt.</t>
  </si>
  <si>
    <t xml:space="preserve">Name</t>
  </si>
  <si>
    <t xml:space="preserve">Kategorie</t>
  </si>
  <si>
    <t xml:space="preserve">Datum / Zeitfenster</t>
  </si>
  <si>
    <t xml:space="preserve">Grösse</t>
  </si>
  <si>
    <t xml:space="preserve">Warum Strombedarf</t>
  </si>
  <si>
    <t xml:space="preserve">MVA-Wochen</t>
  </si>
  <si>
    <t xml:space="preserve">Lastbank MW-Wochen</t>
  </si>
  <si>
    <t xml:space="preserve">BESS MW-Monate</t>
  </si>
  <si>
    <t xml:space="preserve">Potenzial × Anteil</t>
  </si>
  <si>
    <t xml:space="preserve">Paket / Zuordnung</t>
  </si>
  <si>
    <t xml:space="preserve">Greenfield Festival</t>
  </si>
  <si>
    <t xml:space="preserve">Musik</t>
  </si>
  <si>
    <t xml:space="preserve">Interlaken BE</t>
  </si>
  <si>
    <t xml:space="preserve">10.-12.06.2027</t>
  </si>
  <si>
    <t xml:space="preserve">ca. 30'000/Tag, 3 Tage</t>
  </si>
  <si>
    <t xml:space="preserve">Flugplatz ohne Netz: Bühnen, Camping, Gastro</t>
  </si>
  <si>
    <t xml:space="preserve">Open Air Gampel</t>
  </si>
  <si>
    <t xml:space="preserve">Gampel-Bratsch VS</t>
  </si>
  <si>
    <t xml:space="preserve">18.-22.08.2027</t>
  </si>
  <si>
    <t xml:space="preserve">bis 25'000/Tag, 4 Tage</t>
  </si>
  <si>
    <t xml:space="preserve">Offenes Gelände, mehrere Bühnen, Camping</t>
  </si>
  <si>
    <t xml:space="preserve">Heitere Open Air</t>
  </si>
  <si>
    <t xml:space="preserve">Zofingen AG</t>
  </si>
  <si>
    <t xml:space="preserve">06.-08.08.2027</t>
  </si>
  <si>
    <t xml:space="preserve">3 Tage</t>
  </si>
  <si>
    <t xml:space="preserve">Hügelplateau mit begrenzter Netzkapazität</t>
  </si>
  <si>
    <t xml:space="preserve">Seaside Festival</t>
  </si>
  <si>
    <t xml:space="preserve">Spiez BE</t>
  </si>
  <si>
    <t xml:space="preserve">27.-28.08.2027</t>
  </si>
  <si>
    <t xml:space="preserve">2 Tage</t>
  </si>
  <si>
    <t xml:space="preserve">Temporäres Seeufer-Gelände</t>
  </si>
  <si>
    <t xml:space="preserve">SummerDays Festival</t>
  </si>
  <si>
    <t xml:space="preserve">Arbon TG</t>
  </si>
  <si>
    <t xml:space="preserve">ca. 24'000 Besucher</t>
  </si>
  <si>
    <t xml:space="preserve">Seeufer-Gelände, Bühne, Foodcourt</t>
  </si>
  <si>
    <t xml:space="preserve">Lakelive Festival</t>
  </si>
  <si>
    <t xml:space="preserve">Musik/Kultur</t>
  </si>
  <si>
    <t xml:space="preserve">Biel/Nidau BE</t>
  </si>
  <si>
    <t xml:space="preserve">Ende Juli 2027 (?)</t>
  </si>
  <si>
    <t xml:space="preserve">ca. 10 Tage</t>
  </si>
  <si>
    <t xml:space="preserve">Lange Laufzeit auf Brachgelände: BESS/Hybrid</t>
  </si>
  <si>
    <t xml:space="preserve">Luzern Live</t>
  </si>
  <si>
    <t xml:space="preserve">Luzern LU</t>
  </si>
  <si>
    <t xml:space="preserve">Juli 2027 (?)</t>
  </si>
  <si>
    <t xml:space="preserve">ca. 10 Tage, Seebühnen</t>
  </si>
  <si>
    <t xml:space="preserve">Innenstadt mit Lärmauflagen: BESS</t>
  </si>
  <si>
    <t xml:space="preserve">Openair Lumnezia</t>
  </si>
  <si>
    <t xml:space="preserve">Degen GR</t>
  </si>
  <si>
    <t xml:space="preserve">22.-24.07.2027</t>
  </si>
  <si>
    <t xml:space="preserve">ca. 18'000 Besucher</t>
  </si>
  <si>
    <t xml:space="preserve">Abgelegenes Berggelände, schwaches Netz</t>
  </si>
  <si>
    <t xml:space="preserve">Zermatt Unplugged</t>
  </si>
  <si>
    <t xml:space="preserve">Zermatt VS</t>
  </si>
  <si>
    <t xml:space="preserve">06.-10.04.2027</t>
  </si>
  <si>
    <t xml:space="preserve">17 Bühnen, 5 Tage</t>
  </si>
  <si>
    <t xml:space="preserve">Bühnen am Berg, Zelte mit Heizbedarf</t>
  </si>
  <si>
    <t xml:space="preserve">Caribana Festival</t>
  </si>
  <si>
    <t xml:space="preserve">Crans-près-Céligny VD</t>
  </si>
  <si>
    <t xml:space="preserve">Mitte Juni 2027 (?)</t>
  </si>
  <si>
    <t xml:space="preserve">ca. 30'000, 4 Tage</t>
  </si>
  <si>
    <t xml:space="preserve">Hafengelände ohne ausreichende Einspeisung</t>
  </si>
  <si>
    <t xml:space="preserve">Festi'neuch</t>
  </si>
  <si>
    <t xml:space="preserve">Neuchâtel NE</t>
  </si>
  <si>
    <t xml:space="preserve">10.-13.06.2027</t>
  </si>
  <si>
    <t xml:space="preserve">4 Tage</t>
  </si>
  <si>
    <t xml:space="preserve">Uferpark, mehrere Bühnen</t>
  </si>
  <si>
    <t xml:space="preserve">Sion sous les étoiles</t>
  </si>
  <si>
    <t xml:space="preserve">Sion VS</t>
  </si>
  <si>
    <t xml:space="preserve">14.-17.07.2027</t>
  </si>
  <si>
    <t xml:space="preserve">Freifläche beim Stadion</t>
  </si>
  <si>
    <t xml:space="preserve">JazzAscona</t>
  </si>
  <si>
    <t xml:space="preserve">Ascona TI</t>
  </si>
  <si>
    <t xml:space="preserve">24.06.-03.07.2027</t>
  </si>
  <si>
    <t xml:space="preserve">10 Tage</t>
  </si>
  <si>
    <t xml:space="preserve">Mehrere Open-Air-Bühnen an der Promenade</t>
  </si>
  <si>
    <t xml:space="preserve">Estival Jazz Lugano</t>
  </si>
  <si>
    <t xml:space="preserve">Lugano TI</t>
  </si>
  <si>
    <t xml:space="preserve">ca. 08.-10.07.2027 (?)</t>
  </si>
  <si>
    <t xml:space="preserve">3 Abende</t>
  </si>
  <si>
    <t xml:space="preserve">Platzbühne in der Stadt</t>
  </si>
  <si>
    <t xml:space="preserve">Polymanga</t>
  </si>
  <si>
    <t xml:space="preserve">Pop-Kultur</t>
  </si>
  <si>
    <t xml:space="preserve">Montreux VD</t>
  </si>
  <si>
    <t xml:space="preserve">26.-29.03.2027</t>
  </si>
  <si>
    <t xml:space="preserve">über 50'000 Besucher</t>
  </si>
  <si>
    <t xml:space="preserve">Aussengelände Parc Vernex: Zelte, Heizung</t>
  </si>
  <si>
    <t xml:space="preserve">LAAX OPEN</t>
  </si>
  <si>
    <t xml:space="preserve">Snowboard-Weltcup</t>
  </si>
  <si>
    <t xml:space="preserve">13.-16.01.2027</t>
  </si>
  <si>
    <t xml:space="preserve">ca. 250 Athleten, Konzerte</t>
  </si>
  <si>
    <t xml:space="preserve">Pipe am Berg, Bühne, beheizte Zelte</t>
  </si>
  <si>
    <t xml:space="preserve">Paket Winter-Sport 2026/27</t>
  </si>
  <si>
    <t xml:space="preserve">Ski-Weltcup Frauen Lenzerheide</t>
  </si>
  <si>
    <t xml:space="preserve">Ski alpin</t>
  </si>
  <si>
    <t xml:space="preserve">Lenzerheide GR</t>
  </si>
  <si>
    <t xml:space="preserve">19.-21.02.2027</t>
  </si>
  <si>
    <t xml:space="preserve">Weltcup-Comeback</t>
  </si>
  <si>
    <t xml:space="preserve">Zielarena, TV-Compound, Zelte</t>
  </si>
  <si>
    <t xml:space="preserve">Davos Nordic</t>
  </si>
  <si>
    <t xml:space="preserve">Langlauf-Weltcup</t>
  </si>
  <si>
    <t xml:space="preserve">Davos GR</t>
  </si>
  <si>
    <t xml:space="preserve">11.-13.12.2026</t>
  </si>
  <si>
    <t xml:space="preserve">3 Renntage</t>
  </si>
  <si>
    <t xml:space="preserve">Stadion, TV, Wachskabinen</t>
  </si>
  <si>
    <t xml:space="preserve">Skisprung-Weltcup Engelberg</t>
  </si>
  <si>
    <t xml:space="preserve">Skispringen</t>
  </si>
  <si>
    <t xml:space="preserve">Engelberg OW</t>
  </si>
  <si>
    <t xml:space="preserve">18.-20.12.2026</t>
  </si>
  <si>
    <t xml:space="preserve">grösste Naturschanze</t>
  </si>
  <si>
    <t xml:space="preserve">Zielarena, TV, Zelte</t>
  </si>
  <si>
    <t xml:space="preserve">Engadin Skimarathon</t>
  </si>
  <si>
    <t xml:space="preserve">Breitensport</t>
  </si>
  <si>
    <t xml:space="preserve">Maloja-S-chanf GR</t>
  </si>
  <si>
    <t xml:space="preserve">07.-14.03.2027</t>
  </si>
  <si>
    <t xml:space="preserve">grösster CH-Breitensportanlass</t>
  </si>
  <si>
    <t xml:space="preserve">Start/Ziel über 42 km, Heizzelte</t>
  </si>
  <si>
    <t xml:space="preserve">White Turf St. Moritz</t>
  </si>
  <si>
    <t xml:space="preserve">Pferdesport</t>
  </si>
  <si>
    <t xml:space="preserve">St. Moritz GR</t>
  </si>
  <si>
    <t xml:space="preserve">07./14./21.02.2027</t>
  </si>
  <si>
    <t xml:space="preserve">3 Renntage, 120 Jahre</t>
  </si>
  <si>
    <t xml:space="preserve">Kein Netz auf dem See: alles mobil</t>
  </si>
  <si>
    <t xml:space="preserve">Snow Polo St. Moritz</t>
  </si>
  <si>
    <t xml:space="preserve">Polo</t>
  </si>
  <si>
    <t xml:space="preserve">22.-24.01.2027</t>
  </si>
  <si>
    <t xml:space="preserve">VIP-Zelte und Heizung auf dem See</t>
  </si>
  <si>
    <t xml:space="preserve">Eidg. Volksmusikfest</t>
  </si>
  <si>
    <t xml:space="preserve">Eidg. Fest</t>
  </si>
  <si>
    <t xml:space="preserve">Altstätten SG</t>
  </si>
  <si>
    <t xml:space="preserve">09.-12.09.2027</t>
  </si>
  <si>
    <t xml:space="preserve">50'000-60'000 Besucher</t>
  </si>
  <si>
    <t xml:space="preserve">Festzelte und Bühnen in der Altstadt</t>
  </si>
  <si>
    <t xml:space="preserve">Paket Schwing- und Volksfeste 2027</t>
  </si>
  <si>
    <t xml:space="preserve">Westschweizer Jodlerfest</t>
  </si>
  <si>
    <t xml:space="preserve">Regionalfest</t>
  </si>
  <si>
    <t xml:space="preserve">Château-d'Oex VD</t>
  </si>
  <si>
    <t xml:space="preserve">02.-04.07.2027</t>
  </si>
  <si>
    <t xml:space="preserve">Festzelte im Bergdorf</t>
  </si>
  <si>
    <t xml:space="preserve">Bernisch-Kantonales Schwingfest</t>
  </si>
  <si>
    <t xml:space="preserve">Schwingen</t>
  </si>
  <si>
    <t xml:space="preserve">Thun BE</t>
  </si>
  <si>
    <t xml:space="preserve">August 2027 (?)</t>
  </si>
  <si>
    <t xml:space="preserve">Teilverbandsfest</t>
  </si>
  <si>
    <t xml:space="preserve">Arena, Festzelte; Probelauf vor ESAF 2028</t>
  </si>
  <si>
    <t xml:space="preserve">Nordwestschweizer Schwingfest</t>
  </si>
  <si>
    <t xml:space="preserve">Sissach BL</t>
  </si>
  <si>
    <t xml:space="preserve">03.-04.07.2027</t>
  </si>
  <si>
    <t xml:space="preserve">119. Ausgabe</t>
  </si>
  <si>
    <t xml:space="preserve">Arena, Festzelt</t>
  </si>
  <si>
    <t xml:space="preserve">Innerschweizer Schwingfest</t>
  </si>
  <si>
    <t xml:space="preserve">Giswil OW</t>
  </si>
  <si>
    <t xml:space="preserve">04.07.2027</t>
  </si>
  <si>
    <t xml:space="preserve">Arena auf offenem Feld</t>
  </si>
  <si>
    <t xml:space="preserve">Knabenschiessen</t>
  </si>
  <si>
    <t xml:space="preserve">Volksfest</t>
  </si>
  <si>
    <t xml:space="preserve">11.-13.09.2027</t>
  </si>
  <si>
    <t xml:space="preserve">grosse Chilbi</t>
  </si>
  <si>
    <t xml:space="preserve">Lunapark, Spitzenlast und Backup</t>
  </si>
  <si>
    <t xml:space="preserve">Sechseläuten (Gastkanton LU)</t>
  </si>
  <si>
    <t xml:space="preserve">Brauchtum</t>
  </si>
  <si>
    <t xml:space="preserve">16.-19.04.2027</t>
  </si>
  <si>
    <t xml:space="preserve">Gastkanton-Zelte auf dem Platz</t>
  </si>
  <si>
    <t xml:space="preserve">Ruder-WM Luzern</t>
  </si>
  <si>
    <t xml:space="preserve">Sport-WM</t>
  </si>
  <si>
    <t xml:space="preserve">Luzern (Rotsee) LU</t>
  </si>
  <si>
    <t xml:space="preserve">23.-29.08.2027</t>
  </si>
  <si>
    <t xml:space="preserve">über 40'000 Zuschauer, 70 Nationen</t>
  </si>
  <si>
    <t xml:space="preserve">TV-Compound, Tribünen, Zielturm: Redundanz</t>
  </si>
  <si>
    <t xml:space="preserve">Beachvolleyball-EM</t>
  </si>
  <si>
    <t xml:space="preserve">Sport-EM</t>
  </si>
  <si>
    <t xml:space="preserve">Gstaad BE</t>
  </si>
  <si>
    <t xml:space="preserve">30.06.-04.07.2027</t>
  </si>
  <si>
    <t xml:space="preserve">5 Tage</t>
  </si>
  <si>
    <t xml:space="preserve">Temporäres Stadion, TV, Flutlicht</t>
  </si>
  <si>
    <t xml:space="preserve">CSIO St.Gallen</t>
  </si>
  <si>
    <t xml:space="preserve">03.-06.06.2027</t>
  </si>
  <si>
    <t xml:space="preserve">Freigelände, Tribünen, Hospitality, TV</t>
  </si>
  <si>
    <t xml:space="preserve">Swiss Open Gstaad</t>
  </si>
  <si>
    <t xml:space="preserve">Tennis</t>
  </si>
  <si>
    <t xml:space="preserve">10.-18.07.2027</t>
  </si>
  <si>
    <t xml:space="preserve">9 Tage</t>
  </si>
  <si>
    <t xml:space="preserve">Tribünen, Hospitality, TV</t>
  </si>
  <si>
    <t xml:space="preserve">IRONMAN Switzerland</t>
  </si>
  <si>
    <t xml:space="preserve">Ausdauersport</t>
  </si>
  <si>
    <t xml:space="preserve">Langdistanz</t>
  </si>
  <si>
    <t xml:space="preserve">Wechselzone, Zielarena, Zeitmessung</t>
  </si>
  <si>
    <t xml:space="preserve">Tour de Suisse</t>
  </si>
  <si>
    <t xml:space="preserve">Radsport</t>
  </si>
  <si>
    <t xml:space="preserve">Etappenorte CH</t>
  </si>
  <si>
    <t xml:space="preserve">16.-20.06.2027</t>
  </si>
  <si>
    <t xml:space="preserve">Start/Ziel-Zonen mit TV, täglich neuer Ort</t>
  </si>
  <si>
    <t xml:space="preserve">Tour de Romandie</t>
  </si>
  <si>
    <t xml:space="preserve">Romandie</t>
  </si>
  <si>
    <t xml:space="preserve">27.04.-02.05.2027</t>
  </si>
  <si>
    <t xml:space="preserve">6 Tage</t>
  </si>
  <si>
    <t xml:space="preserve">Start/Ziel-Zonen mit TV</t>
  </si>
  <si>
    <t xml:space="preserve">Weltklasse Zürich</t>
  </si>
  <si>
    <t xml:space="preserve">Leichtathletik</t>
  </si>
  <si>
    <t xml:space="preserve">25.-26.08.2027</t>
  </si>
  <si>
    <t xml:space="preserve">Diamond League</t>
  </si>
  <si>
    <t xml:space="preserve">Stadtwettkampf, TV, Hospitality</t>
  </si>
  <si>
    <t xml:space="preserve">Athletissima</t>
  </si>
  <si>
    <t xml:space="preserve">Lausanne VD</t>
  </si>
  <si>
    <t xml:space="preserve">1-2 Tage</t>
  </si>
  <si>
    <t xml:space="preserve">Hospitality, TV, Backup</t>
  </si>
  <si>
    <t xml:space="preserve">OL-EM 2027</t>
  </si>
  <si>
    <t xml:space="preserve">28.09.-03.10.2027</t>
  </si>
  <si>
    <t xml:space="preserve">Stadt-Sprints</t>
  </si>
  <si>
    <t xml:space="preserve">Arena, Zeitmessung, TV</t>
  </si>
  <si>
    <t xml:space="preserve">Eiskunstlauf-EM</t>
  </si>
  <si>
    <t xml:space="preserve">27.-31.01.2027</t>
  </si>
  <si>
    <t xml:space="preserve">Halle</t>
  </si>
  <si>
    <t xml:space="preserve">Nur TV-Compound, Aussenzelte, Backup</t>
  </si>
  <si>
    <t xml:space="preserve">CHI Genève</t>
  </si>
  <si>
    <t xml:space="preserve">Genève GE</t>
  </si>
  <si>
    <t xml:space="preserve">09.-13.12.2026</t>
  </si>
  <si>
    <t xml:space="preserve">Rolex Grand Slam</t>
  </si>
  <si>
    <t xml:space="preserve">Stallzelte, Aussenbereiche, Backup</t>
  </si>
  <si>
    <t xml:space="preserve">Grand-Prix von Bern / Frauenlauf</t>
  </si>
  <si>
    <t xml:space="preserve">Laufsport</t>
  </si>
  <si>
    <t xml:space="preserve">Bern BE</t>
  </si>
  <si>
    <t xml:space="preserve">15.05. / 13.06.2027</t>
  </si>
  <si>
    <t xml:space="preserve">bis 15'000 Teilnehmende</t>
  </si>
  <si>
    <t xml:space="preserve">Start/Ziel-Arena, Zeitmessung</t>
  </si>
  <si>
    <t xml:space="preserve">Circus Knie Tournee</t>
  </si>
  <si>
    <t xml:space="preserve">Zirkus</t>
  </si>
  <si>
    <t xml:space="preserve">ganze Schweiz</t>
  </si>
  <si>
    <t xml:space="preserve">ab März 2027 (?)</t>
  </si>
  <si>
    <t xml:space="preserve">neues Zelt 2027</t>
  </si>
  <si>
    <t xml:space="preserve">Einspeisung oder Backup je Gastspiel</t>
  </si>
  <si>
    <t xml:space="preserve">BEA</t>
  </si>
  <si>
    <t xml:space="preserve">Messe</t>
  </si>
  <si>
    <t xml:space="preserve">30.04.-09.05.2027</t>
  </si>
  <si>
    <t xml:space="preserve">Aussengelände, Zelte, Gastro</t>
  </si>
  <si>
    <t xml:space="preserve">LUGA</t>
  </si>
  <si>
    <t xml:space="preserve">Aussenzelte, Chilbi</t>
  </si>
  <si>
    <t xml:space="preserve">OLMA</t>
  </si>
  <si>
    <t xml:space="preserve">Oktober 2027 (?)</t>
  </si>
  <si>
    <t xml:space="preserve">11 Tage</t>
  </si>
  <si>
    <t xml:space="preserve">Aussengelände, Arena, Zelte</t>
  </si>
  <si>
    <t xml:space="preserve">Tier&amp;Technik</t>
  </si>
  <si>
    <t xml:space="preserve">Agrarmesse</t>
  </si>
  <si>
    <t xml:space="preserve">25.-28.02.2027</t>
  </si>
  <si>
    <t xml:space="preserve">Tierzelte im Winter, Heizung</t>
  </si>
  <si>
    <t xml:space="preserve">AGRAMA</t>
  </si>
  <si>
    <t xml:space="preserve">Landtechnik-Messe</t>
  </si>
  <si>
    <t xml:space="preserve">26.-30.11.2026</t>
  </si>
  <si>
    <t xml:space="preserve">Zelte im November, Heizung</t>
  </si>
  <si>
    <t xml:space="preserve">Montreux Noël</t>
  </si>
  <si>
    <t xml:space="preserve">Weihnachtsmarkt</t>
  </si>
  <si>
    <t xml:space="preserve">20.11.-24.12.2026</t>
  </si>
  <si>
    <t xml:space="preserve">über 170 Chalets</t>
  </si>
  <si>
    <t xml:space="preserve">5 Wochen Chalets, Licht, Heizung</t>
  </si>
  <si>
    <t xml:space="preserve">Bellevue Noël (neu)</t>
  </si>
  <si>
    <t xml:space="preserve">19.11.-23.12.2026</t>
  </si>
  <si>
    <t xml:space="preserve">1. Ausgabe, neuer Betreiber</t>
  </si>
  <si>
    <t xml:space="preserve">Neues Stromkonzept: Einstiegschance</t>
  </si>
  <si>
    <t xml:space="preserve">Basler Weihnachtsmarkt</t>
  </si>
  <si>
    <t xml:space="preserve">Basel BS</t>
  </si>
  <si>
    <t xml:space="preserve">26.11.-23.12.2026</t>
  </si>
  <si>
    <t xml:space="preserve">ca. 150 Chalets</t>
  </si>
  <si>
    <t xml:space="preserve">Zusatzlast und Backup</t>
  </si>
  <si>
    <t xml:space="preserve">Murten Licht-Festival</t>
  </si>
  <si>
    <t xml:space="preserve">Lichtfestival</t>
  </si>
  <si>
    <t xml:space="preserve">Murten FR</t>
  </si>
  <si>
    <t xml:space="preserve">20.-31.01.2027</t>
  </si>
  <si>
    <t xml:space="preserve">12 Tage</t>
  </si>
  <si>
    <t xml:space="preserve">Leise BESS für Lichtinstallationen</t>
  </si>
  <si>
    <t xml:space="preserve">Basler Fasnacht</t>
  </si>
  <si>
    <t xml:space="preserve">15.-18.02.2027</t>
  </si>
  <si>
    <t xml:space="preserve">72 Stunden</t>
  </si>
  <si>
    <t xml:space="preserve">Beizen, Bühnen, Laternen</t>
  </si>
  <si>
    <t xml:space="preserve">Luzerner Fasnacht</t>
  </si>
  <si>
    <t xml:space="preserve">04.-09.02.2027</t>
  </si>
  <si>
    <t xml:space="preserve">Bühnen, Barzelte, Beleuchtung</t>
  </si>
  <si>
    <t xml:space="preserve">Rabadan Bellinzona</t>
  </si>
  <si>
    <t xml:space="preserve">Carnevale</t>
  </si>
  <si>
    <t xml:space="preserve">Bellinzona TI</t>
  </si>
  <si>
    <t xml:space="preserve">Festzelte mit Heizung</t>
  </si>
  <si>
    <t xml:space="preserve">Geneva AI Summit 2027</t>
  </si>
  <si>
    <t xml:space="preserve">Konferenz</t>
  </si>
  <si>
    <t xml:space="preserve">21.-22.06.2027</t>
  </si>
  <si>
    <t xml:space="preserve">über 100 Länder</t>
  </si>
  <si>
    <t xml:space="preserve">Hohe Sicherheitsstufe: Netzersatz und USV</t>
  </si>
  <si>
    <t xml:space="preserve">einzeln</t>
  </si>
  <si>
    <t xml:space="preserve">Pakete</t>
  </si>
  <si>
    <t xml:space="preserve">Paket</t>
  </si>
  <si>
    <t xml:space="preserve">In Top-Player</t>
  </si>
  <si>
    <t xml:space="preserve">Einzelne Events dauern Tage, darum meist unter CHF 50'000. Bündeln lohnt sich: ein Ansprechpartner pro Saison, gleiche Logistik. Termine mit (?) vor der Akquise beim Veranstalter prüfen.</t>
  </si>
  <si>
    <t xml:space="preserve">EVU &amp; Energie 2026-2028</t>
  </si>
  <si>
    <t xml:space="preserve">Netz, Kraftwerke, Batteriespeicher, alpine Solar, Fernwärme. Szenario (blau) ist Annahme.</t>
  </si>
  <si>
    <t xml:space="preserve">Madrisa Solar</t>
  </si>
  <si>
    <t xml:space="preserve">Repower / EKZ / Klosters</t>
  </si>
  <si>
    <t xml:space="preserve">Klosters GR</t>
  </si>
  <si>
    <t xml:space="preserve">voll Ende 2027</t>
  </si>
  <si>
    <t xml:space="preserve">11 MWp</t>
  </si>
  <si>
    <t xml:space="preserve">Baustrom auf 2'000 m ohne Netz</t>
  </si>
  <si>
    <t xml:space="preserve">Sedrun Solar</t>
  </si>
  <si>
    <t xml:space="preserve">Axpo u.a. (?)</t>
  </si>
  <si>
    <t xml:space="preserve">Tujetsch GR</t>
  </si>
  <si>
    <t xml:space="preserve">80 % Ende 2027</t>
  </si>
  <si>
    <t xml:space="preserve">19,3 MW</t>
  </si>
  <si>
    <t xml:space="preserve">Baustrom über die Bausaison</t>
  </si>
  <si>
    <t xml:space="preserve">NalpSolar</t>
  </si>
  <si>
    <t xml:space="preserve">Axpo</t>
  </si>
  <si>
    <t xml:space="preserve">Lai da Nalps GR</t>
  </si>
  <si>
    <t xml:space="preserve">Bau bis 12/2028</t>
  </si>
  <si>
    <t xml:space="preserve">ca. 8 MW</t>
  </si>
  <si>
    <t xml:space="preserve">Baustrom</t>
  </si>
  <si>
    <t xml:space="preserve">Solarkraftwerk Samedan</t>
  </si>
  <si>
    <t xml:space="preserve">Energia Solara Engiadinaisa</t>
  </si>
  <si>
    <t xml:space="preserve">Samedan GR</t>
  </si>
  <si>
    <t xml:space="preserve">Baustart Frühling 2027</t>
  </si>
  <si>
    <t xml:space="preserve">18,8 GWh/a</t>
  </si>
  <si>
    <t xml:space="preserve">Baustrom, Neustart ideal für Akquise</t>
  </si>
  <si>
    <t xml:space="preserve">Grengiols Solar (mit UW Heiligkreuz)</t>
  </si>
  <si>
    <t xml:space="preserve">Grengiols Solar (EnBAG/FMV/IWB)</t>
  </si>
  <si>
    <t xml:space="preserve">Saflischtal VS</t>
  </si>
  <si>
    <t xml:space="preserve">Etappen 2026-2027+ (?)</t>
  </si>
  <si>
    <t xml:space="preserve">redimensioniert (?)</t>
  </si>
  <si>
    <t xml:space="preserve">Baustrom, UW-IBN</t>
  </si>
  <si>
    <t xml:space="preserve">Belalp Solar</t>
  </si>
  <si>
    <t xml:space="preserve">Naters / EnBAG / FMV / Alpiq</t>
  </si>
  <si>
    <t xml:space="preserve">Naters VS</t>
  </si>
  <si>
    <t xml:space="preserve">Bau 2026/27 (?)</t>
  </si>
  <si>
    <t xml:space="preserve">12 GWh/a</t>
  </si>
  <si>
    <t xml:space="preserve">Baustrom im Hochgebirge</t>
  </si>
  <si>
    <t xml:space="preserve">Leitung Obfelden-Samstagern</t>
  </si>
  <si>
    <t xml:space="preserve">Thalwil/Obfelden ZH</t>
  </si>
  <si>
    <t xml:space="preserve">Bau läuft, Spannungserhöhung ab 2027</t>
  </si>
  <si>
    <t xml:space="preserve">150 auf 220 kV</t>
  </si>
  <si>
    <t xml:space="preserve">Baustrom Mastbau, Netzersatz</t>
  </si>
  <si>
    <t xml:space="preserve">nur hier</t>
  </si>
  <si>
    <t xml:space="preserve">UW Niederwil und Leitung Niederwil-Obfelden</t>
  </si>
  <si>
    <t xml:space="preserve">Niederwil AG</t>
  </si>
  <si>
    <t xml:space="preserve">UW-Bau läuft (?), Leitung ab 2028</t>
  </si>
  <si>
    <t xml:space="preserve">CHF 97 Mio., 380 kV</t>
  </si>
  <si>
    <t xml:space="preserve">Eigenbedarf bei UW-Umschaltung</t>
  </si>
  <si>
    <t xml:space="preserve">Bickigen-Chippis (Gemmileitung)</t>
  </si>
  <si>
    <t xml:space="preserve">BE/VS</t>
  </si>
  <si>
    <t xml:space="preserve">Bauplan offen (?)</t>
  </si>
  <si>
    <t xml:space="preserve">106 km, 380 kV</t>
  </si>
  <si>
    <t xml:space="preserve">Baustrom an abgelegenen Masten</t>
  </si>
  <si>
    <t xml:space="preserve">Poste Puidoux (Totalumbau)</t>
  </si>
  <si>
    <t xml:space="preserve">Puidoux VD</t>
  </si>
  <si>
    <t xml:space="preserve">2024-2027</t>
  </si>
  <si>
    <t xml:space="preserve">40 auf 80 MVA</t>
  </si>
  <si>
    <t xml:space="preserve">Mobiler Trafo oder Netzersatz beim Trafotausch</t>
  </si>
  <si>
    <t xml:space="preserve">Sous-station Sion (Ronquoz 21)</t>
  </si>
  <si>
    <t xml:space="preserve">OIKEN</t>
  </si>
  <si>
    <t xml:space="preserve">Umschaltung ab Anfang 2027</t>
  </si>
  <si>
    <t xml:space="preserve">CHF 20 Mio.</t>
  </si>
  <si>
    <t xml:space="preserve">Netzersatz und Lastbank bei IBN</t>
  </si>
  <si>
    <t xml:space="preserve">Poste Collex-Bossy (Auflage 09/2026)</t>
  </si>
  <si>
    <t xml:space="preserve">SIG</t>
  </si>
  <si>
    <t xml:space="preserve">Collex-Bossy GE</t>
  </si>
  <si>
    <t xml:space="preserve">Bau 2027/28 (?)</t>
  </si>
  <si>
    <t xml:space="preserve">unbekannt</t>
  </si>
  <si>
    <t xml:space="preserve">Baustrom, Umschaltung</t>
  </si>
  <si>
    <t xml:space="preserve">UW Thun (Ersatzneubau)</t>
  </si>
  <si>
    <t xml:space="preserve">Energie Thun</t>
  </si>
  <si>
    <t xml:space="preserve">Bau 2027+ (?)</t>
  </si>
  <si>
    <t xml:space="preserve">Provisorium beim Rückbau</t>
  </si>
  <si>
    <t xml:space="preserve">110-kV-Kabel Freienbach-Altendorf</t>
  </si>
  <si>
    <t xml:space="preserve">Freienbach SZ</t>
  </si>
  <si>
    <t xml:space="preserve">Bau ab 05/2026</t>
  </si>
  <si>
    <t xml:space="preserve">8,1 km</t>
  </si>
  <si>
    <t xml:space="preserve">Netzersatz bei Umschaltung</t>
  </si>
  <si>
    <t xml:space="preserve">UW Beznau (50 auf 110 kV)</t>
  </si>
  <si>
    <t xml:space="preserve">Döttingen AG</t>
  </si>
  <si>
    <t xml:space="preserve">läuft (?)</t>
  </si>
  <si>
    <t xml:space="preserve">50 auf 110 kV</t>
  </si>
  <si>
    <t xml:space="preserve">Eigenbedarf, Netzersatz</t>
  </si>
  <si>
    <t xml:space="preserve">UW Mettlen (2. 800-MVA-Trafo)</t>
  </si>
  <si>
    <t xml:space="preserve">Eschenbach LU</t>
  </si>
  <si>
    <t xml:space="preserve">Restarbeiten 2027 (?)</t>
  </si>
  <si>
    <t xml:space="preserve">2 × 800 MVA</t>
  </si>
  <si>
    <t xml:space="preserve">Lastbank oder Eigenbedarf bei Tests</t>
  </si>
  <si>
    <t xml:space="preserve">UW Bözingenfeld</t>
  </si>
  <si>
    <t xml:space="preserve">ESB</t>
  </si>
  <si>
    <t xml:space="preserve">Biel BE</t>
  </si>
  <si>
    <t xml:space="preserve">IBN 2026 (Verzug?)</t>
  </si>
  <si>
    <t xml:space="preserve">Industriequartier</t>
  </si>
  <si>
    <t xml:space="preserve">Lastbank bei IBN</t>
  </si>
  <si>
    <t xml:space="preserve">BESS UW Fadenbrücke Buochs</t>
  </si>
  <si>
    <t xml:space="preserve">EWN</t>
  </si>
  <si>
    <t xml:space="preserve">Buochs NW</t>
  </si>
  <si>
    <t xml:space="preserve">IBN Spätsommer 2027</t>
  </si>
  <si>
    <t xml:space="preserve">12,5 MW / 25 MWh</t>
  </si>
  <si>
    <t xml:space="preserve">Tests bei IBN, Baustrom</t>
  </si>
  <si>
    <t xml:space="preserve">BESS UW Grosshöchstetten</t>
  </si>
  <si>
    <t xml:space="preserve">BKW</t>
  </si>
  <si>
    <t xml:space="preserve">Grosshöchstetten BE</t>
  </si>
  <si>
    <t xml:space="preserve">IBN Q3 2027</t>
  </si>
  <si>
    <t xml:space="preserve">20 MW / 50 MWh</t>
  </si>
  <si>
    <t xml:space="preserve">BESS Bubikon</t>
  </si>
  <si>
    <t xml:space="preserve">EKZ (?)</t>
  </si>
  <si>
    <t xml:space="preserve">Bubikon ZH</t>
  </si>
  <si>
    <t xml:space="preserve">Betrieb 07/2027</t>
  </si>
  <si>
    <t xml:space="preserve">4,5 MW / ca. 10 MWh</t>
  </si>
  <si>
    <t xml:space="preserve">Tests bei IBN</t>
  </si>
  <si>
    <t xml:space="preserve">Grossbatterie Mühleberg</t>
  </si>
  <si>
    <t xml:space="preserve">Mühleberg BE</t>
  </si>
  <si>
    <t xml:space="preserve">Bau ca. 2028/29, IBN 2030</t>
  </si>
  <si>
    <t xml:space="preserve">400 MW / 800 MWh</t>
  </si>
  <si>
    <t xml:space="preserve">Baustrom, IBN-Tests (später)</t>
  </si>
  <si>
    <t xml:space="preserve">KW Reckingen (Maschinengruppen)</t>
  </si>
  <si>
    <t xml:space="preserve">Kraftwerk Reckingen AG</t>
  </si>
  <si>
    <t xml:space="preserve">Reckingen AG</t>
  </si>
  <si>
    <t xml:space="preserve">1. Gruppe ab 04/2027</t>
  </si>
  <si>
    <t xml:space="preserve">Rheinkraftwerk</t>
  </si>
  <si>
    <t xml:space="preserve">Eigenbedarf bei Stillständen</t>
  </si>
  <si>
    <t xml:space="preserve">Wasserkraftwerk Mühleberg (Erneuerung)</t>
  </si>
  <si>
    <t xml:space="preserve">Bau ab 2028</t>
  </si>
  <si>
    <t xml:space="preserve">CHF 120 Mio.</t>
  </si>
  <si>
    <t xml:space="preserve">Baustrom (später)</t>
  </si>
  <si>
    <t xml:space="preserve">Reserve-Prüfstand GT26 Birr</t>
  </si>
  <si>
    <t xml:space="preserve">Ansaldo Energia / Bund</t>
  </si>
  <si>
    <t xml:space="preserve">Birr AG</t>
  </si>
  <si>
    <t xml:space="preserve">bereit ab 02/2027</t>
  </si>
  <si>
    <t xml:space="preserve">250 MW</t>
  </si>
  <si>
    <t xml:space="preserve">Hilfsaggregate, Tests (?)</t>
  </si>
  <si>
    <t xml:space="preserve">Reservekraftwerk Sisslerfeld 2 (HVO)</t>
  </si>
  <si>
    <t xml:space="preserve">Sidewinder</t>
  </si>
  <si>
    <t xml:space="preserve">Eiken AG</t>
  </si>
  <si>
    <t xml:space="preserve">IBN 2027-2030 (?)</t>
  </si>
  <si>
    <t xml:space="preserve">180 MW</t>
  </si>
  <si>
    <t xml:space="preserve">Lastbank für Abnahme (unsicher)</t>
  </si>
  <si>
    <t xml:space="preserve">Reservekraftwerk Auhafen (HVO)</t>
  </si>
  <si>
    <t xml:space="preserve">Muttenz BL</t>
  </si>
  <si>
    <t xml:space="preserve">Bau 2028-2030</t>
  </si>
  <si>
    <t xml:space="preserve">291 MW</t>
  </si>
  <si>
    <t xml:space="preserve">Baustrom, Lastbank (später)</t>
  </si>
  <si>
    <t xml:space="preserve">GuD Forsthaus als Reserve</t>
  </si>
  <si>
    <t xml:space="preserve">ewb</t>
  </si>
  <si>
    <t xml:space="preserve">Reserve ab Winter 2026/27</t>
  </si>
  <si>
    <t xml:space="preserve">50 MW el.</t>
  </si>
  <si>
    <t xml:space="preserve">Tests (?)</t>
  </si>
  <si>
    <t xml:space="preserve">Fernwärmezentrale Zollikon</t>
  </si>
  <si>
    <t xml:space="preserve">Werke am Zürichsee / Energie 360°</t>
  </si>
  <si>
    <t xml:space="preserve">Zollikon ZH</t>
  </si>
  <si>
    <t xml:space="preserve">IBN Frühling 2027</t>
  </si>
  <si>
    <t xml:space="preserve">Seewasser-Wärmepumpe</t>
  </si>
  <si>
    <t xml:space="preserve">Baustrom, Überbrückung; Cross-Sell mobile Heizung</t>
  </si>
  <si>
    <t xml:space="preserve">Fernwärme Kleinbasel / Heizzentrale Dellen</t>
  </si>
  <si>
    <t xml:space="preserve">IWB</t>
  </si>
  <si>
    <t xml:space="preserve">bis Ende 2027</t>
  </si>
  <si>
    <t xml:space="preserve">60 km Ausbau bis 2037</t>
  </si>
  <si>
    <t xml:space="preserve">Baustrom; Cross-Sell mobile Heizzentralen (MiT-Kern)</t>
  </si>
  <si>
    <t xml:space="preserve">GeniLac Rive / Eaux-Vives</t>
  </si>
  <si>
    <t xml:space="preserve">2025 bis Frühling 2028</t>
  </si>
  <si>
    <t xml:space="preserve">Seewassernetz</t>
  </si>
  <si>
    <t xml:space="preserve">Baustrom in der Innenstadt</t>
  </si>
  <si>
    <t xml:space="preserve">Elektrolyse Stahl Gerlafingen</t>
  </si>
  <si>
    <t xml:space="preserve">Alpiq / Stahl Gerlafingen</t>
  </si>
  <si>
    <t xml:space="preserve">Gerlafingen SO</t>
  </si>
  <si>
    <t xml:space="preserve">frühestens 2027, Entscheid offen (?)</t>
  </si>
  <si>
    <t xml:space="preserve">bis 30 MW</t>
  </si>
  <si>
    <t xml:space="preserve">Tests bei IBN (unsicher)</t>
  </si>
  <si>
    <t xml:space="preserve">Einzeln im Blatt «Top-Player» (Segment Netz / Energie), nicht hier: UW Mörel (380-kV-GIS, neuer Trafo); Leitung Innertkirchen-Ulrichen (Grimseltunnel); Poste Galmiz (Neubau, Verkabelung 125 kV); UW Laax (Gesamterneuerung); Neues UW Aarau; Ersatzneubau UW Steinachstrasse; Kraftwerk Ritom (Neubau); Reservekraftwerk Sisslerfeld 1 und Stein (HVO); KKW-Revisionen 2027 (Beznau, Leibstadt, Gösgen); CoolCity: Energiezentrale UW Selnau, Microtunnel.</t>
  </si>
  <si>
    <t xml:space="preserve">Rechenzentren Schweiz 2026-2028</t>
  </si>
  <si>
    <t xml:space="preserve">Fakten aus öffentlichen Quellen, Stand 27.09.2026. (?) = unsicher. Potenzial nur für Top-Player (Blatt «Top-Player»).</t>
  </si>
  <si>
    <t xml:space="preserve">Betreiber / Projekt</t>
  </si>
  <si>
    <t xml:space="preserve">Standort</t>
  </si>
  <si>
    <t xml:space="preserve">IT-Leistung MW</t>
  </si>
  <si>
    <t xml:space="preserve">Zeitplan</t>
  </si>
  <si>
    <t xml:space="preserve">GU / PM</t>
  </si>
  <si>
    <t xml:space="preserve">Netzanschluss</t>
  </si>
  <si>
    <t xml:space="preserve">Für uns</t>
  </si>
  <si>
    <t xml:space="preserve">STACK ZUR02</t>
  </si>
  <si>
    <t xml:space="preserve">Beringen SH</t>
  </si>
  <si>
    <t xml:space="preserve">36</t>
  </si>
  <si>
    <t xml:space="preserve">Aufrichte 2025, Betriebsstart Herbst 2026</t>
  </si>
  <si>
    <t xml:space="preserve">PM MBA Projektmanagement</t>
  </si>
  <si>
    <t xml:space="preserve">neues Unterwerk vom Betreiber finanziert, ca. 350 GWh/a</t>
  </si>
  <si>
    <t xml:space="preserve">Hot Lead: Folgephasen-IST 2027</t>
  </si>
  <si>
    <t xml:space="preserve">stackinfra.com; shn.ch 12.02.2026</t>
  </si>
  <si>
    <t xml:space="preserve">Green Zürich West 4</t>
  </si>
  <si>
    <t xml:space="preserve">Lupfig AG</t>
  </si>
  <si>
    <t xml:space="preserve">12</t>
  </si>
  <si>
    <t xml:space="preserve">Baustart 01/2025, IBN 2026 (eine Quelle: 2027)</t>
  </si>
  <si>
    <t xml:space="preserve">GU Implenia (&gt; CHF 150 Mio.)</t>
  </si>
  <si>
    <t xml:space="preserve">Abwärme ins Netz IBB</t>
  </si>
  <si>
    <t xml:space="preserve">Hot Lead: Commissioning läuft</t>
  </si>
  <si>
    <t xml:space="preserve">implenia.com 27.03.2025</t>
  </si>
  <si>
    <t xml:space="preserve">Green Metro-Campus</t>
  </si>
  <si>
    <t xml:space="preserve">Dielsdorf ZH</t>
  </si>
  <si>
    <t xml:space="preserve">Campus-Anschluss 50 MW</t>
  </si>
  <si>
    <t xml:space="preserve">RZ2/RZ3 im Bau, weiteres RZ Baustart 2026</t>
  </si>
  <si>
    <t xml:space="preserve">EKZ-UW Dielsdorf (CHF 14 Mio., 50 MW) seit 09/2025</t>
  </si>
  <si>
    <t xml:space="preserve">Baustrom 2027, IST 2028</t>
  </si>
  <si>
    <t xml:space="preserve">baublatt.ch; ekz.ch</t>
  </si>
  <si>
    <t xml:space="preserve">Digital Realty ZUR4</t>
  </si>
  <si>
    <t xml:space="preserve">Opfikon-Glattbrugg ZH</t>
  </si>
  <si>
    <t xml:space="preserve">15</t>
  </si>
  <si>
    <t xml:space="preserve">Spatenstich 27.08.2026, fertig 2028</t>
  </si>
  <si>
    <t xml:space="preserve">unbekannt: simap / Baugesuch prüfen</t>
  </si>
  <si>
    <t xml:space="preserve">investor.digitalrealty.com 27.08.2026</t>
  </si>
  <si>
    <t xml:space="preserve">Vantage ZRH3</t>
  </si>
  <si>
    <t xml:space="preserve">Volketswil ZH</t>
  </si>
  <si>
    <t xml:space="preserve">100 bis 150</t>
  </si>
  <si>
    <t xml:space="preserve">Phase 1 live 2028</t>
  </si>
  <si>
    <t xml:space="preserve">neue Unterwerke nötig, Engpass Vornetz Axpo/Swissgrid</t>
  </si>
  <si>
    <t xml:space="preserve">Beziehung aufbauen, EMEA-Beschaffung</t>
  </si>
  <si>
    <t xml:space="preserve">ekz.ch/blue 2025; datacenterdynamics.com</t>
  </si>
  <si>
    <t xml:space="preserve">NorthC Arlesheim</t>
  </si>
  <si>
    <t xml:space="preserve">Arlesheim BL</t>
  </si>
  <si>
    <t xml:space="preserve">4,5 (Ausbau 7,5)</t>
  </si>
  <si>
    <t xml:space="preserve">Betrieb ab Mitte 2027</t>
  </si>
  <si>
    <t xml:space="preserve">6 MVA, NEA mit HVO</t>
  </si>
  <si>
    <t xml:space="preserve">IST 2027</t>
  </si>
  <si>
    <t xml:space="preserve">northcdatacenters.com 11.09.2025</t>
  </si>
  <si>
    <t xml:space="preserve">NorthC «The Hive»</t>
  </si>
  <si>
    <t xml:space="preserve">4,5 (3 × 1,5)</t>
  </si>
  <si>
    <t xml:space="preserve">Baustart Q1 2026, fertig Q2 2028</t>
  </si>
  <si>
    <t xml:space="preserve">NEA mit HVO, Direct-to-Chip</t>
  </si>
  <si>
    <t xml:space="preserve">northcdatacenters.com</t>
  </si>
  <si>
    <t xml:space="preserve">FlexBase TZL</t>
  </si>
  <si>
    <t xml:space="preserve">Laufenburg AG</t>
  </si>
  <si>
    <t xml:space="preserve">bis ca. 500 (technisch, ?)</t>
  </si>
  <si>
    <t xml:space="preserve">Spatenstich 05.05.2025, Vollbetrieb Sommer 2028 (umstritten)</t>
  </si>
  <si>
    <t xml:space="preserve">ERNE Gruppe</t>
  </si>
  <si>
    <t xml:space="preserve">Swissgrid Phase 1 bewilligt, 800 MW</t>
  </si>
  <si>
    <t xml:space="preserve">Beobachten, über ERNE</t>
  </si>
  <si>
    <t xml:space="preserve">flexbase.ch; srf.ch</t>
  </si>
  <si>
    <t xml:space="preserve">Equinix ZH4 Phase 6</t>
  </si>
  <si>
    <t xml:space="preserve">?</t>
  </si>
  <si>
    <t xml:space="preserve">CHF 40 Mio., fertig 2027</t>
  </si>
  <si>
    <t xml:space="preserve">Beobachten (unter CHF 50'000)</t>
  </si>
  <si>
    <t xml:space="preserve">inside-it.ch 12.11.2024</t>
  </si>
  <si>
    <t xml:space="preserve">NTT Zurich 1</t>
  </si>
  <si>
    <t xml:space="preserve">Rümlang ZH</t>
  </si>
  <si>
    <t xml:space="preserve">20</t>
  </si>
  <si>
    <t xml:space="preserve">in Betrieb, keine Erweiterung gefunden</t>
  </si>
  <si>
    <t xml:space="preserve">–</t>
  </si>
  <si>
    <t xml:space="preserve">NEA-Tests wiederkehrend</t>
  </si>
  <si>
    <t xml:space="preserve">datacentermap.com</t>
  </si>
  <si>
    <t xml:space="preserve">ENKA Beringerfeld</t>
  </si>
  <si>
    <t xml:space="preserve">Baugesuch in Vorprüfung, Widerstand</t>
  </si>
  <si>
    <t xml:space="preserve">ENKA İnşaat</t>
  </si>
  <si>
    <t xml:space="preserve">unklar</t>
  </si>
  <si>
    <t xml:space="preserve">shaz.ch 10.08.2026</t>
  </si>
  <si>
    <t xml:space="preserve">Commissioning (IST) in Kürze</t>
  </si>
  <si>
    <t xml:space="preserve">IST Level 5: Strom, Kälte und Notstrom laufen gemeinsam auf Design-Last, Netz wird getrennt, Fehler werden simuliert.</t>
  </si>
  <si>
    <t xml:space="preserve">Lastbank-Leistung ≈ Design-IT-Last der getesteten Data Hall, dazu Heizlastbänke im White Space.</t>
  </si>
  <si>
    <t xml:space="preserve">Laststufen 25 / 50 / 75 / 100 %, danach mehrere Stunden Volllast.</t>
  </si>
  <si>
    <t xml:space="preserve">IST-Fenster typisch 4 bis 6 Wochen; 8 bis 16 Wochen von erster Energisierung bis IST-Abschluss je Data Hall.</t>
  </si>
  <si>
    <t xml:space="preserve">Mängel im IST erzwingen Re-Tests und damit erneute Lastbank-Miete.</t>
  </si>
  <si>
    <t xml:space="preserve">Quellen: anvilfield.com (IST Field Guide), sunbeltsolomon.com, hillstone.co.uk (US/UK-Fachquellen).</t>
  </si>
  <si>
    <t xml:space="preserve">Produktbedarf je Segment</t>
  </si>
  <si>
    <t xml:space="preserve">3 = Kernbedarf, 2 = häufig, 1 = gelegentlich, 0 = kaum. Einschätzung aus den Szenarien, änderbar.</t>
  </si>
  <si>
    <t xml:space="preserve">Generator</t>
  </si>
  <si>
    <t xml:space="preserve">Lastbank</t>
  </si>
  <si>
    <t xml:space="preserve">BESS</t>
  </si>
  <si>
    <t xml:space="preserve">Mobiler Trafo</t>
  </si>
  <si>
    <t xml:space="preserve">NEA-Test / USV</t>
  </si>
  <si>
    <t xml:space="preserve">Tank / HVO</t>
  </si>
  <si>
    <t xml:space="preserve">Lesart: Generator ist überall Türöffner, Lastbank im RZ, Trafo im Netz, BESS bei Events und Nachtbaustellen.</t>
  </si>
  <si>
    <t xml:space="preserve">Portfolio Power und Cross-Sell</t>
  </si>
  <si>
    <t xml:space="preserve">Was wir vermieten, wofür, an wen. Kennwerte laut Quelle; fehlende Werte als Lücke markiert.</t>
  </si>
  <si>
    <t xml:space="preserve">Produkt</t>
  </si>
  <si>
    <t xml:space="preserve">Wofür</t>
  </si>
  <si>
    <t xml:space="preserve">Typische Kunden</t>
  </si>
  <si>
    <t xml:space="preserve">Kennwerte / Hinweis</t>
  </si>
  <si>
    <t xml:space="preserve">Baustrom, Netzersatz, Events, Überbrückung bis Netzanschluss</t>
  </si>
  <si>
    <t xml:space="preserve">GU/TU, Tunnel, RZ im Bau, Events, Netzbetreiber</t>
  </si>
  <si>
    <t xml:space="preserve">Aggreko CH: 30 bis 2'100 kVA, Diesel, Gas, HVO, Stage V. Immer klären: Prime (Dauer) oder Standby (Notstrom).</t>
  </si>
  <si>
    <t xml:space="preserve">aggreko.com/de-ch/products/generators</t>
  </si>
  <si>
    <t xml:space="preserve">Künstliche Last für NEA-Tests und RZ-Commissioning (IST)</t>
  </si>
  <si>
    <t xml:space="preserve">RZ, Spitäler, Pharma, Facility Manager</t>
  </si>
  <si>
    <t xml:space="preserve">Aggreko: 100 bis 6'250 kW, Commissioning Level L1 bis L5, flüssigkeitsgekühlte Varianten für KI-RZ.</t>
  </si>
  <si>
    <t xml:space="preserve">aggreko.com (Data Centre Commissioning, Load Banks)</t>
  </si>
  <si>
    <t xml:space="preserve">Leise, emissionsfreie Versorgung, Lastspitzen kappen, Hybrid mit Generator</t>
  </si>
  <si>
    <t xml:space="preserve">Events, Nachtbaustellen, Innenstadt, Spitäler</t>
  </si>
  <si>
    <t xml:space="preserve">Beispiel Aggreko: 1 MW / 1,2 MWh. Immer nutzbare Kapazität (kWh) und C-Rate angeben, nicht Nennkapazität.</t>
  </si>
  <si>
    <t xml:space="preserve">aggreko.com</t>
  </si>
  <si>
    <t xml:space="preserve">Provisorische Einspeisung MS/NS bei Unterwerk- und Stationsumbau</t>
  </si>
  <si>
    <t xml:space="preserve">Netzbetreiber, Industrie, Grossbaustellen</t>
  </si>
  <si>
    <t xml:space="preserve">Bei MiT nicht belegt, über Aggreko prüfen. Mietsatz: Wert fehlt, aus Preisliste ergänzen.</t>
  </si>
  <si>
    <t xml:space="preserve">NEA-Test und Messung</t>
  </si>
  <si>
    <t xml:space="preserve">Netzersatzanlage unter Last prüfen, Netzqualität vor und nach Umschaltung messen</t>
  </si>
  <si>
    <t xml:space="preserve">Spitäler, Industrie, RZ, Facility Manager</t>
  </si>
  <si>
    <t xml:space="preserve">Messung nach EN 50160 (Spannungsmerkmale) mit Geräten nach IEC 61000-4-30 Klasse A.</t>
  </si>
  <si>
    <t xml:space="preserve">eigene Fachkompetenz</t>
  </si>
  <si>
    <t xml:space="preserve">Tankcontainer / HVO</t>
  </si>
  <si>
    <t xml:space="preserve">Treibstoff-Logistik für Dauerbetrieb, erneuerbarer Diesel</t>
  </si>
  <si>
    <t xml:space="preserve">Tunnel, RZ-Überbrückung, Events</t>
  </si>
  <si>
    <t xml:space="preserve">1 MVA bei 75 % Last: ca. 139 bis 154 l/h (Cummins C1000 D5), rund CHF 350 pro Stunde bei 2,41 CHF/l.</t>
  </si>
  <si>
    <t xml:space="preserve">Cummins-Datenblatt; TCS 18.09.2026</t>
  </si>
  <si>
    <t xml:space="preserve">Bauheizung, Trocknung, temporäre Kühlung, Zeltheizung, Entfeuchtung</t>
  </si>
  <si>
    <t xml:space="preserve">Winterbaustellen, RZ-IST, Spital-Umzug, WEF, Ski-WM</t>
  </si>
  <si>
    <t xml:space="preserve">MiT-Kerngeschäft. Kühlung Richtwert ca. CHF 16'400 pro MW (therm.) und Monat (US-Lease, umgerechnet).</t>
  </si>
  <si>
    <t xml:space="preserve">mobilintime.com; kwipped.com</t>
  </si>
  <si>
    <t xml:space="preserve">Annahmen: Mietsätze und Schwellen</t>
  </si>
  <si>
    <t xml:space="preserve">Stand 27.09.2026  |  gelbe Zellen = Eingaben  |  Spalte E «MiT-Satz» überschreibt den Richtwert</t>
  </si>
  <si>
    <t xml:space="preserve">Parameter</t>
  </si>
  <si>
    <t xml:space="preserve">Richtwert</t>
  </si>
  <si>
    <t xml:space="preserve">Einheit</t>
  </si>
  <si>
    <t xml:space="preserve">Quelle / Herleitung</t>
  </si>
  <si>
    <t xml:space="preserve">MiT-Satz (eintragen)</t>
  </si>
  <si>
    <t xml:space="preserve">gilt</t>
  </si>
  <si>
    <t xml:space="preserve">Wechselkurs USD/CHF</t>
  </si>
  <si>
    <t xml:space="preserve">CHF je USD</t>
  </si>
  <si>
    <t xml:space="preserve">Stichdatum 24.09.2026: 1 USD = 0,828 CHF (exchangerates.org.uk / Wise)</t>
  </si>
  <si>
    <t xml:space="preserve">cos phi (Generator-Nennleistung)</t>
  </si>
  <si>
    <t xml:space="preserve">Standard 0,8: 1 MVA ≈ 0,8 MW Wirkleistung</t>
  </si>
  <si>
    <t xml:space="preserve">Generator Miete, tief</t>
  </si>
  <si>
    <t xml:space="preserve">USD pro MW und Woche</t>
  </si>
  <si>
    <t xml:space="preserve">US-Richtwert 500 kW: 2'500-3'900 USD/Woche, hochgerechnet auf 1 MW (dieselfuelhq.com, 2026)</t>
  </si>
  <si>
    <t xml:space="preserve">Generator Miete, hoch</t>
  </si>
  <si>
    <t xml:space="preserve">wie oben</t>
  </si>
  <si>
    <t xml:space="preserve">Generator Miete (Modell)</t>
  </si>
  <si>
    <t xml:space="preserve">CHF pro MVA und Woche</t>
  </si>
  <si>
    <t xml:space="preserve">Mittelwert × cos phi × Kurs. Nur Grössenordnung, durch MiT-Preisliste ersetzen</t>
  </si>
  <si>
    <t xml:space="preserve">Lastbank Miete, tief</t>
  </si>
  <si>
    <t xml:space="preserve">US-Richtwert 1-MW-Lastbank: 1'600-3'100 USD/Woche (countbricks.com, 2026)</t>
  </si>
  <si>
    <t xml:space="preserve">Lastbank Miete, hoch</t>
  </si>
  <si>
    <t xml:space="preserve">Lastbank Miete (Modell)</t>
  </si>
  <si>
    <t xml:space="preserve">CHF pro MW und Woche</t>
  </si>
  <si>
    <t xml:space="preserve">Mittelwert × Kurs. Ohne Personal/Engineering für IST</t>
  </si>
  <si>
    <t xml:space="preserve">BESS Miete, tief</t>
  </si>
  <si>
    <t xml:space="preserve">USD pro MW und Monat</t>
  </si>
  <si>
    <t xml:space="preserve">Bandbreite 10'000-50'000 USD/MW/Monat (ritarpower.com, Herstellerblog, nicht belastbar)</t>
  </si>
  <si>
    <t xml:space="preserve">BESS Miete, hoch</t>
  </si>
  <si>
    <t xml:space="preserve">BESS Miete (Modell)</t>
  </si>
  <si>
    <t xml:space="preserve">CHF pro MW und Monat</t>
  </si>
  <si>
    <t xml:space="preserve">Mittelwert × Kurs. Nutzbare Kapazität und C-Rate je Projekt klären</t>
  </si>
  <si>
    <t xml:space="preserve">Mobiler Trafo Miete</t>
  </si>
  <si>
    <t xml:space="preserve">Wert fehlt</t>
  </si>
  <si>
    <t xml:space="preserve">CHF pro Woche</t>
  </si>
  <si>
    <t xml:space="preserve">Öffentlich nicht gefunden: aus MiT-Preisliste ergänzen. Nicht im Potenzial enthalten</t>
  </si>
  <si>
    <t xml:space="preserve">Transport, Montage, Service</t>
  </si>
  <si>
    <t xml:space="preserve">CHF</t>
  </si>
  <si>
    <t xml:space="preserve">Nicht im Potenzial enthalten: aus MiT-Preisliste ergänzen</t>
  </si>
  <si>
    <t xml:space="preserve">Dieselverbrauch 1 MVA bei 75 % Last</t>
  </si>
  <si>
    <t xml:space="preserve">l/h</t>
  </si>
  <si>
    <t xml:space="preserve">Cummins C1000 D5: 139 l/h Prime, 154 l/h Standby (Datenblatt)</t>
  </si>
  <si>
    <t xml:space="preserve">Dieselpreis Schweiz</t>
  </si>
  <si>
    <t xml:space="preserve">CHF/l</t>
  </si>
  <si>
    <t xml:space="preserve">TCS 18.09.2026: 2,41 CHF/l (Tankstelle, Gewerbepreis tiefer)</t>
  </si>
  <si>
    <t xml:space="preserve">Treibstoffkosten 1 MVA bei 75 % Last</t>
  </si>
  <si>
    <t xml:space="preserve">CHF pro Stunde</t>
  </si>
  <si>
    <t xml:space="preserve">Argument für BESS-Hybrid: jede Stunde Generator-Leerlauf kostet</t>
  </si>
  <si>
    <t xml:space="preserve">Temporäre Kühlung (Cross-Sell)</t>
  </si>
  <si>
    <t xml:space="preserve">CHF pro MW (therm.) und Monat</t>
  </si>
  <si>
    <t xml:space="preserve">US-Lease 500 t Chiller (ca. 1,75 MW) 34'666 USD/Monat (kwipped.com). Nur Info</t>
  </si>
  <si>
    <t xml:space="preserve">Prio A ab Erwartung 2027</t>
  </si>
  <si>
    <t xml:space="preserve">Erwartung = Potenzial × Anteil 2027 × Wahrscheinlichkeit</t>
  </si>
  <si>
    <t xml:space="preserve">Prio B ab Erwartung 2027</t>
  </si>
  <si>
    <t xml:space="preserve">darunter Prio C</t>
  </si>
  <si>
    <t xml:space="preserve">Schwelle Top-Player (Potenzial)</t>
  </si>
  <si>
    <t xml:space="preserve">Vorgabe: Projekte mit mehr als CHF 50'000 Potenzial</t>
  </si>
  <si>
    <t xml:space="preserve">Unter CHF 50'000, zu früh oder zu unsicher. Quartalsweise prüfen, bei neuem Anlass in «Top-Player» übernehmen.</t>
  </si>
  <si>
    <t xml:space="preserve">Warum (noch) nicht Top</t>
  </si>
  <si>
    <t xml:space="preserve">CHF 40 Mio. Ausbau, fertig 2027. Kleiner Commissioning-Umfang.</t>
  </si>
  <si>
    <t xml:space="preserve">ENKA Rechenzentrum Beringerfeld</t>
  </si>
  <si>
    <t xml:space="preserve">Baugesuch in Vorprüfung, starker Widerstand.</t>
  </si>
  <si>
    <t xml:space="preserve">Microsoft / AWS / Google Cloud-Regionen</t>
  </si>
  <si>
    <t xml:space="preserve">Zürich / Genf</t>
  </si>
  <si>
    <t xml:space="preserve">Standorte nicht öffentlich, meist Colocation: Zugang über Green, Vantage, STACK.</t>
  </si>
  <si>
    <t xml:space="preserve">Swiss Government Cloud (BIT)</t>
  </si>
  <si>
    <t xml:space="preserve">Bund</t>
  </si>
  <si>
    <t xml:space="preserve">CHF 319 Mio. 2025-2032, Private Cloud in eigenen RZ.</t>
  </si>
  <si>
    <t xml:space="preserve">Alpiq BESS Niedergösgen 300 MW / 1,2 GWh</t>
  </si>
  <si>
    <t xml:space="preserve">Niedergösgen SO</t>
  </si>
  <si>
    <t xml:space="preserve">Bau 2027, IBN 2029: Baustrom klein, Partner-Thema BESS.</t>
  </si>
  <si>
    <t xml:space="preserve">BESS Bonaduz 60 MW / 120 MWh</t>
  </si>
  <si>
    <t xml:space="preserve">Bonaduz GR</t>
  </si>
  <si>
    <t xml:space="preserve">COD H1 2027, Commissioning-Support prüfen.</t>
  </si>
  <si>
    <t xml:space="preserve">Spital Sion Erweiterung</t>
  </si>
  <si>
    <t xml:space="preserve">OP-Bündelung bis Ende 2027, Umfang eher unter CHF 50'000.</t>
  </si>
  <si>
    <t xml:space="preserve">Swiss Chip FabLab Dübendorf</t>
  </si>
  <si>
    <t xml:space="preserve">Dübendorf ZH</t>
  </si>
  <si>
    <t xml:space="preserve">Finanzierung offen, Betrieb ab 2028 geplant.</t>
  </si>
  <si>
    <t xml:space="preserve">Weltcup Adelboden und Lauberhorn</t>
  </si>
  <si>
    <t xml:space="preserve">Adelboden / Wengen BE</t>
  </si>
  <si>
    <t xml:space="preserve">Je unter CHF 50'000 Miete, zusammen interessant. BKW Sponsor Lauberhorn.</t>
  </si>
  <si>
    <t xml:space="preserve">Sommer-Openairs (St.Gallen, Frauenfeld, Gurten, Paléo, Montreux)</t>
  </si>
  <si>
    <t xml:space="preserve">Einzeln meist unter CHF 50'000, als Saisonpaket prüfen.</t>
  </si>
  <si>
    <t xml:space="preserve">Art Basel 2027</t>
  </si>
  <si>
    <t xml:space="preserve">Basel</t>
  </si>
  <si>
    <t xml:space="preserve">Satelliten-Pavillons, Umfang unklar.</t>
  </si>
  <si>
    <t xml:space="preserve">Zimmerberg-Basistunnel II</t>
  </si>
  <si>
    <t xml:space="preserve">Thalwil-Baar</t>
  </si>
  <si>
    <t xml:space="preserve">Bau ab 2029.</t>
  </si>
  <si>
    <t xml:space="preserve">Stadion Hardturm Zürich</t>
  </si>
  <si>
    <t xml:space="preserve">Baubeginn frühestens 2027/28.</t>
  </si>
  <si>
    <t xml:space="preserve">Facility Manager</t>
  </si>
  <si>
    <t xml:space="preserve">ISS, CBRE, Honegger (NEA-Test-Programme)</t>
  </si>
  <si>
    <t xml:space="preserve">Wiederkehrende NEA-Tests, je Objekt klein: als Rahmen prüfen.</t>
  </si>
  <si>
    <t xml:space="preserve">Elektroplaner</t>
  </si>
  <si>
    <t xml:space="preserve">Amstein + Walthert, HHM, Scherler</t>
  </si>
  <si>
    <t xml:space="preserve">Kaufen nicht selbst, schreiben aber Notstrom und Lastbank-Tests aus.</t>
  </si>
  <si>
    <t xml:space="preserve">Wettbewerb mobiler Strom Schweiz</t>
  </si>
  <si>
    <t xml:space="preserve">Aus Websuche, Angaben auf der verlinkten Seite prüfen.</t>
  </si>
  <si>
    <t xml:space="preserve">Anbieter</t>
  </si>
  <si>
    <t xml:space="preserve">Angebot</t>
  </si>
  <si>
    <t xml:space="preserve">Avesco Rent (Cat)</t>
  </si>
  <si>
    <t xml:space="preserve">Cat-Generatoren, z.B. XQP500 (550 kVA)</t>
  </si>
  <si>
    <t xml:space="preserve">Bimex</t>
  </si>
  <si>
    <t xml:space="preserve">Aggregate bis 2'000 kVA, netzparallel</t>
  </si>
  <si>
    <t xml:space="preserve">GENGA AG</t>
  </si>
  <si>
    <t xml:space="preserve">bis 670 kVA, auf Anfrage bis 2'500 kVA</t>
  </si>
  <si>
    <t xml:space="preserve">Kummler+Matter EVT</t>
  </si>
  <si>
    <t xml:space="preserve">Mobile Trafostationen MS/NS (Partner und Wettbewerber)</t>
  </si>
  <si>
    <t xml:space="preserve">Arag Bau</t>
  </si>
  <si>
    <t xml:space="preserve">Generatoren 20 bis 608 kVA</t>
  </si>
  <si>
    <t xml:space="preserve">Loxam CH / Boels CH</t>
  </si>
  <si>
    <t xml:space="preserve">Generatoren bis ca. 150 kVA</t>
  </si>
  <si>
    <t xml:space="preserve">Energyst (Cat Rental Power)</t>
  </si>
  <si>
    <t xml:space="preserve">Generatoren, Trafos, Lastbänke; CH vermutlich über Avesco</t>
  </si>
  <si>
    <t xml:space="preserve">Glossar: Abkürzungen</t>
  </si>
  <si>
    <t xml:space="preserve">Gleiche Liste wie im Anhang der Präsentation.</t>
  </si>
  <si>
    <t xml:space="preserve">Kürzel</t>
  </si>
  <si>
    <t xml:space="preserve">Bedeutung</t>
  </si>
  <si>
    <t xml:space="preserve">Battery Energy Storage System, Batteriespeicher</t>
  </si>
  <si>
    <t xml:space="preserve">NEA</t>
  </si>
  <si>
    <t xml:space="preserve">Netzersatzanlage (Notstromaggregat)</t>
  </si>
  <si>
    <t xml:space="preserve">USV</t>
  </si>
  <si>
    <t xml:space="preserve">Unterbrechungsfreie Stromversorgung</t>
  </si>
  <si>
    <t xml:space="preserve">IST / L1-L5</t>
  </si>
  <si>
    <t xml:space="preserve">Integrated Systems Test, RZ-Gesamttest = Level 5</t>
  </si>
  <si>
    <t xml:space="preserve">kVA / MVA</t>
  </si>
  <si>
    <t xml:space="preserve">Scheinleistung (Nennleistung Generator)</t>
  </si>
  <si>
    <t xml:space="preserve">kW / MW</t>
  </si>
  <si>
    <t xml:space="preserve">Wirkleistung; bei cos phi 0,8: 1 MVA ≈ 0,8 MW</t>
  </si>
  <si>
    <t xml:space="preserve">IT-MW</t>
  </si>
  <si>
    <t xml:space="preserve">Elektrische Leistung der Server im RZ</t>
  </si>
  <si>
    <t xml:space="preserve">UW / GIS</t>
  </si>
  <si>
    <t xml:space="preserve">Unterwerk / gasisolierte Schaltanlage</t>
  </si>
  <si>
    <t xml:space="preserve">HS / MS / NS</t>
  </si>
  <si>
    <t xml:space="preserve">Hoch-, Mittel-, Niederspannung</t>
  </si>
  <si>
    <t xml:space="preserve">HVO</t>
  </si>
  <si>
    <t xml:space="preserve">Hydriertes Pflanzenöl, erneuerbarer Diesel</t>
  </si>
  <si>
    <t xml:space="preserve">TBM / BSA</t>
  </si>
  <si>
    <t xml:space="preserve">Tunnelbohrmaschine / Tunnel-Sicherheitstechnik</t>
  </si>
  <si>
    <t xml:space="preserve">RZ</t>
  </si>
  <si>
    <t xml:space="preserve">GU / TU / ARGE</t>
  </si>
  <si>
    <t xml:space="preserve">General-, Totalunternehmer / Arbeitsgemeinschaft</t>
  </si>
  <si>
    <t xml:space="preserve">IBN / PM</t>
  </si>
  <si>
    <t xml:space="preserve">Inbetriebnahme / Projektmanagement</t>
  </si>
  <si>
    <t xml:space="preserve">IVöB / simap</t>
  </si>
  <si>
    <t xml:space="preserve">Beschaffungsrecht / Ausschreibungsportal</t>
  </si>
  <si>
    <t xml:space="preserve">EMEA</t>
  </si>
  <si>
    <t xml:space="preserve">Europa, Nahost, Afrika: zentraler Einkauf</t>
  </si>
  <si>
    <t xml:space="preserve">GMP</t>
  </si>
  <si>
    <t xml:space="preserve">Good Manufacturing Practice (Pharma-Regeln)</t>
  </si>
  <si>
    <t xml:space="preserve">ASTRA / SBB</t>
  </si>
  <si>
    <t xml:space="preserve">Bundesamt für Strassen / Schweizerische Bundesbahnen</t>
  </si>
  <si>
    <t xml:space="preserve">EKZ / ewz / CKW / IWB</t>
  </si>
  <si>
    <t xml:space="preserve">Stromversorger Kt. Zürich, Stadt Zürich, Zentralschweiz, Basel</t>
  </si>
  <si>
    <t xml:space="preserve">KWO / KSA / USZ / KSSG</t>
  </si>
  <si>
    <t xml:space="preserve">Kraftwerke Oberhasli; Spitäler Aarau, Zürich, St.Gallen</t>
  </si>
  <si>
    <t xml:space="preserve">WEF / FIS / ESAF</t>
  </si>
  <si>
    <t xml:space="preserve">World Economic Forum / Ski-Weltverband / Schwingfest</t>
  </si>
  <si>
    <t xml:space="preserve">CRM / FX</t>
  </si>
  <si>
    <t xml:space="preserve">Kundendatenbank / Wechselkurs</t>
  </si>
  <si>
    <t xml:space="preserve">Methode und Quellen</t>
  </si>
  <si>
    <t xml:space="preserve">Stand 27.09.2026</t>
  </si>
  <si>
    <t xml:space="preserve">Auswahl</t>
  </si>
  <si>
    <t xml:space="preserve">Websuche 27.09.2026 zu Rechenzentren, Grossbaustellen, Unterwerken, Spitälern, Pharma und Events 2026-2028 in der Schweiz.</t>
  </si>
  <si>
    <t xml:space="preserve">Aufgenommen, wenn das Power-Szenario mehr als CHF 50'000 Miete ergibt. Alles andere steht in «Beobachten».</t>
  </si>
  <si>
    <t xml:space="preserve">Szenario</t>
  </si>
  <si>
    <t xml:space="preserve">Je Projekt: Generator MVA × Wochen, Lastbank MW × Wochen, BESS MW × Monate. Grössen sind eigene Annahmen aus den öffentlichen Fakten</t>
  </si>
  <si>
    <t xml:space="preserve">(z.B. Lastbank für IST ≈ IT-Last einer Data Hall, 3-4 Wochen; Tunnel-Backup 52 Wochen). Blaue Zellen anpassen, sobald ihr mehr wisst.</t>
  </si>
  <si>
    <t xml:space="preserve">Sätze</t>
  </si>
  <si>
    <t xml:space="preserve">Öffentliche Listenpreise ab 100 kVA gibt es in CH/DE/AT nicht (nur auf Anfrage). Genutzt werden US-Richtwerte, umgerechnet 0,828 CHF/USD (24.09.2026).</t>
  </si>
  <si>
    <t xml:space="preserve">Diese Werte sind Grössenordnung, keine Offertenbasis. MiT-Sätze in «Annahmen» Spalte E eintragen.</t>
  </si>
  <si>
    <t xml:space="preserve">Welcher Teil des Volumens ins Kalenderjahr 2027 fällt (Bau- bzw. Eventtermine aus den Quellen).</t>
  </si>
  <si>
    <t xml:space="preserve">Events und alpine Solar-Baustellen sind einzeln meist unter CHF 50'000. Sie sind zu Paketen gebündelt; ein Paket steht in «Top-Player», </t>
  </si>
  <si>
    <t xml:space="preserve">wenn es über CHF 50'000 liegt. Paketwerte rechnen per Formel aus den Blättern «Events 2027» und «EVU &amp; Energie 2027».</t>
  </si>
  <si>
    <t xml:space="preserve">Erweiterung</t>
  </si>
  <si>
    <t xml:space="preserve">29.09.2026: 56 Events und 47 EVU-/Energieprojekte ergänzt (Websuche, Quellen je Zeile).</t>
  </si>
  <si>
    <t xml:space="preserve">Wahrscheinlichkeit</t>
  </si>
  <si>
    <t xml:space="preserve">Chance, dass MiT den Auftrag gewinnt: 10 % (EMEA-Beschaffung, unsicherer Zeitplan) bis 30 % (konkreter Anlass, Region nah).</t>
  </si>
  <si>
    <t xml:space="preserve">Commissioning</t>
  </si>
  <si>
    <t xml:space="preserve">Integrated Systems Test (Level 5): Last ≈ Design-IT-Last, Stufen 25/50/75/100 %, IST-Fenster 4-6 Wochen (anvilfield.com, sunbeltsolomon.com).</t>
  </si>
  <si>
    <t xml:space="preserve">Netzengpass</t>
  </si>
  <si>
    <t xml:space="preserve">EKZ: über 100 Anschlussanfragen von RZ, 6 von 9 neuen Unterwerken entstehen für RZ, Engpass im Vornetz Axpo/Swissgrid (ekz.ch, 2025).</t>
  </si>
  <si>
    <t xml:space="preserve">Nicht enthalten</t>
  </si>
  <si>
    <t xml:space="preserve">Trafo-Miete, Transport, Montage, Service, Treibstoff: Potenzial ist bewusst konservativ.</t>
  </si>
  <si>
    <t xml:space="preserve">Kundenstatus</t>
  </si>
  <si>
    <t xml:space="preserve">MiT-Status (Bestand, verloren, Aufbau) ist nicht öffentlich: Spalte «Status MiT (CRM)» aus dem CRM füllen.</t>
  </si>
  <si>
    <t xml:space="preserve">Vertraulich</t>
  </si>
  <si>
    <t xml:space="preserve">Interne Arbeitsliste. Keine Weitergabe an Kunden.</t>
  </si>
  <si>
    <t xml:space="preserve">Team</t>
  </si>
  <si>
    <t xml:space="preserve">Burak</t>
  </si>
  <si>
    <t xml:space="preserve">Mauro</t>
  </si>
  <si>
    <t xml:space="preserve">A-Kunde</t>
  </si>
  <si>
    <t xml:space="preserve">Jörg</t>
  </si>
  <si>
    <t xml:space="preserve">Bestandskunde mit Potenzial</t>
  </si>
  <si>
    <t xml:space="preserve">Roberto</t>
  </si>
  <si>
    <t xml:space="preserve">Verlorener Kunde</t>
  </si>
  <si>
    <t xml:space="preserve">Potenzial / Aufbau</t>
  </si>
</sst>
</file>

<file path=xl/styles.xml><?xml version="1.0" encoding="utf-8"?>
<styleSheet xmlns="http://schemas.openxmlformats.org/spreadsheetml/2006/main">
  <numFmts count="11">
    <numFmt numFmtId="164" formatCode="General"/>
    <numFmt numFmtId="165" formatCode="0"/>
    <numFmt numFmtId="166" formatCode="#,##0;\-#,##0;\-"/>
    <numFmt numFmtId="167" formatCode="0%"/>
    <numFmt numFmtId="168" formatCode="General"/>
    <numFmt numFmtId="169" formatCode="#,##0"/>
    <numFmt numFmtId="170" formatCode="0.0"/>
    <numFmt numFmtId="171" formatCode="dd\.mm\.yyyy"/>
    <numFmt numFmtId="172" formatCode="0.000"/>
    <numFmt numFmtId="173" formatCode="0.00"/>
    <numFmt numFmtId="174" formatCode="@"/>
  </numFmts>
  <fonts count="31">
    <font>
      <sz val="11"/>
      <color theme="1"/>
      <name val="Calibri"/>
      <family val="2"/>
      <charset val="1"/>
    </font>
    <font>
      <sz val="10"/>
      <name val="Arial"/>
      <family val="0"/>
    </font>
    <font>
      <sz val="10"/>
      <name val="Arial"/>
      <family val="0"/>
    </font>
    <font>
      <sz val="10"/>
      <name val="Arial"/>
      <family val="0"/>
    </font>
    <font>
      <b val="true"/>
      <sz val="18"/>
      <color rgb="FF000000"/>
      <name val="Arial"/>
      <family val="0"/>
      <charset val="1"/>
    </font>
    <font>
      <i val="true"/>
      <sz val="9"/>
      <color rgb="FF58595B"/>
      <name val="Arial"/>
      <family val="0"/>
      <charset val="1"/>
    </font>
    <font>
      <b val="true"/>
      <sz val="12"/>
      <color rgb="FFE00036"/>
      <name val="Arial"/>
      <family val="0"/>
      <charset val="1"/>
    </font>
    <font>
      <sz val="11"/>
      <color rgb="FF000000"/>
      <name val="Arial"/>
      <family val="0"/>
      <charset val="1"/>
    </font>
    <font>
      <b val="true"/>
      <sz val="9"/>
      <color rgb="FFFFFFFF"/>
      <name val="Arial"/>
      <family val="0"/>
      <charset val="1"/>
    </font>
    <font>
      <b val="true"/>
      <sz val="18"/>
      <color rgb="FFFFFFFF"/>
      <name val="Arial"/>
      <family val="0"/>
      <charset val="1"/>
    </font>
    <font>
      <b val="true"/>
      <sz val="10"/>
      <color rgb="FFFFFFFF"/>
      <name val="Arial"/>
      <family val="0"/>
      <charset val="1"/>
    </font>
    <font>
      <sz val="10"/>
      <name val="Arial"/>
      <family val="0"/>
      <charset val="1"/>
    </font>
    <font>
      <b val="true"/>
      <sz val="10"/>
      <name val="Arial"/>
      <family val="0"/>
      <charset val="1"/>
    </font>
    <font>
      <b val="true"/>
      <u val="single"/>
      <sz val="10"/>
      <color rgb="FF0563C1"/>
      <name val="Arial"/>
      <family val="0"/>
      <charset val="1"/>
    </font>
    <font>
      <b val="true"/>
      <sz val="18"/>
      <color rgb="FF000000"/>
      <name val="Calibri"/>
      <family val="2"/>
    </font>
    <font>
      <sz val="10"/>
      <color rgb="FF000000"/>
      <name val="Calibri"/>
      <family val="2"/>
    </font>
    <font>
      <sz val="9"/>
      <color rgb="FF0000FF"/>
      <name val="Arial"/>
      <family val="0"/>
      <charset val="1"/>
    </font>
    <font>
      <sz val="9"/>
      <color rgb="FF000000"/>
      <name val="Arial"/>
      <family val="0"/>
      <charset val="1"/>
    </font>
    <font>
      <b val="true"/>
      <sz val="9"/>
      <color rgb="FF000000"/>
      <name val="Arial"/>
      <family val="0"/>
      <charset val="1"/>
    </font>
    <font>
      <u val="single"/>
      <sz val="9"/>
      <color rgb="FF0563C1"/>
      <name val="Arial"/>
      <family val="0"/>
      <charset val="1"/>
    </font>
    <font>
      <sz val="10"/>
      <color rgb="FF000000"/>
      <name val="Arial"/>
      <family val="0"/>
      <charset val="1"/>
    </font>
    <font>
      <b val="true"/>
      <sz val="10"/>
      <color rgb="FF000000"/>
      <name val="Arial"/>
      <family val="0"/>
      <charset val="1"/>
    </font>
    <font>
      <sz val="10"/>
      <color rgb="FF0000FF"/>
      <name val="Arial"/>
      <family val="0"/>
      <charset val="1"/>
    </font>
    <font>
      <i val="true"/>
      <sz val="9"/>
      <name val="Arial"/>
      <family val="0"/>
      <charset val="1"/>
    </font>
    <font>
      <sz val="10"/>
      <color rgb="FFE00036"/>
      <name val="Arial"/>
      <family val="0"/>
      <charset val="1"/>
    </font>
    <font>
      <i val="true"/>
      <sz val="10"/>
      <name val="Arial"/>
      <family val="0"/>
      <charset val="1"/>
    </font>
    <font>
      <b val="true"/>
      <sz val="10"/>
      <color rgb="FF0000FF"/>
      <name val="Arial"/>
      <family val="0"/>
      <charset val="1"/>
    </font>
    <font>
      <sz val="9"/>
      <name val="Arial"/>
      <family val="0"/>
      <charset val="1"/>
    </font>
    <font>
      <b val="true"/>
      <sz val="9"/>
      <name val="Arial"/>
      <family val="0"/>
      <charset val="1"/>
    </font>
    <font>
      <u val="single"/>
      <sz val="10"/>
      <color rgb="FF0563C1"/>
      <name val="Arial"/>
      <family val="0"/>
      <charset val="1"/>
    </font>
    <font>
      <b val="true"/>
      <sz val="10"/>
      <color rgb="FFE00036"/>
      <name val="Arial"/>
      <family val="0"/>
      <charset val="1"/>
    </font>
  </fonts>
  <fills count="5">
    <fill>
      <patternFill patternType="none"/>
    </fill>
    <fill>
      <patternFill patternType="gray125"/>
    </fill>
    <fill>
      <patternFill patternType="solid">
        <fgColor rgb="FF58595B"/>
        <bgColor rgb="FF333333"/>
      </patternFill>
    </fill>
    <fill>
      <patternFill patternType="solid">
        <fgColor rgb="FFE00036"/>
        <bgColor rgb="FF800000"/>
      </patternFill>
    </fill>
    <fill>
      <patternFill patternType="solid">
        <fgColor rgb="FFFFFF00"/>
        <bgColor rgb="FFFFFF00"/>
      </patternFill>
    </fill>
  </fills>
  <borders count="2">
    <border diagonalUp="false" diagonalDown="false">
      <left/>
      <right/>
      <top/>
      <bottom/>
      <diagonal/>
    </border>
    <border diagonalUp="false" diagonalDown="false">
      <left style="thin">
        <color rgb="FFD6D6D6"/>
      </left>
      <right style="thin">
        <color rgb="FFD6D6D6"/>
      </right>
      <top style="thin">
        <color rgb="FFD6D6D6"/>
      </top>
      <bottom style="thin">
        <color rgb="FFD6D6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center" textRotation="0" wrapText="false" indent="0" shrinkToFit="false"/>
      <protection locked="true" hidden="false"/>
    </xf>
    <xf numFmtId="164" fontId="8" fillId="3" borderId="0" xfId="0" applyFont="true" applyBorder="true" applyAlignment="true" applyProtection="false">
      <alignment horizontal="center" vertical="center" textRotation="0" wrapText="false" indent="0" shrinkToFit="false"/>
      <protection locked="true" hidden="false"/>
    </xf>
    <xf numFmtId="165" fontId="9" fillId="2" borderId="0" xfId="0" applyFont="true" applyBorder="true" applyAlignment="true" applyProtection="false">
      <alignment horizontal="center" vertical="center" textRotation="0" wrapText="false" indent="0" shrinkToFit="false"/>
      <protection locked="true" hidden="false"/>
    </xf>
    <xf numFmtId="166" fontId="9" fillId="2" borderId="0" xfId="0" applyFont="true" applyBorder="true" applyAlignment="true" applyProtection="false">
      <alignment horizontal="center" vertical="center" textRotation="0" wrapText="false" indent="0" shrinkToFit="false"/>
      <protection locked="true" hidden="false"/>
    </xf>
    <xf numFmtId="166" fontId="9" fillId="3" borderId="0"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8" fontId="17" fillId="0" borderId="1" xfId="0" applyFont="true" applyBorder="true" applyAlignment="true" applyProtection="false">
      <alignment horizontal="center" vertical="top" textRotation="0" wrapText="false" indent="0" shrinkToFit="false"/>
      <protection locked="true" hidden="false"/>
    </xf>
    <xf numFmtId="164" fontId="17" fillId="0" borderId="1" xfId="0" applyFont="true" applyBorder="true" applyAlignment="true" applyProtection="false">
      <alignment horizontal="center" vertical="top"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false" indent="0" shrinkToFit="false"/>
      <protection locked="true" hidden="false"/>
    </xf>
    <xf numFmtId="170" fontId="16" fillId="0" borderId="1" xfId="0" applyFont="true" applyBorder="true" applyAlignment="true" applyProtection="false">
      <alignment horizontal="general" vertical="top" textRotation="0" wrapText="false" indent="0" shrinkToFit="false"/>
      <protection locked="true" hidden="false"/>
    </xf>
    <xf numFmtId="164" fontId="16" fillId="0" borderId="1" xfId="0" applyFont="true" applyBorder="true" applyAlignment="true" applyProtection="false">
      <alignment horizontal="general" vertical="top" textRotation="0" wrapText="false" indent="0" shrinkToFit="false"/>
      <protection locked="true" hidden="false"/>
    </xf>
    <xf numFmtId="166" fontId="17" fillId="0" borderId="1" xfId="0" applyFont="true" applyBorder="true" applyAlignment="true" applyProtection="false">
      <alignment horizontal="general" vertical="top" textRotation="0" wrapText="false" indent="0" shrinkToFit="false"/>
      <protection locked="true" hidden="false"/>
    </xf>
    <xf numFmtId="167" fontId="16" fillId="0" borderId="1" xfId="0" applyFont="true" applyBorder="true" applyAlignment="true" applyProtection="false">
      <alignment horizontal="general" vertical="top" textRotation="0" wrapText="false" indent="0" shrinkToFit="false"/>
      <protection locked="true" hidden="false"/>
    </xf>
    <xf numFmtId="166" fontId="18" fillId="0" borderId="1" xfId="0" applyFont="true" applyBorder="true" applyAlignment="true" applyProtection="false">
      <alignment horizontal="general" vertical="top" textRotation="0" wrapText="fals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71" fontId="16" fillId="0" borderId="1" xfId="0" applyFont="true" applyBorder="tru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fals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71" fontId="20"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general" vertical="top" textRotation="0" wrapText="true" indent="0" shrinkToFit="false"/>
      <protection locked="true" hidden="false"/>
    </xf>
    <xf numFmtId="166" fontId="20" fillId="0" borderId="1" xfId="0" applyFont="true" applyBorder="true" applyAlignment="true" applyProtection="false">
      <alignment horizontal="general" vertical="top" textRotation="0" wrapText="true" indent="0" shrinkToFit="false"/>
      <protection locked="true" hidden="false"/>
    </xf>
    <xf numFmtId="164" fontId="22" fillId="0" borderId="1" xfId="0" applyFont="true" applyBorder="true" applyAlignment="true" applyProtection="false">
      <alignment horizontal="general" vertical="top" textRotation="0" wrapText="tru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0" borderId="1" xfId="0" applyFont="true" applyBorder="true" applyAlignment="true" applyProtection="false">
      <alignment horizontal="general" vertical="top" textRotation="0" wrapText="tru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72" fontId="22" fillId="4" borderId="1" xfId="0" applyFont="true" applyBorder="true" applyAlignment="true" applyProtection="false">
      <alignment horizontal="general" vertical="top" textRotation="0" wrapText="true" indent="0" shrinkToFit="false"/>
      <protection locked="true" hidden="false"/>
    </xf>
    <xf numFmtId="173" fontId="22" fillId="4" borderId="1" xfId="0" applyFont="true" applyBorder="true" applyAlignment="true" applyProtection="false">
      <alignment horizontal="general" vertical="top" textRotation="0" wrapText="true" indent="0" shrinkToFit="false"/>
      <protection locked="true" hidden="false"/>
    </xf>
    <xf numFmtId="169" fontId="22" fillId="4" borderId="1" xfId="0" applyFont="true" applyBorder="true" applyAlignment="true" applyProtection="false">
      <alignment horizontal="general" vertical="top" textRotation="0" wrapText="true" indent="0" shrinkToFit="false"/>
      <protection locked="true" hidden="false"/>
    </xf>
    <xf numFmtId="169" fontId="0" fillId="0" borderId="1" xfId="0" applyFont="false" applyBorder="true" applyAlignment="true" applyProtection="false">
      <alignment horizontal="general" vertical="top" textRotation="0" wrapText="true" indent="0" shrinkToFit="false"/>
      <protection locked="true" hidden="false"/>
    </xf>
    <xf numFmtId="169" fontId="12" fillId="0" borderId="1" xfId="0" applyFont="true" applyBorder="true" applyAlignment="true" applyProtection="false">
      <alignment horizontal="general" vertical="top" textRotation="0" wrapText="true" indent="0" shrinkToFit="false"/>
      <protection locked="true" hidden="false"/>
    </xf>
    <xf numFmtId="174" fontId="0" fillId="0" borderId="1" xfId="0" applyFont="true" applyBorder="true" applyAlignment="true" applyProtection="false">
      <alignment horizontal="general" vertical="top" textRotation="0" wrapText="true" indent="0" shrinkToFit="false"/>
      <protection locked="true" hidden="false"/>
    </xf>
    <xf numFmtId="164" fontId="27" fillId="0" borderId="1" xfId="0" applyFont="true" applyBorder="true" applyAlignment="true" applyProtection="false">
      <alignment horizontal="general" vertical="top" textRotation="0" wrapText="true" indent="0" shrinkToFit="false"/>
      <protection locked="true" hidden="false"/>
    </xf>
    <xf numFmtId="164" fontId="28" fillId="0" borderId="1" xfId="0" applyFont="true" applyBorder="true" applyAlignment="true" applyProtection="false">
      <alignment horizontal="general" vertical="top" textRotation="0" wrapText="tru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29" fillId="0" borderId="1"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E0003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58595B"/>
          <bgColor rgb="FF000000"/>
        </patternFill>
      </fill>
    </dxf>
    <dxf>
      <fill>
        <patternFill patternType="solid">
          <fgColor rgb="FFD9D9D9"/>
          <bgColor rgb="FF000000"/>
        </patternFill>
      </fill>
    </dxf>
    <dxf>
      <fill>
        <patternFill patternType="solid">
          <fgColor rgb="FF0000FF"/>
          <bgColor rgb="FF000000"/>
        </patternFill>
      </fill>
    </dxf>
    <dxf>
      <fill>
        <patternFill patternType="solid">
          <fgColor rgb="FF0563C1"/>
          <bgColor rgb="FF000000"/>
        </patternFill>
      </fill>
    </dxf>
    <dxf>
      <font>
        <name val="Arial"/>
        <charset val="1"/>
        <family val="0"/>
        <b val="1"/>
        <color rgb="FFFFFFFF"/>
      </font>
      <fill>
        <patternFill>
          <bgColor rgb="FFE00036"/>
        </patternFill>
      </fill>
    </dxf>
    <dxf>
      <font>
        <name val="Arial"/>
        <charset val="1"/>
        <family val="0"/>
        <b val="1"/>
        <color rgb="FFFFFFFF"/>
      </font>
      <fill>
        <patternFill>
          <bgColor rgb="FF58595B"/>
        </patternFill>
      </fill>
    </dxf>
    <dxf>
      <font>
        <name val="Arial"/>
        <charset val="1"/>
        <family val="0"/>
        <b val="1"/>
        <color rgb="FF000000"/>
      </font>
      <fill>
        <patternFill>
          <bgColor rgb="FFD9D9D9"/>
        </patternFill>
      </fill>
    </dxf>
    <dxf>
      <fill>
        <patternFill>
          <bgColor rgb="FFFFC7CE"/>
        </patternFill>
      </fill>
    </dxf>
    <dxf>
      <fill>
        <patternFill>
          <bgColor rgb="FFC6EFCE"/>
        </patternFill>
      </fill>
    </dxf>
    <dxf>
      <fill>
        <patternFill>
          <bgColor rgb="FFFFEB9C"/>
        </patternFill>
      </fill>
    </dxf>
    <dxf>
      <fill>
        <patternFill>
          <bgColor rgb="FFF4A6B8"/>
        </patternFill>
      </fill>
    </dxf>
  </dxfs>
  <colors>
    <indexedColors>
      <rgbColor rgb="FF000000"/>
      <rgbColor rgb="FFFFFFFF"/>
      <rgbColor rgb="FFE00036"/>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993366"/>
      <rgbColor rgb="FFFFFFCC"/>
      <rgbColor rgb="FFCCFFFF"/>
      <rgbColor rgb="FF660066"/>
      <rgbColor rgb="FFFF8080"/>
      <rgbColor rgb="FF0563C1"/>
      <rgbColor rgb="FFD6D6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4A6B8"/>
      <rgbColor rgb="FFCC99FF"/>
      <rgbColor rgb="FFFFC7CE"/>
      <rgbColor rgb="FF3366FF"/>
      <rgbColor rgb="FF33CCCC"/>
      <rgbColor rgb="FF99CC00"/>
      <rgbColor rgb="FFFFC000"/>
      <rgbColor rgb="FFFF9900"/>
      <rgbColor rgb="FFFF6600"/>
      <rgbColor rgb="FF58595B"/>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Erwartung 2027 nach Segment (CHF)</a:t>
            </a:r>
          </a:p>
        </c:rich>
      </c:tx>
      <c:overlay val="0"/>
      <c:spPr>
        <a:noFill/>
        <a:ln w="0">
          <a:noFill/>
        </a:ln>
      </c:spPr>
    </c:title>
    <c:autoTitleDeleted val="0"/>
    <c:plotArea>
      <c:barChart>
        <c:barDir val="bar"/>
        <c:grouping val="clustered"/>
        <c:varyColors val="0"/>
        <c:ser>
          <c:idx val="0"/>
          <c:order val="0"/>
          <c:tx>
            <c:strRef>
              <c:f>Start!D15</c:f>
              <c:strCache>
                <c:ptCount val="1"/>
                <c:pt idx="0">
                  <c:v>Erwartung 2027 CHF</c:v>
                </c:pt>
              </c:strCache>
            </c:strRef>
          </c:tx>
          <c:spPr>
            <a:solidFill>
              <a:srgbClr val="e00036"/>
            </a:solidFill>
            <a:ln w="0">
              <a:noFill/>
            </a:ln>
          </c:spPr>
          <c:invertIfNegative val="0"/>
          <c:dLbls>
            <c:txPr>
              <a:bodyPr wrap="square"/>
              <a:lstStyle/>
              <a:p>
                <a:pPr>
                  <a:defRPr b="0" sz="1000" spc="-1" strike="noStrike">
                    <a:solidFill>
                      <a:srgbClr val="000000"/>
                    </a:solidFill>
                    <a:latin typeface="Calibri"/>
                  </a:defRPr>
                </a:pPr>
              </a:p>
            </c:txPr>
            <c:dLblPos val="outEnd"/>
            <c:showLegendKey val="1"/>
            <c:showVal val="1"/>
            <c:showCatName val="1"/>
            <c:showSerName val="1"/>
            <c:showPercent val="0"/>
            <c:separator>; </c:separator>
            <c:showLeaderLines val="1"/>
            <c:extLst>
              <c:ext xmlns:c15="http://schemas.microsoft.com/office/drawing/2012/chart" uri="{CE6537A1-D6FC-4f65-9D91-7224C49458BB}">
                <c15:showLeaderLines val="1"/>
              </c:ext>
            </c:extLst>
          </c:dLbls>
          <c:cat>
            <c:strRef>
              <c:f>Start!$A$16:$A$22</c:f>
              <c:strCache>
                <c:ptCount val="7"/>
                <c:pt idx="0">
                  <c:v>Rechenzentrum</c:v>
                </c:pt>
                <c:pt idx="1">
                  <c:v>Infrastruktur</c:v>
                </c:pt>
                <c:pt idx="2">
                  <c:v>Netz / Energie</c:v>
                </c:pt>
                <c:pt idx="3">
                  <c:v>Spital</c:v>
                </c:pt>
                <c:pt idx="4">
                  <c:v>Industrie</c:v>
                </c:pt>
                <c:pt idx="5">
                  <c:v>Event</c:v>
                </c:pt>
                <c:pt idx="6">
                  <c:v>Kanal-Partner</c:v>
                </c:pt>
              </c:strCache>
            </c:strRef>
          </c:cat>
          <c:val>
            <c:numRef>
              <c:f>Start!$D$16:$D$22</c:f>
              <c:numCache>
                <c:formatCode>#,##0;\-#,##0;\-</c:formatCode>
                <c:ptCount val="7"/>
                <c:pt idx="0">
                  <c:v>171300</c:v>
                </c:pt>
                <c:pt idx="1">
                  <c:v>248100</c:v>
                </c:pt>
                <c:pt idx="2">
                  <c:v>185600</c:v>
                </c:pt>
                <c:pt idx="3">
                  <c:v>65100</c:v>
                </c:pt>
                <c:pt idx="4">
                  <c:v>69700</c:v>
                </c:pt>
                <c:pt idx="5">
                  <c:v>59500</c:v>
                </c:pt>
                <c:pt idx="6">
                  <c:v>101400</c:v>
                </c:pt>
              </c:numCache>
            </c:numRef>
          </c:val>
        </c:ser>
        <c:gapWidth val="150"/>
        <c:overlap val="0"/>
        <c:axId val="93504070"/>
        <c:axId val="19620564"/>
      </c:barChart>
      <c:catAx>
        <c:axId val="9350407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620564"/>
        <c:crosses val="autoZero"/>
        <c:auto val="1"/>
        <c:lblAlgn val="ctr"/>
        <c:lblOffset val="100"/>
        <c:noMultiLvlLbl val="0"/>
      </c:catAx>
      <c:valAx>
        <c:axId val="19620564"/>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50407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 10: Erwartung 2027 (CHF)</a:t>
            </a:r>
          </a:p>
        </c:rich>
      </c:tx>
      <c:overlay val="0"/>
      <c:spPr>
        <a:noFill/>
        <a:ln w="0">
          <a:noFill/>
        </a:ln>
      </c:spPr>
    </c:title>
    <c:autoTitleDeleted val="0"/>
    <c:plotArea>
      <c:barChart>
        <c:barDir val="bar"/>
        <c:grouping val="clustered"/>
        <c:varyColors val="0"/>
        <c:ser>
          <c:idx val="0"/>
          <c:order val="0"/>
          <c:tx>
            <c:strRef>
              <c:f>Start!D26</c:f>
              <c:strCache>
                <c:ptCount val="1"/>
                <c:pt idx="0">
                  <c:v>Erwartung 2027 CHF</c:v>
                </c:pt>
              </c:strCache>
            </c:strRef>
          </c:tx>
          <c:spPr>
            <a:solidFill>
              <a:srgbClr val="58595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Start!$B$27:$B$36</c:f>
              <c:strCache>
                <c:ptCount val="10"/>
                <c:pt idx="0">
                  <c:v>2. Gotthardröhre</c:v>
                </c:pt>
                <c:pt idx="1">
                  <c:v>Sisikoner Tunnel (Neue Axenstrasse)</c:v>
                </c:pt>
                <c:pt idx="2">
                  <c:v>Kantonsspital Aarau «Dreiklang»</c:v>
                </c:pt>
                <c:pt idx="3">
                  <c:v>STACK ZUR02 Beringen</c:v>
                </c:pt>
                <c:pt idx="4">
                  <c:v>Bachem Werk Sisslerfeld</c:v>
                </c:pt>
                <c:pt idx="5">
                  <c:v>Pumpspeicherwerk Grimsel 4</c:v>
                </c:pt>
                <c:pt idx="6">
                  <c:v>Paket Alpine Solar-Baustellen 2027</c:v>
                </c:pt>
                <c:pt idx="7">
                  <c:v>Vantage ZRH3 Volketswil</c:v>
                </c:pt>
                <c:pt idx="8">
                  <c:v>ETAVIS / VINCI Energies (Rahmen)</c:v>
                </c:pt>
                <c:pt idx="9">
                  <c:v>Burkhalter Gruppe (Rahmen)</c:v>
                </c:pt>
              </c:strCache>
            </c:strRef>
          </c:cat>
          <c:val>
            <c:numRef>
              <c:f>Start!$D$27:$D$36</c:f>
              <c:numCache>
                <c:formatCode>#,##0;\-#,##0;\-</c:formatCode>
                <c:ptCount val="10"/>
                <c:pt idx="0">
                  <c:v>66100</c:v>
                </c:pt>
                <c:pt idx="1">
                  <c:v>66100</c:v>
                </c:pt>
                <c:pt idx="2">
                  <c:v>38000</c:v>
                </c:pt>
                <c:pt idx="3">
                  <c:v>37000</c:v>
                </c:pt>
                <c:pt idx="4">
                  <c:v>33900</c:v>
                </c:pt>
                <c:pt idx="5">
                  <c:v>33100</c:v>
                </c:pt>
                <c:pt idx="6">
                  <c:v>32300</c:v>
                </c:pt>
                <c:pt idx="7">
                  <c:v>28000</c:v>
                </c:pt>
                <c:pt idx="8">
                  <c:v>27800</c:v>
                </c:pt>
                <c:pt idx="9">
                  <c:v>25400</c:v>
                </c:pt>
              </c:numCache>
            </c:numRef>
          </c:val>
        </c:ser>
        <c:gapWidth val="150"/>
        <c:overlap val="0"/>
        <c:axId val="74723982"/>
        <c:axId val="15259025"/>
      </c:barChart>
      <c:catAx>
        <c:axId val="74723982"/>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259025"/>
        <c:crosses val="autoZero"/>
        <c:auto val="1"/>
        <c:lblAlgn val="ctr"/>
        <c:lblOffset val="100"/>
        <c:noMultiLvlLbl val="0"/>
      </c:catAx>
      <c:valAx>
        <c:axId val="15259025"/>
        <c:scaling>
          <c:orientation val="minMax"/>
        </c:scaling>
        <c:delete val="0"/>
        <c:axPos val="l"/>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72398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12</xdr:row>
      <xdr:rowOff>100800</xdr:rowOff>
    </xdr:from>
    <xdr:to>
      <xdr:col>12</xdr:col>
      <xdr:colOff>681480</xdr:colOff>
      <xdr:row>25</xdr:row>
      <xdr:rowOff>294480</xdr:rowOff>
    </xdr:to>
    <xdr:graphicFrame>
      <xdr:nvGraphicFramePr>
        <xdr:cNvPr id="0" name="Chart 1"/>
        <xdr:cNvGraphicFramePr/>
      </xdr:nvGraphicFramePr>
      <xdr:xfrm>
        <a:off x="12623760" y="274320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29</xdr:row>
      <xdr:rowOff>100800</xdr:rowOff>
    </xdr:from>
    <xdr:to>
      <xdr:col>12</xdr:col>
      <xdr:colOff>681480</xdr:colOff>
      <xdr:row>46</xdr:row>
      <xdr:rowOff>102240</xdr:rowOff>
    </xdr:to>
    <xdr:graphicFrame>
      <xdr:nvGraphicFramePr>
        <xdr:cNvPr id="1" name="Chart 2"/>
        <xdr:cNvGraphicFramePr/>
      </xdr:nvGraphicFramePr>
      <xdr:xfrm>
        <a:off x="12623760" y="6400800"/>
        <a:ext cx="539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id="1" name="TopPlayer" displayName="TopPlayer" ref="A4:AF56" headerRowCount="1" totalsRowCount="0" totalsRowShown="0">
  <autoFilter ref="A4:AF56"/>
  <tableColumns count="32">
    <tableColumn id="1" name="Rang"/>
    <tableColumn id="2" name="Prio"/>
    <tableColumn id="3" name="Segment"/>
    <tableColumn id="4" name="Projekt / Kunde"/>
    <tableColumn id="5" name="Einstieg über"/>
    <tableColumn id="6" name="Ort"/>
    <tableColumn id="7" name="Kt."/>
    <tableColumn id="8" name="Region"/>
    <tableColumn id="9" name="Sprache"/>
    <tableColumn id="10" name="Anlass und Zeitfenster"/>
    <tableColumn id="11" name="Power-Bedarf"/>
    <tableColumn id="12" name="Generator MVA"/>
    <tableColumn id="13" name="Generator Wochen"/>
    <tableColumn id="14" name="Lastbank MW"/>
    <tableColumn id="15" name="Lastbank Wochen"/>
    <tableColumn id="16" name="BESS MW"/>
    <tableColumn id="17" name="BESS Monate"/>
    <tableColumn id="18" name="Potenzial Power CHF"/>
    <tableColumn id="19" name="Anteil 2027"/>
    <tableColumn id="20" name="Wahrschein-lichkeit"/>
    <tableColumn id="21" name="Erwartung 2027 CHF"/>
    <tableColumn id="22" name="Cross-Sell Wärme / Kälte"/>
    <tableColumn id="23" name="Nächster Schritt"/>
    <tableColumn id="24" name="Verantwortlich"/>
    <tableColumn id="25" name="Status MiT (CRM)"/>
    <tableColumn id="26" name="Zielrolle"/>
    <tableColumn id="27" name="Ansprechperson (Name)"/>
    <tableColumn id="28" name="Kontakt (Tel. / E-Mail)"/>
    <tableColumn id="29" name="Letzter Kontakt"/>
    <tableColumn id="30" name="Nächster Termin"/>
    <tableColumn id="31" name="Quelle"/>
    <tableColumn id="32" name="Hinweis / Annahme"/>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Top_Player_Power_Schweiz_2027.xlsx" TargetMode="External"/><Relationship Id="rId2" Type="http://schemas.openxmlformats.org/officeDocument/2006/relationships/hyperlink" Target="Top_Player_Power_Schweiz_2027.xlsx" TargetMode="External"/><Relationship Id="rId3" Type="http://schemas.openxmlformats.org/officeDocument/2006/relationships/hyperlink" Target="Top_Player_Power_Schweiz_2027.xlsx" TargetMode="External"/><Relationship Id="rId4" Type="http://schemas.openxmlformats.org/officeDocument/2006/relationships/hyperlink" Target="Top_Player_Power_Schweiz_2027.xlsx" TargetMode="External"/><Relationship Id="rId5" Type="http://schemas.openxmlformats.org/officeDocument/2006/relationships/hyperlink" Target="Top_Player_Power_Schweiz_2027.xlsx" TargetMode="External"/><Relationship Id="rId6" Type="http://schemas.openxmlformats.org/officeDocument/2006/relationships/hyperlink" Target="Top_Player_Power_Schweiz_2027.xlsx" TargetMode="External"/><Relationship Id="rId7" Type="http://schemas.openxmlformats.org/officeDocument/2006/relationships/hyperlink" Target="Top_Player_Power_Schweiz_2027.xlsx" TargetMode="External"/><Relationship Id="rId8" Type="http://schemas.openxmlformats.org/officeDocument/2006/relationships/hyperlink" Target="Top_Player_Power_Schweiz_2027.xlsx" TargetMode="External"/><Relationship Id="rId9" Type="http://schemas.openxmlformats.org/officeDocument/2006/relationships/hyperlink" Target="Top_Player_Power_Schweiz_2027.xlsx" TargetMode="External"/><Relationship Id="rId10" Type="http://schemas.openxmlformats.org/officeDocument/2006/relationships/hyperlink" Target="Top_Player_Power_Schweiz_2027.xlsx" TargetMode="External"/><Relationship Id="rId11" Type="http://schemas.openxmlformats.org/officeDocument/2006/relationships/hyperlink" Target="Top_Player_Power_Schweiz_2027.xlsx" TargetMode="External"/><Relationship Id="rId12" Type="http://schemas.openxmlformats.org/officeDocument/2006/relationships/hyperlink" Target="Top_Player_Power_Schweiz_2027.xlsx" TargetMode="External"/><Relationship Id="rId13"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astra.admin.ch/astra/de/home/themen/nationalstrassen/baustellen/medienmitteilungen/bellinzona/statolavorigottardo.html" TargetMode="External"/><Relationship Id="rId2" Type="http://schemas.openxmlformats.org/officeDocument/2006/relationships/hyperlink" Target="https://implenia.com/medien/artikel/implenia-erhaelt-zuschlag-fuer-sisikoner-tunnel-herzstueck-der-neuen-axenstrasse-in-der-innerschweiz/" TargetMode="External"/><Relationship Id="rId3" Type="http://schemas.openxmlformats.org/officeDocument/2006/relationships/hyperlink" Target="https://www.ksa.ch/de/kantonsspital-aarau/ueber-uns/die-bauprojekte/neubau-dreiklang" TargetMode="External"/><Relationship Id="rId4" Type="http://schemas.openxmlformats.org/officeDocument/2006/relationships/hyperlink" Target="https://www.stackinfra.com/about/news-press/news/new-data-center-campus-in-beringen-switzerland/" TargetMode="External"/><Relationship Id="rId5" Type="http://schemas.openxmlformats.org/officeDocument/2006/relationships/hyperlink" Target="https://www.bachem.com/wp-content/uploads/2026/07/2026-07-21-Press-Release-BSF-FINAL-DE.pdf" TargetMode="External"/><Relationship Id="rId6" Type="http://schemas.openxmlformats.org/officeDocument/2006/relationships/hyperlink" Target="https://www.grimselstrom.ch/projekte/pumpspeicherwerk-grimsel-4" TargetMode="External"/><Relationship Id="rId7" Type="http://schemas.openxmlformats.org/officeDocument/2006/relationships/hyperlink" Target="https://www.repower.com/ch/ueber-uns/unsere-projekte/madrisa-solar-alpines-solarkraftwerk" TargetMode="External"/><Relationship Id="rId8" Type="http://schemas.openxmlformats.org/officeDocument/2006/relationships/hyperlink" Target="https://www.datacenterdynamics.com/" TargetMode="External"/><Relationship Id="rId9" Type="http://schemas.openxmlformats.org/officeDocument/2006/relationships/hyperlink" Target="https://www.vinci-energies.ch/unsere-bereiche/etavis/" TargetMode="External"/><Relationship Id="rId10" Type="http://schemas.openxmlformats.org/officeDocument/2006/relationships/hyperlink" Target="https://ch.marketscreener.com/boerse-nachrichten/burkhalter-kurzversion-nichtfinanzielle-berichterstattung-2025-ce7e50ded98bf423" TargetMode="External"/><Relationship Id="rId11" Type="http://schemas.openxmlformats.org/officeDocument/2006/relationships/hyperlink" Target="https://www.baublatt.ch/bauprojekte/green-baut-viertes-rechenzentrum-auf-metro-campus-in-dielsdorf-zh-36395" TargetMode="External"/><Relationship Id="rId12" Type="http://schemas.openxmlformats.org/officeDocument/2006/relationships/hyperlink" Target="https://www.northcdatacenters.com/de/pressemitteilungen/northc-baut-auf-dem-campus-uptownbasel-das-rechenzentrum-der-zukunft/" TargetMode="External"/><Relationship Id="rId13" Type="http://schemas.openxmlformats.org/officeDocument/2006/relationships/hyperlink" Target="https://www.phase5.ch/nun-heisst-es-offiziell-equans-switzerland" TargetMode="External"/><Relationship Id="rId14" Type="http://schemas.openxmlformats.org/officeDocument/2006/relationships/hyperlink" Target="https://www.inside-it.ch/spatenstich-fuer-neues-rz-von-digital-reality-in-glattbrugg-20260827" TargetMode="External"/><Relationship Id="rId15" Type="http://schemas.openxmlformats.org/officeDocument/2006/relationships/hyperlink" Target="https://www.nzz.ch/zuerich/grossprojekt-stadelhofen-was-der-bahnhofsumbau-bedeutet-ld.1884585" TargetMode="External"/><Relationship Id="rId16" Type="http://schemas.openxmlformats.org/officeDocument/2006/relationships/hyperlink" Target="https://www.luzernerzeitung.ch/zentralschweiz/kanton-luzern/stromnetz-ckw-investiert-11-millionen-franken-in-unterwerk-sursee-ld.2761224" TargetMode="External"/><Relationship Id="rId17" Type="http://schemas.openxmlformats.org/officeDocument/2006/relationships/hyperlink" Target="https://www.usz.ch/standorte/usz-campus/campusmitte/" TargetMode="External"/><Relationship Id="rId18" Type="http://schemas.openxmlformats.org/officeDocument/2006/relationships/hyperlink" Target="https://www.axpo.com/ch/de/newsroom/medienmitteilungen/2026/gesamterneuerung-des-unterwerks-niederurnen-im-kanton-glarus---a.html" TargetMode="External"/><Relationship Id="rId19" Type="http://schemas.openxmlformats.org/officeDocument/2006/relationships/hyperlink" Target="https://www.groupe-e.ch/fr/decouvrir-groupe-e/medias/communiques-de-presse/renouvellement-poste-galmiz" TargetMode="External"/><Relationship Id="rId20" Type="http://schemas.openxmlformats.org/officeDocument/2006/relationships/hyperlink" Target="https://gva.blog/les-futurs-grands-chantiers-de-geneve-aeroport-dici-2033/" TargetMode="External"/><Relationship Id="rId21" Type="http://schemas.openxmlformats.org/officeDocument/2006/relationships/hyperlink" Target="https://www.tagesanzeiger.ch/bruettener-tunnel-baustart-2026-in-bassersdorf-und-dietlikon-747315398294" TargetMode="External"/><Relationship Id="rId22" Type="http://schemas.openxmlformats.org/officeDocument/2006/relationships/hyperlink" Target="https://www.baublatt.ch/bauprojekte/roche-legt-grundstein-fuer-neuen-produktionsbau-in-basel-39630" TargetMode="External"/><Relationship Id="rId23" Type="http://schemas.openxmlformats.org/officeDocument/2006/relationships/hyperlink" Target="https://www.interlaken.swiss/planen/events/top-events/greenfield-festival" TargetMode="External"/><Relationship Id="rId24" Type="http://schemas.openxmlformats.org/officeDocument/2006/relationships/hyperlink" Target="https://www.northcdatacenters.com/en/press-releases/northc-group-to-build-new-high-tech-data-center-in-geneva-switzerland/" TargetMode="External"/><Relationship Id="rId25" Type="http://schemas.openxmlformats.org/officeDocument/2006/relationships/hyperlink" Target="https://www.repower.com/ch/medienmitteilungen/uwlaax" TargetMode="External"/><Relationship Id="rId26" Type="http://schemas.openxmlformats.org/officeDocument/2006/relationships/hyperlink" Target="https://flexbase.ch/en/project-overview" TargetMode="External"/><Relationship Id="rId27" Type="http://schemas.openxmlformats.org/officeDocument/2006/relationships/hyperlink" Target="https://www.bkw.com/en/about-us/building-solutions" TargetMode="External"/><Relationship Id="rId28" Type="http://schemas.openxmlformats.org/officeDocument/2006/relationships/hyperlink" Target="https://www.ckw.ch/gebaeudetechnik/elektroinstallationen" TargetMode="External"/><Relationship Id="rId29" Type="http://schemas.openxmlformats.org/officeDocument/2006/relationships/hyperlink" Target="https://www.cransmontana2027.ch/en/" TargetMode="External"/><Relationship Id="rId30" Type="http://schemas.openxmlformats.org/officeDocument/2006/relationships/hyperlink" Target="https://www.ewz.ch/de/geschaeftskunden/immobilien/referenzen-projekte/seewasserverbunde-zuerichsee/coolcity.html" TargetMode="External"/><Relationship Id="rId31" Type="http://schemas.openxmlformats.org/officeDocument/2006/relationships/hyperlink" Target="https://implenia.com/medien/artikel/implenia-gewinnt-attraktive-neue-projekte-in-den-bereichen-datacenter-gesundheit-sowie-energie-und-verkehrsinfrastruktur/" TargetMode="External"/><Relationship Id="rId32" Type="http://schemas.openxmlformats.org/officeDocument/2006/relationships/hyperlink" Target="https://www.bioprocessintl.com/facilities-capacity/lonza-expands-stein-site-again-with-commercial-fill-finish-plant" TargetMode="External"/><Relationship Id="rId33" Type="http://schemas.openxmlformats.org/officeDocument/2006/relationships/hyperlink" Target="https://www.axpo.com/ch/de/newsroom/medienmitteilungen/2026/das-kernkraftwerk-beznau-hat-die-revision-von-block-1-fristgerecht-beendet.html" TargetMode="External"/><Relationship Id="rId34" Type="http://schemas.openxmlformats.org/officeDocument/2006/relationships/hyperlink" Target="https://www.davos.ch/en/experience/events/world-economic-forum-annual-meeting-2027" TargetMode="External"/><Relationship Id="rId35" Type="http://schemas.openxmlformats.org/officeDocument/2006/relationships/hyperlink" Target="https://www.getec.swiss/de/media/news/getec-schweiz-macht-die-energieversorgung-nachhaltig-sicher.php" TargetMode="External"/><Relationship Id="rId36" Type="http://schemas.openxmlformats.org/officeDocument/2006/relationships/hyperlink" Target="https://www.swissgrid.ch/en/home/projects/project-overview/moerel-ulrichen.html" TargetMode="External"/><Relationship Id="rId37" Type="http://schemas.openxmlformats.org/officeDocument/2006/relationships/hyperlink" Target="https://stadtautobahn.ch/zahlen-fakten/" TargetMode="External"/><Relationship Id="rId38" Type="http://schemas.openxmlformats.org/officeDocument/2006/relationships/hyperlink" Target="https://www.pme.ch/conseils-dexperts/romande-energie/moderniser-les-postes-electriques-haute-et-moyenne-tension-pour-relever-les-defis/y3npfj2" TargetMode="External"/><Relationship Id="rId39" Type="http://schemas.openxmlformats.org/officeDocument/2006/relationships/hyperlink" Target="https://lucerne2027.com/" TargetMode="External"/><Relationship Id="rId40" Type="http://schemas.openxmlformats.org/officeDocument/2006/relationships/hyperlink" Target="https://www.knie.ch/circus/tournee-2027" TargetMode="External"/><Relationship Id="rId41" Type="http://schemas.openxmlformats.org/officeDocument/2006/relationships/hyperlink" Target="https://www.flughafen-zuerich.ch/en/company/flughafen-zuerich/airport-development/current-construction-projects/main-airport-complex-development" TargetMode="External"/><Relationship Id="rId42" Type="http://schemas.openxmlformats.org/officeDocument/2006/relationships/hyperlink" Target="https://www.srf.ch/news/ausbau-autobahn-a1-zwischen-schoenbuehl-und-wankdorf-gibt-es-mehr-fahrspuren" TargetMode="External"/><Relationship Id="rId43" Type="http://schemas.openxmlformats.org/officeDocument/2006/relationships/hyperlink" Target="https://www.kssg.ch/immobilien-und-betrieb/bauprojekte/neubauprojekt-come-together/neubau-haus-07b" TargetMode="External"/><Relationship Id="rId44" Type="http://schemas.openxmlformats.org/officeDocument/2006/relationships/hyperlink" Target="https://www.novartis.com/ch-de/news/media-releases/novartis-passt-produktionsaktivitaeten-der-schweiz-und-investiert-innovative-herstelltechnologien" TargetMode="External"/><Relationship Id="rId45" Type="http://schemas.openxmlformats.org/officeDocument/2006/relationships/hyperlink" Target="https://company.sbb.ch/de/bahnentwicklung/projekte/tessin/ritom.html" TargetMode="External"/><Relationship Id="rId46" Type="http://schemas.openxmlformats.org/officeDocument/2006/relationships/hyperlink" Target="https://www.stadt-zuerich.ch/de/aktuell/medienmitteilungen/2026/03/ewz-unterwerk-sihlfeld-wird-erneuert.html" TargetMode="External"/><Relationship Id="rId47" Type="http://schemas.openxmlformats.org/officeDocument/2006/relationships/hyperlink" Target="https://www.stadt.sg.ch/news/stsg_medienmitteilungen/2025/06/ersatzneubau-unterwerk-steinachstrasse--wettbewerbssieger-gekuer.html" TargetMode="External"/><Relationship Id="rId48" Type="http://schemas.openxmlformats.org/officeDocument/2006/relationships/hyperlink" Target="https://netzbetreiberinfo.ch/unternehmen/projekte/eniwa-spatenstich-neues-unterwerk-aarau-bis-2029" TargetMode="External"/><Relationship Id="rId49" Type="http://schemas.openxmlformats.org/officeDocument/2006/relationships/hyperlink" Target="https://www.swissgrid.ch/en/home/projects/project-overview/innertkirchen-ulrichen.html" TargetMode="External"/><Relationship Id="rId50" Type="http://schemas.openxmlformats.org/officeDocument/2006/relationships/hyperlink" Target="https://company.sbb.ch/fr/developpement-ferroviaire/projets/suisse-romande-valais/leman-2030/nos-projets/gare-lausanne.html" TargetMode="External"/><Relationship Id="rId51" Type="http://schemas.openxmlformats.org/officeDocument/2006/relationships/hyperlink" Target="https://www.plattformj.ch/artikel/164567/" TargetMode="External"/><Relationship Id="rId52" Type="http://schemas.openxmlformats.org/officeDocument/2006/relationships/hyperlink" Target="https://www.esaf2028.ch/" TargetMode="External"/><Relationship Id="rId5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hyperlink" Target="https://www.interlaken.swiss/planen/events/top-events/greenfield-festival" TargetMode="External"/><Relationship Id="rId2" Type="http://schemas.openxmlformats.org/officeDocument/2006/relationships/hyperlink" Target="https://www.openairgampel.ch/en/home" TargetMode="External"/><Relationship Id="rId3" Type="http://schemas.openxmlformats.org/officeDocument/2006/relationships/hyperlink" Target="https://heitere.ch/" TargetMode="External"/><Relationship Id="rId4" Type="http://schemas.openxmlformats.org/officeDocument/2006/relationships/hyperlink" Target="https://www.seasidefestival.ch/" TargetMode="External"/><Relationship Id="rId5" Type="http://schemas.openxmlformats.org/officeDocument/2006/relationships/hyperlink" Target="https://summerdays.ch/" TargetMode="External"/><Relationship Id="rId6" Type="http://schemas.openxmlformats.org/officeDocument/2006/relationships/hyperlink" Target="https://www.nidau.ch/" TargetMode="External"/><Relationship Id="rId7" Type="http://schemas.openxmlformats.org/officeDocument/2006/relationships/hyperlink" Target="https://www.luzern-live.ch/" TargetMode="External"/><Relationship Id="rId8" Type="http://schemas.openxmlformats.org/officeDocument/2006/relationships/hyperlink" Target="https://openair-lumnezia.ch/" TargetMode="External"/><Relationship Id="rId9" Type="http://schemas.openxmlformats.org/officeDocument/2006/relationships/hyperlink" Target="https://zermatt-unplugged.ch/en/news/zermatt-unplugged-2027/" TargetMode="External"/><Relationship Id="rId10" Type="http://schemas.openxmlformats.org/officeDocument/2006/relationships/hyperlink" Target="https://fr.wikipedia.org/wiki/Caribana_Festival_de_Crans" TargetMode="External"/><Relationship Id="rId11" Type="http://schemas.openxmlformats.org/officeDocument/2006/relationships/hyperlink" Target="https://www.festivalabroad.com/festivals/festineuch" TargetMode="External"/><Relationship Id="rId12" Type="http://schemas.openxmlformats.org/officeDocument/2006/relationships/hyperlink" Target="https://www.valais.ch/en/events/sion-sous-les-etoiles" TargetMode="External"/><Relationship Id="rId13" Type="http://schemas.openxmlformats.org/officeDocument/2006/relationships/hyperlink" Target="https://www.ticino.ch/en/events/details/jazzascona-2027/10042.html" TargetMode="External"/><Relationship Id="rId14" Type="http://schemas.openxmlformats.org/officeDocument/2006/relationships/hyperlink" Target="https://www.carnifest.com/estival-festival-jazz-in-lugano-2027/" TargetMode="External"/><Relationship Id="rId15" Type="http://schemas.openxmlformats.org/officeDocument/2006/relationships/hyperlink" Target="https://www.20min.ch/fr/story/lausanne-vd-succes-pour-polymanga-de-retour-en-2027-a-montreux-103542173" TargetMode="External"/><Relationship Id="rId16" Type="http://schemas.openxmlformats.org/officeDocument/2006/relationships/hyperlink" Target="https://www.graubuenden.ch/en/events/laax-open-2027" TargetMode="External"/><Relationship Id="rId17" Type="http://schemas.openxmlformats.org/officeDocument/2006/relationships/hyperlink" Target="https://www.weltcup-lenzerheide.ch/en" TargetMode="External"/><Relationship Id="rId18" Type="http://schemas.openxmlformats.org/officeDocument/2006/relationships/hyperlink" Target="https://www.davosnordic.ch/en" TargetMode="External"/><Relationship Id="rId19" Type="http://schemas.openxmlformats.org/officeDocument/2006/relationships/hyperlink" Target="https://www.weltcup-engelberg.ch/en/" TargetMode="External"/><Relationship Id="rId20" Type="http://schemas.openxmlformats.org/officeDocument/2006/relationships/hyperlink" Target="https://www.engadin.ch/en/events/engadin-marathon-week-2027" TargetMode="External"/><Relationship Id="rId21" Type="http://schemas.openxmlformats.org/officeDocument/2006/relationships/hyperlink" Target="https://www.whiteturf.ch/en/" TargetMode="External"/><Relationship Id="rId22" Type="http://schemas.openxmlformats.org/officeDocument/2006/relationships/hyperlink" Target="https://www.snowpolo-stmoritz.com/tournament-2027/" TargetMode="External"/><Relationship Id="rId23" Type="http://schemas.openxmlformats.org/officeDocument/2006/relationships/hyperlink" Target="https://www.swissinfo.ch/ger/eidg&#246;ssisches-volksmusikfest-2027-findet-in-altst&#228;tten-sg-statt/92042182" TargetMode="External"/><Relationship Id="rId24" Type="http://schemas.openxmlformats.org/officeDocument/2006/relationships/hyperlink" Target="https://www.alphornpuma.ch/n&#228;chstejodlerfeste" TargetMode="External"/><Relationship Id="rId25" Type="http://schemas.openxmlformats.org/officeDocument/2006/relationships/hyperlink" Target="https://bksf2027.ch/" TargetMode="External"/><Relationship Id="rId26" Type="http://schemas.openxmlformats.org/officeDocument/2006/relationships/hyperlink" Target="https://www.nws2027.ch/" TargetMode="External"/><Relationship Id="rId27" Type="http://schemas.openxmlformats.org/officeDocument/2006/relationships/hyperlink" Target="https://isaf2027.ch/" TargetMode="External"/><Relationship Id="rId28" Type="http://schemas.openxmlformats.org/officeDocument/2006/relationships/hyperlink" Target="https://calendarena.com/schweiz/knabenschiessen/" TargetMode="External"/><Relationship Id="rId29" Type="http://schemas.openxmlformats.org/officeDocument/2006/relationships/hyperlink" Target="https://www.limmattalerzeitung.ch/limmattal/zuerich/sechselaeuten-2027-luzern-ist-gastkanton-ld.4019514" TargetMode="External"/><Relationship Id="rId30" Type="http://schemas.openxmlformats.org/officeDocument/2006/relationships/hyperlink" Target="https://lucerne2027.com/" TargetMode="External"/><Relationship Id="rId31" Type="http://schemas.openxmlformats.org/officeDocument/2006/relationships/hyperlink" Target="https://www.beachgstaad.ch/en/news-articles/em-2027" TargetMode="External"/><Relationship Id="rId32" Type="http://schemas.openxmlformats.org/officeDocument/2006/relationships/hyperlink" Target="https://www.csio.ch/de/Programm/Programm.html" TargetMode="External"/><Relationship Id="rId33" Type="http://schemas.openxmlformats.org/officeDocument/2006/relationships/hyperlink" Target="https://swissopengstaad.ch/?lang=en" TargetMode="External"/><Relationship Id="rId34" Type="http://schemas.openxmlformats.org/officeDocument/2006/relationships/hyperlink" Target="https://www.finishers.com/en/event/ironman-switzerland-thun" TargetMode="External"/><Relationship Id="rId35" Type="http://schemas.openxmlformats.org/officeDocument/2006/relationships/hyperlink" Target="https://www.tourdesuisse.ch/en/" TargetMode="External"/><Relationship Id="rId36" Type="http://schemas.openxmlformats.org/officeDocument/2006/relationships/hyperlink" Target="https://www.myswitzerland.com/fr-ch/decouvrir/manifestations/tour-de-romandie-etape-romont/" TargetMode="External"/><Relationship Id="rId37" Type="http://schemas.openxmlformats.org/officeDocument/2006/relationships/hyperlink" Target="https://www.trackathletes.ie/meeting/weltklasse-zurich-zurich-diamond-league_2027/" TargetMode="External"/><Relationship Id="rId38" Type="http://schemas.openxmlformats.org/officeDocument/2006/relationships/hyperlink" Target="https://athletissima.ch/en/" TargetMode="External"/><Relationship Id="rId39" Type="http://schemas.openxmlformats.org/officeDocument/2006/relationships/hyperlink" Target="https://www.swiss-orienteering.ch/de/news/verband/3075-ol-europameisterschaften-2027-in-der-schweiz.html" TargetMode="External"/><Relationship Id="rId40" Type="http://schemas.openxmlformats.org/officeDocument/2006/relationships/hyperlink" Target="https://vaudoisearena.ch/en/events/isu-figure-skating-european-championships-2027" TargetMode="External"/><Relationship Id="rId41" Type="http://schemas.openxmlformats.org/officeDocument/2006/relationships/hyperlink" Target="https://horserizon.com/chi-geneve-100-ans/" TargetMode="External"/><Relationship Id="rId42" Type="http://schemas.openxmlformats.org/officeDocument/2006/relationships/hyperlink" Target="https://gpbern.ch/" TargetMode="External"/><Relationship Id="rId43" Type="http://schemas.openxmlformats.org/officeDocument/2006/relationships/hyperlink" Target="https://www.knie.ch/circus/tournee-2027" TargetMode="External"/><Relationship Id="rId44" Type="http://schemas.openxmlformats.org/officeDocument/2006/relationships/hyperlink" Target="https://www.myswitzerland.com/de-ch/erlebnisse/veranstaltungen/bea-2027/" TargetMode="External"/><Relationship Id="rId45" Type="http://schemas.openxmlformats.org/officeDocument/2006/relationships/hyperlink" Target="https://www.luga.ch/de" TargetMode="External"/><Relationship Id="rId46" Type="http://schemas.openxmlformats.org/officeDocument/2006/relationships/hyperlink" Target="https://www.olma-messen.ch/" TargetMode="External"/><Relationship Id="rId47" Type="http://schemas.openxmlformats.org/officeDocument/2006/relationships/hyperlink" Target="https://www.ufarevue.ch/agenda/tier-technik-2027" TargetMode="External"/><Relationship Id="rId48" Type="http://schemas.openxmlformats.org/officeDocument/2006/relationships/hyperlink" Target="https://agrama.ch/" TargetMode="External"/><Relationship Id="rId49" Type="http://schemas.openxmlformats.org/officeDocument/2006/relationships/hyperlink" Target="https://www.montreuxriviera.com/en/E1141/montreux-riviera-noel" TargetMode="External"/><Relationship Id="rId50" Type="http://schemas.openxmlformats.org/officeDocument/2006/relationships/hyperlink" Target="https://www.nume.ch/wienachtsdorf-zuerich-2026-heisst-neu-bellevue-noel-termine/" TargetMode="External"/><Relationship Id="rId51" Type="http://schemas.openxmlformats.org/officeDocument/2006/relationships/hyperlink" Target="https://www.bs.ch/pd/marketing/messenundmaerkte/weihnachtsmarkt" TargetMode="External"/><Relationship Id="rId52" Type="http://schemas.openxmlformats.org/officeDocument/2006/relationships/hyperlink" Target="https://www.murtenlichtfestival.ch/" TargetMode="External"/><Relationship Id="rId53" Type="http://schemas.openxmlformats.org/officeDocument/2006/relationships/hyperlink" Target="https://www.bazonline.ch/morgestraich-2027-basler-fasnacht-startet-in-377-tagen-797546696425" TargetMode="External"/><Relationship Id="rId54" Type="http://schemas.openxmlformats.org/officeDocument/2006/relationships/hyperlink" Target="https://www.lfk.ch/informationen/fasnachtstermine-bis-2060" TargetMode="External"/><Relationship Id="rId55" Type="http://schemas.openxmlformats.org/officeDocument/2006/relationships/hyperlink" Target="https://www.bellinzonaevalli.ch/en/events/details/rabadan-carnival-in-bellinzona/11276.html" TargetMode="External"/><Relationship Id="rId56" Type="http://schemas.openxmlformats.org/officeDocument/2006/relationships/hyperlink" Target="https://www.bakom.admin.ch/en/geneva-ai-summit-2027-international-summit-on-artificial-intelligence-in-geneva"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www.repower.com/ch/ueber-uns/unsere-projekte/madrisa-solar-alpines-solarkraftwerk" TargetMode="External"/><Relationship Id="rId2" Type="http://schemas.openxmlformats.org/officeDocument/2006/relationships/hyperlink" Target="https://sedrun-solar.ch/" TargetMode="External"/><Relationship Id="rId3" Type="http://schemas.openxmlformats.org/officeDocument/2006/relationships/hyperlink" Target="https://www.axpo.com/ch/de/energie/produktion-und-verteilung/solarenergie/nalpsolar.html" TargetMode="External"/><Relationship Id="rId4" Type="http://schemas.openxmlformats.org/officeDocument/2006/relationships/hyperlink" Target="https://www.ee-news.ch/de/article/57584/solarkraftwerk-samedan-baubewilligung-liegt-vor-flache-wiehalbiert" TargetMode="External"/><Relationship Id="rId5" Type="http://schemas.openxmlformats.org/officeDocument/2006/relationships/hyperlink" Target="https://www.grengiols-solar.ch/de/umsetzung" TargetMode="External"/><Relationship Id="rId6" Type="http://schemas.openxmlformats.org/officeDocument/2006/relationships/hyperlink" Target="https://www.baublatt.ch/bauprojekte/photovoltaikanlage-belalp-solar-erhaelt-zustimmung-36813" TargetMode="External"/><Relationship Id="rId7" Type="http://schemas.openxmlformats.org/officeDocument/2006/relationships/hyperlink" Target="https://www.swissgrid.ch/en/home/projects/project-overview/obfelden-samstagern.html" TargetMode="External"/><Relationship Id="rId8" Type="http://schemas.openxmlformats.org/officeDocument/2006/relationships/hyperlink" Target="https://www.swissgrid.ch/en/home/projects/project-overview/niederwil-obfelden.html" TargetMode="External"/><Relationship Id="rId9" Type="http://schemas.openxmlformats.org/officeDocument/2006/relationships/hyperlink" Target="https://www.swissgrid.ch/en/home/projects/project-overview/bickigen-chippis.html" TargetMode="External"/><Relationship Id="rId10" Type="http://schemas.openxmlformats.org/officeDocument/2006/relationships/hyperlink" Target="https://www.romande-energie.ch/blog/moderniser-les-postes-electriques-haute-et-moyenne-tension-pour-relever-les-defis-energetiques" TargetMode="External"/><Relationship Id="rId11" Type="http://schemas.openxmlformats.org/officeDocument/2006/relationships/hyperlink" Target="https://oiken.ch/medias/nouvelle-sous-station-electrique-de-sion-debut-des-travaux-dans-le-nouveau-quartier-de-ronquoz-21/" TargetMode="External"/><Relationship Id="rId12" Type="http://schemas.openxmlformats.org/officeDocument/2006/relationships/hyperlink" Target="https://collex-bossy.ch/fr/actualites/enquete-publique-nouveau-poste-de-transformation-electrique-2684" TargetMode="External"/><Relationship Id="rId13" Type="http://schemas.openxmlformats.org/officeDocument/2006/relationships/hyperlink" Target="https://konkurado.ch/de/unterwerk-thun-planungsarbeiten-inkl-bim-ab-phase-32" TargetMode="External"/><Relationship Id="rId14" Type="http://schemas.openxmlformats.org/officeDocument/2006/relationships/hyperlink" Target="https://www.axpo.com/ch/de/newsroom/medienmitteilungen/2026/start-of-construction-of-underground-cable-line-from-freienbach-.html" TargetMode="External"/><Relationship Id="rId15" Type="http://schemas.openxmlformats.org/officeDocument/2006/relationships/hyperlink" Target="https://amreinbau.ch/referenzen/axpo-uw-beznau-doettingen/" TargetMode="External"/><Relationship Id="rId16" Type="http://schemas.openxmlformats.org/officeDocument/2006/relationships/hyperlink" Target="https://www.swissgrid.ch/en/home/newsroom/newsfeed/20221020-01.html" TargetMode="External"/><Relationship Id="rId17" Type="http://schemas.openxmlformats.org/officeDocument/2006/relationships/hyperlink" Target="https://www.esb.ch/de/esb/projekte/unterwerk-bozingenfeld/" TargetMode="External"/><Relationship Id="rId18" Type="http://schemas.openxmlformats.org/officeDocument/2006/relationships/hyperlink" Target="https://www.ewn.ch/baustart-grossbatteriespeicher" TargetMode="External"/><Relationship Id="rId19" Type="http://schemas.openxmlformats.org/officeDocument/2006/relationships/hyperlink" Target="https://www.bkw.ch/de/ueber-uns/aktuell/medien/medienmitteilungen/bkw-sichert-netzkapazitaet-von-400-mw-fuer-grossbatterieprojekt-in-muehleberg" TargetMode="External"/><Relationship Id="rId20" Type="http://schemas.openxmlformats.org/officeDocument/2006/relationships/hyperlink" Target="https://bess-bubikon.ch/dokumente/BESS-Bubikon_Faktenblatt.pdf" TargetMode="External"/><Relationship Id="rId21" Type="http://schemas.openxmlformats.org/officeDocument/2006/relationships/hyperlink" Target="https://www.bkw.ch/de/ueber-uns/aktuell/medien/medienmitteilungen/bkw-sichert-netzkapazitaet-von-400-mw-fuer-grossbatterieprojekt-in-muehleberg" TargetMode="External"/><Relationship Id="rId22" Type="http://schemas.openxmlformats.org/officeDocument/2006/relationships/hyperlink" Target="https://www.andritz.com/hydro-en/about-andritz-hydro/locations/switzerland/switzerland-de/local-news-switzerlande-de" TargetMode="External"/><Relationship Id="rId23" Type="http://schemas.openxmlformats.org/officeDocument/2006/relationships/hyperlink" Target="https://www.schweiz.biz/2025/09/04/wasserkraftwerk-muehleberg-mehr-leistung-bessere-umweltvertraeglichkeit/" TargetMode="External"/><Relationship Id="rId24" Type="http://schemas.openxmlformats.org/officeDocument/2006/relationships/hyperlink" Target="https://www.bfe.admin.ch/de/newnsb/Nk4rqyiPm12q3-ya39iPf" TargetMode="External"/><Relationship Id="rId25" Type="http://schemas.openxmlformats.org/officeDocument/2006/relationships/hyperlink" Target="https://www.news.admin.ch/de/newnsb/yNgfnQ6o9l7doYlqLOqF5" TargetMode="External"/><Relationship Id="rId26" Type="http://schemas.openxmlformats.org/officeDocument/2006/relationships/hyperlink" Target="https://www.cash.ch/news/axpo-unterzeichnet-vertrag-fur-reservekraftwerk-in-muttenz-944930" TargetMode="External"/><Relationship Id="rId27" Type="http://schemas.openxmlformats.org/officeDocument/2006/relationships/hyperlink" Target="https://www.bfe.admin.ch/de/newnsb/iDoyQnC8QMyfYoJMgJG61" TargetMode="External"/><Relationship Id="rId28" Type="http://schemas.openxmlformats.org/officeDocument/2006/relationships/hyperlink" Target="https://www.zollikon.ch/aktuellesinformationen/2815189" TargetMode="External"/><Relationship Id="rId29" Type="http://schemas.openxmlformats.org/officeDocument/2006/relationships/hyperlink" Target="https://www.iwb.ch/servicecenter/bau-anlagenprojekte/fernwaermeausbau-wettstein" TargetMode="External"/><Relationship Id="rId30" Type="http://schemas.openxmlformats.org/officeDocument/2006/relationships/hyperlink" Target="https://www.swissinfo.ch/fre/les-sig-d&#233;marrent-une-nouvelle-&#233;tape-du-chantier-genilac-&#224;-rive/90897660" TargetMode="External"/><Relationship Id="rId31" Type="http://schemas.openxmlformats.org/officeDocument/2006/relationships/hyperlink" Target="https://www.energate-messenger.ch/news/240452/alpiq-und-stahl-gerlafingen-mit-gemeinsamem-wasserstoffprojekt" TargetMode="External"/>
</Relationships>
</file>

<file path=xl/worksheets/_rels/sheet10.xml.rels><?xml version="1.0" encoding="UTF-8"?>
<Relationships xmlns="http://schemas.openxmlformats.org/package/2006/relationships"><Relationship Id="rId1" Type="http://schemas.openxmlformats.org/officeDocument/2006/relationships/hyperlink" Target="https://www.inside-it.ch/equinix-baut-data-center-in-zuerich-aus-20241112" TargetMode="External"/><Relationship Id="rId2" Type="http://schemas.openxmlformats.org/officeDocument/2006/relationships/hyperlink" Target="https://www.shn.ch/" TargetMode="External"/><Relationship Id="rId3" Type="http://schemas.openxmlformats.org/officeDocument/2006/relationships/hyperlink" Target="https://news.microsoft.com/de-ch/" TargetMode="External"/><Relationship Id="rId4" Type="http://schemas.openxmlformats.org/officeDocument/2006/relationships/hyperlink" Target="https://www.bit.admin.ch/" TargetMode="External"/><Relationship Id="rId5" Type="http://schemas.openxmlformats.org/officeDocument/2006/relationships/hyperlink" Target="https://www.ess-news.com/" TargetMode="External"/><Relationship Id="rId6" Type="http://schemas.openxmlformats.org/officeDocument/2006/relationships/hyperlink" Target="https://www.energy-storage.news/" TargetMode="External"/><Relationship Id="rId7" Type="http://schemas.openxmlformats.org/officeDocument/2006/relationships/hyperlink" Target="https://www.lenouvelliste.ch/" TargetMode="External"/><Relationship Id="rId8" Type="http://schemas.openxmlformats.org/officeDocument/2006/relationships/hyperlink" Target="https://www.itmagazine.ch/artikel/85232/" TargetMode="External"/><Relationship Id="rId9" Type="http://schemas.openxmlformats.org/officeDocument/2006/relationships/hyperlink" Target="https://www.lauberhorn.ch/en/races/" TargetMode="External"/><Relationship Id="rId10" Type="http://schemas.openxmlformats.org/officeDocument/2006/relationships/hyperlink" Target="https://www.openairsg.ch/" TargetMode="External"/><Relationship Id="rId11" Type="http://schemas.openxmlformats.org/officeDocument/2006/relationships/hyperlink" Target="https://www.basel.com/en/events/art-basel" TargetMode="External"/><Relationship Id="rId12" Type="http://schemas.openxmlformats.org/officeDocument/2006/relationships/hyperlink" Target="https://company.sbb.ch/" TargetMode="External"/><Relationship Id="rId13" Type="http://schemas.openxmlformats.org/officeDocument/2006/relationships/hyperlink" Target="https://www.20min.ch/" TargetMode="External"/><Relationship Id="rId14" Type="http://schemas.openxmlformats.org/officeDocument/2006/relationships/hyperlink" Target="https://ch.issworld.com/" TargetMode="External"/><Relationship Id="rId15" Type="http://schemas.openxmlformats.org/officeDocument/2006/relationships/hyperlink" Target="https://amstein-walthert.ch/" TargetMode="External"/>
</Relationships>
</file>

<file path=xl/worksheets/_rels/sheet11.xml.rels><?xml version="1.0" encoding="UTF-8"?>
<Relationships xmlns="http://schemas.openxmlformats.org/package/2006/relationships"><Relationship Id="rId1" Type="http://schemas.openxmlformats.org/officeDocument/2006/relationships/hyperlink" Target="https://www.avescorent.ch/de/mietkategorie/power-system/" TargetMode="External"/><Relationship Id="rId2" Type="http://schemas.openxmlformats.org/officeDocument/2006/relationships/hyperlink" Target="https://www.bimex.ch/mieten/" TargetMode="External"/><Relationship Id="rId3" Type="http://schemas.openxmlformats.org/officeDocument/2006/relationships/hyperlink" Target="https://www.genga.ch/" TargetMode="External"/><Relationship Id="rId4" Type="http://schemas.openxmlformats.org/officeDocument/2006/relationships/hyperlink" Target="https://kuma-evt.ch/de/kompetenzen/energie/energieversorgung/bauprovisorien-mittel-niederspannung" TargetMode="External"/><Relationship Id="rId5" Type="http://schemas.openxmlformats.org/officeDocument/2006/relationships/hyperlink" Target="https://www.arag-bau.ch/" TargetMode="External"/><Relationship Id="rId6" Type="http://schemas.openxmlformats.org/officeDocument/2006/relationships/hyperlink" Target="https://www.loxam.ch/" TargetMode="External"/><Relationship Id="rId7" Type="http://schemas.openxmlformats.org/officeDocument/2006/relationships/hyperlink" Target="https://www.energyst.com/solution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00036"/>
    <pageSetUpPr fitToPage="false"/>
  </sheetPr>
  <dimension ref="A1:J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0" width="34"/>
    <col collapsed="false" customWidth="true" hidden="false" outlineLevel="0" max="4" min="3" style="0" width="18"/>
    <col collapsed="false" customWidth="true" hidden="false" outlineLevel="0" max="5" min="5" style="0" width="16"/>
    <col collapsed="false" customWidth="true" hidden="false" outlineLevel="0" max="6" min="6" style="0" width="10"/>
    <col collapsed="false" customWidth="true" hidden="false" outlineLevel="0" max="10" min="7" style="0" width="12"/>
  </cols>
  <sheetData>
    <row r="1" customFormat="false" ht="22.0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row>
    <row r="6" customFormat="false" ht="15" hidden="false" customHeight="false" outlineLevel="0" collapsed="false">
      <c r="A6" s="4" t="s">
        <v>4</v>
      </c>
    </row>
    <row r="7" customFormat="false" ht="15" hidden="false" customHeight="false" outlineLevel="0" collapsed="false">
      <c r="A7" s="4" t="s">
        <v>5</v>
      </c>
    </row>
    <row r="8" customFormat="false" ht="15" hidden="false" customHeight="false" outlineLevel="0" collapsed="false">
      <c r="A8" s="4" t="s">
        <v>6</v>
      </c>
    </row>
    <row r="9" customFormat="false" ht="15" hidden="false" customHeight="false" outlineLevel="0" collapsed="false">
      <c r="A9" s="4" t="s">
        <v>7</v>
      </c>
    </row>
    <row r="11" customFormat="false" ht="15" hidden="false" customHeight="false" outlineLevel="0" collapsed="false">
      <c r="A11" s="5" t="s">
        <v>8</v>
      </c>
      <c r="B11" s="5"/>
      <c r="C11" s="5" t="s">
        <v>9</v>
      </c>
      <c r="D11" s="5"/>
      <c r="E11" s="6" t="s">
        <v>10</v>
      </c>
      <c r="F11" s="6"/>
      <c r="G11" s="5" t="s">
        <v>11</v>
      </c>
      <c r="H11" s="5"/>
      <c r="I11" s="5" t="s">
        <v>12</v>
      </c>
      <c r="J11" s="5"/>
    </row>
    <row r="12" customFormat="false" ht="36" hidden="false" customHeight="true" outlineLevel="0" collapsed="false">
      <c r="A12" s="7" t="n">
        <f aca="false">COUNTA('Top-Player'!$D$5:$D$56)</f>
        <v>52</v>
      </c>
      <c r="B12" s="7"/>
      <c r="C12" s="8" t="n">
        <f aca="false">SUM('Top-Player'!$R$5:$R$56)</f>
        <v>6634100</v>
      </c>
      <c r="D12" s="8"/>
      <c r="E12" s="9" t="n">
        <f aca="false">SUM('Top-Player'!$U$5:$U$56)</f>
        <v>900700</v>
      </c>
      <c r="F12" s="9"/>
      <c r="G12" s="8" t="n">
        <f aca="false">SUMIF('Top-Player'!$C$5:$C$56,"Rechenzentrum",'Top-Player'!$U$5:$U$56)</f>
        <v>171300</v>
      </c>
      <c r="H12" s="8"/>
      <c r="I12" s="7" t="n">
        <f aca="false">COUNTIF('Top-Player'!$B$5:$B$56,"A")</f>
        <v>10</v>
      </c>
      <c r="J12" s="7"/>
    </row>
    <row r="14" customFormat="false" ht="15" hidden="false" customHeight="false" outlineLevel="0" collapsed="false">
      <c r="A14" s="3" t="s">
        <v>13</v>
      </c>
    </row>
    <row r="15" customFormat="false" ht="31.5" hidden="false" customHeight="true" outlineLevel="0" collapsed="false">
      <c r="A15" s="10" t="s">
        <v>14</v>
      </c>
      <c r="B15" s="10" t="s">
        <v>15</v>
      </c>
      <c r="C15" s="10" t="s">
        <v>9</v>
      </c>
      <c r="D15" s="10" t="s">
        <v>10</v>
      </c>
      <c r="E15" s="10" t="s">
        <v>16</v>
      </c>
    </row>
    <row r="16" customFormat="false" ht="15" hidden="false" customHeight="false" outlineLevel="0" collapsed="false">
      <c r="A16" s="11" t="s">
        <v>17</v>
      </c>
      <c r="B16" s="11" t="n">
        <f aca="false">COUNTIF('Top-Player'!$C$5:$C$56,A16)</f>
        <v>8</v>
      </c>
      <c r="C16" s="12" t="n">
        <f aca="false">SUMIF('Top-Player'!$C$5:$C$56,A16,'Top-Player'!$R$5:$R$56)</f>
        <v>1761400</v>
      </c>
      <c r="D16" s="12" t="n">
        <f aca="false">SUMIF('Top-Player'!$C$5:$C$56,A16,'Top-Player'!$U$5:$U$56)</f>
        <v>171300</v>
      </c>
      <c r="E16" s="13" t="n">
        <f aca="false">IF(SUM($D$16:$D$22)=0,0,D16/SUM($D$16:$D$22))</f>
        <v>0.19018541134673</v>
      </c>
    </row>
    <row r="17" customFormat="false" ht="15" hidden="false" customHeight="false" outlineLevel="0" collapsed="false">
      <c r="A17" s="11" t="s">
        <v>18</v>
      </c>
      <c r="B17" s="11" t="n">
        <f aca="false">COUNTIF('Top-Player'!$C$5:$C$56,A17)</f>
        <v>10</v>
      </c>
      <c r="C17" s="12" t="n">
        <f aca="false">SUMIF('Top-Player'!$C$5:$C$56,A17,'Top-Player'!$R$5:$R$56)</f>
        <v>1702100</v>
      </c>
      <c r="D17" s="12" t="n">
        <f aca="false">SUMIF('Top-Player'!$C$5:$C$56,A17,'Top-Player'!$U$5:$U$56)</f>
        <v>248100</v>
      </c>
      <c r="E17" s="13" t="n">
        <f aca="false">IF(SUM($D$16:$D$22)=0,0,D17/SUM($D$16:$D$22))</f>
        <v>0.275452425890974</v>
      </c>
    </row>
    <row r="18" customFormat="false" ht="15" hidden="false" customHeight="false" outlineLevel="0" collapsed="false">
      <c r="A18" s="11" t="s">
        <v>19</v>
      </c>
      <c r="B18" s="11" t="n">
        <f aca="false">COUNTIF('Top-Player'!$C$5:$C$56,A18)</f>
        <v>16</v>
      </c>
      <c r="C18" s="12" t="n">
        <f aca="false">SUMIF('Top-Player'!$C$5:$C$56,A18,'Top-Player'!$R$5:$R$56)</f>
        <v>1401400</v>
      </c>
      <c r="D18" s="12" t="n">
        <f aca="false">SUMIF('Top-Player'!$C$5:$C$56,A18,'Top-Player'!$U$5:$U$56)</f>
        <v>185600</v>
      </c>
      <c r="E18" s="13" t="n">
        <f aca="false">IF(SUM($D$16:$D$22)=0,0,D18/SUM($D$16:$D$22))</f>
        <v>0.206061951815255</v>
      </c>
    </row>
    <row r="19" customFormat="false" ht="15" hidden="false" customHeight="false" outlineLevel="0" collapsed="false">
      <c r="A19" s="11" t="s">
        <v>20</v>
      </c>
      <c r="B19" s="11" t="n">
        <f aca="false">COUNTIF('Top-Player'!$C$5:$C$56,A19)</f>
        <v>3</v>
      </c>
      <c r="C19" s="12" t="n">
        <f aca="false">SUMIF('Top-Player'!$C$5:$C$56,A19,'Top-Player'!$R$5:$R$56)</f>
        <v>332400</v>
      </c>
      <c r="D19" s="12" t="n">
        <f aca="false">SUMIF('Top-Player'!$C$5:$C$56,A19,'Top-Player'!$U$5:$U$56)</f>
        <v>65100</v>
      </c>
      <c r="E19" s="13" t="n">
        <f aca="false">IF(SUM($D$16:$D$22)=0,0,D19/SUM($D$16:$D$22))</f>
        <v>0.0722771177972688</v>
      </c>
    </row>
    <row r="20" customFormat="false" ht="15" hidden="false" customHeight="false" outlineLevel="0" collapsed="false">
      <c r="A20" s="11" t="s">
        <v>21</v>
      </c>
      <c r="B20" s="11" t="n">
        <f aca="false">COUNTIF('Top-Player'!$C$5:$C$56,A20)</f>
        <v>4</v>
      </c>
      <c r="C20" s="12" t="n">
        <f aca="false">SUMIF('Top-Player'!$C$5:$C$56,A20,'Top-Player'!$R$5:$R$56)</f>
        <v>389400</v>
      </c>
      <c r="D20" s="12" t="n">
        <f aca="false">SUMIF('Top-Player'!$C$5:$C$56,A20,'Top-Player'!$U$5:$U$56)</f>
        <v>69700</v>
      </c>
      <c r="E20" s="13" t="n">
        <f aca="false">IF(SUM($D$16:$D$22)=0,0,D20/SUM($D$16:$D$22))</f>
        <v>0.0773842566892417</v>
      </c>
    </row>
    <row r="21" customFormat="false" ht="15" hidden="false" customHeight="false" outlineLevel="0" collapsed="false">
      <c r="A21" s="11" t="s">
        <v>22</v>
      </c>
      <c r="B21" s="11" t="n">
        <f aca="false">COUNTIF('Top-Player'!$C$5:$C$56,A21)</f>
        <v>6</v>
      </c>
      <c r="C21" s="12" t="n">
        <f aca="false">SUMIF('Top-Player'!$C$5:$C$56,A21,'Top-Player'!$R$5:$R$56)</f>
        <v>497900</v>
      </c>
      <c r="D21" s="12" t="n">
        <f aca="false">SUMIF('Top-Player'!$C$5:$C$56,A21,'Top-Player'!$U$5:$U$56)</f>
        <v>59500</v>
      </c>
      <c r="E21" s="13" t="n">
        <f aca="false">IF(SUM($D$16:$D$22)=0,0,D21/SUM($D$16:$D$22))</f>
        <v>0.0660597313200844</v>
      </c>
    </row>
    <row r="22" customFormat="false" ht="15" hidden="false" customHeight="false" outlineLevel="0" collapsed="false">
      <c r="A22" s="11" t="s">
        <v>23</v>
      </c>
      <c r="B22" s="11" t="n">
        <f aca="false">COUNTIF('Top-Player'!$C$5:$C$56,A22)</f>
        <v>5</v>
      </c>
      <c r="C22" s="12" t="n">
        <f aca="false">SUMIF('Top-Player'!$C$5:$C$56,A22,'Top-Player'!$R$5:$R$56)</f>
        <v>549500</v>
      </c>
      <c r="D22" s="12" t="n">
        <f aca="false">SUMIF('Top-Player'!$C$5:$C$56,A22,'Top-Player'!$U$5:$U$56)</f>
        <v>101400</v>
      </c>
      <c r="E22" s="13" t="n">
        <f aca="false">IF(SUM($D$16:$D$22)=0,0,D22/SUM($D$16:$D$22))</f>
        <v>0.112579105140446</v>
      </c>
    </row>
    <row r="23" customFormat="false" ht="15" hidden="false" customHeight="false" outlineLevel="0" collapsed="false">
      <c r="A23" s="14" t="s">
        <v>24</v>
      </c>
      <c r="B23" s="15" t="n">
        <f aca="false">SUM(B16:B22)</f>
        <v>52</v>
      </c>
      <c r="C23" s="16" t="n">
        <f aca="false">SUM(C16:C22)</f>
        <v>6634100</v>
      </c>
      <c r="D23" s="16" t="n">
        <f aca="false">SUM(D16:D22)</f>
        <v>900700</v>
      </c>
      <c r="E23" s="11"/>
    </row>
    <row r="25" customFormat="false" ht="15" hidden="false" customHeight="false" outlineLevel="0" collapsed="false">
      <c r="A25" s="3" t="s">
        <v>25</v>
      </c>
    </row>
    <row r="26" customFormat="false" ht="31.5" hidden="false" customHeight="true" outlineLevel="0" collapsed="false">
      <c r="A26" s="10" t="s">
        <v>26</v>
      </c>
      <c r="B26" s="10" t="s">
        <v>27</v>
      </c>
      <c r="C26" s="10" t="s">
        <v>14</v>
      </c>
      <c r="D26" s="10" t="s">
        <v>10</v>
      </c>
      <c r="E26" s="10" t="s">
        <v>28</v>
      </c>
      <c r="F26" s="10" t="s">
        <v>29</v>
      </c>
    </row>
    <row r="27" customFormat="false" ht="15" hidden="false" customHeight="false" outlineLevel="0" collapsed="false">
      <c r="A27" s="11" t="n">
        <v>1</v>
      </c>
      <c r="B27" s="11" t="str">
        <f aca="false">INDEX('Top-Player'!$D$5:$D$56,MATCH(1,'Top-Player'!$A$5:$A$56,0))</f>
        <v>2. Gotthardröhre</v>
      </c>
      <c r="C27" s="11" t="str">
        <f aca="false">INDEX('Top-Player'!$C$5:$C$56,MATCH(1,'Top-Player'!$A$5:$A$56,0))</f>
        <v>Infrastruktur</v>
      </c>
      <c r="D27" s="12" t="n">
        <f aca="false">INDEX('Top-Player'!$U$5:$U$56,MATCH(1,'Top-Player'!$A$5:$A$56,0))</f>
        <v>66100</v>
      </c>
      <c r="E27" s="12" t="n">
        <f aca="false">INDEX('Top-Player'!$R$5:$R$56,MATCH(1,'Top-Player'!$A$5:$A$56,0))</f>
        <v>440900</v>
      </c>
      <c r="F27" s="11" t="str">
        <f aca="false">INDEX('Top-Player'!$B$5:$B$56,MATCH(1,'Top-Player'!$A$5:$A$56,0))</f>
        <v>A</v>
      </c>
    </row>
    <row r="28" customFormat="false" ht="15" hidden="false" customHeight="false" outlineLevel="0" collapsed="false">
      <c r="A28" s="11" t="n">
        <v>2</v>
      </c>
      <c r="B28" s="11" t="str">
        <f aca="false">INDEX('Top-Player'!$D$5:$D$56,MATCH(2,'Top-Player'!$A$5:$A$56,0))</f>
        <v>Sisikoner Tunnel (Neue Axenstrasse)</v>
      </c>
      <c r="C28" s="11" t="str">
        <f aca="false">INDEX('Top-Player'!$C$5:$C$56,MATCH(2,'Top-Player'!$A$5:$A$56,0))</f>
        <v>Infrastruktur</v>
      </c>
      <c r="D28" s="12" t="n">
        <f aca="false">INDEX('Top-Player'!$U$5:$U$56,MATCH(2,'Top-Player'!$A$5:$A$56,0))</f>
        <v>66100</v>
      </c>
      <c r="E28" s="12" t="n">
        <f aca="false">INDEX('Top-Player'!$R$5:$R$56,MATCH(2,'Top-Player'!$A$5:$A$56,0))</f>
        <v>330700</v>
      </c>
      <c r="F28" s="11" t="str">
        <f aca="false">INDEX('Top-Player'!$B$5:$B$56,MATCH(2,'Top-Player'!$A$5:$A$56,0))</f>
        <v>A</v>
      </c>
    </row>
    <row r="29" customFormat="false" ht="15" hidden="false" customHeight="false" outlineLevel="0" collapsed="false">
      <c r="A29" s="11" t="n">
        <v>3</v>
      </c>
      <c r="B29" s="11" t="str">
        <f aca="false">INDEX('Top-Player'!$D$5:$D$56,MATCH(3,'Top-Player'!$A$5:$A$56,0))</f>
        <v>Kantonsspital Aarau «Dreiklang»</v>
      </c>
      <c r="C29" s="11" t="str">
        <f aca="false">INDEX('Top-Player'!$C$5:$C$56,MATCH(3,'Top-Player'!$A$5:$A$56,0))</f>
        <v>Spital</v>
      </c>
      <c r="D29" s="12" t="n">
        <f aca="false">INDEX('Top-Player'!$U$5:$U$56,MATCH(3,'Top-Player'!$A$5:$A$56,0))</f>
        <v>38000</v>
      </c>
      <c r="E29" s="12" t="n">
        <f aca="false">INDEX('Top-Player'!$R$5:$R$56,MATCH(3,'Top-Player'!$A$5:$A$56,0))</f>
        <v>151900</v>
      </c>
      <c r="F29" s="11" t="str">
        <f aca="false">INDEX('Top-Player'!$B$5:$B$56,MATCH(3,'Top-Player'!$A$5:$A$56,0))</f>
        <v>A</v>
      </c>
    </row>
    <row r="30" customFormat="false" ht="15" hidden="false" customHeight="false" outlineLevel="0" collapsed="false">
      <c r="A30" s="11" t="n">
        <v>4</v>
      </c>
      <c r="B30" s="11" t="str">
        <f aca="false">INDEX('Top-Player'!$D$5:$D$56,MATCH(4,'Top-Player'!$A$5:$A$56,0))</f>
        <v>STACK ZUR02 Beringen</v>
      </c>
      <c r="C30" s="11" t="str">
        <f aca="false">INDEX('Top-Player'!$C$5:$C$56,MATCH(4,'Top-Player'!$A$5:$A$56,0))</f>
        <v>Rechenzentrum</v>
      </c>
      <c r="D30" s="12" t="n">
        <f aca="false">INDEX('Top-Player'!$U$5:$U$56,MATCH(4,'Top-Player'!$A$5:$A$56,0))</f>
        <v>37000</v>
      </c>
      <c r="E30" s="12" t="n">
        <f aca="false">INDEX('Top-Player'!$R$5:$R$56,MATCH(4,'Top-Player'!$A$5:$A$56,0))</f>
        <v>205700</v>
      </c>
      <c r="F30" s="11" t="str">
        <f aca="false">INDEX('Top-Player'!$B$5:$B$56,MATCH(4,'Top-Player'!$A$5:$A$56,0))</f>
        <v>A</v>
      </c>
    </row>
    <row r="31" customFormat="false" ht="15" hidden="false" customHeight="false" outlineLevel="0" collapsed="false">
      <c r="A31" s="11" t="n">
        <v>5</v>
      </c>
      <c r="B31" s="11" t="str">
        <f aca="false">INDEX('Top-Player'!$D$5:$D$56,MATCH(5,'Top-Player'!$A$5:$A$56,0))</f>
        <v>Bachem Werk Sisslerfeld</v>
      </c>
      <c r="C31" s="11" t="str">
        <f aca="false">INDEX('Top-Player'!$C$5:$C$56,MATCH(5,'Top-Player'!$A$5:$A$56,0))</f>
        <v>Industrie</v>
      </c>
      <c r="D31" s="12" t="n">
        <f aca="false">INDEX('Top-Player'!$U$5:$U$56,MATCH(5,'Top-Player'!$A$5:$A$56,0))</f>
        <v>33900</v>
      </c>
      <c r="E31" s="12" t="n">
        <f aca="false">INDEX('Top-Player'!$R$5:$R$56,MATCH(5,'Top-Player'!$A$5:$A$56,0))</f>
        <v>169600</v>
      </c>
      <c r="F31" s="11" t="str">
        <f aca="false">INDEX('Top-Player'!$B$5:$B$56,MATCH(5,'Top-Player'!$A$5:$A$56,0))</f>
        <v>A</v>
      </c>
    </row>
    <row r="32" customFormat="false" ht="15" hidden="false" customHeight="false" outlineLevel="0" collapsed="false">
      <c r="A32" s="11" t="n">
        <v>6</v>
      </c>
      <c r="B32" s="11" t="str">
        <f aca="false">INDEX('Top-Player'!$D$5:$D$56,MATCH(6,'Top-Player'!$A$5:$A$56,0))</f>
        <v>Pumpspeicherwerk Grimsel 4</v>
      </c>
      <c r="C32" s="11" t="str">
        <f aca="false">INDEX('Top-Player'!$C$5:$C$56,MATCH(6,'Top-Player'!$A$5:$A$56,0))</f>
        <v>Infrastruktur</v>
      </c>
      <c r="D32" s="12" t="n">
        <f aca="false">INDEX('Top-Player'!$U$5:$U$56,MATCH(6,'Top-Player'!$A$5:$A$56,0))</f>
        <v>33100</v>
      </c>
      <c r="E32" s="12" t="n">
        <f aca="false">INDEX('Top-Player'!$R$5:$R$56,MATCH(6,'Top-Player'!$A$5:$A$56,0))</f>
        <v>220400</v>
      </c>
      <c r="F32" s="11" t="str">
        <f aca="false">INDEX('Top-Player'!$B$5:$B$56,MATCH(6,'Top-Player'!$A$5:$A$56,0))</f>
        <v>A</v>
      </c>
    </row>
    <row r="33" customFormat="false" ht="15" hidden="false" customHeight="false" outlineLevel="0" collapsed="false">
      <c r="A33" s="11" t="n">
        <v>7</v>
      </c>
      <c r="B33" s="11" t="str">
        <f aca="false">INDEX('Top-Player'!$D$5:$D$56,MATCH(7,'Top-Player'!$A$5:$A$56,0))</f>
        <v>Paket Alpine Solar-Baustellen 2027</v>
      </c>
      <c r="C33" s="11" t="str">
        <f aca="false">INDEX('Top-Player'!$C$5:$C$56,MATCH(7,'Top-Player'!$A$5:$A$56,0))</f>
        <v>Netz / Energie</v>
      </c>
      <c r="D33" s="12" t="n">
        <f aca="false">INDEX('Top-Player'!$U$5:$U$56,MATCH(7,'Top-Player'!$A$5:$A$56,0))</f>
        <v>32300</v>
      </c>
      <c r="E33" s="12" t="n">
        <f aca="false">INDEX('Top-Player'!$R$5:$R$56,MATCH(7,'Top-Player'!$A$5:$A$56,0))</f>
        <v>215400</v>
      </c>
      <c r="F33" s="11" t="str">
        <f aca="false">INDEX('Top-Player'!$B$5:$B$56,MATCH(7,'Top-Player'!$A$5:$A$56,0))</f>
        <v>A</v>
      </c>
    </row>
    <row r="34" customFormat="false" ht="15" hidden="false" customHeight="false" outlineLevel="0" collapsed="false">
      <c r="A34" s="11" t="n">
        <v>8</v>
      </c>
      <c r="B34" s="11" t="str">
        <f aca="false">INDEX('Top-Player'!$D$5:$D$56,MATCH(8,'Top-Player'!$A$5:$A$56,0))</f>
        <v>Vantage ZRH3 Volketswil</v>
      </c>
      <c r="C34" s="11" t="str">
        <f aca="false">INDEX('Top-Player'!$C$5:$C$56,MATCH(8,'Top-Player'!$A$5:$A$56,0))</f>
        <v>Rechenzentrum</v>
      </c>
      <c r="D34" s="12" t="n">
        <f aca="false">INDEX('Top-Player'!$U$5:$U$56,MATCH(8,'Top-Player'!$A$5:$A$56,0))</f>
        <v>28000</v>
      </c>
      <c r="E34" s="12" t="n">
        <f aca="false">INDEX('Top-Player'!$R$5:$R$56,MATCH(8,'Top-Player'!$A$5:$A$56,0))</f>
        <v>700200</v>
      </c>
      <c r="F34" s="11" t="str">
        <f aca="false">INDEX('Top-Player'!$B$5:$B$56,MATCH(8,'Top-Player'!$A$5:$A$56,0))</f>
        <v>A</v>
      </c>
    </row>
    <row r="35" customFormat="false" ht="15" hidden="false" customHeight="false" outlineLevel="0" collapsed="false">
      <c r="A35" s="11" t="n">
        <v>9</v>
      </c>
      <c r="B35" s="11" t="str">
        <f aca="false">INDEX('Top-Player'!$D$5:$D$56,MATCH(9,'Top-Player'!$A$5:$A$56,0))</f>
        <v>ETAVIS / VINCI Energies (Rahmen)</v>
      </c>
      <c r="C35" s="11" t="str">
        <f aca="false">INDEX('Top-Player'!$C$5:$C$56,MATCH(9,'Top-Player'!$A$5:$A$56,0))</f>
        <v>Kanal-Partner</v>
      </c>
      <c r="D35" s="12" t="n">
        <f aca="false">INDEX('Top-Player'!$U$5:$U$56,MATCH(9,'Top-Player'!$A$5:$A$56,0))</f>
        <v>27800</v>
      </c>
      <c r="E35" s="12" t="n">
        <f aca="false">INDEX('Top-Player'!$R$5:$R$56,MATCH(9,'Top-Player'!$A$5:$A$56,0))</f>
        <v>138900</v>
      </c>
      <c r="F35" s="11" t="str">
        <f aca="false">INDEX('Top-Player'!$B$5:$B$56,MATCH(9,'Top-Player'!$A$5:$A$56,0))</f>
        <v>A</v>
      </c>
    </row>
    <row r="36" customFormat="false" ht="15" hidden="false" customHeight="false" outlineLevel="0" collapsed="false">
      <c r="A36" s="11" t="n">
        <v>10</v>
      </c>
      <c r="B36" s="11" t="str">
        <f aca="false">INDEX('Top-Player'!$D$5:$D$56,MATCH(10,'Top-Player'!$A$5:$A$56,0))</f>
        <v>Burkhalter Gruppe (Rahmen)</v>
      </c>
      <c r="C36" s="11" t="str">
        <f aca="false">INDEX('Top-Player'!$C$5:$C$56,MATCH(10,'Top-Player'!$A$5:$A$56,0))</f>
        <v>Kanal-Partner</v>
      </c>
      <c r="D36" s="12" t="n">
        <f aca="false">INDEX('Top-Player'!$U$5:$U$56,MATCH(10,'Top-Player'!$A$5:$A$56,0))</f>
        <v>25400</v>
      </c>
      <c r="E36" s="12" t="n">
        <f aca="false">INDEX('Top-Player'!$R$5:$R$56,MATCH(10,'Top-Player'!$A$5:$A$56,0))</f>
        <v>127200</v>
      </c>
      <c r="F36" s="11" t="str">
        <f aca="false">INDEX('Top-Player'!$B$5:$B$56,MATCH(10,'Top-Player'!$A$5:$A$56,0))</f>
        <v>A</v>
      </c>
    </row>
    <row r="39" customFormat="false" ht="15" hidden="false" customHeight="false" outlineLevel="0" collapsed="false">
      <c r="A39" s="3" t="s">
        <v>30</v>
      </c>
    </row>
    <row r="40" customFormat="false" ht="15" hidden="false" customHeight="false" outlineLevel="0" collapsed="false">
      <c r="A40" s="17" t="s">
        <v>8</v>
      </c>
      <c r="B40" s="18" t="s">
        <v>31</v>
      </c>
    </row>
    <row r="41" customFormat="false" ht="15" hidden="false" customHeight="false" outlineLevel="0" collapsed="false">
      <c r="A41" s="17" t="s">
        <v>32</v>
      </c>
      <c r="B41" s="18" t="s">
        <v>33</v>
      </c>
    </row>
    <row r="42" customFormat="false" ht="15" hidden="false" customHeight="false" outlineLevel="0" collapsed="false">
      <c r="A42" s="17" t="s">
        <v>34</v>
      </c>
      <c r="B42" s="18" t="s">
        <v>35</v>
      </c>
    </row>
    <row r="43" customFormat="false" ht="15" hidden="false" customHeight="false" outlineLevel="0" collapsed="false">
      <c r="A43" s="17" t="s">
        <v>36</v>
      </c>
      <c r="B43" s="18" t="s">
        <v>37</v>
      </c>
    </row>
    <row r="44" customFormat="false" ht="15" hidden="false" customHeight="false" outlineLevel="0" collapsed="false">
      <c r="A44" s="17" t="s">
        <v>38</v>
      </c>
      <c r="B44" s="18" t="s">
        <v>39</v>
      </c>
    </row>
    <row r="45" customFormat="false" ht="15" hidden="false" customHeight="false" outlineLevel="0" collapsed="false">
      <c r="A45" s="17" t="s">
        <v>40</v>
      </c>
      <c r="B45" s="18" t="s">
        <v>41</v>
      </c>
    </row>
    <row r="46" customFormat="false" ht="15" hidden="false" customHeight="false" outlineLevel="0" collapsed="false">
      <c r="A46" s="17" t="s">
        <v>42</v>
      </c>
      <c r="B46" s="18" t="s">
        <v>43</v>
      </c>
    </row>
    <row r="47" customFormat="false" ht="15" hidden="false" customHeight="false" outlineLevel="0" collapsed="false">
      <c r="A47" s="17" t="s">
        <v>44</v>
      </c>
      <c r="B47" s="18" t="s">
        <v>45</v>
      </c>
    </row>
    <row r="48" customFormat="false" ht="15" hidden="false" customHeight="false" outlineLevel="0" collapsed="false">
      <c r="A48" s="17" t="s">
        <v>46</v>
      </c>
      <c r="B48" s="18" t="s">
        <v>47</v>
      </c>
    </row>
    <row r="49" customFormat="false" ht="15" hidden="false" customHeight="false" outlineLevel="0" collapsed="false">
      <c r="A49" s="17" t="s">
        <v>48</v>
      </c>
      <c r="B49" s="18" t="s">
        <v>49</v>
      </c>
    </row>
    <row r="50" customFormat="false" ht="15" hidden="false" customHeight="false" outlineLevel="0" collapsed="false">
      <c r="A50" s="17" t="s">
        <v>50</v>
      </c>
      <c r="B50" s="18" t="s">
        <v>51</v>
      </c>
    </row>
    <row r="51" customFormat="false" ht="15" hidden="false" customHeight="false" outlineLevel="0" collapsed="false">
      <c r="A51" s="3" t="s">
        <v>52</v>
      </c>
      <c r="B51" s="18" t="s">
        <v>53</v>
      </c>
    </row>
    <row r="52" customFormat="false" ht="15" hidden="false" customHeight="false" outlineLevel="0" collapsed="false">
      <c r="A52" s="18" t="s">
        <v>54</v>
      </c>
      <c r="B52" s="19" t="n">
        <f aca="false">COUNTIF('90-Tage-Plan'!$H$5:$H$26,A52)</f>
        <v>22</v>
      </c>
    </row>
    <row r="53" customFormat="false" ht="15" hidden="false" customHeight="false" outlineLevel="0" collapsed="false">
      <c r="A53" s="18" t="s">
        <v>55</v>
      </c>
      <c r="B53" s="19" t="n">
        <f aca="false">COUNTIF('90-Tage-Plan'!$H$5:$H$26,A53)</f>
        <v>0</v>
      </c>
    </row>
    <row r="54" customFormat="false" ht="15" hidden="false" customHeight="false" outlineLevel="0" collapsed="false">
      <c r="A54" s="18" t="s">
        <v>56</v>
      </c>
      <c r="B54" s="19" t="n">
        <f aca="false">COUNTIF('90-Tage-Plan'!$H$5:$H$26,A54)</f>
        <v>0</v>
      </c>
    </row>
    <row r="55" customFormat="false" ht="15" hidden="false" customHeight="false" outlineLevel="0" collapsed="false">
      <c r="A55" s="18" t="s">
        <v>57</v>
      </c>
      <c r="B55" s="19" t="n">
        <f aca="false">COUNTIF('90-Tage-Plan'!$H$5:$H$26,A55)</f>
        <v>0</v>
      </c>
    </row>
  </sheetData>
  <mergeCells count="10">
    <mergeCell ref="A11:B11"/>
    <mergeCell ref="C11:D11"/>
    <mergeCell ref="E11:F11"/>
    <mergeCell ref="G11:H11"/>
    <mergeCell ref="I11:J11"/>
    <mergeCell ref="A12:B12"/>
    <mergeCell ref="C12:D12"/>
    <mergeCell ref="E12:F12"/>
    <mergeCell ref="G12:H12"/>
    <mergeCell ref="I12:J12"/>
  </mergeCells>
  <hyperlinks>
    <hyperlink ref="A40" r:id="rId1" location="'Top-Player'!A1" display="Top-Player"/>
    <hyperlink ref="A41" r:id="rId2" location="'Events%202027'!A1" display="Events 2027"/>
    <hyperlink ref="A42" r:id="rId3" location="'EVU%20&amp;%20Energie%202027'!A1" display="EVU &amp; Energie 2027"/>
    <hyperlink ref="A43" r:id="rId4" location="'90-Tage-Plan'!A1" display="90-Tage-Plan"/>
    <hyperlink ref="A44" r:id="rId5" location="'Rechenzentren'!A1" display="Rechenzentren"/>
    <hyperlink ref="A45" r:id="rId6" location="'Produktbedarf'!A1" display="Produktbedarf"/>
    <hyperlink ref="A46" r:id="rId7" location="'Portfolio'!A1" display="Portfolio"/>
    <hyperlink ref="A47" r:id="rId8" location="'Annahmen'!A1" display="Annahmen"/>
    <hyperlink ref="A48" r:id="rId9" location="'Beobachten'!A1" display="Beobachten"/>
    <hyperlink ref="A49" r:id="rId10" location="'Wettbewerb'!A1" display="Wettbewerb"/>
    <hyperlink ref="A50" r:id="rId11" location="'Glossar'!A1" display="Glossar"/>
    <hyperlink ref="A51" r:id="rId12" location="'Methode%20&amp;%20Quellen'!A1" display="Stand 90-Tage-Pla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00036"/>
    <pageSetUpPr fitToPage="false"/>
  </sheetPr>
  <dimension ref="A1:A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1" style="0" width="6"/>
    <col collapsed="false" customWidth="true" hidden="false" outlineLevel="0" max="3" min="3" style="0" width="15"/>
    <col collapsed="false" customWidth="true" hidden="false" outlineLevel="0" max="4" min="4" style="0" width="32"/>
    <col collapsed="false" customWidth="true" hidden="false" outlineLevel="0" max="5" min="5" style="0" width="28"/>
    <col collapsed="false" customWidth="true" hidden="false" outlineLevel="0" max="6" min="6" style="0" width="16"/>
    <col collapsed="false" customWidth="true" hidden="false" outlineLevel="0" max="7" min="7" style="0" width="6"/>
    <col collapsed="false" customWidth="true" hidden="false" outlineLevel="0" max="8" min="8" style="0" width="15"/>
    <col collapsed="false" customWidth="true" hidden="false" outlineLevel="0" max="9" min="9" style="0" width="8"/>
    <col collapsed="false" customWidth="true" hidden="false" outlineLevel="0" max="10" min="10" style="0" width="40"/>
    <col collapsed="false" customWidth="true" hidden="false" outlineLevel="0" max="11" min="11" style="0" width="38"/>
    <col collapsed="false" customWidth="true" hidden="false" outlineLevel="0" max="15" min="12" style="0" width="9"/>
    <col collapsed="false" customWidth="true" hidden="false" outlineLevel="0" max="17" min="16" style="0" width="8"/>
    <col collapsed="false" customWidth="true" hidden="false" outlineLevel="0" max="18" min="18" style="0" width="13"/>
    <col collapsed="false" customWidth="true" hidden="false" outlineLevel="0" max="19" min="19" style="0" width="9"/>
    <col collapsed="false" customWidth="true" hidden="false" outlineLevel="0" max="20" min="20" style="0" width="10"/>
    <col collapsed="false" customWidth="true" hidden="false" outlineLevel="0" max="21" min="21" style="0" width="13"/>
    <col collapsed="false" customWidth="true" hidden="false" outlineLevel="0" max="22" min="22" style="0" width="28"/>
    <col collapsed="false" customWidth="true" hidden="false" outlineLevel="0" max="23" min="23" style="0" width="38"/>
    <col collapsed="false" customWidth="true" hidden="false" outlineLevel="0" max="24" min="24" style="0" width="13"/>
    <col collapsed="false" customWidth="true" hidden="false" outlineLevel="0" max="25" min="25" style="0" width="18"/>
    <col collapsed="false" customWidth="true" hidden="false" outlineLevel="0" max="26" min="26" style="0" width="30"/>
    <col collapsed="false" customWidth="true" hidden="false" outlineLevel="0" max="27" min="27" style="0" width="22"/>
    <col collapsed="false" customWidth="true" hidden="false" outlineLevel="0" max="28" min="28" style="0" width="24"/>
    <col collapsed="false" customWidth="true" hidden="false" outlineLevel="0" max="30" min="29" style="0" width="11"/>
    <col collapsed="false" customWidth="true" hidden="false" outlineLevel="0" max="31" min="31" style="0" width="9"/>
    <col collapsed="false" customWidth="true" hidden="false" outlineLevel="0" max="32" min="32" style="0" width="38"/>
  </cols>
  <sheetData>
    <row r="1" customFormat="false" ht="22.05" hidden="false" customHeight="false" outlineLevel="0" collapsed="false">
      <c r="A1" s="1" t="s">
        <v>0</v>
      </c>
    </row>
    <row r="2" customFormat="false" ht="15" hidden="false" customHeight="false" outlineLevel="0" collapsed="false">
      <c r="A2" s="2" t="s">
        <v>58</v>
      </c>
    </row>
    <row r="3" customFormat="false" ht="15" hidden="false" customHeight="false" outlineLevel="0" collapsed="false">
      <c r="A3" s="20" t="s">
        <v>59</v>
      </c>
    </row>
    <row r="4" customFormat="false" ht="31.5" hidden="false" customHeight="true" outlineLevel="0" collapsed="false">
      <c r="A4" s="10" t="s">
        <v>26</v>
      </c>
      <c r="B4" s="10" t="s">
        <v>29</v>
      </c>
      <c r="C4" s="10" t="s">
        <v>14</v>
      </c>
      <c r="D4" s="10" t="s">
        <v>27</v>
      </c>
      <c r="E4" s="10" t="s">
        <v>60</v>
      </c>
      <c r="F4" s="10" t="s">
        <v>61</v>
      </c>
      <c r="G4" s="10" t="s">
        <v>62</v>
      </c>
      <c r="H4" s="10" t="s">
        <v>63</v>
      </c>
      <c r="I4" s="10" t="s">
        <v>64</v>
      </c>
      <c r="J4" s="10" t="s">
        <v>65</v>
      </c>
      <c r="K4" s="10" t="s">
        <v>66</v>
      </c>
      <c r="L4" s="10" t="s">
        <v>67</v>
      </c>
      <c r="M4" s="10" t="s">
        <v>68</v>
      </c>
      <c r="N4" s="10" t="s">
        <v>69</v>
      </c>
      <c r="O4" s="10" t="s">
        <v>70</v>
      </c>
      <c r="P4" s="10" t="s">
        <v>71</v>
      </c>
      <c r="Q4" s="10" t="s">
        <v>72</v>
      </c>
      <c r="R4" s="10" t="s">
        <v>73</v>
      </c>
      <c r="S4" s="10" t="s">
        <v>74</v>
      </c>
      <c r="T4" s="10" t="s">
        <v>75</v>
      </c>
      <c r="U4" s="10" t="s">
        <v>10</v>
      </c>
      <c r="V4" s="10" t="s">
        <v>76</v>
      </c>
      <c r="W4" s="10" t="s">
        <v>77</v>
      </c>
      <c r="X4" s="10" t="s">
        <v>78</v>
      </c>
      <c r="Y4" s="10" t="s">
        <v>79</v>
      </c>
      <c r="Z4" s="10" t="s">
        <v>80</v>
      </c>
      <c r="AA4" s="10" t="s">
        <v>81</v>
      </c>
      <c r="AB4" s="10" t="s">
        <v>82</v>
      </c>
      <c r="AC4" s="10" t="s">
        <v>83</v>
      </c>
      <c r="AD4" s="10" t="s">
        <v>84</v>
      </c>
      <c r="AE4" s="10" t="s">
        <v>85</v>
      </c>
      <c r="AF4" s="10" t="s">
        <v>86</v>
      </c>
    </row>
    <row r="5" customFormat="false" ht="51.75" hidden="false" customHeight="true" outlineLevel="0" collapsed="false">
      <c r="A5" s="21" t="n">
        <f aca="false">RANK(U5,$U$5:$U$56)+COUNTIF($U$5:U5,U5)-1</f>
        <v>1</v>
      </c>
      <c r="B5" s="22" t="str">
        <f aca="false">IF(U5&gt;=Annahmen!$B$24,"A",IF(U5&gt;=Annahmen!$B$25,"B","C"))</f>
        <v>A</v>
      </c>
      <c r="C5" s="23" t="s">
        <v>18</v>
      </c>
      <c r="D5" s="24" t="s">
        <v>87</v>
      </c>
      <c r="E5" s="23" t="s">
        <v>88</v>
      </c>
      <c r="F5" s="23" t="s">
        <v>89</v>
      </c>
      <c r="G5" s="21" t="s">
        <v>90</v>
      </c>
      <c r="H5" s="25" t="s">
        <v>91</v>
      </c>
      <c r="I5" s="21" t="s">
        <v>92</v>
      </c>
      <c r="J5" s="23" t="s">
        <v>93</v>
      </c>
      <c r="K5" s="23" t="s">
        <v>94</v>
      </c>
      <c r="L5" s="26" t="n">
        <v>2</v>
      </c>
      <c r="M5" s="27" t="n">
        <v>52</v>
      </c>
      <c r="N5" s="26" t="n">
        <v>0</v>
      </c>
      <c r="O5" s="27" t="n">
        <v>0</v>
      </c>
      <c r="P5" s="26" t="n">
        <v>0</v>
      </c>
      <c r="Q5" s="27" t="n">
        <v>0</v>
      </c>
      <c r="R5" s="28" t="n">
        <f aca="false">ROUND(L5*M5*Annahmen!$F$9+N5*O5*Annahmen!$F$12+P5*Q5*Annahmen!$F$15,-2)</f>
        <v>440900</v>
      </c>
      <c r="S5" s="29" t="n">
        <v>1</v>
      </c>
      <c r="T5" s="29" t="n">
        <v>0.15</v>
      </c>
      <c r="U5" s="30" t="n">
        <f aca="false">ROUND(R5*S5*T5,-2)</f>
        <v>66100</v>
      </c>
      <c r="V5" s="23" t="s">
        <v>95</v>
      </c>
      <c r="W5" s="31" t="s">
        <v>96</v>
      </c>
      <c r="X5" s="27"/>
      <c r="Y5" s="27" t="s">
        <v>97</v>
      </c>
      <c r="Z5" s="23" t="s">
        <v>98</v>
      </c>
      <c r="AA5" s="27"/>
      <c r="AB5" s="27"/>
      <c r="AC5" s="32"/>
      <c r="AD5" s="32"/>
      <c r="AE5" s="33" t="s">
        <v>99</v>
      </c>
      <c r="AF5" s="23"/>
    </row>
    <row r="6" customFormat="false" ht="51.75" hidden="false" customHeight="true" outlineLevel="0" collapsed="false">
      <c r="A6" s="21" t="n">
        <f aca="false">RANK(U6,$U$5:$U$56)+COUNTIF($U$5:U6,U6)-1</f>
        <v>2</v>
      </c>
      <c r="B6" s="22" t="str">
        <f aca="false">IF(U6&gt;=Annahmen!$B$24,"A",IF(U6&gt;=Annahmen!$B$25,"B","C"))</f>
        <v>A</v>
      </c>
      <c r="C6" s="23" t="s">
        <v>18</v>
      </c>
      <c r="D6" s="24" t="s">
        <v>100</v>
      </c>
      <c r="E6" s="23" t="s">
        <v>101</v>
      </c>
      <c r="F6" s="23" t="s">
        <v>102</v>
      </c>
      <c r="G6" s="21" t="s">
        <v>103</v>
      </c>
      <c r="H6" s="25" t="s">
        <v>104</v>
      </c>
      <c r="I6" s="21" t="s">
        <v>105</v>
      </c>
      <c r="J6" s="23" t="s">
        <v>106</v>
      </c>
      <c r="K6" s="23" t="s">
        <v>107</v>
      </c>
      <c r="L6" s="26" t="n">
        <v>1.5</v>
      </c>
      <c r="M6" s="27" t="n">
        <v>52</v>
      </c>
      <c r="N6" s="26" t="n">
        <v>0</v>
      </c>
      <c r="O6" s="27" t="n">
        <v>0</v>
      </c>
      <c r="P6" s="26" t="n">
        <v>0</v>
      </c>
      <c r="Q6" s="27" t="n">
        <v>0</v>
      </c>
      <c r="R6" s="28" t="n">
        <f aca="false">ROUND(L6*M6*Annahmen!$F$9+N6*O6*Annahmen!$F$12+P6*Q6*Annahmen!$F$15,-2)</f>
        <v>330700</v>
      </c>
      <c r="S6" s="29" t="n">
        <v>1</v>
      </c>
      <c r="T6" s="29" t="n">
        <v>0.2</v>
      </c>
      <c r="U6" s="30" t="n">
        <f aca="false">ROUND(R6*S6*T6,-2)</f>
        <v>66100</v>
      </c>
      <c r="V6" s="23" t="s">
        <v>108</v>
      </c>
      <c r="W6" s="31" t="s">
        <v>109</v>
      </c>
      <c r="X6" s="27"/>
      <c r="Y6" s="27" t="s">
        <v>97</v>
      </c>
      <c r="Z6" s="23" t="s">
        <v>98</v>
      </c>
      <c r="AA6" s="27"/>
      <c r="AB6" s="27"/>
      <c r="AC6" s="32"/>
      <c r="AD6" s="32"/>
      <c r="AE6" s="33" t="s">
        <v>99</v>
      </c>
      <c r="AF6" s="23"/>
    </row>
    <row r="7" customFormat="false" ht="51.75" hidden="false" customHeight="true" outlineLevel="0" collapsed="false">
      <c r="A7" s="21" t="n">
        <f aca="false">RANK(U7,$U$5:$U$56)+COUNTIF($U$5:U7,U7)-1</f>
        <v>3</v>
      </c>
      <c r="B7" s="22" t="str">
        <f aca="false">IF(U7&gt;=Annahmen!$B$24,"A",IF(U7&gt;=Annahmen!$B$25,"B","C"))</f>
        <v>A</v>
      </c>
      <c r="C7" s="23" t="s">
        <v>20</v>
      </c>
      <c r="D7" s="24" t="s">
        <v>110</v>
      </c>
      <c r="E7" s="23" t="s">
        <v>111</v>
      </c>
      <c r="F7" s="23" t="s">
        <v>112</v>
      </c>
      <c r="G7" s="21" t="s">
        <v>113</v>
      </c>
      <c r="H7" s="25" t="s">
        <v>114</v>
      </c>
      <c r="I7" s="21" t="s">
        <v>105</v>
      </c>
      <c r="J7" s="23" t="s">
        <v>115</v>
      </c>
      <c r="K7" s="23" t="s">
        <v>116</v>
      </c>
      <c r="L7" s="26" t="n">
        <v>1</v>
      </c>
      <c r="M7" s="27" t="n">
        <v>34</v>
      </c>
      <c r="N7" s="26" t="n">
        <v>2</v>
      </c>
      <c r="O7" s="27" t="n">
        <v>2</v>
      </c>
      <c r="P7" s="26" t="n">
        <v>0</v>
      </c>
      <c r="Q7" s="27" t="n">
        <v>0</v>
      </c>
      <c r="R7" s="28" t="n">
        <f aca="false">ROUND(L7*M7*Annahmen!$F$9+N7*O7*Annahmen!$F$12+P7*Q7*Annahmen!$F$15,-2)</f>
        <v>151900</v>
      </c>
      <c r="S7" s="29" t="n">
        <v>1</v>
      </c>
      <c r="T7" s="29" t="n">
        <v>0.25</v>
      </c>
      <c r="U7" s="30" t="n">
        <f aca="false">ROUND(R7*S7*T7,-2)</f>
        <v>38000</v>
      </c>
      <c r="V7" s="23" t="s">
        <v>117</v>
      </c>
      <c r="W7" s="31" t="s">
        <v>118</v>
      </c>
      <c r="X7" s="27"/>
      <c r="Y7" s="27" t="s">
        <v>97</v>
      </c>
      <c r="Z7" s="23" t="s">
        <v>119</v>
      </c>
      <c r="AA7" s="27"/>
      <c r="AB7" s="27"/>
      <c r="AC7" s="32"/>
      <c r="AD7" s="32"/>
      <c r="AE7" s="33" t="s">
        <v>99</v>
      </c>
      <c r="AF7" s="23"/>
    </row>
    <row r="8" customFormat="false" ht="51.75" hidden="false" customHeight="true" outlineLevel="0" collapsed="false">
      <c r="A8" s="21" t="n">
        <f aca="false">RANK(U8,$U$5:$U$56)+COUNTIF($U$5:U8,U8)-1</f>
        <v>4</v>
      </c>
      <c r="B8" s="22" t="str">
        <f aca="false">IF(U8&gt;=Annahmen!$B$24,"A",IF(U8&gt;=Annahmen!$B$25,"B","C"))</f>
        <v>A</v>
      </c>
      <c r="C8" s="23" t="s">
        <v>17</v>
      </c>
      <c r="D8" s="24" t="s">
        <v>120</v>
      </c>
      <c r="E8" s="23" t="s">
        <v>121</v>
      </c>
      <c r="F8" s="23" t="s">
        <v>122</v>
      </c>
      <c r="G8" s="21" t="s">
        <v>123</v>
      </c>
      <c r="H8" s="25" t="s">
        <v>124</v>
      </c>
      <c r="I8" s="21" t="s">
        <v>125</v>
      </c>
      <c r="J8" s="23" t="s">
        <v>126</v>
      </c>
      <c r="K8" s="23" t="s">
        <v>127</v>
      </c>
      <c r="L8" s="26" t="n">
        <v>4</v>
      </c>
      <c r="M8" s="27" t="n">
        <v>8</v>
      </c>
      <c r="N8" s="26" t="n">
        <v>12</v>
      </c>
      <c r="O8" s="27" t="n">
        <v>3</v>
      </c>
      <c r="P8" s="26" t="n">
        <v>0</v>
      </c>
      <c r="Q8" s="27" t="n">
        <v>0</v>
      </c>
      <c r="R8" s="28" t="n">
        <f aca="false">ROUND(L8*M8*Annahmen!$F$9+N8*O8*Annahmen!$F$12+P8*Q8*Annahmen!$F$15,-2)</f>
        <v>205700</v>
      </c>
      <c r="S8" s="29" t="n">
        <v>0.6</v>
      </c>
      <c r="T8" s="29" t="n">
        <v>0.3</v>
      </c>
      <c r="U8" s="30" t="n">
        <f aca="false">ROUND(R8*S8*T8,-2)</f>
        <v>37000</v>
      </c>
      <c r="V8" s="23" t="s">
        <v>128</v>
      </c>
      <c r="W8" s="31" t="s">
        <v>129</v>
      </c>
      <c r="X8" s="27"/>
      <c r="Y8" s="27" t="s">
        <v>97</v>
      </c>
      <c r="Z8" s="23" t="s">
        <v>130</v>
      </c>
      <c r="AA8" s="27"/>
      <c r="AB8" s="27"/>
      <c r="AC8" s="32"/>
      <c r="AD8" s="32"/>
      <c r="AE8" s="33" t="s">
        <v>99</v>
      </c>
      <c r="AF8" s="23" t="s">
        <v>131</v>
      </c>
    </row>
    <row r="9" customFormat="false" ht="51.75" hidden="false" customHeight="true" outlineLevel="0" collapsed="false">
      <c r="A9" s="21" t="n">
        <f aca="false">RANK(U9,$U$5:$U$56)+COUNTIF($U$5:U9,U9)-1</f>
        <v>5</v>
      </c>
      <c r="B9" s="22" t="str">
        <f aca="false">IF(U9&gt;=Annahmen!$B$24,"A",IF(U9&gt;=Annahmen!$B$25,"B","C"))</f>
        <v>A</v>
      </c>
      <c r="C9" s="23" t="s">
        <v>21</v>
      </c>
      <c r="D9" s="24" t="s">
        <v>132</v>
      </c>
      <c r="E9" s="23" t="s">
        <v>133</v>
      </c>
      <c r="F9" s="23" t="s">
        <v>134</v>
      </c>
      <c r="G9" s="21" t="s">
        <v>113</v>
      </c>
      <c r="H9" s="25" t="s">
        <v>114</v>
      </c>
      <c r="I9" s="21" t="s">
        <v>105</v>
      </c>
      <c r="J9" s="23" t="s">
        <v>135</v>
      </c>
      <c r="K9" s="23" t="s">
        <v>136</v>
      </c>
      <c r="L9" s="26" t="n">
        <v>1</v>
      </c>
      <c r="M9" s="27" t="n">
        <v>40</v>
      </c>
      <c r="N9" s="26" t="n">
        <v>0</v>
      </c>
      <c r="O9" s="27" t="n">
        <v>0</v>
      </c>
      <c r="P9" s="26" t="n">
        <v>0</v>
      </c>
      <c r="Q9" s="27" t="n">
        <v>0</v>
      </c>
      <c r="R9" s="28" t="n">
        <f aca="false">ROUND(L9*M9*Annahmen!$F$9+N9*O9*Annahmen!$F$12+P9*Q9*Annahmen!$F$15,-2)</f>
        <v>169600</v>
      </c>
      <c r="S9" s="29" t="n">
        <v>1</v>
      </c>
      <c r="T9" s="29" t="n">
        <v>0.2</v>
      </c>
      <c r="U9" s="30" t="n">
        <f aca="false">ROUND(R9*S9*T9,-2)</f>
        <v>33900</v>
      </c>
      <c r="V9" s="23" t="s">
        <v>137</v>
      </c>
      <c r="W9" s="31" t="s">
        <v>138</v>
      </c>
      <c r="X9" s="27"/>
      <c r="Y9" s="27" t="s">
        <v>97</v>
      </c>
      <c r="Z9" s="23" t="s">
        <v>139</v>
      </c>
      <c r="AA9" s="27"/>
      <c r="AB9" s="27"/>
      <c r="AC9" s="32"/>
      <c r="AD9" s="32"/>
      <c r="AE9" s="33" t="s">
        <v>99</v>
      </c>
      <c r="AF9" s="23"/>
    </row>
    <row r="10" customFormat="false" ht="51.75" hidden="false" customHeight="true" outlineLevel="0" collapsed="false">
      <c r="A10" s="21" t="n">
        <f aca="false">RANK(U10,$U$5:$U$56)+COUNTIF($U$5:U10,U10)-1</f>
        <v>6</v>
      </c>
      <c r="B10" s="22" t="str">
        <f aca="false">IF(U10&gt;=Annahmen!$B$24,"A",IF(U10&gt;=Annahmen!$B$25,"B","C"))</f>
        <v>A</v>
      </c>
      <c r="C10" s="23" t="s">
        <v>18</v>
      </c>
      <c r="D10" s="24" t="s">
        <v>140</v>
      </c>
      <c r="E10" s="23" t="s">
        <v>141</v>
      </c>
      <c r="F10" s="23" t="s">
        <v>142</v>
      </c>
      <c r="G10" s="21" t="s">
        <v>143</v>
      </c>
      <c r="H10" s="25" t="s">
        <v>144</v>
      </c>
      <c r="I10" s="21" t="s">
        <v>105</v>
      </c>
      <c r="J10" s="23" t="s">
        <v>145</v>
      </c>
      <c r="K10" s="23" t="s">
        <v>146</v>
      </c>
      <c r="L10" s="26" t="n">
        <v>1</v>
      </c>
      <c r="M10" s="27" t="n">
        <v>52</v>
      </c>
      <c r="N10" s="26" t="n">
        <v>0</v>
      </c>
      <c r="O10" s="27" t="n">
        <v>0</v>
      </c>
      <c r="P10" s="26" t="n">
        <v>0</v>
      </c>
      <c r="Q10" s="27" t="n">
        <v>0</v>
      </c>
      <c r="R10" s="28" t="n">
        <f aca="false">ROUND(L10*M10*Annahmen!$F$9+N10*O10*Annahmen!$F$12+P10*Q10*Annahmen!$F$15,-2)</f>
        <v>220400</v>
      </c>
      <c r="S10" s="29" t="n">
        <v>1</v>
      </c>
      <c r="T10" s="29" t="n">
        <v>0.15</v>
      </c>
      <c r="U10" s="30" t="n">
        <f aca="false">ROUND(R10*S10*T10,-2)</f>
        <v>33100</v>
      </c>
      <c r="V10" s="23" t="s">
        <v>147</v>
      </c>
      <c r="W10" s="31" t="s">
        <v>148</v>
      </c>
      <c r="X10" s="27"/>
      <c r="Y10" s="27" t="s">
        <v>97</v>
      </c>
      <c r="Z10" s="23" t="s">
        <v>98</v>
      </c>
      <c r="AA10" s="27"/>
      <c r="AB10" s="27"/>
      <c r="AC10" s="32"/>
      <c r="AD10" s="32"/>
      <c r="AE10" s="33" t="s">
        <v>99</v>
      </c>
      <c r="AF10" s="23" t="s">
        <v>149</v>
      </c>
    </row>
    <row r="11" customFormat="false" ht="51.75" hidden="false" customHeight="true" outlineLevel="0" collapsed="false">
      <c r="A11" s="21" t="n">
        <f aca="false">RANK(U11,$U$5:$U$56)+COUNTIF($U$5:U11,U11)-1</f>
        <v>7</v>
      </c>
      <c r="B11" s="22" t="str">
        <f aca="false">IF(U11&gt;=Annahmen!$B$24,"A",IF(U11&gt;=Annahmen!$B$25,"B","C"))</f>
        <v>A</v>
      </c>
      <c r="C11" s="23" t="s">
        <v>19</v>
      </c>
      <c r="D11" s="24" t="s">
        <v>150</v>
      </c>
      <c r="E11" s="23" t="s">
        <v>151</v>
      </c>
      <c r="F11" s="23" t="s">
        <v>152</v>
      </c>
      <c r="G11" s="21" t="s">
        <v>153</v>
      </c>
      <c r="H11" s="25" t="s">
        <v>124</v>
      </c>
      <c r="I11" s="21" t="s">
        <v>154</v>
      </c>
      <c r="J11" s="23" t="s">
        <v>155</v>
      </c>
      <c r="K11" s="23" t="s">
        <v>156</v>
      </c>
      <c r="L11" s="26" t="n">
        <v>1</v>
      </c>
      <c r="M11" s="27" t="n">
        <f aca="false">SUMIF('EVU &amp; Energie 2027'!$W$5:$W$200,"Paket Alpine Solar-Baustellen 2027",'EVU &amp; Energie 2027'!$O$5:$O$200)</f>
        <v>50.8</v>
      </c>
      <c r="N11" s="26" t="n">
        <v>1</v>
      </c>
      <c r="O11" s="27" t="n">
        <f aca="false">SUMIF('EVU &amp; Energie 2027'!$W$5:$W$200,"Paket Alpine Solar-Baustellen 2027",'EVU &amp; Energie 2027'!$P$5:$P$200)</f>
        <v>0</v>
      </c>
      <c r="P11" s="26" t="n">
        <v>1</v>
      </c>
      <c r="Q11" s="27" t="n">
        <f aca="false">SUMIF('EVU &amp; Energie 2027'!$W$5:$W$200,"Paket Alpine Solar-Baustellen 2027",'EVU &amp; Energie 2027'!$Q$5:$Q$200)</f>
        <v>0</v>
      </c>
      <c r="R11" s="28" t="n">
        <f aca="false">ROUND(L11*M11*Annahmen!$F$9+N11*O11*Annahmen!$F$12+P11*Q11*Annahmen!$F$15,-2)</f>
        <v>215400</v>
      </c>
      <c r="S11" s="29" t="n">
        <f aca="false">IFERROR(SUMIF('EVU &amp; Energie 2027'!$W$5:$W$200,"Paket Alpine Solar-Baustellen 2027",'EVU &amp; Energie 2027'!$V$5:$V$200)/SUMIF('EVU &amp; Energie 2027'!$W$5:$W$200,"Paket Alpine Solar-Baustellen 2027",'EVU &amp; Energie 2027'!$R$5:$R$200),0)</f>
        <v>1</v>
      </c>
      <c r="T11" s="29" t="n">
        <v>0.15</v>
      </c>
      <c r="U11" s="30" t="n">
        <f aca="false">ROUND(R11*S11*T11,-2)</f>
        <v>32300</v>
      </c>
      <c r="V11" s="23" t="s">
        <v>157</v>
      </c>
      <c r="W11" s="31" t="s">
        <v>158</v>
      </c>
      <c r="X11" s="27"/>
      <c r="Y11" s="27" t="s">
        <v>97</v>
      </c>
      <c r="Z11" s="23" t="s">
        <v>159</v>
      </c>
      <c r="AA11" s="27"/>
      <c r="AB11" s="27"/>
      <c r="AC11" s="32"/>
      <c r="AD11" s="32"/>
      <c r="AE11" s="33" t="s">
        <v>99</v>
      </c>
      <c r="AF11" s="23" t="s">
        <v>160</v>
      </c>
    </row>
    <row r="12" customFormat="false" ht="51.75" hidden="false" customHeight="true" outlineLevel="0" collapsed="false">
      <c r="A12" s="21" t="n">
        <f aca="false">RANK(U12,$U$5:$U$56)+COUNTIF($U$5:U12,U12)-1</f>
        <v>8</v>
      </c>
      <c r="B12" s="22" t="str">
        <f aca="false">IF(U12&gt;=Annahmen!$B$24,"A",IF(U12&gt;=Annahmen!$B$25,"B","C"))</f>
        <v>A</v>
      </c>
      <c r="C12" s="23" t="s">
        <v>17</v>
      </c>
      <c r="D12" s="24" t="s">
        <v>161</v>
      </c>
      <c r="E12" s="23" t="s">
        <v>162</v>
      </c>
      <c r="F12" s="23" t="s">
        <v>163</v>
      </c>
      <c r="G12" s="21" t="s">
        <v>164</v>
      </c>
      <c r="H12" s="25" t="s">
        <v>165</v>
      </c>
      <c r="I12" s="21" t="s">
        <v>166</v>
      </c>
      <c r="J12" s="23" t="s">
        <v>167</v>
      </c>
      <c r="K12" s="23" t="s">
        <v>168</v>
      </c>
      <c r="L12" s="26" t="n">
        <v>5</v>
      </c>
      <c r="M12" s="27" t="n">
        <v>26</v>
      </c>
      <c r="N12" s="26" t="n">
        <v>0</v>
      </c>
      <c r="O12" s="27" t="n">
        <v>0</v>
      </c>
      <c r="P12" s="26" t="n">
        <v>1</v>
      </c>
      <c r="Q12" s="27" t="n">
        <v>6</v>
      </c>
      <c r="R12" s="28" t="n">
        <f aca="false">ROUND(L12*M12*Annahmen!$F$9+N12*O12*Annahmen!$F$12+P12*Q12*Annahmen!$F$15,-2)</f>
        <v>700200</v>
      </c>
      <c r="S12" s="29" t="n">
        <v>0.4</v>
      </c>
      <c r="T12" s="29" t="n">
        <v>0.1</v>
      </c>
      <c r="U12" s="30" t="n">
        <f aca="false">ROUND(R12*S12*T12,-2)</f>
        <v>28000</v>
      </c>
      <c r="V12" s="23" t="s">
        <v>169</v>
      </c>
      <c r="W12" s="31" t="s">
        <v>170</v>
      </c>
      <c r="X12" s="27"/>
      <c r="Y12" s="27" t="s">
        <v>97</v>
      </c>
      <c r="Z12" s="23" t="s">
        <v>130</v>
      </c>
      <c r="AA12" s="27"/>
      <c r="AB12" s="27"/>
      <c r="AC12" s="32"/>
      <c r="AD12" s="32"/>
      <c r="AE12" s="33" t="s">
        <v>99</v>
      </c>
      <c r="AF12" s="23" t="s">
        <v>171</v>
      </c>
    </row>
    <row r="13" customFormat="false" ht="51.75" hidden="false" customHeight="true" outlineLevel="0" collapsed="false">
      <c r="A13" s="21" t="n">
        <f aca="false">RANK(U13,$U$5:$U$56)+COUNTIF($U$5:U13,U13)-1</f>
        <v>9</v>
      </c>
      <c r="B13" s="22" t="str">
        <f aca="false">IF(U13&gt;=Annahmen!$B$24,"A",IF(U13&gt;=Annahmen!$B$25,"B","C"))</f>
        <v>A</v>
      </c>
      <c r="C13" s="23" t="s">
        <v>23</v>
      </c>
      <c r="D13" s="24" t="s">
        <v>172</v>
      </c>
      <c r="E13" s="23" t="s">
        <v>173</v>
      </c>
      <c r="F13" s="23" t="s">
        <v>165</v>
      </c>
      <c r="G13" s="21" t="s">
        <v>164</v>
      </c>
      <c r="H13" s="25" t="s">
        <v>165</v>
      </c>
      <c r="I13" s="21" t="s">
        <v>154</v>
      </c>
      <c r="J13" s="23" t="s">
        <v>174</v>
      </c>
      <c r="K13" s="23" t="s">
        <v>175</v>
      </c>
      <c r="L13" s="26" t="n">
        <v>1</v>
      </c>
      <c r="M13" s="27" t="n">
        <v>30</v>
      </c>
      <c r="N13" s="26" t="n">
        <v>1</v>
      </c>
      <c r="O13" s="27" t="n">
        <v>6</v>
      </c>
      <c r="P13" s="26" t="n">
        <v>0</v>
      </c>
      <c r="Q13" s="27" t="n">
        <v>0</v>
      </c>
      <c r="R13" s="28" t="n">
        <f aca="false">ROUND(L13*M13*Annahmen!$F$9+N13*O13*Annahmen!$F$12+P13*Q13*Annahmen!$F$15,-2)</f>
        <v>138900</v>
      </c>
      <c r="S13" s="29" t="n">
        <v>1</v>
      </c>
      <c r="T13" s="29" t="n">
        <v>0.2</v>
      </c>
      <c r="U13" s="30" t="n">
        <f aca="false">ROUND(R13*S13*T13,-2)</f>
        <v>27800</v>
      </c>
      <c r="V13" s="23" t="s">
        <v>176</v>
      </c>
      <c r="W13" s="31" t="s">
        <v>177</v>
      </c>
      <c r="X13" s="27"/>
      <c r="Y13" s="27" t="s">
        <v>97</v>
      </c>
      <c r="Z13" s="23" t="s">
        <v>178</v>
      </c>
      <c r="AA13" s="27"/>
      <c r="AB13" s="27"/>
      <c r="AC13" s="32"/>
      <c r="AD13" s="32"/>
      <c r="AE13" s="33" t="s">
        <v>99</v>
      </c>
      <c r="AF13" s="23" t="s">
        <v>179</v>
      </c>
    </row>
    <row r="14" customFormat="false" ht="51.75" hidden="false" customHeight="true" outlineLevel="0" collapsed="false">
      <c r="A14" s="21" t="n">
        <f aca="false">RANK(U14,$U$5:$U$56)+COUNTIF($U$5:U14,U14)-1</f>
        <v>10</v>
      </c>
      <c r="B14" s="22" t="str">
        <f aca="false">IF(U14&gt;=Annahmen!$B$24,"A",IF(U14&gt;=Annahmen!$B$25,"B","C"))</f>
        <v>A</v>
      </c>
      <c r="C14" s="23" t="s">
        <v>23</v>
      </c>
      <c r="D14" s="24" t="s">
        <v>180</v>
      </c>
      <c r="E14" s="23" t="s">
        <v>181</v>
      </c>
      <c r="F14" s="23" t="s">
        <v>165</v>
      </c>
      <c r="G14" s="21" t="s">
        <v>164</v>
      </c>
      <c r="H14" s="25" t="s">
        <v>165</v>
      </c>
      <c r="I14" s="21" t="s">
        <v>154</v>
      </c>
      <c r="J14" s="23" t="s">
        <v>182</v>
      </c>
      <c r="K14" s="23" t="s">
        <v>183</v>
      </c>
      <c r="L14" s="26" t="n">
        <v>1</v>
      </c>
      <c r="M14" s="27" t="n">
        <v>30</v>
      </c>
      <c r="N14" s="26" t="n">
        <v>0</v>
      </c>
      <c r="O14" s="27" t="n">
        <v>0</v>
      </c>
      <c r="P14" s="26" t="n">
        <v>0</v>
      </c>
      <c r="Q14" s="27" t="n">
        <v>0</v>
      </c>
      <c r="R14" s="28" t="n">
        <f aca="false">ROUND(L14*M14*Annahmen!$F$9+N14*O14*Annahmen!$F$12+P14*Q14*Annahmen!$F$15,-2)</f>
        <v>127200</v>
      </c>
      <c r="S14" s="29" t="n">
        <v>1</v>
      </c>
      <c r="T14" s="29" t="n">
        <v>0.2</v>
      </c>
      <c r="U14" s="30" t="n">
        <f aca="false">ROUND(R14*S14*T14,-2)</f>
        <v>25400</v>
      </c>
      <c r="V14" s="23" t="s">
        <v>184</v>
      </c>
      <c r="W14" s="31" t="s">
        <v>185</v>
      </c>
      <c r="X14" s="27"/>
      <c r="Y14" s="27" t="s">
        <v>97</v>
      </c>
      <c r="Z14" s="23" t="s">
        <v>178</v>
      </c>
      <c r="AA14" s="27"/>
      <c r="AB14" s="27"/>
      <c r="AC14" s="32"/>
      <c r="AD14" s="32"/>
      <c r="AE14" s="33" t="s">
        <v>99</v>
      </c>
      <c r="AF14" s="23" t="s">
        <v>186</v>
      </c>
    </row>
    <row r="15" customFormat="false" ht="51.75" hidden="false" customHeight="true" outlineLevel="0" collapsed="false">
      <c r="A15" s="21" t="n">
        <f aca="false">RANK(U15,$U$5:$U$56)+COUNTIF($U$5:U15,U15)-1</f>
        <v>11</v>
      </c>
      <c r="B15" s="22" t="str">
        <f aca="false">IF(U15&gt;=Annahmen!$B$24,"A",IF(U15&gt;=Annahmen!$B$25,"B","C"))</f>
        <v>B</v>
      </c>
      <c r="C15" s="23" t="s">
        <v>17</v>
      </c>
      <c r="D15" s="24" t="s">
        <v>187</v>
      </c>
      <c r="E15" s="23" t="s">
        <v>188</v>
      </c>
      <c r="F15" s="23" t="s">
        <v>189</v>
      </c>
      <c r="G15" s="21" t="s">
        <v>164</v>
      </c>
      <c r="H15" s="25" t="s">
        <v>165</v>
      </c>
      <c r="I15" s="21" t="s">
        <v>105</v>
      </c>
      <c r="J15" s="23" t="s">
        <v>190</v>
      </c>
      <c r="K15" s="23" t="s">
        <v>191</v>
      </c>
      <c r="L15" s="26" t="n">
        <v>1</v>
      </c>
      <c r="M15" s="27" t="n">
        <v>26</v>
      </c>
      <c r="N15" s="26" t="n">
        <v>6</v>
      </c>
      <c r="O15" s="27" t="n">
        <v>4</v>
      </c>
      <c r="P15" s="26" t="n">
        <v>0</v>
      </c>
      <c r="Q15" s="27" t="n">
        <v>0</v>
      </c>
      <c r="R15" s="28" t="n">
        <f aca="false">ROUND(L15*M15*Annahmen!$F$9+N15*O15*Annahmen!$F$12+P15*Q15*Annahmen!$F$15,-2)</f>
        <v>156900</v>
      </c>
      <c r="S15" s="29" t="n">
        <v>0.6</v>
      </c>
      <c r="T15" s="29" t="n">
        <v>0.25</v>
      </c>
      <c r="U15" s="30" t="n">
        <f aca="false">ROUND(R15*S15*T15,-2)</f>
        <v>23500</v>
      </c>
      <c r="V15" s="23" t="s">
        <v>192</v>
      </c>
      <c r="W15" s="31" t="s">
        <v>193</v>
      </c>
      <c r="X15" s="27"/>
      <c r="Y15" s="27" t="s">
        <v>97</v>
      </c>
      <c r="Z15" s="23" t="s">
        <v>130</v>
      </c>
      <c r="AA15" s="27"/>
      <c r="AB15" s="27"/>
      <c r="AC15" s="32"/>
      <c r="AD15" s="32"/>
      <c r="AE15" s="33" t="s">
        <v>99</v>
      </c>
      <c r="AF15" s="23"/>
    </row>
    <row r="16" customFormat="false" ht="51.75" hidden="false" customHeight="true" outlineLevel="0" collapsed="false">
      <c r="A16" s="21" t="n">
        <f aca="false">RANK(U16,$U$5:$U$56)+COUNTIF($U$5:U16,U16)-1</f>
        <v>12</v>
      </c>
      <c r="B16" s="22" t="str">
        <f aca="false">IF(U16&gt;=Annahmen!$B$24,"A",IF(U16&gt;=Annahmen!$B$25,"B","C"))</f>
        <v>B</v>
      </c>
      <c r="C16" s="23" t="s">
        <v>17</v>
      </c>
      <c r="D16" s="24" t="s">
        <v>194</v>
      </c>
      <c r="E16" s="23" t="s">
        <v>195</v>
      </c>
      <c r="F16" s="23" t="s">
        <v>196</v>
      </c>
      <c r="G16" s="21" t="s">
        <v>197</v>
      </c>
      <c r="H16" s="25" t="s">
        <v>114</v>
      </c>
      <c r="I16" s="21" t="s">
        <v>198</v>
      </c>
      <c r="J16" s="23" t="s">
        <v>199</v>
      </c>
      <c r="K16" s="23" t="s">
        <v>200</v>
      </c>
      <c r="L16" s="26" t="n">
        <v>1</v>
      </c>
      <c r="M16" s="27" t="n">
        <v>12</v>
      </c>
      <c r="N16" s="26" t="n">
        <v>4.5</v>
      </c>
      <c r="O16" s="27" t="n">
        <v>3</v>
      </c>
      <c r="P16" s="26" t="n">
        <v>0</v>
      </c>
      <c r="Q16" s="27" t="n">
        <v>0</v>
      </c>
      <c r="R16" s="28" t="n">
        <f aca="false">ROUND(L16*M16*Annahmen!$F$9+N16*O16*Annahmen!$F$12+P16*Q16*Annahmen!$F$15,-2)</f>
        <v>77100</v>
      </c>
      <c r="S16" s="29" t="n">
        <v>1</v>
      </c>
      <c r="T16" s="29" t="n">
        <v>0.3</v>
      </c>
      <c r="U16" s="30" t="n">
        <f aca="false">ROUND(R16*S16*T16,-2)</f>
        <v>23100</v>
      </c>
      <c r="V16" s="23" t="s">
        <v>201</v>
      </c>
      <c r="W16" s="31" t="s">
        <v>202</v>
      </c>
      <c r="X16" s="27"/>
      <c r="Y16" s="27" t="s">
        <v>97</v>
      </c>
      <c r="Z16" s="23" t="s">
        <v>130</v>
      </c>
      <c r="AA16" s="27"/>
      <c r="AB16" s="27"/>
      <c r="AC16" s="32"/>
      <c r="AD16" s="32"/>
      <c r="AE16" s="33" t="s">
        <v>99</v>
      </c>
      <c r="AF16" s="23"/>
    </row>
    <row r="17" customFormat="false" ht="51.75" hidden="false" customHeight="true" outlineLevel="0" collapsed="false">
      <c r="A17" s="21" t="n">
        <f aca="false">RANK(U17,$U$5:$U$56)+COUNTIF($U$5:U17,U17)-1</f>
        <v>13</v>
      </c>
      <c r="B17" s="22" t="str">
        <f aca="false">IF(U17&gt;=Annahmen!$B$24,"A",IF(U17&gt;=Annahmen!$B$25,"B","C"))</f>
        <v>B</v>
      </c>
      <c r="C17" s="23" t="s">
        <v>23</v>
      </c>
      <c r="D17" s="24" t="s">
        <v>203</v>
      </c>
      <c r="E17" s="23" t="s">
        <v>204</v>
      </c>
      <c r="F17" s="23" t="s">
        <v>165</v>
      </c>
      <c r="G17" s="21" t="s">
        <v>164</v>
      </c>
      <c r="H17" s="25" t="s">
        <v>165</v>
      </c>
      <c r="I17" s="21" t="s">
        <v>205</v>
      </c>
      <c r="J17" s="23" t="s">
        <v>206</v>
      </c>
      <c r="K17" s="23" t="s">
        <v>207</v>
      </c>
      <c r="L17" s="26" t="n">
        <v>1</v>
      </c>
      <c r="M17" s="27" t="n">
        <v>25</v>
      </c>
      <c r="N17" s="26" t="n">
        <v>1</v>
      </c>
      <c r="O17" s="27" t="n">
        <v>4</v>
      </c>
      <c r="P17" s="26" t="n">
        <v>0</v>
      </c>
      <c r="Q17" s="27" t="n">
        <v>0</v>
      </c>
      <c r="R17" s="28" t="n">
        <f aca="false">ROUND(L17*M17*Annahmen!$F$9+N17*O17*Annahmen!$F$12+P17*Q17*Annahmen!$F$15,-2)</f>
        <v>113800</v>
      </c>
      <c r="S17" s="29" t="n">
        <v>1</v>
      </c>
      <c r="T17" s="29" t="n">
        <v>0.2</v>
      </c>
      <c r="U17" s="30" t="n">
        <f aca="false">ROUND(R17*S17*T17,-2)</f>
        <v>22800</v>
      </c>
      <c r="V17" s="23" t="s">
        <v>208</v>
      </c>
      <c r="W17" s="31" t="s">
        <v>209</v>
      </c>
      <c r="X17" s="27"/>
      <c r="Y17" s="27" t="s">
        <v>97</v>
      </c>
      <c r="Z17" s="23" t="s">
        <v>178</v>
      </c>
      <c r="AA17" s="27"/>
      <c r="AB17" s="27"/>
      <c r="AC17" s="32"/>
      <c r="AD17" s="32"/>
      <c r="AE17" s="33" t="s">
        <v>99</v>
      </c>
      <c r="AF17" s="23" t="s">
        <v>179</v>
      </c>
    </row>
    <row r="18" customFormat="false" ht="51.75" hidden="false" customHeight="true" outlineLevel="0" collapsed="false">
      <c r="A18" s="21" t="n">
        <f aca="false">RANK(U18,$U$5:$U$56)+COUNTIF($U$5:U18,U18)-1</f>
        <v>14</v>
      </c>
      <c r="B18" s="22" t="str">
        <f aca="false">IF(U18&gt;=Annahmen!$B$24,"A",IF(U18&gt;=Annahmen!$B$25,"B","C"))</f>
        <v>B</v>
      </c>
      <c r="C18" s="23" t="s">
        <v>17</v>
      </c>
      <c r="D18" s="24" t="s">
        <v>210</v>
      </c>
      <c r="E18" s="23" t="s">
        <v>211</v>
      </c>
      <c r="F18" s="23" t="s">
        <v>212</v>
      </c>
      <c r="G18" s="21" t="s">
        <v>164</v>
      </c>
      <c r="H18" s="25" t="s">
        <v>165</v>
      </c>
      <c r="I18" s="21" t="s">
        <v>166</v>
      </c>
      <c r="J18" s="23" t="s">
        <v>213</v>
      </c>
      <c r="K18" s="23" t="s">
        <v>214</v>
      </c>
      <c r="L18" s="26" t="n">
        <v>1</v>
      </c>
      <c r="M18" s="27" t="n">
        <v>26</v>
      </c>
      <c r="N18" s="26" t="n">
        <v>15</v>
      </c>
      <c r="O18" s="27" t="n">
        <v>4</v>
      </c>
      <c r="P18" s="26" t="n">
        <v>0</v>
      </c>
      <c r="Q18" s="27" t="n">
        <v>0</v>
      </c>
      <c r="R18" s="28" t="n">
        <f aca="false">ROUND(L18*M18*Annahmen!$F$9+N18*O18*Annahmen!$F$12+P18*Q18*Annahmen!$F$15,-2)</f>
        <v>227000</v>
      </c>
      <c r="S18" s="29" t="n">
        <v>0.45</v>
      </c>
      <c r="T18" s="29" t="n">
        <v>0.2</v>
      </c>
      <c r="U18" s="30" t="n">
        <f aca="false">ROUND(R18*S18*T18,-2)</f>
        <v>20400</v>
      </c>
      <c r="V18" s="23" t="s">
        <v>215</v>
      </c>
      <c r="W18" s="31" t="s">
        <v>216</v>
      </c>
      <c r="X18" s="27"/>
      <c r="Y18" s="27" t="s">
        <v>97</v>
      </c>
      <c r="Z18" s="23" t="s">
        <v>130</v>
      </c>
      <c r="AA18" s="27"/>
      <c r="AB18" s="27"/>
      <c r="AC18" s="32"/>
      <c r="AD18" s="32"/>
      <c r="AE18" s="33" t="s">
        <v>99</v>
      </c>
      <c r="AF18" s="23" t="s">
        <v>217</v>
      </c>
    </row>
    <row r="19" customFormat="false" ht="51.75" hidden="false" customHeight="true" outlineLevel="0" collapsed="false">
      <c r="A19" s="21" t="n">
        <f aca="false">RANK(U19,$U$5:$U$56)+COUNTIF($U$5:U19,U19)-1</f>
        <v>15</v>
      </c>
      <c r="B19" s="22" t="str">
        <f aca="false">IF(U19&gt;=Annahmen!$B$24,"A",IF(U19&gt;=Annahmen!$B$25,"B","C"))</f>
        <v>B</v>
      </c>
      <c r="C19" s="23" t="s">
        <v>18</v>
      </c>
      <c r="D19" s="24" t="s">
        <v>218</v>
      </c>
      <c r="E19" s="23" t="s">
        <v>219</v>
      </c>
      <c r="F19" s="23" t="s">
        <v>165</v>
      </c>
      <c r="G19" s="21" t="s">
        <v>164</v>
      </c>
      <c r="H19" s="25" t="s">
        <v>165</v>
      </c>
      <c r="I19" s="21" t="s">
        <v>105</v>
      </c>
      <c r="J19" s="23" t="s">
        <v>220</v>
      </c>
      <c r="K19" s="23" t="s">
        <v>221</v>
      </c>
      <c r="L19" s="26" t="n">
        <v>0.5</v>
      </c>
      <c r="M19" s="27" t="n">
        <v>26</v>
      </c>
      <c r="N19" s="26" t="n">
        <v>0</v>
      </c>
      <c r="O19" s="27" t="n">
        <v>0</v>
      </c>
      <c r="P19" s="26" t="n">
        <v>0.5</v>
      </c>
      <c r="Q19" s="27" t="n">
        <v>6</v>
      </c>
      <c r="R19" s="28" t="n">
        <f aca="false">ROUND(L19*M19*Annahmen!$F$9+N19*O19*Annahmen!$F$12+P19*Q19*Annahmen!$F$15,-2)</f>
        <v>129600</v>
      </c>
      <c r="S19" s="29" t="n">
        <v>1</v>
      </c>
      <c r="T19" s="29" t="n">
        <v>0.15</v>
      </c>
      <c r="U19" s="30" t="n">
        <f aca="false">ROUND(R19*S19*T19,-2)</f>
        <v>19400</v>
      </c>
      <c r="V19" s="23" t="s">
        <v>222</v>
      </c>
      <c r="W19" s="31" t="s">
        <v>223</v>
      </c>
      <c r="X19" s="27"/>
      <c r="Y19" s="27" t="s">
        <v>97</v>
      </c>
      <c r="Z19" s="23" t="s">
        <v>98</v>
      </c>
      <c r="AA19" s="27"/>
      <c r="AB19" s="27"/>
      <c r="AC19" s="32"/>
      <c r="AD19" s="32"/>
      <c r="AE19" s="33" t="s">
        <v>99</v>
      </c>
      <c r="AF19" s="23" t="s">
        <v>224</v>
      </c>
    </row>
    <row r="20" customFormat="false" ht="51.75" hidden="false" customHeight="true" outlineLevel="0" collapsed="false">
      <c r="A20" s="21" t="n">
        <f aca="false">RANK(U20,$U$5:$U$56)+COUNTIF($U$5:U20,U20)-1</f>
        <v>16</v>
      </c>
      <c r="B20" s="22" t="str">
        <f aca="false">IF(U20&gt;=Annahmen!$B$24,"A",IF(U20&gt;=Annahmen!$B$25,"B","C"))</f>
        <v>B</v>
      </c>
      <c r="C20" s="23" t="s">
        <v>19</v>
      </c>
      <c r="D20" s="24" t="s">
        <v>225</v>
      </c>
      <c r="E20" s="23" t="s">
        <v>226</v>
      </c>
      <c r="F20" s="23" t="s">
        <v>227</v>
      </c>
      <c r="G20" s="21" t="s">
        <v>228</v>
      </c>
      <c r="H20" s="25" t="s">
        <v>104</v>
      </c>
      <c r="I20" s="21" t="s">
        <v>105</v>
      </c>
      <c r="J20" s="23" t="s">
        <v>229</v>
      </c>
      <c r="K20" s="23" t="s">
        <v>230</v>
      </c>
      <c r="L20" s="26" t="n">
        <v>1</v>
      </c>
      <c r="M20" s="27" t="n">
        <v>18</v>
      </c>
      <c r="N20" s="26" t="n">
        <v>0</v>
      </c>
      <c r="O20" s="27" t="n">
        <v>0</v>
      </c>
      <c r="P20" s="26" t="n">
        <v>0</v>
      </c>
      <c r="Q20" s="27" t="n">
        <v>0</v>
      </c>
      <c r="R20" s="28" t="n">
        <f aca="false">ROUND(L20*M20*Annahmen!$F$9+N20*O20*Annahmen!$F$12+P20*Q20*Annahmen!$F$15,-2)</f>
        <v>76300</v>
      </c>
      <c r="S20" s="29" t="n">
        <v>1</v>
      </c>
      <c r="T20" s="29" t="n">
        <v>0.25</v>
      </c>
      <c r="U20" s="30" t="n">
        <f aca="false">ROUND(R20*S20*T20,-2)</f>
        <v>19100</v>
      </c>
      <c r="V20" s="23"/>
      <c r="W20" s="31" t="s">
        <v>231</v>
      </c>
      <c r="X20" s="27"/>
      <c r="Y20" s="27" t="s">
        <v>97</v>
      </c>
      <c r="Z20" s="23" t="s">
        <v>159</v>
      </c>
      <c r="AA20" s="27"/>
      <c r="AB20" s="27"/>
      <c r="AC20" s="32"/>
      <c r="AD20" s="32"/>
      <c r="AE20" s="33" t="s">
        <v>99</v>
      </c>
      <c r="AF20" s="23" t="s">
        <v>232</v>
      </c>
    </row>
    <row r="21" customFormat="false" ht="51.75" hidden="false" customHeight="true" outlineLevel="0" collapsed="false">
      <c r="A21" s="21" t="n">
        <f aca="false">RANK(U21,$U$5:$U$56)+COUNTIF($U$5:U21,U21)-1</f>
        <v>17</v>
      </c>
      <c r="B21" s="22" t="str">
        <f aca="false">IF(U21&gt;=Annahmen!$B$24,"A",IF(U21&gt;=Annahmen!$B$25,"B","C"))</f>
        <v>B</v>
      </c>
      <c r="C21" s="23" t="s">
        <v>20</v>
      </c>
      <c r="D21" s="24" t="s">
        <v>233</v>
      </c>
      <c r="E21" s="23" t="s">
        <v>234</v>
      </c>
      <c r="F21" s="23" t="s">
        <v>165</v>
      </c>
      <c r="G21" s="21" t="s">
        <v>164</v>
      </c>
      <c r="H21" s="25" t="s">
        <v>165</v>
      </c>
      <c r="I21" s="21" t="s">
        <v>105</v>
      </c>
      <c r="J21" s="23" t="s">
        <v>235</v>
      </c>
      <c r="K21" s="23" t="s">
        <v>236</v>
      </c>
      <c r="L21" s="26" t="n">
        <v>1</v>
      </c>
      <c r="M21" s="27" t="n">
        <v>12</v>
      </c>
      <c r="N21" s="26" t="n">
        <v>0</v>
      </c>
      <c r="O21" s="27" t="n">
        <v>0</v>
      </c>
      <c r="P21" s="26" t="n">
        <v>0.5</v>
      </c>
      <c r="Q21" s="27" t="n">
        <v>6</v>
      </c>
      <c r="R21" s="28" t="n">
        <f aca="false">ROUND(L21*M21*Annahmen!$F$9+N21*O21*Annahmen!$F$12+P21*Q21*Annahmen!$F$15,-2)</f>
        <v>125400</v>
      </c>
      <c r="S21" s="29" t="n">
        <v>1</v>
      </c>
      <c r="T21" s="29" t="n">
        <v>0.15</v>
      </c>
      <c r="U21" s="30" t="n">
        <f aca="false">ROUND(R21*S21*T21,-2)</f>
        <v>18800</v>
      </c>
      <c r="V21" s="23" t="s">
        <v>237</v>
      </c>
      <c r="W21" s="31" t="s">
        <v>238</v>
      </c>
      <c r="X21" s="27"/>
      <c r="Y21" s="27" t="s">
        <v>97</v>
      </c>
      <c r="Z21" s="23" t="s">
        <v>119</v>
      </c>
      <c r="AA21" s="27"/>
      <c r="AB21" s="27"/>
      <c r="AC21" s="32"/>
      <c r="AD21" s="32"/>
      <c r="AE21" s="33" t="s">
        <v>99</v>
      </c>
      <c r="AF21" s="23" t="s">
        <v>224</v>
      </c>
    </row>
    <row r="22" customFormat="false" ht="51.75" hidden="false" customHeight="true" outlineLevel="0" collapsed="false">
      <c r="A22" s="21" t="n">
        <f aca="false">RANK(U22,$U$5:$U$56)+COUNTIF($U$5:U22,U22)-1</f>
        <v>18</v>
      </c>
      <c r="B22" s="22" t="str">
        <f aca="false">IF(U22&gt;=Annahmen!$B$24,"A",IF(U22&gt;=Annahmen!$B$25,"B","C"))</f>
        <v>B</v>
      </c>
      <c r="C22" s="23" t="s">
        <v>19</v>
      </c>
      <c r="D22" s="24" t="s">
        <v>239</v>
      </c>
      <c r="E22" s="23" t="s">
        <v>240</v>
      </c>
      <c r="F22" s="23" t="s">
        <v>241</v>
      </c>
      <c r="G22" s="21" t="s">
        <v>242</v>
      </c>
      <c r="H22" s="25" t="s">
        <v>124</v>
      </c>
      <c r="I22" s="21" t="s">
        <v>105</v>
      </c>
      <c r="J22" s="23" t="s">
        <v>243</v>
      </c>
      <c r="K22" s="23" t="s">
        <v>244</v>
      </c>
      <c r="L22" s="26" t="n">
        <v>2</v>
      </c>
      <c r="M22" s="27" t="n">
        <v>8</v>
      </c>
      <c r="N22" s="26" t="n">
        <v>0</v>
      </c>
      <c r="O22" s="27" t="n">
        <v>0</v>
      </c>
      <c r="P22" s="26" t="n">
        <v>0</v>
      </c>
      <c r="Q22" s="27" t="n">
        <v>0</v>
      </c>
      <c r="R22" s="28" t="n">
        <f aca="false">ROUND(L22*M22*Annahmen!$F$9+N22*O22*Annahmen!$F$12+P22*Q22*Annahmen!$F$15,-2)</f>
        <v>67800</v>
      </c>
      <c r="S22" s="29" t="n">
        <v>1</v>
      </c>
      <c r="T22" s="29" t="n">
        <v>0.25</v>
      </c>
      <c r="U22" s="30" t="n">
        <f aca="false">ROUND(R22*S22*T22,-2)</f>
        <v>17000</v>
      </c>
      <c r="V22" s="23"/>
      <c r="W22" s="31" t="s">
        <v>245</v>
      </c>
      <c r="X22" s="27"/>
      <c r="Y22" s="27" t="s">
        <v>97</v>
      </c>
      <c r="Z22" s="23" t="s">
        <v>159</v>
      </c>
      <c r="AA22" s="27"/>
      <c r="AB22" s="27"/>
      <c r="AC22" s="32"/>
      <c r="AD22" s="32"/>
      <c r="AE22" s="33" t="s">
        <v>99</v>
      </c>
      <c r="AF22" s="23" t="s">
        <v>246</v>
      </c>
    </row>
    <row r="23" customFormat="false" ht="51.75" hidden="false" customHeight="true" outlineLevel="0" collapsed="false">
      <c r="A23" s="21" t="n">
        <f aca="false">RANK(U23,$U$5:$U$56)+COUNTIF($U$5:U23,U23)-1</f>
        <v>19</v>
      </c>
      <c r="B23" s="22" t="str">
        <f aca="false">IF(U23&gt;=Annahmen!$B$24,"A",IF(U23&gt;=Annahmen!$B$25,"B","C"))</f>
        <v>B</v>
      </c>
      <c r="C23" s="23" t="s">
        <v>19</v>
      </c>
      <c r="D23" s="24" t="s">
        <v>247</v>
      </c>
      <c r="E23" s="23" t="s">
        <v>248</v>
      </c>
      <c r="F23" s="23" t="s">
        <v>249</v>
      </c>
      <c r="G23" s="21"/>
      <c r="H23" s="25" t="s">
        <v>250</v>
      </c>
      <c r="I23" s="21" t="s">
        <v>154</v>
      </c>
      <c r="J23" s="23" t="s">
        <v>251</v>
      </c>
      <c r="K23" s="23" t="s">
        <v>252</v>
      </c>
      <c r="L23" s="26" t="n">
        <v>2</v>
      </c>
      <c r="M23" s="27" t="n">
        <v>10</v>
      </c>
      <c r="N23" s="26" t="n">
        <v>0</v>
      </c>
      <c r="O23" s="27" t="n">
        <v>0</v>
      </c>
      <c r="P23" s="26" t="n">
        <v>0</v>
      </c>
      <c r="Q23" s="27" t="n">
        <v>0</v>
      </c>
      <c r="R23" s="28" t="n">
        <f aca="false">ROUND(L23*M23*Annahmen!$F$9+N23*O23*Annahmen!$F$12+P23*Q23*Annahmen!$F$15,-2)</f>
        <v>84800</v>
      </c>
      <c r="S23" s="29" t="n">
        <v>1</v>
      </c>
      <c r="T23" s="29" t="n">
        <v>0.2</v>
      </c>
      <c r="U23" s="30" t="n">
        <f aca="false">ROUND(R23*S23*T23,-2)</f>
        <v>17000</v>
      </c>
      <c r="V23" s="23"/>
      <c r="W23" s="31" t="s">
        <v>253</v>
      </c>
      <c r="X23" s="27"/>
      <c r="Y23" s="27" t="s">
        <v>97</v>
      </c>
      <c r="Z23" s="23" t="s">
        <v>159</v>
      </c>
      <c r="AA23" s="27"/>
      <c r="AB23" s="27"/>
      <c r="AC23" s="32"/>
      <c r="AD23" s="32"/>
      <c r="AE23" s="33" t="s">
        <v>99</v>
      </c>
      <c r="AF23" s="23"/>
    </row>
    <row r="24" customFormat="false" ht="51.75" hidden="false" customHeight="true" outlineLevel="0" collapsed="false">
      <c r="A24" s="21" t="n">
        <f aca="false">RANK(U24,$U$5:$U$56)+COUNTIF($U$5:U24,U24)-1</f>
        <v>20</v>
      </c>
      <c r="B24" s="22" t="str">
        <f aca="false">IF(U24&gt;=Annahmen!$B$24,"A",IF(U24&gt;=Annahmen!$B$25,"B","C"))</f>
        <v>B</v>
      </c>
      <c r="C24" s="23" t="s">
        <v>18</v>
      </c>
      <c r="D24" s="24" t="s">
        <v>254</v>
      </c>
      <c r="E24" s="23" t="s">
        <v>255</v>
      </c>
      <c r="F24" s="23" t="s">
        <v>256</v>
      </c>
      <c r="G24" s="21" t="s">
        <v>257</v>
      </c>
      <c r="H24" s="25" t="s">
        <v>250</v>
      </c>
      <c r="I24" s="21" t="s">
        <v>258</v>
      </c>
      <c r="J24" s="23" t="s">
        <v>259</v>
      </c>
      <c r="K24" s="23" t="s">
        <v>260</v>
      </c>
      <c r="L24" s="26" t="n">
        <v>1</v>
      </c>
      <c r="M24" s="27" t="n">
        <v>26</v>
      </c>
      <c r="N24" s="26" t="n">
        <v>0</v>
      </c>
      <c r="O24" s="27" t="n">
        <v>0</v>
      </c>
      <c r="P24" s="26" t="n">
        <v>0.5</v>
      </c>
      <c r="Q24" s="27" t="n">
        <v>6</v>
      </c>
      <c r="R24" s="28" t="n">
        <f aca="false">ROUND(L24*M24*Annahmen!$F$9+N24*O24*Annahmen!$F$12+P24*Q24*Annahmen!$F$15,-2)</f>
        <v>184700</v>
      </c>
      <c r="S24" s="29" t="n">
        <v>0.6</v>
      </c>
      <c r="T24" s="29" t="n">
        <v>0.15</v>
      </c>
      <c r="U24" s="30" t="n">
        <f aca="false">ROUND(R24*S24*T24,-2)</f>
        <v>16600</v>
      </c>
      <c r="V24" s="23" t="s">
        <v>261</v>
      </c>
      <c r="W24" s="31" t="s">
        <v>262</v>
      </c>
      <c r="X24" s="27"/>
      <c r="Y24" s="27" t="s">
        <v>97</v>
      </c>
      <c r="Z24" s="23" t="s">
        <v>98</v>
      </c>
      <c r="AA24" s="27"/>
      <c r="AB24" s="27"/>
      <c r="AC24" s="32"/>
      <c r="AD24" s="32"/>
      <c r="AE24" s="33" t="s">
        <v>99</v>
      </c>
      <c r="AF24" s="23"/>
    </row>
    <row r="25" customFormat="false" ht="51.75" hidden="false" customHeight="true" outlineLevel="0" collapsed="false">
      <c r="A25" s="21" t="n">
        <f aca="false">RANK(U25,$U$5:$U$56)+COUNTIF($U$5:U25,U25)-1</f>
        <v>21</v>
      </c>
      <c r="B25" s="22" t="str">
        <f aca="false">IF(U25&gt;=Annahmen!$B$24,"A",IF(U25&gt;=Annahmen!$B$25,"B","C"))</f>
        <v>B</v>
      </c>
      <c r="C25" s="23" t="s">
        <v>18</v>
      </c>
      <c r="D25" s="24" t="s">
        <v>263</v>
      </c>
      <c r="E25" s="23" t="s">
        <v>219</v>
      </c>
      <c r="F25" s="23" t="s">
        <v>264</v>
      </c>
      <c r="G25" s="21" t="s">
        <v>164</v>
      </c>
      <c r="H25" s="25" t="s">
        <v>165</v>
      </c>
      <c r="I25" s="21" t="s">
        <v>105</v>
      </c>
      <c r="J25" s="23" t="s">
        <v>265</v>
      </c>
      <c r="K25" s="23" t="s">
        <v>266</v>
      </c>
      <c r="L25" s="26" t="n">
        <v>1</v>
      </c>
      <c r="M25" s="27" t="n">
        <v>26</v>
      </c>
      <c r="N25" s="26" t="n">
        <v>0</v>
      </c>
      <c r="O25" s="27" t="n">
        <v>0</v>
      </c>
      <c r="P25" s="26" t="n">
        <v>0</v>
      </c>
      <c r="Q25" s="27" t="n">
        <v>0</v>
      </c>
      <c r="R25" s="28" t="n">
        <f aca="false">ROUND(L25*M25*Annahmen!$F$9+N25*O25*Annahmen!$F$12+P25*Q25*Annahmen!$F$15,-2)</f>
        <v>110200</v>
      </c>
      <c r="S25" s="29" t="n">
        <v>1</v>
      </c>
      <c r="T25" s="29" t="n">
        <v>0.15</v>
      </c>
      <c r="U25" s="30" t="n">
        <f aca="false">ROUND(R25*S25*T25,-2)</f>
        <v>16500</v>
      </c>
      <c r="V25" s="23" t="s">
        <v>176</v>
      </c>
      <c r="W25" s="31" t="s">
        <v>267</v>
      </c>
      <c r="X25" s="27"/>
      <c r="Y25" s="27" t="s">
        <v>97</v>
      </c>
      <c r="Z25" s="23" t="s">
        <v>98</v>
      </c>
      <c r="AA25" s="27"/>
      <c r="AB25" s="27"/>
      <c r="AC25" s="32"/>
      <c r="AD25" s="32"/>
      <c r="AE25" s="33" t="s">
        <v>99</v>
      </c>
      <c r="AF25" s="23" t="s">
        <v>224</v>
      </c>
    </row>
    <row r="26" customFormat="false" ht="51.75" hidden="false" customHeight="true" outlineLevel="0" collapsed="false">
      <c r="A26" s="21" t="n">
        <f aca="false">RANK(U26,$U$5:$U$56)+COUNTIF($U$5:U26,U26)-1</f>
        <v>22</v>
      </c>
      <c r="B26" s="22" t="str">
        <f aca="false">IF(U26&gt;=Annahmen!$B$24,"A",IF(U26&gt;=Annahmen!$B$25,"B","C"))</f>
        <v>B</v>
      </c>
      <c r="C26" s="23" t="s">
        <v>21</v>
      </c>
      <c r="D26" s="24" t="s">
        <v>268</v>
      </c>
      <c r="E26" s="23" t="s">
        <v>269</v>
      </c>
      <c r="F26" s="23" t="s">
        <v>270</v>
      </c>
      <c r="G26" s="21" t="s">
        <v>271</v>
      </c>
      <c r="H26" s="25" t="s">
        <v>114</v>
      </c>
      <c r="I26" s="21" t="s">
        <v>198</v>
      </c>
      <c r="J26" s="23" t="s">
        <v>272</v>
      </c>
      <c r="K26" s="23" t="s">
        <v>273</v>
      </c>
      <c r="L26" s="26" t="n">
        <v>1</v>
      </c>
      <c r="M26" s="27" t="n">
        <v>26</v>
      </c>
      <c r="N26" s="26" t="n">
        <v>0</v>
      </c>
      <c r="O26" s="27" t="n">
        <v>0</v>
      </c>
      <c r="P26" s="26" t="n">
        <v>0</v>
      </c>
      <c r="Q26" s="27" t="n">
        <v>0</v>
      </c>
      <c r="R26" s="28" t="n">
        <f aca="false">ROUND(L26*M26*Annahmen!$F$9+N26*O26*Annahmen!$F$12+P26*Q26*Annahmen!$F$15,-2)</f>
        <v>110200</v>
      </c>
      <c r="S26" s="29" t="n">
        <v>1</v>
      </c>
      <c r="T26" s="29" t="n">
        <v>0.15</v>
      </c>
      <c r="U26" s="30" t="n">
        <f aca="false">ROUND(R26*S26*T26,-2)</f>
        <v>16500</v>
      </c>
      <c r="V26" s="23" t="s">
        <v>274</v>
      </c>
      <c r="W26" s="31" t="s">
        <v>275</v>
      </c>
      <c r="X26" s="27"/>
      <c r="Y26" s="27" t="s">
        <v>97</v>
      </c>
      <c r="Z26" s="23" t="s">
        <v>139</v>
      </c>
      <c r="AA26" s="27"/>
      <c r="AB26" s="27"/>
      <c r="AC26" s="32"/>
      <c r="AD26" s="32"/>
      <c r="AE26" s="33" t="s">
        <v>99</v>
      </c>
      <c r="AF26" s="23"/>
    </row>
    <row r="27" customFormat="false" ht="51.75" hidden="false" customHeight="true" outlineLevel="0" collapsed="false">
      <c r="A27" s="21" t="n">
        <f aca="false">RANK(U27,$U$5:$U$56)+COUNTIF($U$5:U27,U27)-1</f>
        <v>23</v>
      </c>
      <c r="B27" s="22" t="str">
        <f aca="false">IF(U27&gt;=Annahmen!$B$24,"A",IF(U27&gt;=Annahmen!$B$25,"B","C"))</f>
        <v>B</v>
      </c>
      <c r="C27" s="23" t="s">
        <v>22</v>
      </c>
      <c r="D27" s="24" t="s">
        <v>276</v>
      </c>
      <c r="E27" s="23" t="s">
        <v>151</v>
      </c>
      <c r="F27" s="23" t="s">
        <v>152</v>
      </c>
      <c r="G27" s="21" t="s">
        <v>153</v>
      </c>
      <c r="H27" s="25" t="s">
        <v>277</v>
      </c>
      <c r="I27" s="21" t="s">
        <v>154</v>
      </c>
      <c r="J27" s="23" t="s">
        <v>278</v>
      </c>
      <c r="K27" s="23" t="s">
        <v>279</v>
      </c>
      <c r="L27" s="26" t="n">
        <v>1</v>
      </c>
      <c r="M27" s="27" t="n">
        <f aca="false">SUMIF('Events 2027'!$W$5:$W$200,"Paket Sommer-Festivals 2027",'Events 2027'!$O$5:$O$200)</f>
        <v>21.55</v>
      </c>
      <c r="N27" s="26" t="n">
        <v>1</v>
      </c>
      <c r="O27" s="27" t="n">
        <f aca="false">SUMIF('Events 2027'!$W$5:$W$200,"Paket Sommer-Festivals 2027",'Events 2027'!$P$5:$P$200)</f>
        <v>0</v>
      </c>
      <c r="P27" s="26" t="n">
        <v>1</v>
      </c>
      <c r="Q27" s="27" t="n">
        <f aca="false">SUMIF('Events 2027'!$W$5:$W$200,"Paket Sommer-Festivals 2027",'Events 2027'!$Q$5:$Q$200)</f>
        <v>0.55</v>
      </c>
      <c r="R27" s="28" t="n">
        <f aca="false">ROUND(L27*M27*Annahmen!$F$9+N27*O27*Annahmen!$F$12+P27*Q27*Annahmen!$F$15,-2)</f>
        <v>105000</v>
      </c>
      <c r="S27" s="29" t="n">
        <f aca="false">IFERROR(SUMIF('Events 2027'!$W$5:$W$200,"Paket Sommer-Festivals 2027",'Events 2027'!$V$5:$V$200)/SUMIF('Events 2027'!$W$5:$W$200,"Paket Sommer-Festivals 2027",'Events 2027'!$R$5:$R$200),0)</f>
        <v>1</v>
      </c>
      <c r="T27" s="29" t="n">
        <v>0.15</v>
      </c>
      <c r="U27" s="30" t="n">
        <f aca="false">ROUND(R27*S27*T27,-2)</f>
        <v>15800</v>
      </c>
      <c r="V27" s="23" t="s">
        <v>280</v>
      </c>
      <c r="W27" s="31" t="s">
        <v>281</v>
      </c>
      <c r="X27" s="27"/>
      <c r="Y27" s="27" t="s">
        <v>97</v>
      </c>
      <c r="Z27" s="23" t="s">
        <v>282</v>
      </c>
      <c r="AA27" s="27"/>
      <c r="AB27" s="27"/>
      <c r="AC27" s="32"/>
      <c r="AD27" s="32"/>
      <c r="AE27" s="33" t="s">
        <v>99</v>
      </c>
      <c r="AF27" s="23" t="s">
        <v>283</v>
      </c>
    </row>
    <row r="28" customFormat="false" ht="51.75" hidden="false" customHeight="true" outlineLevel="0" collapsed="false">
      <c r="A28" s="21" t="n">
        <f aca="false">RANK(U28,$U$5:$U$56)+COUNTIF($U$5:U28,U28)-1</f>
        <v>24</v>
      </c>
      <c r="B28" s="22" t="str">
        <f aca="false">IF(U28&gt;=Annahmen!$B$24,"A",IF(U28&gt;=Annahmen!$B$25,"B","C"))</f>
        <v>B</v>
      </c>
      <c r="C28" s="23" t="s">
        <v>17</v>
      </c>
      <c r="D28" s="24" t="s">
        <v>284</v>
      </c>
      <c r="E28" s="23" t="s">
        <v>195</v>
      </c>
      <c r="F28" s="23" t="s">
        <v>285</v>
      </c>
      <c r="G28" s="21" t="s">
        <v>257</v>
      </c>
      <c r="H28" s="25" t="s">
        <v>250</v>
      </c>
      <c r="I28" s="21" t="s">
        <v>286</v>
      </c>
      <c r="J28" s="23" t="s">
        <v>287</v>
      </c>
      <c r="K28" s="23" t="s">
        <v>288</v>
      </c>
      <c r="L28" s="26" t="n">
        <v>0.5</v>
      </c>
      <c r="M28" s="27" t="n">
        <v>40</v>
      </c>
      <c r="N28" s="26" t="n">
        <v>1.5</v>
      </c>
      <c r="O28" s="27" t="n">
        <v>3</v>
      </c>
      <c r="P28" s="26" t="n">
        <v>0</v>
      </c>
      <c r="Q28" s="27" t="n">
        <v>0</v>
      </c>
      <c r="R28" s="28" t="n">
        <f aca="false">ROUND(L28*M28*Annahmen!$F$9+N28*O28*Annahmen!$F$12+P28*Q28*Annahmen!$F$15,-2)</f>
        <v>93500</v>
      </c>
      <c r="S28" s="29" t="n">
        <v>0.6</v>
      </c>
      <c r="T28" s="29" t="n">
        <v>0.25</v>
      </c>
      <c r="U28" s="30" t="n">
        <f aca="false">ROUND(R28*S28*T28,-2)</f>
        <v>14000</v>
      </c>
      <c r="V28" s="23" t="s">
        <v>289</v>
      </c>
      <c r="W28" s="31" t="s">
        <v>290</v>
      </c>
      <c r="X28" s="27"/>
      <c r="Y28" s="27" t="s">
        <v>97</v>
      </c>
      <c r="Z28" s="23" t="s">
        <v>130</v>
      </c>
      <c r="AA28" s="27"/>
      <c r="AB28" s="27"/>
      <c r="AC28" s="32"/>
      <c r="AD28" s="32"/>
      <c r="AE28" s="33" t="s">
        <v>99</v>
      </c>
      <c r="AF28" s="23"/>
    </row>
    <row r="29" customFormat="false" ht="51.75" hidden="false" customHeight="true" outlineLevel="0" collapsed="false">
      <c r="A29" s="21" t="n">
        <f aca="false">RANK(U29,$U$5:$U$56)+COUNTIF($U$5:U29,U29)-1</f>
        <v>25</v>
      </c>
      <c r="B29" s="22" t="str">
        <f aca="false">IF(U29&gt;=Annahmen!$B$24,"A",IF(U29&gt;=Annahmen!$B$25,"B","C"))</f>
        <v>B</v>
      </c>
      <c r="C29" s="23" t="s">
        <v>19</v>
      </c>
      <c r="D29" s="24" t="s">
        <v>291</v>
      </c>
      <c r="E29" s="23" t="s">
        <v>292</v>
      </c>
      <c r="F29" s="23" t="s">
        <v>293</v>
      </c>
      <c r="G29" s="21"/>
      <c r="H29" s="25" t="s">
        <v>124</v>
      </c>
      <c r="I29" s="21" t="s">
        <v>154</v>
      </c>
      <c r="J29" s="23" t="s">
        <v>294</v>
      </c>
      <c r="K29" s="23" t="s">
        <v>295</v>
      </c>
      <c r="L29" s="26" t="n">
        <v>2</v>
      </c>
      <c r="M29" s="27" t="n">
        <v>8</v>
      </c>
      <c r="N29" s="26" t="n">
        <v>0</v>
      </c>
      <c r="O29" s="27" t="n">
        <v>0</v>
      </c>
      <c r="P29" s="26" t="n">
        <v>0</v>
      </c>
      <c r="Q29" s="27" t="n">
        <v>0</v>
      </c>
      <c r="R29" s="28" t="n">
        <f aca="false">ROUND(L29*M29*Annahmen!$F$9+N29*O29*Annahmen!$F$12+P29*Q29*Annahmen!$F$15,-2)</f>
        <v>67800</v>
      </c>
      <c r="S29" s="29" t="n">
        <v>1</v>
      </c>
      <c r="T29" s="29" t="n">
        <v>0.2</v>
      </c>
      <c r="U29" s="30" t="n">
        <f aca="false">ROUND(R29*S29*T29,-2)</f>
        <v>13600</v>
      </c>
      <c r="V29" s="23"/>
      <c r="W29" s="31" t="s">
        <v>253</v>
      </c>
      <c r="X29" s="27"/>
      <c r="Y29" s="27" t="s">
        <v>97</v>
      </c>
      <c r="Z29" s="23" t="s">
        <v>159</v>
      </c>
      <c r="AA29" s="27"/>
      <c r="AB29" s="27"/>
      <c r="AC29" s="32"/>
      <c r="AD29" s="32"/>
      <c r="AE29" s="33" t="s">
        <v>99</v>
      </c>
      <c r="AF29" s="23"/>
    </row>
    <row r="30" customFormat="false" ht="51.75" hidden="false" customHeight="true" outlineLevel="0" collapsed="false">
      <c r="A30" s="21" t="n">
        <f aca="false">RANK(U30,$U$5:$U$56)+COUNTIF($U$5:U30,U30)-1</f>
        <v>26</v>
      </c>
      <c r="B30" s="22" t="str">
        <f aca="false">IF(U30&gt;=Annahmen!$B$24,"A",IF(U30&gt;=Annahmen!$B$25,"B","C"))</f>
        <v>B</v>
      </c>
      <c r="C30" s="23" t="s">
        <v>17</v>
      </c>
      <c r="D30" s="24" t="s">
        <v>296</v>
      </c>
      <c r="E30" s="23" t="s">
        <v>297</v>
      </c>
      <c r="F30" s="23" t="s">
        <v>298</v>
      </c>
      <c r="G30" s="21" t="s">
        <v>113</v>
      </c>
      <c r="H30" s="25" t="s">
        <v>114</v>
      </c>
      <c r="I30" s="21" t="s">
        <v>198</v>
      </c>
      <c r="J30" s="23" t="s">
        <v>299</v>
      </c>
      <c r="K30" s="23" t="s">
        <v>300</v>
      </c>
      <c r="L30" s="26" t="n">
        <v>2</v>
      </c>
      <c r="M30" s="27" t="n">
        <v>26</v>
      </c>
      <c r="N30" s="26" t="n">
        <v>0</v>
      </c>
      <c r="O30" s="27" t="n">
        <v>0</v>
      </c>
      <c r="P30" s="26" t="n">
        <v>0</v>
      </c>
      <c r="Q30" s="27" t="n">
        <v>0</v>
      </c>
      <c r="R30" s="28" t="n">
        <f aca="false">ROUND(L30*M30*Annahmen!$F$9+N30*O30*Annahmen!$F$12+P30*Q30*Annahmen!$F$15,-2)</f>
        <v>220400</v>
      </c>
      <c r="S30" s="29" t="n">
        <v>0.6</v>
      </c>
      <c r="T30" s="29" t="n">
        <v>0.1</v>
      </c>
      <c r="U30" s="30" t="n">
        <f aca="false">ROUND(R30*S30*T30,-2)</f>
        <v>13200</v>
      </c>
      <c r="V30" s="23" t="s">
        <v>137</v>
      </c>
      <c r="W30" s="31" t="s">
        <v>301</v>
      </c>
      <c r="X30" s="27"/>
      <c r="Y30" s="27" t="s">
        <v>97</v>
      </c>
      <c r="Z30" s="23" t="s">
        <v>130</v>
      </c>
      <c r="AA30" s="27"/>
      <c r="AB30" s="27"/>
      <c r="AC30" s="32"/>
      <c r="AD30" s="32"/>
      <c r="AE30" s="33" t="s">
        <v>99</v>
      </c>
      <c r="AF30" s="23" t="s">
        <v>302</v>
      </c>
    </row>
    <row r="31" customFormat="false" ht="51.75" hidden="false" customHeight="true" outlineLevel="0" collapsed="false">
      <c r="A31" s="21" t="n">
        <f aca="false">RANK(U31,$U$5:$U$56)+COUNTIF($U$5:U31,U31)-1</f>
        <v>27</v>
      </c>
      <c r="B31" s="22" t="str">
        <f aca="false">IF(U31&gt;=Annahmen!$B$24,"A",IF(U31&gt;=Annahmen!$B$25,"B","C"))</f>
        <v>B</v>
      </c>
      <c r="C31" s="23" t="s">
        <v>23</v>
      </c>
      <c r="D31" s="24" t="s">
        <v>303</v>
      </c>
      <c r="E31" s="23" t="s">
        <v>304</v>
      </c>
      <c r="F31" s="23" t="s">
        <v>305</v>
      </c>
      <c r="G31" s="21" t="s">
        <v>143</v>
      </c>
      <c r="H31" s="25" t="s">
        <v>144</v>
      </c>
      <c r="I31" s="21" t="s">
        <v>205</v>
      </c>
      <c r="J31" s="23" t="s">
        <v>306</v>
      </c>
      <c r="K31" s="23" t="s">
        <v>307</v>
      </c>
      <c r="L31" s="26" t="n">
        <v>1</v>
      </c>
      <c r="M31" s="27" t="n">
        <v>20</v>
      </c>
      <c r="N31" s="26" t="n">
        <v>0</v>
      </c>
      <c r="O31" s="27" t="n">
        <v>0</v>
      </c>
      <c r="P31" s="26" t="n">
        <v>0</v>
      </c>
      <c r="Q31" s="27" t="n">
        <v>0</v>
      </c>
      <c r="R31" s="28" t="n">
        <f aca="false">ROUND(L31*M31*Annahmen!$F$9+N31*O31*Annahmen!$F$12+P31*Q31*Annahmen!$F$15,-2)</f>
        <v>84800</v>
      </c>
      <c r="S31" s="29" t="n">
        <v>1</v>
      </c>
      <c r="T31" s="29" t="n">
        <v>0.15</v>
      </c>
      <c r="U31" s="30" t="n">
        <f aca="false">ROUND(R31*S31*T31,-2)</f>
        <v>12700</v>
      </c>
      <c r="V31" s="23" t="s">
        <v>176</v>
      </c>
      <c r="W31" s="31" t="s">
        <v>308</v>
      </c>
      <c r="X31" s="27"/>
      <c r="Y31" s="27" t="s">
        <v>97</v>
      </c>
      <c r="Z31" s="23" t="s">
        <v>178</v>
      </c>
      <c r="AA31" s="27"/>
      <c r="AB31" s="27"/>
      <c r="AC31" s="32"/>
      <c r="AD31" s="32"/>
      <c r="AE31" s="33" t="s">
        <v>99</v>
      </c>
      <c r="AF31" s="23" t="s">
        <v>179</v>
      </c>
    </row>
    <row r="32" customFormat="false" ht="51.75" hidden="false" customHeight="true" outlineLevel="0" collapsed="false">
      <c r="A32" s="21" t="n">
        <f aca="false">RANK(U32,$U$5:$U$56)+COUNTIF($U$5:U32,U32)-1</f>
        <v>28</v>
      </c>
      <c r="B32" s="22" t="str">
        <f aca="false">IF(U32&gt;=Annahmen!$B$24,"A",IF(U32&gt;=Annahmen!$B$25,"B","C"))</f>
        <v>B</v>
      </c>
      <c r="C32" s="23" t="s">
        <v>23</v>
      </c>
      <c r="D32" s="24" t="s">
        <v>309</v>
      </c>
      <c r="E32" s="23" t="s">
        <v>310</v>
      </c>
      <c r="F32" s="23" t="s">
        <v>311</v>
      </c>
      <c r="G32" s="21" t="s">
        <v>312</v>
      </c>
      <c r="H32" s="25" t="s">
        <v>104</v>
      </c>
      <c r="I32" s="21" t="s">
        <v>105</v>
      </c>
      <c r="J32" s="23" t="s">
        <v>313</v>
      </c>
      <c r="K32" s="23" t="s">
        <v>314</v>
      </c>
      <c r="L32" s="26" t="n">
        <v>1</v>
      </c>
      <c r="M32" s="27" t="n">
        <v>20</v>
      </c>
      <c r="N32" s="26" t="n">
        <v>0</v>
      </c>
      <c r="O32" s="27" t="n">
        <v>0</v>
      </c>
      <c r="P32" s="26" t="n">
        <v>0</v>
      </c>
      <c r="Q32" s="27" t="n">
        <v>0</v>
      </c>
      <c r="R32" s="28" t="n">
        <f aca="false">ROUND(L32*M32*Annahmen!$F$9+N32*O32*Annahmen!$F$12+P32*Q32*Annahmen!$F$15,-2)</f>
        <v>84800</v>
      </c>
      <c r="S32" s="29" t="n">
        <v>1</v>
      </c>
      <c r="T32" s="29" t="n">
        <v>0.15</v>
      </c>
      <c r="U32" s="30" t="n">
        <f aca="false">ROUND(R32*S32*T32,-2)</f>
        <v>12700</v>
      </c>
      <c r="V32" s="23" t="s">
        <v>176</v>
      </c>
      <c r="W32" s="31" t="s">
        <v>315</v>
      </c>
      <c r="X32" s="27"/>
      <c r="Y32" s="27" t="s">
        <v>97</v>
      </c>
      <c r="Z32" s="23" t="s">
        <v>178</v>
      </c>
      <c r="AA32" s="27"/>
      <c r="AB32" s="27"/>
      <c r="AC32" s="32"/>
      <c r="AD32" s="32"/>
      <c r="AE32" s="33" t="s">
        <v>99</v>
      </c>
      <c r="AF32" s="23" t="s">
        <v>179</v>
      </c>
    </row>
    <row r="33" customFormat="false" ht="51.75" hidden="false" customHeight="true" outlineLevel="0" collapsed="false">
      <c r="A33" s="21" t="n">
        <f aca="false">RANK(U33,$U$5:$U$56)+COUNTIF($U$5:U33,U33)-1</f>
        <v>29</v>
      </c>
      <c r="B33" s="22" t="str">
        <f aca="false">IF(U33&gt;=Annahmen!$B$24,"A",IF(U33&gt;=Annahmen!$B$25,"B","C"))</f>
        <v>B</v>
      </c>
      <c r="C33" s="23" t="s">
        <v>22</v>
      </c>
      <c r="D33" s="24" t="s">
        <v>316</v>
      </c>
      <c r="E33" s="23" t="s">
        <v>317</v>
      </c>
      <c r="F33" s="23" t="s">
        <v>318</v>
      </c>
      <c r="G33" s="21" t="s">
        <v>319</v>
      </c>
      <c r="H33" s="25" t="s">
        <v>250</v>
      </c>
      <c r="I33" s="21" t="s">
        <v>258</v>
      </c>
      <c r="J33" s="23" t="s">
        <v>320</v>
      </c>
      <c r="K33" s="23" t="s">
        <v>321</v>
      </c>
      <c r="L33" s="26" t="n">
        <v>3</v>
      </c>
      <c r="M33" s="27" t="n">
        <v>4</v>
      </c>
      <c r="N33" s="26" t="n">
        <v>0</v>
      </c>
      <c r="O33" s="27" t="n">
        <v>0</v>
      </c>
      <c r="P33" s="26" t="n">
        <v>0.5</v>
      </c>
      <c r="Q33" s="27" t="n">
        <v>1</v>
      </c>
      <c r="R33" s="28" t="n">
        <f aca="false">ROUND(L33*M33*Annahmen!$F$9+N33*O33*Annahmen!$F$12+P33*Q33*Annahmen!$F$15,-2)</f>
        <v>63300</v>
      </c>
      <c r="S33" s="29" t="n">
        <v>1</v>
      </c>
      <c r="T33" s="29" t="n">
        <v>0.2</v>
      </c>
      <c r="U33" s="30" t="n">
        <f aca="false">ROUND(R33*S33*T33,-2)</f>
        <v>12700</v>
      </c>
      <c r="V33" s="23" t="s">
        <v>322</v>
      </c>
      <c r="W33" s="31" t="s">
        <v>323</v>
      </c>
      <c r="X33" s="27"/>
      <c r="Y33" s="27" t="s">
        <v>97</v>
      </c>
      <c r="Z33" s="23" t="s">
        <v>282</v>
      </c>
      <c r="AA33" s="27"/>
      <c r="AB33" s="27"/>
      <c r="AC33" s="32"/>
      <c r="AD33" s="32"/>
      <c r="AE33" s="33" t="s">
        <v>99</v>
      </c>
      <c r="AF33" s="23" t="s">
        <v>324</v>
      </c>
    </row>
    <row r="34" customFormat="false" ht="51.75" hidden="false" customHeight="true" outlineLevel="0" collapsed="false">
      <c r="A34" s="21" t="n">
        <f aca="false">RANK(U34,$U$5:$U$56)+COUNTIF($U$5:U34,U34)-1</f>
        <v>30</v>
      </c>
      <c r="B34" s="22" t="str">
        <f aca="false">IF(U34&gt;=Annahmen!$B$24,"A",IF(U34&gt;=Annahmen!$B$25,"B","C"))</f>
        <v>B</v>
      </c>
      <c r="C34" s="23" t="s">
        <v>19</v>
      </c>
      <c r="D34" s="24" t="s">
        <v>325</v>
      </c>
      <c r="E34" s="23" t="s">
        <v>326</v>
      </c>
      <c r="F34" s="23" t="s">
        <v>327</v>
      </c>
      <c r="G34" s="21"/>
      <c r="H34" s="25" t="s">
        <v>165</v>
      </c>
      <c r="I34" s="21" t="s">
        <v>154</v>
      </c>
      <c r="J34" s="23" t="s">
        <v>328</v>
      </c>
      <c r="K34" s="23" t="s">
        <v>329</v>
      </c>
      <c r="L34" s="26" t="n">
        <v>1.5</v>
      </c>
      <c r="M34" s="27" t="n">
        <v>26</v>
      </c>
      <c r="N34" s="26" t="n">
        <v>0</v>
      </c>
      <c r="O34" s="27" t="n">
        <v>0</v>
      </c>
      <c r="P34" s="26" t="n">
        <v>0</v>
      </c>
      <c r="Q34" s="27" t="n">
        <v>0</v>
      </c>
      <c r="R34" s="28" t="n">
        <f aca="false">ROUND(L34*M34*Annahmen!$F$9+N34*O34*Annahmen!$F$12+P34*Q34*Annahmen!$F$15,-2)</f>
        <v>165300</v>
      </c>
      <c r="S34" s="29" t="n">
        <v>0.5</v>
      </c>
      <c r="T34" s="29" t="n">
        <v>0.15</v>
      </c>
      <c r="U34" s="30" t="n">
        <f aca="false">ROUND(R34*S34*T34,-2)</f>
        <v>12400</v>
      </c>
      <c r="V34" s="23"/>
      <c r="W34" s="31" t="s">
        <v>253</v>
      </c>
      <c r="X34" s="27"/>
      <c r="Y34" s="27" t="s">
        <v>97</v>
      </c>
      <c r="Z34" s="23" t="s">
        <v>159</v>
      </c>
      <c r="AA34" s="27"/>
      <c r="AB34" s="27"/>
      <c r="AC34" s="32"/>
      <c r="AD34" s="32"/>
      <c r="AE34" s="33" t="s">
        <v>99</v>
      </c>
      <c r="AF34" s="23"/>
    </row>
    <row r="35" customFormat="false" ht="51.75" hidden="false" customHeight="true" outlineLevel="0" collapsed="false">
      <c r="A35" s="21" t="n">
        <f aca="false">RANK(U35,$U$5:$U$56)+COUNTIF($U$5:U35,U35)-1</f>
        <v>31</v>
      </c>
      <c r="B35" s="22" t="str">
        <f aca="false">IF(U35&gt;=Annahmen!$B$24,"A",IF(U35&gt;=Annahmen!$B$25,"B","C"))</f>
        <v>B</v>
      </c>
      <c r="C35" s="23" t="s">
        <v>17</v>
      </c>
      <c r="D35" s="24" t="s">
        <v>330</v>
      </c>
      <c r="E35" s="23" t="s">
        <v>331</v>
      </c>
      <c r="F35" s="23" t="s">
        <v>332</v>
      </c>
      <c r="G35" s="21" t="s">
        <v>113</v>
      </c>
      <c r="H35" s="25" t="s">
        <v>114</v>
      </c>
      <c r="I35" s="21" t="s">
        <v>105</v>
      </c>
      <c r="J35" s="23" t="s">
        <v>333</v>
      </c>
      <c r="K35" s="23" t="s">
        <v>334</v>
      </c>
      <c r="L35" s="26" t="n">
        <v>2</v>
      </c>
      <c r="M35" s="27" t="n">
        <v>4</v>
      </c>
      <c r="N35" s="26" t="n">
        <v>6</v>
      </c>
      <c r="O35" s="27" t="n">
        <v>4</v>
      </c>
      <c r="P35" s="26" t="n">
        <v>0</v>
      </c>
      <c r="Q35" s="27" t="n">
        <v>0</v>
      </c>
      <c r="R35" s="28" t="n">
        <f aca="false">ROUND(L35*M35*Annahmen!$F$9+N35*O35*Annahmen!$F$12+P35*Q35*Annahmen!$F$15,-2)</f>
        <v>80600</v>
      </c>
      <c r="S35" s="29" t="n">
        <v>0.5</v>
      </c>
      <c r="T35" s="29" t="n">
        <v>0.3</v>
      </c>
      <c r="U35" s="30" t="n">
        <f aca="false">ROUND(R35*S35*T35,-2)</f>
        <v>12100</v>
      </c>
      <c r="V35" s="23" t="s">
        <v>335</v>
      </c>
      <c r="W35" s="31" t="s">
        <v>336</v>
      </c>
      <c r="X35" s="27"/>
      <c r="Y35" s="27" t="s">
        <v>97</v>
      </c>
      <c r="Z35" s="23" t="s">
        <v>130</v>
      </c>
      <c r="AA35" s="27"/>
      <c r="AB35" s="27"/>
      <c r="AC35" s="32"/>
      <c r="AD35" s="32"/>
      <c r="AE35" s="33" t="s">
        <v>99</v>
      </c>
      <c r="AF35" s="23" t="s">
        <v>337</v>
      </c>
    </row>
    <row r="36" customFormat="false" ht="51.75" hidden="false" customHeight="true" outlineLevel="0" collapsed="false">
      <c r="A36" s="21" t="n">
        <f aca="false">RANK(U36,$U$5:$U$56)+COUNTIF($U$5:U36,U36)-1</f>
        <v>32</v>
      </c>
      <c r="B36" s="22" t="str">
        <f aca="false">IF(U36&gt;=Annahmen!$B$24,"A",IF(U36&gt;=Annahmen!$B$25,"B","C"))</f>
        <v>B</v>
      </c>
      <c r="C36" s="23" t="s">
        <v>21</v>
      </c>
      <c r="D36" s="24" t="s">
        <v>338</v>
      </c>
      <c r="E36" s="23" t="s">
        <v>339</v>
      </c>
      <c r="F36" s="23" t="s">
        <v>340</v>
      </c>
      <c r="G36" s="21" t="s">
        <v>341</v>
      </c>
      <c r="H36" s="25" t="s">
        <v>114</v>
      </c>
      <c r="I36" s="21" t="s">
        <v>198</v>
      </c>
      <c r="J36" s="23" t="s">
        <v>342</v>
      </c>
      <c r="K36" s="23" t="s">
        <v>343</v>
      </c>
      <c r="L36" s="26" t="n">
        <v>1</v>
      </c>
      <c r="M36" s="27" t="n">
        <v>12</v>
      </c>
      <c r="N36" s="26" t="n">
        <v>2</v>
      </c>
      <c r="O36" s="27" t="n">
        <v>2</v>
      </c>
      <c r="P36" s="26" t="n">
        <v>0</v>
      </c>
      <c r="Q36" s="27" t="n">
        <v>0</v>
      </c>
      <c r="R36" s="28" t="n">
        <f aca="false">ROUND(L36*M36*Annahmen!$F$9+N36*O36*Annahmen!$F$12+P36*Q36*Annahmen!$F$15,-2)</f>
        <v>58700</v>
      </c>
      <c r="S36" s="29" t="n">
        <v>1</v>
      </c>
      <c r="T36" s="29" t="n">
        <v>0.2</v>
      </c>
      <c r="U36" s="30" t="n">
        <f aca="false">ROUND(R36*S36*T36,-2)</f>
        <v>11700</v>
      </c>
      <c r="V36" s="23" t="s">
        <v>344</v>
      </c>
      <c r="W36" s="31" t="s">
        <v>345</v>
      </c>
      <c r="X36" s="27"/>
      <c r="Y36" s="27" t="s">
        <v>97</v>
      </c>
      <c r="Z36" s="23" t="s">
        <v>139</v>
      </c>
      <c r="AA36" s="27"/>
      <c r="AB36" s="27"/>
      <c r="AC36" s="32"/>
      <c r="AD36" s="32"/>
      <c r="AE36" s="33" t="s">
        <v>99</v>
      </c>
      <c r="AF36" s="23"/>
    </row>
    <row r="37" customFormat="false" ht="51.75" hidden="false" customHeight="true" outlineLevel="0" collapsed="false">
      <c r="A37" s="21" t="n">
        <f aca="false">RANK(U37,$U$5:$U$56)+COUNTIF($U$5:U37,U37)-1</f>
        <v>33</v>
      </c>
      <c r="B37" s="22" t="str">
        <f aca="false">IF(U37&gt;=Annahmen!$B$24,"A",IF(U37&gt;=Annahmen!$B$25,"B","C"))</f>
        <v>B</v>
      </c>
      <c r="C37" s="23" t="s">
        <v>19</v>
      </c>
      <c r="D37" s="24" t="s">
        <v>346</v>
      </c>
      <c r="E37" s="23" t="s">
        <v>347</v>
      </c>
      <c r="F37" s="23" t="s">
        <v>348</v>
      </c>
      <c r="G37" s="21"/>
      <c r="H37" s="25" t="s">
        <v>114</v>
      </c>
      <c r="I37" s="21" t="s">
        <v>154</v>
      </c>
      <c r="J37" s="23" t="s">
        <v>349</v>
      </c>
      <c r="K37" s="23" t="s">
        <v>350</v>
      </c>
      <c r="L37" s="26" t="n">
        <v>1</v>
      </c>
      <c r="M37" s="27" t="n">
        <v>27</v>
      </c>
      <c r="N37" s="26" t="n">
        <v>0</v>
      </c>
      <c r="O37" s="27" t="n">
        <v>0</v>
      </c>
      <c r="P37" s="26" t="n">
        <v>0</v>
      </c>
      <c r="Q37" s="27" t="n">
        <v>0</v>
      </c>
      <c r="R37" s="28" t="n">
        <f aca="false">ROUND(L37*M37*Annahmen!$F$9+N37*O37*Annahmen!$F$12+P37*Q37*Annahmen!$F$15,-2)</f>
        <v>114500</v>
      </c>
      <c r="S37" s="29" t="n">
        <v>1</v>
      </c>
      <c r="T37" s="29" t="n">
        <v>0.1</v>
      </c>
      <c r="U37" s="30" t="n">
        <f aca="false">ROUND(R37*S37*T37,-2)</f>
        <v>11500</v>
      </c>
      <c r="V37" s="23"/>
      <c r="W37" s="31" t="s">
        <v>253</v>
      </c>
      <c r="X37" s="27"/>
      <c r="Y37" s="27" t="s">
        <v>97</v>
      </c>
      <c r="Z37" s="23" t="s">
        <v>159</v>
      </c>
      <c r="AA37" s="27"/>
      <c r="AB37" s="27"/>
      <c r="AC37" s="32"/>
      <c r="AD37" s="32"/>
      <c r="AE37" s="33" t="s">
        <v>99</v>
      </c>
      <c r="AF37" s="23"/>
    </row>
    <row r="38" customFormat="false" ht="51.75" hidden="false" customHeight="true" outlineLevel="0" collapsed="false">
      <c r="A38" s="21" t="n">
        <f aca="false">RANK(U38,$U$5:$U$56)+COUNTIF($U$5:U38,U38)-1</f>
        <v>34</v>
      </c>
      <c r="B38" s="22" t="str">
        <f aca="false">IF(U38&gt;=Annahmen!$B$24,"A",IF(U38&gt;=Annahmen!$B$25,"B","C"))</f>
        <v>B</v>
      </c>
      <c r="C38" s="23" t="s">
        <v>22</v>
      </c>
      <c r="D38" s="24" t="s">
        <v>351</v>
      </c>
      <c r="E38" s="23" t="s">
        <v>352</v>
      </c>
      <c r="F38" s="23" t="s">
        <v>353</v>
      </c>
      <c r="G38" s="21" t="s">
        <v>354</v>
      </c>
      <c r="H38" s="25" t="s">
        <v>124</v>
      </c>
      <c r="I38" s="21" t="s">
        <v>125</v>
      </c>
      <c r="J38" s="23" t="s">
        <v>355</v>
      </c>
      <c r="K38" s="23" t="s">
        <v>356</v>
      </c>
      <c r="L38" s="26" t="n">
        <v>4</v>
      </c>
      <c r="M38" s="27" t="n">
        <v>3</v>
      </c>
      <c r="N38" s="26" t="n">
        <v>0</v>
      </c>
      <c r="O38" s="27" t="n">
        <v>0</v>
      </c>
      <c r="P38" s="26" t="n">
        <v>1</v>
      </c>
      <c r="Q38" s="27" t="n">
        <v>1</v>
      </c>
      <c r="R38" s="28" t="n">
        <f aca="false">ROUND(L38*M38*Annahmen!$F$9+N38*O38*Annahmen!$F$12+P38*Q38*Annahmen!$F$15,-2)</f>
        <v>75700</v>
      </c>
      <c r="S38" s="29" t="n">
        <v>1</v>
      </c>
      <c r="T38" s="29" t="n">
        <v>0.15</v>
      </c>
      <c r="U38" s="30" t="n">
        <f aca="false">ROUND(R38*S38*T38,-2)</f>
        <v>11400</v>
      </c>
      <c r="V38" s="23" t="s">
        <v>357</v>
      </c>
      <c r="W38" s="31" t="s">
        <v>358</v>
      </c>
      <c r="X38" s="27"/>
      <c r="Y38" s="27" t="s">
        <v>97</v>
      </c>
      <c r="Z38" s="23" t="s">
        <v>282</v>
      </c>
      <c r="AA38" s="27"/>
      <c r="AB38" s="27"/>
      <c r="AC38" s="32"/>
      <c r="AD38" s="32"/>
      <c r="AE38" s="33" t="s">
        <v>99</v>
      </c>
      <c r="AF38" s="23" t="s">
        <v>324</v>
      </c>
    </row>
    <row r="39" customFormat="false" ht="51.75" hidden="false" customHeight="true" outlineLevel="0" collapsed="false">
      <c r="A39" s="21" t="n">
        <f aca="false">RANK(U39,$U$5:$U$56)+COUNTIF($U$5:U39,U39)-1</f>
        <v>35</v>
      </c>
      <c r="B39" s="22" t="str">
        <f aca="false">IF(U39&gt;=Annahmen!$B$24,"A",IF(U39&gt;=Annahmen!$B$25,"B","C"))</f>
        <v>B</v>
      </c>
      <c r="C39" s="23" t="s">
        <v>19</v>
      </c>
      <c r="D39" s="24" t="s">
        <v>359</v>
      </c>
      <c r="E39" s="23" t="s">
        <v>360</v>
      </c>
      <c r="F39" s="23" t="s">
        <v>361</v>
      </c>
      <c r="G39" s="21"/>
      <c r="H39" s="25" t="s">
        <v>114</v>
      </c>
      <c r="I39" s="21" t="s">
        <v>154</v>
      </c>
      <c r="J39" s="23" t="s">
        <v>362</v>
      </c>
      <c r="K39" s="23" t="s">
        <v>363</v>
      </c>
      <c r="L39" s="26" t="n">
        <v>0.5</v>
      </c>
      <c r="M39" s="27" t="n">
        <v>8</v>
      </c>
      <c r="N39" s="26" t="n">
        <v>13</v>
      </c>
      <c r="O39" s="27" t="n">
        <v>2</v>
      </c>
      <c r="P39" s="26" t="n">
        <v>0</v>
      </c>
      <c r="Q39" s="27" t="n">
        <v>0</v>
      </c>
      <c r="R39" s="28" t="n">
        <f aca="false">ROUND(L39*M39*Annahmen!$F$9+N39*O39*Annahmen!$F$12+P39*Q39*Annahmen!$F$15,-2)</f>
        <v>67500</v>
      </c>
      <c r="S39" s="29" t="n">
        <v>0.8</v>
      </c>
      <c r="T39" s="29" t="n">
        <v>0.2</v>
      </c>
      <c r="U39" s="30" t="n">
        <f aca="false">ROUND(R39*S39*T39,-2)</f>
        <v>10800</v>
      </c>
      <c r="V39" s="23"/>
      <c r="W39" s="31" t="s">
        <v>253</v>
      </c>
      <c r="X39" s="27"/>
      <c r="Y39" s="27" t="s">
        <v>97</v>
      </c>
      <c r="Z39" s="23" t="s">
        <v>159</v>
      </c>
      <c r="AA39" s="27"/>
      <c r="AB39" s="27"/>
      <c r="AC39" s="32"/>
      <c r="AD39" s="32"/>
      <c r="AE39" s="33" t="s">
        <v>99</v>
      </c>
      <c r="AF39" s="23"/>
    </row>
    <row r="40" customFormat="false" ht="51.75" hidden="false" customHeight="true" outlineLevel="0" collapsed="false">
      <c r="A40" s="21" t="n">
        <f aca="false">RANK(U40,$U$5:$U$56)+COUNTIF($U$5:U40,U40)-1</f>
        <v>36</v>
      </c>
      <c r="B40" s="22" t="str">
        <f aca="false">IF(U40&gt;=Annahmen!$B$24,"A",IF(U40&gt;=Annahmen!$B$25,"B","C"))</f>
        <v>B</v>
      </c>
      <c r="C40" s="23" t="s">
        <v>19</v>
      </c>
      <c r="D40" s="24" t="s">
        <v>364</v>
      </c>
      <c r="E40" s="23" t="s">
        <v>365</v>
      </c>
      <c r="F40" s="23" t="s">
        <v>366</v>
      </c>
      <c r="G40" s="21"/>
      <c r="H40" s="25" t="s">
        <v>250</v>
      </c>
      <c r="I40" s="21" t="s">
        <v>154</v>
      </c>
      <c r="J40" s="23" t="s">
        <v>367</v>
      </c>
      <c r="K40" s="23" t="s">
        <v>368</v>
      </c>
      <c r="L40" s="26" t="n">
        <v>1</v>
      </c>
      <c r="M40" s="27" t="n">
        <v>26</v>
      </c>
      <c r="N40" s="26" t="n">
        <v>2</v>
      </c>
      <c r="O40" s="27" t="n">
        <v>2</v>
      </c>
      <c r="P40" s="26" t="n">
        <v>0</v>
      </c>
      <c r="Q40" s="27" t="n">
        <v>0</v>
      </c>
      <c r="R40" s="28" t="n">
        <f aca="false">ROUND(L40*M40*Annahmen!$F$9+N40*O40*Annahmen!$F$12+P40*Q40*Annahmen!$F$15,-2)</f>
        <v>118000</v>
      </c>
      <c r="S40" s="29" t="n">
        <v>0.6</v>
      </c>
      <c r="T40" s="29" t="n">
        <v>0.15</v>
      </c>
      <c r="U40" s="30" t="n">
        <f aca="false">ROUND(R40*S40*T40,-2)</f>
        <v>10600</v>
      </c>
      <c r="V40" s="23"/>
      <c r="W40" s="31" t="s">
        <v>253</v>
      </c>
      <c r="X40" s="27"/>
      <c r="Y40" s="27" t="s">
        <v>97</v>
      </c>
      <c r="Z40" s="23" t="s">
        <v>159</v>
      </c>
      <c r="AA40" s="27"/>
      <c r="AB40" s="27"/>
      <c r="AC40" s="32"/>
      <c r="AD40" s="32"/>
      <c r="AE40" s="33" t="s">
        <v>99</v>
      </c>
      <c r="AF40" s="23"/>
    </row>
    <row r="41" customFormat="false" ht="51.75" hidden="false" customHeight="true" outlineLevel="0" collapsed="false">
      <c r="A41" s="21" t="n">
        <f aca="false">RANK(U41,$U$5:$U$56)+COUNTIF($U$5:U41,U41)-1</f>
        <v>37</v>
      </c>
      <c r="B41" s="22" t="str">
        <f aca="false">IF(U41&gt;=Annahmen!$B$24,"A",IF(U41&gt;=Annahmen!$B$25,"B","C"))</f>
        <v>B</v>
      </c>
      <c r="C41" s="23" t="s">
        <v>18</v>
      </c>
      <c r="D41" s="24" t="s">
        <v>369</v>
      </c>
      <c r="E41" s="23" t="s">
        <v>370</v>
      </c>
      <c r="F41" s="23" t="s">
        <v>371</v>
      </c>
      <c r="G41" s="21" t="s">
        <v>372</v>
      </c>
      <c r="H41" s="25" t="s">
        <v>124</v>
      </c>
      <c r="I41" s="21" t="s">
        <v>105</v>
      </c>
      <c r="J41" s="23" t="s">
        <v>373</v>
      </c>
      <c r="K41" s="23" t="s">
        <v>374</v>
      </c>
      <c r="L41" s="26" t="n">
        <v>1</v>
      </c>
      <c r="M41" s="27" t="n">
        <v>12</v>
      </c>
      <c r="N41" s="26" t="n">
        <v>0</v>
      </c>
      <c r="O41" s="27" t="n">
        <v>0</v>
      </c>
      <c r="P41" s="26" t="n">
        <v>0</v>
      </c>
      <c r="Q41" s="27" t="n">
        <v>0</v>
      </c>
      <c r="R41" s="28" t="n">
        <f aca="false">ROUND(L41*M41*Annahmen!$F$9+N41*O41*Annahmen!$F$12+P41*Q41*Annahmen!$F$15,-2)</f>
        <v>50900</v>
      </c>
      <c r="S41" s="29" t="n">
        <v>1</v>
      </c>
      <c r="T41" s="29" t="n">
        <v>0.2</v>
      </c>
      <c r="U41" s="30" t="n">
        <f aca="false">ROUND(R41*S41*T41,-2)</f>
        <v>10200</v>
      </c>
      <c r="V41" s="23"/>
      <c r="W41" s="31" t="s">
        <v>375</v>
      </c>
      <c r="X41" s="27"/>
      <c r="Y41" s="27" t="s">
        <v>97</v>
      </c>
      <c r="Z41" s="23" t="s">
        <v>98</v>
      </c>
      <c r="AA41" s="27"/>
      <c r="AB41" s="27"/>
      <c r="AC41" s="32"/>
      <c r="AD41" s="32"/>
      <c r="AE41" s="33" t="s">
        <v>99</v>
      </c>
      <c r="AF41" s="23"/>
    </row>
    <row r="42" customFormat="false" ht="51.75" hidden="false" customHeight="true" outlineLevel="0" collapsed="false">
      <c r="A42" s="21" t="n">
        <f aca="false">RANK(U42,$U$5:$U$56)+COUNTIF($U$5:U42,U42)-1</f>
        <v>38</v>
      </c>
      <c r="B42" s="22" t="str">
        <f aca="false">IF(U42&gt;=Annahmen!$B$24,"A",IF(U42&gt;=Annahmen!$B$25,"B","C"))</f>
        <v>B</v>
      </c>
      <c r="C42" s="23" t="s">
        <v>19</v>
      </c>
      <c r="D42" s="24" t="s">
        <v>376</v>
      </c>
      <c r="E42" s="23" t="s">
        <v>377</v>
      </c>
      <c r="F42" s="23" t="s">
        <v>378</v>
      </c>
      <c r="G42" s="21" t="s">
        <v>379</v>
      </c>
      <c r="H42" s="25" t="s">
        <v>250</v>
      </c>
      <c r="I42" s="21" t="s">
        <v>258</v>
      </c>
      <c r="J42" s="23" t="s">
        <v>380</v>
      </c>
      <c r="K42" s="23" t="s">
        <v>381</v>
      </c>
      <c r="L42" s="26" t="n">
        <v>1</v>
      </c>
      <c r="M42" s="27" t="n">
        <v>12</v>
      </c>
      <c r="N42" s="26" t="n">
        <v>0</v>
      </c>
      <c r="O42" s="27" t="n">
        <v>0</v>
      </c>
      <c r="P42" s="26" t="n">
        <v>0</v>
      </c>
      <c r="Q42" s="27" t="n">
        <v>0</v>
      </c>
      <c r="R42" s="28" t="n">
        <f aca="false">ROUND(L42*M42*Annahmen!$F$9+N42*O42*Annahmen!$F$12+P42*Q42*Annahmen!$F$15,-2)</f>
        <v>50900</v>
      </c>
      <c r="S42" s="29" t="n">
        <v>1</v>
      </c>
      <c r="T42" s="29" t="n">
        <v>0.2</v>
      </c>
      <c r="U42" s="30" t="n">
        <f aca="false">ROUND(R42*S42*T42,-2)</f>
        <v>10200</v>
      </c>
      <c r="V42" s="23"/>
      <c r="W42" s="31" t="s">
        <v>382</v>
      </c>
      <c r="X42" s="27"/>
      <c r="Y42" s="27" t="s">
        <v>97</v>
      </c>
      <c r="Z42" s="23" t="s">
        <v>159</v>
      </c>
      <c r="AA42" s="27"/>
      <c r="AB42" s="27"/>
      <c r="AC42" s="32"/>
      <c r="AD42" s="32"/>
      <c r="AE42" s="33" t="s">
        <v>99</v>
      </c>
      <c r="AF42" s="23"/>
    </row>
    <row r="43" customFormat="false" ht="51.75" hidden="false" customHeight="true" outlineLevel="0" collapsed="false">
      <c r="A43" s="21" t="n">
        <f aca="false">RANK(U43,$U$5:$U$56)+COUNTIF($U$5:U43,U43)-1</f>
        <v>39</v>
      </c>
      <c r="B43" s="22" t="str">
        <f aca="false">IF(U43&gt;=Annahmen!$B$24,"A",IF(U43&gt;=Annahmen!$B$25,"B","C"))</f>
        <v>C</v>
      </c>
      <c r="C43" s="23" t="s">
        <v>22</v>
      </c>
      <c r="D43" s="24" t="s">
        <v>383</v>
      </c>
      <c r="E43" s="23" t="s">
        <v>151</v>
      </c>
      <c r="F43" s="23" t="s">
        <v>152</v>
      </c>
      <c r="G43" s="21" t="s">
        <v>153</v>
      </c>
      <c r="H43" s="25" t="s">
        <v>277</v>
      </c>
      <c r="I43" s="21" t="s">
        <v>154</v>
      </c>
      <c r="J43" s="23" t="s">
        <v>384</v>
      </c>
      <c r="K43" s="23" t="s">
        <v>385</v>
      </c>
      <c r="L43" s="26" t="n">
        <v>1</v>
      </c>
      <c r="M43" s="27" t="n">
        <f aca="false">SUMIF('Events 2027'!$W$5:$W$200,"Paket Sport-Grossanlässe 2027",'Events 2027'!$O$5:$O$200)</f>
        <v>13.2</v>
      </c>
      <c r="N43" s="26" t="n">
        <v>1</v>
      </c>
      <c r="O43" s="27" t="n">
        <f aca="false">SUMIF('Events 2027'!$W$5:$W$200,"Paket Sport-Grossanlässe 2027",'Events 2027'!$P$5:$P$200)</f>
        <v>0</v>
      </c>
      <c r="P43" s="26" t="n">
        <v>1</v>
      </c>
      <c r="Q43" s="27" t="n">
        <f aca="false">SUMIF('Events 2027'!$W$5:$W$200,"Paket Sport-Grossanlässe 2027",'Events 2027'!$Q$5:$Q$200)</f>
        <v>0.5</v>
      </c>
      <c r="R43" s="28" t="n">
        <f aca="false">ROUND(L43*M43*Annahmen!$F$9+N43*O43*Annahmen!$F$12+P43*Q43*Annahmen!$F$15,-2)</f>
        <v>68400</v>
      </c>
      <c r="S43" s="29" t="n">
        <f aca="false">IFERROR(SUMIF('Events 2027'!$W$5:$W$200,"Paket Sport-Grossanlässe 2027",'Events 2027'!$V$5:$V$200)/SUMIF('Events 2027'!$W$5:$W$200,"Paket Sport-Grossanlässe 2027",'Events 2027'!$R$5:$R$200),0)</f>
        <v>0.9533527696793</v>
      </c>
      <c r="T43" s="29" t="n">
        <v>0.15</v>
      </c>
      <c r="U43" s="30" t="n">
        <f aca="false">ROUND(R43*S43*T43,-2)</f>
        <v>9800</v>
      </c>
      <c r="V43" s="23" t="s">
        <v>386</v>
      </c>
      <c r="W43" s="31" t="s">
        <v>387</v>
      </c>
      <c r="X43" s="27"/>
      <c r="Y43" s="27" t="s">
        <v>97</v>
      </c>
      <c r="Z43" s="23" t="s">
        <v>282</v>
      </c>
      <c r="AA43" s="27"/>
      <c r="AB43" s="27"/>
      <c r="AC43" s="32"/>
      <c r="AD43" s="32"/>
      <c r="AE43" s="33" t="s">
        <v>99</v>
      </c>
      <c r="AF43" s="23" t="s">
        <v>283</v>
      </c>
    </row>
    <row r="44" customFormat="false" ht="51.75" hidden="false" customHeight="true" outlineLevel="0" collapsed="false">
      <c r="A44" s="21" t="n">
        <f aca="false">RANK(U44,$U$5:$U$56)+COUNTIF($U$5:U44,U44)-1</f>
        <v>40</v>
      </c>
      <c r="B44" s="22" t="str">
        <f aca="false">IF(U44&gt;=Annahmen!$B$24,"A",IF(U44&gt;=Annahmen!$B$25,"B","C"))</f>
        <v>C</v>
      </c>
      <c r="C44" s="23" t="s">
        <v>22</v>
      </c>
      <c r="D44" s="24" t="s">
        <v>388</v>
      </c>
      <c r="E44" s="23" t="s">
        <v>151</v>
      </c>
      <c r="F44" s="23" t="s">
        <v>152</v>
      </c>
      <c r="G44" s="21" t="s">
        <v>153</v>
      </c>
      <c r="H44" s="25" t="s">
        <v>277</v>
      </c>
      <c r="I44" s="21" t="s">
        <v>154</v>
      </c>
      <c r="J44" s="23" t="s">
        <v>389</v>
      </c>
      <c r="K44" s="23" t="s">
        <v>390</v>
      </c>
      <c r="L44" s="26" t="n">
        <v>1</v>
      </c>
      <c r="M44" s="27" t="n">
        <f aca="false">SUMIF('Events 2027'!$W$5:$W$200,"Paket Märkte, Messen, Fasnacht, Zirkus",'Events 2027'!$O$5:$O$200)</f>
        <v>21.3</v>
      </c>
      <c r="N44" s="26" t="n">
        <v>1</v>
      </c>
      <c r="O44" s="27" t="n">
        <f aca="false">SUMIF('Events 2027'!$W$5:$W$200,"Paket Märkte, Messen, Fasnacht, Zirkus",'Events 2027'!$P$5:$P$200)</f>
        <v>0</v>
      </c>
      <c r="P44" s="26" t="n">
        <v>1</v>
      </c>
      <c r="Q44" s="27" t="n">
        <f aca="false">SUMIF('Events 2027'!$W$5:$W$200,"Paket Märkte, Messen, Fasnacht, Zirkus",'Events 2027'!$Q$5:$Q$200)</f>
        <v>0.1</v>
      </c>
      <c r="R44" s="28" t="n">
        <f aca="false">ROUND(L44*M44*Annahmen!$F$9+N44*O44*Annahmen!$F$12+P44*Q44*Annahmen!$F$15,-2)</f>
        <v>92800</v>
      </c>
      <c r="S44" s="29" t="n">
        <f aca="false">IFERROR(SUMIF('Events 2027'!$W$5:$W$200,"Paket Märkte, Messen, Fasnacht, Zirkus",'Events 2027'!$V$5:$V$200)/SUMIF('Events 2027'!$W$5:$W$200,"Paket Märkte, Messen, Fasnacht, Zirkus",'Events 2027'!$R$5:$R$200),0)</f>
        <v>0.702265372168285</v>
      </c>
      <c r="T44" s="29" t="n">
        <v>0.15</v>
      </c>
      <c r="U44" s="30" t="n">
        <f aca="false">ROUND(R44*S44*T44,-2)</f>
        <v>9800</v>
      </c>
      <c r="V44" s="23" t="s">
        <v>391</v>
      </c>
      <c r="W44" s="31" t="s">
        <v>392</v>
      </c>
      <c r="X44" s="27"/>
      <c r="Y44" s="27" t="s">
        <v>97</v>
      </c>
      <c r="Z44" s="23" t="s">
        <v>282</v>
      </c>
      <c r="AA44" s="27"/>
      <c r="AB44" s="27"/>
      <c r="AC44" s="32"/>
      <c r="AD44" s="32"/>
      <c r="AE44" s="33" t="s">
        <v>99</v>
      </c>
      <c r="AF44" s="23" t="s">
        <v>283</v>
      </c>
    </row>
    <row r="45" customFormat="false" ht="51.75" hidden="false" customHeight="true" outlineLevel="0" collapsed="false">
      <c r="A45" s="21" t="n">
        <f aca="false">RANK(U45,$U$5:$U$56)+COUNTIF($U$5:U45,U45)-1</f>
        <v>41</v>
      </c>
      <c r="B45" s="22" t="str">
        <f aca="false">IF(U45&gt;=Annahmen!$B$24,"A",IF(U45&gt;=Annahmen!$B$25,"B","C"))</f>
        <v>C</v>
      </c>
      <c r="C45" s="23" t="s">
        <v>18</v>
      </c>
      <c r="D45" s="24" t="s">
        <v>393</v>
      </c>
      <c r="E45" s="23" t="s">
        <v>394</v>
      </c>
      <c r="F45" s="23" t="s">
        <v>395</v>
      </c>
      <c r="G45" s="21" t="s">
        <v>164</v>
      </c>
      <c r="H45" s="25" t="s">
        <v>165</v>
      </c>
      <c r="I45" s="21" t="s">
        <v>105</v>
      </c>
      <c r="J45" s="23" t="s">
        <v>396</v>
      </c>
      <c r="K45" s="23" t="s">
        <v>397</v>
      </c>
      <c r="L45" s="26" t="n">
        <v>1</v>
      </c>
      <c r="M45" s="27" t="n">
        <v>12</v>
      </c>
      <c r="N45" s="26" t="n">
        <v>0</v>
      </c>
      <c r="O45" s="27" t="n">
        <v>0</v>
      </c>
      <c r="P45" s="26" t="n">
        <v>0.5</v>
      </c>
      <c r="Q45" s="27" t="n">
        <v>6</v>
      </c>
      <c r="R45" s="28" t="n">
        <f aca="false">ROUND(L45*M45*Annahmen!$F$9+N45*O45*Annahmen!$F$12+P45*Q45*Annahmen!$F$15,-2)</f>
        <v>125400</v>
      </c>
      <c r="S45" s="29" t="n">
        <v>0.5</v>
      </c>
      <c r="T45" s="29" t="n">
        <v>0.15</v>
      </c>
      <c r="U45" s="30" t="n">
        <f aca="false">ROUND(R45*S45*T45,-2)</f>
        <v>9400</v>
      </c>
      <c r="V45" s="23" t="s">
        <v>398</v>
      </c>
      <c r="W45" s="31" t="s">
        <v>399</v>
      </c>
      <c r="X45" s="27"/>
      <c r="Y45" s="27" t="s">
        <v>97</v>
      </c>
      <c r="Z45" s="23" t="s">
        <v>98</v>
      </c>
      <c r="AA45" s="27"/>
      <c r="AB45" s="27"/>
      <c r="AC45" s="32"/>
      <c r="AD45" s="32"/>
      <c r="AE45" s="33" t="s">
        <v>99</v>
      </c>
      <c r="AF45" s="23"/>
    </row>
    <row r="46" customFormat="false" ht="51.75" hidden="false" customHeight="true" outlineLevel="0" collapsed="false">
      <c r="A46" s="21" t="n">
        <f aca="false">RANK(U46,$U$5:$U$56)+COUNTIF($U$5:U46,U46)-1</f>
        <v>42</v>
      </c>
      <c r="B46" s="22" t="str">
        <f aca="false">IF(U46&gt;=Annahmen!$B$24,"A",IF(U46&gt;=Annahmen!$B$25,"B","C"))</f>
        <v>C</v>
      </c>
      <c r="C46" s="23" t="s">
        <v>18</v>
      </c>
      <c r="D46" s="24" t="s">
        <v>400</v>
      </c>
      <c r="E46" s="23" t="s">
        <v>370</v>
      </c>
      <c r="F46" s="23" t="s">
        <v>401</v>
      </c>
      <c r="G46" s="21" t="s">
        <v>143</v>
      </c>
      <c r="H46" s="25" t="s">
        <v>144</v>
      </c>
      <c r="I46" s="21" t="s">
        <v>105</v>
      </c>
      <c r="J46" s="23" t="s">
        <v>402</v>
      </c>
      <c r="K46" s="23" t="s">
        <v>403</v>
      </c>
      <c r="L46" s="26" t="n">
        <v>0.5</v>
      </c>
      <c r="M46" s="27" t="n">
        <v>26</v>
      </c>
      <c r="N46" s="26" t="n">
        <v>0</v>
      </c>
      <c r="O46" s="27" t="n">
        <v>0</v>
      </c>
      <c r="P46" s="26" t="n">
        <v>0</v>
      </c>
      <c r="Q46" s="27" t="n">
        <v>0</v>
      </c>
      <c r="R46" s="28" t="n">
        <f aca="false">ROUND(L46*M46*Annahmen!$F$9+N46*O46*Annahmen!$F$12+P46*Q46*Annahmen!$F$15,-2)</f>
        <v>55100</v>
      </c>
      <c r="S46" s="29" t="n">
        <v>1</v>
      </c>
      <c r="T46" s="29" t="n">
        <v>0.15</v>
      </c>
      <c r="U46" s="30" t="n">
        <f aca="false">ROUND(R46*S46*T46,-2)</f>
        <v>8300</v>
      </c>
      <c r="V46" s="23"/>
      <c r="W46" s="31" t="s">
        <v>404</v>
      </c>
      <c r="X46" s="27"/>
      <c r="Y46" s="27" t="s">
        <v>97</v>
      </c>
      <c r="Z46" s="23" t="s">
        <v>98</v>
      </c>
      <c r="AA46" s="27"/>
      <c r="AB46" s="27"/>
      <c r="AC46" s="32"/>
      <c r="AD46" s="32"/>
      <c r="AE46" s="33" t="s">
        <v>99</v>
      </c>
      <c r="AF46" s="23"/>
    </row>
    <row r="47" customFormat="false" ht="51.75" hidden="false" customHeight="true" outlineLevel="0" collapsed="false">
      <c r="A47" s="21" t="n">
        <f aca="false">RANK(U47,$U$5:$U$56)+COUNTIF($U$5:U47,U47)-1</f>
        <v>43</v>
      </c>
      <c r="B47" s="22" t="str">
        <f aca="false">IF(U47&gt;=Annahmen!$B$24,"A",IF(U47&gt;=Annahmen!$B$25,"B","C"))</f>
        <v>C</v>
      </c>
      <c r="C47" s="23" t="s">
        <v>20</v>
      </c>
      <c r="D47" s="24" t="s">
        <v>405</v>
      </c>
      <c r="E47" s="23" t="s">
        <v>406</v>
      </c>
      <c r="F47" s="23" t="s">
        <v>371</v>
      </c>
      <c r="G47" s="21" t="s">
        <v>372</v>
      </c>
      <c r="H47" s="25" t="s">
        <v>124</v>
      </c>
      <c r="I47" s="21" t="s">
        <v>105</v>
      </c>
      <c r="J47" s="23" t="s">
        <v>407</v>
      </c>
      <c r="K47" s="23" t="s">
        <v>408</v>
      </c>
      <c r="L47" s="26" t="n">
        <v>0.5</v>
      </c>
      <c r="M47" s="27" t="n">
        <v>26</v>
      </c>
      <c r="N47" s="26" t="n">
        <v>0</v>
      </c>
      <c r="O47" s="27" t="n">
        <v>0</v>
      </c>
      <c r="P47" s="26" t="n">
        <v>0</v>
      </c>
      <c r="Q47" s="27" t="n">
        <v>0</v>
      </c>
      <c r="R47" s="28" t="n">
        <f aca="false">ROUND(L47*M47*Annahmen!$F$9+N47*O47*Annahmen!$F$12+P47*Q47*Annahmen!$F$15,-2)</f>
        <v>55100</v>
      </c>
      <c r="S47" s="29" t="n">
        <v>1</v>
      </c>
      <c r="T47" s="29" t="n">
        <v>0.15</v>
      </c>
      <c r="U47" s="30" t="n">
        <f aca="false">ROUND(R47*S47*T47,-2)</f>
        <v>8300</v>
      </c>
      <c r="V47" s="23" t="s">
        <v>157</v>
      </c>
      <c r="W47" s="31" t="s">
        <v>409</v>
      </c>
      <c r="X47" s="27"/>
      <c r="Y47" s="27" t="s">
        <v>97</v>
      </c>
      <c r="Z47" s="23" t="s">
        <v>119</v>
      </c>
      <c r="AA47" s="27"/>
      <c r="AB47" s="27"/>
      <c r="AC47" s="32"/>
      <c r="AD47" s="32"/>
      <c r="AE47" s="33" t="s">
        <v>99</v>
      </c>
      <c r="AF47" s="23"/>
    </row>
    <row r="48" customFormat="false" ht="51.75" hidden="false" customHeight="true" outlineLevel="0" collapsed="false">
      <c r="A48" s="21" t="n">
        <f aca="false">RANK(U48,$U$5:$U$56)+COUNTIF($U$5:U48,U48)-1</f>
        <v>44</v>
      </c>
      <c r="B48" s="22" t="str">
        <f aca="false">IF(U48&gt;=Annahmen!$B$24,"A",IF(U48&gt;=Annahmen!$B$25,"B","C"))</f>
        <v>C</v>
      </c>
      <c r="C48" s="23" t="s">
        <v>21</v>
      </c>
      <c r="D48" s="24" t="s">
        <v>410</v>
      </c>
      <c r="E48" s="23" t="s">
        <v>411</v>
      </c>
      <c r="F48" s="23" t="s">
        <v>412</v>
      </c>
      <c r="G48" s="21" t="s">
        <v>413</v>
      </c>
      <c r="H48" s="25" t="s">
        <v>114</v>
      </c>
      <c r="I48" s="21" t="s">
        <v>198</v>
      </c>
      <c r="J48" s="23" t="s">
        <v>414</v>
      </c>
      <c r="K48" s="23" t="s">
        <v>415</v>
      </c>
      <c r="L48" s="26" t="n">
        <v>1</v>
      </c>
      <c r="M48" s="27" t="n">
        <v>12</v>
      </c>
      <c r="N48" s="26" t="n">
        <v>0</v>
      </c>
      <c r="O48" s="27" t="n">
        <v>0</v>
      </c>
      <c r="P48" s="26" t="n">
        <v>0</v>
      </c>
      <c r="Q48" s="27" t="n">
        <v>0</v>
      </c>
      <c r="R48" s="28" t="n">
        <f aca="false">ROUND(L48*M48*Annahmen!$F$9+N48*O48*Annahmen!$F$12+P48*Q48*Annahmen!$F$15,-2)</f>
        <v>50900</v>
      </c>
      <c r="S48" s="29" t="n">
        <v>1</v>
      </c>
      <c r="T48" s="29" t="n">
        <v>0.15</v>
      </c>
      <c r="U48" s="30" t="n">
        <f aca="false">ROUND(R48*S48*T48,-2)</f>
        <v>7600</v>
      </c>
      <c r="V48" s="23" t="s">
        <v>416</v>
      </c>
      <c r="W48" s="31" t="s">
        <v>417</v>
      </c>
      <c r="X48" s="27"/>
      <c r="Y48" s="27" t="s">
        <v>97</v>
      </c>
      <c r="Z48" s="23" t="s">
        <v>139</v>
      </c>
      <c r="AA48" s="27"/>
      <c r="AB48" s="27"/>
      <c r="AC48" s="32"/>
      <c r="AD48" s="32"/>
      <c r="AE48" s="33" t="s">
        <v>99</v>
      </c>
      <c r="AF48" s="23"/>
    </row>
    <row r="49" customFormat="false" ht="51.75" hidden="false" customHeight="true" outlineLevel="0" collapsed="false">
      <c r="A49" s="21" t="n">
        <f aca="false">RANK(U49,$U$5:$U$56)+COUNTIF($U$5:U49,U49)-1</f>
        <v>45</v>
      </c>
      <c r="B49" s="22" t="str">
        <f aca="false">IF(U49&gt;=Annahmen!$B$24,"A",IF(U49&gt;=Annahmen!$B$25,"B","C"))</f>
        <v>C</v>
      </c>
      <c r="C49" s="23" t="s">
        <v>19</v>
      </c>
      <c r="D49" s="24" t="s">
        <v>418</v>
      </c>
      <c r="E49" s="23" t="s">
        <v>419</v>
      </c>
      <c r="F49" s="23" t="s">
        <v>420</v>
      </c>
      <c r="G49" s="21"/>
      <c r="H49" s="25" t="s">
        <v>91</v>
      </c>
      <c r="I49" s="21" t="s">
        <v>154</v>
      </c>
      <c r="J49" s="23" t="s">
        <v>421</v>
      </c>
      <c r="K49" s="23" t="s">
        <v>422</v>
      </c>
      <c r="L49" s="26" t="n">
        <v>1</v>
      </c>
      <c r="M49" s="27" t="n">
        <v>12</v>
      </c>
      <c r="N49" s="26" t="n">
        <v>0</v>
      </c>
      <c r="O49" s="27" t="n">
        <v>0</v>
      </c>
      <c r="P49" s="26" t="n">
        <v>0</v>
      </c>
      <c r="Q49" s="27" t="n">
        <v>0</v>
      </c>
      <c r="R49" s="28" t="n">
        <f aca="false">ROUND(L49*M49*Annahmen!$F$9+N49*O49*Annahmen!$F$12+P49*Q49*Annahmen!$F$15,-2)</f>
        <v>50900</v>
      </c>
      <c r="S49" s="29" t="n">
        <v>1</v>
      </c>
      <c r="T49" s="29" t="n">
        <v>0.15</v>
      </c>
      <c r="U49" s="30" t="n">
        <f aca="false">ROUND(R49*S49*T49,-2)</f>
        <v>7600</v>
      </c>
      <c r="V49" s="23"/>
      <c r="W49" s="31" t="s">
        <v>253</v>
      </c>
      <c r="X49" s="27"/>
      <c r="Y49" s="27" t="s">
        <v>97</v>
      </c>
      <c r="Z49" s="23" t="s">
        <v>159</v>
      </c>
      <c r="AA49" s="27"/>
      <c r="AB49" s="27"/>
      <c r="AC49" s="32"/>
      <c r="AD49" s="32"/>
      <c r="AE49" s="33" t="s">
        <v>99</v>
      </c>
      <c r="AF49" s="23"/>
    </row>
    <row r="50" customFormat="false" ht="51.75" hidden="false" customHeight="true" outlineLevel="0" collapsed="false">
      <c r="A50" s="21" t="n">
        <f aca="false">RANK(U50,$U$5:$U$56)+COUNTIF($U$5:U50,U50)-1</f>
        <v>46</v>
      </c>
      <c r="B50" s="22" t="str">
        <f aca="false">IF(U50&gt;=Annahmen!$B$24,"A",IF(U50&gt;=Annahmen!$B$25,"B","C"))</f>
        <v>C</v>
      </c>
      <c r="C50" s="23" t="s">
        <v>19</v>
      </c>
      <c r="D50" s="24" t="s">
        <v>423</v>
      </c>
      <c r="E50" s="23" t="s">
        <v>326</v>
      </c>
      <c r="F50" s="23" t="s">
        <v>165</v>
      </c>
      <c r="G50" s="21" t="s">
        <v>164</v>
      </c>
      <c r="H50" s="25" t="s">
        <v>165</v>
      </c>
      <c r="I50" s="21" t="s">
        <v>105</v>
      </c>
      <c r="J50" s="23" t="s">
        <v>424</v>
      </c>
      <c r="K50" s="23" t="s">
        <v>425</v>
      </c>
      <c r="L50" s="26" t="n">
        <v>2</v>
      </c>
      <c r="M50" s="27" t="n">
        <v>8</v>
      </c>
      <c r="N50" s="26" t="n">
        <v>0</v>
      </c>
      <c r="O50" s="27" t="n">
        <v>0</v>
      </c>
      <c r="P50" s="26" t="n">
        <v>0</v>
      </c>
      <c r="Q50" s="27" t="n">
        <v>0</v>
      </c>
      <c r="R50" s="28" t="n">
        <f aca="false">ROUND(L50*M50*Annahmen!$F$9+N50*O50*Annahmen!$F$12+P50*Q50*Annahmen!$F$15,-2)</f>
        <v>67800</v>
      </c>
      <c r="S50" s="29" t="n">
        <v>0.5</v>
      </c>
      <c r="T50" s="29" t="n">
        <v>0.2</v>
      </c>
      <c r="U50" s="30" t="n">
        <f aca="false">ROUND(R50*S50*T50,-2)</f>
        <v>6800</v>
      </c>
      <c r="V50" s="23"/>
      <c r="W50" s="31" t="s">
        <v>426</v>
      </c>
      <c r="X50" s="27"/>
      <c r="Y50" s="27" t="s">
        <v>97</v>
      </c>
      <c r="Z50" s="23" t="s">
        <v>159</v>
      </c>
      <c r="AA50" s="27"/>
      <c r="AB50" s="27"/>
      <c r="AC50" s="32"/>
      <c r="AD50" s="32"/>
      <c r="AE50" s="33" t="s">
        <v>99</v>
      </c>
      <c r="AF50" s="23" t="s">
        <v>224</v>
      </c>
    </row>
    <row r="51" customFormat="false" ht="51.75" hidden="false" customHeight="true" outlineLevel="0" collapsed="false">
      <c r="A51" s="21" t="n">
        <f aca="false">RANK(U51,$U$5:$U$56)+COUNTIF($U$5:U51,U51)-1</f>
        <v>47</v>
      </c>
      <c r="B51" s="22" t="str">
        <f aca="false">IF(U51&gt;=Annahmen!$B$24,"A",IF(U51&gt;=Annahmen!$B$25,"B","C"))</f>
        <v>C</v>
      </c>
      <c r="C51" s="23" t="s">
        <v>19</v>
      </c>
      <c r="D51" s="24" t="s">
        <v>427</v>
      </c>
      <c r="E51" s="23" t="s">
        <v>428</v>
      </c>
      <c r="F51" s="23" t="s">
        <v>429</v>
      </c>
      <c r="G51" s="21"/>
      <c r="H51" s="25" t="s">
        <v>124</v>
      </c>
      <c r="I51" s="21" t="s">
        <v>154</v>
      </c>
      <c r="J51" s="23" t="s">
        <v>430</v>
      </c>
      <c r="K51" s="23" t="s">
        <v>431</v>
      </c>
      <c r="L51" s="26" t="n">
        <v>1</v>
      </c>
      <c r="M51" s="27" t="n">
        <v>16</v>
      </c>
      <c r="N51" s="26" t="n">
        <v>0</v>
      </c>
      <c r="O51" s="27" t="n">
        <v>0</v>
      </c>
      <c r="P51" s="26" t="n">
        <v>0</v>
      </c>
      <c r="Q51" s="27" t="n">
        <v>0</v>
      </c>
      <c r="R51" s="28" t="n">
        <f aca="false">ROUND(L51*M51*Annahmen!$F$9+N51*O51*Annahmen!$F$12+P51*Q51*Annahmen!$F$15,-2)</f>
        <v>67800</v>
      </c>
      <c r="S51" s="29" t="n">
        <v>0.5</v>
      </c>
      <c r="T51" s="29" t="n">
        <v>0.2</v>
      </c>
      <c r="U51" s="30" t="n">
        <f aca="false">ROUND(R51*S51*T51,-2)</f>
        <v>6800</v>
      </c>
      <c r="V51" s="23"/>
      <c r="W51" s="31" t="s">
        <v>253</v>
      </c>
      <c r="X51" s="27"/>
      <c r="Y51" s="27" t="s">
        <v>97</v>
      </c>
      <c r="Z51" s="23" t="s">
        <v>159</v>
      </c>
      <c r="AA51" s="27"/>
      <c r="AB51" s="27"/>
      <c r="AC51" s="32"/>
      <c r="AD51" s="32"/>
      <c r="AE51" s="33" t="s">
        <v>99</v>
      </c>
      <c r="AF51" s="23"/>
    </row>
    <row r="52" customFormat="false" ht="51.75" hidden="false" customHeight="true" outlineLevel="0" collapsed="false">
      <c r="A52" s="21" t="n">
        <f aca="false">RANK(U52,$U$5:$U$56)+COUNTIF($U$5:U52,U52)-1</f>
        <v>48</v>
      </c>
      <c r="B52" s="22" t="str">
        <f aca="false">IF(U52&gt;=Annahmen!$B$24,"A",IF(U52&gt;=Annahmen!$B$25,"B","C"))</f>
        <v>C</v>
      </c>
      <c r="C52" s="23" t="s">
        <v>19</v>
      </c>
      <c r="D52" s="24" t="s">
        <v>432</v>
      </c>
      <c r="E52" s="23" t="s">
        <v>433</v>
      </c>
      <c r="F52" s="23" t="s">
        <v>434</v>
      </c>
      <c r="G52" s="21"/>
      <c r="H52" s="25" t="s">
        <v>114</v>
      </c>
      <c r="I52" s="21" t="s">
        <v>154</v>
      </c>
      <c r="J52" s="23" t="s">
        <v>435</v>
      </c>
      <c r="K52" s="23" t="s">
        <v>436</v>
      </c>
      <c r="L52" s="26" t="n">
        <v>2</v>
      </c>
      <c r="M52" s="27" t="n">
        <v>6</v>
      </c>
      <c r="N52" s="26" t="n">
        <v>0</v>
      </c>
      <c r="O52" s="27" t="n">
        <v>0</v>
      </c>
      <c r="P52" s="26" t="n">
        <v>0</v>
      </c>
      <c r="Q52" s="27" t="n">
        <v>0</v>
      </c>
      <c r="R52" s="28" t="n">
        <f aca="false">ROUND(L52*M52*Annahmen!$F$9+N52*O52*Annahmen!$F$12+P52*Q52*Annahmen!$F$15,-2)</f>
        <v>50900</v>
      </c>
      <c r="S52" s="29" t="n">
        <v>0.5</v>
      </c>
      <c r="T52" s="29" t="n">
        <v>0.2</v>
      </c>
      <c r="U52" s="30" t="n">
        <f aca="false">ROUND(R52*S52*T52,-2)</f>
        <v>5100</v>
      </c>
      <c r="V52" s="23"/>
      <c r="W52" s="31" t="s">
        <v>253</v>
      </c>
      <c r="X52" s="27"/>
      <c r="Y52" s="27" t="s">
        <v>97</v>
      </c>
      <c r="Z52" s="23" t="s">
        <v>159</v>
      </c>
      <c r="AA52" s="27"/>
      <c r="AB52" s="27"/>
      <c r="AC52" s="32"/>
      <c r="AD52" s="32"/>
      <c r="AE52" s="33" t="s">
        <v>99</v>
      </c>
      <c r="AF52" s="23"/>
    </row>
    <row r="53" customFormat="false" ht="51.75" hidden="false" customHeight="true" outlineLevel="0" collapsed="false">
      <c r="A53" s="21" t="n">
        <f aca="false">RANK(U53,$U$5:$U$56)+COUNTIF($U$5:U53,U53)-1</f>
        <v>49</v>
      </c>
      <c r="B53" s="22" t="str">
        <f aca="false">IF(U53&gt;=Annahmen!$B$24,"A",IF(U53&gt;=Annahmen!$B$25,"B","C"))</f>
        <v>C</v>
      </c>
      <c r="C53" s="23" t="s">
        <v>19</v>
      </c>
      <c r="D53" s="24" t="s">
        <v>437</v>
      </c>
      <c r="E53" s="23" t="s">
        <v>365</v>
      </c>
      <c r="F53" s="23" t="s">
        <v>438</v>
      </c>
      <c r="G53" s="21"/>
      <c r="H53" s="25" t="s">
        <v>144</v>
      </c>
      <c r="I53" s="21" t="s">
        <v>154</v>
      </c>
      <c r="J53" s="23" t="s">
        <v>439</v>
      </c>
      <c r="K53" s="23" t="s">
        <v>440</v>
      </c>
      <c r="L53" s="26" t="n">
        <v>1</v>
      </c>
      <c r="M53" s="27" t="n">
        <v>20</v>
      </c>
      <c r="N53" s="26" t="n">
        <v>0</v>
      </c>
      <c r="O53" s="27" t="n">
        <v>0</v>
      </c>
      <c r="P53" s="26" t="n">
        <v>0</v>
      </c>
      <c r="Q53" s="27" t="n">
        <v>0</v>
      </c>
      <c r="R53" s="28" t="n">
        <f aca="false">ROUND(L53*M53*Annahmen!$F$9+N53*O53*Annahmen!$F$12+P53*Q53*Annahmen!$F$15,-2)</f>
        <v>84800</v>
      </c>
      <c r="S53" s="29" t="n">
        <v>0.3</v>
      </c>
      <c r="T53" s="29" t="n">
        <v>0.1</v>
      </c>
      <c r="U53" s="30" t="n">
        <f aca="false">ROUND(R53*S53*T53,-2)</f>
        <v>2500</v>
      </c>
      <c r="V53" s="23"/>
      <c r="W53" s="31" t="s">
        <v>253</v>
      </c>
      <c r="X53" s="27"/>
      <c r="Y53" s="27" t="s">
        <v>97</v>
      </c>
      <c r="Z53" s="23" t="s">
        <v>159</v>
      </c>
      <c r="AA53" s="27"/>
      <c r="AB53" s="27"/>
      <c r="AC53" s="32"/>
      <c r="AD53" s="32"/>
      <c r="AE53" s="33" t="s">
        <v>99</v>
      </c>
      <c r="AF53" s="23"/>
    </row>
    <row r="54" customFormat="false" ht="51.75" hidden="false" customHeight="true" outlineLevel="0" collapsed="false">
      <c r="A54" s="21" t="n">
        <f aca="false">RANK(U54,$U$5:$U$56)+COUNTIF($U$5:U54,U54)-1</f>
        <v>50</v>
      </c>
      <c r="B54" s="22" t="str">
        <f aca="false">IF(U54&gt;=Annahmen!$B$24,"A",IF(U54&gt;=Annahmen!$B$25,"B","C"))</f>
        <v>C</v>
      </c>
      <c r="C54" s="23" t="s">
        <v>18</v>
      </c>
      <c r="D54" s="24" t="s">
        <v>441</v>
      </c>
      <c r="E54" s="23" t="s">
        <v>442</v>
      </c>
      <c r="F54" s="23" t="s">
        <v>443</v>
      </c>
      <c r="G54" s="21" t="s">
        <v>379</v>
      </c>
      <c r="H54" s="25" t="s">
        <v>250</v>
      </c>
      <c r="I54" s="21" t="s">
        <v>258</v>
      </c>
      <c r="J54" s="23" t="s">
        <v>444</v>
      </c>
      <c r="K54" s="23" t="s">
        <v>445</v>
      </c>
      <c r="L54" s="26" t="n">
        <v>0.5</v>
      </c>
      <c r="M54" s="27" t="n">
        <v>8</v>
      </c>
      <c r="N54" s="26" t="n">
        <v>0</v>
      </c>
      <c r="O54" s="27" t="n">
        <v>0</v>
      </c>
      <c r="P54" s="26" t="n">
        <v>0.5</v>
      </c>
      <c r="Q54" s="27" t="n">
        <v>3</v>
      </c>
      <c r="R54" s="28" t="n">
        <f aca="false">ROUND(L54*M54*Annahmen!$F$9+N54*O54*Annahmen!$F$12+P54*Q54*Annahmen!$F$15,-2)</f>
        <v>54200</v>
      </c>
      <c r="S54" s="29" t="n">
        <v>0.3</v>
      </c>
      <c r="T54" s="29" t="n">
        <v>0.15</v>
      </c>
      <c r="U54" s="30" t="n">
        <f aca="false">ROUND(R54*S54*T54,-2)</f>
        <v>2400</v>
      </c>
      <c r="V54" s="23" t="s">
        <v>222</v>
      </c>
      <c r="W54" s="31" t="s">
        <v>446</v>
      </c>
      <c r="X54" s="27"/>
      <c r="Y54" s="27" t="s">
        <v>97</v>
      </c>
      <c r="Z54" s="23" t="s">
        <v>98</v>
      </c>
      <c r="AA54" s="27"/>
      <c r="AB54" s="27"/>
      <c r="AC54" s="32"/>
      <c r="AD54" s="32"/>
      <c r="AE54" s="33" t="s">
        <v>99</v>
      </c>
      <c r="AF54" s="23"/>
    </row>
    <row r="55" customFormat="false" ht="51.75" hidden="false" customHeight="true" outlineLevel="0" collapsed="false">
      <c r="A55" s="21" t="n">
        <f aca="false">RANK(U55,$U$5:$U$56)+COUNTIF($U$5:U55,U55)-1</f>
        <v>51</v>
      </c>
      <c r="B55" s="22" t="str">
        <f aca="false">IF(U55&gt;=Annahmen!$B$24,"A",IF(U55&gt;=Annahmen!$B$25,"B","C"))</f>
        <v>C</v>
      </c>
      <c r="C55" s="23" t="s">
        <v>19</v>
      </c>
      <c r="D55" s="24" t="s">
        <v>447</v>
      </c>
      <c r="E55" s="23" t="s">
        <v>365</v>
      </c>
      <c r="F55" s="23" t="s">
        <v>448</v>
      </c>
      <c r="G55" s="21" t="s">
        <v>143</v>
      </c>
      <c r="H55" s="25" t="s">
        <v>144</v>
      </c>
      <c r="I55" s="21" t="s">
        <v>105</v>
      </c>
      <c r="J55" s="23" t="s">
        <v>449</v>
      </c>
      <c r="K55" s="23" t="s">
        <v>450</v>
      </c>
      <c r="L55" s="26" t="n">
        <v>1</v>
      </c>
      <c r="M55" s="27" t="n">
        <v>12</v>
      </c>
      <c r="N55" s="26" t="n">
        <v>0</v>
      </c>
      <c r="O55" s="27" t="n">
        <v>0</v>
      </c>
      <c r="P55" s="26" t="n">
        <v>0</v>
      </c>
      <c r="Q55" s="27" t="n">
        <v>0</v>
      </c>
      <c r="R55" s="28" t="n">
        <f aca="false">ROUND(L55*M55*Annahmen!$F$9+N55*O55*Annahmen!$F$12+P55*Q55*Annahmen!$F$15,-2)</f>
        <v>50900</v>
      </c>
      <c r="S55" s="29" t="n">
        <v>0.3</v>
      </c>
      <c r="T55" s="29" t="n">
        <v>0.15</v>
      </c>
      <c r="U55" s="30" t="n">
        <f aca="false">ROUND(R55*S55*T55,-2)</f>
        <v>2300</v>
      </c>
      <c r="V55" s="23"/>
      <c r="W55" s="31" t="s">
        <v>451</v>
      </c>
      <c r="X55" s="27"/>
      <c r="Y55" s="27" t="s">
        <v>97</v>
      </c>
      <c r="Z55" s="23" t="s">
        <v>159</v>
      </c>
      <c r="AA55" s="27"/>
      <c r="AB55" s="27"/>
      <c r="AC55" s="32"/>
      <c r="AD55" s="32"/>
      <c r="AE55" s="33" t="s">
        <v>99</v>
      </c>
      <c r="AF55" s="23"/>
    </row>
    <row r="56" customFormat="false" ht="51.75" hidden="false" customHeight="true" outlineLevel="0" collapsed="false">
      <c r="A56" s="21" t="n">
        <f aca="false">RANK(U56,$U$5:$U$56)+COUNTIF($U$5:U56,U56)-1</f>
        <v>52</v>
      </c>
      <c r="B56" s="22" t="str">
        <f aca="false">IF(U56&gt;=Annahmen!$B$24,"A",IF(U56&gt;=Annahmen!$B$25,"B","C"))</f>
        <v>C</v>
      </c>
      <c r="C56" s="23" t="s">
        <v>22</v>
      </c>
      <c r="D56" s="24" t="s">
        <v>452</v>
      </c>
      <c r="E56" s="23" t="s">
        <v>453</v>
      </c>
      <c r="F56" s="23" t="s">
        <v>454</v>
      </c>
      <c r="G56" s="21" t="s">
        <v>143</v>
      </c>
      <c r="H56" s="25" t="s">
        <v>144</v>
      </c>
      <c r="I56" s="21" t="s">
        <v>105</v>
      </c>
      <c r="J56" s="23" t="s">
        <v>455</v>
      </c>
      <c r="K56" s="23" t="s">
        <v>456</v>
      </c>
      <c r="L56" s="26" t="n">
        <v>4</v>
      </c>
      <c r="M56" s="27" t="n">
        <v>4</v>
      </c>
      <c r="N56" s="26" t="n">
        <v>0</v>
      </c>
      <c r="O56" s="27" t="n">
        <v>0</v>
      </c>
      <c r="P56" s="26" t="n">
        <v>1</v>
      </c>
      <c r="Q56" s="27" t="n">
        <v>1</v>
      </c>
      <c r="R56" s="28" t="n">
        <f aca="false">ROUND(L56*M56*Annahmen!$F$9+N56*O56*Annahmen!$F$12+P56*Q56*Annahmen!$F$15,-2)</f>
        <v>92700</v>
      </c>
      <c r="S56" s="29" t="n">
        <v>0</v>
      </c>
      <c r="T56" s="29" t="n">
        <v>0.2</v>
      </c>
      <c r="U56" s="30" t="n">
        <f aca="false">ROUND(R56*S56*T56,-2)</f>
        <v>0</v>
      </c>
      <c r="V56" s="23" t="s">
        <v>280</v>
      </c>
      <c r="W56" s="31" t="s">
        <v>457</v>
      </c>
      <c r="X56" s="27"/>
      <c r="Y56" s="27" t="s">
        <v>97</v>
      </c>
      <c r="Z56" s="23" t="s">
        <v>282</v>
      </c>
      <c r="AA56" s="27"/>
      <c r="AB56" s="27"/>
      <c r="AC56" s="32"/>
      <c r="AD56" s="32"/>
      <c r="AE56" s="33" t="s">
        <v>99</v>
      </c>
      <c r="AF56" s="23" t="s">
        <v>458</v>
      </c>
    </row>
  </sheetData>
  <conditionalFormatting sqref="B5:B56">
    <cfRule type="cellIs" priority="2" operator="equal" aboveAverage="0" equalAverage="0" bottom="0" percent="0" rank="0" text="" dxfId="8">
      <formula>"A"</formula>
    </cfRule>
    <cfRule type="cellIs" priority="3" operator="equal" aboveAverage="0" equalAverage="0" bottom="0" percent="0" rank="0" text="" dxfId="9">
      <formula>"B"</formula>
    </cfRule>
    <cfRule type="cellIs" priority="4" operator="equal" aboveAverage="0" equalAverage="0" bottom="0" percent="0" rank="0" text="" dxfId="10">
      <formula>"C"</formula>
    </cfRule>
  </conditionalFormatting>
  <conditionalFormatting sqref="R5:R56">
    <cfRule type="cellIs" priority="5" operator="lessThan" aboveAverage="0" equalAverage="0" bottom="0" percent="0" rank="0" text="" dxfId="11">
      <formula>Annahmen!$B$26</formula>
    </cfRule>
    <cfRule type="dataBar" priority="6">
      <dataBar showValue="1" minLength="10" maxLength="90">
        <cfvo type="min" val="0"/>
        <cfvo type="max" val="0"/>
        <color rgb="FFF4A6B8"/>
      </dataBar>
      <extLst>
        <ext xmlns:x14="http://schemas.microsoft.com/office/spreadsheetml/2009/9/main" uri="{B025F937-C7B1-47D3-B67F-A62EFF666E3E}">
          <x14:id>{A0E88A30-D1B0-4299-82A1-EFB22BEB5AAE}</x14:id>
        </ext>
      </extLst>
    </cfRule>
  </conditionalFormatting>
  <conditionalFormatting sqref="U5:U56">
    <cfRule type="dataBar" priority="7">
      <dataBar showValue="1" minLength="10" maxLength="90">
        <cfvo type="min" val="0"/>
        <cfvo type="max" val="0"/>
        <color rgb="FFF4A6B8"/>
      </dataBar>
      <extLst>
        <ext xmlns:x14="http://schemas.microsoft.com/office/spreadsheetml/2009/9/main" uri="{B025F937-C7B1-47D3-B67F-A62EFF666E3E}">
          <x14:id>{A4EB5EB0-DEE0-4F59-B710-4283DBDE8230}</x14:id>
        </ext>
      </extLst>
    </cfRule>
  </conditionalFormatting>
  <dataValidations count="4">
    <dataValidation allowBlank="true" errorStyle="stop" operator="between" showDropDown="false" showErrorMessage="false" showInputMessage="false" sqref="C5:C106" type="list">
      <formula1>Listen!$A$2:$A$8</formula1>
      <formula2>0</formula2>
    </dataValidation>
    <dataValidation allowBlank="true" errorStyle="stop" operator="between" showDropDown="false" showErrorMessage="false" showInputMessage="false" sqref="X5:X106" type="list">
      <formula1>Listen!$B$2:$B$5</formula1>
      <formula2>0</formula2>
    </dataValidation>
    <dataValidation allowBlank="true" errorStyle="stop" operator="between" showDropDown="false" showErrorMessage="false" showInputMessage="false" sqref="Y5:Y106" type="list">
      <formula1>Listen!$C$2:$C$6</formula1>
      <formula2>0</formula2>
    </dataValidation>
    <dataValidation allowBlank="true" error="Wert zwischen 0 % und 100 %" errorStyle="stop" operator="between" showDropDown="false" showErrorMessage="false" showInputMessage="false" sqref="S5:T106" type="decimal">
      <formula1>0</formula1>
      <formula2>1</formula2>
    </dataValidation>
  </dataValidations>
  <hyperlinks>
    <hyperlink ref="AE5" r:id="rId1" display="Link"/>
    <hyperlink ref="AE6" r:id="rId2" display="Link"/>
    <hyperlink ref="AE7" r:id="rId3" display="Link"/>
    <hyperlink ref="AE8" r:id="rId4" display="Link"/>
    <hyperlink ref="AE9" r:id="rId5" display="Link"/>
    <hyperlink ref="AE10" r:id="rId6" display="Link"/>
    <hyperlink ref="AE11" r:id="rId7" display="Link"/>
    <hyperlink ref="AE12" r:id="rId8" display="Link"/>
    <hyperlink ref="AE13" r:id="rId9" display="Link"/>
    <hyperlink ref="AE14" r:id="rId10" display="Link"/>
    <hyperlink ref="AE15" r:id="rId11" display="Link"/>
    <hyperlink ref="AE16" r:id="rId12" display="Link"/>
    <hyperlink ref="AE17" r:id="rId13" display="Link"/>
    <hyperlink ref="AE18" r:id="rId14" display="Link"/>
    <hyperlink ref="AE19" r:id="rId15" display="Link"/>
    <hyperlink ref="AE20" r:id="rId16" display="Link"/>
    <hyperlink ref="AE21" r:id="rId17" display="Link"/>
    <hyperlink ref="AE22" r:id="rId18" display="Link"/>
    <hyperlink ref="AE23" r:id="rId19" display="Link"/>
    <hyperlink ref="AE24" r:id="rId20" display="Link"/>
    <hyperlink ref="AE25" r:id="rId21" display="Link"/>
    <hyperlink ref="AE26" r:id="rId22" display="Link"/>
    <hyperlink ref="AE27" r:id="rId23" display="Link"/>
    <hyperlink ref="AE28" r:id="rId24" display="Link"/>
    <hyperlink ref="AE29" r:id="rId25" display="Link"/>
    <hyperlink ref="AE30" r:id="rId26" display="Link"/>
    <hyperlink ref="AE31" r:id="rId27" display="Link"/>
    <hyperlink ref="AE32" r:id="rId28" display="Link"/>
    <hyperlink ref="AE33" r:id="rId29" display="Link"/>
    <hyperlink ref="AE34" r:id="rId30" display="Link"/>
    <hyperlink ref="AE35" r:id="rId31" display="Link"/>
    <hyperlink ref="AE36" r:id="rId32" display="Link"/>
    <hyperlink ref="AE37" r:id="rId33" display="Link"/>
    <hyperlink ref="AE38" r:id="rId34" display="Link"/>
    <hyperlink ref="AE39" r:id="rId35" display="Link"/>
    <hyperlink ref="AE40" r:id="rId36" display="Link"/>
    <hyperlink ref="AE41" r:id="rId37" display="Link"/>
    <hyperlink ref="AE42" r:id="rId38" display="Link"/>
    <hyperlink ref="AE43" r:id="rId39" display="Link"/>
    <hyperlink ref="AE44" r:id="rId40" display="Link"/>
    <hyperlink ref="AE45" r:id="rId41" display="Link"/>
    <hyperlink ref="AE46" r:id="rId42" display="Link"/>
    <hyperlink ref="AE47" r:id="rId43" display="Link"/>
    <hyperlink ref="AE48" r:id="rId44" display="Link"/>
    <hyperlink ref="AE49" r:id="rId45" display="Link"/>
    <hyperlink ref="AE50" r:id="rId46" display="Link"/>
    <hyperlink ref="AE51" r:id="rId47" display="Link"/>
    <hyperlink ref="AE52" r:id="rId48" display="Link"/>
    <hyperlink ref="AE53" r:id="rId49" display="Link"/>
    <hyperlink ref="AE54" r:id="rId50" display="Link"/>
    <hyperlink ref="AE55" r:id="rId51" display="Link"/>
    <hyperlink ref="AE56" r:id="rId52"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53"/>
  </tableParts>
  <extLst>
    <ext xmlns:x14="http://schemas.microsoft.com/office/spreadsheetml/2009/9/main" uri="{78C0D931-6437-407d-A8EE-F0AAD7539E65}">
      <x14:conditionalFormattings>
        <x14:conditionalFormatting xmlns:xm="http://schemas.microsoft.com/office/excel/2006/main">
          <x14:cfRule type="dataBar" id="{A0E88A30-D1B0-4299-82A1-EFB22BEB5AAE}">
            <x14:dataBar minLength="10" maxLength="90" axisPosition="none" gradient="true">
              <x14:cfvo type="min"/>
              <x14:cfvo type="max"/>
              <x14:negativeFillColor rgb="FFF4A6B8"/>
              <x14:axisColor rgb="FF000000"/>
            </x14:dataBar>
          </x14:cfRule>
          <xm:sqref>R5:R56</xm:sqref>
        </x14:conditionalFormatting>
        <x14:conditionalFormatting xmlns:xm="http://schemas.microsoft.com/office/excel/2006/main">
          <x14:cfRule type="dataBar" id="{A4EB5EB0-DEE0-4F59-B710-4283DBDE8230}">
            <x14:dataBar minLength="10" maxLength="90" axisPosition="none" gradient="true">
              <x14:cfvo type="min"/>
              <x14:cfvo type="max"/>
              <x14:negativeFillColor rgb="FFF4A6B8"/>
              <x14:axisColor rgb="FF000000"/>
            </x14:dataBar>
          </x14:cfRule>
          <xm:sqref>U5:U56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3" min="2" style="0" width="11"/>
    <col collapsed="false" customWidth="true" hidden="false" outlineLevel="0" max="4" min="4" style="0" width="58"/>
    <col collapsed="false" customWidth="true" hidden="false" outlineLevel="0" max="5" min="5" style="0" width="34"/>
    <col collapsed="false" customWidth="true" hidden="false" outlineLevel="0" max="6" min="6" style="0" width="14"/>
    <col collapsed="false" customWidth="true" hidden="false" outlineLevel="0" max="7" min="7" style="0" width="13"/>
    <col collapsed="false" customWidth="true" hidden="false" outlineLevel="0" max="8" min="8" style="0" width="12"/>
    <col collapsed="false" customWidth="true" hidden="false" outlineLevel="0" max="9" min="9" style="0" width="36"/>
  </cols>
  <sheetData>
    <row r="1" customFormat="false" ht="22.05" hidden="false" customHeight="false" outlineLevel="0" collapsed="false">
      <c r="A1" s="1" t="s">
        <v>459</v>
      </c>
    </row>
    <row r="2" customFormat="false" ht="15" hidden="false" customHeight="false" outlineLevel="0" collapsed="false">
      <c r="A2" s="2" t="s">
        <v>460</v>
      </c>
    </row>
    <row r="4" customFormat="false" ht="31.5" hidden="false" customHeight="true" outlineLevel="0" collapsed="false">
      <c r="A4" s="10" t="s">
        <v>461</v>
      </c>
      <c r="B4" s="10" t="s">
        <v>462</v>
      </c>
      <c r="C4" s="10" t="s">
        <v>463</v>
      </c>
      <c r="D4" s="10" t="s">
        <v>464</v>
      </c>
      <c r="E4" s="10" t="s">
        <v>27</v>
      </c>
      <c r="F4" s="10" t="s">
        <v>10</v>
      </c>
      <c r="G4" s="10" t="s">
        <v>78</v>
      </c>
      <c r="H4" s="10" t="s">
        <v>465</v>
      </c>
      <c r="I4" s="10" t="s">
        <v>466</v>
      </c>
    </row>
    <row r="5" customFormat="false" ht="31.5" hidden="false" customHeight="true" outlineLevel="0" collapsed="false">
      <c r="A5" s="34" t="n">
        <v>1</v>
      </c>
      <c r="B5" s="34" t="s">
        <v>467</v>
      </c>
      <c r="C5" s="35" t="n">
        <v>46311</v>
      </c>
      <c r="D5" s="34" t="s">
        <v>468</v>
      </c>
      <c r="E5" s="36" t="s">
        <v>120</v>
      </c>
      <c r="F5" s="37" t="n">
        <f aca="false">IFERROR(INDEX('Top-Player'!$U$5:$U$56,MATCH("STACK ZUR02 Beringen",'Top-Player'!$D$5:$D$56,0)),0)</f>
        <v>37000</v>
      </c>
      <c r="G5" s="38"/>
      <c r="H5" s="38" t="s">
        <v>54</v>
      </c>
      <c r="I5" s="38"/>
    </row>
    <row r="6" customFormat="false" ht="31.5" hidden="false" customHeight="true" outlineLevel="0" collapsed="false">
      <c r="A6" s="34" t="n">
        <v>2</v>
      </c>
      <c r="B6" s="34" t="s">
        <v>467</v>
      </c>
      <c r="C6" s="35" t="n">
        <v>46311</v>
      </c>
      <c r="D6" s="34" t="s">
        <v>469</v>
      </c>
      <c r="E6" s="36" t="s">
        <v>330</v>
      </c>
      <c r="F6" s="37" t="n">
        <f aca="false">IFERROR(INDEX('Top-Player'!$U$5:$U$56,MATCH("Green Zürich West 4 Lupfig",'Top-Player'!$D$5:$D$56,0)),0)</f>
        <v>12100</v>
      </c>
      <c r="G6" s="38"/>
      <c r="H6" s="38" t="s">
        <v>54</v>
      </c>
      <c r="I6" s="38"/>
    </row>
    <row r="7" customFormat="false" ht="31.5" hidden="false" customHeight="true" outlineLevel="0" collapsed="false">
      <c r="A7" s="34" t="n">
        <v>3</v>
      </c>
      <c r="B7" s="34" t="s">
        <v>467</v>
      </c>
      <c r="C7" s="35" t="n">
        <v>46318</v>
      </c>
      <c r="D7" s="34" t="s">
        <v>470</v>
      </c>
      <c r="E7" s="36" t="s">
        <v>110</v>
      </c>
      <c r="F7" s="37" t="n">
        <f aca="false">IFERROR(INDEX('Top-Player'!$U$5:$U$56,MATCH("Kantonsspital Aarau «Dreiklang»",'Top-Player'!$D$5:$D$56,0)),0)</f>
        <v>38000</v>
      </c>
      <c r="G7" s="38"/>
      <c r="H7" s="38" t="s">
        <v>54</v>
      </c>
      <c r="I7" s="38"/>
    </row>
    <row r="8" customFormat="false" ht="31.5" hidden="false" customHeight="true" outlineLevel="0" collapsed="false">
      <c r="A8" s="34" t="n">
        <v>4</v>
      </c>
      <c r="B8" s="34" t="s">
        <v>467</v>
      </c>
      <c r="C8" s="35" t="n">
        <v>46318</v>
      </c>
      <c r="D8" s="34" t="s">
        <v>471</v>
      </c>
      <c r="E8" s="36" t="s">
        <v>316</v>
      </c>
      <c r="F8" s="37" t="n">
        <f aca="false">IFERROR(INDEX('Top-Player'!$U$5:$U$56,MATCH("FIS Ski-WM Crans-Montana 2027",'Top-Player'!$D$5:$D$56,0)),0)</f>
        <v>12700</v>
      </c>
      <c r="G8" s="38"/>
      <c r="H8" s="38" t="s">
        <v>54</v>
      </c>
      <c r="I8" s="38"/>
    </row>
    <row r="9" customFormat="false" ht="31.5" hidden="false" customHeight="true" outlineLevel="0" collapsed="false">
      <c r="A9" s="34" t="n">
        <v>5</v>
      </c>
      <c r="B9" s="34" t="s">
        <v>467</v>
      </c>
      <c r="C9" s="35" t="n">
        <v>46325</v>
      </c>
      <c r="D9" s="34" t="s">
        <v>472</v>
      </c>
      <c r="E9" s="36" t="s">
        <v>473</v>
      </c>
      <c r="F9" s="37" t="n">
        <f aca="false">IFERROR(INDEX('Top-Player'!$U$5:$U$56,MATCH("NorthC Arlesheim (uptownBasel)",'Top-Player'!$D$5:$D$56,0)),0)+IFERROR(INDEX('Top-Player'!$U$5:$U$56,MATCH("NorthC Genf «The Hive»",'Top-Player'!$D$5:$D$56,0)),0)</f>
        <v>37100</v>
      </c>
      <c r="G9" s="38"/>
      <c r="H9" s="38" t="s">
        <v>54</v>
      </c>
      <c r="I9" s="38"/>
    </row>
    <row r="10" customFormat="false" ht="31.5" hidden="false" customHeight="true" outlineLevel="0" collapsed="false">
      <c r="A10" s="34" t="n">
        <v>6</v>
      </c>
      <c r="B10" s="34" t="s">
        <v>474</v>
      </c>
      <c r="C10" s="35" t="n">
        <v>46339</v>
      </c>
      <c r="D10" s="34" t="s">
        <v>475</v>
      </c>
      <c r="E10" s="36" t="s">
        <v>180</v>
      </c>
      <c r="F10" s="37" t="n">
        <f aca="false">IFERROR(INDEX('Top-Player'!$U$5:$U$56,MATCH("Burkhalter Gruppe (Rahmen)",'Top-Player'!$D$5:$D$56,0)),0)</f>
        <v>25400</v>
      </c>
      <c r="G10" s="38"/>
      <c r="H10" s="38" t="s">
        <v>54</v>
      </c>
      <c r="I10" s="38"/>
    </row>
    <row r="11" customFormat="false" ht="31.5" hidden="false" customHeight="true" outlineLevel="0" collapsed="false">
      <c r="A11" s="34" t="n">
        <v>7</v>
      </c>
      <c r="B11" s="34" t="s">
        <v>474</v>
      </c>
      <c r="C11" s="35" t="n">
        <v>46339</v>
      </c>
      <c r="D11" s="34" t="s">
        <v>476</v>
      </c>
      <c r="E11" s="36" t="s">
        <v>172</v>
      </c>
      <c r="F11" s="37" t="n">
        <f aca="false">IFERROR(INDEX('Top-Player'!$U$5:$U$56,MATCH("ETAVIS",'Top-Player'!$D$5:$D$56,0)),0)+IFERROR(INDEX('Top-Player'!$U$5:$U$56,MATCH("VINCI Energies (Rahmen)",'Top-Player'!$D$5:$D$56,0)),0)</f>
        <v>0</v>
      </c>
      <c r="G11" s="38"/>
      <c r="H11" s="38" t="s">
        <v>54</v>
      </c>
      <c r="I11" s="38"/>
    </row>
    <row r="12" customFormat="false" ht="31.5" hidden="false" customHeight="true" outlineLevel="0" collapsed="false">
      <c r="A12" s="34" t="n">
        <v>8</v>
      </c>
      <c r="B12" s="34" t="s">
        <v>474</v>
      </c>
      <c r="C12" s="35" t="n">
        <v>46346</v>
      </c>
      <c r="D12" s="34" t="s">
        <v>477</v>
      </c>
      <c r="E12" s="36" t="s">
        <v>203</v>
      </c>
      <c r="F12" s="37" t="n">
        <f aca="false">IFERROR(INDEX('Top-Player'!$U$5:$U$56,MATCH("Equans Switzerland (Rahmen)",'Top-Player'!$D$5:$D$56,0)),0)</f>
        <v>22800</v>
      </c>
      <c r="G12" s="38"/>
      <c r="H12" s="38" t="s">
        <v>54</v>
      </c>
      <c r="I12" s="38"/>
    </row>
    <row r="13" customFormat="false" ht="31.5" hidden="false" customHeight="true" outlineLevel="0" collapsed="false">
      <c r="A13" s="34" t="n">
        <v>9</v>
      </c>
      <c r="B13" s="34" t="s">
        <v>474</v>
      </c>
      <c r="C13" s="35" t="n">
        <v>46346</v>
      </c>
      <c r="D13" s="34" t="s">
        <v>478</v>
      </c>
      <c r="E13" s="36" t="s">
        <v>351</v>
      </c>
      <c r="F13" s="37" t="n">
        <f aca="false">IFERROR(INDEX('Top-Player'!$U$5:$U$56,MATCH("WEF Annual Meeting 2027",'Top-Player'!$D$5:$D$56,0)),0)</f>
        <v>11400</v>
      </c>
      <c r="G13" s="38"/>
      <c r="H13" s="38" t="s">
        <v>54</v>
      </c>
      <c r="I13" s="38"/>
    </row>
    <row r="14" customFormat="false" ht="31.5" hidden="false" customHeight="true" outlineLevel="0" collapsed="false">
      <c r="A14" s="34" t="n">
        <v>10</v>
      </c>
      <c r="B14" s="34" t="s">
        <v>474</v>
      </c>
      <c r="C14" s="35" t="n">
        <v>46353</v>
      </c>
      <c r="D14" s="34" t="s">
        <v>479</v>
      </c>
      <c r="E14" s="36" t="s">
        <v>210</v>
      </c>
      <c r="F14" s="37" t="n">
        <f aca="false">IFERROR(INDEX('Top-Player'!$U$5:$U$56,MATCH("Digital Realty ZUR4 Glattbrugg",'Top-Player'!$D$5:$D$56,0)),0)</f>
        <v>20400</v>
      </c>
      <c r="G14" s="38"/>
      <c r="H14" s="38" t="s">
        <v>54</v>
      </c>
      <c r="I14" s="38"/>
    </row>
    <row r="15" customFormat="false" ht="31.5" hidden="false" customHeight="true" outlineLevel="0" collapsed="false">
      <c r="A15" s="34" t="n">
        <v>11</v>
      </c>
      <c r="B15" s="34" t="s">
        <v>480</v>
      </c>
      <c r="C15" s="35" t="n">
        <v>46360</v>
      </c>
      <c r="D15" s="34" t="s">
        <v>481</v>
      </c>
      <c r="E15" s="36" t="s">
        <v>482</v>
      </c>
      <c r="F15" s="37"/>
      <c r="G15" s="38"/>
      <c r="H15" s="38" t="s">
        <v>54</v>
      </c>
      <c r="I15" s="38"/>
    </row>
    <row r="16" customFormat="false" ht="31.5" hidden="false" customHeight="true" outlineLevel="0" collapsed="false">
      <c r="A16" s="34" t="n">
        <v>12</v>
      </c>
      <c r="B16" s="34" t="s">
        <v>480</v>
      </c>
      <c r="C16" s="35" t="n">
        <v>46367</v>
      </c>
      <c r="D16" s="34" t="s">
        <v>483</v>
      </c>
      <c r="E16" s="36" t="s">
        <v>482</v>
      </c>
      <c r="F16" s="37"/>
      <c r="G16" s="38"/>
      <c r="H16" s="38" t="s">
        <v>54</v>
      </c>
      <c r="I16" s="38"/>
    </row>
    <row r="17" customFormat="false" ht="31.5" hidden="false" customHeight="true" outlineLevel="0" collapsed="false">
      <c r="A17" s="34" t="n">
        <v>13</v>
      </c>
      <c r="B17" s="34" t="s">
        <v>480</v>
      </c>
      <c r="C17" s="35" t="n">
        <v>46374</v>
      </c>
      <c r="D17" s="34" t="s">
        <v>484</v>
      </c>
      <c r="E17" s="36" t="s">
        <v>485</v>
      </c>
      <c r="F17" s="37" t="n">
        <f aca="false">IFERROR(INDEX('Top-Player'!$U$5:$U$56,MATCH("2. Gotthardröhre",'Top-Player'!$D$5:$D$56,0)),0)+IFERROR(INDEX('Top-Player'!$U$5:$U$56,MATCH("Sisikoner Tunnel (Neue Axenstrasse)",'Top-Player'!$D$5:$D$56,0)),0)</f>
        <v>132200</v>
      </c>
      <c r="G17" s="38"/>
      <c r="H17" s="38" t="s">
        <v>54</v>
      </c>
      <c r="I17" s="38"/>
    </row>
    <row r="18" customFormat="false" ht="31.5" hidden="false" customHeight="true" outlineLevel="0" collapsed="false">
      <c r="A18" s="34" t="n">
        <v>14</v>
      </c>
      <c r="B18" s="34" t="s">
        <v>486</v>
      </c>
      <c r="C18" s="35" t="n">
        <v>46402</v>
      </c>
      <c r="D18" s="34" t="s">
        <v>487</v>
      </c>
      <c r="E18" s="36" t="s">
        <v>482</v>
      </c>
      <c r="F18" s="37"/>
      <c r="G18" s="38"/>
      <c r="H18" s="38" t="s">
        <v>54</v>
      </c>
      <c r="I18" s="38"/>
    </row>
    <row r="19" customFormat="false" ht="31.5" hidden="false" customHeight="true" outlineLevel="0" collapsed="false">
      <c r="A19" s="34" t="n">
        <v>15</v>
      </c>
      <c r="B19" s="34" t="s">
        <v>486</v>
      </c>
      <c r="C19" s="35" t="n">
        <v>46409</v>
      </c>
      <c r="D19" s="34" t="s">
        <v>488</v>
      </c>
      <c r="E19" s="36" t="s">
        <v>161</v>
      </c>
      <c r="F19" s="37" t="n">
        <f aca="false">IFERROR(INDEX('Top-Player'!$U$5:$U$56,MATCH("Vantage ZRH3 Volketswil",'Top-Player'!$D$5:$D$56,0)),0)</f>
        <v>28000</v>
      </c>
      <c r="G19" s="38"/>
      <c r="H19" s="38" t="s">
        <v>54</v>
      </c>
      <c r="I19" s="38"/>
    </row>
    <row r="20" customFormat="false" ht="31.5" hidden="false" customHeight="true" outlineLevel="0" collapsed="false">
      <c r="A20" s="34" t="n">
        <v>16</v>
      </c>
      <c r="B20" s="34" t="s">
        <v>467</v>
      </c>
      <c r="C20" s="35" t="n">
        <v>46304</v>
      </c>
      <c r="D20" s="34" t="s">
        <v>489</v>
      </c>
      <c r="E20" s="36" t="s">
        <v>388</v>
      </c>
      <c r="F20" s="37" t="n">
        <f aca="false">IFERROR(INDEX('Top-Player'!$U$5:$U$56,MATCH("Paket Märkte, Messen, Fasnacht, Zirkus",'Top-Player'!$D$5:$D$56,0)),0)</f>
        <v>9800</v>
      </c>
      <c r="G20" s="38"/>
      <c r="H20" s="38" t="s">
        <v>54</v>
      </c>
      <c r="I20" s="38"/>
    </row>
    <row r="21" customFormat="false" ht="31.5" hidden="false" customHeight="true" outlineLevel="0" collapsed="false">
      <c r="A21" s="34" t="n">
        <v>17</v>
      </c>
      <c r="B21" s="34" t="s">
        <v>467</v>
      </c>
      <c r="C21" s="35" t="n">
        <v>46311</v>
      </c>
      <c r="D21" s="34" t="s">
        <v>490</v>
      </c>
      <c r="E21" s="36" t="s">
        <v>291</v>
      </c>
      <c r="F21" s="37" t="n">
        <f aca="false">IFERROR(INDEX('Top-Player'!$U$5:$U$56,MATCH("UW Laax (Gesamterneuerung)",'Top-Player'!$D$5:$D$56,0)),0)</f>
        <v>13600</v>
      </c>
      <c r="G21" s="38"/>
      <c r="H21" s="38" t="s">
        <v>54</v>
      </c>
      <c r="I21" s="38"/>
    </row>
    <row r="22" customFormat="false" ht="31.5" hidden="false" customHeight="true" outlineLevel="0" collapsed="false">
      <c r="A22" s="34" t="n">
        <v>18</v>
      </c>
      <c r="B22" s="34" t="s">
        <v>467</v>
      </c>
      <c r="C22" s="35" t="n">
        <v>46318</v>
      </c>
      <c r="D22" s="34" t="s">
        <v>491</v>
      </c>
      <c r="E22" s="36" t="s">
        <v>482</v>
      </c>
      <c r="F22" s="37"/>
      <c r="G22" s="38"/>
      <c r="H22" s="38" t="s">
        <v>54</v>
      </c>
      <c r="I22" s="38"/>
    </row>
    <row r="23" customFormat="false" ht="31.5" hidden="false" customHeight="true" outlineLevel="0" collapsed="false">
      <c r="A23" s="34" t="n">
        <v>19</v>
      </c>
      <c r="B23" s="34" t="s">
        <v>474</v>
      </c>
      <c r="C23" s="35" t="n">
        <v>46332</v>
      </c>
      <c r="D23" s="34" t="s">
        <v>492</v>
      </c>
      <c r="E23" s="36" t="s">
        <v>247</v>
      </c>
      <c r="F23" s="37" t="n">
        <f aca="false">IFERROR(INDEX('Top-Player'!$U$5:$U$56,MATCH("Poste Galmiz (Neubau, Verkabelung 125 kV)",'Top-Player'!$D$5:$D$56,0)),0)</f>
        <v>17000</v>
      </c>
      <c r="G23" s="38"/>
      <c r="H23" s="38" t="s">
        <v>54</v>
      </c>
      <c r="I23" s="38"/>
    </row>
    <row r="24" customFormat="false" ht="31.5" hidden="false" customHeight="true" outlineLevel="0" collapsed="false">
      <c r="A24" s="34" t="n">
        <v>20</v>
      </c>
      <c r="B24" s="34" t="s">
        <v>474</v>
      </c>
      <c r="C24" s="35" t="n">
        <v>46339</v>
      </c>
      <c r="D24" s="34" t="s">
        <v>493</v>
      </c>
      <c r="E24" s="36" t="s">
        <v>359</v>
      </c>
      <c r="F24" s="37" t="n">
        <f aca="false">IFERROR(INDEX('Top-Player'!$U$5:$U$56,MATCH("Reservekraftwerk Sisslerfeld 1 und Stein (HVO)",'Top-Player'!$D$5:$D$56,0)),0)</f>
        <v>10800</v>
      </c>
      <c r="G24" s="38"/>
      <c r="H24" s="38" t="s">
        <v>54</v>
      </c>
      <c r="I24" s="38"/>
    </row>
    <row r="25" customFormat="false" ht="31.5" hidden="false" customHeight="true" outlineLevel="0" collapsed="false">
      <c r="A25" s="34" t="n">
        <v>21</v>
      </c>
      <c r="B25" s="34" t="s">
        <v>474</v>
      </c>
      <c r="C25" s="35" t="n">
        <v>46353</v>
      </c>
      <c r="D25" s="34" t="s">
        <v>494</v>
      </c>
      <c r="E25" s="36" t="s">
        <v>383</v>
      </c>
      <c r="F25" s="37" t="n">
        <f aca="false">IFERROR(INDEX('Top-Player'!$U$5:$U$56,MATCH("Paket Sport-Grossanlässe 2027",'Top-Player'!$D$5:$D$56,0)),0)</f>
        <v>9800</v>
      </c>
      <c r="G25" s="38"/>
      <c r="H25" s="38" t="s">
        <v>54</v>
      </c>
      <c r="I25" s="38"/>
    </row>
    <row r="26" customFormat="false" ht="31.5" hidden="false" customHeight="true" outlineLevel="0" collapsed="false">
      <c r="A26" s="34" t="n">
        <v>22</v>
      </c>
      <c r="B26" s="34" t="s">
        <v>486</v>
      </c>
      <c r="C26" s="35" t="n">
        <v>46416</v>
      </c>
      <c r="D26" s="34" t="s">
        <v>495</v>
      </c>
      <c r="E26" s="36" t="s">
        <v>276</v>
      </c>
      <c r="F26" s="37" t="n">
        <f aca="false">IFERROR(INDEX('Top-Player'!$U$5:$U$56,MATCH("Paket Sommer-Festivals 2027",'Top-Player'!$D$5:$D$56,0)),0)</f>
        <v>15800</v>
      </c>
      <c r="G26" s="38"/>
      <c r="H26" s="38" t="s">
        <v>54</v>
      </c>
      <c r="I26" s="38"/>
    </row>
  </sheetData>
  <conditionalFormatting sqref="H5:H26">
    <cfRule type="cellIs" priority="2" operator="equal" aboveAverage="0" equalAverage="0" bottom="0" percent="0" rank="0" text="" dxfId="12">
      <formula>"erledigt"</formula>
    </cfRule>
    <cfRule type="cellIs" priority="3" operator="equal" aboveAverage="0" equalAverage="0" bottom="0" percent="0" rank="0" text="" dxfId="13">
      <formula>"in Arbeit"</formula>
    </cfRule>
  </conditionalFormatting>
  <conditionalFormatting sqref="C5:C26">
    <cfRule type="expression" priority="4" aboveAverage="0" equalAverage="0" bottom="0" percent="0" rank="0" text="" dxfId="11">
      <formula>AND(C5&lt;TODAY(),H5&lt;&gt;"erledigt")</formula>
    </cfRule>
  </conditionalFormatting>
  <dataValidations count="2">
    <dataValidation allowBlank="true" errorStyle="stop" operator="between" showDropDown="false" showErrorMessage="false" showInputMessage="false" sqref="H5:H56" type="list">
      <formula1>"offen,in Arbeit,erledigt,verschoben"</formula1>
      <formula2>0</formula2>
    </dataValidation>
    <dataValidation allowBlank="true" errorStyle="stop" operator="between" showDropDown="false" showErrorMessage="false" showInputMessage="false" sqref="G5:G56" type="list">
      <formula1>Listen!$B$2:$B$5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16"/>
    <col collapsed="false" customWidth="true" hidden="false" outlineLevel="0" max="4" min="4" style="0" width="20"/>
    <col collapsed="false" customWidth="true" hidden="false" outlineLevel="0" max="5" min="5" style="0" width="15"/>
    <col collapsed="false" customWidth="true" hidden="false" outlineLevel="0" max="6" min="6" style="0" width="20"/>
    <col collapsed="false" customWidth="true" hidden="false" outlineLevel="0" max="7" min="7" style="0" width="22"/>
    <col collapsed="false" customWidth="true" hidden="false" outlineLevel="0" max="8" min="8" style="0" width="38"/>
    <col collapsed="false" customWidth="true" hidden="false" outlineLevel="0" max="12" min="9" style="0" width="9"/>
    <col collapsed="false" customWidth="true" hidden="false" outlineLevel="0" max="14" min="13" style="0" width="8"/>
    <col collapsed="false" customWidth="true" hidden="false" outlineLevel="0" max="17" min="15" style="0" width="9"/>
    <col collapsed="false" customWidth="true" hidden="false" outlineLevel="0" max="18" min="18" style="0" width="12"/>
    <col collapsed="false" customWidth="true" hidden="false" outlineLevel="0" max="19" min="19" style="0" width="9"/>
    <col collapsed="false" customWidth="true" hidden="false" outlineLevel="0" max="20" min="20" style="0" width="10"/>
    <col collapsed="false" customWidth="true" hidden="false" outlineLevel="0" max="21" min="21" style="0" width="12"/>
    <col collapsed="false" customWidth="true" hidden="false" outlineLevel="0" max="22" min="22" style="0" width="11"/>
    <col collapsed="false" customWidth="true" hidden="false" outlineLevel="0" max="23" min="23" style="0" width="34"/>
    <col collapsed="false" customWidth="true" hidden="false" outlineLevel="0" max="24" min="24" style="0" width="9"/>
  </cols>
  <sheetData>
    <row r="1" customFormat="false" ht="22.05" hidden="false" customHeight="false" outlineLevel="0" collapsed="false">
      <c r="A1" s="1" t="s">
        <v>496</v>
      </c>
    </row>
    <row r="2" customFormat="false" ht="15" hidden="false" customHeight="false" outlineLevel="0" collapsed="false">
      <c r="A2" s="2" t="s">
        <v>497</v>
      </c>
    </row>
    <row r="4" customFormat="false" ht="31.5" hidden="false" customHeight="true" outlineLevel="0" collapsed="false">
      <c r="A4" s="10" t="s">
        <v>461</v>
      </c>
      <c r="B4" s="10" t="s">
        <v>498</v>
      </c>
      <c r="C4" s="10" t="s">
        <v>499</v>
      </c>
      <c r="D4" s="10" t="s">
        <v>61</v>
      </c>
      <c r="E4" s="10" t="s">
        <v>63</v>
      </c>
      <c r="F4" s="10" t="s">
        <v>500</v>
      </c>
      <c r="G4" s="10" t="s">
        <v>501</v>
      </c>
      <c r="H4" s="10" t="s">
        <v>502</v>
      </c>
      <c r="I4" s="10" t="s">
        <v>67</v>
      </c>
      <c r="J4" s="10" t="s">
        <v>68</v>
      </c>
      <c r="K4" s="10" t="s">
        <v>69</v>
      </c>
      <c r="L4" s="10" t="s">
        <v>70</v>
      </c>
      <c r="M4" s="10" t="s">
        <v>71</v>
      </c>
      <c r="N4" s="10" t="s">
        <v>72</v>
      </c>
      <c r="O4" s="10" t="s">
        <v>503</v>
      </c>
      <c r="P4" s="10" t="s">
        <v>504</v>
      </c>
      <c r="Q4" s="10" t="s">
        <v>505</v>
      </c>
      <c r="R4" s="10" t="s">
        <v>28</v>
      </c>
      <c r="S4" s="10" t="s">
        <v>74</v>
      </c>
      <c r="T4" s="10" t="s">
        <v>75</v>
      </c>
      <c r="U4" s="10" t="s">
        <v>10</v>
      </c>
      <c r="V4" s="10" t="s">
        <v>506</v>
      </c>
      <c r="W4" s="10" t="s">
        <v>507</v>
      </c>
      <c r="X4" s="10" t="s">
        <v>85</v>
      </c>
    </row>
    <row r="5" customFormat="false" ht="36" hidden="false" customHeight="true" outlineLevel="0" collapsed="false">
      <c r="A5" s="25" t="n">
        <v>1</v>
      </c>
      <c r="B5" s="24" t="s">
        <v>508</v>
      </c>
      <c r="C5" s="25" t="s">
        <v>509</v>
      </c>
      <c r="D5" s="23" t="s">
        <v>510</v>
      </c>
      <c r="E5" s="25" t="s">
        <v>144</v>
      </c>
      <c r="F5" s="25" t="s">
        <v>511</v>
      </c>
      <c r="G5" s="23" t="s">
        <v>512</v>
      </c>
      <c r="H5" s="23" t="s">
        <v>513</v>
      </c>
      <c r="I5" s="27" t="n">
        <v>3</v>
      </c>
      <c r="J5" s="27" t="n">
        <v>1.5</v>
      </c>
      <c r="K5" s="27" t="n">
        <v>0</v>
      </c>
      <c r="L5" s="27" t="n">
        <v>0</v>
      </c>
      <c r="M5" s="27" t="n">
        <v>0.5</v>
      </c>
      <c r="N5" s="27" t="n">
        <v>0.5</v>
      </c>
      <c r="O5" s="25" t="n">
        <f aca="false">I5*J5</f>
        <v>4.5</v>
      </c>
      <c r="P5" s="25" t="n">
        <f aca="false">K5*L5</f>
        <v>0</v>
      </c>
      <c r="Q5" s="25" t="n">
        <f aca="false">M5*N5</f>
        <v>0.25</v>
      </c>
      <c r="R5" s="28" t="n">
        <f aca="false">ROUND(O5*Annahmen!$F$9+P5*Annahmen!$F$12+Q5*Annahmen!$F$15,-2)</f>
        <v>25300</v>
      </c>
      <c r="S5" s="29" t="n">
        <v>1</v>
      </c>
      <c r="T5" s="29" t="n">
        <v>0.15</v>
      </c>
      <c r="U5" s="28" t="n">
        <f aca="false">ROUND(R5*S5*T5,-2)</f>
        <v>3800</v>
      </c>
      <c r="V5" s="28" t="n">
        <f aca="false">R5*S5</f>
        <v>25300</v>
      </c>
      <c r="W5" s="23" t="s">
        <v>276</v>
      </c>
      <c r="X5" s="33" t="s">
        <v>99</v>
      </c>
    </row>
    <row r="6" customFormat="false" ht="36" hidden="false" customHeight="true" outlineLevel="0" collapsed="false">
      <c r="A6" s="25" t="n">
        <v>2</v>
      </c>
      <c r="B6" s="24" t="s">
        <v>514</v>
      </c>
      <c r="C6" s="25" t="s">
        <v>509</v>
      </c>
      <c r="D6" s="23" t="s">
        <v>515</v>
      </c>
      <c r="E6" s="25" t="s">
        <v>250</v>
      </c>
      <c r="F6" s="25" t="s">
        <v>516</v>
      </c>
      <c r="G6" s="23" t="s">
        <v>517</v>
      </c>
      <c r="H6" s="23" t="s">
        <v>518</v>
      </c>
      <c r="I6" s="27" t="n">
        <v>2.5</v>
      </c>
      <c r="J6" s="27" t="n">
        <v>1.5</v>
      </c>
      <c r="K6" s="27" t="n">
        <v>0</v>
      </c>
      <c r="L6" s="27" t="n">
        <v>0</v>
      </c>
      <c r="M6" s="27" t="n">
        <v>0</v>
      </c>
      <c r="N6" s="27" t="n">
        <v>0</v>
      </c>
      <c r="O6" s="25" t="n">
        <f aca="false">I6*J6</f>
        <v>3.75</v>
      </c>
      <c r="P6" s="25" t="n">
        <f aca="false">K6*L6</f>
        <v>0</v>
      </c>
      <c r="Q6" s="25" t="n">
        <f aca="false">M6*N6</f>
        <v>0</v>
      </c>
      <c r="R6" s="28" t="n">
        <f aca="false">ROUND(O6*Annahmen!$F$9+P6*Annahmen!$F$12+Q6*Annahmen!$F$15,-2)</f>
        <v>15900</v>
      </c>
      <c r="S6" s="29" t="n">
        <v>1</v>
      </c>
      <c r="T6" s="29" t="n">
        <v>0.15</v>
      </c>
      <c r="U6" s="28" t="n">
        <f aca="false">ROUND(R6*S6*T6,-2)</f>
        <v>2400</v>
      </c>
      <c r="V6" s="28" t="n">
        <f aca="false">R6*S6</f>
        <v>15900</v>
      </c>
      <c r="W6" s="23" t="s">
        <v>276</v>
      </c>
      <c r="X6" s="33" t="s">
        <v>99</v>
      </c>
    </row>
    <row r="7" customFormat="false" ht="36" hidden="false" customHeight="true" outlineLevel="0" collapsed="false">
      <c r="A7" s="25" t="n">
        <v>3</v>
      </c>
      <c r="B7" s="24" t="s">
        <v>519</v>
      </c>
      <c r="C7" s="25" t="s">
        <v>509</v>
      </c>
      <c r="D7" s="23" t="s">
        <v>520</v>
      </c>
      <c r="E7" s="25" t="s">
        <v>114</v>
      </c>
      <c r="F7" s="25" t="s">
        <v>521</v>
      </c>
      <c r="G7" s="23" t="s">
        <v>522</v>
      </c>
      <c r="H7" s="23" t="s">
        <v>523</v>
      </c>
      <c r="I7" s="27" t="n">
        <v>1.5</v>
      </c>
      <c r="J7" s="27" t="n">
        <v>1</v>
      </c>
      <c r="K7" s="27" t="n">
        <v>0</v>
      </c>
      <c r="L7" s="27" t="n">
        <v>0</v>
      </c>
      <c r="M7" s="27" t="n">
        <v>0</v>
      </c>
      <c r="N7" s="27" t="n">
        <v>0</v>
      </c>
      <c r="O7" s="25" t="n">
        <f aca="false">I7*J7</f>
        <v>1.5</v>
      </c>
      <c r="P7" s="25" t="n">
        <f aca="false">K7*L7</f>
        <v>0</v>
      </c>
      <c r="Q7" s="25" t="n">
        <f aca="false">M7*N7</f>
        <v>0</v>
      </c>
      <c r="R7" s="28" t="n">
        <f aca="false">ROUND(O7*Annahmen!$F$9+P7*Annahmen!$F$12+Q7*Annahmen!$F$15,-2)</f>
        <v>6400</v>
      </c>
      <c r="S7" s="29" t="n">
        <v>1</v>
      </c>
      <c r="T7" s="29" t="n">
        <v>0.15</v>
      </c>
      <c r="U7" s="28" t="n">
        <f aca="false">ROUND(R7*S7*T7,-2)</f>
        <v>1000</v>
      </c>
      <c r="V7" s="28" t="n">
        <f aca="false">R7*S7</f>
        <v>6400</v>
      </c>
      <c r="W7" s="23" t="s">
        <v>276</v>
      </c>
      <c r="X7" s="33" t="s">
        <v>99</v>
      </c>
    </row>
    <row r="8" customFormat="false" ht="36" hidden="false" customHeight="true" outlineLevel="0" collapsed="false">
      <c r="A8" s="25" t="n">
        <v>4</v>
      </c>
      <c r="B8" s="24" t="s">
        <v>524</v>
      </c>
      <c r="C8" s="25" t="s">
        <v>509</v>
      </c>
      <c r="D8" s="23" t="s">
        <v>525</v>
      </c>
      <c r="E8" s="25" t="s">
        <v>144</v>
      </c>
      <c r="F8" s="25" t="s">
        <v>526</v>
      </c>
      <c r="G8" s="23" t="s">
        <v>527</v>
      </c>
      <c r="H8" s="23" t="s">
        <v>528</v>
      </c>
      <c r="I8" s="27" t="n">
        <v>1</v>
      </c>
      <c r="J8" s="27" t="n">
        <v>1</v>
      </c>
      <c r="K8" s="27" t="n">
        <v>0</v>
      </c>
      <c r="L8" s="27" t="n">
        <v>0</v>
      </c>
      <c r="M8" s="27" t="n">
        <v>0</v>
      </c>
      <c r="N8" s="27" t="n">
        <v>0</v>
      </c>
      <c r="O8" s="25" t="n">
        <f aca="false">I8*J8</f>
        <v>1</v>
      </c>
      <c r="P8" s="25" t="n">
        <f aca="false">K8*L8</f>
        <v>0</v>
      </c>
      <c r="Q8" s="25" t="n">
        <f aca="false">M8*N8</f>
        <v>0</v>
      </c>
      <c r="R8" s="28" t="n">
        <f aca="false">ROUND(O8*Annahmen!$F$9+P8*Annahmen!$F$12+Q8*Annahmen!$F$15,-2)</f>
        <v>4200</v>
      </c>
      <c r="S8" s="29" t="n">
        <v>1</v>
      </c>
      <c r="T8" s="29" t="n">
        <v>0.15</v>
      </c>
      <c r="U8" s="28" t="n">
        <f aca="false">ROUND(R8*S8*T8,-2)</f>
        <v>600</v>
      </c>
      <c r="V8" s="28" t="n">
        <f aca="false">R8*S8</f>
        <v>4200</v>
      </c>
      <c r="W8" s="23" t="s">
        <v>276</v>
      </c>
      <c r="X8" s="33" t="s">
        <v>99</v>
      </c>
    </row>
    <row r="9" customFormat="false" ht="36" hidden="false" customHeight="true" outlineLevel="0" collapsed="false">
      <c r="A9" s="25" t="n">
        <v>5</v>
      </c>
      <c r="B9" s="24" t="s">
        <v>529</v>
      </c>
      <c r="C9" s="25" t="s">
        <v>509</v>
      </c>
      <c r="D9" s="23" t="s">
        <v>530</v>
      </c>
      <c r="E9" s="25" t="s">
        <v>124</v>
      </c>
      <c r="F9" s="25" t="s">
        <v>526</v>
      </c>
      <c r="G9" s="23" t="s">
        <v>531</v>
      </c>
      <c r="H9" s="23" t="s">
        <v>532</v>
      </c>
      <c r="I9" s="27" t="n">
        <v>1</v>
      </c>
      <c r="J9" s="27" t="n">
        <v>1</v>
      </c>
      <c r="K9" s="27" t="n">
        <v>0</v>
      </c>
      <c r="L9" s="27" t="n">
        <v>0</v>
      </c>
      <c r="M9" s="27" t="n">
        <v>0</v>
      </c>
      <c r="N9" s="27" t="n">
        <v>0</v>
      </c>
      <c r="O9" s="25" t="n">
        <f aca="false">I9*J9</f>
        <v>1</v>
      </c>
      <c r="P9" s="25" t="n">
        <f aca="false">K9*L9</f>
        <v>0</v>
      </c>
      <c r="Q9" s="25" t="n">
        <f aca="false">M9*N9</f>
        <v>0</v>
      </c>
      <c r="R9" s="28" t="n">
        <f aca="false">ROUND(O9*Annahmen!$F$9+P9*Annahmen!$F$12+Q9*Annahmen!$F$15,-2)</f>
        <v>4200</v>
      </c>
      <c r="S9" s="29" t="n">
        <v>1</v>
      </c>
      <c r="T9" s="29" t="n">
        <v>0.15</v>
      </c>
      <c r="U9" s="28" t="n">
        <f aca="false">ROUND(R9*S9*T9,-2)</f>
        <v>600</v>
      </c>
      <c r="V9" s="28" t="n">
        <f aca="false">R9*S9</f>
        <v>4200</v>
      </c>
      <c r="W9" s="23" t="s">
        <v>276</v>
      </c>
      <c r="X9" s="33" t="s">
        <v>99</v>
      </c>
    </row>
    <row r="10" customFormat="false" ht="36" hidden="false" customHeight="true" outlineLevel="0" collapsed="false">
      <c r="A10" s="25" t="n">
        <v>6</v>
      </c>
      <c r="B10" s="24" t="s">
        <v>533</v>
      </c>
      <c r="C10" s="25" t="s">
        <v>534</v>
      </c>
      <c r="D10" s="23" t="s">
        <v>535</v>
      </c>
      <c r="E10" s="25" t="s">
        <v>144</v>
      </c>
      <c r="F10" s="25" t="s">
        <v>536</v>
      </c>
      <c r="G10" s="23" t="s">
        <v>537</v>
      </c>
      <c r="H10" s="23" t="s">
        <v>538</v>
      </c>
      <c r="I10" s="27" t="n">
        <v>0.5</v>
      </c>
      <c r="J10" s="27" t="n">
        <v>2</v>
      </c>
      <c r="K10" s="27" t="n">
        <v>0</v>
      </c>
      <c r="L10" s="27" t="n">
        <v>0</v>
      </c>
      <c r="M10" s="27" t="n">
        <v>0.3</v>
      </c>
      <c r="N10" s="27" t="n">
        <v>0.5</v>
      </c>
      <c r="O10" s="25" t="n">
        <f aca="false">I10*J10</f>
        <v>1</v>
      </c>
      <c r="P10" s="25" t="n">
        <f aca="false">K10*L10</f>
        <v>0</v>
      </c>
      <c r="Q10" s="25" t="n">
        <f aca="false">M10*N10</f>
        <v>0.15</v>
      </c>
      <c r="R10" s="28" t="n">
        <f aca="false">ROUND(O10*Annahmen!$F$9+P10*Annahmen!$F$12+Q10*Annahmen!$F$15,-2)</f>
        <v>8000</v>
      </c>
      <c r="S10" s="29" t="n">
        <v>1</v>
      </c>
      <c r="T10" s="29" t="n">
        <v>0.15</v>
      </c>
      <c r="U10" s="28" t="n">
        <f aca="false">ROUND(R10*S10*T10,-2)</f>
        <v>1200</v>
      </c>
      <c r="V10" s="28" t="n">
        <f aca="false">R10*S10</f>
        <v>8000</v>
      </c>
      <c r="W10" s="23" t="s">
        <v>276</v>
      </c>
      <c r="X10" s="33" t="s">
        <v>99</v>
      </c>
    </row>
    <row r="11" customFormat="false" ht="36" hidden="false" customHeight="true" outlineLevel="0" collapsed="false">
      <c r="A11" s="25" t="n">
        <v>7</v>
      </c>
      <c r="B11" s="24" t="s">
        <v>539</v>
      </c>
      <c r="C11" s="25" t="s">
        <v>509</v>
      </c>
      <c r="D11" s="23" t="s">
        <v>540</v>
      </c>
      <c r="E11" s="25" t="s">
        <v>104</v>
      </c>
      <c r="F11" s="25" t="s">
        <v>541</v>
      </c>
      <c r="G11" s="23" t="s">
        <v>542</v>
      </c>
      <c r="H11" s="23" t="s">
        <v>543</v>
      </c>
      <c r="I11" s="27" t="n">
        <v>0.5</v>
      </c>
      <c r="J11" s="27" t="n">
        <v>2</v>
      </c>
      <c r="K11" s="27" t="n">
        <v>0</v>
      </c>
      <c r="L11" s="27" t="n">
        <v>0</v>
      </c>
      <c r="M11" s="27" t="n">
        <v>0.3</v>
      </c>
      <c r="N11" s="27" t="n">
        <v>0.5</v>
      </c>
      <c r="O11" s="25" t="n">
        <f aca="false">I11*J11</f>
        <v>1</v>
      </c>
      <c r="P11" s="25" t="n">
        <f aca="false">K11*L11</f>
        <v>0</v>
      </c>
      <c r="Q11" s="25" t="n">
        <f aca="false">M11*N11</f>
        <v>0.15</v>
      </c>
      <c r="R11" s="28" t="n">
        <f aca="false">ROUND(O11*Annahmen!$F$9+P11*Annahmen!$F$12+Q11*Annahmen!$F$15,-2)</f>
        <v>8000</v>
      </c>
      <c r="S11" s="29" t="n">
        <v>1</v>
      </c>
      <c r="T11" s="29" t="n">
        <v>0.15</v>
      </c>
      <c r="U11" s="28" t="n">
        <f aca="false">ROUND(R11*S11*T11,-2)</f>
        <v>1200</v>
      </c>
      <c r="V11" s="28" t="n">
        <f aca="false">R11*S11</f>
        <v>8000</v>
      </c>
      <c r="W11" s="23" t="s">
        <v>276</v>
      </c>
      <c r="X11" s="33" t="s">
        <v>99</v>
      </c>
    </row>
    <row r="12" customFormat="false" ht="36" hidden="false" customHeight="true" outlineLevel="0" collapsed="false">
      <c r="A12" s="25" t="n">
        <v>8</v>
      </c>
      <c r="B12" s="24" t="s">
        <v>544</v>
      </c>
      <c r="C12" s="25" t="s">
        <v>509</v>
      </c>
      <c r="D12" s="23" t="s">
        <v>545</v>
      </c>
      <c r="E12" s="25" t="s">
        <v>124</v>
      </c>
      <c r="F12" s="25" t="s">
        <v>546</v>
      </c>
      <c r="G12" s="23" t="s">
        <v>547</v>
      </c>
      <c r="H12" s="23" t="s">
        <v>548</v>
      </c>
      <c r="I12" s="27" t="n">
        <v>1</v>
      </c>
      <c r="J12" s="27" t="n">
        <v>1</v>
      </c>
      <c r="K12" s="27" t="n">
        <v>0</v>
      </c>
      <c r="L12" s="27" t="n">
        <v>0</v>
      </c>
      <c r="M12" s="27" t="n">
        <v>0</v>
      </c>
      <c r="N12" s="27" t="n">
        <v>0</v>
      </c>
      <c r="O12" s="25" t="n">
        <f aca="false">I12*J12</f>
        <v>1</v>
      </c>
      <c r="P12" s="25" t="n">
        <f aca="false">K12*L12</f>
        <v>0</v>
      </c>
      <c r="Q12" s="25" t="n">
        <f aca="false">M12*N12</f>
        <v>0</v>
      </c>
      <c r="R12" s="28" t="n">
        <f aca="false">ROUND(O12*Annahmen!$F$9+P12*Annahmen!$F$12+Q12*Annahmen!$F$15,-2)</f>
        <v>4200</v>
      </c>
      <c r="S12" s="29" t="n">
        <v>1</v>
      </c>
      <c r="T12" s="29" t="n">
        <v>0.15</v>
      </c>
      <c r="U12" s="28" t="n">
        <f aca="false">ROUND(R12*S12*T12,-2)</f>
        <v>600</v>
      </c>
      <c r="V12" s="28" t="n">
        <f aca="false">R12*S12</f>
        <v>4200</v>
      </c>
      <c r="W12" s="23" t="s">
        <v>276</v>
      </c>
      <c r="X12" s="33" t="s">
        <v>99</v>
      </c>
    </row>
    <row r="13" customFormat="false" ht="36" hidden="false" customHeight="true" outlineLevel="0" collapsed="false">
      <c r="A13" s="25" t="n">
        <v>9</v>
      </c>
      <c r="B13" s="24" t="s">
        <v>549</v>
      </c>
      <c r="C13" s="25" t="s">
        <v>509</v>
      </c>
      <c r="D13" s="23" t="s">
        <v>550</v>
      </c>
      <c r="E13" s="25" t="s">
        <v>250</v>
      </c>
      <c r="F13" s="25" t="s">
        <v>551</v>
      </c>
      <c r="G13" s="23" t="s">
        <v>552</v>
      </c>
      <c r="H13" s="23" t="s">
        <v>553</v>
      </c>
      <c r="I13" s="27" t="n">
        <v>1</v>
      </c>
      <c r="J13" s="27" t="n">
        <v>1.5</v>
      </c>
      <c r="K13" s="27" t="n">
        <v>0</v>
      </c>
      <c r="L13" s="27" t="n">
        <v>0</v>
      </c>
      <c r="M13" s="27" t="n">
        <v>0</v>
      </c>
      <c r="N13" s="27" t="n">
        <v>0</v>
      </c>
      <c r="O13" s="25" t="n">
        <f aca="false">I13*J13</f>
        <v>1.5</v>
      </c>
      <c r="P13" s="25" t="n">
        <f aca="false">K13*L13</f>
        <v>0</v>
      </c>
      <c r="Q13" s="25" t="n">
        <f aca="false">M13*N13</f>
        <v>0</v>
      </c>
      <c r="R13" s="28" t="n">
        <f aca="false">ROUND(O13*Annahmen!$F$9+P13*Annahmen!$F$12+Q13*Annahmen!$F$15,-2)</f>
        <v>6400</v>
      </c>
      <c r="S13" s="29" t="n">
        <v>1</v>
      </c>
      <c r="T13" s="29" t="n">
        <v>0.15</v>
      </c>
      <c r="U13" s="28" t="n">
        <f aca="false">ROUND(R13*S13*T13,-2)</f>
        <v>1000</v>
      </c>
      <c r="V13" s="28" t="n">
        <f aca="false">R13*S13</f>
        <v>6400</v>
      </c>
      <c r="W13" s="23" t="s">
        <v>276</v>
      </c>
      <c r="X13" s="33" t="s">
        <v>99</v>
      </c>
    </row>
    <row r="14" customFormat="false" ht="36" hidden="false" customHeight="true" outlineLevel="0" collapsed="false">
      <c r="A14" s="25" t="n">
        <v>10</v>
      </c>
      <c r="B14" s="24" t="s">
        <v>554</v>
      </c>
      <c r="C14" s="25" t="s">
        <v>509</v>
      </c>
      <c r="D14" s="23" t="s">
        <v>555</v>
      </c>
      <c r="E14" s="25" t="s">
        <v>250</v>
      </c>
      <c r="F14" s="25" t="s">
        <v>556</v>
      </c>
      <c r="G14" s="23" t="s">
        <v>557</v>
      </c>
      <c r="H14" s="23" t="s">
        <v>558</v>
      </c>
      <c r="I14" s="27" t="n">
        <v>1.5</v>
      </c>
      <c r="J14" s="27" t="n">
        <v>1</v>
      </c>
      <c r="K14" s="27" t="n">
        <v>0</v>
      </c>
      <c r="L14" s="27" t="n">
        <v>0</v>
      </c>
      <c r="M14" s="27" t="n">
        <v>0</v>
      </c>
      <c r="N14" s="27" t="n">
        <v>0</v>
      </c>
      <c r="O14" s="25" t="n">
        <f aca="false">I14*J14</f>
        <v>1.5</v>
      </c>
      <c r="P14" s="25" t="n">
        <f aca="false">K14*L14</f>
        <v>0</v>
      </c>
      <c r="Q14" s="25" t="n">
        <f aca="false">M14*N14</f>
        <v>0</v>
      </c>
      <c r="R14" s="28" t="n">
        <f aca="false">ROUND(O14*Annahmen!$F$9+P14*Annahmen!$F$12+Q14*Annahmen!$F$15,-2)</f>
        <v>6400</v>
      </c>
      <c r="S14" s="29" t="n">
        <v>1</v>
      </c>
      <c r="T14" s="29" t="n">
        <v>0.15</v>
      </c>
      <c r="U14" s="28" t="n">
        <f aca="false">ROUND(R14*S14*T14,-2)</f>
        <v>1000</v>
      </c>
      <c r="V14" s="28" t="n">
        <f aca="false">R14*S14</f>
        <v>6400</v>
      </c>
      <c r="W14" s="23" t="s">
        <v>276</v>
      </c>
      <c r="X14" s="33" t="s">
        <v>99</v>
      </c>
    </row>
    <row r="15" customFormat="false" ht="36" hidden="false" customHeight="true" outlineLevel="0" collapsed="false">
      <c r="A15" s="25" t="n">
        <v>11</v>
      </c>
      <c r="B15" s="24" t="s">
        <v>559</v>
      </c>
      <c r="C15" s="25" t="s">
        <v>509</v>
      </c>
      <c r="D15" s="23" t="s">
        <v>560</v>
      </c>
      <c r="E15" s="25" t="s">
        <v>250</v>
      </c>
      <c r="F15" s="25" t="s">
        <v>561</v>
      </c>
      <c r="G15" s="23" t="s">
        <v>562</v>
      </c>
      <c r="H15" s="23" t="s">
        <v>563</v>
      </c>
      <c r="I15" s="27" t="n">
        <v>1</v>
      </c>
      <c r="J15" s="27" t="n">
        <v>1</v>
      </c>
      <c r="K15" s="27" t="n">
        <v>0</v>
      </c>
      <c r="L15" s="27" t="n">
        <v>0</v>
      </c>
      <c r="M15" s="27" t="n">
        <v>0</v>
      </c>
      <c r="N15" s="27" t="n">
        <v>0</v>
      </c>
      <c r="O15" s="25" t="n">
        <f aca="false">I15*J15</f>
        <v>1</v>
      </c>
      <c r="P15" s="25" t="n">
        <f aca="false">K15*L15</f>
        <v>0</v>
      </c>
      <c r="Q15" s="25" t="n">
        <f aca="false">M15*N15</f>
        <v>0</v>
      </c>
      <c r="R15" s="28" t="n">
        <f aca="false">ROUND(O15*Annahmen!$F$9+P15*Annahmen!$F$12+Q15*Annahmen!$F$15,-2)</f>
        <v>4200</v>
      </c>
      <c r="S15" s="29" t="n">
        <v>1</v>
      </c>
      <c r="T15" s="29" t="n">
        <v>0.15</v>
      </c>
      <c r="U15" s="28" t="n">
        <f aca="false">ROUND(R15*S15*T15,-2)</f>
        <v>600</v>
      </c>
      <c r="V15" s="28" t="n">
        <f aca="false">R15*S15</f>
        <v>4200</v>
      </c>
      <c r="W15" s="23" t="s">
        <v>276</v>
      </c>
      <c r="X15" s="33" t="s">
        <v>99</v>
      </c>
    </row>
    <row r="16" customFormat="false" ht="36" hidden="false" customHeight="true" outlineLevel="0" collapsed="false">
      <c r="A16" s="25" t="n">
        <v>12</v>
      </c>
      <c r="B16" s="24" t="s">
        <v>564</v>
      </c>
      <c r="C16" s="25" t="s">
        <v>509</v>
      </c>
      <c r="D16" s="23" t="s">
        <v>565</v>
      </c>
      <c r="E16" s="25" t="s">
        <v>250</v>
      </c>
      <c r="F16" s="25" t="s">
        <v>566</v>
      </c>
      <c r="G16" s="23" t="s">
        <v>562</v>
      </c>
      <c r="H16" s="23" t="s">
        <v>567</v>
      </c>
      <c r="I16" s="27" t="n">
        <v>1</v>
      </c>
      <c r="J16" s="27" t="n">
        <v>1</v>
      </c>
      <c r="K16" s="27" t="n">
        <v>0</v>
      </c>
      <c r="L16" s="27" t="n">
        <v>0</v>
      </c>
      <c r="M16" s="27" t="n">
        <v>0</v>
      </c>
      <c r="N16" s="27" t="n">
        <v>0</v>
      </c>
      <c r="O16" s="25" t="n">
        <f aca="false">I16*J16</f>
        <v>1</v>
      </c>
      <c r="P16" s="25" t="n">
        <f aca="false">K16*L16</f>
        <v>0</v>
      </c>
      <c r="Q16" s="25" t="n">
        <f aca="false">M16*N16</f>
        <v>0</v>
      </c>
      <c r="R16" s="28" t="n">
        <f aca="false">ROUND(O16*Annahmen!$F$9+P16*Annahmen!$F$12+Q16*Annahmen!$F$15,-2)</f>
        <v>4200</v>
      </c>
      <c r="S16" s="29" t="n">
        <v>1</v>
      </c>
      <c r="T16" s="29" t="n">
        <v>0.15</v>
      </c>
      <c r="U16" s="28" t="n">
        <f aca="false">ROUND(R16*S16*T16,-2)</f>
        <v>600</v>
      </c>
      <c r="V16" s="28" t="n">
        <f aca="false">R16*S16</f>
        <v>4200</v>
      </c>
      <c r="W16" s="23" t="s">
        <v>276</v>
      </c>
      <c r="X16" s="33" t="s">
        <v>99</v>
      </c>
    </row>
    <row r="17" customFormat="false" ht="36" hidden="false" customHeight="true" outlineLevel="0" collapsed="false">
      <c r="A17" s="25" t="n">
        <v>13</v>
      </c>
      <c r="B17" s="24" t="s">
        <v>568</v>
      </c>
      <c r="C17" s="25" t="s">
        <v>509</v>
      </c>
      <c r="D17" s="23" t="s">
        <v>569</v>
      </c>
      <c r="E17" s="25" t="s">
        <v>91</v>
      </c>
      <c r="F17" s="25" t="s">
        <v>570</v>
      </c>
      <c r="G17" s="23" t="s">
        <v>571</v>
      </c>
      <c r="H17" s="23" t="s">
        <v>572</v>
      </c>
      <c r="I17" s="27" t="n">
        <v>0.5</v>
      </c>
      <c r="J17" s="27" t="n">
        <v>2</v>
      </c>
      <c r="K17" s="27" t="n">
        <v>0</v>
      </c>
      <c r="L17" s="27" t="n">
        <v>0</v>
      </c>
      <c r="M17" s="27" t="n">
        <v>0</v>
      </c>
      <c r="N17" s="27" t="n">
        <v>0</v>
      </c>
      <c r="O17" s="25" t="n">
        <f aca="false">I17*J17</f>
        <v>1</v>
      </c>
      <c r="P17" s="25" t="n">
        <f aca="false">K17*L17</f>
        <v>0</v>
      </c>
      <c r="Q17" s="25" t="n">
        <f aca="false">M17*N17</f>
        <v>0</v>
      </c>
      <c r="R17" s="28" t="n">
        <f aca="false">ROUND(O17*Annahmen!$F$9+P17*Annahmen!$F$12+Q17*Annahmen!$F$15,-2)</f>
        <v>4200</v>
      </c>
      <c r="S17" s="29" t="n">
        <v>1</v>
      </c>
      <c r="T17" s="29" t="n">
        <v>0.15</v>
      </c>
      <c r="U17" s="28" t="n">
        <f aca="false">ROUND(R17*S17*T17,-2)</f>
        <v>600</v>
      </c>
      <c r="V17" s="28" t="n">
        <f aca="false">R17*S17</f>
        <v>4200</v>
      </c>
      <c r="W17" s="23" t="s">
        <v>276</v>
      </c>
      <c r="X17" s="33" t="s">
        <v>99</v>
      </c>
    </row>
    <row r="18" customFormat="false" ht="36" hidden="false" customHeight="true" outlineLevel="0" collapsed="false">
      <c r="A18" s="25" t="n">
        <v>14</v>
      </c>
      <c r="B18" s="24" t="s">
        <v>573</v>
      </c>
      <c r="C18" s="25" t="s">
        <v>509</v>
      </c>
      <c r="D18" s="23" t="s">
        <v>574</v>
      </c>
      <c r="E18" s="25" t="s">
        <v>91</v>
      </c>
      <c r="F18" s="25" t="s">
        <v>575</v>
      </c>
      <c r="G18" s="23" t="s">
        <v>576</v>
      </c>
      <c r="H18" s="23" t="s">
        <v>577</v>
      </c>
      <c r="I18" s="27" t="n">
        <v>0.3</v>
      </c>
      <c r="J18" s="27" t="n">
        <v>1</v>
      </c>
      <c r="K18" s="27" t="n">
        <v>0</v>
      </c>
      <c r="L18" s="27" t="n">
        <v>0</v>
      </c>
      <c r="M18" s="27" t="n">
        <v>0</v>
      </c>
      <c r="N18" s="27" t="n">
        <v>0</v>
      </c>
      <c r="O18" s="25" t="n">
        <f aca="false">I18*J18</f>
        <v>0.3</v>
      </c>
      <c r="P18" s="25" t="n">
        <f aca="false">K18*L18</f>
        <v>0</v>
      </c>
      <c r="Q18" s="25" t="n">
        <f aca="false">M18*N18</f>
        <v>0</v>
      </c>
      <c r="R18" s="28" t="n">
        <f aca="false">ROUND(O18*Annahmen!$F$9+P18*Annahmen!$F$12+Q18*Annahmen!$F$15,-2)</f>
        <v>1300</v>
      </c>
      <c r="S18" s="29" t="n">
        <v>1</v>
      </c>
      <c r="T18" s="29" t="n">
        <v>0.15</v>
      </c>
      <c r="U18" s="28" t="n">
        <f aca="false">ROUND(R18*S18*T18,-2)</f>
        <v>200</v>
      </c>
      <c r="V18" s="28" t="n">
        <f aca="false">R18*S18</f>
        <v>1300</v>
      </c>
      <c r="W18" s="23" t="s">
        <v>276</v>
      </c>
      <c r="X18" s="33" t="s">
        <v>99</v>
      </c>
    </row>
    <row r="19" customFormat="false" ht="36" hidden="false" customHeight="true" outlineLevel="0" collapsed="false">
      <c r="A19" s="25" t="n">
        <v>15</v>
      </c>
      <c r="B19" s="24" t="s">
        <v>578</v>
      </c>
      <c r="C19" s="25" t="s">
        <v>579</v>
      </c>
      <c r="D19" s="23" t="s">
        <v>580</v>
      </c>
      <c r="E19" s="25" t="s">
        <v>250</v>
      </c>
      <c r="F19" s="25" t="s">
        <v>581</v>
      </c>
      <c r="G19" s="23" t="s">
        <v>582</v>
      </c>
      <c r="H19" s="23" t="s">
        <v>583</v>
      </c>
      <c r="I19" s="27" t="n">
        <v>0.5</v>
      </c>
      <c r="J19" s="27" t="n">
        <v>1</v>
      </c>
      <c r="K19" s="27" t="n">
        <v>0</v>
      </c>
      <c r="L19" s="27" t="n">
        <v>0</v>
      </c>
      <c r="M19" s="27" t="n">
        <v>0</v>
      </c>
      <c r="N19" s="27" t="n">
        <v>0</v>
      </c>
      <c r="O19" s="25" t="n">
        <f aca="false">I19*J19</f>
        <v>0.5</v>
      </c>
      <c r="P19" s="25" t="n">
        <f aca="false">K19*L19</f>
        <v>0</v>
      </c>
      <c r="Q19" s="25" t="n">
        <f aca="false">M19*N19</f>
        <v>0</v>
      </c>
      <c r="R19" s="28" t="n">
        <f aca="false">ROUND(O19*Annahmen!$F$9+P19*Annahmen!$F$12+Q19*Annahmen!$F$15,-2)</f>
        <v>2100</v>
      </c>
      <c r="S19" s="29" t="n">
        <v>1</v>
      </c>
      <c r="T19" s="29" t="n">
        <v>0.15</v>
      </c>
      <c r="U19" s="28" t="n">
        <f aca="false">ROUND(R19*S19*T19,-2)</f>
        <v>300</v>
      </c>
      <c r="V19" s="28" t="n">
        <f aca="false">R19*S19</f>
        <v>2100</v>
      </c>
      <c r="W19" s="23" t="s">
        <v>276</v>
      </c>
      <c r="X19" s="33" t="s">
        <v>99</v>
      </c>
    </row>
    <row r="20" customFormat="false" ht="36" hidden="false" customHeight="true" outlineLevel="0" collapsed="false">
      <c r="A20" s="25" t="n">
        <v>16</v>
      </c>
      <c r="B20" s="24" t="s">
        <v>584</v>
      </c>
      <c r="C20" s="25" t="s">
        <v>585</v>
      </c>
      <c r="D20" s="23" t="s">
        <v>293</v>
      </c>
      <c r="E20" s="25" t="s">
        <v>124</v>
      </c>
      <c r="F20" s="25" t="s">
        <v>586</v>
      </c>
      <c r="G20" s="23" t="s">
        <v>587</v>
      </c>
      <c r="H20" s="23" t="s">
        <v>588</v>
      </c>
      <c r="I20" s="27" t="n">
        <v>1.5</v>
      </c>
      <c r="J20" s="27" t="n">
        <v>1.5</v>
      </c>
      <c r="K20" s="27" t="n">
        <v>0</v>
      </c>
      <c r="L20" s="27" t="n">
        <v>0</v>
      </c>
      <c r="M20" s="27" t="n">
        <v>0</v>
      </c>
      <c r="N20" s="27" t="n">
        <v>0</v>
      </c>
      <c r="O20" s="25" t="n">
        <f aca="false">I20*J20</f>
        <v>2.25</v>
      </c>
      <c r="P20" s="25" t="n">
        <f aca="false">K20*L20</f>
        <v>0</v>
      </c>
      <c r="Q20" s="25" t="n">
        <f aca="false">M20*N20</f>
        <v>0</v>
      </c>
      <c r="R20" s="28" t="n">
        <f aca="false">ROUND(O20*Annahmen!$F$9+P20*Annahmen!$F$12+Q20*Annahmen!$F$15,-2)</f>
        <v>9500</v>
      </c>
      <c r="S20" s="29" t="n">
        <v>1</v>
      </c>
      <c r="T20" s="29" t="n">
        <v>0.15</v>
      </c>
      <c r="U20" s="28" t="n">
        <f aca="false">ROUND(R20*S20*T20,-2)</f>
        <v>1400</v>
      </c>
      <c r="V20" s="28" t="n">
        <f aca="false">R20*S20</f>
        <v>9500</v>
      </c>
      <c r="W20" s="23" t="s">
        <v>589</v>
      </c>
      <c r="X20" s="33" t="s">
        <v>99</v>
      </c>
    </row>
    <row r="21" customFormat="false" ht="36" hidden="false" customHeight="true" outlineLevel="0" collapsed="false">
      <c r="A21" s="25" t="n">
        <v>17</v>
      </c>
      <c r="B21" s="24" t="s">
        <v>590</v>
      </c>
      <c r="C21" s="25" t="s">
        <v>591</v>
      </c>
      <c r="D21" s="23" t="s">
        <v>592</v>
      </c>
      <c r="E21" s="25" t="s">
        <v>124</v>
      </c>
      <c r="F21" s="25" t="s">
        <v>593</v>
      </c>
      <c r="G21" s="23" t="s">
        <v>594</v>
      </c>
      <c r="H21" s="23" t="s">
        <v>595</v>
      </c>
      <c r="I21" s="27" t="n">
        <v>1.5</v>
      </c>
      <c r="J21" s="27" t="n">
        <v>1.5</v>
      </c>
      <c r="K21" s="27" t="n">
        <v>0</v>
      </c>
      <c r="L21" s="27" t="n">
        <v>0</v>
      </c>
      <c r="M21" s="27" t="n">
        <v>0</v>
      </c>
      <c r="N21" s="27" t="n">
        <v>0</v>
      </c>
      <c r="O21" s="25" t="n">
        <f aca="false">I21*J21</f>
        <v>2.25</v>
      </c>
      <c r="P21" s="25" t="n">
        <f aca="false">K21*L21</f>
        <v>0</v>
      </c>
      <c r="Q21" s="25" t="n">
        <f aca="false">M21*N21</f>
        <v>0</v>
      </c>
      <c r="R21" s="28" t="n">
        <f aca="false">ROUND(O21*Annahmen!$F$9+P21*Annahmen!$F$12+Q21*Annahmen!$F$15,-2)</f>
        <v>9500</v>
      </c>
      <c r="S21" s="29" t="n">
        <v>1</v>
      </c>
      <c r="T21" s="29" t="n">
        <v>0.15</v>
      </c>
      <c r="U21" s="28" t="n">
        <f aca="false">ROUND(R21*S21*T21,-2)</f>
        <v>1400</v>
      </c>
      <c r="V21" s="28" t="n">
        <f aca="false">R21*S21</f>
        <v>9500</v>
      </c>
      <c r="W21" s="23" t="s">
        <v>589</v>
      </c>
      <c r="X21" s="33" t="s">
        <v>99</v>
      </c>
    </row>
    <row r="22" customFormat="false" ht="36" hidden="false" customHeight="true" outlineLevel="0" collapsed="false">
      <c r="A22" s="25" t="n">
        <v>18</v>
      </c>
      <c r="B22" s="24" t="s">
        <v>596</v>
      </c>
      <c r="C22" s="25" t="s">
        <v>597</v>
      </c>
      <c r="D22" s="23" t="s">
        <v>598</v>
      </c>
      <c r="E22" s="25" t="s">
        <v>124</v>
      </c>
      <c r="F22" s="25" t="s">
        <v>599</v>
      </c>
      <c r="G22" s="23" t="s">
        <v>600</v>
      </c>
      <c r="H22" s="23" t="s">
        <v>601</v>
      </c>
      <c r="I22" s="27" t="n">
        <v>0.5</v>
      </c>
      <c r="J22" s="27" t="n">
        <v>1</v>
      </c>
      <c r="K22" s="27" t="n">
        <v>0</v>
      </c>
      <c r="L22" s="27" t="n">
        <v>0</v>
      </c>
      <c r="M22" s="27" t="n">
        <v>0</v>
      </c>
      <c r="N22" s="27" t="n">
        <v>0</v>
      </c>
      <c r="O22" s="25" t="n">
        <f aca="false">I22*J22</f>
        <v>0.5</v>
      </c>
      <c r="P22" s="25" t="n">
        <f aca="false">K22*L22</f>
        <v>0</v>
      </c>
      <c r="Q22" s="25" t="n">
        <f aca="false">M22*N22</f>
        <v>0</v>
      </c>
      <c r="R22" s="28" t="n">
        <f aca="false">ROUND(O22*Annahmen!$F$9+P22*Annahmen!$F$12+Q22*Annahmen!$F$15,-2)</f>
        <v>2100</v>
      </c>
      <c r="S22" s="29" t="n">
        <v>0</v>
      </c>
      <c r="T22" s="29" t="n">
        <v>0.15</v>
      </c>
      <c r="U22" s="28" t="n">
        <f aca="false">ROUND(R22*S22*T22,-2)</f>
        <v>0</v>
      </c>
      <c r="V22" s="28" t="n">
        <f aca="false">R22*S22</f>
        <v>0</v>
      </c>
      <c r="W22" s="23" t="s">
        <v>589</v>
      </c>
      <c r="X22" s="33" t="s">
        <v>99</v>
      </c>
    </row>
    <row r="23" customFormat="false" ht="36" hidden="false" customHeight="true" outlineLevel="0" collapsed="false">
      <c r="A23" s="25" t="n">
        <v>19</v>
      </c>
      <c r="B23" s="24" t="s">
        <v>602</v>
      </c>
      <c r="C23" s="25" t="s">
        <v>603</v>
      </c>
      <c r="D23" s="23" t="s">
        <v>604</v>
      </c>
      <c r="E23" s="25" t="s">
        <v>104</v>
      </c>
      <c r="F23" s="25" t="s">
        <v>605</v>
      </c>
      <c r="G23" s="23" t="s">
        <v>606</v>
      </c>
      <c r="H23" s="23" t="s">
        <v>607</v>
      </c>
      <c r="I23" s="27" t="n">
        <v>0.5</v>
      </c>
      <c r="J23" s="27" t="n">
        <v>1</v>
      </c>
      <c r="K23" s="27" t="n">
        <v>0</v>
      </c>
      <c r="L23" s="27" t="n">
        <v>0</v>
      </c>
      <c r="M23" s="27" t="n">
        <v>0</v>
      </c>
      <c r="N23" s="27" t="n">
        <v>0</v>
      </c>
      <c r="O23" s="25" t="n">
        <f aca="false">I23*J23</f>
        <v>0.5</v>
      </c>
      <c r="P23" s="25" t="n">
        <f aca="false">K23*L23</f>
        <v>0</v>
      </c>
      <c r="Q23" s="25" t="n">
        <f aca="false">M23*N23</f>
        <v>0</v>
      </c>
      <c r="R23" s="28" t="n">
        <f aca="false">ROUND(O23*Annahmen!$F$9+P23*Annahmen!$F$12+Q23*Annahmen!$F$15,-2)</f>
        <v>2100</v>
      </c>
      <c r="S23" s="29" t="n">
        <v>0</v>
      </c>
      <c r="T23" s="29" t="n">
        <v>0.15</v>
      </c>
      <c r="U23" s="28" t="n">
        <f aca="false">ROUND(R23*S23*T23,-2)</f>
        <v>0</v>
      </c>
      <c r="V23" s="28" t="n">
        <f aca="false">R23*S23</f>
        <v>0</v>
      </c>
      <c r="W23" s="23" t="s">
        <v>589</v>
      </c>
      <c r="X23" s="33" t="s">
        <v>99</v>
      </c>
    </row>
    <row r="24" customFormat="false" ht="36" hidden="false" customHeight="true" outlineLevel="0" collapsed="false">
      <c r="A24" s="25" t="n">
        <v>20</v>
      </c>
      <c r="B24" s="24" t="s">
        <v>608</v>
      </c>
      <c r="C24" s="25" t="s">
        <v>609</v>
      </c>
      <c r="D24" s="23" t="s">
        <v>610</v>
      </c>
      <c r="E24" s="25" t="s">
        <v>124</v>
      </c>
      <c r="F24" s="25" t="s">
        <v>611</v>
      </c>
      <c r="G24" s="23" t="s">
        <v>612</v>
      </c>
      <c r="H24" s="23" t="s">
        <v>613</v>
      </c>
      <c r="I24" s="27" t="n">
        <v>1</v>
      </c>
      <c r="J24" s="27" t="n">
        <v>1.5</v>
      </c>
      <c r="K24" s="27" t="n">
        <v>0</v>
      </c>
      <c r="L24" s="27" t="n">
        <v>0</v>
      </c>
      <c r="M24" s="27" t="n">
        <v>0</v>
      </c>
      <c r="N24" s="27" t="n">
        <v>0</v>
      </c>
      <c r="O24" s="25" t="n">
        <f aca="false">I24*J24</f>
        <v>1.5</v>
      </c>
      <c r="P24" s="25" t="n">
        <f aca="false">K24*L24</f>
        <v>0</v>
      </c>
      <c r="Q24" s="25" t="n">
        <f aca="false">M24*N24</f>
        <v>0</v>
      </c>
      <c r="R24" s="28" t="n">
        <f aca="false">ROUND(O24*Annahmen!$F$9+P24*Annahmen!$F$12+Q24*Annahmen!$F$15,-2)</f>
        <v>6400</v>
      </c>
      <c r="S24" s="29" t="n">
        <v>1</v>
      </c>
      <c r="T24" s="29" t="n">
        <v>0.15</v>
      </c>
      <c r="U24" s="28" t="n">
        <f aca="false">ROUND(R24*S24*T24,-2)</f>
        <v>1000</v>
      </c>
      <c r="V24" s="28" t="n">
        <f aca="false">R24*S24</f>
        <v>6400</v>
      </c>
      <c r="W24" s="23" t="s">
        <v>589</v>
      </c>
      <c r="X24" s="33" t="s">
        <v>99</v>
      </c>
    </row>
    <row r="25" customFormat="false" ht="36" hidden="false" customHeight="true" outlineLevel="0" collapsed="false">
      <c r="A25" s="25" t="n">
        <v>21</v>
      </c>
      <c r="B25" s="24" t="s">
        <v>614</v>
      </c>
      <c r="C25" s="25" t="s">
        <v>615</v>
      </c>
      <c r="D25" s="23" t="s">
        <v>616</v>
      </c>
      <c r="E25" s="25" t="s">
        <v>124</v>
      </c>
      <c r="F25" s="25" t="s">
        <v>617</v>
      </c>
      <c r="G25" s="23" t="s">
        <v>618</v>
      </c>
      <c r="H25" s="23" t="s">
        <v>619</v>
      </c>
      <c r="I25" s="27" t="n">
        <v>1</v>
      </c>
      <c r="J25" s="27" t="n">
        <v>4</v>
      </c>
      <c r="K25" s="27" t="n">
        <v>0</v>
      </c>
      <c r="L25" s="27" t="n">
        <v>0</v>
      </c>
      <c r="M25" s="27" t="n">
        <v>0</v>
      </c>
      <c r="N25" s="27" t="n">
        <v>0</v>
      </c>
      <c r="O25" s="25" t="n">
        <f aca="false">I25*J25</f>
        <v>4</v>
      </c>
      <c r="P25" s="25" t="n">
        <f aca="false">K25*L25</f>
        <v>0</v>
      </c>
      <c r="Q25" s="25" t="n">
        <f aca="false">M25*N25</f>
        <v>0</v>
      </c>
      <c r="R25" s="28" t="n">
        <f aca="false">ROUND(O25*Annahmen!$F$9+P25*Annahmen!$F$12+Q25*Annahmen!$F$15,-2)</f>
        <v>17000</v>
      </c>
      <c r="S25" s="29" t="n">
        <v>1</v>
      </c>
      <c r="T25" s="29" t="n">
        <v>0.15</v>
      </c>
      <c r="U25" s="28" t="n">
        <f aca="false">ROUND(R25*S25*T25,-2)</f>
        <v>2600</v>
      </c>
      <c r="V25" s="28" t="n">
        <f aca="false">R25*S25</f>
        <v>17000</v>
      </c>
      <c r="W25" s="23" t="s">
        <v>589</v>
      </c>
      <c r="X25" s="33" t="s">
        <v>99</v>
      </c>
    </row>
    <row r="26" customFormat="false" ht="36" hidden="false" customHeight="true" outlineLevel="0" collapsed="false">
      <c r="A26" s="25" t="n">
        <v>22</v>
      </c>
      <c r="B26" s="24" t="s">
        <v>620</v>
      </c>
      <c r="C26" s="25" t="s">
        <v>621</v>
      </c>
      <c r="D26" s="23" t="s">
        <v>616</v>
      </c>
      <c r="E26" s="25" t="s">
        <v>124</v>
      </c>
      <c r="F26" s="25" t="s">
        <v>622</v>
      </c>
      <c r="G26" s="23" t="s">
        <v>522</v>
      </c>
      <c r="H26" s="23" t="s">
        <v>623</v>
      </c>
      <c r="I26" s="27" t="n">
        <v>0.5</v>
      </c>
      <c r="J26" s="27" t="n">
        <v>1</v>
      </c>
      <c r="K26" s="27" t="n">
        <v>0</v>
      </c>
      <c r="L26" s="27" t="n">
        <v>0</v>
      </c>
      <c r="M26" s="27" t="n">
        <v>0</v>
      </c>
      <c r="N26" s="27" t="n">
        <v>0</v>
      </c>
      <c r="O26" s="25" t="n">
        <f aca="false">I26*J26</f>
        <v>0.5</v>
      </c>
      <c r="P26" s="25" t="n">
        <f aca="false">K26*L26</f>
        <v>0</v>
      </c>
      <c r="Q26" s="25" t="n">
        <f aca="false">M26*N26</f>
        <v>0</v>
      </c>
      <c r="R26" s="28" t="n">
        <f aca="false">ROUND(O26*Annahmen!$F$9+P26*Annahmen!$F$12+Q26*Annahmen!$F$15,-2)</f>
        <v>2100</v>
      </c>
      <c r="S26" s="29" t="n">
        <v>1</v>
      </c>
      <c r="T26" s="29" t="n">
        <v>0.15</v>
      </c>
      <c r="U26" s="28" t="n">
        <f aca="false">ROUND(R26*S26*T26,-2)</f>
        <v>300</v>
      </c>
      <c r="V26" s="28" t="n">
        <f aca="false">R26*S26</f>
        <v>2100</v>
      </c>
      <c r="W26" s="23" t="s">
        <v>589</v>
      </c>
      <c r="X26" s="33" t="s">
        <v>99</v>
      </c>
    </row>
    <row r="27" customFormat="false" ht="36" hidden="false" customHeight="true" outlineLevel="0" collapsed="false">
      <c r="A27" s="25" t="n">
        <v>23</v>
      </c>
      <c r="B27" s="24" t="s">
        <v>624</v>
      </c>
      <c r="C27" s="25" t="s">
        <v>625</v>
      </c>
      <c r="D27" s="23" t="s">
        <v>626</v>
      </c>
      <c r="E27" s="25" t="s">
        <v>124</v>
      </c>
      <c r="F27" s="25" t="s">
        <v>627</v>
      </c>
      <c r="G27" s="23" t="s">
        <v>628</v>
      </c>
      <c r="H27" s="23" t="s">
        <v>629</v>
      </c>
      <c r="I27" s="27" t="n">
        <v>1.5</v>
      </c>
      <c r="J27" s="27" t="n">
        <v>1.5</v>
      </c>
      <c r="K27" s="27" t="n">
        <v>0</v>
      </c>
      <c r="L27" s="27" t="n">
        <v>0</v>
      </c>
      <c r="M27" s="27" t="n">
        <v>0</v>
      </c>
      <c r="N27" s="27" t="n">
        <v>0</v>
      </c>
      <c r="O27" s="25" t="n">
        <f aca="false">I27*J27</f>
        <v>2.25</v>
      </c>
      <c r="P27" s="25" t="n">
        <f aca="false">K27*L27</f>
        <v>0</v>
      </c>
      <c r="Q27" s="25" t="n">
        <f aca="false">M27*N27</f>
        <v>0</v>
      </c>
      <c r="R27" s="28" t="n">
        <f aca="false">ROUND(O27*Annahmen!$F$9+P27*Annahmen!$F$12+Q27*Annahmen!$F$15,-2)</f>
        <v>9500</v>
      </c>
      <c r="S27" s="29" t="n">
        <v>1</v>
      </c>
      <c r="T27" s="29" t="n">
        <v>0.15</v>
      </c>
      <c r="U27" s="28" t="n">
        <f aca="false">ROUND(R27*S27*T27,-2)</f>
        <v>1400</v>
      </c>
      <c r="V27" s="28" t="n">
        <f aca="false">R27*S27</f>
        <v>9500</v>
      </c>
      <c r="W27" s="23" t="s">
        <v>630</v>
      </c>
      <c r="X27" s="33" t="s">
        <v>99</v>
      </c>
    </row>
    <row r="28" customFormat="false" ht="36" hidden="false" customHeight="true" outlineLevel="0" collapsed="false">
      <c r="A28" s="25" t="n">
        <v>24</v>
      </c>
      <c r="B28" s="24" t="s">
        <v>631</v>
      </c>
      <c r="C28" s="25" t="s">
        <v>632</v>
      </c>
      <c r="D28" s="23" t="s">
        <v>633</v>
      </c>
      <c r="E28" s="25" t="s">
        <v>250</v>
      </c>
      <c r="F28" s="25" t="s">
        <v>634</v>
      </c>
      <c r="G28" s="23" t="s">
        <v>522</v>
      </c>
      <c r="H28" s="23" t="s">
        <v>635</v>
      </c>
      <c r="I28" s="27" t="n">
        <v>0.5</v>
      </c>
      <c r="J28" s="27" t="n">
        <v>1</v>
      </c>
      <c r="K28" s="27" t="n">
        <v>0</v>
      </c>
      <c r="L28" s="27" t="n">
        <v>0</v>
      </c>
      <c r="M28" s="27" t="n">
        <v>0</v>
      </c>
      <c r="N28" s="27" t="n">
        <v>0</v>
      </c>
      <c r="O28" s="25" t="n">
        <f aca="false">I28*J28</f>
        <v>0.5</v>
      </c>
      <c r="P28" s="25" t="n">
        <f aca="false">K28*L28</f>
        <v>0</v>
      </c>
      <c r="Q28" s="25" t="n">
        <f aca="false">M28*N28</f>
        <v>0</v>
      </c>
      <c r="R28" s="28" t="n">
        <f aca="false">ROUND(O28*Annahmen!$F$9+P28*Annahmen!$F$12+Q28*Annahmen!$F$15,-2)</f>
        <v>2100</v>
      </c>
      <c r="S28" s="29" t="n">
        <v>1</v>
      </c>
      <c r="T28" s="29" t="n">
        <v>0.15</v>
      </c>
      <c r="U28" s="28" t="n">
        <f aca="false">ROUND(R28*S28*T28,-2)</f>
        <v>300</v>
      </c>
      <c r="V28" s="28" t="n">
        <f aca="false">R28*S28</f>
        <v>2100</v>
      </c>
      <c r="W28" s="23" t="s">
        <v>630</v>
      </c>
      <c r="X28" s="33" t="s">
        <v>99</v>
      </c>
    </row>
    <row r="29" customFormat="false" ht="36" hidden="false" customHeight="true" outlineLevel="0" collapsed="false">
      <c r="A29" s="25" t="n">
        <v>25</v>
      </c>
      <c r="B29" s="24" t="s">
        <v>636</v>
      </c>
      <c r="C29" s="25" t="s">
        <v>637</v>
      </c>
      <c r="D29" s="23" t="s">
        <v>638</v>
      </c>
      <c r="E29" s="25" t="s">
        <v>144</v>
      </c>
      <c r="F29" s="25" t="s">
        <v>639</v>
      </c>
      <c r="G29" s="23" t="s">
        <v>640</v>
      </c>
      <c r="H29" s="23" t="s">
        <v>641</v>
      </c>
      <c r="I29" s="27" t="n">
        <v>1</v>
      </c>
      <c r="J29" s="27" t="n">
        <v>1</v>
      </c>
      <c r="K29" s="27" t="n">
        <v>0</v>
      </c>
      <c r="L29" s="27" t="n">
        <v>0</v>
      </c>
      <c r="M29" s="27" t="n">
        <v>0</v>
      </c>
      <c r="N29" s="27" t="n">
        <v>0</v>
      </c>
      <c r="O29" s="25" t="n">
        <f aca="false">I29*J29</f>
        <v>1</v>
      </c>
      <c r="P29" s="25" t="n">
        <f aca="false">K29*L29</f>
        <v>0</v>
      </c>
      <c r="Q29" s="25" t="n">
        <f aca="false">M29*N29</f>
        <v>0</v>
      </c>
      <c r="R29" s="28" t="n">
        <f aca="false">ROUND(O29*Annahmen!$F$9+P29*Annahmen!$F$12+Q29*Annahmen!$F$15,-2)</f>
        <v>4200</v>
      </c>
      <c r="S29" s="29" t="n">
        <v>1</v>
      </c>
      <c r="T29" s="29" t="n">
        <v>0.15</v>
      </c>
      <c r="U29" s="28" t="n">
        <f aca="false">ROUND(R29*S29*T29,-2)</f>
        <v>600</v>
      </c>
      <c r="V29" s="28" t="n">
        <f aca="false">R29*S29</f>
        <v>4200</v>
      </c>
      <c r="W29" s="23" t="s">
        <v>630</v>
      </c>
      <c r="X29" s="33" t="s">
        <v>99</v>
      </c>
    </row>
    <row r="30" customFormat="false" ht="36" hidden="false" customHeight="true" outlineLevel="0" collapsed="false">
      <c r="A30" s="25" t="n">
        <v>26</v>
      </c>
      <c r="B30" s="24" t="s">
        <v>642</v>
      </c>
      <c r="C30" s="25" t="s">
        <v>637</v>
      </c>
      <c r="D30" s="23" t="s">
        <v>643</v>
      </c>
      <c r="E30" s="25" t="s">
        <v>114</v>
      </c>
      <c r="F30" s="25" t="s">
        <v>644</v>
      </c>
      <c r="G30" s="23" t="s">
        <v>645</v>
      </c>
      <c r="H30" s="23" t="s">
        <v>646</v>
      </c>
      <c r="I30" s="27" t="n">
        <v>0.5</v>
      </c>
      <c r="J30" s="27" t="n">
        <v>1</v>
      </c>
      <c r="K30" s="27" t="n">
        <v>0</v>
      </c>
      <c r="L30" s="27" t="n">
        <v>0</v>
      </c>
      <c r="M30" s="27" t="n">
        <v>0</v>
      </c>
      <c r="N30" s="27" t="n">
        <v>0</v>
      </c>
      <c r="O30" s="25" t="n">
        <f aca="false">I30*J30</f>
        <v>0.5</v>
      </c>
      <c r="P30" s="25" t="n">
        <f aca="false">K30*L30</f>
        <v>0</v>
      </c>
      <c r="Q30" s="25" t="n">
        <f aca="false">M30*N30</f>
        <v>0</v>
      </c>
      <c r="R30" s="28" t="n">
        <f aca="false">ROUND(O30*Annahmen!$F$9+P30*Annahmen!$F$12+Q30*Annahmen!$F$15,-2)</f>
        <v>2100</v>
      </c>
      <c r="S30" s="29" t="n">
        <v>1</v>
      </c>
      <c r="T30" s="29" t="n">
        <v>0.15</v>
      </c>
      <c r="U30" s="28" t="n">
        <f aca="false">ROUND(R30*S30*T30,-2)</f>
        <v>300</v>
      </c>
      <c r="V30" s="28" t="n">
        <f aca="false">R30*S30</f>
        <v>2100</v>
      </c>
      <c r="W30" s="23" t="s">
        <v>630</v>
      </c>
      <c r="X30" s="33" t="s">
        <v>99</v>
      </c>
    </row>
    <row r="31" customFormat="false" ht="36" hidden="false" customHeight="true" outlineLevel="0" collapsed="false">
      <c r="A31" s="25" t="n">
        <v>27</v>
      </c>
      <c r="B31" s="24" t="s">
        <v>647</v>
      </c>
      <c r="C31" s="25" t="s">
        <v>637</v>
      </c>
      <c r="D31" s="23" t="s">
        <v>648</v>
      </c>
      <c r="E31" s="25" t="s">
        <v>104</v>
      </c>
      <c r="F31" s="25" t="s">
        <v>649</v>
      </c>
      <c r="G31" s="23" t="s">
        <v>640</v>
      </c>
      <c r="H31" s="23" t="s">
        <v>650</v>
      </c>
      <c r="I31" s="27" t="n">
        <v>0.5</v>
      </c>
      <c r="J31" s="27" t="n">
        <v>1</v>
      </c>
      <c r="K31" s="27" t="n">
        <v>0</v>
      </c>
      <c r="L31" s="27" t="n">
        <v>0</v>
      </c>
      <c r="M31" s="27" t="n">
        <v>0</v>
      </c>
      <c r="N31" s="27" t="n">
        <v>0</v>
      </c>
      <c r="O31" s="25" t="n">
        <f aca="false">I31*J31</f>
        <v>0.5</v>
      </c>
      <c r="P31" s="25" t="n">
        <f aca="false">K31*L31</f>
        <v>0</v>
      </c>
      <c r="Q31" s="25" t="n">
        <f aca="false">M31*N31</f>
        <v>0</v>
      </c>
      <c r="R31" s="28" t="n">
        <f aca="false">ROUND(O31*Annahmen!$F$9+P31*Annahmen!$F$12+Q31*Annahmen!$F$15,-2)</f>
        <v>2100</v>
      </c>
      <c r="S31" s="29" t="n">
        <v>1</v>
      </c>
      <c r="T31" s="29" t="n">
        <v>0.15</v>
      </c>
      <c r="U31" s="28" t="n">
        <f aca="false">ROUND(R31*S31*T31,-2)</f>
        <v>300</v>
      </c>
      <c r="V31" s="28" t="n">
        <f aca="false">R31*S31</f>
        <v>2100</v>
      </c>
      <c r="W31" s="23" t="s">
        <v>630</v>
      </c>
      <c r="X31" s="33" t="s">
        <v>99</v>
      </c>
    </row>
    <row r="32" customFormat="false" ht="36" hidden="false" customHeight="true" outlineLevel="0" collapsed="false">
      <c r="A32" s="25" t="n">
        <v>28</v>
      </c>
      <c r="B32" s="24" t="s">
        <v>651</v>
      </c>
      <c r="C32" s="25" t="s">
        <v>652</v>
      </c>
      <c r="D32" s="23" t="s">
        <v>327</v>
      </c>
      <c r="E32" s="25" t="s">
        <v>165</v>
      </c>
      <c r="F32" s="25" t="s">
        <v>653</v>
      </c>
      <c r="G32" s="23" t="s">
        <v>654</v>
      </c>
      <c r="H32" s="23" t="s">
        <v>655</v>
      </c>
      <c r="I32" s="27" t="n">
        <v>1</v>
      </c>
      <c r="J32" s="27" t="n">
        <v>1</v>
      </c>
      <c r="K32" s="27" t="n">
        <v>0</v>
      </c>
      <c r="L32" s="27" t="n">
        <v>0</v>
      </c>
      <c r="M32" s="27" t="n">
        <v>0</v>
      </c>
      <c r="N32" s="27" t="n">
        <v>0</v>
      </c>
      <c r="O32" s="25" t="n">
        <f aca="false">I32*J32</f>
        <v>1</v>
      </c>
      <c r="P32" s="25" t="n">
        <f aca="false">K32*L32</f>
        <v>0</v>
      </c>
      <c r="Q32" s="25" t="n">
        <f aca="false">M32*N32</f>
        <v>0</v>
      </c>
      <c r="R32" s="28" t="n">
        <f aca="false">ROUND(O32*Annahmen!$F$9+P32*Annahmen!$F$12+Q32*Annahmen!$F$15,-2)</f>
        <v>4200</v>
      </c>
      <c r="S32" s="29" t="n">
        <v>1</v>
      </c>
      <c r="T32" s="29" t="n">
        <v>0.15</v>
      </c>
      <c r="U32" s="28" t="n">
        <f aca="false">ROUND(R32*S32*T32,-2)</f>
        <v>600</v>
      </c>
      <c r="V32" s="28" t="n">
        <f aca="false">R32*S32</f>
        <v>4200</v>
      </c>
      <c r="W32" s="23" t="s">
        <v>630</v>
      </c>
      <c r="X32" s="33" t="s">
        <v>99</v>
      </c>
    </row>
    <row r="33" customFormat="false" ht="36" hidden="false" customHeight="true" outlineLevel="0" collapsed="false">
      <c r="A33" s="25" t="n">
        <v>29</v>
      </c>
      <c r="B33" s="24" t="s">
        <v>656</v>
      </c>
      <c r="C33" s="25" t="s">
        <v>657</v>
      </c>
      <c r="D33" s="23" t="s">
        <v>327</v>
      </c>
      <c r="E33" s="25" t="s">
        <v>165</v>
      </c>
      <c r="F33" s="25" t="s">
        <v>658</v>
      </c>
      <c r="G33" s="23" t="s">
        <v>562</v>
      </c>
      <c r="H33" s="23" t="s">
        <v>659</v>
      </c>
      <c r="I33" s="27" t="n">
        <v>0.3</v>
      </c>
      <c r="J33" s="27" t="n">
        <v>1</v>
      </c>
      <c r="K33" s="27" t="n">
        <v>0</v>
      </c>
      <c r="L33" s="27" t="n">
        <v>0</v>
      </c>
      <c r="M33" s="27" t="n">
        <v>0</v>
      </c>
      <c r="N33" s="27" t="n">
        <v>0</v>
      </c>
      <c r="O33" s="25" t="n">
        <f aca="false">I33*J33</f>
        <v>0.3</v>
      </c>
      <c r="P33" s="25" t="n">
        <f aca="false">K33*L33</f>
        <v>0</v>
      </c>
      <c r="Q33" s="25" t="n">
        <f aca="false">M33*N33</f>
        <v>0</v>
      </c>
      <c r="R33" s="28" t="n">
        <f aca="false">ROUND(O33*Annahmen!$F$9+P33*Annahmen!$F$12+Q33*Annahmen!$F$15,-2)</f>
        <v>1300</v>
      </c>
      <c r="S33" s="29" t="n">
        <v>1</v>
      </c>
      <c r="T33" s="29" t="n">
        <v>0.15</v>
      </c>
      <c r="U33" s="28" t="n">
        <f aca="false">ROUND(R33*S33*T33,-2)</f>
        <v>200</v>
      </c>
      <c r="V33" s="28" t="n">
        <f aca="false">R33*S33</f>
        <v>1300</v>
      </c>
      <c r="W33" s="23" t="s">
        <v>630</v>
      </c>
      <c r="X33" s="33" t="s">
        <v>99</v>
      </c>
    </row>
    <row r="34" customFormat="false" ht="36" hidden="false" customHeight="true" outlineLevel="0" collapsed="false">
      <c r="A34" s="25" t="n">
        <v>30</v>
      </c>
      <c r="B34" s="24" t="s">
        <v>660</v>
      </c>
      <c r="C34" s="25" t="s">
        <v>661</v>
      </c>
      <c r="D34" s="23" t="s">
        <v>662</v>
      </c>
      <c r="E34" s="25" t="s">
        <v>104</v>
      </c>
      <c r="F34" s="25" t="s">
        <v>663</v>
      </c>
      <c r="G34" s="23" t="s">
        <v>664</v>
      </c>
      <c r="H34" s="23" t="s">
        <v>665</v>
      </c>
      <c r="I34" s="27" t="n">
        <v>2</v>
      </c>
      <c r="J34" s="27" t="n">
        <v>2</v>
      </c>
      <c r="K34" s="27" t="n">
        <v>0</v>
      </c>
      <c r="L34" s="27" t="n">
        <v>0</v>
      </c>
      <c r="M34" s="27" t="n">
        <v>0.5</v>
      </c>
      <c r="N34" s="27" t="n">
        <v>1</v>
      </c>
      <c r="O34" s="25" t="n">
        <f aca="false">I34*J34</f>
        <v>4</v>
      </c>
      <c r="P34" s="25" t="n">
        <f aca="false">K34*L34</f>
        <v>0</v>
      </c>
      <c r="Q34" s="25" t="n">
        <f aca="false">M34*N34</f>
        <v>0.5</v>
      </c>
      <c r="R34" s="28" t="n">
        <f aca="false">ROUND(O34*Annahmen!$F$9+P34*Annahmen!$F$12+Q34*Annahmen!$F$15,-2)</f>
        <v>29400</v>
      </c>
      <c r="S34" s="29" t="n">
        <v>1</v>
      </c>
      <c r="T34" s="29" t="n">
        <v>0.15</v>
      </c>
      <c r="U34" s="28" t="n">
        <f aca="false">ROUND(R34*S34*T34,-2)</f>
        <v>4400</v>
      </c>
      <c r="V34" s="28" t="n">
        <f aca="false">R34*S34</f>
        <v>29400</v>
      </c>
      <c r="W34" s="23" t="s">
        <v>383</v>
      </c>
      <c r="X34" s="33" t="s">
        <v>99</v>
      </c>
    </row>
    <row r="35" customFormat="false" ht="36" hidden="false" customHeight="true" outlineLevel="0" collapsed="false">
      <c r="A35" s="25" t="n">
        <v>31</v>
      </c>
      <c r="B35" s="24" t="s">
        <v>666</v>
      </c>
      <c r="C35" s="25" t="s">
        <v>667</v>
      </c>
      <c r="D35" s="23" t="s">
        <v>668</v>
      </c>
      <c r="E35" s="25" t="s">
        <v>144</v>
      </c>
      <c r="F35" s="25" t="s">
        <v>669</v>
      </c>
      <c r="G35" s="23" t="s">
        <v>670</v>
      </c>
      <c r="H35" s="23" t="s">
        <v>671</v>
      </c>
      <c r="I35" s="27" t="n">
        <v>1</v>
      </c>
      <c r="J35" s="27" t="n">
        <v>1.5</v>
      </c>
      <c r="K35" s="27" t="n">
        <v>0</v>
      </c>
      <c r="L35" s="27" t="n">
        <v>0</v>
      </c>
      <c r="M35" s="27" t="n">
        <v>0</v>
      </c>
      <c r="N35" s="27" t="n">
        <v>0</v>
      </c>
      <c r="O35" s="25" t="n">
        <f aca="false">I35*J35</f>
        <v>1.5</v>
      </c>
      <c r="P35" s="25" t="n">
        <f aca="false">K35*L35</f>
        <v>0</v>
      </c>
      <c r="Q35" s="25" t="n">
        <f aca="false">M35*N35</f>
        <v>0</v>
      </c>
      <c r="R35" s="28" t="n">
        <f aca="false">ROUND(O35*Annahmen!$F$9+P35*Annahmen!$F$12+Q35*Annahmen!$F$15,-2)</f>
        <v>6400</v>
      </c>
      <c r="S35" s="29" t="n">
        <v>1</v>
      </c>
      <c r="T35" s="29" t="n">
        <v>0.15</v>
      </c>
      <c r="U35" s="28" t="n">
        <f aca="false">ROUND(R35*S35*T35,-2)</f>
        <v>1000</v>
      </c>
      <c r="V35" s="28" t="n">
        <f aca="false">R35*S35</f>
        <v>6400</v>
      </c>
      <c r="W35" s="23" t="s">
        <v>383</v>
      </c>
      <c r="X35" s="33" t="s">
        <v>99</v>
      </c>
    </row>
    <row r="36" customFormat="false" ht="36" hidden="false" customHeight="true" outlineLevel="0" collapsed="false">
      <c r="A36" s="25" t="n">
        <v>32</v>
      </c>
      <c r="B36" s="24" t="s">
        <v>672</v>
      </c>
      <c r="C36" s="25" t="s">
        <v>615</v>
      </c>
      <c r="D36" s="23" t="s">
        <v>429</v>
      </c>
      <c r="E36" s="25" t="s">
        <v>124</v>
      </c>
      <c r="F36" s="25" t="s">
        <v>673</v>
      </c>
      <c r="G36" s="23" t="s">
        <v>562</v>
      </c>
      <c r="H36" s="23" t="s">
        <v>674</v>
      </c>
      <c r="I36" s="27" t="n">
        <v>1</v>
      </c>
      <c r="J36" s="27" t="n">
        <v>1.5</v>
      </c>
      <c r="K36" s="27" t="n">
        <v>0</v>
      </c>
      <c r="L36" s="27" t="n">
        <v>0</v>
      </c>
      <c r="M36" s="27" t="n">
        <v>0</v>
      </c>
      <c r="N36" s="27" t="n">
        <v>0</v>
      </c>
      <c r="O36" s="25" t="n">
        <f aca="false">I36*J36</f>
        <v>1.5</v>
      </c>
      <c r="P36" s="25" t="n">
        <f aca="false">K36*L36</f>
        <v>0</v>
      </c>
      <c r="Q36" s="25" t="n">
        <f aca="false">M36*N36</f>
        <v>0</v>
      </c>
      <c r="R36" s="28" t="n">
        <f aca="false">ROUND(O36*Annahmen!$F$9+P36*Annahmen!$F$12+Q36*Annahmen!$F$15,-2)</f>
        <v>6400</v>
      </c>
      <c r="S36" s="29" t="n">
        <v>1</v>
      </c>
      <c r="T36" s="29" t="n">
        <v>0.15</v>
      </c>
      <c r="U36" s="28" t="n">
        <f aca="false">ROUND(R36*S36*T36,-2)</f>
        <v>1000</v>
      </c>
      <c r="V36" s="28" t="n">
        <f aca="false">R36*S36</f>
        <v>6400</v>
      </c>
      <c r="W36" s="23" t="s">
        <v>383</v>
      </c>
      <c r="X36" s="33" t="s">
        <v>99</v>
      </c>
    </row>
    <row r="37" customFormat="false" ht="36" hidden="false" customHeight="true" outlineLevel="0" collapsed="false">
      <c r="A37" s="25" t="n">
        <v>33</v>
      </c>
      <c r="B37" s="24" t="s">
        <v>675</v>
      </c>
      <c r="C37" s="25" t="s">
        <v>676</v>
      </c>
      <c r="D37" s="23" t="s">
        <v>668</v>
      </c>
      <c r="E37" s="25" t="s">
        <v>144</v>
      </c>
      <c r="F37" s="25" t="s">
        <v>677</v>
      </c>
      <c r="G37" s="23" t="s">
        <v>678</v>
      </c>
      <c r="H37" s="23" t="s">
        <v>679</v>
      </c>
      <c r="I37" s="27" t="n">
        <v>0.5</v>
      </c>
      <c r="J37" s="27" t="n">
        <v>2</v>
      </c>
      <c r="K37" s="27" t="n">
        <v>0</v>
      </c>
      <c r="L37" s="27" t="n">
        <v>0</v>
      </c>
      <c r="M37" s="27" t="n">
        <v>0</v>
      </c>
      <c r="N37" s="27" t="n">
        <v>0</v>
      </c>
      <c r="O37" s="25" t="n">
        <f aca="false">I37*J37</f>
        <v>1</v>
      </c>
      <c r="P37" s="25" t="n">
        <f aca="false">K37*L37</f>
        <v>0</v>
      </c>
      <c r="Q37" s="25" t="n">
        <f aca="false">M37*N37</f>
        <v>0</v>
      </c>
      <c r="R37" s="28" t="n">
        <f aca="false">ROUND(O37*Annahmen!$F$9+P37*Annahmen!$F$12+Q37*Annahmen!$F$15,-2)</f>
        <v>4200</v>
      </c>
      <c r="S37" s="29" t="n">
        <v>1</v>
      </c>
      <c r="T37" s="29" t="n">
        <v>0.15</v>
      </c>
      <c r="U37" s="28" t="n">
        <f aca="false">ROUND(R37*S37*T37,-2)</f>
        <v>600</v>
      </c>
      <c r="V37" s="28" t="n">
        <f aca="false">R37*S37</f>
        <v>4200</v>
      </c>
      <c r="W37" s="23" t="s">
        <v>383</v>
      </c>
      <c r="X37" s="33" t="s">
        <v>99</v>
      </c>
    </row>
    <row r="38" customFormat="false" ht="36" hidden="false" customHeight="true" outlineLevel="0" collapsed="false">
      <c r="A38" s="25" t="n">
        <v>34</v>
      </c>
      <c r="B38" s="24" t="s">
        <v>680</v>
      </c>
      <c r="C38" s="25" t="s">
        <v>681</v>
      </c>
      <c r="D38" s="23" t="s">
        <v>638</v>
      </c>
      <c r="E38" s="25" t="s">
        <v>144</v>
      </c>
      <c r="F38" s="25" t="s">
        <v>649</v>
      </c>
      <c r="G38" s="23" t="s">
        <v>682</v>
      </c>
      <c r="H38" s="23" t="s">
        <v>683</v>
      </c>
      <c r="I38" s="27" t="n">
        <v>0.5</v>
      </c>
      <c r="J38" s="27" t="n">
        <v>1</v>
      </c>
      <c r="K38" s="27" t="n">
        <v>0</v>
      </c>
      <c r="L38" s="27" t="n">
        <v>0</v>
      </c>
      <c r="M38" s="27" t="n">
        <v>0</v>
      </c>
      <c r="N38" s="27" t="n">
        <v>0</v>
      </c>
      <c r="O38" s="25" t="n">
        <f aca="false">I38*J38</f>
        <v>0.5</v>
      </c>
      <c r="P38" s="25" t="n">
        <f aca="false">K38*L38</f>
        <v>0</v>
      </c>
      <c r="Q38" s="25" t="n">
        <f aca="false">M38*N38</f>
        <v>0</v>
      </c>
      <c r="R38" s="28" t="n">
        <f aca="false">ROUND(O38*Annahmen!$F$9+P38*Annahmen!$F$12+Q38*Annahmen!$F$15,-2)</f>
        <v>2100</v>
      </c>
      <c r="S38" s="29" t="n">
        <v>1</v>
      </c>
      <c r="T38" s="29" t="n">
        <v>0.15</v>
      </c>
      <c r="U38" s="28" t="n">
        <f aca="false">ROUND(R38*S38*T38,-2)</f>
        <v>300</v>
      </c>
      <c r="V38" s="28" t="n">
        <f aca="false">R38*S38</f>
        <v>2100</v>
      </c>
      <c r="W38" s="23" t="s">
        <v>383</v>
      </c>
      <c r="X38" s="33" t="s">
        <v>99</v>
      </c>
    </row>
    <row r="39" customFormat="false" ht="36" hidden="false" customHeight="true" outlineLevel="0" collapsed="false">
      <c r="A39" s="25" t="n">
        <v>35</v>
      </c>
      <c r="B39" s="24" t="s">
        <v>684</v>
      </c>
      <c r="C39" s="25" t="s">
        <v>685</v>
      </c>
      <c r="D39" s="23" t="s">
        <v>686</v>
      </c>
      <c r="E39" s="25" t="s">
        <v>277</v>
      </c>
      <c r="F39" s="25" t="s">
        <v>687</v>
      </c>
      <c r="G39" s="23" t="s">
        <v>670</v>
      </c>
      <c r="H39" s="23" t="s">
        <v>688</v>
      </c>
      <c r="I39" s="27" t="n">
        <v>1</v>
      </c>
      <c r="J39" s="27" t="n">
        <v>1.5</v>
      </c>
      <c r="K39" s="27" t="n">
        <v>0</v>
      </c>
      <c r="L39" s="27" t="n">
        <v>0</v>
      </c>
      <c r="M39" s="27" t="n">
        <v>0</v>
      </c>
      <c r="N39" s="27" t="n">
        <v>0</v>
      </c>
      <c r="O39" s="25" t="n">
        <f aca="false">I39*J39</f>
        <v>1.5</v>
      </c>
      <c r="P39" s="25" t="n">
        <f aca="false">K39*L39</f>
        <v>0</v>
      </c>
      <c r="Q39" s="25" t="n">
        <f aca="false">M39*N39</f>
        <v>0</v>
      </c>
      <c r="R39" s="28" t="n">
        <f aca="false">ROUND(O39*Annahmen!$F$9+P39*Annahmen!$F$12+Q39*Annahmen!$F$15,-2)</f>
        <v>6400</v>
      </c>
      <c r="S39" s="29" t="n">
        <v>1</v>
      </c>
      <c r="T39" s="29" t="n">
        <v>0.15</v>
      </c>
      <c r="U39" s="28" t="n">
        <f aca="false">ROUND(R39*S39*T39,-2)</f>
        <v>1000</v>
      </c>
      <c r="V39" s="28" t="n">
        <f aca="false">R39*S39</f>
        <v>6400</v>
      </c>
      <c r="W39" s="23" t="s">
        <v>383</v>
      </c>
      <c r="X39" s="33" t="s">
        <v>99</v>
      </c>
    </row>
    <row r="40" customFormat="false" ht="36" hidden="false" customHeight="true" outlineLevel="0" collapsed="false">
      <c r="A40" s="25" t="n">
        <v>36</v>
      </c>
      <c r="B40" s="24" t="s">
        <v>689</v>
      </c>
      <c r="C40" s="25" t="s">
        <v>685</v>
      </c>
      <c r="D40" s="23" t="s">
        <v>690</v>
      </c>
      <c r="E40" s="25" t="s">
        <v>250</v>
      </c>
      <c r="F40" s="25" t="s">
        <v>691</v>
      </c>
      <c r="G40" s="23" t="s">
        <v>692</v>
      </c>
      <c r="H40" s="23" t="s">
        <v>693</v>
      </c>
      <c r="I40" s="27" t="n">
        <v>0.5</v>
      </c>
      <c r="J40" s="27" t="n">
        <v>1.5</v>
      </c>
      <c r="K40" s="27" t="n">
        <v>0</v>
      </c>
      <c r="L40" s="27" t="n">
        <v>0</v>
      </c>
      <c r="M40" s="27" t="n">
        <v>0</v>
      </c>
      <c r="N40" s="27" t="n">
        <v>0</v>
      </c>
      <c r="O40" s="25" t="n">
        <f aca="false">I40*J40</f>
        <v>0.75</v>
      </c>
      <c r="P40" s="25" t="n">
        <f aca="false">K40*L40</f>
        <v>0</v>
      </c>
      <c r="Q40" s="25" t="n">
        <f aca="false">M40*N40</f>
        <v>0</v>
      </c>
      <c r="R40" s="28" t="n">
        <f aca="false">ROUND(O40*Annahmen!$F$9+P40*Annahmen!$F$12+Q40*Annahmen!$F$15,-2)</f>
        <v>3200</v>
      </c>
      <c r="S40" s="29" t="n">
        <v>1</v>
      </c>
      <c r="T40" s="29" t="n">
        <v>0.15</v>
      </c>
      <c r="U40" s="28" t="n">
        <f aca="false">ROUND(R40*S40*T40,-2)</f>
        <v>500</v>
      </c>
      <c r="V40" s="28" t="n">
        <f aca="false">R40*S40</f>
        <v>3200</v>
      </c>
      <c r="W40" s="23" t="s">
        <v>383</v>
      </c>
      <c r="X40" s="33" t="s">
        <v>99</v>
      </c>
    </row>
    <row r="41" customFormat="false" ht="36" hidden="false" customHeight="true" outlineLevel="0" collapsed="false">
      <c r="A41" s="25" t="n">
        <v>37</v>
      </c>
      <c r="B41" s="24" t="s">
        <v>694</v>
      </c>
      <c r="C41" s="25" t="s">
        <v>695</v>
      </c>
      <c r="D41" s="23" t="s">
        <v>327</v>
      </c>
      <c r="E41" s="25" t="s">
        <v>165</v>
      </c>
      <c r="F41" s="25" t="s">
        <v>696</v>
      </c>
      <c r="G41" s="23" t="s">
        <v>697</v>
      </c>
      <c r="H41" s="23" t="s">
        <v>698</v>
      </c>
      <c r="I41" s="27" t="n">
        <v>0.5</v>
      </c>
      <c r="J41" s="27" t="n">
        <v>1</v>
      </c>
      <c r="K41" s="27" t="n">
        <v>0</v>
      </c>
      <c r="L41" s="27" t="n">
        <v>0</v>
      </c>
      <c r="M41" s="27" t="n">
        <v>0</v>
      </c>
      <c r="N41" s="27" t="n">
        <v>0</v>
      </c>
      <c r="O41" s="25" t="n">
        <f aca="false">I41*J41</f>
        <v>0.5</v>
      </c>
      <c r="P41" s="25" t="n">
        <f aca="false">K41*L41</f>
        <v>0</v>
      </c>
      <c r="Q41" s="25" t="n">
        <f aca="false">M41*N41</f>
        <v>0</v>
      </c>
      <c r="R41" s="28" t="n">
        <f aca="false">ROUND(O41*Annahmen!$F$9+P41*Annahmen!$F$12+Q41*Annahmen!$F$15,-2)</f>
        <v>2100</v>
      </c>
      <c r="S41" s="29" t="n">
        <v>1</v>
      </c>
      <c r="T41" s="29" t="n">
        <v>0.15</v>
      </c>
      <c r="U41" s="28" t="n">
        <f aca="false">ROUND(R41*S41*T41,-2)</f>
        <v>300</v>
      </c>
      <c r="V41" s="28" t="n">
        <f aca="false">R41*S41</f>
        <v>2100</v>
      </c>
      <c r="W41" s="23" t="s">
        <v>383</v>
      </c>
      <c r="X41" s="33" t="s">
        <v>99</v>
      </c>
    </row>
    <row r="42" customFormat="false" ht="36" hidden="false" customHeight="true" outlineLevel="0" collapsed="false">
      <c r="A42" s="25" t="n">
        <v>38</v>
      </c>
      <c r="B42" s="24" t="s">
        <v>699</v>
      </c>
      <c r="C42" s="25" t="s">
        <v>695</v>
      </c>
      <c r="D42" s="23" t="s">
        <v>700</v>
      </c>
      <c r="E42" s="25" t="s">
        <v>250</v>
      </c>
      <c r="F42" s="25" t="s">
        <v>639</v>
      </c>
      <c r="G42" s="23" t="s">
        <v>701</v>
      </c>
      <c r="H42" s="23" t="s">
        <v>702</v>
      </c>
      <c r="I42" s="27" t="n">
        <v>0.3</v>
      </c>
      <c r="J42" s="27" t="n">
        <v>1</v>
      </c>
      <c r="K42" s="27" t="n">
        <v>0</v>
      </c>
      <c r="L42" s="27" t="n">
        <v>0</v>
      </c>
      <c r="M42" s="27" t="n">
        <v>0</v>
      </c>
      <c r="N42" s="27" t="n">
        <v>0</v>
      </c>
      <c r="O42" s="25" t="n">
        <f aca="false">I42*J42</f>
        <v>0.3</v>
      </c>
      <c r="P42" s="25" t="n">
        <f aca="false">K42*L42</f>
        <v>0</v>
      </c>
      <c r="Q42" s="25" t="n">
        <f aca="false">M42*N42</f>
        <v>0</v>
      </c>
      <c r="R42" s="28" t="n">
        <f aca="false">ROUND(O42*Annahmen!$F$9+P42*Annahmen!$F$12+Q42*Annahmen!$F$15,-2)</f>
        <v>1300</v>
      </c>
      <c r="S42" s="29" t="n">
        <v>1</v>
      </c>
      <c r="T42" s="29" t="n">
        <v>0.15</v>
      </c>
      <c r="U42" s="28" t="n">
        <f aca="false">ROUND(R42*S42*T42,-2)</f>
        <v>200</v>
      </c>
      <c r="V42" s="28" t="n">
        <f aca="false">R42*S42</f>
        <v>1300</v>
      </c>
      <c r="W42" s="23" t="s">
        <v>383</v>
      </c>
      <c r="X42" s="33" t="s">
        <v>99</v>
      </c>
    </row>
    <row r="43" customFormat="false" ht="36" hidden="false" customHeight="true" outlineLevel="0" collapsed="false">
      <c r="A43" s="25" t="n">
        <v>39</v>
      </c>
      <c r="B43" s="24" t="s">
        <v>703</v>
      </c>
      <c r="C43" s="25" t="s">
        <v>667</v>
      </c>
      <c r="D43" s="23" t="s">
        <v>638</v>
      </c>
      <c r="E43" s="25" t="s">
        <v>144</v>
      </c>
      <c r="F43" s="25" t="s">
        <v>704</v>
      </c>
      <c r="G43" s="23" t="s">
        <v>705</v>
      </c>
      <c r="H43" s="23" t="s">
        <v>706</v>
      </c>
      <c r="I43" s="27" t="n">
        <v>0.3</v>
      </c>
      <c r="J43" s="27" t="n">
        <v>1</v>
      </c>
      <c r="K43" s="27" t="n">
        <v>0</v>
      </c>
      <c r="L43" s="27" t="n">
        <v>0</v>
      </c>
      <c r="M43" s="27" t="n">
        <v>0</v>
      </c>
      <c r="N43" s="27" t="n">
        <v>0</v>
      </c>
      <c r="O43" s="25" t="n">
        <f aca="false">I43*J43</f>
        <v>0.3</v>
      </c>
      <c r="P43" s="25" t="n">
        <f aca="false">K43*L43</f>
        <v>0</v>
      </c>
      <c r="Q43" s="25" t="n">
        <f aca="false">M43*N43</f>
        <v>0</v>
      </c>
      <c r="R43" s="28" t="n">
        <f aca="false">ROUND(O43*Annahmen!$F$9+P43*Annahmen!$F$12+Q43*Annahmen!$F$15,-2)</f>
        <v>1300</v>
      </c>
      <c r="S43" s="29" t="n">
        <v>1</v>
      </c>
      <c r="T43" s="29" t="n">
        <v>0.15</v>
      </c>
      <c r="U43" s="28" t="n">
        <f aca="false">ROUND(R43*S43*T43,-2)</f>
        <v>200</v>
      </c>
      <c r="V43" s="28" t="n">
        <f aca="false">R43*S43</f>
        <v>1300</v>
      </c>
      <c r="W43" s="23" t="s">
        <v>383</v>
      </c>
      <c r="X43" s="33" t="s">
        <v>99</v>
      </c>
    </row>
    <row r="44" customFormat="false" ht="36" hidden="false" customHeight="true" outlineLevel="0" collapsed="false">
      <c r="A44" s="25" t="n">
        <v>40</v>
      </c>
      <c r="B44" s="24" t="s">
        <v>707</v>
      </c>
      <c r="C44" s="25" t="s">
        <v>667</v>
      </c>
      <c r="D44" s="23" t="s">
        <v>700</v>
      </c>
      <c r="E44" s="25" t="s">
        <v>250</v>
      </c>
      <c r="F44" s="25" t="s">
        <v>708</v>
      </c>
      <c r="G44" s="23" t="s">
        <v>709</v>
      </c>
      <c r="H44" s="23" t="s">
        <v>710</v>
      </c>
      <c r="I44" s="27" t="n">
        <v>0.3</v>
      </c>
      <c r="J44" s="27" t="n">
        <v>1</v>
      </c>
      <c r="K44" s="27" t="n">
        <v>0</v>
      </c>
      <c r="L44" s="27" t="n">
        <v>0</v>
      </c>
      <c r="M44" s="27" t="n">
        <v>0</v>
      </c>
      <c r="N44" s="27" t="n">
        <v>0</v>
      </c>
      <c r="O44" s="25" t="n">
        <f aca="false">I44*J44</f>
        <v>0.3</v>
      </c>
      <c r="P44" s="25" t="n">
        <f aca="false">K44*L44</f>
        <v>0</v>
      </c>
      <c r="Q44" s="25" t="n">
        <f aca="false">M44*N44</f>
        <v>0</v>
      </c>
      <c r="R44" s="28" t="n">
        <f aca="false">ROUND(O44*Annahmen!$F$9+P44*Annahmen!$F$12+Q44*Annahmen!$F$15,-2)</f>
        <v>1300</v>
      </c>
      <c r="S44" s="29" t="n">
        <v>1</v>
      </c>
      <c r="T44" s="29" t="n">
        <v>0.15</v>
      </c>
      <c r="U44" s="28" t="n">
        <f aca="false">ROUND(R44*S44*T44,-2)</f>
        <v>200</v>
      </c>
      <c r="V44" s="28" t="n">
        <f aca="false">R44*S44</f>
        <v>1300</v>
      </c>
      <c r="W44" s="23" t="s">
        <v>383</v>
      </c>
      <c r="X44" s="33" t="s">
        <v>99</v>
      </c>
    </row>
    <row r="45" customFormat="false" ht="36" hidden="false" customHeight="true" outlineLevel="0" collapsed="false">
      <c r="A45" s="25" t="n">
        <v>41</v>
      </c>
      <c r="B45" s="24" t="s">
        <v>711</v>
      </c>
      <c r="C45" s="25" t="s">
        <v>615</v>
      </c>
      <c r="D45" s="23" t="s">
        <v>712</v>
      </c>
      <c r="E45" s="25" t="s">
        <v>250</v>
      </c>
      <c r="F45" s="25" t="s">
        <v>713</v>
      </c>
      <c r="G45" s="23" t="s">
        <v>714</v>
      </c>
      <c r="H45" s="23" t="s">
        <v>715</v>
      </c>
      <c r="I45" s="27" t="n">
        <v>0.5</v>
      </c>
      <c r="J45" s="27" t="n">
        <v>1.5</v>
      </c>
      <c r="K45" s="27" t="n">
        <v>0</v>
      </c>
      <c r="L45" s="27" t="n">
        <v>0</v>
      </c>
      <c r="M45" s="27" t="n">
        <v>0</v>
      </c>
      <c r="N45" s="27" t="n">
        <v>0</v>
      </c>
      <c r="O45" s="25" t="n">
        <f aca="false">I45*J45</f>
        <v>0.75</v>
      </c>
      <c r="P45" s="25" t="n">
        <f aca="false">K45*L45</f>
        <v>0</v>
      </c>
      <c r="Q45" s="25" t="n">
        <f aca="false">M45*N45</f>
        <v>0</v>
      </c>
      <c r="R45" s="28" t="n">
        <f aca="false">ROUND(O45*Annahmen!$F$9+P45*Annahmen!$F$12+Q45*Annahmen!$F$15,-2)</f>
        <v>3200</v>
      </c>
      <c r="S45" s="29" t="n">
        <v>0</v>
      </c>
      <c r="T45" s="29" t="n">
        <v>0.15</v>
      </c>
      <c r="U45" s="28" t="n">
        <f aca="false">ROUND(R45*S45*T45,-2)</f>
        <v>0</v>
      </c>
      <c r="V45" s="28" t="n">
        <f aca="false">R45*S45</f>
        <v>0</v>
      </c>
      <c r="W45" s="23" t="s">
        <v>383</v>
      </c>
      <c r="X45" s="33" t="s">
        <v>99</v>
      </c>
    </row>
    <row r="46" customFormat="false" ht="36" hidden="false" customHeight="true" outlineLevel="0" collapsed="false">
      <c r="A46" s="25" t="n">
        <v>42</v>
      </c>
      <c r="B46" s="24" t="s">
        <v>716</v>
      </c>
      <c r="C46" s="25" t="s">
        <v>717</v>
      </c>
      <c r="D46" s="23" t="s">
        <v>718</v>
      </c>
      <c r="E46" s="25" t="s">
        <v>144</v>
      </c>
      <c r="F46" s="25" t="s">
        <v>719</v>
      </c>
      <c r="G46" s="23" t="s">
        <v>720</v>
      </c>
      <c r="H46" s="23" t="s">
        <v>721</v>
      </c>
      <c r="I46" s="27" t="n">
        <v>0.3</v>
      </c>
      <c r="J46" s="27" t="n">
        <v>1</v>
      </c>
      <c r="K46" s="27" t="n">
        <v>0</v>
      </c>
      <c r="L46" s="27" t="n">
        <v>0</v>
      </c>
      <c r="M46" s="27" t="n">
        <v>0</v>
      </c>
      <c r="N46" s="27" t="n">
        <v>0</v>
      </c>
      <c r="O46" s="25" t="n">
        <f aca="false">I46*J46</f>
        <v>0.3</v>
      </c>
      <c r="P46" s="25" t="n">
        <f aca="false">K46*L46</f>
        <v>0</v>
      </c>
      <c r="Q46" s="25" t="n">
        <f aca="false">M46*N46</f>
        <v>0</v>
      </c>
      <c r="R46" s="28" t="n">
        <f aca="false">ROUND(O46*Annahmen!$F$9+P46*Annahmen!$F$12+Q46*Annahmen!$F$15,-2)</f>
        <v>1300</v>
      </c>
      <c r="S46" s="29" t="n">
        <v>1</v>
      </c>
      <c r="T46" s="29" t="n">
        <v>0.15</v>
      </c>
      <c r="U46" s="28" t="n">
        <f aca="false">ROUND(R46*S46*T46,-2)</f>
        <v>200</v>
      </c>
      <c r="V46" s="28" t="n">
        <f aca="false">R46*S46</f>
        <v>1300</v>
      </c>
      <c r="W46" s="23" t="s">
        <v>383</v>
      </c>
      <c r="X46" s="33" t="s">
        <v>99</v>
      </c>
    </row>
    <row r="47" customFormat="false" ht="36" hidden="false" customHeight="true" outlineLevel="0" collapsed="false">
      <c r="A47" s="25" t="n">
        <v>43</v>
      </c>
      <c r="B47" s="24" t="s">
        <v>722</v>
      </c>
      <c r="C47" s="25" t="s">
        <v>723</v>
      </c>
      <c r="D47" s="23" t="s">
        <v>724</v>
      </c>
      <c r="E47" s="25" t="s">
        <v>277</v>
      </c>
      <c r="F47" s="25" t="s">
        <v>725</v>
      </c>
      <c r="G47" s="23" t="s">
        <v>726</v>
      </c>
      <c r="H47" s="23" t="s">
        <v>727</v>
      </c>
      <c r="I47" s="27" t="n">
        <v>0.5</v>
      </c>
      <c r="J47" s="27" t="n">
        <v>20</v>
      </c>
      <c r="K47" s="27" t="n">
        <v>0</v>
      </c>
      <c r="L47" s="27" t="n">
        <v>0</v>
      </c>
      <c r="M47" s="27" t="n">
        <v>0</v>
      </c>
      <c r="N47" s="27" t="n">
        <v>0</v>
      </c>
      <c r="O47" s="25" t="n">
        <f aca="false">I47*J47</f>
        <v>10</v>
      </c>
      <c r="P47" s="25" t="n">
        <f aca="false">K47*L47</f>
        <v>0</v>
      </c>
      <c r="Q47" s="25" t="n">
        <f aca="false">M47*N47</f>
        <v>0</v>
      </c>
      <c r="R47" s="28" t="n">
        <f aca="false">ROUND(O47*Annahmen!$F$9+P47*Annahmen!$F$12+Q47*Annahmen!$F$15,-2)</f>
        <v>42400</v>
      </c>
      <c r="S47" s="29" t="n">
        <v>1</v>
      </c>
      <c r="T47" s="29" t="n">
        <v>0.15</v>
      </c>
      <c r="U47" s="28" t="n">
        <f aca="false">ROUND(R47*S47*T47,-2)</f>
        <v>6400</v>
      </c>
      <c r="V47" s="28" t="n">
        <f aca="false">R47*S47</f>
        <v>42400</v>
      </c>
      <c r="W47" s="23" t="s">
        <v>388</v>
      </c>
      <c r="X47" s="33" t="s">
        <v>99</v>
      </c>
    </row>
    <row r="48" customFormat="false" ht="36" hidden="false" customHeight="true" outlineLevel="0" collapsed="false">
      <c r="A48" s="25" t="n">
        <v>44</v>
      </c>
      <c r="B48" s="24" t="s">
        <v>728</v>
      </c>
      <c r="C48" s="25" t="s">
        <v>729</v>
      </c>
      <c r="D48" s="23" t="s">
        <v>718</v>
      </c>
      <c r="E48" s="25" t="s">
        <v>144</v>
      </c>
      <c r="F48" s="25" t="s">
        <v>730</v>
      </c>
      <c r="G48" s="23" t="s">
        <v>571</v>
      </c>
      <c r="H48" s="23" t="s">
        <v>731</v>
      </c>
      <c r="I48" s="27" t="n">
        <v>0.5</v>
      </c>
      <c r="J48" s="27" t="n">
        <v>2</v>
      </c>
      <c r="K48" s="27" t="n">
        <v>0</v>
      </c>
      <c r="L48" s="27" t="n">
        <v>0</v>
      </c>
      <c r="M48" s="27" t="n">
        <v>0</v>
      </c>
      <c r="N48" s="27" t="n">
        <v>0</v>
      </c>
      <c r="O48" s="25" t="n">
        <f aca="false">I48*J48</f>
        <v>1</v>
      </c>
      <c r="P48" s="25" t="n">
        <f aca="false">K48*L48</f>
        <v>0</v>
      </c>
      <c r="Q48" s="25" t="n">
        <f aca="false">M48*N48</f>
        <v>0</v>
      </c>
      <c r="R48" s="28" t="n">
        <f aca="false">ROUND(O48*Annahmen!$F$9+P48*Annahmen!$F$12+Q48*Annahmen!$F$15,-2)</f>
        <v>4200</v>
      </c>
      <c r="S48" s="29" t="n">
        <v>1</v>
      </c>
      <c r="T48" s="29" t="n">
        <v>0.15</v>
      </c>
      <c r="U48" s="28" t="n">
        <f aca="false">ROUND(R48*S48*T48,-2)</f>
        <v>600</v>
      </c>
      <c r="V48" s="28" t="n">
        <f aca="false">R48*S48</f>
        <v>4200</v>
      </c>
      <c r="W48" s="23" t="s">
        <v>388</v>
      </c>
      <c r="X48" s="33" t="s">
        <v>99</v>
      </c>
    </row>
    <row r="49" customFormat="false" ht="36" hidden="false" customHeight="true" outlineLevel="0" collapsed="false">
      <c r="A49" s="25" t="n">
        <v>45</v>
      </c>
      <c r="B49" s="24" t="s">
        <v>732</v>
      </c>
      <c r="C49" s="25" t="s">
        <v>729</v>
      </c>
      <c r="D49" s="23" t="s">
        <v>540</v>
      </c>
      <c r="E49" s="25" t="s">
        <v>104</v>
      </c>
      <c r="F49" s="25" t="s">
        <v>730</v>
      </c>
      <c r="G49" s="23" t="s">
        <v>571</v>
      </c>
      <c r="H49" s="23" t="s">
        <v>733</v>
      </c>
      <c r="I49" s="27" t="n">
        <v>0.3</v>
      </c>
      <c r="J49" s="27" t="n">
        <v>2</v>
      </c>
      <c r="K49" s="27" t="n">
        <v>0</v>
      </c>
      <c r="L49" s="27" t="n">
        <v>0</v>
      </c>
      <c r="M49" s="27" t="n">
        <v>0</v>
      </c>
      <c r="N49" s="27" t="n">
        <v>0</v>
      </c>
      <c r="O49" s="25" t="n">
        <f aca="false">I49*J49</f>
        <v>0.6</v>
      </c>
      <c r="P49" s="25" t="n">
        <f aca="false">K49*L49</f>
        <v>0</v>
      </c>
      <c r="Q49" s="25" t="n">
        <f aca="false">M49*N49</f>
        <v>0</v>
      </c>
      <c r="R49" s="28" t="n">
        <f aca="false">ROUND(O49*Annahmen!$F$9+P49*Annahmen!$F$12+Q49*Annahmen!$F$15,-2)</f>
        <v>2500</v>
      </c>
      <c r="S49" s="29" t="n">
        <v>1</v>
      </c>
      <c r="T49" s="29" t="n">
        <v>0.15</v>
      </c>
      <c r="U49" s="28" t="n">
        <f aca="false">ROUND(R49*S49*T49,-2)</f>
        <v>400</v>
      </c>
      <c r="V49" s="28" t="n">
        <f aca="false">R49*S49</f>
        <v>2500</v>
      </c>
      <c r="W49" s="23" t="s">
        <v>388</v>
      </c>
      <c r="X49" s="33" t="s">
        <v>99</v>
      </c>
    </row>
    <row r="50" customFormat="false" ht="36" hidden="false" customHeight="true" outlineLevel="0" collapsed="false">
      <c r="A50" s="25" t="n">
        <v>46</v>
      </c>
      <c r="B50" s="24" t="s">
        <v>734</v>
      </c>
      <c r="C50" s="25" t="s">
        <v>729</v>
      </c>
      <c r="D50" s="23" t="s">
        <v>429</v>
      </c>
      <c r="E50" s="25" t="s">
        <v>124</v>
      </c>
      <c r="F50" s="25" t="s">
        <v>735</v>
      </c>
      <c r="G50" s="23" t="s">
        <v>736</v>
      </c>
      <c r="H50" s="23" t="s">
        <v>737</v>
      </c>
      <c r="I50" s="27" t="n">
        <v>0.5</v>
      </c>
      <c r="J50" s="27" t="n">
        <v>2</v>
      </c>
      <c r="K50" s="27" t="n">
        <v>0</v>
      </c>
      <c r="L50" s="27" t="n">
        <v>0</v>
      </c>
      <c r="M50" s="27" t="n">
        <v>0</v>
      </c>
      <c r="N50" s="27" t="n">
        <v>0</v>
      </c>
      <c r="O50" s="25" t="n">
        <f aca="false">I50*J50</f>
        <v>1</v>
      </c>
      <c r="P50" s="25" t="n">
        <f aca="false">K50*L50</f>
        <v>0</v>
      </c>
      <c r="Q50" s="25" t="n">
        <f aca="false">M50*N50</f>
        <v>0</v>
      </c>
      <c r="R50" s="28" t="n">
        <f aca="false">ROUND(O50*Annahmen!$F$9+P50*Annahmen!$F$12+Q50*Annahmen!$F$15,-2)</f>
        <v>4200</v>
      </c>
      <c r="S50" s="29" t="n">
        <v>1</v>
      </c>
      <c r="T50" s="29" t="n">
        <v>0.15</v>
      </c>
      <c r="U50" s="28" t="n">
        <f aca="false">ROUND(R50*S50*T50,-2)</f>
        <v>600</v>
      </c>
      <c r="V50" s="28" t="n">
        <f aca="false">R50*S50</f>
        <v>4200</v>
      </c>
      <c r="W50" s="23" t="s">
        <v>388</v>
      </c>
      <c r="X50" s="33" t="s">
        <v>99</v>
      </c>
    </row>
    <row r="51" customFormat="false" ht="36" hidden="false" customHeight="true" outlineLevel="0" collapsed="false">
      <c r="A51" s="25" t="n">
        <v>47</v>
      </c>
      <c r="B51" s="24" t="s">
        <v>738</v>
      </c>
      <c r="C51" s="25" t="s">
        <v>739</v>
      </c>
      <c r="D51" s="23" t="s">
        <v>429</v>
      </c>
      <c r="E51" s="25" t="s">
        <v>124</v>
      </c>
      <c r="F51" s="25" t="s">
        <v>740</v>
      </c>
      <c r="G51" s="23" t="s">
        <v>562</v>
      </c>
      <c r="H51" s="23" t="s">
        <v>741</v>
      </c>
      <c r="I51" s="27" t="n">
        <v>0.3</v>
      </c>
      <c r="J51" s="27" t="n">
        <v>1</v>
      </c>
      <c r="K51" s="27" t="n">
        <v>0</v>
      </c>
      <c r="L51" s="27" t="n">
        <v>0</v>
      </c>
      <c r="M51" s="27" t="n">
        <v>0</v>
      </c>
      <c r="N51" s="27" t="n">
        <v>0</v>
      </c>
      <c r="O51" s="25" t="n">
        <f aca="false">I51*J51</f>
        <v>0.3</v>
      </c>
      <c r="P51" s="25" t="n">
        <f aca="false">K51*L51</f>
        <v>0</v>
      </c>
      <c r="Q51" s="25" t="n">
        <f aca="false">M51*N51</f>
        <v>0</v>
      </c>
      <c r="R51" s="28" t="n">
        <f aca="false">ROUND(O51*Annahmen!$F$9+P51*Annahmen!$F$12+Q51*Annahmen!$F$15,-2)</f>
        <v>1300</v>
      </c>
      <c r="S51" s="29" t="n">
        <v>1</v>
      </c>
      <c r="T51" s="29" t="n">
        <v>0.15</v>
      </c>
      <c r="U51" s="28" t="n">
        <f aca="false">ROUND(R51*S51*T51,-2)</f>
        <v>200</v>
      </c>
      <c r="V51" s="28" t="n">
        <f aca="false">R51*S51</f>
        <v>1300</v>
      </c>
      <c r="W51" s="23" t="s">
        <v>388</v>
      </c>
      <c r="X51" s="33" t="s">
        <v>99</v>
      </c>
    </row>
    <row r="52" customFormat="false" ht="36" hidden="false" customHeight="true" outlineLevel="0" collapsed="false">
      <c r="A52" s="25" t="n">
        <v>48</v>
      </c>
      <c r="B52" s="24" t="s">
        <v>742</v>
      </c>
      <c r="C52" s="25" t="s">
        <v>743</v>
      </c>
      <c r="D52" s="23" t="s">
        <v>718</v>
      </c>
      <c r="E52" s="25" t="s">
        <v>144</v>
      </c>
      <c r="F52" s="25" t="s">
        <v>744</v>
      </c>
      <c r="G52" s="23" t="s">
        <v>670</v>
      </c>
      <c r="H52" s="23" t="s">
        <v>745</v>
      </c>
      <c r="I52" s="27" t="n">
        <v>0.3</v>
      </c>
      <c r="J52" s="27" t="n">
        <v>1</v>
      </c>
      <c r="K52" s="27" t="n">
        <v>0</v>
      </c>
      <c r="L52" s="27" t="n">
        <v>0</v>
      </c>
      <c r="M52" s="27" t="n">
        <v>0</v>
      </c>
      <c r="N52" s="27" t="n">
        <v>0</v>
      </c>
      <c r="O52" s="25" t="n">
        <f aca="false">I52*J52</f>
        <v>0.3</v>
      </c>
      <c r="P52" s="25" t="n">
        <f aca="false">K52*L52</f>
        <v>0</v>
      </c>
      <c r="Q52" s="25" t="n">
        <f aca="false">M52*N52</f>
        <v>0</v>
      </c>
      <c r="R52" s="28" t="n">
        <f aca="false">ROUND(O52*Annahmen!$F$9+P52*Annahmen!$F$12+Q52*Annahmen!$F$15,-2)</f>
        <v>1300</v>
      </c>
      <c r="S52" s="29" t="n">
        <v>0</v>
      </c>
      <c r="T52" s="29" t="n">
        <v>0.15</v>
      </c>
      <c r="U52" s="28" t="n">
        <f aca="false">ROUND(R52*S52*T52,-2)</f>
        <v>0</v>
      </c>
      <c r="V52" s="28" t="n">
        <f aca="false">R52*S52</f>
        <v>0</v>
      </c>
      <c r="W52" s="23" t="s">
        <v>388</v>
      </c>
      <c r="X52" s="33" t="s">
        <v>99</v>
      </c>
    </row>
    <row r="53" customFormat="false" ht="36" hidden="false" customHeight="true" outlineLevel="0" collapsed="false">
      <c r="A53" s="25" t="n">
        <v>49</v>
      </c>
      <c r="B53" s="24" t="s">
        <v>746</v>
      </c>
      <c r="C53" s="25" t="s">
        <v>747</v>
      </c>
      <c r="D53" s="23" t="s">
        <v>580</v>
      </c>
      <c r="E53" s="25" t="s">
        <v>250</v>
      </c>
      <c r="F53" s="25" t="s">
        <v>748</v>
      </c>
      <c r="G53" s="23" t="s">
        <v>749</v>
      </c>
      <c r="H53" s="23" t="s">
        <v>750</v>
      </c>
      <c r="I53" s="27" t="n">
        <v>0.5</v>
      </c>
      <c r="J53" s="27" t="n">
        <v>5</v>
      </c>
      <c r="K53" s="27" t="n">
        <v>0</v>
      </c>
      <c r="L53" s="27" t="n">
        <v>0</v>
      </c>
      <c r="M53" s="27" t="n">
        <v>0</v>
      </c>
      <c r="N53" s="27" t="n">
        <v>0</v>
      </c>
      <c r="O53" s="25" t="n">
        <f aca="false">I53*J53</f>
        <v>2.5</v>
      </c>
      <c r="P53" s="25" t="n">
        <f aca="false">K53*L53</f>
        <v>0</v>
      </c>
      <c r="Q53" s="25" t="n">
        <f aca="false">M53*N53</f>
        <v>0</v>
      </c>
      <c r="R53" s="28" t="n">
        <f aca="false">ROUND(O53*Annahmen!$F$9+P53*Annahmen!$F$12+Q53*Annahmen!$F$15,-2)</f>
        <v>10600</v>
      </c>
      <c r="S53" s="29" t="n">
        <v>0</v>
      </c>
      <c r="T53" s="29" t="n">
        <v>0.15</v>
      </c>
      <c r="U53" s="28" t="n">
        <f aca="false">ROUND(R53*S53*T53,-2)</f>
        <v>0</v>
      </c>
      <c r="V53" s="28" t="n">
        <f aca="false">R53*S53</f>
        <v>0</v>
      </c>
      <c r="W53" s="23" t="s">
        <v>388</v>
      </c>
      <c r="X53" s="33" t="s">
        <v>99</v>
      </c>
    </row>
    <row r="54" customFormat="false" ht="36" hidden="false" customHeight="true" outlineLevel="0" collapsed="false">
      <c r="A54" s="25" t="n">
        <v>50</v>
      </c>
      <c r="B54" s="24" t="s">
        <v>751</v>
      </c>
      <c r="C54" s="25" t="s">
        <v>747</v>
      </c>
      <c r="D54" s="23" t="s">
        <v>327</v>
      </c>
      <c r="E54" s="25" t="s">
        <v>165</v>
      </c>
      <c r="F54" s="25" t="s">
        <v>752</v>
      </c>
      <c r="G54" s="23" t="s">
        <v>753</v>
      </c>
      <c r="H54" s="23" t="s">
        <v>754</v>
      </c>
      <c r="I54" s="27" t="n">
        <v>0.5</v>
      </c>
      <c r="J54" s="27" t="n">
        <v>5</v>
      </c>
      <c r="K54" s="27" t="n">
        <v>0</v>
      </c>
      <c r="L54" s="27" t="n">
        <v>0</v>
      </c>
      <c r="M54" s="27" t="n">
        <v>0</v>
      </c>
      <c r="N54" s="27" t="n">
        <v>0</v>
      </c>
      <c r="O54" s="25" t="n">
        <f aca="false">I54*J54</f>
        <v>2.5</v>
      </c>
      <c r="P54" s="25" t="n">
        <f aca="false">K54*L54</f>
        <v>0</v>
      </c>
      <c r="Q54" s="25" t="n">
        <f aca="false">M54*N54</f>
        <v>0</v>
      </c>
      <c r="R54" s="28" t="n">
        <f aca="false">ROUND(O54*Annahmen!$F$9+P54*Annahmen!$F$12+Q54*Annahmen!$F$15,-2)</f>
        <v>10600</v>
      </c>
      <c r="S54" s="29" t="n">
        <v>0</v>
      </c>
      <c r="T54" s="29" t="n">
        <v>0.15</v>
      </c>
      <c r="U54" s="28" t="n">
        <f aca="false">ROUND(R54*S54*T54,-2)</f>
        <v>0</v>
      </c>
      <c r="V54" s="28" t="n">
        <f aca="false">R54*S54</f>
        <v>0</v>
      </c>
      <c r="W54" s="23" t="s">
        <v>388</v>
      </c>
      <c r="X54" s="33" t="s">
        <v>99</v>
      </c>
    </row>
    <row r="55" customFormat="false" ht="36" hidden="false" customHeight="true" outlineLevel="0" collapsed="false">
      <c r="A55" s="25" t="n">
        <v>51</v>
      </c>
      <c r="B55" s="24" t="s">
        <v>755</v>
      </c>
      <c r="C55" s="25" t="s">
        <v>747</v>
      </c>
      <c r="D55" s="23" t="s">
        <v>756</v>
      </c>
      <c r="E55" s="25" t="s">
        <v>114</v>
      </c>
      <c r="F55" s="25" t="s">
        <v>757</v>
      </c>
      <c r="G55" s="23" t="s">
        <v>758</v>
      </c>
      <c r="H55" s="23" t="s">
        <v>759</v>
      </c>
      <c r="I55" s="27" t="n">
        <v>0.3</v>
      </c>
      <c r="J55" s="27" t="n">
        <v>4</v>
      </c>
      <c r="K55" s="27" t="n">
        <v>0</v>
      </c>
      <c r="L55" s="27" t="n">
        <v>0</v>
      </c>
      <c r="M55" s="27" t="n">
        <v>0</v>
      </c>
      <c r="N55" s="27" t="n">
        <v>0</v>
      </c>
      <c r="O55" s="25" t="n">
        <f aca="false">I55*J55</f>
        <v>1.2</v>
      </c>
      <c r="P55" s="25" t="n">
        <f aca="false">K55*L55</f>
        <v>0</v>
      </c>
      <c r="Q55" s="25" t="n">
        <f aca="false">M55*N55</f>
        <v>0</v>
      </c>
      <c r="R55" s="28" t="n">
        <f aca="false">ROUND(O55*Annahmen!$F$9+P55*Annahmen!$F$12+Q55*Annahmen!$F$15,-2)</f>
        <v>5100</v>
      </c>
      <c r="S55" s="29" t="n">
        <v>0</v>
      </c>
      <c r="T55" s="29" t="n">
        <v>0.15</v>
      </c>
      <c r="U55" s="28" t="n">
        <f aca="false">ROUND(R55*S55*T55,-2)</f>
        <v>0</v>
      </c>
      <c r="V55" s="28" t="n">
        <f aca="false">R55*S55</f>
        <v>0</v>
      </c>
      <c r="W55" s="23" t="s">
        <v>388</v>
      </c>
      <c r="X55" s="33" t="s">
        <v>99</v>
      </c>
    </row>
    <row r="56" customFormat="false" ht="36" hidden="false" customHeight="true" outlineLevel="0" collapsed="false">
      <c r="A56" s="25" t="n">
        <v>52</v>
      </c>
      <c r="B56" s="24" t="s">
        <v>760</v>
      </c>
      <c r="C56" s="25" t="s">
        <v>761</v>
      </c>
      <c r="D56" s="23" t="s">
        <v>762</v>
      </c>
      <c r="E56" s="25" t="s">
        <v>250</v>
      </c>
      <c r="F56" s="25" t="s">
        <v>763</v>
      </c>
      <c r="G56" s="23" t="s">
        <v>764</v>
      </c>
      <c r="H56" s="23" t="s">
        <v>765</v>
      </c>
      <c r="I56" s="27" t="n">
        <v>0.2</v>
      </c>
      <c r="J56" s="27" t="n">
        <v>2</v>
      </c>
      <c r="K56" s="27" t="n">
        <v>0</v>
      </c>
      <c r="L56" s="27" t="n">
        <v>0</v>
      </c>
      <c r="M56" s="27" t="n">
        <v>0.2</v>
      </c>
      <c r="N56" s="27" t="n">
        <v>0.5</v>
      </c>
      <c r="O56" s="25" t="n">
        <f aca="false">I56*J56</f>
        <v>0.4</v>
      </c>
      <c r="P56" s="25" t="n">
        <f aca="false">K56*L56</f>
        <v>0</v>
      </c>
      <c r="Q56" s="25" t="n">
        <f aca="false">M56*N56</f>
        <v>0.1</v>
      </c>
      <c r="R56" s="28" t="n">
        <f aca="false">ROUND(O56*Annahmen!$F$9+P56*Annahmen!$F$12+Q56*Annahmen!$F$15,-2)</f>
        <v>4200</v>
      </c>
      <c r="S56" s="29" t="n">
        <v>1</v>
      </c>
      <c r="T56" s="29" t="n">
        <v>0.15</v>
      </c>
      <c r="U56" s="28" t="n">
        <f aca="false">ROUND(R56*S56*T56,-2)</f>
        <v>600</v>
      </c>
      <c r="V56" s="28" t="n">
        <f aca="false">R56*S56</f>
        <v>4200</v>
      </c>
      <c r="W56" s="23" t="s">
        <v>388</v>
      </c>
      <c r="X56" s="33" t="s">
        <v>99</v>
      </c>
    </row>
    <row r="57" customFormat="false" ht="36" hidden="false" customHeight="true" outlineLevel="0" collapsed="false">
      <c r="A57" s="25" t="n">
        <v>53</v>
      </c>
      <c r="B57" s="24" t="s">
        <v>766</v>
      </c>
      <c r="C57" s="25" t="s">
        <v>657</v>
      </c>
      <c r="D57" s="23" t="s">
        <v>756</v>
      </c>
      <c r="E57" s="25" t="s">
        <v>114</v>
      </c>
      <c r="F57" s="25" t="s">
        <v>767</v>
      </c>
      <c r="G57" s="23" t="s">
        <v>768</v>
      </c>
      <c r="H57" s="23" t="s">
        <v>769</v>
      </c>
      <c r="I57" s="27" t="n">
        <v>0.5</v>
      </c>
      <c r="J57" s="27" t="n">
        <v>1</v>
      </c>
      <c r="K57" s="27" t="n">
        <v>0</v>
      </c>
      <c r="L57" s="27" t="n">
        <v>0</v>
      </c>
      <c r="M57" s="27" t="n">
        <v>0</v>
      </c>
      <c r="N57" s="27" t="n">
        <v>0</v>
      </c>
      <c r="O57" s="25" t="n">
        <f aca="false">I57*J57</f>
        <v>0.5</v>
      </c>
      <c r="P57" s="25" t="n">
        <f aca="false">K57*L57</f>
        <v>0</v>
      </c>
      <c r="Q57" s="25" t="n">
        <f aca="false">M57*N57</f>
        <v>0</v>
      </c>
      <c r="R57" s="28" t="n">
        <f aca="false">ROUND(O57*Annahmen!$F$9+P57*Annahmen!$F$12+Q57*Annahmen!$F$15,-2)</f>
        <v>2100</v>
      </c>
      <c r="S57" s="29" t="n">
        <v>1</v>
      </c>
      <c r="T57" s="29" t="n">
        <v>0.15</v>
      </c>
      <c r="U57" s="28" t="n">
        <f aca="false">ROUND(R57*S57*T57,-2)</f>
        <v>300</v>
      </c>
      <c r="V57" s="28" t="n">
        <f aca="false">R57*S57</f>
        <v>2100</v>
      </c>
      <c r="W57" s="23" t="s">
        <v>388</v>
      </c>
      <c r="X57" s="33" t="s">
        <v>99</v>
      </c>
    </row>
    <row r="58" customFormat="false" ht="36" hidden="false" customHeight="true" outlineLevel="0" collapsed="false">
      <c r="A58" s="25" t="n">
        <v>54</v>
      </c>
      <c r="B58" s="24" t="s">
        <v>770</v>
      </c>
      <c r="C58" s="25" t="s">
        <v>657</v>
      </c>
      <c r="D58" s="23" t="s">
        <v>540</v>
      </c>
      <c r="E58" s="25" t="s">
        <v>104</v>
      </c>
      <c r="F58" s="25" t="s">
        <v>771</v>
      </c>
      <c r="G58" s="23" t="s">
        <v>692</v>
      </c>
      <c r="H58" s="23" t="s">
        <v>772</v>
      </c>
      <c r="I58" s="27" t="n">
        <v>0.5</v>
      </c>
      <c r="J58" s="27" t="n">
        <v>1</v>
      </c>
      <c r="K58" s="27" t="n">
        <v>0</v>
      </c>
      <c r="L58" s="27" t="n">
        <v>0</v>
      </c>
      <c r="M58" s="27" t="n">
        <v>0</v>
      </c>
      <c r="N58" s="27" t="n">
        <v>0</v>
      </c>
      <c r="O58" s="25" t="n">
        <f aca="false">I58*J58</f>
        <v>0.5</v>
      </c>
      <c r="P58" s="25" t="n">
        <f aca="false">K58*L58</f>
        <v>0</v>
      </c>
      <c r="Q58" s="25" t="n">
        <f aca="false">M58*N58</f>
        <v>0</v>
      </c>
      <c r="R58" s="28" t="n">
        <f aca="false">ROUND(O58*Annahmen!$F$9+P58*Annahmen!$F$12+Q58*Annahmen!$F$15,-2)</f>
        <v>2100</v>
      </c>
      <c r="S58" s="29" t="n">
        <v>1</v>
      </c>
      <c r="T58" s="29" t="n">
        <v>0.15</v>
      </c>
      <c r="U58" s="28" t="n">
        <f aca="false">ROUND(R58*S58*T58,-2)</f>
        <v>300</v>
      </c>
      <c r="V58" s="28" t="n">
        <f aca="false">R58*S58</f>
        <v>2100</v>
      </c>
      <c r="W58" s="23" t="s">
        <v>388</v>
      </c>
      <c r="X58" s="33" t="s">
        <v>99</v>
      </c>
    </row>
    <row r="59" customFormat="false" ht="36" hidden="false" customHeight="true" outlineLevel="0" collapsed="false">
      <c r="A59" s="25" t="n">
        <v>55</v>
      </c>
      <c r="B59" s="24" t="s">
        <v>773</v>
      </c>
      <c r="C59" s="25" t="s">
        <v>774</v>
      </c>
      <c r="D59" s="23" t="s">
        <v>775</v>
      </c>
      <c r="E59" s="25" t="s">
        <v>91</v>
      </c>
      <c r="F59" s="25" t="s">
        <v>771</v>
      </c>
      <c r="G59" s="23" t="s">
        <v>692</v>
      </c>
      <c r="H59" s="23" t="s">
        <v>776</v>
      </c>
      <c r="I59" s="27" t="n">
        <v>0.5</v>
      </c>
      <c r="J59" s="27" t="n">
        <v>1</v>
      </c>
      <c r="K59" s="27" t="n">
        <v>0</v>
      </c>
      <c r="L59" s="27" t="n">
        <v>0</v>
      </c>
      <c r="M59" s="27" t="n">
        <v>0</v>
      </c>
      <c r="N59" s="27" t="n">
        <v>0</v>
      </c>
      <c r="O59" s="25" t="n">
        <f aca="false">I59*J59</f>
        <v>0.5</v>
      </c>
      <c r="P59" s="25" t="n">
        <f aca="false">K59*L59</f>
        <v>0</v>
      </c>
      <c r="Q59" s="25" t="n">
        <f aca="false">M59*N59</f>
        <v>0</v>
      </c>
      <c r="R59" s="28" t="n">
        <f aca="false">ROUND(O59*Annahmen!$F$9+P59*Annahmen!$F$12+Q59*Annahmen!$F$15,-2)</f>
        <v>2100</v>
      </c>
      <c r="S59" s="29" t="n">
        <v>1</v>
      </c>
      <c r="T59" s="29" t="n">
        <v>0.15</v>
      </c>
      <c r="U59" s="28" t="n">
        <f aca="false">ROUND(R59*S59*T59,-2)</f>
        <v>300</v>
      </c>
      <c r="V59" s="28" t="n">
        <f aca="false">R59*S59</f>
        <v>2100</v>
      </c>
      <c r="W59" s="23" t="s">
        <v>388</v>
      </c>
      <c r="X59" s="33" t="s">
        <v>99</v>
      </c>
    </row>
    <row r="60" customFormat="false" ht="36" hidden="false" customHeight="true" outlineLevel="0" collapsed="false">
      <c r="A60" s="25" t="n">
        <v>56</v>
      </c>
      <c r="B60" s="24" t="s">
        <v>777</v>
      </c>
      <c r="C60" s="25" t="s">
        <v>778</v>
      </c>
      <c r="D60" s="23" t="s">
        <v>712</v>
      </c>
      <c r="E60" s="25" t="s">
        <v>250</v>
      </c>
      <c r="F60" s="25" t="s">
        <v>779</v>
      </c>
      <c r="G60" s="23" t="s">
        <v>780</v>
      </c>
      <c r="H60" s="23" t="s">
        <v>781</v>
      </c>
      <c r="I60" s="27" t="n">
        <v>2</v>
      </c>
      <c r="J60" s="27" t="n">
        <v>2</v>
      </c>
      <c r="K60" s="27" t="n">
        <v>0</v>
      </c>
      <c r="L60" s="27" t="n">
        <v>0</v>
      </c>
      <c r="M60" s="27" t="n">
        <v>0.5</v>
      </c>
      <c r="N60" s="27" t="n">
        <v>1</v>
      </c>
      <c r="O60" s="25" t="n">
        <f aca="false">I60*J60</f>
        <v>4</v>
      </c>
      <c r="P60" s="25" t="n">
        <f aca="false">K60*L60</f>
        <v>0</v>
      </c>
      <c r="Q60" s="25" t="n">
        <f aca="false">M60*N60</f>
        <v>0.5</v>
      </c>
      <c r="R60" s="28" t="n">
        <f aca="false">ROUND(O60*Annahmen!$F$9+P60*Annahmen!$F$12+Q60*Annahmen!$F$15,-2)</f>
        <v>29400</v>
      </c>
      <c r="S60" s="29" t="n">
        <v>1</v>
      </c>
      <c r="T60" s="29" t="n">
        <v>0.15</v>
      </c>
      <c r="U60" s="28" t="n">
        <f aca="false">ROUND(R60*S60*T60,-2)</f>
        <v>4400</v>
      </c>
      <c r="V60" s="28" t="n">
        <f aca="false">R60*S60</f>
        <v>29400</v>
      </c>
      <c r="W60" s="23" t="s">
        <v>782</v>
      </c>
      <c r="X60" s="33" t="s">
        <v>99</v>
      </c>
    </row>
    <row r="62" customFormat="false" ht="15" hidden="false" customHeight="false" outlineLevel="0" collapsed="false">
      <c r="B62" s="3" t="s">
        <v>783</v>
      </c>
    </row>
    <row r="63" customFormat="false" ht="31.5" hidden="false" customHeight="true" outlineLevel="0" collapsed="false">
      <c r="A63" s="10"/>
      <c r="B63" s="10" t="s">
        <v>784</v>
      </c>
      <c r="C63" s="10" t="s">
        <v>15</v>
      </c>
      <c r="D63" s="10" t="s">
        <v>28</v>
      </c>
      <c r="E63" s="10" t="s">
        <v>10</v>
      </c>
      <c r="F63" s="10" t="s">
        <v>785</v>
      </c>
    </row>
    <row r="64" customFormat="false" ht="15" hidden="false" customHeight="false" outlineLevel="0" collapsed="false">
      <c r="B64" s="14" t="s">
        <v>276</v>
      </c>
      <c r="C64" s="39" t="n">
        <f aca="false">COUNTIF($W$5:$W$60,B64)</f>
        <v>15</v>
      </c>
      <c r="D64" s="40" t="n">
        <f aca="false">SUMIF($W$5:$W$60,B64,$R$5:$R$60)</f>
        <v>105000</v>
      </c>
      <c r="E64" s="40" t="n">
        <f aca="false">SUMIF($W$5:$W$60,B64,$U$5:$U$60)</f>
        <v>15700</v>
      </c>
      <c r="F64" s="39" t="str">
        <f aca="false">IF(D64&gt;=Annahmen!$B$26,"Ja","Nein, unter Schwelle")</f>
        <v>Ja</v>
      </c>
    </row>
    <row r="65" customFormat="false" ht="15" hidden="false" customHeight="false" outlineLevel="0" collapsed="false">
      <c r="B65" s="14" t="s">
        <v>589</v>
      </c>
      <c r="C65" s="39" t="n">
        <f aca="false">COUNTIF($W$5:$W$60,B65)</f>
        <v>7</v>
      </c>
      <c r="D65" s="40" t="n">
        <f aca="false">SUMIF($W$5:$W$60,B65,$R$5:$R$60)</f>
        <v>48700</v>
      </c>
      <c r="E65" s="40" t="n">
        <f aca="false">SUMIF($W$5:$W$60,B65,$U$5:$U$60)</f>
        <v>6700</v>
      </c>
      <c r="F65" s="39" t="str">
        <f aca="false">IF(D65&gt;=Annahmen!$B$26,"Ja","Nein, unter Schwelle")</f>
        <v>Nein, unter Schwelle</v>
      </c>
    </row>
    <row r="66" customFormat="false" ht="15" hidden="false" customHeight="false" outlineLevel="0" collapsed="false">
      <c r="B66" s="14" t="s">
        <v>630</v>
      </c>
      <c r="C66" s="39" t="n">
        <f aca="false">COUNTIF($W$5:$W$60,B66)</f>
        <v>7</v>
      </c>
      <c r="D66" s="40" t="n">
        <f aca="false">SUMIF($W$5:$W$60,B66,$R$5:$R$60)</f>
        <v>25500</v>
      </c>
      <c r="E66" s="40" t="n">
        <f aca="false">SUMIF($W$5:$W$60,B66,$U$5:$U$60)</f>
        <v>3700</v>
      </c>
      <c r="F66" s="39" t="str">
        <f aca="false">IF(D66&gt;=Annahmen!$B$26,"Ja","Nein, unter Schwelle")</f>
        <v>Nein, unter Schwelle</v>
      </c>
    </row>
    <row r="67" customFormat="false" ht="15" hidden="false" customHeight="false" outlineLevel="0" collapsed="false">
      <c r="B67" s="14" t="s">
        <v>383</v>
      </c>
      <c r="C67" s="39" t="n">
        <f aca="false">COUNTIF($W$5:$W$60,B67)</f>
        <v>13</v>
      </c>
      <c r="D67" s="40" t="n">
        <f aca="false">SUMIF($W$5:$W$60,B67,$R$5:$R$60)</f>
        <v>68600</v>
      </c>
      <c r="E67" s="40" t="n">
        <f aca="false">SUMIF($W$5:$W$60,B67,$U$5:$U$60)</f>
        <v>9900</v>
      </c>
      <c r="F67" s="39" t="str">
        <f aca="false">IF(D67&gt;=Annahmen!$B$26,"Ja","Nein, unter Schwelle")</f>
        <v>Ja</v>
      </c>
    </row>
    <row r="68" customFormat="false" ht="15" hidden="false" customHeight="false" outlineLevel="0" collapsed="false">
      <c r="B68" s="14" t="s">
        <v>388</v>
      </c>
      <c r="C68" s="39" t="n">
        <f aca="false">COUNTIF($W$5:$W$60,B68)</f>
        <v>13</v>
      </c>
      <c r="D68" s="40" t="n">
        <f aca="false">SUMIF($W$5:$W$60,B68,$R$5:$R$60)</f>
        <v>92700</v>
      </c>
      <c r="E68" s="40" t="n">
        <f aca="false">SUMIF($W$5:$W$60,B68,$U$5:$U$60)</f>
        <v>9700</v>
      </c>
      <c r="F68" s="39" t="str">
        <f aca="false">IF(D68&gt;=Annahmen!$B$26,"Ja","Nein, unter Schwelle")</f>
        <v>Ja</v>
      </c>
    </row>
    <row r="69" customFormat="false" ht="15" hidden="false" customHeight="false" outlineLevel="0" collapsed="false">
      <c r="B69" s="14" t="s">
        <v>782</v>
      </c>
      <c r="C69" s="39" t="n">
        <f aca="false">COUNTIF($W$5:$W$60,B69)</f>
        <v>1</v>
      </c>
      <c r="D69" s="40" t="n">
        <f aca="false">SUMIF($W$5:$W$60,B69,$R$5:$R$60)</f>
        <v>29400</v>
      </c>
      <c r="E69" s="40" t="n">
        <f aca="false">SUMIF($W$5:$W$60,B69,$U$5:$U$60)</f>
        <v>4400</v>
      </c>
      <c r="F69" s="39" t="str">
        <f aca="false">IF(D69&gt;=Annahmen!$B$26,"Ja","Nein, unter Schwelle")</f>
        <v>Nein, unter Schwelle</v>
      </c>
    </row>
    <row r="71" customFormat="false" ht="15" hidden="false" customHeight="false" outlineLevel="0" collapsed="false">
      <c r="B71" s="41" t="s">
        <v>786</v>
      </c>
    </row>
  </sheetData>
  <conditionalFormatting sqref="R5:R60">
    <cfRule type="cellIs" priority="2" operator="greaterThanOrEqual" aboveAverage="0" equalAverage="0" bottom="0" percent="0" rank="0" text="" dxfId="14">
      <formula>Annahmen!$B$26</formula>
    </cfRule>
  </conditionalFormatting>
  <hyperlinks>
    <hyperlink ref="X5" r:id="rId1" display="Link"/>
    <hyperlink ref="X6" r:id="rId2" display="Link"/>
    <hyperlink ref="X7" r:id="rId3" display="Link"/>
    <hyperlink ref="X8" r:id="rId4" display="Link"/>
    <hyperlink ref="X9" r:id="rId5" display="Link"/>
    <hyperlink ref="X10" r:id="rId6" display="Link"/>
    <hyperlink ref="X11" r:id="rId7" display="Link"/>
    <hyperlink ref="X12" r:id="rId8" display="Link"/>
    <hyperlink ref="X13" r:id="rId9" display="Link"/>
    <hyperlink ref="X14" r:id="rId10" display="Link"/>
    <hyperlink ref="X15" r:id="rId11" display="Link"/>
    <hyperlink ref="X16" r:id="rId12" display="Link"/>
    <hyperlink ref="X17" r:id="rId13" display="Link"/>
    <hyperlink ref="X18" r:id="rId14" display="Link"/>
    <hyperlink ref="X19" r:id="rId15" display="Link"/>
    <hyperlink ref="X20" r:id="rId16" display="Link"/>
    <hyperlink ref="X21" r:id="rId17" display="Link"/>
    <hyperlink ref="X22" r:id="rId18" display="Link"/>
    <hyperlink ref="X23" r:id="rId19" display="Link"/>
    <hyperlink ref="X24" r:id="rId20" display="Link"/>
    <hyperlink ref="X25" r:id="rId21" display="Link"/>
    <hyperlink ref="X26" r:id="rId22" display="Link"/>
    <hyperlink ref="X27" r:id="rId23" display="Link"/>
    <hyperlink ref="X28" r:id="rId24" display="Link"/>
    <hyperlink ref="X29" r:id="rId25" display="Link"/>
    <hyperlink ref="X30" r:id="rId26" display="Link"/>
    <hyperlink ref="X31" r:id="rId27" display="Link"/>
    <hyperlink ref="X32" r:id="rId28" display="Link"/>
    <hyperlink ref="X33" r:id="rId29" display="Link"/>
    <hyperlink ref="X34" r:id="rId30" display="Link"/>
    <hyperlink ref="X35" r:id="rId31" display="Link"/>
    <hyperlink ref="X36" r:id="rId32" display="Link"/>
    <hyperlink ref="X37" r:id="rId33" display="Link"/>
    <hyperlink ref="X38" r:id="rId34" display="Link"/>
    <hyperlink ref="X39" r:id="rId35" display="Link"/>
    <hyperlink ref="X40" r:id="rId36" display="Link"/>
    <hyperlink ref="X41" r:id="rId37" display="Link"/>
    <hyperlink ref="X42" r:id="rId38" display="Link"/>
    <hyperlink ref="X43" r:id="rId39" display="Link"/>
    <hyperlink ref="X44" r:id="rId40" display="Link"/>
    <hyperlink ref="X45" r:id="rId41" display="Link"/>
    <hyperlink ref="X46" r:id="rId42" display="Link"/>
    <hyperlink ref="X47" r:id="rId43" display="Link"/>
    <hyperlink ref="X48" r:id="rId44" display="Link"/>
    <hyperlink ref="X49" r:id="rId45" display="Link"/>
    <hyperlink ref="X50" r:id="rId46" display="Link"/>
    <hyperlink ref="X51" r:id="rId47" display="Link"/>
    <hyperlink ref="X52" r:id="rId48" display="Link"/>
    <hyperlink ref="X53" r:id="rId49" display="Link"/>
    <hyperlink ref="X54" r:id="rId50" display="Link"/>
    <hyperlink ref="X55" r:id="rId51" display="Link"/>
    <hyperlink ref="X56" r:id="rId52" display="Link"/>
    <hyperlink ref="X57" r:id="rId53" display="Link"/>
    <hyperlink ref="X58" r:id="rId54" display="Link"/>
    <hyperlink ref="X59" r:id="rId55" display="Link"/>
    <hyperlink ref="X60" r:id="rId56"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16"/>
    <col collapsed="false" customWidth="true" hidden="false" outlineLevel="0" max="4" min="4" style="0" width="20"/>
    <col collapsed="false" customWidth="true" hidden="false" outlineLevel="0" max="5" min="5" style="0" width="15"/>
    <col collapsed="false" customWidth="true" hidden="false" outlineLevel="0" max="6" min="6" style="0" width="20"/>
    <col collapsed="false" customWidth="true" hidden="false" outlineLevel="0" max="7" min="7" style="0" width="22"/>
    <col collapsed="false" customWidth="true" hidden="false" outlineLevel="0" max="8" min="8" style="0" width="38"/>
    <col collapsed="false" customWidth="true" hidden="false" outlineLevel="0" max="12" min="9" style="0" width="9"/>
    <col collapsed="false" customWidth="true" hidden="false" outlineLevel="0" max="14" min="13" style="0" width="8"/>
    <col collapsed="false" customWidth="true" hidden="false" outlineLevel="0" max="17" min="15" style="0" width="9"/>
    <col collapsed="false" customWidth="true" hidden="false" outlineLevel="0" max="18" min="18" style="0" width="12"/>
    <col collapsed="false" customWidth="true" hidden="false" outlineLevel="0" max="19" min="19" style="0" width="9"/>
    <col collapsed="false" customWidth="true" hidden="false" outlineLevel="0" max="20" min="20" style="0" width="10"/>
    <col collapsed="false" customWidth="true" hidden="false" outlineLevel="0" max="21" min="21" style="0" width="12"/>
    <col collapsed="false" customWidth="true" hidden="false" outlineLevel="0" max="22" min="22" style="0" width="11"/>
    <col collapsed="false" customWidth="true" hidden="false" outlineLevel="0" max="23" min="23" style="0" width="34"/>
    <col collapsed="false" customWidth="true" hidden="false" outlineLevel="0" max="24" min="24" style="0" width="9"/>
  </cols>
  <sheetData>
    <row r="1" customFormat="false" ht="22.05" hidden="false" customHeight="false" outlineLevel="0" collapsed="false">
      <c r="A1" s="1" t="s">
        <v>787</v>
      </c>
    </row>
    <row r="2" customFormat="false" ht="15" hidden="false" customHeight="false" outlineLevel="0" collapsed="false">
      <c r="A2" s="2" t="s">
        <v>788</v>
      </c>
    </row>
    <row r="4" customFormat="false" ht="31.5" hidden="false" customHeight="true" outlineLevel="0" collapsed="false">
      <c r="A4" s="10" t="s">
        <v>461</v>
      </c>
      <c r="B4" s="10" t="s">
        <v>498</v>
      </c>
      <c r="C4" s="10" t="s">
        <v>499</v>
      </c>
      <c r="D4" s="10" t="s">
        <v>61</v>
      </c>
      <c r="E4" s="10" t="s">
        <v>63</v>
      </c>
      <c r="F4" s="10" t="s">
        <v>500</v>
      </c>
      <c r="G4" s="10" t="s">
        <v>501</v>
      </c>
      <c r="H4" s="10" t="s">
        <v>502</v>
      </c>
      <c r="I4" s="10" t="s">
        <v>67</v>
      </c>
      <c r="J4" s="10" t="s">
        <v>68</v>
      </c>
      <c r="K4" s="10" t="s">
        <v>69</v>
      </c>
      <c r="L4" s="10" t="s">
        <v>70</v>
      </c>
      <c r="M4" s="10" t="s">
        <v>71</v>
      </c>
      <c r="N4" s="10" t="s">
        <v>72</v>
      </c>
      <c r="O4" s="10" t="s">
        <v>503</v>
      </c>
      <c r="P4" s="10" t="s">
        <v>504</v>
      </c>
      <c r="Q4" s="10" t="s">
        <v>505</v>
      </c>
      <c r="R4" s="10" t="s">
        <v>28</v>
      </c>
      <c r="S4" s="10" t="s">
        <v>74</v>
      </c>
      <c r="T4" s="10" t="s">
        <v>75</v>
      </c>
      <c r="U4" s="10" t="s">
        <v>10</v>
      </c>
      <c r="V4" s="10" t="s">
        <v>506</v>
      </c>
      <c r="W4" s="10" t="s">
        <v>507</v>
      </c>
      <c r="X4" s="10" t="s">
        <v>85</v>
      </c>
    </row>
    <row r="5" customFormat="false" ht="36" hidden="false" customHeight="true" outlineLevel="0" collapsed="false">
      <c r="A5" s="25" t="n">
        <v>1</v>
      </c>
      <c r="B5" s="24" t="s">
        <v>789</v>
      </c>
      <c r="C5" s="25" t="s">
        <v>790</v>
      </c>
      <c r="D5" s="23" t="s">
        <v>791</v>
      </c>
      <c r="E5" s="25" t="s">
        <v>124</v>
      </c>
      <c r="F5" s="25" t="s">
        <v>792</v>
      </c>
      <c r="G5" s="23" t="s">
        <v>793</v>
      </c>
      <c r="H5" s="23" t="s">
        <v>794</v>
      </c>
      <c r="I5" s="27" t="n">
        <v>0.5</v>
      </c>
      <c r="J5" s="27" t="n">
        <v>20</v>
      </c>
      <c r="K5" s="27" t="n">
        <v>0</v>
      </c>
      <c r="L5" s="27" t="n">
        <v>0</v>
      </c>
      <c r="M5" s="27" t="n">
        <v>0</v>
      </c>
      <c r="N5" s="27" t="n">
        <v>0</v>
      </c>
      <c r="O5" s="25" t="n">
        <f aca="false">I5*J5</f>
        <v>10</v>
      </c>
      <c r="P5" s="25" t="n">
        <f aca="false">K5*L5</f>
        <v>0</v>
      </c>
      <c r="Q5" s="25" t="n">
        <f aca="false">M5*N5</f>
        <v>0</v>
      </c>
      <c r="R5" s="28" t="n">
        <f aca="false">ROUND(O5*Annahmen!$F$9+P5*Annahmen!$F$12+Q5*Annahmen!$F$15,-2)</f>
        <v>42400</v>
      </c>
      <c r="S5" s="29" t="n">
        <v>1</v>
      </c>
      <c r="T5" s="29" t="n">
        <v>0.15</v>
      </c>
      <c r="U5" s="28" t="n">
        <f aca="false">ROUND(R5*S5*T5,-2)</f>
        <v>6400</v>
      </c>
      <c r="V5" s="28" t="n">
        <f aca="false">R5*S5</f>
        <v>42400</v>
      </c>
      <c r="W5" s="23" t="s">
        <v>150</v>
      </c>
      <c r="X5" s="33" t="s">
        <v>99</v>
      </c>
    </row>
    <row r="6" customFormat="false" ht="36" hidden="false" customHeight="true" outlineLevel="0" collapsed="false">
      <c r="A6" s="25" t="n">
        <v>2</v>
      </c>
      <c r="B6" s="24" t="s">
        <v>795</v>
      </c>
      <c r="C6" s="25" t="s">
        <v>796</v>
      </c>
      <c r="D6" s="23" t="s">
        <v>797</v>
      </c>
      <c r="E6" s="25" t="s">
        <v>124</v>
      </c>
      <c r="F6" s="25" t="s">
        <v>798</v>
      </c>
      <c r="G6" s="23" t="s">
        <v>799</v>
      </c>
      <c r="H6" s="23" t="s">
        <v>800</v>
      </c>
      <c r="I6" s="27" t="n">
        <v>0.5</v>
      </c>
      <c r="J6" s="27" t="n">
        <v>20</v>
      </c>
      <c r="K6" s="27" t="n">
        <v>0</v>
      </c>
      <c r="L6" s="27" t="n">
        <v>0</v>
      </c>
      <c r="M6" s="27" t="n">
        <v>0</v>
      </c>
      <c r="N6" s="27" t="n">
        <v>0</v>
      </c>
      <c r="O6" s="25" t="n">
        <f aca="false">I6*J6</f>
        <v>10</v>
      </c>
      <c r="P6" s="25" t="n">
        <f aca="false">K6*L6</f>
        <v>0</v>
      </c>
      <c r="Q6" s="25" t="n">
        <f aca="false">M6*N6</f>
        <v>0</v>
      </c>
      <c r="R6" s="28" t="n">
        <f aca="false">ROUND(O6*Annahmen!$F$9+P6*Annahmen!$F$12+Q6*Annahmen!$F$15,-2)</f>
        <v>42400</v>
      </c>
      <c r="S6" s="29" t="n">
        <v>1</v>
      </c>
      <c r="T6" s="29" t="n">
        <v>0.15</v>
      </c>
      <c r="U6" s="28" t="n">
        <f aca="false">ROUND(R6*S6*T6,-2)</f>
        <v>6400</v>
      </c>
      <c r="V6" s="28" t="n">
        <f aca="false">R6*S6</f>
        <v>42400</v>
      </c>
      <c r="W6" s="23" t="s">
        <v>150</v>
      </c>
      <c r="X6" s="33" t="s">
        <v>99</v>
      </c>
    </row>
    <row r="7" customFormat="false" ht="36" hidden="false" customHeight="true" outlineLevel="0" collapsed="false">
      <c r="A7" s="25" t="n">
        <v>3</v>
      </c>
      <c r="B7" s="24" t="s">
        <v>801</v>
      </c>
      <c r="C7" s="25" t="s">
        <v>802</v>
      </c>
      <c r="D7" s="23" t="s">
        <v>803</v>
      </c>
      <c r="E7" s="25" t="s">
        <v>124</v>
      </c>
      <c r="F7" s="25" t="s">
        <v>804</v>
      </c>
      <c r="G7" s="23" t="s">
        <v>805</v>
      </c>
      <c r="H7" s="23" t="s">
        <v>806</v>
      </c>
      <c r="I7" s="27" t="n">
        <v>0.3</v>
      </c>
      <c r="J7" s="27" t="n">
        <v>20</v>
      </c>
      <c r="K7" s="27" t="n">
        <v>0</v>
      </c>
      <c r="L7" s="27" t="n">
        <v>0</v>
      </c>
      <c r="M7" s="27" t="n">
        <v>0</v>
      </c>
      <c r="N7" s="27" t="n">
        <v>0</v>
      </c>
      <c r="O7" s="25" t="n">
        <f aca="false">I7*J7</f>
        <v>6</v>
      </c>
      <c r="P7" s="25" t="n">
        <f aca="false">K7*L7</f>
        <v>0</v>
      </c>
      <c r="Q7" s="25" t="n">
        <f aca="false">M7*N7</f>
        <v>0</v>
      </c>
      <c r="R7" s="28" t="n">
        <f aca="false">ROUND(O7*Annahmen!$F$9+P7*Annahmen!$F$12+Q7*Annahmen!$F$15,-2)</f>
        <v>25400</v>
      </c>
      <c r="S7" s="29" t="n">
        <v>1</v>
      </c>
      <c r="T7" s="29" t="n">
        <v>0.15</v>
      </c>
      <c r="U7" s="28" t="n">
        <f aca="false">ROUND(R7*S7*T7,-2)</f>
        <v>3800</v>
      </c>
      <c r="V7" s="28" t="n">
        <f aca="false">R7*S7</f>
        <v>25400</v>
      </c>
      <c r="W7" s="23" t="s">
        <v>150</v>
      </c>
      <c r="X7" s="33" t="s">
        <v>99</v>
      </c>
    </row>
    <row r="8" customFormat="false" ht="36" hidden="false" customHeight="true" outlineLevel="0" collapsed="false">
      <c r="A8" s="25" t="n">
        <v>4</v>
      </c>
      <c r="B8" s="24" t="s">
        <v>807</v>
      </c>
      <c r="C8" s="25" t="s">
        <v>808</v>
      </c>
      <c r="D8" s="23" t="s">
        <v>809</v>
      </c>
      <c r="E8" s="25" t="s">
        <v>124</v>
      </c>
      <c r="F8" s="25" t="s">
        <v>810</v>
      </c>
      <c r="G8" s="23" t="s">
        <v>811</v>
      </c>
      <c r="H8" s="23" t="s">
        <v>812</v>
      </c>
      <c r="I8" s="27" t="n">
        <v>0.5</v>
      </c>
      <c r="J8" s="27" t="n">
        <v>20</v>
      </c>
      <c r="K8" s="27" t="n">
        <v>0</v>
      </c>
      <c r="L8" s="27" t="n">
        <v>0</v>
      </c>
      <c r="M8" s="27" t="n">
        <v>0</v>
      </c>
      <c r="N8" s="27" t="n">
        <v>0</v>
      </c>
      <c r="O8" s="25" t="n">
        <f aca="false">I8*J8</f>
        <v>10</v>
      </c>
      <c r="P8" s="25" t="n">
        <f aca="false">K8*L8</f>
        <v>0</v>
      </c>
      <c r="Q8" s="25" t="n">
        <f aca="false">M8*N8</f>
        <v>0</v>
      </c>
      <c r="R8" s="28" t="n">
        <f aca="false">ROUND(O8*Annahmen!$F$9+P8*Annahmen!$F$12+Q8*Annahmen!$F$15,-2)</f>
        <v>42400</v>
      </c>
      <c r="S8" s="29" t="n">
        <v>1</v>
      </c>
      <c r="T8" s="29" t="n">
        <v>0.15</v>
      </c>
      <c r="U8" s="28" t="n">
        <f aca="false">ROUND(R8*S8*T8,-2)</f>
        <v>6400</v>
      </c>
      <c r="V8" s="28" t="n">
        <f aca="false">R8*S8</f>
        <v>42400</v>
      </c>
      <c r="W8" s="23" t="s">
        <v>150</v>
      </c>
      <c r="X8" s="33" t="s">
        <v>99</v>
      </c>
    </row>
    <row r="9" customFormat="false" ht="36" hidden="false" customHeight="true" outlineLevel="0" collapsed="false">
      <c r="A9" s="25" t="n">
        <v>5</v>
      </c>
      <c r="B9" s="24" t="s">
        <v>813</v>
      </c>
      <c r="C9" s="25" t="s">
        <v>814</v>
      </c>
      <c r="D9" s="23" t="s">
        <v>815</v>
      </c>
      <c r="E9" s="25" t="s">
        <v>250</v>
      </c>
      <c r="F9" s="25" t="s">
        <v>816</v>
      </c>
      <c r="G9" s="23" t="s">
        <v>817</v>
      </c>
      <c r="H9" s="23" t="s">
        <v>818</v>
      </c>
      <c r="I9" s="27" t="n">
        <v>0.5</v>
      </c>
      <c r="J9" s="27" t="n">
        <v>20</v>
      </c>
      <c r="K9" s="27" t="n">
        <v>0</v>
      </c>
      <c r="L9" s="27" t="n">
        <v>0</v>
      </c>
      <c r="M9" s="27" t="n">
        <v>0</v>
      </c>
      <c r="N9" s="27" t="n">
        <v>0</v>
      </c>
      <c r="O9" s="25" t="n">
        <f aca="false">I9*J9</f>
        <v>10</v>
      </c>
      <c r="P9" s="25" t="n">
        <f aca="false">K9*L9</f>
        <v>0</v>
      </c>
      <c r="Q9" s="25" t="n">
        <f aca="false">M9*N9</f>
        <v>0</v>
      </c>
      <c r="R9" s="28" t="n">
        <f aca="false">ROUND(O9*Annahmen!$F$9+P9*Annahmen!$F$12+Q9*Annahmen!$F$15,-2)</f>
        <v>42400</v>
      </c>
      <c r="S9" s="29" t="n">
        <v>1</v>
      </c>
      <c r="T9" s="29" t="n">
        <v>0.15</v>
      </c>
      <c r="U9" s="28" t="n">
        <f aca="false">ROUND(R9*S9*T9,-2)</f>
        <v>6400</v>
      </c>
      <c r="V9" s="28" t="n">
        <f aca="false">R9*S9</f>
        <v>42400</v>
      </c>
      <c r="W9" s="23" t="s">
        <v>150</v>
      </c>
      <c r="X9" s="33" t="s">
        <v>99</v>
      </c>
    </row>
    <row r="10" customFormat="false" ht="36" hidden="false" customHeight="true" outlineLevel="0" collapsed="false">
      <c r="A10" s="25" t="n">
        <v>6</v>
      </c>
      <c r="B10" s="24" t="s">
        <v>819</v>
      </c>
      <c r="C10" s="25" t="s">
        <v>820</v>
      </c>
      <c r="D10" s="23" t="s">
        <v>821</v>
      </c>
      <c r="E10" s="25" t="s">
        <v>250</v>
      </c>
      <c r="F10" s="25" t="s">
        <v>822</v>
      </c>
      <c r="G10" s="23" t="s">
        <v>823</v>
      </c>
      <c r="H10" s="23" t="s">
        <v>824</v>
      </c>
      <c r="I10" s="27" t="n">
        <v>0.3</v>
      </c>
      <c r="J10" s="27" t="n">
        <v>16</v>
      </c>
      <c r="K10" s="27" t="n">
        <v>0</v>
      </c>
      <c r="L10" s="27" t="n">
        <v>0</v>
      </c>
      <c r="M10" s="27" t="n">
        <v>0</v>
      </c>
      <c r="N10" s="27" t="n">
        <v>0</v>
      </c>
      <c r="O10" s="25" t="n">
        <f aca="false">I10*J10</f>
        <v>4.8</v>
      </c>
      <c r="P10" s="25" t="n">
        <f aca="false">K10*L10</f>
        <v>0</v>
      </c>
      <c r="Q10" s="25" t="n">
        <f aca="false">M10*N10</f>
        <v>0</v>
      </c>
      <c r="R10" s="28" t="n">
        <f aca="false">ROUND(O10*Annahmen!$F$9+P10*Annahmen!$F$12+Q10*Annahmen!$F$15,-2)</f>
        <v>20300</v>
      </c>
      <c r="S10" s="29" t="n">
        <v>1</v>
      </c>
      <c r="T10" s="29" t="n">
        <v>0.15</v>
      </c>
      <c r="U10" s="28" t="n">
        <f aca="false">ROUND(R10*S10*T10,-2)</f>
        <v>3000</v>
      </c>
      <c r="V10" s="28" t="n">
        <f aca="false">R10*S10</f>
        <v>20300</v>
      </c>
      <c r="W10" s="23" t="s">
        <v>150</v>
      </c>
      <c r="X10" s="33" t="s">
        <v>99</v>
      </c>
    </row>
    <row r="11" customFormat="false" ht="36" hidden="false" customHeight="true" outlineLevel="0" collapsed="false">
      <c r="A11" s="25" t="n">
        <v>7</v>
      </c>
      <c r="B11" s="24" t="s">
        <v>825</v>
      </c>
      <c r="C11" s="25" t="s">
        <v>365</v>
      </c>
      <c r="D11" s="23" t="s">
        <v>826</v>
      </c>
      <c r="E11" s="25" t="s">
        <v>165</v>
      </c>
      <c r="F11" s="25" t="s">
        <v>827</v>
      </c>
      <c r="G11" s="23" t="s">
        <v>828</v>
      </c>
      <c r="H11" s="23" t="s">
        <v>829</v>
      </c>
      <c r="I11" s="27" t="n">
        <v>0.5</v>
      </c>
      <c r="J11" s="27" t="n">
        <v>20</v>
      </c>
      <c r="K11" s="27" t="n">
        <v>0</v>
      </c>
      <c r="L11" s="27" t="n">
        <v>0</v>
      </c>
      <c r="M11" s="27" t="n">
        <v>0</v>
      </c>
      <c r="N11" s="27" t="n">
        <v>0</v>
      </c>
      <c r="O11" s="25" t="n">
        <f aca="false">I11*J11</f>
        <v>10</v>
      </c>
      <c r="P11" s="25" t="n">
        <f aca="false">K11*L11</f>
        <v>0</v>
      </c>
      <c r="Q11" s="25" t="n">
        <f aca="false">M11*N11</f>
        <v>0</v>
      </c>
      <c r="R11" s="28" t="n">
        <f aca="false">ROUND(O11*Annahmen!$F$9+P11*Annahmen!$F$12+Q11*Annahmen!$F$15,-2)</f>
        <v>42400</v>
      </c>
      <c r="S11" s="29" t="n">
        <v>1</v>
      </c>
      <c r="T11" s="29" t="n">
        <v>0.15</v>
      </c>
      <c r="U11" s="28" t="n">
        <f aca="false">ROUND(R11*S11*T11,-2)</f>
        <v>6400</v>
      </c>
      <c r="V11" s="28" t="n">
        <f aca="false">R11*S11</f>
        <v>42400</v>
      </c>
      <c r="W11" s="23" t="s">
        <v>830</v>
      </c>
      <c r="X11" s="33" t="s">
        <v>99</v>
      </c>
    </row>
    <row r="12" customFormat="false" ht="36" hidden="false" customHeight="true" outlineLevel="0" collapsed="false">
      <c r="A12" s="25" t="n">
        <v>8</v>
      </c>
      <c r="B12" s="24" t="s">
        <v>831</v>
      </c>
      <c r="C12" s="25" t="s">
        <v>365</v>
      </c>
      <c r="D12" s="23" t="s">
        <v>832</v>
      </c>
      <c r="E12" s="25" t="s">
        <v>114</v>
      </c>
      <c r="F12" s="25" t="s">
        <v>833</v>
      </c>
      <c r="G12" s="23" t="s">
        <v>834</v>
      </c>
      <c r="H12" s="23" t="s">
        <v>835</v>
      </c>
      <c r="I12" s="27" t="n">
        <v>0.5</v>
      </c>
      <c r="J12" s="27" t="n">
        <v>12</v>
      </c>
      <c r="K12" s="27" t="n">
        <v>0</v>
      </c>
      <c r="L12" s="27" t="n">
        <v>0</v>
      </c>
      <c r="M12" s="27" t="n">
        <v>0</v>
      </c>
      <c r="N12" s="27" t="n">
        <v>0</v>
      </c>
      <c r="O12" s="25" t="n">
        <f aca="false">I12*J12</f>
        <v>6</v>
      </c>
      <c r="P12" s="25" t="n">
        <f aca="false">K12*L12</f>
        <v>0</v>
      </c>
      <c r="Q12" s="25" t="n">
        <f aca="false">M12*N12</f>
        <v>0</v>
      </c>
      <c r="R12" s="28" t="n">
        <f aca="false">ROUND(O12*Annahmen!$F$9+P12*Annahmen!$F$12+Q12*Annahmen!$F$15,-2)</f>
        <v>25400</v>
      </c>
      <c r="S12" s="29" t="n">
        <v>1</v>
      </c>
      <c r="T12" s="29" t="n">
        <v>0.15</v>
      </c>
      <c r="U12" s="28" t="n">
        <f aca="false">ROUND(R12*S12*T12,-2)</f>
        <v>3800</v>
      </c>
      <c r="V12" s="28" t="n">
        <f aca="false">R12*S12</f>
        <v>25400</v>
      </c>
      <c r="W12" s="23" t="s">
        <v>830</v>
      </c>
      <c r="X12" s="33" t="s">
        <v>99</v>
      </c>
    </row>
    <row r="13" customFormat="false" ht="36" hidden="false" customHeight="true" outlineLevel="0" collapsed="false">
      <c r="A13" s="25" t="n">
        <v>9</v>
      </c>
      <c r="B13" s="24" t="s">
        <v>836</v>
      </c>
      <c r="C13" s="25" t="s">
        <v>365</v>
      </c>
      <c r="D13" s="23" t="s">
        <v>837</v>
      </c>
      <c r="E13" s="25" t="s">
        <v>144</v>
      </c>
      <c r="F13" s="25" t="s">
        <v>838</v>
      </c>
      <c r="G13" s="23" t="s">
        <v>839</v>
      </c>
      <c r="H13" s="23" t="s">
        <v>840</v>
      </c>
      <c r="I13" s="27" t="n">
        <v>0.5</v>
      </c>
      <c r="J13" s="27" t="n">
        <v>20</v>
      </c>
      <c r="K13" s="27" t="n">
        <v>0</v>
      </c>
      <c r="L13" s="27" t="n">
        <v>0</v>
      </c>
      <c r="M13" s="27" t="n">
        <v>0</v>
      </c>
      <c r="N13" s="27" t="n">
        <v>0</v>
      </c>
      <c r="O13" s="25" t="n">
        <f aca="false">I13*J13</f>
        <v>10</v>
      </c>
      <c r="P13" s="25" t="n">
        <f aca="false">K13*L13</f>
        <v>0</v>
      </c>
      <c r="Q13" s="25" t="n">
        <f aca="false">M13*N13</f>
        <v>0</v>
      </c>
      <c r="R13" s="28" t="n">
        <f aca="false">ROUND(O13*Annahmen!$F$9+P13*Annahmen!$F$12+Q13*Annahmen!$F$15,-2)</f>
        <v>42400</v>
      </c>
      <c r="S13" s="29" t="n">
        <v>0.5</v>
      </c>
      <c r="T13" s="29" t="n">
        <v>0.1</v>
      </c>
      <c r="U13" s="28" t="n">
        <f aca="false">ROUND(R13*S13*T13,-2)</f>
        <v>2100</v>
      </c>
      <c r="V13" s="28" t="n">
        <f aca="false">R13*S13</f>
        <v>21200</v>
      </c>
      <c r="W13" s="23" t="s">
        <v>830</v>
      </c>
      <c r="X13" s="33" t="s">
        <v>99</v>
      </c>
    </row>
    <row r="14" customFormat="false" ht="36" hidden="false" customHeight="true" outlineLevel="0" collapsed="false">
      <c r="A14" s="25" t="n">
        <v>10</v>
      </c>
      <c r="B14" s="24" t="s">
        <v>841</v>
      </c>
      <c r="C14" s="25" t="s">
        <v>377</v>
      </c>
      <c r="D14" s="23" t="s">
        <v>842</v>
      </c>
      <c r="E14" s="25" t="s">
        <v>250</v>
      </c>
      <c r="F14" s="25" t="s">
        <v>843</v>
      </c>
      <c r="G14" s="23" t="s">
        <v>844</v>
      </c>
      <c r="H14" s="23" t="s">
        <v>845</v>
      </c>
      <c r="I14" s="27" t="n">
        <v>1</v>
      </c>
      <c r="J14" s="27" t="n">
        <v>8</v>
      </c>
      <c r="K14" s="27" t="n">
        <v>0</v>
      </c>
      <c r="L14" s="27" t="n">
        <v>0</v>
      </c>
      <c r="M14" s="27" t="n">
        <v>0</v>
      </c>
      <c r="N14" s="27" t="n">
        <v>0</v>
      </c>
      <c r="O14" s="25" t="n">
        <f aca="false">I14*J14</f>
        <v>8</v>
      </c>
      <c r="P14" s="25" t="n">
        <f aca="false">K14*L14</f>
        <v>0</v>
      </c>
      <c r="Q14" s="25" t="n">
        <f aca="false">M14*N14</f>
        <v>0</v>
      </c>
      <c r="R14" s="28" t="n">
        <f aca="false">ROUND(O14*Annahmen!$F$9+P14*Annahmen!$F$12+Q14*Annahmen!$F$15,-2)</f>
        <v>33900</v>
      </c>
      <c r="S14" s="29" t="n">
        <v>1</v>
      </c>
      <c r="T14" s="29" t="n">
        <v>0.2</v>
      </c>
      <c r="U14" s="28" t="n">
        <f aca="false">ROUND(R14*S14*T14,-2)</f>
        <v>6800</v>
      </c>
      <c r="V14" s="28" t="n">
        <f aca="false">R14*S14</f>
        <v>33900</v>
      </c>
      <c r="W14" s="23" t="s">
        <v>830</v>
      </c>
      <c r="X14" s="33" t="s">
        <v>99</v>
      </c>
    </row>
    <row r="15" customFormat="false" ht="36" hidden="false" customHeight="true" outlineLevel="0" collapsed="false">
      <c r="A15" s="25" t="n">
        <v>11</v>
      </c>
      <c r="B15" s="24" t="s">
        <v>846</v>
      </c>
      <c r="C15" s="25" t="s">
        <v>847</v>
      </c>
      <c r="D15" s="23" t="s">
        <v>565</v>
      </c>
      <c r="E15" s="25" t="s">
        <v>250</v>
      </c>
      <c r="F15" s="25" t="s">
        <v>848</v>
      </c>
      <c r="G15" s="23" t="s">
        <v>849</v>
      </c>
      <c r="H15" s="23" t="s">
        <v>850</v>
      </c>
      <c r="I15" s="27" t="n">
        <v>1.5</v>
      </c>
      <c r="J15" s="27" t="n">
        <v>6</v>
      </c>
      <c r="K15" s="27" t="n">
        <v>1</v>
      </c>
      <c r="L15" s="27" t="n">
        <v>1</v>
      </c>
      <c r="M15" s="27" t="n">
        <v>0</v>
      </c>
      <c r="N15" s="27" t="n">
        <v>0</v>
      </c>
      <c r="O15" s="25" t="n">
        <f aca="false">I15*J15</f>
        <v>9</v>
      </c>
      <c r="P15" s="25" t="n">
        <f aca="false">K15*L15</f>
        <v>1</v>
      </c>
      <c r="Q15" s="25" t="n">
        <f aca="false">M15*N15</f>
        <v>0</v>
      </c>
      <c r="R15" s="28" t="n">
        <f aca="false">ROUND(O15*Annahmen!$F$9+P15*Annahmen!$F$12+Q15*Annahmen!$F$15,-2)</f>
        <v>40100</v>
      </c>
      <c r="S15" s="29" t="n">
        <v>1</v>
      </c>
      <c r="T15" s="29" t="n">
        <v>0.2</v>
      </c>
      <c r="U15" s="28" t="n">
        <f aca="false">ROUND(R15*S15*T15,-2)</f>
        <v>8000</v>
      </c>
      <c r="V15" s="28" t="n">
        <f aca="false">R15*S15</f>
        <v>40100</v>
      </c>
      <c r="W15" s="23" t="s">
        <v>830</v>
      </c>
      <c r="X15" s="33" t="s">
        <v>99</v>
      </c>
    </row>
    <row r="16" customFormat="false" ht="36" hidden="false" customHeight="true" outlineLevel="0" collapsed="false">
      <c r="A16" s="25" t="n">
        <v>12</v>
      </c>
      <c r="B16" s="24" t="s">
        <v>851</v>
      </c>
      <c r="C16" s="25" t="s">
        <v>852</v>
      </c>
      <c r="D16" s="23" t="s">
        <v>853</v>
      </c>
      <c r="E16" s="25" t="s">
        <v>250</v>
      </c>
      <c r="F16" s="25" t="s">
        <v>854</v>
      </c>
      <c r="G16" s="23" t="s">
        <v>855</v>
      </c>
      <c r="H16" s="23" t="s">
        <v>856</v>
      </c>
      <c r="I16" s="27" t="n">
        <v>1</v>
      </c>
      <c r="J16" s="27" t="n">
        <v>6</v>
      </c>
      <c r="K16" s="27" t="n">
        <v>0</v>
      </c>
      <c r="L16" s="27" t="n">
        <v>0</v>
      </c>
      <c r="M16" s="27" t="n">
        <v>0</v>
      </c>
      <c r="N16" s="27" t="n">
        <v>0</v>
      </c>
      <c r="O16" s="25" t="n">
        <f aca="false">I16*J16</f>
        <v>6</v>
      </c>
      <c r="P16" s="25" t="n">
        <f aca="false">K16*L16</f>
        <v>0</v>
      </c>
      <c r="Q16" s="25" t="n">
        <f aca="false">M16*N16</f>
        <v>0</v>
      </c>
      <c r="R16" s="28" t="n">
        <f aca="false">ROUND(O16*Annahmen!$F$9+P16*Annahmen!$F$12+Q16*Annahmen!$F$15,-2)</f>
        <v>25400</v>
      </c>
      <c r="S16" s="29" t="n">
        <v>0.3</v>
      </c>
      <c r="T16" s="29" t="n">
        <v>0.15</v>
      </c>
      <c r="U16" s="28" t="n">
        <f aca="false">ROUND(R16*S16*T16,-2)</f>
        <v>1100</v>
      </c>
      <c r="V16" s="28" t="n">
        <f aca="false">R16*S16</f>
        <v>7620</v>
      </c>
      <c r="W16" s="23" t="s">
        <v>830</v>
      </c>
      <c r="X16" s="33" t="s">
        <v>99</v>
      </c>
    </row>
    <row r="17" customFormat="false" ht="36" hidden="false" customHeight="true" outlineLevel="0" collapsed="false">
      <c r="A17" s="25" t="n">
        <v>13</v>
      </c>
      <c r="B17" s="24" t="s">
        <v>857</v>
      </c>
      <c r="C17" s="25" t="s">
        <v>858</v>
      </c>
      <c r="D17" s="23" t="s">
        <v>638</v>
      </c>
      <c r="E17" s="25" t="s">
        <v>144</v>
      </c>
      <c r="F17" s="25" t="s">
        <v>859</v>
      </c>
      <c r="G17" s="23" t="s">
        <v>855</v>
      </c>
      <c r="H17" s="23" t="s">
        <v>860</v>
      </c>
      <c r="I17" s="27" t="n">
        <v>1</v>
      </c>
      <c r="J17" s="27" t="n">
        <v>8</v>
      </c>
      <c r="K17" s="27" t="n">
        <v>0</v>
      </c>
      <c r="L17" s="27" t="n">
        <v>0</v>
      </c>
      <c r="M17" s="27" t="n">
        <v>0</v>
      </c>
      <c r="N17" s="27" t="n">
        <v>0</v>
      </c>
      <c r="O17" s="25" t="n">
        <f aca="false">I17*J17</f>
        <v>8</v>
      </c>
      <c r="P17" s="25" t="n">
        <f aca="false">K17*L17</f>
        <v>0</v>
      </c>
      <c r="Q17" s="25" t="n">
        <f aca="false">M17*N17</f>
        <v>0</v>
      </c>
      <c r="R17" s="28" t="n">
        <f aca="false">ROUND(O17*Annahmen!$F$9+P17*Annahmen!$F$12+Q17*Annahmen!$F$15,-2)</f>
        <v>33900</v>
      </c>
      <c r="S17" s="29" t="n">
        <v>0.3</v>
      </c>
      <c r="T17" s="29" t="n">
        <v>0.15</v>
      </c>
      <c r="U17" s="28" t="n">
        <f aca="false">ROUND(R17*S17*T17,-2)</f>
        <v>1500</v>
      </c>
      <c r="V17" s="28" t="n">
        <f aca="false">R17*S17</f>
        <v>10170</v>
      </c>
      <c r="W17" s="23" t="s">
        <v>830</v>
      </c>
      <c r="X17" s="33" t="s">
        <v>99</v>
      </c>
    </row>
    <row r="18" customFormat="false" ht="36" hidden="false" customHeight="true" outlineLevel="0" collapsed="false">
      <c r="A18" s="25" t="n">
        <v>14</v>
      </c>
      <c r="B18" s="24" t="s">
        <v>861</v>
      </c>
      <c r="C18" s="25" t="s">
        <v>240</v>
      </c>
      <c r="D18" s="23" t="s">
        <v>862</v>
      </c>
      <c r="E18" s="25" t="s">
        <v>104</v>
      </c>
      <c r="F18" s="25" t="s">
        <v>863</v>
      </c>
      <c r="G18" s="23" t="s">
        <v>864</v>
      </c>
      <c r="H18" s="23" t="s">
        <v>865</v>
      </c>
      <c r="I18" s="27" t="n">
        <v>1</v>
      </c>
      <c r="J18" s="27" t="n">
        <v>6</v>
      </c>
      <c r="K18" s="27" t="n">
        <v>0</v>
      </c>
      <c r="L18" s="27" t="n">
        <v>0</v>
      </c>
      <c r="M18" s="27" t="n">
        <v>0</v>
      </c>
      <c r="N18" s="27" t="n">
        <v>0</v>
      </c>
      <c r="O18" s="25" t="n">
        <f aca="false">I18*J18</f>
        <v>6</v>
      </c>
      <c r="P18" s="25" t="n">
        <f aca="false">K18*L18</f>
        <v>0</v>
      </c>
      <c r="Q18" s="25" t="n">
        <f aca="false">M18*N18</f>
        <v>0</v>
      </c>
      <c r="R18" s="28" t="n">
        <f aca="false">ROUND(O18*Annahmen!$F$9+P18*Annahmen!$F$12+Q18*Annahmen!$F$15,-2)</f>
        <v>25400</v>
      </c>
      <c r="S18" s="29" t="n">
        <v>1</v>
      </c>
      <c r="T18" s="29" t="n">
        <v>0.15</v>
      </c>
      <c r="U18" s="28" t="n">
        <f aca="false">ROUND(R18*S18*T18,-2)</f>
        <v>3800</v>
      </c>
      <c r="V18" s="28" t="n">
        <f aca="false">R18*S18</f>
        <v>25400</v>
      </c>
      <c r="W18" s="23" t="s">
        <v>830</v>
      </c>
      <c r="X18" s="33" t="s">
        <v>99</v>
      </c>
    </row>
    <row r="19" customFormat="false" ht="36" hidden="false" customHeight="true" outlineLevel="0" collapsed="false">
      <c r="A19" s="25" t="n">
        <v>15</v>
      </c>
      <c r="B19" s="24" t="s">
        <v>866</v>
      </c>
      <c r="C19" s="25" t="s">
        <v>240</v>
      </c>
      <c r="D19" s="23" t="s">
        <v>867</v>
      </c>
      <c r="E19" s="25" t="s">
        <v>114</v>
      </c>
      <c r="F19" s="25" t="s">
        <v>868</v>
      </c>
      <c r="G19" s="23" t="s">
        <v>869</v>
      </c>
      <c r="H19" s="23" t="s">
        <v>870</v>
      </c>
      <c r="I19" s="27" t="n">
        <v>1</v>
      </c>
      <c r="J19" s="27" t="n">
        <v>6</v>
      </c>
      <c r="K19" s="27" t="n">
        <v>0</v>
      </c>
      <c r="L19" s="27" t="n">
        <v>0</v>
      </c>
      <c r="M19" s="27" t="n">
        <v>0</v>
      </c>
      <c r="N19" s="27" t="n">
        <v>0</v>
      </c>
      <c r="O19" s="25" t="n">
        <f aca="false">I19*J19</f>
        <v>6</v>
      </c>
      <c r="P19" s="25" t="n">
        <f aca="false">K19*L19</f>
        <v>0</v>
      </c>
      <c r="Q19" s="25" t="n">
        <f aca="false">M19*N19</f>
        <v>0</v>
      </c>
      <c r="R19" s="28" t="n">
        <f aca="false">ROUND(O19*Annahmen!$F$9+P19*Annahmen!$F$12+Q19*Annahmen!$F$15,-2)</f>
        <v>25400</v>
      </c>
      <c r="S19" s="29" t="n">
        <v>1</v>
      </c>
      <c r="T19" s="29" t="n">
        <v>0.15</v>
      </c>
      <c r="U19" s="28" t="n">
        <f aca="false">ROUND(R19*S19*T19,-2)</f>
        <v>3800</v>
      </c>
      <c r="V19" s="28" t="n">
        <f aca="false">R19*S19</f>
        <v>25400</v>
      </c>
      <c r="W19" s="23" t="s">
        <v>830</v>
      </c>
      <c r="X19" s="33" t="s">
        <v>99</v>
      </c>
    </row>
    <row r="20" customFormat="false" ht="36" hidden="false" customHeight="true" outlineLevel="0" collapsed="false">
      <c r="A20" s="25" t="n">
        <v>16</v>
      </c>
      <c r="B20" s="24" t="s">
        <v>871</v>
      </c>
      <c r="C20" s="25" t="s">
        <v>365</v>
      </c>
      <c r="D20" s="23" t="s">
        <v>872</v>
      </c>
      <c r="E20" s="25" t="s">
        <v>104</v>
      </c>
      <c r="F20" s="25" t="s">
        <v>873</v>
      </c>
      <c r="G20" s="23" t="s">
        <v>874</v>
      </c>
      <c r="H20" s="23" t="s">
        <v>875</v>
      </c>
      <c r="I20" s="27" t="n">
        <v>1</v>
      </c>
      <c r="J20" s="27" t="n">
        <v>2</v>
      </c>
      <c r="K20" s="27" t="n">
        <v>2</v>
      </c>
      <c r="L20" s="27" t="n">
        <v>1</v>
      </c>
      <c r="M20" s="27" t="n">
        <v>0</v>
      </c>
      <c r="N20" s="27" t="n">
        <v>0</v>
      </c>
      <c r="O20" s="25" t="n">
        <f aca="false">I20*J20</f>
        <v>2</v>
      </c>
      <c r="P20" s="25" t="n">
        <f aca="false">K20*L20</f>
        <v>2</v>
      </c>
      <c r="Q20" s="25" t="n">
        <f aca="false">M20*N20</f>
        <v>0</v>
      </c>
      <c r="R20" s="28" t="n">
        <f aca="false">ROUND(O20*Annahmen!$F$9+P20*Annahmen!$F$12+Q20*Annahmen!$F$15,-2)</f>
        <v>12400</v>
      </c>
      <c r="S20" s="29" t="n">
        <v>1</v>
      </c>
      <c r="T20" s="29" t="n">
        <v>0.15</v>
      </c>
      <c r="U20" s="28" t="n">
        <f aca="false">ROUND(R20*S20*T20,-2)</f>
        <v>1900</v>
      </c>
      <c r="V20" s="28" t="n">
        <f aca="false">R20*S20</f>
        <v>12400</v>
      </c>
      <c r="W20" s="23" t="s">
        <v>830</v>
      </c>
      <c r="X20" s="33" t="s">
        <v>99</v>
      </c>
    </row>
    <row r="21" customFormat="false" ht="36" hidden="false" customHeight="true" outlineLevel="0" collapsed="false">
      <c r="A21" s="25" t="n">
        <v>17</v>
      </c>
      <c r="B21" s="24" t="s">
        <v>876</v>
      </c>
      <c r="C21" s="25" t="s">
        <v>877</v>
      </c>
      <c r="D21" s="23" t="s">
        <v>878</v>
      </c>
      <c r="E21" s="25" t="s">
        <v>144</v>
      </c>
      <c r="F21" s="25" t="s">
        <v>879</v>
      </c>
      <c r="G21" s="23" t="s">
        <v>880</v>
      </c>
      <c r="H21" s="23" t="s">
        <v>881</v>
      </c>
      <c r="I21" s="27" t="n">
        <v>1</v>
      </c>
      <c r="J21" s="27" t="n">
        <v>2</v>
      </c>
      <c r="K21" s="27" t="n">
        <v>1</v>
      </c>
      <c r="L21" s="27" t="n">
        <v>1</v>
      </c>
      <c r="M21" s="27" t="n">
        <v>0</v>
      </c>
      <c r="N21" s="27" t="n">
        <v>0</v>
      </c>
      <c r="O21" s="25" t="n">
        <f aca="false">I21*J21</f>
        <v>2</v>
      </c>
      <c r="P21" s="25" t="n">
        <f aca="false">K21*L21</f>
        <v>1</v>
      </c>
      <c r="Q21" s="25" t="n">
        <f aca="false">M21*N21</f>
        <v>0</v>
      </c>
      <c r="R21" s="28" t="n">
        <f aca="false">ROUND(O21*Annahmen!$F$9+P21*Annahmen!$F$12+Q21*Annahmen!$F$15,-2)</f>
        <v>10400</v>
      </c>
      <c r="S21" s="29" t="n">
        <v>0.5</v>
      </c>
      <c r="T21" s="29" t="n">
        <v>0.15</v>
      </c>
      <c r="U21" s="28" t="n">
        <f aca="false">ROUND(R21*S21*T21,-2)</f>
        <v>800</v>
      </c>
      <c r="V21" s="28" t="n">
        <f aca="false">R21*S21</f>
        <v>5200</v>
      </c>
      <c r="W21" s="23" t="s">
        <v>830</v>
      </c>
      <c r="X21" s="33" t="s">
        <v>99</v>
      </c>
    </row>
    <row r="22" customFormat="false" ht="36" hidden="false" customHeight="true" outlineLevel="0" collapsed="false">
      <c r="A22" s="25" t="n">
        <v>18</v>
      </c>
      <c r="B22" s="24" t="s">
        <v>882</v>
      </c>
      <c r="C22" s="25" t="s">
        <v>883</v>
      </c>
      <c r="D22" s="23" t="s">
        <v>884</v>
      </c>
      <c r="E22" s="25" t="s">
        <v>104</v>
      </c>
      <c r="F22" s="25" t="s">
        <v>885</v>
      </c>
      <c r="G22" s="23" t="s">
        <v>886</v>
      </c>
      <c r="H22" s="23" t="s">
        <v>887</v>
      </c>
      <c r="I22" s="27" t="n">
        <v>0.5</v>
      </c>
      <c r="J22" s="27" t="n">
        <v>8</v>
      </c>
      <c r="K22" s="27" t="n">
        <v>2</v>
      </c>
      <c r="L22" s="27" t="n">
        <v>1</v>
      </c>
      <c r="M22" s="27" t="n">
        <v>0</v>
      </c>
      <c r="N22" s="27" t="n">
        <v>0</v>
      </c>
      <c r="O22" s="25" t="n">
        <f aca="false">I22*J22</f>
        <v>4</v>
      </c>
      <c r="P22" s="25" t="n">
        <f aca="false">K22*L22</f>
        <v>2</v>
      </c>
      <c r="Q22" s="25" t="n">
        <f aca="false">M22*N22</f>
        <v>0</v>
      </c>
      <c r="R22" s="28" t="n">
        <f aca="false">ROUND(O22*Annahmen!$F$9+P22*Annahmen!$F$12+Q22*Annahmen!$F$15,-2)</f>
        <v>20800</v>
      </c>
      <c r="S22" s="29" t="n">
        <v>1</v>
      </c>
      <c r="T22" s="29" t="n">
        <v>0.15</v>
      </c>
      <c r="U22" s="28" t="n">
        <f aca="false">ROUND(R22*S22*T22,-2)</f>
        <v>3100</v>
      </c>
      <c r="V22" s="28" t="n">
        <f aca="false">R22*S22</f>
        <v>20800</v>
      </c>
      <c r="W22" s="23" t="s">
        <v>830</v>
      </c>
      <c r="X22" s="33" t="s">
        <v>99</v>
      </c>
    </row>
    <row r="23" customFormat="false" ht="36" hidden="false" customHeight="true" outlineLevel="0" collapsed="false">
      <c r="A23" s="25" t="n">
        <v>19</v>
      </c>
      <c r="B23" s="24" t="s">
        <v>888</v>
      </c>
      <c r="C23" s="25" t="s">
        <v>889</v>
      </c>
      <c r="D23" s="23" t="s">
        <v>890</v>
      </c>
      <c r="E23" s="25" t="s">
        <v>144</v>
      </c>
      <c r="F23" s="25" t="s">
        <v>891</v>
      </c>
      <c r="G23" s="23" t="s">
        <v>892</v>
      </c>
      <c r="H23" s="23" t="s">
        <v>887</v>
      </c>
      <c r="I23" s="27" t="n">
        <v>0.5</v>
      </c>
      <c r="J23" s="27" t="n">
        <v>8</v>
      </c>
      <c r="K23" s="27" t="n">
        <v>2</v>
      </c>
      <c r="L23" s="27" t="n">
        <v>1</v>
      </c>
      <c r="M23" s="27" t="n">
        <v>0</v>
      </c>
      <c r="N23" s="27" t="n">
        <v>0</v>
      </c>
      <c r="O23" s="25" t="n">
        <f aca="false">I23*J23</f>
        <v>4</v>
      </c>
      <c r="P23" s="25" t="n">
        <f aca="false">K23*L23</f>
        <v>2</v>
      </c>
      <c r="Q23" s="25" t="n">
        <f aca="false">M23*N23</f>
        <v>0</v>
      </c>
      <c r="R23" s="28" t="n">
        <f aca="false">ROUND(O23*Annahmen!$F$9+P23*Annahmen!$F$12+Q23*Annahmen!$F$15,-2)</f>
        <v>20800</v>
      </c>
      <c r="S23" s="29" t="n">
        <v>1</v>
      </c>
      <c r="T23" s="29" t="n">
        <v>0.15</v>
      </c>
      <c r="U23" s="28" t="n">
        <f aca="false">ROUND(R23*S23*T23,-2)</f>
        <v>3100</v>
      </c>
      <c r="V23" s="28" t="n">
        <f aca="false">R23*S23</f>
        <v>20800</v>
      </c>
      <c r="W23" s="23" t="s">
        <v>830</v>
      </c>
      <c r="X23" s="33" t="s">
        <v>99</v>
      </c>
    </row>
    <row r="24" customFormat="false" ht="36" hidden="false" customHeight="true" outlineLevel="0" collapsed="false">
      <c r="A24" s="25" t="n">
        <v>20</v>
      </c>
      <c r="B24" s="24" t="s">
        <v>893</v>
      </c>
      <c r="C24" s="25" t="s">
        <v>894</v>
      </c>
      <c r="D24" s="23" t="s">
        <v>895</v>
      </c>
      <c r="E24" s="25" t="s">
        <v>165</v>
      </c>
      <c r="F24" s="25" t="s">
        <v>896</v>
      </c>
      <c r="G24" s="23" t="s">
        <v>897</v>
      </c>
      <c r="H24" s="23" t="s">
        <v>898</v>
      </c>
      <c r="I24" s="27" t="n">
        <v>0.3</v>
      </c>
      <c r="J24" s="27" t="n">
        <v>6</v>
      </c>
      <c r="K24" s="27" t="n">
        <v>1</v>
      </c>
      <c r="L24" s="27" t="n">
        <v>1</v>
      </c>
      <c r="M24" s="27" t="n">
        <v>0</v>
      </c>
      <c r="N24" s="27" t="n">
        <v>0</v>
      </c>
      <c r="O24" s="25" t="n">
        <f aca="false">I24*J24</f>
        <v>1.8</v>
      </c>
      <c r="P24" s="25" t="n">
        <f aca="false">K24*L24</f>
        <v>1</v>
      </c>
      <c r="Q24" s="25" t="n">
        <f aca="false">M24*N24</f>
        <v>0</v>
      </c>
      <c r="R24" s="28" t="n">
        <f aca="false">ROUND(O24*Annahmen!$F$9+P24*Annahmen!$F$12+Q24*Annahmen!$F$15,-2)</f>
        <v>9600</v>
      </c>
      <c r="S24" s="29" t="n">
        <v>1</v>
      </c>
      <c r="T24" s="29" t="n">
        <v>0.15</v>
      </c>
      <c r="U24" s="28" t="n">
        <f aca="false">ROUND(R24*S24*T24,-2)</f>
        <v>1400</v>
      </c>
      <c r="V24" s="28" t="n">
        <f aca="false">R24*S24</f>
        <v>9600</v>
      </c>
      <c r="W24" s="23" t="s">
        <v>830</v>
      </c>
      <c r="X24" s="33" t="s">
        <v>99</v>
      </c>
    </row>
    <row r="25" customFormat="false" ht="36" hidden="false" customHeight="true" outlineLevel="0" collapsed="false">
      <c r="A25" s="25" t="n">
        <v>21</v>
      </c>
      <c r="B25" s="24" t="s">
        <v>899</v>
      </c>
      <c r="C25" s="25" t="s">
        <v>889</v>
      </c>
      <c r="D25" s="23" t="s">
        <v>900</v>
      </c>
      <c r="E25" s="25" t="s">
        <v>144</v>
      </c>
      <c r="F25" s="25" t="s">
        <v>901</v>
      </c>
      <c r="G25" s="23" t="s">
        <v>902</v>
      </c>
      <c r="H25" s="23" t="s">
        <v>903</v>
      </c>
      <c r="I25" s="27" t="n">
        <v>1</v>
      </c>
      <c r="J25" s="27" t="n">
        <v>26</v>
      </c>
      <c r="K25" s="27" t="n">
        <v>0</v>
      </c>
      <c r="L25" s="27" t="n">
        <v>0</v>
      </c>
      <c r="M25" s="27" t="n">
        <v>0</v>
      </c>
      <c r="N25" s="27" t="n">
        <v>0</v>
      </c>
      <c r="O25" s="25" t="n">
        <f aca="false">I25*J25</f>
        <v>26</v>
      </c>
      <c r="P25" s="25" t="n">
        <f aca="false">K25*L25</f>
        <v>0</v>
      </c>
      <c r="Q25" s="25" t="n">
        <f aca="false">M25*N25</f>
        <v>0</v>
      </c>
      <c r="R25" s="28" t="n">
        <f aca="false">ROUND(O25*Annahmen!$F$9+P25*Annahmen!$F$12+Q25*Annahmen!$F$15,-2)</f>
        <v>110200</v>
      </c>
      <c r="S25" s="29" t="n">
        <v>0</v>
      </c>
      <c r="T25" s="29" t="n">
        <v>0.1</v>
      </c>
      <c r="U25" s="28" t="n">
        <f aca="false">ROUND(R25*S25*T25,-2)</f>
        <v>0</v>
      </c>
      <c r="V25" s="28" t="n">
        <f aca="false">R25*S25</f>
        <v>0</v>
      </c>
      <c r="W25" s="23" t="s">
        <v>830</v>
      </c>
      <c r="X25" s="33" t="s">
        <v>99</v>
      </c>
    </row>
    <row r="26" customFormat="false" ht="36" hidden="false" customHeight="true" outlineLevel="0" collapsed="false">
      <c r="A26" s="25" t="n">
        <v>22</v>
      </c>
      <c r="B26" s="24" t="s">
        <v>904</v>
      </c>
      <c r="C26" s="25" t="s">
        <v>905</v>
      </c>
      <c r="D26" s="23" t="s">
        <v>906</v>
      </c>
      <c r="E26" s="25" t="s">
        <v>114</v>
      </c>
      <c r="F26" s="25" t="s">
        <v>907</v>
      </c>
      <c r="G26" s="23" t="s">
        <v>908</v>
      </c>
      <c r="H26" s="23" t="s">
        <v>909</v>
      </c>
      <c r="I26" s="27" t="n">
        <v>1</v>
      </c>
      <c r="J26" s="27" t="n">
        <v>8</v>
      </c>
      <c r="K26" s="27" t="n">
        <v>0</v>
      </c>
      <c r="L26" s="27" t="n">
        <v>0</v>
      </c>
      <c r="M26" s="27" t="n">
        <v>0</v>
      </c>
      <c r="N26" s="27" t="n">
        <v>0</v>
      </c>
      <c r="O26" s="25" t="n">
        <f aca="false">I26*J26</f>
        <v>8</v>
      </c>
      <c r="P26" s="25" t="n">
        <f aca="false">K26*L26</f>
        <v>0</v>
      </c>
      <c r="Q26" s="25" t="n">
        <f aca="false">M26*N26</f>
        <v>0</v>
      </c>
      <c r="R26" s="28" t="n">
        <f aca="false">ROUND(O26*Annahmen!$F$9+P26*Annahmen!$F$12+Q26*Annahmen!$F$15,-2)</f>
        <v>33900</v>
      </c>
      <c r="S26" s="29" t="n">
        <v>1</v>
      </c>
      <c r="T26" s="29" t="n">
        <v>0.15</v>
      </c>
      <c r="U26" s="28" t="n">
        <f aca="false">ROUND(R26*S26*T26,-2)</f>
        <v>5100</v>
      </c>
      <c r="V26" s="28" t="n">
        <f aca="false">R26*S26</f>
        <v>33900</v>
      </c>
      <c r="W26" s="23" t="s">
        <v>830</v>
      </c>
      <c r="X26" s="33" t="s">
        <v>99</v>
      </c>
    </row>
    <row r="27" customFormat="false" ht="36" hidden="false" customHeight="true" outlineLevel="0" collapsed="false">
      <c r="A27" s="25" t="n">
        <v>23</v>
      </c>
      <c r="B27" s="24" t="s">
        <v>910</v>
      </c>
      <c r="C27" s="25" t="s">
        <v>889</v>
      </c>
      <c r="D27" s="23" t="s">
        <v>900</v>
      </c>
      <c r="E27" s="25" t="s">
        <v>144</v>
      </c>
      <c r="F27" s="25" t="s">
        <v>911</v>
      </c>
      <c r="G27" s="23" t="s">
        <v>912</v>
      </c>
      <c r="H27" s="23" t="s">
        <v>913</v>
      </c>
      <c r="I27" s="27" t="n">
        <v>1</v>
      </c>
      <c r="J27" s="27" t="n">
        <v>20</v>
      </c>
      <c r="K27" s="27" t="n">
        <v>0</v>
      </c>
      <c r="L27" s="27" t="n">
        <v>0</v>
      </c>
      <c r="M27" s="27" t="n">
        <v>0</v>
      </c>
      <c r="N27" s="27" t="n">
        <v>0</v>
      </c>
      <c r="O27" s="25" t="n">
        <f aca="false">I27*J27</f>
        <v>20</v>
      </c>
      <c r="P27" s="25" t="n">
        <f aca="false">K27*L27</f>
        <v>0</v>
      </c>
      <c r="Q27" s="25" t="n">
        <f aca="false">M27*N27</f>
        <v>0</v>
      </c>
      <c r="R27" s="28" t="n">
        <f aca="false">ROUND(O27*Annahmen!$F$9+P27*Annahmen!$F$12+Q27*Annahmen!$F$15,-2)</f>
        <v>84800</v>
      </c>
      <c r="S27" s="29" t="n">
        <v>0</v>
      </c>
      <c r="T27" s="29" t="n">
        <v>0.1</v>
      </c>
      <c r="U27" s="28" t="n">
        <f aca="false">ROUND(R27*S27*T27,-2)</f>
        <v>0</v>
      </c>
      <c r="V27" s="28" t="n">
        <f aca="false">R27*S27</f>
        <v>0</v>
      </c>
      <c r="W27" s="23" t="s">
        <v>830</v>
      </c>
      <c r="X27" s="33" t="s">
        <v>99</v>
      </c>
    </row>
    <row r="28" customFormat="false" ht="36" hidden="false" customHeight="true" outlineLevel="0" collapsed="false">
      <c r="A28" s="25" t="n">
        <v>24</v>
      </c>
      <c r="B28" s="24" t="s">
        <v>914</v>
      </c>
      <c r="C28" s="25" t="s">
        <v>915</v>
      </c>
      <c r="D28" s="23" t="s">
        <v>916</v>
      </c>
      <c r="E28" s="25" t="s">
        <v>114</v>
      </c>
      <c r="F28" s="25" t="s">
        <v>917</v>
      </c>
      <c r="G28" s="23" t="s">
        <v>918</v>
      </c>
      <c r="H28" s="23" t="s">
        <v>919</v>
      </c>
      <c r="I28" s="27" t="n">
        <v>1</v>
      </c>
      <c r="J28" s="27" t="n">
        <v>4</v>
      </c>
      <c r="K28" s="27" t="n">
        <v>0</v>
      </c>
      <c r="L28" s="27" t="n">
        <v>0</v>
      </c>
      <c r="M28" s="27" t="n">
        <v>0</v>
      </c>
      <c r="N28" s="27" t="n">
        <v>0</v>
      </c>
      <c r="O28" s="25" t="n">
        <f aca="false">I28*J28</f>
        <v>4</v>
      </c>
      <c r="P28" s="25" t="n">
        <f aca="false">K28*L28</f>
        <v>0</v>
      </c>
      <c r="Q28" s="25" t="n">
        <f aca="false">M28*N28</f>
        <v>0</v>
      </c>
      <c r="R28" s="28" t="n">
        <f aca="false">ROUND(O28*Annahmen!$F$9+P28*Annahmen!$F$12+Q28*Annahmen!$F$15,-2)</f>
        <v>17000</v>
      </c>
      <c r="S28" s="29" t="n">
        <v>1</v>
      </c>
      <c r="T28" s="29" t="n">
        <v>0.1</v>
      </c>
      <c r="U28" s="28" t="n">
        <f aca="false">ROUND(R28*S28*T28,-2)</f>
        <v>1700</v>
      </c>
      <c r="V28" s="28" t="n">
        <f aca="false">R28*S28</f>
        <v>17000</v>
      </c>
      <c r="W28" s="23" t="s">
        <v>830</v>
      </c>
      <c r="X28" s="33" t="s">
        <v>99</v>
      </c>
    </row>
    <row r="29" customFormat="false" ht="36" hidden="false" customHeight="true" outlineLevel="0" collapsed="false">
      <c r="A29" s="25" t="n">
        <v>25</v>
      </c>
      <c r="B29" s="24" t="s">
        <v>920</v>
      </c>
      <c r="C29" s="25" t="s">
        <v>921</v>
      </c>
      <c r="D29" s="23" t="s">
        <v>922</v>
      </c>
      <c r="E29" s="25" t="s">
        <v>114</v>
      </c>
      <c r="F29" s="25" t="s">
        <v>923</v>
      </c>
      <c r="G29" s="23" t="s">
        <v>924</v>
      </c>
      <c r="H29" s="23" t="s">
        <v>925</v>
      </c>
      <c r="I29" s="27" t="n">
        <v>0.5</v>
      </c>
      <c r="J29" s="27" t="n">
        <v>8</v>
      </c>
      <c r="K29" s="27" t="n">
        <v>20</v>
      </c>
      <c r="L29" s="27" t="n">
        <v>2</v>
      </c>
      <c r="M29" s="27" t="n">
        <v>0</v>
      </c>
      <c r="N29" s="27" t="n">
        <v>0</v>
      </c>
      <c r="O29" s="25" t="n">
        <f aca="false">I29*J29</f>
        <v>4</v>
      </c>
      <c r="P29" s="25" t="n">
        <f aca="false">K29*L29</f>
        <v>40</v>
      </c>
      <c r="Q29" s="25" t="n">
        <f aca="false">M29*N29</f>
        <v>0</v>
      </c>
      <c r="R29" s="28" t="n">
        <f aca="false">ROUND(O29*Annahmen!$F$9+P29*Annahmen!$F$12+Q29*Annahmen!$F$15,-2)</f>
        <v>94800</v>
      </c>
      <c r="S29" s="29" t="n">
        <v>0.2</v>
      </c>
      <c r="T29" s="29" t="n">
        <v>0.1</v>
      </c>
      <c r="U29" s="28" t="n">
        <f aca="false">ROUND(R29*S29*T29,-2)</f>
        <v>1900</v>
      </c>
      <c r="V29" s="28" t="n">
        <f aca="false">R29*S29</f>
        <v>18960</v>
      </c>
      <c r="W29" s="23" t="s">
        <v>830</v>
      </c>
      <c r="X29" s="33" t="s">
        <v>99</v>
      </c>
    </row>
    <row r="30" customFormat="false" ht="36" hidden="false" customHeight="true" outlineLevel="0" collapsed="false">
      <c r="A30" s="25" t="n">
        <v>26</v>
      </c>
      <c r="B30" s="24" t="s">
        <v>926</v>
      </c>
      <c r="C30" s="25" t="s">
        <v>802</v>
      </c>
      <c r="D30" s="23" t="s">
        <v>927</v>
      </c>
      <c r="E30" s="25" t="s">
        <v>114</v>
      </c>
      <c r="F30" s="25" t="s">
        <v>928</v>
      </c>
      <c r="G30" s="23" t="s">
        <v>929</v>
      </c>
      <c r="H30" s="23" t="s">
        <v>930</v>
      </c>
      <c r="I30" s="27" t="n">
        <v>1</v>
      </c>
      <c r="J30" s="27" t="n">
        <v>26</v>
      </c>
      <c r="K30" s="27" t="n">
        <v>0</v>
      </c>
      <c r="L30" s="27" t="n">
        <v>0</v>
      </c>
      <c r="M30" s="27" t="n">
        <v>0</v>
      </c>
      <c r="N30" s="27" t="n">
        <v>0</v>
      </c>
      <c r="O30" s="25" t="n">
        <f aca="false">I30*J30</f>
        <v>26</v>
      </c>
      <c r="P30" s="25" t="n">
        <f aca="false">K30*L30</f>
        <v>0</v>
      </c>
      <c r="Q30" s="25" t="n">
        <f aca="false">M30*N30</f>
        <v>0</v>
      </c>
      <c r="R30" s="28" t="n">
        <f aca="false">ROUND(O30*Annahmen!$F$9+P30*Annahmen!$F$12+Q30*Annahmen!$F$15,-2)</f>
        <v>110200</v>
      </c>
      <c r="S30" s="29" t="n">
        <v>0</v>
      </c>
      <c r="T30" s="29" t="n">
        <v>0.1</v>
      </c>
      <c r="U30" s="28" t="n">
        <f aca="false">ROUND(R30*S30*T30,-2)</f>
        <v>0</v>
      </c>
      <c r="V30" s="28" t="n">
        <f aca="false">R30*S30</f>
        <v>0</v>
      </c>
      <c r="W30" s="23" t="s">
        <v>830</v>
      </c>
      <c r="X30" s="33" t="s">
        <v>99</v>
      </c>
    </row>
    <row r="31" customFormat="false" ht="36" hidden="false" customHeight="true" outlineLevel="0" collapsed="false">
      <c r="A31" s="25" t="n">
        <v>27</v>
      </c>
      <c r="B31" s="24" t="s">
        <v>931</v>
      </c>
      <c r="C31" s="25" t="s">
        <v>932</v>
      </c>
      <c r="D31" s="23" t="s">
        <v>718</v>
      </c>
      <c r="E31" s="25" t="s">
        <v>144</v>
      </c>
      <c r="F31" s="25" t="s">
        <v>933</v>
      </c>
      <c r="G31" s="23" t="s">
        <v>934</v>
      </c>
      <c r="H31" s="23" t="s">
        <v>935</v>
      </c>
      <c r="I31" s="27" t="n">
        <v>0.5</v>
      </c>
      <c r="J31" s="27" t="n">
        <v>2</v>
      </c>
      <c r="K31" s="27" t="n">
        <v>0</v>
      </c>
      <c r="L31" s="27" t="n">
        <v>0</v>
      </c>
      <c r="M31" s="27" t="n">
        <v>0</v>
      </c>
      <c r="N31" s="27" t="n">
        <v>0</v>
      </c>
      <c r="O31" s="25" t="n">
        <f aca="false">I31*J31</f>
        <v>1</v>
      </c>
      <c r="P31" s="25" t="n">
        <f aca="false">K31*L31</f>
        <v>0</v>
      </c>
      <c r="Q31" s="25" t="n">
        <f aca="false">M31*N31</f>
        <v>0</v>
      </c>
      <c r="R31" s="28" t="n">
        <f aca="false">ROUND(O31*Annahmen!$F$9+P31*Annahmen!$F$12+Q31*Annahmen!$F$15,-2)</f>
        <v>4200</v>
      </c>
      <c r="S31" s="29" t="n">
        <v>1</v>
      </c>
      <c r="T31" s="29" t="n">
        <v>0.1</v>
      </c>
      <c r="U31" s="28" t="n">
        <f aca="false">ROUND(R31*S31*T31,-2)</f>
        <v>400</v>
      </c>
      <c r="V31" s="28" t="n">
        <f aca="false">R31*S31</f>
        <v>4200</v>
      </c>
      <c r="W31" s="23" t="s">
        <v>830</v>
      </c>
      <c r="X31" s="33" t="s">
        <v>99</v>
      </c>
    </row>
    <row r="32" customFormat="false" ht="36" hidden="false" customHeight="true" outlineLevel="0" collapsed="false">
      <c r="A32" s="25" t="n">
        <v>28</v>
      </c>
      <c r="B32" s="24" t="s">
        <v>936</v>
      </c>
      <c r="C32" s="25" t="s">
        <v>937</v>
      </c>
      <c r="D32" s="23" t="s">
        <v>938</v>
      </c>
      <c r="E32" s="25" t="s">
        <v>165</v>
      </c>
      <c r="F32" s="25" t="s">
        <v>939</v>
      </c>
      <c r="G32" s="23" t="s">
        <v>940</v>
      </c>
      <c r="H32" s="23" t="s">
        <v>941</v>
      </c>
      <c r="I32" s="27" t="n">
        <v>0.5</v>
      </c>
      <c r="J32" s="27" t="n">
        <v>8</v>
      </c>
      <c r="K32" s="27" t="n">
        <v>0</v>
      </c>
      <c r="L32" s="27" t="n">
        <v>0</v>
      </c>
      <c r="M32" s="27" t="n">
        <v>0</v>
      </c>
      <c r="N32" s="27" t="n">
        <v>0</v>
      </c>
      <c r="O32" s="25" t="n">
        <f aca="false">I32*J32</f>
        <v>4</v>
      </c>
      <c r="P32" s="25" t="n">
        <f aca="false">K32*L32</f>
        <v>0</v>
      </c>
      <c r="Q32" s="25" t="n">
        <f aca="false">M32*N32</f>
        <v>0</v>
      </c>
      <c r="R32" s="28" t="n">
        <f aca="false">ROUND(O32*Annahmen!$F$9+P32*Annahmen!$F$12+Q32*Annahmen!$F$15,-2)</f>
        <v>17000</v>
      </c>
      <c r="S32" s="29" t="n">
        <v>1</v>
      </c>
      <c r="T32" s="29" t="n">
        <v>0.15</v>
      </c>
      <c r="U32" s="28" t="n">
        <f aca="false">ROUND(R32*S32*T32,-2)</f>
        <v>2600</v>
      </c>
      <c r="V32" s="28" t="n">
        <f aca="false">R32*S32</f>
        <v>17000</v>
      </c>
      <c r="W32" s="23" t="s">
        <v>830</v>
      </c>
      <c r="X32" s="33" t="s">
        <v>99</v>
      </c>
    </row>
    <row r="33" customFormat="false" ht="36" hidden="false" customHeight="true" outlineLevel="0" collapsed="false">
      <c r="A33" s="25" t="n">
        <v>29</v>
      </c>
      <c r="B33" s="24" t="s">
        <v>942</v>
      </c>
      <c r="C33" s="25" t="s">
        <v>943</v>
      </c>
      <c r="D33" s="23" t="s">
        <v>756</v>
      </c>
      <c r="E33" s="25" t="s">
        <v>114</v>
      </c>
      <c r="F33" s="25" t="s">
        <v>944</v>
      </c>
      <c r="G33" s="23" t="s">
        <v>945</v>
      </c>
      <c r="H33" s="23" t="s">
        <v>946</v>
      </c>
      <c r="I33" s="27" t="n">
        <v>0.5</v>
      </c>
      <c r="J33" s="27" t="n">
        <v>8</v>
      </c>
      <c r="K33" s="27" t="n">
        <v>0</v>
      </c>
      <c r="L33" s="27" t="n">
        <v>0</v>
      </c>
      <c r="M33" s="27" t="n">
        <v>0</v>
      </c>
      <c r="N33" s="27" t="n">
        <v>0</v>
      </c>
      <c r="O33" s="25" t="n">
        <f aca="false">I33*J33</f>
        <v>4</v>
      </c>
      <c r="P33" s="25" t="n">
        <f aca="false">K33*L33</f>
        <v>0</v>
      </c>
      <c r="Q33" s="25" t="n">
        <f aca="false">M33*N33</f>
        <v>0</v>
      </c>
      <c r="R33" s="28" t="n">
        <f aca="false">ROUND(O33*Annahmen!$F$9+P33*Annahmen!$F$12+Q33*Annahmen!$F$15,-2)</f>
        <v>17000</v>
      </c>
      <c r="S33" s="29" t="n">
        <v>1</v>
      </c>
      <c r="T33" s="29" t="n">
        <v>0.15</v>
      </c>
      <c r="U33" s="28" t="n">
        <f aca="false">ROUND(R33*S33*T33,-2)</f>
        <v>2600</v>
      </c>
      <c r="V33" s="28" t="n">
        <f aca="false">R33*S33</f>
        <v>17000</v>
      </c>
      <c r="W33" s="23" t="s">
        <v>830</v>
      </c>
      <c r="X33" s="33" t="s">
        <v>99</v>
      </c>
    </row>
    <row r="34" customFormat="false" ht="36" hidden="false" customHeight="true" outlineLevel="0" collapsed="false">
      <c r="A34" s="25" t="n">
        <v>30</v>
      </c>
      <c r="B34" s="24" t="s">
        <v>947</v>
      </c>
      <c r="C34" s="25" t="s">
        <v>852</v>
      </c>
      <c r="D34" s="23" t="s">
        <v>712</v>
      </c>
      <c r="E34" s="25" t="s">
        <v>250</v>
      </c>
      <c r="F34" s="25" t="s">
        <v>948</v>
      </c>
      <c r="G34" s="23" t="s">
        <v>949</v>
      </c>
      <c r="H34" s="23" t="s">
        <v>950</v>
      </c>
      <c r="I34" s="27" t="n">
        <v>0.5</v>
      </c>
      <c r="J34" s="27" t="n">
        <v>12</v>
      </c>
      <c r="K34" s="27" t="n">
        <v>0</v>
      </c>
      <c r="L34" s="27" t="n">
        <v>0</v>
      </c>
      <c r="M34" s="27" t="n">
        <v>0</v>
      </c>
      <c r="N34" s="27" t="n">
        <v>0</v>
      </c>
      <c r="O34" s="25" t="n">
        <f aca="false">I34*J34</f>
        <v>6</v>
      </c>
      <c r="P34" s="25" t="n">
        <f aca="false">K34*L34</f>
        <v>0</v>
      </c>
      <c r="Q34" s="25" t="n">
        <f aca="false">M34*N34</f>
        <v>0</v>
      </c>
      <c r="R34" s="28" t="n">
        <f aca="false">ROUND(O34*Annahmen!$F$9+P34*Annahmen!$F$12+Q34*Annahmen!$F$15,-2)</f>
        <v>25400</v>
      </c>
      <c r="S34" s="29" t="n">
        <v>1</v>
      </c>
      <c r="T34" s="29" t="n">
        <v>0.15</v>
      </c>
      <c r="U34" s="28" t="n">
        <f aca="false">ROUND(R34*S34*T34,-2)</f>
        <v>3800</v>
      </c>
      <c r="V34" s="28" t="n">
        <f aca="false">R34*S34</f>
        <v>25400</v>
      </c>
      <c r="W34" s="23" t="s">
        <v>830</v>
      </c>
      <c r="X34" s="33" t="s">
        <v>99</v>
      </c>
    </row>
    <row r="35" customFormat="false" ht="36" hidden="false" customHeight="true" outlineLevel="0" collapsed="false">
      <c r="A35" s="25" t="n">
        <v>31</v>
      </c>
      <c r="B35" s="24" t="s">
        <v>951</v>
      </c>
      <c r="C35" s="25" t="s">
        <v>952</v>
      </c>
      <c r="D35" s="23" t="s">
        <v>953</v>
      </c>
      <c r="E35" s="25" t="s">
        <v>144</v>
      </c>
      <c r="F35" s="25" t="s">
        <v>954</v>
      </c>
      <c r="G35" s="23" t="s">
        <v>955</v>
      </c>
      <c r="H35" s="23" t="s">
        <v>956</v>
      </c>
      <c r="I35" s="27" t="n">
        <v>0.5</v>
      </c>
      <c r="J35" s="27" t="n">
        <v>6</v>
      </c>
      <c r="K35" s="27" t="n">
        <v>2</v>
      </c>
      <c r="L35" s="27" t="n">
        <v>1</v>
      </c>
      <c r="M35" s="27" t="n">
        <v>0</v>
      </c>
      <c r="N35" s="27" t="n">
        <v>0</v>
      </c>
      <c r="O35" s="25" t="n">
        <f aca="false">I35*J35</f>
        <v>3</v>
      </c>
      <c r="P35" s="25" t="n">
        <f aca="false">K35*L35</f>
        <v>2</v>
      </c>
      <c r="Q35" s="25" t="n">
        <f aca="false">M35*N35</f>
        <v>0</v>
      </c>
      <c r="R35" s="28" t="n">
        <f aca="false">ROUND(O35*Annahmen!$F$9+P35*Annahmen!$F$12+Q35*Annahmen!$F$15,-2)</f>
        <v>16600</v>
      </c>
      <c r="S35" s="29" t="n">
        <v>0.3</v>
      </c>
      <c r="T35" s="29" t="n">
        <v>0.1</v>
      </c>
      <c r="U35" s="28" t="n">
        <f aca="false">ROUND(R35*S35*T35,-2)</f>
        <v>500</v>
      </c>
      <c r="V35" s="28" t="n">
        <f aca="false">R35*S35</f>
        <v>4980</v>
      </c>
      <c r="W35" s="23" t="s">
        <v>830</v>
      </c>
      <c r="X35" s="33" t="s">
        <v>99</v>
      </c>
    </row>
    <row r="37" customFormat="false" ht="15" hidden="false" customHeight="false" outlineLevel="0" collapsed="false">
      <c r="B37" s="3" t="s">
        <v>783</v>
      </c>
    </row>
    <row r="38" customFormat="false" ht="31.5" hidden="false" customHeight="true" outlineLevel="0" collapsed="false">
      <c r="A38" s="10"/>
      <c r="B38" s="10" t="s">
        <v>784</v>
      </c>
      <c r="C38" s="10" t="s">
        <v>15</v>
      </c>
      <c r="D38" s="10" t="s">
        <v>28</v>
      </c>
      <c r="E38" s="10" t="s">
        <v>10</v>
      </c>
      <c r="F38" s="10" t="s">
        <v>785</v>
      </c>
    </row>
    <row r="39" customFormat="false" ht="15" hidden="false" customHeight="false" outlineLevel="0" collapsed="false">
      <c r="B39" s="14" t="s">
        <v>150</v>
      </c>
      <c r="C39" s="39" t="n">
        <f aca="false">COUNTIF($W$5:$W$35,B39)</f>
        <v>6</v>
      </c>
      <c r="D39" s="40" t="n">
        <f aca="false">SUMIF($W$5:$W$35,B39,$R$5:$R$35)</f>
        <v>215300</v>
      </c>
      <c r="E39" s="40" t="n">
        <f aca="false">SUMIF($W$5:$W$35,B39,$U$5:$U$35)</f>
        <v>32400</v>
      </c>
      <c r="F39" s="39" t="str">
        <f aca="false">IF(D39&gt;=Annahmen!$B$26,"Ja","Nein, unter Schwelle")</f>
        <v>Ja</v>
      </c>
    </row>
    <row r="40" customFormat="false" ht="15" hidden="false" customHeight="false" outlineLevel="0" collapsed="false">
      <c r="B40" s="14" t="s">
        <v>830</v>
      </c>
      <c r="C40" s="39" t="n">
        <f aca="false">COUNTIF($W$5:$W$35,B40)</f>
        <v>25</v>
      </c>
      <c r="D40" s="40" t="n">
        <f aca="false">SUMIF($W$5:$W$35,B40,$R$5:$R$35)</f>
        <v>899400</v>
      </c>
      <c r="E40" s="40" t="n">
        <f aca="false">SUMIF($W$5:$W$35,B40,$U$5:$U$35)</f>
        <v>66200</v>
      </c>
      <c r="F40" s="39" t="str">
        <f aca="false">IF(D40&gt;=Annahmen!$B$26,"Ja","Nein, unter Schwelle")</f>
        <v>Ja</v>
      </c>
    </row>
    <row r="42" customFormat="false" ht="15" hidden="false" customHeight="false" outlineLevel="0" collapsed="false">
      <c r="B42" s="41" t="s">
        <v>957</v>
      </c>
    </row>
  </sheetData>
  <conditionalFormatting sqref="R5:R35">
    <cfRule type="cellIs" priority="2" operator="greaterThanOrEqual" aboveAverage="0" equalAverage="0" bottom="0" percent="0" rank="0" text="" dxfId="14">
      <formula>Annahmen!$B$26</formula>
    </cfRule>
  </conditionalFormatting>
  <hyperlinks>
    <hyperlink ref="X5" r:id="rId1" display="Link"/>
    <hyperlink ref="X6" r:id="rId2" display="Link"/>
    <hyperlink ref="X7" r:id="rId3" display="Link"/>
    <hyperlink ref="X8" r:id="rId4" display="Link"/>
    <hyperlink ref="X9" r:id="rId5" display="Link"/>
    <hyperlink ref="X10" r:id="rId6" display="Link"/>
    <hyperlink ref="X11" r:id="rId7" display="Link"/>
    <hyperlink ref="X12" r:id="rId8" display="Link"/>
    <hyperlink ref="X13" r:id="rId9" display="Link"/>
    <hyperlink ref="X14" r:id="rId10" display="Link"/>
    <hyperlink ref="X15" r:id="rId11" display="Link"/>
    <hyperlink ref="X16" r:id="rId12" display="Link"/>
    <hyperlink ref="X17" r:id="rId13" display="Link"/>
    <hyperlink ref="X18" r:id="rId14" display="Link"/>
    <hyperlink ref="X19" r:id="rId15" display="Link"/>
    <hyperlink ref="X20" r:id="rId16" display="Link"/>
    <hyperlink ref="X21" r:id="rId17" display="Link"/>
    <hyperlink ref="X22" r:id="rId18" display="Link"/>
    <hyperlink ref="X23" r:id="rId19" display="Link"/>
    <hyperlink ref="X24" r:id="rId20" display="Link"/>
    <hyperlink ref="X25" r:id="rId21" display="Link"/>
    <hyperlink ref="X26" r:id="rId22" display="Link"/>
    <hyperlink ref="X27" r:id="rId23" display="Link"/>
    <hyperlink ref="X28" r:id="rId24" display="Link"/>
    <hyperlink ref="X29" r:id="rId25" display="Link"/>
    <hyperlink ref="X30" r:id="rId26" display="Link"/>
    <hyperlink ref="X31" r:id="rId27" display="Link"/>
    <hyperlink ref="X32" r:id="rId28" display="Link"/>
    <hyperlink ref="X33" r:id="rId29" display="Link"/>
    <hyperlink ref="X34" r:id="rId30" display="Link"/>
    <hyperlink ref="X35" r:id="rId31"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0"/>
    <col collapsed="false" customWidth="true" hidden="false" outlineLevel="0" max="3" min="3" style="0" width="16"/>
    <col collapsed="false" customWidth="true" hidden="false" outlineLevel="0" max="4" min="4" style="0" width="36"/>
    <col collapsed="false" customWidth="true" hidden="false" outlineLevel="0" max="5" min="5" style="0" width="28"/>
    <col collapsed="false" customWidth="true" hidden="false" outlineLevel="0" max="6" min="6" style="0" width="36"/>
    <col collapsed="false" customWidth="true" hidden="false" outlineLevel="0" max="7" min="7" style="0" width="28"/>
    <col collapsed="false" customWidth="true" hidden="false" outlineLevel="0" max="8" min="8" style="0" width="32"/>
  </cols>
  <sheetData>
    <row r="1" customFormat="false" ht="22.05" hidden="false" customHeight="false" outlineLevel="0" collapsed="false">
      <c r="A1" s="1" t="s">
        <v>958</v>
      </c>
    </row>
    <row r="2" customFormat="false" ht="15" hidden="false" customHeight="false" outlineLevel="0" collapsed="false">
      <c r="A2" s="2" t="s">
        <v>959</v>
      </c>
    </row>
    <row r="4" customFormat="false" ht="31.5" hidden="false" customHeight="true" outlineLevel="0" collapsed="false">
      <c r="A4" s="10" t="s">
        <v>960</v>
      </c>
      <c r="B4" s="10" t="s">
        <v>961</v>
      </c>
      <c r="C4" s="10" t="s">
        <v>962</v>
      </c>
      <c r="D4" s="10" t="s">
        <v>963</v>
      </c>
      <c r="E4" s="10" t="s">
        <v>964</v>
      </c>
      <c r="F4" s="10" t="s">
        <v>965</v>
      </c>
      <c r="G4" s="10" t="s">
        <v>966</v>
      </c>
      <c r="H4" s="10" t="s">
        <v>85</v>
      </c>
    </row>
    <row r="5" customFormat="false" ht="42" hidden="false" customHeight="true" outlineLevel="0" collapsed="false">
      <c r="A5" s="36" t="s">
        <v>967</v>
      </c>
      <c r="B5" s="34" t="s">
        <v>968</v>
      </c>
      <c r="C5" s="34" t="s">
        <v>969</v>
      </c>
      <c r="D5" s="34" t="s">
        <v>970</v>
      </c>
      <c r="E5" s="34" t="s">
        <v>971</v>
      </c>
      <c r="F5" s="34" t="s">
        <v>972</v>
      </c>
      <c r="G5" s="42" t="s">
        <v>973</v>
      </c>
      <c r="H5" s="34" t="s">
        <v>974</v>
      </c>
    </row>
    <row r="6" customFormat="false" ht="42" hidden="false" customHeight="true" outlineLevel="0" collapsed="false">
      <c r="A6" s="36" t="s">
        <v>975</v>
      </c>
      <c r="B6" s="34" t="s">
        <v>976</v>
      </c>
      <c r="C6" s="34" t="s">
        <v>977</v>
      </c>
      <c r="D6" s="34" t="s">
        <v>978</v>
      </c>
      <c r="E6" s="34" t="s">
        <v>979</v>
      </c>
      <c r="F6" s="34" t="s">
        <v>980</v>
      </c>
      <c r="G6" s="42" t="s">
        <v>981</v>
      </c>
      <c r="H6" s="34" t="s">
        <v>982</v>
      </c>
    </row>
    <row r="7" customFormat="false" ht="42" hidden="false" customHeight="true" outlineLevel="0" collapsed="false">
      <c r="A7" s="36" t="s">
        <v>983</v>
      </c>
      <c r="B7" s="34" t="s">
        <v>984</v>
      </c>
      <c r="C7" s="34" t="s">
        <v>985</v>
      </c>
      <c r="D7" s="34" t="s">
        <v>986</v>
      </c>
      <c r="E7" s="34" t="s">
        <v>971</v>
      </c>
      <c r="F7" s="34" t="s">
        <v>987</v>
      </c>
      <c r="G7" s="34" t="s">
        <v>988</v>
      </c>
      <c r="H7" s="34" t="s">
        <v>989</v>
      </c>
    </row>
    <row r="8" customFormat="false" ht="42" hidden="false" customHeight="true" outlineLevel="0" collapsed="false">
      <c r="A8" s="36" t="s">
        <v>990</v>
      </c>
      <c r="B8" s="34" t="s">
        <v>991</v>
      </c>
      <c r="C8" s="34" t="s">
        <v>992</v>
      </c>
      <c r="D8" s="34" t="s">
        <v>993</v>
      </c>
      <c r="E8" s="34" t="s">
        <v>994</v>
      </c>
      <c r="F8" s="34" t="s">
        <v>855</v>
      </c>
      <c r="G8" s="34" t="s">
        <v>988</v>
      </c>
      <c r="H8" s="34" t="s">
        <v>995</v>
      </c>
    </row>
    <row r="9" customFormat="false" ht="42" hidden="false" customHeight="true" outlineLevel="0" collapsed="false">
      <c r="A9" s="36" t="s">
        <v>996</v>
      </c>
      <c r="B9" s="34" t="s">
        <v>997</v>
      </c>
      <c r="C9" s="34" t="s">
        <v>998</v>
      </c>
      <c r="D9" s="34" t="s">
        <v>999</v>
      </c>
      <c r="E9" s="34" t="s">
        <v>855</v>
      </c>
      <c r="F9" s="34" t="s">
        <v>1000</v>
      </c>
      <c r="G9" s="34" t="s">
        <v>1001</v>
      </c>
      <c r="H9" s="34" t="s">
        <v>1002</v>
      </c>
    </row>
    <row r="10" customFormat="false" ht="42" hidden="false" customHeight="true" outlineLevel="0" collapsed="false">
      <c r="A10" s="36" t="s">
        <v>1003</v>
      </c>
      <c r="B10" s="34" t="s">
        <v>1004</v>
      </c>
      <c r="C10" s="34" t="s">
        <v>1005</v>
      </c>
      <c r="D10" s="34" t="s">
        <v>1006</v>
      </c>
      <c r="E10" s="34" t="s">
        <v>855</v>
      </c>
      <c r="F10" s="34" t="s">
        <v>1007</v>
      </c>
      <c r="G10" s="34" t="s">
        <v>1008</v>
      </c>
      <c r="H10" s="34" t="s">
        <v>1009</v>
      </c>
    </row>
    <row r="11" customFormat="false" ht="42" hidden="false" customHeight="true" outlineLevel="0" collapsed="false">
      <c r="A11" s="36" t="s">
        <v>1010</v>
      </c>
      <c r="B11" s="34" t="s">
        <v>285</v>
      </c>
      <c r="C11" s="34" t="s">
        <v>1011</v>
      </c>
      <c r="D11" s="34" t="s">
        <v>1012</v>
      </c>
      <c r="E11" s="34" t="s">
        <v>855</v>
      </c>
      <c r="F11" s="34" t="s">
        <v>1013</v>
      </c>
      <c r="G11" s="34" t="s">
        <v>988</v>
      </c>
      <c r="H11" s="34" t="s">
        <v>1014</v>
      </c>
    </row>
    <row r="12" customFormat="false" ht="42" hidden="false" customHeight="true" outlineLevel="0" collapsed="false">
      <c r="A12" s="36" t="s">
        <v>1015</v>
      </c>
      <c r="B12" s="34" t="s">
        <v>1016</v>
      </c>
      <c r="C12" s="34" t="s">
        <v>1017</v>
      </c>
      <c r="D12" s="34" t="s">
        <v>1018</v>
      </c>
      <c r="E12" s="34" t="s">
        <v>1019</v>
      </c>
      <c r="F12" s="34" t="s">
        <v>1020</v>
      </c>
      <c r="G12" s="34" t="s">
        <v>1021</v>
      </c>
      <c r="H12" s="34" t="s">
        <v>1022</v>
      </c>
    </row>
    <row r="13" customFormat="false" ht="42" hidden="false" customHeight="true" outlineLevel="0" collapsed="false">
      <c r="A13" s="36" t="s">
        <v>1023</v>
      </c>
      <c r="B13" s="34" t="s">
        <v>165</v>
      </c>
      <c r="C13" s="34" t="s">
        <v>1024</v>
      </c>
      <c r="D13" s="34" t="s">
        <v>1025</v>
      </c>
      <c r="E13" s="34" t="s">
        <v>1024</v>
      </c>
      <c r="F13" s="34" t="s">
        <v>1024</v>
      </c>
      <c r="G13" s="34" t="s">
        <v>1026</v>
      </c>
      <c r="H13" s="34" t="s">
        <v>1027</v>
      </c>
    </row>
    <row r="14" customFormat="false" ht="42" hidden="false" customHeight="true" outlineLevel="0" collapsed="false">
      <c r="A14" s="36" t="s">
        <v>1028</v>
      </c>
      <c r="B14" s="34" t="s">
        <v>1029</v>
      </c>
      <c r="C14" s="34" t="s">
        <v>1030</v>
      </c>
      <c r="D14" s="34" t="s">
        <v>1031</v>
      </c>
      <c r="E14" s="34" t="s">
        <v>1032</v>
      </c>
      <c r="F14" s="34" t="s">
        <v>1032</v>
      </c>
      <c r="G14" s="34" t="s">
        <v>1033</v>
      </c>
      <c r="H14" s="34" t="s">
        <v>1034</v>
      </c>
    </row>
    <row r="15" customFormat="false" ht="42" hidden="false" customHeight="true" outlineLevel="0" collapsed="false">
      <c r="A15" s="36" t="s">
        <v>1035</v>
      </c>
      <c r="B15" s="34" t="s">
        <v>968</v>
      </c>
      <c r="C15" s="34" t="s">
        <v>1024</v>
      </c>
      <c r="D15" s="34" t="s">
        <v>1036</v>
      </c>
      <c r="E15" s="34" t="s">
        <v>1037</v>
      </c>
      <c r="F15" s="34" t="s">
        <v>1038</v>
      </c>
      <c r="G15" s="34" t="s">
        <v>46</v>
      </c>
      <c r="H15" s="34" t="s">
        <v>1039</v>
      </c>
    </row>
    <row r="17" customFormat="false" ht="15" hidden="false" customHeight="false" outlineLevel="0" collapsed="false">
      <c r="A17" s="3" t="s">
        <v>1040</v>
      </c>
    </row>
    <row r="18" customFormat="false" ht="15" hidden="false" customHeight="false" outlineLevel="0" collapsed="false">
      <c r="A18" s="18" t="s">
        <v>1041</v>
      </c>
    </row>
    <row r="19" customFormat="false" ht="15" hidden="false" customHeight="false" outlineLevel="0" collapsed="false">
      <c r="A19" s="18" t="s">
        <v>1042</v>
      </c>
    </row>
    <row r="20" customFormat="false" ht="15" hidden="false" customHeight="false" outlineLevel="0" collapsed="false">
      <c r="A20" s="18" t="s">
        <v>1043</v>
      </c>
    </row>
    <row r="21" customFormat="false" ht="15" hidden="false" customHeight="false" outlineLevel="0" collapsed="false">
      <c r="A21" s="18" t="s">
        <v>1044</v>
      </c>
    </row>
    <row r="22" customFormat="false" ht="15" hidden="false" customHeight="false" outlineLevel="0" collapsed="false">
      <c r="A22" s="18" t="s">
        <v>1045</v>
      </c>
    </row>
    <row r="23" customFormat="false" ht="15" hidden="false" customHeight="false" outlineLevel="0" collapsed="false">
      <c r="A23" s="43" t="s">
        <v>1046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4" min="2" style="0" width="12"/>
    <col collapsed="false" customWidth="true" hidden="false" outlineLevel="0" max="5" min="5" style="0" width="14"/>
    <col collapsed="false" customWidth="true" hidden="false" outlineLevel="0" max="6" min="6" style="0" width="15"/>
    <col collapsed="false" customWidth="true" hidden="false" outlineLevel="0" max="7" min="7" style="0" width="13"/>
    <col collapsed="false" customWidth="true" hidden="false" outlineLevel="0" max="8" min="8" style="0" width="11"/>
    <col collapsed="false" customWidth="true" hidden="false" outlineLevel="0" max="9" min="9" style="0" width="17"/>
  </cols>
  <sheetData>
    <row r="1" customFormat="false" ht="22.05" hidden="false" customHeight="false" outlineLevel="0" collapsed="false">
      <c r="A1" s="1" t="s">
        <v>1047</v>
      </c>
    </row>
    <row r="2" customFormat="false" ht="15" hidden="false" customHeight="false" outlineLevel="0" collapsed="false">
      <c r="A2" s="2" t="s">
        <v>1048</v>
      </c>
    </row>
    <row r="4" customFormat="false" ht="31.5" hidden="false" customHeight="true" outlineLevel="0" collapsed="false">
      <c r="A4" s="10" t="s">
        <v>14</v>
      </c>
      <c r="B4" s="10" t="s">
        <v>1049</v>
      </c>
      <c r="C4" s="10" t="s">
        <v>1050</v>
      </c>
      <c r="D4" s="10" t="s">
        <v>1051</v>
      </c>
      <c r="E4" s="10" t="s">
        <v>1052</v>
      </c>
      <c r="F4" s="10" t="s">
        <v>1053</v>
      </c>
      <c r="G4" s="10" t="s">
        <v>1054</v>
      </c>
      <c r="H4" s="10" t="s">
        <v>8</v>
      </c>
      <c r="I4" s="10" t="s">
        <v>10</v>
      </c>
    </row>
    <row r="5" customFormat="false" ht="25.5" hidden="false" customHeight="true" outlineLevel="0" collapsed="false">
      <c r="A5" s="14" t="s">
        <v>17</v>
      </c>
      <c r="B5" s="44" t="n">
        <v>3</v>
      </c>
      <c r="C5" s="44" t="n">
        <v>3</v>
      </c>
      <c r="D5" s="44" t="n">
        <v>2</v>
      </c>
      <c r="E5" s="44" t="n">
        <v>1</v>
      </c>
      <c r="F5" s="44" t="n">
        <v>3</v>
      </c>
      <c r="G5" s="44" t="n">
        <v>2</v>
      </c>
      <c r="H5" s="39" t="n">
        <f aca="false">COUNTIF('Top-Player'!$C$5:$C$56,A5)</f>
        <v>8</v>
      </c>
      <c r="I5" s="40" t="n">
        <f aca="false">SUMIF('Top-Player'!$C$5:$C$56,A5,'Top-Player'!$U$5:$U$56)</f>
        <v>171300</v>
      </c>
    </row>
    <row r="6" customFormat="false" ht="25.5" hidden="false" customHeight="true" outlineLevel="0" collapsed="false">
      <c r="A6" s="14" t="s">
        <v>18</v>
      </c>
      <c r="B6" s="44" t="n">
        <v>3</v>
      </c>
      <c r="C6" s="44" t="n">
        <v>0</v>
      </c>
      <c r="D6" s="44" t="n">
        <v>2</v>
      </c>
      <c r="E6" s="44" t="n">
        <v>1</v>
      </c>
      <c r="F6" s="44" t="n">
        <v>0</v>
      </c>
      <c r="G6" s="44" t="n">
        <v>3</v>
      </c>
      <c r="H6" s="39" t="n">
        <f aca="false">COUNTIF('Top-Player'!$C$5:$C$56,A6)</f>
        <v>10</v>
      </c>
      <c r="I6" s="40" t="n">
        <f aca="false">SUMIF('Top-Player'!$C$5:$C$56,A6,'Top-Player'!$U$5:$U$56)</f>
        <v>248100</v>
      </c>
    </row>
    <row r="7" customFormat="false" ht="25.5" hidden="false" customHeight="true" outlineLevel="0" collapsed="false">
      <c r="A7" s="14" t="s">
        <v>19</v>
      </c>
      <c r="B7" s="44" t="n">
        <v>3</v>
      </c>
      <c r="C7" s="44" t="n">
        <v>0</v>
      </c>
      <c r="D7" s="44" t="n">
        <v>1</v>
      </c>
      <c r="E7" s="44" t="n">
        <v>3</v>
      </c>
      <c r="F7" s="44" t="n">
        <v>1</v>
      </c>
      <c r="G7" s="44" t="n">
        <v>1</v>
      </c>
      <c r="H7" s="39" t="n">
        <f aca="false">COUNTIF('Top-Player'!$C$5:$C$56,A7)</f>
        <v>16</v>
      </c>
      <c r="I7" s="40" t="n">
        <f aca="false">SUMIF('Top-Player'!$C$5:$C$56,A7,'Top-Player'!$U$5:$U$56)</f>
        <v>185600</v>
      </c>
    </row>
    <row r="8" customFormat="false" ht="25.5" hidden="false" customHeight="true" outlineLevel="0" collapsed="false">
      <c r="A8" s="14" t="s">
        <v>20</v>
      </c>
      <c r="B8" s="44" t="n">
        <v>2</v>
      </c>
      <c r="C8" s="44" t="n">
        <v>2</v>
      </c>
      <c r="D8" s="44" t="n">
        <v>2</v>
      </c>
      <c r="E8" s="44" t="n">
        <v>1</v>
      </c>
      <c r="F8" s="44" t="n">
        <v>3</v>
      </c>
      <c r="G8" s="44" t="n">
        <v>1</v>
      </c>
      <c r="H8" s="39" t="n">
        <f aca="false">COUNTIF('Top-Player'!$C$5:$C$56,A8)</f>
        <v>3</v>
      </c>
      <c r="I8" s="40" t="n">
        <f aca="false">SUMIF('Top-Player'!$C$5:$C$56,A8,'Top-Player'!$U$5:$U$56)</f>
        <v>65100</v>
      </c>
    </row>
    <row r="9" customFormat="false" ht="25.5" hidden="false" customHeight="true" outlineLevel="0" collapsed="false">
      <c r="A9" s="14" t="s">
        <v>21</v>
      </c>
      <c r="B9" s="44" t="n">
        <v>3</v>
      </c>
      <c r="C9" s="44" t="n">
        <v>1</v>
      </c>
      <c r="D9" s="44" t="n">
        <v>1</v>
      </c>
      <c r="E9" s="44" t="n">
        <v>1</v>
      </c>
      <c r="F9" s="44" t="n">
        <v>2</v>
      </c>
      <c r="G9" s="44" t="n">
        <v>1</v>
      </c>
      <c r="H9" s="39" t="n">
        <f aca="false">COUNTIF('Top-Player'!$C$5:$C$56,A9)</f>
        <v>4</v>
      </c>
      <c r="I9" s="40" t="n">
        <f aca="false">SUMIF('Top-Player'!$C$5:$C$56,A9,'Top-Player'!$U$5:$U$56)</f>
        <v>69700</v>
      </c>
    </row>
    <row r="10" customFormat="false" ht="25.5" hidden="false" customHeight="true" outlineLevel="0" collapsed="false">
      <c r="A10" s="14" t="s">
        <v>22</v>
      </c>
      <c r="B10" s="44" t="n">
        <v>3</v>
      </c>
      <c r="C10" s="44" t="n">
        <v>0</v>
      </c>
      <c r="D10" s="44" t="n">
        <v>3</v>
      </c>
      <c r="E10" s="44" t="n">
        <v>0</v>
      </c>
      <c r="F10" s="44" t="n">
        <v>0</v>
      </c>
      <c r="G10" s="44" t="n">
        <v>2</v>
      </c>
      <c r="H10" s="39" t="n">
        <f aca="false">COUNTIF('Top-Player'!$C$5:$C$56,A10)</f>
        <v>6</v>
      </c>
      <c r="I10" s="40" t="n">
        <f aca="false">SUMIF('Top-Player'!$C$5:$C$56,A10,'Top-Player'!$U$5:$U$56)</f>
        <v>59500</v>
      </c>
    </row>
    <row r="11" customFormat="false" ht="25.5" hidden="false" customHeight="true" outlineLevel="0" collapsed="false">
      <c r="A11" s="14" t="s">
        <v>23</v>
      </c>
      <c r="B11" s="44" t="n">
        <v>3</v>
      </c>
      <c r="C11" s="44" t="n">
        <v>1</v>
      </c>
      <c r="D11" s="44" t="n">
        <v>1</v>
      </c>
      <c r="E11" s="44" t="n">
        <v>1</v>
      </c>
      <c r="F11" s="44" t="n">
        <v>2</v>
      </c>
      <c r="G11" s="44" t="n">
        <v>1</v>
      </c>
      <c r="H11" s="39" t="n">
        <f aca="false">COUNTIF('Top-Player'!$C$5:$C$56,A11)</f>
        <v>5</v>
      </c>
      <c r="I11" s="40" t="n">
        <f aca="false">SUMIF('Top-Player'!$C$5:$C$56,A11,'Top-Player'!$U$5:$U$56)</f>
        <v>101400</v>
      </c>
    </row>
    <row r="13" customFormat="false" ht="15" hidden="false" customHeight="false" outlineLevel="0" collapsed="false">
      <c r="A13" s="43" t="s">
        <v>1055</v>
      </c>
    </row>
  </sheetData>
  <conditionalFormatting sqref="B5:G11">
    <cfRule type="colorScale" priority="2">
      <colorScale>
        <cfvo type="num" val="0"/>
        <cfvo type="num" val="1.5"/>
        <cfvo type="num" val="3"/>
        <color rgb="FFF2F2F2"/>
        <color rgb="FFBDBDBD"/>
        <color rgb="FFE00036"/>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0"/>
    <col collapsed="false" customWidth="true" hidden="false" outlineLevel="0" max="3" min="3" style="0" width="34"/>
    <col collapsed="false" customWidth="true" hidden="false" outlineLevel="0" max="4" min="4" style="0" width="60"/>
    <col collapsed="false" customWidth="true" hidden="false" outlineLevel="0" max="5" min="5" style="0" width="30"/>
  </cols>
  <sheetData>
    <row r="1" customFormat="false" ht="22.05" hidden="false" customHeight="false" outlineLevel="0" collapsed="false">
      <c r="A1" s="1" t="s">
        <v>1056</v>
      </c>
    </row>
    <row r="2" customFormat="false" ht="15" hidden="false" customHeight="false" outlineLevel="0" collapsed="false">
      <c r="A2" s="2" t="s">
        <v>1057</v>
      </c>
    </row>
    <row r="4" customFormat="false" ht="31.5" hidden="false" customHeight="true" outlineLevel="0" collapsed="false">
      <c r="A4" s="10" t="s">
        <v>1058</v>
      </c>
      <c r="B4" s="10" t="s">
        <v>1059</v>
      </c>
      <c r="C4" s="10" t="s">
        <v>1060</v>
      </c>
      <c r="D4" s="10" t="s">
        <v>1061</v>
      </c>
      <c r="E4" s="10" t="s">
        <v>85</v>
      </c>
    </row>
    <row r="5" customFormat="false" ht="48" hidden="false" customHeight="true" outlineLevel="0" collapsed="false">
      <c r="A5" s="36" t="s">
        <v>1049</v>
      </c>
      <c r="B5" s="34" t="s">
        <v>1062</v>
      </c>
      <c r="C5" s="34" t="s">
        <v>1063</v>
      </c>
      <c r="D5" s="34" t="s">
        <v>1064</v>
      </c>
      <c r="E5" s="34" t="s">
        <v>1065</v>
      </c>
    </row>
    <row r="6" customFormat="false" ht="48" hidden="false" customHeight="true" outlineLevel="0" collapsed="false">
      <c r="A6" s="36" t="s">
        <v>1050</v>
      </c>
      <c r="B6" s="34" t="s">
        <v>1066</v>
      </c>
      <c r="C6" s="34" t="s">
        <v>1067</v>
      </c>
      <c r="D6" s="34" t="s">
        <v>1068</v>
      </c>
      <c r="E6" s="34" t="s">
        <v>1069</v>
      </c>
    </row>
    <row r="7" customFormat="false" ht="48" hidden="false" customHeight="true" outlineLevel="0" collapsed="false">
      <c r="A7" s="36" t="s">
        <v>1051</v>
      </c>
      <c r="B7" s="34" t="s">
        <v>1070</v>
      </c>
      <c r="C7" s="34" t="s">
        <v>1071</v>
      </c>
      <c r="D7" s="34" t="s">
        <v>1072</v>
      </c>
      <c r="E7" s="34" t="s">
        <v>1073</v>
      </c>
    </row>
    <row r="8" customFormat="false" ht="48" hidden="false" customHeight="true" outlineLevel="0" collapsed="false">
      <c r="A8" s="36" t="s">
        <v>1052</v>
      </c>
      <c r="B8" s="34" t="s">
        <v>1074</v>
      </c>
      <c r="C8" s="34" t="s">
        <v>1075</v>
      </c>
      <c r="D8" s="42" t="s">
        <v>1076</v>
      </c>
      <c r="E8" s="34" t="s">
        <v>1073</v>
      </c>
    </row>
    <row r="9" customFormat="false" ht="48" hidden="false" customHeight="true" outlineLevel="0" collapsed="false">
      <c r="A9" s="36" t="s">
        <v>1077</v>
      </c>
      <c r="B9" s="34" t="s">
        <v>1078</v>
      </c>
      <c r="C9" s="34" t="s">
        <v>1079</v>
      </c>
      <c r="D9" s="34" t="s">
        <v>1080</v>
      </c>
      <c r="E9" s="34" t="s">
        <v>1081</v>
      </c>
    </row>
    <row r="10" customFormat="false" ht="48" hidden="false" customHeight="true" outlineLevel="0" collapsed="false">
      <c r="A10" s="36" t="s">
        <v>1082</v>
      </c>
      <c r="B10" s="34" t="s">
        <v>1083</v>
      </c>
      <c r="C10" s="34" t="s">
        <v>1084</v>
      </c>
      <c r="D10" s="34" t="s">
        <v>1085</v>
      </c>
      <c r="E10" s="34" t="s">
        <v>1086</v>
      </c>
    </row>
    <row r="11" customFormat="false" ht="48" hidden="false" customHeight="true" outlineLevel="0" collapsed="false">
      <c r="A11" s="36" t="s">
        <v>76</v>
      </c>
      <c r="B11" s="34" t="s">
        <v>1087</v>
      </c>
      <c r="C11" s="34" t="s">
        <v>1088</v>
      </c>
      <c r="D11" s="34" t="s">
        <v>1089</v>
      </c>
      <c r="E11" s="34" t="s">
        <v>1090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3"/>
    <col collapsed="false" customWidth="true" hidden="false" outlineLevel="0" max="3" min="3" style="0" width="22"/>
    <col collapsed="false" customWidth="true" hidden="false" outlineLevel="0" max="4" min="4" style="0" width="70"/>
    <col collapsed="false" customWidth="true" hidden="false" outlineLevel="0" max="5" min="5" style="0" width="16"/>
    <col collapsed="false" customWidth="true" hidden="false" outlineLevel="0" max="6" min="6" style="0" width="12"/>
  </cols>
  <sheetData>
    <row r="1" customFormat="false" ht="22.05" hidden="false" customHeight="false" outlineLevel="0" collapsed="false">
      <c r="A1" s="1" t="s">
        <v>1091</v>
      </c>
    </row>
    <row r="2" customFormat="false" ht="15" hidden="false" customHeight="false" outlineLevel="0" collapsed="false">
      <c r="A2" s="2" t="s">
        <v>1092</v>
      </c>
    </row>
    <row r="4" customFormat="false" ht="31.5" hidden="false" customHeight="true" outlineLevel="0" collapsed="false">
      <c r="A4" s="10" t="s">
        <v>1093</v>
      </c>
      <c r="B4" s="10" t="s">
        <v>1094</v>
      </c>
      <c r="C4" s="10" t="s">
        <v>1095</v>
      </c>
      <c r="D4" s="10" t="s">
        <v>1096</v>
      </c>
      <c r="E4" s="10" t="s">
        <v>1097</v>
      </c>
      <c r="F4" s="10" t="s">
        <v>1098</v>
      </c>
    </row>
    <row r="5" customFormat="false" ht="15" hidden="false" customHeight="false" outlineLevel="0" collapsed="false">
      <c r="A5" s="45" t="s">
        <v>1099</v>
      </c>
      <c r="B5" s="46" t="n">
        <v>0.828</v>
      </c>
      <c r="C5" s="45" t="s">
        <v>1100</v>
      </c>
      <c r="D5" s="45" t="s">
        <v>1101</v>
      </c>
      <c r="E5" s="45"/>
      <c r="F5" s="45"/>
    </row>
    <row r="6" customFormat="false" ht="15" hidden="false" customHeight="false" outlineLevel="0" collapsed="false">
      <c r="A6" s="45" t="s">
        <v>1102</v>
      </c>
      <c r="B6" s="47" t="n">
        <v>0.8</v>
      </c>
      <c r="C6" s="45"/>
      <c r="D6" s="45" t="s">
        <v>1103</v>
      </c>
      <c r="E6" s="45"/>
      <c r="F6" s="45"/>
    </row>
    <row r="7" customFormat="false" ht="28.35" hidden="false" customHeight="false" outlineLevel="0" collapsed="false">
      <c r="A7" s="45" t="s">
        <v>1104</v>
      </c>
      <c r="B7" s="48" t="n">
        <v>5000</v>
      </c>
      <c r="C7" s="45" t="s">
        <v>1105</v>
      </c>
      <c r="D7" s="45" t="s">
        <v>1106</v>
      </c>
      <c r="E7" s="45"/>
      <c r="F7" s="45"/>
    </row>
    <row r="8" customFormat="false" ht="15" hidden="false" customHeight="false" outlineLevel="0" collapsed="false">
      <c r="A8" s="45" t="s">
        <v>1107</v>
      </c>
      <c r="B8" s="48" t="n">
        <v>7800</v>
      </c>
      <c r="C8" s="45" t="s">
        <v>1105</v>
      </c>
      <c r="D8" s="45" t="s">
        <v>1108</v>
      </c>
      <c r="E8" s="45"/>
      <c r="F8" s="45"/>
    </row>
    <row r="9" customFormat="false" ht="15" hidden="false" customHeight="false" outlineLevel="0" collapsed="false">
      <c r="A9" s="45" t="s">
        <v>1109</v>
      </c>
      <c r="B9" s="49" t="n">
        <f aca="false">AVERAGE(B7:B8)*B6*B5</f>
        <v>4239.36</v>
      </c>
      <c r="C9" s="45" t="s">
        <v>1110</v>
      </c>
      <c r="D9" s="45" t="s">
        <v>1111</v>
      </c>
      <c r="E9" s="48"/>
      <c r="F9" s="50" t="n">
        <f aca="false">IF(E9&lt;&gt;"",E9,B9)</f>
        <v>4239.36</v>
      </c>
    </row>
    <row r="10" customFormat="false" ht="15" hidden="false" customHeight="false" outlineLevel="0" collapsed="false">
      <c r="A10" s="45" t="s">
        <v>1112</v>
      </c>
      <c r="B10" s="48" t="n">
        <v>1600</v>
      </c>
      <c r="C10" s="45" t="s">
        <v>1105</v>
      </c>
      <c r="D10" s="45" t="s">
        <v>1113</v>
      </c>
      <c r="E10" s="45"/>
      <c r="F10" s="45"/>
    </row>
    <row r="11" customFormat="false" ht="15" hidden="false" customHeight="false" outlineLevel="0" collapsed="false">
      <c r="A11" s="45" t="s">
        <v>1114</v>
      </c>
      <c r="B11" s="48" t="n">
        <v>3100</v>
      </c>
      <c r="C11" s="45" t="s">
        <v>1105</v>
      </c>
      <c r="D11" s="45" t="s">
        <v>1108</v>
      </c>
      <c r="E11" s="45"/>
      <c r="F11" s="45"/>
    </row>
    <row r="12" customFormat="false" ht="15" hidden="false" customHeight="false" outlineLevel="0" collapsed="false">
      <c r="A12" s="45" t="s">
        <v>1115</v>
      </c>
      <c r="B12" s="49" t="n">
        <f aca="false">AVERAGE(B10:B11)*B5</f>
        <v>1945.8</v>
      </c>
      <c r="C12" s="45" t="s">
        <v>1116</v>
      </c>
      <c r="D12" s="45" t="s">
        <v>1117</v>
      </c>
      <c r="E12" s="48"/>
      <c r="F12" s="50" t="n">
        <f aca="false">IF(E12&lt;&gt;"",E12,B12)</f>
        <v>1945.8</v>
      </c>
    </row>
    <row r="13" customFormat="false" ht="28.35" hidden="false" customHeight="false" outlineLevel="0" collapsed="false">
      <c r="A13" s="45" t="s">
        <v>1118</v>
      </c>
      <c r="B13" s="48" t="n">
        <v>10000</v>
      </c>
      <c r="C13" s="45" t="s">
        <v>1119</v>
      </c>
      <c r="D13" s="45" t="s">
        <v>1120</v>
      </c>
      <c r="E13" s="45"/>
      <c r="F13" s="45"/>
    </row>
    <row r="14" customFormat="false" ht="15" hidden="false" customHeight="false" outlineLevel="0" collapsed="false">
      <c r="A14" s="45" t="s">
        <v>1121</v>
      </c>
      <c r="B14" s="48" t="n">
        <v>50000</v>
      </c>
      <c r="C14" s="45" t="s">
        <v>1119</v>
      </c>
      <c r="D14" s="45" t="s">
        <v>1108</v>
      </c>
      <c r="E14" s="45"/>
      <c r="F14" s="45"/>
    </row>
    <row r="15" customFormat="false" ht="15" hidden="false" customHeight="false" outlineLevel="0" collapsed="false">
      <c r="A15" s="45" t="s">
        <v>1122</v>
      </c>
      <c r="B15" s="49" t="n">
        <f aca="false">AVERAGE(B13:B14)*B5</f>
        <v>24840</v>
      </c>
      <c r="C15" s="45" t="s">
        <v>1123</v>
      </c>
      <c r="D15" s="45" t="s">
        <v>1124</v>
      </c>
      <c r="E15" s="48"/>
      <c r="F15" s="50" t="n">
        <f aca="false">IF(E15&lt;&gt;"",E15,B15)</f>
        <v>24840</v>
      </c>
    </row>
    <row r="16" customFormat="false" ht="15" hidden="false" customHeight="false" outlineLevel="0" collapsed="false">
      <c r="A16" s="45" t="s">
        <v>1125</v>
      </c>
      <c r="B16" s="51" t="s">
        <v>1126</v>
      </c>
      <c r="C16" s="45" t="s">
        <v>1127</v>
      </c>
      <c r="D16" s="45" t="s">
        <v>1128</v>
      </c>
      <c r="E16" s="45"/>
      <c r="F16" s="45"/>
    </row>
    <row r="17" customFormat="false" ht="15" hidden="false" customHeight="false" outlineLevel="0" collapsed="false">
      <c r="A17" s="45" t="s">
        <v>1129</v>
      </c>
      <c r="B17" s="51" t="s">
        <v>1126</v>
      </c>
      <c r="C17" s="45" t="s">
        <v>1130</v>
      </c>
      <c r="D17" s="45" t="s">
        <v>1131</v>
      </c>
      <c r="E17" s="45"/>
      <c r="F17" s="45"/>
    </row>
    <row r="19" customFormat="false" ht="15" hidden="false" customHeight="false" outlineLevel="0" collapsed="false">
      <c r="A19" s="45" t="s">
        <v>1132</v>
      </c>
      <c r="B19" s="48" t="n">
        <v>145</v>
      </c>
      <c r="C19" s="45" t="s">
        <v>1133</v>
      </c>
      <c r="D19" s="45" t="s">
        <v>1134</v>
      </c>
      <c r="E19" s="45"/>
      <c r="F19" s="45"/>
    </row>
    <row r="20" customFormat="false" ht="15" hidden="false" customHeight="false" outlineLevel="0" collapsed="false">
      <c r="A20" s="45" t="s">
        <v>1135</v>
      </c>
      <c r="B20" s="47" t="n">
        <v>2.41</v>
      </c>
      <c r="C20" s="45" t="s">
        <v>1136</v>
      </c>
      <c r="D20" s="45" t="s">
        <v>1137</v>
      </c>
      <c r="E20" s="45"/>
      <c r="F20" s="45"/>
    </row>
    <row r="21" customFormat="false" ht="15" hidden="false" customHeight="false" outlineLevel="0" collapsed="false">
      <c r="A21" s="45" t="s">
        <v>1138</v>
      </c>
      <c r="B21" s="49" t="n">
        <f aca="false">B19*B20</f>
        <v>349.45</v>
      </c>
      <c r="C21" s="45" t="s">
        <v>1139</v>
      </c>
      <c r="D21" s="45" t="s">
        <v>1140</v>
      </c>
      <c r="E21" s="45"/>
      <c r="F21" s="45"/>
    </row>
    <row r="22" customFormat="false" ht="28.35" hidden="false" customHeight="false" outlineLevel="0" collapsed="false">
      <c r="A22" s="45" t="s">
        <v>1141</v>
      </c>
      <c r="B22" s="49" t="n">
        <f aca="false">34666/1.75*B5</f>
        <v>16401.9702857143</v>
      </c>
      <c r="C22" s="45" t="s">
        <v>1142</v>
      </c>
      <c r="D22" s="45" t="s">
        <v>1143</v>
      </c>
      <c r="E22" s="45"/>
      <c r="F22" s="45"/>
    </row>
    <row r="24" customFormat="false" ht="15" hidden="false" customHeight="false" outlineLevel="0" collapsed="false">
      <c r="A24" s="45" t="s">
        <v>1144</v>
      </c>
      <c r="B24" s="48" t="n">
        <v>25000</v>
      </c>
      <c r="C24" s="45" t="s">
        <v>1130</v>
      </c>
      <c r="D24" s="45" t="s">
        <v>1145</v>
      </c>
      <c r="E24" s="45"/>
      <c r="F24" s="45"/>
    </row>
    <row r="25" customFormat="false" ht="15" hidden="false" customHeight="false" outlineLevel="0" collapsed="false">
      <c r="A25" s="45" t="s">
        <v>1146</v>
      </c>
      <c r="B25" s="48" t="n">
        <v>10000</v>
      </c>
      <c r="C25" s="45" t="s">
        <v>1130</v>
      </c>
      <c r="D25" s="45" t="s">
        <v>1147</v>
      </c>
      <c r="E25" s="45"/>
      <c r="F25" s="45"/>
    </row>
    <row r="26" customFormat="false" ht="15" hidden="false" customHeight="false" outlineLevel="0" collapsed="false">
      <c r="A26" s="45" t="s">
        <v>1148</v>
      </c>
      <c r="B26" s="48" t="n">
        <v>50000</v>
      </c>
      <c r="C26" s="45" t="s">
        <v>1130</v>
      </c>
      <c r="D26" s="45" t="s">
        <v>1149</v>
      </c>
      <c r="E26" s="45"/>
      <c r="F26" s="4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3" min="3" style="0" width="20"/>
    <col collapsed="false" customWidth="true" hidden="false" outlineLevel="0" max="4" min="4" style="0" width="70"/>
    <col collapsed="false" customWidth="true" hidden="false" outlineLevel="0" max="5" min="5" style="0" width="9"/>
  </cols>
  <sheetData>
    <row r="1" customFormat="false" ht="22.05" hidden="false" customHeight="false" outlineLevel="0" collapsed="false">
      <c r="A1" s="1" t="s">
        <v>46</v>
      </c>
    </row>
    <row r="2" customFormat="false" ht="15" hidden="false" customHeight="false" outlineLevel="0" collapsed="false">
      <c r="A2" s="2" t="s">
        <v>1150</v>
      </c>
    </row>
    <row r="4" customFormat="false" ht="31.5" hidden="false" customHeight="true" outlineLevel="0" collapsed="false">
      <c r="A4" s="10" t="s">
        <v>14</v>
      </c>
      <c r="B4" s="10" t="s">
        <v>27</v>
      </c>
      <c r="C4" s="10" t="s">
        <v>61</v>
      </c>
      <c r="D4" s="10" t="s">
        <v>1151</v>
      </c>
      <c r="E4" s="10" t="s">
        <v>85</v>
      </c>
    </row>
    <row r="5" customFormat="false" ht="15" hidden="false" customHeight="false" outlineLevel="0" collapsed="false">
      <c r="A5" s="52" t="s">
        <v>17</v>
      </c>
      <c r="B5" s="53" t="s">
        <v>1023</v>
      </c>
      <c r="C5" s="52" t="s">
        <v>165</v>
      </c>
      <c r="D5" s="52" t="s">
        <v>1152</v>
      </c>
      <c r="E5" s="54" t="s">
        <v>99</v>
      </c>
    </row>
    <row r="6" customFormat="false" ht="15" hidden="false" customHeight="false" outlineLevel="0" collapsed="false">
      <c r="A6" s="52" t="s">
        <v>17</v>
      </c>
      <c r="B6" s="53" t="s">
        <v>1153</v>
      </c>
      <c r="C6" s="52" t="s">
        <v>968</v>
      </c>
      <c r="D6" s="52" t="s">
        <v>1154</v>
      </c>
      <c r="E6" s="54" t="s">
        <v>99</v>
      </c>
    </row>
    <row r="7" customFormat="false" ht="15" hidden="false" customHeight="false" outlineLevel="0" collapsed="false">
      <c r="A7" s="52" t="s">
        <v>17</v>
      </c>
      <c r="B7" s="53" t="s">
        <v>1155</v>
      </c>
      <c r="C7" s="52" t="s">
        <v>1156</v>
      </c>
      <c r="D7" s="52" t="s">
        <v>1157</v>
      </c>
      <c r="E7" s="54" t="s">
        <v>99</v>
      </c>
    </row>
    <row r="8" customFormat="false" ht="15" hidden="false" customHeight="false" outlineLevel="0" collapsed="false">
      <c r="A8" s="52" t="s">
        <v>17</v>
      </c>
      <c r="B8" s="53" t="s">
        <v>1158</v>
      </c>
      <c r="C8" s="52" t="s">
        <v>1159</v>
      </c>
      <c r="D8" s="52" t="s">
        <v>1160</v>
      </c>
      <c r="E8" s="54" t="s">
        <v>99</v>
      </c>
    </row>
    <row r="9" customFormat="false" ht="15" hidden="false" customHeight="false" outlineLevel="0" collapsed="false">
      <c r="A9" s="52" t="s">
        <v>19</v>
      </c>
      <c r="B9" s="53" t="s">
        <v>1161</v>
      </c>
      <c r="C9" s="52" t="s">
        <v>1162</v>
      </c>
      <c r="D9" s="52" t="s">
        <v>1163</v>
      </c>
      <c r="E9" s="54" t="s">
        <v>99</v>
      </c>
    </row>
    <row r="10" customFormat="false" ht="15" hidden="false" customHeight="false" outlineLevel="0" collapsed="false">
      <c r="A10" s="52" t="s">
        <v>19</v>
      </c>
      <c r="B10" s="53" t="s">
        <v>1164</v>
      </c>
      <c r="C10" s="52" t="s">
        <v>1165</v>
      </c>
      <c r="D10" s="52" t="s">
        <v>1166</v>
      </c>
      <c r="E10" s="54" t="s">
        <v>99</v>
      </c>
    </row>
    <row r="11" customFormat="false" ht="15" hidden="false" customHeight="false" outlineLevel="0" collapsed="false">
      <c r="A11" s="52" t="s">
        <v>20</v>
      </c>
      <c r="B11" s="53" t="s">
        <v>1167</v>
      </c>
      <c r="C11" s="52" t="s">
        <v>565</v>
      </c>
      <c r="D11" s="52" t="s">
        <v>1168</v>
      </c>
      <c r="E11" s="54" t="s">
        <v>99</v>
      </c>
    </row>
    <row r="12" customFormat="false" ht="15" hidden="false" customHeight="false" outlineLevel="0" collapsed="false">
      <c r="A12" s="52" t="s">
        <v>21</v>
      </c>
      <c r="B12" s="53" t="s">
        <v>1169</v>
      </c>
      <c r="C12" s="52" t="s">
        <v>1170</v>
      </c>
      <c r="D12" s="52" t="s">
        <v>1171</v>
      </c>
      <c r="E12" s="54" t="s">
        <v>99</v>
      </c>
    </row>
    <row r="13" customFormat="false" ht="15" hidden="false" customHeight="false" outlineLevel="0" collapsed="false">
      <c r="A13" s="52" t="s">
        <v>22</v>
      </c>
      <c r="B13" s="53" t="s">
        <v>1172</v>
      </c>
      <c r="C13" s="52" t="s">
        <v>1173</v>
      </c>
      <c r="D13" s="52" t="s">
        <v>1174</v>
      </c>
      <c r="E13" s="54" t="s">
        <v>99</v>
      </c>
    </row>
    <row r="14" customFormat="false" ht="22.35" hidden="false" customHeight="false" outlineLevel="0" collapsed="false">
      <c r="A14" s="52" t="s">
        <v>22</v>
      </c>
      <c r="B14" s="53" t="s">
        <v>1175</v>
      </c>
      <c r="C14" s="52" t="s">
        <v>152</v>
      </c>
      <c r="D14" s="52" t="s">
        <v>1176</v>
      </c>
      <c r="E14" s="54" t="s">
        <v>99</v>
      </c>
    </row>
    <row r="15" customFormat="false" ht="15" hidden="false" customHeight="false" outlineLevel="0" collapsed="false">
      <c r="A15" s="52" t="s">
        <v>22</v>
      </c>
      <c r="B15" s="53" t="s">
        <v>1177</v>
      </c>
      <c r="C15" s="52" t="s">
        <v>1178</v>
      </c>
      <c r="D15" s="52" t="s">
        <v>1179</v>
      </c>
      <c r="E15" s="54" t="s">
        <v>99</v>
      </c>
    </row>
    <row r="16" customFormat="false" ht="15" hidden="false" customHeight="false" outlineLevel="0" collapsed="false">
      <c r="A16" s="52" t="s">
        <v>18</v>
      </c>
      <c r="B16" s="53" t="s">
        <v>1180</v>
      </c>
      <c r="C16" s="52" t="s">
        <v>1181</v>
      </c>
      <c r="D16" s="52" t="s">
        <v>1182</v>
      </c>
      <c r="E16" s="54" t="s">
        <v>99</v>
      </c>
    </row>
    <row r="17" customFormat="false" ht="15" hidden="false" customHeight="false" outlineLevel="0" collapsed="false">
      <c r="A17" s="52" t="s">
        <v>18</v>
      </c>
      <c r="B17" s="53" t="s">
        <v>1183</v>
      </c>
      <c r="C17" s="52" t="s">
        <v>165</v>
      </c>
      <c r="D17" s="52" t="s">
        <v>1184</v>
      </c>
      <c r="E17" s="54" t="s">
        <v>99</v>
      </c>
    </row>
    <row r="18" customFormat="false" ht="15" hidden="false" customHeight="false" outlineLevel="0" collapsed="false">
      <c r="A18" s="52" t="s">
        <v>1185</v>
      </c>
      <c r="B18" s="53" t="s">
        <v>1186</v>
      </c>
      <c r="C18" s="52" t="s">
        <v>277</v>
      </c>
      <c r="D18" s="52" t="s">
        <v>1187</v>
      </c>
      <c r="E18" s="54" t="s">
        <v>99</v>
      </c>
    </row>
    <row r="19" customFormat="false" ht="15" hidden="false" customHeight="false" outlineLevel="0" collapsed="false">
      <c r="A19" s="52" t="s">
        <v>1188</v>
      </c>
      <c r="B19" s="53" t="s">
        <v>1189</v>
      </c>
      <c r="C19" s="52" t="s">
        <v>277</v>
      </c>
      <c r="D19" s="52" t="s">
        <v>1190</v>
      </c>
      <c r="E19" s="54" t="s">
        <v>99</v>
      </c>
    </row>
  </sheetData>
  <hyperlinks>
    <hyperlink ref="E5" r:id="rId1" display="Link"/>
    <hyperlink ref="E6" r:id="rId2" display="Link"/>
    <hyperlink ref="E7" r:id="rId3" display="Link"/>
    <hyperlink ref="E8" r:id="rId4" display="Link"/>
    <hyperlink ref="E9" r:id="rId5" display="Link"/>
    <hyperlink ref="E10" r:id="rId6" display="Link"/>
    <hyperlink ref="E11" r:id="rId7" display="Link"/>
    <hyperlink ref="E12" r:id="rId8" display="Link"/>
    <hyperlink ref="E13" r:id="rId9" display="Link"/>
    <hyperlink ref="E14" r:id="rId10" display="Link"/>
    <hyperlink ref="E15" r:id="rId11" display="Link"/>
    <hyperlink ref="E16" r:id="rId12" display="Link"/>
    <hyperlink ref="E17" r:id="rId13" display="Link"/>
    <hyperlink ref="E18" r:id="rId14" display="Link"/>
    <hyperlink ref="E19" r:id="rId15"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60"/>
    <col collapsed="false" customWidth="true" hidden="false" outlineLevel="0" max="3" min="3" style="0" width="9"/>
  </cols>
  <sheetData>
    <row r="1" customFormat="false" ht="22.05" hidden="false" customHeight="false" outlineLevel="0" collapsed="false">
      <c r="A1" s="1" t="s">
        <v>1191</v>
      </c>
    </row>
    <row r="2" customFormat="false" ht="15" hidden="false" customHeight="false" outlineLevel="0" collapsed="false">
      <c r="A2" s="2" t="s">
        <v>1192</v>
      </c>
    </row>
    <row r="4" customFormat="false" ht="31.5" hidden="false" customHeight="true" outlineLevel="0" collapsed="false">
      <c r="A4" s="10" t="s">
        <v>1193</v>
      </c>
      <c r="B4" s="10" t="s">
        <v>1194</v>
      </c>
      <c r="C4" s="10" t="s">
        <v>85</v>
      </c>
    </row>
    <row r="5" customFormat="false" ht="15" hidden="false" customHeight="false" outlineLevel="0" collapsed="false">
      <c r="A5" s="55" t="s">
        <v>1195</v>
      </c>
      <c r="B5" s="56" t="s">
        <v>1196</v>
      </c>
      <c r="C5" s="57" t="s">
        <v>99</v>
      </c>
    </row>
    <row r="6" customFormat="false" ht="15" hidden="false" customHeight="false" outlineLevel="0" collapsed="false">
      <c r="A6" s="55" t="s">
        <v>1197</v>
      </c>
      <c r="B6" s="56" t="s">
        <v>1198</v>
      </c>
      <c r="C6" s="57" t="s">
        <v>99</v>
      </c>
    </row>
    <row r="7" customFormat="false" ht="15" hidden="false" customHeight="false" outlineLevel="0" collapsed="false">
      <c r="A7" s="55" t="s">
        <v>1199</v>
      </c>
      <c r="B7" s="56" t="s">
        <v>1200</v>
      </c>
      <c r="C7" s="57" t="s">
        <v>99</v>
      </c>
    </row>
    <row r="8" customFormat="false" ht="15" hidden="false" customHeight="false" outlineLevel="0" collapsed="false">
      <c r="A8" s="55" t="s">
        <v>1201</v>
      </c>
      <c r="B8" s="56" t="s">
        <v>1202</v>
      </c>
      <c r="C8" s="57" t="s">
        <v>99</v>
      </c>
    </row>
    <row r="9" customFormat="false" ht="15" hidden="false" customHeight="false" outlineLevel="0" collapsed="false">
      <c r="A9" s="55" t="s">
        <v>1203</v>
      </c>
      <c r="B9" s="56" t="s">
        <v>1204</v>
      </c>
      <c r="C9" s="57" t="s">
        <v>99</v>
      </c>
    </row>
    <row r="10" customFormat="false" ht="15" hidden="false" customHeight="false" outlineLevel="0" collapsed="false">
      <c r="A10" s="55" t="s">
        <v>1205</v>
      </c>
      <c r="B10" s="56" t="s">
        <v>1206</v>
      </c>
      <c r="C10" s="57" t="s">
        <v>99</v>
      </c>
    </row>
    <row r="11" customFormat="false" ht="15" hidden="false" customHeight="false" outlineLevel="0" collapsed="false">
      <c r="A11" s="55" t="s">
        <v>1207</v>
      </c>
      <c r="B11" s="56" t="s">
        <v>1208</v>
      </c>
      <c r="C11" s="57" t="s">
        <v>99</v>
      </c>
    </row>
  </sheetData>
  <hyperlinks>
    <hyperlink ref="C5" r:id="rId1" display="Link"/>
    <hyperlink ref="C6" r:id="rId2" display="Link"/>
    <hyperlink ref="C7" r:id="rId3" display="Link"/>
    <hyperlink ref="C8" r:id="rId4" display="Link"/>
    <hyperlink ref="C9" r:id="rId5" display="Link"/>
    <hyperlink ref="C10" r:id="rId6" display="Link"/>
    <hyperlink ref="C11" r:id="rId7"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70"/>
  </cols>
  <sheetData>
    <row r="1" customFormat="false" ht="22.05" hidden="false" customHeight="false" outlineLevel="0" collapsed="false">
      <c r="A1" s="1" t="s">
        <v>1209</v>
      </c>
    </row>
    <row r="2" customFormat="false" ht="15" hidden="false" customHeight="false" outlineLevel="0" collapsed="false">
      <c r="A2" s="2" t="s">
        <v>1210</v>
      </c>
    </row>
    <row r="4" customFormat="false" ht="31.5" hidden="false" customHeight="true" outlineLevel="0" collapsed="false">
      <c r="A4" s="10" t="s">
        <v>1211</v>
      </c>
      <c r="B4" s="10" t="s">
        <v>1212</v>
      </c>
    </row>
    <row r="5" customFormat="false" ht="15" hidden="false" customHeight="false" outlineLevel="0" collapsed="false">
      <c r="A5" s="14" t="s">
        <v>1051</v>
      </c>
      <c r="B5" s="11" t="s">
        <v>1213</v>
      </c>
    </row>
    <row r="6" customFormat="false" ht="15" hidden="false" customHeight="false" outlineLevel="0" collapsed="false">
      <c r="A6" s="14" t="s">
        <v>1214</v>
      </c>
      <c r="B6" s="11" t="s">
        <v>1215</v>
      </c>
    </row>
    <row r="7" customFormat="false" ht="15" hidden="false" customHeight="false" outlineLevel="0" collapsed="false">
      <c r="A7" s="14" t="s">
        <v>1216</v>
      </c>
      <c r="B7" s="11" t="s">
        <v>1217</v>
      </c>
    </row>
    <row r="8" customFormat="false" ht="15" hidden="false" customHeight="false" outlineLevel="0" collapsed="false">
      <c r="A8" s="14" t="s">
        <v>1218</v>
      </c>
      <c r="B8" s="11" t="s">
        <v>1219</v>
      </c>
    </row>
    <row r="9" customFormat="false" ht="15" hidden="false" customHeight="false" outlineLevel="0" collapsed="false">
      <c r="A9" s="14" t="s">
        <v>1220</v>
      </c>
      <c r="B9" s="11" t="s">
        <v>1221</v>
      </c>
    </row>
    <row r="10" customFormat="false" ht="15" hidden="false" customHeight="false" outlineLevel="0" collapsed="false">
      <c r="A10" s="14" t="s">
        <v>1222</v>
      </c>
      <c r="B10" s="11" t="s">
        <v>1223</v>
      </c>
    </row>
    <row r="11" customFormat="false" ht="15" hidden="false" customHeight="false" outlineLevel="0" collapsed="false">
      <c r="A11" s="14" t="s">
        <v>1224</v>
      </c>
      <c r="B11" s="11" t="s">
        <v>1225</v>
      </c>
    </row>
    <row r="12" customFormat="false" ht="15" hidden="false" customHeight="false" outlineLevel="0" collapsed="false">
      <c r="A12" s="14" t="s">
        <v>1226</v>
      </c>
      <c r="B12" s="11" t="s">
        <v>1227</v>
      </c>
    </row>
    <row r="13" customFormat="false" ht="15" hidden="false" customHeight="false" outlineLevel="0" collapsed="false">
      <c r="A13" s="14" t="s">
        <v>1228</v>
      </c>
      <c r="B13" s="11" t="s">
        <v>1229</v>
      </c>
    </row>
    <row r="14" customFormat="false" ht="15" hidden="false" customHeight="false" outlineLevel="0" collapsed="false">
      <c r="A14" s="14" t="s">
        <v>1230</v>
      </c>
      <c r="B14" s="11" t="s">
        <v>1231</v>
      </c>
    </row>
    <row r="15" customFormat="false" ht="15" hidden="false" customHeight="false" outlineLevel="0" collapsed="false">
      <c r="A15" s="14" t="s">
        <v>1232</v>
      </c>
      <c r="B15" s="11" t="s">
        <v>1233</v>
      </c>
    </row>
    <row r="16" customFormat="false" ht="15" hidden="false" customHeight="false" outlineLevel="0" collapsed="false">
      <c r="A16" s="14" t="s">
        <v>1234</v>
      </c>
      <c r="B16" s="11" t="s">
        <v>17</v>
      </c>
    </row>
    <row r="17" customFormat="false" ht="15" hidden="false" customHeight="false" outlineLevel="0" collapsed="false">
      <c r="A17" s="14" t="s">
        <v>1235</v>
      </c>
      <c r="B17" s="11" t="s">
        <v>1236</v>
      </c>
    </row>
    <row r="18" customFormat="false" ht="15" hidden="false" customHeight="false" outlineLevel="0" collapsed="false">
      <c r="A18" s="14" t="s">
        <v>1237</v>
      </c>
      <c r="B18" s="11" t="s">
        <v>1238</v>
      </c>
    </row>
    <row r="19" customFormat="false" ht="15" hidden="false" customHeight="false" outlineLevel="0" collapsed="false">
      <c r="A19" s="14" t="s">
        <v>1239</v>
      </c>
      <c r="B19" s="11" t="s">
        <v>1240</v>
      </c>
    </row>
    <row r="20" customFormat="false" ht="15" hidden="false" customHeight="false" outlineLevel="0" collapsed="false">
      <c r="A20" s="14" t="s">
        <v>1241</v>
      </c>
      <c r="B20" s="11" t="s">
        <v>1242</v>
      </c>
    </row>
    <row r="21" customFormat="false" ht="15" hidden="false" customHeight="false" outlineLevel="0" collapsed="false">
      <c r="A21" s="14" t="s">
        <v>1243</v>
      </c>
      <c r="B21" s="11" t="s">
        <v>1244</v>
      </c>
    </row>
    <row r="22" customFormat="false" ht="15" hidden="false" customHeight="false" outlineLevel="0" collapsed="false">
      <c r="A22" s="14" t="s">
        <v>1245</v>
      </c>
      <c r="B22" s="11" t="s">
        <v>1246</v>
      </c>
    </row>
    <row r="23" customFormat="false" ht="15" hidden="false" customHeight="false" outlineLevel="0" collapsed="false">
      <c r="A23" s="14" t="s">
        <v>1247</v>
      </c>
      <c r="B23" s="11" t="s">
        <v>1248</v>
      </c>
    </row>
    <row r="24" customFormat="false" ht="15" hidden="false" customHeight="false" outlineLevel="0" collapsed="false">
      <c r="A24" s="14" t="s">
        <v>1249</v>
      </c>
      <c r="B24" s="11" t="s">
        <v>1250</v>
      </c>
    </row>
    <row r="25" customFormat="false" ht="15" hidden="false" customHeight="false" outlineLevel="0" collapsed="false">
      <c r="A25" s="14" t="s">
        <v>1251</v>
      </c>
      <c r="B25" s="11" t="s">
        <v>1252</v>
      </c>
    </row>
    <row r="26" customFormat="false" ht="15" hidden="false" customHeight="false" outlineLevel="0" collapsed="false">
      <c r="A26" s="14" t="s">
        <v>1253</v>
      </c>
      <c r="B26" s="11" t="s">
        <v>1254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40"/>
  </cols>
  <sheetData>
    <row r="1" customFormat="false" ht="22.05" hidden="false" customHeight="false" outlineLevel="0" collapsed="false">
      <c r="A1" s="1" t="s">
        <v>1255</v>
      </c>
    </row>
    <row r="2" customFormat="false" ht="15" hidden="false" customHeight="false" outlineLevel="0" collapsed="false">
      <c r="A2" s="2" t="s">
        <v>1256</v>
      </c>
    </row>
    <row r="4" customFormat="false" ht="15" hidden="false" customHeight="false" outlineLevel="0" collapsed="false">
      <c r="A4" s="58" t="s">
        <v>1257</v>
      </c>
      <c r="B4" s="18" t="s">
        <v>1258</v>
      </c>
    </row>
    <row r="5" customFormat="false" ht="15" hidden="false" customHeight="false" outlineLevel="0" collapsed="false">
      <c r="A5" s="58"/>
      <c r="B5" s="18" t="s">
        <v>1259</v>
      </c>
    </row>
    <row r="6" customFormat="false" ht="15" hidden="false" customHeight="false" outlineLevel="0" collapsed="false">
      <c r="A6" s="58" t="s">
        <v>1260</v>
      </c>
      <c r="B6" s="18" t="s">
        <v>1261</v>
      </c>
    </row>
    <row r="7" customFormat="false" ht="15" hidden="false" customHeight="false" outlineLevel="0" collapsed="false">
      <c r="A7" s="58"/>
      <c r="B7" s="18" t="s">
        <v>1262</v>
      </c>
    </row>
    <row r="8" customFormat="false" ht="15" hidden="false" customHeight="false" outlineLevel="0" collapsed="false">
      <c r="A8" s="58" t="s">
        <v>1263</v>
      </c>
      <c r="B8" s="18" t="s">
        <v>1264</v>
      </c>
    </row>
    <row r="9" customFormat="false" ht="15" hidden="false" customHeight="false" outlineLevel="0" collapsed="false">
      <c r="A9" s="58"/>
      <c r="B9" s="18" t="s">
        <v>1265</v>
      </c>
    </row>
    <row r="10" customFormat="false" ht="15" hidden="false" customHeight="false" outlineLevel="0" collapsed="false">
      <c r="A10" s="58" t="s">
        <v>74</v>
      </c>
      <c r="B10" s="18" t="s">
        <v>1266</v>
      </c>
    </row>
    <row r="11" customFormat="false" ht="15" hidden="false" customHeight="false" outlineLevel="0" collapsed="false">
      <c r="A11" s="58" t="s">
        <v>783</v>
      </c>
      <c r="B11" s="18" t="s">
        <v>1267</v>
      </c>
    </row>
    <row r="12" customFormat="false" ht="15" hidden="false" customHeight="false" outlineLevel="0" collapsed="false">
      <c r="A12" s="58"/>
      <c r="B12" s="18" t="s">
        <v>1268</v>
      </c>
    </row>
    <row r="13" customFormat="false" ht="15" hidden="false" customHeight="false" outlineLevel="0" collapsed="false">
      <c r="A13" s="58" t="s">
        <v>1269</v>
      </c>
      <c r="B13" s="18" t="s">
        <v>1270</v>
      </c>
    </row>
    <row r="14" customFormat="false" ht="15" hidden="false" customHeight="false" outlineLevel="0" collapsed="false">
      <c r="A14" s="58" t="s">
        <v>1271</v>
      </c>
      <c r="B14" s="18" t="s">
        <v>1272</v>
      </c>
    </row>
    <row r="15" customFormat="false" ht="15" hidden="false" customHeight="false" outlineLevel="0" collapsed="false">
      <c r="A15" s="58" t="s">
        <v>1273</v>
      </c>
      <c r="B15" s="18" t="s">
        <v>1274</v>
      </c>
    </row>
    <row r="16" customFormat="false" ht="15" hidden="false" customHeight="false" outlineLevel="0" collapsed="false">
      <c r="A16" s="58" t="s">
        <v>1275</v>
      </c>
      <c r="B16" s="18" t="s">
        <v>1276</v>
      </c>
    </row>
    <row r="17" customFormat="false" ht="15" hidden="false" customHeight="false" outlineLevel="0" collapsed="false">
      <c r="A17" s="58" t="s">
        <v>1277</v>
      </c>
      <c r="B17" s="18" t="s">
        <v>1278</v>
      </c>
    </row>
    <row r="18" customFormat="false" ht="15" hidden="false" customHeight="false" outlineLevel="0" collapsed="false">
      <c r="A18" s="58" t="s">
        <v>1279</v>
      </c>
      <c r="B18" s="18" t="s">
        <v>1280</v>
      </c>
    </row>
    <row r="19" customFormat="false" ht="15" hidden="false" customHeight="false" outlineLevel="0" collapsed="false">
      <c r="A19" s="58" t="s">
        <v>1281</v>
      </c>
      <c r="B19" s="18" t="s">
        <v>1282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0" t="s">
        <v>14</v>
      </c>
      <c r="B1" s="0" t="s">
        <v>1283</v>
      </c>
      <c r="C1" s="0" t="s">
        <v>465</v>
      </c>
    </row>
    <row r="2" customFormat="false" ht="15" hidden="false" customHeight="false" outlineLevel="0" collapsed="false">
      <c r="A2" s="0" t="s">
        <v>17</v>
      </c>
      <c r="B2" s="0" t="s">
        <v>1284</v>
      </c>
      <c r="C2" s="0" t="s">
        <v>97</v>
      </c>
    </row>
    <row r="3" customFormat="false" ht="15" hidden="false" customHeight="false" outlineLevel="0" collapsed="false">
      <c r="A3" s="0" t="s">
        <v>18</v>
      </c>
      <c r="B3" s="0" t="s">
        <v>1285</v>
      </c>
      <c r="C3" s="0" t="s">
        <v>1286</v>
      </c>
    </row>
    <row r="4" customFormat="false" ht="15" hidden="false" customHeight="false" outlineLevel="0" collapsed="false">
      <c r="A4" s="0" t="s">
        <v>19</v>
      </c>
      <c r="B4" s="0" t="s">
        <v>1287</v>
      </c>
      <c r="C4" s="0" t="s">
        <v>1288</v>
      </c>
    </row>
    <row r="5" customFormat="false" ht="15" hidden="false" customHeight="false" outlineLevel="0" collapsed="false">
      <c r="A5" s="0" t="s">
        <v>20</v>
      </c>
      <c r="B5" s="0" t="s">
        <v>1289</v>
      </c>
      <c r="C5" s="0" t="s">
        <v>1290</v>
      </c>
    </row>
    <row r="6" customFormat="false" ht="15" hidden="false" customHeight="false" outlineLevel="0" collapsed="false">
      <c r="A6" s="0" t="s">
        <v>21</v>
      </c>
      <c r="C6" s="0" t="s">
        <v>1291</v>
      </c>
    </row>
    <row r="7" customFormat="false" ht="15" hidden="false" customHeight="false" outlineLevel="0" collapsed="false">
      <c r="A7" s="0" t="s">
        <v>22</v>
      </c>
    </row>
    <row r="8" customFormat="false" ht="15" hidden="false" customHeight="false" outlineLevel="0" collapsed="false">
      <c r="A8" s="0"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2026-09-29T12:31:49Z</dcterms:created>
  <dc:creator>openpyxl</dc:creator>
  <dc:description/>
  <dc:language>en-US</dc:language>
  <cp:lastModifiedBy/>
  <dcterms:modified xsi:type="dcterms:W3CDTF">2026-09-29T12:31:52Z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