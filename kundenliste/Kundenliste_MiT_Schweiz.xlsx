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Kundenliste" sheetId="2" state="visible" r:id="rId4"/>
    <sheet name="Methodik" sheetId="3" state="visible" r:id="rId5"/>
    <sheet name="Listen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F5" authorId="0">
      <text>
        <r>
          <rPr>
            <sz val="10"/>
            <rFont val="Arial"/>
            <family val="2"/>
          </rPr>
          <t xml:space="preserve">https://ch.marketscreener.com/boerse-nachrichten/burkhalter-kurzversion-nichtfinanzielle-berichterstattung-2025-ce7e50ded98bf423</t>
        </r>
      </text>
    </comment>
    <comment ref="AF6" authorId="0">
      <text>
        <r>
          <rPr>
            <sz val="10"/>
            <rFont val="Arial"/>
            <family val="2"/>
          </rPr>
          <t xml:space="preserve">https://www.vinci-energies.ch/unsere-bereiche/etavis/</t>
        </r>
      </text>
    </comment>
    <comment ref="AF7" authorId="0">
      <text>
        <r>
          <rPr>
            <sz val="10"/>
            <rFont val="Arial"/>
            <family val="2"/>
          </rPr>
          <t xml:space="preserve">https://www.phase5.ch/nun-heisst-es-offiziell-equans-switzerland</t>
        </r>
      </text>
    </comment>
    <comment ref="AF8" authorId="0">
      <text>
        <r>
          <rPr>
            <sz val="10"/>
            <rFont val="Arial"/>
            <family val="2"/>
          </rPr>
          <t xml:space="preserve">https://www.bkw.com/en/about-us/building-solutions</t>
        </r>
      </text>
    </comment>
    <comment ref="AF9" authorId="0">
      <text>
        <r>
          <rPr>
            <sz val="10"/>
            <rFont val="Arial"/>
            <family val="2"/>
          </rPr>
          <t xml:space="preserve">https://www.moneyhouse.ch/en/company/actemium-schweiz-ag-20686058021</t>
        </r>
      </text>
    </comment>
    <comment ref="AF10" authorId="0">
      <text>
        <r>
          <rPr>
            <sz val="10"/>
            <rFont val="Arial"/>
            <family val="2"/>
          </rPr>
          <t xml:space="preserve">https://www.arnold.ch/unternehmen/</t>
        </r>
      </text>
    </comment>
    <comment ref="AF11" authorId="0">
      <text>
        <r>
          <rPr>
            <sz val="10"/>
            <rFont val="Arial"/>
            <family val="2"/>
          </rPr>
          <t xml:space="preserve">https://www.ckw.ch/gebaeudetechnik/elektroinstallationen</t>
        </r>
      </text>
    </comment>
    <comment ref="AF12" authorId="0">
      <text>
        <r>
          <rPr>
            <sz val="10"/>
            <rFont val="Arial"/>
            <family val="2"/>
          </rPr>
          <t xml:space="preserve">https://www.moneyhouse.ch/en/company/ekz-eltop-ag-13002369831</t>
        </r>
      </text>
    </comment>
    <comment ref="AF13" authorId="0">
      <text>
        <r>
          <rPr>
            <sz val="10"/>
            <rFont val="Arial"/>
            <family val="2"/>
          </rPr>
          <t xml:space="preserve">https://www.moneyhouse.ch/en/company/etavis-kriegel-schaffner-ag-2862953081</t>
        </r>
      </text>
    </comment>
    <comment ref="AF14" authorId="0">
      <text>
        <r>
          <rPr>
            <sz val="10"/>
            <rFont val="Arial"/>
            <family val="2"/>
          </rPr>
          <t xml:space="preserve">https://www.eggtelsa.com/entreprise/</t>
        </r>
      </text>
    </comment>
    <comment ref="AF15" authorId="0">
      <text>
        <r>
          <rPr>
            <sz val="10"/>
            <rFont val="Arial"/>
            <family val="2"/>
          </rPr>
          <t xml:space="preserve">https://smartemployer.ch/company/selmoni/</t>
        </r>
      </text>
    </comment>
    <comment ref="AF16" authorId="0">
      <text>
        <r>
          <rPr>
            <sz val="10"/>
            <rFont val="Arial"/>
            <family val="2"/>
          </rPr>
          <t xml:space="preserve">https://www.cablex.ch/en/news/change-in-the-management-of-cablex</t>
        </r>
      </text>
    </comment>
    <comment ref="AF17" authorId="0">
      <text>
        <r>
          <rPr>
            <sz val="10"/>
            <rFont val="Arial"/>
            <family val="2"/>
          </rPr>
          <t xml:space="preserve">https://www.cylex-swiss.ch/oftringen/alpine-energie-schweiz-ag-11296004.html</t>
        </r>
      </text>
    </comment>
    <comment ref="AF18" authorId="0">
      <text>
        <r>
          <rPr>
            <sz val="10"/>
            <rFont val="Arial"/>
            <family val="2"/>
          </rPr>
          <t xml:space="preserve">https://baumann-koelliker-gruppe.ch/</t>
        </r>
      </text>
    </comment>
    <comment ref="AF19" authorId="0">
      <text>
        <r>
          <rPr>
            <sz val="10"/>
            <rFont val="Arial"/>
            <family val="2"/>
          </rPr>
          <t xml:space="preserve">https://www.grichting-valterio.ch/fr/</t>
        </r>
      </text>
    </comment>
    <comment ref="AF20" authorId="0">
      <text>
        <r>
          <rPr>
            <sz val="10"/>
            <rFont val="Arial"/>
            <family val="2"/>
          </rPr>
          <t xml:space="preserve">https://www.sedelec-geneve.ch/fr/a-propos-de-nous</t>
        </r>
      </text>
    </comment>
    <comment ref="AF21" authorId="0">
      <text>
        <r>
          <rPr>
            <sz val="10"/>
            <rFont val="Arial"/>
            <family val="2"/>
          </rPr>
          <t xml:space="preserve">https://www.elektro-compagnoni.ch/</t>
        </r>
      </text>
    </comment>
    <comment ref="AF22" authorId="0">
      <text>
        <r>
          <rPr>
            <sz val="10"/>
            <rFont val="Arial"/>
            <family val="2"/>
          </rPr>
          <t xml:space="preserve">https://www.ostjob.ch/firma/etavis-grossenbacher-ag/37152</t>
        </r>
      </text>
    </comment>
    <comment ref="AF23" authorId="0">
      <text>
        <r>
          <rPr>
            <sz val="10"/>
            <rFont val="Arial"/>
            <family val="2"/>
          </rPr>
          <t xml:space="preserve">https://www.rts.ch/info/economie/2025/article/groupe-e-supprime-200-emplois-en-suisse-romande-restructuration-majeure-28856239.html</t>
        </r>
      </text>
    </comment>
    <comment ref="AF24" authorId="0">
      <text>
        <r>
          <rPr>
            <sz val="10"/>
            <rFont val="Arial"/>
            <family val="2"/>
          </rPr>
          <t xml:space="preserve">https://kuma-evt.ch/de/ueber-uns</t>
        </r>
      </text>
    </comment>
    <comment ref="AF25" authorId="0">
      <text>
        <r>
          <rPr>
            <sz val="10"/>
            <rFont val="Arial"/>
            <family val="2"/>
          </rPr>
          <t xml:space="preserve">https://roi-online.ch/unternehmen/vom_elektrogeschaeft_zur_unternehmensgruppe/</t>
        </r>
      </text>
    </comment>
    <comment ref="AF26" authorId="0">
      <text>
        <r>
          <rPr>
            <sz val="10"/>
            <rFont val="Arial"/>
            <family val="2"/>
          </rPr>
          <t xml:space="preserve">https://www.moneyhouse.ch/en/company/etavis-elettro-impianti-sa-3148976161</t>
        </r>
      </text>
    </comment>
    <comment ref="AF27" authorId="0">
      <text>
        <r>
          <rPr>
            <sz val="10"/>
            <rFont val="Arial"/>
            <family val="2"/>
          </rPr>
          <t xml:space="preserve">https://www.aek.ch/de</t>
        </r>
      </text>
    </comment>
    <comment ref="AF28" authorId="0">
      <text>
        <r>
          <rPr>
            <sz val="10"/>
            <rFont val="Arial"/>
            <family val="2"/>
          </rPr>
          <t xml:space="preserve">https://www.eagb.ch/de/die-eag</t>
        </r>
      </text>
    </comment>
    <comment ref="AF29" authorId="0">
      <text>
        <r>
          <rPr>
            <sz val="10"/>
            <rFont val="Arial"/>
            <family val="2"/>
          </rPr>
          <t xml:space="preserve">https://elhag.ch/ueber-uns/</t>
        </r>
      </text>
    </comment>
    <comment ref="AF30" authorId="0">
      <text>
        <r>
          <rPr>
            <sz val="10"/>
            <rFont val="Arial"/>
            <family val="2"/>
          </rPr>
          <t xml:space="preserve">https://www.aargauerzeitung.ch/aargau/kanton-aargau/bekannte-elektro-firma-im-aargau-teilt-sich-in-einzelteile-auf-ld.1822539</t>
        </r>
      </text>
    </comment>
    <comment ref="AF31" authorId="0">
      <text>
        <r>
          <rPr>
            <sz val="10"/>
            <rFont val="Arial"/>
            <family val="2"/>
          </rPr>
          <t xml:space="preserve">https://www.zonebourse.com/cours/action/ROMANDE-ENERGIE-HOLDING-S-183676/actualite/Romande-Energie-Achat-de-la-societe-HD-Energies-Sarl-26669185/</t>
        </r>
      </text>
    </comment>
    <comment ref="AF32" authorId="0">
      <text>
        <r>
          <rPr>
            <sz val="10"/>
            <rFont val="Arial"/>
            <family val="2"/>
          </rPr>
          <t xml:space="preserve">https://www.bkw.ch/de/swisspro-ag</t>
        </r>
      </text>
    </comment>
    <comment ref="AF33" authorId="0">
      <text>
        <r>
          <rPr>
            <sz val="10"/>
            <rFont val="Arial"/>
            <family val="2"/>
          </rPr>
          <t xml:space="preserve">https://wenger-wirz.ch/ueber-uns/</t>
        </r>
      </text>
    </comment>
    <comment ref="AF34" authorId="0">
      <text>
        <r>
          <rPr>
            <sz val="10"/>
            <rFont val="Arial"/>
            <family val="2"/>
          </rPr>
          <t xml:space="preserve">https://www.bkw.ch/de/ueber-uns/aktuell/medien/medienmitteilungen/bkw-isp-gruppe-weitet-elektroinstallationsgeschaeft-aus</t>
        </r>
      </text>
    </comment>
    <comment ref="AF35" authorId="0">
      <text>
        <r>
          <rPr>
            <sz val="10"/>
            <rFont val="Arial"/>
            <family val="2"/>
          </rPr>
          <t xml:space="preserve">https://www.elektro-bau.ch/de/</t>
        </r>
      </text>
    </comment>
    <comment ref="AF36" authorId="0">
      <text>
        <r>
          <rPr>
            <sz val="10"/>
            <rFont val="Arial"/>
            <family val="2"/>
          </rPr>
          <t xml:space="preserve">https://ticinoaziende.ch/2025/04/09/elettro-celio-sa-di-giubiasco-eccellenza-e-innovazione-nelle-installazioni-elettriche/</t>
        </r>
      </text>
    </comment>
    <comment ref="AF37" authorId="0">
      <text>
        <r>
          <rPr>
            <sz val="10"/>
            <rFont val="Arial"/>
            <family val="2"/>
          </rPr>
          <t xml:space="preserve">https://www.zonebourse.com/cours/action/BURKHALTER-HOLDING-AG-13303338/actualite/Burkhalter-Le-Groupe-Burkhalter-rachete-Merinat-SA-en-Suisse-romande-35769970/</t>
        </r>
      </text>
    </comment>
    <comment ref="AF38" authorId="0">
      <text>
        <r>
          <rPr>
            <sz val="10"/>
            <rFont val="Arial"/>
            <family val="2"/>
          </rPr>
          <t xml:space="preserve">https://www.vinci-energies.ch/pressemitteilung/gfeller-elektro-uebernahme/</t>
        </r>
      </text>
    </comment>
    <comment ref="AF39" authorId="0">
      <text>
        <r>
          <rPr>
            <sz val="10"/>
            <rFont val="Arial"/>
            <family val="2"/>
          </rPr>
          <t xml:space="preserve">https://www.scherler-ag.ch/</t>
        </r>
      </text>
    </comment>
    <comment ref="AF40" authorId="0">
      <text>
        <r>
          <rPr>
            <sz val="10"/>
            <rFont val="Arial"/>
            <family val="2"/>
          </rPr>
          <t xml:space="preserve">https://www.cauderay.com/</t>
        </r>
      </text>
    </comment>
    <comment ref="AF41" authorId="0">
      <text>
        <r>
          <rPr>
            <sz val="10"/>
            <rFont val="Arial"/>
            <family val="2"/>
          </rPr>
          <t xml:space="preserve">https://ews.ch/unternehmen</t>
        </r>
      </text>
    </comment>
    <comment ref="AF42" authorId="0">
      <text>
        <r>
          <rPr>
            <sz val="10"/>
            <rFont val="Arial"/>
            <family val="2"/>
          </rPr>
          <t xml:space="preserve">https://electrasim.ch/azienda</t>
        </r>
      </text>
    </comment>
    <comment ref="AF43" authorId="0">
      <text>
        <r>
          <rPr>
            <sz val="10"/>
            <rFont val="Arial"/>
            <family val="2"/>
          </rPr>
          <t xml:space="preserve">https://www.groupe-e.ch/fr/vuilliomenet-changement-nom</t>
        </r>
      </text>
    </comment>
    <comment ref="AF44" authorId="0">
      <text>
        <r>
          <rPr>
            <sz val="10"/>
            <rFont val="Arial"/>
            <family val="2"/>
          </rPr>
          <t xml:space="preserve">https://www.hufschmid-elektro.ch/de/ueber-uns</t>
        </r>
      </text>
    </comment>
    <comment ref="AF45" authorId="0">
      <text>
        <r>
          <rPr>
            <sz val="10"/>
            <rFont val="Arial"/>
            <family val="2"/>
          </rPr>
          <t xml:space="preserve">https://www.bkw.ch/fr/inelectro-sa</t>
        </r>
      </text>
    </comment>
    <comment ref="AF46" authorId="0">
      <text>
        <r>
          <rPr>
            <sz val="10"/>
            <rFont val="Arial"/>
            <family val="2"/>
          </rPr>
          <t xml:space="preserve">https://haelg.ch/unternehmen/</t>
        </r>
      </text>
    </comment>
    <comment ref="AF47" authorId="0">
      <text>
        <r>
          <rPr>
            <sz val="10"/>
            <rFont val="Arial"/>
            <family val="2"/>
          </rPr>
          <t xml:space="preserve">https://www.swissbau.ch/de/p/cbre-gws-schweiz.142727</t>
        </r>
      </text>
    </comment>
    <comment ref="AF48" authorId="0">
      <text>
        <r>
          <rPr>
            <sz val="10"/>
            <rFont val="Arial"/>
            <family val="2"/>
          </rPr>
          <t xml:space="preserve">https://www.northdata.com/Equans%20Switzerland%20Facility%20Management%20AG,%20Zug/CHE-105.849.954</t>
        </r>
      </text>
    </comment>
    <comment ref="AF49" authorId="0">
      <text>
        <r>
          <rPr>
            <sz val="10"/>
            <rFont val="Arial"/>
            <family val="2"/>
          </rPr>
          <t xml:space="preserve">https://www.moneycab.com/company/iss-schweiz/</t>
        </r>
      </text>
    </comment>
    <comment ref="AF50" authorId="0">
      <text>
        <r>
          <rPr>
            <sz val="10"/>
            <rFont val="Arial"/>
            <family val="2"/>
          </rPr>
          <t xml:space="preserve">https://apleona.ch/</t>
        </r>
      </text>
    </comment>
    <comment ref="AF51" authorId="0">
      <text>
        <r>
          <rPr>
            <sz val="10"/>
            <rFont val="Arial"/>
            <family val="2"/>
          </rPr>
          <t xml:space="preserve">https://honegger.ch/en/about-honegger/</t>
        </r>
      </text>
    </comment>
    <comment ref="AF52" authorId="0">
      <text>
        <r>
          <rPr>
            <sz val="10"/>
            <rFont val="Arial"/>
            <family val="2"/>
          </rPr>
          <t xml:space="preserve">https://www.vebego.ch/de/ueber-uns</t>
        </r>
      </text>
    </comment>
    <comment ref="AF53" authorId="0">
      <text>
        <r>
          <rPr>
            <sz val="10"/>
            <rFont val="Arial"/>
            <family val="2"/>
          </rPr>
          <t xml:space="preserve">https://www.priorafm.com/en/priora-fm</t>
        </r>
      </text>
    </comment>
    <comment ref="AF54" authorId="0">
      <text>
        <r>
          <rPr>
            <sz val="10"/>
            <rFont val="Arial"/>
            <family val="2"/>
          </rPr>
          <t xml:space="preserve">https://www.ckw.ch/ueber-ckw/unternehmen</t>
        </r>
      </text>
    </comment>
    <comment ref="AF55" authorId="0">
      <text>
        <r>
          <rPr>
            <sz val="10"/>
            <rFont val="Arial"/>
            <family val="2"/>
          </rPr>
          <t xml:space="preserve">https://www.ekz.ch/de/ueber-ekz/unternehmen.html</t>
        </r>
      </text>
    </comment>
    <comment ref="AF56" authorId="0">
      <text>
        <r>
          <rPr>
            <sz val="10"/>
            <rFont val="Arial"/>
            <family val="2"/>
          </rPr>
          <t xml:space="preserve">https://www.iwb.ch/ueber-uns/newsroom/medienmitteilungen/artikel~_IWB-verst%C3%A4rkt-wichtigsten-Knotenpunkt-des-Basler-Stromnetzes~</t>
        </r>
      </text>
    </comment>
    <comment ref="AF57" authorId="0">
      <text>
        <r>
          <rPr>
            <sz val="10"/>
            <rFont val="Arial"/>
            <family val="2"/>
          </rPr>
          <t xml:space="preserve">https://www.baunetzwissen.de/elektro/objekte/sonderbauten/unterwerk-und-netzstuetzpunkt-in-zuerich-4817704</t>
        </r>
      </text>
    </comment>
    <comment ref="AF58" authorId="0">
      <text>
        <r>
          <rPr>
            <sz val="10"/>
            <rFont val="Arial"/>
            <family val="2"/>
          </rPr>
          <t xml:space="preserve">https://www.zonebourse.com/actualite-bourse/romande-energie-rapport-semestriel-2025-ce7c50d3d88bf324</t>
        </r>
      </text>
    </comment>
    <comment ref="AF59" authorId="0">
      <text>
        <r>
          <rPr>
            <sz val="10"/>
            <rFont val="Arial"/>
            <family val="2"/>
          </rPr>
          <t xml:space="preserve">https://www.vorbild-energie-klima.admin.ch/fr/services-industriels-de-geneve-fr</t>
        </r>
      </text>
    </comment>
    <comment ref="AF60" authorId="0">
      <text>
        <r>
          <rPr>
            <sz val="10"/>
            <rFont val="Arial"/>
            <family val="2"/>
          </rPr>
          <t xml:space="preserve">https://www.ewb.ch/</t>
        </r>
      </text>
    </comment>
    <comment ref="AF61" authorId="0">
      <text>
        <r>
          <rPr>
            <sz val="10"/>
            <rFont val="Arial"/>
            <family val="2"/>
          </rPr>
          <t xml:space="preserve">https://de.wikipedia.org/wiki/Groupe_E</t>
        </r>
      </text>
    </comment>
    <comment ref="AF62" authorId="0">
      <text>
        <r>
          <rPr>
            <sz val="10"/>
            <rFont val="Arial"/>
            <family val="2"/>
          </rPr>
          <t xml:space="preserve">https://www.aet.ch/it/infrastruttura-di-rete</t>
        </r>
      </text>
    </comment>
    <comment ref="AF63" authorId="0">
      <text>
        <r>
          <rPr>
            <sz val="10"/>
            <rFont val="Arial"/>
            <family val="2"/>
          </rPr>
          <t xml:space="preserve">https://www.wwz.ch/-/media/ueber-wwz/wwz-gruppe/geschichte/factsheet-kurzportrait.pdf</t>
        </r>
      </text>
    </comment>
    <comment ref="AF64" authorId="0">
      <text>
        <r>
          <rPr>
            <sz val="10"/>
            <rFont val="Arial"/>
            <family val="2"/>
          </rPr>
          <t xml:space="preserve">https://www.ail.ch/AIL/chi-siamo.html</t>
        </r>
      </text>
    </comment>
    <comment ref="AF65" authorId="0">
      <text>
        <r>
          <rPr>
            <sz val="10"/>
            <rFont val="Arial"/>
            <family val="2"/>
          </rPr>
          <t xml:space="preserve">https://oiken.ch/entreprise/notre-histoire/</t>
        </r>
      </text>
    </comment>
    <comment ref="AF66" authorId="0">
      <text>
        <r>
          <rPr>
            <sz val="10"/>
            <rFont val="Arial"/>
            <family val="2"/>
          </rPr>
          <t xml:space="preserve">https://www.primeo-energie.ch/en/ueber-uns/unternehmen.html</t>
        </r>
      </text>
    </comment>
    <comment ref="AF67" authorId="0">
      <text>
        <r>
          <rPr>
            <sz val="10"/>
            <rFont val="Arial"/>
            <family val="2"/>
          </rPr>
          <t xml:space="preserve">https://www.repower.com/ch/medienmitteilungen/jahresergebnis-2025</t>
        </r>
      </text>
    </comment>
    <comment ref="AF68" authorId="0">
      <text>
        <r>
          <rPr>
            <sz val="10"/>
            <rFont val="Arial"/>
            <family val="2"/>
          </rPr>
          <t xml:space="preserve">https://www.sak.ch/ueber-sak/unternehmen</t>
        </r>
      </text>
    </comment>
    <comment ref="AF69" authorId="0">
      <text>
        <r>
          <rPr>
            <sz val="10"/>
            <rFont val="Arial"/>
            <family val="2"/>
          </rPr>
          <t xml:space="preserve">https://www.viteos.ch/a-propos-de-viteos/nous-connaitre/nos-activites/</t>
        </r>
      </text>
    </comment>
    <comment ref="AF70" authorId="0">
      <text>
        <r>
          <rPr>
            <sz val="10"/>
            <rFont val="Arial"/>
            <family val="2"/>
          </rPr>
          <t xml:space="preserve">https://amstein-walthert.ch/en/</t>
        </r>
      </text>
    </comment>
    <comment ref="AF71" authorId="0">
      <text>
        <r>
          <rPr>
            <sz val="10"/>
            <rFont val="Arial"/>
            <family val="2"/>
          </rPr>
          <t xml:space="preserve">https://www.hhm.ch/hhmgruppe</t>
        </r>
      </text>
    </comment>
    <comment ref="AF72" authorId="0">
      <text>
        <r>
          <rPr>
            <sz val="10"/>
            <rFont val="Arial"/>
            <family val="2"/>
          </rPr>
          <t xml:space="preserve">https://www.scherler.swiss/it/</t>
        </r>
      </text>
    </comment>
    <comment ref="AF73" authorId="0">
      <text>
        <r>
          <rPr>
            <sz val="10"/>
            <rFont val="Arial"/>
            <family val="2"/>
          </rPr>
          <t xml:space="preserve">https://afry.com/en/offices/switzerland</t>
        </r>
      </text>
    </comment>
    <comment ref="AF74" authorId="0">
      <text>
        <r>
          <rPr>
            <sz val="10"/>
            <rFont val="Arial"/>
            <family val="2"/>
          </rPr>
          <t xml:space="preserve">https://www.baslerhofmann.ch/en</t>
        </r>
      </text>
    </comment>
    <comment ref="AF75" authorId="0">
      <text>
        <r>
          <rPr>
            <sz val="10"/>
            <rFont val="Arial"/>
            <family val="2"/>
          </rPr>
          <t xml:space="preserve">https://www.gruner.ch/en</t>
        </r>
      </text>
    </comment>
    <comment ref="AF76" authorId="0">
      <text>
        <r>
          <rPr>
            <sz val="10"/>
            <rFont val="Arial"/>
            <family val="2"/>
          </rPr>
          <t xml:space="preserve">https://www.aargau.swiss/news/herzog-kull-group-bezieht-neuen-firmensitz-in-baden/</t>
        </r>
      </text>
    </comment>
    <comment ref="AF77" authorId="0">
      <text>
        <r>
          <rPr>
            <sz val="10"/>
            <rFont val="Arial"/>
            <family val="2"/>
          </rPr>
          <t xml:space="preserve">https://www.weinmann-energies.ch/bureau</t>
        </r>
      </text>
    </comment>
    <comment ref="AF78" authorId="0">
      <text>
        <r>
          <rPr>
            <sz val="10"/>
            <rFont val="Arial"/>
            <family val="2"/>
          </rPr>
          <t xml:space="preserve">https://www.ibg.ch/gebaude/angebot/elektroplanung</t>
        </r>
      </text>
    </comment>
    <comment ref="AF79" authorId="0">
      <text>
        <r>
          <rPr>
            <sz val="10"/>
            <rFont val="Arial"/>
            <family val="2"/>
          </rPr>
          <t xml:space="preserve">https://www.srg-engineering.ch/</t>
        </r>
      </text>
    </comment>
    <comment ref="AF80" authorId="0">
      <text>
        <r>
          <rPr>
            <sz val="10"/>
            <rFont val="Arial"/>
            <family val="2"/>
          </rPr>
          <t xml:space="preserve">https://www.vrt.ch/chi-siamo</t>
        </r>
      </text>
    </comment>
    <comment ref="AF81" authorId="0">
      <text>
        <r>
          <rPr>
            <sz val="10"/>
            <rFont val="Arial"/>
            <family val="2"/>
          </rPr>
          <t xml:space="preserve">https://moreengineering.ch/</t>
        </r>
      </text>
    </comment>
    <comment ref="AF82" authorId="0">
      <text>
        <r>
          <rPr>
            <sz val="10"/>
            <rFont val="Arial"/>
            <family val="2"/>
          </rPr>
          <t xml:space="preserve">https://implenia.com/medien/artikel/implenia-gewinnt-attraktive-neue-projekte-in-den-bereichen-datacenter-gesundheit-sowie-energie-und-verkehrsinfrastruktur/</t>
        </r>
      </text>
    </comment>
    <comment ref="AF83" authorId="0">
      <text>
        <r>
          <rPr>
            <sz val="10"/>
            <rFont val="Arial"/>
            <family val="2"/>
          </rPr>
          <t xml:space="preserve">https://gva.blog/le-projet-cap2030-en-neuf-questions/</t>
        </r>
      </text>
    </comment>
    <comment ref="AF84" authorId="0">
      <text>
        <r>
          <rPr>
            <sz val="10"/>
            <rFont val="Arial"/>
            <family val="2"/>
          </rPr>
          <t xml:space="preserve">https://www.marti.com/ch_en/stories/messages/2024-07-31_Zweite-Gotthardroehre-Umfangreiche-Arbeiten-Nachhaltigkeit.php</t>
        </r>
      </text>
    </comment>
    <comment ref="AF85" authorId="0">
      <text>
        <r>
          <rPr>
            <sz val="10"/>
            <rFont val="Arial"/>
            <family val="2"/>
          </rPr>
          <t xml:space="preserve">https://www.erne-gruppe.ch/en/projects/new-flexbase-technology-center-laufenburg/</t>
        </r>
      </text>
    </comment>
    <comment ref="AF86" authorId="0">
      <text>
        <r>
          <rPr>
            <sz val="10"/>
            <rFont val="Arial"/>
            <family val="2"/>
          </rPr>
          <t xml:space="preserve">https://www.frutiger.com/de/unternehmen/news</t>
        </r>
      </text>
    </comment>
    <comment ref="AF87" authorId="0">
      <text>
        <r>
          <rPr>
            <sz val="10"/>
            <rFont val="Arial"/>
            <family val="2"/>
          </rPr>
          <t xml:space="preserve">https://www.hrs.ch/de/projekte/chez-fritz-hochhaus</t>
        </r>
      </text>
    </comment>
    <comment ref="AF88" authorId="0">
      <text>
        <r>
          <rPr>
            <sz val="10"/>
            <rFont val="Arial"/>
            <family val="2"/>
          </rPr>
          <t xml:space="preserve">https://www.anliker.ch/aktuelles/2025/universitatsspital-zurich---neubau-campus-mitte1-2-fur-hochklassige-medizin</t>
        </r>
      </text>
    </comment>
    <comment ref="AF89" authorId="0">
      <text>
        <r>
          <rPr>
            <sz val="10"/>
            <rFont val="Arial"/>
            <family val="2"/>
          </rPr>
          <t xml:space="preserve">https://www.zhk.ch/de/wirtschaft-und-politik/news/walo-bertschinger-realisiert-zwei-neue-bruecken-im-kanton-bern.html</t>
        </r>
      </text>
    </comment>
    <comment ref="AF90" authorId="0">
      <text>
        <r>
          <rPr>
            <sz val="10"/>
            <rFont val="Arial"/>
            <family val="2"/>
          </rPr>
          <t xml:space="preserve">https://www.halter.ch/de/projekte/aupark</t>
        </r>
      </text>
    </comment>
    <comment ref="AF91" authorId="0">
      <text>
        <r>
          <rPr>
            <sz val="10"/>
            <rFont val="Arial"/>
            <family val="2"/>
          </rPr>
          <t xml:space="preserve">https://induni.ch/actualites/</t>
        </r>
      </text>
    </comment>
    <comment ref="AF92" authorId="0">
      <text>
        <r>
          <rPr>
            <sz val="10"/>
            <rFont val="Arial"/>
            <family val="2"/>
          </rPr>
          <t xml:space="preserve">https://www.mancinimarti.ch/it/chi-siamo/</t>
        </r>
      </text>
    </comment>
    <comment ref="AF93" authorId="0">
      <text>
        <r>
          <rPr>
            <sz val="10"/>
            <rFont val="Arial"/>
            <family val="2"/>
          </rPr>
          <t xml:space="preserve">https://www.inside-it.ch/spatenstich-fuer-neues-rz-von-digital-reality-in-glattbrugg-20260827</t>
        </r>
      </text>
    </comment>
    <comment ref="AF94" authorId="0">
      <text>
        <r>
          <rPr>
            <sz val="10"/>
            <rFont val="Arial"/>
            <family val="2"/>
          </rPr>
          <t xml:space="preserve">https://www.baublatt.ch/bauprojekte/green-baut-viertes-rechenzentrum-auf-metro-campus-in-dielsdorf-zh-36395</t>
        </r>
      </text>
    </comment>
    <comment ref="AF95" authorId="0">
      <text>
        <r>
          <rPr>
            <sz val="10"/>
            <rFont val="Arial"/>
            <family val="2"/>
          </rPr>
          <t xml:space="preserve">https://www.stackinfra.com/about/news-press/news/new-data-center-campus-in-beringen-switzerland/</t>
        </r>
      </text>
    </comment>
    <comment ref="AF96" authorId="0">
      <text>
        <r>
          <rPr>
            <sz val="10"/>
            <rFont val="Arial"/>
            <family val="2"/>
          </rPr>
          <t xml:space="preserve">https://www.northcdatacenters.com/de/pressemitteilungen/northc-baut-auf-dem-campus-uptownbasel-das-rechenzentrum-der-zukunft/</t>
        </r>
      </text>
    </comment>
    <comment ref="AF97" authorId="0">
      <text>
        <r>
          <rPr>
            <sz val="10"/>
            <rFont val="Arial"/>
            <family val="2"/>
          </rPr>
          <t xml:space="preserve">https://flexbase.ch/en/project-overview</t>
        </r>
      </text>
    </comment>
    <comment ref="AF98" authorId="0">
      <text>
        <r>
          <rPr>
            <sz val="10"/>
            <rFont val="Arial"/>
            <family val="2"/>
          </rPr>
          <t xml:space="preserve">https://vantage-dc.com/data-center-locations/emea/zurich-ii-switzerland/</t>
        </r>
      </text>
    </comment>
    <comment ref="AF99" authorId="0">
      <text>
        <r>
          <rPr>
            <sz val="10"/>
            <rFont val="Arial"/>
            <family val="2"/>
          </rPr>
          <t xml:space="preserve">https://www.ictjournal.ch/articles/2025-01-27/infomaniak-inaugure-un-datacenter-qui-recycle-toute-la-chaleur-quil-produit</t>
        </r>
      </text>
    </comment>
    <comment ref="AF100" authorId="0">
      <text>
        <r>
          <rPr>
            <sz val="10"/>
            <rFont val="Arial"/>
            <family val="2"/>
          </rPr>
          <t xml:space="preserve">https://www.datacentermap.com/switzerland/geneva/stack-infrastructure-gen01/</t>
        </r>
      </text>
    </comment>
    <comment ref="AF101" authorId="0">
      <text>
        <r>
          <rPr>
            <sz val="10"/>
            <rFont val="Arial"/>
            <family val="2"/>
          </rPr>
          <t xml:space="preserve">https://www.inside-it.ch/equinix-baut-data-center-in-zuerich-aus-20241112</t>
        </r>
      </text>
    </comment>
    <comment ref="AF102" authorId="0">
      <text>
        <r>
          <rPr>
            <sz val="10"/>
            <rFont val="Arial"/>
            <family val="2"/>
          </rPr>
          <t xml:space="preserve">https://www.kleinreport.ch/news/swisscom-baut-neues-rechenzentrum-in-bern-wankdorf-70850/</t>
        </r>
      </text>
    </comment>
    <comment ref="AF103" authorId="0">
      <text>
        <r>
          <rPr>
            <sz val="10"/>
            <rFont val="Arial"/>
            <family val="2"/>
          </rPr>
          <t xml:space="preserve">https://www.datacentermap.com/switzerland/zurich/e-shelter-zurich/</t>
        </r>
      </text>
    </comment>
    <comment ref="AF104" authorId="0">
      <text>
        <r>
          <rPr>
            <sz val="10"/>
            <rFont val="Arial"/>
            <family val="2"/>
          </rPr>
          <t xml:space="preserve">https://www.cscs.ch/publications/news/2012/cscs-moves-into-new-computer-centre-in-lugano/</t>
        </r>
      </text>
    </comment>
    <comment ref="AF105" authorId="0">
      <text>
        <r>
          <rPr>
            <sz val="10"/>
            <rFont val="Arial"/>
            <family val="2"/>
          </rPr>
          <t xml:space="preserve">https://www.bachem.com/articles/news/company-news/bachem-expands-presence-in-northwestern-switzerland-new-production-site-planned-in-sisslerfeld/</t>
        </r>
      </text>
    </comment>
    <comment ref="AF106" authorId="0">
      <text>
        <r>
          <rPr>
            <sz val="10"/>
            <rFont val="Arial"/>
            <family val="2"/>
          </rPr>
          <t xml:space="preserve">https://www.roche.ch/medien-schweiz/informationen/med-ch-2025-10-29</t>
        </r>
      </text>
    </comment>
    <comment ref="AF107" authorId="0">
      <text>
        <r>
          <rPr>
            <sz val="10"/>
            <rFont val="Arial"/>
            <family val="2"/>
          </rPr>
          <t xml:space="preserve">https://www.pharmamanufacturing.com/sector/contract-manufacturing/article/55378861/lonzas-large-scale-mammalian-site-in-visp-switzerland-continues-ramp-up-process</t>
        </r>
      </text>
    </comment>
    <comment ref="AF108" authorId="0">
      <text>
        <r>
          <rPr>
            <sz val="10"/>
            <rFont val="Arial"/>
            <family val="2"/>
          </rPr>
          <t xml:space="preserve">https://www.novartis.com/ch-de/news/media-releases/novartis-passt-produktionsaktivitaeten-der-schweiz-und-investiert-innovative-herstelltechnologien</t>
        </r>
      </text>
    </comment>
    <comment ref="AF109" authorId="0">
      <text>
        <r>
          <rPr>
            <sz val="10"/>
            <rFont val="Arial"/>
            <family val="2"/>
          </rPr>
          <t xml:space="preserve">https://www.siegfried.ch/app/uploads/2026/02/Siegfried_2025_GB_Lagebericht-und-Strategiebericht_DE.pdf</t>
        </r>
      </text>
    </comment>
    <comment ref="AF110" authorId="0">
      <text>
        <r>
          <rPr>
            <sz val="10"/>
            <rFont val="Arial"/>
            <family val="2"/>
          </rPr>
          <t xml:space="preserve">https://www.nzz.ch/wirtschaft/in-der-neuen-biotech-fabrik-in-lengnau-uebernimmt-thermo-fisher-das-zepter-ld.1558484</t>
        </r>
      </text>
    </comment>
    <comment ref="AF111" authorId="0">
      <text>
        <r>
          <rPr>
            <sz val="10"/>
            <rFont val="Arial"/>
            <family val="2"/>
          </rPr>
          <t xml:space="preserve">https://www.scienceindustries.ch/fr/article/40697/syngenta-a-monthey-un-avenir-durable</t>
        </r>
      </text>
    </comment>
    <comment ref="AF112" authorId="0">
      <text>
        <r>
          <rPr>
            <sz val="10"/>
            <rFont val="Arial"/>
            <family val="2"/>
          </rPr>
          <t xml:space="preserve">https://packaging-journal.de/emmi-nimmt-neue-pet-anlage-in-suhr-in-betrieb/</t>
        </r>
      </text>
    </comment>
    <comment ref="AF113" authorId="0">
      <text>
        <r>
          <rPr>
            <sz val="10"/>
            <rFont val="Arial"/>
            <family val="2"/>
          </rPr>
          <t xml:space="preserve">https://www.neo1.ch/artikel/staatliche-unterstuetzung-fuer-stahl-gerlafingen-rollt-an</t>
        </r>
      </text>
    </comment>
    <comment ref="AF114" authorId="0">
      <text>
        <r>
          <rPr>
            <sz val="10"/>
            <rFont val="Arial"/>
            <family val="2"/>
          </rPr>
          <t xml:space="preserve">https://www.watson.ch/schweiz/wirtschaft/831341707-swiss-steel-bleibt-beim-abbau-von-130-stellen-in-emmenbruecke</t>
        </r>
      </text>
    </comment>
    <comment ref="AF115" authorId="0">
      <text>
        <r>
          <rPr>
            <sz val="10"/>
            <rFont val="Arial"/>
            <family val="2"/>
          </rPr>
          <t xml:space="preserve">https://www.usz.ch/grundsteinlegung-fuer-das-spital-der-zukunft-ein-meilenstein-fuer-das-usz/</t>
        </r>
      </text>
    </comment>
    <comment ref="AF116" authorId="0">
      <text>
        <r>
          <rPr>
            <sz val="10"/>
            <rFont val="Arial"/>
            <family val="2"/>
          </rPr>
          <t xml:space="preserve">https://www.eoc.ch/media-e-news/news/2025/CS-ampliamento-civico.html</t>
        </r>
      </text>
    </comment>
    <comment ref="AF117" authorId="0">
      <text>
        <r>
          <rPr>
            <sz val="10"/>
            <rFont val="Arial"/>
            <family val="2"/>
          </rPr>
          <t xml:space="preserve">https://www.hug.ch/construction-batiment-beau-sejour-22-24</t>
        </r>
      </text>
    </comment>
    <comment ref="AF118" authorId="0">
      <text>
        <r>
          <rPr>
            <sz val="10"/>
            <rFont val="Arial"/>
            <family val="2"/>
          </rPr>
          <t xml:space="preserve">https://inselgruppe.ch/de/die-insel-gruppe/bauprojekte</t>
        </r>
      </text>
    </comment>
    <comment ref="AF119" authorId="0">
      <text>
        <r>
          <rPr>
            <sz val="10"/>
            <rFont val="Arial"/>
            <family val="2"/>
          </rPr>
          <t xml:space="preserve">https://www.medinside.ch/fr/chuv-une-nouvelle-esplanade-dici-fin-2026-20260217</t>
        </r>
      </text>
    </comment>
    <comment ref="AF120" authorId="0">
      <text>
        <r>
          <rPr>
            <sz val="10"/>
            <rFont val="Arial"/>
            <family val="2"/>
          </rPr>
          <t xml:space="preserve">https://gva.blog/le-projet-cap2030-en-neuf-questions/</t>
        </r>
      </text>
    </comment>
    <comment ref="AF121" authorId="0">
      <text>
        <r>
          <rPr>
            <sz val="10"/>
            <rFont val="Arial"/>
            <family val="2"/>
          </rPr>
          <t xml:space="preserve">https://company.sbb.ch/de/ueber-die-sbb/projekte/projekte-mittelland-tessin/frequenzumformerwerk-rupperswil.html</t>
        </r>
      </text>
    </comment>
    <comment ref="AF122" authorId="0">
      <text>
        <r>
          <rPr>
            <sz val="10"/>
            <rFont val="Arial"/>
            <family val="2"/>
          </rPr>
          <t xml:space="preserve">https://www.flughafen-zuerich.ch/en/company/flughafen-zuerich/airport-development/current-construction-projects/main-airport-complex-development</t>
        </r>
      </text>
    </comment>
    <comment ref="AF123" authorId="0">
      <text>
        <r>
          <rPr>
            <sz val="10"/>
            <rFont val="Arial"/>
            <family val="2"/>
          </rPr>
          <t xml:space="preserve">https://www.openairsg.ch/</t>
        </r>
      </text>
    </comment>
    <comment ref="AF124" authorId="0">
      <text>
        <r>
          <rPr>
            <sz val="10"/>
            <rFont val="Arial"/>
            <family val="2"/>
          </rPr>
          <t xml:space="preserve">https://www.montreuxjazzfestival.com/en/news/programme-2026/</t>
        </r>
      </text>
    </comment>
    <comment ref="AF125" authorId="0">
      <text>
        <r>
          <rPr>
            <sz val="10"/>
            <rFont val="Arial"/>
            <family val="2"/>
          </rPr>
          <t xml:space="preserve">https://www.jambase.com/festival/paleo-festival-2026</t>
        </r>
      </text>
    </comment>
    <comment ref="AF126" authorId="0">
      <text>
        <r>
          <rPr>
            <sz val="10"/>
            <rFont val="Arial"/>
            <family val="2"/>
          </rPr>
          <t xml:space="preserve">https://www.ascona-locarno.com/en/events/details/locarno-film-festival-2026/10056</t>
        </r>
      </text>
    </comment>
    <comment ref="AF127" authorId="0">
      <text>
        <r>
          <rPr>
            <sz val="10"/>
            <rFont val="Arial"/>
            <family val="2"/>
          </rPr>
          <t xml:space="preserve">https://www.ticino.ch/en/events/details/moon-stars-2026/10053.html</t>
        </r>
      </text>
    </comment>
    <comment ref="AF128" authorId="0">
      <text>
        <r>
          <rPr>
            <sz val="10"/>
            <rFont val="Arial"/>
            <family val="2"/>
          </rPr>
          <t xml:space="preserve">https://www.zvv.ch/de/freizeit-und-events/freizeittipps/events/street-parade.html</t>
        </r>
      </text>
    </comment>
    <comment ref="AF129" authorId="0">
      <text>
        <r>
          <rPr>
            <sz val="10"/>
            <rFont val="Arial"/>
            <family val="2"/>
          </rPr>
          <t xml:space="preserve">https://www.lauberhorn.ch/rennen/</t>
        </r>
      </text>
    </comment>
  </commentList>
</comments>
</file>

<file path=xl/sharedStrings.xml><?xml version="1.0" encoding="utf-8"?>
<sst xmlns="http://schemas.openxmlformats.org/spreadsheetml/2006/main" count="2874" uniqueCount="1101">
  <si>
    <t xml:space="preserve">Übersicht Zielkunden Schweiz</t>
  </si>
  <si>
    <t xml:space="preserve">Stand 27.09.2026  |  alle Zahlen per Formel aus «Kundenliste»  |  VERTRAULICH</t>
  </si>
  <si>
    <t xml:space="preserve">Firmen gesamt</t>
  </si>
  <si>
    <t xml:space="preserve">Kernliste</t>
  </si>
  <si>
    <t xml:space="preserve">Prio A</t>
  </si>
  <si>
    <t xml:space="preserve">Prio B</t>
  </si>
  <si>
    <t xml:space="preserve">Prio C</t>
  </si>
  <si>
    <t xml:space="preserve">Status offen (CRM)</t>
  </si>
  <si>
    <t xml:space="preserve">Segmentmix gemäss Vorgabe 60/20/20</t>
  </si>
  <si>
    <t xml:space="preserve">Segment</t>
  </si>
  <si>
    <t xml:space="preserve">Soll-Anteil</t>
  </si>
  <si>
    <t xml:space="preserve">Ist-Anteil Kernliste</t>
  </si>
  <si>
    <t xml:space="preserve">Abweichung</t>
  </si>
  <si>
    <t xml:space="preserve">Installateure (60 %)</t>
  </si>
  <si>
    <t xml:space="preserve">FM / EVU / Planer (20 %)</t>
  </si>
  <si>
    <t xml:space="preserve">GU/TU + Industrie (20 %)</t>
  </si>
  <si>
    <t xml:space="preserve">Total</t>
  </si>
  <si>
    <t xml:space="preserve">Regionen x Prio</t>
  </si>
  <si>
    <t xml:space="preserve">Region</t>
  </si>
  <si>
    <t xml:space="preserve">davon Kernliste</t>
  </si>
  <si>
    <t xml:space="preserve">Installateure</t>
  </si>
  <si>
    <t xml:space="preserve">FM/EVU/Planer</t>
  </si>
  <si>
    <t xml:space="preserve">GU/TU+Industrie</t>
  </si>
  <si>
    <t xml:space="preserve">West (Romandie)</t>
  </si>
  <si>
    <t xml:space="preserve">Mittelland/Bern</t>
  </si>
  <si>
    <t xml:space="preserve">Nordwestschweiz</t>
  </si>
  <si>
    <t xml:space="preserve">Zürich</t>
  </si>
  <si>
    <t xml:space="preserve">Ostschweiz</t>
  </si>
  <si>
    <t xml:space="preserve">Zentralschweiz</t>
  </si>
  <si>
    <t xml:space="preserve">Tessin</t>
  </si>
  <si>
    <t xml:space="preserve">Verkaufsgebiet</t>
  </si>
  <si>
    <t xml:space="preserve">Gebiet</t>
  </si>
  <si>
    <t xml:space="preserve">West</t>
  </si>
  <si>
    <t xml:space="preserve">Deutschschweiz</t>
  </si>
  <si>
    <t xml:space="preserve">Kategorien</t>
  </si>
  <si>
    <t xml:space="preserve">Kategorie</t>
  </si>
  <si>
    <t xml:space="preserve">Ø Score</t>
  </si>
  <si>
    <t xml:space="preserve">Installateur</t>
  </si>
  <si>
    <t xml:space="preserve">Facility Manager</t>
  </si>
  <si>
    <t xml:space="preserve">Stadtwerk/EVU</t>
  </si>
  <si>
    <t xml:space="preserve">Elektroplaner</t>
  </si>
  <si>
    <t xml:space="preserve">GU/TU</t>
  </si>
  <si>
    <t xml:space="preserve">Rechenzentrum</t>
  </si>
  <si>
    <t xml:space="preserve">Industrie</t>
  </si>
  <si>
    <t xml:space="preserve">Spital</t>
  </si>
  <si>
    <t xml:space="preserve">Infrastruktur</t>
  </si>
  <si>
    <t xml:space="preserve">Event</t>
  </si>
  <si>
    <t xml:space="preserve">Kundenstatus MiT (aus CRM zu befüllen)</t>
  </si>
  <si>
    <t xml:space="preserve">Status</t>
  </si>
  <si>
    <t xml:space="preserve">Anzahl</t>
  </si>
  <si>
    <t xml:space="preserve">davon Prio A</t>
  </si>
  <si>
    <t xml:space="preserve">Offen: CRM prüfen</t>
  </si>
  <si>
    <t xml:space="preserve">A-Kunde</t>
  </si>
  <si>
    <t xml:space="preserve">Bestandskunde mit Potenzial</t>
  </si>
  <si>
    <t xml:space="preserve">Verlorener Kunde</t>
  </si>
  <si>
    <t xml:space="preserve">Potenzial / Aufbau</t>
  </si>
  <si>
    <t xml:space="preserve">Zielkundenliste Schweiz: Mobile Energie (Generator, BESS, USV, Trafo, NEA, PQ, Baustrom, Event)</t>
  </si>
  <si>
    <t xml:space="preserve">Stand 27.09.2026  |  125 Firmen  |  Kernliste 70 (60/20/20)  |  Score und Prio rechnen aus Blatt «Methodik»  |  VERTRAULICH</t>
  </si>
  <si>
    <t xml:space="preserve">Blaue Spalten Q-T (Fit/Volumen/Timing/Zugang) sowie Prio final, Kundenstatus, Ansprechperson, Verantwortlich, nächster Schritt und Datum sind Eingabefelder.</t>
  </si>
  <si>
    <t xml:space="preserve">ID</t>
  </si>
  <si>
    <t xml:space="preserve">Kernliste Top 70</t>
  </si>
  <si>
    <t xml:space="preserve">Firma</t>
  </si>
  <si>
    <t xml:space="preserve">Gruppe / Mutter</t>
  </si>
  <si>
    <t xml:space="preserve">Ort</t>
  </si>
  <si>
    <t xml:space="preserve">Kt.</t>
  </si>
  <si>
    <t xml:space="preserve">Sprache</t>
  </si>
  <si>
    <t xml:space="preserve">Website</t>
  </si>
  <si>
    <t xml:space="preserve">Grösse</t>
  </si>
  <si>
    <t xml:space="preserve">Anlass / Projekt 2025-2027</t>
  </si>
  <si>
    <t xml:space="preserve">MiT-Leistungen</t>
  </si>
  <si>
    <t xml:space="preserve">Warum (Begründung)</t>
  </si>
  <si>
    <t xml:space="preserve">Fit</t>
  </si>
  <si>
    <t xml:space="preserve">Volumen</t>
  </si>
  <si>
    <t xml:space="preserve">Timing</t>
  </si>
  <si>
    <t xml:space="preserve">Zugang</t>
  </si>
  <si>
    <t xml:space="preserve">Score</t>
  </si>
  <si>
    <t xml:space="preserve">Prio Vorschlag</t>
  </si>
  <si>
    <t xml:space="preserve">Prio final</t>
  </si>
  <si>
    <t xml:space="preserve">Prio</t>
  </si>
  <si>
    <t xml:space="preserve">Kundenstatus MiT</t>
  </si>
  <si>
    <t xml:space="preserve">Verloren seit</t>
  </si>
  <si>
    <t xml:space="preserve">Zielrolle Ansprechperson</t>
  </si>
  <si>
    <t xml:space="preserve">Ansprechperson (Name)</t>
  </si>
  <si>
    <t xml:space="preserve">GL öffentlich (Quelle)</t>
  </si>
  <si>
    <t xml:space="preserve">LinkedIn Firma</t>
  </si>
  <si>
    <t xml:space="preserve">LinkedIn Personen</t>
  </si>
  <si>
    <t xml:space="preserve">Quelle</t>
  </si>
  <si>
    <t xml:space="preserve">Validierung / Hinweis</t>
  </si>
  <si>
    <t xml:space="preserve">Verantwortlich</t>
  </si>
  <si>
    <t xml:space="preserve">Nächster Schritt</t>
  </si>
  <si>
    <t xml:space="preserve">Datum nächster Schritt</t>
  </si>
  <si>
    <t xml:space="preserve">Letzter Kontakt</t>
  </si>
  <si>
    <t xml:space="preserve">CH-001</t>
  </si>
  <si>
    <t xml:space="preserve">Ja</t>
  </si>
  <si>
    <t xml:space="preserve">Burkhalter Gruppe (Holding)</t>
  </si>
  <si>
    <t xml:space="preserve">börsenkotiert</t>
  </si>
  <si>
    <t xml:space="preserve">ZH</t>
  </si>
  <si>
    <t xml:space="preserve">DE</t>
  </si>
  <si>
    <t xml:space="preserve">burkhalter.ch</t>
  </si>
  <si>
    <t xml:space="preserve">5'356 FTE, 83 Gesellschaften, 169 Standorte (31.12.2025)</t>
  </si>
  <si>
    <t xml:space="preserve">Kein spezifischer Anlass recherchiert</t>
  </si>
  <si>
    <t xml:space="preserve">Baustrom, Generator, USV, NEA-Test</t>
  </si>
  <si>
    <t xml:space="preserve">Grösster Elektroinstallateur CH. Ein Rahmenvertrag öffnet Dutzende Töchter (u.a. Sedelec, Mérinat, EAGB, Hufschmid, Celio, Grichting &amp; Valterio).</t>
  </si>
  <si>
    <t xml:space="preserve">Leiter Grossprojekte / Bereichsleiter Baustrom / Einkauf</t>
  </si>
  <si>
    <t xml:space="preserve">CEO Zeno Böhm (Moneycab)</t>
  </si>
  <si>
    <t xml:space="preserve">Suche öffnen</t>
  </si>
  <si>
    <t xml:space="preserve">Link</t>
  </si>
  <si>
    <t xml:space="preserve">CH-002</t>
  </si>
  <si>
    <t xml:space="preserve">ETAVIS AG</t>
  </si>
  <si>
    <t xml:space="preserve">VINCI Energies</t>
  </si>
  <si>
    <t xml:space="preserve">etavis.ch</t>
  </si>
  <si>
    <t xml:space="preserve">&gt;2'400 MA</t>
  </si>
  <si>
    <t xml:space="preserve">Landesweit in Infrastruktur (Flughafen, Tunnel, Bahn) und Rechenzentren. Zugang zu VINCI-Schwestern (Actemium, Gfeller).</t>
  </si>
  <si>
    <t xml:space="preserve">CH-003</t>
  </si>
  <si>
    <t xml:space="preserve">Equans Switzerland AG</t>
  </si>
  <si>
    <t xml:space="preserve">Bouygues (ex Bouygues E&amp;S InTec / Alpiq InTec)</t>
  </si>
  <si>
    <t xml:space="preserve">equans.ch</t>
  </si>
  <si>
    <t xml:space="preserve">&gt;1'600 MA, &gt;20 Standorte (Broschüre 2025, Zahl prüfen)</t>
  </si>
  <si>
    <t xml:space="preserve">Generator, Trafo, NEA-Test, USV, Baustrom</t>
  </si>
  <si>
    <t xml:space="preserve">Energie, Verkehr, Industrie und FM unter einem Dach: NEA-Tests, Service-Unterbrüche, temporäre Einspeisung.</t>
  </si>
  <si>
    <t xml:space="preserve">Seit 07/2024 unter diesem Namen. MA-Zahl wirkt tief, prüfen.</t>
  </si>
  <si>
    <t xml:space="preserve">CH-004</t>
  </si>
  <si>
    <t xml:space="preserve">BKW Building Solutions AG</t>
  </si>
  <si>
    <t xml:space="preserve">BKW</t>
  </si>
  <si>
    <t xml:space="preserve">Ostermundigen</t>
  </si>
  <si>
    <t xml:space="preserve">BE</t>
  </si>
  <si>
    <t xml:space="preserve">DE/FR</t>
  </si>
  <si>
    <t xml:space="preserve">bkw.ch</t>
  </si>
  <si>
    <t xml:space="preserve">ca. 4'000 MA in ca. 50 Firmen</t>
  </si>
  <si>
    <t xml:space="preserve">Baustrom, BESS, Generator</t>
  </si>
  <si>
    <t xml:space="preserve">Dach von AEK, ISP, swisspro, Arnold, inelectro. Zentraler Einkaufsrahmen für Baustrom und BESS.</t>
  </si>
  <si>
    <t xml:space="preserve">BKW ist Lauberhorn-Sponsor: Nähe zu Energiethemen, evtl. Eigenlösungen.</t>
  </si>
  <si>
    <t xml:space="preserve">CH-005</t>
  </si>
  <si>
    <t xml:space="preserve">Actemium Schweiz AG</t>
  </si>
  <si>
    <t xml:space="preserve">VINCI Energies (ex Cegelec)</t>
  </si>
  <si>
    <t xml:space="preserve">Ittigen</t>
  </si>
  <si>
    <t xml:space="preserve">actemium.ch</t>
  </si>
  <si>
    <t xml:space="preserve">ca. 930 MA (prüfen)</t>
  </si>
  <si>
    <t xml:space="preserve">Generator, Lastbank/NEA-Test, Trafo, USV</t>
  </si>
  <si>
    <t xml:space="preserve">Industrieautomation und Prozessanlagen: Shutdowns, Inbetriebnahmen, Lastbanktests.</t>
  </si>
  <si>
    <t xml:space="preserve">CH-006</t>
  </si>
  <si>
    <t xml:space="preserve">Arnold AG</t>
  </si>
  <si>
    <t xml:space="preserve">BKW (Infra Services)</t>
  </si>
  <si>
    <t xml:space="preserve">Wangen an der Aare</t>
  </si>
  <si>
    <t xml:space="preserve">arnold.ch</t>
  </si>
  <si>
    <t xml:space="preserve">ca. 1'000 MA Infra-Services-Gruppe</t>
  </si>
  <si>
    <t xml:space="preserve">Trafo, Generator, Netzersatz</t>
  </si>
  <si>
    <t xml:space="preserve">Hochspannungs- und Kabelnetzbau: Ersatzversorgung bei Netzumbauten, Trafo-Miete.</t>
  </si>
  <si>
    <t xml:space="preserve">CH-007</t>
  </si>
  <si>
    <t xml:space="preserve">CKW Gebäudetechnik AG</t>
  </si>
  <si>
    <t xml:space="preserve">CKW / Axpo</t>
  </si>
  <si>
    <t xml:space="preserve">Luzern</t>
  </si>
  <si>
    <t xml:space="preserve">LU</t>
  </si>
  <si>
    <t xml:space="preserve">ckw.ch</t>
  </si>
  <si>
    <t xml:space="preserve">ca. 1'400 MA, 60 Standorte</t>
  </si>
  <si>
    <t xml:space="preserve">Baustrom, Generator, BESS</t>
  </si>
  <si>
    <t xml:space="preserve">Grösster Installateur Zentralschweiz mit eigenen Grossbaustellen-Teams.</t>
  </si>
  <si>
    <t xml:space="preserve">Firmenname (ex CKW Conex) prüfen.</t>
  </si>
  <si>
    <t xml:space="preserve">CH-008</t>
  </si>
  <si>
    <t xml:space="preserve">EKZ Eltop AG</t>
  </si>
  <si>
    <t xml:space="preserve">EKZ</t>
  </si>
  <si>
    <t xml:space="preserve">Fahrweid (Weiningen)</t>
  </si>
  <si>
    <t xml:space="preserve">ekzeltop.ch</t>
  </si>
  <si>
    <t xml:space="preserve">ca. 550 MA, ca. 40 Standorte</t>
  </si>
  <si>
    <t xml:space="preserve">Flächendeckend im Kanton ZH, PV und Speicher im Portfolio.</t>
  </si>
  <si>
    <t xml:space="preserve">CEO Claudio Gallo (EKZ-MM 2023, Aktualität prüfen)</t>
  </si>
  <si>
    <t xml:space="preserve">CH-009</t>
  </si>
  <si>
    <t xml:space="preserve">ETAVIS Kriegel+Schaffner AG</t>
  </si>
  <si>
    <t xml:space="preserve">VINCI Energies / ETAVIS</t>
  </si>
  <si>
    <t xml:space="preserve">Basel</t>
  </si>
  <si>
    <t xml:space="preserve">BS</t>
  </si>
  <si>
    <t xml:space="preserve">ca. 700 MA Region NWCH (prüfen)</t>
  </si>
  <si>
    <t xml:space="preserve">Pharma-Grossprojekte Basel (Roche Bau 12, Bachem)</t>
  </si>
  <si>
    <t xml:space="preserve">USV, Generator, NEA-Test, Trafo</t>
  </si>
  <si>
    <t xml:space="preserve">Pharma und Chemie Basel: Shutdowns, Umbauten unter GMP, hohe Ausfallkosten beim Endkunden.</t>
  </si>
  <si>
    <t xml:space="preserve">CH-010</t>
  </si>
  <si>
    <t xml:space="preserve">Egg-Telsa SA</t>
  </si>
  <si>
    <t xml:space="preserve">unabhängig (prüfen)</t>
  </si>
  <si>
    <t xml:space="preserve">Genève</t>
  </si>
  <si>
    <t xml:space="preserve">GE</t>
  </si>
  <si>
    <t xml:space="preserve">FR</t>
  </si>
  <si>
    <t xml:space="preserve">eggtelsa.com</t>
  </si>
  <si>
    <t xml:space="preserve">300 bis knapp 500 MA</t>
  </si>
  <si>
    <t xml:space="preserve">Cap2030 Genève Aéroport (2026-2032)</t>
  </si>
  <si>
    <t xml:space="preserve">Baustrom, Event, Generator, USV</t>
  </si>
  <si>
    <t xml:space="preserve">Grösster unabhängiger Installateur in Genf: Baustrom, Events, internationale Organisationen.</t>
  </si>
  <si>
    <t xml:space="preserve">CH-011</t>
  </si>
  <si>
    <t xml:space="preserve">Selmoni Gruppe</t>
  </si>
  <si>
    <t xml:space="preserve">Münchenstein</t>
  </si>
  <si>
    <t xml:space="preserve">BL</t>
  </si>
  <si>
    <t xml:space="preserve">selmoni.ch</t>
  </si>
  <si>
    <t xml:space="preserve">ca. 600 MA</t>
  </si>
  <si>
    <t xml:space="preserve">Life-Sciences-Projekte Basel</t>
  </si>
  <si>
    <t xml:space="preserve">USV, NEA-Test, Generator</t>
  </si>
  <si>
    <t xml:space="preserve">Life Sciences Basel, Verteilbau: USV, NEA, Shutdowns.</t>
  </si>
  <si>
    <t xml:space="preserve">CEO-Name nur aus Suche, nicht verifiziert.</t>
  </si>
  <si>
    <t xml:space="preserve">CH-012</t>
  </si>
  <si>
    <t xml:space="preserve">cablex AG</t>
  </si>
  <si>
    <t xml:space="preserve">Swisscom</t>
  </si>
  <si>
    <t xml:space="preserve">Gümligen</t>
  </si>
  <si>
    <t xml:space="preserve">DE/FR/IT</t>
  </si>
  <si>
    <t xml:space="preserve">cablex.ch</t>
  </si>
  <si>
    <t xml:space="preserve">ca. 2'300 MA</t>
  </si>
  <si>
    <t xml:space="preserve">BESS, Generator, USV</t>
  </si>
  <si>
    <t xml:space="preserve">Netzinfrastruktur und Mobilfunk landesweit: Notstrom für Antennen und Knoten, BESS für Umbauten.</t>
  </si>
  <si>
    <t xml:space="preserve">CEO Roger Keller (seit 01.01.2025, cablex.ch)</t>
  </si>
  <si>
    <t xml:space="preserve">CH-013</t>
  </si>
  <si>
    <t xml:space="preserve">Alpine-Energie Schweiz AG</t>
  </si>
  <si>
    <t xml:space="preserve">ALPINE-ENERGIE Gruppe (DE/AT)</t>
  </si>
  <si>
    <t xml:space="preserve">Oftringen</t>
  </si>
  <si>
    <t xml:space="preserve">AG</t>
  </si>
  <si>
    <t xml:space="preserve">prüfen</t>
  </si>
  <si>
    <t xml:space="preserve">k.A.</t>
  </si>
  <si>
    <t xml:space="preserve">Generator, Trafo</t>
  </si>
  <si>
    <t xml:space="preserve">Freileitung, Fahrleitung, Tunnel: mobile Energie auf Linienbaustellen.</t>
  </si>
  <si>
    <t xml:space="preserve">Website prüfen.</t>
  </si>
  <si>
    <t xml:space="preserve">CH-014</t>
  </si>
  <si>
    <t xml:space="preserve">Baumann Koelliker Gruppe</t>
  </si>
  <si>
    <t xml:space="preserve">unabhängig (Familie)</t>
  </si>
  <si>
    <t xml:space="preserve">baumann-koelliker-gruppe.ch</t>
  </si>
  <si>
    <t xml:space="preserve">1'250 MA, 16-17 Firmen</t>
  </si>
  <si>
    <t xml:space="preserve">Baustrom, Generator</t>
  </si>
  <si>
    <t xml:space="preserve">Viele Grossbaustellen in ZH: Baustrom-Rahmenvertrag.</t>
  </si>
  <si>
    <t xml:space="preserve">CH-015</t>
  </si>
  <si>
    <t xml:space="preserve">Grichting &amp; Valterio Electro SA</t>
  </si>
  <si>
    <t xml:space="preserve">Burkhalter (seit 2009)</t>
  </si>
  <si>
    <t xml:space="preserve">Sion</t>
  </si>
  <si>
    <t xml:space="preserve">VS</t>
  </si>
  <si>
    <t xml:space="preserve">FR/DE</t>
  </si>
  <si>
    <t xml:space="preserve">grichting-valterio.ch</t>
  </si>
  <si>
    <t xml:space="preserve">104-170 MA (uneinheitlich)</t>
  </si>
  <si>
    <t xml:space="preserve">Lonza Visp Ramp-up 2026</t>
  </si>
  <si>
    <t xml:space="preserve">Baustrom, NEA-Test, Generator</t>
  </si>
  <si>
    <t xml:space="preserve">Walliser Industrie (Lonza-Umfeld) und Infrastruktur.</t>
  </si>
  <si>
    <t xml:space="preserve">CH-016</t>
  </si>
  <si>
    <t xml:space="preserve">Sedelec SA</t>
  </si>
  <si>
    <t xml:space="preserve">Burkhalter</t>
  </si>
  <si>
    <t xml:space="preserve">Carouge</t>
  </si>
  <si>
    <t xml:space="preserve">sedelec-geneve.ch</t>
  </si>
  <si>
    <t xml:space="preserve">&gt;200 MA</t>
  </si>
  <si>
    <t xml:space="preserve">Baustrom, USV</t>
  </si>
  <si>
    <t xml:space="preserve">Genfer Grossbaustellen, dazu Sedelec Lausanne.</t>
  </si>
  <si>
    <t xml:space="preserve">CH-017</t>
  </si>
  <si>
    <t xml:space="preserve">Elektro Compagnoni AG</t>
  </si>
  <si>
    <t xml:space="preserve">unabhängig (Familie, 2. Generation)</t>
  </si>
  <si>
    <t xml:space="preserve">elektro-compagnoni.ch</t>
  </si>
  <si>
    <t xml:space="preserve">ca. 140 MA</t>
  </si>
  <si>
    <t xml:space="preserve">Trafo, NEA-Test, Generator</t>
  </si>
  <si>
    <t xml:space="preserve">Hochspannung, Schaltanlagen, Telecom: direkter Bedarf an Trafo-Miete und NEA.</t>
  </si>
  <si>
    <t xml:space="preserve">Keine Burkhalter-Tochter.</t>
  </si>
  <si>
    <t xml:space="preserve">CH-018</t>
  </si>
  <si>
    <t xml:space="preserve">ETAVIS Grossenbacher AG</t>
  </si>
  <si>
    <t xml:space="preserve">St. Gallen</t>
  </si>
  <si>
    <t xml:space="preserve">SG</t>
  </si>
  <si>
    <t xml:space="preserve">Ostschweizer Grossbaustellen und Industrie, Einstieg über ETAVIS-Rahmen.</t>
  </si>
  <si>
    <t xml:space="preserve">CH-019</t>
  </si>
  <si>
    <t xml:space="preserve">Groupe E Connect SA</t>
  </si>
  <si>
    <t xml:space="preserve">Groupe E</t>
  </si>
  <si>
    <t xml:space="preserve">Granges-Paccot / Matran</t>
  </si>
  <si>
    <t xml:space="preserve">groupe-e.ch</t>
  </si>
  <si>
    <t xml:space="preserve">880 MA, 12 Filialen FR/VD/VS/GE</t>
  </si>
  <si>
    <t xml:space="preserve">Groupe E baut 2025 rund 188 Stellen ab</t>
  </si>
  <si>
    <t xml:space="preserve">Grossbaustellen Romandie: Baustrom, Tableaux.</t>
  </si>
  <si>
    <t xml:space="preserve">CEO Mutter Groupe E: Alain Sapin</t>
  </si>
  <si>
    <t xml:space="preserve">Restrukturierung: Kostendruck.</t>
  </si>
  <si>
    <t xml:space="preserve">CH-020</t>
  </si>
  <si>
    <t xml:space="preserve">Kummler+Matter EVT AG</t>
  </si>
  <si>
    <t xml:space="preserve">Equans Switzerland (inkl. Mauerhofer &amp; Zuber)</t>
  </si>
  <si>
    <t xml:space="preserve">kuma-evt.ch</t>
  </si>
  <si>
    <t xml:space="preserve">Generator, BESS, Trafo</t>
  </si>
  <si>
    <t xml:space="preserve">Netz- und Freileitungsbau, Bahnstrom. Hat eigene mobile Trafostationen: Partner bei Spitzen, zugleich Wettbewerber.</t>
  </si>
  <si>
    <t xml:space="preserve">Partner- oder Wettbewerberrolle intern klären.</t>
  </si>
  <si>
    <t xml:space="preserve">CH-021</t>
  </si>
  <si>
    <t xml:space="preserve">Maréchaux Elektro AG / Gruppe</t>
  </si>
  <si>
    <t xml:space="preserve">marechaux.ch</t>
  </si>
  <si>
    <t xml:space="preserve">ca. 1'000 MA Gruppe, davon 750 Elektro</t>
  </si>
  <si>
    <t xml:space="preserve">Grösster unabhängiger Anbieter Zentralschweiz, Grossprojekte.</t>
  </si>
  <si>
    <t xml:space="preserve">CH-022</t>
  </si>
  <si>
    <t xml:space="preserve">ETAVIS Elettro-Impianti SA</t>
  </si>
  <si>
    <t xml:space="preserve">Pregassona-Lugano</t>
  </si>
  <si>
    <t xml:space="preserve">TI</t>
  </si>
  <si>
    <t xml:space="preserve">IT</t>
  </si>
  <si>
    <t xml:space="preserve">etavis.ch/it</t>
  </si>
  <si>
    <t xml:space="preserve">2. Gotthardröhre Süd (Airolo) im Umfeld</t>
  </si>
  <si>
    <t xml:space="preserve">Baustrom, Generator, Trafo</t>
  </si>
  <si>
    <t xml:space="preserve">Tessiner Grossprojekte und Tunnel. Einer der wenigen grösseren Installateure im Tessin.</t>
  </si>
  <si>
    <t xml:space="preserve">Tunnelbezug unbestätigt.</t>
  </si>
  <si>
    <t xml:space="preserve">CH-023</t>
  </si>
  <si>
    <t xml:space="preserve">AEK AG</t>
  </si>
  <si>
    <t xml:space="preserve">BKW (seit 2022)</t>
  </si>
  <si>
    <t xml:space="preserve">Solothurn</t>
  </si>
  <si>
    <t xml:space="preserve">SO</t>
  </si>
  <si>
    <t xml:space="preserve">aek.ch</t>
  </si>
  <si>
    <t xml:space="preserve">ca. 250 MA</t>
  </si>
  <si>
    <t xml:space="preserve">NEA-Test, Baustrom, Generator</t>
  </si>
  <si>
    <t xml:space="preserve">Industrie Solothurn (z.B. Grossauftrag Bell).</t>
  </si>
  <si>
    <t xml:space="preserve">CH-024</t>
  </si>
  <si>
    <t xml:space="preserve">Elektrotechnik AG EAGB</t>
  </si>
  <si>
    <t xml:space="preserve">Burkhalter (seit 2020)</t>
  </si>
  <si>
    <t xml:space="preserve">eagb.ch</t>
  </si>
  <si>
    <t xml:space="preserve">ca. 175 MA</t>
  </si>
  <si>
    <t xml:space="preserve">Generator, USV</t>
  </si>
  <si>
    <t xml:space="preserve">Basler Industrie und Spitäler: Notstrom und Überbrückung.</t>
  </si>
  <si>
    <t xml:space="preserve">CH-025</t>
  </si>
  <si>
    <t xml:space="preserve">Ellenbroek Hugentobler AG</t>
  </si>
  <si>
    <t xml:space="preserve">Frauenfeld</t>
  </si>
  <si>
    <t xml:space="preserve">TG</t>
  </si>
  <si>
    <t xml:space="preserve">elhag.ch</t>
  </si>
  <si>
    <t xml:space="preserve">&gt;160 MA</t>
  </si>
  <si>
    <t xml:space="preserve">Netzersatz, Generator</t>
  </si>
  <si>
    <t xml:space="preserve">Leader im Thurgau inkl. Netzbau NS/MS: Netzersatz bei Kabelzug.</t>
  </si>
  <si>
    <t xml:space="preserve">CH-026</t>
  </si>
  <si>
    <t xml:space="preserve">Jost Elektro AG Brugg</t>
  </si>
  <si>
    <t xml:space="preserve">unabhängig (Familie Bürgi)</t>
  </si>
  <si>
    <t xml:space="preserve">Brugg</t>
  </si>
  <si>
    <t xml:space="preserve">jostelektro.ch</t>
  </si>
  <si>
    <t xml:space="preserve">ca. 200 MA</t>
  </si>
  <si>
    <t xml:space="preserve">Baustrom, NEA-Test</t>
  </si>
  <si>
    <t xml:space="preserve">Aargauer Industrie und Kraftwerksumfeld.</t>
  </si>
  <si>
    <t xml:space="preserve">Firma wurde laut AZ aufgeteilt: aktuelle Struktur prüfen.</t>
  </si>
  <si>
    <t xml:space="preserve">CH-027</t>
  </si>
  <si>
    <t xml:space="preserve">Romande Energie Services SA</t>
  </si>
  <si>
    <t xml:space="preserve">Romande Energie</t>
  </si>
  <si>
    <t xml:space="preserve">Morges (prüfen)</t>
  </si>
  <si>
    <t xml:space="preserve">VD</t>
  </si>
  <si>
    <t xml:space="preserve">romande-energie.ch</t>
  </si>
  <si>
    <t xml:space="preserve">Industrie und Tertiär VD/FR/GE/VS/NE, PV und Speicher im Portfolio.</t>
  </si>
  <si>
    <t xml:space="preserve">CH-028</t>
  </si>
  <si>
    <t xml:space="preserve">swisspro AG</t>
  </si>
  <si>
    <t xml:space="preserve">BKW (seit 2019)</t>
  </si>
  <si>
    <t xml:space="preserve">Urdorf</t>
  </si>
  <si>
    <t xml:space="preserve">swisspro.ch</t>
  </si>
  <si>
    <t xml:space="preserve">ca. 430 MA (prüfen)</t>
  </si>
  <si>
    <t xml:space="preserve">USV, BESS</t>
  </si>
  <si>
    <t xml:space="preserve">ICT und Gebäudeautomation: USV bei Rechenzentrums- und Netzumbauten.</t>
  </si>
  <si>
    <t xml:space="preserve">CH-029</t>
  </si>
  <si>
    <t xml:space="preserve">Wenger + Wirz AG</t>
  </si>
  <si>
    <t xml:space="preserve">unabhängig</t>
  </si>
  <si>
    <t xml:space="preserve">Schaffhausen</t>
  </si>
  <si>
    <t xml:space="preserve">SH</t>
  </si>
  <si>
    <t xml:space="preserve">wenger-wirz.ch</t>
  </si>
  <si>
    <t xml:space="preserve">ca. 130 MA (prüfen)</t>
  </si>
  <si>
    <t xml:space="preserve">STACK-Rechenzentrum Beringen SH (36 MW, Eröffnung 2026)</t>
  </si>
  <si>
    <t xml:space="preserve">PQ-Audit, Baustrom, Generator</t>
  </si>
  <si>
    <t xml:space="preserve">Nr. 1 in SH, macht Netzanalysen. Nähe zum RZ-Campus Beringen.</t>
  </si>
  <si>
    <t xml:space="preserve">Beteiligung an STACK Beringen nicht belegt.</t>
  </si>
  <si>
    <t xml:space="preserve">CH-030</t>
  </si>
  <si>
    <t xml:space="preserve">BKW ISP AG</t>
  </si>
  <si>
    <t xml:space="preserve">Oberhofen am Thunersee (prüfen)</t>
  </si>
  <si>
    <t xml:space="preserve">200-499 MA (uneinheitlich)</t>
  </si>
  <si>
    <t xml:space="preserve">Elektroinstallation und PV im Raum Bern.</t>
  </si>
  <si>
    <t xml:space="preserve">Sitz prüfen.</t>
  </si>
  <si>
    <t xml:space="preserve">CH-031</t>
  </si>
  <si>
    <t xml:space="preserve">Elektro-Bau AG Rothrist</t>
  </si>
  <si>
    <t xml:space="preserve">Rothrist</t>
  </si>
  <si>
    <t xml:space="preserve">elektro-bau.ch</t>
  </si>
  <si>
    <t xml:space="preserve">ca. 130 MA</t>
  </si>
  <si>
    <t xml:space="preserve">Logistik- und Industriebauten an der Mittelland-Achse.</t>
  </si>
  <si>
    <t xml:space="preserve">CH-032</t>
  </si>
  <si>
    <t xml:space="preserve">Elettro-Celio SA</t>
  </si>
  <si>
    <t xml:space="preserve">Giubiasco</t>
  </si>
  <si>
    <t xml:space="preserve">celio.ch</t>
  </si>
  <si>
    <t xml:space="preserve">ca. 30 MA</t>
  </si>
  <si>
    <t xml:space="preserve">SBB-Frequenzumformer Giubiasco in Modernisierung</t>
  </si>
  <si>
    <t xml:space="preserve">Sopraceneri und Mesolcina.</t>
  </si>
  <si>
    <t xml:space="preserve">CH-033</t>
  </si>
  <si>
    <t xml:space="preserve">Mérinat SA</t>
  </si>
  <si>
    <t xml:space="preserve">Burkhalter (seit 2021)</t>
  </si>
  <si>
    <t xml:space="preserve">Vevey</t>
  </si>
  <si>
    <t xml:space="preserve">merinat.ch</t>
  </si>
  <si>
    <t xml:space="preserve">ca. 80 MA</t>
  </si>
  <si>
    <t xml:space="preserve">Montreux Jazz Festival in der Region</t>
  </si>
  <si>
    <t xml:space="preserve">Generator, Event</t>
  </si>
  <si>
    <t xml:space="preserve">Riviera, Hotellerie und Kliniken: Notstrom.</t>
  </si>
  <si>
    <t xml:space="preserve">CH-034</t>
  </si>
  <si>
    <t xml:space="preserve">Gfeller Elektro AG</t>
  </si>
  <si>
    <t xml:space="preserve">VINCI Energies / ETAVIS (seit 2022)</t>
  </si>
  <si>
    <t xml:space="preserve">Bern</t>
  </si>
  <si>
    <t xml:space="preserve">ca. 90-100 MA</t>
  </si>
  <si>
    <t xml:space="preserve">Gewerbe- und Verwaltungsbauten Bern. Kleinere Volumen, guter Zugang.</t>
  </si>
  <si>
    <t xml:space="preserve">CH-035</t>
  </si>
  <si>
    <t xml:space="preserve">Scherler AG, Elektro und Telematik</t>
  </si>
  <si>
    <t xml:space="preserve">scherler-ag.ch</t>
  </si>
  <si>
    <t xml:space="preserve">Schaltanlagenbau und Installation Bern.</t>
  </si>
  <si>
    <t xml:space="preserve">Nicht verwechseln mit SCHERLER AG Luzern (Planer).</t>
  </si>
  <si>
    <t xml:space="preserve">CH-036</t>
  </si>
  <si>
    <t xml:space="preserve">Cauderay SA</t>
  </si>
  <si>
    <t xml:space="preserve">Lausanne</t>
  </si>
  <si>
    <t xml:space="preserve">cauderay.com</t>
  </si>
  <si>
    <t xml:space="preserve">ca. 85 MA</t>
  </si>
  <si>
    <t xml:space="preserve">Gewerbe und Tertiär Lausanne.</t>
  </si>
  <si>
    <t xml:space="preserve">CH-037</t>
  </si>
  <si>
    <t xml:space="preserve">EWS AG (Elektrizitätswerk Schwyz)</t>
  </si>
  <si>
    <t xml:space="preserve">Mehrheit CKW / Axpo</t>
  </si>
  <si>
    <t xml:space="preserve">Ibach</t>
  </si>
  <si>
    <t xml:space="preserve">SZ</t>
  </si>
  <si>
    <t xml:space="preserve">ews.ch</t>
  </si>
  <si>
    <t xml:space="preserve">130-200 MA (uneinheitlich)</t>
  </si>
  <si>
    <t xml:space="preserve">Netzersatz, Baustrom</t>
  </si>
  <si>
    <t xml:space="preserve">Netzbetreiber mit Installationsabteilung, deckt SZ ab.</t>
  </si>
  <si>
    <t xml:space="preserve">CH-038</t>
  </si>
  <si>
    <t xml:space="preserve">Electrasim SA</t>
  </si>
  <si>
    <t xml:space="preserve">Lugano / Balerna</t>
  </si>
  <si>
    <t xml:space="preserve">electrasim.ch</t>
  </si>
  <si>
    <t xml:space="preserve">50 MA</t>
  </si>
  <si>
    <t xml:space="preserve">USV, Generator</t>
  </si>
  <si>
    <t xml:space="preserve">Industrie-Tableaux und Automation im Tessin: USV, Shutdowns.</t>
  </si>
  <si>
    <t xml:space="preserve">CH-039</t>
  </si>
  <si>
    <t xml:space="preserve">Groupe E Arc SA</t>
  </si>
  <si>
    <t xml:space="preserve">Groupe E (ex Vuilliomenet)</t>
  </si>
  <si>
    <t xml:space="preserve">Boudry</t>
  </si>
  <si>
    <t xml:space="preserve">NE</t>
  </si>
  <si>
    <t xml:space="preserve">&gt;130 MA (prüfen)</t>
  </si>
  <si>
    <t xml:space="preserve">Arc jurassien: Uhrenindustrie, USV bei Unterbrüchen.</t>
  </si>
  <si>
    <t xml:space="preserve">CH-040</t>
  </si>
  <si>
    <t xml:space="preserve">Marcel Hufschmid AG</t>
  </si>
  <si>
    <t xml:space="preserve">Zug</t>
  </si>
  <si>
    <t xml:space="preserve">ZG</t>
  </si>
  <si>
    <t xml:space="preserve">hufschmid-elektro.ch</t>
  </si>
  <si>
    <t xml:space="preserve">ca. 100 MA</t>
  </si>
  <si>
    <t xml:space="preserve">WWZ-Unterwerk Herti geplant (Zug)</t>
  </si>
  <si>
    <t xml:space="preserve">Gewerbe- und Bürobauten Zug.</t>
  </si>
  <si>
    <t xml:space="preserve">CH-041</t>
  </si>
  <si>
    <t xml:space="preserve">inelectro sa</t>
  </si>
  <si>
    <t xml:space="preserve">Porrentruy</t>
  </si>
  <si>
    <t xml:space="preserve">JU</t>
  </si>
  <si>
    <t xml:space="preserve">inelectro.ch</t>
  </si>
  <si>
    <t xml:space="preserve">55 MA</t>
  </si>
  <si>
    <t xml:space="preserve">Jura-Industrie (Uhren, Präzision): USV bei geplanten Stromunterbrüchen.</t>
  </si>
  <si>
    <t xml:space="preserve">CH-042</t>
  </si>
  <si>
    <t xml:space="preserve">Hälg Group</t>
  </si>
  <si>
    <t xml:space="preserve">haelg.ch</t>
  </si>
  <si>
    <t xml:space="preserve">1'295 MA, 30 Standorte (2025)</t>
  </si>
  <si>
    <t xml:space="preserve">Generator (Kälte/Lüftung)</t>
  </si>
  <si>
    <t xml:space="preserve">Primär HLKS, kaum Elektro. Nur Überbrückung für Kälte und Lüftung.</t>
  </si>
  <si>
    <t xml:space="preserve">CH-043</t>
  </si>
  <si>
    <t xml:space="preserve">CBRE GWS GmbH</t>
  </si>
  <si>
    <t xml:space="preserve">CBRE</t>
  </si>
  <si>
    <t xml:space="preserve">cbre.ch</t>
  </si>
  <si>
    <t xml:space="preserve">550-1'000 MA (widersprüchlich)</t>
  </si>
  <si>
    <t xml:space="preserve">Pharmamandate Basel</t>
  </si>
  <si>
    <t xml:space="preserve">NEA-Test, USV, Generator</t>
  </si>
  <si>
    <t xml:space="preserve">Starke Pharma- und Industriemandate in Basel mit kritischer Stromversorgung.</t>
  </si>
  <si>
    <t xml:space="preserve">Leiter Technisches FM / Key Account Industrie &amp; Pharma</t>
  </si>
  <si>
    <t xml:space="preserve">CH-044</t>
  </si>
  <si>
    <t xml:space="preserve">Equans Switzerland Facility Management AG</t>
  </si>
  <si>
    <t xml:space="preserve">Bouygues / Equans</t>
  </si>
  <si>
    <t xml:space="preserve">Fusion mit Equans Solutions Suisse SA (02/2026), neue ZN Sisseln und Kloten</t>
  </si>
  <si>
    <t xml:space="preserve">NEA-Test, Trafo, Generator</t>
  </si>
  <si>
    <t xml:space="preserve">Technisches FM in Industrie und Pharma (Sisseln). Neuordnung 2026: Lieferanten werden neu gewählt.</t>
  </si>
  <si>
    <t xml:space="preserve">CH-045</t>
  </si>
  <si>
    <t xml:space="preserve">ISS Schweiz AG</t>
  </si>
  <si>
    <t xml:space="preserve">ISS A/S</t>
  </si>
  <si>
    <t xml:space="preserve">ch.issworld.com</t>
  </si>
  <si>
    <t xml:space="preserve">ca. 14'200 MA CH (2024)</t>
  </si>
  <si>
    <t xml:space="preserve">Grösster IFM-Anbieter: NEA-Tests und USV-Überbrückung in tausenden Liegenschaften. Rahmenvertrag skaliert.</t>
  </si>
  <si>
    <t xml:space="preserve">CH-046</t>
  </si>
  <si>
    <t xml:space="preserve">Nein</t>
  </si>
  <si>
    <t xml:space="preserve">Apleona Schweiz AG</t>
  </si>
  <si>
    <t xml:space="preserve">Apleona</t>
  </si>
  <si>
    <t xml:space="preserve">Schaffhausen (HSG: Wallisellen)</t>
  </si>
  <si>
    <t xml:space="preserve">apleona.ch</t>
  </si>
  <si>
    <t xml:space="preserve">ca. 1'700 MA, 14 Standorte GE-SG</t>
  </si>
  <si>
    <t xml:space="preserve">NEA-Test, Generator, Trafo</t>
  </si>
  <si>
    <t xml:space="preserve">Technisches FM: Mietgeneratoren bei NEA-Revisionen und Trafo-Wartungen.</t>
  </si>
  <si>
    <t xml:space="preserve">CH-047</t>
  </si>
  <si>
    <t xml:space="preserve">Honegger AG</t>
  </si>
  <si>
    <t xml:space="preserve">unabhängig (inkl. Cabiancardi SA, TI)</t>
  </si>
  <si>
    <t xml:space="preserve">Köniz</t>
  </si>
  <si>
    <t xml:space="preserve">honegger.ch</t>
  </si>
  <si>
    <t xml:space="preserve">ca. 6'500 MA, 23 Standorte</t>
  </si>
  <si>
    <t xml:space="preserve">USV, NEA-Test</t>
  </si>
  <si>
    <t xml:space="preserve">FM für Spitäler und Reinräume: USV und Notstrom in Wartungsfenstern.</t>
  </si>
  <si>
    <t xml:space="preserve">CH-048</t>
  </si>
  <si>
    <t xml:space="preserve">Vebego AG</t>
  </si>
  <si>
    <t xml:space="preserve">Vebego</t>
  </si>
  <si>
    <t xml:space="preserve">vebego.ch</t>
  </si>
  <si>
    <t xml:space="preserve">&gt;6'000 MA, 20 Standorte</t>
  </si>
  <si>
    <t xml:space="preserve">Generator</t>
  </si>
  <si>
    <t xml:space="preserve">Integrales FM, Schwerpunkt Reinigung. Stromersatz bei geplanten Abschaltungen.</t>
  </si>
  <si>
    <t xml:space="preserve">CH-049</t>
  </si>
  <si>
    <t xml:space="preserve">Priora FM AG</t>
  </si>
  <si>
    <t xml:space="preserve">Eiffage</t>
  </si>
  <si>
    <t xml:space="preserve">priorafm.com</t>
  </si>
  <si>
    <t xml:space="preserve">ca. 650 MA</t>
  </si>
  <si>
    <t xml:space="preserve">Generator, NEA-Test</t>
  </si>
  <si>
    <t xml:space="preserve">Landesweites FM inkl. Tessin und Genf.</t>
  </si>
  <si>
    <t xml:space="preserve">CH-050</t>
  </si>
  <si>
    <t xml:space="preserve">CKW</t>
  </si>
  <si>
    <t xml:space="preserve">Axpo</t>
  </si>
  <si>
    <t xml:space="preserve">Rathausen (Emmen)</t>
  </si>
  <si>
    <t xml:space="preserve">ca. 2'200 MA, ca. 2'500 Trafostationen</t>
  </si>
  <si>
    <t xml:space="preserve">Trafo, Generator, BESS</t>
  </si>
  <si>
    <t xml:space="preserve">Viele Trafostationen im Erneuerungszyklus: mobile Trafos. Zugang auch über CKW Gebäudetechnik.</t>
  </si>
  <si>
    <t xml:space="preserve">Leiter Netzbau / Leiter Unterwerke / Asset Management</t>
  </si>
  <si>
    <t xml:space="preserve">CH-051</t>
  </si>
  <si>
    <t xml:space="preserve">Kanton Zürich</t>
  </si>
  <si>
    <t xml:space="preserve">Dietikon</t>
  </si>
  <si>
    <t xml:space="preserve">ekz.ch</t>
  </si>
  <si>
    <t xml:space="preserve">ca. 1'570 MA, 17'187 km Netz</t>
  </si>
  <si>
    <t xml:space="preserve">Grosses Verteilnetz mit laufender Erneuerung: Netzersatz beim Trafostations-Tausch.</t>
  </si>
  <si>
    <t xml:space="preserve">CH-052</t>
  </si>
  <si>
    <t xml:space="preserve">IWB</t>
  </si>
  <si>
    <t xml:space="preserve">Kanton Basel-Stadt</t>
  </si>
  <si>
    <t xml:space="preserve">iwb.ch</t>
  </si>
  <si>
    <t xml:space="preserve">ca. 1'100 GWh/a Stromabsatz</t>
  </si>
  <si>
    <t xml:space="preserve">Verstärkung Netzknoten Basel</t>
  </si>
  <si>
    <t xml:space="preserve">Trafo, Generator</t>
  </si>
  <si>
    <t xml:space="preserve">Bei Umschaltungen an Netzknoten Bedarf an temporärer Einspeisung.</t>
  </si>
  <si>
    <t xml:space="preserve">CH-053</t>
  </si>
  <si>
    <t xml:space="preserve">ewz (Elektrizitätswerk der Stadt Zürich)</t>
  </si>
  <si>
    <t xml:space="preserve">Stadt Zürich</t>
  </si>
  <si>
    <t xml:space="preserve">ewz.ch</t>
  </si>
  <si>
    <t xml:space="preserve">Stadtnetz Zürich</t>
  </si>
  <si>
    <t xml:space="preserve">Unterwerk-Neubauten/-Umbauten (z.B. Oerlikon)</t>
  </si>
  <si>
    <t xml:space="preserve">Unterwerksprojekte: provisorische Einspeisung per mobilem Trafo oder Generator.</t>
  </si>
  <si>
    <t xml:space="preserve">Öffentliche Beschaffung (IVöB) beachten.</t>
  </si>
  <si>
    <t xml:space="preserve">CH-054</t>
  </si>
  <si>
    <t xml:space="preserve">Morges</t>
  </si>
  <si>
    <t xml:space="preserve">1'467 MA (30.06.2025)</t>
  </si>
  <si>
    <t xml:space="preserve">BESS, Trafo, Generator</t>
  </si>
  <si>
    <t xml:space="preserve">Grösster Verteilnetzbetreiber der Romandie. Netzausbau und PV-Integration.</t>
  </si>
  <si>
    <t xml:space="preserve">CH-055</t>
  </si>
  <si>
    <t xml:space="preserve">SIG Services Industriels de Genève</t>
  </si>
  <si>
    <t xml:space="preserve">Kanton Genf</t>
  </si>
  <si>
    <t xml:space="preserve">Le Lignon (Vernier)</t>
  </si>
  <si>
    <t xml:space="preserve">sig-ge.ch</t>
  </si>
  <si>
    <t xml:space="preserve">1'736 MA, 4'712 km Netz</t>
  </si>
  <si>
    <t xml:space="preserve">Generator, Trafo, BESS</t>
  </si>
  <si>
    <t xml:space="preserve">Grosses urbanes Netz mit vielen Baustellen: Notstrom für Kunden bei Netzarbeiten.</t>
  </si>
  <si>
    <t xml:space="preserve">CH-056</t>
  </si>
  <si>
    <t xml:space="preserve">Energie Wasser Bern (ewb)</t>
  </si>
  <si>
    <t xml:space="preserve">Stadt Bern</t>
  </si>
  <si>
    <t xml:space="preserve">ewb.ch</t>
  </si>
  <si>
    <t xml:space="preserve">ca. 780 MA</t>
  </si>
  <si>
    <t xml:space="preserve">UW Engehalde Sanierung 2022-2026</t>
  </si>
  <si>
    <t xml:space="preserve">Unterwerk-Sanierungen: mobile Trafos und Überbrückung.</t>
  </si>
  <si>
    <t xml:space="preserve">CH-057</t>
  </si>
  <si>
    <t xml:space="preserve">Kantone FR/NE</t>
  </si>
  <si>
    <t xml:space="preserve">Granges-Paccot</t>
  </si>
  <si>
    <t xml:space="preserve">2'597 MA (Ende 2024)</t>
  </si>
  <si>
    <t xml:space="preserve">Stellenabbau 2025</t>
  </si>
  <si>
    <t xml:space="preserve">Netzbetreiber mit eigener Installationssparte: Netzersatz bei Umbauten.</t>
  </si>
  <si>
    <t xml:space="preserve">CEO Alain Sapin</t>
  </si>
  <si>
    <t xml:space="preserve">CH-058</t>
  </si>
  <si>
    <t xml:space="preserve">AET (Azienda Elettrica Ticinese)</t>
  </si>
  <si>
    <t xml:space="preserve">Kanton Tessin</t>
  </si>
  <si>
    <t xml:space="preserve">Monte Carasso (Bellinzona)</t>
  </si>
  <si>
    <t xml:space="preserve">aet.ch</t>
  </si>
  <si>
    <t xml:space="preserve">&gt;400 km MS/HS-Netz</t>
  </si>
  <si>
    <t xml:space="preserve">Unterwerk-Projekt mit Swissgrid in Biasca</t>
  </si>
  <si>
    <t xml:space="preserve">Temporäre Versorgung während Unterwerk-Umbauten.</t>
  </si>
  <si>
    <t xml:space="preserve">CH-059</t>
  </si>
  <si>
    <t xml:space="preserve">WWZ</t>
  </si>
  <si>
    <t xml:space="preserve">wwz.ch</t>
  </si>
  <si>
    <t xml:space="preserve">&gt;470 MA, 2'200 km Netz</t>
  </si>
  <si>
    <t xml:space="preserve">Unterwerk Herti geplant</t>
  </si>
  <si>
    <t xml:space="preserve">Trafo, BESS, Generator</t>
  </si>
  <si>
    <t xml:space="preserve">Unterwerk-Neubau: temporäre Einspeisung und BESS.</t>
  </si>
  <si>
    <t xml:space="preserve">CH-060</t>
  </si>
  <si>
    <t xml:space="preserve">AIL SA (Aziende Industriali di Lugano)</t>
  </si>
  <si>
    <t xml:space="preserve">Stadt Lugano</t>
  </si>
  <si>
    <t xml:space="preserve">Muzzano</t>
  </si>
  <si>
    <t xml:space="preserve">ail.ch</t>
  </si>
  <si>
    <t xml:space="preserve">&gt;430 MA, &gt;110'000 Kunden</t>
  </si>
  <si>
    <t xml:space="preserve">Generator, Event, Trafo</t>
  </si>
  <si>
    <t xml:space="preserve">Grösster Verteiler im Tessin: Netzersatz bei Bauarbeiten und Events in Lugano.</t>
  </si>
  <si>
    <t xml:space="preserve">CH-061</t>
  </si>
  <si>
    <t xml:space="preserve">OIKEN SA</t>
  </si>
  <si>
    <t xml:space="preserve">ex ESR + Sierre-Energie (seit 2020)</t>
  </si>
  <si>
    <t xml:space="preserve">oiken.ch</t>
  </si>
  <si>
    <t xml:space="preserve">&gt;470 MA, ca. 150'000 Kunden</t>
  </si>
  <si>
    <t xml:space="preserve">Grösster EVU im Wallis. Bergregion mit Netzbau, mobile Einspeisung bei Leitungsarbeiten.</t>
  </si>
  <si>
    <t xml:space="preserve">CH-062</t>
  </si>
  <si>
    <t xml:space="preserve">Primeo Energie</t>
  </si>
  <si>
    <t xml:space="preserve">Genossenschaft</t>
  </si>
  <si>
    <t xml:space="preserve">primeo-energie.ch</t>
  </si>
  <si>
    <t xml:space="preserve">615-652 MA, &gt;170'000 Kunden</t>
  </si>
  <si>
    <t xml:space="preserve">Generator, BESS</t>
  </si>
  <si>
    <t xml:space="preserve">Netzbetreiber mit Energiedienstleistungen, auch als Wiederverkaufspartner denkbar.</t>
  </si>
  <si>
    <t xml:space="preserve">CH-063</t>
  </si>
  <si>
    <t xml:space="preserve">Repower AG</t>
  </si>
  <si>
    <t xml:space="preserve">Poschiavo</t>
  </si>
  <si>
    <t xml:space="preserve">GR</t>
  </si>
  <si>
    <t xml:space="preserve">DE/IT</t>
  </si>
  <si>
    <t xml:space="preserve">repower.com</t>
  </si>
  <si>
    <t xml:space="preserve">747 MA (Ende 2025), ca. 3'000 km Netz</t>
  </si>
  <si>
    <t xml:space="preserve">Unterwerke und Trafostationen in abgelegenen Tälern: mobile Trafos und Generatoren bei Revisionen.</t>
  </si>
  <si>
    <t xml:space="preserve">CH-064</t>
  </si>
  <si>
    <t xml:space="preserve">SAK</t>
  </si>
  <si>
    <t xml:space="preserve">Kantone SG/AR/AI</t>
  </si>
  <si>
    <t xml:space="preserve">sak.ch</t>
  </si>
  <si>
    <t xml:space="preserve">ca. 460-480 MA</t>
  </si>
  <si>
    <t xml:space="preserve">Übernahme Fremdnetze (z.B. Marthy Energie)</t>
  </si>
  <si>
    <t xml:space="preserve">Netzersatz, BESS, Generator</t>
  </si>
  <si>
    <t xml:space="preserve">Hat Installation und Grossbatteriespeicher. Netzintegration braucht mobilen Netzersatz.</t>
  </si>
  <si>
    <t xml:space="preserve">CH-065</t>
  </si>
  <si>
    <t xml:space="preserve">Viteos SA</t>
  </si>
  <si>
    <t xml:space="preserve">Städte NE</t>
  </si>
  <si>
    <t xml:space="preserve">Neuchâtel</t>
  </si>
  <si>
    <t xml:space="preserve">viteos.ch</t>
  </si>
  <si>
    <t xml:space="preserve">&gt;320 MA</t>
  </si>
  <si>
    <t xml:space="preserve">Netzbetreiber. Tochter Betelec (Elektrotechnik) als zweiter Ansprechpartner.</t>
  </si>
  <si>
    <t xml:space="preserve">CH-066</t>
  </si>
  <si>
    <t xml:space="preserve">Amstein + Walthert</t>
  </si>
  <si>
    <t xml:space="preserve">amstein-walthert.ch</t>
  </si>
  <si>
    <t xml:space="preserve">&gt;1'100 MA, 10 Standorte</t>
  </si>
  <si>
    <t xml:space="preserve">Spezifikation NEA/USV/BESS, PQ-Audit</t>
  </si>
  <si>
    <t xml:space="preserve">Führender Gebäudetechnikplaner: legt Notstrom und USV in Ausschreibungen für Spitäler und RZ fest.</t>
  </si>
  <si>
    <t xml:space="preserve">Fachbereichsleiter Elektro / Energie</t>
  </si>
  <si>
    <t xml:space="preserve">Planer kauft nicht selbst: Ziel ist Nennung in Ausschreibungen.</t>
  </si>
  <si>
    <t xml:space="preserve">CH-067</t>
  </si>
  <si>
    <t xml:space="preserve">HHM Gruppe (Hefti. Hess. Martignoni.)</t>
  </si>
  <si>
    <t xml:space="preserve">Aarau</t>
  </si>
  <si>
    <t xml:space="preserve">hhm.ch</t>
  </si>
  <si>
    <t xml:space="preserve">&gt;280 MA</t>
  </si>
  <si>
    <t xml:space="preserve">Spezifikation NEA/USV, PQ-Audit</t>
  </si>
  <si>
    <t xml:space="preserve">Reiner Elektroplaner mit Kompetenzfeld Energie: schreibt NEA und USV aus.</t>
  </si>
  <si>
    <t xml:space="preserve">CH-068</t>
  </si>
  <si>
    <t xml:space="preserve">SCHERLER AG (Ingenieurbüro)</t>
  </si>
  <si>
    <t xml:space="preserve">scherler.swiss</t>
  </si>
  <si>
    <t xml:space="preserve">Spezifikation NEA/USV/Mittelspannung, PQ-Audit</t>
  </si>
  <si>
    <t xml:space="preserve">Planer für NEA, USV und Mittelspannung: Einfluss auf Ausschreibungen.</t>
  </si>
  <si>
    <t xml:space="preserve">Nicht verwechseln mit Scherler AG Bern (Installateur).</t>
  </si>
  <si>
    <t xml:space="preserve">CH-069</t>
  </si>
  <si>
    <t xml:space="preserve">AFRY Schweiz AG</t>
  </si>
  <si>
    <t xml:space="preserve">AFRY (ex Pöyry)</t>
  </si>
  <si>
    <t xml:space="preserve">afry.com</t>
  </si>
  <si>
    <t xml:space="preserve">&gt;1'000 MA CH, 20 Standorte</t>
  </si>
  <si>
    <t xml:space="preserve">Spezifikation Trafo/Generator</t>
  </si>
  <si>
    <t xml:space="preserve">Energie- und Netzplaner (Kraftwerke, UW): Bauprogramme mit temporärer Einspeisung.</t>
  </si>
  <si>
    <t xml:space="preserve">CH-070</t>
  </si>
  <si>
    <t xml:space="preserve">Basler &amp; Hofmann</t>
  </si>
  <si>
    <t xml:space="preserve">Esslingen</t>
  </si>
  <si>
    <t xml:space="preserve">baslerhofmann.ch</t>
  </si>
  <si>
    <t xml:space="preserve">ca. 530 MA in CH</t>
  </si>
  <si>
    <t xml:space="preserve">Spezifikation BESS, PQ-Audit</t>
  </si>
  <si>
    <t xml:space="preserve">Kompetenzzentrum Erneuerbare inkl. Speicher: BESS-Spezifikation.</t>
  </si>
  <si>
    <t xml:space="preserve">CH-071</t>
  </si>
  <si>
    <t xml:space="preserve">Gruner AG</t>
  </si>
  <si>
    <t xml:space="preserve">gruner.ch</t>
  </si>
  <si>
    <t xml:space="preserve">&gt;1'100 MA (international)</t>
  </si>
  <si>
    <t xml:space="preserve">Spezifikation NEA/USV</t>
  </si>
  <si>
    <t xml:space="preserve">Gebäudetechnik und Energieanlagen, Planung von Notstromkonzepten.</t>
  </si>
  <si>
    <t xml:space="preserve">CH-072</t>
  </si>
  <si>
    <t xml:space="preserve">HKG Engineering AG (Herzog Kull Group)</t>
  </si>
  <si>
    <t xml:space="preserve">Baden (ab 01.03.2026)</t>
  </si>
  <si>
    <t xml:space="preserve">hkg.ch</t>
  </si>
  <si>
    <t xml:space="preserve">ca. 180 MA, 12 Standorte</t>
  </si>
  <si>
    <t xml:space="preserve">Neuer Firmensitz Baden 2026</t>
  </si>
  <si>
    <t xml:space="preserve">Spezifikation Provisorien</t>
  </si>
  <si>
    <t xml:space="preserve">Elektroplanung und Gebäudeautomation: Provisorien bei Umbauten.</t>
  </si>
  <si>
    <t xml:space="preserve">CH-073</t>
  </si>
  <si>
    <t xml:space="preserve">Weinmann-Energies SA</t>
  </si>
  <si>
    <t xml:space="preserve">Echallens</t>
  </si>
  <si>
    <t xml:space="preserve">weinmann-energies.ch</t>
  </si>
  <si>
    <t xml:space="preserve">&gt;100 MA, Filialen GE/NE</t>
  </si>
  <si>
    <t xml:space="preserve">CVSE-Ingenieure Romandie: Notstrom und USV in Bau und Industrie.</t>
  </si>
  <si>
    <t xml:space="preserve">CH-074</t>
  </si>
  <si>
    <t xml:space="preserve">IBG Engineering AG</t>
  </si>
  <si>
    <t xml:space="preserve">Winterthur</t>
  </si>
  <si>
    <t xml:space="preserve">ibg.ch</t>
  </si>
  <si>
    <t xml:space="preserve">k.A., Standorte SG, Chur, Weinfelden u.a.</t>
  </si>
  <si>
    <t xml:space="preserve">Spezifikation NEA</t>
  </si>
  <si>
    <t xml:space="preserve">Elektroplanung Stark- und Schwachstrom, Energietechnik. Stark in der Ostschweiz.</t>
  </si>
  <si>
    <t xml:space="preserve">CH-075</t>
  </si>
  <si>
    <t xml:space="preserve">SRG Engineering</t>
  </si>
  <si>
    <t xml:space="preserve">Le Mont-sur-Lausanne</t>
  </si>
  <si>
    <t xml:space="preserve">srg-engineering.ch</t>
  </si>
  <si>
    <t xml:space="preserve">k.A., Büros VD/GE/FR</t>
  </si>
  <si>
    <t xml:space="preserve">Spezifikation Sicherheitsstrom</t>
  </si>
  <si>
    <t xml:space="preserve">CVSE-Planer, Elektroteil inkl. Sicherheitsstrom.</t>
  </si>
  <si>
    <t xml:space="preserve">Website nicht abrufbar gewesen.</t>
  </si>
  <si>
    <t xml:space="preserve">CH-076</t>
  </si>
  <si>
    <t xml:space="preserve">Studio d'ingegneria Visani Rusconi Talleri (VRT) SA</t>
  </si>
  <si>
    <t xml:space="preserve">Taverne</t>
  </si>
  <si>
    <t xml:space="preserve">vrt.ch</t>
  </si>
  <si>
    <t xml:space="preserve">k.A., Standorte Taverne, Losone</t>
  </si>
  <si>
    <t xml:space="preserve">EOC-Spitalprojekte Tessin</t>
  </si>
  <si>
    <t xml:space="preserve">Spezifikation Notstrom</t>
  </si>
  <si>
    <t xml:space="preserve">Planer für Spitäler und Energiezentralen im Tessin (HLK-Schwerpunkt).</t>
  </si>
  <si>
    <t xml:space="preserve">CH-077</t>
  </si>
  <si>
    <t xml:space="preserve">MORE Engineering SA</t>
  </si>
  <si>
    <t xml:space="preserve">Tessin (Ort prüfen)</t>
  </si>
  <si>
    <t xml:space="preserve">moreengineering.ch</t>
  </si>
  <si>
    <t xml:space="preserve">Elektro- und Energieplaner im Tessin.</t>
  </si>
  <si>
    <t xml:space="preserve">Existenz und Grösse vor Ansprache prüfen.</t>
  </si>
  <si>
    <t xml:space="preserve">CH-078</t>
  </si>
  <si>
    <t xml:space="preserve">Implenia</t>
  </si>
  <si>
    <t xml:space="preserve">Lupfig, Dielsdorf, Sisikon, Zürich</t>
  </si>
  <si>
    <t xml:space="preserve">implenia.com</t>
  </si>
  <si>
    <t xml:space="preserve">Grösster Baukonzern CH</t>
  </si>
  <si>
    <t xml:space="preserve">GU Green-RZ Lupfig und Dielsdorf; Sisikoner Tunnel (ARGE, 2025-2034); Hagenholztunnel SBB</t>
  </si>
  <si>
    <t xml:space="preserve">Baustrom, Lastbank/NEA-Test, Generator, Trafo</t>
  </si>
  <si>
    <t xml:space="preserve">RZ-Bau mit Commissioning plus Tunnelbaustrom über Jahre. Höchster Hebel in der Liste.</t>
  </si>
  <si>
    <t xml:space="preserve">Projektleiter Baustelleneinrichtung / Einkauf</t>
  </si>
  <si>
    <t xml:space="preserve">CH-079</t>
  </si>
  <si>
    <t xml:space="preserve">Losinger Marazzi</t>
  </si>
  <si>
    <t xml:space="preserve">Bouygues</t>
  </si>
  <si>
    <t xml:space="preserve">Genève / Vernier</t>
  </si>
  <si>
    <t xml:space="preserve">losinger-marazzi.ch</t>
  </si>
  <si>
    <t xml:space="preserve">Konsortium LMB: neues Terminal GVA (Cap2030, ca. 600 Mio., 2026-2032)</t>
  </si>
  <si>
    <t xml:space="preserve">Baustrom, Generator, Überbrückung</t>
  </si>
  <si>
    <t xml:space="preserve">Baustrom im laufenden Flughafenbetrieb, Überbrückung bei Netzumschaltungen.</t>
  </si>
  <si>
    <t xml:space="preserve">CH-080</t>
  </si>
  <si>
    <t xml:space="preserve">Marti-Gruppe</t>
  </si>
  <si>
    <t xml:space="preserve">Moosseedorf / Airolo</t>
  </si>
  <si>
    <t xml:space="preserve">marti.com</t>
  </si>
  <si>
    <t xml:space="preserve">2. Gotthardröhre, Hauptlos Süd (ca. 7,8 km TBM)</t>
  </si>
  <si>
    <t xml:space="preserve">Trafo, Generator, Redundanz</t>
  </si>
  <si>
    <t xml:space="preserve">Redundante Versorgung für TBM und Tunnellüftung, mobile Trafos.</t>
  </si>
  <si>
    <t xml:space="preserve">Region nach Baustelle (Airolo) gesetzt, HQ Moosseedorf BE.</t>
  </si>
  <si>
    <t xml:space="preserve">CH-081</t>
  </si>
  <si>
    <t xml:space="preserve">ERNE Gruppe</t>
  </si>
  <si>
    <t xml:space="preserve">Laufenburg</t>
  </si>
  <si>
    <t xml:space="preserve">erne-gruppe.ch</t>
  </si>
  <si>
    <t xml:space="preserve">Bauunternehmer FlexBase Laufenburg (BESS plus KI-RZ, ca. 1 Mrd.)</t>
  </si>
  <si>
    <t xml:space="preserve">Baustrom, Generator, Lastbank</t>
  </si>
  <si>
    <t xml:space="preserve">Grossaushub ca. 400'000 m³, danach NEA- und Testlastbedarf.</t>
  </si>
  <si>
    <t xml:space="preserve">CH-082</t>
  </si>
  <si>
    <t xml:space="preserve">Frutiger AG</t>
  </si>
  <si>
    <t xml:space="preserve">Thun</t>
  </si>
  <si>
    <t xml:space="preserve">frutiger.com</t>
  </si>
  <si>
    <t xml:space="preserve">Sisikoner Tunnel (ARGE); Neubau Bernstrasse 11 Thun (bis 2027)</t>
  </si>
  <si>
    <t xml:space="preserve">Generator, Trafo, Baustrom</t>
  </si>
  <si>
    <t xml:space="preserve">Aggregate für Tunnelvortrieb und Lüftung, Baustrom im Hochbau.</t>
  </si>
  <si>
    <t xml:space="preserve">CH-083</t>
  </si>
  <si>
    <t xml:space="preserve">HRS Real Estate</t>
  </si>
  <si>
    <t xml:space="preserve">hrs.ch</t>
  </si>
  <si>
    <t xml:space="preserve">Hochhaus «Chez Fritz» Frauenfeld (2026-2029)</t>
  </si>
  <si>
    <t xml:space="preserve">Baustrom, BESS</t>
  </si>
  <si>
    <t xml:space="preserve">TU mit Grossbaustellen in der ganzen Schweiz.</t>
  </si>
  <si>
    <t xml:space="preserve">CH-084</t>
  </si>
  <si>
    <t xml:space="preserve">Anliker AG</t>
  </si>
  <si>
    <t xml:space="preserve">Emmenbrücke</t>
  </si>
  <si>
    <t xml:space="preserve">anliker.ch</t>
  </si>
  <si>
    <t xml:space="preserve">Rohbau USZ Campus MITTE1|2; Forum UZH (Spatenstich 22.09.2026)</t>
  </si>
  <si>
    <t xml:space="preserve">Baustrom im Spitalumfeld mit hohem Anspruch an Versorgungssicherheit.</t>
  </si>
  <si>
    <t xml:space="preserve">CH-085</t>
  </si>
  <si>
    <t xml:space="preserve">Walo Bertschinger</t>
  </si>
  <si>
    <t xml:space="preserve">walo.ch</t>
  </si>
  <si>
    <t xml:space="preserve">Zwei N16-Brücken Péry für ASTRA (bis Ende 2026)</t>
  </si>
  <si>
    <t xml:space="preserve">Linienbaustellen Strassen- und Tiefbau: mobile Generatoren.</t>
  </si>
  <si>
    <t xml:space="preserve">CH-086</t>
  </si>
  <si>
    <t xml:space="preserve">Halter AG</t>
  </si>
  <si>
    <t xml:space="preserve">Schlieren</t>
  </si>
  <si>
    <t xml:space="preserve">halter.ch</t>
  </si>
  <si>
    <t xml:space="preserve">k.A., Filialen BE/BS/Lausanne/Genf</t>
  </si>
  <si>
    <t xml:space="preserve">AuPark Wädenswil Etappe 2 (03/2026)</t>
  </si>
  <si>
    <t xml:space="preserve">TU für Grossareale: BESS für emissionsarme Wohnbaustellen.</t>
  </si>
  <si>
    <t xml:space="preserve">CH-087</t>
  </si>
  <si>
    <t xml:space="preserve">Induni &amp; Cie SA</t>
  </si>
  <si>
    <t xml:space="preserve">induni.ch</t>
  </si>
  <si>
    <t xml:space="preserve">Baustellen En Sauvy/Lancy, Hauts de Vandoeuvres</t>
  </si>
  <si>
    <t xml:space="preserve">Baustrom im urbanen Genf.</t>
  </si>
  <si>
    <t xml:space="preserve">CH-088</t>
  </si>
  <si>
    <t xml:space="preserve">Mancini &amp; Marti SA</t>
  </si>
  <si>
    <t xml:space="preserve">mancinimarti.ch</t>
  </si>
  <si>
    <t xml:space="preserve">Baustrom</t>
  </si>
  <si>
    <t xml:space="preserve">Traditionsbauer im Tessin, kein konkretes Projekt verifiziert.</t>
  </si>
  <si>
    <t xml:space="preserve">Projektlage prüfen.</t>
  </si>
  <si>
    <t xml:space="preserve">CH-089</t>
  </si>
  <si>
    <t xml:space="preserve">Digital Realty (ex Interxion)</t>
  </si>
  <si>
    <t xml:space="preserve">Digital Realty</t>
  </si>
  <si>
    <t xml:space="preserve">Glattbrugg</t>
  </si>
  <si>
    <t xml:space="preserve">EN/DE</t>
  </si>
  <si>
    <t xml:space="preserve">digitalrealty.com</t>
  </si>
  <si>
    <t xml:space="preserve">Campus ZUR1-4, danach ca. 60 MW</t>
  </si>
  <si>
    <t xml:space="preserve">Spatenstich ZUR4 26.08.2026: 15 MW, Eröffnung 2028</t>
  </si>
  <si>
    <t xml:space="preserve">Baustrom, Lastbank/NEA-Test</t>
  </si>
  <si>
    <t xml:space="preserve">Neubau mit Commissioning 2027/28. Früh in Spezifikation kommen.</t>
  </si>
  <si>
    <t xml:space="preserve">Construction / Commissioning Manager, Critical Facility Ops</t>
  </si>
  <si>
    <t xml:space="preserve">Sprache: Englisch klären.</t>
  </si>
  <si>
    <t xml:space="preserve">CH-090</t>
  </si>
  <si>
    <t xml:space="preserve">Green Datacenter</t>
  </si>
  <si>
    <t xml:space="preserve">green.ch</t>
  </si>
  <si>
    <t xml:space="preserve">Lupfig / Dielsdorf</t>
  </si>
  <si>
    <t xml:space="preserve">Lupfig 12 MW</t>
  </si>
  <si>
    <t xml:space="preserve">Lupfig: Start 2026; Dielsdorf: Baustart RZ 3 für 2026 geplant</t>
  </si>
  <si>
    <t xml:space="preserve">Lastbank/NEA-Test, Generator, USV</t>
  </si>
  <si>
    <t xml:space="preserve">Jedes neue RZ braucht Commissioning-Lastbanktests und Inbetriebnahmestrom.</t>
  </si>
  <si>
    <t xml:space="preserve">CH-091</t>
  </si>
  <si>
    <t xml:space="preserve">STACK Infrastructure</t>
  </si>
  <si>
    <t xml:space="preserve">STACK</t>
  </si>
  <si>
    <t xml:space="preserve">Beringen</t>
  </si>
  <si>
    <t xml:space="preserve">stackinfra.com</t>
  </si>
  <si>
    <t xml:space="preserve">36 MW Hyperscale</t>
  </si>
  <si>
    <t xml:space="preserve">Beringen: Eröffnung 2026 geplant, eigenes Unterwerk</t>
  </si>
  <si>
    <t xml:space="preserve">Überbrückung, Lastbank, Generator</t>
  </si>
  <si>
    <t xml:space="preserve">Verzögert sich das Unterwerk, braucht es Überbrückung. Commissioning-Lastbank sicher.</t>
  </si>
  <si>
    <t xml:space="preserve">CH-092</t>
  </si>
  <si>
    <t xml:space="preserve">NorthC Datacenters</t>
  </si>
  <si>
    <t xml:space="preserve">NorthC</t>
  </si>
  <si>
    <t xml:space="preserve">Arlesheim / Genf / Winterthur</t>
  </si>
  <si>
    <t xml:space="preserve">DE/FR/EN</t>
  </si>
  <si>
    <t xml:space="preserve">northcdatacenters.com</t>
  </si>
  <si>
    <t xml:space="preserve">3 Standorte CH</t>
  </si>
  <si>
    <t xml:space="preserve">Arlesheim bis Mitte 2027; Genf Baustart Q1 2026</t>
  </si>
  <si>
    <t xml:space="preserve">Zwei laufende RZ-Baustellen gleichzeitig (NWCH und West).</t>
  </si>
  <si>
    <t xml:space="preserve">CH-093</t>
  </si>
  <si>
    <t xml:space="preserve">FlexBase Group</t>
  </si>
  <si>
    <t xml:space="preserve">DE/EN</t>
  </si>
  <si>
    <t xml:space="preserve">flexbase.ch</t>
  </si>
  <si>
    <t xml:space="preserve">BESS &gt;1,6 GWh / 800 MW plus KI-RZ</t>
  </si>
  <si>
    <t xml:space="preserve">Bau seit Frühling 2025, IBN Sommer 2028 (Zeitplan umstritten)</t>
  </si>
  <si>
    <t xml:space="preserve">Baustrom, Lastbank, BESS-Know-how</t>
  </si>
  <si>
    <t xml:space="preserve">Grösstes BESS-Projekt der Schweiz. BESS-Kompetenz von MiT als Türöffner.</t>
  </si>
  <si>
    <t xml:space="preserve">Finanzierung und Zeitplan kritisch beobachten.</t>
  </si>
  <si>
    <t xml:space="preserve">CH-094</t>
  </si>
  <si>
    <t xml:space="preserve">Vantage Data Centers</t>
  </si>
  <si>
    <t xml:space="preserve">Vantage</t>
  </si>
  <si>
    <t xml:space="preserve">Winterthur / Glattfelden</t>
  </si>
  <si>
    <t xml:space="preserve">EN</t>
  </si>
  <si>
    <t xml:space="preserve">vantage-dc.com</t>
  </si>
  <si>
    <t xml:space="preserve">ZRH2 Glattfelden 24 MW (&gt;370 Mio.)</t>
  </si>
  <si>
    <t xml:space="preserve">ZRH12 im Bau (Rohbau 10/2025); ZRH2 Glattfelden</t>
  </si>
  <si>
    <t xml:space="preserve">Lastbank, Generator, Überbrückung</t>
  </si>
  <si>
    <t xml:space="preserve">Load-Bank-Tests und temporäre Versorgung bis zum Netzanschluss.</t>
  </si>
  <si>
    <t xml:space="preserve">Beschaffung oft zentral (EMEA).</t>
  </si>
  <si>
    <t xml:space="preserve">CH-095</t>
  </si>
  <si>
    <t xml:space="preserve">Infomaniak</t>
  </si>
  <si>
    <t xml:space="preserve">infomaniak.com</t>
  </si>
  <si>
    <t xml:space="preserve">RZ D4</t>
  </si>
  <si>
    <t xml:space="preserve">D4 seit 01/2025, bei 25 % Auslastung, Vollausbau bis 2028</t>
  </si>
  <si>
    <t xml:space="preserve">Lastbank, USV</t>
  </si>
  <si>
    <t xml:space="preserve">Stufenweiser Ausbau mit wiederkehrendem Commissioning-Bedarf. Schweizer Firma, kurze Wege.</t>
  </si>
  <si>
    <t xml:space="preserve">CH-096</t>
  </si>
  <si>
    <t xml:space="preserve">Vaultica (ex Safe Host / STACK Genf)</t>
  </si>
  <si>
    <t xml:space="preserve">Apollo (Verkauf 2025)</t>
  </si>
  <si>
    <t xml:space="preserve">Plan-les-Ouates</t>
  </si>
  <si>
    <t xml:space="preserve">FR/EN</t>
  </si>
  <si>
    <t xml:space="preserve">GEN01/GEN02</t>
  </si>
  <si>
    <t xml:space="preserve">Namenswechsel, neuer Eigentümer 2025</t>
  </si>
  <si>
    <t xml:space="preserve">NEA-Test, USV</t>
  </si>
  <si>
    <t xml:space="preserve">Neuer Betreiber: Service-Verträge werden neu vergeben.</t>
  </si>
  <si>
    <t xml:space="preserve">Name und Website prüfen.</t>
  </si>
  <si>
    <t xml:space="preserve">CH-097</t>
  </si>
  <si>
    <t xml:space="preserve">Equinix</t>
  </si>
  <si>
    <t xml:space="preserve">Zürich / Genf</t>
  </si>
  <si>
    <t xml:space="preserve">equinix.ch</t>
  </si>
  <si>
    <t xml:space="preserve">ZH2/ZH4/ZH5, GV1/GV2</t>
  </si>
  <si>
    <t xml:space="preserve">Ausbau Zürcher RZ für 40 Mio. (11/2024)</t>
  </si>
  <si>
    <t xml:space="preserve">NEA-Test, Überbrückung</t>
  </si>
  <si>
    <t xml:space="preserve">NEA-Tests und temporäre Versorgung bei Erweiterungen.</t>
  </si>
  <si>
    <t xml:space="preserve">CH-098</t>
  </si>
  <si>
    <t xml:space="preserve">Swisscom (Rechenzentren)</t>
  </si>
  <si>
    <t xml:space="preserve">Bern-Wankdorf</t>
  </si>
  <si>
    <t xml:space="preserve">swisscom.ch</t>
  </si>
  <si>
    <t xml:space="preserve">Neubau-RZ ca. 100 Mio. als Ersatz Zentweg (Datum prüfen)</t>
  </si>
  <si>
    <t xml:space="preserve">Überbrückung, NEA-Test</t>
  </si>
  <si>
    <t xml:space="preserve">Migrations-Überbrückung und NEA-Tests. Zugang evtl. über cablex.</t>
  </si>
  <si>
    <t xml:space="preserve">Projektstand prüfen.</t>
  </si>
  <si>
    <t xml:space="preserve">CH-099</t>
  </si>
  <si>
    <t xml:space="preserve">NTT Global Data Centers</t>
  </si>
  <si>
    <t xml:space="preserve">NTT</t>
  </si>
  <si>
    <t xml:space="preserve">Rümlang</t>
  </si>
  <si>
    <t xml:space="preserve">services.global.ntt</t>
  </si>
  <si>
    <t xml:space="preserve">bis 20 MW</t>
  </si>
  <si>
    <t xml:space="preserve">Wiederkehrende NEA- und USV-Tests, Überbrückung bei Retrofits.</t>
  </si>
  <si>
    <t xml:space="preserve">CH-100</t>
  </si>
  <si>
    <t xml:space="preserve">CSCS (ETH Zürich)</t>
  </si>
  <si>
    <t xml:space="preserve">ETH</t>
  </si>
  <si>
    <t xml:space="preserve">Lugano-Cornaredo</t>
  </si>
  <si>
    <t xml:space="preserve">IT/EN</t>
  </si>
  <si>
    <t xml:space="preserve">cscs.ch</t>
  </si>
  <si>
    <t xml:space="preserve">Supercomputer «Alps»</t>
  </si>
  <si>
    <t xml:space="preserve">USV- und NEA-Wartungsfenster eines HPC-Centers.</t>
  </si>
  <si>
    <t xml:space="preserve">Öffentliche Beschaffung.</t>
  </si>
  <si>
    <t xml:space="preserve">CH-101</t>
  </si>
  <si>
    <t xml:space="preserve">Bachem</t>
  </si>
  <si>
    <t xml:space="preserve">Bubendorf / Sisslerfeld</t>
  </si>
  <si>
    <t xml:space="preserve">bachem.com</t>
  </si>
  <si>
    <t xml:space="preserve">Bau K (ca. 550 Mio.) Ramp-up 2026; Werk Sisslerfeld (750 Mio., bis ca. 2030)</t>
  </si>
  <si>
    <t xml:space="preserve">Baustrom, Überbrückung, Generator</t>
  </si>
  <si>
    <t xml:space="preserve">Greenfield-Baustelle Sisslerfeld über Jahre plus Ramp-up in Bubendorf.</t>
  </si>
  <si>
    <t xml:space="preserve">Leiter Energie &amp; Utilities / Technischer Einkauf</t>
  </si>
  <si>
    <t xml:space="preserve">CH-102</t>
  </si>
  <si>
    <t xml:space="preserve">Roche</t>
  </si>
  <si>
    <t xml:space="preserve">Roche Holding</t>
  </si>
  <si>
    <t xml:space="preserve">Basel / Kaiseraugst</t>
  </si>
  <si>
    <t xml:space="preserve">roche.ch</t>
  </si>
  <si>
    <t xml:space="preserve">ca. 1,4 Mrd. in laufenden Bauprojekten</t>
  </si>
  <si>
    <t xml:space="preserve">Bau 12 (500 Mio., bis 2029); Synthetic Molecules Facility (790 Mio.)</t>
  </si>
  <si>
    <t xml:space="preserve">Baustrom, USV, Generator, Trafo</t>
  </si>
  <si>
    <t xml:space="preserve">Baustrom und Überbrückung bei GMP-Umschaltungen. Enorme Ausfallkosten.</t>
  </si>
  <si>
    <t xml:space="preserve">Einkauf zentral, Zugang oft über Installateur/FM.</t>
  </si>
  <si>
    <t xml:space="preserve">CH-103</t>
  </si>
  <si>
    <t xml:space="preserve">Lonza</t>
  </si>
  <si>
    <t xml:space="preserve">Lonza Group</t>
  </si>
  <si>
    <t xml:space="preserve">Visp</t>
  </si>
  <si>
    <t xml:space="preserve">lonza.com</t>
  </si>
  <si>
    <t xml:space="preserve">Grosse Säugerzell-Anlage Ibex: volle Produktion ab Mitte 2026</t>
  </si>
  <si>
    <t xml:space="preserve">USV- und NEA-Redundanz bei Qualifizierung und Ramp-up.</t>
  </si>
  <si>
    <t xml:space="preserve">Oberwallis: deutschsprachig.</t>
  </si>
  <si>
    <t xml:space="preserve">CH-104</t>
  </si>
  <si>
    <t xml:space="preserve">Novartis</t>
  </si>
  <si>
    <t xml:space="preserve">Stein / Schweizerhalle</t>
  </si>
  <si>
    <t xml:space="preserve">novartis.com</t>
  </si>
  <si>
    <t xml:space="preserve">11/2025: 80 Mio. USD siRNA Schweizerhalle, 26 Mio. USD Steril Stein; Abbau 550 Stellen Stein bis 2027</t>
  </si>
  <si>
    <t xml:space="preserve">Überbrückung, USV</t>
  </si>
  <si>
    <t xml:space="preserve">Temporäre Versorgung bei Werksumbau und Anlagenumstellungen.</t>
  </si>
  <si>
    <t xml:space="preserve">CH-105</t>
  </si>
  <si>
    <t xml:space="preserve">Siegfried</t>
  </si>
  <si>
    <t xml:space="preserve">Zofingen</t>
  </si>
  <si>
    <t xml:space="preserve">siegfried.ch</t>
  </si>
  <si>
    <t xml:space="preserve">Investitionen 2025: 211,9 Mio.</t>
  </si>
  <si>
    <t xml:space="preserve">Ausbau Zofingen (Steril, Fill &amp; Finish)</t>
  </si>
  <si>
    <t xml:space="preserve">Temporäre Versorgung bei Erweiterungen im laufenden Betrieb.</t>
  </si>
  <si>
    <t xml:space="preserve">CH-106</t>
  </si>
  <si>
    <t xml:space="preserve">Thermo Fisher (Werk CSL Behring Lengnau)</t>
  </si>
  <si>
    <t xml:space="preserve">Thermo Fisher</t>
  </si>
  <si>
    <t xml:space="preserve">Lengnau</t>
  </si>
  <si>
    <t xml:space="preserve">thermofisher.com</t>
  </si>
  <si>
    <t xml:space="preserve">USV- und NEA-Tests in einer Biologika-Anlage.</t>
  </si>
  <si>
    <t xml:space="preserve">CH-107</t>
  </si>
  <si>
    <t xml:space="preserve">Syngenta</t>
  </si>
  <si>
    <t xml:space="preserve">Syngenta Group</t>
  </si>
  <si>
    <t xml:space="preserve">Monthey</t>
  </si>
  <si>
    <t xml:space="preserve">syngenta.ch</t>
  </si>
  <si>
    <t xml:space="preserve">CO2-Reduktionsplan bis 2030</t>
  </si>
  <si>
    <t xml:space="preserve">Überbrückung</t>
  </si>
  <si>
    <t xml:space="preserve">Überbrückung bei Energieumbau und Revisionen am Chemiestandort.</t>
  </si>
  <si>
    <t xml:space="preserve">CH-108</t>
  </si>
  <si>
    <t xml:space="preserve">Emmi</t>
  </si>
  <si>
    <t xml:space="preserve">Suhr / Emmen / Ostermundigen</t>
  </si>
  <si>
    <t xml:space="preserve">emmi.com</t>
  </si>
  <si>
    <t xml:space="preserve">Neue PET-Anlage Suhr (27 Mio.) seit 09/2026</t>
  </si>
  <si>
    <t xml:space="preserve">Kühlkette absichern: Notstrom bei Netzarbeiten.</t>
  </si>
  <si>
    <t xml:space="preserve">CH-109</t>
  </si>
  <si>
    <t xml:space="preserve">Stahl Gerlafingen</t>
  </si>
  <si>
    <t xml:space="preserve">AFV Beltrame</t>
  </si>
  <si>
    <t xml:space="preserve">Gerlafingen</t>
  </si>
  <si>
    <t xml:space="preserve">stahl-gerlafingen.com</t>
  </si>
  <si>
    <t xml:space="preserve">Staatshilfe 2025-2028, eine Linie 2024 stillgelegt</t>
  </si>
  <si>
    <t xml:space="preserve">Trafo (MS)</t>
  </si>
  <si>
    <t xml:space="preserve">Starker Spardruck. Höchstens MS-Trafo-Miete bei Revisionen.</t>
  </si>
  <si>
    <t xml:space="preserve">Bonität prüfen.</t>
  </si>
  <si>
    <t xml:space="preserve">CH-110</t>
  </si>
  <si>
    <t xml:space="preserve">Swiss Steel / Steeltec</t>
  </si>
  <si>
    <t xml:space="preserve">Swiss Steel Group</t>
  </si>
  <si>
    <t xml:space="preserve">swisssteel-group.com</t>
  </si>
  <si>
    <t xml:space="preserve">Abbau 130 von 750 Stellen; EU-Safeguard ab 01.07.2026</t>
  </si>
  <si>
    <t xml:space="preserve">Trafo</t>
  </si>
  <si>
    <t xml:space="preserve">Tiefe Priorität, allenfalls mobile Trafos bei Revisionen.</t>
  </si>
  <si>
    <t xml:space="preserve">CH-111</t>
  </si>
  <si>
    <t xml:space="preserve">Universitätsspital Zürich (USZ)</t>
  </si>
  <si>
    <t xml:space="preserve">usz.ch</t>
  </si>
  <si>
    <t xml:space="preserve">Campus MITTE1|2: Gebäudetechnik ab 2026, fertig 2031</t>
  </si>
  <si>
    <t xml:space="preserve">Überbrückung, NEA-Test, USV</t>
  </si>
  <si>
    <t xml:space="preserve">Umschaltungen im laufenden Spitalbetrieb über mehrere Jahre.</t>
  </si>
  <si>
    <t xml:space="preserve">Leiter Technik &amp; Betrieb</t>
  </si>
  <si>
    <t xml:space="preserve">CH-112</t>
  </si>
  <si>
    <t xml:space="preserve">EOC (Ente Ospedaliero Cantonale)</t>
  </si>
  <si>
    <t xml:space="preserve">Lugano / Bellinzona</t>
  </si>
  <si>
    <t xml:space="preserve">eoc.ch</t>
  </si>
  <si>
    <t xml:space="preserve">Umbau Civico Lugano (200 Mio. über 10 Jahre); Neubau Bellinzona in Planung</t>
  </si>
  <si>
    <t xml:space="preserve">Notstrom-Überbrückung beim Umbau im laufenden Betrieb.</t>
  </si>
  <si>
    <t xml:space="preserve">CH-113</t>
  </si>
  <si>
    <t xml:space="preserve">HUG (Hôpitaux Universitaires de Genève)</t>
  </si>
  <si>
    <t xml:space="preserve">hug.ch</t>
  </si>
  <si>
    <t xml:space="preserve">Beau-Séjour 22-24 eröffnet 06/2026, Spital Beau-Séjour in Renovation</t>
  </si>
  <si>
    <t xml:space="preserve">Temporäre NEA während Renovation und Umschaltung.</t>
  </si>
  <si>
    <t xml:space="preserve">CH-114</t>
  </si>
  <si>
    <t xml:space="preserve">Insel Gruppe</t>
  </si>
  <si>
    <t xml:space="preserve">Kanton Bern</t>
  </si>
  <si>
    <t xml:space="preserve">inselgruppe.ch</t>
  </si>
  <si>
    <t xml:space="preserve">Forschungs- und Ausbildungszentrum (435 Mio.) im Bau</t>
  </si>
  <si>
    <t xml:space="preserve">Notstrom-Redundanz bei Inbetriebnahmen und Umzügen.</t>
  </si>
  <si>
    <t xml:space="preserve">CH-115</t>
  </si>
  <si>
    <t xml:space="preserve">CHUV</t>
  </si>
  <si>
    <t xml:space="preserve">Kanton Waadt</t>
  </si>
  <si>
    <t xml:space="preserve">chuv.ch</t>
  </si>
  <si>
    <t xml:space="preserve">Esplanade bis Ende 2026</t>
  </si>
  <si>
    <t xml:space="preserve">Temporäre NEA bei Umbauten.</t>
  </si>
  <si>
    <t xml:space="preserve">CH-116</t>
  </si>
  <si>
    <t xml:space="preserve">Genève Aéroport</t>
  </si>
  <si>
    <t xml:space="preserve">Cointrin</t>
  </si>
  <si>
    <t xml:space="preserve">gva.ch</t>
  </si>
  <si>
    <t xml:space="preserve">Cap2030: multimodale Plattform 2026-2029, Terminal ab 2027</t>
  </si>
  <si>
    <t xml:space="preserve">Überbrückung, Generator</t>
  </si>
  <si>
    <t xml:space="preserve">Umbau unter Betrieb (mit Losinger Marazzi).</t>
  </si>
  <si>
    <t xml:space="preserve">Leiter Energieversorgung / Gesamtprojektleiter</t>
  </si>
  <si>
    <t xml:space="preserve">CH-117</t>
  </si>
  <si>
    <t xml:space="preserve">SBB Energie</t>
  </si>
  <si>
    <t xml:space="preserve">SBB</t>
  </si>
  <si>
    <t xml:space="preserve">Rupperswil / Kerzers / Giubiasco</t>
  </si>
  <si>
    <t xml:space="preserve">sbb.ch</t>
  </si>
  <si>
    <t xml:space="preserve">Modernisierung Frequenzumformer Rupperswil bis 2026, weitere in Giubiasco und Mendrisio</t>
  </si>
  <si>
    <t xml:space="preserve">Mobile Trafos und Generatoren für Hilfsbetriebe während Umbauten.</t>
  </si>
  <si>
    <t xml:space="preserve">CH-118</t>
  </si>
  <si>
    <t xml:space="preserve">Flughafen Zürich AG</t>
  </si>
  <si>
    <t xml:space="preserve">Kloten</t>
  </si>
  <si>
    <t xml:space="preserve">flughafen-zuerich.ch</t>
  </si>
  <si>
    <t xml:space="preserve">Dock A: Planauflage 2026, Tower-Bau ab 2027, Dock ab 2030</t>
  </si>
  <si>
    <t xml:space="preserve">Baustrom, Überbrückung</t>
  </si>
  <si>
    <t xml:space="preserve">Jetzt positionieren für Bau ab 2027.</t>
  </si>
  <si>
    <t xml:space="preserve">CH-119</t>
  </si>
  <si>
    <t xml:space="preserve">OpenAir St.Gallen</t>
  </si>
  <si>
    <t xml:space="preserve">St. Gallen (Sittertobel)</t>
  </si>
  <si>
    <t xml:space="preserve">openairsg.ch</t>
  </si>
  <si>
    <t xml:space="preserve">ca. 30'000 Besucher/Tag, 6 Bühnen</t>
  </si>
  <si>
    <t xml:space="preserve">25.-28.06.2026</t>
  </si>
  <si>
    <t xml:space="preserve">Event, Generator, BESS</t>
  </si>
  <si>
    <t xml:space="preserve">Netzferner Standort: grosser Generator- und BESS-Bedarf.</t>
  </si>
  <si>
    <t xml:space="preserve">Produktionsleitung / Technische Leitung</t>
  </si>
  <si>
    <t xml:space="preserve">CH-120</t>
  </si>
  <si>
    <t xml:space="preserve">Montreux Jazz Festival</t>
  </si>
  <si>
    <t xml:space="preserve">Stiftung</t>
  </si>
  <si>
    <t xml:space="preserve">Montreux</t>
  </si>
  <si>
    <t xml:space="preserve">montreuxjazzfestival.com</t>
  </si>
  <si>
    <t xml:space="preserve">16 Tage</t>
  </si>
  <si>
    <t xml:space="preserve">60. Ausgabe 03.-18.07.2026</t>
  </si>
  <si>
    <t xml:space="preserve">Event, Hybrid (BESS + Generator)</t>
  </si>
  <si>
    <t xml:space="preserve">Hybrid-Event-Strom für Bühnen und Gastro. Planung 2027 beginnt im Winter.</t>
  </si>
  <si>
    <t xml:space="preserve">CH-121</t>
  </si>
  <si>
    <t xml:space="preserve">Paléo Festival Nyon</t>
  </si>
  <si>
    <t xml:space="preserve">Verein</t>
  </si>
  <si>
    <t xml:space="preserve">Nyon</t>
  </si>
  <si>
    <t xml:space="preserve">paleo.ch</t>
  </si>
  <si>
    <t xml:space="preserve">6 Tage</t>
  </si>
  <si>
    <t xml:space="preserve">21.-26.07.2026</t>
  </si>
  <si>
    <t xml:space="preserve">Grosses Openair auf der grünen Wiese.</t>
  </si>
  <si>
    <t xml:space="preserve">CH-122</t>
  </si>
  <si>
    <t xml:space="preserve">Locarno Film Festival</t>
  </si>
  <si>
    <t xml:space="preserve">Locarno</t>
  </si>
  <si>
    <t xml:space="preserve">locarnofestival.ch</t>
  </si>
  <si>
    <t xml:space="preserve">11 Tage</t>
  </si>
  <si>
    <t xml:space="preserve">05.-15.08.2026</t>
  </si>
  <si>
    <t xml:space="preserve">Event, Hybrid</t>
  </si>
  <si>
    <t xml:space="preserve">Direkt nach Moon&amp;Stars am gleichen Platz: Paketangebot möglich.</t>
  </si>
  <si>
    <t xml:space="preserve">CH-123</t>
  </si>
  <si>
    <t xml:space="preserve">Moon&amp;Stars Locarno</t>
  </si>
  <si>
    <t xml:space="preserve">moonandstars.ch</t>
  </si>
  <si>
    <t xml:space="preserve">09.-19.07.2026</t>
  </si>
  <si>
    <t xml:space="preserve">Piazza Grande: zusammen mit Filmfestival fast ein Monat am selben Platz.</t>
  </si>
  <si>
    <t xml:space="preserve">CH-124</t>
  </si>
  <si>
    <t xml:space="preserve">Street Parade</t>
  </si>
  <si>
    <t xml:space="preserve">streetparade.com</t>
  </si>
  <si>
    <t xml:space="preserve">30 Love Mobiles</t>
  </si>
  <si>
    <t xml:space="preserve">08.08.2026</t>
  </si>
  <si>
    <t xml:space="preserve">Event, Generator</t>
  </si>
  <si>
    <t xml:space="preserve">Event-Strom für Stages und Infrastruktur.</t>
  </si>
  <si>
    <t xml:space="preserve">CH-125</t>
  </si>
  <si>
    <t xml:space="preserve">Lauberhornrennen</t>
  </si>
  <si>
    <t xml:space="preserve">Wengen</t>
  </si>
  <si>
    <t xml:space="preserve">lauberhorn.ch</t>
  </si>
  <si>
    <t xml:space="preserve">97. Austragung 15.-17.01.2027</t>
  </si>
  <si>
    <t xml:space="preserve">Generator (Winter), Event</t>
  </si>
  <si>
    <t xml:space="preserve">TV-Produktion und Zielgelände. BKW ist Sponsor: Konkurrenzlage prüfen.</t>
  </si>
  <si>
    <t xml:space="preserve">Methodik, Legende und Grenzen der Recherche</t>
  </si>
  <si>
    <t xml:space="preserve">Stand 27.09.2026</t>
  </si>
  <si>
    <t xml:space="preserve">Gewichtung Score</t>
  </si>
  <si>
    <t xml:space="preserve">Wert</t>
  </si>
  <si>
    <t xml:space="preserve">Bedeutung (Skala je Kriterium 1 = schwach bis 5 = stark)</t>
  </si>
  <si>
    <t xml:space="preserve">Passt der Bedarf zum MiT-Portfolio (Generator, BESS, USV, Trafo, NEA-Test, PQ, Baustrom, Event)?</t>
  </si>
  <si>
    <t xml:space="preserve">Erwartbares Mietvolumen pro Jahr bzw. Hebel über Töchter/Rahmenvertrag.</t>
  </si>
  <si>
    <t xml:space="preserve">Konkreter Anlass 2025-2027 (Bau, UW-Umbau, Commissioning, Ramp-up, Event-Saison).</t>
  </si>
  <si>
    <t xml:space="preserve">Erreichbarkeit: regionale Nähe, Entscheid lokal vs. Konzern/EMEA, öffentliche Beschaffung.</t>
  </si>
  <si>
    <t xml:space="preserve">Summe Gewichte</t>
  </si>
  <si>
    <t xml:space="preserve">Schwelle Prio A</t>
  </si>
  <si>
    <t xml:space="preserve">Score &gt;= Schwelle A: jetzt aktiv angehen (Termin in den nächsten 6 Wochen).</t>
  </si>
  <si>
    <t xml:space="preserve">Schwelle Prio B</t>
  </si>
  <si>
    <t xml:space="preserve">Score &gt;= Schwelle B: im Quartal angehen, Anlass beobachten.</t>
  </si>
  <si>
    <t xml:space="preserve">Darunter: Beobachten, opportunistisch bedienen, über Partner/Töchter abdecken.</t>
  </si>
  <si>
    <t xml:space="preserve">Bedienung</t>
  </si>
  <si>
    <t xml:space="preserve">Gelbe Zellen</t>
  </si>
  <si>
    <t xml:space="preserve">Eingaben. Gewichte und Schwellen hier ändern, Score und Prio in der Kundenliste rechnen neu.</t>
  </si>
  <si>
    <t xml:space="preserve">Leer lassen = Vorschlag gilt. A/B/C eintragen = übersteuert den Vorschlag. Spalte «Prio» ist die gültige.</t>
  </si>
  <si>
    <t xml:space="preserve">Alle Zeilen stehen auf «Offen: CRM prüfen». Bestands-, A- und verlorene Kunden sind öffentlich nicht</t>
  </si>
  <si>
    <t xml:space="preserve">recherchierbar und müssen aus dem MiT-CRM bzw. von Mauro, Jörg und Roberto eingetragen werden (Dropdown).</t>
  </si>
  <si>
    <t xml:space="preserve">Nur bei Status «Verlorener Kunde» ausfüllen (Datum). Grund in «Validierung / Hinweis».</t>
  </si>
  <si>
    <t xml:space="preserve">70 Firmen im Verhältnis 60/20/20 (42/14/14) nach Vorgabe. Alle übrigen Zeilen sind Reserve bzw. Ergänzung.</t>
  </si>
  <si>
    <t xml:space="preserve">Grenzen der Recherche</t>
  </si>
  <si>
    <t xml:space="preserve">Quellen</t>
  </si>
  <si>
    <t xml:space="preserve">Websuche vom 27.09.2026: Firmenwebsites, Handelsregister-Aggregatoren, Medienmitteilungen, Fachpresse.</t>
  </si>
  <si>
    <t xml:space="preserve">Einige Seiten (u.a. NZZ, SRF, einzelne .ch-Domains) waren nicht direkt abrufbar: Werte teils nur aus Suchergebnissen.</t>
  </si>
  <si>
    <t xml:space="preserve">Mitarbeiterzahlen</t>
  </si>
  <si>
    <t xml:space="preserve">Teils aus Vorjahren oder Sekundärquellen. «(prüfen)» bzw. «uneinheitlich» = vor externer Verwendung verifizieren.</t>
  </si>
  <si>
    <t xml:space="preserve">Ansprechpersonen</t>
  </si>
  <si>
    <t xml:space="preserve">Keine Namen erfunden. Nur öffentlich genannte GL-Mitglieder mit Quelle. Die LinkedIn-Links öffnen eine</t>
  </si>
  <si>
    <t xml:space="preserve">Suche (Firma bzw. Firma + Zielfunktion), keine verifizierten Profile. Namen nach Prüfung in «Ansprechperson» eintragen.</t>
  </si>
  <si>
    <t xml:space="preserve">Relevanz / Warum</t>
  </si>
  <si>
    <t xml:space="preserve">Einschätzung aus Sicht mobiler Energie. Belegt sind nur die Fakten in «Anlass / Projekt» und «Grösse».</t>
  </si>
  <si>
    <t xml:space="preserve">Nicht aufgenommen</t>
  </si>
  <si>
    <t xml:space="preserve">Steiner AG (Nachlassstundung), Deltalis (RZ-Betrieb eingestellt). Ohne belastbare Quelle weggelassen:</t>
  </si>
  <si>
    <t xml:space="preserve">Dussmann, Kaufmann, Perenzia, Nine, Swiss Fort Knox, atNorth, Colt. BKW (Konzern), Axpo Grid, Swissgrid, AEW, EKT, EWL,</t>
  </si>
  <si>
    <t xml:space="preserve">St.Galler Stadtwerke sind reale Zielkunden, aber noch ohne geprüfte Kennzahlen: als nächste Ergänzung vorgesehen.</t>
  </si>
  <si>
    <t xml:space="preserve">Wettbewerb/Partner</t>
  </si>
  <si>
    <t xml:space="preserve">Kummler+Matter EVT vermietet eigene mobile Trafostationen: Partner und Wettbewerber zugleich.</t>
  </si>
  <si>
    <t xml:space="preserve">Vertraulich</t>
  </si>
  <si>
    <t xml:space="preserve">Interne Arbeitsliste. Nicht an Kunden weitergeben.</t>
  </si>
  <si>
    <t xml:space="preserve">Kundenstatus</t>
  </si>
  <si>
    <t xml:space="preserve">Team</t>
  </si>
  <si>
    <t xml:space="preserve">Skala</t>
  </si>
  <si>
    <t xml:space="preserve">A</t>
  </si>
  <si>
    <t xml:space="preserve">Burak</t>
  </si>
  <si>
    <t xml:space="preserve">B</t>
  </si>
  <si>
    <t xml:space="preserve">Mauro</t>
  </si>
  <si>
    <t xml:space="preserve">C</t>
  </si>
  <si>
    <t xml:space="preserve">Jörg</t>
  </si>
  <si>
    <t xml:space="preserve">Roberto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</si>
</sst>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\+0%;\-0%;0%"/>
    <numFmt numFmtId="168" formatCode="0.00"/>
    <numFmt numFmtId="169" formatCode="dd\.mm\.yyyy"/>
    <numFmt numFmtId="170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430"/>
      <name val="Arial"/>
      <family val="0"/>
      <charset val="1"/>
    </font>
    <font>
      <i val="true"/>
      <sz val="9"/>
      <color rgb="FF5B6470"/>
      <name val="Arial"/>
      <family val="0"/>
      <charset val="1"/>
    </font>
    <font>
      <sz val="9"/>
      <color rgb="FF5B6470"/>
      <name val="Arial"/>
      <family val="0"/>
      <charset val="1"/>
    </font>
    <font>
      <b val="true"/>
      <sz val="20"/>
      <color rgb="FF1B2430"/>
      <name val="Arial"/>
      <family val="0"/>
      <charset val="1"/>
    </font>
    <font>
      <b val="true"/>
      <sz val="12"/>
      <color rgb="FF0E7C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2F4"/>
        <bgColor rgb="FFE7E6E6"/>
      </patternFill>
    </fill>
    <fill>
      <patternFill patternType="solid">
        <fgColor rgb="FF1B2430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B24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4"/>
          <bgColor rgb="FF000000"/>
        </patternFill>
      </fill>
    </dxf>
    <dxf>
      <fill>
        <patternFill patternType="solid">
          <fgColor rgb="FF0E7C86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0E7C86"/>
      </font>
      <fill>
        <patternFill>
          <bgColor rgb="FFEAF2F4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E7C86"/>
      <rgbColor rgb="FFD9D9D9"/>
      <rgbColor rgb="FF878787"/>
      <rgbColor rgb="FF9999FF"/>
      <rgbColor rgb="FF993366"/>
      <rgbColor rgb="FFE7E6E6"/>
      <rgbColor rgb="FFEAF2F4"/>
      <rgbColor rgb="FF660066"/>
      <rgbColor rgb="FFFF8080"/>
      <rgbColor rgb="FF0563C1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0A526"/>
      <rgbColor rgb="FFFF6600"/>
      <rgbColor rgb="FF5B6470"/>
      <rgbColor rgb="FFA6A6A6"/>
      <rgbColor rgb="FF003366"/>
      <rgbColor rgb="FF2E8B57"/>
      <rgbColor rgb="FF003300"/>
      <rgbColor rgb="FF333300"/>
      <rgbColor rgb="FF9C5700"/>
      <rgbColor rgb="FF993366"/>
      <rgbColor rgb="FF59595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Firmen pro Region nach Prio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Übersicht!B15</c:f>
              <c:strCache>
                <c:ptCount val="1"/>
                <c:pt idx="0">
                  <c:v>Prio A</c:v>
                </c:pt>
              </c:strCache>
            </c:strRef>
          </c:tx>
          <c:spPr>
            <a:solidFill>
              <a:srgbClr val="2e8b57"/>
            </a:solidFill>
            <a:ln w="0">
              <a:solidFill>
                <a:srgbClr val="2e8b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Übersicht!$A$16:$A$22</c:f>
              <c:strCache>
                <c:ptCount val="7"/>
                <c:pt idx="0">
                  <c:v>West (Romandie)</c:v>
                </c:pt>
                <c:pt idx="1">
                  <c:v>Mittelland/Bern</c:v>
                </c:pt>
                <c:pt idx="2">
                  <c:v>Nordwestschweiz</c:v>
                </c:pt>
                <c:pt idx="3">
                  <c:v>Zürich</c:v>
                </c:pt>
                <c:pt idx="4">
                  <c:v>Ostschweiz</c:v>
                </c:pt>
                <c:pt idx="5">
                  <c:v>Zentralschweiz</c:v>
                </c:pt>
                <c:pt idx="6">
                  <c:v>Tessin</c:v>
                </c:pt>
              </c:strCache>
            </c:strRef>
          </c:cat>
          <c:val>
            <c:numRef>
              <c:f>Übersicht!$B$16:$B$22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11</c:v>
                </c:pt>
                <c:pt idx="3">
                  <c:v>11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Übersicht!C15</c:f>
              <c:strCache>
                <c:ptCount val="1"/>
                <c:pt idx="0">
                  <c:v>Prio B</c:v>
                </c:pt>
              </c:strCache>
            </c:strRef>
          </c:tx>
          <c:spPr>
            <a:solidFill>
              <a:srgbClr val="e0a526"/>
            </a:solidFill>
            <a:ln w="0">
              <a:solidFill>
                <a:srgbClr val="e0a52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Übersicht!$A$16:$A$22</c:f>
              <c:strCache>
                <c:ptCount val="7"/>
                <c:pt idx="0">
                  <c:v>West (Romandie)</c:v>
                </c:pt>
                <c:pt idx="1">
                  <c:v>Mittelland/Bern</c:v>
                </c:pt>
                <c:pt idx="2">
                  <c:v>Nordwestschweiz</c:v>
                </c:pt>
                <c:pt idx="3">
                  <c:v>Zürich</c:v>
                </c:pt>
                <c:pt idx="4">
                  <c:v>Ostschweiz</c:v>
                </c:pt>
                <c:pt idx="5">
                  <c:v>Zentralschweiz</c:v>
                </c:pt>
                <c:pt idx="6">
                  <c:v>Tessin</c:v>
                </c:pt>
              </c:strCache>
            </c:strRef>
          </c:cat>
          <c:val>
            <c:numRef>
              <c:f>Übersicht!$C$16:$C$22</c:f>
              <c:numCache>
                <c:formatCode>General</c:formatCode>
                <c:ptCount val="7"/>
                <c:pt idx="0">
                  <c:v>17</c:v>
                </c:pt>
                <c:pt idx="1">
                  <c:v>9</c:v>
                </c:pt>
                <c:pt idx="2">
                  <c:v>10</c:v>
                </c:pt>
                <c:pt idx="3">
                  <c:v>15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</c:ser>
        <c:ser>
          <c:idx val="2"/>
          <c:order val="2"/>
          <c:tx>
            <c:strRef>
              <c:f>Übersicht!D15</c:f>
              <c:strCache>
                <c:ptCount val="1"/>
                <c:pt idx="0">
                  <c:v>Prio C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Übersicht!$A$16:$A$22</c:f>
              <c:strCache>
                <c:ptCount val="7"/>
                <c:pt idx="0">
                  <c:v>West (Romandie)</c:v>
                </c:pt>
                <c:pt idx="1">
                  <c:v>Mittelland/Bern</c:v>
                </c:pt>
                <c:pt idx="2">
                  <c:v>Nordwestschweiz</c:v>
                </c:pt>
                <c:pt idx="3">
                  <c:v>Zürich</c:v>
                </c:pt>
                <c:pt idx="4">
                  <c:v>Ostschweiz</c:v>
                </c:pt>
                <c:pt idx="5">
                  <c:v>Zentralschweiz</c:v>
                </c:pt>
                <c:pt idx="6">
                  <c:v>Tessin</c:v>
                </c:pt>
              </c:strCache>
            </c:strRef>
          </c:cat>
          <c:val>
            <c:numRef>
              <c:f>Übersicht!$D$16:$D$22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6</c:v>
                </c:pt>
              </c:numCache>
            </c:numRef>
          </c:val>
        </c:ser>
        <c:gapWidth val="150"/>
        <c:overlap val="100"/>
        <c:axId val="12758189"/>
        <c:axId val="46075937"/>
      </c:barChart>
      <c:catAx>
        <c:axId val="12758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75937"/>
        <c:crosses val="autoZero"/>
        <c:auto val="1"/>
        <c:lblAlgn val="ctr"/>
        <c:lblOffset val="100"/>
        <c:noMultiLvlLbl val="0"/>
      </c:catAx>
      <c:valAx>
        <c:axId val="460759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58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Kernliste: Soll vs. 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Übersicht!D8</c:f>
              <c:strCache>
                <c:ptCount val="1"/>
                <c:pt idx="0">
                  <c:v>Soll-Anteil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Übersicht!$A$9:$A$11</c:f>
              <c:strCache>
                <c:ptCount val="3"/>
                <c:pt idx="0">
                  <c:v>Installateure (60 %)</c:v>
                </c:pt>
                <c:pt idx="1">
                  <c:v>FM / EVU / Planer (20 %)</c:v>
                </c:pt>
                <c:pt idx="2">
                  <c:v>GU/TU + Industrie (20 %)</c:v>
                </c:pt>
              </c:strCache>
            </c:strRef>
          </c:cat>
          <c:val>
            <c:numRef>
              <c:f>Übersicht!$D$9:$D$11</c:f>
              <c:numCache>
                <c:formatCode>0%</c:formatCode>
                <c:ptCount val="3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</c:numCache>
            </c:numRef>
          </c:val>
        </c:ser>
        <c:ser>
          <c:idx val="1"/>
          <c:order val="1"/>
          <c:tx>
            <c:strRef>
              <c:f>Übersicht!E8</c:f>
              <c:strCache>
                <c:ptCount val="1"/>
                <c:pt idx="0">
                  <c:v>Ist-Anteil Kernliste</c:v>
                </c:pt>
              </c:strCache>
            </c:strRef>
          </c:tx>
          <c:spPr>
            <a:solidFill>
              <a:srgbClr val="0e7c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Übersicht!$A$9:$A$11</c:f>
              <c:strCache>
                <c:ptCount val="3"/>
                <c:pt idx="0">
                  <c:v>Installateure (60 %)</c:v>
                </c:pt>
                <c:pt idx="1">
                  <c:v>FM / EVU / Planer (20 %)</c:v>
                </c:pt>
                <c:pt idx="2">
                  <c:v>GU/TU + Industrie (20 %)</c:v>
                </c:pt>
              </c:strCache>
            </c:strRef>
          </c:cat>
          <c:val>
            <c:numRef>
              <c:f>Übersicht!$E$9:$E$11</c:f>
              <c:numCache>
                <c:formatCode>0%</c:formatCode>
                <c:ptCount val="3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</c:numCache>
            </c:numRef>
          </c:val>
        </c:ser>
        <c:gapWidth val="150"/>
        <c:overlap val="0"/>
        <c:axId val="81244683"/>
        <c:axId val="84683142"/>
      </c:barChart>
      <c:catAx>
        <c:axId val="812446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83142"/>
        <c:crosses val="autoZero"/>
        <c:auto val="1"/>
        <c:lblAlgn val="ctr"/>
        <c:lblOffset val="100"/>
        <c:noMultiLvlLbl val="0"/>
      </c:catAx>
      <c:valAx>
        <c:axId val="8468314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44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5</xdr:row>
      <xdr:rowOff>130680</xdr:rowOff>
    </xdr:from>
    <xdr:to>
      <xdr:col>17</xdr:col>
      <xdr:colOff>448200</xdr:colOff>
      <xdr:row>18</xdr:row>
      <xdr:rowOff>152640</xdr:rowOff>
    </xdr:to>
    <xdr:graphicFrame>
      <xdr:nvGraphicFramePr>
        <xdr:cNvPr id="0" name="Chart 1"/>
        <xdr:cNvGraphicFramePr/>
      </xdr:nvGraphicFramePr>
      <xdr:xfrm>
        <a:off x="14094000" y="1380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23</xdr:row>
      <xdr:rowOff>131040</xdr:rowOff>
    </xdr:from>
    <xdr:to>
      <xdr:col>17</xdr:col>
      <xdr:colOff>448200</xdr:colOff>
      <xdr:row>36</xdr:row>
      <xdr:rowOff>153000</xdr:rowOff>
    </xdr:to>
    <xdr:graphicFrame>
      <xdr:nvGraphicFramePr>
        <xdr:cNvPr id="1" name="Chart 2"/>
        <xdr:cNvGraphicFramePr/>
      </xdr:nvGraphicFramePr>
      <xdr:xfrm>
        <a:off x="14094000" y="5191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Kunden" displayName="Kunden" ref="A4:AK129" headerRowCount="1" totalsRowCount="0" totalsRowShown="0">
  <autoFilter ref="A4:AK129"/>
  <tableColumns count="37">
    <tableColumn id="1" name="ID"/>
    <tableColumn id="2" name="Kernliste Top 70"/>
    <tableColumn id="3" name="Segment"/>
    <tableColumn id="4" name="Kategorie"/>
    <tableColumn id="5" name="Firma"/>
    <tableColumn id="6" name="Gruppe / Mutter"/>
    <tableColumn id="7" name="Ort"/>
    <tableColumn id="8" name="Kt."/>
    <tableColumn id="9" name="Region"/>
    <tableColumn id="10" name="Gebiet"/>
    <tableColumn id="11" name="Sprache"/>
    <tableColumn id="12" name="Website"/>
    <tableColumn id="13" name="Grösse"/>
    <tableColumn id="14" name="Anlass / Projekt 2025-2027"/>
    <tableColumn id="15" name="MiT-Leistungen"/>
    <tableColumn id="16" name="Warum (Begründung)"/>
    <tableColumn id="17" name="Fit"/>
    <tableColumn id="18" name="Volumen"/>
    <tableColumn id="19" name="Timing"/>
    <tableColumn id="20" name="Zugang"/>
    <tableColumn id="21" name="Score"/>
    <tableColumn id="22" name="Prio Vorschlag"/>
    <tableColumn id="23" name="Prio final"/>
    <tableColumn id="24" name="Prio"/>
    <tableColumn id="25" name="Kundenstatus MiT"/>
    <tableColumn id="26" name="Verloren seit"/>
    <tableColumn id="27" name="Zielrolle Ansprechperson"/>
    <tableColumn id="28" name="Ansprechperson (Name)"/>
    <tableColumn id="29" name="GL öffentlich (Quelle)"/>
    <tableColumn id="30" name="LinkedIn Firma"/>
    <tableColumn id="31" name="LinkedIn Personen"/>
    <tableColumn id="32" name="Quelle"/>
    <tableColumn id="33" name="Validierung / Hinweis"/>
    <tableColumn id="34" name="Verantwortlich"/>
    <tableColumn id="35" name="Nächster Schritt"/>
    <tableColumn id="36" name="Datum nächster Schritt"/>
    <tableColumn id="37" name="Letzter Kontak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urkhalter.ch/" TargetMode="External"/><Relationship Id="rId3" Type="http://schemas.openxmlformats.org/officeDocument/2006/relationships/hyperlink" Target="https://www.linkedin.com/search/results/companies/?keywords=Burkhalter+Gruppe" TargetMode="External"/><Relationship Id="rId4" Type="http://schemas.openxmlformats.org/officeDocument/2006/relationships/hyperlink" Target="https://www.linkedin.com/search/results/people/?keywords=Burkhalter+Gruppe+Projektleiter" TargetMode="External"/><Relationship Id="rId5" Type="http://schemas.openxmlformats.org/officeDocument/2006/relationships/hyperlink" Target="https://ch.marketscreener.com/boerse-nachrichten/burkhalter-kurzversion-nichtfinanzielle-berichterstattung-2025-ce7e50ded98bf423" TargetMode="External"/><Relationship Id="rId6" Type="http://schemas.openxmlformats.org/officeDocument/2006/relationships/hyperlink" Target="https://etavis.ch/" TargetMode="External"/><Relationship Id="rId7" Type="http://schemas.openxmlformats.org/officeDocument/2006/relationships/hyperlink" Target="https://www.linkedin.com/search/results/companies/?keywords=ETAVIS+AG" TargetMode="External"/><Relationship Id="rId8" Type="http://schemas.openxmlformats.org/officeDocument/2006/relationships/hyperlink" Target="https://www.linkedin.com/search/results/people/?keywords=ETAVIS+AG+Projektleiter" TargetMode="External"/><Relationship Id="rId9" Type="http://schemas.openxmlformats.org/officeDocument/2006/relationships/hyperlink" Target="https://www.vinci-energies.ch/unsere-bereiche/etavis/" TargetMode="External"/><Relationship Id="rId10" Type="http://schemas.openxmlformats.org/officeDocument/2006/relationships/hyperlink" Target="https://equans.ch/" TargetMode="External"/><Relationship Id="rId11" Type="http://schemas.openxmlformats.org/officeDocument/2006/relationships/hyperlink" Target="https://www.linkedin.com/search/results/companies/?keywords=Equans+Switzerland+AG" TargetMode="External"/><Relationship Id="rId12" Type="http://schemas.openxmlformats.org/officeDocument/2006/relationships/hyperlink" Target="https://www.linkedin.com/search/results/people/?keywords=Equans+Switzerland+AG+Projektleiter" TargetMode="External"/><Relationship Id="rId13" Type="http://schemas.openxmlformats.org/officeDocument/2006/relationships/hyperlink" Target="https://www.phase5.ch/nun-heisst-es-offiziell-equans-switzerland" TargetMode="External"/><Relationship Id="rId14" Type="http://schemas.openxmlformats.org/officeDocument/2006/relationships/hyperlink" Target="https://bkw.ch/" TargetMode="External"/><Relationship Id="rId15" Type="http://schemas.openxmlformats.org/officeDocument/2006/relationships/hyperlink" Target="https://www.linkedin.com/search/results/companies/?keywords=BKW+Building+Solutions+AG" TargetMode="External"/><Relationship Id="rId16" Type="http://schemas.openxmlformats.org/officeDocument/2006/relationships/hyperlink" Target="https://www.linkedin.com/search/results/people/?keywords=BKW+Building+Solutions+AG+Projektleiter" TargetMode="External"/><Relationship Id="rId17" Type="http://schemas.openxmlformats.org/officeDocument/2006/relationships/hyperlink" Target="https://www.bkw.com/en/about-us/building-solutions" TargetMode="External"/><Relationship Id="rId18" Type="http://schemas.openxmlformats.org/officeDocument/2006/relationships/hyperlink" Target="https://actemium.ch/" TargetMode="External"/><Relationship Id="rId19" Type="http://schemas.openxmlformats.org/officeDocument/2006/relationships/hyperlink" Target="https://www.linkedin.com/search/results/companies/?keywords=Actemium+Schweiz+AG" TargetMode="External"/><Relationship Id="rId20" Type="http://schemas.openxmlformats.org/officeDocument/2006/relationships/hyperlink" Target="https://www.linkedin.com/search/results/people/?keywords=Actemium+Schweiz+AG+Projektleiter" TargetMode="External"/><Relationship Id="rId21" Type="http://schemas.openxmlformats.org/officeDocument/2006/relationships/hyperlink" Target="https://www.moneyhouse.ch/en/company/actemium-schweiz-ag-20686058021" TargetMode="External"/><Relationship Id="rId22" Type="http://schemas.openxmlformats.org/officeDocument/2006/relationships/hyperlink" Target="https://arnold.ch/" TargetMode="External"/><Relationship Id="rId23" Type="http://schemas.openxmlformats.org/officeDocument/2006/relationships/hyperlink" Target="https://www.linkedin.com/search/results/companies/?keywords=Arnold+AG" TargetMode="External"/><Relationship Id="rId24" Type="http://schemas.openxmlformats.org/officeDocument/2006/relationships/hyperlink" Target="https://www.linkedin.com/search/results/people/?keywords=Arnold+AG+Projektleiter" TargetMode="External"/><Relationship Id="rId25" Type="http://schemas.openxmlformats.org/officeDocument/2006/relationships/hyperlink" Target="https://www.arnold.ch/unternehmen/" TargetMode="External"/><Relationship Id="rId26" Type="http://schemas.openxmlformats.org/officeDocument/2006/relationships/hyperlink" Target="https://ckw.ch/" TargetMode="External"/><Relationship Id="rId27" Type="http://schemas.openxmlformats.org/officeDocument/2006/relationships/hyperlink" Target="https://www.linkedin.com/search/results/companies/?keywords=CKW+Geb&#228;udetechnik+AG" TargetMode="External"/><Relationship Id="rId28" Type="http://schemas.openxmlformats.org/officeDocument/2006/relationships/hyperlink" Target="https://www.linkedin.com/search/results/people/?keywords=CKW+Geb&#228;udetechnik+AG+Projektleiter" TargetMode="External"/><Relationship Id="rId29" Type="http://schemas.openxmlformats.org/officeDocument/2006/relationships/hyperlink" Target="https://www.ckw.ch/gebaeudetechnik/elektroinstallationen" TargetMode="External"/><Relationship Id="rId30" Type="http://schemas.openxmlformats.org/officeDocument/2006/relationships/hyperlink" Target="https://ekzeltop.ch/" TargetMode="External"/><Relationship Id="rId31" Type="http://schemas.openxmlformats.org/officeDocument/2006/relationships/hyperlink" Target="https://www.linkedin.com/search/results/companies/?keywords=EKZ+Eltop+AG" TargetMode="External"/><Relationship Id="rId32" Type="http://schemas.openxmlformats.org/officeDocument/2006/relationships/hyperlink" Target="https://www.linkedin.com/search/results/people/?keywords=EKZ+Eltop+AG+Projektleiter" TargetMode="External"/><Relationship Id="rId33" Type="http://schemas.openxmlformats.org/officeDocument/2006/relationships/hyperlink" Target="https://www.moneyhouse.ch/en/company/ekz-eltop-ag-13002369831" TargetMode="External"/><Relationship Id="rId34" Type="http://schemas.openxmlformats.org/officeDocument/2006/relationships/hyperlink" Target="https://etavis.ch/" TargetMode="External"/><Relationship Id="rId35" Type="http://schemas.openxmlformats.org/officeDocument/2006/relationships/hyperlink" Target="https://www.linkedin.com/search/results/companies/?keywords=ETAVIS+Kriegel%2BSchaffner+AG" TargetMode="External"/><Relationship Id="rId36" Type="http://schemas.openxmlformats.org/officeDocument/2006/relationships/hyperlink" Target="https://www.linkedin.com/search/results/people/?keywords=ETAVIS+Kriegel%2BSchaffner+AG+Projektleiter" TargetMode="External"/><Relationship Id="rId37" Type="http://schemas.openxmlformats.org/officeDocument/2006/relationships/hyperlink" Target="https://www.moneyhouse.ch/en/company/etavis-kriegel-schaffner-ag-2862953081" TargetMode="External"/><Relationship Id="rId38" Type="http://schemas.openxmlformats.org/officeDocument/2006/relationships/hyperlink" Target="https://eggtelsa.com/" TargetMode="External"/><Relationship Id="rId39" Type="http://schemas.openxmlformats.org/officeDocument/2006/relationships/hyperlink" Target="https://www.linkedin.com/search/results/companies/?keywords=Egg-Telsa+SA" TargetMode="External"/><Relationship Id="rId40" Type="http://schemas.openxmlformats.org/officeDocument/2006/relationships/hyperlink" Target="https://www.linkedin.com/search/results/people/?keywords=Egg-Telsa+SA+Projektleiter" TargetMode="External"/><Relationship Id="rId41" Type="http://schemas.openxmlformats.org/officeDocument/2006/relationships/hyperlink" Target="https://www.eggtelsa.com/entreprise/" TargetMode="External"/><Relationship Id="rId42" Type="http://schemas.openxmlformats.org/officeDocument/2006/relationships/hyperlink" Target="https://selmoni.ch/" TargetMode="External"/><Relationship Id="rId43" Type="http://schemas.openxmlformats.org/officeDocument/2006/relationships/hyperlink" Target="https://www.linkedin.com/search/results/companies/?keywords=Selmoni+Gruppe" TargetMode="External"/><Relationship Id="rId44" Type="http://schemas.openxmlformats.org/officeDocument/2006/relationships/hyperlink" Target="https://www.linkedin.com/search/results/people/?keywords=Selmoni+Gruppe+Projektleiter" TargetMode="External"/><Relationship Id="rId45" Type="http://schemas.openxmlformats.org/officeDocument/2006/relationships/hyperlink" Target="https://smartemployer.ch/company/selmoni/" TargetMode="External"/><Relationship Id="rId46" Type="http://schemas.openxmlformats.org/officeDocument/2006/relationships/hyperlink" Target="https://cablex.ch/" TargetMode="External"/><Relationship Id="rId47" Type="http://schemas.openxmlformats.org/officeDocument/2006/relationships/hyperlink" Target="https://www.linkedin.com/search/results/companies/?keywords=cablex+AG" TargetMode="External"/><Relationship Id="rId48" Type="http://schemas.openxmlformats.org/officeDocument/2006/relationships/hyperlink" Target="https://www.linkedin.com/search/results/people/?keywords=cablex+AG+Projektleiter" TargetMode="External"/><Relationship Id="rId49" Type="http://schemas.openxmlformats.org/officeDocument/2006/relationships/hyperlink" Target="https://www.cablex.ch/en/news/change-in-the-management-of-cablex" TargetMode="External"/><Relationship Id="rId50" Type="http://schemas.openxmlformats.org/officeDocument/2006/relationships/hyperlink" Target="https://www.linkedin.com/search/results/companies/?keywords=Alpine-Energie+Schweiz+AG" TargetMode="External"/><Relationship Id="rId51" Type="http://schemas.openxmlformats.org/officeDocument/2006/relationships/hyperlink" Target="https://www.linkedin.com/search/results/people/?keywords=Alpine-Energie+Schweiz+AG+Projektleiter" TargetMode="External"/><Relationship Id="rId52" Type="http://schemas.openxmlformats.org/officeDocument/2006/relationships/hyperlink" Target="https://www.cylex-swiss.ch/oftringen/alpine-energie-schweiz-ag-11296004.html" TargetMode="External"/><Relationship Id="rId53" Type="http://schemas.openxmlformats.org/officeDocument/2006/relationships/hyperlink" Target="https://baumann-koelliker-gruppe.ch/" TargetMode="External"/><Relationship Id="rId54" Type="http://schemas.openxmlformats.org/officeDocument/2006/relationships/hyperlink" Target="https://www.linkedin.com/search/results/companies/?keywords=Baumann+Koelliker+Gruppe" TargetMode="External"/><Relationship Id="rId55" Type="http://schemas.openxmlformats.org/officeDocument/2006/relationships/hyperlink" Target="https://www.linkedin.com/search/results/people/?keywords=Baumann+Koelliker+Gruppe+Projektleiter" TargetMode="External"/><Relationship Id="rId56" Type="http://schemas.openxmlformats.org/officeDocument/2006/relationships/hyperlink" Target="https://baumann-koelliker-gruppe.ch/" TargetMode="External"/><Relationship Id="rId57" Type="http://schemas.openxmlformats.org/officeDocument/2006/relationships/hyperlink" Target="https://grichting-valterio.ch/" TargetMode="External"/><Relationship Id="rId58" Type="http://schemas.openxmlformats.org/officeDocument/2006/relationships/hyperlink" Target="https://www.linkedin.com/search/results/companies/?keywords=Grichting+%26+Valterio+Electro+SA" TargetMode="External"/><Relationship Id="rId59" Type="http://schemas.openxmlformats.org/officeDocument/2006/relationships/hyperlink" Target="https://www.linkedin.com/search/results/people/?keywords=Grichting+%26+Valterio+Electro+SA+Projektleiter" TargetMode="External"/><Relationship Id="rId60" Type="http://schemas.openxmlformats.org/officeDocument/2006/relationships/hyperlink" Target="https://www.grichting-valterio.ch/fr/" TargetMode="External"/><Relationship Id="rId61" Type="http://schemas.openxmlformats.org/officeDocument/2006/relationships/hyperlink" Target="https://sedelec-geneve.ch/" TargetMode="External"/><Relationship Id="rId62" Type="http://schemas.openxmlformats.org/officeDocument/2006/relationships/hyperlink" Target="https://www.linkedin.com/search/results/companies/?keywords=Sedelec+SA" TargetMode="External"/><Relationship Id="rId63" Type="http://schemas.openxmlformats.org/officeDocument/2006/relationships/hyperlink" Target="https://www.linkedin.com/search/results/people/?keywords=Sedelec+SA+Projektleiter" TargetMode="External"/><Relationship Id="rId64" Type="http://schemas.openxmlformats.org/officeDocument/2006/relationships/hyperlink" Target="https://www.sedelec-geneve.ch/fr/a-propos-de-nous" TargetMode="External"/><Relationship Id="rId65" Type="http://schemas.openxmlformats.org/officeDocument/2006/relationships/hyperlink" Target="https://elektro-compagnoni.ch/" TargetMode="External"/><Relationship Id="rId66" Type="http://schemas.openxmlformats.org/officeDocument/2006/relationships/hyperlink" Target="https://www.linkedin.com/search/results/companies/?keywords=Elektro+Compagnoni+AG" TargetMode="External"/><Relationship Id="rId67" Type="http://schemas.openxmlformats.org/officeDocument/2006/relationships/hyperlink" Target="https://www.linkedin.com/search/results/people/?keywords=Elektro+Compagnoni+AG+Projektleiter" TargetMode="External"/><Relationship Id="rId68" Type="http://schemas.openxmlformats.org/officeDocument/2006/relationships/hyperlink" Target="https://www.elektro-compagnoni.ch/" TargetMode="External"/><Relationship Id="rId69" Type="http://schemas.openxmlformats.org/officeDocument/2006/relationships/hyperlink" Target="https://etavis.ch/" TargetMode="External"/><Relationship Id="rId70" Type="http://schemas.openxmlformats.org/officeDocument/2006/relationships/hyperlink" Target="https://www.linkedin.com/search/results/companies/?keywords=ETAVIS+Grossenbacher+AG" TargetMode="External"/><Relationship Id="rId71" Type="http://schemas.openxmlformats.org/officeDocument/2006/relationships/hyperlink" Target="https://www.linkedin.com/search/results/people/?keywords=ETAVIS+Grossenbacher+AG+Projektleiter" TargetMode="External"/><Relationship Id="rId72" Type="http://schemas.openxmlformats.org/officeDocument/2006/relationships/hyperlink" Target="https://www.ostjob.ch/firma/etavis-grossenbacher-ag/37152" TargetMode="External"/><Relationship Id="rId73" Type="http://schemas.openxmlformats.org/officeDocument/2006/relationships/hyperlink" Target="https://groupe-e.ch/" TargetMode="External"/><Relationship Id="rId74" Type="http://schemas.openxmlformats.org/officeDocument/2006/relationships/hyperlink" Target="https://www.linkedin.com/search/results/companies/?keywords=Groupe+E+Connect+SA" TargetMode="External"/><Relationship Id="rId75" Type="http://schemas.openxmlformats.org/officeDocument/2006/relationships/hyperlink" Target="https://www.linkedin.com/search/results/people/?keywords=Groupe+E+Connect+SA+Projektleiter" TargetMode="External"/><Relationship Id="rId76" Type="http://schemas.openxmlformats.org/officeDocument/2006/relationships/hyperlink" Target="https://www.rts.ch/info/economie/2025/article/groupe-e-supprime-200-emplois-en-suisse-romande-restructuration-majeure-28856239.html" TargetMode="External"/><Relationship Id="rId77" Type="http://schemas.openxmlformats.org/officeDocument/2006/relationships/hyperlink" Target="https://kuma-evt.ch/" TargetMode="External"/><Relationship Id="rId78" Type="http://schemas.openxmlformats.org/officeDocument/2006/relationships/hyperlink" Target="https://www.linkedin.com/search/results/companies/?keywords=Kummler%2BMatter+EVT+AG" TargetMode="External"/><Relationship Id="rId79" Type="http://schemas.openxmlformats.org/officeDocument/2006/relationships/hyperlink" Target="https://www.linkedin.com/search/results/people/?keywords=Kummler%2BMatter+EVT+AG+Projektleiter" TargetMode="External"/><Relationship Id="rId80" Type="http://schemas.openxmlformats.org/officeDocument/2006/relationships/hyperlink" Target="https://kuma-evt.ch/de/ueber-uns" TargetMode="External"/><Relationship Id="rId81" Type="http://schemas.openxmlformats.org/officeDocument/2006/relationships/hyperlink" Target="https://marechaux.ch/" TargetMode="External"/><Relationship Id="rId82" Type="http://schemas.openxmlformats.org/officeDocument/2006/relationships/hyperlink" Target="https://www.linkedin.com/search/results/companies/?keywords=Mar&#233;chaux+Elektro+AG+%2F+Gruppe" TargetMode="External"/><Relationship Id="rId83" Type="http://schemas.openxmlformats.org/officeDocument/2006/relationships/hyperlink" Target="https://www.linkedin.com/search/results/people/?keywords=Mar&#233;chaux+Elektro+AG+%2F+Gruppe+Projektleiter" TargetMode="External"/><Relationship Id="rId84" Type="http://schemas.openxmlformats.org/officeDocument/2006/relationships/hyperlink" Target="https://roi-online.ch/unternehmen/vom_elektrogeschaeft_zur_unternehmensgruppe/" TargetMode="External"/><Relationship Id="rId85" Type="http://schemas.openxmlformats.org/officeDocument/2006/relationships/hyperlink" Target="https://etavis.ch/it" TargetMode="External"/><Relationship Id="rId86" Type="http://schemas.openxmlformats.org/officeDocument/2006/relationships/hyperlink" Target="https://www.linkedin.com/search/results/companies/?keywords=ETAVIS+Elettro-Impianti+SA" TargetMode="External"/><Relationship Id="rId87" Type="http://schemas.openxmlformats.org/officeDocument/2006/relationships/hyperlink" Target="https://www.linkedin.com/search/results/people/?keywords=ETAVIS+Elettro-Impianti+SA+Projektleiter" TargetMode="External"/><Relationship Id="rId88" Type="http://schemas.openxmlformats.org/officeDocument/2006/relationships/hyperlink" Target="https://www.moneyhouse.ch/en/company/etavis-elettro-impianti-sa-3148976161" TargetMode="External"/><Relationship Id="rId89" Type="http://schemas.openxmlformats.org/officeDocument/2006/relationships/hyperlink" Target="https://aek.ch/" TargetMode="External"/><Relationship Id="rId90" Type="http://schemas.openxmlformats.org/officeDocument/2006/relationships/hyperlink" Target="https://www.linkedin.com/search/results/companies/?keywords=AEK+AG" TargetMode="External"/><Relationship Id="rId91" Type="http://schemas.openxmlformats.org/officeDocument/2006/relationships/hyperlink" Target="https://www.linkedin.com/search/results/people/?keywords=AEK+AG+Projektleiter" TargetMode="External"/><Relationship Id="rId92" Type="http://schemas.openxmlformats.org/officeDocument/2006/relationships/hyperlink" Target="https://www.aek.ch/de" TargetMode="External"/><Relationship Id="rId93" Type="http://schemas.openxmlformats.org/officeDocument/2006/relationships/hyperlink" Target="https://eagb.ch/" TargetMode="External"/><Relationship Id="rId94" Type="http://schemas.openxmlformats.org/officeDocument/2006/relationships/hyperlink" Target="https://www.linkedin.com/search/results/companies/?keywords=Elektrotechnik+AG+EAGB" TargetMode="External"/><Relationship Id="rId95" Type="http://schemas.openxmlformats.org/officeDocument/2006/relationships/hyperlink" Target="https://www.linkedin.com/search/results/people/?keywords=Elektrotechnik+AG+EAGB+Projektleiter" TargetMode="External"/><Relationship Id="rId96" Type="http://schemas.openxmlformats.org/officeDocument/2006/relationships/hyperlink" Target="https://www.eagb.ch/de/die-eag" TargetMode="External"/><Relationship Id="rId97" Type="http://schemas.openxmlformats.org/officeDocument/2006/relationships/hyperlink" Target="https://elhag.ch/" TargetMode="External"/><Relationship Id="rId98" Type="http://schemas.openxmlformats.org/officeDocument/2006/relationships/hyperlink" Target="https://www.linkedin.com/search/results/companies/?keywords=Ellenbroek+Hugentobler+AG" TargetMode="External"/><Relationship Id="rId99" Type="http://schemas.openxmlformats.org/officeDocument/2006/relationships/hyperlink" Target="https://www.linkedin.com/search/results/people/?keywords=Ellenbroek+Hugentobler+AG+Projektleiter" TargetMode="External"/><Relationship Id="rId100" Type="http://schemas.openxmlformats.org/officeDocument/2006/relationships/hyperlink" Target="https://elhag.ch/ueber-uns/" TargetMode="External"/><Relationship Id="rId101" Type="http://schemas.openxmlformats.org/officeDocument/2006/relationships/hyperlink" Target="https://jostelektro.ch/" TargetMode="External"/><Relationship Id="rId102" Type="http://schemas.openxmlformats.org/officeDocument/2006/relationships/hyperlink" Target="https://www.linkedin.com/search/results/companies/?keywords=Jost+Elektro+AG+Brugg" TargetMode="External"/><Relationship Id="rId103" Type="http://schemas.openxmlformats.org/officeDocument/2006/relationships/hyperlink" Target="https://www.linkedin.com/search/results/people/?keywords=Jost+Elektro+AG+Brugg+Projektleiter" TargetMode="External"/><Relationship Id="rId104" Type="http://schemas.openxmlformats.org/officeDocument/2006/relationships/hyperlink" Target="https://www.aargauerzeitung.ch/aargau/kanton-aargau/bekannte-elektro-firma-im-aargau-teilt-sich-in-einzelteile-auf-ld.1822539" TargetMode="External"/><Relationship Id="rId105" Type="http://schemas.openxmlformats.org/officeDocument/2006/relationships/hyperlink" Target="https://romande-energie.ch/" TargetMode="External"/><Relationship Id="rId106" Type="http://schemas.openxmlformats.org/officeDocument/2006/relationships/hyperlink" Target="https://www.linkedin.com/search/results/companies/?keywords=Romande+Energie+Services+SA" TargetMode="External"/><Relationship Id="rId107" Type="http://schemas.openxmlformats.org/officeDocument/2006/relationships/hyperlink" Target="https://www.linkedin.com/search/results/people/?keywords=Romande+Energie+Services+SA+Projektleiter" TargetMode="External"/><Relationship Id="rId108" Type="http://schemas.openxmlformats.org/officeDocument/2006/relationships/hyperlink" Target="https://www.zonebourse.com/cours/action/ROMANDE-ENERGIE-HOLDING-S-183676/actualite/Romande-Energie-Achat-de-la-societe-HD-Energies-Sarl-26669185/" TargetMode="External"/><Relationship Id="rId109" Type="http://schemas.openxmlformats.org/officeDocument/2006/relationships/hyperlink" Target="https://swisspro.ch/" TargetMode="External"/><Relationship Id="rId110" Type="http://schemas.openxmlformats.org/officeDocument/2006/relationships/hyperlink" Target="https://www.linkedin.com/search/results/companies/?keywords=swisspro+AG" TargetMode="External"/><Relationship Id="rId111" Type="http://schemas.openxmlformats.org/officeDocument/2006/relationships/hyperlink" Target="https://www.linkedin.com/search/results/people/?keywords=swisspro+AG+Projektleiter" TargetMode="External"/><Relationship Id="rId112" Type="http://schemas.openxmlformats.org/officeDocument/2006/relationships/hyperlink" Target="https://www.bkw.ch/de/swisspro-ag" TargetMode="External"/><Relationship Id="rId113" Type="http://schemas.openxmlformats.org/officeDocument/2006/relationships/hyperlink" Target="https://wenger-wirz.ch/" TargetMode="External"/><Relationship Id="rId114" Type="http://schemas.openxmlformats.org/officeDocument/2006/relationships/hyperlink" Target="https://www.linkedin.com/search/results/companies/?keywords=Wenger+%2B+Wirz+AG" TargetMode="External"/><Relationship Id="rId115" Type="http://schemas.openxmlformats.org/officeDocument/2006/relationships/hyperlink" Target="https://www.linkedin.com/search/results/people/?keywords=Wenger+%2B+Wirz+AG+Projektleiter" TargetMode="External"/><Relationship Id="rId116" Type="http://schemas.openxmlformats.org/officeDocument/2006/relationships/hyperlink" Target="https://wenger-wirz.ch/ueber-uns/" TargetMode="External"/><Relationship Id="rId117" Type="http://schemas.openxmlformats.org/officeDocument/2006/relationships/hyperlink" Target="https://bkw.ch/" TargetMode="External"/><Relationship Id="rId118" Type="http://schemas.openxmlformats.org/officeDocument/2006/relationships/hyperlink" Target="https://www.linkedin.com/search/results/companies/?keywords=BKW+ISP+AG" TargetMode="External"/><Relationship Id="rId119" Type="http://schemas.openxmlformats.org/officeDocument/2006/relationships/hyperlink" Target="https://www.linkedin.com/search/results/people/?keywords=BKW+ISP+AG+Projektleiter" TargetMode="External"/><Relationship Id="rId120" Type="http://schemas.openxmlformats.org/officeDocument/2006/relationships/hyperlink" Target="https://www.bkw.ch/de/ueber-uns/aktuell/medien/medienmitteilungen/bkw-isp-gruppe-weitet-elektroinstallationsgeschaeft-aus" TargetMode="External"/><Relationship Id="rId121" Type="http://schemas.openxmlformats.org/officeDocument/2006/relationships/hyperlink" Target="https://elektro-bau.ch/" TargetMode="External"/><Relationship Id="rId122" Type="http://schemas.openxmlformats.org/officeDocument/2006/relationships/hyperlink" Target="https://www.linkedin.com/search/results/companies/?keywords=Elektro-Bau+AG+Rothrist" TargetMode="External"/><Relationship Id="rId123" Type="http://schemas.openxmlformats.org/officeDocument/2006/relationships/hyperlink" Target="https://www.linkedin.com/search/results/people/?keywords=Elektro-Bau+AG+Rothrist+Projektleiter" TargetMode="External"/><Relationship Id="rId124" Type="http://schemas.openxmlformats.org/officeDocument/2006/relationships/hyperlink" Target="https://www.elektro-bau.ch/de/" TargetMode="External"/><Relationship Id="rId125" Type="http://schemas.openxmlformats.org/officeDocument/2006/relationships/hyperlink" Target="https://celio.ch/" TargetMode="External"/><Relationship Id="rId126" Type="http://schemas.openxmlformats.org/officeDocument/2006/relationships/hyperlink" Target="https://www.linkedin.com/search/results/companies/?keywords=Elettro-Celio+SA" TargetMode="External"/><Relationship Id="rId127" Type="http://schemas.openxmlformats.org/officeDocument/2006/relationships/hyperlink" Target="https://www.linkedin.com/search/results/people/?keywords=Elettro-Celio+SA+Projektleiter" TargetMode="External"/><Relationship Id="rId128" Type="http://schemas.openxmlformats.org/officeDocument/2006/relationships/hyperlink" Target="https://ticinoaziende.ch/2025/04/09/elettro-celio-sa-di-giubiasco-eccellenza-e-innovazione-nelle-installazioni-elettriche/" TargetMode="External"/><Relationship Id="rId129" Type="http://schemas.openxmlformats.org/officeDocument/2006/relationships/hyperlink" Target="https://merinat.ch/" TargetMode="External"/><Relationship Id="rId130" Type="http://schemas.openxmlformats.org/officeDocument/2006/relationships/hyperlink" Target="https://www.linkedin.com/search/results/companies/?keywords=M&#233;rinat+SA" TargetMode="External"/><Relationship Id="rId131" Type="http://schemas.openxmlformats.org/officeDocument/2006/relationships/hyperlink" Target="https://www.linkedin.com/search/results/people/?keywords=M&#233;rinat+SA+Projektleiter" TargetMode="External"/><Relationship Id="rId132" Type="http://schemas.openxmlformats.org/officeDocument/2006/relationships/hyperlink" Target="https://www.zonebourse.com/cours/action/BURKHALTER-HOLDING-AG-13303338/actualite/Burkhalter-Le-Groupe-Burkhalter-rachete-Merinat-SA-en-Suisse-romande-35769970/" TargetMode="External"/><Relationship Id="rId133" Type="http://schemas.openxmlformats.org/officeDocument/2006/relationships/hyperlink" Target="https://www.linkedin.com/search/results/companies/?keywords=Gfeller+Elektro+AG" TargetMode="External"/><Relationship Id="rId134" Type="http://schemas.openxmlformats.org/officeDocument/2006/relationships/hyperlink" Target="https://www.linkedin.com/search/results/people/?keywords=Gfeller+Elektro+AG+Projektleiter" TargetMode="External"/><Relationship Id="rId135" Type="http://schemas.openxmlformats.org/officeDocument/2006/relationships/hyperlink" Target="https://www.vinci-energies.ch/pressemitteilung/gfeller-elektro-uebernahme/" TargetMode="External"/><Relationship Id="rId136" Type="http://schemas.openxmlformats.org/officeDocument/2006/relationships/hyperlink" Target="https://scherler-ag.ch/" TargetMode="External"/><Relationship Id="rId137" Type="http://schemas.openxmlformats.org/officeDocument/2006/relationships/hyperlink" Target="https://www.linkedin.com/search/results/companies/?keywords=Scherler+AG%2C+Elektro+und+Telematik" TargetMode="External"/><Relationship Id="rId138" Type="http://schemas.openxmlformats.org/officeDocument/2006/relationships/hyperlink" Target="https://www.linkedin.com/search/results/people/?keywords=Scherler+AG%2C+Elektro+und+Telematik+Projektleiter" TargetMode="External"/><Relationship Id="rId139" Type="http://schemas.openxmlformats.org/officeDocument/2006/relationships/hyperlink" Target="https://www.scherler-ag.ch/" TargetMode="External"/><Relationship Id="rId140" Type="http://schemas.openxmlformats.org/officeDocument/2006/relationships/hyperlink" Target="https://cauderay.com/" TargetMode="External"/><Relationship Id="rId141" Type="http://schemas.openxmlformats.org/officeDocument/2006/relationships/hyperlink" Target="https://www.linkedin.com/search/results/companies/?keywords=Cauderay+SA" TargetMode="External"/><Relationship Id="rId142" Type="http://schemas.openxmlformats.org/officeDocument/2006/relationships/hyperlink" Target="https://www.linkedin.com/search/results/people/?keywords=Cauderay+SA+Projektleiter" TargetMode="External"/><Relationship Id="rId143" Type="http://schemas.openxmlformats.org/officeDocument/2006/relationships/hyperlink" Target="https://www.cauderay.com/" TargetMode="External"/><Relationship Id="rId144" Type="http://schemas.openxmlformats.org/officeDocument/2006/relationships/hyperlink" Target="https://ews.ch/" TargetMode="External"/><Relationship Id="rId145" Type="http://schemas.openxmlformats.org/officeDocument/2006/relationships/hyperlink" Target="https://www.linkedin.com/search/results/companies/?keywords=EWS+AG" TargetMode="External"/><Relationship Id="rId146" Type="http://schemas.openxmlformats.org/officeDocument/2006/relationships/hyperlink" Target="https://www.linkedin.com/search/results/people/?keywords=EWS+AG+Projektleiter" TargetMode="External"/><Relationship Id="rId147" Type="http://schemas.openxmlformats.org/officeDocument/2006/relationships/hyperlink" Target="https://ews.ch/unternehmen" TargetMode="External"/><Relationship Id="rId148" Type="http://schemas.openxmlformats.org/officeDocument/2006/relationships/hyperlink" Target="https://electrasim.ch/" TargetMode="External"/><Relationship Id="rId149" Type="http://schemas.openxmlformats.org/officeDocument/2006/relationships/hyperlink" Target="https://www.linkedin.com/search/results/companies/?keywords=Electrasim+SA" TargetMode="External"/><Relationship Id="rId150" Type="http://schemas.openxmlformats.org/officeDocument/2006/relationships/hyperlink" Target="https://www.linkedin.com/search/results/people/?keywords=Electrasim+SA+Projektleiter" TargetMode="External"/><Relationship Id="rId151" Type="http://schemas.openxmlformats.org/officeDocument/2006/relationships/hyperlink" Target="https://electrasim.ch/azienda" TargetMode="External"/><Relationship Id="rId152" Type="http://schemas.openxmlformats.org/officeDocument/2006/relationships/hyperlink" Target="https://groupe-e.ch/" TargetMode="External"/><Relationship Id="rId153" Type="http://schemas.openxmlformats.org/officeDocument/2006/relationships/hyperlink" Target="https://www.linkedin.com/search/results/companies/?keywords=Groupe+E+Arc+SA" TargetMode="External"/><Relationship Id="rId154" Type="http://schemas.openxmlformats.org/officeDocument/2006/relationships/hyperlink" Target="https://www.linkedin.com/search/results/people/?keywords=Groupe+E+Arc+SA+Projektleiter" TargetMode="External"/><Relationship Id="rId155" Type="http://schemas.openxmlformats.org/officeDocument/2006/relationships/hyperlink" Target="https://www.groupe-e.ch/fr/vuilliomenet-changement-nom" TargetMode="External"/><Relationship Id="rId156" Type="http://schemas.openxmlformats.org/officeDocument/2006/relationships/hyperlink" Target="https://hufschmid-elektro.ch/" TargetMode="External"/><Relationship Id="rId157" Type="http://schemas.openxmlformats.org/officeDocument/2006/relationships/hyperlink" Target="https://www.linkedin.com/search/results/companies/?keywords=Marcel+Hufschmid+AG" TargetMode="External"/><Relationship Id="rId158" Type="http://schemas.openxmlformats.org/officeDocument/2006/relationships/hyperlink" Target="https://www.linkedin.com/search/results/people/?keywords=Marcel+Hufschmid+AG+Projektleiter" TargetMode="External"/><Relationship Id="rId159" Type="http://schemas.openxmlformats.org/officeDocument/2006/relationships/hyperlink" Target="https://www.hufschmid-elektro.ch/de/ueber-uns" TargetMode="External"/><Relationship Id="rId160" Type="http://schemas.openxmlformats.org/officeDocument/2006/relationships/hyperlink" Target="https://inelectro.ch/" TargetMode="External"/><Relationship Id="rId161" Type="http://schemas.openxmlformats.org/officeDocument/2006/relationships/hyperlink" Target="https://www.linkedin.com/search/results/companies/?keywords=inelectro+sa" TargetMode="External"/><Relationship Id="rId162" Type="http://schemas.openxmlformats.org/officeDocument/2006/relationships/hyperlink" Target="https://www.linkedin.com/search/results/people/?keywords=inelectro+sa+Projektleiter" TargetMode="External"/><Relationship Id="rId163" Type="http://schemas.openxmlformats.org/officeDocument/2006/relationships/hyperlink" Target="https://www.bkw.ch/fr/inelectro-sa" TargetMode="External"/><Relationship Id="rId164" Type="http://schemas.openxmlformats.org/officeDocument/2006/relationships/hyperlink" Target="https://haelg.ch/" TargetMode="External"/><Relationship Id="rId165" Type="http://schemas.openxmlformats.org/officeDocument/2006/relationships/hyperlink" Target="https://www.linkedin.com/search/results/companies/?keywords=H&#228;lg+Group" TargetMode="External"/><Relationship Id="rId166" Type="http://schemas.openxmlformats.org/officeDocument/2006/relationships/hyperlink" Target="https://www.linkedin.com/search/results/people/?keywords=H&#228;lg+Group+Projektleiter" TargetMode="External"/><Relationship Id="rId167" Type="http://schemas.openxmlformats.org/officeDocument/2006/relationships/hyperlink" Target="https://haelg.ch/unternehmen/" TargetMode="External"/><Relationship Id="rId168" Type="http://schemas.openxmlformats.org/officeDocument/2006/relationships/hyperlink" Target="https://cbre.ch/" TargetMode="External"/><Relationship Id="rId169" Type="http://schemas.openxmlformats.org/officeDocument/2006/relationships/hyperlink" Target="https://www.linkedin.com/search/results/companies/?keywords=CBRE+GWS+GmbH" TargetMode="External"/><Relationship Id="rId170" Type="http://schemas.openxmlformats.org/officeDocument/2006/relationships/hyperlink" Target="https://www.linkedin.com/search/results/people/?keywords=CBRE+GWS+GmbH+Technisches+Facility+Management" TargetMode="External"/><Relationship Id="rId171" Type="http://schemas.openxmlformats.org/officeDocument/2006/relationships/hyperlink" Target="https://www.swissbau.ch/de/p/cbre-gws-schweiz.142727" TargetMode="External"/><Relationship Id="rId172" Type="http://schemas.openxmlformats.org/officeDocument/2006/relationships/hyperlink" Target="https://equans.ch/" TargetMode="External"/><Relationship Id="rId173" Type="http://schemas.openxmlformats.org/officeDocument/2006/relationships/hyperlink" Target="https://www.linkedin.com/search/results/companies/?keywords=Equans+Switzerland+Facility+Management+AG" TargetMode="External"/><Relationship Id="rId174" Type="http://schemas.openxmlformats.org/officeDocument/2006/relationships/hyperlink" Target="https://www.linkedin.com/search/results/people/?keywords=Equans+Switzerland+Facility+Management+AG+Technisches+Facility+Management" TargetMode="External"/><Relationship Id="rId175" Type="http://schemas.openxmlformats.org/officeDocument/2006/relationships/hyperlink" Target="https://www.northdata.com/Equans%20Switzerland%20Facility%20Management%20AG,%20Zug/CHE-105.849.954" TargetMode="External"/><Relationship Id="rId176" Type="http://schemas.openxmlformats.org/officeDocument/2006/relationships/hyperlink" Target="https://ch.issworld.com/" TargetMode="External"/><Relationship Id="rId177" Type="http://schemas.openxmlformats.org/officeDocument/2006/relationships/hyperlink" Target="https://www.linkedin.com/search/results/companies/?keywords=ISS+Schweiz+AG" TargetMode="External"/><Relationship Id="rId178" Type="http://schemas.openxmlformats.org/officeDocument/2006/relationships/hyperlink" Target="https://www.linkedin.com/search/results/people/?keywords=ISS+Schweiz+AG+Technisches+Facility+Management" TargetMode="External"/><Relationship Id="rId179" Type="http://schemas.openxmlformats.org/officeDocument/2006/relationships/hyperlink" Target="https://www.moneycab.com/company/iss-schweiz/" TargetMode="External"/><Relationship Id="rId180" Type="http://schemas.openxmlformats.org/officeDocument/2006/relationships/hyperlink" Target="https://apleona.ch/" TargetMode="External"/><Relationship Id="rId181" Type="http://schemas.openxmlformats.org/officeDocument/2006/relationships/hyperlink" Target="https://www.linkedin.com/search/results/companies/?keywords=Apleona+Schweiz+AG" TargetMode="External"/><Relationship Id="rId182" Type="http://schemas.openxmlformats.org/officeDocument/2006/relationships/hyperlink" Target="https://www.linkedin.com/search/results/people/?keywords=Apleona+Schweiz+AG+Technisches+Facility+Management" TargetMode="External"/><Relationship Id="rId183" Type="http://schemas.openxmlformats.org/officeDocument/2006/relationships/hyperlink" Target="https://apleona.ch/" TargetMode="External"/><Relationship Id="rId184" Type="http://schemas.openxmlformats.org/officeDocument/2006/relationships/hyperlink" Target="https://honegger.ch/" TargetMode="External"/><Relationship Id="rId185" Type="http://schemas.openxmlformats.org/officeDocument/2006/relationships/hyperlink" Target="https://www.linkedin.com/search/results/companies/?keywords=Honegger+AG" TargetMode="External"/><Relationship Id="rId186" Type="http://schemas.openxmlformats.org/officeDocument/2006/relationships/hyperlink" Target="https://www.linkedin.com/search/results/people/?keywords=Honegger+AG+Technisches+Facility+Management" TargetMode="External"/><Relationship Id="rId187" Type="http://schemas.openxmlformats.org/officeDocument/2006/relationships/hyperlink" Target="https://honegger.ch/en/about-honegger/" TargetMode="External"/><Relationship Id="rId188" Type="http://schemas.openxmlformats.org/officeDocument/2006/relationships/hyperlink" Target="https://vebego.ch/" TargetMode="External"/><Relationship Id="rId189" Type="http://schemas.openxmlformats.org/officeDocument/2006/relationships/hyperlink" Target="https://www.linkedin.com/search/results/companies/?keywords=Vebego+AG" TargetMode="External"/><Relationship Id="rId190" Type="http://schemas.openxmlformats.org/officeDocument/2006/relationships/hyperlink" Target="https://www.linkedin.com/search/results/people/?keywords=Vebego+AG+Technisches+Facility+Management" TargetMode="External"/><Relationship Id="rId191" Type="http://schemas.openxmlformats.org/officeDocument/2006/relationships/hyperlink" Target="https://www.vebego.ch/de/ueber-uns" TargetMode="External"/><Relationship Id="rId192" Type="http://schemas.openxmlformats.org/officeDocument/2006/relationships/hyperlink" Target="https://priorafm.com/" TargetMode="External"/><Relationship Id="rId193" Type="http://schemas.openxmlformats.org/officeDocument/2006/relationships/hyperlink" Target="https://www.linkedin.com/search/results/companies/?keywords=Priora+FM+AG" TargetMode="External"/><Relationship Id="rId194" Type="http://schemas.openxmlformats.org/officeDocument/2006/relationships/hyperlink" Target="https://www.linkedin.com/search/results/people/?keywords=Priora+FM+AG+Technisches+Facility+Management" TargetMode="External"/><Relationship Id="rId195" Type="http://schemas.openxmlformats.org/officeDocument/2006/relationships/hyperlink" Target="https://www.priorafm.com/en/priora-fm" TargetMode="External"/><Relationship Id="rId196" Type="http://schemas.openxmlformats.org/officeDocument/2006/relationships/hyperlink" Target="https://ckw.ch/" TargetMode="External"/><Relationship Id="rId197" Type="http://schemas.openxmlformats.org/officeDocument/2006/relationships/hyperlink" Target="https://www.linkedin.com/search/results/companies/?keywords=CKW" TargetMode="External"/><Relationship Id="rId198" Type="http://schemas.openxmlformats.org/officeDocument/2006/relationships/hyperlink" Target="https://www.linkedin.com/search/results/people/?keywords=CKW+Netzbau" TargetMode="External"/><Relationship Id="rId199" Type="http://schemas.openxmlformats.org/officeDocument/2006/relationships/hyperlink" Target="https://www.ckw.ch/ueber-ckw/unternehmen" TargetMode="External"/><Relationship Id="rId200" Type="http://schemas.openxmlformats.org/officeDocument/2006/relationships/hyperlink" Target="https://ekz.ch/" TargetMode="External"/><Relationship Id="rId201" Type="http://schemas.openxmlformats.org/officeDocument/2006/relationships/hyperlink" Target="https://www.linkedin.com/search/results/companies/?keywords=EKZ" TargetMode="External"/><Relationship Id="rId202" Type="http://schemas.openxmlformats.org/officeDocument/2006/relationships/hyperlink" Target="https://www.linkedin.com/search/results/people/?keywords=EKZ+Netzbau" TargetMode="External"/><Relationship Id="rId203" Type="http://schemas.openxmlformats.org/officeDocument/2006/relationships/hyperlink" Target="https://www.ekz.ch/de/ueber-ekz/unternehmen.html" TargetMode="External"/><Relationship Id="rId204" Type="http://schemas.openxmlformats.org/officeDocument/2006/relationships/hyperlink" Target="https://iwb.ch/" TargetMode="External"/><Relationship Id="rId205" Type="http://schemas.openxmlformats.org/officeDocument/2006/relationships/hyperlink" Target="https://www.linkedin.com/search/results/companies/?keywords=IWB" TargetMode="External"/><Relationship Id="rId206" Type="http://schemas.openxmlformats.org/officeDocument/2006/relationships/hyperlink" Target="https://www.linkedin.com/search/results/people/?keywords=IWB+Netzbau" TargetMode="External"/><Relationship Id="rId207" Type="http://schemas.openxmlformats.org/officeDocument/2006/relationships/hyperlink" Target="https://www.iwb.ch/ueber-uns/newsroom/medienmitteilungen/artikel~_IWB-verst&#228;rkt-wichtigsten-Knotenpunkt-des-Basler-Stromnetzes~" TargetMode="External"/><Relationship Id="rId208" Type="http://schemas.openxmlformats.org/officeDocument/2006/relationships/hyperlink" Target="https://ewz.ch/" TargetMode="External"/><Relationship Id="rId209" Type="http://schemas.openxmlformats.org/officeDocument/2006/relationships/hyperlink" Target="https://www.linkedin.com/search/results/companies/?keywords=ewz" TargetMode="External"/><Relationship Id="rId210" Type="http://schemas.openxmlformats.org/officeDocument/2006/relationships/hyperlink" Target="https://www.linkedin.com/search/results/people/?keywords=ewz+Netzbau" TargetMode="External"/><Relationship Id="rId211" Type="http://schemas.openxmlformats.org/officeDocument/2006/relationships/hyperlink" Target="https://www.baunetzwissen.de/elektro/objekte/sonderbauten/unterwerk-und-netzstuetzpunkt-in-zuerich-4817704" TargetMode="External"/><Relationship Id="rId212" Type="http://schemas.openxmlformats.org/officeDocument/2006/relationships/hyperlink" Target="https://romande-energie.ch/" TargetMode="External"/><Relationship Id="rId213" Type="http://schemas.openxmlformats.org/officeDocument/2006/relationships/hyperlink" Target="https://www.linkedin.com/search/results/companies/?keywords=Romande+Energie" TargetMode="External"/><Relationship Id="rId214" Type="http://schemas.openxmlformats.org/officeDocument/2006/relationships/hyperlink" Target="https://www.linkedin.com/search/results/people/?keywords=Romande+Energie+Netzbau" TargetMode="External"/><Relationship Id="rId215" Type="http://schemas.openxmlformats.org/officeDocument/2006/relationships/hyperlink" Target="https://www.zonebourse.com/actualite-bourse/romande-energie-rapport-semestriel-2025-ce7c50d3d88bf324" TargetMode="External"/><Relationship Id="rId216" Type="http://schemas.openxmlformats.org/officeDocument/2006/relationships/hyperlink" Target="https://sig-ge.ch/" TargetMode="External"/><Relationship Id="rId217" Type="http://schemas.openxmlformats.org/officeDocument/2006/relationships/hyperlink" Target="https://www.linkedin.com/search/results/companies/?keywords=SIG+Services+Industriels+de+Gen&#232;ve" TargetMode="External"/><Relationship Id="rId218" Type="http://schemas.openxmlformats.org/officeDocument/2006/relationships/hyperlink" Target="https://www.linkedin.com/search/results/people/?keywords=SIG+Services+Industriels+de+Gen&#232;ve+Netzbau" TargetMode="External"/><Relationship Id="rId219" Type="http://schemas.openxmlformats.org/officeDocument/2006/relationships/hyperlink" Target="https://www.vorbild-energie-klima.admin.ch/fr/services-industriels-de-geneve-fr" TargetMode="External"/><Relationship Id="rId220" Type="http://schemas.openxmlformats.org/officeDocument/2006/relationships/hyperlink" Target="https://ewb.ch/" TargetMode="External"/><Relationship Id="rId221" Type="http://schemas.openxmlformats.org/officeDocument/2006/relationships/hyperlink" Target="https://www.linkedin.com/search/results/companies/?keywords=Energie+Wasser+Bern" TargetMode="External"/><Relationship Id="rId222" Type="http://schemas.openxmlformats.org/officeDocument/2006/relationships/hyperlink" Target="https://www.linkedin.com/search/results/people/?keywords=Energie+Wasser+Bern+Netzbau" TargetMode="External"/><Relationship Id="rId223" Type="http://schemas.openxmlformats.org/officeDocument/2006/relationships/hyperlink" Target="https://www.ewb.ch/" TargetMode="External"/><Relationship Id="rId224" Type="http://schemas.openxmlformats.org/officeDocument/2006/relationships/hyperlink" Target="https://groupe-e.ch/" TargetMode="External"/><Relationship Id="rId225" Type="http://schemas.openxmlformats.org/officeDocument/2006/relationships/hyperlink" Target="https://www.linkedin.com/search/results/companies/?keywords=Groupe+E" TargetMode="External"/><Relationship Id="rId226" Type="http://schemas.openxmlformats.org/officeDocument/2006/relationships/hyperlink" Target="https://www.linkedin.com/search/results/people/?keywords=Groupe+E+Netzbau" TargetMode="External"/><Relationship Id="rId227" Type="http://schemas.openxmlformats.org/officeDocument/2006/relationships/hyperlink" Target="https://de.wikipedia.org/wiki/Groupe_E" TargetMode="External"/><Relationship Id="rId228" Type="http://schemas.openxmlformats.org/officeDocument/2006/relationships/hyperlink" Target="https://aet.ch/" TargetMode="External"/><Relationship Id="rId229" Type="http://schemas.openxmlformats.org/officeDocument/2006/relationships/hyperlink" Target="https://www.linkedin.com/search/results/companies/?keywords=AET" TargetMode="External"/><Relationship Id="rId230" Type="http://schemas.openxmlformats.org/officeDocument/2006/relationships/hyperlink" Target="https://www.linkedin.com/search/results/people/?keywords=AET+Netzbau" TargetMode="External"/><Relationship Id="rId231" Type="http://schemas.openxmlformats.org/officeDocument/2006/relationships/hyperlink" Target="https://www.aet.ch/it/infrastruttura-di-rete" TargetMode="External"/><Relationship Id="rId232" Type="http://schemas.openxmlformats.org/officeDocument/2006/relationships/hyperlink" Target="https://wwz.ch/" TargetMode="External"/><Relationship Id="rId233" Type="http://schemas.openxmlformats.org/officeDocument/2006/relationships/hyperlink" Target="https://www.linkedin.com/search/results/companies/?keywords=WWZ" TargetMode="External"/><Relationship Id="rId234" Type="http://schemas.openxmlformats.org/officeDocument/2006/relationships/hyperlink" Target="https://www.linkedin.com/search/results/people/?keywords=WWZ+Netzbau" TargetMode="External"/><Relationship Id="rId235" Type="http://schemas.openxmlformats.org/officeDocument/2006/relationships/hyperlink" Target="https://www.wwz.ch/-/media/ueber-wwz/wwz-gruppe/geschichte/factsheet-kurzportrait.pdf" TargetMode="External"/><Relationship Id="rId236" Type="http://schemas.openxmlformats.org/officeDocument/2006/relationships/hyperlink" Target="https://ail.ch/" TargetMode="External"/><Relationship Id="rId237" Type="http://schemas.openxmlformats.org/officeDocument/2006/relationships/hyperlink" Target="https://www.linkedin.com/search/results/companies/?keywords=AIL+SA" TargetMode="External"/><Relationship Id="rId238" Type="http://schemas.openxmlformats.org/officeDocument/2006/relationships/hyperlink" Target="https://www.linkedin.com/search/results/people/?keywords=AIL+SA+Netzbau" TargetMode="External"/><Relationship Id="rId239" Type="http://schemas.openxmlformats.org/officeDocument/2006/relationships/hyperlink" Target="https://www.ail.ch/AIL/chi-siamo.html" TargetMode="External"/><Relationship Id="rId240" Type="http://schemas.openxmlformats.org/officeDocument/2006/relationships/hyperlink" Target="https://oiken.ch/" TargetMode="External"/><Relationship Id="rId241" Type="http://schemas.openxmlformats.org/officeDocument/2006/relationships/hyperlink" Target="https://www.linkedin.com/search/results/companies/?keywords=OIKEN+SA" TargetMode="External"/><Relationship Id="rId242" Type="http://schemas.openxmlformats.org/officeDocument/2006/relationships/hyperlink" Target="https://www.linkedin.com/search/results/people/?keywords=OIKEN+SA+Netzbau" TargetMode="External"/><Relationship Id="rId243" Type="http://schemas.openxmlformats.org/officeDocument/2006/relationships/hyperlink" Target="https://oiken.ch/entreprise/notre-histoire/" TargetMode="External"/><Relationship Id="rId244" Type="http://schemas.openxmlformats.org/officeDocument/2006/relationships/hyperlink" Target="https://primeo-energie.ch/" TargetMode="External"/><Relationship Id="rId245" Type="http://schemas.openxmlformats.org/officeDocument/2006/relationships/hyperlink" Target="https://www.linkedin.com/search/results/companies/?keywords=Primeo+Energie" TargetMode="External"/><Relationship Id="rId246" Type="http://schemas.openxmlformats.org/officeDocument/2006/relationships/hyperlink" Target="https://www.linkedin.com/search/results/people/?keywords=Primeo+Energie+Netzbau" TargetMode="External"/><Relationship Id="rId247" Type="http://schemas.openxmlformats.org/officeDocument/2006/relationships/hyperlink" Target="https://www.primeo-energie.ch/en/ueber-uns/unternehmen.html" TargetMode="External"/><Relationship Id="rId248" Type="http://schemas.openxmlformats.org/officeDocument/2006/relationships/hyperlink" Target="https://repower.com/" TargetMode="External"/><Relationship Id="rId249" Type="http://schemas.openxmlformats.org/officeDocument/2006/relationships/hyperlink" Target="https://www.linkedin.com/search/results/companies/?keywords=Repower+AG" TargetMode="External"/><Relationship Id="rId250" Type="http://schemas.openxmlformats.org/officeDocument/2006/relationships/hyperlink" Target="https://www.linkedin.com/search/results/people/?keywords=Repower+AG+Netzbau" TargetMode="External"/><Relationship Id="rId251" Type="http://schemas.openxmlformats.org/officeDocument/2006/relationships/hyperlink" Target="https://www.repower.com/ch/medienmitteilungen/jahresergebnis-2025" TargetMode="External"/><Relationship Id="rId252" Type="http://schemas.openxmlformats.org/officeDocument/2006/relationships/hyperlink" Target="https://sak.ch/" TargetMode="External"/><Relationship Id="rId253" Type="http://schemas.openxmlformats.org/officeDocument/2006/relationships/hyperlink" Target="https://www.linkedin.com/search/results/companies/?keywords=SAK" TargetMode="External"/><Relationship Id="rId254" Type="http://schemas.openxmlformats.org/officeDocument/2006/relationships/hyperlink" Target="https://www.linkedin.com/search/results/people/?keywords=SAK+Netzbau" TargetMode="External"/><Relationship Id="rId255" Type="http://schemas.openxmlformats.org/officeDocument/2006/relationships/hyperlink" Target="https://www.sak.ch/ueber-sak/unternehmen" TargetMode="External"/><Relationship Id="rId256" Type="http://schemas.openxmlformats.org/officeDocument/2006/relationships/hyperlink" Target="https://viteos.ch/" TargetMode="External"/><Relationship Id="rId257" Type="http://schemas.openxmlformats.org/officeDocument/2006/relationships/hyperlink" Target="https://www.linkedin.com/search/results/companies/?keywords=Viteos+SA" TargetMode="External"/><Relationship Id="rId258" Type="http://schemas.openxmlformats.org/officeDocument/2006/relationships/hyperlink" Target="https://www.linkedin.com/search/results/people/?keywords=Viteos+SA+Netzbau" TargetMode="External"/><Relationship Id="rId259" Type="http://schemas.openxmlformats.org/officeDocument/2006/relationships/hyperlink" Target="https://www.viteos.ch/a-propos-de-viteos/nous-connaitre/nos-activites/" TargetMode="External"/><Relationship Id="rId260" Type="http://schemas.openxmlformats.org/officeDocument/2006/relationships/hyperlink" Target="https://amstein-walthert.ch/" TargetMode="External"/><Relationship Id="rId261" Type="http://schemas.openxmlformats.org/officeDocument/2006/relationships/hyperlink" Target="https://www.linkedin.com/search/results/companies/?keywords=Amstein+%2B+Walthert" TargetMode="External"/><Relationship Id="rId262" Type="http://schemas.openxmlformats.org/officeDocument/2006/relationships/hyperlink" Target="https://www.linkedin.com/search/results/people/?keywords=Amstein+%2B+Walthert+Elektroplanung" TargetMode="External"/><Relationship Id="rId263" Type="http://schemas.openxmlformats.org/officeDocument/2006/relationships/hyperlink" Target="https://amstein-walthert.ch/en/" TargetMode="External"/><Relationship Id="rId264" Type="http://schemas.openxmlformats.org/officeDocument/2006/relationships/hyperlink" Target="https://hhm.ch/" TargetMode="External"/><Relationship Id="rId265" Type="http://schemas.openxmlformats.org/officeDocument/2006/relationships/hyperlink" Target="https://www.linkedin.com/search/results/companies/?keywords=HHM+Gruppe" TargetMode="External"/><Relationship Id="rId266" Type="http://schemas.openxmlformats.org/officeDocument/2006/relationships/hyperlink" Target="https://www.linkedin.com/search/results/people/?keywords=HHM+Gruppe+Elektroplanung" TargetMode="External"/><Relationship Id="rId267" Type="http://schemas.openxmlformats.org/officeDocument/2006/relationships/hyperlink" Target="https://www.hhm.ch/hhmgruppe" TargetMode="External"/><Relationship Id="rId268" Type="http://schemas.openxmlformats.org/officeDocument/2006/relationships/hyperlink" Target="https://scherler.swiss/" TargetMode="External"/><Relationship Id="rId269" Type="http://schemas.openxmlformats.org/officeDocument/2006/relationships/hyperlink" Target="https://www.linkedin.com/search/results/companies/?keywords=SCHERLER+AG" TargetMode="External"/><Relationship Id="rId270" Type="http://schemas.openxmlformats.org/officeDocument/2006/relationships/hyperlink" Target="https://www.linkedin.com/search/results/people/?keywords=SCHERLER+AG+Elektroplanung" TargetMode="External"/><Relationship Id="rId271" Type="http://schemas.openxmlformats.org/officeDocument/2006/relationships/hyperlink" Target="https://www.scherler.swiss/it/" TargetMode="External"/><Relationship Id="rId272" Type="http://schemas.openxmlformats.org/officeDocument/2006/relationships/hyperlink" Target="https://afry.com/" TargetMode="External"/><Relationship Id="rId273" Type="http://schemas.openxmlformats.org/officeDocument/2006/relationships/hyperlink" Target="https://www.linkedin.com/search/results/companies/?keywords=AFRY+Schweiz+AG" TargetMode="External"/><Relationship Id="rId274" Type="http://schemas.openxmlformats.org/officeDocument/2006/relationships/hyperlink" Target="https://www.linkedin.com/search/results/people/?keywords=AFRY+Schweiz+AG+Elektroplanung" TargetMode="External"/><Relationship Id="rId275" Type="http://schemas.openxmlformats.org/officeDocument/2006/relationships/hyperlink" Target="https://afry.com/en/offices/switzerland" TargetMode="External"/><Relationship Id="rId276" Type="http://schemas.openxmlformats.org/officeDocument/2006/relationships/hyperlink" Target="https://baslerhofmann.ch/" TargetMode="External"/><Relationship Id="rId277" Type="http://schemas.openxmlformats.org/officeDocument/2006/relationships/hyperlink" Target="https://www.linkedin.com/search/results/companies/?keywords=Basler+%26+Hofmann" TargetMode="External"/><Relationship Id="rId278" Type="http://schemas.openxmlformats.org/officeDocument/2006/relationships/hyperlink" Target="https://www.linkedin.com/search/results/people/?keywords=Basler+%26+Hofmann+Elektroplanung" TargetMode="External"/><Relationship Id="rId279" Type="http://schemas.openxmlformats.org/officeDocument/2006/relationships/hyperlink" Target="https://www.baslerhofmann.ch/en" TargetMode="External"/><Relationship Id="rId280" Type="http://schemas.openxmlformats.org/officeDocument/2006/relationships/hyperlink" Target="https://gruner.ch/" TargetMode="External"/><Relationship Id="rId281" Type="http://schemas.openxmlformats.org/officeDocument/2006/relationships/hyperlink" Target="https://www.linkedin.com/search/results/companies/?keywords=Gruner+AG" TargetMode="External"/><Relationship Id="rId282" Type="http://schemas.openxmlformats.org/officeDocument/2006/relationships/hyperlink" Target="https://www.linkedin.com/search/results/people/?keywords=Gruner+AG+Elektroplanung" TargetMode="External"/><Relationship Id="rId283" Type="http://schemas.openxmlformats.org/officeDocument/2006/relationships/hyperlink" Target="https://www.gruner.ch/en" TargetMode="External"/><Relationship Id="rId284" Type="http://schemas.openxmlformats.org/officeDocument/2006/relationships/hyperlink" Target="https://hkg.ch/" TargetMode="External"/><Relationship Id="rId285" Type="http://schemas.openxmlformats.org/officeDocument/2006/relationships/hyperlink" Target="https://www.linkedin.com/search/results/companies/?keywords=HKG+Engineering+AG" TargetMode="External"/><Relationship Id="rId286" Type="http://schemas.openxmlformats.org/officeDocument/2006/relationships/hyperlink" Target="https://www.linkedin.com/search/results/people/?keywords=HKG+Engineering+AG+Elektroplanung" TargetMode="External"/><Relationship Id="rId287" Type="http://schemas.openxmlformats.org/officeDocument/2006/relationships/hyperlink" Target="https://www.aargau.swiss/news/herzog-kull-group-bezieht-neuen-firmensitz-in-baden/" TargetMode="External"/><Relationship Id="rId288" Type="http://schemas.openxmlformats.org/officeDocument/2006/relationships/hyperlink" Target="https://weinmann-energies.ch/" TargetMode="External"/><Relationship Id="rId289" Type="http://schemas.openxmlformats.org/officeDocument/2006/relationships/hyperlink" Target="https://www.linkedin.com/search/results/companies/?keywords=Weinmann-Energies+SA" TargetMode="External"/><Relationship Id="rId290" Type="http://schemas.openxmlformats.org/officeDocument/2006/relationships/hyperlink" Target="https://www.linkedin.com/search/results/people/?keywords=Weinmann-Energies+SA+Elektroplanung" TargetMode="External"/><Relationship Id="rId291" Type="http://schemas.openxmlformats.org/officeDocument/2006/relationships/hyperlink" Target="https://www.weinmann-energies.ch/bureau" TargetMode="External"/><Relationship Id="rId292" Type="http://schemas.openxmlformats.org/officeDocument/2006/relationships/hyperlink" Target="https://ibg.ch/" TargetMode="External"/><Relationship Id="rId293" Type="http://schemas.openxmlformats.org/officeDocument/2006/relationships/hyperlink" Target="https://www.linkedin.com/search/results/companies/?keywords=IBG+Engineering+AG" TargetMode="External"/><Relationship Id="rId294" Type="http://schemas.openxmlformats.org/officeDocument/2006/relationships/hyperlink" Target="https://www.linkedin.com/search/results/people/?keywords=IBG+Engineering+AG+Elektroplanung" TargetMode="External"/><Relationship Id="rId295" Type="http://schemas.openxmlformats.org/officeDocument/2006/relationships/hyperlink" Target="https://www.ibg.ch/gebaude/angebot/elektroplanung" TargetMode="External"/><Relationship Id="rId296" Type="http://schemas.openxmlformats.org/officeDocument/2006/relationships/hyperlink" Target="https://srg-engineering.ch/" TargetMode="External"/><Relationship Id="rId297" Type="http://schemas.openxmlformats.org/officeDocument/2006/relationships/hyperlink" Target="https://www.linkedin.com/search/results/companies/?keywords=SRG+Engineering" TargetMode="External"/><Relationship Id="rId298" Type="http://schemas.openxmlformats.org/officeDocument/2006/relationships/hyperlink" Target="https://www.linkedin.com/search/results/people/?keywords=SRG+Engineering+Elektroplanung" TargetMode="External"/><Relationship Id="rId299" Type="http://schemas.openxmlformats.org/officeDocument/2006/relationships/hyperlink" Target="https://www.srg-engineering.ch/" TargetMode="External"/><Relationship Id="rId300" Type="http://schemas.openxmlformats.org/officeDocument/2006/relationships/hyperlink" Target="https://vrt.ch/" TargetMode="External"/><Relationship Id="rId301" Type="http://schemas.openxmlformats.org/officeDocument/2006/relationships/hyperlink" Target="https://www.linkedin.com/search/results/companies/?keywords=Studio+d%27ingegneria+Visani+Rusconi+Talleri" TargetMode="External"/><Relationship Id="rId302" Type="http://schemas.openxmlformats.org/officeDocument/2006/relationships/hyperlink" Target="https://www.linkedin.com/search/results/people/?keywords=Studio+d%27ingegneria+Visani+Rusconi+Talleri+Elektroplanung" TargetMode="External"/><Relationship Id="rId303" Type="http://schemas.openxmlformats.org/officeDocument/2006/relationships/hyperlink" Target="https://www.vrt.ch/chi-siamo" TargetMode="External"/><Relationship Id="rId304" Type="http://schemas.openxmlformats.org/officeDocument/2006/relationships/hyperlink" Target="https://moreengineering.ch/" TargetMode="External"/><Relationship Id="rId305" Type="http://schemas.openxmlformats.org/officeDocument/2006/relationships/hyperlink" Target="https://www.linkedin.com/search/results/companies/?keywords=MORE+Engineering+SA" TargetMode="External"/><Relationship Id="rId306" Type="http://schemas.openxmlformats.org/officeDocument/2006/relationships/hyperlink" Target="https://www.linkedin.com/search/results/people/?keywords=MORE+Engineering+SA+Elektroplanung" TargetMode="External"/><Relationship Id="rId307" Type="http://schemas.openxmlformats.org/officeDocument/2006/relationships/hyperlink" Target="https://moreengineering.ch/" TargetMode="External"/><Relationship Id="rId308" Type="http://schemas.openxmlformats.org/officeDocument/2006/relationships/hyperlink" Target="https://implenia.com/" TargetMode="External"/><Relationship Id="rId309" Type="http://schemas.openxmlformats.org/officeDocument/2006/relationships/hyperlink" Target="https://www.linkedin.com/search/results/companies/?keywords=Implenia" TargetMode="External"/><Relationship Id="rId310" Type="http://schemas.openxmlformats.org/officeDocument/2006/relationships/hyperlink" Target="https://www.linkedin.com/search/results/people/?keywords=Implenia+Baustelleneinrichtung" TargetMode="External"/><Relationship Id="rId311" Type="http://schemas.openxmlformats.org/officeDocument/2006/relationships/hyperlink" Target="https://implenia.com/medien/artikel/implenia-gewinnt-attraktive-neue-projekte-in-den-bereichen-datacenter-gesundheit-sowie-energie-und-verkehrsinfrastruktur/" TargetMode="External"/><Relationship Id="rId312" Type="http://schemas.openxmlformats.org/officeDocument/2006/relationships/hyperlink" Target="https://losinger-marazzi.ch/" TargetMode="External"/><Relationship Id="rId313" Type="http://schemas.openxmlformats.org/officeDocument/2006/relationships/hyperlink" Target="https://www.linkedin.com/search/results/companies/?keywords=Losinger+Marazzi" TargetMode="External"/><Relationship Id="rId314" Type="http://schemas.openxmlformats.org/officeDocument/2006/relationships/hyperlink" Target="https://www.linkedin.com/search/results/people/?keywords=Losinger+Marazzi+Baustelleneinrichtung" TargetMode="External"/><Relationship Id="rId315" Type="http://schemas.openxmlformats.org/officeDocument/2006/relationships/hyperlink" Target="https://gva.blog/le-projet-cap2030-en-neuf-questions/" TargetMode="External"/><Relationship Id="rId316" Type="http://schemas.openxmlformats.org/officeDocument/2006/relationships/hyperlink" Target="https://marti.com/" TargetMode="External"/><Relationship Id="rId317" Type="http://schemas.openxmlformats.org/officeDocument/2006/relationships/hyperlink" Target="https://www.linkedin.com/search/results/companies/?keywords=Marti-Gruppe" TargetMode="External"/><Relationship Id="rId318" Type="http://schemas.openxmlformats.org/officeDocument/2006/relationships/hyperlink" Target="https://www.linkedin.com/search/results/people/?keywords=Marti-Gruppe+Baustelleneinrichtung" TargetMode="External"/><Relationship Id="rId319" Type="http://schemas.openxmlformats.org/officeDocument/2006/relationships/hyperlink" Target="https://www.marti.com/ch_en/stories/messages/2024-07-31_Zweite-Gotthardroehre-Umfangreiche-Arbeiten-Nachhaltigkeit.php" TargetMode="External"/><Relationship Id="rId320" Type="http://schemas.openxmlformats.org/officeDocument/2006/relationships/hyperlink" Target="https://erne-gruppe.ch/" TargetMode="External"/><Relationship Id="rId321" Type="http://schemas.openxmlformats.org/officeDocument/2006/relationships/hyperlink" Target="https://www.linkedin.com/search/results/companies/?keywords=ERNE+Gruppe" TargetMode="External"/><Relationship Id="rId322" Type="http://schemas.openxmlformats.org/officeDocument/2006/relationships/hyperlink" Target="https://www.linkedin.com/search/results/people/?keywords=ERNE+Gruppe+Baustelleneinrichtung" TargetMode="External"/><Relationship Id="rId323" Type="http://schemas.openxmlformats.org/officeDocument/2006/relationships/hyperlink" Target="https://www.erne-gruppe.ch/en/projects/new-flexbase-technology-center-laufenburg/" TargetMode="External"/><Relationship Id="rId324" Type="http://schemas.openxmlformats.org/officeDocument/2006/relationships/hyperlink" Target="https://frutiger.com/" TargetMode="External"/><Relationship Id="rId325" Type="http://schemas.openxmlformats.org/officeDocument/2006/relationships/hyperlink" Target="https://www.linkedin.com/search/results/companies/?keywords=Frutiger+AG" TargetMode="External"/><Relationship Id="rId326" Type="http://schemas.openxmlformats.org/officeDocument/2006/relationships/hyperlink" Target="https://www.linkedin.com/search/results/people/?keywords=Frutiger+AG+Baustelleneinrichtung" TargetMode="External"/><Relationship Id="rId327" Type="http://schemas.openxmlformats.org/officeDocument/2006/relationships/hyperlink" Target="https://www.frutiger.com/de/unternehmen/news" TargetMode="External"/><Relationship Id="rId328" Type="http://schemas.openxmlformats.org/officeDocument/2006/relationships/hyperlink" Target="https://hrs.ch/" TargetMode="External"/><Relationship Id="rId329" Type="http://schemas.openxmlformats.org/officeDocument/2006/relationships/hyperlink" Target="https://www.linkedin.com/search/results/companies/?keywords=HRS+Real+Estate" TargetMode="External"/><Relationship Id="rId330" Type="http://schemas.openxmlformats.org/officeDocument/2006/relationships/hyperlink" Target="https://www.linkedin.com/search/results/people/?keywords=HRS+Real+Estate+Baustelleneinrichtung" TargetMode="External"/><Relationship Id="rId331" Type="http://schemas.openxmlformats.org/officeDocument/2006/relationships/hyperlink" Target="https://www.hrs.ch/de/projekte/chez-fritz-hochhaus" TargetMode="External"/><Relationship Id="rId332" Type="http://schemas.openxmlformats.org/officeDocument/2006/relationships/hyperlink" Target="https://anliker.ch/" TargetMode="External"/><Relationship Id="rId333" Type="http://schemas.openxmlformats.org/officeDocument/2006/relationships/hyperlink" Target="https://www.linkedin.com/search/results/companies/?keywords=Anliker+AG" TargetMode="External"/><Relationship Id="rId334" Type="http://schemas.openxmlformats.org/officeDocument/2006/relationships/hyperlink" Target="https://www.linkedin.com/search/results/people/?keywords=Anliker+AG+Baustelleneinrichtung" TargetMode="External"/><Relationship Id="rId335" Type="http://schemas.openxmlformats.org/officeDocument/2006/relationships/hyperlink" Target="https://www.anliker.ch/aktuelles/2025/universitatsspital-zurich---neubau-campus-mitte1-2-fur-hochklassige-medizin" TargetMode="External"/><Relationship Id="rId336" Type="http://schemas.openxmlformats.org/officeDocument/2006/relationships/hyperlink" Target="https://walo.ch/" TargetMode="External"/><Relationship Id="rId337" Type="http://schemas.openxmlformats.org/officeDocument/2006/relationships/hyperlink" Target="https://www.linkedin.com/search/results/companies/?keywords=Walo+Bertschinger" TargetMode="External"/><Relationship Id="rId338" Type="http://schemas.openxmlformats.org/officeDocument/2006/relationships/hyperlink" Target="https://www.linkedin.com/search/results/people/?keywords=Walo+Bertschinger+Baustelleneinrichtung" TargetMode="External"/><Relationship Id="rId339" Type="http://schemas.openxmlformats.org/officeDocument/2006/relationships/hyperlink" Target="https://www.zhk.ch/de/wirtschaft-und-politik/news/walo-bertschinger-realisiert-zwei-neue-bruecken-im-kanton-bern.html" TargetMode="External"/><Relationship Id="rId340" Type="http://schemas.openxmlformats.org/officeDocument/2006/relationships/hyperlink" Target="https://halter.ch/" TargetMode="External"/><Relationship Id="rId341" Type="http://schemas.openxmlformats.org/officeDocument/2006/relationships/hyperlink" Target="https://www.linkedin.com/search/results/companies/?keywords=Halter+AG" TargetMode="External"/><Relationship Id="rId342" Type="http://schemas.openxmlformats.org/officeDocument/2006/relationships/hyperlink" Target="https://www.linkedin.com/search/results/people/?keywords=Halter+AG+Baustelleneinrichtung" TargetMode="External"/><Relationship Id="rId343" Type="http://schemas.openxmlformats.org/officeDocument/2006/relationships/hyperlink" Target="https://www.halter.ch/de/projekte/aupark" TargetMode="External"/><Relationship Id="rId344" Type="http://schemas.openxmlformats.org/officeDocument/2006/relationships/hyperlink" Target="https://induni.ch/" TargetMode="External"/><Relationship Id="rId345" Type="http://schemas.openxmlformats.org/officeDocument/2006/relationships/hyperlink" Target="https://www.linkedin.com/search/results/companies/?keywords=Induni+%26+Cie+SA" TargetMode="External"/><Relationship Id="rId346" Type="http://schemas.openxmlformats.org/officeDocument/2006/relationships/hyperlink" Target="https://www.linkedin.com/search/results/people/?keywords=Induni+%26+Cie+SA+Baustelleneinrichtung" TargetMode="External"/><Relationship Id="rId347" Type="http://schemas.openxmlformats.org/officeDocument/2006/relationships/hyperlink" Target="https://induni.ch/actualites/" TargetMode="External"/><Relationship Id="rId348" Type="http://schemas.openxmlformats.org/officeDocument/2006/relationships/hyperlink" Target="https://mancinimarti.ch/" TargetMode="External"/><Relationship Id="rId349" Type="http://schemas.openxmlformats.org/officeDocument/2006/relationships/hyperlink" Target="https://www.linkedin.com/search/results/companies/?keywords=Mancini+%26+Marti+SA" TargetMode="External"/><Relationship Id="rId350" Type="http://schemas.openxmlformats.org/officeDocument/2006/relationships/hyperlink" Target="https://www.linkedin.com/search/results/people/?keywords=Mancini+%26+Marti+SA+Baustelleneinrichtung" TargetMode="External"/><Relationship Id="rId351" Type="http://schemas.openxmlformats.org/officeDocument/2006/relationships/hyperlink" Target="https://www.mancinimarti.ch/it/chi-siamo/" TargetMode="External"/><Relationship Id="rId352" Type="http://schemas.openxmlformats.org/officeDocument/2006/relationships/hyperlink" Target="https://digitalrealty.com/" TargetMode="External"/><Relationship Id="rId353" Type="http://schemas.openxmlformats.org/officeDocument/2006/relationships/hyperlink" Target="https://www.linkedin.com/search/results/companies/?keywords=Digital+Realty" TargetMode="External"/><Relationship Id="rId354" Type="http://schemas.openxmlformats.org/officeDocument/2006/relationships/hyperlink" Target="https://www.linkedin.com/search/results/people/?keywords=Digital+Realty+Commissioning" TargetMode="External"/><Relationship Id="rId355" Type="http://schemas.openxmlformats.org/officeDocument/2006/relationships/hyperlink" Target="https://www.inside-it.ch/spatenstich-fuer-neues-rz-von-digital-reality-in-glattbrugg-20260827" TargetMode="External"/><Relationship Id="rId356" Type="http://schemas.openxmlformats.org/officeDocument/2006/relationships/hyperlink" Target="https://green.ch/" TargetMode="External"/><Relationship Id="rId357" Type="http://schemas.openxmlformats.org/officeDocument/2006/relationships/hyperlink" Target="https://www.linkedin.com/search/results/companies/?keywords=Green+Datacenter" TargetMode="External"/><Relationship Id="rId358" Type="http://schemas.openxmlformats.org/officeDocument/2006/relationships/hyperlink" Target="https://www.linkedin.com/search/results/people/?keywords=Green+Datacenter+Commissioning" TargetMode="External"/><Relationship Id="rId359" Type="http://schemas.openxmlformats.org/officeDocument/2006/relationships/hyperlink" Target="https://www.baublatt.ch/bauprojekte/green-baut-viertes-rechenzentrum-auf-metro-campus-in-dielsdorf-zh-36395" TargetMode="External"/><Relationship Id="rId360" Type="http://schemas.openxmlformats.org/officeDocument/2006/relationships/hyperlink" Target="https://stackinfra.com/" TargetMode="External"/><Relationship Id="rId361" Type="http://schemas.openxmlformats.org/officeDocument/2006/relationships/hyperlink" Target="https://www.linkedin.com/search/results/companies/?keywords=STACK+Infrastructure" TargetMode="External"/><Relationship Id="rId362" Type="http://schemas.openxmlformats.org/officeDocument/2006/relationships/hyperlink" Target="https://www.linkedin.com/search/results/people/?keywords=STACK+Infrastructure+Commissioning" TargetMode="External"/><Relationship Id="rId363" Type="http://schemas.openxmlformats.org/officeDocument/2006/relationships/hyperlink" Target="https://www.stackinfra.com/about/news-press/news/new-data-center-campus-in-beringen-switzerland/" TargetMode="External"/><Relationship Id="rId364" Type="http://schemas.openxmlformats.org/officeDocument/2006/relationships/hyperlink" Target="https://northcdatacenters.com/" TargetMode="External"/><Relationship Id="rId365" Type="http://schemas.openxmlformats.org/officeDocument/2006/relationships/hyperlink" Target="https://www.linkedin.com/search/results/companies/?keywords=NorthC+Datacenters" TargetMode="External"/><Relationship Id="rId366" Type="http://schemas.openxmlformats.org/officeDocument/2006/relationships/hyperlink" Target="https://www.linkedin.com/search/results/people/?keywords=NorthC+Datacenters+Commissioning" TargetMode="External"/><Relationship Id="rId367" Type="http://schemas.openxmlformats.org/officeDocument/2006/relationships/hyperlink" Target="https://www.northcdatacenters.com/de/pressemitteilungen/northc-baut-auf-dem-campus-uptownbasel-das-rechenzentrum-der-zukunft/" TargetMode="External"/><Relationship Id="rId368" Type="http://schemas.openxmlformats.org/officeDocument/2006/relationships/hyperlink" Target="https://flexbase.ch/" TargetMode="External"/><Relationship Id="rId369" Type="http://schemas.openxmlformats.org/officeDocument/2006/relationships/hyperlink" Target="https://www.linkedin.com/search/results/companies/?keywords=FlexBase+Group" TargetMode="External"/><Relationship Id="rId370" Type="http://schemas.openxmlformats.org/officeDocument/2006/relationships/hyperlink" Target="https://www.linkedin.com/search/results/people/?keywords=FlexBase+Group+Commissioning" TargetMode="External"/><Relationship Id="rId371" Type="http://schemas.openxmlformats.org/officeDocument/2006/relationships/hyperlink" Target="https://flexbase.ch/en/project-overview" TargetMode="External"/><Relationship Id="rId372" Type="http://schemas.openxmlformats.org/officeDocument/2006/relationships/hyperlink" Target="https://vantage-dc.com/" TargetMode="External"/><Relationship Id="rId373" Type="http://schemas.openxmlformats.org/officeDocument/2006/relationships/hyperlink" Target="https://www.linkedin.com/search/results/companies/?keywords=Vantage+Data+Centers" TargetMode="External"/><Relationship Id="rId374" Type="http://schemas.openxmlformats.org/officeDocument/2006/relationships/hyperlink" Target="https://www.linkedin.com/search/results/people/?keywords=Vantage+Data+Centers+Commissioning" TargetMode="External"/><Relationship Id="rId375" Type="http://schemas.openxmlformats.org/officeDocument/2006/relationships/hyperlink" Target="https://vantage-dc.com/data-center-locations/emea/zurich-ii-switzerland/" TargetMode="External"/><Relationship Id="rId376" Type="http://schemas.openxmlformats.org/officeDocument/2006/relationships/hyperlink" Target="https://infomaniak.com/" TargetMode="External"/><Relationship Id="rId377" Type="http://schemas.openxmlformats.org/officeDocument/2006/relationships/hyperlink" Target="https://www.linkedin.com/search/results/companies/?keywords=Infomaniak" TargetMode="External"/><Relationship Id="rId378" Type="http://schemas.openxmlformats.org/officeDocument/2006/relationships/hyperlink" Target="https://www.linkedin.com/search/results/people/?keywords=Infomaniak+Commissioning" TargetMode="External"/><Relationship Id="rId379" Type="http://schemas.openxmlformats.org/officeDocument/2006/relationships/hyperlink" Target="https://www.ictjournal.ch/articles/2025-01-27/infomaniak-inaugure-un-datacenter-qui-recycle-toute-la-chaleur-quil-produit" TargetMode="External"/><Relationship Id="rId380" Type="http://schemas.openxmlformats.org/officeDocument/2006/relationships/hyperlink" Target="https://www.linkedin.com/search/results/companies/?keywords=Vaultica" TargetMode="External"/><Relationship Id="rId381" Type="http://schemas.openxmlformats.org/officeDocument/2006/relationships/hyperlink" Target="https://www.linkedin.com/search/results/people/?keywords=Vaultica+Commissioning" TargetMode="External"/><Relationship Id="rId382" Type="http://schemas.openxmlformats.org/officeDocument/2006/relationships/hyperlink" Target="https://www.datacentermap.com/switzerland/geneva/stack-infrastructure-gen01/" TargetMode="External"/><Relationship Id="rId383" Type="http://schemas.openxmlformats.org/officeDocument/2006/relationships/hyperlink" Target="https://equinix.ch/" TargetMode="External"/><Relationship Id="rId384" Type="http://schemas.openxmlformats.org/officeDocument/2006/relationships/hyperlink" Target="https://www.linkedin.com/search/results/companies/?keywords=Equinix" TargetMode="External"/><Relationship Id="rId385" Type="http://schemas.openxmlformats.org/officeDocument/2006/relationships/hyperlink" Target="https://www.linkedin.com/search/results/people/?keywords=Equinix+Commissioning" TargetMode="External"/><Relationship Id="rId386" Type="http://schemas.openxmlformats.org/officeDocument/2006/relationships/hyperlink" Target="https://www.inside-it.ch/equinix-baut-data-center-in-zuerich-aus-20241112" TargetMode="External"/><Relationship Id="rId387" Type="http://schemas.openxmlformats.org/officeDocument/2006/relationships/hyperlink" Target="https://swisscom.ch/" TargetMode="External"/><Relationship Id="rId388" Type="http://schemas.openxmlformats.org/officeDocument/2006/relationships/hyperlink" Target="https://www.linkedin.com/search/results/companies/?keywords=Swisscom" TargetMode="External"/><Relationship Id="rId389" Type="http://schemas.openxmlformats.org/officeDocument/2006/relationships/hyperlink" Target="https://www.linkedin.com/search/results/people/?keywords=Swisscom+Commissioning" TargetMode="External"/><Relationship Id="rId390" Type="http://schemas.openxmlformats.org/officeDocument/2006/relationships/hyperlink" Target="https://www.kleinreport.ch/news/swisscom-baut-neues-rechenzentrum-in-bern-wankdorf-70850/" TargetMode="External"/><Relationship Id="rId391" Type="http://schemas.openxmlformats.org/officeDocument/2006/relationships/hyperlink" Target="https://services.global.ntt/" TargetMode="External"/><Relationship Id="rId392" Type="http://schemas.openxmlformats.org/officeDocument/2006/relationships/hyperlink" Target="https://www.linkedin.com/search/results/companies/?keywords=NTT+Global+Data+Centers" TargetMode="External"/><Relationship Id="rId393" Type="http://schemas.openxmlformats.org/officeDocument/2006/relationships/hyperlink" Target="https://www.linkedin.com/search/results/people/?keywords=NTT+Global+Data+Centers+Commissioning" TargetMode="External"/><Relationship Id="rId394" Type="http://schemas.openxmlformats.org/officeDocument/2006/relationships/hyperlink" Target="https://www.datacentermap.com/switzerland/zurich/e-shelter-zurich/" TargetMode="External"/><Relationship Id="rId395" Type="http://schemas.openxmlformats.org/officeDocument/2006/relationships/hyperlink" Target="https://cscs.ch/" TargetMode="External"/><Relationship Id="rId396" Type="http://schemas.openxmlformats.org/officeDocument/2006/relationships/hyperlink" Target="https://www.linkedin.com/search/results/companies/?keywords=CSCS" TargetMode="External"/><Relationship Id="rId397" Type="http://schemas.openxmlformats.org/officeDocument/2006/relationships/hyperlink" Target="https://www.linkedin.com/search/results/people/?keywords=CSCS+Commissioning" TargetMode="External"/><Relationship Id="rId398" Type="http://schemas.openxmlformats.org/officeDocument/2006/relationships/hyperlink" Target="https://www.cscs.ch/publications/news/2012/cscs-moves-into-new-computer-centre-in-lugano/" TargetMode="External"/><Relationship Id="rId399" Type="http://schemas.openxmlformats.org/officeDocument/2006/relationships/hyperlink" Target="https://bachem.com/" TargetMode="External"/><Relationship Id="rId400" Type="http://schemas.openxmlformats.org/officeDocument/2006/relationships/hyperlink" Target="https://www.linkedin.com/search/results/companies/?keywords=Bachem" TargetMode="External"/><Relationship Id="rId401" Type="http://schemas.openxmlformats.org/officeDocument/2006/relationships/hyperlink" Target="https://www.linkedin.com/search/results/people/?keywords=Bachem+Utilities" TargetMode="External"/><Relationship Id="rId402" Type="http://schemas.openxmlformats.org/officeDocument/2006/relationships/hyperlink" Target="https://www.bachem.com/articles/news/company-news/bachem-expands-presence-in-northwestern-switzerland-new-production-site-planned-in-sisslerfeld/" TargetMode="External"/><Relationship Id="rId403" Type="http://schemas.openxmlformats.org/officeDocument/2006/relationships/hyperlink" Target="https://roche.ch/" TargetMode="External"/><Relationship Id="rId404" Type="http://schemas.openxmlformats.org/officeDocument/2006/relationships/hyperlink" Target="https://www.linkedin.com/search/results/companies/?keywords=Roche" TargetMode="External"/><Relationship Id="rId405" Type="http://schemas.openxmlformats.org/officeDocument/2006/relationships/hyperlink" Target="https://www.linkedin.com/search/results/people/?keywords=Roche+Utilities" TargetMode="External"/><Relationship Id="rId406" Type="http://schemas.openxmlformats.org/officeDocument/2006/relationships/hyperlink" Target="https://www.roche.ch/medien-schweiz/informationen/med-ch-2025-10-29" TargetMode="External"/><Relationship Id="rId407" Type="http://schemas.openxmlformats.org/officeDocument/2006/relationships/hyperlink" Target="https://lonza.com/" TargetMode="External"/><Relationship Id="rId408" Type="http://schemas.openxmlformats.org/officeDocument/2006/relationships/hyperlink" Target="https://www.linkedin.com/search/results/companies/?keywords=Lonza" TargetMode="External"/><Relationship Id="rId409" Type="http://schemas.openxmlformats.org/officeDocument/2006/relationships/hyperlink" Target="https://www.linkedin.com/search/results/people/?keywords=Lonza+Utilities" TargetMode="External"/><Relationship Id="rId410" Type="http://schemas.openxmlformats.org/officeDocument/2006/relationships/hyperlink" Target="https://www.pharmamanufacturing.com/sector/contract-manufacturing/article/55378861/lonzas-large-scale-mammalian-site-in-visp-switzerland-continues-ramp-up-process" TargetMode="External"/><Relationship Id="rId411" Type="http://schemas.openxmlformats.org/officeDocument/2006/relationships/hyperlink" Target="https://novartis.com/" TargetMode="External"/><Relationship Id="rId412" Type="http://schemas.openxmlformats.org/officeDocument/2006/relationships/hyperlink" Target="https://www.linkedin.com/search/results/companies/?keywords=Novartis" TargetMode="External"/><Relationship Id="rId413" Type="http://schemas.openxmlformats.org/officeDocument/2006/relationships/hyperlink" Target="https://www.linkedin.com/search/results/people/?keywords=Novartis+Utilities" TargetMode="External"/><Relationship Id="rId414" Type="http://schemas.openxmlformats.org/officeDocument/2006/relationships/hyperlink" Target="https://www.novartis.com/ch-de/news/media-releases/novartis-passt-produktionsaktivitaeten-der-schweiz-und-investiert-innovative-herstelltechnologien" TargetMode="External"/><Relationship Id="rId415" Type="http://schemas.openxmlformats.org/officeDocument/2006/relationships/hyperlink" Target="https://siegfried.ch/" TargetMode="External"/><Relationship Id="rId416" Type="http://schemas.openxmlformats.org/officeDocument/2006/relationships/hyperlink" Target="https://www.linkedin.com/search/results/companies/?keywords=Siegfried" TargetMode="External"/><Relationship Id="rId417" Type="http://schemas.openxmlformats.org/officeDocument/2006/relationships/hyperlink" Target="https://www.linkedin.com/search/results/people/?keywords=Siegfried+Utilities" TargetMode="External"/><Relationship Id="rId418" Type="http://schemas.openxmlformats.org/officeDocument/2006/relationships/hyperlink" Target="https://www.siegfried.ch/app/uploads/2026/02/Siegfried_2025_GB_Lagebericht-und-Strategiebericht_DE.pdf" TargetMode="External"/><Relationship Id="rId419" Type="http://schemas.openxmlformats.org/officeDocument/2006/relationships/hyperlink" Target="https://thermofisher.com/" TargetMode="External"/><Relationship Id="rId420" Type="http://schemas.openxmlformats.org/officeDocument/2006/relationships/hyperlink" Target="https://www.linkedin.com/search/results/companies/?keywords=Thermo+Fisher" TargetMode="External"/><Relationship Id="rId421" Type="http://schemas.openxmlformats.org/officeDocument/2006/relationships/hyperlink" Target="https://www.linkedin.com/search/results/people/?keywords=Thermo+Fisher+Utilities" TargetMode="External"/><Relationship Id="rId422" Type="http://schemas.openxmlformats.org/officeDocument/2006/relationships/hyperlink" Target="https://www.nzz.ch/wirtschaft/in-der-neuen-biotech-fabrik-in-lengnau-uebernimmt-thermo-fisher-das-zepter-ld.1558484" TargetMode="External"/><Relationship Id="rId423" Type="http://schemas.openxmlformats.org/officeDocument/2006/relationships/hyperlink" Target="https://syngenta.ch/" TargetMode="External"/><Relationship Id="rId424" Type="http://schemas.openxmlformats.org/officeDocument/2006/relationships/hyperlink" Target="https://www.linkedin.com/search/results/companies/?keywords=Syngenta" TargetMode="External"/><Relationship Id="rId425" Type="http://schemas.openxmlformats.org/officeDocument/2006/relationships/hyperlink" Target="https://www.linkedin.com/search/results/people/?keywords=Syngenta+Utilities" TargetMode="External"/><Relationship Id="rId426" Type="http://schemas.openxmlformats.org/officeDocument/2006/relationships/hyperlink" Target="https://www.scienceindustries.ch/fr/article/40697/syngenta-a-monthey-un-avenir-durable" TargetMode="External"/><Relationship Id="rId427" Type="http://schemas.openxmlformats.org/officeDocument/2006/relationships/hyperlink" Target="https://emmi.com/" TargetMode="External"/><Relationship Id="rId428" Type="http://schemas.openxmlformats.org/officeDocument/2006/relationships/hyperlink" Target="https://www.linkedin.com/search/results/companies/?keywords=Emmi" TargetMode="External"/><Relationship Id="rId429" Type="http://schemas.openxmlformats.org/officeDocument/2006/relationships/hyperlink" Target="https://www.linkedin.com/search/results/people/?keywords=Emmi+Utilities" TargetMode="External"/><Relationship Id="rId430" Type="http://schemas.openxmlformats.org/officeDocument/2006/relationships/hyperlink" Target="https://packaging-journal.de/emmi-nimmt-neue-pet-anlage-in-suhr-in-betrieb/" TargetMode="External"/><Relationship Id="rId431" Type="http://schemas.openxmlformats.org/officeDocument/2006/relationships/hyperlink" Target="https://stahl-gerlafingen.com/" TargetMode="External"/><Relationship Id="rId432" Type="http://schemas.openxmlformats.org/officeDocument/2006/relationships/hyperlink" Target="https://www.linkedin.com/search/results/companies/?keywords=Stahl+Gerlafingen" TargetMode="External"/><Relationship Id="rId433" Type="http://schemas.openxmlformats.org/officeDocument/2006/relationships/hyperlink" Target="https://www.linkedin.com/search/results/people/?keywords=Stahl+Gerlafingen+Utilities" TargetMode="External"/><Relationship Id="rId434" Type="http://schemas.openxmlformats.org/officeDocument/2006/relationships/hyperlink" Target="https://www.neo1.ch/artikel/staatliche-unterstuetzung-fuer-stahl-gerlafingen-rollt-an" TargetMode="External"/><Relationship Id="rId435" Type="http://schemas.openxmlformats.org/officeDocument/2006/relationships/hyperlink" Target="https://swisssteel-group.com/" TargetMode="External"/><Relationship Id="rId436" Type="http://schemas.openxmlformats.org/officeDocument/2006/relationships/hyperlink" Target="https://www.linkedin.com/search/results/companies/?keywords=Swiss+Steel+%2F+Steeltec" TargetMode="External"/><Relationship Id="rId437" Type="http://schemas.openxmlformats.org/officeDocument/2006/relationships/hyperlink" Target="https://www.linkedin.com/search/results/people/?keywords=Swiss+Steel+%2F+Steeltec+Utilities" TargetMode="External"/><Relationship Id="rId438" Type="http://schemas.openxmlformats.org/officeDocument/2006/relationships/hyperlink" Target="https://www.watson.ch/schweiz/wirtschaft/831341707-swiss-steel-bleibt-beim-abbau-von-130-stellen-in-emmenbruecke" TargetMode="External"/><Relationship Id="rId439" Type="http://schemas.openxmlformats.org/officeDocument/2006/relationships/hyperlink" Target="https://usz.ch/" TargetMode="External"/><Relationship Id="rId440" Type="http://schemas.openxmlformats.org/officeDocument/2006/relationships/hyperlink" Target="https://www.linkedin.com/search/results/companies/?keywords=Universit&#228;tsspital+Z&#252;rich" TargetMode="External"/><Relationship Id="rId441" Type="http://schemas.openxmlformats.org/officeDocument/2006/relationships/hyperlink" Target="https://www.linkedin.com/search/results/people/?keywords=Universit&#228;tsspital+Z&#252;rich+Leiter+Technik" TargetMode="External"/><Relationship Id="rId442" Type="http://schemas.openxmlformats.org/officeDocument/2006/relationships/hyperlink" Target="https://www.usz.ch/grundsteinlegung-fuer-das-spital-der-zukunft-ein-meilenstein-fuer-das-usz/" TargetMode="External"/><Relationship Id="rId443" Type="http://schemas.openxmlformats.org/officeDocument/2006/relationships/hyperlink" Target="https://eoc.ch/" TargetMode="External"/><Relationship Id="rId444" Type="http://schemas.openxmlformats.org/officeDocument/2006/relationships/hyperlink" Target="https://www.linkedin.com/search/results/companies/?keywords=EOC" TargetMode="External"/><Relationship Id="rId445" Type="http://schemas.openxmlformats.org/officeDocument/2006/relationships/hyperlink" Target="https://www.linkedin.com/search/results/people/?keywords=EOC+Leiter+Technik" TargetMode="External"/><Relationship Id="rId446" Type="http://schemas.openxmlformats.org/officeDocument/2006/relationships/hyperlink" Target="https://www.eoc.ch/media-e-news/news/2025/CS-ampliamento-civico.html" TargetMode="External"/><Relationship Id="rId447" Type="http://schemas.openxmlformats.org/officeDocument/2006/relationships/hyperlink" Target="https://hug.ch/" TargetMode="External"/><Relationship Id="rId448" Type="http://schemas.openxmlformats.org/officeDocument/2006/relationships/hyperlink" Target="https://www.linkedin.com/search/results/companies/?keywords=HUG" TargetMode="External"/><Relationship Id="rId449" Type="http://schemas.openxmlformats.org/officeDocument/2006/relationships/hyperlink" Target="https://www.linkedin.com/search/results/people/?keywords=HUG+Leiter+Technik" TargetMode="External"/><Relationship Id="rId450" Type="http://schemas.openxmlformats.org/officeDocument/2006/relationships/hyperlink" Target="https://www.hug.ch/construction-batiment-beau-sejour-22-24" TargetMode="External"/><Relationship Id="rId451" Type="http://schemas.openxmlformats.org/officeDocument/2006/relationships/hyperlink" Target="https://inselgruppe.ch/" TargetMode="External"/><Relationship Id="rId452" Type="http://schemas.openxmlformats.org/officeDocument/2006/relationships/hyperlink" Target="https://www.linkedin.com/search/results/companies/?keywords=Insel+Gruppe" TargetMode="External"/><Relationship Id="rId453" Type="http://schemas.openxmlformats.org/officeDocument/2006/relationships/hyperlink" Target="https://www.linkedin.com/search/results/people/?keywords=Insel+Gruppe+Leiter+Technik" TargetMode="External"/><Relationship Id="rId454" Type="http://schemas.openxmlformats.org/officeDocument/2006/relationships/hyperlink" Target="https://inselgruppe.ch/de/die-insel-gruppe/bauprojekte" TargetMode="External"/><Relationship Id="rId455" Type="http://schemas.openxmlformats.org/officeDocument/2006/relationships/hyperlink" Target="https://chuv.ch/" TargetMode="External"/><Relationship Id="rId456" Type="http://schemas.openxmlformats.org/officeDocument/2006/relationships/hyperlink" Target="https://www.linkedin.com/search/results/companies/?keywords=CHUV" TargetMode="External"/><Relationship Id="rId457" Type="http://schemas.openxmlformats.org/officeDocument/2006/relationships/hyperlink" Target="https://www.linkedin.com/search/results/people/?keywords=CHUV+Leiter+Technik" TargetMode="External"/><Relationship Id="rId458" Type="http://schemas.openxmlformats.org/officeDocument/2006/relationships/hyperlink" Target="https://www.medinside.ch/fr/chuv-une-nouvelle-esplanade-dici-fin-2026-20260217" TargetMode="External"/><Relationship Id="rId459" Type="http://schemas.openxmlformats.org/officeDocument/2006/relationships/hyperlink" Target="https://gva.ch/" TargetMode="External"/><Relationship Id="rId460" Type="http://schemas.openxmlformats.org/officeDocument/2006/relationships/hyperlink" Target="https://www.linkedin.com/search/results/companies/?keywords=Gen&#232;ve+A&#233;roport" TargetMode="External"/><Relationship Id="rId461" Type="http://schemas.openxmlformats.org/officeDocument/2006/relationships/hyperlink" Target="https://www.linkedin.com/search/results/people/?keywords=Gen&#232;ve+A&#233;roport+Energieversorgung" TargetMode="External"/><Relationship Id="rId462" Type="http://schemas.openxmlformats.org/officeDocument/2006/relationships/hyperlink" Target="https://gva.blog/le-projet-cap2030-en-neuf-questions/" TargetMode="External"/><Relationship Id="rId463" Type="http://schemas.openxmlformats.org/officeDocument/2006/relationships/hyperlink" Target="https://sbb.ch/" TargetMode="External"/><Relationship Id="rId464" Type="http://schemas.openxmlformats.org/officeDocument/2006/relationships/hyperlink" Target="https://www.linkedin.com/search/results/companies/?keywords=SBB+Energie" TargetMode="External"/><Relationship Id="rId465" Type="http://schemas.openxmlformats.org/officeDocument/2006/relationships/hyperlink" Target="https://www.linkedin.com/search/results/people/?keywords=SBB+Energie+Energieversorgung" TargetMode="External"/><Relationship Id="rId466" Type="http://schemas.openxmlformats.org/officeDocument/2006/relationships/hyperlink" Target="https://company.sbb.ch/de/ueber-die-sbb/projekte/projekte-mittelland-tessin/frequenzumformerwerk-rupperswil.html" TargetMode="External"/><Relationship Id="rId467" Type="http://schemas.openxmlformats.org/officeDocument/2006/relationships/hyperlink" Target="https://flughafen-zuerich.ch/" TargetMode="External"/><Relationship Id="rId468" Type="http://schemas.openxmlformats.org/officeDocument/2006/relationships/hyperlink" Target="https://www.linkedin.com/search/results/companies/?keywords=Flughafen+Z&#252;rich+AG" TargetMode="External"/><Relationship Id="rId469" Type="http://schemas.openxmlformats.org/officeDocument/2006/relationships/hyperlink" Target="https://www.linkedin.com/search/results/people/?keywords=Flughafen+Z&#252;rich+AG+Energieversorgung" TargetMode="External"/><Relationship Id="rId470" Type="http://schemas.openxmlformats.org/officeDocument/2006/relationships/hyperlink" Target="https://www.flughafen-zuerich.ch/en/company/flughafen-zuerich/airport-development/current-construction-projects/main-airport-complex-development" TargetMode="External"/><Relationship Id="rId471" Type="http://schemas.openxmlformats.org/officeDocument/2006/relationships/hyperlink" Target="https://openairsg.ch/" TargetMode="External"/><Relationship Id="rId472" Type="http://schemas.openxmlformats.org/officeDocument/2006/relationships/hyperlink" Target="https://www.linkedin.com/search/results/companies/?keywords=OpenAir+St.Gallen" TargetMode="External"/><Relationship Id="rId473" Type="http://schemas.openxmlformats.org/officeDocument/2006/relationships/hyperlink" Target="https://www.linkedin.com/search/results/people/?keywords=OpenAir+St.Gallen+Technische+Leitung" TargetMode="External"/><Relationship Id="rId474" Type="http://schemas.openxmlformats.org/officeDocument/2006/relationships/hyperlink" Target="https://www.openairsg.ch/" TargetMode="External"/><Relationship Id="rId475" Type="http://schemas.openxmlformats.org/officeDocument/2006/relationships/hyperlink" Target="https://montreuxjazzfestival.com/" TargetMode="External"/><Relationship Id="rId476" Type="http://schemas.openxmlformats.org/officeDocument/2006/relationships/hyperlink" Target="https://www.linkedin.com/search/results/companies/?keywords=Montreux+Jazz+Festival" TargetMode="External"/><Relationship Id="rId477" Type="http://schemas.openxmlformats.org/officeDocument/2006/relationships/hyperlink" Target="https://www.linkedin.com/search/results/people/?keywords=Montreux+Jazz+Festival+Technische+Leitung" TargetMode="External"/><Relationship Id="rId478" Type="http://schemas.openxmlformats.org/officeDocument/2006/relationships/hyperlink" Target="https://www.montreuxjazzfestival.com/en/news/programme-2026/" TargetMode="External"/><Relationship Id="rId479" Type="http://schemas.openxmlformats.org/officeDocument/2006/relationships/hyperlink" Target="https://paleo.ch/" TargetMode="External"/><Relationship Id="rId480" Type="http://schemas.openxmlformats.org/officeDocument/2006/relationships/hyperlink" Target="https://www.linkedin.com/search/results/companies/?keywords=Pal&#233;o+Festival+Nyon" TargetMode="External"/><Relationship Id="rId481" Type="http://schemas.openxmlformats.org/officeDocument/2006/relationships/hyperlink" Target="https://www.linkedin.com/search/results/people/?keywords=Pal&#233;o+Festival+Nyon+Technische+Leitung" TargetMode="External"/><Relationship Id="rId482" Type="http://schemas.openxmlformats.org/officeDocument/2006/relationships/hyperlink" Target="https://www.jambase.com/festival/paleo-festival-2026" TargetMode="External"/><Relationship Id="rId483" Type="http://schemas.openxmlformats.org/officeDocument/2006/relationships/hyperlink" Target="https://locarnofestival.ch/" TargetMode="External"/><Relationship Id="rId484" Type="http://schemas.openxmlformats.org/officeDocument/2006/relationships/hyperlink" Target="https://www.linkedin.com/search/results/companies/?keywords=Locarno+Film+Festival" TargetMode="External"/><Relationship Id="rId485" Type="http://schemas.openxmlformats.org/officeDocument/2006/relationships/hyperlink" Target="https://www.linkedin.com/search/results/people/?keywords=Locarno+Film+Festival+Technische+Leitung" TargetMode="External"/><Relationship Id="rId486" Type="http://schemas.openxmlformats.org/officeDocument/2006/relationships/hyperlink" Target="https://www.ascona-locarno.com/en/events/details/locarno-film-festival-2026/10056" TargetMode="External"/><Relationship Id="rId487" Type="http://schemas.openxmlformats.org/officeDocument/2006/relationships/hyperlink" Target="https://moonandstars.ch/" TargetMode="External"/><Relationship Id="rId488" Type="http://schemas.openxmlformats.org/officeDocument/2006/relationships/hyperlink" Target="https://www.linkedin.com/search/results/companies/?keywords=Moon%26Stars+Locarno" TargetMode="External"/><Relationship Id="rId489" Type="http://schemas.openxmlformats.org/officeDocument/2006/relationships/hyperlink" Target="https://www.linkedin.com/search/results/people/?keywords=Moon%26Stars+Locarno+Technische+Leitung" TargetMode="External"/><Relationship Id="rId490" Type="http://schemas.openxmlformats.org/officeDocument/2006/relationships/hyperlink" Target="https://www.ticino.ch/en/events/details/moon-stars-2026/10053.html" TargetMode="External"/><Relationship Id="rId491" Type="http://schemas.openxmlformats.org/officeDocument/2006/relationships/hyperlink" Target="https://streetparade.com/" TargetMode="External"/><Relationship Id="rId492" Type="http://schemas.openxmlformats.org/officeDocument/2006/relationships/hyperlink" Target="https://www.linkedin.com/search/results/companies/?keywords=Street+Parade" TargetMode="External"/><Relationship Id="rId493" Type="http://schemas.openxmlformats.org/officeDocument/2006/relationships/hyperlink" Target="https://www.linkedin.com/search/results/people/?keywords=Street+Parade+Technische+Leitung" TargetMode="External"/><Relationship Id="rId494" Type="http://schemas.openxmlformats.org/officeDocument/2006/relationships/hyperlink" Target="https://www.zvv.ch/de/freizeit-und-events/freizeittipps/events/street-parade.html" TargetMode="External"/><Relationship Id="rId495" Type="http://schemas.openxmlformats.org/officeDocument/2006/relationships/hyperlink" Target="https://lauberhorn.ch/" TargetMode="External"/><Relationship Id="rId496" Type="http://schemas.openxmlformats.org/officeDocument/2006/relationships/hyperlink" Target="https://www.linkedin.com/search/results/companies/?keywords=Lauberhornrennen" TargetMode="External"/><Relationship Id="rId497" Type="http://schemas.openxmlformats.org/officeDocument/2006/relationships/hyperlink" Target="https://www.linkedin.com/search/results/people/?keywords=Lauberhornrennen+Technische+Leitung" TargetMode="External"/><Relationship Id="rId498" Type="http://schemas.openxmlformats.org/officeDocument/2006/relationships/hyperlink" Target="https://www.lauberhorn.ch/rennen/" TargetMode="External"/><Relationship Id="rId499" Type="http://schemas.openxmlformats.org/officeDocument/2006/relationships/vmlDrawing" Target="../drawings/vmlDrawing1.vml"/><Relationship Id="rId500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430"/>
    <pageSetUpPr fitToPage="false"/>
  </sheetPr>
  <dimension ref="A1:I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3.75" hidden="false" customHeight="true" outlineLevel="0" collapsed="false">
      <c r="A5" s="4" t="n">
        <f aca="false">COUNTA(Kundenliste!$E$5:$E$129)</f>
        <v>125</v>
      </c>
      <c r="B5" s="4" t="n">
        <f aca="false">COUNTIF(Kundenliste!$B$5:$B$129,"Ja")</f>
        <v>70</v>
      </c>
      <c r="C5" s="4" t="n">
        <f aca="false">COUNTIF(Kundenliste!$X$5:$X$129,"A")</f>
        <v>36</v>
      </c>
      <c r="D5" s="4" t="n">
        <f aca="false">COUNTIF(Kundenliste!$X$5:$X$129,"B")</f>
        <v>69</v>
      </c>
      <c r="E5" s="4" t="n">
        <f aca="false">COUNTIF(Kundenliste!$X$5:$X$129,"C")</f>
        <v>20</v>
      </c>
      <c r="F5" s="4" t="n">
        <f aca="false">COUNTIF(Kundenliste!$Y$5:$Y$129,"Offen: CRM prüfen")</f>
        <v>125</v>
      </c>
    </row>
    <row r="7" customFormat="false" ht="15" hidden="false" customHeight="false" outlineLevel="0" collapsed="false">
      <c r="A7" s="5" t="s">
        <v>8</v>
      </c>
    </row>
    <row r="8" customFormat="false" ht="30" hidden="false" customHeight="true" outlineLevel="0" collapsed="false">
      <c r="A8" s="6" t="s">
        <v>9</v>
      </c>
      <c r="B8" s="6" t="s">
        <v>2</v>
      </c>
      <c r="C8" s="6" t="s">
        <v>3</v>
      </c>
      <c r="D8" s="6" t="s">
        <v>10</v>
      </c>
      <c r="E8" s="6" t="s">
        <v>11</v>
      </c>
      <c r="F8" s="6" t="s">
        <v>12</v>
      </c>
      <c r="G8" s="6" t="s">
        <v>4</v>
      </c>
      <c r="H8" s="6" t="s">
        <v>5</v>
      </c>
      <c r="I8" s="6" t="s">
        <v>6</v>
      </c>
    </row>
    <row r="9" customFormat="false" ht="15" hidden="false" customHeight="false" outlineLevel="0" collapsed="false">
      <c r="A9" s="7" t="s">
        <v>13</v>
      </c>
      <c r="B9" s="8" t="n">
        <f aca="false">COUNTIF(Kundenliste!$C$5:$C$129,$A9)</f>
        <v>42</v>
      </c>
      <c r="C9" s="8" t="n">
        <f aca="false">COUNTIFS(Kundenliste!$C$5:$C$129,$A9,Kundenliste!$B$5:$B$129,"Ja")</f>
        <v>42</v>
      </c>
      <c r="D9" s="9" t="n">
        <v>0.6</v>
      </c>
      <c r="E9" s="9" t="n">
        <f aca="false">IF($C$12=0,0,C9/$C$12)</f>
        <v>0.6</v>
      </c>
      <c r="F9" s="10" t="n">
        <f aca="false">E9-D9</f>
        <v>0</v>
      </c>
      <c r="G9" s="8" t="n">
        <f aca="false">COUNTIFS(Kundenliste!$C$5:$C$129,$A9,Kundenliste!$X$5:$X$129,"A")</f>
        <v>11</v>
      </c>
      <c r="H9" s="8" t="n">
        <f aca="false">COUNTIFS(Kundenliste!$C$5:$C$129,$A9,Kundenliste!$X$5:$X$129,"B")</f>
        <v>20</v>
      </c>
      <c r="I9" s="8" t="n">
        <f aca="false">COUNTIFS(Kundenliste!$C$5:$C$129,$A9,Kundenliste!$X$5:$X$129,"C")</f>
        <v>11</v>
      </c>
    </row>
    <row r="10" customFormat="false" ht="15" hidden="false" customHeight="false" outlineLevel="0" collapsed="false">
      <c r="A10" s="7" t="s">
        <v>14</v>
      </c>
      <c r="B10" s="8" t="n">
        <f aca="false">COUNTIF(Kundenliste!$C$5:$C$129,$A10)</f>
        <v>35</v>
      </c>
      <c r="C10" s="8" t="n">
        <f aca="false">COUNTIFS(Kundenliste!$C$5:$C$129,$A10,Kundenliste!$B$5:$B$129,"Ja")</f>
        <v>14</v>
      </c>
      <c r="D10" s="9" t="n">
        <v>0.2</v>
      </c>
      <c r="E10" s="9" t="n">
        <f aca="false">IF($C$12=0,0,C10/$C$12)</f>
        <v>0.2</v>
      </c>
      <c r="F10" s="10" t="n">
        <f aca="false">E10-D10</f>
        <v>0</v>
      </c>
      <c r="G10" s="8" t="n">
        <f aca="false">COUNTIFS(Kundenliste!$C$5:$C$129,$A10,Kundenliste!$X$5:$X$129,"A")</f>
        <v>7</v>
      </c>
      <c r="H10" s="8" t="n">
        <f aca="false">COUNTIFS(Kundenliste!$C$5:$C$129,$A10,Kundenliste!$X$5:$X$129,"B")</f>
        <v>25</v>
      </c>
      <c r="I10" s="8" t="n">
        <f aca="false">COUNTIFS(Kundenliste!$C$5:$C$129,$A10,Kundenliste!$X$5:$X$129,"C")</f>
        <v>3</v>
      </c>
    </row>
    <row r="11" customFormat="false" ht="15" hidden="false" customHeight="false" outlineLevel="0" collapsed="false">
      <c r="A11" s="7" t="s">
        <v>15</v>
      </c>
      <c r="B11" s="8" t="n">
        <f aca="false">COUNTIF(Kundenliste!$C$5:$C$129,$A11)</f>
        <v>48</v>
      </c>
      <c r="C11" s="8" t="n">
        <f aca="false">COUNTIFS(Kundenliste!$C$5:$C$129,$A11,Kundenliste!$B$5:$B$129,"Ja")</f>
        <v>14</v>
      </c>
      <c r="D11" s="9" t="n">
        <v>0.2</v>
      </c>
      <c r="E11" s="9" t="n">
        <f aca="false">IF($C$12=0,0,C11/$C$12)</f>
        <v>0.2</v>
      </c>
      <c r="F11" s="10" t="n">
        <f aca="false">E11-D11</f>
        <v>0</v>
      </c>
      <c r="G11" s="8" t="n">
        <f aca="false">COUNTIFS(Kundenliste!$C$5:$C$129,$A11,Kundenliste!$X$5:$X$129,"A")</f>
        <v>18</v>
      </c>
      <c r="H11" s="8" t="n">
        <f aca="false">COUNTIFS(Kundenliste!$C$5:$C$129,$A11,Kundenliste!$X$5:$X$129,"B")</f>
        <v>24</v>
      </c>
      <c r="I11" s="8" t="n">
        <f aca="false">COUNTIFS(Kundenliste!$C$5:$C$129,$A11,Kundenliste!$X$5:$X$129,"C")</f>
        <v>6</v>
      </c>
    </row>
    <row r="12" customFormat="false" ht="15" hidden="false" customHeight="false" outlineLevel="0" collapsed="false">
      <c r="A12" s="11" t="s">
        <v>16</v>
      </c>
      <c r="B12" s="8" t="n">
        <f aca="false">SUM(B9:B11)</f>
        <v>125</v>
      </c>
      <c r="C12" s="8" t="n">
        <f aca="false">SUM(C9:C11)</f>
        <v>70</v>
      </c>
      <c r="D12" s="9" t="n">
        <f aca="false">SUM(D9:D11)</f>
        <v>1</v>
      </c>
      <c r="E12" s="9" t="n">
        <f aca="false">SUM(E9:E11)</f>
        <v>1</v>
      </c>
      <c r="F12" s="8"/>
      <c r="G12" s="8" t="n">
        <f aca="false">SUM(G9:G11)</f>
        <v>36</v>
      </c>
      <c r="H12" s="8" t="n">
        <f aca="false">SUM(H9:H11)</f>
        <v>69</v>
      </c>
      <c r="I12" s="8" t="n">
        <f aca="false">SUM(I9:I11)</f>
        <v>20</v>
      </c>
    </row>
    <row r="14" customFormat="false" ht="15" hidden="false" customHeight="false" outlineLevel="0" collapsed="false">
      <c r="A14" s="5" t="s">
        <v>17</v>
      </c>
    </row>
    <row r="15" customFormat="false" ht="30" hidden="false" customHeight="true" outlineLevel="0" collapsed="false">
      <c r="A15" s="6" t="s">
        <v>18</v>
      </c>
      <c r="B15" s="6" t="s">
        <v>4</v>
      </c>
      <c r="C15" s="6" t="s">
        <v>5</v>
      </c>
      <c r="D15" s="6" t="s">
        <v>6</v>
      </c>
      <c r="E15" s="6" t="s">
        <v>16</v>
      </c>
      <c r="F15" s="6" t="s">
        <v>19</v>
      </c>
      <c r="G15" s="6" t="s">
        <v>20</v>
      </c>
      <c r="H15" s="6" t="s">
        <v>21</v>
      </c>
      <c r="I15" s="6" t="s">
        <v>22</v>
      </c>
    </row>
    <row r="16" customFormat="false" ht="15" hidden="false" customHeight="false" outlineLevel="0" collapsed="false">
      <c r="A16" s="7" t="s">
        <v>23</v>
      </c>
      <c r="B16" s="8" t="n">
        <f aca="false">COUNTIFS(Kundenliste!$I$5:$I$129,$A16,Kundenliste!$X$5:$X$129,"A")</f>
        <v>4</v>
      </c>
      <c r="C16" s="8" t="n">
        <f aca="false">COUNTIFS(Kundenliste!$I$5:$I$129,$A16,Kundenliste!$X$5:$X$129,"B")</f>
        <v>17</v>
      </c>
      <c r="D16" s="8" t="n">
        <f aca="false">COUNTIFS(Kundenliste!$I$5:$I$129,$A16,Kundenliste!$X$5:$X$129,"C")</f>
        <v>6</v>
      </c>
      <c r="E16" s="8" t="n">
        <f aca="false">SUM(B16:D16)</f>
        <v>27</v>
      </c>
      <c r="F16" s="8" t="n">
        <f aca="false">COUNTIFS(Kundenliste!$I$5:$I$129,$A16,Kundenliste!$B$5:$B$129,"Ja")</f>
        <v>13</v>
      </c>
      <c r="G16" s="8" t="n">
        <f aca="false">COUNTIFS(Kundenliste!$I$5:$I$129,$A16,Kundenliste!$C$5:$C$129,"Installateure (60 %)")</f>
        <v>9</v>
      </c>
      <c r="H16" s="8" t="n">
        <f aca="false">COUNTIFS(Kundenliste!$I$5:$I$129,$A16,Kundenliste!$C$5:$C$129,"FM / EVU / Planer (20 %)")</f>
        <v>7</v>
      </c>
      <c r="I16" s="8" t="n">
        <f aca="false">COUNTIFS(Kundenliste!$I$5:$I$129,$A16,Kundenliste!$C$5:$C$129,"GU/TU + Industrie (20 %)")</f>
        <v>11</v>
      </c>
    </row>
    <row r="17" customFormat="false" ht="15" hidden="false" customHeight="false" outlineLevel="0" collapsed="false">
      <c r="A17" s="7" t="s">
        <v>24</v>
      </c>
      <c r="B17" s="8" t="n">
        <f aca="false">COUNTIFS(Kundenliste!$I$5:$I$129,$A17,Kundenliste!$X$5:$X$129,"A")</f>
        <v>4</v>
      </c>
      <c r="C17" s="8" t="n">
        <f aca="false">COUNTIFS(Kundenliste!$I$5:$I$129,$A17,Kundenliste!$X$5:$X$129,"B")</f>
        <v>9</v>
      </c>
      <c r="D17" s="8" t="n">
        <f aca="false">COUNTIFS(Kundenliste!$I$5:$I$129,$A17,Kundenliste!$X$5:$X$129,"C")</f>
        <v>3</v>
      </c>
      <c r="E17" s="8" t="n">
        <f aca="false">SUM(B17:D17)</f>
        <v>16</v>
      </c>
      <c r="F17" s="8" t="n">
        <f aca="false">COUNTIFS(Kundenliste!$I$5:$I$129,$A17,Kundenliste!$B$5:$B$129,"Ja")</f>
        <v>9</v>
      </c>
      <c r="G17" s="8" t="n">
        <f aca="false">COUNTIFS(Kundenliste!$I$5:$I$129,$A17,Kundenliste!$C$5:$C$129,"Installateure (60 %)")</f>
        <v>8</v>
      </c>
      <c r="H17" s="8" t="n">
        <f aca="false">COUNTIFS(Kundenliste!$I$5:$I$129,$A17,Kundenliste!$C$5:$C$129,"FM / EVU / Planer (20 %)")</f>
        <v>2</v>
      </c>
      <c r="I17" s="8" t="n">
        <f aca="false">COUNTIFS(Kundenliste!$I$5:$I$129,$A17,Kundenliste!$C$5:$C$129,"GU/TU + Industrie (20 %)")</f>
        <v>6</v>
      </c>
    </row>
    <row r="18" customFormat="false" ht="15" hidden="false" customHeight="false" outlineLevel="0" collapsed="false">
      <c r="A18" s="7" t="s">
        <v>25</v>
      </c>
      <c r="B18" s="8" t="n">
        <f aca="false">COUNTIFS(Kundenliste!$I$5:$I$129,$A18,Kundenliste!$X$5:$X$129,"A")</f>
        <v>11</v>
      </c>
      <c r="C18" s="8" t="n">
        <f aca="false">COUNTIFS(Kundenliste!$I$5:$I$129,$A18,Kundenliste!$X$5:$X$129,"B")</f>
        <v>10</v>
      </c>
      <c r="D18" s="8" t="n">
        <f aca="false">COUNTIFS(Kundenliste!$I$5:$I$129,$A18,Kundenliste!$X$5:$X$129,"C")</f>
        <v>1</v>
      </c>
      <c r="E18" s="8" t="n">
        <f aca="false">SUM(B18:D18)</f>
        <v>22</v>
      </c>
      <c r="F18" s="8" t="n">
        <f aca="false">COUNTIFS(Kundenliste!$I$5:$I$129,$A18,Kundenliste!$B$5:$B$129,"Ja")</f>
        <v>16</v>
      </c>
      <c r="G18" s="8" t="n">
        <f aca="false">COUNTIFS(Kundenliste!$I$5:$I$129,$A18,Kundenliste!$C$5:$C$129,"Installateure (60 %)")</f>
        <v>6</v>
      </c>
      <c r="H18" s="8" t="n">
        <f aca="false">COUNTIFS(Kundenliste!$I$5:$I$129,$A18,Kundenliste!$C$5:$C$129,"FM / EVU / Planer (20 %)")</f>
        <v>6</v>
      </c>
      <c r="I18" s="8" t="n">
        <f aca="false">COUNTIFS(Kundenliste!$I$5:$I$129,$A18,Kundenliste!$C$5:$C$129,"GU/TU + Industrie (20 %)")</f>
        <v>10</v>
      </c>
    </row>
    <row r="19" customFormat="false" ht="15" hidden="false" customHeight="false" outlineLevel="0" collapsed="false">
      <c r="A19" s="7" t="s">
        <v>26</v>
      </c>
      <c r="B19" s="8" t="n">
        <f aca="false">COUNTIFS(Kundenliste!$I$5:$I$129,$A19,Kundenliste!$X$5:$X$129,"A")</f>
        <v>11</v>
      </c>
      <c r="C19" s="8" t="n">
        <f aca="false">COUNTIFS(Kundenliste!$I$5:$I$129,$A19,Kundenliste!$X$5:$X$129,"B")</f>
        <v>15</v>
      </c>
      <c r="D19" s="8" t="n">
        <f aca="false">COUNTIFS(Kundenliste!$I$5:$I$129,$A19,Kundenliste!$X$5:$X$129,"C")</f>
        <v>0</v>
      </c>
      <c r="E19" s="8" t="n">
        <f aca="false">SUM(B19:D19)</f>
        <v>26</v>
      </c>
      <c r="F19" s="8" t="n">
        <f aca="false">COUNTIFS(Kundenliste!$I$5:$I$129,$A19,Kundenliste!$B$5:$B$129,"Ja")</f>
        <v>15</v>
      </c>
      <c r="G19" s="8" t="n">
        <f aca="false">COUNTIFS(Kundenliste!$I$5:$I$129,$A19,Kundenliste!$C$5:$C$129,"Installateure (60 %)")</f>
        <v>8</v>
      </c>
      <c r="H19" s="8" t="n">
        <f aca="false">COUNTIFS(Kundenliste!$I$5:$I$129,$A19,Kundenliste!$C$5:$C$129,"FM / EVU / Planer (20 %)")</f>
        <v>8</v>
      </c>
      <c r="I19" s="8" t="n">
        <f aca="false">COUNTIFS(Kundenliste!$I$5:$I$129,$A19,Kundenliste!$C$5:$C$129,"GU/TU + Industrie (20 %)")</f>
        <v>10</v>
      </c>
    </row>
    <row r="20" customFormat="false" ht="15" hidden="false" customHeight="false" outlineLevel="0" collapsed="false">
      <c r="A20" s="7" t="s">
        <v>27</v>
      </c>
      <c r="B20" s="8" t="n">
        <f aca="false">COUNTIFS(Kundenliste!$I$5:$I$129,$A20,Kundenliste!$X$5:$X$129,"A")</f>
        <v>2</v>
      </c>
      <c r="C20" s="8" t="n">
        <f aca="false">COUNTIFS(Kundenliste!$I$5:$I$129,$A20,Kundenliste!$X$5:$X$129,"B")</f>
        <v>8</v>
      </c>
      <c r="D20" s="8" t="n">
        <f aca="false">COUNTIFS(Kundenliste!$I$5:$I$129,$A20,Kundenliste!$X$5:$X$129,"C")</f>
        <v>1</v>
      </c>
      <c r="E20" s="8" t="n">
        <f aca="false">SUM(B20:D20)</f>
        <v>11</v>
      </c>
      <c r="F20" s="8" t="n">
        <f aca="false">COUNTIFS(Kundenliste!$I$5:$I$129,$A20,Kundenliste!$B$5:$B$129,"Ja")</f>
        <v>5</v>
      </c>
      <c r="G20" s="8" t="n">
        <f aca="false">COUNTIFS(Kundenliste!$I$5:$I$129,$A20,Kundenliste!$C$5:$C$129,"Installateure (60 %)")</f>
        <v>4</v>
      </c>
      <c r="H20" s="8" t="n">
        <f aca="false">COUNTIFS(Kundenliste!$I$5:$I$129,$A20,Kundenliste!$C$5:$C$129,"FM / EVU / Planer (20 %)")</f>
        <v>4</v>
      </c>
      <c r="I20" s="8" t="n">
        <f aca="false">COUNTIFS(Kundenliste!$I$5:$I$129,$A20,Kundenliste!$C$5:$C$129,"GU/TU + Industrie (20 %)")</f>
        <v>3</v>
      </c>
    </row>
    <row r="21" customFormat="false" ht="15" hidden="false" customHeight="false" outlineLevel="0" collapsed="false">
      <c r="A21" s="7" t="s">
        <v>28</v>
      </c>
      <c r="B21" s="8" t="n">
        <f aca="false">COUNTIFS(Kundenliste!$I$5:$I$129,$A21,Kundenliste!$X$5:$X$129,"A")</f>
        <v>3</v>
      </c>
      <c r="C21" s="8" t="n">
        <f aca="false">COUNTIFS(Kundenliste!$I$5:$I$129,$A21,Kundenliste!$X$5:$X$129,"B")</f>
        <v>4</v>
      </c>
      <c r="D21" s="8" t="n">
        <f aca="false">COUNTIFS(Kundenliste!$I$5:$I$129,$A21,Kundenliste!$X$5:$X$129,"C")</f>
        <v>3</v>
      </c>
      <c r="E21" s="8" t="n">
        <f aca="false">SUM(B21:D21)</f>
        <v>10</v>
      </c>
      <c r="F21" s="8" t="n">
        <f aca="false">COUNTIFS(Kundenliste!$I$5:$I$129,$A21,Kundenliste!$B$5:$B$129,"Ja")</f>
        <v>7</v>
      </c>
      <c r="G21" s="8" t="n">
        <f aca="false">COUNTIFS(Kundenliste!$I$5:$I$129,$A21,Kundenliste!$C$5:$C$129,"Installateure (60 %)")</f>
        <v>4</v>
      </c>
      <c r="H21" s="8" t="n">
        <f aca="false">COUNTIFS(Kundenliste!$I$5:$I$129,$A21,Kundenliste!$C$5:$C$129,"FM / EVU / Planer (20 %)")</f>
        <v>4</v>
      </c>
      <c r="I21" s="8" t="n">
        <f aca="false">COUNTIFS(Kundenliste!$I$5:$I$129,$A21,Kundenliste!$C$5:$C$129,"GU/TU + Industrie (20 %)")</f>
        <v>2</v>
      </c>
    </row>
    <row r="22" customFormat="false" ht="15" hidden="false" customHeight="false" outlineLevel="0" collapsed="false">
      <c r="A22" s="7" t="s">
        <v>29</v>
      </c>
      <c r="B22" s="8" t="n">
        <f aca="false">COUNTIFS(Kundenliste!$I$5:$I$129,$A22,Kundenliste!$X$5:$X$129,"A")</f>
        <v>1</v>
      </c>
      <c r="C22" s="8" t="n">
        <f aca="false">COUNTIFS(Kundenliste!$I$5:$I$129,$A22,Kundenliste!$X$5:$X$129,"B")</f>
        <v>6</v>
      </c>
      <c r="D22" s="8" t="n">
        <f aca="false">COUNTIFS(Kundenliste!$I$5:$I$129,$A22,Kundenliste!$X$5:$X$129,"C")</f>
        <v>6</v>
      </c>
      <c r="E22" s="8" t="n">
        <f aca="false">SUM(B22:D22)</f>
        <v>13</v>
      </c>
      <c r="F22" s="8" t="n">
        <f aca="false">COUNTIFS(Kundenliste!$I$5:$I$129,$A22,Kundenliste!$B$5:$B$129,"Ja")</f>
        <v>5</v>
      </c>
      <c r="G22" s="8" t="n">
        <f aca="false">COUNTIFS(Kundenliste!$I$5:$I$129,$A22,Kundenliste!$C$5:$C$129,"Installateure (60 %)")</f>
        <v>3</v>
      </c>
      <c r="H22" s="8" t="n">
        <f aca="false">COUNTIFS(Kundenliste!$I$5:$I$129,$A22,Kundenliste!$C$5:$C$129,"FM / EVU / Planer (20 %)")</f>
        <v>4</v>
      </c>
      <c r="I22" s="8" t="n">
        <f aca="false">COUNTIFS(Kundenliste!$I$5:$I$129,$A22,Kundenliste!$C$5:$C$129,"GU/TU + Industrie (20 %)")</f>
        <v>6</v>
      </c>
    </row>
    <row r="23" customFormat="false" ht="15" hidden="false" customHeight="false" outlineLevel="0" collapsed="false">
      <c r="A23" s="11" t="s">
        <v>16</v>
      </c>
      <c r="B23" s="8" t="n">
        <f aca="false">SUM(B16:B22)</f>
        <v>36</v>
      </c>
      <c r="C23" s="8" t="n">
        <f aca="false">SUM(C16:C22)</f>
        <v>69</v>
      </c>
      <c r="D23" s="8" t="n">
        <f aca="false">SUM(D16:D22)</f>
        <v>20</v>
      </c>
      <c r="E23" s="8" t="n">
        <f aca="false">SUM(E16:E22)</f>
        <v>125</v>
      </c>
      <c r="F23" s="8" t="n">
        <f aca="false">SUM(F16:F22)</f>
        <v>70</v>
      </c>
      <c r="G23" s="8" t="n">
        <f aca="false">SUM(G16:G22)</f>
        <v>42</v>
      </c>
      <c r="H23" s="8" t="n">
        <f aca="false">SUM(H16:H22)</f>
        <v>35</v>
      </c>
      <c r="I23" s="8" t="n">
        <f aca="false">SUM(I16:I22)</f>
        <v>48</v>
      </c>
    </row>
    <row r="25" customFormat="false" ht="15" hidden="false" customHeight="false" outlineLevel="0" collapsed="false">
      <c r="A25" s="5" t="s">
        <v>30</v>
      </c>
    </row>
    <row r="26" customFormat="false" ht="30" hidden="false" customHeight="true" outlineLevel="0" collapsed="false">
      <c r="A26" s="6" t="s">
        <v>31</v>
      </c>
      <c r="B26" s="6" t="s">
        <v>4</v>
      </c>
      <c r="C26" s="6" t="s">
        <v>5</v>
      </c>
      <c r="D26" s="6" t="s">
        <v>6</v>
      </c>
      <c r="E26" s="6" t="s">
        <v>16</v>
      </c>
    </row>
    <row r="27" customFormat="false" ht="15" hidden="false" customHeight="false" outlineLevel="0" collapsed="false">
      <c r="A27" s="7" t="s">
        <v>32</v>
      </c>
      <c r="B27" s="8" t="n">
        <f aca="false">COUNTIFS(Kundenliste!$J$5:$J$129,$A27,Kundenliste!$X$5:$X$129,"A")</f>
        <v>4</v>
      </c>
      <c r="C27" s="8" t="n">
        <f aca="false">COUNTIFS(Kundenliste!$J$5:$J$129,$A27,Kundenliste!$X$5:$X$129,"B")</f>
        <v>17</v>
      </c>
      <c r="D27" s="8" t="n">
        <f aca="false">COUNTIFS(Kundenliste!$J$5:$J$129,$A27,Kundenliste!$X$5:$X$129,"C")</f>
        <v>6</v>
      </c>
      <c r="E27" s="8" t="n">
        <f aca="false">SUM(B27:D27)</f>
        <v>27</v>
      </c>
    </row>
    <row r="28" customFormat="false" ht="15" hidden="false" customHeight="false" outlineLevel="0" collapsed="false">
      <c r="A28" s="7" t="s">
        <v>33</v>
      </c>
      <c r="B28" s="8" t="n">
        <f aca="false">COUNTIFS(Kundenliste!$J$5:$J$129,$A28,Kundenliste!$X$5:$X$129,"A")</f>
        <v>31</v>
      </c>
      <c r="C28" s="8" t="n">
        <f aca="false">COUNTIFS(Kundenliste!$J$5:$J$129,$A28,Kundenliste!$X$5:$X$129,"B")</f>
        <v>46</v>
      </c>
      <c r="D28" s="8" t="n">
        <f aca="false">COUNTIFS(Kundenliste!$J$5:$J$129,$A28,Kundenliste!$X$5:$X$129,"C")</f>
        <v>8</v>
      </c>
      <c r="E28" s="8" t="n">
        <f aca="false">SUM(B28:D28)</f>
        <v>85</v>
      </c>
    </row>
    <row r="29" customFormat="false" ht="15" hidden="false" customHeight="false" outlineLevel="0" collapsed="false">
      <c r="A29" s="7" t="s">
        <v>29</v>
      </c>
      <c r="B29" s="8" t="n">
        <f aca="false">COUNTIFS(Kundenliste!$J$5:$J$129,$A29,Kundenliste!$X$5:$X$129,"A")</f>
        <v>1</v>
      </c>
      <c r="C29" s="8" t="n">
        <f aca="false">COUNTIFS(Kundenliste!$J$5:$J$129,$A29,Kundenliste!$X$5:$X$129,"B")</f>
        <v>6</v>
      </c>
      <c r="D29" s="8" t="n">
        <f aca="false">COUNTIFS(Kundenliste!$J$5:$J$129,$A29,Kundenliste!$X$5:$X$129,"C")</f>
        <v>6</v>
      </c>
      <c r="E29" s="8" t="n">
        <f aca="false">SUM(B29:D29)</f>
        <v>13</v>
      </c>
    </row>
    <row r="31" customFormat="false" ht="15" hidden="false" customHeight="false" outlineLevel="0" collapsed="false">
      <c r="A31" s="5" t="s">
        <v>34</v>
      </c>
    </row>
    <row r="32" customFormat="false" ht="30" hidden="false" customHeight="true" outlineLevel="0" collapsed="false">
      <c r="A32" s="6" t="s">
        <v>35</v>
      </c>
      <c r="B32" s="6" t="s">
        <v>4</v>
      </c>
      <c r="C32" s="6" t="s">
        <v>5</v>
      </c>
      <c r="D32" s="6" t="s">
        <v>6</v>
      </c>
      <c r="E32" s="6" t="s">
        <v>16</v>
      </c>
      <c r="F32" s="6" t="s">
        <v>36</v>
      </c>
    </row>
    <row r="33" customFormat="false" ht="15" hidden="false" customHeight="false" outlineLevel="0" collapsed="false">
      <c r="A33" s="7" t="s">
        <v>37</v>
      </c>
      <c r="B33" s="8" t="n">
        <f aca="false">COUNTIFS(Kundenliste!$D$5:$D$129,$A33,Kundenliste!$X$5:$X$129,"A")</f>
        <v>11</v>
      </c>
      <c r="C33" s="8" t="n">
        <f aca="false">COUNTIFS(Kundenliste!$D$5:$D$129,$A33,Kundenliste!$X$5:$X$129,"B")</f>
        <v>20</v>
      </c>
      <c r="D33" s="8" t="n">
        <f aca="false">COUNTIFS(Kundenliste!$D$5:$D$129,$A33,Kundenliste!$X$5:$X$129,"C")</f>
        <v>11</v>
      </c>
      <c r="E33" s="8" t="n">
        <f aca="false">SUM(B33:D33)</f>
        <v>42</v>
      </c>
      <c r="F33" s="12" t="n">
        <f aca="false">IFERROR(AVERAGEIF(Kundenliste!$D$5:$D$129,$A33,Kundenliste!$U$5:$U$129),0)</f>
        <v>3.49761904761905</v>
      </c>
    </row>
    <row r="34" customFormat="false" ht="15" hidden="false" customHeight="false" outlineLevel="0" collapsed="false">
      <c r="A34" s="7" t="s">
        <v>38</v>
      </c>
      <c r="B34" s="8" t="n">
        <f aca="false">COUNTIFS(Kundenliste!$D$5:$D$129,$A34,Kundenliste!$X$5:$X$129,"A")</f>
        <v>2</v>
      </c>
      <c r="C34" s="8" t="n">
        <f aca="false">COUNTIFS(Kundenliste!$D$5:$D$129,$A34,Kundenliste!$X$5:$X$129,"B")</f>
        <v>5</v>
      </c>
      <c r="D34" s="8" t="n">
        <f aca="false">COUNTIFS(Kundenliste!$D$5:$D$129,$A34,Kundenliste!$X$5:$X$129,"C")</f>
        <v>0</v>
      </c>
      <c r="E34" s="8" t="n">
        <f aca="false">SUM(B34:D34)</f>
        <v>7</v>
      </c>
      <c r="F34" s="12" t="n">
        <f aca="false">IFERROR(AVERAGEIF(Kundenliste!$D$5:$D$129,$A34,Kundenliste!$U$5:$U$129),0)</f>
        <v>3.63571428571429</v>
      </c>
    </row>
    <row r="35" customFormat="false" ht="15" hidden="false" customHeight="false" outlineLevel="0" collapsed="false">
      <c r="A35" s="7" t="s">
        <v>39</v>
      </c>
      <c r="B35" s="8" t="n">
        <f aca="false">COUNTIFS(Kundenliste!$D$5:$D$129,$A35,Kundenliste!$X$5:$X$129,"A")</f>
        <v>4</v>
      </c>
      <c r="C35" s="8" t="n">
        <f aca="false">COUNTIFS(Kundenliste!$D$5:$D$129,$A35,Kundenliste!$X$5:$X$129,"B")</f>
        <v>12</v>
      </c>
      <c r="D35" s="8" t="n">
        <f aca="false">COUNTIFS(Kundenliste!$D$5:$D$129,$A35,Kundenliste!$X$5:$X$129,"C")</f>
        <v>0</v>
      </c>
      <c r="E35" s="8" t="n">
        <f aca="false">SUM(B35:D35)</f>
        <v>16</v>
      </c>
      <c r="F35" s="12" t="n">
        <f aca="false">IFERROR(AVERAGEIF(Kundenliste!$D$5:$D$129,$A35,Kundenliste!$U$5:$U$129),0)</f>
        <v>3.675</v>
      </c>
    </row>
    <row r="36" customFormat="false" ht="15" hidden="false" customHeight="false" outlineLevel="0" collapsed="false">
      <c r="A36" s="7" t="s">
        <v>40</v>
      </c>
      <c r="B36" s="8" t="n">
        <f aca="false">COUNTIFS(Kundenliste!$D$5:$D$129,$A36,Kundenliste!$X$5:$X$129,"A")</f>
        <v>1</v>
      </c>
      <c r="C36" s="8" t="n">
        <f aca="false">COUNTIFS(Kundenliste!$D$5:$D$129,$A36,Kundenliste!$X$5:$X$129,"B")</f>
        <v>8</v>
      </c>
      <c r="D36" s="8" t="n">
        <f aca="false">COUNTIFS(Kundenliste!$D$5:$D$129,$A36,Kundenliste!$X$5:$X$129,"C")</f>
        <v>3</v>
      </c>
      <c r="E36" s="8" t="n">
        <f aca="false">SUM(B36:D36)</f>
        <v>12</v>
      </c>
      <c r="F36" s="12" t="n">
        <f aca="false">IFERROR(AVERAGEIF(Kundenliste!$D$5:$D$129,$A36,Kundenliste!$U$5:$U$129),0)</f>
        <v>3.3</v>
      </c>
    </row>
    <row r="37" customFormat="false" ht="15" hidden="false" customHeight="false" outlineLevel="0" collapsed="false">
      <c r="A37" s="7" t="s">
        <v>41</v>
      </c>
      <c r="B37" s="8" t="n">
        <f aca="false">COUNTIFS(Kundenliste!$D$5:$D$129,$A37,Kundenliste!$X$5:$X$129,"A")</f>
        <v>5</v>
      </c>
      <c r="C37" s="8" t="n">
        <f aca="false">COUNTIFS(Kundenliste!$D$5:$D$129,$A37,Kundenliste!$X$5:$X$129,"B")</f>
        <v>5</v>
      </c>
      <c r="D37" s="8" t="n">
        <f aca="false">COUNTIFS(Kundenliste!$D$5:$D$129,$A37,Kundenliste!$X$5:$X$129,"C")</f>
        <v>1</v>
      </c>
      <c r="E37" s="8" t="n">
        <f aca="false">SUM(B37:D37)</f>
        <v>11</v>
      </c>
      <c r="F37" s="12" t="n">
        <f aca="false">IFERROR(AVERAGEIF(Kundenliste!$D$5:$D$129,$A37,Kundenliste!$U$5:$U$129),0)</f>
        <v>3.80454545454545</v>
      </c>
    </row>
    <row r="38" customFormat="false" ht="15" hidden="false" customHeight="false" outlineLevel="0" collapsed="false">
      <c r="A38" s="7" t="s">
        <v>42</v>
      </c>
      <c r="B38" s="8" t="n">
        <f aca="false">COUNTIFS(Kundenliste!$D$5:$D$129,$A38,Kundenliste!$X$5:$X$129,"A")</f>
        <v>6</v>
      </c>
      <c r="C38" s="8" t="n">
        <f aca="false">COUNTIFS(Kundenliste!$D$5:$D$129,$A38,Kundenliste!$X$5:$X$129,"B")</f>
        <v>5</v>
      </c>
      <c r="D38" s="8" t="n">
        <f aca="false">COUNTIFS(Kundenliste!$D$5:$D$129,$A38,Kundenliste!$X$5:$X$129,"C")</f>
        <v>1</v>
      </c>
      <c r="E38" s="8" t="n">
        <f aca="false">SUM(B38:D38)</f>
        <v>12</v>
      </c>
      <c r="F38" s="12" t="n">
        <f aca="false">IFERROR(AVERAGEIF(Kundenliste!$D$5:$D$129,$A38,Kundenliste!$U$5:$U$129),0)</f>
        <v>3.90833333333333</v>
      </c>
    </row>
    <row r="39" customFormat="false" ht="15" hidden="false" customHeight="false" outlineLevel="0" collapsed="false">
      <c r="A39" s="7" t="s">
        <v>43</v>
      </c>
      <c r="B39" s="8" t="n">
        <f aca="false">COUNTIFS(Kundenliste!$D$5:$D$129,$A39,Kundenliste!$X$5:$X$129,"A")</f>
        <v>3</v>
      </c>
      <c r="C39" s="8" t="n">
        <f aca="false">COUNTIFS(Kundenliste!$D$5:$D$129,$A39,Kundenliste!$X$5:$X$129,"B")</f>
        <v>3</v>
      </c>
      <c r="D39" s="8" t="n">
        <f aca="false">COUNTIFS(Kundenliste!$D$5:$D$129,$A39,Kundenliste!$X$5:$X$129,"C")</f>
        <v>4</v>
      </c>
      <c r="E39" s="8" t="n">
        <f aca="false">SUM(B39:D39)</f>
        <v>10</v>
      </c>
      <c r="F39" s="12" t="n">
        <f aca="false">IFERROR(AVERAGEIF(Kundenliste!$D$5:$D$129,$A39,Kundenliste!$U$5:$U$129),0)</f>
        <v>3.23</v>
      </c>
    </row>
    <row r="40" customFormat="false" ht="15" hidden="false" customHeight="false" outlineLevel="0" collapsed="false">
      <c r="A40" s="7" t="s">
        <v>44</v>
      </c>
      <c r="B40" s="8" t="n">
        <f aca="false">COUNTIFS(Kundenliste!$D$5:$D$129,$A40,Kundenliste!$X$5:$X$129,"A")</f>
        <v>1</v>
      </c>
      <c r="C40" s="8" t="n">
        <f aca="false">COUNTIFS(Kundenliste!$D$5:$D$129,$A40,Kundenliste!$X$5:$X$129,"B")</f>
        <v>4</v>
      </c>
      <c r="D40" s="8" t="n">
        <f aca="false">COUNTIFS(Kundenliste!$D$5:$D$129,$A40,Kundenliste!$X$5:$X$129,"C")</f>
        <v>0</v>
      </c>
      <c r="E40" s="8" t="n">
        <f aca="false">SUM(B40:D40)</f>
        <v>5</v>
      </c>
      <c r="F40" s="12" t="n">
        <f aca="false">IFERROR(AVERAGEIF(Kundenliste!$D$5:$D$129,$A40,Kundenliste!$U$5:$U$129),0)</f>
        <v>3.5</v>
      </c>
    </row>
    <row r="41" customFormat="false" ht="15" hidden="false" customHeight="false" outlineLevel="0" collapsed="false">
      <c r="A41" s="7" t="s">
        <v>45</v>
      </c>
      <c r="B41" s="8" t="n">
        <f aca="false">COUNTIFS(Kundenliste!$D$5:$D$129,$A41,Kundenliste!$X$5:$X$129,"A")</f>
        <v>2</v>
      </c>
      <c r="C41" s="8" t="n">
        <f aca="false">COUNTIFS(Kundenliste!$D$5:$D$129,$A41,Kundenliste!$X$5:$X$129,"B")</f>
        <v>1</v>
      </c>
      <c r="D41" s="8" t="n">
        <f aca="false">COUNTIFS(Kundenliste!$D$5:$D$129,$A41,Kundenliste!$X$5:$X$129,"C")</f>
        <v>0</v>
      </c>
      <c r="E41" s="8" t="n">
        <f aca="false">SUM(B41:D41)</f>
        <v>3</v>
      </c>
      <c r="F41" s="12" t="n">
        <f aca="false">IFERROR(AVERAGEIF(Kundenliste!$D$5:$D$129,$A41,Kundenliste!$U$5:$U$129),0)</f>
        <v>3.81666666666667</v>
      </c>
    </row>
    <row r="42" customFormat="false" ht="15" hidden="false" customHeight="false" outlineLevel="0" collapsed="false">
      <c r="A42" s="7" t="s">
        <v>46</v>
      </c>
      <c r="B42" s="8" t="n">
        <f aca="false">COUNTIFS(Kundenliste!$D$5:$D$129,$A42,Kundenliste!$X$5:$X$129,"A")</f>
        <v>1</v>
      </c>
      <c r="C42" s="8" t="n">
        <f aca="false">COUNTIFS(Kundenliste!$D$5:$D$129,$A42,Kundenliste!$X$5:$X$129,"B")</f>
        <v>6</v>
      </c>
      <c r="D42" s="8" t="n">
        <f aca="false">COUNTIFS(Kundenliste!$D$5:$D$129,$A42,Kundenliste!$X$5:$X$129,"C")</f>
        <v>0</v>
      </c>
      <c r="E42" s="8" t="n">
        <f aca="false">SUM(B42:D42)</f>
        <v>7</v>
      </c>
      <c r="F42" s="12" t="n">
        <f aca="false">IFERROR(AVERAGEIF(Kundenliste!$D$5:$D$129,$A42,Kundenliste!$U$5:$U$129),0)</f>
        <v>3.7</v>
      </c>
    </row>
    <row r="44" customFormat="false" ht="15" hidden="false" customHeight="false" outlineLevel="0" collapsed="false">
      <c r="A44" s="5" t="s">
        <v>47</v>
      </c>
    </row>
    <row r="45" customFormat="false" ht="30" hidden="false" customHeight="true" outlineLevel="0" collapsed="false">
      <c r="A45" s="6" t="s">
        <v>48</v>
      </c>
      <c r="B45" s="6" t="s">
        <v>49</v>
      </c>
      <c r="C45" s="6" t="s">
        <v>50</v>
      </c>
    </row>
    <row r="46" customFormat="false" ht="15" hidden="false" customHeight="false" outlineLevel="0" collapsed="false">
      <c r="A46" s="7" t="s">
        <v>51</v>
      </c>
      <c r="B46" s="8" t="n">
        <f aca="false">COUNTIF(Kundenliste!$Y$5:$Y$129,$A46)</f>
        <v>125</v>
      </c>
      <c r="C46" s="8" t="n">
        <f aca="false">COUNTIFS(Kundenliste!$Y$5:$Y$129,$A46,Kundenliste!$X$5:$X$129,"A")</f>
        <v>36</v>
      </c>
    </row>
    <row r="47" customFormat="false" ht="15" hidden="false" customHeight="false" outlineLevel="0" collapsed="false">
      <c r="A47" s="7" t="s">
        <v>52</v>
      </c>
      <c r="B47" s="8" t="n">
        <f aca="false">COUNTIF(Kundenliste!$Y$5:$Y$129,$A47)</f>
        <v>0</v>
      </c>
      <c r="C47" s="8" t="n">
        <f aca="false">COUNTIFS(Kundenliste!$Y$5:$Y$129,$A47,Kundenliste!$X$5:$X$129,"A")</f>
        <v>0</v>
      </c>
    </row>
    <row r="48" customFormat="false" ht="15" hidden="false" customHeight="false" outlineLevel="0" collapsed="false">
      <c r="A48" s="7" t="s">
        <v>53</v>
      </c>
      <c r="B48" s="8" t="n">
        <f aca="false">COUNTIF(Kundenliste!$Y$5:$Y$129,$A48)</f>
        <v>0</v>
      </c>
      <c r="C48" s="8" t="n">
        <f aca="false">COUNTIFS(Kundenliste!$Y$5:$Y$129,$A48,Kundenliste!$X$5:$X$129,"A")</f>
        <v>0</v>
      </c>
    </row>
    <row r="49" customFormat="false" ht="15" hidden="false" customHeight="false" outlineLevel="0" collapsed="false">
      <c r="A49" s="7" t="s">
        <v>54</v>
      </c>
      <c r="B49" s="8" t="n">
        <f aca="false">COUNTIF(Kundenliste!$Y$5:$Y$129,$A49)</f>
        <v>0</v>
      </c>
      <c r="C49" s="8" t="n">
        <f aca="false">COUNTIFS(Kundenliste!$Y$5:$Y$129,$A49,Kundenliste!$X$5:$X$129,"A")</f>
        <v>0</v>
      </c>
    </row>
    <row r="50" customFormat="false" ht="15" hidden="false" customHeight="false" outlineLevel="0" collapsed="false">
      <c r="A50" s="7" t="s">
        <v>55</v>
      </c>
      <c r="B50" s="8" t="n">
        <f aca="false">COUNTIF(Kundenliste!$Y$5:$Y$129,$A50)</f>
        <v>0</v>
      </c>
      <c r="C50" s="8" t="n">
        <f aca="false">COUNTIFS(Kundenliste!$Y$5:$Y$129,$A50,Kundenliste!$X$5:$X$129,"A")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AK1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5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4" min="14" style="0" width="38"/>
    <col collapsed="false" customWidth="true" hidden="false" outlineLevel="0" max="15" min="15" style="0" width="26"/>
    <col collapsed="false" customWidth="true" hidden="false" outlineLevel="0" max="16" min="16" style="0" width="48"/>
    <col collapsed="false" customWidth="true" hidden="false" outlineLevel="0" max="17" min="17" style="0" width="6"/>
    <col collapsed="false" customWidth="true" hidden="false" outlineLevel="0" max="18" min="18" style="0" width="8"/>
    <col collapsed="false" customWidth="true" hidden="false" outlineLevel="0" max="21" min="19" style="0" width="7"/>
    <col collapsed="false" customWidth="true" hidden="false" outlineLevel="0" max="22" min="22" style="0" width="9"/>
    <col collapsed="false" customWidth="true" hidden="false" outlineLevel="0" max="23" min="23" style="0" width="8"/>
    <col collapsed="false" customWidth="true" hidden="false" outlineLevel="0" max="24" min="24" style="0" width="6"/>
    <col collapsed="false" customWidth="true" hidden="false" outlineLevel="0" max="25" min="25" style="0" width="22"/>
    <col collapsed="false" customWidth="true" hidden="false" outlineLevel="0" max="26" min="26" style="0" width="11"/>
    <col collapsed="false" customWidth="true" hidden="false" outlineLevel="0" max="27" min="27" style="0" width="34"/>
    <col collapsed="false" customWidth="true" hidden="false" outlineLevel="0" max="28" min="28" style="0" width="22"/>
    <col collapsed="false" customWidth="true" hidden="false" outlineLevel="0" max="29" min="29" style="0" width="26"/>
    <col collapsed="false" customWidth="true" hidden="false" outlineLevel="0" max="30" min="30" style="0" width="13"/>
    <col collapsed="false" customWidth="true" hidden="false" outlineLevel="0" max="31" min="31" style="0" width="14"/>
    <col collapsed="false" customWidth="true" hidden="false" outlineLevel="0" max="32" min="32" style="0" width="11"/>
    <col collapsed="false" customWidth="true" hidden="false" outlineLevel="0" max="33" min="33" style="0" width="36"/>
    <col collapsed="false" customWidth="true" hidden="false" outlineLevel="0" max="34" min="34" style="0" width="13"/>
    <col collapsed="false" customWidth="true" hidden="false" outlineLevel="0" max="35" min="35" style="0" width="26"/>
    <col collapsed="false" customWidth="true" hidden="false" outlineLevel="0" max="36" min="36" style="0" width="12"/>
    <col collapsed="false" customWidth="true" hidden="false" outlineLevel="0" max="37" min="37" style="0" width="11"/>
  </cols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13" t="s">
        <v>58</v>
      </c>
    </row>
    <row r="4" customFormat="false" ht="31.5" hidden="false" customHeight="true" outlineLevel="0" collapsed="false">
      <c r="A4" s="14" t="s">
        <v>59</v>
      </c>
      <c r="B4" s="14" t="s">
        <v>60</v>
      </c>
      <c r="C4" s="14" t="s">
        <v>9</v>
      </c>
      <c r="D4" s="14" t="s">
        <v>35</v>
      </c>
      <c r="E4" s="14" t="s">
        <v>61</v>
      </c>
      <c r="F4" s="14" t="s">
        <v>62</v>
      </c>
      <c r="G4" s="14" t="s">
        <v>63</v>
      </c>
      <c r="H4" s="14" t="s">
        <v>64</v>
      </c>
      <c r="I4" s="14" t="s">
        <v>18</v>
      </c>
      <c r="J4" s="14" t="s">
        <v>31</v>
      </c>
      <c r="K4" s="14" t="s">
        <v>65</v>
      </c>
      <c r="L4" s="14" t="s">
        <v>66</v>
      </c>
      <c r="M4" s="14" t="s">
        <v>67</v>
      </c>
      <c r="N4" s="14" t="s">
        <v>68</v>
      </c>
      <c r="O4" s="14" t="s">
        <v>69</v>
      </c>
      <c r="P4" s="14" t="s">
        <v>70</v>
      </c>
      <c r="Q4" s="14" t="s">
        <v>71</v>
      </c>
      <c r="R4" s="14" t="s">
        <v>72</v>
      </c>
      <c r="S4" s="14" t="s">
        <v>73</v>
      </c>
      <c r="T4" s="14" t="s">
        <v>74</v>
      </c>
      <c r="U4" s="14" t="s">
        <v>75</v>
      </c>
      <c r="V4" s="14" t="s">
        <v>76</v>
      </c>
      <c r="W4" s="14" t="s">
        <v>77</v>
      </c>
      <c r="X4" s="14" t="s">
        <v>78</v>
      </c>
      <c r="Y4" s="14" t="s">
        <v>79</v>
      </c>
      <c r="Z4" s="14" t="s">
        <v>80</v>
      </c>
      <c r="AA4" s="14" t="s">
        <v>81</v>
      </c>
      <c r="AB4" s="14" t="s">
        <v>82</v>
      </c>
      <c r="AC4" s="14" t="s">
        <v>83</v>
      </c>
      <c r="AD4" s="14" t="s">
        <v>84</v>
      </c>
      <c r="AE4" s="14" t="s">
        <v>85</v>
      </c>
      <c r="AF4" s="14" t="s">
        <v>86</v>
      </c>
      <c r="AG4" s="14" t="s">
        <v>87</v>
      </c>
      <c r="AH4" s="14" t="s">
        <v>88</v>
      </c>
      <c r="AI4" s="14" t="s">
        <v>89</v>
      </c>
      <c r="AJ4" s="14" t="s">
        <v>90</v>
      </c>
      <c r="AK4" s="14" t="s">
        <v>91</v>
      </c>
    </row>
    <row r="5" customFormat="false" ht="48" hidden="false" customHeight="true" outlineLevel="0" collapsed="false">
      <c r="A5" s="15" t="s">
        <v>92</v>
      </c>
      <c r="B5" s="15" t="s">
        <v>93</v>
      </c>
      <c r="C5" s="16" t="s">
        <v>13</v>
      </c>
      <c r="D5" s="17" t="s">
        <v>37</v>
      </c>
      <c r="E5" s="18" t="s">
        <v>94</v>
      </c>
      <c r="F5" s="16" t="s">
        <v>95</v>
      </c>
      <c r="G5" s="16" t="s">
        <v>26</v>
      </c>
      <c r="H5" s="15" t="s">
        <v>96</v>
      </c>
      <c r="I5" s="17" t="s">
        <v>26</v>
      </c>
      <c r="J5" s="17" t="s">
        <v>33</v>
      </c>
      <c r="K5" s="15" t="s">
        <v>97</v>
      </c>
      <c r="L5" s="19" t="s">
        <v>98</v>
      </c>
      <c r="M5" s="16" t="s">
        <v>99</v>
      </c>
      <c r="N5" s="16" t="s">
        <v>100</v>
      </c>
      <c r="O5" s="16" t="s">
        <v>101</v>
      </c>
      <c r="P5" s="16" t="s">
        <v>102</v>
      </c>
      <c r="Q5" s="20" t="n">
        <v>5</v>
      </c>
      <c r="R5" s="20" t="n">
        <v>5</v>
      </c>
      <c r="S5" s="20" t="n">
        <v>4</v>
      </c>
      <c r="T5" s="20" t="n">
        <v>3</v>
      </c>
      <c r="U5" s="21" t="n">
        <f aca="false">ROUND(Q5*Methodik!$B$5+R5*Methodik!$B$6+S5*Methodik!$B$7+T5*Methodik!$B$8,2)</f>
        <v>4.45</v>
      </c>
      <c r="V5" s="15" t="str">
        <f aca="false">IF(U5&gt;=Methodik!$B$11,"A",IF(U5&gt;=Methodik!$B$12,"B","C"))</f>
        <v>A</v>
      </c>
      <c r="W5" s="20"/>
      <c r="X5" s="15" t="str">
        <f aca="false">IF(W5="",V5,W5)</f>
        <v>A</v>
      </c>
      <c r="Y5" s="22" t="s">
        <v>51</v>
      </c>
      <c r="Z5" s="23"/>
      <c r="AA5" s="16" t="s">
        <v>103</v>
      </c>
      <c r="AB5" s="22"/>
      <c r="AC5" s="16" t="s">
        <v>104</v>
      </c>
      <c r="AD5" s="19" t="s">
        <v>105</v>
      </c>
      <c r="AE5" s="19" t="s">
        <v>105</v>
      </c>
      <c r="AF5" s="19" t="s">
        <v>106</v>
      </c>
      <c r="AG5" s="16"/>
      <c r="AH5" s="22"/>
      <c r="AI5" s="24"/>
      <c r="AJ5" s="23"/>
      <c r="AK5" s="23"/>
    </row>
    <row r="6" customFormat="false" ht="48" hidden="false" customHeight="true" outlineLevel="0" collapsed="false">
      <c r="A6" s="15" t="s">
        <v>107</v>
      </c>
      <c r="B6" s="15" t="s">
        <v>93</v>
      </c>
      <c r="C6" s="16" t="s">
        <v>13</v>
      </c>
      <c r="D6" s="17" t="s">
        <v>37</v>
      </c>
      <c r="E6" s="18" t="s">
        <v>108</v>
      </c>
      <c r="F6" s="16" t="s">
        <v>109</v>
      </c>
      <c r="G6" s="16" t="s">
        <v>26</v>
      </c>
      <c r="H6" s="15" t="s">
        <v>96</v>
      </c>
      <c r="I6" s="17" t="s">
        <v>26</v>
      </c>
      <c r="J6" s="17" t="s">
        <v>33</v>
      </c>
      <c r="K6" s="15" t="s">
        <v>97</v>
      </c>
      <c r="L6" s="19" t="s">
        <v>110</v>
      </c>
      <c r="M6" s="16" t="s">
        <v>111</v>
      </c>
      <c r="N6" s="16" t="s">
        <v>100</v>
      </c>
      <c r="O6" s="16" t="s">
        <v>101</v>
      </c>
      <c r="P6" s="16" t="s">
        <v>112</v>
      </c>
      <c r="Q6" s="20" t="n">
        <v>5</v>
      </c>
      <c r="R6" s="20" t="n">
        <v>5</v>
      </c>
      <c r="S6" s="20" t="n">
        <v>4</v>
      </c>
      <c r="T6" s="20" t="n">
        <v>3</v>
      </c>
      <c r="U6" s="21" t="n">
        <f aca="false">ROUND(Q6*Methodik!$B$5+R6*Methodik!$B$6+S6*Methodik!$B$7+T6*Methodik!$B$8,2)</f>
        <v>4.45</v>
      </c>
      <c r="V6" s="15" t="str">
        <f aca="false">IF(U6&gt;=Methodik!$B$11,"A",IF(U6&gt;=Methodik!$B$12,"B","C"))</f>
        <v>A</v>
      </c>
      <c r="W6" s="20"/>
      <c r="X6" s="15" t="str">
        <f aca="false">IF(W6="",V6,W6)</f>
        <v>A</v>
      </c>
      <c r="Y6" s="22" t="s">
        <v>51</v>
      </c>
      <c r="Z6" s="23"/>
      <c r="AA6" s="16" t="s">
        <v>103</v>
      </c>
      <c r="AB6" s="22"/>
      <c r="AC6" s="16"/>
      <c r="AD6" s="19" t="s">
        <v>105</v>
      </c>
      <c r="AE6" s="19" t="s">
        <v>105</v>
      </c>
      <c r="AF6" s="19" t="s">
        <v>106</v>
      </c>
      <c r="AG6" s="16"/>
      <c r="AH6" s="22"/>
      <c r="AI6" s="24"/>
      <c r="AJ6" s="23"/>
      <c r="AK6" s="23"/>
    </row>
    <row r="7" customFormat="false" ht="48" hidden="false" customHeight="true" outlineLevel="0" collapsed="false">
      <c r="A7" s="15" t="s">
        <v>113</v>
      </c>
      <c r="B7" s="15" t="s">
        <v>93</v>
      </c>
      <c r="C7" s="16" t="s">
        <v>13</v>
      </c>
      <c r="D7" s="17" t="s">
        <v>37</v>
      </c>
      <c r="E7" s="18" t="s">
        <v>114</v>
      </c>
      <c r="F7" s="16" t="s">
        <v>115</v>
      </c>
      <c r="G7" s="16" t="s">
        <v>26</v>
      </c>
      <c r="H7" s="15" t="s">
        <v>96</v>
      </c>
      <c r="I7" s="17" t="s">
        <v>26</v>
      </c>
      <c r="J7" s="17" t="s">
        <v>33</v>
      </c>
      <c r="K7" s="15" t="s">
        <v>97</v>
      </c>
      <c r="L7" s="19" t="s">
        <v>116</v>
      </c>
      <c r="M7" s="16" t="s">
        <v>117</v>
      </c>
      <c r="N7" s="16" t="s">
        <v>100</v>
      </c>
      <c r="O7" s="16" t="s">
        <v>118</v>
      </c>
      <c r="P7" s="16" t="s">
        <v>119</v>
      </c>
      <c r="Q7" s="20" t="n">
        <v>5</v>
      </c>
      <c r="R7" s="20" t="n">
        <v>5</v>
      </c>
      <c r="S7" s="20" t="n">
        <v>4</v>
      </c>
      <c r="T7" s="20" t="n">
        <v>3</v>
      </c>
      <c r="U7" s="21" t="n">
        <f aca="false">ROUND(Q7*Methodik!$B$5+R7*Methodik!$B$6+S7*Methodik!$B$7+T7*Methodik!$B$8,2)</f>
        <v>4.45</v>
      </c>
      <c r="V7" s="15" t="str">
        <f aca="false">IF(U7&gt;=Methodik!$B$11,"A",IF(U7&gt;=Methodik!$B$12,"B","C"))</f>
        <v>A</v>
      </c>
      <c r="W7" s="20"/>
      <c r="X7" s="15" t="str">
        <f aca="false">IF(W7="",V7,W7)</f>
        <v>A</v>
      </c>
      <c r="Y7" s="22" t="s">
        <v>51</v>
      </c>
      <c r="Z7" s="23"/>
      <c r="AA7" s="16" t="s">
        <v>103</v>
      </c>
      <c r="AB7" s="22"/>
      <c r="AC7" s="16"/>
      <c r="AD7" s="19" t="s">
        <v>105</v>
      </c>
      <c r="AE7" s="19" t="s">
        <v>105</v>
      </c>
      <c r="AF7" s="19" t="s">
        <v>106</v>
      </c>
      <c r="AG7" s="16" t="s">
        <v>120</v>
      </c>
      <c r="AH7" s="22"/>
      <c r="AI7" s="24"/>
      <c r="AJ7" s="23"/>
      <c r="AK7" s="23"/>
    </row>
    <row r="8" customFormat="false" ht="48" hidden="false" customHeight="true" outlineLevel="0" collapsed="false">
      <c r="A8" s="15" t="s">
        <v>121</v>
      </c>
      <c r="B8" s="15" t="s">
        <v>93</v>
      </c>
      <c r="C8" s="16" t="s">
        <v>13</v>
      </c>
      <c r="D8" s="17" t="s">
        <v>37</v>
      </c>
      <c r="E8" s="18" t="s">
        <v>122</v>
      </c>
      <c r="F8" s="16" t="s">
        <v>123</v>
      </c>
      <c r="G8" s="16" t="s">
        <v>124</v>
      </c>
      <c r="H8" s="15" t="s">
        <v>125</v>
      </c>
      <c r="I8" s="17" t="s">
        <v>24</v>
      </c>
      <c r="J8" s="17" t="s">
        <v>33</v>
      </c>
      <c r="K8" s="15" t="s">
        <v>126</v>
      </c>
      <c r="L8" s="19" t="s">
        <v>127</v>
      </c>
      <c r="M8" s="16" t="s">
        <v>128</v>
      </c>
      <c r="N8" s="16" t="s">
        <v>100</v>
      </c>
      <c r="O8" s="16" t="s">
        <v>129</v>
      </c>
      <c r="P8" s="16" t="s">
        <v>130</v>
      </c>
      <c r="Q8" s="20" t="n">
        <v>5</v>
      </c>
      <c r="R8" s="20" t="n">
        <v>5</v>
      </c>
      <c r="S8" s="20" t="n">
        <v>3</v>
      </c>
      <c r="T8" s="20" t="n">
        <v>3</v>
      </c>
      <c r="U8" s="21" t="n">
        <f aca="false">ROUND(Q8*Methodik!$B$5+R8*Methodik!$B$6+S8*Methodik!$B$7+T8*Methodik!$B$8,2)</f>
        <v>4.2</v>
      </c>
      <c r="V8" s="15" t="str">
        <f aca="false">IF(U8&gt;=Methodik!$B$11,"A",IF(U8&gt;=Methodik!$B$12,"B","C"))</f>
        <v>A</v>
      </c>
      <c r="W8" s="20"/>
      <c r="X8" s="15" t="str">
        <f aca="false">IF(W8="",V8,W8)</f>
        <v>A</v>
      </c>
      <c r="Y8" s="22" t="s">
        <v>51</v>
      </c>
      <c r="Z8" s="23"/>
      <c r="AA8" s="16" t="s">
        <v>103</v>
      </c>
      <c r="AB8" s="22"/>
      <c r="AC8" s="16"/>
      <c r="AD8" s="19" t="s">
        <v>105</v>
      </c>
      <c r="AE8" s="19" t="s">
        <v>105</v>
      </c>
      <c r="AF8" s="19" t="s">
        <v>106</v>
      </c>
      <c r="AG8" s="16" t="s">
        <v>131</v>
      </c>
      <c r="AH8" s="22"/>
      <c r="AI8" s="24"/>
      <c r="AJ8" s="23"/>
      <c r="AK8" s="23"/>
    </row>
    <row r="9" customFormat="false" ht="48" hidden="false" customHeight="true" outlineLevel="0" collapsed="false">
      <c r="A9" s="15" t="s">
        <v>132</v>
      </c>
      <c r="B9" s="15" t="s">
        <v>93</v>
      </c>
      <c r="C9" s="16" t="s">
        <v>13</v>
      </c>
      <c r="D9" s="17" t="s">
        <v>37</v>
      </c>
      <c r="E9" s="18" t="s">
        <v>133</v>
      </c>
      <c r="F9" s="16" t="s">
        <v>134</v>
      </c>
      <c r="G9" s="16" t="s">
        <v>135</v>
      </c>
      <c r="H9" s="15" t="s">
        <v>125</v>
      </c>
      <c r="I9" s="17" t="s">
        <v>24</v>
      </c>
      <c r="J9" s="17" t="s">
        <v>33</v>
      </c>
      <c r="K9" s="15" t="s">
        <v>126</v>
      </c>
      <c r="L9" s="19" t="s">
        <v>136</v>
      </c>
      <c r="M9" s="16" t="s">
        <v>137</v>
      </c>
      <c r="N9" s="16" t="s">
        <v>100</v>
      </c>
      <c r="O9" s="16" t="s">
        <v>138</v>
      </c>
      <c r="P9" s="16" t="s">
        <v>139</v>
      </c>
      <c r="Q9" s="20" t="n">
        <v>5</v>
      </c>
      <c r="R9" s="20" t="n">
        <v>4</v>
      </c>
      <c r="S9" s="20" t="n">
        <v>4</v>
      </c>
      <c r="T9" s="20" t="n">
        <v>3</v>
      </c>
      <c r="U9" s="21" t="n">
        <f aca="false">ROUND(Q9*Methodik!$B$5+R9*Methodik!$B$6+S9*Methodik!$B$7+T9*Methodik!$B$8,2)</f>
        <v>4.15</v>
      </c>
      <c r="V9" s="15" t="str">
        <f aca="false">IF(U9&gt;=Methodik!$B$11,"A",IF(U9&gt;=Methodik!$B$12,"B","C"))</f>
        <v>A</v>
      </c>
      <c r="W9" s="20"/>
      <c r="X9" s="15" t="str">
        <f aca="false">IF(W9="",V9,W9)</f>
        <v>A</v>
      </c>
      <c r="Y9" s="22" t="s">
        <v>51</v>
      </c>
      <c r="Z9" s="23"/>
      <c r="AA9" s="16" t="s">
        <v>103</v>
      </c>
      <c r="AB9" s="22"/>
      <c r="AC9" s="16"/>
      <c r="AD9" s="19" t="s">
        <v>105</v>
      </c>
      <c r="AE9" s="19" t="s">
        <v>105</v>
      </c>
      <c r="AF9" s="19" t="s">
        <v>106</v>
      </c>
      <c r="AG9" s="16"/>
      <c r="AH9" s="22"/>
      <c r="AI9" s="24"/>
      <c r="AJ9" s="23"/>
      <c r="AK9" s="23"/>
    </row>
    <row r="10" customFormat="false" ht="48" hidden="false" customHeight="true" outlineLevel="0" collapsed="false">
      <c r="A10" s="15" t="s">
        <v>140</v>
      </c>
      <c r="B10" s="15" t="s">
        <v>93</v>
      </c>
      <c r="C10" s="16" t="s">
        <v>13</v>
      </c>
      <c r="D10" s="17" t="s">
        <v>37</v>
      </c>
      <c r="E10" s="18" t="s">
        <v>141</v>
      </c>
      <c r="F10" s="16" t="s">
        <v>142</v>
      </c>
      <c r="G10" s="16" t="s">
        <v>143</v>
      </c>
      <c r="H10" s="15" t="s">
        <v>125</v>
      </c>
      <c r="I10" s="17" t="s">
        <v>24</v>
      </c>
      <c r="J10" s="17" t="s">
        <v>33</v>
      </c>
      <c r="K10" s="15" t="s">
        <v>97</v>
      </c>
      <c r="L10" s="19" t="s">
        <v>144</v>
      </c>
      <c r="M10" s="16" t="s">
        <v>145</v>
      </c>
      <c r="N10" s="16" t="s">
        <v>100</v>
      </c>
      <c r="O10" s="16" t="s">
        <v>146</v>
      </c>
      <c r="P10" s="16" t="s">
        <v>147</v>
      </c>
      <c r="Q10" s="20" t="n">
        <v>5</v>
      </c>
      <c r="R10" s="20" t="n">
        <v>4</v>
      </c>
      <c r="S10" s="20" t="n">
        <v>4</v>
      </c>
      <c r="T10" s="20" t="n">
        <v>3</v>
      </c>
      <c r="U10" s="21" t="n">
        <f aca="false">ROUND(Q10*Methodik!$B$5+R10*Methodik!$B$6+S10*Methodik!$B$7+T10*Methodik!$B$8,2)</f>
        <v>4.15</v>
      </c>
      <c r="V10" s="15" t="str">
        <f aca="false">IF(U10&gt;=Methodik!$B$11,"A",IF(U10&gt;=Methodik!$B$12,"B","C"))</f>
        <v>A</v>
      </c>
      <c r="W10" s="20"/>
      <c r="X10" s="15" t="str">
        <f aca="false">IF(W10="",V10,W10)</f>
        <v>A</v>
      </c>
      <c r="Y10" s="22" t="s">
        <v>51</v>
      </c>
      <c r="Z10" s="23"/>
      <c r="AA10" s="16" t="s">
        <v>103</v>
      </c>
      <c r="AB10" s="22"/>
      <c r="AC10" s="16"/>
      <c r="AD10" s="19" t="s">
        <v>105</v>
      </c>
      <c r="AE10" s="19" t="s">
        <v>105</v>
      </c>
      <c r="AF10" s="19" t="s">
        <v>106</v>
      </c>
      <c r="AG10" s="16"/>
      <c r="AH10" s="22"/>
      <c r="AI10" s="24"/>
      <c r="AJ10" s="23"/>
      <c r="AK10" s="23"/>
    </row>
    <row r="11" customFormat="false" ht="48" hidden="false" customHeight="true" outlineLevel="0" collapsed="false">
      <c r="A11" s="15" t="s">
        <v>148</v>
      </c>
      <c r="B11" s="15" t="s">
        <v>93</v>
      </c>
      <c r="C11" s="16" t="s">
        <v>13</v>
      </c>
      <c r="D11" s="17" t="s">
        <v>37</v>
      </c>
      <c r="E11" s="18" t="s">
        <v>149</v>
      </c>
      <c r="F11" s="16" t="s">
        <v>150</v>
      </c>
      <c r="G11" s="16" t="s">
        <v>151</v>
      </c>
      <c r="H11" s="15" t="s">
        <v>152</v>
      </c>
      <c r="I11" s="17" t="s">
        <v>28</v>
      </c>
      <c r="J11" s="17" t="s">
        <v>33</v>
      </c>
      <c r="K11" s="15" t="s">
        <v>97</v>
      </c>
      <c r="L11" s="19" t="s">
        <v>153</v>
      </c>
      <c r="M11" s="16" t="s">
        <v>154</v>
      </c>
      <c r="N11" s="16" t="s">
        <v>100</v>
      </c>
      <c r="O11" s="16" t="s">
        <v>155</v>
      </c>
      <c r="P11" s="16" t="s">
        <v>156</v>
      </c>
      <c r="Q11" s="20" t="n">
        <v>5</v>
      </c>
      <c r="R11" s="20" t="n">
        <v>4</v>
      </c>
      <c r="S11" s="20" t="n">
        <v>4</v>
      </c>
      <c r="T11" s="20" t="n">
        <v>3</v>
      </c>
      <c r="U11" s="21" t="n">
        <f aca="false">ROUND(Q11*Methodik!$B$5+R11*Methodik!$B$6+S11*Methodik!$B$7+T11*Methodik!$B$8,2)</f>
        <v>4.15</v>
      </c>
      <c r="V11" s="15" t="str">
        <f aca="false">IF(U11&gt;=Methodik!$B$11,"A",IF(U11&gt;=Methodik!$B$12,"B","C"))</f>
        <v>A</v>
      </c>
      <c r="W11" s="20"/>
      <c r="X11" s="15" t="str">
        <f aca="false">IF(W11="",V11,W11)</f>
        <v>A</v>
      </c>
      <c r="Y11" s="22" t="s">
        <v>51</v>
      </c>
      <c r="Z11" s="23"/>
      <c r="AA11" s="16" t="s">
        <v>103</v>
      </c>
      <c r="AB11" s="22"/>
      <c r="AC11" s="16"/>
      <c r="AD11" s="19" t="s">
        <v>105</v>
      </c>
      <c r="AE11" s="19" t="s">
        <v>105</v>
      </c>
      <c r="AF11" s="19" t="s">
        <v>106</v>
      </c>
      <c r="AG11" s="16" t="s">
        <v>157</v>
      </c>
      <c r="AH11" s="22"/>
      <c r="AI11" s="24"/>
      <c r="AJ11" s="23"/>
      <c r="AK11" s="23"/>
    </row>
    <row r="12" customFormat="false" ht="48" hidden="false" customHeight="true" outlineLevel="0" collapsed="false">
      <c r="A12" s="15" t="s">
        <v>158</v>
      </c>
      <c r="B12" s="15" t="s">
        <v>93</v>
      </c>
      <c r="C12" s="16" t="s">
        <v>13</v>
      </c>
      <c r="D12" s="17" t="s">
        <v>37</v>
      </c>
      <c r="E12" s="18" t="s">
        <v>159</v>
      </c>
      <c r="F12" s="16" t="s">
        <v>160</v>
      </c>
      <c r="G12" s="16" t="s">
        <v>161</v>
      </c>
      <c r="H12" s="15" t="s">
        <v>96</v>
      </c>
      <c r="I12" s="17" t="s">
        <v>26</v>
      </c>
      <c r="J12" s="17" t="s">
        <v>33</v>
      </c>
      <c r="K12" s="15" t="s">
        <v>97</v>
      </c>
      <c r="L12" s="19" t="s">
        <v>162</v>
      </c>
      <c r="M12" s="16" t="s">
        <v>163</v>
      </c>
      <c r="N12" s="16" t="s">
        <v>100</v>
      </c>
      <c r="O12" s="16" t="s">
        <v>129</v>
      </c>
      <c r="P12" s="16" t="s">
        <v>164</v>
      </c>
      <c r="Q12" s="20" t="n">
        <v>5</v>
      </c>
      <c r="R12" s="20" t="n">
        <v>4</v>
      </c>
      <c r="S12" s="20" t="n">
        <v>4</v>
      </c>
      <c r="T12" s="20" t="n">
        <v>3</v>
      </c>
      <c r="U12" s="21" t="n">
        <f aca="false">ROUND(Q12*Methodik!$B$5+R12*Methodik!$B$6+S12*Methodik!$B$7+T12*Methodik!$B$8,2)</f>
        <v>4.15</v>
      </c>
      <c r="V12" s="15" t="str">
        <f aca="false">IF(U12&gt;=Methodik!$B$11,"A",IF(U12&gt;=Methodik!$B$12,"B","C"))</f>
        <v>A</v>
      </c>
      <c r="W12" s="20"/>
      <c r="X12" s="15" t="str">
        <f aca="false">IF(W12="",V12,W12)</f>
        <v>A</v>
      </c>
      <c r="Y12" s="22" t="s">
        <v>51</v>
      </c>
      <c r="Z12" s="23"/>
      <c r="AA12" s="16" t="s">
        <v>103</v>
      </c>
      <c r="AB12" s="22"/>
      <c r="AC12" s="16" t="s">
        <v>165</v>
      </c>
      <c r="AD12" s="19" t="s">
        <v>105</v>
      </c>
      <c r="AE12" s="19" t="s">
        <v>105</v>
      </c>
      <c r="AF12" s="19" t="s">
        <v>106</v>
      </c>
      <c r="AG12" s="16"/>
      <c r="AH12" s="22"/>
      <c r="AI12" s="24"/>
      <c r="AJ12" s="23"/>
      <c r="AK12" s="23"/>
    </row>
    <row r="13" customFormat="false" ht="48" hidden="false" customHeight="true" outlineLevel="0" collapsed="false">
      <c r="A13" s="15" t="s">
        <v>166</v>
      </c>
      <c r="B13" s="15" t="s">
        <v>93</v>
      </c>
      <c r="C13" s="16" t="s">
        <v>13</v>
      </c>
      <c r="D13" s="17" t="s">
        <v>37</v>
      </c>
      <c r="E13" s="18" t="s">
        <v>167</v>
      </c>
      <c r="F13" s="16" t="s">
        <v>168</v>
      </c>
      <c r="G13" s="16" t="s">
        <v>169</v>
      </c>
      <c r="H13" s="15" t="s">
        <v>170</v>
      </c>
      <c r="I13" s="17" t="s">
        <v>25</v>
      </c>
      <c r="J13" s="17" t="s">
        <v>33</v>
      </c>
      <c r="K13" s="15" t="s">
        <v>97</v>
      </c>
      <c r="L13" s="19" t="s">
        <v>110</v>
      </c>
      <c r="M13" s="16" t="s">
        <v>171</v>
      </c>
      <c r="N13" s="16" t="s">
        <v>172</v>
      </c>
      <c r="O13" s="16" t="s">
        <v>173</v>
      </c>
      <c r="P13" s="16" t="s">
        <v>174</v>
      </c>
      <c r="Q13" s="20" t="n">
        <v>5</v>
      </c>
      <c r="R13" s="20" t="n">
        <v>4</v>
      </c>
      <c r="S13" s="20" t="n">
        <v>4</v>
      </c>
      <c r="T13" s="20" t="n">
        <v>3</v>
      </c>
      <c r="U13" s="21" t="n">
        <f aca="false">ROUND(Q13*Methodik!$B$5+R13*Methodik!$B$6+S13*Methodik!$B$7+T13*Methodik!$B$8,2)</f>
        <v>4.15</v>
      </c>
      <c r="V13" s="15" t="str">
        <f aca="false">IF(U13&gt;=Methodik!$B$11,"A",IF(U13&gt;=Methodik!$B$12,"B","C"))</f>
        <v>A</v>
      </c>
      <c r="W13" s="20"/>
      <c r="X13" s="15" t="str">
        <f aca="false">IF(W13="",V13,W13)</f>
        <v>A</v>
      </c>
      <c r="Y13" s="22" t="s">
        <v>51</v>
      </c>
      <c r="Z13" s="23"/>
      <c r="AA13" s="16" t="s">
        <v>103</v>
      </c>
      <c r="AB13" s="22"/>
      <c r="AC13" s="16"/>
      <c r="AD13" s="19" t="s">
        <v>105</v>
      </c>
      <c r="AE13" s="19" t="s">
        <v>105</v>
      </c>
      <c r="AF13" s="19" t="s">
        <v>106</v>
      </c>
      <c r="AG13" s="16"/>
      <c r="AH13" s="22"/>
      <c r="AI13" s="24"/>
      <c r="AJ13" s="23"/>
      <c r="AK13" s="23"/>
    </row>
    <row r="14" customFormat="false" ht="48" hidden="false" customHeight="true" outlineLevel="0" collapsed="false">
      <c r="A14" s="15" t="s">
        <v>175</v>
      </c>
      <c r="B14" s="15" t="s">
        <v>93</v>
      </c>
      <c r="C14" s="16" t="s">
        <v>13</v>
      </c>
      <c r="D14" s="17" t="s">
        <v>37</v>
      </c>
      <c r="E14" s="18" t="s">
        <v>176</v>
      </c>
      <c r="F14" s="16" t="s">
        <v>177</v>
      </c>
      <c r="G14" s="16" t="s">
        <v>178</v>
      </c>
      <c r="H14" s="15" t="s">
        <v>179</v>
      </c>
      <c r="I14" s="17" t="s">
        <v>23</v>
      </c>
      <c r="J14" s="17" t="s">
        <v>32</v>
      </c>
      <c r="K14" s="15" t="s">
        <v>180</v>
      </c>
      <c r="L14" s="19" t="s">
        <v>181</v>
      </c>
      <c r="M14" s="16" t="s">
        <v>182</v>
      </c>
      <c r="N14" s="16" t="s">
        <v>183</v>
      </c>
      <c r="O14" s="16" t="s">
        <v>184</v>
      </c>
      <c r="P14" s="16" t="s">
        <v>185</v>
      </c>
      <c r="Q14" s="20" t="n">
        <v>5</v>
      </c>
      <c r="R14" s="20" t="n">
        <v>4</v>
      </c>
      <c r="S14" s="20" t="n">
        <v>4</v>
      </c>
      <c r="T14" s="20" t="n">
        <v>3</v>
      </c>
      <c r="U14" s="21" t="n">
        <f aca="false">ROUND(Q14*Methodik!$B$5+R14*Methodik!$B$6+S14*Methodik!$B$7+T14*Methodik!$B$8,2)</f>
        <v>4.15</v>
      </c>
      <c r="V14" s="15" t="str">
        <f aca="false">IF(U14&gt;=Methodik!$B$11,"A",IF(U14&gt;=Methodik!$B$12,"B","C"))</f>
        <v>A</v>
      </c>
      <c r="W14" s="20"/>
      <c r="X14" s="15" t="str">
        <f aca="false">IF(W14="",V14,W14)</f>
        <v>A</v>
      </c>
      <c r="Y14" s="22" t="s">
        <v>51</v>
      </c>
      <c r="Z14" s="23"/>
      <c r="AA14" s="16" t="s">
        <v>103</v>
      </c>
      <c r="AB14" s="22"/>
      <c r="AC14" s="16"/>
      <c r="AD14" s="19" t="s">
        <v>105</v>
      </c>
      <c r="AE14" s="19" t="s">
        <v>105</v>
      </c>
      <c r="AF14" s="19" t="s">
        <v>106</v>
      </c>
      <c r="AG14" s="16"/>
      <c r="AH14" s="22"/>
      <c r="AI14" s="24"/>
      <c r="AJ14" s="23"/>
      <c r="AK14" s="23"/>
    </row>
    <row r="15" customFormat="false" ht="48" hidden="false" customHeight="true" outlineLevel="0" collapsed="false">
      <c r="A15" s="15" t="s">
        <v>186</v>
      </c>
      <c r="B15" s="15" t="s">
        <v>93</v>
      </c>
      <c r="C15" s="16" t="s">
        <v>13</v>
      </c>
      <c r="D15" s="17" t="s">
        <v>37</v>
      </c>
      <c r="E15" s="18" t="s">
        <v>187</v>
      </c>
      <c r="F15" s="16" t="s">
        <v>177</v>
      </c>
      <c r="G15" s="16" t="s">
        <v>188</v>
      </c>
      <c r="H15" s="15" t="s">
        <v>189</v>
      </c>
      <c r="I15" s="17" t="s">
        <v>25</v>
      </c>
      <c r="J15" s="17" t="s">
        <v>33</v>
      </c>
      <c r="K15" s="15" t="s">
        <v>97</v>
      </c>
      <c r="L15" s="19" t="s">
        <v>190</v>
      </c>
      <c r="M15" s="16" t="s">
        <v>191</v>
      </c>
      <c r="N15" s="16" t="s">
        <v>192</v>
      </c>
      <c r="O15" s="16" t="s">
        <v>193</v>
      </c>
      <c r="P15" s="16" t="s">
        <v>194</v>
      </c>
      <c r="Q15" s="20" t="n">
        <v>5</v>
      </c>
      <c r="R15" s="20" t="n">
        <v>4</v>
      </c>
      <c r="S15" s="20" t="n">
        <v>4</v>
      </c>
      <c r="T15" s="20" t="n">
        <v>3</v>
      </c>
      <c r="U15" s="21" t="n">
        <f aca="false">ROUND(Q15*Methodik!$B$5+R15*Methodik!$B$6+S15*Methodik!$B$7+T15*Methodik!$B$8,2)</f>
        <v>4.15</v>
      </c>
      <c r="V15" s="15" t="str">
        <f aca="false">IF(U15&gt;=Methodik!$B$11,"A",IF(U15&gt;=Methodik!$B$12,"B","C"))</f>
        <v>A</v>
      </c>
      <c r="W15" s="20"/>
      <c r="X15" s="15" t="str">
        <f aca="false">IF(W15="",V15,W15)</f>
        <v>A</v>
      </c>
      <c r="Y15" s="22" t="s">
        <v>51</v>
      </c>
      <c r="Z15" s="23"/>
      <c r="AA15" s="16" t="s">
        <v>103</v>
      </c>
      <c r="AB15" s="22"/>
      <c r="AC15" s="16"/>
      <c r="AD15" s="19" t="s">
        <v>105</v>
      </c>
      <c r="AE15" s="19" t="s">
        <v>105</v>
      </c>
      <c r="AF15" s="19" t="s">
        <v>106</v>
      </c>
      <c r="AG15" s="16" t="s">
        <v>195</v>
      </c>
      <c r="AH15" s="22"/>
      <c r="AI15" s="24"/>
      <c r="AJ15" s="23"/>
      <c r="AK15" s="23"/>
    </row>
    <row r="16" customFormat="false" ht="48" hidden="false" customHeight="true" outlineLevel="0" collapsed="false">
      <c r="A16" s="15" t="s">
        <v>196</v>
      </c>
      <c r="B16" s="15" t="s">
        <v>93</v>
      </c>
      <c r="C16" s="16" t="s">
        <v>13</v>
      </c>
      <c r="D16" s="17" t="s">
        <v>37</v>
      </c>
      <c r="E16" s="18" t="s">
        <v>197</v>
      </c>
      <c r="F16" s="16" t="s">
        <v>198</v>
      </c>
      <c r="G16" s="16" t="s">
        <v>199</v>
      </c>
      <c r="H16" s="15" t="s">
        <v>125</v>
      </c>
      <c r="I16" s="17" t="s">
        <v>24</v>
      </c>
      <c r="J16" s="17" t="s">
        <v>33</v>
      </c>
      <c r="K16" s="15" t="s">
        <v>200</v>
      </c>
      <c r="L16" s="19" t="s">
        <v>201</v>
      </c>
      <c r="M16" s="16" t="s">
        <v>202</v>
      </c>
      <c r="N16" s="16" t="s">
        <v>100</v>
      </c>
      <c r="O16" s="16" t="s">
        <v>203</v>
      </c>
      <c r="P16" s="16" t="s">
        <v>204</v>
      </c>
      <c r="Q16" s="20" t="n">
        <v>5</v>
      </c>
      <c r="R16" s="20" t="n">
        <v>4</v>
      </c>
      <c r="S16" s="20" t="n">
        <v>3</v>
      </c>
      <c r="T16" s="20" t="n">
        <v>3</v>
      </c>
      <c r="U16" s="21" t="n">
        <f aca="false">ROUND(Q16*Methodik!$B$5+R16*Methodik!$B$6+S16*Methodik!$B$7+T16*Methodik!$B$8,2)</f>
        <v>3.9</v>
      </c>
      <c r="V16" s="15" t="str">
        <f aca="false">IF(U16&gt;=Methodik!$B$11,"A",IF(U16&gt;=Methodik!$B$12,"B","C"))</f>
        <v>B</v>
      </c>
      <c r="W16" s="20"/>
      <c r="X16" s="15" t="str">
        <f aca="false">IF(W16="",V16,W16)</f>
        <v>B</v>
      </c>
      <c r="Y16" s="22" t="s">
        <v>51</v>
      </c>
      <c r="Z16" s="23"/>
      <c r="AA16" s="16" t="s">
        <v>103</v>
      </c>
      <c r="AB16" s="22"/>
      <c r="AC16" s="16" t="s">
        <v>205</v>
      </c>
      <c r="AD16" s="19" t="s">
        <v>105</v>
      </c>
      <c r="AE16" s="19" t="s">
        <v>105</v>
      </c>
      <c r="AF16" s="19" t="s">
        <v>106</v>
      </c>
      <c r="AG16" s="16"/>
      <c r="AH16" s="22"/>
      <c r="AI16" s="24"/>
      <c r="AJ16" s="23"/>
      <c r="AK16" s="23"/>
    </row>
    <row r="17" customFormat="false" ht="48" hidden="false" customHeight="true" outlineLevel="0" collapsed="false">
      <c r="A17" s="15" t="s">
        <v>206</v>
      </c>
      <c r="B17" s="15" t="s">
        <v>93</v>
      </c>
      <c r="C17" s="16" t="s">
        <v>13</v>
      </c>
      <c r="D17" s="17" t="s">
        <v>37</v>
      </c>
      <c r="E17" s="18" t="s">
        <v>207</v>
      </c>
      <c r="F17" s="16" t="s">
        <v>208</v>
      </c>
      <c r="G17" s="16" t="s">
        <v>209</v>
      </c>
      <c r="H17" s="15" t="s">
        <v>210</v>
      </c>
      <c r="I17" s="17" t="s">
        <v>25</v>
      </c>
      <c r="J17" s="17" t="s">
        <v>33</v>
      </c>
      <c r="K17" s="15" t="s">
        <v>97</v>
      </c>
      <c r="L17" s="17" t="s">
        <v>211</v>
      </c>
      <c r="M17" s="16" t="s">
        <v>212</v>
      </c>
      <c r="N17" s="16" t="s">
        <v>100</v>
      </c>
      <c r="O17" s="16" t="s">
        <v>213</v>
      </c>
      <c r="P17" s="16" t="s">
        <v>214</v>
      </c>
      <c r="Q17" s="20" t="n">
        <v>5</v>
      </c>
      <c r="R17" s="20" t="n">
        <v>3</v>
      </c>
      <c r="S17" s="20" t="n">
        <v>4</v>
      </c>
      <c r="T17" s="20" t="n">
        <v>3</v>
      </c>
      <c r="U17" s="21" t="n">
        <f aca="false">ROUND(Q17*Methodik!$B$5+R17*Methodik!$B$6+S17*Methodik!$B$7+T17*Methodik!$B$8,2)</f>
        <v>3.85</v>
      </c>
      <c r="V17" s="15" t="str">
        <f aca="false">IF(U17&gt;=Methodik!$B$11,"A",IF(U17&gt;=Methodik!$B$12,"B","C"))</f>
        <v>B</v>
      </c>
      <c r="W17" s="20"/>
      <c r="X17" s="15" t="str">
        <f aca="false">IF(W17="",V17,W17)</f>
        <v>B</v>
      </c>
      <c r="Y17" s="22" t="s">
        <v>51</v>
      </c>
      <c r="Z17" s="23"/>
      <c r="AA17" s="16" t="s">
        <v>103</v>
      </c>
      <c r="AB17" s="22"/>
      <c r="AC17" s="16"/>
      <c r="AD17" s="19" t="s">
        <v>105</v>
      </c>
      <c r="AE17" s="19" t="s">
        <v>105</v>
      </c>
      <c r="AF17" s="19" t="s">
        <v>106</v>
      </c>
      <c r="AG17" s="16" t="s">
        <v>215</v>
      </c>
      <c r="AH17" s="22"/>
      <c r="AI17" s="24"/>
      <c r="AJ17" s="23"/>
      <c r="AK17" s="23"/>
    </row>
    <row r="18" customFormat="false" ht="48" hidden="false" customHeight="true" outlineLevel="0" collapsed="false">
      <c r="A18" s="15" t="s">
        <v>216</v>
      </c>
      <c r="B18" s="15" t="s">
        <v>93</v>
      </c>
      <c r="C18" s="16" t="s">
        <v>13</v>
      </c>
      <c r="D18" s="17" t="s">
        <v>37</v>
      </c>
      <c r="E18" s="18" t="s">
        <v>217</v>
      </c>
      <c r="F18" s="16" t="s">
        <v>218</v>
      </c>
      <c r="G18" s="16" t="s">
        <v>26</v>
      </c>
      <c r="H18" s="15" t="s">
        <v>96</v>
      </c>
      <c r="I18" s="17" t="s">
        <v>26</v>
      </c>
      <c r="J18" s="17" t="s">
        <v>33</v>
      </c>
      <c r="K18" s="15" t="s">
        <v>97</v>
      </c>
      <c r="L18" s="19" t="s">
        <v>219</v>
      </c>
      <c r="M18" s="16" t="s">
        <v>220</v>
      </c>
      <c r="N18" s="16" t="s">
        <v>100</v>
      </c>
      <c r="O18" s="16" t="s">
        <v>221</v>
      </c>
      <c r="P18" s="16" t="s">
        <v>222</v>
      </c>
      <c r="Q18" s="20" t="n">
        <v>4</v>
      </c>
      <c r="R18" s="20" t="n">
        <v>4</v>
      </c>
      <c r="S18" s="20" t="n">
        <v>4</v>
      </c>
      <c r="T18" s="20" t="n">
        <v>3</v>
      </c>
      <c r="U18" s="21" t="n">
        <f aca="false">ROUND(Q18*Methodik!$B$5+R18*Methodik!$B$6+S18*Methodik!$B$7+T18*Methodik!$B$8,2)</f>
        <v>3.85</v>
      </c>
      <c r="V18" s="15" t="str">
        <f aca="false">IF(U18&gt;=Methodik!$B$11,"A",IF(U18&gt;=Methodik!$B$12,"B","C"))</f>
        <v>B</v>
      </c>
      <c r="W18" s="20"/>
      <c r="X18" s="15" t="str">
        <f aca="false">IF(W18="",V18,W18)</f>
        <v>B</v>
      </c>
      <c r="Y18" s="22" t="s">
        <v>51</v>
      </c>
      <c r="Z18" s="23"/>
      <c r="AA18" s="16" t="s">
        <v>103</v>
      </c>
      <c r="AB18" s="22"/>
      <c r="AC18" s="16"/>
      <c r="AD18" s="19" t="s">
        <v>105</v>
      </c>
      <c r="AE18" s="19" t="s">
        <v>105</v>
      </c>
      <c r="AF18" s="19" t="s">
        <v>106</v>
      </c>
      <c r="AG18" s="16"/>
      <c r="AH18" s="22"/>
      <c r="AI18" s="24"/>
      <c r="AJ18" s="23"/>
      <c r="AK18" s="23"/>
    </row>
    <row r="19" customFormat="false" ht="48" hidden="false" customHeight="true" outlineLevel="0" collapsed="false">
      <c r="A19" s="15" t="s">
        <v>223</v>
      </c>
      <c r="B19" s="15" t="s">
        <v>93</v>
      </c>
      <c r="C19" s="16" t="s">
        <v>13</v>
      </c>
      <c r="D19" s="17" t="s">
        <v>37</v>
      </c>
      <c r="E19" s="18" t="s">
        <v>224</v>
      </c>
      <c r="F19" s="16" t="s">
        <v>225</v>
      </c>
      <c r="G19" s="16" t="s">
        <v>226</v>
      </c>
      <c r="H19" s="15" t="s">
        <v>227</v>
      </c>
      <c r="I19" s="17" t="s">
        <v>23</v>
      </c>
      <c r="J19" s="17" t="s">
        <v>32</v>
      </c>
      <c r="K19" s="15" t="s">
        <v>228</v>
      </c>
      <c r="L19" s="19" t="s">
        <v>229</v>
      </c>
      <c r="M19" s="16" t="s">
        <v>230</v>
      </c>
      <c r="N19" s="16" t="s">
        <v>231</v>
      </c>
      <c r="O19" s="16" t="s">
        <v>232</v>
      </c>
      <c r="P19" s="16" t="s">
        <v>233</v>
      </c>
      <c r="Q19" s="20" t="n">
        <v>5</v>
      </c>
      <c r="R19" s="20" t="n">
        <v>3</v>
      </c>
      <c r="S19" s="20" t="n">
        <v>4</v>
      </c>
      <c r="T19" s="20" t="n">
        <v>3</v>
      </c>
      <c r="U19" s="21" t="n">
        <f aca="false">ROUND(Q19*Methodik!$B$5+R19*Methodik!$B$6+S19*Methodik!$B$7+T19*Methodik!$B$8,2)</f>
        <v>3.85</v>
      </c>
      <c r="V19" s="15" t="str">
        <f aca="false">IF(U19&gt;=Methodik!$B$11,"A",IF(U19&gt;=Methodik!$B$12,"B","C"))</f>
        <v>B</v>
      </c>
      <c r="W19" s="20"/>
      <c r="X19" s="15" t="str">
        <f aca="false">IF(W19="",V19,W19)</f>
        <v>B</v>
      </c>
      <c r="Y19" s="22" t="s">
        <v>51</v>
      </c>
      <c r="Z19" s="23"/>
      <c r="AA19" s="16" t="s">
        <v>103</v>
      </c>
      <c r="AB19" s="22"/>
      <c r="AC19" s="16"/>
      <c r="AD19" s="19" t="s">
        <v>105</v>
      </c>
      <c r="AE19" s="19" t="s">
        <v>105</v>
      </c>
      <c r="AF19" s="19" t="s">
        <v>106</v>
      </c>
      <c r="AG19" s="16"/>
      <c r="AH19" s="22"/>
      <c r="AI19" s="24"/>
      <c r="AJ19" s="23"/>
      <c r="AK19" s="23"/>
    </row>
    <row r="20" customFormat="false" ht="48" hidden="false" customHeight="true" outlineLevel="0" collapsed="false">
      <c r="A20" s="15" t="s">
        <v>234</v>
      </c>
      <c r="B20" s="15" t="s">
        <v>93</v>
      </c>
      <c r="C20" s="16" t="s">
        <v>13</v>
      </c>
      <c r="D20" s="17" t="s">
        <v>37</v>
      </c>
      <c r="E20" s="18" t="s">
        <v>235</v>
      </c>
      <c r="F20" s="16" t="s">
        <v>236</v>
      </c>
      <c r="G20" s="16" t="s">
        <v>237</v>
      </c>
      <c r="H20" s="15" t="s">
        <v>179</v>
      </c>
      <c r="I20" s="17" t="s">
        <v>23</v>
      </c>
      <c r="J20" s="17" t="s">
        <v>32</v>
      </c>
      <c r="K20" s="15" t="s">
        <v>180</v>
      </c>
      <c r="L20" s="19" t="s">
        <v>238</v>
      </c>
      <c r="M20" s="16" t="s">
        <v>239</v>
      </c>
      <c r="N20" s="16" t="s">
        <v>100</v>
      </c>
      <c r="O20" s="16" t="s">
        <v>240</v>
      </c>
      <c r="P20" s="16" t="s">
        <v>241</v>
      </c>
      <c r="Q20" s="20" t="n">
        <v>4</v>
      </c>
      <c r="R20" s="20" t="n">
        <v>4</v>
      </c>
      <c r="S20" s="20" t="n">
        <v>4</v>
      </c>
      <c r="T20" s="20" t="n">
        <v>3</v>
      </c>
      <c r="U20" s="21" t="n">
        <f aca="false">ROUND(Q20*Methodik!$B$5+R20*Methodik!$B$6+S20*Methodik!$B$7+T20*Methodik!$B$8,2)</f>
        <v>3.85</v>
      </c>
      <c r="V20" s="15" t="str">
        <f aca="false">IF(U20&gt;=Methodik!$B$11,"A",IF(U20&gt;=Methodik!$B$12,"B","C"))</f>
        <v>B</v>
      </c>
      <c r="W20" s="20"/>
      <c r="X20" s="15" t="str">
        <f aca="false">IF(W20="",V20,W20)</f>
        <v>B</v>
      </c>
      <c r="Y20" s="22" t="s">
        <v>51</v>
      </c>
      <c r="Z20" s="23"/>
      <c r="AA20" s="16" t="s">
        <v>103</v>
      </c>
      <c r="AB20" s="22"/>
      <c r="AC20" s="16"/>
      <c r="AD20" s="19" t="s">
        <v>105</v>
      </c>
      <c r="AE20" s="19" t="s">
        <v>105</v>
      </c>
      <c r="AF20" s="19" t="s">
        <v>106</v>
      </c>
      <c r="AG20" s="16"/>
      <c r="AH20" s="22"/>
      <c r="AI20" s="24"/>
      <c r="AJ20" s="23"/>
      <c r="AK20" s="23"/>
    </row>
    <row r="21" customFormat="false" ht="48" hidden="false" customHeight="true" outlineLevel="0" collapsed="false">
      <c r="A21" s="15" t="s">
        <v>242</v>
      </c>
      <c r="B21" s="15" t="s">
        <v>93</v>
      </c>
      <c r="C21" s="16" t="s">
        <v>13</v>
      </c>
      <c r="D21" s="17" t="s">
        <v>37</v>
      </c>
      <c r="E21" s="18" t="s">
        <v>243</v>
      </c>
      <c r="F21" s="16" t="s">
        <v>244</v>
      </c>
      <c r="G21" s="16" t="s">
        <v>26</v>
      </c>
      <c r="H21" s="15" t="s">
        <v>96</v>
      </c>
      <c r="I21" s="17" t="s">
        <v>26</v>
      </c>
      <c r="J21" s="17" t="s">
        <v>33</v>
      </c>
      <c r="K21" s="15" t="s">
        <v>97</v>
      </c>
      <c r="L21" s="19" t="s">
        <v>245</v>
      </c>
      <c r="M21" s="16" t="s">
        <v>246</v>
      </c>
      <c r="N21" s="16" t="s">
        <v>100</v>
      </c>
      <c r="O21" s="16" t="s">
        <v>247</v>
      </c>
      <c r="P21" s="16" t="s">
        <v>248</v>
      </c>
      <c r="Q21" s="20" t="n">
        <v>5</v>
      </c>
      <c r="R21" s="20" t="n">
        <v>3</v>
      </c>
      <c r="S21" s="20" t="n">
        <v>3</v>
      </c>
      <c r="T21" s="20" t="n">
        <v>4</v>
      </c>
      <c r="U21" s="21" t="n">
        <f aca="false">ROUND(Q21*Methodik!$B$5+R21*Methodik!$B$6+S21*Methodik!$B$7+T21*Methodik!$B$8,2)</f>
        <v>3.75</v>
      </c>
      <c r="V21" s="15" t="str">
        <f aca="false">IF(U21&gt;=Methodik!$B$11,"A",IF(U21&gt;=Methodik!$B$12,"B","C"))</f>
        <v>B</v>
      </c>
      <c r="W21" s="20"/>
      <c r="X21" s="15" t="str">
        <f aca="false">IF(W21="",V21,W21)</f>
        <v>B</v>
      </c>
      <c r="Y21" s="22" t="s">
        <v>51</v>
      </c>
      <c r="Z21" s="23"/>
      <c r="AA21" s="16" t="s">
        <v>103</v>
      </c>
      <c r="AB21" s="22"/>
      <c r="AC21" s="16"/>
      <c r="AD21" s="19" t="s">
        <v>105</v>
      </c>
      <c r="AE21" s="19" t="s">
        <v>105</v>
      </c>
      <c r="AF21" s="19" t="s">
        <v>106</v>
      </c>
      <c r="AG21" s="16" t="s">
        <v>249</v>
      </c>
      <c r="AH21" s="22"/>
      <c r="AI21" s="24"/>
      <c r="AJ21" s="23"/>
      <c r="AK21" s="23"/>
    </row>
    <row r="22" customFormat="false" ht="48" hidden="false" customHeight="true" outlineLevel="0" collapsed="false">
      <c r="A22" s="15" t="s">
        <v>250</v>
      </c>
      <c r="B22" s="15" t="s">
        <v>93</v>
      </c>
      <c r="C22" s="16" t="s">
        <v>13</v>
      </c>
      <c r="D22" s="17" t="s">
        <v>37</v>
      </c>
      <c r="E22" s="18" t="s">
        <v>251</v>
      </c>
      <c r="F22" s="16" t="s">
        <v>168</v>
      </c>
      <c r="G22" s="16" t="s">
        <v>252</v>
      </c>
      <c r="H22" s="15" t="s">
        <v>253</v>
      </c>
      <c r="I22" s="17" t="s">
        <v>27</v>
      </c>
      <c r="J22" s="17" t="s">
        <v>33</v>
      </c>
      <c r="K22" s="15" t="s">
        <v>97</v>
      </c>
      <c r="L22" s="19" t="s">
        <v>110</v>
      </c>
      <c r="M22" s="16" t="s">
        <v>212</v>
      </c>
      <c r="N22" s="16" t="s">
        <v>100</v>
      </c>
      <c r="O22" s="16" t="s">
        <v>221</v>
      </c>
      <c r="P22" s="16" t="s">
        <v>254</v>
      </c>
      <c r="Q22" s="20" t="n">
        <v>4</v>
      </c>
      <c r="R22" s="20" t="n">
        <v>4</v>
      </c>
      <c r="S22" s="20" t="n">
        <v>3</v>
      </c>
      <c r="T22" s="20" t="n">
        <v>3</v>
      </c>
      <c r="U22" s="21" t="n">
        <f aca="false">ROUND(Q22*Methodik!$B$5+R22*Methodik!$B$6+S22*Methodik!$B$7+T22*Methodik!$B$8,2)</f>
        <v>3.6</v>
      </c>
      <c r="V22" s="15" t="str">
        <f aca="false">IF(U22&gt;=Methodik!$B$11,"A",IF(U22&gt;=Methodik!$B$12,"B","C"))</f>
        <v>B</v>
      </c>
      <c r="W22" s="20"/>
      <c r="X22" s="15" t="str">
        <f aca="false">IF(W22="",V22,W22)</f>
        <v>B</v>
      </c>
      <c r="Y22" s="22" t="s">
        <v>51</v>
      </c>
      <c r="Z22" s="23"/>
      <c r="AA22" s="16" t="s">
        <v>103</v>
      </c>
      <c r="AB22" s="22"/>
      <c r="AC22" s="16"/>
      <c r="AD22" s="19" t="s">
        <v>105</v>
      </c>
      <c r="AE22" s="19" t="s">
        <v>105</v>
      </c>
      <c r="AF22" s="19" t="s">
        <v>106</v>
      </c>
      <c r="AG22" s="16"/>
      <c r="AH22" s="22"/>
      <c r="AI22" s="24"/>
      <c r="AJ22" s="23"/>
      <c r="AK22" s="23"/>
    </row>
    <row r="23" customFormat="false" ht="48" hidden="false" customHeight="true" outlineLevel="0" collapsed="false">
      <c r="A23" s="15" t="s">
        <v>255</v>
      </c>
      <c r="B23" s="15" t="s">
        <v>93</v>
      </c>
      <c r="C23" s="16" t="s">
        <v>13</v>
      </c>
      <c r="D23" s="17" t="s">
        <v>37</v>
      </c>
      <c r="E23" s="18" t="s">
        <v>256</v>
      </c>
      <c r="F23" s="16" t="s">
        <v>257</v>
      </c>
      <c r="G23" s="16" t="s">
        <v>258</v>
      </c>
      <c r="H23" s="15" t="s">
        <v>180</v>
      </c>
      <c r="I23" s="17" t="s">
        <v>23</v>
      </c>
      <c r="J23" s="17" t="s">
        <v>32</v>
      </c>
      <c r="K23" s="15" t="s">
        <v>228</v>
      </c>
      <c r="L23" s="19" t="s">
        <v>259</v>
      </c>
      <c r="M23" s="16" t="s">
        <v>260</v>
      </c>
      <c r="N23" s="16" t="s">
        <v>261</v>
      </c>
      <c r="O23" s="16" t="s">
        <v>221</v>
      </c>
      <c r="P23" s="16" t="s">
        <v>262</v>
      </c>
      <c r="Q23" s="20" t="n">
        <v>4</v>
      </c>
      <c r="R23" s="20" t="n">
        <v>4</v>
      </c>
      <c r="S23" s="20" t="n">
        <v>3</v>
      </c>
      <c r="T23" s="20" t="n">
        <v>3</v>
      </c>
      <c r="U23" s="21" t="n">
        <f aca="false">ROUND(Q23*Methodik!$B$5+R23*Methodik!$B$6+S23*Methodik!$B$7+T23*Methodik!$B$8,2)</f>
        <v>3.6</v>
      </c>
      <c r="V23" s="15" t="str">
        <f aca="false">IF(U23&gt;=Methodik!$B$11,"A",IF(U23&gt;=Methodik!$B$12,"B","C"))</f>
        <v>B</v>
      </c>
      <c r="W23" s="20"/>
      <c r="X23" s="15" t="str">
        <f aca="false">IF(W23="",V23,W23)</f>
        <v>B</v>
      </c>
      <c r="Y23" s="22" t="s">
        <v>51</v>
      </c>
      <c r="Z23" s="23"/>
      <c r="AA23" s="16" t="s">
        <v>103</v>
      </c>
      <c r="AB23" s="22"/>
      <c r="AC23" s="16" t="s">
        <v>263</v>
      </c>
      <c r="AD23" s="19" t="s">
        <v>105</v>
      </c>
      <c r="AE23" s="19" t="s">
        <v>105</v>
      </c>
      <c r="AF23" s="19" t="s">
        <v>106</v>
      </c>
      <c r="AG23" s="16" t="s">
        <v>264</v>
      </c>
      <c r="AH23" s="22"/>
      <c r="AI23" s="24"/>
      <c r="AJ23" s="23"/>
      <c r="AK23" s="23"/>
    </row>
    <row r="24" customFormat="false" ht="48" hidden="false" customHeight="true" outlineLevel="0" collapsed="false">
      <c r="A24" s="15" t="s">
        <v>265</v>
      </c>
      <c r="B24" s="15" t="s">
        <v>93</v>
      </c>
      <c r="C24" s="16" t="s">
        <v>13</v>
      </c>
      <c r="D24" s="17" t="s">
        <v>37</v>
      </c>
      <c r="E24" s="18" t="s">
        <v>266</v>
      </c>
      <c r="F24" s="16" t="s">
        <v>267</v>
      </c>
      <c r="G24" s="16" t="s">
        <v>26</v>
      </c>
      <c r="H24" s="15" t="s">
        <v>96</v>
      </c>
      <c r="I24" s="17" t="s">
        <v>26</v>
      </c>
      <c r="J24" s="17" t="s">
        <v>33</v>
      </c>
      <c r="K24" s="15" t="s">
        <v>126</v>
      </c>
      <c r="L24" s="19" t="s">
        <v>268</v>
      </c>
      <c r="M24" s="16" t="s">
        <v>212</v>
      </c>
      <c r="N24" s="16" t="s">
        <v>100</v>
      </c>
      <c r="O24" s="16" t="s">
        <v>269</v>
      </c>
      <c r="P24" s="16" t="s">
        <v>270</v>
      </c>
      <c r="Q24" s="20" t="n">
        <v>4</v>
      </c>
      <c r="R24" s="20" t="n">
        <v>4</v>
      </c>
      <c r="S24" s="20" t="n">
        <v>3</v>
      </c>
      <c r="T24" s="20" t="n">
        <v>3</v>
      </c>
      <c r="U24" s="21" t="n">
        <f aca="false">ROUND(Q24*Methodik!$B$5+R24*Methodik!$B$6+S24*Methodik!$B$7+T24*Methodik!$B$8,2)</f>
        <v>3.6</v>
      </c>
      <c r="V24" s="15" t="str">
        <f aca="false">IF(U24&gt;=Methodik!$B$11,"A",IF(U24&gt;=Methodik!$B$12,"B","C"))</f>
        <v>B</v>
      </c>
      <c r="W24" s="20"/>
      <c r="X24" s="15" t="str">
        <f aca="false">IF(W24="",V24,W24)</f>
        <v>B</v>
      </c>
      <c r="Y24" s="22" t="s">
        <v>51</v>
      </c>
      <c r="Z24" s="23"/>
      <c r="AA24" s="16" t="s">
        <v>103</v>
      </c>
      <c r="AB24" s="22"/>
      <c r="AC24" s="16"/>
      <c r="AD24" s="19" t="s">
        <v>105</v>
      </c>
      <c r="AE24" s="19" t="s">
        <v>105</v>
      </c>
      <c r="AF24" s="19" t="s">
        <v>106</v>
      </c>
      <c r="AG24" s="16" t="s">
        <v>271</v>
      </c>
      <c r="AH24" s="22"/>
      <c r="AI24" s="24"/>
      <c r="AJ24" s="23"/>
      <c r="AK24" s="23"/>
    </row>
    <row r="25" customFormat="false" ht="48" hidden="false" customHeight="true" outlineLevel="0" collapsed="false">
      <c r="A25" s="15" t="s">
        <v>272</v>
      </c>
      <c r="B25" s="15" t="s">
        <v>93</v>
      </c>
      <c r="C25" s="16" t="s">
        <v>13</v>
      </c>
      <c r="D25" s="17" t="s">
        <v>37</v>
      </c>
      <c r="E25" s="18" t="s">
        <v>273</v>
      </c>
      <c r="F25" s="16" t="s">
        <v>218</v>
      </c>
      <c r="G25" s="16" t="s">
        <v>151</v>
      </c>
      <c r="H25" s="15" t="s">
        <v>152</v>
      </c>
      <c r="I25" s="17" t="s">
        <v>28</v>
      </c>
      <c r="J25" s="17" t="s">
        <v>33</v>
      </c>
      <c r="K25" s="15" t="s">
        <v>97</v>
      </c>
      <c r="L25" s="19" t="s">
        <v>274</v>
      </c>
      <c r="M25" s="16" t="s">
        <v>275</v>
      </c>
      <c r="N25" s="16" t="s">
        <v>100</v>
      </c>
      <c r="O25" s="16" t="s">
        <v>221</v>
      </c>
      <c r="P25" s="16" t="s">
        <v>276</v>
      </c>
      <c r="Q25" s="20" t="n">
        <v>4</v>
      </c>
      <c r="R25" s="20" t="n">
        <v>4</v>
      </c>
      <c r="S25" s="20" t="n">
        <v>3</v>
      </c>
      <c r="T25" s="20" t="n">
        <v>3</v>
      </c>
      <c r="U25" s="21" t="n">
        <f aca="false">ROUND(Q25*Methodik!$B$5+R25*Methodik!$B$6+S25*Methodik!$B$7+T25*Methodik!$B$8,2)</f>
        <v>3.6</v>
      </c>
      <c r="V25" s="15" t="str">
        <f aca="false">IF(U25&gt;=Methodik!$B$11,"A",IF(U25&gt;=Methodik!$B$12,"B","C"))</f>
        <v>B</v>
      </c>
      <c r="W25" s="20"/>
      <c r="X25" s="15" t="str">
        <f aca="false">IF(W25="",V25,W25)</f>
        <v>B</v>
      </c>
      <c r="Y25" s="22" t="s">
        <v>51</v>
      </c>
      <c r="Z25" s="23"/>
      <c r="AA25" s="16" t="s">
        <v>103</v>
      </c>
      <c r="AB25" s="22"/>
      <c r="AC25" s="16"/>
      <c r="AD25" s="19" t="s">
        <v>105</v>
      </c>
      <c r="AE25" s="19" t="s">
        <v>105</v>
      </c>
      <c r="AF25" s="19" t="s">
        <v>106</v>
      </c>
      <c r="AG25" s="16"/>
      <c r="AH25" s="22"/>
      <c r="AI25" s="24"/>
      <c r="AJ25" s="23"/>
      <c r="AK25" s="23"/>
    </row>
    <row r="26" customFormat="false" ht="48" hidden="false" customHeight="true" outlineLevel="0" collapsed="false">
      <c r="A26" s="15" t="s">
        <v>277</v>
      </c>
      <c r="B26" s="15" t="s">
        <v>93</v>
      </c>
      <c r="C26" s="16" t="s">
        <v>13</v>
      </c>
      <c r="D26" s="17" t="s">
        <v>37</v>
      </c>
      <c r="E26" s="18" t="s">
        <v>278</v>
      </c>
      <c r="F26" s="16" t="s">
        <v>168</v>
      </c>
      <c r="G26" s="16" t="s">
        <v>279</v>
      </c>
      <c r="H26" s="15" t="s">
        <v>280</v>
      </c>
      <c r="I26" s="17" t="s">
        <v>29</v>
      </c>
      <c r="J26" s="17" t="s">
        <v>29</v>
      </c>
      <c r="K26" s="15" t="s">
        <v>281</v>
      </c>
      <c r="L26" s="19" t="s">
        <v>282</v>
      </c>
      <c r="M26" s="16" t="s">
        <v>212</v>
      </c>
      <c r="N26" s="16" t="s">
        <v>283</v>
      </c>
      <c r="O26" s="16" t="s">
        <v>284</v>
      </c>
      <c r="P26" s="16" t="s">
        <v>285</v>
      </c>
      <c r="Q26" s="20" t="n">
        <v>4</v>
      </c>
      <c r="R26" s="20" t="n">
        <v>3</v>
      </c>
      <c r="S26" s="20" t="n">
        <v>4</v>
      </c>
      <c r="T26" s="20" t="n">
        <v>3</v>
      </c>
      <c r="U26" s="21" t="n">
        <f aca="false">ROUND(Q26*Methodik!$B$5+R26*Methodik!$B$6+S26*Methodik!$B$7+T26*Methodik!$B$8,2)</f>
        <v>3.55</v>
      </c>
      <c r="V26" s="15" t="str">
        <f aca="false">IF(U26&gt;=Methodik!$B$11,"A",IF(U26&gt;=Methodik!$B$12,"B","C"))</f>
        <v>B</v>
      </c>
      <c r="W26" s="20"/>
      <c r="X26" s="15" t="str">
        <f aca="false">IF(W26="",V26,W26)</f>
        <v>B</v>
      </c>
      <c r="Y26" s="22" t="s">
        <v>51</v>
      </c>
      <c r="Z26" s="23"/>
      <c r="AA26" s="16" t="s">
        <v>103</v>
      </c>
      <c r="AB26" s="22"/>
      <c r="AC26" s="16"/>
      <c r="AD26" s="19" t="s">
        <v>105</v>
      </c>
      <c r="AE26" s="19" t="s">
        <v>105</v>
      </c>
      <c r="AF26" s="19" t="s">
        <v>106</v>
      </c>
      <c r="AG26" s="16" t="s">
        <v>286</v>
      </c>
      <c r="AH26" s="22"/>
      <c r="AI26" s="24"/>
      <c r="AJ26" s="23"/>
      <c r="AK26" s="23"/>
    </row>
    <row r="27" customFormat="false" ht="48" hidden="false" customHeight="true" outlineLevel="0" collapsed="false">
      <c r="A27" s="15" t="s">
        <v>287</v>
      </c>
      <c r="B27" s="15" t="s">
        <v>93</v>
      </c>
      <c r="C27" s="16" t="s">
        <v>13</v>
      </c>
      <c r="D27" s="17" t="s">
        <v>37</v>
      </c>
      <c r="E27" s="18" t="s">
        <v>288</v>
      </c>
      <c r="F27" s="16" t="s">
        <v>289</v>
      </c>
      <c r="G27" s="16" t="s">
        <v>290</v>
      </c>
      <c r="H27" s="15" t="s">
        <v>291</v>
      </c>
      <c r="I27" s="17" t="s">
        <v>24</v>
      </c>
      <c r="J27" s="17" t="s">
        <v>33</v>
      </c>
      <c r="K27" s="15" t="s">
        <v>97</v>
      </c>
      <c r="L27" s="19" t="s">
        <v>292</v>
      </c>
      <c r="M27" s="16" t="s">
        <v>293</v>
      </c>
      <c r="N27" s="16" t="s">
        <v>100</v>
      </c>
      <c r="O27" s="16" t="s">
        <v>294</v>
      </c>
      <c r="P27" s="16" t="s">
        <v>295</v>
      </c>
      <c r="Q27" s="20" t="n">
        <v>4</v>
      </c>
      <c r="R27" s="20" t="n">
        <v>3</v>
      </c>
      <c r="S27" s="20" t="n">
        <v>3</v>
      </c>
      <c r="T27" s="20" t="n">
        <v>3</v>
      </c>
      <c r="U27" s="21" t="n">
        <f aca="false">ROUND(Q27*Methodik!$B$5+R27*Methodik!$B$6+S27*Methodik!$B$7+T27*Methodik!$B$8,2)</f>
        <v>3.3</v>
      </c>
      <c r="V27" s="15" t="str">
        <f aca="false">IF(U27&gt;=Methodik!$B$11,"A",IF(U27&gt;=Methodik!$B$12,"B","C"))</f>
        <v>B</v>
      </c>
      <c r="W27" s="20"/>
      <c r="X27" s="15" t="str">
        <f aca="false">IF(W27="",V27,W27)</f>
        <v>B</v>
      </c>
      <c r="Y27" s="22" t="s">
        <v>51</v>
      </c>
      <c r="Z27" s="23"/>
      <c r="AA27" s="16" t="s">
        <v>103</v>
      </c>
      <c r="AB27" s="22"/>
      <c r="AC27" s="16"/>
      <c r="AD27" s="19" t="s">
        <v>105</v>
      </c>
      <c r="AE27" s="19" t="s">
        <v>105</v>
      </c>
      <c r="AF27" s="19" t="s">
        <v>106</v>
      </c>
      <c r="AG27" s="16"/>
      <c r="AH27" s="22"/>
      <c r="AI27" s="24"/>
      <c r="AJ27" s="23"/>
      <c r="AK27" s="23"/>
    </row>
    <row r="28" customFormat="false" ht="48" hidden="false" customHeight="true" outlineLevel="0" collapsed="false">
      <c r="A28" s="15" t="s">
        <v>296</v>
      </c>
      <c r="B28" s="15" t="s">
        <v>93</v>
      </c>
      <c r="C28" s="16" t="s">
        <v>13</v>
      </c>
      <c r="D28" s="17" t="s">
        <v>37</v>
      </c>
      <c r="E28" s="18" t="s">
        <v>297</v>
      </c>
      <c r="F28" s="16" t="s">
        <v>298</v>
      </c>
      <c r="G28" s="16" t="s">
        <v>169</v>
      </c>
      <c r="H28" s="15" t="s">
        <v>170</v>
      </c>
      <c r="I28" s="17" t="s">
        <v>25</v>
      </c>
      <c r="J28" s="17" t="s">
        <v>33</v>
      </c>
      <c r="K28" s="15" t="s">
        <v>97</v>
      </c>
      <c r="L28" s="19" t="s">
        <v>299</v>
      </c>
      <c r="M28" s="16" t="s">
        <v>300</v>
      </c>
      <c r="N28" s="16" t="s">
        <v>100</v>
      </c>
      <c r="O28" s="16" t="s">
        <v>301</v>
      </c>
      <c r="P28" s="16" t="s">
        <v>302</v>
      </c>
      <c r="Q28" s="20" t="n">
        <v>4</v>
      </c>
      <c r="R28" s="20" t="n">
        <v>3</v>
      </c>
      <c r="S28" s="20" t="n">
        <v>3</v>
      </c>
      <c r="T28" s="20" t="n">
        <v>3</v>
      </c>
      <c r="U28" s="21" t="n">
        <f aca="false">ROUND(Q28*Methodik!$B$5+R28*Methodik!$B$6+S28*Methodik!$B$7+T28*Methodik!$B$8,2)</f>
        <v>3.3</v>
      </c>
      <c r="V28" s="15" t="str">
        <f aca="false">IF(U28&gt;=Methodik!$B$11,"A",IF(U28&gt;=Methodik!$B$12,"B","C"))</f>
        <v>B</v>
      </c>
      <c r="W28" s="20"/>
      <c r="X28" s="15" t="str">
        <f aca="false">IF(W28="",V28,W28)</f>
        <v>B</v>
      </c>
      <c r="Y28" s="22" t="s">
        <v>51</v>
      </c>
      <c r="Z28" s="23"/>
      <c r="AA28" s="16" t="s">
        <v>103</v>
      </c>
      <c r="AB28" s="22"/>
      <c r="AC28" s="16"/>
      <c r="AD28" s="19" t="s">
        <v>105</v>
      </c>
      <c r="AE28" s="19" t="s">
        <v>105</v>
      </c>
      <c r="AF28" s="19" t="s">
        <v>106</v>
      </c>
      <c r="AG28" s="16"/>
      <c r="AH28" s="22"/>
      <c r="AI28" s="24"/>
      <c r="AJ28" s="23"/>
      <c r="AK28" s="23"/>
    </row>
    <row r="29" customFormat="false" ht="48" hidden="false" customHeight="true" outlineLevel="0" collapsed="false">
      <c r="A29" s="15" t="s">
        <v>303</v>
      </c>
      <c r="B29" s="15" t="s">
        <v>93</v>
      </c>
      <c r="C29" s="16" t="s">
        <v>13</v>
      </c>
      <c r="D29" s="17" t="s">
        <v>37</v>
      </c>
      <c r="E29" s="18" t="s">
        <v>304</v>
      </c>
      <c r="F29" s="16" t="s">
        <v>177</v>
      </c>
      <c r="G29" s="16" t="s">
        <v>305</v>
      </c>
      <c r="H29" s="15" t="s">
        <v>306</v>
      </c>
      <c r="I29" s="17" t="s">
        <v>27</v>
      </c>
      <c r="J29" s="17" t="s">
        <v>33</v>
      </c>
      <c r="K29" s="15" t="s">
        <v>97</v>
      </c>
      <c r="L29" s="19" t="s">
        <v>307</v>
      </c>
      <c r="M29" s="16" t="s">
        <v>308</v>
      </c>
      <c r="N29" s="16" t="s">
        <v>100</v>
      </c>
      <c r="O29" s="16" t="s">
        <v>309</v>
      </c>
      <c r="P29" s="16" t="s">
        <v>310</v>
      </c>
      <c r="Q29" s="20" t="n">
        <v>4</v>
      </c>
      <c r="R29" s="20" t="n">
        <v>3</v>
      </c>
      <c r="S29" s="20" t="n">
        <v>3</v>
      </c>
      <c r="T29" s="20" t="n">
        <v>3</v>
      </c>
      <c r="U29" s="21" t="n">
        <f aca="false">ROUND(Q29*Methodik!$B$5+R29*Methodik!$B$6+S29*Methodik!$B$7+T29*Methodik!$B$8,2)</f>
        <v>3.3</v>
      </c>
      <c r="V29" s="15" t="str">
        <f aca="false">IF(U29&gt;=Methodik!$B$11,"A",IF(U29&gt;=Methodik!$B$12,"B","C"))</f>
        <v>B</v>
      </c>
      <c r="W29" s="20"/>
      <c r="X29" s="15" t="str">
        <f aca="false">IF(W29="",V29,W29)</f>
        <v>B</v>
      </c>
      <c r="Y29" s="22" t="s">
        <v>51</v>
      </c>
      <c r="Z29" s="23"/>
      <c r="AA29" s="16" t="s">
        <v>103</v>
      </c>
      <c r="AB29" s="22"/>
      <c r="AC29" s="16"/>
      <c r="AD29" s="19" t="s">
        <v>105</v>
      </c>
      <c r="AE29" s="19" t="s">
        <v>105</v>
      </c>
      <c r="AF29" s="19" t="s">
        <v>106</v>
      </c>
      <c r="AG29" s="16"/>
      <c r="AH29" s="22"/>
      <c r="AI29" s="24"/>
      <c r="AJ29" s="23"/>
      <c r="AK29" s="23"/>
    </row>
    <row r="30" customFormat="false" ht="48" hidden="false" customHeight="true" outlineLevel="0" collapsed="false">
      <c r="A30" s="15" t="s">
        <v>311</v>
      </c>
      <c r="B30" s="15" t="s">
        <v>93</v>
      </c>
      <c r="C30" s="16" t="s">
        <v>13</v>
      </c>
      <c r="D30" s="17" t="s">
        <v>37</v>
      </c>
      <c r="E30" s="18" t="s">
        <v>312</v>
      </c>
      <c r="F30" s="16" t="s">
        <v>313</v>
      </c>
      <c r="G30" s="16" t="s">
        <v>314</v>
      </c>
      <c r="H30" s="15" t="s">
        <v>210</v>
      </c>
      <c r="I30" s="17" t="s">
        <v>25</v>
      </c>
      <c r="J30" s="17" t="s">
        <v>33</v>
      </c>
      <c r="K30" s="15" t="s">
        <v>97</v>
      </c>
      <c r="L30" s="19" t="s">
        <v>315</v>
      </c>
      <c r="M30" s="16" t="s">
        <v>316</v>
      </c>
      <c r="N30" s="16" t="s">
        <v>100</v>
      </c>
      <c r="O30" s="16" t="s">
        <v>317</v>
      </c>
      <c r="P30" s="16" t="s">
        <v>318</v>
      </c>
      <c r="Q30" s="20" t="n">
        <v>4</v>
      </c>
      <c r="R30" s="20" t="n">
        <v>3</v>
      </c>
      <c r="S30" s="20" t="n">
        <v>3</v>
      </c>
      <c r="T30" s="20" t="n">
        <v>3</v>
      </c>
      <c r="U30" s="21" t="n">
        <f aca="false">ROUND(Q30*Methodik!$B$5+R30*Methodik!$B$6+S30*Methodik!$B$7+T30*Methodik!$B$8,2)</f>
        <v>3.3</v>
      </c>
      <c r="V30" s="15" t="str">
        <f aca="false">IF(U30&gt;=Methodik!$B$11,"A",IF(U30&gt;=Methodik!$B$12,"B","C"))</f>
        <v>B</v>
      </c>
      <c r="W30" s="20"/>
      <c r="X30" s="15" t="str">
        <f aca="false">IF(W30="",V30,W30)</f>
        <v>B</v>
      </c>
      <c r="Y30" s="22" t="s">
        <v>51</v>
      </c>
      <c r="Z30" s="23"/>
      <c r="AA30" s="16" t="s">
        <v>103</v>
      </c>
      <c r="AB30" s="22"/>
      <c r="AC30" s="16"/>
      <c r="AD30" s="19" t="s">
        <v>105</v>
      </c>
      <c r="AE30" s="19" t="s">
        <v>105</v>
      </c>
      <c r="AF30" s="19" t="s">
        <v>106</v>
      </c>
      <c r="AG30" s="16" t="s">
        <v>319</v>
      </c>
      <c r="AH30" s="22"/>
      <c r="AI30" s="24"/>
      <c r="AJ30" s="23"/>
      <c r="AK30" s="23"/>
    </row>
    <row r="31" customFormat="false" ht="48" hidden="false" customHeight="true" outlineLevel="0" collapsed="false">
      <c r="A31" s="15" t="s">
        <v>320</v>
      </c>
      <c r="B31" s="15" t="s">
        <v>93</v>
      </c>
      <c r="C31" s="16" t="s">
        <v>13</v>
      </c>
      <c r="D31" s="17" t="s">
        <v>37</v>
      </c>
      <c r="E31" s="18" t="s">
        <v>321</v>
      </c>
      <c r="F31" s="16" t="s">
        <v>322</v>
      </c>
      <c r="G31" s="16" t="s">
        <v>323</v>
      </c>
      <c r="H31" s="15" t="s">
        <v>324</v>
      </c>
      <c r="I31" s="17" t="s">
        <v>23</v>
      </c>
      <c r="J31" s="17" t="s">
        <v>32</v>
      </c>
      <c r="K31" s="15" t="s">
        <v>180</v>
      </c>
      <c r="L31" s="19" t="s">
        <v>325</v>
      </c>
      <c r="M31" s="16" t="s">
        <v>239</v>
      </c>
      <c r="N31" s="16" t="s">
        <v>100</v>
      </c>
      <c r="O31" s="16" t="s">
        <v>203</v>
      </c>
      <c r="P31" s="16" t="s">
        <v>326</v>
      </c>
      <c r="Q31" s="20" t="n">
        <v>4</v>
      </c>
      <c r="R31" s="20" t="n">
        <v>3</v>
      </c>
      <c r="S31" s="20" t="n">
        <v>3</v>
      </c>
      <c r="T31" s="20" t="n">
        <v>3</v>
      </c>
      <c r="U31" s="21" t="n">
        <f aca="false">ROUND(Q31*Methodik!$B$5+R31*Methodik!$B$6+S31*Methodik!$B$7+T31*Methodik!$B$8,2)</f>
        <v>3.3</v>
      </c>
      <c r="V31" s="15" t="str">
        <f aca="false">IF(U31&gt;=Methodik!$B$11,"A",IF(U31&gt;=Methodik!$B$12,"B","C"))</f>
        <v>B</v>
      </c>
      <c r="W31" s="20"/>
      <c r="X31" s="15" t="str">
        <f aca="false">IF(W31="",V31,W31)</f>
        <v>B</v>
      </c>
      <c r="Y31" s="22" t="s">
        <v>51</v>
      </c>
      <c r="Z31" s="23"/>
      <c r="AA31" s="16" t="s">
        <v>103</v>
      </c>
      <c r="AB31" s="22"/>
      <c r="AC31" s="16"/>
      <c r="AD31" s="19" t="s">
        <v>105</v>
      </c>
      <c r="AE31" s="19" t="s">
        <v>105</v>
      </c>
      <c r="AF31" s="19" t="s">
        <v>106</v>
      </c>
      <c r="AG31" s="16"/>
      <c r="AH31" s="22"/>
      <c r="AI31" s="24"/>
      <c r="AJ31" s="23"/>
      <c r="AK31" s="23"/>
    </row>
    <row r="32" customFormat="false" ht="48" hidden="false" customHeight="true" outlineLevel="0" collapsed="false">
      <c r="A32" s="15" t="s">
        <v>327</v>
      </c>
      <c r="B32" s="15" t="s">
        <v>93</v>
      </c>
      <c r="C32" s="16" t="s">
        <v>13</v>
      </c>
      <c r="D32" s="17" t="s">
        <v>37</v>
      </c>
      <c r="E32" s="18" t="s">
        <v>328</v>
      </c>
      <c r="F32" s="16" t="s">
        <v>329</v>
      </c>
      <c r="G32" s="16" t="s">
        <v>330</v>
      </c>
      <c r="H32" s="15" t="s">
        <v>96</v>
      </c>
      <c r="I32" s="17" t="s">
        <v>26</v>
      </c>
      <c r="J32" s="17" t="s">
        <v>33</v>
      </c>
      <c r="K32" s="15" t="s">
        <v>97</v>
      </c>
      <c r="L32" s="19" t="s">
        <v>331</v>
      </c>
      <c r="M32" s="16" t="s">
        <v>332</v>
      </c>
      <c r="N32" s="16" t="s">
        <v>100</v>
      </c>
      <c r="O32" s="16" t="s">
        <v>333</v>
      </c>
      <c r="P32" s="16" t="s">
        <v>334</v>
      </c>
      <c r="Q32" s="20" t="n">
        <v>4</v>
      </c>
      <c r="R32" s="20" t="n">
        <v>3</v>
      </c>
      <c r="S32" s="20" t="n">
        <v>3</v>
      </c>
      <c r="T32" s="20" t="n">
        <v>3</v>
      </c>
      <c r="U32" s="21" t="n">
        <f aca="false">ROUND(Q32*Methodik!$B$5+R32*Methodik!$B$6+S32*Methodik!$B$7+T32*Methodik!$B$8,2)</f>
        <v>3.3</v>
      </c>
      <c r="V32" s="15" t="str">
        <f aca="false">IF(U32&gt;=Methodik!$B$11,"A",IF(U32&gt;=Methodik!$B$12,"B","C"))</f>
        <v>B</v>
      </c>
      <c r="W32" s="20"/>
      <c r="X32" s="15" t="str">
        <f aca="false">IF(W32="",V32,W32)</f>
        <v>B</v>
      </c>
      <c r="Y32" s="22" t="s">
        <v>51</v>
      </c>
      <c r="Z32" s="23"/>
      <c r="AA32" s="16" t="s">
        <v>103</v>
      </c>
      <c r="AB32" s="22"/>
      <c r="AC32" s="16"/>
      <c r="AD32" s="19" t="s">
        <v>105</v>
      </c>
      <c r="AE32" s="19" t="s">
        <v>105</v>
      </c>
      <c r="AF32" s="19" t="s">
        <v>106</v>
      </c>
      <c r="AG32" s="16"/>
      <c r="AH32" s="22"/>
      <c r="AI32" s="24"/>
      <c r="AJ32" s="23"/>
      <c r="AK32" s="23"/>
    </row>
    <row r="33" customFormat="false" ht="48" hidden="false" customHeight="true" outlineLevel="0" collapsed="false">
      <c r="A33" s="15" t="s">
        <v>335</v>
      </c>
      <c r="B33" s="15" t="s">
        <v>93</v>
      </c>
      <c r="C33" s="16" t="s">
        <v>13</v>
      </c>
      <c r="D33" s="17" t="s">
        <v>37</v>
      </c>
      <c r="E33" s="18" t="s">
        <v>336</v>
      </c>
      <c r="F33" s="16" t="s">
        <v>337</v>
      </c>
      <c r="G33" s="16" t="s">
        <v>338</v>
      </c>
      <c r="H33" s="15" t="s">
        <v>339</v>
      </c>
      <c r="I33" s="17" t="s">
        <v>27</v>
      </c>
      <c r="J33" s="17" t="s">
        <v>33</v>
      </c>
      <c r="K33" s="15" t="s">
        <v>97</v>
      </c>
      <c r="L33" s="19" t="s">
        <v>340</v>
      </c>
      <c r="M33" s="16" t="s">
        <v>341</v>
      </c>
      <c r="N33" s="16" t="s">
        <v>342</v>
      </c>
      <c r="O33" s="16" t="s">
        <v>343</v>
      </c>
      <c r="P33" s="16" t="s">
        <v>344</v>
      </c>
      <c r="Q33" s="20" t="n">
        <v>4</v>
      </c>
      <c r="R33" s="20" t="n">
        <v>2</v>
      </c>
      <c r="S33" s="20" t="n">
        <v>4</v>
      </c>
      <c r="T33" s="20" t="n">
        <v>3</v>
      </c>
      <c r="U33" s="21" t="n">
        <f aca="false">ROUND(Q33*Methodik!$B$5+R33*Methodik!$B$6+S33*Methodik!$B$7+T33*Methodik!$B$8,2)</f>
        <v>3.25</v>
      </c>
      <c r="V33" s="15" t="str">
        <f aca="false">IF(U33&gt;=Methodik!$B$11,"A",IF(U33&gt;=Methodik!$B$12,"B","C"))</f>
        <v>B</v>
      </c>
      <c r="W33" s="20"/>
      <c r="X33" s="15" t="str">
        <f aca="false">IF(W33="",V33,W33)</f>
        <v>B</v>
      </c>
      <c r="Y33" s="22" t="s">
        <v>51</v>
      </c>
      <c r="Z33" s="23"/>
      <c r="AA33" s="16" t="s">
        <v>103</v>
      </c>
      <c r="AB33" s="22"/>
      <c r="AC33" s="16"/>
      <c r="AD33" s="19" t="s">
        <v>105</v>
      </c>
      <c r="AE33" s="19" t="s">
        <v>105</v>
      </c>
      <c r="AF33" s="19" t="s">
        <v>106</v>
      </c>
      <c r="AG33" s="16" t="s">
        <v>345</v>
      </c>
      <c r="AH33" s="22"/>
      <c r="AI33" s="24"/>
      <c r="AJ33" s="23"/>
      <c r="AK33" s="23"/>
    </row>
    <row r="34" customFormat="false" ht="48" hidden="false" customHeight="true" outlineLevel="0" collapsed="false">
      <c r="A34" s="15" t="s">
        <v>346</v>
      </c>
      <c r="B34" s="15" t="s">
        <v>93</v>
      </c>
      <c r="C34" s="16" t="s">
        <v>13</v>
      </c>
      <c r="D34" s="17" t="s">
        <v>37</v>
      </c>
      <c r="E34" s="18" t="s">
        <v>347</v>
      </c>
      <c r="F34" s="16" t="s">
        <v>123</v>
      </c>
      <c r="G34" s="16" t="s">
        <v>348</v>
      </c>
      <c r="H34" s="15" t="s">
        <v>125</v>
      </c>
      <c r="I34" s="17" t="s">
        <v>24</v>
      </c>
      <c r="J34" s="17" t="s">
        <v>33</v>
      </c>
      <c r="K34" s="15" t="s">
        <v>97</v>
      </c>
      <c r="L34" s="19" t="s">
        <v>127</v>
      </c>
      <c r="M34" s="16" t="s">
        <v>349</v>
      </c>
      <c r="N34" s="16" t="s">
        <v>100</v>
      </c>
      <c r="O34" s="16" t="s">
        <v>221</v>
      </c>
      <c r="P34" s="16" t="s">
        <v>350</v>
      </c>
      <c r="Q34" s="20" t="n">
        <v>3</v>
      </c>
      <c r="R34" s="20" t="n">
        <v>3</v>
      </c>
      <c r="S34" s="20" t="n">
        <v>3</v>
      </c>
      <c r="T34" s="20" t="n">
        <v>3</v>
      </c>
      <c r="U34" s="21" t="n">
        <f aca="false">ROUND(Q34*Methodik!$B$5+R34*Methodik!$B$6+S34*Methodik!$B$7+T34*Methodik!$B$8,2)</f>
        <v>3</v>
      </c>
      <c r="V34" s="15" t="str">
        <f aca="false">IF(U34&gt;=Methodik!$B$11,"A",IF(U34&gt;=Methodik!$B$12,"B","C"))</f>
        <v>B</v>
      </c>
      <c r="W34" s="20"/>
      <c r="X34" s="15" t="str">
        <f aca="false">IF(W34="",V34,W34)</f>
        <v>B</v>
      </c>
      <c r="Y34" s="22" t="s">
        <v>51</v>
      </c>
      <c r="Z34" s="23"/>
      <c r="AA34" s="16" t="s">
        <v>103</v>
      </c>
      <c r="AB34" s="22"/>
      <c r="AC34" s="16"/>
      <c r="AD34" s="19" t="s">
        <v>105</v>
      </c>
      <c r="AE34" s="19" t="s">
        <v>105</v>
      </c>
      <c r="AF34" s="19" t="s">
        <v>106</v>
      </c>
      <c r="AG34" s="16" t="s">
        <v>351</v>
      </c>
      <c r="AH34" s="22"/>
      <c r="AI34" s="24"/>
      <c r="AJ34" s="23"/>
      <c r="AK34" s="23"/>
    </row>
    <row r="35" customFormat="false" ht="48" hidden="false" customHeight="true" outlineLevel="0" collapsed="false">
      <c r="A35" s="15" t="s">
        <v>352</v>
      </c>
      <c r="B35" s="15" t="s">
        <v>93</v>
      </c>
      <c r="C35" s="16" t="s">
        <v>13</v>
      </c>
      <c r="D35" s="17" t="s">
        <v>37</v>
      </c>
      <c r="E35" s="18" t="s">
        <v>353</v>
      </c>
      <c r="F35" s="16" t="s">
        <v>212</v>
      </c>
      <c r="G35" s="16" t="s">
        <v>354</v>
      </c>
      <c r="H35" s="15" t="s">
        <v>210</v>
      </c>
      <c r="I35" s="17" t="s">
        <v>25</v>
      </c>
      <c r="J35" s="17" t="s">
        <v>33</v>
      </c>
      <c r="K35" s="15" t="s">
        <v>97</v>
      </c>
      <c r="L35" s="19" t="s">
        <v>355</v>
      </c>
      <c r="M35" s="16" t="s">
        <v>356</v>
      </c>
      <c r="N35" s="16" t="s">
        <v>100</v>
      </c>
      <c r="O35" s="16" t="s">
        <v>221</v>
      </c>
      <c r="P35" s="16" t="s">
        <v>357</v>
      </c>
      <c r="Q35" s="20" t="n">
        <v>3</v>
      </c>
      <c r="R35" s="20" t="n">
        <v>3</v>
      </c>
      <c r="S35" s="20" t="n">
        <v>3</v>
      </c>
      <c r="T35" s="20" t="n">
        <v>3</v>
      </c>
      <c r="U35" s="21" t="n">
        <f aca="false">ROUND(Q35*Methodik!$B$5+R35*Methodik!$B$6+S35*Methodik!$B$7+T35*Methodik!$B$8,2)</f>
        <v>3</v>
      </c>
      <c r="V35" s="15" t="str">
        <f aca="false">IF(U35&gt;=Methodik!$B$11,"A",IF(U35&gt;=Methodik!$B$12,"B","C"))</f>
        <v>B</v>
      </c>
      <c r="W35" s="20"/>
      <c r="X35" s="15" t="str">
        <f aca="false">IF(W35="",V35,W35)</f>
        <v>B</v>
      </c>
      <c r="Y35" s="22" t="s">
        <v>51</v>
      </c>
      <c r="Z35" s="23"/>
      <c r="AA35" s="16" t="s">
        <v>103</v>
      </c>
      <c r="AB35" s="22"/>
      <c r="AC35" s="16"/>
      <c r="AD35" s="19" t="s">
        <v>105</v>
      </c>
      <c r="AE35" s="19" t="s">
        <v>105</v>
      </c>
      <c r="AF35" s="19" t="s">
        <v>106</v>
      </c>
      <c r="AG35" s="16"/>
      <c r="AH35" s="22"/>
      <c r="AI35" s="24"/>
      <c r="AJ35" s="23"/>
      <c r="AK35" s="23"/>
    </row>
    <row r="36" customFormat="false" ht="48" hidden="false" customHeight="true" outlineLevel="0" collapsed="false">
      <c r="A36" s="15" t="s">
        <v>358</v>
      </c>
      <c r="B36" s="15" t="s">
        <v>93</v>
      </c>
      <c r="C36" s="16" t="s">
        <v>13</v>
      </c>
      <c r="D36" s="17" t="s">
        <v>37</v>
      </c>
      <c r="E36" s="18" t="s">
        <v>359</v>
      </c>
      <c r="F36" s="16" t="s">
        <v>236</v>
      </c>
      <c r="G36" s="16" t="s">
        <v>360</v>
      </c>
      <c r="H36" s="15" t="s">
        <v>280</v>
      </c>
      <c r="I36" s="17" t="s">
        <v>29</v>
      </c>
      <c r="J36" s="17" t="s">
        <v>29</v>
      </c>
      <c r="K36" s="15" t="s">
        <v>281</v>
      </c>
      <c r="L36" s="19" t="s">
        <v>361</v>
      </c>
      <c r="M36" s="16" t="s">
        <v>362</v>
      </c>
      <c r="N36" s="16" t="s">
        <v>363</v>
      </c>
      <c r="O36" s="16" t="s">
        <v>221</v>
      </c>
      <c r="P36" s="16" t="s">
        <v>364</v>
      </c>
      <c r="Q36" s="20" t="n">
        <v>3</v>
      </c>
      <c r="R36" s="20" t="n">
        <v>2</v>
      </c>
      <c r="S36" s="20" t="n">
        <v>4</v>
      </c>
      <c r="T36" s="20" t="n">
        <v>3</v>
      </c>
      <c r="U36" s="21" t="n">
        <f aca="false">ROUND(Q36*Methodik!$B$5+R36*Methodik!$B$6+S36*Methodik!$B$7+T36*Methodik!$B$8,2)</f>
        <v>2.95</v>
      </c>
      <c r="V36" s="15" t="str">
        <f aca="false">IF(U36&gt;=Methodik!$B$11,"A",IF(U36&gt;=Methodik!$B$12,"B","C"))</f>
        <v>C</v>
      </c>
      <c r="W36" s="20"/>
      <c r="X36" s="15" t="str">
        <f aca="false">IF(W36="",V36,W36)</f>
        <v>C</v>
      </c>
      <c r="Y36" s="22" t="s">
        <v>51</v>
      </c>
      <c r="Z36" s="23"/>
      <c r="AA36" s="16" t="s">
        <v>103</v>
      </c>
      <c r="AB36" s="22"/>
      <c r="AC36" s="16"/>
      <c r="AD36" s="19" t="s">
        <v>105</v>
      </c>
      <c r="AE36" s="19" t="s">
        <v>105</v>
      </c>
      <c r="AF36" s="19" t="s">
        <v>106</v>
      </c>
      <c r="AG36" s="16"/>
      <c r="AH36" s="22"/>
      <c r="AI36" s="24"/>
      <c r="AJ36" s="23"/>
      <c r="AK36" s="23"/>
    </row>
    <row r="37" customFormat="false" ht="48" hidden="false" customHeight="true" outlineLevel="0" collapsed="false">
      <c r="A37" s="15" t="s">
        <v>365</v>
      </c>
      <c r="B37" s="15" t="s">
        <v>93</v>
      </c>
      <c r="C37" s="16" t="s">
        <v>13</v>
      </c>
      <c r="D37" s="17" t="s">
        <v>37</v>
      </c>
      <c r="E37" s="18" t="s">
        <v>366</v>
      </c>
      <c r="F37" s="16" t="s">
        <v>367</v>
      </c>
      <c r="G37" s="16" t="s">
        <v>368</v>
      </c>
      <c r="H37" s="15" t="s">
        <v>324</v>
      </c>
      <c r="I37" s="17" t="s">
        <v>23</v>
      </c>
      <c r="J37" s="17" t="s">
        <v>32</v>
      </c>
      <c r="K37" s="15" t="s">
        <v>180</v>
      </c>
      <c r="L37" s="19" t="s">
        <v>369</v>
      </c>
      <c r="M37" s="16" t="s">
        <v>370</v>
      </c>
      <c r="N37" s="16" t="s">
        <v>371</v>
      </c>
      <c r="O37" s="16" t="s">
        <v>372</v>
      </c>
      <c r="P37" s="16" t="s">
        <v>373</v>
      </c>
      <c r="Q37" s="20" t="n">
        <v>3</v>
      </c>
      <c r="R37" s="20" t="n">
        <v>2</v>
      </c>
      <c r="S37" s="20" t="n">
        <v>4</v>
      </c>
      <c r="T37" s="20" t="n">
        <v>3</v>
      </c>
      <c r="U37" s="21" t="n">
        <f aca="false">ROUND(Q37*Methodik!$B$5+R37*Methodik!$B$6+S37*Methodik!$B$7+T37*Methodik!$B$8,2)</f>
        <v>2.95</v>
      </c>
      <c r="V37" s="15" t="str">
        <f aca="false">IF(U37&gt;=Methodik!$B$11,"A",IF(U37&gt;=Methodik!$B$12,"B","C"))</f>
        <v>C</v>
      </c>
      <c r="W37" s="20"/>
      <c r="X37" s="15" t="str">
        <f aca="false">IF(W37="",V37,W37)</f>
        <v>C</v>
      </c>
      <c r="Y37" s="22" t="s">
        <v>51</v>
      </c>
      <c r="Z37" s="23"/>
      <c r="AA37" s="16" t="s">
        <v>103</v>
      </c>
      <c r="AB37" s="22"/>
      <c r="AC37" s="16"/>
      <c r="AD37" s="19" t="s">
        <v>105</v>
      </c>
      <c r="AE37" s="19" t="s">
        <v>105</v>
      </c>
      <c r="AF37" s="19" t="s">
        <v>106</v>
      </c>
      <c r="AG37" s="16"/>
      <c r="AH37" s="22"/>
      <c r="AI37" s="24"/>
      <c r="AJ37" s="23"/>
      <c r="AK37" s="23"/>
    </row>
    <row r="38" customFormat="false" ht="48" hidden="false" customHeight="true" outlineLevel="0" collapsed="false">
      <c r="A38" s="15" t="s">
        <v>374</v>
      </c>
      <c r="B38" s="15" t="s">
        <v>93</v>
      </c>
      <c r="C38" s="16" t="s">
        <v>13</v>
      </c>
      <c r="D38" s="17" t="s">
        <v>37</v>
      </c>
      <c r="E38" s="18" t="s">
        <v>375</v>
      </c>
      <c r="F38" s="16" t="s">
        <v>376</v>
      </c>
      <c r="G38" s="16" t="s">
        <v>377</v>
      </c>
      <c r="H38" s="15" t="s">
        <v>125</v>
      </c>
      <c r="I38" s="17" t="s">
        <v>24</v>
      </c>
      <c r="J38" s="17" t="s">
        <v>33</v>
      </c>
      <c r="K38" s="15" t="s">
        <v>97</v>
      </c>
      <c r="L38" s="17" t="s">
        <v>211</v>
      </c>
      <c r="M38" s="16" t="s">
        <v>378</v>
      </c>
      <c r="N38" s="16" t="s">
        <v>100</v>
      </c>
      <c r="O38" s="16" t="s">
        <v>221</v>
      </c>
      <c r="P38" s="16" t="s">
        <v>379</v>
      </c>
      <c r="Q38" s="20" t="n">
        <v>3</v>
      </c>
      <c r="R38" s="20" t="n">
        <v>2</v>
      </c>
      <c r="S38" s="20" t="n">
        <v>3</v>
      </c>
      <c r="T38" s="20" t="n">
        <v>4</v>
      </c>
      <c r="U38" s="21" t="n">
        <f aca="false">ROUND(Q38*Methodik!$B$5+R38*Methodik!$B$6+S38*Methodik!$B$7+T38*Methodik!$B$8,2)</f>
        <v>2.85</v>
      </c>
      <c r="V38" s="15" t="str">
        <f aca="false">IF(U38&gt;=Methodik!$B$11,"A",IF(U38&gt;=Methodik!$B$12,"B","C"))</f>
        <v>C</v>
      </c>
      <c r="W38" s="20"/>
      <c r="X38" s="15" t="str">
        <f aca="false">IF(W38="",V38,W38)</f>
        <v>C</v>
      </c>
      <c r="Y38" s="22" t="s">
        <v>51</v>
      </c>
      <c r="Z38" s="23"/>
      <c r="AA38" s="16" t="s">
        <v>103</v>
      </c>
      <c r="AB38" s="22"/>
      <c r="AC38" s="16"/>
      <c r="AD38" s="19" t="s">
        <v>105</v>
      </c>
      <c r="AE38" s="19" t="s">
        <v>105</v>
      </c>
      <c r="AF38" s="19" t="s">
        <v>106</v>
      </c>
      <c r="AG38" s="16"/>
      <c r="AH38" s="22"/>
      <c r="AI38" s="24"/>
      <c r="AJ38" s="23"/>
      <c r="AK38" s="23"/>
    </row>
    <row r="39" customFormat="false" ht="48" hidden="false" customHeight="true" outlineLevel="0" collapsed="false">
      <c r="A39" s="15" t="s">
        <v>380</v>
      </c>
      <c r="B39" s="15" t="s">
        <v>93</v>
      </c>
      <c r="C39" s="16" t="s">
        <v>13</v>
      </c>
      <c r="D39" s="17" t="s">
        <v>37</v>
      </c>
      <c r="E39" s="18" t="s">
        <v>381</v>
      </c>
      <c r="F39" s="16" t="s">
        <v>218</v>
      </c>
      <c r="G39" s="16" t="s">
        <v>377</v>
      </c>
      <c r="H39" s="15" t="s">
        <v>125</v>
      </c>
      <c r="I39" s="17" t="s">
        <v>24</v>
      </c>
      <c r="J39" s="17" t="s">
        <v>33</v>
      </c>
      <c r="K39" s="15" t="s">
        <v>97</v>
      </c>
      <c r="L39" s="19" t="s">
        <v>382</v>
      </c>
      <c r="M39" s="16" t="s">
        <v>212</v>
      </c>
      <c r="N39" s="16" t="s">
        <v>100</v>
      </c>
      <c r="O39" s="16" t="s">
        <v>221</v>
      </c>
      <c r="P39" s="16" t="s">
        <v>383</v>
      </c>
      <c r="Q39" s="20" t="n">
        <v>3</v>
      </c>
      <c r="R39" s="20" t="n">
        <v>2</v>
      </c>
      <c r="S39" s="20" t="n">
        <v>3</v>
      </c>
      <c r="T39" s="20" t="n">
        <v>4</v>
      </c>
      <c r="U39" s="21" t="n">
        <f aca="false">ROUND(Q39*Methodik!$B$5+R39*Methodik!$B$6+S39*Methodik!$B$7+T39*Methodik!$B$8,2)</f>
        <v>2.85</v>
      </c>
      <c r="V39" s="15" t="str">
        <f aca="false">IF(U39&gt;=Methodik!$B$11,"A",IF(U39&gt;=Methodik!$B$12,"B","C"))</f>
        <v>C</v>
      </c>
      <c r="W39" s="20"/>
      <c r="X39" s="15" t="str">
        <f aca="false">IF(W39="",V39,W39)</f>
        <v>C</v>
      </c>
      <c r="Y39" s="22" t="s">
        <v>51</v>
      </c>
      <c r="Z39" s="23"/>
      <c r="AA39" s="16" t="s">
        <v>103</v>
      </c>
      <c r="AB39" s="22"/>
      <c r="AC39" s="16"/>
      <c r="AD39" s="19" t="s">
        <v>105</v>
      </c>
      <c r="AE39" s="19" t="s">
        <v>105</v>
      </c>
      <c r="AF39" s="19" t="s">
        <v>106</v>
      </c>
      <c r="AG39" s="16" t="s">
        <v>384</v>
      </c>
      <c r="AH39" s="22"/>
      <c r="AI39" s="24"/>
      <c r="AJ39" s="23"/>
      <c r="AK39" s="23"/>
    </row>
    <row r="40" customFormat="false" ht="48" hidden="false" customHeight="true" outlineLevel="0" collapsed="false">
      <c r="A40" s="15" t="s">
        <v>385</v>
      </c>
      <c r="B40" s="15" t="s">
        <v>93</v>
      </c>
      <c r="C40" s="16" t="s">
        <v>13</v>
      </c>
      <c r="D40" s="17" t="s">
        <v>37</v>
      </c>
      <c r="E40" s="18" t="s">
        <v>386</v>
      </c>
      <c r="F40" s="16" t="s">
        <v>337</v>
      </c>
      <c r="G40" s="16" t="s">
        <v>387</v>
      </c>
      <c r="H40" s="15" t="s">
        <v>324</v>
      </c>
      <c r="I40" s="17" t="s">
        <v>23</v>
      </c>
      <c r="J40" s="17" t="s">
        <v>32</v>
      </c>
      <c r="K40" s="15" t="s">
        <v>180</v>
      </c>
      <c r="L40" s="19" t="s">
        <v>388</v>
      </c>
      <c r="M40" s="16" t="s">
        <v>389</v>
      </c>
      <c r="N40" s="16" t="s">
        <v>100</v>
      </c>
      <c r="O40" s="16" t="s">
        <v>221</v>
      </c>
      <c r="P40" s="16" t="s">
        <v>390</v>
      </c>
      <c r="Q40" s="20" t="n">
        <v>3</v>
      </c>
      <c r="R40" s="20" t="n">
        <v>2</v>
      </c>
      <c r="S40" s="20" t="n">
        <v>3</v>
      </c>
      <c r="T40" s="20" t="n">
        <v>3</v>
      </c>
      <c r="U40" s="21" t="n">
        <f aca="false">ROUND(Q40*Methodik!$B$5+R40*Methodik!$B$6+S40*Methodik!$B$7+T40*Methodik!$B$8,2)</f>
        <v>2.7</v>
      </c>
      <c r="V40" s="15" t="str">
        <f aca="false">IF(U40&gt;=Methodik!$B$11,"A",IF(U40&gt;=Methodik!$B$12,"B","C"))</f>
        <v>C</v>
      </c>
      <c r="W40" s="20"/>
      <c r="X40" s="15" t="str">
        <f aca="false">IF(W40="",V40,W40)</f>
        <v>C</v>
      </c>
      <c r="Y40" s="22" t="s">
        <v>51</v>
      </c>
      <c r="Z40" s="23"/>
      <c r="AA40" s="16" t="s">
        <v>103</v>
      </c>
      <c r="AB40" s="22"/>
      <c r="AC40" s="16"/>
      <c r="AD40" s="19" t="s">
        <v>105</v>
      </c>
      <c r="AE40" s="19" t="s">
        <v>105</v>
      </c>
      <c r="AF40" s="19" t="s">
        <v>106</v>
      </c>
      <c r="AG40" s="16"/>
      <c r="AH40" s="22"/>
      <c r="AI40" s="24"/>
      <c r="AJ40" s="23"/>
      <c r="AK40" s="23"/>
    </row>
    <row r="41" customFormat="false" ht="48" hidden="false" customHeight="true" outlineLevel="0" collapsed="false">
      <c r="A41" s="15" t="s">
        <v>391</v>
      </c>
      <c r="B41" s="15" t="s">
        <v>93</v>
      </c>
      <c r="C41" s="16" t="s">
        <v>13</v>
      </c>
      <c r="D41" s="17" t="s">
        <v>37</v>
      </c>
      <c r="E41" s="18" t="s">
        <v>392</v>
      </c>
      <c r="F41" s="16" t="s">
        <v>393</v>
      </c>
      <c r="G41" s="16" t="s">
        <v>394</v>
      </c>
      <c r="H41" s="15" t="s">
        <v>395</v>
      </c>
      <c r="I41" s="17" t="s">
        <v>28</v>
      </c>
      <c r="J41" s="17" t="s">
        <v>33</v>
      </c>
      <c r="K41" s="15" t="s">
        <v>97</v>
      </c>
      <c r="L41" s="19" t="s">
        <v>396</v>
      </c>
      <c r="M41" s="16" t="s">
        <v>397</v>
      </c>
      <c r="N41" s="16" t="s">
        <v>100</v>
      </c>
      <c r="O41" s="16" t="s">
        <v>398</v>
      </c>
      <c r="P41" s="16" t="s">
        <v>399</v>
      </c>
      <c r="Q41" s="20" t="n">
        <v>3</v>
      </c>
      <c r="R41" s="20" t="n">
        <v>2</v>
      </c>
      <c r="S41" s="20" t="n">
        <v>3</v>
      </c>
      <c r="T41" s="20" t="n">
        <v>3</v>
      </c>
      <c r="U41" s="21" t="n">
        <f aca="false">ROUND(Q41*Methodik!$B$5+R41*Methodik!$B$6+S41*Methodik!$B$7+T41*Methodik!$B$8,2)</f>
        <v>2.7</v>
      </c>
      <c r="V41" s="15" t="str">
        <f aca="false">IF(U41&gt;=Methodik!$B$11,"A",IF(U41&gt;=Methodik!$B$12,"B","C"))</f>
        <v>C</v>
      </c>
      <c r="W41" s="20"/>
      <c r="X41" s="15" t="str">
        <f aca="false">IF(W41="",V41,W41)</f>
        <v>C</v>
      </c>
      <c r="Y41" s="22" t="s">
        <v>51</v>
      </c>
      <c r="Z41" s="23"/>
      <c r="AA41" s="16" t="s">
        <v>103</v>
      </c>
      <c r="AB41" s="22"/>
      <c r="AC41" s="16"/>
      <c r="AD41" s="19" t="s">
        <v>105</v>
      </c>
      <c r="AE41" s="19" t="s">
        <v>105</v>
      </c>
      <c r="AF41" s="19" t="s">
        <v>106</v>
      </c>
      <c r="AG41" s="16"/>
      <c r="AH41" s="22"/>
      <c r="AI41" s="24"/>
      <c r="AJ41" s="23"/>
      <c r="AK41" s="23"/>
    </row>
    <row r="42" customFormat="false" ht="48" hidden="false" customHeight="true" outlineLevel="0" collapsed="false">
      <c r="A42" s="15" t="s">
        <v>400</v>
      </c>
      <c r="B42" s="15" t="s">
        <v>93</v>
      </c>
      <c r="C42" s="16" t="s">
        <v>13</v>
      </c>
      <c r="D42" s="17" t="s">
        <v>37</v>
      </c>
      <c r="E42" s="18" t="s">
        <v>401</v>
      </c>
      <c r="F42" s="16" t="s">
        <v>337</v>
      </c>
      <c r="G42" s="16" t="s">
        <v>402</v>
      </c>
      <c r="H42" s="15" t="s">
        <v>280</v>
      </c>
      <c r="I42" s="17" t="s">
        <v>29</v>
      </c>
      <c r="J42" s="17" t="s">
        <v>29</v>
      </c>
      <c r="K42" s="15" t="s">
        <v>281</v>
      </c>
      <c r="L42" s="19" t="s">
        <v>403</v>
      </c>
      <c r="M42" s="16" t="s">
        <v>404</v>
      </c>
      <c r="N42" s="16" t="s">
        <v>100</v>
      </c>
      <c r="O42" s="16" t="s">
        <v>405</v>
      </c>
      <c r="P42" s="16" t="s">
        <v>406</v>
      </c>
      <c r="Q42" s="20" t="n">
        <v>3</v>
      </c>
      <c r="R42" s="20" t="n">
        <v>2</v>
      </c>
      <c r="S42" s="20" t="n">
        <v>3</v>
      </c>
      <c r="T42" s="20" t="n">
        <v>3</v>
      </c>
      <c r="U42" s="21" t="n">
        <f aca="false">ROUND(Q42*Methodik!$B$5+R42*Methodik!$B$6+S42*Methodik!$B$7+T42*Methodik!$B$8,2)</f>
        <v>2.7</v>
      </c>
      <c r="V42" s="15" t="str">
        <f aca="false">IF(U42&gt;=Methodik!$B$11,"A",IF(U42&gt;=Methodik!$B$12,"B","C"))</f>
        <v>C</v>
      </c>
      <c r="W42" s="20"/>
      <c r="X42" s="15" t="str">
        <f aca="false">IF(W42="",V42,W42)</f>
        <v>C</v>
      </c>
      <c r="Y42" s="22" t="s">
        <v>51</v>
      </c>
      <c r="Z42" s="23"/>
      <c r="AA42" s="16" t="s">
        <v>103</v>
      </c>
      <c r="AB42" s="22"/>
      <c r="AC42" s="16"/>
      <c r="AD42" s="19" t="s">
        <v>105</v>
      </c>
      <c r="AE42" s="19" t="s">
        <v>105</v>
      </c>
      <c r="AF42" s="19" t="s">
        <v>106</v>
      </c>
      <c r="AG42" s="16"/>
      <c r="AH42" s="22"/>
      <c r="AI42" s="24"/>
      <c r="AJ42" s="23"/>
      <c r="AK42" s="23"/>
    </row>
    <row r="43" customFormat="false" ht="48" hidden="false" customHeight="true" outlineLevel="0" collapsed="false">
      <c r="A43" s="15" t="s">
        <v>407</v>
      </c>
      <c r="B43" s="15" t="s">
        <v>93</v>
      </c>
      <c r="C43" s="16" t="s">
        <v>13</v>
      </c>
      <c r="D43" s="17" t="s">
        <v>37</v>
      </c>
      <c r="E43" s="18" t="s">
        <v>408</v>
      </c>
      <c r="F43" s="16" t="s">
        <v>409</v>
      </c>
      <c r="G43" s="16" t="s">
        <v>410</v>
      </c>
      <c r="H43" s="15" t="s">
        <v>411</v>
      </c>
      <c r="I43" s="17" t="s">
        <v>23</v>
      </c>
      <c r="J43" s="17" t="s">
        <v>32</v>
      </c>
      <c r="K43" s="15" t="s">
        <v>180</v>
      </c>
      <c r="L43" s="19" t="s">
        <v>259</v>
      </c>
      <c r="M43" s="16" t="s">
        <v>412</v>
      </c>
      <c r="N43" s="16" t="s">
        <v>100</v>
      </c>
      <c r="O43" s="16" t="s">
        <v>405</v>
      </c>
      <c r="P43" s="16" t="s">
        <v>413</v>
      </c>
      <c r="Q43" s="20" t="n">
        <v>3</v>
      </c>
      <c r="R43" s="20" t="n">
        <v>2</v>
      </c>
      <c r="S43" s="20" t="n">
        <v>3</v>
      </c>
      <c r="T43" s="20" t="n">
        <v>3</v>
      </c>
      <c r="U43" s="21" t="n">
        <f aca="false">ROUND(Q43*Methodik!$B$5+R43*Methodik!$B$6+S43*Methodik!$B$7+T43*Methodik!$B$8,2)</f>
        <v>2.7</v>
      </c>
      <c r="V43" s="15" t="str">
        <f aca="false">IF(U43&gt;=Methodik!$B$11,"A",IF(U43&gt;=Methodik!$B$12,"B","C"))</f>
        <v>C</v>
      </c>
      <c r="W43" s="20"/>
      <c r="X43" s="15" t="str">
        <f aca="false">IF(W43="",V43,W43)</f>
        <v>C</v>
      </c>
      <c r="Y43" s="22" t="s">
        <v>51</v>
      </c>
      <c r="Z43" s="23"/>
      <c r="AA43" s="16" t="s">
        <v>103</v>
      </c>
      <c r="AB43" s="22"/>
      <c r="AC43" s="16"/>
      <c r="AD43" s="19" t="s">
        <v>105</v>
      </c>
      <c r="AE43" s="19" t="s">
        <v>105</v>
      </c>
      <c r="AF43" s="19" t="s">
        <v>106</v>
      </c>
      <c r="AG43" s="16"/>
      <c r="AH43" s="22"/>
      <c r="AI43" s="24"/>
      <c r="AJ43" s="23"/>
      <c r="AK43" s="23"/>
    </row>
    <row r="44" customFormat="false" ht="48" hidden="false" customHeight="true" outlineLevel="0" collapsed="false">
      <c r="A44" s="15" t="s">
        <v>414</v>
      </c>
      <c r="B44" s="15" t="s">
        <v>93</v>
      </c>
      <c r="C44" s="16" t="s">
        <v>13</v>
      </c>
      <c r="D44" s="17" t="s">
        <v>37</v>
      </c>
      <c r="E44" s="18" t="s">
        <v>415</v>
      </c>
      <c r="F44" s="16" t="s">
        <v>236</v>
      </c>
      <c r="G44" s="16" t="s">
        <v>416</v>
      </c>
      <c r="H44" s="15" t="s">
        <v>417</v>
      </c>
      <c r="I44" s="17" t="s">
        <v>28</v>
      </c>
      <c r="J44" s="17" t="s">
        <v>33</v>
      </c>
      <c r="K44" s="15" t="s">
        <v>97</v>
      </c>
      <c r="L44" s="19" t="s">
        <v>418</v>
      </c>
      <c r="M44" s="16" t="s">
        <v>419</v>
      </c>
      <c r="N44" s="16" t="s">
        <v>420</v>
      </c>
      <c r="O44" s="16" t="s">
        <v>405</v>
      </c>
      <c r="P44" s="16" t="s">
        <v>421</v>
      </c>
      <c r="Q44" s="20" t="n">
        <v>3</v>
      </c>
      <c r="R44" s="20" t="n">
        <v>2</v>
      </c>
      <c r="S44" s="20" t="n">
        <v>3</v>
      </c>
      <c r="T44" s="20" t="n">
        <v>3</v>
      </c>
      <c r="U44" s="21" t="n">
        <f aca="false">ROUND(Q44*Methodik!$B$5+R44*Methodik!$B$6+S44*Methodik!$B$7+T44*Methodik!$B$8,2)</f>
        <v>2.7</v>
      </c>
      <c r="V44" s="15" t="str">
        <f aca="false">IF(U44&gt;=Methodik!$B$11,"A",IF(U44&gt;=Methodik!$B$12,"B","C"))</f>
        <v>C</v>
      </c>
      <c r="W44" s="20"/>
      <c r="X44" s="15" t="str">
        <f aca="false">IF(W44="",V44,W44)</f>
        <v>C</v>
      </c>
      <c r="Y44" s="22" t="s">
        <v>51</v>
      </c>
      <c r="Z44" s="23"/>
      <c r="AA44" s="16" t="s">
        <v>103</v>
      </c>
      <c r="AB44" s="22"/>
      <c r="AC44" s="16"/>
      <c r="AD44" s="19" t="s">
        <v>105</v>
      </c>
      <c r="AE44" s="19" t="s">
        <v>105</v>
      </c>
      <c r="AF44" s="19" t="s">
        <v>106</v>
      </c>
      <c r="AG44" s="16"/>
      <c r="AH44" s="22"/>
      <c r="AI44" s="24"/>
      <c r="AJ44" s="23"/>
      <c r="AK44" s="23"/>
    </row>
    <row r="45" customFormat="false" ht="48" hidden="false" customHeight="true" outlineLevel="0" collapsed="false">
      <c r="A45" s="15" t="s">
        <v>422</v>
      </c>
      <c r="B45" s="15" t="s">
        <v>93</v>
      </c>
      <c r="C45" s="16" t="s">
        <v>13</v>
      </c>
      <c r="D45" s="17" t="s">
        <v>37</v>
      </c>
      <c r="E45" s="18" t="s">
        <v>423</v>
      </c>
      <c r="F45" s="16" t="s">
        <v>123</v>
      </c>
      <c r="G45" s="16" t="s">
        <v>424</v>
      </c>
      <c r="H45" s="15" t="s">
        <v>425</v>
      </c>
      <c r="I45" s="17" t="s">
        <v>23</v>
      </c>
      <c r="J45" s="17" t="s">
        <v>32</v>
      </c>
      <c r="K45" s="15" t="s">
        <v>180</v>
      </c>
      <c r="L45" s="19" t="s">
        <v>426</v>
      </c>
      <c r="M45" s="16" t="s">
        <v>427</v>
      </c>
      <c r="N45" s="16" t="s">
        <v>100</v>
      </c>
      <c r="O45" s="16" t="s">
        <v>405</v>
      </c>
      <c r="P45" s="16" t="s">
        <v>428</v>
      </c>
      <c r="Q45" s="20" t="n">
        <v>3</v>
      </c>
      <c r="R45" s="20" t="n">
        <v>2</v>
      </c>
      <c r="S45" s="20" t="n">
        <v>3</v>
      </c>
      <c r="T45" s="20" t="n">
        <v>3</v>
      </c>
      <c r="U45" s="21" t="n">
        <f aca="false">ROUND(Q45*Methodik!$B$5+R45*Methodik!$B$6+S45*Methodik!$B$7+T45*Methodik!$B$8,2)</f>
        <v>2.7</v>
      </c>
      <c r="V45" s="15" t="str">
        <f aca="false">IF(U45&gt;=Methodik!$B$11,"A",IF(U45&gt;=Methodik!$B$12,"B","C"))</f>
        <v>C</v>
      </c>
      <c r="W45" s="20"/>
      <c r="X45" s="15" t="str">
        <f aca="false">IF(W45="",V45,W45)</f>
        <v>C</v>
      </c>
      <c r="Y45" s="22" t="s">
        <v>51</v>
      </c>
      <c r="Z45" s="23"/>
      <c r="AA45" s="16" t="s">
        <v>103</v>
      </c>
      <c r="AB45" s="22"/>
      <c r="AC45" s="16"/>
      <c r="AD45" s="19" t="s">
        <v>105</v>
      </c>
      <c r="AE45" s="19" t="s">
        <v>105</v>
      </c>
      <c r="AF45" s="19" t="s">
        <v>106</v>
      </c>
      <c r="AG45" s="16"/>
      <c r="AH45" s="22"/>
      <c r="AI45" s="24"/>
      <c r="AJ45" s="23"/>
      <c r="AK45" s="23"/>
    </row>
    <row r="46" customFormat="false" ht="48" hidden="false" customHeight="true" outlineLevel="0" collapsed="false">
      <c r="A46" s="15" t="s">
        <v>429</v>
      </c>
      <c r="B46" s="15" t="s">
        <v>93</v>
      </c>
      <c r="C46" s="16" t="s">
        <v>13</v>
      </c>
      <c r="D46" s="17" t="s">
        <v>37</v>
      </c>
      <c r="E46" s="18" t="s">
        <v>430</v>
      </c>
      <c r="F46" s="16" t="s">
        <v>218</v>
      </c>
      <c r="G46" s="16" t="s">
        <v>252</v>
      </c>
      <c r="H46" s="15" t="s">
        <v>253</v>
      </c>
      <c r="I46" s="17" t="s">
        <v>27</v>
      </c>
      <c r="J46" s="17" t="s">
        <v>33</v>
      </c>
      <c r="K46" s="15" t="s">
        <v>97</v>
      </c>
      <c r="L46" s="19" t="s">
        <v>431</v>
      </c>
      <c r="M46" s="16" t="s">
        <v>432</v>
      </c>
      <c r="N46" s="16" t="s">
        <v>100</v>
      </c>
      <c r="O46" s="16" t="s">
        <v>433</v>
      </c>
      <c r="P46" s="16" t="s">
        <v>434</v>
      </c>
      <c r="Q46" s="20" t="n">
        <v>2</v>
      </c>
      <c r="R46" s="20" t="n">
        <v>3</v>
      </c>
      <c r="S46" s="20" t="n">
        <v>2</v>
      </c>
      <c r="T46" s="20" t="n">
        <v>3</v>
      </c>
      <c r="U46" s="21" t="n">
        <f aca="false">ROUND(Q46*Methodik!$B$5+R46*Methodik!$B$6+S46*Methodik!$B$7+T46*Methodik!$B$8,2)</f>
        <v>2.45</v>
      </c>
      <c r="V46" s="15" t="str">
        <f aca="false">IF(U46&gt;=Methodik!$B$11,"A",IF(U46&gt;=Methodik!$B$12,"B","C"))</f>
        <v>C</v>
      </c>
      <c r="W46" s="20"/>
      <c r="X46" s="15" t="str">
        <f aca="false">IF(W46="",V46,W46)</f>
        <v>C</v>
      </c>
      <c r="Y46" s="22" t="s">
        <v>51</v>
      </c>
      <c r="Z46" s="23"/>
      <c r="AA46" s="16" t="s">
        <v>103</v>
      </c>
      <c r="AB46" s="22"/>
      <c r="AC46" s="16"/>
      <c r="AD46" s="19" t="s">
        <v>105</v>
      </c>
      <c r="AE46" s="19" t="s">
        <v>105</v>
      </c>
      <c r="AF46" s="19" t="s">
        <v>106</v>
      </c>
      <c r="AG46" s="16"/>
      <c r="AH46" s="22"/>
      <c r="AI46" s="24"/>
      <c r="AJ46" s="23"/>
      <c r="AK46" s="23"/>
    </row>
    <row r="47" customFormat="false" ht="48" hidden="false" customHeight="true" outlineLevel="0" collapsed="false">
      <c r="A47" s="15" t="s">
        <v>435</v>
      </c>
      <c r="B47" s="15" t="s">
        <v>93</v>
      </c>
      <c r="C47" s="16" t="s">
        <v>14</v>
      </c>
      <c r="D47" s="17" t="s">
        <v>38</v>
      </c>
      <c r="E47" s="18" t="s">
        <v>436</v>
      </c>
      <c r="F47" s="16" t="s">
        <v>437</v>
      </c>
      <c r="G47" s="16" t="s">
        <v>169</v>
      </c>
      <c r="H47" s="15" t="s">
        <v>170</v>
      </c>
      <c r="I47" s="17" t="s">
        <v>25</v>
      </c>
      <c r="J47" s="17" t="s">
        <v>33</v>
      </c>
      <c r="K47" s="15" t="s">
        <v>97</v>
      </c>
      <c r="L47" s="19" t="s">
        <v>438</v>
      </c>
      <c r="M47" s="16" t="s">
        <v>439</v>
      </c>
      <c r="N47" s="16" t="s">
        <v>440</v>
      </c>
      <c r="O47" s="16" t="s">
        <v>441</v>
      </c>
      <c r="P47" s="16" t="s">
        <v>442</v>
      </c>
      <c r="Q47" s="20" t="n">
        <v>5</v>
      </c>
      <c r="R47" s="20" t="n">
        <v>4</v>
      </c>
      <c r="S47" s="20" t="n">
        <v>4</v>
      </c>
      <c r="T47" s="20" t="n">
        <v>3</v>
      </c>
      <c r="U47" s="21" t="n">
        <f aca="false">ROUND(Q47*Methodik!$B$5+R47*Methodik!$B$6+S47*Methodik!$B$7+T47*Methodik!$B$8,2)</f>
        <v>4.15</v>
      </c>
      <c r="V47" s="15" t="str">
        <f aca="false">IF(U47&gt;=Methodik!$B$11,"A",IF(U47&gt;=Methodik!$B$12,"B","C"))</f>
        <v>A</v>
      </c>
      <c r="W47" s="20"/>
      <c r="X47" s="15" t="str">
        <f aca="false">IF(W47="",V47,W47)</f>
        <v>A</v>
      </c>
      <c r="Y47" s="22" t="s">
        <v>51</v>
      </c>
      <c r="Z47" s="23"/>
      <c r="AA47" s="16" t="s">
        <v>443</v>
      </c>
      <c r="AB47" s="22"/>
      <c r="AC47" s="16"/>
      <c r="AD47" s="19" t="s">
        <v>105</v>
      </c>
      <c r="AE47" s="19" t="s">
        <v>105</v>
      </c>
      <c r="AF47" s="19" t="s">
        <v>106</v>
      </c>
      <c r="AG47" s="16"/>
      <c r="AH47" s="22"/>
      <c r="AI47" s="24"/>
      <c r="AJ47" s="23"/>
      <c r="AK47" s="23"/>
    </row>
    <row r="48" customFormat="false" ht="48" hidden="false" customHeight="true" outlineLevel="0" collapsed="false">
      <c r="A48" s="15" t="s">
        <v>444</v>
      </c>
      <c r="B48" s="15" t="s">
        <v>93</v>
      </c>
      <c r="C48" s="16" t="s">
        <v>14</v>
      </c>
      <c r="D48" s="17" t="s">
        <v>38</v>
      </c>
      <c r="E48" s="18" t="s">
        <v>445</v>
      </c>
      <c r="F48" s="16" t="s">
        <v>446</v>
      </c>
      <c r="G48" s="16" t="s">
        <v>416</v>
      </c>
      <c r="H48" s="15" t="s">
        <v>417</v>
      </c>
      <c r="I48" s="17" t="s">
        <v>28</v>
      </c>
      <c r="J48" s="17" t="s">
        <v>33</v>
      </c>
      <c r="K48" s="15" t="s">
        <v>126</v>
      </c>
      <c r="L48" s="19" t="s">
        <v>116</v>
      </c>
      <c r="M48" s="16" t="s">
        <v>212</v>
      </c>
      <c r="N48" s="16" t="s">
        <v>447</v>
      </c>
      <c r="O48" s="16" t="s">
        <v>448</v>
      </c>
      <c r="P48" s="16" t="s">
        <v>449</v>
      </c>
      <c r="Q48" s="20" t="n">
        <v>5</v>
      </c>
      <c r="R48" s="20" t="n">
        <v>4</v>
      </c>
      <c r="S48" s="20" t="n">
        <v>4</v>
      </c>
      <c r="T48" s="20" t="n">
        <v>3</v>
      </c>
      <c r="U48" s="21" t="n">
        <f aca="false">ROUND(Q48*Methodik!$B$5+R48*Methodik!$B$6+S48*Methodik!$B$7+T48*Methodik!$B$8,2)</f>
        <v>4.15</v>
      </c>
      <c r="V48" s="15" t="str">
        <f aca="false">IF(U48&gt;=Methodik!$B$11,"A",IF(U48&gt;=Methodik!$B$12,"B","C"))</f>
        <v>A</v>
      </c>
      <c r="W48" s="20"/>
      <c r="X48" s="15" t="str">
        <f aca="false">IF(W48="",V48,W48)</f>
        <v>A</v>
      </c>
      <c r="Y48" s="22" t="s">
        <v>51</v>
      </c>
      <c r="Z48" s="23"/>
      <c r="AA48" s="16" t="s">
        <v>443</v>
      </c>
      <c r="AB48" s="22"/>
      <c r="AC48" s="16"/>
      <c r="AD48" s="19" t="s">
        <v>105</v>
      </c>
      <c r="AE48" s="19" t="s">
        <v>105</v>
      </c>
      <c r="AF48" s="19" t="s">
        <v>106</v>
      </c>
      <c r="AG48" s="16"/>
      <c r="AH48" s="22"/>
      <c r="AI48" s="24"/>
      <c r="AJ48" s="23"/>
      <c r="AK48" s="23"/>
    </row>
    <row r="49" customFormat="false" ht="48" hidden="false" customHeight="true" outlineLevel="0" collapsed="false">
      <c r="A49" s="15" t="s">
        <v>450</v>
      </c>
      <c r="B49" s="15" t="s">
        <v>93</v>
      </c>
      <c r="C49" s="16" t="s">
        <v>14</v>
      </c>
      <c r="D49" s="17" t="s">
        <v>38</v>
      </c>
      <c r="E49" s="18" t="s">
        <v>451</v>
      </c>
      <c r="F49" s="16" t="s">
        <v>452</v>
      </c>
      <c r="G49" s="16" t="s">
        <v>26</v>
      </c>
      <c r="H49" s="15" t="s">
        <v>96</v>
      </c>
      <c r="I49" s="17" t="s">
        <v>26</v>
      </c>
      <c r="J49" s="17" t="s">
        <v>33</v>
      </c>
      <c r="K49" s="15" t="s">
        <v>200</v>
      </c>
      <c r="L49" s="19" t="s">
        <v>453</v>
      </c>
      <c r="M49" s="16" t="s">
        <v>454</v>
      </c>
      <c r="N49" s="16" t="s">
        <v>100</v>
      </c>
      <c r="O49" s="16" t="s">
        <v>441</v>
      </c>
      <c r="P49" s="16" t="s">
        <v>455</v>
      </c>
      <c r="Q49" s="20" t="n">
        <v>4</v>
      </c>
      <c r="R49" s="20" t="n">
        <v>5</v>
      </c>
      <c r="S49" s="20" t="n">
        <v>3</v>
      </c>
      <c r="T49" s="20" t="n">
        <v>3</v>
      </c>
      <c r="U49" s="21" t="n">
        <f aca="false">ROUND(Q49*Methodik!$B$5+R49*Methodik!$B$6+S49*Methodik!$B$7+T49*Methodik!$B$8,2)</f>
        <v>3.9</v>
      </c>
      <c r="V49" s="15" t="str">
        <f aca="false">IF(U49&gt;=Methodik!$B$11,"A",IF(U49&gt;=Methodik!$B$12,"B","C"))</f>
        <v>B</v>
      </c>
      <c r="W49" s="20"/>
      <c r="X49" s="15" t="str">
        <f aca="false">IF(W49="",V49,W49)</f>
        <v>B</v>
      </c>
      <c r="Y49" s="22" t="s">
        <v>51</v>
      </c>
      <c r="Z49" s="23"/>
      <c r="AA49" s="16" t="s">
        <v>443</v>
      </c>
      <c r="AB49" s="22"/>
      <c r="AC49" s="16"/>
      <c r="AD49" s="19" t="s">
        <v>105</v>
      </c>
      <c r="AE49" s="19" t="s">
        <v>105</v>
      </c>
      <c r="AF49" s="19" t="s">
        <v>106</v>
      </c>
      <c r="AG49" s="16"/>
      <c r="AH49" s="22"/>
      <c r="AI49" s="24"/>
      <c r="AJ49" s="23"/>
      <c r="AK49" s="23"/>
    </row>
    <row r="50" customFormat="false" ht="48" hidden="false" customHeight="true" outlineLevel="0" collapsed="false">
      <c r="A50" s="15" t="s">
        <v>456</v>
      </c>
      <c r="B50" s="15" t="s">
        <v>457</v>
      </c>
      <c r="C50" s="16" t="s">
        <v>14</v>
      </c>
      <c r="D50" s="17" t="s">
        <v>38</v>
      </c>
      <c r="E50" s="18" t="s">
        <v>458</v>
      </c>
      <c r="F50" s="16" t="s">
        <v>459</v>
      </c>
      <c r="G50" s="16" t="s">
        <v>460</v>
      </c>
      <c r="H50" s="15" t="s">
        <v>339</v>
      </c>
      <c r="I50" s="17" t="s">
        <v>27</v>
      </c>
      <c r="J50" s="17" t="s">
        <v>33</v>
      </c>
      <c r="K50" s="15" t="s">
        <v>126</v>
      </c>
      <c r="L50" s="19" t="s">
        <v>461</v>
      </c>
      <c r="M50" s="16" t="s">
        <v>462</v>
      </c>
      <c r="N50" s="16" t="s">
        <v>100</v>
      </c>
      <c r="O50" s="16" t="s">
        <v>463</v>
      </c>
      <c r="P50" s="16" t="s">
        <v>464</v>
      </c>
      <c r="Q50" s="20" t="n">
        <v>4</v>
      </c>
      <c r="R50" s="20" t="n">
        <v>4</v>
      </c>
      <c r="S50" s="20" t="n">
        <v>3</v>
      </c>
      <c r="T50" s="20" t="n">
        <v>3</v>
      </c>
      <c r="U50" s="21" t="n">
        <f aca="false">ROUND(Q50*Methodik!$B$5+R50*Methodik!$B$6+S50*Methodik!$B$7+T50*Methodik!$B$8,2)</f>
        <v>3.6</v>
      </c>
      <c r="V50" s="15" t="str">
        <f aca="false">IF(U50&gt;=Methodik!$B$11,"A",IF(U50&gt;=Methodik!$B$12,"B","C"))</f>
        <v>B</v>
      </c>
      <c r="W50" s="20"/>
      <c r="X50" s="15" t="str">
        <f aca="false">IF(W50="",V50,W50)</f>
        <v>B</v>
      </c>
      <c r="Y50" s="22" t="s">
        <v>51</v>
      </c>
      <c r="Z50" s="23"/>
      <c r="AA50" s="16" t="s">
        <v>443</v>
      </c>
      <c r="AB50" s="22"/>
      <c r="AC50" s="16"/>
      <c r="AD50" s="19" t="s">
        <v>105</v>
      </c>
      <c r="AE50" s="19" t="s">
        <v>105</v>
      </c>
      <c r="AF50" s="19" t="s">
        <v>106</v>
      </c>
      <c r="AG50" s="16"/>
      <c r="AH50" s="22"/>
      <c r="AI50" s="24"/>
      <c r="AJ50" s="23"/>
      <c r="AK50" s="23"/>
    </row>
    <row r="51" customFormat="false" ht="48" hidden="false" customHeight="true" outlineLevel="0" collapsed="false">
      <c r="A51" s="15" t="s">
        <v>465</v>
      </c>
      <c r="B51" s="15" t="s">
        <v>93</v>
      </c>
      <c r="C51" s="16" t="s">
        <v>14</v>
      </c>
      <c r="D51" s="17" t="s">
        <v>38</v>
      </c>
      <c r="E51" s="18" t="s">
        <v>466</v>
      </c>
      <c r="F51" s="16" t="s">
        <v>467</v>
      </c>
      <c r="G51" s="16" t="s">
        <v>468</v>
      </c>
      <c r="H51" s="15" t="s">
        <v>125</v>
      </c>
      <c r="I51" s="17" t="s">
        <v>24</v>
      </c>
      <c r="J51" s="17" t="s">
        <v>33</v>
      </c>
      <c r="K51" s="15" t="s">
        <v>200</v>
      </c>
      <c r="L51" s="19" t="s">
        <v>469</v>
      </c>
      <c r="M51" s="16" t="s">
        <v>470</v>
      </c>
      <c r="N51" s="16" t="s">
        <v>100</v>
      </c>
      <c r="O51" s="16" t="s">
        <v>471</v>
      </c>
      <c r="P51" s="16" t="s">
        <v>472</v>
      </c>
      <c r="Q51" s="20" t="n">
        <v>4</v>
      </c>
      <c r="R51" s="20" t="n">
        <v>4</v>
      </c>
      <c r="S51" s="20" t="n">
        <v>3</v>
      </c>
      <c r="T51" s="20" t="n">
        <v>3</v>
      </c>
      <c r="U51" s="21" t="n">
        <f aca="false">ROUND(Q51*Methodik!$B$5+R51*Methodik!$B$6+S51*Methodik!$B$7+T51*Methodik!$B$8,2)</f>
        <v>3.6</v>
      </c>
      <c r="V51" s="15" t="str">
        <f aca="false">IF(U51&gt;=Methodik!$B$11,"A",IF(U51&gt;=Methodik!$B$12,"B","C"))</f>
        <v>B</v>
      </c>
      <c r="W51" s="20"/>
      <c r="X51" s="15" t="str">
        <f aca="false">IF(W51="",V51,W51)</f>
        <v>B</v>
      </c>
      <c r="Y51" s="22" t="s">
        <v>51</v>
      </c>
      <c r="Z51" s="23"/>
      <c r="AA51" s="16" t="s">
        <v>443</v>
      </c>
      <c r="AB51" s="22"/>
      <c r="AC51" s="16"/>
      <c r="AD51" s="19" t="s">
        <v>105</v>
      </c>
      <c r="AE51" s="19" t="s">
        <v>105</v>
      </c>
      <c r="AF51" s="19" t="s">
        <v>106</v>
      </c>
      <c r="AG51" s="16"/>
      <c r="AH51" s="22"/>
      <c r="AI51" s="24"/>
      <c r="AJ51" s="23"/>
      <c r="AK51" s="23"/>
    </row>
    <row r="52" customFormat="false" ht="48" hidden="false" customHeight="true" outlineLevel="0" collapsed="false">
      <c r="A52" s="15" t="s">
        <v>473</v>
      </c>
      <c r="B52" s="15" t="s">
        <v>457</v>
      </c>
      <c r="C52" s="16" t="s">
        <v>14</v>
      </c>
      <c r="D52" s="17" t="s">
        <v>38</v>
      </c>
      <c r="E52" s="18" t="s">
        <v>474</v>
      </c>
      <c r="F52" s="16" t="s">
        <v>475</v>
      </c>
      <c r="G52" s="16" t="s">
        <v>26</v>
      </c>
      <c r="H52" s="15" t="s">
        <v>96</v>
      </c>
      <c r="I52" s="17" t="s">
        <v>26</v>
      </c>
      <c r="J52" s="17" t="s">
        <v>33</v>
      </c>
      <c r="K52" s="15" t="s">
        <v>126</v>
      </c>
      <c r="L52" s="19" t="s">
        <v>476</v>
      </c>
      <c r="M52" s="16" t="s">
        <v>477</v>
      </c>
      <c r="N52" s="16" t="s">
        <v>100</v>
      </c>
      <c r="O52" s="16" t="s">
        <v>478</v>
      </c>
      <c r="P52" s="16" t="s">
        <v>479</v>
      </c>
      <c r="Q52" s="20" t="n">
        <v>3</v>
      </c>
      <c r="R52" s="20" t="n">
        <v>4</v>
      </c>
      <c r="S52" s="20" t="n">
        <v>2</v>
      </c>
      <c r="T52" s="20" t="n">
        <v>3</v>
      </c>
      <c r="U52" s="21" t="n">
        <f aca="false">ROUND(Q52*Methodik!$B$5+R52*Methodik!$B$6+S52*Methodik!$B$7+T52*Methodik!$B$8,2)</f>
        <v>3.05</v>
      </c>
      <c r="V52" s="15" t="str">
        <f aca="false">IF(U52&gt;=Methodik!$B$11,"A",IF(U52&gt;=Methodik!$B$12,"B","C"))</f>
        <v>B</v>
      </c>
      <c r="W52" s="20"/>
      <c r="X52" s="15" t="str">
        <f aca="false">IF(W52="",V52,W52)</f>
        <v>B</v>
      </c>
      <c r="Y52" s="22" t="s">
        <v>51</v>
      </c>
      <c r="Z52" s="23"/>
      <c r="AA52" s="16" t="s">
        <v>443</v>
      </c>
      <c r="AB52" s="22"/>
      <c r="AC52" s="16"/>
      <c r="AD52" s="19" t="s">
        <v>105</v>
      </c>
      <c r="AE52" s="19" t="s">
        <v>105</v>
      </c>
      <c r="AF52" s="19" t="s">
        <v>106</v>
      </c>
      <c r="AG52" s="16"/>
      <c r="AH52" s="22"/>
      <c r="AI52" s="24"/>
      <c r="AJ52" s="23"/>
      <c r="AK52" s="23"/>
    </row>
    <row r="53" customFormat="false" ht="48" hidden="false" customHeight="true" outlineLevel="0" collapsed="false">
      <c r="A53" s="15" t="s">
        <v>480</v>
      </c>
      <c r="B53" s="15" t="s">
        <v>457</v>
      </c>
      <c r="C53" s="16" t="s">
        <v>14</v>
      </c>
      <c r="D53" s="17" t="s">
        <v>38</v>
      </c>
      <c r="E53" s="18" t="s">
        <v>481</v>
      </c>
      <c r="F53" s="16" t="s">
        <v>482</v>
      </c>
      <c r="G53" s="16" t="s">
        <v>26</v>
      </c>
      <c r="H53" s="15" t="s">
        <v>96</v>
      </c>
      <c r="I53" s="17" t="s">
        <v>26</v>
      </c>
      <c r="J53" s="17" t="s">
        <v>33</v>
      </c>
      <c r="K53" s="15" t="s">
        <v>200</v>
      </c>
      <c r="L53" s="19" t="s">
        <v>483</v>
      </c>
      <c r="M53" s="16" t="s">
        <v>484</v>
      </c>
      <c r="N53" s="16" t="s">
        <v>100</v>
      </c>
      <c r="O53" s="16" t="s">
        <v>485</v>
      </c>
      <c r="P53" s="16" t="s">
        <v>486</v>
      </c>
      <c r="Q53" s="20" t="n">
        <v>3</v>
      </c>
      <c r="R53" s="20" t="n">
        <v>3</v>
      </c>
      <c r="S53" s="20" t="n">
        <v>3</v>
      </c>
      <c r="T53" s="20" t="n">
        <v>3</v>
      </c>
      <c r="U53" s="21" t="n">
        <f aca="false">ROUND(Q53*Methodik!$B$5+R53*Methodik!$B$6+S53*Methodik!$B$7+T53*Methodik!$B$8,2)</f>
        <v>3</v>
      </c>
      <c r="V53" s="15" t="str">
        <f aca="false">IF(U53&gt;=Methodik!$B$11,"A",IF(U53&gt;=Methodik!$B$12,"B","C"))</f>
        <v>B</v>
      </c>
      <c r="W53" s="20"/>
      <c r="X53" s="15" t="str">
        <f aca="false">IF(W53="",V53,W53)</f>
        <v>B</v>
      </c>
      <c r="Y53" s="22" t="s">
        <v>51</v>
      </c>
      <c r="Z53" s="23"/>
      <c r="AA53" s="16" t="s">
        <v>443</v>
      </c>
      <c r="AB53" s="22"/>
      <c r="AC53" s="16"/>
      <c r="AD53" s="19" t="s">
        <v>105</v>
      </c>
      <c r="AE53" s="19" t="s">
        <v>105</v>
      </c>
      <c r="AF53" s="19" t="s">
        <v>106</v>
      </c>
      <c r="AG53" s="16"/>
      <c r="AH53" s="22"/>
      <c r="AI53" s="24"/>
      <c r="AJ53" s="23"/>
      <c r="AK53" s="23"/>
    </row>
    <row r="54" customFormat="false" ht="48" hidden="false" customHeight="true" outlineLevel="0" collapsed="false">
      <c r="A54" s="15" t="s">
        <v>487</v>
      </c>
      <c r="B54" s="15" t="s">
        <v>93</v>
      </c>
      <c r="C54" s="16" t="s">
        <v>14</v>
      </c>
      <c r="D54" s="17" t="s">
        <v>39</v>
      </c>
      <c r="E54" s="18" t="s">
        <v>488</v>
      </c>
      <c r="F54" s="16" t="s">
        <v>489</v>
      </c>
      <c r="G54" s="16" t="s">
        <v>490</v>
      </c>
      <c r="H54" s="15" t="s">
        <v>152</v>
      </c>
      <c r="I54" s="17" t="s">
        <v>28</v>
      </c>
      <c r="J54" s="17" t="s">
        <v>33</v>
      </c>
      <c r="K54" s="15" t="s">
        <v>97</v>
      </c>
      <c r="L54" s="19" t="s">
        <v>153</v>
      </c>
      <c r="M54" s="16" t="s">
        <v>491</v>
      </c>
      <c r="N54" s="16" t="s">
        <v>100</v>
      </c>
      <c r="O54" s="16" t="s">
        <v>492</v>
      </c>
      <c r="P54" s="16" t="s">
        <v>493</v>
      </c>
      <c r="Q54" s="20" t="n">
        <v>5</v>
      </c>
      <c r="R54" s="20" t="n">
        <v>5</v>
      </c>
      <c r="S54" s="20" t="n">
        <v>4</v>
      </c>
      <c r="T54" s="20" t="n">
        <v>3</v>
      </c>
      <c r="U54" s="21" t="n">
        <f aca="false">ROUND(Q54*Methodik!$B$5+R54*Methodik!$B$6+S54*Methodik!$B$7+T54*Methodik!$B$8,2)</f>
        <v>4.45</v>
      </c>
      <c r="V54" s="15" t="str">
        <f aca="false">IF(U54&gt;=Methodik!$B$11,"A",IF(U54&gt;=Methodik!$B$12,"B","C"))</f>
        <v>A</v>
      </c>
      <c r="W54" s="20"/>
      <c r="X54" s="15" t="str">
        <f aca="false">IF(W54="",V54,W54)</f>
        <v>A</v>
      </c>
      <c r="Y54" s="22" t="s">
        <v>51</v>
      </c>
      <c r="Z54" s="23"/>
      <c r="AA54" s="16" t="s">
        <v>494</v>
      </c>
      <c r="AB54" s="22"/>
      <c r="AC54" s="16"/>
      <c r="AD54" s="19" t="s">
        <v>105</v>
      </c>
      <c r="AE54" s="19" t="s">
        <v>105</v>
      </c>
      <c r="AF54" s="19" t="s">
        <v>106</v>
      </c>
      <c r="AG54" s="16"/>
      <c r="AH54" s="22"/>
      <c r="AI54" s="24"/>
      <c r="AJ54" s="23"/>
      <c r="AK54" s="23"/>
    </row>
    <row r="55" customFormat="false" ht="48" hidden="false" customHeight="true" outlineLevel="0" collapsed="false">
      <c r="A55" s="15" t="s">
        <v>495</v>
      </c>
      <c r="B55" s="15" t="s">
        <v>93</v>
      </c>
      <c r="C55" s="16" t="s">
        <v>14</v>
      </c>
      <c r="D55" s="17" t="s">
        <v>39</v>
      </c>
      <c r="E55" s="18" t="s">
        <v>160</v>
      </c>
      <c r="F55" s="16" t="s">
        <v>496</v>
      </c>
      <c r="G55" s="16" t="s">
        <v>497</v>
      </c>
      <c r="H55" s="15" t="s">
        <v>96</v>
      </c>
      <c r="I55" s="17" t="s">
        <v>26</v>
      </c>
      <c r="J55" s="17" t="s">
        <v>33</v>
      </c>
      <c r="K55" s="15" t="s">
        <v>97</v>
      </c>
      <c r="L55" s="19" t="s">
        <v>498</v>
      </c>
      <c r="M55" s="16" t="s">
        <v>499</v>
      </c>
      <c r="N55" s="16" t="s">
        <v>100</v>
      </c>
      <c r="O55" s="16" t="s">
        <v>492</v>
      </c>
      <c r="P55" s="16" t="s">
        <v>500</v>
      </c>
      <c r="Q55" s="20" t="n">
        <v>5</v>
      </c>
      <c r="R55" s="20" t="n">
        <v>5</v>
      </c>
      <c r="S55" s="20" t="n">
        <v>3</v>
      </c>
      <c r="T55" s="20" t="n">
        <v>3</v>
      </c>
      <c r="U55" s="21" t="n">
        <f aca="false">ROUND(Q55*Methodik!$B$5+R55*Methodik!$B$6+S55*Methodik!$B$7+T55*Methodik!$B$8,2)</f>
        <v>4.2</v>
      </c>
      <c r="V55" s="15" t="str">
        <f aca="false">IF(U55&gt;=Methodik!$B$11,"A",IF(U55&gt;=Methodik!$B$12,"B","C"))</f>
        <v>A</v>
      </c>
      <c r="W55" s="20"/>
      <c r="X55" s="15" t="str">
        <f aca="false">IF(W55="",V55,W55)</f>
        <v>A</v>
      </c>
      <c r="Y55" s="22" t="s">
        <v>51</v>
      </c>
      <c r="Z55" s="23"/>
      <c r="AA55" s="16" t="s">
        <v>494</v>
      </c>
      <c r="AB55" s="22"/>
      <c r="AC55" s="16"/>
      <c r="AD55" s="19" t="s">
        <v>105</v>
      </c>
      <c r="AE55" s="19" t="s">
        <v>105</v>
      </c>
      <c r="AF55" s="19" t="s">
        <v>106</v>
      </c>
      <c r="AG55" s="16"/>
      <c r="AH55" s="22"/>
      <c r="AI55" s="24"/>
      <c r="AJ55" s="23"/>
      <c r="AK55" s="23"/>
    </row>
    <row r="56" customFormat="false" ht="48" hidden="false" customHeight="true" outlineLevel="0" collapsed="false">
      <c r="A56" s="15" t="s">
        <v>501</v>
      </c>
      <c r="B56" s="15" t="s">
        <v>93</v>
      </c>
      <c r="C56" s="16" t="s">
        <v>14</v>
      </c>
      <c r="D56" s="17" t="s">
        <v>39</v>
      </c>
      <c r="E56" s="18" t="s">
        <v>502</v>
      </c>
      <c r="F56" s="16" t="s">
        <v>503</v>
      </c>
      <c r="G56" s="16" t="s">
        <v>169</v>
      </c>
      <c r="H56" s="15" t="s">
        <v>170</v>
      </c>
      <c r="I56" s="17" t="s">
        <v>25</v>
      </c>
      <c r="J56" s="17" t="s">
        <v>33</v>
      </c>
      <c r="K56" s="15" t="s">
        <v>97</v>
      </c>
      <c r="L56" s="19" t="s">
        <v>504</v>
      </c>
      <c r="M56" s="16" t="s">
        <v>505</v>
      </c>
      <c r="N56" s="16" t="s">
        <v>506</v>
      </c>
      <c r="O56" s="16" t="s">
        <v>507</v>
      </c>
      <c r="P56" s="16" t="s">
        <v>508</v>
      </c>
      <c r="Q56" s="20" t="n">
        <v>5</v>
      </c>
      <c r="R56" s="20" t="n">
        <v>4</v>
      </c>
      <c r="S56" s="20" t="n">
        <v>4</v>
      </c>
      <c r="T56" s="20" t="n">
        <v>3</v>
      </c>
      <c r="U56" s="21" t="n">
        <f aca="false">ROUND(Q56*Methodik!$B$5+R56*Methodik!$B$6+S56*Methodik!$B$7+T56*Methodik!$B$8,2)</f>
        <v>4.15</v>
      </c>
      <c r="V56" s="15" t="str">
        <f aca="false">IF(U56&gt;=Methodik!$B$11,"A",IF(U56&gt;=Methodik!$B$12,"B","C"))</f>
        <v>A</v>
      </c>
      <c r="W56" s="20"/>
      <c r="X56" s="15" t="str">
        <f aca="false">IF(W56="",V56,W56)</f>
        <v>A</v>
      </c>
      <c r="Y56" s="22" t="s">
        <v>51</v>
      </c>
      <c r="Z56" s="23"/>
      <c r="AA56" s="16" t="s">
        <v>494</v>
      </c>
      <c r="AB56" s="22"/>
      <c r="AC56" s="16"/>
      <c r="AD56" s="19" t="s">
        <v>105</v>
      </c>
      <c r="AE56" s="19" t="s">
        <v>105</v>
      </c>
      <c r="AF56" s="19" t="s">
        <v>106</v>
      </c>
      <c r="AG56" s="16"/>
      <c r="AH56" s="22"/>
      <c r="AI56" s="24"/>
      <c r="AJ56" s="23"/>
      <c r="AK56" s="23"/>
    </row>
    <row r="57" customFormat="false" ht="48" hidden="false" customHeight="true" outlineLevel="0" collapsed="false">
      <c r="A57" s="15" t="s">
        <v>509</v>
      </c>
      <c r="B57" s="15" t="s">
        <v>93</v>
      </c>
      <c r="C57" s="16" t="s">
        <v>14</v>
      </c>
      <c r="D57" s="17" t="s">
        <v>39</v>
      </c>
      <c r="E57" s="18" t="s">
        <v>510</v>
      </c>
      <c r="F57" s="16" t="s">
        <v>511</v>
      </c>
      <c r="G57" s="16" t="s">
        <v>26</v>
      </c>
      <c r="H57" s="15" t="s">
        <v>96</v>
      </c>
      <c r="I57" s="17" t="s">
        <v>26</v>
      </c>
      <c r="J57" s="17" t="s">
        <v>33</v>
      </c>
      <c r="K57" s="15" t="s">
        <v>97</v>
      </c>
      <c r="L57" s="19" t="s">
        <v>512</v>
      </c>
      <c r="M57" s="16" t="s">
        <v>513</v>
      </c>
      <c r="N57" s="16" t="s">
        <v>514</v>
      </c>
      <c r="O57" s="16" t="s">
        <v>492</v>
      </c>
      <c r="P57" s="16" t="s">
        <v>515</v>
      </c>
      <c r="Q57" s="20" t="n">
        <v>5</v>
      </c>
      <c r="R57" s="20" t="n">
        <v>4</v>
      </c>
      <c r="S57" s="20" t="n">
        <v>4</v>
      </c>
      <c r="T57" s="20" t="n">
        <v>3</v>
      </c>
      <c r="U57" s="21" t="n">
        <f aca="false">ROUND(Q57*Methodik!$B$5+R57*Methodik!$B$6+S57*Methodik!$B$7+T57*Methodik!$B$8,2)</f>
        <v>4.15</v>
      </c>
      <c r="V57" s="15" t="str">
        <f aca="false">IF(U57&gt;=Methodik!$B$11,"A",IF(U57&gt;=Methodik!$B$12,"B","C"))</f>
        <v>A</v>
      </c>
      <c r="W57" s="20"/>
      <c r="X57" s="15" t="str">
        <f aca="false">IF(W57="",V57,W57)</f>
        <v>A</v>
      </c>
      <c r="Y57" s="22" t="s">
        <v>51</v>
      </c>
      <c r="Z57" s="23"/>
      <c r="AA57" s="16" t="s">
        <v>494</v>
      </c>
      <c r="AB57" s="22"/>
      <c r="AC57" s="16"/>
      <c r="AD57" s="19" t="s">
        <v>105</v>
      </c>
      <c r="AE57" s="19" t="s">
        <v>105</v>
      </c>
      <c r="AF57" s="19" t="s">
        <v>106</v>
      </c>
      <c r="AG57" s="16" t="s">
        <v>516</v>
      </c>
      <c r="AH57" s="22"/>
      <c r="AI57" s="24"/>
      <c r="AJ57" s="23"/>
      <c r="AK57" s="23"/>
    </row>
    <row r="58" customFormat="false" ht="48" hidden="false" customHeight="true" outlineLevel="0" collapsed="false">
      <c r="A58" s="15" t="s">
        <v>517</v>
      </c>
      <c r="B58" s="15" t="s">
        <v>93</v>
      </c>
      <c r="C58" s="16" t="s">
        <v>14</v>
      </c>
      <c r="D58" s="17" t="s">
        <v>39</v>
      </c>
      <c r="E58" s="18" t="s">
        <v>322</v>
      </c>
      <c r="F58" s="16" t="s">
        <v>95</v>
      </c>
      <c r="G58" s="16" t="s">
        <v>518</v>
      </c>
      <c r="H58" s="15" t="s">
        <v>324</v>
      </c>
      <c r="I58" s="17" t="s">
        <v>23</v>
      </c>
      <c r="J58" s="17" t="s">
        <v>32</v>
      </c>
      <c r="K58" s="15" t="s">
        <v>180</v>
      </c>
      <c r="L58" s="19" t="s">
        <v>325</v>
      </c>
      <c r="M58" s="16" t="s">
        <v>519</v>
      </c>
      <c r="N58" s="16" t="s">
        <v>100</v>
      </c>
      <c r="O58" s="16" t="s">
        <v>520</v>
      </c>
      <c r="P58" s="16" t="s">
        <v>521</v>
      </c>
      <c r="Q58" s="20" t="n">
        <v>5</v>
      </c>
      <c r="R58" s="20" t="n">
        <v>4</v>
      </c>
      <c r="S58" s="20" t="n">
        <v>3</v>
      </c>
      <c r="T58" s="20" t="n">
        <v>3</v>
      </c>
      <c r="U58" s="21" t="n">
        <f aca="false">ROUND(Q58*Methodik!$B$5+R58*Methodik!$B$6+S58*Methodik!$B$7+T58*Methodik!$B$8,2)</f>
        <v>3.9</v>
      </c>
      <c r="V58" s="15" t="str">
        <f aca="false">IF(U58&gt;=Methodik!$B$11,"A",IF(U58&gt;=Methodik!$B$12,"B","C"))</f>
        <v>B</v>
      </c>
      <c r="W58" s="20"/>
      <c r="X58" s="15" t="str">
        <f aca="false">IF(W58="",V58,W58)</f>
        <v>B</v>
      </c>
      <c r="Y58" s="22" t="s">
        <v>51</v>
      </c>
      <c r="Z58" s="23"/>
      <c r="AA58" s="16" t="s">
        <v>494</v>
      </c>
      <c r="AB58" s="22"/>
      <c r="AC58" s="16"/>
      <c r="AD58" s="19" t="s">
        <v>105</v>
      </c>
      <c r="AE58" s="19" t="s">
        <v>105</v>
      </c>
      <c r="AF58" s="19" t="s">
        <v>106</v>
      </c>
      <c r="AG58" s="16"/>
      <c r="AH58" s="22"/>
      <c r="AI58" s="24"/>
      <c r="AJ58" s="23"/>
      <c r="AK58" s="23"/>
    </row>
    <row r="59" customFormat="false" ht="48" hidden="false" customHeight="true" outlineLevel="0" collapsed="false">
      <c r="A59" s="15" t="s">
        <v>522</v>
      </c>
      <c r="B59" s="15" t="s">
        <v>93</v>
      </c>
      <c r="C59" s="16" t="s">
        <v>14</v>
      </c>
      <c r="D59" s="17" t="s">
        <v>39</v>
      </c>
      <c r="E59" s="18" t="s">
        <v>523</v>
      </c>
      <c r="F59" s="16" t="s">
        <v>524</v>
      </c>
      <c r="G59" s="16" t="s">
        <v>525</v>
      </c>
      <c r="H59" s="15" t="s">
        <v>179</v>
      </c>
      <c r="I59" s="17" t="s">
        <v>23</v>
      </c>
      <c r="J59" s="17" t="s">
        <v>32</v>
      </c>
      <c r="K59" s="15" t="s">
        <v>180</v>
      </c>
      <c r="L59" s="19" t="s">
        <v>526</v>
      </c>
      <c r="M59" s="16" t="s">
        <v>527</v>
      </c>
      <c r="N59" s="16" t="s">
        <v>100</v>
      </c>
      <c r="O59" s="16" t="s">
        <v>528</v>
      </c>
      <c r="P59" s="16" t="s">
        <v>529</v>
      </c>
      <c r="Q59" s="20" t="n">
        <v>5</v>
      </c>
      <c r="R59" s="20" t="n">
        <v>4</v>
      </c>
      <c r="S59" s="20" t="n">
        <v>3</v>
      </c>
      <c r="T59" s="20" t="n">
        <v>3</v>
      </c>
      <c r="U59" s="21" t="n">
        <f aca="false">ROUND(Q59*Methodik!$B$5+R59*Methodik!$B$6+S59*Methodik!$B$7+T59*Methodik!$B$8,2)</f>
        <v>3.9</v>
      </c>
      <c r="V59" s="15" t="str">
        <f aca="false">IF(U59&gt;=Methodik!$B$11,"A",IF(U59&gt;=Methodik!$B$12,"B","C"))</f>
        <v>B</v>
      </c>
      <c r="W59" s="20"/>
      <c r="X59" s="15" t="str">
        <f aca="false">IF(W59="",V59,W59)</f>
        <v>B</v>
      </c>
      <c r="Y59" s="22" t="s">
        <v>51</v>
      </c>
      <c r="Z59" s="23"/>
      <c r="AA59" s="16" t="s">
        <v>494</v>
      </c>
      <c r="AB59" s="22"/>
      <c r="AC59" s="16"/>
      <c r="AD59" s="19" t="s">
        <v>105</v>
      </c>
      <c r="AE59" s="19" t="s">
        <v>105</v>
      </c>
      <c r="AF59" s="19" t="s">
        <v>106</v>
      </c>
      <c r="AG59" s="16"/>
      <c r="AH59" s="22"/>
      <c r="AI59" s="24"/>
      <c r="AJ59" s="23"/>
      <c r="AK59" s="23"/>
    </row>
    <row r="60" customFormat="false" ht="48" hidden="false" customHeight="true" outlineLevel="0" collapsed="false">
      <c r="A60" s="15" t="s">
        <v>530</v>
      </c>
      <c r="B60" s="15" t="s">
        <v>457</v>
      </c>
      <c r="C60" s="16" t="s">
        <v>14</v>
      </c>
      <c r="D60" s="17" t="s">
        <v>39</v>
      </c>
      <c r="E60" s="18" t="s">
        <v>531</v>
      </c>
      <c r="F60" s="16" t="s">
        <v>532</v>
      </c>
      <c r="G60" s="16" t="s">
        <v>377</v>
      </c>
      <c r="H60" s="15" t="s">
        <v>125</v>
      </c>
      <c r="I60" s="17" t="s">
        <v>24</v>
      </c>
      <c r="J60" s="17" t="s">
        <v>33</v>
      </c>
      <c r="K60" s="15" t="s">
        <v>97</v>
      </c>
      <c r="L60" s="19" t="s">
        <v>533</v>
      </c>
      <c r="M60" s="16" t="s">
        <v>534</v>
      </c>
      <c r="N60" s="16" t="s">
        <v>535</v>
      </c>
      <c r="O60" s="16" t="s">
        <v>507</v>
      </c>
      <c r="P60" s="16" t="s">
        <v>536</v>
      </c>
      <c r="Q60" s="20" t="n">
        <v>5</v>
      </c>
      <c r="R60" s="20" t="n">
        <v>3</v>
      </c>
      <c r="S60" s="20" t="n">
        <v>4</v>
      </c>
      <c r="T60" s="20" t="n">
        <v>3</v>
      </c>
      <c r="U60" s="21" t="n">
        <f aca="false">ROUND(Q60*Methodik!$B$5+R60*Methodik!$B$6+S60*Methodik!$B$7+T60*Methodik!$B$8,2)</f>
        <v>3.85</v>
      </c>
      <c r="V60" s="15" t="str">
        <f aca="false">IF(U60&gt;=Methodik!$B$11,"A",IF(U60&gt;=Methodik!$B$12,"B","C"))</f>
        <v>B</v>
      </c>
      <c r="W60" s="20"/>
      <c r="X60" s="15" t="str">
        <f aca="false">IF(W60="",V60,W60)</f>
        <v>B</v>
      </c>
      <c r="Y60" s="22" t="s">
        <v>51</v>
      </c>
      <c r="Z60" s="23"/>
      <c r="AA60" s="16" t="s">
        <v>494</v>
      </c>
      <c r="AB60" s="22"/>
      <c r="AC60" s="16"/>
      <c r="AD60" s="19" t="s">
        <v>105</v>
      </c>
      <c r="AE60" s="19" t="s">
        <v>105</v>
      </c>
      <c r="AF60" s="19" t="s">
        <v>106</v>
      </c>
      <c r="AG60" s="16"/>
      <c r="AH60" s="22"/>
      <c r="AI60" s="24"/>
      <c r="AJ60" s="23"/>
      <c r="AK60" s="23"/>
    </row>
    <row r="61" customFormat="false" ht="48" hidden="false" customHeight="true" outlineLevel="0" collapsed="false">
      <c r="A61" s="15" t="s">
        <v>537</v>
      </c>
      <c r="B61" s="15" t="s">
        <v>457</v>
      </c>
      <c r="C61" s="16" t="s">
        <v>14</v>
      </c>
      <c r="D61" s="17" t="s">
        <v>39</v>
      </c>
      <c r="E61" s="18" t="s">
        <v>257</v>
      </c>
      <c r="F61" s="16" t="s">
        <v>538</v>
      </c>
      <c r="G61" s="16" t="s">
        <v>539</v>
      </c>
      <c r="H61" s="15" t="s">
        <v>180</v>
      </c>
      <c r="I61" s="17" t="s">
        <v>23</v>
      </c>
      <c r="J61" s="17" t="s">
        <v>32</v>
      </c>
      <c r="K61" s="15" t="s">
        <v>228</v>
      </c>
      <c r="L61" s="19" t="s">
        <v>259</v>
      </c>
      <c r="M61" s="16" t="s">
        <v>540</v>
      </c>
      <c r="N61" s="16" t="s">
        <v>541</v>
      </c>
      <c r="O61" s="16" t="s">
        <v>507</v>
      </c>
      <c r="P61" s="16" t="s">
        <v>542</v>
      </c>
      <c r="Q61" s="20" t="n">
        <v>4</v>
      </c>
      <c r="R61" s="20" t="n">
        <v>4</v>
      </c>
      <c r="S61" s="20" t="n">
        <v>3</v>
      </c>
      <c r="T61" s="20" t="n">
        <v>3</v>
      </c>
      <c r="U61" s="21" t="n">
        <f aca="false">ROUND(Q61*Methodik!$B$5+R61*Methodik!$B$6+S61*Methodik!$B$7+T61*Methodik!$B$8,2)</f>
        <v>3.6</v>
      </c>
      <c r="V61" s="15" t="str">
        <f aca="false">IF(U61&gt;=Methodik!$B$11,"A",IF(U61&gt;=Methodik!$B$12,"B","C"))</f>
        <v>B</v>
      </c>
      <c r="W61" s="20"/>
      <c r="X61" s="15" t="str">
        <f aca="false">IF(W61="",V61,W61)</f>
        <v>B</v>
      </c>
      <c r="Y61" s="22" t="s">
        <v>51</v>
      </c>
      <c r="Z61" s="23"/>
      <c r="AA61" s="16" t="s">
        <v>494</v>
      </c>
      <c r="AB61" s="22"/>
      <c r="AC61" s="16" t="s">
        <v>543</v>
      </c>
      <c r="AD61" s="19" t="s">
        <v>105</v>
      </c>
      <c r="AE61" s="19" t="s">
        <v>105</v>
      </c>
      <c r="AF61" s="19" t="s">
        <v>106</v>
      </c>
      <c r="AG61" s="16"/>
      <c r="AH61" s="22"/>
      <c r="AI61" s="24"/>
      <c r="AJ61" s="23"/>
      <c r="AK61" s="23"/>
    </row>
    <row r="62" customFormat="false" ht="48" hidden="false" customHeight="true" outlineLevel="0" collapsed="false">
      <c r="A62" s="15" t="s">
        <v>544</v>
      </c>
      <c r="B62" s="15" t="s">
        <v>457</v>
      </c>
      <c r="C62" s="16" t="s">
        <v>14</v>
      </c>
      <c r="D62" s="17" t="s">
        <v>39</v>
      </c>
      <c r="E62" s="18" t="s">
        <v>545</v>
      </c>
      <c r="F62" s="16" t="s">
        <v>546</v>
      </c>
      <c r="G62" s="16" t="s">
        <v>547</v>
      </c>
      <c r="H62" s="15" t="s">
        <v>280</v>
      </c>
      <c r="I62" s="17" t="s">
        <v>29</v>
      </c>
      <c r="J62" s="17" t="s">
        <v>29</v>
      </c>
      <c r="K62" s="15" t="s">
        <v>281</v>
      </c>
      <c r="L62" s="19" t="s">
        <v>548</v>
      </c>
      <c r="M62" s="16" t="s">
        <v>549</v>
      </c>
      <c r="N62" s="16" t="s">
        <v>550</v>
      </c>
      <c r="O62" s="16" t="s">
        <v>507</v>
      </c>
      <c r="P62" s="16" t="s">
        <v>551</v>
      </c>
      <c r="Q62" s="20" t="n">
        <v>4</v>
      </c>
      <c r="R62" s="20" t="n">
        <v>3</v>
      </c>
      <c r="S62" s="20" t="n">
        <v>4</v>
      </c>
      <c r="T62" s="20" t="n">
        <v>3</v>
      </c>
      <c r="U62" s="21" t="n">
        <f aca="false">ROUND(Q62*Methodik!$B$5+R62*Methodik!$B$6+S62*Methodik!$B$7+T62*Methodik!$B$8,2)</f>
        <v>3.55</v>
      </c>
      <c r="V62" s="15" t="str">
        <f aca="false">IF(U62&gt;=Methodik!$B$11,"A",IF(U62&gt;=Methodik!$B$12,"B","C"))</f>
        <v>B</v>
      </c>
      <c r="W62" s="20"/>
      <c r="X62" s="15" t="str">
        <f aca="false">IF(W62="",V62,W62)</f>
        <v>B</v>
      </c>
      <c r="Y62" s="22" t="s">
        <v>51</v>
      </c>
      <c r="Z62" s="23"/>
      <c r="AA62" s="16" t="s">
        <v>494</v>
      </c>
      <c r="AB62" s="22"/>
      <c r="AC62" s="16"/>
      <c r="AD62" s="19" t="s">
        <v>105</v>
      </c>
      <c r="AE62" s="19" t="s">
        <v>105</v>
      </c>
      <c r="AF62" s="19" t="s">
        <v>106</v>
      </c>
      <c r="AG62" s="16"/>
      <c r="AH62" s="22"/>
      <c r="AI62" s="24"/>
      <c r="AJ62" s="23"/>
      <c r="AK62" s="23"/>
    </row>
    <row r="63" customFormat="false" ht="48" hidden="false" customHeight="true" outlineLevel="0" collapsed="false">
      <c r="A63" s="15" t="s">
        <v>552</v>
      </c>
      <c r="B63" s="15" t="s">
        <v>457</v>
      </c>
      <c r="C63" s="16" t="s">
        <v>14</v>
      </c>
      <c r="D63" s="17" t="s">
        <v>39</v>
      </c>
      <c r="E63" s="18" t="s">
        <v>553</v>
      </c>
      <c r="F63" s="16" t="s">
        <v>95</v>
      </c>
      <c r="G63" s="16" t="s">
        <v>416</v>
      </c>
      <c r="H63" s="15" t="s">
        <v>417</v>
      </c>
      <c r="I63" s="17" t="s">
        <v>28</v>
      </c>
      <c r="J63" s="17" t="s">
        <v>33</v>
      </c>
      <c r="K63" s="15" t="s">
        <v>97</v>
      </c>
      <c r="L63" s="19" t="s">
        <v>554</v>
      </c>
      <c r="M63" s="16" t="s">
        <v>555</v>
      </c>
      <c r="N63" s="16" t="s">
        <v>556</v>
      </c>
      <c r="O63" s="16" t="s">
        <v>557</v>
      </c>
      <c r="P63" s="16" t="s">
        <v>558</v>
      </c>
      <c r="Q63" s="20" t="n">
        <v>4</v>
      </c>
      <c r="R63" s="20" t="n">
        <v>3</v>
      </c>
      <c r="S63" s="20" t="n">
        <v>4</v>
      </c>
      <c r="T63" s="20" t="n">
        <v>3</v>
      </c>
      <c r="U63" s="21" t="n">
        <f aca="false">ROUND(Q63*Methodik!$B$5+R63*Methodik!$B$6+S63*Methodik!$B$7+T63*Methodik!$B$8,2)</f>
        <v>3.55</v>
      </c>
      <c r="V63" s="15" t="str">
        <f aca="false">IF(U63&gt;=Methodik!$B$11,"A",IF(U63&gt;=Methodik!$B$12,"B","C"))</f>
        <v>B</v>
      </c>
      <c r="W63" s="20"/>
      <c r="X63" s="15" t="str">
        <f aca="false">IF(W63="",V63,W63)</f>
        <v>B</v>
      </c>
      <c r="Y63" s="22" t="s">
        <v>51</v>
      </c>
      <c r="Z63" s="23"/>
      <c r="AA63" s="16" t="s">
        <v>494</v>
      </c>
      <c r="AB63" s="22"/>
      <c r="AC63" s="16"/>
      <c r="AD63" s="19" t="s">
        <v>105</v>
      </c>
      <c r="AE63" s="19" t="s">
        <v>105</v>
      </c>
      <c r="AF63" s="19" t="s">
        <v>106</v>
      </c>
      <c r="AG63" s="16"/>
      <c r="AH63" s="22"/>
      <c r="AI63" s="24"/>
      <c r="AJ63" s="23"/>
      <c r="AK63" s="23"/>
    </row>
    <row r="64" customFormat="false" ht="48" hidden="false" customHeight="true" outlineLevel="0" collapsed="false">
      <c r="A64" s="15" t="s">
        <v>559</v>
      </c>
      <c r="B64" s="15" t="s">
        <v>93</v>
      </c>
      <c r="C64" s="16" t="s">
        <v>14</v>
      </c>
      <c r="D64" s="17" t="s">
        <v>39</v>
      </c>
      <c r="E64" s="18" t="s">
        <v>560</v>
      </c>
      <c r="F64" s="16" t="s">
        <v>561</v>
      </c>
      <c r="G64" s="16" t="s">
        <v>562</v>
      </c>
      <c r="H64" s="15" t="s">
        <v>280</v>
      </c>
      <c r="I64" s="17" t="s">
        <v>29</v>
      </c>
      <c r="J64" s="17" t="s">
        <v>29</v>
      </c>
      <c r="K64" s="15" t="s">
        <v>281</v>
      </c>
      <c r="L64" s="19" t="s">
        <v>563</v>
      </c>
      <c r="M64" s="16" t="s">
        <v>564</v>
      </c>
      <c r="N64" s="16" t="s">
        <v>100</v>
      </c>
      <c r="O64" s="16" t="s">
        <v>565</v>
      </c>
      <c r="P64" s="16" t="s">
        <v>566</v>
      </c>
      <c r="Q64" s="20" t="n">
        <v>4</v>
      </c>
      <c r="R64" s="20" t="n">
        <v>3</v>
      </c>
      <c r="S64" s="20" t="n">
        <v>3</v>
      </c>
      <c r="T64" s="20" t="n">
        <v>3</v>
      </c>
      <c r="U64" s="21" t="n">
        <f aca="false">ROUND(Q64*Methodik!$B$5+R64*Methodik!$B$6+S64*Methodik!$B$7+T64*Methodik!$B$8,2)</f>
        <v>3.3</v>
      </c>
      <c r="V64" s="15" t="str">
        <f aca="false">IF(U64&gt;=Methodik!$B$11,"A",IF(U64&gt;=Methodik!$B$12,"B","C"))</f>
        <v>B</v>
      </c>
      <c r="W64" s="20"/>
      <c r="X64" s="15" t="str">
        <f aca="false">IF(W64="",V64,W64)</f>
        <v>B</v>
      </c>
      <c r="Y64" s="22" t="s">
        <v>51</v>
      </c>
      <c r="Z64" s="23"/>
      <c r="AA64" s="16" t="s">
        <v>494</v>
      </c>
      <c r="AB64" s="22"/>
      <c r="AC64" s="16"/>
      <c r="AD64" s="19" t="s">
        <v>105</v>
      </c>
      <c r="AE64" s="19" t="s">
        <v>105</v>
      </c>
      <c r="AF64" s="19" t="s">
        <v>106</v>
      </c>
      <c r="AG64" s="16"/>
      <c r="AH64" s="22"/>
      <c r="AI64" s="24"/>
      <c r="AJ64" s="23"/>
      <c r="AK64" s="23"/>
    </row>
    <row r="65" customFormat="false" ht="48" hidden="false" customHeight="true" outlineLevel="0" collapsed="false">
      <c r="A65" s="15" t="s">
        <v>567</v>
      </c>
      <c r="B65" s="15" t="s">
        <v>457</v>
      </c>
      <c r="C65" s="16" t="s">
        <v>14</v>
      </c>
      <c r="D65" s="17" t="s">
        <v>39</v>
      </c>
      <c r="E65" s="18" t="s">
        <v>568</v>
      </c>
      <c r="F65" s="16" t="s">
        <v>569</v>
      </c>
      <c r="G65" s="16" t="s">
        <v>226</v>
      </c>
      <c r="H65" s="15" t="s">
        <v>227</v>
      </c>
      <c r="I65" s="17" t="s">
        <v>23</v>
      </c>
      <c r="J65" s="17" t="s">
        <v>32</v>
      </c>
      <c r="K65" s="15" t="s">
        <v>180</v>
      </c>
      <c r="L65" s="19" t="s">
        <v>570</v>
      </c>
      <c r="M65" s="16" t="s">
        <v>571</v>
      </c>
      <c r="N65" s="16" t="s">
        <v>100</v>
      </c>
      <c r="O65" s="16" t="s">
        <v>213</v>
      </c>
      <c r="P65" s="16" t="s">
        <v>572</v>
      </c>
      <c r="Q65" s="20" t="n">
        <v>4</v>
      </c>
      <c r="R65" s="20" t="n">
        <v>3</v>
      </c>
      <c r="S65" s="20" t="n">
        <v>3</v>
      </c>
      <c r="T65" s="20" t="n">
        <v>3</v>
      </c>
      <c r="U65" s="21" t="n">
        <f aca="false">ROUND(Q65*Methodik!$B$5+R65*Methodik!$B$6+S65*Methodik!$B$7+T65*Methodik!$B$8,2)</f>
        <v>3.3</v>
      </c>
      <c r="V65" s="15" t="str">
        <f aca="false">IF(U65&gt;=Methodik!$B$11,"A",IF(U65&gt;=Methodik!$B$12,"B","C"))</f>
        <v>B</v>
      </c>
      <c r="W65" s="20"/>
      <c r="X65" s="15" t="str">
        <f aca="false">IF(W65="",V65,W65)</f>
        <v>B</v>
      </c>
      <c r="Y65" s="22" t="s">
        <v>51</v>
      </c>
      <c r="Z65" s="23"/>
      <c r="AA65" s="16" t="s">
        <v>494</v>
      </c>
      <c r="AB65" s="22"/>
      <c r="AC65" s="16"/>
      <c r="AD65" s="19" t="s">
        <v>105</v>
      </c>
      <c r="AE65" s="19" t="s">
        <v>105</v>
      </c>
      <c r="AF65" s="19" t="s">
        <v>106</v>
      </c>
      <c r="AG65" s="16"/>
      <c r="AH65" s="22"/>
      <c r="AI65" s="24"/>
      <c r="AJ65" s="23"/>
      <c r="AK65" s="23"/>
    </row>
    <row r="66" customFormat="false" ht="48" hidden="false" customHeight="true" outlineLevel="0" collapsed="false">
      <c r="A66" s="15" t="s">
        <v>573</v>
      </c>
      <c r="B66" s="15" t="s">
        <v>457</v>
      </c>
      <c r="C66" s="16" t="s">
        <v>14</v>
      </c>
      <c r="D66" s="17" t="s">
        <v>39</v>
      </c>
      <c r="E66" s="18" t="s">
        <v>574</v>
      </c>
      <c r="F66" s="16" t="s">
        <v>575</v>
      </c>
      <c r="G66" s="16" t="s">
        <v>188</v>
      </c>
      <c r="H66" s="15" t="s">
        <v>189</v>
      </c>
      <c r="I66" s="17" t="s">
        <v>25</v>
      </c>
      <c r="J66" s="17" t="s">
        <v>33</v>
      </c>
      <c r="K66" s="15" t="s">
        <v>126</v>
      </c>
      <c r="L66" s="19" t="s">
        <v>576</v>
      </c>
      <c r="M66" s="16" t="s">
        <v>577</v>
      </c>
      <c r="N66" s="16" t="s">
        <v>100</v>
      </c>
      <c r="O66" s="16" t="s">
        <v>578</v>
      </c>
      <c r="P66" s="16" t="s">
        <v>579</v>
      </c>
      <c r="Q66" s="20" t="n">
        <v>4</v>
      </c>
      <c r="R66" s="20" t="n">
        <v>3</v>
      </c>
      <c r="S66" s="20" t="n">
        <v>3</v>
      </c>
      <c r="T66" s="20" t="n">
        <v>3</v>
      </c>
      <c r="U66" s="21" t="n">
        <f aca="false">ROUND(Q66*Methodik!$B$5+R66*Methodik!$B$6+S66*Methodik!$B$7+T66*Methodik!$B$8,2)</f>
        <v>3.3</v>
      </c>
      <c r="V66" s="15" t="str">
        <f aca="false">IF(U66&gt;=Methodik!$B$11,"A",IF(U66&gt;=Methodik!$B$12,"B","C"))</f>
        <v>B</v>
      </c>
      <c r="W66" s="20"/>
      <c r="X66" s="15" t="str">
        <f aca="false">IF(W66="",V66,W66)</f>
        <v>B</v>
      </c>
      <c r="Y66" s="22" t="s">
        <v>51</v>
      </c>
      <c r="Z66" s="23"/>
      <c r="AA66" s="16" t="s">
        <v>494</v>
      </c>
      <c r="AB66" s="22"/>
      <c r="AC66" s="16"/>
      <c r="AD66" s="19" t="s">
        <v>105</v>
      </c>
      <c r="AE66" s="19" t="s">
        <v>105</v>
      </c>
      <c r="AF66" s="19" t="s">
        <v>106</v>
      </c>
      <c r="AG66" s="16"/>
      <c r="AH66" s="22"/>
      <c r="AI66" s="24"/>
      <c r="AJ66" s="23"/>
      <c r="AK66" s="23"/>
    </row>
    <row r="67" customFormat="false" ht="48" hidden="false" customHeight="true" outlineLevel="0" collapsed="false">
      <c r="A67" s="15" t="s">
        <v>580</v>
      </c>
      <c r="B67" s="15" t="s">
        <v>457</v>
      </c>
      <c r="C67" s="16" t="s">
        <v>14</v>
      </c>
      <c r="D67" s="17" t="s">
        <v>39</v>
      </c>
      <c r="E67" s="18" t="s">
        <v>581</v>
      </c>
      <c r="F67" s="16" t="s">
        <v>95</v>
      </c>
      <c r="G67" s="16" t="s">
        <v>582</v>
      </c>
      <c r="H67" s="15" t="s">
        <v>583</v>
      </c>
      <c r="I67" s="17" t="s">
        <v>27</v>
      </c>
      <c r="J67" s="17" t="s">
        <v>33</v>
      </c>
      <c r="K67" s="15" t="s">
        <v>584</v>
      </c>
      <c r="L67" s="19" t="s">
        <v>585</v>
      </c>
      <c r="M67" s="16" t="s">
        <v>586</v>
      </c>
      <c r="N67" s="16" t="s">
        <v>100</v>
      </c>
      <c r="O67" s="16" t="s">
        <v>507</v>
      </c>
      <c r="P67" s="16" t="s">
        <v>587</v>
      </c>
      <c r="Q67" s="20" t="n">
        <v>4</v>
      </c>
      <c r="R67" s="20" t="n">
        <v>3</v>
      </c>
      <c r="S67" s="20" t="n">
        <v>3</v>
      </c>
      <c r="T67" s="20" t="n">
        <v>3</v>
      </c>
      <c r="U67" s="21" t="n">
        <f aca="false">ROUND(Q67*Methodik!$B$5+R67*Methodik!$B$6+S67*Methodik!$B$7+T67*Methodik!$B$8,2)</f>
        <v>3.3</v>
      </c>
      <c r="V67" s="15" t="str">
        <f aca="false">IF(U67&gt;=Methodik!$B$11,"A",IF(U67&gt;=Methodik!$B$12,"B","C"))</f>
        <v>B</v>
      </c>
      <c r="W67" s="20"/>
      <c r="X67" s="15" t="str">
        <f aca="false">IF(W67="",V67,W67)</f>
        <v>B</v>
      </c>
      <c r="Y67" s="22" t="s">
        <v>51</v>
      </c>
      <c r="Z67" s="23"/>
      <c r="AA67" s="16" t="s">
        <v>494</v>
      </c>
      <c r="AB67" s="22"/>
      <c r="AC67" s="16"/>
      <c r="AD67" s="19" t="s">
        <v>105</v>
      </c>
      <c r="AE67" s="19" t="s">
        <v>105</v>
      </c>
      <c r="AF67" s="19" t="s">
        <v>106</v>
      </c>
      <c r="AG67" s="16"/>
      <c r="AH67" s="22"/>
      <c r="AI67" s="24"/>
      <c r="AJ67" s="23"/>
      <c r="AK67" s="23"/>
    </row>
    <row r="68" customFormat="false" ht="48" hidden="false" customHeight="true" outlineLevel="0" collapsed="false">
      <c r="A68" s="15" t="s">
        <v>588</v>
      </c>
      <c r="B68" s="15" t="s">
        <v>457</v>
      </c>
      <c r="C68" s="16" t="s">
        <v>14</v>
      </c>
      <c r="D68" s="17" t="s">
        <v>39</v>
      </c>
      <c r="E68" s="18" t="s">
        <v>589</v>
      </c>
      <c r="F68" s="16" t="s">
        <v>590</v>
      </c>
      <c r="G68" s="16" t="s">
        <v>252</v>
      </c>
      <c r="H68" s="15" t="s">
        <v>253</v>
      </c>
      <c r="I68" s="17" t="s">
        <v>27</v>
      </c>
      <c r="J68" s="17" t="s">
        <v>33</v>
      </c>
      <c r="K68" s="15" t="s">
        <v>97</v>
      </c>
      <c r="L68" s="19" t="s">
        <v>591</v>
      </c>
      <c r="M68" s="16" t="s">
        <v>592</v>
      </c>
      <c r="N68" s="16" t="s">
        <v>593</v>
      </c>
      <c r="O68" s="16" t="s">
        <v>594</v>
      </c>
      <c r="P68" s="16" t="s">
        <v>595</v>
      </c>
      <c r="Q68" s="20" t="n">
        <v>4</v>
      </c>
      <c r="R68" s="20" t="n">
        <v>3</v>
      </c>
      <c r="S68" s="20" t="n">
        <v>3</v>
      </c>
      <c r="T68" s="20" t="n">
        <v>3</v>
      </c>
      <c r="U68" s="21" t="n">
        <f aca="false">ROUND(Q68*Methodik!$B$5+R68*Methodik!$B$6+S68*Methodik!$B$7+T68*Methodik!$B$8,2)</f>
        <v>3.3</v>
      </c>
      <c r="V68" s="15" t="str">
        <f aca="false">IF(U68&gt;=Methodik!$B$11,"A",IF(U68&gt;=Methodik!$B$12,"B","C"))</f>
        <v>B</v>
      </c>
      <c r="W68" s="20"/>
      <c r="X68" s="15" t="str">
        <f aca="false">IF(W68="",V68,W68)</f>
        <v>B</v>
      </c>
      <c r="Y68" s="22" t="s">
        <v>51</v>
      </c>
      <c r="Z68" s="23"/>
      <c r="AA68" s="16" t="s">
        <v>494</v>
      </c>
      <c r="AB68" s="22"/>
      <c r="AC68" s="16"/>
      <c r="AD68" s="19" t="s">
        <v>105</v>
      </c>
      <c r="AE68" s="19" t="s">
        <v>105</v>
      </c>
      <c r="AF68" s="19" t="s">
        <v>106</v>
      </c>
      <c r="AG68" s="16"/>
      <c r="AH68" s="22"/>
      <c r="AI68" s="24"/>
      <c r="AJ68" s="23"/>
      <c r="AK68" s="23"/>
    </row>
    <row r="69" customFormat="false" ht="48" hidden="false" customHeight="true" outlineLevel="0" collapsed="false">
      <c r="A69" s="15" t="s">
        <v>596</v>
      </c>
      <c r="B69" s="15" t="s">
        <v>457</v>
      </c>
      <c r="C69" s="16" t="s">
        <v>14</v>
      </c>
      <c r="D69" s="17" t="s">
        <v>39</v>
      </c>
      <c r="E69" s="18" t="s">
        <v>597</v>
      </c>
      <c r="F69" s="16" t="s">
        <v>598</v>
      </c>
      <c r="G69" s="16" t="s">
        <v>599</v>
      </c>
      <c r="H69" s="15" t="s">
        <v>411</v>
      </c>
      <c r="I69" s="17" t="s">
        <v>23</v>
      </c>
      <c r="J69" s="17" t="s">
        <v>32</v>
      </c>
      <c r="K69" s="15" t="s">
        <v>180</v>
      </c>
      <c r="L69" s="19" t="s">
        <v>600</v>
      </c>
      <c r="M69" s="16" t="s">
        <v>601</v>
      </c>
      <c r="N69" s="16" t="s">
        <v>100</v>
      </c>
      <c r="O69" s="16" t="s">
        <v>213</v>
      </c>
      <c r="P69" s="16" t="s">
        <v>602</v>
      </c>
      <c r="Q69" s="20" t="n">
        <v>3</v>
      </c>
      <c r="R69" s="20" t="n">
        <v>3</v>
      </c>
      <c r="S69" s="20" t="n">
        <v>3</v>
      </c>
      <c r="T69" s="20" t="n">
        <v>3</v>
      </c>
      <c r="U69" s="21" t="n">
        <f aca="false">ROUND(Q69*Methodik!$B$5+R69*Methodik!$B$6+S69*Methodik!$B$7+T69*Methodik!$B$8,2)</f>
        <v>3</v>
      </c>
      <c r="V69" s="15" t="str">
        <f aca="false">IF(U69&gt;=Methodik!$B$11,"A",IF(U69&gt;=Methodik!$B$12,"B","C"))</f>
        <v>B</v>
      </c>
      <c r="W69" s="20"/>
      <c r="X69" s="15" t="str">
        <f aca="false">IF(W69="",V69,W69)</f>
        <v>B</v>
      </c>
      <c r="Y69" s="22" t="s">
        <v>51</v>
      </c>
      <c r="Z69" s="23"/>
      <c r="AA69" s="16" t="s">
        <v>494</v>
      </c>
      <c r="AB69" s="22"/>
      <c r="AC69" s="16"/>
      <c r="AD69" s="19" t="s">
        <v>105</v>
      </c>
      <c r="AE69" s="19" t="s">
        <v>105</v>
      </c>
      <c r="AF69" s="19" t="s">
        <v>106</v>
      </c>
      <c r="AG69" s="16"/>
      <c r="AH69" s="22"/>
      <c r="AI69" s="24"/>
      <c r="AJ69" s="23"/>
      <c r="AK69" s="23"/>
    </row>
    <row r="70" customFormat="false" ht="48" hidden="false" customHeight="true" outlineLevel="0" collapsed="false">
      <c r="A70" s="15" t="s">
        <v>603</v>
      </c>
      <c r="B70" s="15" t="s">
        <v>93</v>
      </c>
      <c r="C70" s="16" t="s">
        <v>14</v>
      </c>
      <c r="D70" s="17" t="s">
        <v>40</v>
      </c>
      <c r="E70" s="18" t="s">
        <v>604</v>
      </c>
      <c r="F70" s="16" t="s">
        <v>337</v>
      </c>
      <c r="G70" s="16" t="s">
        <v>26</v>
      </c>
      <c r="H70" s="15" t="s">
        <v>96</v>
      </c>
      <c r="I70" s="17" t="s">
        <v>26</v>
      </c>
      <c r="J70" s="17" t="s">
        <v>33</v>
      </c>
      <c r="K70" s="15" t="s">
        <v>126</v>
      </c>
      <c r="L70" s="19" t="s">
        <v>605</v>
      </c>
      <c r="M70" s="16" t="s">
        <v>606</v>
      </c>
      <c r="N70" s="16" t="s">
        <v>100</v>
      </c>
      <c r="O70" s="16" t="s">
        <v>607</v>
      </c>
      <c r="P70" s="16" t="s">
        <v>608</v>
      </c>
      <c r="Q70" s="20" t="n">
        <v>5</v>
      </c>
      <c r="R70" s="20" t="n">
        <v>4</v>
      </c>
      <c r="S70" s="20" t="n">
        <v>4</v>
      </c>
      <c r="T70" s="20" t="n">
        <v>3</v>
      </c>
      <c r="U70" s="21" t="n">
        <f aca="false">ROUND(Q70*Methodik!$B$5+R70*Methodik!$B$6+S70*Methodik!$B$7+T70*Methodik!$B$8,2)</f>
        <v>4.15</v>
      </c>
      <c r="V70" s="15" t="str">
        <f aca="false">IF(U70&gt;=Methodik!$B$11,"A",IF(U70&gt;=Methodik!$B$12,"B","C"))</f>
        <v>A</v>
      </c>
      <c r="W70" s="20"/>
      <c r="X70" s="15" t="str">
        <f aca="false">IF(W70="",V70,W70)</f>
        <v>A</v>
      </c>
      <c r="Y70" s="22" t="s">
        <v>51</v>
      </c>
      <c r="Z70" s="23"/>
      <c r="AA70" s="16" t="s">
        <v>609</v>
      </c>
      <c r="AB70" s="22"/>
      <c r="AC70" s="16"/>
      <c r="AD70" s="19" t="s">
        <v>105</v>
      </c>
      <c r="AE70" s="19" t="s">
        <v>105</v>
      </c>
      <c r="AF70" s="19" t="s">
        <v>106</v>
      </c>
      <c r="AG70" s="16" t="s">
        <v>610</v>
      </c>
      <c r="AH70" s="22"/>
      <c r="AI70" s="24"/>
      <c r="AJ70" s="23"/>
      <c r="AK70" s="23"/>
    </row>
    <row r="71" customFormat="false" ht="48" hidden="false" customHeight="true" outlineLevel="0" collapsed="false">
      <c r="A71" s="15" t="s">
        <v>611</v>
      </c>
      <c r="B71" s="15" t="s">
        <v>93</v>
      </c>
      <c r="C71" s="16" t="s">
        <v>14</v>
      </c>
      <c r="D71" s="17" t="s">
        <v>40</v>
      </c>
      <c r="E71" s="18" t="s">
        <v>612</v>
      </c>
      <c r="F71" s="16" t="s">
        <v>337</v>
      </c>
      <c r="G71" s="16" t="s">
        <v>613</v>
      </c>
      <c r="H71" s="15" t="s">
        <v>210</v>
      </c>
      <c r="I71" s="17" t="s">
        <v>25</v>
      </c>
      <c r="J71" s="17" t="s">
        <v>33</v>
      </c>
      <c r="K71" s="15" t="s">
        <v>97</v>
      </c>
      <c r="L71" s="19" t="s">
        <v>614</v>
      </c>
      <c r="M71" s="16" t="s">
        <v>615</v>
      </c>
      <c r="N71" s="16" t="s">
        <v>100</v>
      </c>
      <c r="O71" s="16" t="s">
        <v>616</v>
      </c>
      <c r="P71" s="16" t="s">
        <v>617</v>
      </c>
      <c r="Q71" s="20" t="n">
        <v>5</v>
      </c>
      <c r="R71" s="20" t="n">
        <v>3</v>
      </c>
      <c r="S71" s="20" t="n">
        <v>4</v>
      </c>
      <c r="T71" s="20" t="n">
        <v>3</v>
      </c>
      <c r="U71" s="21" t="n">
        <f aca="false">ROUND(Q71*Methodik!$B$5+R71*Methodik!$B$6+S71*Methodik!$B$7+T71*Methodik!$B$8,2)</f>
        <v>3.85</v>
      </c>
      <c r="V71" s="15" t="str">
        <f aca="false">IF(U71&gt;=Methodik!$B$11,"A",IF(U71&gt;=Methodik!$B$12,"B","C"))</f>
        <v>B</v>
      </c>
      <c r="W71" s="20"/>
      <c r="X71" s="15" t="str">
        <f aca="false">IF(W71="",V71,W71)</f>
        <v>B</v>
      </c>
      <c r="Y71" s="22" t="s">
        <v>51</v>
      </c>
      <c r="Z71" s="23"/>
      <c r="AA71" s="16" t="s">
        <v>609</v>
      </c>
      <c r="AB71" s="22"/>
      <c r="AC71" s="16"/>
      <c r="AD71" s="19" t="s">
        <v>105</v>
      </c>
      <c r="AE71" s="19" t="s">
        <v>105</v>
      </c>
      <c r="AF71" s="19" t="s">
        <v>106</v>
      </c>
      <c r="AG71" s="16"/>
      <c r="AH71" s="22"/>
      <c r="AI71" s="24"/>
      <c r="AJ71" s="23"/>
      <c r="AK71" s="23"/>
    </row>
    <row r="72" customFormat="false" ht="48" hidden="false" customHeight="true" outlineLevel="0" collapsed="false">
      <c r="A72" s="15" t="s">
        <v>618</v>
      </c>
      <c r="B72" s="15" t="s">
        <v>93</v>
      </c>
      <c r="C72" s="16" t="s">
        <v>14</v>
      </c>
      <c r="D72" s="17" t="s">
        <v>40</v>
      </c>
      <c r="E72" s="18" t="s">
        <v>619</v>
      </c>
      <c r="F72" s="16" t="s">
        <v>337</v>
      </c>
      <c r="G72" s="16" t="s">
        <v>151</v>
      </c>
      <c r="H72" s="15" t="s">
        <v>152</v>
      </c>
      <c r="I72" s="17" t="s">
        <v>28</v>
      </c>
      <c r="J72" s="17" t="s">
        <v>33</v>
      </c>
      <c r="K72" s="15" t="s">
        <v>97</v>
      </c>
      <c r="L72" s="19" t="s">
        <v>620</v>
      </c>
      <c r="M72" s="16" t="s">
        <v>239</v>
      </c>
      <c r="N72" s="16" t="s">
        <v>100</v>
      </c>
      <c r="O72" s="16" t="s">
        <v>621</v>
      </c>
      <c r="P72" s="16" t="s">
        <v>622</v>
      </c>
      <c r="Q72" s="20" t="n">
        <v>5</v>
      </c>
      <c r="R72" s="20" t="n">
        <v>3</v>
      </c>
      <c r="S72" s="20" t="n">
        <v>4</v>
      </c>
      <c r="T72" s="20" t="n">
        <v>3</v>
      </c>
      <c r="U72" s="21" t="n">
        <f aca="false">ROUND(Q72*Methodik!$B$5+R72*Methodik!$B$6+S72*Methodik!$B$7+T72*Methodik!$B$8,2)</f>
        <v>3.85</v>
      </c>
      <c r="V72" s="15" t="str">
        <f aca="false">IF(U72&gt;=Methodik!$B$11,"A",IF(U72&gt;=Methodik!$B$12,"B","C"))</f>
        <v>B</v>
      </c>
      <c r="W72" s="20"/>
      <c r="X72" s="15" t="str">
        <f aca="false">IF(W72="",V72,W72)</f>
        <v>B</v>
      </c>
      <c r="Y72" s="22" t="s">
        <v>51</v>
      </c>
      <c r="Z72" s="23"/>
      <c r="AA72" s="16" t="s">
        <v>609</v>
      </c>
      <c r="AB72" s="22"/>
      <c r="AC72" s="16"/>
      <c r="AD72" s="19" t="s">
        <v>105</v>
      </c>
      <c r="AE72" s="19" t="s">
        <v>105</v>
      </c>
      <c r="AF72" s="19" t="s">
        <v>106</v>
      </c>
      <c r="AG72" s="16" t="s">
        <v>623</v>
      </c>
      <c r="AH72" s="22"/>
      <c r="AI72" s="24"/>
      <c r="AJ72" s="23"/>
      <c r="AK72" s="23"/>
    </row>
    <row r="73" customFormat="false" ht="48" hidden="false" customHeight="true" outlineLevel="0" collapsed="false">
      <c r="A73" s="15" t="s">
        <v>624</v>
      </c>
      <c r="B73" s="15" t="s">
        <v>457</v>
      </c>
      <c r="C73" s="16" t="s">
        <v>14</v>
      </c>
      <c r="D73" s="17" t="s">
        <v>40</v>
      </c>
      <c r="E73" s="18" t="s">
        <v>625</v>
      </c>
      <c r="F73" s="16" t="s">
        <v>626</v>
      </c>
      <c r="G73" s="16" t="s">
        <v>26</v>
      </c>
      <c r="H73" s="15" t="s">
        <v>96</v>
      </c>
      <c r="I73" s="17" t="s">
        <v>26</v>
      </c>
      <c r="J73" s="17" t="s">
        <v>33</v>
      </c>
      <c r="K73" s="15" t="s">
        <v>200</v>
      </c>
      <c r="L73" s="19" t="s">
        <v>627</v>
      </c>
      <c r="M73" s="16" t="s">
        <v>628</v>
      </c>
      <c r="N73" s="16" t="s">
        <v>100</v>
      </c>
      <c r="O73" s="16" t="s">
        <v>629</v>
      </c>
      <c r="P73" s="16" t="s">
        <v>630</v>
      </c>
      <c r="Q73" s="20" t="n">
        <v>4</v>
      </c>
      <c r="R73" s="20" t="n">
        <v>4</v>
      </c>
      <c r="S73" s="20" t="n">
        <v>3</v>
      </c>
      <c r="T73" s="20" t="n">
        <v>3</v>
      </c>
      <c r="U73" s="21" t="n">
        <f aca="false">ROUND(Q73*Methodik!$B$5+R73*Methodik!$B$6+S73*Methodik!$B$7+T73*Methodik!$B$8,2)</f>
        <v>3.6</v>
      </c>
      <c r="V73" s="15" t="str">
        <f aca="false">IF(U73&gt;=Methodik!$B$11,"A",IF(U73&gt;=Methodik!$B$12,"B","C"))</f>
        <v>B</v>
      </c>
      <c r="W73" s="20"/>
      <c r="X73" s="15" t="str">
        <f aca="false">IF(W73="",V73,W73)</f>
        <v>B</v>
      </c>
      <c r="Y73" s="22" t="s">
        <v>51</v>
      </c>
      <c r="Z73" s="23"/>
      <c r="AA73" s="16" t="s">
        <v>609</v>
      </c>
      <c r="AB73" s="22"/>
      <c r="AC73" s="16"/>
      <c r="AD73" s="19" t="s">
        <v>105</v>
      </c>
      <c r="AE73" s="19" t="s">
        <v>105</v>
      </c>
      <c r="AF73" s="19" t="s">
        <v>106</v>
      </c>
      <c r="AG73" s="16"/>
      <c r="AH73" s="22"/>
      <c r="AI73" s="24"/>
      <c r="AJ73" s="23"/>
      <c r="AK73" s="23"/>
    </row>
    <row r="74" customFormat="false" ht="48" hidden="false" customHeight="true" outlineLevel="0" collapsed="false">
      <c r="A74" s="15" t="s">
        <v>631</v>
      </c>
      <c r="B74" s="15" t="s">
        <v>457</v>
      </c>
      <c r="C74" s="16" t="s">
        <v>14</v>
      </c>
      <c r="D74" s="17" t="s">
        <v>40</v>
      </c>
      <c r="E74" s="18" t="s">
        <v>632</v>
      </c>
      <c r="F74" s="16" t="s">
        <v>337</v>
      </c>
      <c r="G74" s="16" t="s">
        <v>633</v>
      </c>
      <c r="H74" s="15" t="s">
        <v>96</v>
      </c>
      <c r="I74" s="17" t="s">
        <v>26</v>
      </c>
      <c r="J74" s="17" t="s">
        <v>33</v>
      </c>
      <c r="K74" s="15" t="s">
        <v>97</v>
      </c>
      <c r="L74" s="19" t="s">
        <v>634</v>
      </c>
      <c r="M74" s="16" t="s">
        <v>635</v>
      </c>
      <c r="N74" s="16" t="s">
        <v>100</v>
      </c>
      <c r="O74" s="16" t="s">
        <v>636</v>
      </c>
      <c r="P74" s="16" t="s">
        <v>637</v>
      </c>
      <c r="Q74" s="20" t="n">
        <v>4</v>
      </c>
      <c r="R74" s="20" t="n">
        <v>3</v>
      </c>
      <c r="S74" s="20" t="n">
        <v>3</v>
      </c>
      <c r="T74" s="20" t="n">
        <v>3</v>
      </c>
      <c r="U74" s="21" t="n">
        <f aca="false">ROUND(Q74*Methodik!$B$5+R74*Methodik!$B$6+S74*Methodik!$B$7+T74*Methodik!$B$8,2)</f>
        <v>3.3</v>
      </c>
      <c r="V74" s="15" t="str">
        <f aca="false">IF(U74&gt;=Methodik!$B$11,"A",IF(U74&gt;=Methodik!$B$12,"B","C"))</f>
        <v>B</v>
      </c>
      <c r="W74" s="20"/>
      <c r="X74" s="15" t="str">
        <f aca="false">IF(W74="",V74,W74)</f>
        <v>B</v>
      </c>
      <c r="Y74" s="22" t="s">
        <v>51</v>
      </c>
      <c r="Z74" s="23"/>
      <c r="AA74" s="16" t="s">
        <v>609</v>
      </c>
      <c r="AB74" s="22"/>
      <c r="AC74" s="16"/>
      <c r="AD74" s="19" t="s">
        <v>105</v>
      </c>
      <c r="AE74" s="19" t="s">
        <v>105</v>
      </c>
      <c r="AF74" s="19" t="s">
        <v>106</v>
      </c>
      <c r="AG74" s="16"/>
      <c r="AH74" s="22"/>
      <c r="AI74" s="24"/>
      <c r="AJ74" s="23"/>
      <c r="AK74" s="23"/>
    </row>
    <row r="75" customFormat="false" ht="48" hidden="false" customHeight="true" outlineLevel="0" collapsed="false">
      <c r="A75" s="15" t="s">
        <v>638</v>
      </c>
      <c r="B75" s="15" t="s">
        <v>457</v>
      </c>
      <c r="C75" s="16" t="s">
        <v>14</v>
      </c>
      <c r="D75" s="17" t="s">
        <v>40</v>
      </c>
      <c r="E75" s="18" t="s">
        <v>639</v>
      </c>
      <c r="F75" s="16" t="s">
        <v>337</v>
      </c>
      <c r="G75" s="16" t="s">
        <v>169</v>
      </c>
      <c r="H75" s="15" t="s">
        <v>170</v>
      </c>
      <c r="I75" s="17" t="s">
        <v>25</v>
      </c>
      <c r="J75" s="17" t="s">
        <v>33</v>
      </c>
      <c r="K75" s="15" t="s">
        <v>97</v>
      </c>
      <c r="L75" s="19" t="s">
        <v>640</v>
      </c>
      <c r="M75" s="16" t="s">
        <v>641</v>
      </c>
      <c r="N75" s="16" t="s">
        <v>100</v>
      </c>
      <c r="O75" s="16" t="s">
        <v>642</v>
      </c>
      <c r="P75" s="16" t="s">
        <v>643</v>
      </c>
      <c r="Q75" s="20" t="n">
        <v>4</v>
      </c>
      <c r="R75" s="20" t="n">
        <v>3</v>
      </c>
      <c r="S75" s="20" t="n">
        <v>3</v>
      </c>
      <c r="T75" s="20" t="n">
        <v>3</v>
      </c>
      <c r="U75" s="21" t="n">
        <f aca="false">ROUND(Q75*Methodik!$B$5+R75*Methodik!$B$6+S75*Methodik!$B$7+T75*Methodik!$B$8,2)</f>
        <v>3.3</v>
      </c>
      <c r="V75" s="15" t="str">
        <f aca="false">IF(U75&gt;=Methodik!$B$11,"A",IF(U75&gt;=Methodik!$B$12,"B","C"))</f>
        <v>B</v>
      </c>
      <c r="W75" s="20"/>
      <c r="X75" s="15" t="str">
        <f aca="false">IF(W75="",V75,W75)</f>
        <v>B</v>
      </c>
      <c r="Y75" s="22" t="s">
        <v>51</v>
      </c>
      <c r="Z75" s="23"/>
      <c r="AA75" s="16" t="s">
        <v>609</v>
      </c>
      <c r="AB75" s="22"/>
      <c r="AC75" s="16"/>
      <c r="AD75" s="19" t="s">
        <v>105</v>
      </c>
      <c r="AE75" s="19" t="s">
        <v>105</v>
      </c>
      <c r="AF75" s="19" t="s">
        <v>106</v>
      </c>
      <c r="AG75" s="16"/>
      <c r="AH75" s="22"/>
      <c r="AI75" s="24"/>
      <c r="AJ75" s="23"/>
      <c r="AK75" s="23"/>
    </row>
    <row r="76" customFormat="false" ht="48" hidden="false" customHeight="true" outlineLevel="0" collapsed="false">
      <c r="A76" s="15" t="s">
        <v>644</v>
      </c>
      <c r="B76" s="15" t="s">
        <v>457</v>
      </c>
      <c r="C76" s="16" t="s">
        <v>14</v>
      </c>
      <c r="D76" s="17" t="s">
        <v>40</v>
      </c>
      <c r="E76" s="18" t="s">
        <v>645</v>
      </c>
      <c r="F76" s="16" t="s">
        <v>337</v>
      </c>
      <c r="G76" s="16" t="s">
        <v>646</v>
      </c>
      <c r="H76" s="15" t="s">
        <v>210</v>
      </c>
      <c r="I76" s="17" t="s">
        <v>25</v>
      </c>
      <c r="J76" s="17" t="s">
        <v>33</v>
      </c>
      <c r="K76" s="15" t="s">
        <v>126</v>
      </c>
      <c r="L76" s="19" t="s">
        <v>647</v>
      </c>
      <c r="M76" s="16" t="s">
        <v>648</v>
      </c>
      <c r="N76" s="16" t="s">
        <v>649</v>
      </c>
      <c r="O76" s="16" t="s">
        <v>650</v>
      </c>
      <c r="P76" s="16" t="s">
        <v>651</v>
      </c>
      <c r="Q76" s="20" t="n">
        <v>4</v>
      </c>
      <c r="R76" s="20" t="n">
        <v>3</v>
      </c>
      <c r="S76" s="20" t="n">
        <v>3</v>
      </c>
      <c r="T76" s="20" t="n">
        <v>3</v>
      </c>
      <c r="U76" s="21" t="n">
        <f aca="false">ROUND(Q76*Methodik!$B$5+R76*Methodik!$B$6+S76*Methodik!$B$7+T76*Methodik!$B$8,2)</f>
        <v>3.3</v>
      </c>
      <c r="V76" s="15" t="str">
        <f aca="false">IF(U76&gt;=Methodik!$B$11,"A",IF(U76&gt;=Methodik!$B$12,"B","C"))</f>
        <v>B</v>
      </c>
      <c r="W76" s="20"/>
      <c r="X76" s="15" t="str">
        <f aca="false">IF(W76="",V76,W76)</f>
        <v>B</v>
      </c>
      <c r="Y76" s="22" t="s">
        <v>51</v>
      </c>
      <c r="Z76" s="23"/>
      <c r="AA76" s="16" t="s">
        <v>609</v>
      </c>
      <c r="AB76" s="22"/>
      <c r="AC76" s="16"/>
      <c r="AD76" s="19" t="s">
        <v>105</v>
      </c>
      <c r="AE76" s="19" t="s">
        <v>105</v>
      </c>
      <c r="AF76" s="19" t="s">
        <v>106</v>
      </c>
      <c r="AG76" s="16"/>
      <c r="AH76" s="22"/>
      <c r="AI76" s="24"/>
      <c r="AJ76" s="23"/>
      <c r="AK76" s="23"/>
    </row>
    <row r="77" customFormat="false" ht="48" hidden="false" customHeight="true" outlineLevel="0" collapsed="false">
      <c r="A77" s="15" t="s">
        <v>652</v>
      </c>
      <c r="B77" s="15" t="s">
        <v>457</v>
      </c>
      <c r="C77" s="16" t="s">
        <v>14</v>
      </c>
      <c r="D77" s="17" t="s">
        <v>40</v>
      </c>
      <c r="E77" s="18" t="s">
        <v>653</v>
      </c>
      <c r="F77" s="16" t="s">
        <v>337</v>
      </c>
      <c r="G77" s="16" t="s">
        <v>654</v>
      </c>
      <c r="H77" s="15" t="s">
        <v>324</v>
      </c>
      <c r="I77" s="17" t="s">
        <v>23</v>
      </c>
      <c r="J77" s="17" t="s">
        <v>32</v>
      </c>
      <c r="K77" s="15" t="s">
        <v>180</v>
      </c>
      <c r="L77" s="19" t="s">
        <v>655</v>
      </c>
      <c r="M77" s="16" t="s">
        <v>656</v>
      </c>
      <c r="N77" s="16" t="s">
        <v>100</v>
      </c>
      <c r="O77" s="16" t="s">
        <v>642</v>
      </c>
      <c r="P77" s="16" t="s">
        <v>657</v>
      </c>
      <c r="Q77" s="20" t="n">
        <v>4</v>
      </c>
      <c r="R77" s="20" t="n">
        <v>3</v>
      </c>
      <c r="S77" s="20" t="n">
        <v>3</v>
      </c>
      <c r="T77" s="20" t="n">
        <v>3</v>
      </c>
      <c r="U77" s="21" t="n">
        <f aca="false">ROUND(Q77*Methodik!$B$5+R77*Methodik!$B$6+S77*Methodik!$B$7+T77*Methodik!$B$8,2)</f>
        <v>3.3</v>
      </c>
      <c r="V77" s="15" t="str">
        <f aca="false">IF(U77&gt;=Methodik!$B$11,"A",IF(U77&gt;=Methodik!$B$12,"B","C"))</f>
        <v>B</v>
      </c>
      <c r="W77" s="20"/>
      <c r="X77" s="15" t="str">
        <f aca="false">IF(W77="",V77,W77)</f>
        <v>B</v>
      </c>
      <c r="Y77" s="22" t="s">
        <v>51</v>
      </c>
      <c r="Z77" s="23"/>
      <c r="AA77" s="16" t="s">
        <v>609</v>
      </c>
      <c r="AB77" s="22"/>
      <c r="AC77" s="16"/>
      <c r="AD77" s="19" t="s">
        <v>105</v>
      </c>
      <c r="AE77" s="19" t="s">
        <v>105</v>
      </c>
      <c r="AF77" s="19" t="s">
        <v>106</v>
      </c>
      <c r="AG77" s="16"/>
      <c r="AH77" s="22"/>
      <c r="AI77" s="24"/>
      <c r="AJ77" s="23"/>
      <c r="AK77" s="23"/>
    </row>
    <row r="78" customFormat="false" ht="48" hidden="false" customHeight="true" outlineLevel="0" collapsed="false">
      <c r="A78" s="15" t="s">
        <v>658</v>
      </c>
      <c r="B78" s="15" t="s">
        <v>457</v>
      </c>
      <c r="C78" s="16" t="s">
        <v>14</v>
      </c>
      <c r="D78" s="17" t="s">
        <v>40</v>
      </c>
      <c r="E78" s="18" t="s">
        <v>659</v>
      </c>
      <c r="F78" s="16" t="s">
        <v>337</v>
      </c>
      <c r="G78" s="16" t="s">
        <v>660</v>
      </c>
      <c r="H78" s="15" t="s">
        <v>96</v>
      </c>
      <c r="I78" s="17" t="s">
        <v>27</v>
      </c>
      <c r="J78" s="17" t="s">
        <v>33</v>
      </c>
      <c r="K78" s="15" t="s">
        <v>97</v>
      </c>
      <c r="L78" s="19" t="s">
        <v>661</v>
      </c>
      <c r="M78" s="16" t="s">
        <v>662</v>
      </c>
      <c r="N78" s="16" t="s">
        <v>100</v>
      </c>
      <c r="O78" s="16" t="s">
        <v>663</v>
      </c>
      <c r="P78" s="16" t="s">
        <v>664</v>
      </c>
      <c r="Q78" s="20" t="n">
        <v>4</v>
      </c>
      <c r="R78" s="20" t="n">
        <v>2</v>
      </c>
      <c r="S78" s="20" t="n">
        <v>3</v>
      </c>
      <c r="T78" s="20" t="n">
        <v>3</v>
      </c>
      <c r="U78" s="21" t="n">
        <f aca="false">ROUND(Q78*Methodik!$B$5+R78*Methodik!$B$6+S78*Methodik!$B$7+T78*Methodik!$B$8,2)</f>
        <v>3</v>
      </c>
      <c r="V78" s="15" t="str">
        <f aca="false">IF(U78&gt;=Methodik!$B$11,"A",IF(U78&gt;=Methodik!$B$12,"B","C"))</f>
        <v>B</v>
      </c>
      <c r="W78" s="20"/>
      <c r="X78" s="15" t="str">
        <f aca="false">IF(W78="",V78,W78)</f>
        <v>B</v>
      </c>
      <c r="Y78" s="22" t="s">
        <v>51</v>
      </c>
      <c r="Z78" s="23"/>
      <c r="AA78" s="16" t="s">
        <v>609</v>
      </c>
      <c r="AB78" s="22"/>
      <c r="AC78" s="16"/>
      <c r="AD78" s="19" t="s">
        <v>105</v>
      </c>
      <c r="AE78" s="19" t="s">
        <v>105</v>
      </c>
      <c r="AF78" s="19" t="s">
        <v>106</v>
      </c>
      <c r="AG78" s="16"/>
      <c r="AH78" s="22"/>
      <c r="AI78" s="24"/>
      <c r="AJ78" s="23"/>
      <c r="AK78" s="23"/>
    </row>
    <row r="79" customFormat="false" ht="48" hidden="false" customHeight="true" outlineLevel="0" collapsed="false">
      <c r="A79" s="15" t="s">
        <v>665</v>
      </c>
      <c r="B79" s="15" t="s">
        <v>457</v>
      </c>
      <c r="C79" s="16" t="s">
        <v>14</v>
      </c>
      <c r="D79" s="17" t="s">
        <v>40</v>
      </c>
      <c r="E79" s="18" t="s">
        <v>666</v>
      </c>
      <c r="F79" s="16" t="s">
        <v>337</v>
      </c>
      <c r="G79" s="16" t="s">
        <v>667</v>
      </c>
      <c r="H79" s="15" t="s">
        <v>324</v>
      </c>
      <c r="I79" s="17" t="s">
        <v>23</v>
      </c>
      <c r="J79" s="17" t="s">
        <v>32</v>
      </c>
      <c r="K79" s="15" t="s">
        <v>180</v>
      </c>
      <c r="L79" s="19" t="s">
        <v>668</v>
      </c>
      <c r="M79" s="16" t="s">
        <v>669</v>
      </c>
      <c r="N79" s="16" t="s">
        <v>100</v>
      </c>
      <c r="O79" s="16" t="s">
        <v>670</v>
      </c>
      <c r="P79" s="16" t="s">
        <v>671</v>
      </c>
      <c r="Q79" s="20" t="n">
        <v>3</v>
      </c>
      <c r="R79" s="20" t="n">
        <v>2</v>
      </c>
      <c r="S79" s="20" t="n">
        <v>3</v>
      </c>
      <c r="T79" s="20" t="n">
        <v>3</v>
      </c>
      <c r="U79" s="21" t="n">
        <f aca="false">ROUND(Q79*Methodik!$B$5+R79*Methodik!$B$6+S79*Methodik!$B$7+T79*Methodik!$B$8,2)</f>
        <v>2.7</v>
      </c>
      <c r="V79" s="15" t="str">
        <f aca="false">IF(U79&gt;=Methodik!$B$11,"A",IF(U79&gt;=Methodik!$B$12,"B","C"))</f>
        <v>C</v>
      </c>
      <c r="W79" s="20"/>
      <c r="X79" s="15" t="str">
        <f aca="false">IF(W79="",V79,W79)</f>
        <v>C</v>
      </c>
      <c r="Y79" s="22" t="s">
        <v>51</v>
      </c>
      <c r="Z79" s="23"/>
      <c r="AA79" s="16" t="s">
        <v>609</v>
      </c>
      <c r="AB79" s="22"/>
      <c r="AC79" s="16"/>
      <c r="AD79" s="19" t="s">
        <v>105</v>
      </c>
      <c r="AE79" s="19" t="s">
        <v>105</v>
      </c>
      <c r="AF79" s="19" t="s">
        <v>106</v>
      </c>
      <c r="AG79" s="16" t="s">
        <v>672</v>
      </c>
      <c r="AH79" s="22"/>
      <c r="AI79" s="24"/>
      <c r="AJ79" s="23"/>
      <c r="AK79" s="23"/>
    </row>
    <row r="80" customFormat="false" ht="48" hidden="false" customHeight="true" outlineLevel="0" collapsed="false">
      <c r="A80" s="15" t="s">
        <v>673</v>
      </c>
      <c r="B80" s="15" t="s">
        <v>457</v>
      </c>
      <c r="C80" s="16" t="s">
        <v>14</v>
      </c>
      <c r="D80" s="17" t="s">
        <v>40</v>
      </c>
      <c r="E80" s="18" t="s">
        <v>674</v>
      </c>
      <c r="F80" s="16" t="s">
        <v>337</v>
      </c>
      <c r="G80" s="16" t="s">
        <v>675</v>
      </c>
      <c r="H80" s="15" t="s">
        <v>280</v>
      </c>
      <c r="I80" s="17" t="s">
        <v>29</v>
      </c>
      <c r="J80" s="17" t="s">
        <v>29</v>
      </c>
      <c r="K80" s="15" t="s">
        <v>281</v>
      </c>
      <c r="L80" s="19" t="s">
        <v>676</v>
      </c>
      <c r="M80" s="16" t="s">
        <v>677</v>
      </c>
      <c r="N80" s="16" t="s">
        <v>678</v>
      </c>
      <c r="O80" s="16" t="s">
        <v>679</v>
      </c>
      <c r="P80" s="16" t="s">
        <v>680</v>
      </c>
      <c r="Q80" s="20" t="n">
        <v>3</v>
      </c>
      <c r="R80" s="20" t="n">
        <v>2</v>
      </c>
      <c r="S80" s="20" t="n">
        <v>3</v>
      </c>
      <c r="T80" s="20" t="n">
        <v>3</v>
      </c>
      <c r="U80" s="21" t="n">
        <f aca="false">ROUND(Q80*Methodik!$B$5+R80*Methodik!$B$6+S80*Methodik!$B$7+T80*Methodik!$B$8,2)</f>
        <v>2.7</v>
      </c>
      <c r="V80" s="15" t="str">
        <f aca="false">IF(U80&gt;=Methodik!$B$11,"A",IF(U80&gt;=Methodik!$B$12,"B","C"))</f>
        <v>C</v>
      </c>
      <c r="W80" s="20"/>
      <c r="X80" s="15" t="str">
        <f aca="false">IF(W80="",V80,W80)</f>
        <v>C</v>
      </c>
      <c r="Y80" s="22" t="s">
        <v>51</v>
      </c>
      <c r="Z80" s="23"/>
      <c r="AA80" s="16" t="s">
        <v>609</v>
      </c>
      <c r="AB80" s="22"/>
      <c r="AC80" s="16"/>
      <c r="AD80" s="19" t="s">
        <v>105</v>
      </c>
      <c r="AE80" s="19" t="s">
        <v>105</v>
      </c>
      <c r="AF80" s="19" t="s">
        <v>106</v>
      </c>
      <c r="AG80" s="16"/>
      <c r="AH80" s="22"/>
      <c r="AI80" s="24"/>
      <c r="AJ80" s="23"/>
      <c r="AK80" s="23"/>
    </row>
    <row r="81" customFormat="false" ht="48" hidden="false" customHeight="true" outlineLevel="0" collapsed="false">
      <c r="A81" s="15" t="s">
        <v>681</v>
      </c>
      <c r="B81" s="15" t="s">
        <v>457</v>
      </c>
      <c r="C81" s="16" t="s">
        <v>14</v>
      </c>
      <c r="D81" s="17" t="s">
        <v>40</v>
      </c>
      <c r="E81" s="18" t="s">
        <v>682</v>
      </c>
      <c r="F81" s="16" t="s">
        <v>212</v>
      </c>
      <c r="G81" s="16" t="s">
        <v>683</v>
      </c>
      <c r="H81" s="15" t="s">
        <v>280</v>
      </c>
      <c r="I81" s="17" t="s">
        <v>29</v>
      </c>
      <c r="J81" s="17" t="s">
        <v>29</v>
      </c>
      <c r="K81" s="15" t="s">
        <v>281</v>
      </c>
      <c r="L81" s="19" t="s">
        <v>684</v>
      </c>
      <c r="M81" s="16" t="s">
        <v>212</v>
      </c>
      <c r="N81" s="16" t="s">
        <v>100</v>
      </c>
      <c r="O81" s="16" t="s">
        <v>663</v>
      </c>
      <c r="P81" s="16" t="s">
        <v>685</v>
      </c>
      <c r="Q81" s="20" t="n">
        <v>3</v>
      </c>
      <c r="R81" s="20" t="n">
        <v>2</v>
      </c>
      <c r="S81" s="20" t="n">
        <v>3</v>
      </c>
      <c r="T81" s="20" t="n">
        <v>2</v>
      </c>
      <c r="U81" s="21" t="n">
        <f aca="false">ROUND(Q81*Methodik!$B$5+R81*Methodik!$B$6+S81*Methodik!$B$7+T81*Methodik!$B$8,2)</f>
        <v>2.55</v>
      </c>
      <c r="V81" s="15" t="str">
        <f aca="false">IF(U81&gt;=Methodik!$B$11,"A",IF(U81&gt;=Methodik!$B$12,"B","C"))</f>
        <v>C</v>
      </c>
      <c r="W81" s="20"/>
      <c r="X81" s="15" t="str">
        <f aca="false">IF(W81="",V81,W81)</f>
        <v>C</v>
      </c>
      <c r="Y81" s="22" t="s">
        <v>51</v>
      </c>
      <c r="Z81" s="23"/>
      <c r="AA81" s="16" t="s">
        <v>609</v>
      </c>
      <c r="AB81" s="22"/>
      <c r="AC81" s="16"/>
      <c r="AD81" s="19" t="s">
        <v>105</v>
      </c>
      <c r="AE81" s="19" t="s">
        <v>105</v>
      </c>
      <c r="AF81" s="19" t="s">
        <v>106</v>
      </c>
      <c r="AG81" s="16" t="s">
        <v>686</v>
      </c>
      <c r="AH81" s="22"/>
      <c r="AI81" s="24"/>
      <c r="AJ81" s="23"/>
      <c r="AK81" s="23"/>
    </row>
    <row r="82" customFormat="false" ht="48" hidden="false" customHeight="true" outlineLevel="0" collapsed="false">
      <c r="A82" s="15" t="s">
        <v>687</v>
      </c>
      <c r="B82" s="15" t="s">
        <v>93</v>
      </c>
      <c r="C82" s="16" t="s">
        <v>15</v>
      </c>
      <c r="D82" s="17" t="s">
        <v>41</v>
      </c>
      <c r="E82" s="18" t="s">
        <v>688</v>
      </c>
      <c r="F82" s="16" t="s">
        <v>95</v>
      </c>
      <c r="G82" s="16" t="s">
        <v>689</v>
      </c>
      <c r="H82" s="15" t="s">
        <v>96</v>
      </c>
      <c r="I82" s="17" t="s">
        <v>26</v>
      </c>
      <c r="J82" s="17" t="s">
        <v>33</v>
      </c>
      <c r="K82" s="15" t="s">
        <v>126</v>
      </c>
      <c r="L82" s="19" t="s">
        <v>690</v>
      </c>
      <c r="M82" s="16" t="s">
        <v>691</v>
      </c>
      <c r="N82" s="16" t="s">
        <v>692</v>
      </c>
      <c r="O82" s="16" t="s">
        <v>693</v>
      </c>
      <c r="P82" s="16" t="s">
        <v>694</v>
      </c>
      <c r="Q82" s="20" t="n">
        <v>5</v>
      </c>
      <c r="R82" s="20" t="n">
        <v>5</v>
      </c>
      <c r="S82" s="20" t="n">
        <v>5</v>
      </c>
      <c r="T82" s="20" t="n">
        <v>3</v>
      </c>
      <c r="U82" s="21" t="n">
        <f aca="false">ROUND(Q82*Methodik!$B$5+R82*Methodik!$B$6+S82*Methodik!$B$7+T82*Methodik!$B$8,2)</f>
        <v>4.7</v>
      </c>
      <c r="V82" s="15" t="str">
        <f aca="false">IF(U82&gt;=Methodik!$B$11,"A",IF(U82&gt;=Methodik!$B$12,"B","C"))</f>
        <v>A</v>
      </c>
      <c r="W82" s="20"/>
      <c r="X82" s="15" t="str">
        <f aca="false">IF(W82="",V82,W82)</f>
        <v>A</v>
      </c>
      <c r="Y82" s="22" t="s">
        <v>51</v>
      </c>
      <c r="Z82" s="23"/>
      <c r="AA82" s="16" t="s">
        <v>695</v>
      </c>
      <c r="AB82" s="22"/>
      <c r="AC82" s="16"/>
      <c r="AD82" s="19" t="s">
        <v>105</v>
      </c>
      <c r="AE82" s="19" t="s">
        <v>105</v>
      </c>
      <c r="AF82" s="19" t="s">
        <v>106</v>
      </c>
      <c r="AG82" s="16"/>
      <c r="AH82" s="22"/>
      <c r="AI82" s="24"/>
      <c r="AJ82" s="23"/>
      <c r="AK82" s="23"/>
    </row>
    <row r="83" customFormat="false" ht="48" hidden="false" customHeight="true" outlineLevel="0" collapsed="false">
      <c r="A83" s="15" t="s">
        <v>696</v>
      </c>
      <c r="B83" s="15" t="s">
        <v>93</v>
      </c>
      <c r="C83" s="16" t="s">
        <v>15</v>
      </c>
      <c r="D83" s="17" t="s">
        <v>41</v>
      </c>
      <c r="E83" s="18" t="s">
        <v>697</v>
      </c>
      <c r="F83" s="16" t="s">
        <v>698</v>
      </c>
      <c r="G83" s="16" t="s">
        <v>699</v>
      </c>
      <c r="H83" s="15" t="s">
        <v>179</v>
      </c>
      <c r="I83" s="17" t="s">
        <v>23</v>
      </c>
      <c r="J83" s="17" t="s">
        <v>32</v>
      </c>
      <c r="K83" s="15" t="s">
        <v>180</v>
      </c>
      <c r="L83" s="19" t="s">
        <v>700</v>
      </c>
      <c r="M83" s="16" t="s">
        <v>212</v>
      </c>
      <c r="N83" s="16" t="s">
        <v>701</v>
      </c>
      <c r="O83" s="16" t="s">
        <v>702</v>
      </c>
      <c r="P83" s="16" t="s">
        <v>703</v>
      </c>
      <c r="Q83" s="20" t="n">
        <v>5</v>
      </c>
      <c r="R83" s="20" t="n">
        <v>5</v>
      </c>
      <c r="S83" s="20" t="n">
        <v>4</v>
      </c>
      <c r="T83" s="20" t="n">
        <v>3</v>
      </c>
      <c r="U83" s="21" t="n">
        <f aca="false">ROUND(Q83*Methodik!$B$5+R83*Methodik!$B$6+S83*Methodik!$B$7+T83*Methodik!$B$8,2)</f>
        <v>4.45</v>
      </c>
      <c r="V83" s="15" t="str">
        <f aca="false">IF(U83&gt;=Methodik!$B$11,"A",IF(U83&gt;=Methodik!$B$12,"B","C"))</f>
        <v>A</v>
      </c>
      <c r="W83" s="20"/>
      <c r="X83" s="15" t="str">
        <f aca="false">IF(W83="",V83,W83)</f>
        <v>A</v>
      </c>
      <c r="Y83" s="22" t="s">
        <v>51</v>
      </c>
      <c r="Z83" s="23"/>
      <c r="AA83" s="16" t="s">
        <v>695</v>
      </c>
      <c r="AB83" s="22"/>
      <c r="AC83" s="16"/>
      <c r="AD83" s="19" t="s">
        <v>105</v>
      </c>
      <c r="AE83" s="19" t="s">
        <v>105</v>
      </c>
      <c r="AF83" s="19" t="s">
        <v>106</v>
      </c>
      <c r="AG83" s="16"/>
      <c r="AH83" s="22"/>
      <c r="AI83" s="24"/>
      <c r="AJ83" s="23"/>
      <c r="AK83" s="23"/>
    </row>
    <row r="84" customFormat="false" ht="48" hidden="false" customHeight="true" outlineLevel="0" collapsed="false">
      <c r="A84" s="15" t="s">
        <v>704</v>
      </c>
      <c r="B84" s="15" t="s">
        <v>93</v>
      </c>
      <c r="C84" s="16" t="s">
        <v>15</v>
      </c>
      <c r="D84" s="17" t="s">
        <v>41</v>
      </c>
      <c r="E84" s="18" t="s">
        <v>705</v>
      </c>
      <c r="F84" s="16" t="s">
        <v>337</v>
      </c>
      <c r="G84" s="16" t="s">
        <v>706</v>
      </c>
      <c r="H84" s="15" t="s">
        <v>125</v>
      </c>
      <c r="I84" s="17" t="s">
        <v>29</v>
      </c>
      <c r="J84" s="17" t="s">
        <v>29</v>
      </c>
      <c r="K84" s="15" t="s">
        <v>584</v>
      </c>
      <c r="L84" s="19" t="s">
        <v>707</v>
      </c>
      <c r="M84" s="16" t="s">
        <v>212</v>
      </c>
      <c r="N84" s="16" t="s">
        <v>708</v>
      </c>
      <c r="O84" s="16" t="s">
        <v>709</v>
      </c>
      <c r="P84" s="16" t="s">
        <v>710</v>
      </c>
      <c r="Q84" s="20" t="n">
        <v>5</v>
      </c>
      <c r="R84" s="20" t="n">
        <v>5</v>
      </c>
      <c r="S84" s="20" t="n">
        <v>4</v>
      </c>
      <c r="T84" s="20" t="n">
        <v>3</v>
      </c>
      <c r="U84" s="21" t="n">
        <f aca="false">ROUND(Q84*Methodik!$B$5+R84*Methodik!$B$6+S84*Methodik!$B$7+T84*Methodik!$B$8,2)</f>
        <v>4.45</v>
      </c>
      <c r="V84" s="15" t="str">
        <f aca="false">IF(U84&gt;=Methodik!$B$11,"A",IF(U84&gt;=Methodik!$B$12,"B","C"))</f>
        <v>A</v>
      </c>
      <c r="W84" s="20"/>
      <c r="X84" s="15" t="str">
        <f aca="false">IF(W84="",V84,W84)</f>
        <v>A</v>
      </c>
      <c r="Y84" s="22" t="s">
        <v>51</v>
      </c>
      <c r="Z84" s="23"/>
      <c r="AA84" s="16" t="s">
        <v>695</v>
      </c>
      <c r="AB84" s="22"/>
      <c r="AC84" s="16"/>
      <c r="AD84" s="19" t="s">
        <v>105</v>
      </c>
      <c r="AE84" s="19" t="s">
        <v>105</v>
      </c>
      <c r="AF84" s="19" t="s">
        <v>106</v>
      </c>
      <c r="AG84" s="16" t="s">
        <v>711</v>
      </c>
      <c r="AH84" s="22"/>
      <c r="AI84" s="24"/>
      <c r="AJ84" s="23"/>
      <c r="AK84" s="23"/>
    </row>
    <row r="85" customFormat="false" ht="48" hidden="false" customHeight="true" outlineLevel="0" collapsed="false">
      <c r="A85" s="15" t="s">
        <v>712</v>
      </c>
      <c r="B85" s="15" t="s">
        <v>93</v>
      </c>
      <c r="C85" s="16" t="s">
        <v>15</v>
      </c>
      <c r="D85" s="17" t="s">
        <v>41</v>
      </c>
      <c r="E85" s="18" t="s">
        <v>713</v>
      </c>
      <c r="F85" s="16" t="s">
        <v>337</v>
      </c>
      <c r="G85" s="16" t="s">
        <v>714</v>
      </c>
      <c r="H85" s="15" t="s">
        <v>210</v>
      </c>
      <c r="I85" s="17" t="s">
        <v>25</v>
      </c>
      <c r="J85" s="17" t="s">
        <v>33</v>
      </c>
      <c r="K85" s="15" t="s">
        <v>97</v>
      </c>
      <c r="L85" s="19" t="s">
        <v>715</v>
      </c>
      <c r="M85" s="16" t="s">
        <v>212</v>
      </c>
      <c r="N85" s="16" t="s">
        <v>716</v>
      </c>
      <c r="O85" s="16" t="s">
        <v>717</v>
      </c>
      <c r="P85" s="16" t="s">
        <v>718</v>
      </c>
      <c r="Q85" s="20" t="n">
        <v>5</v>
      </c>
      <c r="R85" s="20" t="n">
        <v>4</v>
      </c>
      <c r="S85" s="20" t="n">
        <v>5</v>
      </c>
      <c r="T85" s="20" t="n">
        <v>3</v>
      </c>
      <c r="U85" s="21" t="n">
        <f aca="false">ROUND(Q85*Methodik!$B$5+R85*Methodik!$B$6+S85*Methodik!$B$7+T85*Methodik!$B$8,2)</f>
        <v>4.4</v>
      </c>
      <c r="V85" s="15" t="str">
        <f aca="false">IF(U85&gt;=Methodik!$B$11,"A",IF(U85&gt;=Methodik!$B$12,"B","C"))</f>
        <v>A</v>
      </c>
      <c r="W85" s="20"/>
      <c r="X85" s="15" t="str">
        <f aca="false">IF(W85="",V85,W85)</f>
        <v>A</v>
      </c>
      <c r="Y85" s="22" t="s">
        <v>51</v>
      </c>
      <c r="Z85" s="23"/>
      <c r="AA85" s="16" t="s">
        <v>695</v>
      </c>
      <c r="AB85" s="22"/>
      <c r="AC85" s="16"/>
      <c r="AD85" s="19" t="s">
        <v>105</v>
      </c>
      <c r="AE85" s="19" t="s">
        <v>105</v>
      </c>
      <c r="AF85" s="19" t="s">
        <v>106</v>
      </c>
      <c r="AG85" s="16"/>
      <c r="AH85" s="22"/>
      <c r="AI85" s="24"/>
      <c r="AJ85" s="23"/>
      <c r="AK85" s="23"/>
    </row>
    <row r="86" customFormat="false" ht="48" hidden="false" customHeight="true" outlineLevel="0" collapsed="false">
      <c r="A86" s="15" t="s">
        <v>719</v>
      </c>
      <c r="B86" s="15" t="s">
        <v>457</v>
      </c>
      <c r="C86" s="16" t="s">
        <v>15</v>
      </c>
      <c r="D86" s="17" t="s">
        <v>41</v>
      </c>
      <c r="E86" s="18" t="s">
        <v>720</v>
      </c>
      <c r="F86" s="16" t="s">
        <v>337</v>
      </c>
      <c r="G86" s="16" t="s">
        <v>721</v>
      </c>
      <c r="H86" s="15" t="s">
        <v>125</v>
      </c>
      <c r="I86" s="17" t="s">
        <v>24</v>
      </c>
      <c r="J86" s="17" t="s">
        <v>33</v>
      </c>
      <c r="K86" s="15" t="s">
        <v>97</v>
      </c>
      <c r="L86" s="19" t="s">
        <v>722</v>
      </c>
      <c r="M86" s="16" t="s">
        <v>212</v>
      </c>
      <c r="N86" s="16" t="s">
        <v>723</v>
      </c>
      <c r="O86" s="16" t="s">
        <v>724</v>
      </c>
      <c r="P86" s="16" t="s">
        <v>725</v>
      </c>
      <c r="Q86" s="20" t="n">
        <v>5</v>
      </c>
      <c r="R86" s="20" t="n">
        <v>4</v>
      </c>
      <c r="S86" s="20" t="n">
        <v>5</v>
      </c>
      <c r="T86" s="20" t="n">
        <v>3</v>
      </c>
      <c r="U86" s="21" t="n">
        <f aca="false">ROUND(Q86*Methodik!$B$5+R86*Methodik!$B$6+S86*Methodik!$B$7+T86*Methodik!$B$8,2)</f>
        <v>4.4</v>
      </c>
      <c r="V86" s="15" t="str">
        <f aca="false">IF(U86&gt;=Methodik!$B$11,"A",IF(U86&gt;=Methodik!$B$12,"B","C"))</f>
        <v>A</v>
      </c>
      <c r="W86" s="20"/>
      <c r="X86" s="15" t="str">
        <f aca="false">IF(W86="",V86,W86)</f>
        <v>A</v>
      </c>
      <c r="Y86" s="22" t="s">
        <v>51</v>
      </c>
      <c r="Z86" s="23"/>
      <c r="AA86" s="16" t="s">
        <v>695</v>
      </c>
      <c r="AB86" s="22"/>
      <c r="AC86" s="16"/>
      <c r="AD86" s="19" t="s">
        <v>105</v>
      </c>
      <c r="AE86" s="19" t="s">
        <v>105</v>
      </c>
      <c r="AF86" s="19" t="s">
        <v>106</v>
      </c>
      <c r="AG86" s="16"/>
      <c r="AH86" s="22"/>
      <c r="AI86" s="24"/>
      <c r="AJ86" s="23"/>
      <c r="AK86" s="23"/>
    </row>
    <row r="87" customFormat="false" ht="48" hidden="false" customHeight="true" outlineLevel="0" collapsed="false">
      <c r="A87" s="15" t="s">
        <v>726</v>
      </c>
      <c r="B87" s="15" t="s">
        <v>457</v>
      </c>
      <c r="C87" s="16" t="s">
        <v>15</v>
      </c>
      <c r="D87" s="17" t="s">
        <v>41</v>
      </c>
      <c r="E87" s="18" t="s">
        <v>727</v>
      </c>
      <c r="F87" s="16" t="s">
        <v>337</v>
      </c>
      <c r="G87" s="16" t="s">
        <v>305</v>
      </c>
      <c r="H87" s="15" t="s">
        <v>306</v>
      </c>
      <c r="I87" s="17" t="s">
        <v>27</v>
      </c>
      <c r="J87" s="17" t="s">
        <v>33</v>
      </c>
      <c r="K87" s="15" t="s">
        <v>97</v>
      </c>
      <c r="L87" s="19" t="s">
        <v>728</v>
      </c>
      <c r="M87" s="16" t="s">
        <v>212</v>
      </c>
      <c r="N87" s="16" t="s">
        <v>729</v>
      </c>
      <c r="O87" s="16" t="s">
        <v>730</v>
      </c>
      <c r="P87" s="16" t="s">
        <v>731</v>
      </c>
      <c r="Q87" s="20" t="n">
        <v>4</v>
      </c>
      <c r="R87" s="20" t="n">
        <v>4</v>
      </c>
      <c r="S87" s="20" t="n">
        <v>3</v>
      </c>
      <c r="T87" s="20" t="n">
        <v>3</v>
      </c>
      <c r="U87" s="21" t="n">
        <f aca="false">ROUND(Q87*Methodik!$B$5+R87*Methodik!$B$6+S87*Methodik!$B$7+T87*Methodik!$B$8,2)</f>
        <v>3.6</v>
      </c>
      <c r="V87" s="15" t="str">
        <f aca="false">IF(U87&gt;=Methodik!$B$11,"A",IF(U87&gt;=Methodik!$B$12,"B","C"))</f>
        <v>B</v>
      </c>
      <c r="W87" s="20"/>
      <c r="X87" s="15" t="str">
        <f aca="false">IF(W87="",V87,W87)</f>
        <v>B</v>
      </c>
      <c r="Y87" s="22" t="s">
        <v>51</v>
      </c>
      <c r="Z87" s="23"/>
      <c r="AA87" s="16" t="s">
        <v>695</v>
      </c>
      <c r="AB87" s="22"/>
      <c r="AC87" s="16"/>
      <c r="AD87" s="19" t="s">
        <v>105</v>
      </c>
      <c r="AE87" s="19" t="s">
        <v>105</v>
      </c>
      <c r="AF87" s="19" t="s">
        <v>106</v>
      </c>
      <c r="AG87" s="16"/>
      <c r="AH87" s="22"/>
      <c r="AI87" s="24"/>
      <c r="AJ87" s="23"/>
      <c r="AK87" s="23"/>
    </row>
    <row r="88" customFormat="false" ht="48" hidden="false" customHeight="true" outlineLevel="0" collapsed="false">
      <c r="A88" s="15" t="s">
        <v>732</v>
      </c>
      <c r="B88" s="15" t="s">
        <v>457</v>
      </c>
      <c r="C88" s="16" t="s">
        <v>15</v>
      </c>
      <c r="D88" s="17" t="s">
        <v>41</v>
      </c>
      <c r="E88" s="18" t="s">
        <v>733</v>
      </c>
      <c r="F88" s="16" t="s">
        <v>337</v>
      </c>
      <c r="G88" s="16" t="s">
        <v>734</v>
      </c>
      <c r="H88" s="15" t="s">
        <v>152</v>
      </c>
      <c r="I88" s="17" t="s">
        <v>28</v>
      </c>
      <c r="J88" s="17" t="s">
        <v>33</v>
      </c>
      <c r="K88" s="15" t="s">
        <v>97</v>
      </c>
      <c r="L88" s="19" t="s">
        <v>735</v>
      </c>
      <c r="M88" s="16" t="s">
        <v>212</v>
      </c>
      <c r="N88" s="16" t="s">
        <v>736</v>
      </c>
      <c r="O88" s="16" t="s">
        <v>221</v>
      </c>
      <c r="P88" s="16" t="s">
        <v>737</v>
      </c>
      <c r="Q88" s="20" t="n">
        <v>4</v>
      </c>
      <c r="R88" s="20" t="n">
        <v>3</v>
      </c>
      <c r="S88" s="20" t="n">
        <v>4</v>
      </c>
      <c r="T88" s="20" t="n">
        <v>3</v>
      </c>
      <c r="U88" s="21" t="n">
        <f aca="false">ROUND(Q88*Methodik!$B$5+R88*Methodik!$B$6+S88*Methodik!$B$7+T88*Methodik!$B$8,2)</f>
        <v>3.55</v>
      </c>
      <c r="V88" s="15" t="str">
        <f aca="false">IF(U88&gt;=Methodik!$B$11,"A",IF(U88&gt;=Methodik!$B$12,"B","C"))</f>
        <v>B</v>
      </c>
      <c r="W88" s="20"/>
      <c r="X88" s="15" t="str">
        <f aca="false">IF(W88="",V88,W88)</f>
        <v>B</v>
      </c>
      <c r="Y88" s="22" t="s">
        <v>51</v>
      </c>
      <c r="Z88" s="23"/>
      <c r="AA88" s="16" t="s">
        <v>695</v>
      </c>
      <c r="AB88" s="22"/>
      <c r="AC88" s="16"/>
      <c r="AD88" s="19" t="s">
        <v>105</v>
      </c>
      <c r="AE88" s="19" t="s">
        <v>105</v>
      </c>
      <c r="AF88" s="19" t="s">
        <v>106</v>
      </c>
      <c r="AG88" s="16"/>
      <c r="AH88" s="22"/>
      <c r="AI88" s="24"/>
      <c r="AJ88" s="23"/>
      <c r="AK88" s="23"/>
    </row>
    <row r="89" customFormat="false" ht="48" hidden="false" customHeight="true" outlineLevel="0" collapsed="false">
      <c r="A89" s="15" t="s">
        <v>738</v>
      </c>
      <c r="B89" s="15" t="s">
        <v>457</v>
      </c>
      <c r="C89" s="16" t="s">
        <v>15</v>
      </c>
      <c r="D89" s="17" t="s">
        <v>41</v>
      </c>
      <c r="E89" s="18" t="s">
        <v>739</v>
      </c>
      <c r="F89" s="16" t="s">
        <v>337</v>
      </c>
      <c r="G89" s="16" t="s">
        <v>497</v>
      </c>
      <c r="H89" s="15" t="s">
        <v>96</v>
      </c>
      <c r="I89" s="17" t="s">
        <v>26</v>
      </c>
      <c r="J89" s="17" t="s">
        <v>33</v>
      </c>
      <c r="K89" s="15" t="s">
        <v>126</v>
      </c>
      <c r="L89" s="19" t="s">
        <v>740</v>
      </c>
      <c r="M89" s="16" t="s">
        <v>212</v>
      </c>
      <c r="N89" s="16" t="s">
        <v>741</v>
      </c>
      <c r="O89" s="16" t="s">
        <v>578</v>
      </c>
      <c r="P89" s="16" t="s">
        <v>742</v>
      </c>
      <c r="Q89" s="20" t="n">
        <v>4</v>
      </c>
      <c r="R89" s="20" t="n">
        <v>3</v>
      </c>
      <c r="S89" s="20" t="n">
        <v>4</v>
      </c>
      <c r="T89" s="20" t="n">
        <v>3</v>
      </c>
      <c r="U89" s="21" t="n">
        <f aca="false">ROUND(Q89*Methodik!$B$5+R89*Methodik!$B$6+S89*Methodik!$B$7+T89*Methodik!$B$8,2)</f>
        <v>3.55</v>
      </c>
      <c r="V89" s="15" t="str">
        <f aca="false">IF(U89&gt;=Methodik!$B$11,"A",IF(U89&gt;=Methodik!$B$12,"B","C"))</f>
        <v>B</v>
      </c>
      <c r="W89" s="20"/>
      <c r="X89" s="15" t="str">
        <f aca="false">IF(W89="",V89,W89)</f>
        <v>B</v>
      </c>
      <c r="Y89" s="22" t="s">
        <v>51</v>
      </c>
      <c r="Z89" s="23"/>
      <c r="AA89" s="16" t="s">
        <v>695</v>
      </c>
      <c r="AB89" s="22"/>
      <c r="AC89" s="16"/>
      <c r="AD89" s="19" t="s">
        <v>105</v>
      </c>
      <c r="AE89" s="19" t="s">
        <v>105</v>
      </c>
      <c r="AF89" s="19" t="s">
        <v>106</v>
      </c>
      <c r="AG89" s="16"/>
      <c r="AH89" s="22"/>
      <c r="AI89" s="24"/>
      <c r="AJ89" s="23"/>
      <c r="AK89" s="23"/>
    </row>
    <row r="90" customFormat="false" ht="48" hidden="false" customHeight="true" outlineLevel="0" collapsed="false">
      <c r="A90" s="15" t="s">
        <v>743</v>
      </c>
      <c r="B90" s="15" t="s">
        <v>457</v>
      </c>
      <c r="C90" s="16" t="s">
        <v>15</v>
      </c>
      <c r="D90" s="17" t="s">
        <v>41</v>
      </c>
      <c r="E90" s="18" t="s">
        <v>744</v>
      </c>
      <c r="F90" s="16" t="s">
        <v>337</v>
      </c>
      <c r="G90" s="16" t="s">
        <v>745</v>
      </c>
      <c r="H90" s="15" t="s">
        <v>96</v>
      </c>
      <c r="I90" s="17" t="s">
        <v>26</v>
      </c>
      <c r="J90" s="17" t="s">
        <v>33</v>
      </c>
      <c r="K90" s="15" t="s">
        <v>126</v>
      </c>
      <c r="L90" s="19" t="s">
        <v>746</v>
      </c>
      <c r="M90" s="16" t="s">
        <v>747</v>
      </c>
      <c r="N90" s="16" t="s">
        <v>748</v>
      </c>
      <c r="O90" s="16" t="s">
        <v>730</v>
      </c>
      <c r="P90" s="16" t="s">
        <v>749</v>
      </c>
      <c r="Q90" s="20" t="n">
        <v>4</v>
      </c>
      <c r="R90" s="20" t="n">
        <v>3</v>
      </c>
      <c r="S90" s="20" t="n">
        <v>3</v>
      </c>
      <c r="T90" s="20" t="n">
        <v>3</v>
      </c>
      <c r="U90" s="21" t="n">
        <f aca="false">ROUND(Q90*Methodik!$B$5+R90*Methodik!$B$6+S90*Methodik!$B$7+T90*Methodik!$B$8,2)</f>
        <v>3.3</v>
      </c>
      <c r="V90" s="15" t="str">
        <f aca="false">IF(U90&gt;=Methodik!$B$11,"A",IF(U90&gt;=Methodik!$B$12,"B","C"))</f>
        <v>B</v>
      </c>
      <c r="W90" s="20"/>
      <c r="X90" s="15" t="str">
        <f aca="false">IF(W90="",V90,W90)</f>
        <v>B</v>
      </c>
      <c r="Y90" s="22" t="s">
        <v>51</v>
      </c>
      <c r="Z90" s="23"/>
      <c r="AA90" s="16" t="s">
        <v>695</v>
      </c>
      <c r="AB90" s="22"/>
      <c r="AC90" s="16"/>
      <c r="AD90" s="19" t="s">
        <v>105</v>
      </c>
      <c r="AE90" s="19" t="s">
        <v>105</v>
      </c>
      <c r="AF90" s="19" t="s">
        <v>106</v>
      </c>
      <c r="AG90" s="16"/>
      <c r="AH90" s="22"/>
      <c r="AI90" s="24"/>
      <c r="AJ90" s="23"/>
      <c r="AK90" s="23"/>
    </row>
    <row r="91" customFormat="false" ht="48" hidden="false" customHeight="true" outlineLevel="0" collapsed="false">
      <c r="A91" s="15" t="s">
        <v>750</v>
      </c>
      <c r="B91" s="15" t="s">
        <v>457</v>
      </c>
      <c r="C91" s="16" t="s">
        <v>15</v>
      </c>
      <c r="D91" s="17" t="s">
        <v>41</v>
      </c>
      <c r="E91" s="18" t="s">
        <v>751</v>
      </c>
      <c r="F91" s="16" t="s">
        <v>337</v>
      </c>
      <c r="G91" s="16" t="s">
        <v>178</v>
      </c>
      <c r="H91" s="15" t="s">
        <v>179</v>
      </c>
      <c r="I91" s="17" t="s">
        <v>23</v>
      </c>
      <c r="J91" s="17" t="s">
        <v>32</v>
      </c>
      <c r="K91" s="15" t="s">
        <v>180</v>
      </c>
      <c r="L91" s="19" t="s">
        <v>752</v>
      </c>
      <c r="M91" s="16" t="s">
        <v>212</v>
      </c>
      <c r="N91" s="16" t="s">
        <v>753</v>
      </c>
      <c r="O91" s="16" t="s">
        <v>221</v>
      </c>
      <c r="P91" s="16" t="s">
        <v>754</v>
      </c>
      <c r="Q91" s="20" t="n">
        <v>3</v>
      </c>
      <c r="R91" s="20" t="n">
        <v>3</v>
      </c>
      <c r="S91" s="20" t="n">
        <v>3</v>
      </c>
      <c r="T91" s="20" t="n">
        <v>3</v>
      </c>
      <c r="U91" s="21" t="n">
        <f aca="false">ROUND(Q91*Methodik!$B$5+R91*Methodik!$B$6+S91*Methodik!$B$7+T91*Methodik!$B$8,2)</f>
        <v>3</v>
      </c>
      <c r="V91" s="15" t="str">
        <f aca="false">IF(U91&gt;=Methodik!$B$11,"A",IF(U91&gt;=Methodik!$B$12,"B","C"))</f>
        <v>B</v>
      </c>
      <c r="W91" s="20"/>
      <c r="X91" s="15" t="str">
        <f aca="false">IF(W91="",V91,W91)</f>
        <v>B</v>
      </c>
      <c r="Y91" s="22" t="s">
        <v>51</v>
      </c>
      <c r="Z91" s="23"/>
      <c r="AA91" s="16" t="s">
        <v>695</v>
      </c>
      <c r="AB91" s="22"/>
      <c r="AC91" s="16"/>
      <c r="AD91" s="19" t="s">
        <v>105</v>
      </c>
      <c r="AE91" s="19" t="s">
        <v>105</v>
      </c>
      <c r="AF91" s="19" t="s">
        <v>106</v>
      </c>
      <c r="AG91" s="16"/>
      <c r="AH91" s="22"/>
      <c r="AI91" s="24"/>
      <c r="AJ91" s="23"/>
      <c r="AK91" s="23"/>
    </row>
    <row r="92" customFormat="false" ht="48" hidden="false" customHeight="true" outlineLevel="0" collapsed="false">
      <c r="A92" s="15" t="s">
        <v>755</v>
      </c>
      <c r="B92" s="15" t="s">
        <v>457</v>
      </c>
      <c r="C92" s="16" t="s">
        <v>15</v>
      </c>
      <c r="D92" s="17" t="s">
        <v>41</v>
      </c>
      <c r="E92" s="18" t="s">
        <v>756</v>
      </c>
      <c r="F92" s="16" t="s">
        <v>337</v>
      </c>
      <c r="G92" s="16" t="s">
        <v>29</v>
      </c>
      <c r="H92" s="15" t="s">
        <v>280</v>
      </c>
      <c r="I92" s="17" t="s">
        <v>29</v>
      </c>
      <c r="J92" s="17" t="s">
        <v>29</v>
      </c>
      <c r="K92" s="15" t="s">
        <v>281</v>
      </c>
      <c r="L92" s="19" t="s">
        <v>757</v>
      </c>
      <c r="M92" s="16" t="s">
        <v>212</v>
      </c>
      <c r="N92" s="16" t="s">
        <v>100</v>
      </c>
      <c r="O92" s="16" t="s">
        <v>758</v>
      </c>
      <c r="P92" s="16" t="s">
        <v>759</v>
      </c>
      <c r="Q92" s="20" t="n">
        <v>3</v>
      </c>
      <c r="R92" s="20" t="n">
        <v>2</v>
      </c>
      <c r="S92" s="20" t="n">
        <v>2</v>
      </c>
      <c r="T92" s="20" t="n">
        <v>3</v>
      </c>
      <c r="U92" s="21" t="n">
        <f aca="false">ROUND(Q92*Methodik!$B$5+R92*Methodik!$B$6+S92*Methodik!$B$7+T92*Methodik!$B$8,2)</f>
        <v>2.45</v>
      </c>
      <c r="V92" s="15" t="str">
        <f aca="false">IF(U92&gt;=Methodik!$B$11,"A",IF(U92&gt;=Methodik!$B$12,"B","C"))</f>
        <v>C</v>
      </c>
      <c r="W92" s="20"/>
      <c r="X92" s="15" t="str">
        <f aca="false">IF(W92="",V92,W92)</f>
        <v>C</v>
      </c>
      <c r="Y92" s="22" t="s">
        <v>51</v>
      </c>
      <c r="Z92" s="23"/>
      <c r="AA92" s="16" t="s">
        <v>695</v>
      </c>
      <c r="AB92" s="22"/>
      <c r="AC92" s="16"/>
      <c r="AD92" s="19" t="s">
        <v>105</v>
      </c>
      <c r="AE92" s="19" t="s">
        <v>105</v>
      </c>
      <c r="AF92" s="19" t="s">
        <v>106</v>
      </c>
      <c r="AG92" s="16" t="s">
        <v>760</v>
      </c>
      <c r="AH92" s="22"/>
      <c r="AI92" s="24"/>
      <c r="AJ92" s="23"/>
      <c r="AK92" s="23"/>
    </row>
    <row r="93" customFormat="false" ht="48" hidden="false" customHeight="true" outlineLevel="0" collapsed="false">
      <c r="A93" s="15" t="s">
        <v>761</v>
      </c>
      <c r="B93" s="15" t="s">
        <v>93</v>
      </c>
      <c r="C93" s="16" t="s">
        <v>15</v>
      </c>
      <c r="D93" s="17" t="s">
        <v>42</v>
      </c>
      <c r="E93" s="18" t="s">
        <v>762</v>
      </c>
      <c r="F93" s="16" t="s">
        <v>763</v>
      </c>
      <c r="G93" s="16" t="s">
        <v>764</v>
      </c>
      <c r="H93" s="15" t="s">
        <v>96</v>
      </c>
      <c r="I93" s="17" t="s">
        <v>26</v>
      </c>
      <c r="J93" s="17" t="s">
        <v>33</v>
      </c>
      <c r="K93" s="15" t="s">
        <v>765</v>
      </c>
      <c r="L93" s="19" t="s">
        <v>766</v>
      </c>
      <c r="M93" s="16" t="s">
        <v>767</v>
      </c>
      <c r="N93" s="16" t="s">
        <v>768</v>
      </c>
      <c r="O93" s="16" t="s">
        <v>769</v>
      </c>
      <c r="P93" s="16" t="s">
        <v>770</v>
      </c>
      <c r="Q93" s="20" t="n">
        <v>5</v>
      </c>
      <c r="R93" s="20" t="n">
        <v>5</v>
      </c>
      <c r="S93" s="20" t="n">
        <v>5</v>
      </c>
      <c r="T93" s="20" t="n">
        <v>3</v>
      </c>
      <c r="U93" s="21" t="n">
        <f aca="false">ROUND(Q93*Methodik!$B$5+R93*Methodik!$B$6+S93*Methodik!$B$7+T93*Methodik!$B$8,2)</f>
        <v>4.7</v>
      </c>
      <c r="V93" s="15" t="str">
        <f aca="false">IF(U93&gt;=Methodik!$B$11,"A",IF(U93&gt;=Methodik!$B$12,"B","C"))</f>
        <v>A</v>
      </c>
      <c r="W93" s="20"/>
      <c r="X93" s="15" t="str">
        <f aca="false">IF(W93="",V93,W93)</f>
        <v>A</v>
      </c>
      <c r="Y93" s="22" t="s">
        <v>51</v>
      </c>
      <c r="Z93" s="23"/>
      <c r="AA93" s="16" t="s">
        <v>771</v>
      </c>
      <c r="AB93" s="22"/>
      <c r="AC93" s="16"/>
      <c r="AD93" s="19" t="s">
        <v>105</v>
      </c>
      <c r="AE93" s="19" t="s">
        <v>105</v>
      </c>
      <c r="AF93" s="19" t="s">
        <v>106</v>
      </c>
      <c r="AG93" s="16" t="s">
        <v>772</v>
      </c>
      <c r="AH93" s="22"/>
      <c r="AI93" s="24"/>
      <c r="AJ93" s="23"/>
      <c r="AK93" s="23"/>
    </row>
    <row r="94" customFormat="false" ht="48" hidden="false" customHeight="true" outlineLevel="0" collapsed="false">
      <c r="A94" s="15" t="s">
        <v>773</v>
      </c>
      <c r="B94" s="15" t="s">
        <v>93</v>
      </c>
      <c r="C94" s="16" t="s">
        <v>15</v>
      </c>
      <c r="D94" s="17" t="s">
        <v>42</v>
      </c>
      <c r="E94" s="18" t="s">
        <v>774</v>
      </c>
      <c r="F94" s="16" t="s">
        <v>775</v>
      </c>
      <c r="G94" s="16" t="s">
        <v>776</v>
      </c>
      <c r="H94" s="15" t="s">
        <v>210</v>
      </c>
      <c r="I94" s="17" t="s">
        <v>25</v>
      </c>
      <c r="J94" s="17" t="s">
        <v>33</v>
      </c>
      <c r="K94" s="15" t="s">
        <v>97</v>
      </c>
      <c r="L94" s="19" t="s">
        <v>775</v>
      </c>
      <c r="M94" s="16" t="s">
        <v>777</v>
      </c>
      <c r="N94" s="16" t="s">
        <v>778</v>
      </c>
      <c r="O94" s="16" t="s">
        <v>779</v>
      </c>
      <c r="P94" s="16" t="s">
        <v>780</v>
      </c>
      <c r="Q94" s="20" t="n">
        <v>5</v>
      </c>
      <c r="R94" s="20" t="n">
        <v>5</v>
      </c>
      <c r="S94" s="20" t="n">
        <v>5</v>
      </c>
      <c r="T94" s="20" t="n">
        <v>3</v>
      </c>
      <c r="U94" s="21" t="n">
        <f aca="false">ROUND(Q94*Methodik!$B$5+R94*Methodik!$B$6+S94*Methodik!$B$7+T94*Methodik!$B$8,2)</f>
        <v>4.7</v>
      </c>
      <c r="V94" s="15" t="str">
        <f aca="false">IF(U94&gt;=Methodik!$B$11,"A",IF(U94&gt;=Methodik!$B$12,"B","C"))</f>
        <v>A</v>
      </c>
      <c r="W94" s="20"/>
      <c r="X94" s="15" t="str">
        <f aca="false">IF(W94="",V94,W94)</f>
        <v>A</v>
      </c>
      <c r="Y94" s="22" t="s">
        <v>51</v>
      </c>
      <c r="Z94" s="23"/>
      <c r="AA94" s="16" t="s">
        <v>771</v>
      </c>
      <c r="AB94" s="22"/>
      <c r="AC94" s="16"/>
      <c r="AD94" s="19" t="s">
        <v>105</v>
      </c>
      <c r="AE94" s="19" t="s">
        <v>105</v>
      </c>
      <c r="AF94" s="19" t="s">
        <v>106</v>
      </c>
      <c r="AG94" s="16"/>
      <c r="AH94" s="22"/>
      <c r="AI94" s="24"/>
      <c r="AJ94" s="23"/>
      <c r="AK94" s="23"/>
    </row>
    <row r="95" customFormat="false" ht="48" hidden="false" customHeight="true" outlineLevel="0" collapsed="false">
      <c r="A95" s="15" t="s">
        <v>781</v>
      </c>
      <c r="B95" s="15" t="s">
        <v>93</v>
      </c>
      <c r="C95" s="16" t="s">
        <v>15</v>
      </c>
      <c r="D95" s="17" t="s">
        <v>42</v>
      </c>
      <c r="E95" s="18" t="s">
        <v>782</v>
      </c>
      <c r="F95" s="16" t="s">
        <v>783</v>
      </c>
      <c r="G95" s="16" t="s">
        <v>784</v>
      </c>
      <c r="H95" s="15" t="s">
        <v>339</v>
      </c>
      <c r="I95" s="17" t="s">
        <v>27</v>
      </c>
      <c r="J95" s="17" t="s">
        <v>33</v>
      </c>
      <c r="K95" s="15" t="s">
        <v>765</v>
      </c>
      <c r="L95" s="19" t="s">
        <v>785</v>
      </c>
      <c r="M95" s="16" t="s">
        <v>786</v>
      </c>
      <c r="N95" s="16" t="s">
        <v>787</v>
      </c>
      <c r="O95" s="16" t="s">
        <v>788</v>
      </c>
      <c r="P95" s="16" t="s">
        <v>789</v>
      </c>
      <c r="Q95" s="20" t="n">
        <v>5</v>
      </c>
      <c r="R95" s="20" t="n">
        <v>5</v>
      </c>
      <c r="S95" s="20" t="n">
        <v>5</v>
      </c>
      <c r="T95" s="20" t="n">
        <v>2</v>
      </c>
      <c r="U95" s="21" t="n">
        <f aca="false">ROUND(Q95*Methodik!$B$5+R95*Methodik!$B$6+S95*Methodik!$B$7+T95*Methodik!$B$8,2)</f>
        <v>4.55</v>
      </c>
      <c r="V95" s="15" t="str">
        <f aca="false">IF(U95&gt;=Methodik!$B$11,"A",IF(U95&gt;=Methodik!$B$12,"B","C"))</f>
        <v>A</v>
      </c>
      <c r="W95" s="20"/>
      <c r="X95" s="15" t="str">
        <f aca="false">IF(W95="",V95,W95)</f>
        <v>A</v>
      </c>
      <c r="Y95" s="22" t="s">
        <v>51</v>
      </c>
      <c r="Z95" s="23"/>
      <c r="AA95" s="16" t="s">
        <v>771</v>
      </c>
      <c r="AB95" s="22"/>
      <c r="AC95" s="16"/>
      <c r="AD95" s="19" t="s">
        <v>105</v>
      </c>
      <c r="AE95" s="19" t="s">
        <v>105</v>
      </c>
      <c r="AF95" s="19" t="s">
        <v>106</v>
      </c>
      <c r="AG95" s="16"/>
      <c r="AH95" s="22"/>
      <c r="AI95" s="24"/>
      <c r="AJ95" s="23"/>
      <c r="AK95" s="23"/>
    </row>
    <row r="96" customFormat="false" ht="48" hidden="false" customHeight="true" outlineLevel="0" collapsed="false">
      <c r="A96" s="15" t="s">
        <v>790</v>
      </c>
      <c r="B96" s="15" t="s">
        <v>93</v>
      </c>
      <c r="C96" s="16" t="s">
        <v>15</v>
      </c>
      <c r="D96" s="17" t="s">
        <v>42</v>
      </c>
      <c r="E96" s="18" t="s">
        <v>791</v>
      </c>
      <c r="F96" s="16" t="s">
        <v>792</v>
      </c>
      <c r="G96" s="16" t="s">
        <v>793</v>
      </c>
      <c r="H96" s="15" t="s">
        <v>189</v>
      </c>
      <c r="I96" s="17" t="s">
        <v>25</v>
      </c>
      <c r="J96" s="17" t="s">
        <v>33</v>
      </c>
      <c r="K96" s="15" t="s">
        <v>794</v>
      </c>
      <c r="L96" s="19" t="s">
        <v>795</v>
      </c>
      <c r="M96" s="16" t="s">
        <v>796</v>
      </c>
      <c r="N96" s="16" t="s">
        <v>797</v>
      </c>
      <c r="O96" s="16" t="s">
        <v>769</v>
      </c>
      <c r="P96" s="16" t="s">
        <v>798</v>
      </c>
      <c r="Q96" s="20" t="n">
        <v>5</v>
      </c>
      <c r="R96" s="20" t="n">
        <v>4</v>
      </c>
      <c r="S96" s="20" t="n">
        <v>5</v>
      </c>
      <c r="T96" s="20" t="n">
        <v>3</v>
      </c>
      <c r="U96" s="21" t="n">
        <f aca="false">ROUND(Q96*Methodik!$B$5+R96*Methodik!$B$6+S96*Methodik!$B$7+T96*Methodik!$B$8,2)</f>
        <v>4.4</v>
      </c>
      <c r="V96" s="15" t="str">
        <f aca="false">IF(U96&gt;=Methodik!$B$11,"A",IF(U96&gt;=Methodik!$B$12,"B","C"))</f>
        <v>A</v>
      </c>
      <c r="W96" s="20"/>
      <c r="X96" s="15" t="str">
        <f aca="false">IF(W96="",V96,W96)</f>
        <v>A</v>
      </c>
      <c r="Y96" s="22" t="s">
        <v>51</v>
      </c>
      <c r="Z96" s="23"/>
      <c r="AA96" s="16" t="s">
        <v>771</v>
      </c>
      <c r="AB96" s="22"/>
      <c r="AC96" s="16"/>
      <c r="AD96" s="19" t="s">
        <v>105</v>
      </c>
      <c r="AE96" s="19" t="s">
        <v>105</v>
      </c>
      <c r="AF96" s="19" t="s">
        <v>106</v>
      </c>
      <c r="AG96" s="16"/>
      <c r="AH96" s="22"/>
      <c r="AI96" s="24"/>
      <c r="AJ96" s="23"/>
      <c r="AK96" s="23"/>
    </row>
    <row r="97" customFormat="false" ht="48" hidden="false" customHeight="true" outlineLevel="0" collapsed="false">
      <c r="A97" s="15" t="s">
        <v>799</v>
      </c>
      <c r="B97" s="15" t="s">
        <v>93</v>
      </c>
      <c r="C97" s="16" t="s">
        <v>15</v>
      </c>
      <c r="D97" s="17" t="s">
        <v>42</v>
      </c>
      <c r="E97" s="18" t="s">
        <v>800</v>
      </c>
      <c r="F97" s="16" t="s">
        <v>337</v>
      </c>
      <c r="G97" s="16" t="s">
        <v>714</v>
      </c>
      <c r="H97" s="15" t="s">
        <v>210</v>
      </c>
      <c r="I97" s="17" t="s">
        <v>25</v>
      </c>
      <c r="J97" s="17" t="s">
        <v>33</v>
      </c>
      <c r="K97" s="15" t="s">
        <v>801</v>
      </c>
      <c r="L97" s="19" t="s">
        <v>802</v>
      </c>
      <c r="M97" s="16" t="s">
        <v>803</v>
      </c>
      <c r="N97" s="16" t="s">
        <v>804</v>
      </c>
      <c r="O97" s="16" t="s">
        <v>805</v>
      </c>
      <c r="P97" s="16" t="s">
        <v>806</v>
      </c>
      <c r="Q97" s="20" t="n">
        <v>5</v>
      </c>
      <c r="R97" s="20" t="n">
        <v>5</v>
      </c>
      <c r="S97" s="20" t="n">
        <v>4</v>
      </c>
      <c r="T97" s="20" t="n">
        <v>2</v>
      </c>
      <c r="U97" s="21" t="n">
        <f aca="false">ROUND(Q97*Methodik!$B$5+R97*Methodik!$B$6+S97*Methodik!$B$7+T97*Methodik!$B$8,2)</f>
        <v>4.3</v>
      </c>
      <c r="V97" s="15" t="str">
        <f aca="false">IF(U97&gt;=Methodik!$B$11,"A",IF(U97&gt;=Methodik!$B$12,"B","C"))</f>
        <v>A</v>
      </c>
      <c r="W97" s="20"/>
      <c r="X97" s="15" t="str">
        <f aca="false">IF(W97="",V97,W97)</f>
        <v>A</v>
      </c>
      <c r="Y97" s="22" t="s">
        <v>51</v>
      </c>
      <c r="Z97" s="23"/>
      <c r="AA97" s="16" t="s">
        <v>771</v>
      </c>
      <c r="AB97" s="22"/>
      <c r="AC97" s="16"/>
      <c r="AD97" s="19" t="s">
        <v>105</v>
      </c>
      <c r="AE97" s="19" t="s">
        <v>105</v>
      </c>
      <c r="AF97" s="19" t="s">
        <v>106</v>
      </c>
      <c r="AG97" s="16" t="s">
        <v>807</v>
      </c>
      <c r="AH97" s="22"/>
      <c r="AI97" s="24"/>
      <c r="AJ97" s="23"/>
      <c r="AK97" s="23"/>
    </row>
    <row r="98" customFormat="false" ht="48" hidden="false" customHeight="true" outlineLevel="0" collapsed="false">
      <c r="A98" s="15" t="s">
        <v>808</v>
      </c>
      <c r="B98" s="15" t="s">
        <v>93</v>
      </c>
      <c r="C98" s="16" t="s">
        <v>15</v>
      </c>
      <c r="D98" s="17" t="s">
        <v>42</v>
      </c>
      <c r="E98" s="18" t="s">
        <v>809</v>
      </c>
      <c r="F98" s="16" t="s">
        <v>810</v>
      </c>
      <c r="G98" s="16" t="s">
        <v>811</v>
      </c>
      <c r="H98" s="15" t="s">
        <v>96</v>
      </c>
      <c r="I98" s="17" t="s">
        <v>26</v>
      </c>
      <c r="J98" s="17" t="s">
        <v>33</v>
      </c>
      <c r="K98" s="15" t="s">
        <v>812</v>
      </c>
      <c r="L98" s="19" t="s">
        <v>813</v>
      </c>
      <c r="M98" s="16" t="s">
        <v>814</v>
      </c>
      <c r="N98" s="16" t="s">
        <v>815</v>
      </c>
      <c r="O98" s="16" t="s">
        <v>816</v>
      </c>
      <c r="P98" s="16" t="s">
        <v>817</v>
      </c>
      <c r="Q98" s="20" t="n">
        <v>5</v>
      </c>
      <c r="R98" s="20" t="n">
        <v>5</v>
      </c>
      <c r="S98" s="20" t="n">
        <v>4</v>
      </c>
      <c r="T98" s="20" t="n">
        <v>2</v>
      </c>
      <c r="U98" s="21" t="n">
        <f aca="false">ROUND(Q98*Methodik!$B$5+R98*Methodik!$B$6+S98*Methodik!$B$7+T98*Methodik!$B$8,2)</f>
        <v>4.3</v>
      </c>
      <c r="V98" s="15" t="str">
        <f aca="false">IF(U98&gt;=Methodik!$B$11,"A",IF(U98&gt;=Methodik!$B$12,"B","C"))</f>
        <v>A</v>
      </c>
      <c r="W98" s="20"/>
      <c r="X98" s="15" t="str">
        <f aca="false">IF(W98="",V98,W98)</f>
        <v>A</v>
      </c>
      <c r="Y98" s="22" t="s">
        <v>51</v>
      </c>
      <c r="Z98" s="23"/>
      <c r="AA98" s="16" t="s">
        <v>771</v>
      </c>
      <c r="AB98" s="22"/>
      <c r="AC98" s="16"/>
      <c r="AD98" s="19" t="s">
        <v>105</v>
      </c>
      <c r="AE98" s="19" t="s">
        <v>105</v>
      </c>
      <c r="AF98" s="19" t="s">
        <v>106</v>
      </c>
      <c r="AG98" s="16" t="s">
        <v>818</v>
      </c>
      <c r="AH98" s="22"/>
      <c r="AI98" s="24"/>
      <c r="AJ98" s="23"/>
      <c r="AK98" s="23"/>
    </row>
    <row r="99" customFormat="false" ht="48" hidden="false" customHeight="true" outlineLevel="0" collapsed="false">
      <c r="A99" s="15" t="s">
        <v>819</v>
      </c>
      <c r="B99" s="15" t="s">
        <v>457</v>
      </c>
      <c r="C99" s="16" t="s">
        <v>15</v>
      </c>
      <c r="D99" s="17" t="s">
        <v>42</v>
      </c>
      <c r="E99" s="18" t="s">
        <v>820</v>
      </c>
      <c r="F99" s="16" t="s">
        <v>337</v>
      </c>
      <c r="G99" s="16" t="s">
        <v>178</v>
      </c>
      <c r="H99" s="15" t="s">
        <v>179</v>
      </c>
      <c r="I99" s="17" t="s">
        <v>23</v>
      </c>
      <c r="J99" s="17" t="s">
        <v>32</v>
      </c>
      <c r="K99" s="15" t="s">
        <v>180</v>
      </c>
      <c r="L99" s="19" t="s">
        <v>821</v>
      </c>
      <c r="M99" s="16" t="s">
        <v>822</v>
      </c>
      <c r="N99" s="16" t="s">
        <v>823</v>
      </c>
      <c r="O99" s="16" t="s">
        <v>824</v>
      </c>
      <c r="P99" s="16" t="s">
        <v>825</v>
      </c>
      <c r="Q99" s="20" t="n">
        <v>4</v>
      </c>
      <c r="R99" s="20" t="n">
        <v>3</v>
      </c>
      <c r="S99" s="20" t="n">
        <v>4</v>
      </c>
      <c r="T99" s="20" t="n">
        <v>4</v>
      </c>
      <c r="U99" s="21" t="n">
        <f aca="false">ROUND(Q99*Methodik!$B$5+R99*Methodik!$B$6+S99*Methodik!$B$7+T99*Methodik!$B$8,2)</f>
        <v>3.7</v>
      </c>
      <c r="V99" s="15" t="str">
        <f aca="false">IF(U99&gt;=Methodik!$B$11,"A",IF(U99&gt;=Methodik!$B$12,"B","C"))</f>
        <v>B</v>
      </c>
      <c r="W99" s="20"/>
      <c r="X99" s="15" t="str">
        <f aca="false">IF(W99="",V99,W99)</f>
        <v>B</v>
      </c>
      <c r="Y99" s="22" t="s">
        <v>51</v>
      </c>
      <c r="Z99" s="23"/>
      <c r="AA99" s="16" t="s">
        <v>771</v>
      </c>
      <c r="AB99" s="22"/>
      <c r="AC99" s="16"/>
      <c r="AD99" s="19" t="s">
        <v>105</v>
      </c>
      <c r="AE99" s="19" t="s">
        <v>105</v>
      </c>
      <c r="AF99" s="19" t="s">
        <v>106</v>
      </c>
      <c r="AG99" s="16"/>
      <c r="AH99" s="22"/>
      <c r="AI99" s="24"/>
      <c r="AJ99" s="23"/>
      <c r="AK99" s="23"/>
    </row>
    <row r="100" customFormat="false" ht="48" hidden="false" customHeight="true" outlineLevel="0" collapsed="false">
      <c r="A100" s="15" t="s">
        <v>826</v>
      </c>
      <c r="B100" s="15" t="s">
        <v>457</v>
      </c>
      <c r="C100" s="16" t="s">
        <v>15</v>
      </c>
      <c r="D100" s="17" t="s">
        <v>42</v>
      </c>
      <c r="E100" s="18" t="s">
        <v>827</v>
      </c>
      <c r="F100" s="16" t="s">
        <v>828</v>
      </c>
      <c r="G100" s="16" t="s">
        <v>829</v>
      </c>
      <c r="H100" s="15" t="s">
        <v>179</v>
      </c>
      <c r="I100" s="17" t="s">
        <v>23</v>
      </c>
      <c r="J100" s="17" t="s">
        <v>32</v>
      </c>
      <c r="K100" s="15" t="s">
        <v>830</v>
      </c>
      <c r="L100" s="17" t="s">
        <v>211</v>
      </c>
      <c r="M100" s="16" t="s">
        <v>831</v>
      </c>
      <c r="N100" s="16" t="s">
        <v>832</v>
      </c>
      <c r="O100" s="16" t="s">
        <v>833</v>
      </c>
      <c r="P100" s="16" t="s">
        <v>834</v>
      </c>
      <c r="Q100" s="20" t="n">
        <v>4</v>
      </c>
      <c r="R100" s="20" t="n">
        <v>3</v>
      </c>
      <c r="S100" s="20" t="n">
        <v>4</v>
      </c>
      <c r="T100" s="20" t="n">
        <v>3</v>
      </c>
      <c r="U100" s="21" t="n">
        <f aca="false">ROUND(Q100*Methodik!$B$5+R100*Methodik!$B$6+S100*Methodik!$B$7+T100*Methodik!$B$8,2)</f>
        <v>3.55</v>
      </c>
      <c r="V100" s="15" t="str">
        <f aca="false">IF(U100&gt;=Methodik!$B$11,"A",IF(U100&gt;=Methodik!$B$12,"B","C"))</f>
        <v>B</v>
      </c>
      <c r="W100" s="20"/>
      <c r="X100" s="15" t="str">
        <f aca="false">IF(W100="",V100,W100)</f>
        <v>B</v>
      </c>
      <c r="Y100" s="22" t="s">
        <v>51</v>
      </c>
      <c r="Z100" s="23"/>
      <c r="AA100" s="16" t="s">
        <v>771</v>
      </c>
      <c r="AB100" s="22"/>
      <c r="AC100" s="16"/>
      <c r="AD100" s="19" t="s">
        <v>105</v>
      </c>
      <c r="AE100" s="19" t="s">
        <v>105</v>
      </c>
      <c r="AF100" s="19" t="s">
        <v>106</v>
      </c>
      <c r="AG100" s="16" t="s">
        <v>835</v>
      </c>
      <c r="AH100" s="22"/>
      <c r="AI100" s="24"/>
      <c r="AJ100" s="23"/>
      <c r="AK100" s="23"/>
    </row>
    <row r="101" customFormat="false" ht="48" hidden="false" customHeight="true" outlineLevel="0" collapsed="false">
      <c r="A101" s="15" t="s">
        <v>836</v>
      </c>
      <c r="B101" s="15" t="s">
        <v>457</v>
      </c>
      <c r="C101" s="16" t="s">
        <v>15</v>
      </c>
      <c r="D101" s="17" t="s">
        <v>42</v>
      </c>
      <c r="E101" s="18" t="s">
        <v>837</v>
      </c>
      <c r="F101" s="16" t="s">
        <v>837</v>
      </c>
      <c r="G101" s="16" t="s">
        <v>838</v>
      </c>
      <c r="H101" s="15" t="s">
        <v>96</v>
      </c>
      <c r="I101" s="17" t="s">
        <v>26</v>
      </c>
      <c r="J101" s="17" t="s">
        <v>33</v>
      </c>
      <c r="K101" s="15" t="s">
        <v>765</v>
      </c>
      <c r="L101" s="19" t="s">
        <v>839</v>
      </c>
      <c r="M101" s="16" t="s">
        <v>840</v>
      </c>
      <c r="N101" s="16" t="s">
        <v>841</v>
      </c>
      <c r="O101" s="16" t="s">
        <v>842</v>
      </c>
      <c r="P101" s="16" t="s">
        <v>843</v>
      </c>
      <c r="Q101" s="20" t="n">
        <v>4</v>
      </c>
      <c r="R101" s="20" t="n">
        <v>4</v>
      </c>
      <c r="S101" s="20" t="n">
        <v>3</v>
      </c>
      <c r="T101" s="20" t="n">
        <v>2</v>
      </c>
      <c r="U101" s="21" t="n">
        <f aca="false">ROUND(Q101*Methodik!$B$5+R101*Methodik!$B$6+S101*Methodik!$B$7+T101*Methodik!$B$8,2)</f>
        <v>3.45</v>
      </c>
      <c r="V101" s="15" t="str">
        <f aca="false">IF(U101&gt;=Methodik!$B$11,"A",IF(U101&gt;=Methodik!$B$12,"B","C"))</f>
        <v>B</v>
      </c>
      <c r="W101" s="20"/>
      <c r="X101" s="15" t="str">
        <f aca="false">IF(W101="",V101,W101)</f>
        <v>B</v>
      </c>
      <c r="Y101" s="22" t="s">
        <v>51</v>
      </c>
      <c r="Z101" s="23"/>
      <c r="AA101" s="16" t="s">
        <v>771</v>
      </c>
      <c r="AB101" s="22"/>
      <c r="AC101" s="16"/>
      <c r="AD101" s="19" t="s">
        <v>105</v>
      </c>
      <c r="AE101" s="19" t="s">
        <v>105</v>
      </c>
      <c r="AF101" s="19" t="s">
        <v>106</v>
      </c>
      <c r="AG101" s="16"/>
      <c r="AH101" s="22"/>
      <c r="AI101" s="24"/>
      <c r="AJ101" s="23"/>
      <c r="AK101" s="23"/>
    </row>
    <row r="102" customFormat="false" ht="48" hidden="false" customHeight="true" outlineLevel="0" collapsed="false">
      <c r="A102" s="15" t="s">
        <v>844</v>
      </c>
      <c r="B102" s="15" t="s">
        <v>457</v>
      </c>
      <c r="C102" s="16" t="s">
        <v>15</v>
      </c>
      <c r="D102" s="17" t="s">
        <v>42</v>
      </c>
      <c r="E102" s="18" t="s">
        <v>845</v>
      </c>
      <c r="F102" s="16" t="s">
        <v>198</v>
      </c>
      <c r="G102" s="16" t="s">
        <v>846</v>
      </c>
      <c r="H102" s="15" t="s">
        <v>125</v>
      </c>
      <c r="I102" s="17" t="s">
        <v>24</v>
      </c>
      <c r="J102" s="17" t="s">
        <v>33</v>
      </c>
      <c r="K102" s="15" t="s">
        <v>97</v>
      </c>
      <c r="L102" s="19" t="s">
        <v>847</v>
      </c>
      <c r="M102" s="16" t="s">
        <v>212</v>
      </c>
      <c r="N102" s="16" t="s">
        <v>848</v>
      </c>
      <c r="O102" s="16" t="s">
        <v>849</v>
      </c>
      <c r="P102" s="16" t="s">
        <v>850</v>
      </c>
      <c r="Q102" s="20" t="n">
        <v>4</v>
      </c>
      <c r="R102" s="20" t="n">
        <v>4</v>
      </c>
      <c r="S102" s="20" t="n">
        <v>3</v>
      </c>
      <c r="T102" s="20" t="n">
        <v>2</v>
      </c>
      <c r="U102" s="21" t="n">
        <f aca="false">ROUND(Q102*Methodik!$B$5+R102*Methodik!$B$6+S102*Methodik!$B$7+T102*Methodik!$B$8,2)</f>
        <v>3.45</v>
      </c>
      <c r="V102" s="15" t="str">
        <f aca="false">IF(U102&gt;=Methodik!$B$11,"A",IF(U102&gt;=Methodik!$B$12,"B","C"))</f>
        <v>B</v>
      </c>
      <c r="W102" s="20"/>
      <c r="X102" s="15" t="str">
        <f aca="false">IF(W102="",V102,W102)</f>
        <v>B</v>
      </c>
      <c r="Y102" s="22" t="s">
        <v>51</v>
      </c>
      <c r="Z102" s="23"/>
      <c r="AA102" s="16" t="s">
        <v>771</v>
      </c>
      <c r="AB102" s="22"/>
      <c r="AC102" s="16"/>
      <c r="AD102" s="19" t="s">
        <v>105</v>
      </c>
      <c r="AE102" s="19" t="s">
        <v>105</v>
      </c>
      <c r="AF102" s="19" t="s">
        <v>106</v>
      </c>
      <c r="AG102" s="16" t="s">
        <v>851</v>
      </c>
      <c r="AH102" s="22"/>
      <c r="AI102" s="24"/>
      <c r="AJ102" s="23"/>
      <c r="AK102" s="23"/>
    </row>
    <row r="103" customFormat="false" ht="48" hidden="false" customHeight="true" outlineLevel="0" collapsed="false">
      <c r="A103" s="15" t="s">
        <v>852</v>
      </c>
      <c r="B103" s="15" t="s">
        <v>457</v>
      </c>
      <c r="C103" s="16" t="s">
        <v>15</v>
      </c>
      <c r="D103" s="17" t="s">
        <v>42</v>
      </c>
      <c r="E103" s="18" t="s">
        <v>853</v>
      </c>
      <c r="F103" s="16" t="s">
        <v>854</v>
      </c>
      <c r="G103" s="16" t="s">
        <v>855</v>
      </c>
      <c r="H103" s="15" t="s">
        <v>96</v>
      </c>
      <c r="I103" s="17" t="s">
        <v>26</v>
      </c>
      <c r="J103" s="17" t="s">
        <v>33</v>
      </c>
      <c r="K103" s="15" t="s">
        <v>765</v>
      </c>
      <c r="L103" s="19" t="s">
        <v>856</v>
      </c>
      <c r="M103" s="16" t="s">
        <v>857</v>
      </c>
      <c r="N103" s="16" t="s">
        <v>100</v>
      </c>
      <c r="O103" s="16" t="s">
        <v>833</v>
      </c>
      <c r="P103" s="16" t="s">
        <v>858</v>
      </c>
      <c r="Q103" s="20" t="n">
        <v>4</v>
      </c>
      <c r="R103" s="20" t="n">
        <v>3</v>
      </c>
      <c r="S103" s="20" t="n">
        <v>2</v>
      </c>
      <c r="T103" s="20" t="n">
        <v>3</v>
      </c>
      <c r="U103" s="21" t="n">
        <f aca="false">ROUND(Q103*Methodik!$B$5+R103*Methodik!$B$6+S103*Methodik!$B$7+T103*Methodik!$B$8,2)</f>
        <v>3.05</v>
      </c>
      <c r="V103" s="15" t="str">
        <f aca="false">IF(U103&gt;=Methodik!$B$11,"A",IF(U103&gt;=Methodik!$B$12,"B","C"))</f>
        <v>B</v>
      </c>
      <c r="W103" s="20"/>
      <c r="X103" s="15" t="str">
        <f aca="false">IF(W103="",V103,W103)</f>
        <v>B</v>
      </c>
      <c r="Y103" s="22" t="s">
        <v>51</v>
      </c>
      <c r="Z103" s="23"/>
      <c r="AA103" s="16" t="s">
        <v>771</v>
      </c>
      <c r="AB103" s="22"/>
      <c r="AC103" s="16"/>
      <c r="AD103" s="19" t="s">
        <v>105</v>
      </c>
      <c r="AE103" s="19" t="s">
        <v>105</v>
      </c>
      <c r="AF103" s="19" t="s">
        <v>106</v>
      </c>
      <c r="AG103" s="16"/>
      <c r="AH103" s="22"/>
      <c r="AI103" s="24"/>
      <c r="AJ103" s="23"/>
      <c r="AK103" s="23"/>
    </row>
    <row r="104" customFormat="false" ht="48" hidden="false" customHeight="true" outlineLevel="0" collapsed="false">
      <c r="A104" s="15" t="s">
        <v>859</v>
      </c>
      <c r="B104" s="15" t="s">
        <v>457</v>
      </c>
      <c r="C104" s="16" t="s">
        <v>15</v>
      </c>
      <c r="D104" s="17" t="s">
        <v>42</v>
      </c>
      <c r="E104" s="18" t="s">
        <v>860</v>
      </c>
      <c r="F104" s="16" t="s">
        <v>861</v>
      </c>
      <c r="G104" s="16" t="s">
        <v>862</v>
      </c>
      <c r="H104" s="15" t="s">
        <v>280</v>
      </c>
      <c r="I104" s="17" t="s">
        <v>29</v>
      </c>
      <c r="J104" s="17" t="s">
        <v>29</v>
      </c>
      <c r="K104" s="15" t="s">
        <v>863</v>
      </c>
      <c r="L104" s="19" t="s">
        <v>864</v>
      </c>
      <c r="M104" s="16" t="s">
        <v>865</v>
      </c>
      <c r="N104" s="16" t="s">
        <v>100</v>
      </c>
      <c r="O104" s="16" t="s">
        <v>471</v>
      </c>
      <c r="P104" s="16" t="s">
        <v>866</v>
      </c>
      <c r="Q104" s="20" t="n">
        <v>4</v>
      </c>
      <c r="R104" s="20" t="n">
        <v>2</v>
      </c>
      <c r="S104" s="20" t="n">
        <v>2</v>
      </c>
      <c r="T104" s="20" t="n">
        <v>3</v>
      </c>
      <c r="U104" s="21" t="n">
        <f aca="false">ROUND(Q104*Methodik!$B$5+R104*Methodik!$B$6+S104*Methodik!$B$7+T104*Methodik!$B$8,2)</f>
        <v>2.75</v>
      </c>
      <c r="V104" s="15" t="str">
        <f aca="false">IF(U104&gt;=Methodik!$B$11,"A",IF(U104&gt;=Methodik!$B$12,"B","C"))</f>
        <v>C</v>
      </c>
      <c r="W104" s="20"/>
      <c r="X104" s="15" t="str">
        <f aca="false">IF(W104="",V104,W104)</f>
        <v>C</v>
      </c>
      <c r="Y104" s="22" t="s">
        <v>51</v>
      </c>
      <c r="Z104" s="23"/>
      <c r="AA104" s="16" t="s">
        <v>771</v>
      </c>
      <c r="AB104" s="22"/>
      <c r="AC104" s="16"/>
      <c r="AD104" s="19" t="s">
        <v>105</v>
      </c>
      <c r="AE104" s="19" t="s">
        <v>105</v>
      </c>
      <c r="AF104" s="19" t="s">
        <v>106</v>
      </c>
      <c r="AG104" s="16" t="s">
        <v>867</v>
      </c>
      <c r="AH104" s="22"/>
      <c r="AI104" s="24"/>
      <c r="AJ104" s="23"/>
      <c r="AK104" s="23"/>
    </row>
    <row r="105" customFormat="false" ht="48" hidden="false" customHeight="true" outlineLevel="0" collapsed="false">
      <c r="A105" s="15" t="s">
        <v>868</v>
      </c>
      <c r="B105" s="15" t="s">
        <v>93</v>
      </c>
      <c r="C105" s="16" t="s">
        <v>15</v>
      </c>
      <c r="D105" s="17" t="s">
        <v>43</v>
      </c>
      <c r="E105" s="18" t="s">
        <v>869</v>
      </c>
      <c r="F105" s="16" t="s">
        <v>95</v>
      </c>
      <c r="G105" s="16" t="s">
        <v>870</v>
      </c>
      <c r="H105" s="15" t="s">
        <v>189</v>
      </c>
      <c r="I105" s="17" t="s">
        <v>25</v>
      </c>
      <c r="J105" s="17" t="s">
        <v>33</v>
      </c>
      <c r="K105" s="15" t="s">
        <v>97</v>
      </c>
      <c r="L105" s="19" t="s">
        <v>871</v>
      </c>
      <c r="M105" s="16" t="s">
        <v>212</v>
      </c>
      <c r="N105" s="16" t="s">
        <v>872</v>
      </c>
      <c r="O105" s="16" t="s">
        <v>873</v>
      </c>
      <c r="P105" s="16" t="s">
        <v>874</v>
      </c>
      <c r="Q105" s="20" t="n">
        <v>5</v>
      </c>
      <c r="R105" s="20" t="n">
        <v>4</v>
      </c>
      <c r="S105" s="20" t="n">
        <v>5</v>
      </c>
      <c r="T105" s="20" t="n">
        <v>3</v>
      </c>
      <c r="U105" s="21" t="n">
        <f aca="false">ROUND(Q105*Methodik!$B$5+R105*Methodik!$B$6+S105*Methodik!$B$7+T105*Methodik!$B$8,2)</f>
        <v>4.4</v>
      </c>
      <c r="V105" s="15" t="str">
        <f aca="false">IF(U105&gt;=Methodik!$B$11,"A",IF(U105&gt;=Methodik!$B$12,"B","C"))</f>
        <v>A</v>
      </c>
      <c r="W105" s="20"/>
      <c r="X105" s="15" t="str">
        <f aca="false">IF(W105="",V105,W105)</f>
        <v>A</v>
      </c>
      <c r="Y105" s="22" t="s">
        <v>51</v>
      </c>
      <c r="Z105" s="23"/>
      <c r="AA105" s="16" t="s">
        <v>875</v>
      </c>
      <c r="AB105" s="22"/>
      <c r="AC105" s="16"/>
      <c r="AD105" s="19" t="s">
        <v>105</v>
      </c>
      <c r="AE105" s="19" t="s">
        <v>105</v>
      </c>
      <c r="AF105" s="19" t="s">
        <v>106</v>
      </c>
      <c r="AG105" s="16"/>
      <c r="AH105" s="22"/>
      <c r="AI105" s="24"/>
      <c r="AJ105" s="23"/>
      <c r="AK105" s="23"/>
    </row>
    <row r="106" customFormat="false" ht="48" hidden="false" customHeight="true" outlineLevel="0" collapsed="false">
      <c r="A106" s="15" t="s">
        <v>876</v>
      </c>
      <c r="B106" s="15" t="s">
        <v>93</v>
      </c>
      <c r="C106" s="16" t="s">
        <v>15</v>
      </c>
      <c r="D106" s="17" t="s">
        <v>43</v>
      </c>
      <c r="E106" s="18" t="s">
        <v>877</v>
      </c>
      <c r="F106" s="16" t="s">
        <v>878</v>
      </c>
      <c r="G106" s="16" t="s">
        <v>879</v>
      </c>
      <c r="H106" s="15" t="s">
        <v>170</v>
      </c>
      <c r="I106" s="17" t="s">
        <v>25</v>
      </c>
      <c r="J106" s="17" t="s">
        <v>33</v>
      </c>
      <c r="K106" s="15" t="s">
        <v>801</v>
      </c>
      <c r="L106" s="19" t="s">
        <v>880</v>
      </c>
      <c r="M106" s="16" t="s">
        <v>881</v>
      </c>
      <c r="N106" s="16" t="s">
        <v>882</v>
      </c>
      <c r="O106" s="16" t="s">
        <v>883</v>
      </c>
      <c r="P106" s="16" t="s">
        <v>884</v>
      </c>
      <c r="Q106" s="20" t="n">
        <v>5</v>
      </c>
      <c r="R106" s="20" t="n">
        <v>5</v>
      </c>
      <c r="S106" s="20" t="n">
        <v>4</v>
      </c>
      <c r="T106" s="20" t="n">
        <v>2</v>
      </c>
      <c r="U106" s="21" t="n">
        <f aca="false">ROUND(Q106*Methodik!$B$5+R106*Methodik!$B$6+S106*Methodik!$B$7+T106*Methodik!$B$8,2)</f>
        <v>4.3</v>
      </c>
      <c r="V106" s="15" t="str">
        <f aca="false">IF(U106&gt;=Methodik!$B$11,"A",IF(U106&gt;=Methodik!$B$12,"B","C"))</f>
        <v>A</v>
      </c>
      <c r="W106" s="20"/>
      <c r="X106" s="15" t="str">
        <f aca="false">IF(W106="",V106,W106)</f>
        <v>A</v>
      </c>
      <c r="Y106" s="22" t="s">
        <v>51</v>
      </c>
      <c r="Z106" s="23"/>
      <c r="AA106" s="16" t="s">
        <v>875</v>
      </c>
      <c r="AB106" s="22"/>
      <c r="AC106" s="16"/>
      <c r="AD106" s="19" t="s">
        <v>105</v>
      </c>
      <c r="AE106" s="19" t="s">
        <v>105</v>
      </c>
      <c r="AF106" s="19" t="s">
        <v>106</v>
      </c>
      <c r="AG106" s="16" t="s">
        <v>885</v>
      </c>
      <c r="AH106" s="22"/>
      <c r="AI106" s="24"/>
      <c r="AJ106" s="23"/>
      <c r="AK106" s="23"/>
    </row>
    <row r="107" customFormat="false" ht="48" hidden="false" customHeight="true" outlineLevel="0" collapsed="false">
      <c r="A107" s="15" t="s">
        <v>886</v>
      </c>
      <c r="B107" s="15" t="s">
        <v>93</v>
      </c>
      <c r="C107" s="16" t="s">
        <v>15</v>
      </c>
      <c r="D107" s="17" t="s">
        <v>43</v>
      </c>
      <c r="E107" s="18" t="s">
        <v>887</v>
      </c>
      <c r="F107" s="16" t="s">
        <v>888</v>
      </c>
      <c r="G107" s="16" t="s">
        <v>889</v>
      </c>
      <c r="H107" s="15" t="s">
        <v>227</v>
      </c>
      <c r="I107" s="17" t="s">
        <v>23</v>
      </c>
      <c r="J107" s="17" t="s">
        <v>32</v>
      </c>
      <c r="K107" s="15" t="s">
        <v>801</v>
      </c>
      <c r="L107" s="19" t="s">
        <v>890</v>
      </c>
      <c r="M107" s="16" t="s">
        <v>212</v>
      </c>
      <c r="N107" s="16" t="s">
        <v>891</v>
      </c>
      <c r="O107" s="16" t="s">
        <v>193</v>
      </c>
      <c r="P107" s="16" t="s">
        <v>892</v>
      </c>
      <c r="Q107" s="20" t="n">
        <v>5</v>
      </c>
      <c r="R107" s="20" t="n">
        <v>4</v>
      </c>
      <c r="S107" s="20" t="n">
        <v>4</v>
      </c>
      <c r="T107" s="20" t="n">
        <v>2</v>
      </c>
      <c r="U107" s="21" t="n">
        <f aca="false">ROUND(Q107*Methodik!$B$5+R107*Methodik!$B$6+S107*Methodik!$B$7+T107*Methodik!$B$8,2)</f>
        <v>4</v>
      </c>
      <c r="V107" s="15" t="str">
        <f aca="false">IF(U107&gt;=Methodik!$B$11,"A",IF(U107&gt;=Methodik!$B$12,"B","C"))</f>
        <v>A</v>
      </c>
      <c r="W107" s="20"/>
      <c r="X107" s="15" t="str">
        <f aca="false">IF(W107="",V107,W107)</f>
        <v>A</v>
      </c>
      <c r="Y107" s="22" t="s">
        <v>51</v>
      </c>
      <c r="Z107" s="23"/>
      <c r="AA107" s="16" t="s">
        <v>875</v>
      </c>
      <c r="AB107" s="22"/>
      <c r="AC107" s="16"/>
      <c r="AD107" s="19" t="s">
        <v>105</v>
      </c>
      <c r="AE107" s="19" t="s">
        <v>105</v>
      </c>
      <c r="AF107" s="19" t="s">
        <v>106</v>
      </c>
      <c r="AG107" s="16" t="s">
        <v>893</v>
      </c>
      <c r="AH107" s="22"/>
      <c r="AI107" s="24"/>
      <c r="AJ107" s="23"/>
      <c r="AK107" s="23"/>
    </row>
    <row r="108" customFormat="false" ht="48" hidden="false" customHeight="true" outlineLevel="0" collapsed="false">
      <c r="A108" s="15" t="s">
        <v>894</v>
      </c>
      <c r="B108" s="15" t="s">
        <v>457</v>
      </c>
      <c r="C108" s="16" t="s">
        <v>15</v>
      </c>
      <c r="D108" s="17" t="s">
        <v>43</v>
      </c>
      <c r="E108" s="18" t="s">
        <v>895</v>
      </c>
      <c r="F108" s="16" t="s">
        <v>895</v>
      </c>
      <c r="G108" s="16" t="s">
        <v>896</v>
      </c>
      <c r="H108" s="15" t="s">
        <v>210</v>
      </c>
      <c r="I108" s="17" t="s">
        <v>25</v>
      </c>
      <c r="J108" s="17" t="s">
        <v>33</v>
      </c>
      <c r="K108" s="15" t="s">
        <v>801</v>
      </c>
      <c r="L108" s="19" t="s">
        <v>897</v>
      </c>
      <c r="M108" s="16" t="s">
        <v>212</v>
      </c>
      <c r="N108" s="16" t="s">
        <v>898</v>
      </c>
      <c r="O108" s="16" t="s">
        <v>899</v>
      </c>
      <c r="P108" s="16" t="s">
        <v>900</v>
      </c>
      <c r="Q108" s="20" t="n">
        <v>4</v>
      </c>
      <c r="R108" s="20" t="n">
        <v>4</v>
      </c>
      <c r="S108" s="20" t="n">
        <v>3</v>
      </c>
      <c r="T108" s="20" t="n">
        <v>2</v>
      </c>
      <c r="U108" s="21" t="n">
        <f aca="false">ROUND(Q108*Methodik!$B$5+R108*Methodik!$B$6+S108*Methodik!$B$7+T108*Methodik!$B$8,2)</f>
        <v>3.45</v>
      </c>
      <c r="V108" s="15" t="str">
        <f aca="false">IF(U108&gt;=Methodik!$B$11,"A",IF(U108&gt;=Methodik!$B$12,"B","C"))</f>
        <v>B</v>
      </c>
      <c r="W108" s="20"/>
      <c r="X108" s="15" t="str">
        <f aca="false">IF(W108="",V108,W108)</f>
        <v>B</v>
      </c>
      <c r="Y108" s="22" t="s">
        <v>51</v>
      </c>
      <c r="Z108" s="23"/>
      <c r="AA108" s="16" t="s">
        <v>875</v>
      </c>
      <c r="AB108" s="22"/>
      <c r="AC108" s="16"/>
      <c r="AD108" s="19" t="s">
        <v>105</v>
      </c>
      <c r="AE108" s="19" t="s">
        <v>105</v>
      </c>
      <c r="AF108" s="19" t="s">
        <v>106</v>
      </c>
      <c r="AG108" s="16"/>
      <c r="AH108" s="22"/>
      <c r="AI108" s="24"/>
      <c r="AJ108" s="23"/>
      <c r="AK108" s="23"/>
    </row>
    <row r="109" customFormat="false" ht="48" hidden="false" customHeight="true" outlineLevel="0" collapsed="false">
      <c r="A109" s="15" t="s">
        <v>901</v>
      </c>
      <c r="B109" s="15" t="s">
        <v>457</v>
      </c>
      <c r="C109" s="16" t="s">
        <v>15</v>
      </c>
      <c r="D109" s="17" t="s">
        <v>43</v>
      </c>
      <c r="E109" s="18" t="s">
        <v>902</v>
      </c>
      <c r="F109" s="16" t="s">
        <v>95</v>
      </c>
      <c r="G109" s="16" t="s">
        <v>903</v>
      </c>
      <c r="H109" s="15" t="s">
        <v>210</v>
      </c>
      <c r="I109" s="17" t="s">
        <v>25</v>
      </c>
      <c r="J109" s="17" t="s">
        <v>33</v>
      </c>
      <c r="K109" s="15" t="s">
        <v>97</v>
      </c>
      <c r="L109" s="19" t="s">
        <v>904</v>
      </c>
      <c r="M109" s="16" t="s">
        <v>905</v>
      </c>
      <c r="N109" s="16" t="s">
        <v>906</v>
      </c>
      <c r="O109" s="16" t="s">
        <v>899</v>
      </c>
      <c r="P109" s="16" t="s">
        <v>907</v>
      </c>
      <c r="Q109" s="20" t="n">
        <v>4</v>
      </c>
      <c r="R109" s="20" t="n">
        <v>3</v>
      </c>
      <c r="S109" s="20" t="n">
        <v>3</v>
      </c>
      <c r="T109" s="20" t="n">
        <v>3</v>
      </c>
      <c r="U109" s="21" t="n">
        <f aca="false">ROUND(Q109*Methodik!$B$5+R109*Methodik!$B$6+S109*Methodik!$B$7+T109*Methodik!$B$8,2)</f>
        <v>3.3</v>
      </c>
      <c r="V109" s="15" t="str">
        <f aca="false">IF(U109&gt;=Methodik!$B$11,"A",IF(U109&gt;=Methodik!$B$12,"B","C"))</f>
        <v>B</v>
      </c>
      <c r="W109" s="20"/>
      <c r="X109" s="15" t="str">
        <f aca="false">IF(W109="",V109,W109)</f>
        <v>B</v>
      </c>
      <c r="Y109" s="22" t="s">
        <v>51</v>
      </c>
      <c r="Z109" s="23"/>
      <c r="AA109" s="16" t="s">
        <v>875</v>
      </c>
      <c r="AB109" s="22"/>
      <c r="AC109" s="16"/>
      <c r="AD109" s="19" t="s">
        <v>105</v>
      </c>
      <c r="AE109" s="19" t="s">
        <v>105</v>
      </c>
      <c r="AF109" s="19" t="s">
        <v>106</v>
      </c>
      <c r="AG109" s="16"/>
      <c r="AH109" s="22"/>
      <c r="AI109" s="24"/>
      <c r="AJ109" s="23"/>
      <c r="AK109" s="23"/>
    </row>
    <row r="110" customFormat="false" ht="48" hidden="false" customHeight="true" outlineLevel="0" collapsed="false">
      <c r="A110" s="15" t="s">
        <v>908</v>
      </c>
      <c r="B110" s="15" t="s">
        <v>457</v>
      </c>
      <c r="C110" s="16" t="s">
        <v>15</v>
      </c>
      <c r="D110" s="17" t="s">
        <v>43</v>
      </c>
      <c r="E110" s="18" t="s">
        <v>909</v>
      </c>
      <c r="F110" s="16" t="s">
        <v>910</v>
      </c>
      <c r="G110" s="16" t="s">
        <v>911</v>
      </c>
      <c r="H110" s="15" t="s">
        <v>125</v>
      </c>
      <c r="I110" s="17" t="s">
        <v>24</v>
      </c>
      <c r="J110" s="17" t="s">
        <v>33</v>
      </c>
      <c r="K110" s="15" t="s">
        <v>801</v>
      </c>
      <c r="L110" s="19" t="s">
        <v>912</v>
      </c>
      <c r="M110" s="16" t="s">
        <v>212</v>
      </c>
      <c r="N110" s="16" t="s">
        <v>100</v>
      </c>
      <c r="O110" s="16" t="s">
        <v>471</v>
      </c>
      <c r="P110" s="16" t="s">
        <v>913</v>
      </c>
      <c r="Q110" s="20" t="n">
        <v>4</v>
      </c>
      <c r="R110" s="20" t="n">
        <v>3</v>
      </c>
      <c r="S110" s="20" t="n">
        <v>2</v>
      </c>
      <c r="T110" s="20" t="n">
        <v>3</v>
      </c>
      <c r="U110" s="21" t="n">
        <f aca="false">ROUND(Q110*Methodik!$B$5+R110*Methodik!$B$6+S110*Methodik!$B$7+T110*Methodik!$B$8,2)</f>
        <v>3.05</v>
      </c>
      <c r="V110" s="15" t="str">
        <f aca="false">IF(U110&gt;=Methodik!$B$11,"A",IF(U110&gt;=Methodik!$B$12,"B","C"))</f>
        <v>B</v>
      </c>
      <c r="W110" s="20"/>
      <c r="X110" s="15" t="str">
        <f aca="false">IF(W110="",V110,W110)</f>
        <v>B</v>
      </c>
      <c r="Y110" s="22" t="s">
        <v>51</v>
      </c>
      <c r="Z110" s="23"/>
      <c r="AA110" s="16" t="s">
        <v>875</v>
      </c>
      <c r="AB110" s="22"/>
      <c r="AC110" s="16"/>
      <c r="AD110" s="19" t="s">
        <v>105</v>
      </c>
      <c r="AE110" s="19" t="s">
        <v>105</v>
      </c>
      <c r="AF110" s="19" t="s">
        <v>106</v>
      </c>
      <c r="AG110" s="16"/>
      <c r="AH110" s="22"/>
      <c r="AI110" s="24"/>
      <c r="AJ110" s="23"/>
      <c r="AK110" s="23"/>
    </row>
    <row r="111" customFormat="false" ht="48" hidden="false" customHeight="true" outlineLevel="0" collapsed="false">
      <c r="A111" s="15" t="s">
        <v>914</v>
      </c>
      <c r="B111" s="15" t="s">
        <v>457</v>
      </c>
      <c r="C111" s="16" t="s">
        <v>15</v>
      </c>
      <c r="D111" s="17" t="s">
        <v>43</v>
      </c>
      <c r="E111" s="18" t="s">
        <v>915</v>
      </c>
      <c r="F111" s="16" t="s">
        <v>916</v>
      </c>
      <c r="G111" s="16" t="s">
        <v>917</v>
      </c>
      <c r="H111" s="15" t="s">
        <v>227</v>
      </c>
      <c r="I111" s="17" t="s">
        <v>23</v>
      </c>
      <c r="J111" s="17" t="s">
        <v>32</v>
      </c>
      <c r="K111" s="15" t="s">
        <v>180</v>
      </c>
      <c r="L111" s="19" t="s">
        <v>918</v>
      </c>
      <c r="M111" s="16" t="s">
        <v>212</v>
      </c>
      <c r="N111" s="16" t="s">
        <v>919</v>
      </c>
      <c r="O111" s="16" t="s">
        <v>920</v>
      </c>
      <c r="P111" s="16" t="s">
        <v>921</v>
      </c>
      <c r="Q111" s="20" t="n">
        <v>3</v>
      </c>
      <c r="R111" s="20" t="n">
        <v>3</v>
      </c>
      <c r="S111" s="20" t="n">
        <v>2</v>
      </c>
      <c r="T111" s="20" t="n">
        <v>3</v>
      </c>
      <c r="U111" s="21" t="n">
        <f aca="false">ROUND(Q111*Methodik!$B$5+R111*Methodik!$B$6+S111*Methodik!$B$7+T111*Methodik!$B$8,2)</f>
        <v>2.75</v>
      </c>
      <c r="V111" s="15" t="str">
        <f aca="false">IF(U111&gt;=Methodik!$B$11,"A",IF(U111&gt;=Methodik!$B$12,"B","C"))</f>
        <v>C</v>
      </c>
      <c r="W111" s="20"/>
      <c r="X111" s="15" t="str">
        <f aca="false">IF(W111="",V111,W111)</f>
        <v>C</v>
      </c>
      <c r="Y111" s="22" t="s">
        <v>51</v>
      </c>
      <c r="Z111" s="23"/>
      <c r="AA111" s="16" t="s">
        <v>875</v>
      </c>
      <c r="AB111" s="22"/>
      <c r="AC111" s="16"/>
      <c r="AD111" s="19" t="s">
        <v>105</v>
      </c>
      <c r="AE111" s="19" t="s">
        <v>105</v>
      </c>
      <c r="AF111" s="19" t="s">
        <v>106</v>
      </c>
      <c r="AG111" s="16"/>
      <c r="AH111" s="22"/>
      <c r="AI111" s="24"/>
      <c r="AJ111" s="23"/>
      <c r="AK111" s="23"/>
    </row>
    <row r="112" customFormat="false" ht="48" hidden="false" customHeight="true" outlineLevel="0" collapsed="false">
      <c r="A112" s="15" t="s">
        <v>922</v>
      </c>
      <c r="B112" s="15" t="s">
        <v>457</v>
      </c>
      <c r="C112" s="16" t="s">
        <v>15</v>
      </c>
      <c r="D112" s="17" t="s">
        <v>43</v>
      </c>
      <c r="E112" s="18" t="s">
        <v>923</v>
      </c>
      <c r="F112" s="16" t="s">
        <v>95</v>
      </c>
      <c r="G112" s="16" t="s">
        <v>924</v>
      </c>
      <c r="H112" s="15" t="s">
        <v>210</v>
      </c>
      <c r="I112" s="17" t="s">
        <v>25</v>
      </c>
      <c r="J112" s="17" t="s">
        <v>33</v>
      </c>
      <c r="K112" s="15" t="s">
        <v>97</v>
      </c>
      <c r="L112" s="19" t="s">
        <v>925</v>
      </c>
      <c r="M112" s="16" t="s">
        <v>212</v>
      </c>
      <c r="N112" s="16" t="s">
        <v>926</v>
      </c>
      <c r="O112" s="16" t="s">
        <v>478</v>
      </c>
      <c r="P112" s="16" t="s">
        <v>927</v>
      </c>
      <c r="Q112" s="20" t="n">
        <v>3</v>
      </c>
      <c r="R112" s="20" t="n">
        <v>2</v>
      </c>
      <c r="S112" s="20" t="n">
        <v>2</v>
      </c>
      <c r="T112" s="20" t="n">
        <v>3</v>
      </c>
      <c r="U112" s="21" t="n">
        <f aca="false">ROUND(Q112*Methodik!$B$5+R112*Methodik!$B$6+S112*Methodik!$B$7+T112*Methodik!$B$8,2)</f>
        <v>2.45</v>
      </c>
      <c r="V112" s="15" t="str">
        <f aca="false">IF(U112&gt;=Methodik!$B$11,"A",IF(U112&gt;=Methodik!$B$12,"B","C"))</f>
        <v>C</v>
      </c>
      <c r="W112" s="20"/>
      <c r="X112" s="15" t="str">
        <f aca="false">IF(W112="",V112,W112)</f>
        <v>C</v>
      </c>
      <c r="Y112" s="22" t="s">
        <v>51</v>
      </c>
      <c r="Z112" s="23"/>
      <c r="AA112" s="16" t="s">
        <v>875</v>
      </c>
      <c r="AB112" s="22"/>
      <c r="AC112" s="16"/>
      <c r="AD112" s="19" t="s">
        <v>105</v>
      </c>
      <c r="AE112" s="19" t="s">
        <v>105</v>
      </c>
      <c r="AF112" s="19" t="s">
        <v>106</v>
      </c>
      <c r="AG112" s="16"/>
      <c r="AH112" s="22"/>
      <c r="AI112" s="24"/>
      <c r="AJ112" s="23"/>
      <c r="AK112" s="23"/>
    </row>
    <row r="113" customFormat="false" ht="48" hidden="false" customHeight="true" outlineLevel="0" collapsed="false">
      <c r="A113" s="15" t="s">
        <v>928</v>
      </c>
      <c r="B113" s="15" t="s">
        <v>457</v>
      </c>
      <c r="C113" s="16" t="s">
        <v>15</v>
      </c>
      <c r="D113" s="17" t="s">
        <v>43</v>
      </c>
      <c r="E113" s="18" t="s">
        <v>929</v>
      </c>
      <c r="F113" s="16" t="s">
        <v>930</v>
      </c>
      <c r="G113" s="16" t="s">
        <v>931</v>
      </c>
      <c r="H113" s="15" t="s">
        <v>291</v>
      </c>
      <c r="I113" s="17" t="s">
        <v>24</v>
      </c>
      <c r="J113" s="17" t="s">
        <v>33</v>
      </c>
      <c r="K113" s="15" t="s">
        <v>97</v>
      </c>
      <c r="L113" s="19" t="s">
        <v>932</v>
      </c>
      <c r="M113" s="16" t="s">
        <v>212</v>
      </c>
      <c r="N113" s="16" t="s">
        <v>933</v>
      </c>
      <c r="O113" s="16" t="s">
        <v>934</v>
      </c>
      <c r="P113" s="16" t="s">
        <v>935</v>
      </c>
      <c r="Q113" s="20" t="n">
        <v>2</v>
      </c>
      <c r="R113" s="20" t="n">
        <v>3</v>
      </c>
      <c r="S113" s="20" t="n">
        <v>2</v>
      </c>
      <c r="T113" s="20" t="n">
        <v>2</v>
      </c>
      <c r="U113" s="21" t="n">
        <f aca="false">ROUND(Q113*Methodik!$B$5+R113*Methodik!$B$6+S113*Methodik!$B$7+T113*Methodik!$B$8,2)</f>
        <v>2.3</v>
      </c>
      <c r="V113" s="15" t="str">
        <f aca="false">IF(U113&gt;=Methodik!$B$11,"A",IF(U113&gt;=Methodik!$B$12,"B","C"))</f>
        <v>C</v>
      </c>
      <c r="W113" s="20"/>
      <c r="X113" s="15" t="str">
        <f aca="false">IF(W113="",V113,W113)</f>
        <v>C</v>
      </c>
      <c r="Y113" s="22" t="s">
        <v>51</v>
      </c>
      <c r="Z113" s="23"/>
      <c r="AA113" s="16" t="s">
        <v>875</v>
      </c>
      <c r="AB113" s="22"/>
      <c r="AC113" s="16"/>
      <c r="AD113" s="19" t="s">
        <v>105</v>
      </c>
      <c r="AE113" s="19" t="s">
        <v>105</v>
      </c>
      <c r="AF113" s="19" t="s">
        <v>106</v>
      </c>
      <c r="AG113" s="16" t="s">
        <v>936</v>
      </c>
      <c r="AH113" s="22"/>
      <c r="AI113" s="24"/>
      <c r="AJ113" s="23"/>
      <c r="AK113" s="23"/>
    </row>
    <row r="114" customFormat="false" ht="48" hidden="false" customHeight="true" outlineLevel="0" collapsed="false">
      <c r="A114" s="15" t="s">
        <v>937</v>
      </c>
      <c r="B114" s="15" t="s">
        <v>457</v>
      </c>
      <c r="C114" s="16" t="s">
        <v>15</v>
      </c>
      <c r="D114" s="17" t="s">
        <v>43</v>
      </c>
      <c r="E114" s="18" t="s">
        <v>938</v>
      </c>
      <c r="F114" s="16" t="s">
        <v>939</v>
      </c>
      <c r="G114" s="16" t="s">
        <v>734</v>
      </c>
      <c r="H114" s="15" t="s">
        <v>152</v>
      </c>
      <c r="I114" s="17" t="s">
        <v>28</v>
      </c>
      <c r="J114" s="17" t="s">
        <v>33</v>
      </c>
      <c r="K114" s="15" t="s">
        <v>97</v>
      </c>
      <c r="L114" s="19" t="s">
        <v>940</v>
      </c>
      <c r="M114" s="16" t="s">
        <v>212</v>
      </c>
      <c r="N114" s="16" t="s">
        <v>941</v>
      </c>
      <c r="O114" s="16" t="s">
        <v>942</v>
      </c>
      <c r="P114" s="16" t="s">
        <v>943</v>
      </c>
      <c r="Q114" s="20" t="n">
        <v>2</v>
      </c>
      <c r="R114" s="20" t="n">
        <v>3</v>
      </c>
      <c r="S114" s="20" t="n">
        <v>2</v>
      </c>
      <c r="T114" s="20" t="n">
        <v>2</v>
      </c>
      <c r="U114" s="21" t="n">
        <f aca="false">ROUND(Q114*Methodik!$B$5+R114*Methodik!$B$6+S114*Methodik!$B$7+T114*Methodik!$B$8,2)</f>
        <v>2.3</v>
      </c>
      <c r="V114" s="15" t="str">
        <f aca="false">IF(U114&gt;=Methodik!$B$11,"A",IF(U114&gt;=Methodik!$B$12,"B","C"))</f>
        <v>C</v>
      </c>
      <c r="W114" s="20"/>
      <c r="X114" s="15" t="str">
        <f aca="false">IF(W114="",V114,W114)</f>
        <v>C</v>
      </c>
      <c r="Y114" s="22" t="s">
        <v>51</v>
      </c>
      <c r="Z114" s="23"/>
      <c r="AA114" s="16" t="s">
        <v>875</v>
      </c>
      <c r="AB114" s="22"/>
      <c r="AC114" s="16"/>
      <c r="AD114" s="19" t="s">
        <v>105</v>
      </c>
      <c r="AE114" s="19" t="s">
        <v>105</v>
      </c>
      <c r="AF114" s="19" t="s">
        <v>106</v>
      </c>
      <c r="AG114" s="16" t="s">
        <v>936</v>
      </c>
      <c r="AH114" s="22"/>
      <c r="AI114" s="24"/>
      <c r="AJ114" s="23"/>
      <c r="AK114" s="23"/>
    </row>
    <row r="115" customFormat="false" ht="48" hidden="false" customHeight="true" outlineLevel="0" collapsed="false">
      <c r="A115" s="15" t="s">
        <v>944</v>
      </c>
      <c r="B115" s="15" t="s">
        <v>457</v>
      </c>
      <c r="C115" s="16" t="s">
        <v>15</v>
      </c>
      <c r="D115" s="17" t="s">
        <v>44</v>
      </c>
      <c r="E115" s="18" t="s">
        <v>945</v>
      </c>
      <c r="F115" s="16" t="s">
        <v>496</v>
      </c>
      <c r="G115" s="16" t="s">
        <v>26</v>
      </c>
      <c r="H115" s="15" t="s">
        <v>96</v>
      </c>
      <c r="I115" s="17" t="s">
        <v>26</v>
      </c>
      <c r="J115" s="17" t="s">
        <v>33</v>
      </c>
      <c r="K115" s="15" t="s">
        <v>97</v>
      </c>
      <c r="L115" s="19" t="s">
        <v>946</v>
      </c>
      <c r="M115" s="16" t="s">
        <v>212</v>
      </c>
      <c r="N115" s="16" t="s">
        <v>947</v>
      </c>
      <c r="O115" s="16" t="s">
        <v>948</v>
      </c>
      <c r="P115" s="16" t="s">
        <v>949</v>
      </c>
      <c r="Q115" s="20" t="n">
        <v>5</v>
      </c>
      <c r="R115" s="20" t="n">
        <v>4</v>
      </c>
      <c r="S115" s="20" t="n">
        <v>4</v>
      </c>
      <c r="T115" s="20" t="n">
        <v>2</v>
      </c>
      <c r="U115" s="21" t="n">
        <f aca="false">ROUND(Q115*Methodik!$B$5+R115*Methodik!$B$6+S115*Methodik!$B$7+T115*Methodik!$B$8,2)</f>
        <v>4</v>
      </c>
      <c r="V115" s="15" t="str">
        <f aca="false">IF(U115&gt;=Methodik!$B$11,"A",IF(U115&gt;=Methodik!$B$12,"B","C"))</f>
        <v>A</v>
      </c>
      <c r="W115" s="20"/>
      <c r="X115" s="15" t="str">
        <f aca="false">IF(W115="",V115,W115)</f>
        <v>A</v>
      </c>
      <c r="Y115" s="22" t="s">
        <v>51</v>
      </c>
      <c r="Z115" s="23"/>
      <c r="AA115" s="16" t="s">
        <v>950</v>
      </c>
      <c r="AB115" s="22"/>
      <c r="AC115" s="16"/>
      <c r="AD115" s="19" t="s">
        <v>105</v>
      </c>
      <c r="AE115" s="19" t="s">
        <v>105</v>
      </c>
      <c r="AF115" s="19" t="s">
        <v>106</v>
      </c>
      <c r="AG115" s="16" t="s">
        <v>867</v>
      </c>
      <c r="AH115" s="22"/>
      <c r="AI115" s="24"/>
      <c r="AJ115" s="23"/>
      <c r="AK115" s="23"/>
    </row>
    <row r="116" customFormat="false" ht="48" hidden="false" customHeight="true" outlineLevel="0" collapsed="false">
      <c r="A116" s="15" t="s">
        <v>951</v>
      </c>
      <c r="B116" s="15" t="s">
        <v>457</v>
      </c>
      <c r="C116" s="16" t="s">
        <v>15</v>
      </c>
      <c r="D116" s="17" t="s">
        <v>44</v>
      </c>
      <c r="E116" s="18" t="s">
        <v>952</v>
      </c>
      <c r="F116" s="16" t="s">
        <v>546</v>
      </c>
      <c r="G116" s="16" t="s">
        <v>953</v>
      </c>
      <c r="H116" s="15" t="s">
        <v>280</v>
      </c>
      <c r="I116" s="17" t="s">
        <v>29</v>
      </c>
      <c r="J116" s="17" t="s">
        <v>29</v>
      </c>
      <c r="K116" s="15" t="s">
        <v>281</v>
      </c>
      <c r="L116" s="19" t="s">
        <v>954</v>
      </c>
      <c r="M116" s="16" t="s">
        <v>212</v>
      </c>
      <c r="N116" s="16" t="s">
        <v>955</v>
      </c>
      <c r="O116" s="16" t="s">
        <v>849</v>
      </c>
      <c r="P116" s="16" t="s">
        <v>956</v>
      </c>
      <c r="Q116" s="20" t="n">
        <v>4</v>
      </c>
      <c r="R116" s="20" t="n">
        <v>3</v>
      </c>
      <c r="S116" s="20" t="n">
        <v>4</v>
      </c>
      <c r="T116" s="20" t="n">
        <v>3</v>
      </c>
      <c r="U116" s="21" t="n">
        <f aca="false">ROUND(Q116*Methodik!$B$5+R116*Methodik!$B$6+S116*Methodik!$B$7+T116*Methodik!$B$8,2)</f>
        <v>3.55</v>
      </c>
      <c r="V116" s="15" t="str">
        <f aca="false">IF(U116&gt;=Methodik!$B$11,"A",IF(U116&gt;=Methodik!$B$12,"B","C"))</f>
        <v>B</v>
      </c>
      <c r="W116" s="20"/>
      <c r="X116" s="15" t="str">
        <f aca="false">IF(W116="",V116,W116)</f>
        <v>B</v>
      </c>
      <c r="Y116" s="22" t="s">
        <v>51</v>
      </c>
      <c r="Z116" s="23"/>
      <c r="AA116" s="16" t="s">
        <v>950</v>
      </c>
      <c r="AB116" s="22"/>
      <c r="AC116" s="16"/>
      <c r="AD116" s="19" t="s">
        <v>105</v>
      </c>
      <c r="AE116" s="19" t="s">
        <v>105</v>
      </c>
      <c r="AF116" s="19" t="s">
        <v>106</v>
      </c>
      <c r="AG116" s="16"/>
      <c r="AH116" s="22"/>
      <c r="AI116" s="24"/>
      <c r="AJ116" s="23"/>
      <c r="AK116" s="23"/>
    </row>
    <row r="117" customFormat="false" ht="48" hidden="false" customHeight="true" outlineLevel="0" collapsed="false">
      <c r="A117" s="15" t="s">
        <v>957</v>
      </c>
      <c r="B117" s="15" t="s">
        <v>457</v>
      </c>
      <c r="C117" s="16" t="s">
        <v>15</v>
      </c>
      <c r="D117" s="17" t="s">
        <v>44</v>
      </c>
      <c r="E117" s="18" t="s">
        <v>958</v>
      </c>
      <c r="F117" s="16" t="s">
        <v>524</v>
      </c>
      <c r="G117" s="16" t="s">
        <v>178</v>
      </c>
      <c r="H117" s="15" t="s">
        <v>179</v>
      </c>
      <c r="I117" s="17" t="s">
        <v>23</v>
      </c>
      <c r="J117" s="17" t="s">
        <v>32</v>
      </c>
      <c r="K117" s="15" t="s">
        <v>180</v>
      </c>
      <c r="L117" s="19" t="s">
        <v>959</v>
      </c>
      <c r="M117" s="16" t="s">
        <v>212</v>
      </c>
      <c r="N117" s="16" t="s">
        <v>960</v>
      </c>
      <c r="O117" s="16" t="s">
        <v>485</v>
      </c>
      <c r="P117" s="16" t="s">
        <v>961</v>
      </c>
      <c r="Q117" s="20" t="n">
        <v>4</v>
      </c>
      <c r="R117" s="20" t="n">
        <v>3</v>
      </c>
      <c r="S117" s="20" t="n">
        <v>4</v>
      </c>
      <c r="T117" s="20" t="n">
        <v>2</v>
      </c>
      <c r="U117" s="21" t="n">
        <f aca="false">ROUND(Q117*Methodik!$B$5+R117*Methodik!$B$6+S117*Methodik!$B$7+T117*Methodik!$B$8,2)</f>
        <v>3.4</v>
      </c>
      <c r="V117" s="15" t="str">
        <f aca="false">IF(U117&gt;=Methodik!$B$11,"A",IF(U117&gt;=Methodik!$B$12,"B","C"))</f>
        <v>B</v>
      </c>
      <c r="W117" s="20"/>
      <c r="X117" s="15" t="str">
        <f aca="false">IF(W117="",V117,W117)</f>
        <v>B</v>
      </c>
      <c r="Y117" s="22" t="s">
        <v>51</v>
      </c>
      <c r="Z117" s="23"/>
      <c r="AA117" s="16" t="s">
        <v>950</v>
      </c>
      <c r="AB117" s="22"/>
      <c r="AC117" s="16"/>
      <c r="AD117" s="19" t="s">
        <v>105</v>
      </c>
      <c r="AE117" s="19" t="s">
        <v>105</v>
      </c>
      <c r="AF117" s="19" t="s">
        <v>106</v>
      </c>
      <c r="AG117" s="16"/>
      <c r="AH117" s="22"/>
      <c r="AI117" s="24"/>
      <c r="AJ117" s="23"/>
      <c r="AK117" s="23"/>
    </row>
    <row r="118" customFormat="false" ht="48" hidden="false" customHeight="true" outlineLevel="0" collapsed="false">
      <c r="A118" s="15" t="s">
        <v>962</v>
      </c>
      <c r="B118" s="15" t="s">
        <v>457</v>
      </c>
      <c r="C118" s="16" t="s">
        <v>15</v>
      </c>
      <c r="D118" s="17" t="s">
        <v>44</v>
      </c>
      <c r="E118" s="18" t="s">
        <v>963</v>
      </c>
      <c r="F118" s="16" t="s">
        <v>964</v>
      </c>
      <c r="G118" s="16" t="s">
        <v>377</v>
      </c>
      <c r="H118" s="15" t="s">
        <v>125</v>
      </c>
      <c r="I118" s="17" t="s">
        <v>24</v>
      </c>
      <c r="J118" s="17" t="s">
        <v>33</v>
      </c>
      <c r="K118" s="15" t="s">
        <v>97</v>
      </c>
      <c r="L118" s="19" t="s">
        <v>965</v>
      </c>
      <c r="M118" s="16" t="s">
        <v>212</v>
      </c>
      <c r="N118" s="16" t="s">
        <v>966</v>
      </c>
      <c r="O118" s="16" t="s">
        <v>842</v>
      </c>
      <c r="P118" s="16" t="s">
        <v>967</v>
      </c>
      <c r="Q118" s="20" t="n">
        <v>4</v>
      </c>
      <c r="R118" s="20" t="n">
        <v>3</v>
      </c>
      <c r="S118" s="20" t="n">
        <v>4</v>
      </c>
      <c r="T118" s="20" t="n">
        <v>2</v>
      </c>
      <c r="U118" s="21" t="n">
        <f aca="false">ROUND(Q118*Methodik!$B$5+R118*Methodik!$B$6+S118*Methodik!$B$7+T118*Methodik!$B$8,2)</f>
        <v>3.4</v>
      </c>
      <c r="V118" s="15" t="str">
        <f aca="false">IF(U118&gt;=Methodik!$B$11,"A",IF(U118&gt;=Methodik!$B$12,"B","C"))</f>
        <v>B</v>
      </c>
      <c r="W118" s="20"/>
      <c r="X118" s="15" t="str">
        <f aca="false">IF(W118="",V118,W118)</f>
        <v>B</v>
      </c>
      <c r="Y118" s="22" t="s">
        <v>51</v>
      </c>
      <c r="Z118" s="23"/>
      <c r="AA118" s="16" t="s">
        <v>950</v>
      </c>
      <c r="AB118" s="22"/>
      <c r="AC118" s="16"/>
      <c r="AD118" s="19" t="s">
        <v>105</v>
      </c>
      <c r="AE118" s="19" t="s">
        <v>105</v>
      </c>
      <c r="AF118" s="19" t="s">
        <v>106</v>
      </c>
      <c r="AG118" s="16"/>
      <c r="AH118" s="22"/>
      <c r="AI118" s="24"/>
      <c r="AJ118" s="23"/>
      <c r="AK118" s="23"/>
    </row>
    <row r="119" customFormat="false" ht="48" hidden="false" customHeight="true" outlineLevel="0" collapsed="false">
      <c r="A119" s="15" t="s">
        <v>968</v>
      </c>
      <c r="B119" s="15" t="s">
        <v>457</v>
      </c>
      <c r="C119" s="16" t="s">
        <v>15</v>
      </c>
      <c r="D119" s="17" t="s">
        <v>44</v>
      </c>
      <c r="E119" s="18" t="s">
        <v>969</v>
      </c>
      <c r="F119" s="16" t="s">
        <v>970</v>
      </c>
      <c r="G119" s="16" t="s">
        <v>387</v>
      </c>
      <c r="H119" s="15" t="s">
        <v>324</v>
      </c>
      <c r="I119" s="17" t="s">
        <v>23</v>
      </c>
      <c r="J119" s="17" t="s">
        <v>32</v>
      </c>
      <c r="K119" s="15" t="s">
        <v>180</v>
      </c>
      <c r="L119" s="19" t="s">
        <v>971</v>
      </c>
      <c r="M119" s="16" t="s">
        <v>212</v>
      </c>
      <c r="N119" s="16" t="s">
        <v>972</v>
      </c>
      <c r="O119" s="16" t="s">
        <v>485</v>
      </c>
      <c r="P119" s="16" t="s">
        <v>973</v>
      </c>
      <c r="Q119" s="20" t="n">
        <v>4</v>
      </c>
      <c r="R119" s="20" t="n">
        <v>3</v>
      </c>
      <c r="S119" s="20" t="n">
        <v>3</v>
      </c>
      <c r="T119" s="20" t="n">
        <v>2</v>
      </c>
      <c r="U119" s="21" t="n">
        <f aca="false">ROUND(Q119*Methodik!$B$5+R119*Methodik!$B$6+S119*Methodik!$B$7+T119*Methodik!$B$8,2)</f>
        <v>3.15</v>
      </c>
      <c r="V119" s="15" t="str">
        <f aca="false">IF(U119&gt;=Methodik!$B$11,"A",IF(U119&gt;=Methodik!$B$12,"B","C"))</f>
        <v>B</v>
      </c>
      <c r="W119" s="20"/>
      <c r="X119" s="15" t="str">
        <f aca="false">IF(W119="",V119,W119)</f>
        <v>B</v>
      </c>
      <c r="Y119" s="22" t="s">
        <v>51</v>
      </c>
      <c r="Z119" s="23"/>
      <c r="AA119" s="16" t="s">
        <v>950</v>
      </c>
      <c r="AB119" s="22"/>
      <c r="AC119" s="16"/>
      <c r="AD119" s="19" t="s">
        <v>105</v>
      </c>
      <c r="AE119" s="19" t="s">
        <v>105</v>
      </c>
      <c r="AF119" s="19" t="s">
        <v>106</v>
      </c>
      <c r="AG119" s="16"/>
      <c r="AH119" s="22"/>
      <c r="AI119" s="24"/>
      <c r="AJ119" s="23"/>
      <c r="AK119" s="23"/>
    </row>
    <row r="120" customFormat="false" ht="48" hidden="false" customHeight="true" outlineLevel="0" collapsed="false">
      <c r="A120" s="15" t="s">
        <v>974</v>
      </c>
      <c r="B120" s="15" t="s">
        <v>457</v>
      </c>
      <c r="C120" s="16" t="s">
        <v>15</v>
      </c>
      <c r="D120" s="17" t="s">
        <v>45</v>
      </c>
      <c r="E120" s="18" t="s">
        <v>975</v>
      </c>
      <c r="F120" s="16" t="s">
        <v>524</v>
      </c>
      <c r="G120" s="16" t="s">
        <v>976</v>
      </c>
      <c r="H120" s="15" t="s">
        <v>179</v>
      </c>
      <c r="I120" s="17" t="s">
        <v>23</v>
      </c>
      <c r="J120" s="17" t="s">
        <v>32</v>
      </c>
      <c r="K120" s="15" t="s">
        <v>180</v>
      </c>
      <c r="L120" s="19" t="s">
        <v>977</v>
      </c>
      <c r="M120" s="16" t="s">
        <v>212</v>
      </c>
      <c r="N120" s="16" t="s">
        <v>978</v>
      </c>
      <c r="O120" s="16" t="s">
        <v>979</v>
      </c>
      <c r="P120" s="16" t="s">
        <v>980</v>
      </c>
      <c r="Q120" s="20" t="n">
        <v>5</v>
      </c>
      <c r="R120" s="20" t="n">
        <v>4</v>
      </c>
      <c r="S120" s="20" t="n">
        <v>4</v>
      </c>
      <c r="T120" s="20" t="n">
        <v>2</v>
      </c>
      <c r="U120" s="21" t="n">
        <f aca="false">ROUND(Q120*Methodik!$B$5+R120*Methodik!$B$6+S120*Methodik!$B$7+T120*Methodik!$B$8,2)</f>
        <v>4</v>
      </c>
      <c r="V120" s="15" t="str">
        <f aca="false">IF(U120&gt;=Methodik!$B$11,"A",IF(U120&gt;=Methodik!$B$12,"B","C"))</f>
        <v>A</v>
      </c>
      <c r="W120" s="20"/>
      <c r="X120" s="15" t="str">
        <f aca="false">IF(W120="",V120,W120)</f>
        <v>A</v>
      </c>
      <c r="Y120" s="22" t="s">
        <v>51</v>
      </c>
      <c r="Z120" s="23"/>
      <c r="AA120" s="16" t="s">
        <v>981</v>
      </c>
      <c r="AB120" s="22"/>
      <c r="AC120" s="16"/>
      <c r="AD120" s="19" t="s">
        <v>105</v>
      </c>
      <c r="AE120" s="19" t="s">
        <v>105</v>
      </c>
      <c r="AF120" s="19" t="s">
        <v>106</v>
      </c>
      <c r="AG120" s="16"/>
      <c r="AH120" s="22"/>
      <c r="AI120" s="24"/>
      <c r="AJ120" s="23"/>
      <c r="AK120" s="23"/>
    </row>
    <row r="121" customFormat="false" ht="48" hidden="false" customHeight="true" outlineLevel="0" collapsed="false">
      <c r="A121" s="15" t="s">
        <v>982</v>
      </c>
      <c r="B121" s="15" t="s">
        <v>93</v>
      </c>
      <c r="C121" s="16" t="s">
        <v>15</v>
      </c>
      <c r="D121" s="17" t="s">
        <v>45</v>
      </c>
      <c r="E121" s="18" t="s">
        <v>983</v>
      </c>
      <c r="F121" s="16" t="s">
        <v>984</v>
      </c>
      <c r="G121" s="16" t="s">
        <v>985</v>
      </c>
      <c r="H121" s="15" t="s">
        <v>210</v>
      </c>
      <c r="I121" s="17" t="s">
        <v>25</v>
      </c>
      <c r="J121" s="17" t="s">
        <v>33</v>
      </c>
      <c r="K121" s="15" t="s">
        <v>200</v>
      </c>
      <c r="L121" s="19" t="s">
        <v>986</v>
      </c>
      <c r="M121" s="16" t="s">
        <v>212</v>
      </c>
      <c r="N121" s="16" t="s">
        <v>987</v>
      </c>
      <c r="O121" s="16" t="s">
        <v>507</v>
      </c>
      <c r="P121" s="16" t="s">
        <v>988</v>
      </c>
      <c r="Q121" s="20" t="n">
        <v>5</v>
      </c>
      <c r="R121" s="20" t="n">
        <v>4</v>
      </c>
      <c r="S121" s="20" t="n">
        <v>4</v>
      </c>
      <c r="T121" s="20" t="n">
        <v>2</v>
      </c>
      <c r="U121" s="21" t="n">
        <f aca="false">ROUND(Q121*Methodik!$B$5+R121*Methodik!$B$6+S121*Methodik!$B$7+T121*Methodik!$B$8,2)</f>
        <v>4</v>
      </c>
      <c r="V121" s="15" t="str">
        <f aca="false">IF(U121&gt;=Methodik!$B$11,"A",IF(U121&gt;=Methodik!$B$12,"B","C"))</f>
        <v>A</v>
      </c>
      <c r="W121" s="20"/>
      <c r="X121" s="15" t="str">
        <f aca="false">IF(W121="",V121,W121)</f>
        <v>A</v>
      </c>
      <c r="Y121" s="22" t="s">
        <v>51</v>
      </c>
      <c r="Z121" s="23"/>
      <c r="AA121" s="16" t="s">
        <v>981</v>
      </c>
      <c r="AB121" s="22"/>
      <c r="AC121" s="16"/>
      <c r="AD121" s="19" t="s">
        <v>105</v>
      </c>
      <c r="AE121" s="19" t="s">
        <v>105</v>
      </c>
      <c r="AF121" s="19" t="s">
        <v>106</v>
      </c>
      <c r="AG121" s="16" t="s">
        <v>867</v>
      </c>
      <c r="AH121" s="22"/>
      <c r="AI121" s="24"/>
      <c r="AJ121" s="23"/>
      <c r="AK121" s="23"/>
    </row>
    <row r="122" customFormat="false" ht="48" hidden="false" customHeight="true" outlineLevel="0" collapsed="false">
      <c r="A122" s="15" t="s">
        <v>989</v>
      </c>
      <c r="B122" s="15" t="s">
        <v>457</v>
      </c>
      <c r="C122" s="16" t="s">
        <v>15</v>
      </c>
      <c r="D122" s="17" t="s">
        <v>45</v>
      </c>
      <c r="E122" s="18" t="s">
        <v>990</v>
      </c>
      <c r="F122" s="16" t="s">
        <v>95</v>
      </c>
      <c r="G122" s="16" t="s">
        <v>991</v>
      </c>
      <c r="H122" s="15" t="s">
        <v>96</v>
      </c>
      <c r="I122" s="17" t="s">
        <v>26</v>
      </c>
      <c r="J122" s="17" t="s">
        <v>33</v>
      </c>
      <c r="K122" s="15" t="s">
        <v>97</v>
      </c>
      <c r="L122" s="19" t="s">
        <v>992</v>
      </c>
      <c r="M122" s="16" t="s">
        <v>212</v>
      </c>
      <c r="N122" s="16" t="s">
        <v>993</v>
      </c>
      <c r="O122" s="16" t="s">
        <v>994</v>
      </c>
      <c r="P122" s="16" t="s">
        <v>995</v>
      </c>
      <c r="Q122" s="20" t="n">
        <v>4</v>
      </c>
      <c r="R122" s="20" t="n">
        <v>4</v>
      </c>
      <c r="S122" s="20" t="n">
        <v>3</v>
      </c>
      <c r="T122" s="20" t="n">
        <v>2</v>
      </c>
      <c r="U122" s="21" t="n">
        <f aca="false">ROUND(Q122*Methodik!$B$5+R122*Methodik!$B$6+S122*Methodik!$B$7+T122*Methodik!$B$8,2)</f>
        <v>3.45</v>
      </c>
      <c r="V122" s="15" t="str">
        <f aca="false">IF(U122&gt;=Methodik!$B$11,"A",IF(U122&gt;=Methodik!$B$12,"B","C"))</f>
        <v>B</v>
      </c>
      <c r="W122" s="20"/>
      <c r="X122" s="15" t="str">
        <f aca="false">IF(W122="",V122,W122)</f>
        <v>B</v>
      </c>
      <c r="Y122" s="22" t="s">
        <v>51</v>
      </c>
      <c r="Z122" s="23"/>
      <c r="AA122" s="16" t="s">
        <v>981</v>
      </c>
      <c r="AB122" s="22"/>
      <c r="AC122" s="16"/>
      <c r="AD122" s="19" t="s">
        <v>105</v>
      </c>
      <c r="AE122" s="19" t="s">
        <v>105</v>
      </c>
      <c r="AF122" s="19" t="s">
        <v>106</v>
      </c>
      <c r="AG122" s="16"/>
      <c r="AH122" s="22"/>
      <c r="AI122" s="24"/>
      <c r="AJ122" s="23"/>
      <c r="AK122" s="23"/>
    </row>
    <row r="123" customFormat="false" ht="48" hidden="false" customHeight="true" outlineLevel="0" collapsed="false">
      <c r="A123" s="15" t="s">
        <v>996</v>
      </c>
      <c r="B123" s="15" t="s">
        <v>457</v>
      </c>
      <c r="C123" s="16" t="s">
        <v>15</v>
      </c>
      <c r="D123" s="17" t="s">
        <v>46</v>
      </c>
      <c r="E123" s="18" t="s">
        <v>997</v>
      </c>
      <c r="F123" s="16" t="s">
        <v>212</v>
      </c>
      <c r="G123" s="16" t="s">
        <v>998</v>
      </c>
      <c r="H123" s="15" t="s">
        <v>253</v>
      </c>
      <c r="I123" s="17" t="s">
        <v>27</v>
      </c>
      <c r="J123" s="17" t="s">
        <v>33</v>
      </c>
      <c r="K123" s="15" t="s">
        <v>97</v>
      </c>
      <c r="L123" s="19" t="s">
        <v>999</v>
      </c>
      <c r="M123" s="16" t="s">
        <v>1000</v>
      </c>
      <c r="N123" s="16" t="s">
        <v>1001</v>
      </c>
      <c r="O123" s="16" t="s">
        <v>1002</v>
      </c>
      <c r="P123" s="16" t="s">
        <v>1003</v>
      </c>
      <c r="Q123" s="20" t="n">
        <v>5</v>
      </c>
      <c r="R123" s="20" t="n">
        <v>4</v>
      </c>
      <c r="S123" s="20" t="n">
        <v>4</v>
      </c>
      <c r="T123" s="20" t="n">
        <v>3</v>
      </c>
      <c r="U123" s="21" t="n">
        <f aca="false">ROUND(Q123*Methodik!$B$5+R123*Methodik!$B$6+S123*Methodik!$B$7+T123*Methodik!$B$8,2)</f>
        <v>4.15</v>
      </c>
      <c r="V123" s="15" t="str">
        <f aca="false">IF(U123&gt;=Methodik!$B$11,"A",IF(U123&gt;=Methodik!$B$12,"B","C"))</f>
        <v>A</v>
      </c>
      <c r="W123" s="20"/>
      <c r="X123" s="15" t="str">
        <f aca="false">IF(W123="",V123,W123)</f>
        <v>A</v>
      </c>
      <c r="Y123" s="22" t="s">
        <v>51</v>
      </c>
      <c r="Z123" s="23"/>
      <c r="AA123" s="16" t="s">
        <v>1004</v>
      </c>
      <c r="AB123" s="22"/>
      <c r="AC123" s="16"/>
      <c r="AD123" s="19" t="s">
        <v>105</v>
      </c>
      <c r="AE123" s="19" t="s">
        <v>105</v>
      </c>
      <c r="AF123" s="19" t="s">
        <v>106</v>
      </c>
      <c r="AG123" s="16"/>
      <c r="AH123" s="22"/>
      <c r="AI123" s="24"/>
      <c r="AJ123" s="23"/>
      <c r="AK123" s="23"/>
    </row>
    <row r="124" customFormat="false" ht="48" hidden="false" customHeight="true" outlineLevel="0" collapsed="false">
      <c r="A124" s="15" t="s">
        <v>1005</v>
      </c>
      <c r="B124" s="15" t="s">
        <v>457</v>
      </c>
      <c r="C124" s="16" t="s">
        <v>15</v>
      </c>
      <c r="D124" s="17" t="s">
        <v>46</v>
      </c>
      <c r="E124" s="18" t="s">
        <v>1006</v>
      </c>
      <c r="F124" s="16" t="s">
        <v>1007</v>
      </c>
      <c r="G124" s="16" t="s">
        <v>1008</v>
      </c>
      <c r="H124" s="15" t="s">
        <v>324</v>
      </c>
      <c r="I124" s="17" t="s">
        <v>23</v>
      </c>
      <c r="J124" s="17" t="s">
        <v>32</v>
      </c>
      <c r="K124" s="15" t="s">
        <v>180</v>
      </c>
      <c r="L124" s="19" t="s">
        <v>1009</v>
      </c>
      <c r="M124" s="16" t="s">
        <v>1010</v>
      </c>
      <c r="N124" s="16" t="s">
        <v>1011</v>
      </c>
      <c r="O124" s="16" t="s">
        <v>1012</v>
      </c>
      <c r="P124" s="16" t="s">
        <v>1013</v>
      </c>
      <c r="Q124" s="20" t="n">
        <v>5</v>
      </c>
      <c r="R124" s="20" t="n">
        <v>3</v>
      </c>
      <c r="S124" s="20" t="n">
        <v>4</v>
      </c>
      <c r="T124" s="20" t="n">
        <v>3</v>
      </c>
      <c r="U124" s="21" t="n">
        <f aca="false">ROUND(Q124*Methodik!$B$5+R124*Methodik!$B$6+S124*Methodik!$B$7+T124*Methodik!$B$8,2)</f>
        <v>3.85</v>
      </c>
      <c r="V124" s="15" t="str">
        <f aca="false">IF(U124&gt;=Methodik!$B$11,"A",IF(U124&gt;=Methodik!$B$12,"B","C"))</f>
        <v>B</v>
      </c>
      <c r="W124" s="20"/>
      <c r="X124" s="15" t="str">
        <f aca="false">IF(W124="",V124,W124)</f>
        <v>B</v>
      </c>
      <c r="Y124" s="22" t="s">
        <v>51</v>
      </c>
      <c r="Z124" s="23"/>
      <c r="AA124" s="16" t="s">
        <v>1004</v>
      </c>
      <c r="AB124" s="22"/>
      <c r="AC124" s="16"/>
      <c r="AD124" s="19" t="s">
        <v>105</v>
      </c>
      <c r="AE124" s="19" t="s">
        <v>105</v>
      </c>
      <c r="AF124" s="19" t="s">
        <v>106</v>
      </c>
      <c r="AG124" s="16"/>
      <c r="AH124" s="22"/>
      <c r="AI124" s="24"/>
      <c r="AJ124" s="23"/>
      <c r="AK124" s="23"/>
    </row>
    <row r="125" customFormat="false" ht="48" hidden="false" customHeight="true" outlineLevel="0" collapsed="false">
      <c r="A125" s="15" t="s">
        <v>1014</v>
      </c>
      <c r="B125" s="15" t="s">
        <v>457</v>
      </c>
      <c r="C125" s="16" t="s">
        <v>15</v>
      </c>
      <c r="D125" s="17" t="s">
        <v>46</v>
      </c>
      <c r="E125" s="18" t="s">
        <v>1015</v>
      </c>
      <c r="F125" s="16" t="s">
        <v>1016</v>
      </c>
      <c r="G125" s="16" t="s">
        <v>1017</v>
      </c>
      <c r="H125" s="15" t="s">
        <v>324</v>
      </c>
      <c r="I125" s="17" t="s">
        <v>23</v>
      </c>
      <c r="J125" s="17" t="s">
        <v>32</v>
      </c>
      <c r="K125" s="15" t="s">
        <v>180</v>
      </c>
      <c r="L125" s="19" t="s">
        <v>1018</v>
      </c>
      <c r="M125" s="16" t="s">
        <v>1019</v>
      </c>
      <c r="N125" s="16" t="s">
        <v>1020</v>
      </c>
      <c r="O125" s="16" t="s">
        <v>1012</v>
      </c>
      <c r="P125" s="16" t="s">
        <v>1021</v>
      </c>
      <c r="Q125" s="20" t="n">
        <v>5</v>
      </c>
      <c r="R125" s="20" t="n">
        <v>3</v>
      </c>
      <c r="S125" s="20" t="n">
        <v>4</v>
      </c>
      <c r="T125" s="20" t="n">
        <v>3</v>
      </c>
      <c r="U125" s="21" t="n">
        <f aca="false">ROUND(Q125*Methodik!$B$5+R125*Methodik!$B$6+S125*Methodik!$B$7+T125*Methodik!$B$8,2)</f>
        <v>3.85</v>
      </c>
      <c r="V125" s="15" t="str">
        <f aca="false">IF(U125&gt;=Methodik!$B$11,"A",IF(U125&gt;=Methodik!$B$12,"B","C"))</f>
        <v>B</v>
      </c>
      <c r="W125" s="20"/>
      <c r="X125" s="15" t="str">
        <f aca="false">IF(W125="",V125,W125)</f>
        <v>B</v>
      </c>
      <c r="Y125" s="22" t="s">
        <v>51</v>
      </c>
      <c r="Z125" s="23"/>
      <c r="AA125" s="16" t="s">
        <v>1004</v>
      </c>
      <c r="AB125" s="22"/>
      <c r="AC125" s="16"/>
      <c r="AD125" s="19" t="s">
        <v>105</v>
      </c>
      <c r="AE125" s="19" t="s">
        <v>105</v>
      </c>
      <c r="AF125" s="19" t="s">
        <v>106</v>
      </c>
      <c r="AG125" s="16"/>
      <c r="AH125" s="22"/>
      <c r="AI125" s="24"/>
      <c r="AJ125" s="23"/>
      <c r="AK125" s="23"/>
    </row>
    <row r="126" customFormat="false" ht="48" hidden="false" customHeight="true" outlineLevel="0" collapsed="false">
      <c r="A126" s="15" t="s">
        <v>1022</v>
      </c>
      <c r="B126" s="15" t="s">
        <v>457</v>
      </c>
      <c r="C126" s="16" t="s">
        <v>15</v>
      </c>
      <c r="D126" s="17" t="s">
        <v>46</v>
      </c>
      <c r="E126" s="18" t="s">
        <v>1023</v>
      </c>
      <c r="F126" s="16" t="s">
        <v>1016</v>
      </c>
      <c r="G126" s="16" t="s">
        <v>1024</v>
      </c>
      <c r="H126" s="15" t="s">
        <v>280</v>
      </c>
      <c r="I126" s="17" t="s">
        <v>29</v>
      </c>
      <c r="J126" s="17" t="s">
        <v>29</v>
      </c>
      <c r="K126" s="15" t="s">
        <v>281</v>
      </c>
      <c r="L126" s="19" t="s">
        <v>1025</v>
      </c>
      <c r="M126" s="16" t="s">
        <v>1026</v>
      </c>
      <c r="N126" s="16" t="s">
        <v>1027</v>
      </c>
      <c r="O126" s="16" t="s">
        <v>1028</v>
      </c>
      <c r="P126" s="16" t="s">
        <v>1029</v>
      </c>
      <c r="Q126" s="20" t="n">
        <v>4</v>
      </c>
      <c r="R126" s="20" t="n">
        <v>3</v>
      </c>
      <c r="S126" s="20" t="n">
        <v>4</v>
      </c>
      <c r="T126" s="20" t="n">
        <v>3</v>
      </c>
      <c r="U126" s="21" t="n">
        <f aca="false">ROUND(Q126*Methodik!$B$5+R126*Methodik!$B$6+S126*Methodik!$B$7+T126*Methodik!$B$8,2)</f>
        <v>3.55</v>
      </c>
      <c r="V126" s="15" t="str">
        <f aca="false">IF(U126&gt;=Methodik!$B$11,"A",IF(U126&gt;=Methodik!$B$12,"B","C"))</f>
        <v>B</v>
      </c>
      <c r="W126" s="20"/>
      <c r="X126" s="15" t="str">
        <f aca="false">IF(W126="",V126,W126)</f>
        <v>B</v>
      </c>
      <c r="Y126" s="22" t="s">
        <v>51</v>
      </c>
      <c r="Z126" s="23"/>
      <c r="AA126" s="16" t="s">
        <v>1004</v>
      </c>
      <c r="AB126" s="22"/>
      <c r="AC126" s="16"/>
      <c r="AD126" s="19" t="s">
        <v>105</v>
      </c>
      <c r="AE126" s="19" t="s">
        <v>105</v>
      </c>
      <c r="AF126" s="19" t="s">
        <v>106</v>
      </c>
      <c r="AG126" s="16"/>
      <c r="AH126" s="22"/>
      <c r="AI126" s="24"/>
      <c r="AJ126" s="23"/>
      <c r="AK126" s="23"/>
    </row>
    <row r="127" customFormat="false" ht="48" hidden="false" customHeight="true" outlineLevel="0" collapsed="false">
      <c r="A127" s="15" t="s">
        <v>1030</v>
      </c>
      <c r="B127" s="15" t="s">
        <v>457</v>
      </c>
      <c r="C127" s="16" t="s">
        <v>15</v>
      </c>
      <c r="D127" s="17" t="s">
        <v>46</v>
      </c>
      <c r="E127" s="18" t="s">
        <v>1031</v>
      </c>
      <c r="F127" s="16" t="s">
        <v>212</v>
      </c>
      <c r="G127" s="16" t="s">
        <v>1024</v>
      </c>
      <c r="H127" s="15" t="s">
        <v>280</v>
      </c>
      <c r="I127" s="17" t="s">
        <v>29</v>
      </c>
      <c r="J127" s="17" t="s">
        <v>29</v>
      </c>
      <c r="K127" s="15" t="s">
        <v>281</v>
      </c>
      <c r="L127" s="19" t="s">
        <v>1032</v>
      </c>
      <c r="M127" s="16" t="s">
        <v>1026</v>
      </c>
      <c r="N127" s="16" t="s">
        <v>1033</v>
      </c>
      <c r="O127" s="16" t="s">
        <v>1028</v>
      </c>
      <c r="P127" s="16" t="s">
        <v>1034</v>
      </c>
      <c r="Q127" s="20" t="n">
        <v>4</v>
      </c>
      <c r="R127" s="20" t="n">
        <v>3</v>
      </c>
      <c r="S127" s="20" t="n">
        <v>4</v>
      </c>
      <c r="T127" s="20" t="n">
        <v>3</v>
      </c>
      <c r="U127" s="21" t="n">
        <f aca="false">ROUND(Q127*Methodik!$B$5+R127*Methodik!$B$6+S127*Methodik!$B$7+T127*Methodik!$B$8,2)</f>
        <v>3.55</v>
      </c>
      <c r="V127" s="15" t="str">
        <f aca="false">IF(U127&gt;=Methodik!$B$11,"A",IF(U127&gt;=Methodik!$B$12,"B","C"))</f>
        <v>B</v>
      </c>
      <c r="W127" s="20"/>
      <c r="X127" s="15" t="str">
        <f aca="false">IF(W127="",V127,W127)</f>
        <v>B</v>
      </c>
      <c r="Y127" s="22" t="s">
        <v>51</v>
      </c>
      <c r="Z127" s="23"/>
      <c r="AA127" s="16" t="s">
        <v>1004</v>
      </c>
      <c r="AB127" s="22"/>
      <c r="AC127" s="16"/>
      <c r="AD127" s="19" t="s">
        <v>105</v>
      </c>
      <c r="AE127" s="19" t="s">
        <v>105</v>
      </c>
      <c r="AF127" s="19" t="s">
        <v>106</v>
      </c>
      <c r="AG127" s="16"/>
      <c r="AH127" s="22"/>
      <c r="AI127" s="24"/>
      <c r="AJ127" s="23"/>
      <c r="AK127" s="23"/>
    </row>
    <row r="128" customFormat="false" ht="48" hidden="false" customHeight="true" outlineLevel="0" collapsed="false">
      <c r="A128" s="15" t="s">
        <v>1035</v>
      </c>
      <c r="B128" s="15" t="s">
        <v>457</v>
      </c>
      <c r="C128" s="16" t="s">
        <v>15</v>
      </c>
      <c r="D128" s="17" t="s">
        <v>46</v>
      </c>
      <c r="E128" s="18" t="s">
        <v>1036</v>
      </c>
      <c r="F128" s="16" t="s">
        <v>1016</v>
      </c>
      <c r="G128" s="16" t="s">
        <v>26</v>
      </c>
      <c r="H128" s="15" t="s">
        <v>96</v>
      </c>
      <c r="I128" s="17" t="s">
        <v>26</v>
      </c>
      <c r="J128" s="17" t="s">
        <v>33</v>
      </c>
      <c r="K128" s="15" t="s">
        <v>97</v>
      </c>
      <c r="L128" s="19" t="s">
        <v>1037</v>
      </c>
      <c r="M128" s="16" t="s">
        <v>1038</v>
      </c>
      <c r="N128" s="16" t="s">
        <v>1039</v>
      </c>
      <c r="O128" s="16" t="s">
        <v>1040</v>
      </c>
      <c r="P128" s="16" t="s">
        <v>1041</v>
      </c>
      <c r="Q128" s="20" t="n">
        <v>4</v>
      </c>
      <c r="R128" s="20" t="n">
        <v>3</v>
      </c>
      <c r="S128" s="20" t="n">
        <v>4</v>
      </c>
      <c r="T128" s="20" t="n">
        <v>3</v>
      </c>
      <c r="U128" s="21" t="n">
        <f aca="false">ROUND(Q128*Methodik!$B$5+R128*Methodik!$B$6+S128*Methodik!$B$7+T128*Methodik!$B$8,2)</f>
        <v>3.55</v>
      </c>
      <c r="V128" s="15" t="str">
        <f aca="false">IF(U128&gt;=Methodik!$B$11,"A",IF(U128&gt;=Methodik!$B$12,"B","C"))</f>
        <v>B</v>
      </c>
      <c r="W128" s="20"/>
      <c r="X128" s="15" t="str">
        <f aca="false">IF(W128="",V128,W128)</f>
        <v>B</v>
      </c>
      <c r="Y128" s="22" t="s">
        <v>51</v>
      </c>
      <c r="Z128" s="23"/>
      <c r="AA128" s="16" t="s">
        <v>1004</v>
      </c>
      <c r="AB128" s="22"/>
      <c r="AC128" s="16"/>
      <c r="AD128" s="19" t="s">
        <v>105</v>
      </c>
      <c r="AE128" s="19" t="s">
        <v>105</v>
      </c>
      <c r="AF128" s="19" t="s">
        <v>106</v>
      </c>
      <c r="AG128" s="16"/>
      <c r="AH128" s="22"/>
      <c r="AI128" s="24"/>
      <c r="AJ128" s="23"/>
      <c r="AK128" s="23"/>
    </row>
    <row r="129" customFormat="false" ht="48" hidden="false" customHeight="true" outlineLevel="0" collapsed="false">
      <c r="A129" s="15" t="s">
        <v>1042</v>
      </c>
      <c r="B129" s="15" t="s">
        <v>457</v>
      </c>
      <c r="C129" s="16" t="s">
        <v>15</v>
      </c>
      <c r="D129" s="17" t="s">
        <v>46</v>
      </c>
      <c r="E129" s="18" t="s">
        <v>1043</v>
      </c>
      <c r="F129" s="16" t="s">
        <v>1016</v>
      </c>
      <c r="G129" s="16" t="s">
        <v>1044</v>
      </c>
      <c r="H129" s="15" t="s">
        <v>125</v>
      </c>
      <c r="I129" s="17" t="s">
        <v>24</v>
      </c>
      <c r="J129" s="17" t="s">
        <v>33</v>
      </c>
      <c r="K129" s="15" t="s">
        <v>97</v>
      </c>
      <c r="L129" s="19" t="s">
        <v>1045</v>
      </c>
      <c r="M129" s="16" t="s">
        <v>212</v>
      </c>
      <c r="N129" s="16" t="s">
        <v>1046</v>
      </c>
      <c r="O129" s="16" t="s">
        <v>1047</v>
      </c>
      <c r="P129" s="16" t="s">
        <v>1048</v>
      </c>
      <c r="Q129" s="20" t="n">
        <v>4</v>
      </c>
      <c r="R129" s="20" t="n">
        <v>3</v>
      </c>
      <c r="S129" s="20" t="n">
        <v>4</v>
      </c>
      <c r="T129" s="20" t="n">
        <v>2</v>
      </c>
      <c r="U129" s="21" t="n">
        <f aca="false">ROUND(Q129*Methodik!$B$5+R129*Methodik!$B$6+S129*Methodik!$B$7+T129*Methodik!$B$8,2)</f>
        <v>3.4</v>
      </c>
      <c r="V129" s="15" t="str">
        <f aca="false">IF(U129&gt;=Methodik!$B$11,"A",IF(U129&gt;=Methodik!$B$12,"B","C"))</f>
        <v>B</v>
      </c>
      <c r="W129" s="20"/>
      <c r="X129" s="15" t="str">
        <f aca="false">IF(W129="",V129,W129)</f>
        <v>B</v>
      </c>
      <c r="Y129" s="22" t="s">
        <v>51</v>
      </c>
      <c r="Z129" s="23"/>
      <c r="AA129" s="16" t="s">
        <v>1004</v>
      </c>
      <c r="AB129" s="22"/>
      <c r="AC129" s="16"/>
      <c r="AD129" s="19" t="s">
        <v>105</v>
      </c>
      <c r="AE129" s="19" t="s">
        <v>105</v>
      </c>
      <c r="AF129" s="19" t="s">
        <v>106</v>
      </c>
      <c r="AG129" s="16"/>
      <c r="AH129" s="22"/>
      <c r="AI129" s="24"/>
      <c r="AJ129" s="23"/>
      <c r="AK129" s="23"/>
    </row>
  </sheetData>
  <conditionalFormatting sqref="V5:V129">
    <cfRule type="cellIs" priority="2" operator="equal" aboveAverage="0" equalAverage="0" bottom="0" percent="0" rank="0" text="" dxfId="14">
      <formula>"A"</formula>
    </cfRule>
    <cfRule type="cellIs" priority="3" operator="equal" aboveAverage="0" equalAverage="0" bottom="0" percent="0" rank="0" text="" dxfId="15">
      <formula>"B"</formula>
    </cfRule>
    <cfRule type="cellIs" priority="4" operator="equal" aboveAverage="0" equalAverage="0" bottom="0" percent="0" rank="0" text="" dxfId="16">
      <formula>"C"</formula>
    </cfRule>
  </conditionalFormatting>
  <conditionalFormatting sqref="W5:W129">
    <cfRule type="cellIs" priority="5" operator="equal" aboveAverage="0" equalAverage="0" bottom="0" percent="0" rank="0" text="" dxfId="14">
      <formula>"A"</formula>
    </cfRule>
    <cfRule type="cellIs" priority="6" operator="equal" aboveAverage="0" equalAverage="0" bottom="0" percent="0" rank="0" text="" dxfId="15">
      <formula>"B"</formula>
    </cfRule>
    <cfRule type="cellIs" priority="7" operator="equal" aboveAverage="0" equalAverage="0" bottom="0" percent="0" rank="0" text="" dxfId="16">
      <formula>"C"</formula>
    </cfRule>
  </conditionalFormatting>
  <conditionalFormatting sqref="X5:X129">
    <cfRule type="cellIs" priority="8" operator="equal" aboveAverage="0" equalAverage="0" bottom="0" percent="0" rank="0" text="" dxfId="14">
      <formula>"A"</formula>
    </cfRule>
    <cfRule type="cellIs" priority="9" operator="equal" aboveAverage="0" equalAverage="0" bottom="0" percent="0" rank="0" text="" dxfId="15">
      <formula>"B"</formula>
    </cfRule>
    <cfRule type="cellIs" priority="10" operator="equal" aboveAverage="0" equalAverage="0" bottom="0" percent="0" rank="0" text="" dxfId="16">
      <formula>"C"</formula>
    </cfRule>
  </conditionalFormatting>
  <conditionalFormatting sqref="B5:B129">
    <cfRule type="cellIs" priority="11" operator="equal" aboveAverage="0" equalAverage="0" bottom="0" percent="0" rank="0" text="" dxfId="17">
      <formula>"Ja"</formula>
    </cfRule>
  </conditionalFormatting>
  <conditionalFormatting sqref="Y5:Y129">
    <cfRule type="cellIs" priority="12" operator="equal" aboveAverage="0" equalAverage="0" bottom="0" percent="0" rank="0" text="" dxfId="18">
      <formula>"Verlorener Kunde"</formula>
    </cfRule>
    <cfRule type="cellIs" priority="13" operator="equal" aboveAverage="0" equalAverage="0" bottom="0" percent="0" rank="0" text="" dxfId="19">
      <formula>"A-Kunde"</formula>
    </cfRule>
  </conditionalFormatting>
  <conditionalFormatting sqref="AJ5:AJ129">
    <cfRule type="expression" priority="14" aboveAverage="0" equalAverage="0" bottom="0" percent="0" rank="0" text="" dxfId="18">
      <formula>AND(AJ5&lt;&gt;"",AJ5&lt;TODAY())</formula>
    </cfRule>
  </conditionalFormatting>
  <dataValidations count="13">
    <dataValidation allowBlank="true" error="Bitte Wert aus der Liste wählen." errorStyle="stop" operator="between" showDropDown="false" showErrorMessage="true" showInputMessage="false" sqref="C5:C329" type="list">
      <formula1>Listen!$A$2:$A$4</formula1>
      <formula2>0</formula2>
    </dataValidation>
    <dataValidation allowBlank="true" error="Bitte Wert aus der Liste wählen." errorStyle="stop" operator="between" showDropDown="false" showErrorMessage="true" showInputMessage="false" sqref="D5:D329" type="list">
      <formula1>Listen!$B$2:$B$11</formula1>
      <formula2>0</formula2>
    </dataValidation>
    <dataValidation allowBlank="true" error="Bitte Wert aus der Liste wählen." errorStyle="stop" operator="between" showDropDown="false" showErrorMessage="true" showInputMessage="false" sqref="I5:I329" type="list">
      <formula1>Listen!$C$2:$C$8</formula1>
      <formula2>0</formula2>
    </dataValidation>
    <dataValidation allowBlank="true" error="Bitte Wert aus der Liste wählen." errorStyle="stop" operator="between" showDropDown="false" showErrorMessage="true" showInputMessage="false" sqref="J5:J329" type="list">
      <formula1>Listen!$I$2:$I$4</formula1>
      <formula2>0</formula2>
    </dataValidation>
    <dataValidation allowBlank="true" error="Bitte Wert aus der Liste wählen." errorStyle="stop" operator="between" showDropDown="false" showErrorMessage="true" showInputMessage="false" sqref="B5:B329" type="list">
      <formula1>Listen!$G$2:$G$3</formula1>
      <formula2>0</formula2>
    </dataValidation>
    <dataValidation allowBlank="true" error="Bitte Wert aus der Liste wählen." errorStyle="stop" operator="between" prompt="Leer = Vorschlag gilt. A/B/C übersteuert." showDropDown="false" showErrorMessage="true" showInputMessage="true" sqref="W5:W329" type="list">
      <formula1>Listen!$D$2:$D$4</formula1>
      <formula2>0</formula2>
    </dataValidation>
    <dataValidation allowBlank="true" error="Bitte Wert aus der Liste wählen." errorStyle="stop" operator="between" prompt="Aus CRM übernehmen." showDropDown="false" showErrorMessage="true" showInputMessage="true" sqref="Y5:Y329" type="list">
      <formula1>Listen!$E$2:$E$6</formula1>
      <formula2>0</formula2>
    </dataValidation>
    <dataValidation allowBlank="true" error="Bitte Wert aus der Liste wählen." errorStyle="stop" operator="between" showDropDown="false" showErrorMessage="true" showInputMessage="false" sqref="AH5:AH329" type="list">
      <formula1>Listen!$F$2:$F$5</formula1>
      <formula2>0</formula2>
    </dataValidation>
    <dataValidation allowBlank="true" error="Bitte Wert aus der Liste wählen." errorStyle="stop" operator="between" prompt="Skala 1 bis 5, siehe Blatt Methodik." showDropDown="false" showErrorMessage="true" showInputMessage="true" sqref="Q5:Q329" type="list">
      <formula1>Listen!$H$2:$H$6</formula1>
      <formula2>0</formula2>
    </dataValidation>
    <dataValidation allowBlank="true" error="Bitte Wert aus der Liste wählen." errorStyle="stop" operator="between" prompt="Skala 1 bis 5, siehe Blatt Methodik." showDropDown="false" showErrorMessage="true" showInputMessage="true" sqref="R5:R329" type="list">
      <formula1>Listen!$H$2:$H$6</formula1>
      <formula2>0</formula2>
    </dataValidation>
    <dataValidation allowBlank="true" error="Bitte Wert aus der Liste wählen." errorStyle="stop" operator="between" prompt="Skala 1 bis 5, siehe Blatt Methodik." showDropDown="false" showErrorMessage="true" showInputMessage="true" sqref="S5:S329" type="list">
      <formula1>Listen!$H$2:$H$6</formula1>
      <formula2>0</formula2>
    </dataValidation>
    <dataValidation allowBlank="true" error="Bitte Wert aus der Liste wählen." errorStyle="stop" operator="between" prompt="Skala 1 bis 5, siehe Blatt Methodik." showDropDown="false" showErrorMessage="true" showInputMessage="true" sqref="T5:T329" type="list">
      <formula1>Listen!$H$2:$H$6</formula1>
      <formula2>0</formula2>
    </dataValidation>
    <dataValidation allowBlank="true" error="Bitte Datum TT.MM.JJJJ eingeben." errorStyle="stop" operator="greaterThan" showDropDown="false" showErrorMessage="false" showInputMessage="false" sqref="Z5:Z329 AJ5:AK329" type="date">
      <formula1>36526</formula1>
      <formula2>0</formula2>
    </dataValidation>
  </dataValidations>
  <hyperlinks>
    <hyperlink ref="L5" r:id="rId2" display="burkhalter.ch"/>
    <hyperlink ref="AD5" r:id="rId3" display="Suche öffnen"/>
    <hyperlink ref="AE5" r:id="rId4" display="Suche öffnen"/>
    <hyperlink ref="AF5" r:id="rId5" display="Link"/>
    <hyperlink ref="L6" r:id="rId6" display="etavis.ch"/>
    <hyperlink ref="AD6" r:id="rId7" display="Suche öffnen"/>
    <hyperlink ref="AE6" r:id="rId8" display="Suche öffnen"/>
    <hyperlink ref="AF6" r:id="rId9" display="Link"/>
    <hyperlink ref="L7" r:id="rId10" display="equans.ch"/>
    <hyperlink ref="AD7" r:id="rId11" display="Suche öffnen"/>
    <hyperlink ref="AE7" r:id="rId12" display="Suche öffnen"/>
    <hyperlink ref="AF7" r:id="rId13" display="Link"/>
    <hyperlink ref="L8" r:id="rId14" display="bkw.ch"/>
    <hyperlink ref="AD8" r:id="rId15" display="Suche öffnen"/>
    <hyperlink ref="AE8" r:id="rId16" display="Suche öffnen"/>
    <hyperlink ref="AF8" r:id="rId17" display="Link"/>
    <hyperlink ref="L9" r:id="rId18" display="actemium.ch"/>
    <hyperlink ref="AD9" r:id="rId19" display="Suche öffnen"/>
    <hyperlink ref="AE9" r:id="rId20" display="Suche öffnen"/>
    <hyperlink ref="AF9" r:id="rId21" display="Link"/>
    <hyperlink ref="L10" r:id="rId22" display="arnold.ch"/>
    <hyperlink ref="AD10" r:id="rId23" display="Suche öffnen"/>
    <hyperlink ref="AE10" r:id="rId24" display="Suche öffnen"/>
    <hyperlink ref="AF10" r:id="rId25" display="Link"/>
    <hyperlink ref="L11" r:id="rId26" display="ckw.ch"/>
    <hyperlink ref="AD11" r:id="rId27" display="Suche öffnen"/>
    <hyperlink ref="AE11" r:id="rId28" display="Suche öffnen"/>
    <hyperlink ref="AF11" r:id="rId29" display="Link"/>
    <hyperlink ref="L12" r:id="rId30" display="ekzeltop.ch"/>
    <hyperlink ref="AD12" r:id="rId31" display="Suche öffnen"/>
    <hyperlink ref="AE12" r:id="rId32" display="Suche öffnen"/>
    <hyperlink ref="AF12" r:id="rId33" display="Link"/>
    <hyperlink ref="L13" r:id="rId34" display="etavis.ch"/>
    <hyperlink ref="AD13" r:id="rId35" display="Suche öffnen"/>
    <hyperlink ref="AE13" r:id="rId36" display="Suche öffnen"/>
    <hyperlink ref="AF13" r:id="rId37" display="Link"/>
    <hyperlink ref="L14" r:id="rId38" display="eggtelsa.com"/>
    <hyperlink ref="AD14" r:id="rId39" display="Suche öffnen"/>
    <hyperlink ref="AE14" r:id="rId40" display="Suche öffnen"/>
    <hyperlink ref="AF14" r:id="rId41" display="Link"/>
    <hyperlink ref="L15" r:id="rId42" display="selmoni.ch"/>
    <hyperlink ref="AD15" r:id="rId43" display="Suche öffnen"/>
    <hyperlink ref="AE15" r:id="rId44" display="Suche öffnen"/>
    <hyperlink ref="AF15" r:id="rId45" display="Link"/>
    <hyperlink ref="L16" r:id="rId46" display="cablex.ch"/>
    <hyperlink ref="AD16" r:id="rId47" display="Suche öffnen"/>
    <hyperlink ref="AE16" r:id="rId48" display="Suche öffnen"/>
    <hyperlink ref="AF16" r:id="rId49" display="Link"/>
    <hyperlink ref="AD17" r:id="rId50" display="Suche öffnen"/>
    <hyperlink ref="AE17" r:id="rId51" display="Suche öffnen"/>
    <hyperlink ref="AF17" r:id="rId52" display="Link"/>
    <hyperlink ref="L18" r:id="rId53" display="baumann-koelliker-gruppe.ch"/>
    <hyperlink ref="AD18" r:id="rId54" display="Suche öffnen"/>
    <hyperlink ref="AE18" r:id="rId55" display="Suche öffnen"/>
    <hyperlink ref="AF18" r:id="rId56" display="Link"/>
    <hyperlink ref="L19" r:id="rId57" display="grichting-valterio.ch"/>
    <hyperlink ref="AD19" r:id="rId58" display="Suche öffnen"/>
    <hyperlink ref="AE19" r:id="rId59" display="Suche öffnen"/>
    <hyperlink ref="AF19" r:id="rId60" display="Link"/>
    <hyperlink ref="L20" r:id="rId61" display="sedelec-geneve.ch"/>
    <hyperlink ref="AD20" r:id="rId62" display="Suche öffnen"/>
    <hyperlink ref="AE20" r:id="rId63" display="Suche öffnen"/>
    <hyperlink ref="AF20" r:id="rId64" display="Link"/>
    <hyperlink ref="L21" r:id="rId65" display="elektro-compagnoni.ch"/>
    <hyperlink ref="AD21" r:id="rId66" display="Suche öffnen"/>
    <hyperlink ref="AE21" r:id="rId67" display="Suche öffnen"/>
    <hyperlink ref="AF21" r:id="rId68" display="Link"/>
    <hyperlink ref="L22" r:id="rId69" display="etavis.ch"/>
    <hyperlink ref="AD22" r:id="rId70" display="Suche öffnen"/>
    <hyperlink ref="AE22" r:id="rId71" display="Suche öffnen"/>
    <hyperlink ref="AF22" r:id="rId72" display="Link"/>
    <hyperlink ref="L23" r:id="rId73" display="groupe-e.ch"/>
    <hyperlink ref="AD23" r:id="rId74" display="Suche öffnen"/>
    <hyperlink ref="AE23" r:id="rId75" display="Suche öffnen"/>
    <hyperlink ref="AF23" r:id="rId76" display="Link"/>
    <hyperlink ref="L24" r:id="rId77" display="kuma-evt.ch"/>
    <hyperlink ref="AD24" r:id="rId78" display="Suche öffnen"/>
    <hyperlink ref="AE24" r:id="rId79" display="Suche öffnen"/>
    <hyperlink ref="AF24" r:id="rId80" display="Link"/>
    <hyperlink ref="L25" r:id="rId81" display="marechaux.ch"/>
    <hyperlink ref="AD25" r:id="rId82" display="Suche öffnen"/>
    <hyperlink ref="AE25" r:id="rId83" display="Suche öffnen"/>
    <hyperlink ref="AF25" r:id="rId84" display="Link"/>
    <hyperlink ref="L26" r:id="rId85" display="etavis.ch/it"/>
    <hyperlink ref="AD26" r:id="rId86" display="Suche öffnen"/>
    <hyperlink ref="AE26" r:id="rId87" display="Suche öffnen"/>
    <hyperlink ref="AF26" r:id="rId88" display="Link"/>
    <hyperlink ref="L27" r:id="rId89" display="aek.ch"/>
    <hyperlink ref="AD27" r:id="rId90" display="Suche öffnen"/>
    <hyperlink ref="AE27" r:id="rId91" display="Suche öffnen"/>
    <hyperlink ref="AF27" r:id="rId92" display="Link"/>
    <hyperlink ref="L28" r:id="rId93" display="eagb.ch"/>
    <hyperlink ref="AD28" r:id="rId94" display="Suche öffnen"/>
    <hyperlink ref="AE28" r:id="rId95" display="Suche öffnen"/>
    <hyperlink ref="AF28" r:id="rId96" display="Link"/>
    <hyperlink ref="L29" r:id="rId97" display="elhag.ch"/>
    <hyperlink ref="AD29" r:id="rId98" display="Suche öffnen"/>
    <hyperlink ref="AE29" r:id="rId99" display="Suche öffnen"/>
    <hyperlink ref="AF29" r:id="rId100" display="Link"/>
    <hyperlink ref="L30" r:id="rId101" display="jostelektro.ch"/>
    <hyperlink ref="AD30" r:id="rId102" display="Suche öffnen"/>
    <hyperlink ref="AE30" r:id="rId103" display="Suche öffnen"/>
    <hyperlink ref="AF30" r:id="rId104" display="Link"/>
    <hyperlink ref="L31" r:id="rId105" display="romande-energie.ch"/>
    <hyperlink ref="AD31" r:id="rId106" display="Suche öffnen"/>
    <hyperlink ref="AE31" r:id="rId107" display="Suche öffnen"/>
    <hyperlink ref="AF31" r:id="rId108" display="Link"/>
    <hyperlink ref="L32" r:id="rId109" display="swisspro.ch"/>
    <hyperlink ref="AD32" r:id="rId110" display="Suche öffnen"/>
    <hyperlink ref="AE32" r:id="rId111" display="Suche öffnen"/>
    <hyperlink ref="AF32" r:id="rId112" display="Link"/>
    <hyperlink ref="L33" r:id="rId113" display="wenger-wirz.ch"/>
    <hyperlink ref="AD33" r:id="rId114" display="Suche öffnen"/>
    <hyperlink ref="AE33" r:id="rId115" display="Suche öffnen"/>
    <hyperlink ref="AF33" r:id="rId116" display="Link"/>
    <hyperlink ref="L34" r:id="rId117" display="bkw.ch"/>
    <hyperlink ref="AD34" r:id="rId118" display="Suche öffnen"/>
    <hyperlink ref="AE34" r:id="rId119" display="Suche öffnen"/>
    <hyperlink ref="AF34" r:id="rId120" display="Link"/>
    <hyperlink ref="L35" r:id="rId121" display="elektro-bau.ch"/>
    <hyperlink ref="AD35" r:id="rId122" display="Suche öffnen"/>
    <hyperlink ref="AE35" r:id="rId123" display="Suche öffnen"/>
    <hyperlink ref="AF35" r:id="rId124" display="Link"/>
    <hyperlink ref="L36" r:id="rId125" display="celio.ch"/>
    <hyperlink ref="AD36" r:id="rId126" display="Suche öffnen"/>
    <hyperlink ref="AE36" r:id="rId127" display="Suche öffnen"/>
    <hyperlink ref="AF36" r:id="rId128" display="Link"/>
    <hyperlink ref="L37" r:id="rId129" display="merinat.ch"/>
    <hyperlink ref="AD37" r:id="rId130" display="Suche öffnen"/>
    <hyperlink ref="AE37" r:id="rId131" display="Suche öffnen"/>
    <hyperlink ref="AF37" r:id="rId132" display="Link"/>
    <hyperlink ref="AD38" r:id="rId133" display="Suche öffnen"/>
    <hyperlink ref="AE38" r:id="rId134" display="Suche öffnen"/>
    <hyperlink ref="AF38" r:id="rId135" display="Link"/>
    <hyperlink ref="L39" r:id="rId136" display="scherler-ag.ch"/>
    <hyperlink ref="AD39" r:id="rId137" display="Suche öffnen"/>
    <hyperlink ref="AE39" r:id="rId138" display="Suche öffnen"/>
    <hyperlink ref="AF39" r:id="rId139" display="Link"/>
    <hyperlink ref="L40" r:id="rId140" display="cauderay.com"/>
    <hyperlink ref="AD40" r:id="rId141" display="Suche öffnen"/>
    <hyperlink ref="AE40" r:id="rId142" display="Suche öffnen"/>
    <hyperlink ref="AF40" r:id="rId143" display="Link"/>
    <hyperlink ref="L41" r:id="rId144" display="ews.ch"/>
    <hyperlink ref="AD41" r:id="rId145" display="Suche öffnen"/>
    <hyperlink ref="AE41" r:id="rId146" display="Suche öffnen"/>
    <hyperlink ref="AF41" r:id="rId147" display="Link"/>
    <hyperlink ref="L42" r:id="rId148" display="electrasim.ch"/>
    <hyperlink ref="AD42" r:id="rId149" display="Suche öffnen"/>
    <hyperlink ref="AE42" r:id="rId150" display="Suche öffnen"/>
    <hyperlink ref="AF42" r:id="rId151" display="Link"/>
    <hyperlink ref="L43" r:id="rId152" display="groupe-e.ch"/>
    <hyperlink ref="AD43" r:id="rId153" display="Suche öffnen"/>
    <hyperlink ref="AE43" r:id="rId154" display="Suche öffnen"/>
    <hyperlink ref="AF43" r:id="rId155" display="Link"/>
    <hyperlink ref="L44" r:id="rId156" display="hufschmid-elektro.ch"/>
    <hyperlink ref="AD44" r:id="rId157" display="Suche öffnen"/>
    <hyperlink ref="AE44" r:id="rId158" display="Suche öffnen"/>
    <hyperlink ref="AF44" r:id="rId159" display="Link"/>
    <hyperlink ref="L45" r:id="rId160" display="inelectro.ch"/>
    <hyperlink ref="AD45" r:id="rId161" display="Suche öffnen"/>
    <hyperlink ref="AE45" r:id="rId162" display="Suche öffnen"/>
    <hyperlink ref="AF45" r:id="rId163" display="Link"/>
    <hyperlink ref="L46" r:id="rId164" display="haelg.ch"/>
    <hyperlink ref="AD46" r:id="rId165" display="Suche öffnen"/>
    <hyperlink ref="AE46" r:id="rId166" display="Suche öffnen"/>
    <hyperlink ref="AF46" r:id="rId167" display="Link"/>
    <hyperlink ref="L47" r:id="rId168" display="cbre.ch"/>
    <hyperlink ref="AD47" r:id="rId169" display="Suche öffnen"/>
    <hyperlink ref="AE47" r:id="rId170" display="Suche öffnen"/>
    <hyperlink ref="AF47" r:id="rId171" display="Link"/>
    <hyperlink ref="L48" r:id="rId172" display="equans.ch"/>
    <hyperlink ref="AD48" r:id="rId173" display="Suche öffnen"/>
    <hyperlink ref="AE48" r:id="rId174" display="Suche öffnen"/>
    <hyperlink ref="AF48" r:id="rId175" display="Link"/>
    <hyperlink ref="L49" r:id="rId176" display="ch.issworld.com"/>
    <hyperlink ref="AD49" r:id="rId177" display="Suche öffnen"/>
    <hyperlink ref="AE49" r:id="rId178" display="Suche öffnen"/>
    <hyperlink ref="AF49" r:id="rId179" display="Link"/>
    <hyperlink ref="L50" r:id="rId180" display="apleona.ch"/>
    <hyperlink ref="AD50" r:id="rId181" display="Suche öffnen"/>
    <hyperlink ref="AE50" r:id="rId182" display="Suche öffnen"/>
    <hyperlink ref="AF50" r:id="rId183" display="Link"/>
    <hyperlink ref="L51" r:id="rId184" display="honegger.ch"/>
    <hyperlink ref="AD51" r:id="rId185" display="Suche öffnen"/>
    <hyperlink ref="AE51" r:id="rId186" display="Suche öffnen"/>
    <hyperlink ref="AF51" r:id="rId187" display="Link"/>
    <hyperlink ref="L52" r:id="rId188" display="vebego.ch"/>
    <hyperlink ref="AD52" r:id="rId189" display="Suche öffnen"/>
    <hyperlink ref="AE52" r:id="rId190" display="Suche öffnen"/>
    <hyperlink ref="AF52" r:id="rId191" display="Link"/>
    <hyperlink ref="L53" r:id="rId192" display="priorafm.com"/>
    <hyperlink ref="AD53" r:id="rId193" display="Suche öffnen"/>
    <hyperlink ref="AE53" r:id="rId194" display="Suche öffnen"/>
    <hyperlink ref="AF53" r:id="rId195" display="Link"/>
    <hyperlink ref="L54" r:id="rId196" display="ckw.ch"/>
    <hyperlink ref="AD54" r:id="rId197" display="Suche öffnen"/>
    <hyperlink ref="AE54" r:id="rId198" display="Suche öffnen"/>
    <hyperlink ref="AF54" r:id="rId199" display="Link"/>
    <hyperlink ref="L55" r:id="rId200" display="ekz.ch"/>
    <hyperlink ref="AD55" r:id="rId201" display="Suche öffnen"/>
    <hyperlink ref="AE55" r:id="rId202" display="Suche öffnen"/>
    <hyperlink ref="AF55" r:id="rId203" display="Link"/>
    <hyperlink ref="L56" r:id="rId204" display="iwb.ch"/>
    <hyperlink ref="AD56" r:id="rId205" display="Suche öffnen"/>
    <hyperlink ref="AE56" r:id="rId206" display="Suche öffnen"/>
    <hyperlink ref="AF56" r:id="rId207" display="Link"/>
    <hyperlink ref="L57" r:id="rId208" display="ewz.ch"/>
    <hyperlink ref="AD57" r:id="rId209" display="Suche öffnen"/>
    <hyperlink ref="AE57" r:id="rId210" display="Suche öffnen"/>
    <hyperlink ref="AF57" r:id="rId211" display="Link"/>
    <hyperlink ref="L58" r:id="rId212" display="romande-energie.ch"/>
    <hyperlink ref="AD58" r:id="rId213" display="Suche öffnen"/>
    <hyperlink ref="AE58" r:id="rId214" display="Suche öffnen"/>
    <hyperlink ref="AF58" r:id="rId215" display="Link"/>
    <hyperlink ref="L59" r:id="rId216" display="sig-ge.ch"/>
    <hyperlink ref="AD59" r:id="rId217" display="Suche öffnen"/>
    <hyperlink ref="AE59" r:id="rId218" display="Suche öffnen"/>
    <hyperlink ref="AF59" r:id="rId219" display="Link"/>
    <hyperlink ref="L60" r:id="rId220" display="ewb.ch"/>
    <hyperlink ref="AD60" r:id="rId221" display="Suche öffnen"/>
    <hyperlink ref="AE60" r:id="rId222" display="Suche öffnen"/>
    <hyperlink ref="AF60" r:id="rId223" display="Link"/>
    <hyperlink ref="L61" r:id="rId224" display="groupe-e.ch"/>
    <hyperlink ref="AD61" r:id="rId225" display="Suche öffnen"/>
    <hyperlink ref="AE61" r:id="rId226" display="Suche öffnen"/>
    <hyperlink ref="AF61" r:id="rId227" display="Link"/>
    <hyperlink ref="L62" r:id="rId228" display="aet.ch"/>
    <hyperlink ref="AD62" r:id="rId229" display="Suche öffnen"/>
    <hyperlink ref="AE62" r:id="rId230" display="Suche öffnen"/>
    <hyperlink ref="AF62" r:id="rId231" display="Link"/>
    <hyperlink ref="L63" r:id="rId232" display="wwz.ch"/>
    <hyperlink ref="AD63" r:id="rId233" display="Suche öffnen"/>
    <hyperlink ref="AE63" r:id="rId234" display="Suche öffnen"/>
    <hyperlink ref="AF63" r:id="rId235" display="Link"/>
    <hyperlink ref="L64" r:id="rId236" display="ail.ch"/>
    <hyperlink ref="AD64" r:id="rId237" display="Suche öffnen"/>
    <hyperlink ref="AE64" r:id="rId238" display="Suche öffnen"/>
    <hyperlink ref="AF64" r:id="rId239" display="Link"/>
    <hyperlink ref="L65" r:id="rId240" display="oiken.ch"/>
    <hyperlink ref="AD65" r:id="rId241" display="Suche öffnen"/>
    <hyperlink ref="AE65" r:id="rId242" display="Suche öffnen"/>
    <hyperlink ref="AF65" r:id="rId243" display="Link"/>
    <hyperlink ref="L66" r:id="rId244" display="primeo-energie.ch"/>
    <hyperlink ref="AD66" r:id="rId245" display="Suche öffnen"/>
    <hyperlink ref="AE66" r:id="rId246" display="Suche öffnen"/>
    <hyperlink ref="AF66" r:id="rId247" display="Link"/>
    <hyperlink ref="L67" r:id="rId248" display="repower.com"/>
    <hyperlink ref="AD67" r:id="rId249" display="Suche öffnen"/>
    <hyperlink ref="AE67" r:id="rId250" display="Suche öffnen"/>
    <hyperlink ref="AF67" r:id="rId251" display="Link"/>
    <hyperlink ref="L68" r:id="rId252" display="sak.ch"/>
    <hyperlink ref="AD68" r:id="rId253" display="Suche öffnen"/>
    <hyperlink ref="AE68" r:id="rId254" display="Suche öffnen"/>
    <hyperlink ref="AF68" r:id="rId255" display="Link"/>
    <hyperlink ref="L69" r:id="rId256" display="viteos.ch"/>
    <hyperlink ref="AD69" r:id="rId257" display="Suche öffnen"/>
    <hyperlink ref="AE69" r:id="rId258" display="Suche öffnen"/>
    <hyperlink ref="AF69" r:id="rId259" display="Link"/>
    <hyperlink ref="L70" r:id="rId260" display="amstein-walthert.ch"/>
    <hyperlink ref="AD70" r:id="rId261" display="Suche öffnen"/>
    <hyperlink ref="AE70" r:id="rId262" display="Suche öffnen"/>
    <hyperlink ref="AF70" r:id="rId263" display="Link"/>
    <hyperlink ref="L71" r:id="rId264" display="hhm.ch"/>
    <hyperlink ref="AD71" r:id="rId265" display="Suche öffnen"/>
    <hyperlink ref="AE71" r:id="rId266" display="Suche öffnen"/>
    <hyperlink ref="AF71" r:id="rId267" display="Link"/>
    <hyperlink ref="L72" r:id="rId268" display="scherler.swiss"/>
    <hyperlink ref="AD72" r:id="rId269" display="Suche öffnen"/>
    <hyperlink ref="AE72" r:id="rId270" display="Suche öffnen"/>
    <hyperlink ref="AF72" r:id="rId271" display="Link"/>
    <hyperlink ref="L73" r:id="rId272" display="afry.com"/>
    <hyperlink ref="AD73" r:id="rId273" display="Suche öffnen"/>
    <hyperlink ref="AE73" r:id="rId274" display="Suche öffnen"/>
    <hyperlink ref="AF73" r:id="rId275" display="Link"/>
    <hyperlink ref="L74" r:id="rId276" display="baslerhofmann.ch"/>
    <hyperlink ref="AD74" r:id="rId277" display="Suche öffnen"/>
    <hyperlink ref="AE74" r:id="rId278" display="Suche öffnen"/>
    <hyperlink ref="AF74" r:id="rId279" display="Link"/>
    <hyperlink ref="L75" r:id="rId280" display="gruner.ch"/>
    <hyperlink ref="AD75" r:id="rId281" display="Suche öffnen"/>
    <hyperlink ref="AE75" r:id="rId282" display="Suche öffnen"/>
    <hyperlink ref="AF75" r:id="rId283" display="Link"/>
    <hyperlink ref="L76" r:id="rId284" display="hkg.ch"/>
    <hyperlink ref="AD76" r:id="rId285" display="Suche öffnen"/>
    <hyperlink ref="AE76" r:id="rId286" display="Suche öffnen"/>
    <hyperlink ref="AF76" r:id="rId287" display="Link"/>
    <hyperlink ref="L77" r:id="rId288" display="weinmann-energies.ch"/>
    <hyperlink ref="AD77" r:id="rId289" display="Suche öffnen"/>
    <hyperlink ref="AE77" r:id="rId290" display="Suche öffnen"/>
    <hyperlink ref="AF77" r:id="rId291" display="Link"/>
    <hyperlink ref="L78" r:id="rId292" display="ibg.ch"/>
    <hyperlink ref="AD78" r:id="rId293" display="Suche öffnen"/>
    <hyperlink ref="AE78" r:id="rId294" display="Suche öffnen"/>
    <hyperlink ref="AF78" r:id="rId295" display="Link"/>
    <hyperlink ref="L79" r:id="rId296" display="srg-engineering.ch"/>
    <hyperlink ref="AD79" r:id="rId297" display="Suche öffnen"/>
    <hyperlink ref="AE79" r:id="rId298" display="Suche öffnen"/>
    <hyperlink ref="AF79" r:id="rId299" display="Link"/>
    <hyperlink ref="L80" r:id="rId300" display="vrt.ch"/>
    <hyperlink ref="AD80" r:id="rId301" display="Suche öffnen"/>
    <hyperlink ref="AE80" r:id="rId302" display="Suche öffnen"/>
    <hyperlink ref="AF80" r:id="rId303" display="Link"/>
    <hyperlink ref="L81" r:id="rId304" display="moreengineering.ch"/>
    <hyperlink ref="AD81" r:id="rId305" display="Suche öffnen"/>
    <hyperlink ref="AE81" r:id="rId306" display="Suche öffnen"/>
    <hyperlink ref="AF81" r:id="rId307" display="Link"/>
    <hyperlink ref="L82" r:id="rId308" display="implenia.com"/>
    <hyperlink ref="AD82" r:id="rId309" display="Suche öffnen"/>
    <hyperlink ref="AE82" r:id="rId310" display="Suche öffnen"/>
    <hyperlink ref="AF82" r:id="rId311" display="Link"/>
    <hyperlink ref="L83" r:id="rId312" display="losinger-marazzi.ch"/>
    <hyperlink ref="AD83" r:id="rId313" display="Suche öffnen"/>
    <hyperlink ref="AE83" r:id="rId314" display="Suche öffnen"/>
    <hyperlink ref="AF83" r:id="rId315" display="Link"/>
    <hyperlink ref="L84" r:id="rId316" display="marti.com"/>
    <hyperlink ref="AD84" r:id="rId317" display="Suche öffnen"/>
    <hyperlink ref="AE84" r:id="rId318" display="Suche öffnen"/>
    <hyperlink ref="AF84" r:id="rId319" display="Link"/>
    <hyperlink ref="L85" r:id="rId320" display="erne-gruppe.ch"/>
    <hyperlink ref="AD85" r:id="rId321" display="Suche öffnen"/>
    <hyperlink ref="AE85" r:id="rId322" display="Suche öffnen"/>
    <hyperlink ref="AF85" r:id="rId323" display="Link"/>
    <hyperlink ref="L86" r:id="rId324" display="frutiger.com"/>
    <hyperlink ref="AD86" r:id="rId325" display="Suche öffnen"/>
    <hyperlink ref="AE86" r:id="rId326" display="Suche öffnen"/>
    <hyperlink ref="AF86" r:id="rId327" display="Link"/>
    <hyperlink ref="L87" r:id="rId328" display="hrs.ch"/>
    <hyperlink ref="AD87" r:id="rId329" display="Suche öffnen"/>
    <hyperlink ref="AE87" r:id="rId330" display="Suche öffnen"/>
    <hyperlink ref="AF87" r:id="rId331" display="Link"/>
    <hyperlink ref="L88" r:id="rId332" display="anliker.ch"/>
    <hyperlink ref="AD88" r:id="rId333" display="Suche öffnen"/>
    <hyperlink ref="AE88" r:id="rId334" display="Suche öffnen"/>
    <hyperlink ref="AF88" r:id="rId335" display="Link"/>
    <hyperlink ref="L89" r:id="rId336" display="walo.ch"/>
    <hyperlink ref="AD89" r:id="rId337" display="Suche öffnen"/>
    <hyperlink ref="AE89" r:id="rId338" display="Suche öffnen"/>
    <hyperlink ref="AF89" r:id="rId339" display="Link"/>
    <hyperlink ref="L90" r:id="rId340" display="halter.ch"/>
    <hyperlink ref="AD90" r:id="rId341" display="Suche öffnen"/>
    <hyperlink ref="AE90" r:id="rId342" display="Suche öffnen"/>
    <hyperlink ref="AF90" r:id="rId343" display="Link"/>
    <hyperlink ref="L91" r:id="rId344" display="induni.ch"/>
    <hyperlink ref="AD91" r:id="rId345" display="Suche öffnen"/>
    <hyperlink ref="AE91" r:id="rId346" display="Suche öffnen"/>
    <hyperlink ref="AF91" r:id="rId347" display="Link"/>
    <hyperlink ref="L92" r:id="rId348" display="mancinimarti.ch"/>
    <hyperlink ref="AD92" r:id="rId349" display="Suche öffnen"/>
    <hyperlink ref="AE92" r:id="rId350" display="Suche öffnen"/>
    <hyperlink ref="AF92" r:id="rId351" display="Link"/>
    <hyperlink ref="L93" r:id="rId352" display="digitalrealty.com"/>
    <hyperlink ref="AD93" r:id="rId353" display="Suche öffnen"/>
    <hyperlink ref="AE93" r:id="rId354" display="Suche öffnen"/>
    <hyperlink ref="AF93" r:id="rId355" display="Link"/>
    <hyperlink ref="L94" r:id="rId356" display="green.ch"/>
    <hyperlink ref="AD94" r:id="rId357" display="Suche öffnen"/>
    <hyperlink ref="AE94" r:id="rId358" display="Suche öffnen"/>
    <hyperlink ref="AF94" r:id="rId359" display="Link"/>
    <hyperlink ref="L95" r:id="rId360" display="stackinfra.com"/>
    <hyperlink ref="AD95" r:id="rId361" display="Suche öffnen"/>
    <hyperlink ref="AE95" r:id="rId362" display="Suche öffnen"/>
    <hyperlink ref="AF95" r:id="rId363" display="Link"/>
    <hyperlink ref="L96" r:id="rId364" display="northcdatacenters.com"/>
    <hyperlink ref="AD96" r:id="rId365" display="Suche öffnen"/>
    <hyperlink ref="AE96" r:id="rId366" display="Suche öffnen"/>
    <hyperlink ref="AF96" r:id="rId367" display="Link"/>
    <hyperlink ref="L97" r:id="rId368" display="flexbase.ch"/>
    <hyperlink ref="AD97" r:id="rId369" display="Suche öffnen"/>
    <hyperlink ref="AE97" r:id="rId370" display="Suche öffnen"/>
    <hyperlink ref="AF97" r:id="rId371" display="Link"/>
    <hyperlink ref="L98" r:id="rId372" display="vantage-dc.com"/>
    <hyperlink ref="AD98" r:id="rId373" display="Suche öffnen"/>
    <hyperlink ref="AE98" r:id="rId374" display="Suche öffnen"/>
    <hyperlink ref="AF98" r:id="rId375" display="Link"/>
    <hyperlink ref="L99" r:id="rId376" display="infomaniak.com"/>
    <hyperlink ref="AD99" r:id="rId377" display="Suche öffnen"/>
    <hyperlink ref="AE99" r:id="rId378" display="Suche öffnen"/>
    <hyperlink ref="AF99" r:id="rId379" display="Link"/>
    <hyperlink ref="AD100" r:id="rId380" display="Suche öffnen"/>
    <hyperlink ref="AE100" r:id="rId381" display="Suche öffnen"/>
    <hyperlink ref="AF100" r:id="rId382" display="Link"/>
    <hyperlink ref="L101" r:id="rId383" display="equinix.ch"/>
    <hyperlink ref="AD101" r:id="rId384" display="Suche öffnen"/>
    <hyperlink ref="AE101" r:id="rId385" display="Suche öffnen"/>
    <hyperlink ref="AF101" r:id="rId386" display="Link"/>
    <hyperlink ref="L102" r:id="rId387" display="swisscom.ch"/>
    <hyperlink ref="AD102" r:id="rId388" display="Suche öffnen"/>
    <hyperlink ref="AE102" r:id="rId389" display="Suche öffnen"/>
    <hyperlink ref="AF102" r:id="rId390" display="Link"/>
    <hyperlink ref="L103" r:id="rId391" display="services.global.ntt"/>
    <hyperlink ref="AD103" r:id="rId392" display="Suche öffnen"/>
    <hyperlink ref="AE103" r:id="rId393" display="Suche öffnen"/>
    <hyperlink ref="AF103" r:id="rId394" display="Link"/>
    <hyperlink ref="L104" r:id="rId395" display="cscs.ch"/>
    <hyperlink ref="AD104" r:id="rId396" display="Suche öffnen"/>
    <hyperlink ref="AE104" r:id="rId397" display="Suche öffnen"/>
    <hyperlink ref="AF104" r:id="rId398" display="Link"/>
    <hyperlink ref="L105" r:id="rId399" display="bachem.com"/>
    <hyperlink ref="AD105" r:id="rId400" display="Suche öffnen"/>
    <hyperlink ref="AE105" r:id="rId401" display="Suche öffnen"/>
    <hyperlink ref="AF105" r:id="rId402" display="Link"/>
    <hyperlink ref="L106" r:id="rId403" display="roche.ch"/>
    <hyperlink ref="AD106" r:id="rId404" display="Suche öffnen"/>
    <hyperlink ref="AE106" r:id="rId405" display="Suche öffnen"/>
    <hyperlink ref="AF106" r:id="rId406" display="Link"/>
    <hyperlink ref="L107" r:id="rId407" display="lonza.com"/>
    <hyperlink ref="AD107" r:id="rId408" display="Suche öffnen"/>
    <hyperlink ref="AE107" r:id="rId409" display="Suche öffnen"/>
    <hyperlink ref="AF107" r:id="rId410" display="Link"/>
    <hyperlink ref="L108" r:id="rId411" display="novartis.com"/>
    <hyperlink ref="AD108" r:id="rId412" display="Suche öffnen"/>
    <hyperlink ref="AE108" r:id="rId413" display="Suche öffnen"/>
    <hyperlink ref="AF108" r:id="rId414" display="Link"/>
    <hyperlink ref="L109" r:id="rId415" display="siegfried.ch"/>
    <hyperlink ref="AD109" r:id="rId416" display="Suche öffnen"/>
    <hyperlink ref="AE109" r:id="rId417" display="Suche öffnen"/>
    <hyperlink ref="AF109" r:id="rId418" display="Link"/>
    <hyperlink ref="L110" r:id="rId419" display="thermofisher.com"/>
    <hyperlink ref="AD110" r:id="rId420" display="Suche öffnen"/>
    <hyperlink ref="AE110" r:id="rId421" display="Suche öffnen"/>
    <hyperlink ref="AF110" r:id="rId422" display="Link"/>
    <hyperlink ref="L111" r:id="rId423" display="syngenta.ch"/>
    <hyperlink ref="AD111" r:id="rId424" display="Suche öffnen"/>
    <hyperlink ref="AE111" r:id="rId425" display="Suche öffnen"/>
    <hyperlink ref="AF111" r:id="rId426" display="Link"/>
    <hyperlink ref="L112" r:id="rId427" display="emmi.com"/>
    <hyperlink ref="AD112" r:id="rId428" display="Suche öffnen"/>
    <hyperlink ref="AE112" r:id="rId429" display="Suche öffnen"/>
    <hyperlink ref="AF112" r:id="rId430" display="Link"/>
    <hyperlink ref="L113" r:id="rId431" display="stahl-gerlafingen.com"/>
    <hyperlink ref="AD113" r:id="rId432" display="Suche öffnen"/>
    <hyperlink ref="AE113" r:id="rId433" display="Suche öffnen"/>
    <hyperlink ref="AF113" r:id="rId434" display="Link"/>
    <hyperlink ref="L114" r:id="rId435" display="swisssteel-group.com"/>
    <hyperlink ref="AD114" r:id="rId436" display="Suche öffnen"/>
    <hyperlink ref="AE114" r:id="rId437" display="Suche öffnen"/>
    <hyperlink ref="AF114" r:id="rId438" display="Link"/>
    <hyperlink ref="L115" r:id="rId439" display="usz.ch"/>
    <hyperlink ref="AD115" r:id="rId440" display="Suche öffnen"/>
    <hyperlink ref="AE115" r:id="rId441" display="Suche öffnen"/>
    <hyperlink ref="AF115" r:id="rId442" display="Link"/>
    <hyperlink ref="L116" r:id="rId443" display="eoc.ch"/>
    <hyperlink ref="AD116" r:id="rId444" display="Suche öffnen"/>
    <hyperlink ref="AE116" r:id="rId445" display="Suche öffnen"/>
    <hyperlink ref="AF116" r:id="rId446" display="Link"/>
    <hyperlink ref="L117" r:id="rId447" display="hug.ch"/>
    <hyperlink ref="AD117" r:id="rId448" display="Suche öffnen"/>
    <hyperlink ref="AE117" r:id="rId449" display="Suche öffnen"/>
    <hyperlink ref="AF117" r:id="rId450" display="Link"/>
    <hyperlink ref="L118" r:id="rId451" display="inselgruppe.ch"/>
    <hyperlink ref="AD118" r:id="rId452" display="Suche öffnen"/>
    <hyperlink ref="AE118" r:id="rId453" display="Suche öffnen"/>
    <hyperlink ref="AF118" r:id="rId454" display="Link"/>
    <hyperlink ref="L119" r:id="rId455" display="chuv.ch"/>
    <hyperlink ref="AD119" r:id="rId456" display="Suche öffnen"/>
    <hyperlink ref="AE119" r:id="rId457" display="Suche öffnen"/>
    <hyperlink ref="AF119" r:id="rId458" display="Link"/>
    <hyperlink ref="L120" r:id="rId459" display="gva.ch"/>
    <hyperlink ref="AD120" r:id="rId460" display="Suche öffnen"/>
    <hyperlink ref="AE120" r:id="rId461" display="Suche öffnen"/>
    <hyperlink ref="AF120" r:id="rId462" display="Link"/>
    <hyperlink ref="L121" r:id="rId463" display="sbb.ch"/>
    <hyperlink ref="AD121" r:id="rId464" display="Suche öffnen"/>
    <hyperlink ref="AE121" r:id="rId465" display="Suche öffnen"/>
    <hyperlink ref="AF121" r:id="rId466" display="Link"/>
    <hyperlink ref="L122" r:id="rId467" display="flughafen-zuerich.ch"/>
    <hyperlink ref="AD122" r:id="rId468" display="Suche öffnen"/>
    <hyperlink ref="AE122" r:id="rId469" display="Suche öffnen"/>
    <hyperlink ref="AF122" r:id="rId470" display="Link"/>
    <hyperlink ref="L123" r:id="rId471" display="openairsg.ch"/>
    <hyperlink ref="AD123" r:id="rId472" display="Suche öffnen"/>
    <hyperlink ref="AE123" r:id="rId473" display="Suche öffnen"/>
    <hyperlink ref="AF123" r:id="rId474" display="Link"/>
    <hyperlink ref="L124" r:id="rId475" display="montreuxjazzfestival.com"/>
    <hyperlink ref="AD124" r:id="rId476" display="Suche öffnen"/>
    <hyperlink ref="AE124" r:id="rId477" display="Suche öffnen"/>
    <hyperlink ref="AF124" r:id="rId478" display="Link"/>
    <hyperlink ref="L125" r:id="rId479" display="paleo.ch"/>
    <hyperlink ref="AD125" r:id="rId480" display="Suche öffnen"/>
    <hyperlink ref="AE125" r:id="rId481" display="Suche öffnen"/>
    <hyperlink ref="AF125" r:id="rId482" display="Link"/>
    <hyperlink ref="L126" r:id="rId483" display="locarnofestival.ch"/>
    <hyperlink ref="AD126" r:id="rId484" display="Suche öffnen"/>
    <hyperlink ref="AE126" r:id="rId485" display="Suche öffnen"/>
    <hyperlink ref="AF126" r:id="rId486" display="Link"/>
    <hyperlink ref="L127" r:id="rId487" display="moonandstars.ch"/>
    <hyperlink ref="AD127" r:id="rId488" display="Suche öffnen"/>
    <hyperlink ref="AE127" r:id="rId489" display="Suche öffnen"/>
    <hyperlink ref="AF127" r:id="rId490" display="Link"/>
    <hyperlink ref="L128" r:id="rId491" display="streetparade.com"/>
    <hyperlink ref="AD128" r:id="rId492" display="Suche öffnen"/>
    <hyperlink ref="AE128" r:id="rId493" display="Suche öffnen"/>
    <hyperlink ref="AF128" r:id="rId494" display="Link"/>
    <hyperlink ref="L129" r:id="rId495" display="lauberhorn.ch"/>
    <hyperlink ref="AD129" r:id="rId496" display="Suche öffnen"/>
    <hyperlink ref="AE129" r:id="rId497" display="Suche öffnen"/>
    <hyperlink ref="AF129" r:id="rId498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99"/>
  <tableParts>
    <tablePart r:id="rId50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1049</v>
      </c>
    </row>
    <row r="2" customFormat="false" ht="15" hidden="false" customHeight="false" outlineLevel="0" collapsed="false">
      <c r="A2" s="2" t="s">
        <v>1050</v>
      </c>
    </row>
    <row r="4" customFormat="false" ht="15" hidden="false" customHeight="false" outlineLevel="0" collapsed="false">
      <c r="A4" s="25" t="s">
        <v>1051</v>
      </c>
      <c r="B4" s="25" t="s">
        <v>1052</v>
      </c>
      <c r="C4" s="25" t="s">
        <v>1053</v>
      </c>
    </row>
    <row r="5" customFormat="false" ht="15" hidden="false" customHeight="false" outlineLevel="0" collapsed="false">
      <c r="A5" s="26" t="s">
        <v>71</v>
      </c>
      <c r="B5" s="27" t="n">
        <v>0.3</v>
      </c>
      <c r="C5" s="26" t="s">
        <v>1054</v>
      </c>
    </row>
    <row r="6" customFormat="false" ht="15" hidden="false" customHeight="false" outlineLevel="0" collapsed="false">
      <c r="A6" s="26" t="s">
        <v>72</v>
      </c>
      <c r="B6" s="27" t="n">
        <v>0.3</v>
      </c>
      <c r="C6" s="26" t="s">
        <v>1055</v>
      </c>
    </row>
    <row r="7" customFormat="false" ht="15" hidden="false" customHeight="false" outlineLevel="0" collapsed="false">
      <c r="A7" s="26" t="s">
        <v>73</v>
      </c>
      <c r="B7" s="27" t="n">
        <v>0.25</v>
      </c>
      <c r="C7" s="26" t="s">
        <v>1056</v>
      </c>
    </row>
    <row r="8" customFormat="false" ht="15" hidden="false" customHeight="false" outlineLevel="0" collapsed="false">
      <c r="A8" s="26" t="s">
        <v>74</v>
      </c>
      <c r="B8" s="27" t="n">
        <v>0.15</v>
      </c>
      <c r="C8" s="26" t="s">
        <v>1057</v>
      </c>
    </row>
    <row r="9" customFormat="false" ht="15" hidden="false" customHeight="false" outlineLevel="0" collapsed="false">
      <c r="A9" s="26" t="s">
        <v>1058</v>
      </c>
      <c r="B9" s="28" t="n">
        <f aca="false">SUM(B5:B8)</f>
        <v>1</v>
      </c>
      <c r="C9" s="26"/>
    </row>
    <row r="10" customFormat="false" ht="15" hidden="false" customHeight="false" outlineLevel="0" collapsed="false">
      <c r="A10" s="26"/>
      <c r="B10" s="26"/>
      <c r="C10" s="26"/>
    </row>
    <row r="11" customFormat="false" ht="15" hidden="false" customHeight="false" outlineLevel="0" collapsed="false">
      <c r="A11" s="26" t="s">
        <v>1059</v>
      </c>
      <c r="B11" s="29" t="n">
        <v>4</v>
      </c>
      <c r="C11" s="26" t="s">
        <v>1060</v>
      </c>
    </row>
    <row r="12" customFormat="false" ht="15" hidden="false" customHeight="false" outlineLevel="0" collapsed="false">
      <c r="A12" s="26" t="s">
        <v>1061</v>
      </c>
      <c r="B12" s="29" t="n">
        <v>3</v>
      </c>
      <c r="C12" s="26" t="s">
        <v>1062</v>
      </c>
    </row>
    <row r="13" customFormat="false" ht="15" hidden="false" customHeight="false" outlineLevel="0" collapsed="false">
      <c r="A13" s="26" t="s">
        <v>6</v>
      </c>
      <c r="B13" s="26"/>
      <c r="C13" s="26" t="s">
        <v>1063</v>
      </c>
    </row>
    <row r="14" customFormat="false" ht="15" hidden="false" customHeight="false" outlineLevel="0" collapsed="false">
      <c r="A14" s="26"/>
      <c r="B14" s="26"/>
      <c r="C14" s="26"/>
    </row>
    <row r="15" customFormat="false" ht="15" hidden="false" customHeight="false" outlineLevel="0" collapsed="false">
      <c r="A15" s="30" t="s">
        <v>1064</v>
      </c>
      <c r="B15" s="26"/>
      <c r="C15" s="26"/>
    </row>
    <row r="16" customFormat="false" ht="15" hidden="false" customHeight="false" outlineLevel="0" collapsed="false">
      <c r="A16" s="26" t="s">
        <v>1065</v>
      </c>
      <c r="B16" s="26"/>
      <c r="C16" s="26" t="s">
        <v>1066</v>
      </c>
    </row>
    <row r="17" customFormat="false" ht="15" hidden="false" customHeight="false" outlineLevel="0" collapsed="false">
      <c r="A17" s="26" t="s">
        <v>77</v>
      </c>
      <c r="B17" s="26"/>
      <c r="C17" s="26" t="s">
        <v>1067</v>
      </c>
    </row>
    <row r="18" customFormat="false" ht="15" hidden="false" customHeight="false" outlineLevel="0" collapsed="false">
      <c r="A18" s="26" t="s">
        <v>79</v>
      </c>
      <c r="B18" s="26"/>
      <c r="C18" s="26" t="s">
        <v>1068</v>
      </c>
    </row>
    <row r="19" customFormat="false" ht="15" hidden="false" customHeight="false" outlineLevel="0" collapsed="false">
      <c r="A19" s="26"/>
      <c r="B19" s="26"/>
      <c r="C19" s="26" t="s">
        <v>1069</v>
      </c>
    </row>
    <row r="20" customFormat="false" ht="15" hidden="false" customHeight="false" outlineLevel="0" collapsed="false">
      <c r="A20" s="26" t="s">
        <v>80</v>
      </c>
      <c r="B20" s="26"/>
      <c r="C20" s="26" t="s">
        <v>1070</v>
      </c>
    </row>
    <row r="21" customFormat="false" ht="15" hidden="false" customHeight="false" outlineLevel="0" collapsed="false">
      <c r="A21" s="26" t="s">
        <v>60</v>
      </c>
      <c r="B21" s="26"/>
      <c r="C21" s="26" t="s">
        <v>1071</v>
      </c>
    </row>
    <row r="22" customFormat="false" ht="15" hidden="false" customHeight="false" outlineLevel="0" collapsed="false">
      <c r="A22" s="26"/>
      <c r="B22" s="26"/>
      <c r="C22" s="26"/>
    </row>
    <row r="23" customFormat="false" ht="15" hidden="false" customHeight="false" outlineLevel="0" collapsed="false">
      <c r="A23" s="30" t="s">
        <v>1072</v>
      </c>
      <c r="B23" s="26"/>
      <c r="C23" s="26"/>
    </row>
    <row r="24" customFormat="false" ht="15" hidden="false" customHeight="false" outlineLevel="0" collapsed="false">
      <c r="A24" s="26" t="s">
        <v>1073</v>
      </c>
      <c r="B24" s="26"/>
      <c r="C24" s="26" t="s">
        <v>1074</v>
      </c>
    </row>
    <row r="25" customFormat="false" ht="15" hidden="false" customHeight="false" outlineLevel="0" collapsed="false">
      <c r="A25" s="26"/>
      <c r="B25" s="26"/>
      <c r="C25" s="26" t="s">
        <v>1075</v>
      </c>
    </row>
    <row r="26" customFormat="false" ht="15" hidden="false" customHeight="false" outlineLevel="0" collapsed="false">
      <c r="A26" s="26" t="s">
        <v>1076</v>
      </c>
      <c r="B26" s="26"/>
      <c r="C26" s="26" t="s">
        <v>1077</v>
      </c>
    </row>
    <row r="27" customFormat="false" ht="15" hidden="false" customHeight="false" outlineLevel="0" collapsed="false">
      <c r="A27" s="26" t="s">
        <v>1078</v>
      </c>
      <c r="B27" s="26"/>
      <c r="C27" s="26" t="s">
        <v>1079</v>
      </c>
    </row>
    <row r="28" customFormat="false" ht="15" hidden="false" customHeight="false" outlineLevel="0" collapsed="false">
      <c r="A28" s="26"/>
      <c r="B28" s="26"/>
      <c r="C28" s="26" t="s">
        <v>1080</v>
      </c>
    </row>
    <row r="29" customFormat="false" ht="15" hidden="false" customHeight="false" outlineLevel="0" collapsed="false">
      <c r="A29" s="26" t="s">
        <v>1081</v>
      </c>
      <c r="B29" s="26"/>
      <c r="C29" s="26" t="s">
        <v>1082</v>
      </c>
    </row>
    <row r="30" customFormat="false" ht="15" hidden="false" customHeight="false" outlineLevel="0" collapsed="false">
      <c r="A30" s="26" t="s">
        <v>1083</v>
      </c>
      <c r="B30" s="26"/>
      <c r="C30" s="26" t="s">
        <v>1084</v>
      </c>
    </row>
    <row r="31" customFormat="false" ht="15" hidden="false" customHeight="false" outlineLevel="0" collapsed="false">
      <c r="A31" s="26"/>
      <c r="B31" s="26"/>
      <c r="C31" s="26" t="s">
        <v>1085</v>
      </c>
    </row>
    <row r="32" customFormat="false" ht="15" hidden="false" customHeight="false" outlineLevel="0" collapsed="false">
      <c r="A32" s="26"/>
      <c r="B32" s="26"/>
      <c r="C32" s="26" t="s">
        <v>1086</v>
      </c>
    </row>
    <row r="33" customFormat="false" ht="15" hidden="false" customHeight="false" outlineLevel="0" collapsed="false">
      <c r="A33" s="26" t="s">
        <v>1087</v>
      </c>
      <c r="B33" s="26"/>
      <c r="C33" s="26" t="s">
        <v>1088</v>
      </c>
    </row>
    <row r="34" customFormat="false" ht="15" hidden="false" customHeight="false" outlineLevel="0" collapsed="false">
      <c r="A34" s="26" t="s">
        <v>1089</v>
      </c>
      <c r="B34" s="26"/>
      <c r="C34" s="26" t="s">
        <v>1090</v>
      </c>
    </row>
    <row r="35" customFormat="false" ht="15" hidden="false" customHeight="false" outlineLevel="0" collapsed="false">
      <c r="A35" s="26"/>
      <c r="B35" s="26"/>
      <c r="C35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26"/>
  </cols>
  <sheetData>
    <row r="1" customFormat="false" ht="15" hidden="false" customHeight="false" outlineLevel="0" collapsed="false">
      <c r="A1" s="31" t="s">
        <v>9</v>
      </c>
      <c r="B1" s="31" t="s">
        <v>35</v>
      </c>
      <c r="C1" s="31" t="s">
        <v>18</v>
      </c>
      <c r="D1" s="31" t="s">
        <v>78</v>
      </c>
      <c r="E1" s="31" t="s">
        <v>1091</v>
      </c>
      <c r="F1" s="31" t="s">
        <v>1092</v>
      </c>
      <c r="G1" s="31" t="s">
        <v>3</v>
      </c>
      <c r="H1" s="31" t="s">
        <v>1093</v>
      </c>
      <c r="I1" s="31" t="s">
        <v>31</v>
      </c>
    </row>
    <row r="2" customFormat="false" ht="15" hidden="false" customHeight="false" outlineLevel="0" collapsed="false">
      <c r="A2" s="0" t="s">
        <v>13</v>
      </c>
      <c r="B2" s="0" t="s">
        <v>37</v>
      </c>
      <c r="C2" s="0" t="s">
        <v>23</v>
      </c>
      <c r="D2" s="0" t="s">
        <v>1094</v>
      </c>
      <c r="E2" s="0" t="s">
        <v>51</v>
      </c>
      <c r="F2" s="0" t="s">
        <v>1095</v>
      </c>
      <c r="G2" s="0" t="s">
        <v>93</v>
      </c>
      <c r="H2" s="0" t="n">
        <v>1</v>
      </c>
      <c r="I2" s="0" t="s">
        <v>32</v>
      </c>
    </row>
    <row r="3" customFormat="false" ht="15" hidden="false" customHeight="false" outlineLevel="0" collapsed="false">
      <c r="A3" s="0" t="s">
        <v>14</v>
      </c>
      <c r="B3" s="0" t="s">
        <v>38</v>
      </c>
      <c r="C3" s="0" t="s">
        <v>24</v>
      </c>
      <c r="D3" s="0" t="s">
        <v>1096</v>
      </c>
      <c r="E3" s="0" t="s">
        <v>52</v>
      </c>
      <c r="F3" s="0" t="s">
        <v>1097</v>
      </c>
      <c r="G3" s="0" t="s">
        <v>457</v>
      </c>
      <c r="H3" s="0" t="n">
        <v>2</v>
      </c>
      <c r="I3" s="0" t="s">
        <v>33</v>
      </c>
    </row>
    <row r="4" customFormat="false" ht="15" hidden="false" customHeight="false" outlineLevel="0" collapsed="false">
      <c r="A4" s="0" t="s">
        <v>15</v>
      </c>
      <c r="B4" s="0" t="s">
        <v>39</v>
      </c>
      <c r="C4" s="0" t="s">
        <v>25</v>
      </c>
      <c r="D4" s="0" t="s">
        <v>1098</v>
      </c>
      <c r="E4" s="0" t="s">
        <v>53</v>
      </c>
      <c r="F4" s="0" t="s">
        <v>1099</v>
      </c>
      <c r="H4" s="0" t="n">
        <v>3</v>
      </c>
      <c r="I4" s="0" t="s">
        <v>29</v>
      </c>
    </row>
    <row r="5" customFormat="false" ht="15" hidden="false" customHeight="false" outlineLevel="0" collapsed="false">
      <c r="B5" s="0" t="s">
        <v>40</v>
      </c>
      <c r="C5" s="0" t="s">
        <v>26</v>
      </c>
      <c r="E5" s="0" t="s">
        <v>54</v>
      </c>
      <c r="F5" s="0" t="s">
        <v>1100</v>
      </c>
      <c r="H5" s="0" t="n">
        <v>4</v>
      </c>
    </row>
    <row r="6" customFormat="false" ht="15" hidden="false" customHeight="false" outlineLevel="0" collapsed="false">
      <c r="B6" s="0" t="s">
        <v>41</v>
      </c>
      <c r="C6" s="0" t="s">
        <v>27</v>
      </c>
      <c r="E6" s="0" t="s">
        <v>55</v>
      </c>
      <c r="H6" s="0" t="n">
        <v>5</v>
      </c>
    </row>
    <row r="7" customFormat="false" ht="15" hidden="false" customHeight="false" outlineLevel="0" collapsed="false">
      <c r="B7" s="0" t="s">
        <v>42</v>
      </c>
      <c r="C7" s="0" t="s">
        <v>28</v>
      </c>
    </row>
    <row r="8" customFormat="false" ht="15" hidden="false" customHeight="false" outlineLevel="0" collapsed="false">
      <c r="B8" s="0" t="s">
        <v>43</v>
      </c>
      <c r="C8" s="0" t="s">
        <v>29</v>
      </c>
    </row>
    <row r="9" customFormat="false" ht="15" hidden="false" customHeight="false" outlineLevel="0" collapsed="false">
      <c r="B9" s="0" t="s">
        <v>44</v>
      </c>
    </row>
    <row r="10" customFormat="false" ht="15" hidden="false" customHeight="false" outlineLevel="0" collapsed="false">
      <c r="B10" s="0" t="s">
        <v>45</v>
      </c>
    </row>
    <row r="11" customFormat="false" ht="15" hidden="false" customHeight="false" outlineLevel="0" collapsed="false">
      <c r="B11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2026-09-27T15:03:54Z</dcterms:created>
  <dc:creator>openpyxl</dc:creator>
  <dc:description/>
  <dc:language>en-US</dc:language>
  <cp:lastModifiedBy/>
  <dcterms:modified xsi:type="dcterms:W3CDTF">2026-09-27T15:12:10Z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