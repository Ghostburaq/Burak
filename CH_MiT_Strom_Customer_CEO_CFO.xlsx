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725" windowWidth="29040" windowHeight="15720" tabRatio="500" firstSheet="5" activeTab="5" autoFilterDateGrouping="1"/>
  </bookViews>
  <sheets>
    <sheet xmlns:r="http://schemas.openxmlformats.org/officeDocument/2006/relationships" name="📑 Executive PDF" sheetId="1" state="visible" r:id="rId1"/>
    <sheet xmlns:r="http://schemas.openxmlformats.org/officeDocument/2006/relationships" name="📄 Report" sheetId="2" state="visible" r:id="rId2"/>
    <sheet xmlns:r="http://schemas.openxmlformats.org/officeDocument/2006/relationships" name="CEO Report" sheetId="3" state="visible" r:id="rId3"/>
    <sheet xmlns:r="http://schemas.openxmlformats.org/officeDocument/2006/relationships" name="Dashboard" sheetId="4" state="visible" r:id="rId4"/>
    <sheet xmlns:r="http://schemas.openxmlformats.org/officeDocument/2006/relationships" name="📊 Diagramme" sheetId="5" state="visible" r:id="rId5"/>
    <sheet xmlns:r="http://schemas.openxmlformats.org/officeDocument/2006/relationships" name="MiT Strom Pipeline" sheetId="6" state="visible" r:id="rId6"/>
    <sheet xmlns:r="http://schemas.openxmlformats.org/officeDocument/2006/relationships" name="_data" sheetId="7" state="hidden" r:id="rId7"/>
  </sheets>
  <definedNames>
    <definedName name="_xlnm.Print_Area" localSheetId="0">'📑 Executive PDF'!$A$1:$H$35</definedName>
    <definedName name="_xlnm.Print_Area" localSheetId="1">'📄 Report'!$A$1:$G$41</definedName>
    <definedName name="_xlnm._FilterDatabase" localSheetId="2" hidden="1">'CEO Report'!$A$10:$L$72</definedName>
    <definedName name="_xlnm.Print_Titles" localSheetId="2">'CEO Report'!$1:$3</definedName>
    <definedName name="_xlnm.Print_Area" localSheetId="2">'CEO Report'!$A$1:$L$206</definedName>
    <definedName name="_xlnm._FilterDatabase" localSheetId="3" hidden="1">'Dashboard'!$A$10:$K$72</definedName>
    <definedName name="_xlnm.Print_Titles" localSheetId="3">'Dashboard'!$1:$3</definedName>
    <definedName name="_xlnm.Print_Area" localSheetId="3">'Dashboard'!$A$1:$K$206</definedName>
    <definedName name="_xlnm.Print_Area" localSheetId="4">'📊 Diagramme'!$A$1:$R$44</definedName>
    <definedName name="_xlnm._FilterDatabase" localSheetId="5" hidden="1">'MiT Strom Pipeline'!$A$5:$X$860</definedName>
    <definedName name="_xlnm.Print_Titles" localSheetId="5">'MiT Strom Pipeline'!$1:$5</definedName>
    <definedName name="_xlnm.Print_Area" localSheetId="5">'MiT Strom Pipeline'!$A$1:$Y$48</definedName>
  </definedNames>
  <calcPr calcId="191028" calcMode="auto" fullCalcOnLoad="1" iterateDelta="0.0001" calcCompleted="0" forceFullCalc="1"/>
</workbook>
</file>

<file path=xl/styles.xml><?xml version="1.0" encoding="utf-8"?>
<styleSheet xmlns="http://schemas.openxmlformats.org/spreadsheetml/2006/main">
  <numFmts count="7">
    <numFmt numFmtId="164" formatCode="#,##0&quot; CHF&quot;"/>
    <numFmt numFmtId="165" formatCode="0.0%"/>
    <numFmt numFmtId="166" formatCode="0&quot; Deals&quot;"/>
    <numFmt numFmtId="167" formatCode="dd\.mm\.yyyy"/>
    <numFmt numFmtId="168" formatCode="m/d/yyyy"/>
    <numFmt numFmtId="169" formatCode="[$-407]d/\ mmm/;@"/>
    <numFmt numFmtId="170" formatCode="0&quot; Positionen&quot;"/>
  </numFmts>
  <fonts count="43">
    <font>
      <name val="Calibri"/>
      <charset val="1"/>
      <family val="2"/>
      <color theme="1"/>
      <sz val="11"/>
    </font>
    <font>
      <name val="Calibri"/>
      <charset val="1"/>
      <b val="1"/>
      <color rgb="FFFFFFFF"/>
      <sz val="20"/>
    </font>
    <font>
      <name val="Calibri"/>
      <charset val="1"/>
      <i val="1"/>
      <color rgb="FF555555"/>
      <sz val="11"/>
    </font>
    <font>
      <name val="Calibri"/>
      <charset val="1"/>
      <color rgb="FF888888"/>
      <sz val="10"/>
    </font>
    <font>
      <name val="Cambria"/>
      <charset val="1"/>
      <b val="1"/>
      <color rgb="FFFFFFFF"/>
      <sz val="11"/>
    </font>
    <font>
      <name val="Cambria"/>
      <charset val="1"/>
      <b val="1"/>
      <color rgb="FF1F3864"/>
      <sz val="14"/>
    </font>
    <font>
      <name val="Cambria"/>
      <charset val="1"/>
      <i val="1"/>
      <color rgb="FF666666"/>
      <sz val="10"/>
    </font>
    <font>
      <name val="Calibri"/>
      <charset val="1"/>
      <b val="1"/>
      <color rgb="FFFFFFFF"/>
      <sz val="14"/>
    </font>
    <font>
      <name val="Calibri"/>
      <charset val="1"/>
      <b val="1"/>
      <color rgb="FF1F3864"/>
      <sz val="13"/>
    </font>
    <font>
      <name val="Cambria"/>
      <charset val="1"/>
      <b val="1"/>
      <color rgb="FFFFFFFF"/>
      <sz val="10"/>
    </font>
    <font>
      <name val="Cambria"/>
      <charset val="1"/>
      <sz val="10"/>
    </font>
    <font>
      <name val="Cambria"/>
      <charset val="1"/>
      <b val="1"/>
      <sz val="10"/>
    </font>
    <font>
      <name val="Cambria"/>
      <charset val="1"/>
      <i val="1"/>
      <color rgb="FF888888"/>
      <sz val="10"/>
    </font>
    <font>
      <name val="Calibri"/>
      <charset val="1"/>
      <b val="1"/>
      <color rgb="FF1F3864"/>
      <sz val="22"/>
    </font>
    <font>
      <name val="Calibri"/>
      <charset val="1"/>
      <b val="1"/>
      <color rgb="FF1F3864"/>
      <sz val="14"/>
    </font>
    <font>
      <name val="Cambria"/>
      <charset val="1"/>
      <b val="1"/>
      <sz val="11"/>
    </font>
    <font>
      <name val="Cambria"/>
      <charset val="1"/>
      <b val="1"/>
      <color rgb="FF1F3864"/>
      <sz val="12"/>
    </font>
    <font>
      <name val="Arial"/>
      <charset val="1"/>
      <b val="1"/>
      <color rgb="FFFFFFFF"/>
      <sz val="15"/>
    </font>
    <font>
      <name val="Cambria"/>
      <charset val="1"/>
      <sz val="11"/>
    </font>
    <font>
      <name val="Arial"/>
      <charset val="1"/>
      <i val="1"/>
      <color rgb="FFAAAAAA"/>
      <sz val="9"/>
    </font>
    <font>
      <name val="Arial"/>
      <charset val="1"/>
      <b val="1"/>
      <color rgb="FFFFFFFF"/>
      <sz val="11"/>
    </font>
    <font>
      <name val="Arial"/>
      <charset val="1"/>
      <b val="1"/>
      <color rgb="FFFFFFFF"/>
      <sz val="22"/>
    </font>
    <font>
      <name val="Arial"/>
      <charset val="1"/>
      <b val="1"/>
      <color rgb="FFBBFFCC"/>
      <sz val="11"/>
    </font>
    <font>
      <name val="Arial"/>
      <charset val="1"/>
      <b val="1"/>
      <color rgb="FFBBDDFF"/>
      <sz val="11"/>
    </font>
    <font>
      <name val="Arial"/>
      <charset val="1"/>
      <b val="1"/>
      <color rgb="FFFFDDAA"/>
      <sz val="11"/>
    </font>
    <font>
      <name val="Arial"/>
      <charset val="1"/>
      <b val="1"/>
      <color rgb="FFFFFFFF"/>
      <sz val="9"/>
    </font>
    <font>
      <name val="Arial"/>
      <charset val="1"/>
      <color rgb="FF111111"/>
      <sz val="10"/>
    </font>
    <font>
      <name val="Arial"/>
      <charset val="1"/>
      <b val="1"/>
      <color rgb="FFD4A017"/>
      <sz val="15"/>
    </font>
    <font>
      <name val="Arial"/>
      <charset val="1"/>
      <color rgb="FF333333"/>
      <sz val="10"/>
    </font>
    <font>
      <name val="Arial"/>
      <charset val="1"/>
      <b val="1"/>
      <color rgb="FF166534"/>
      <sz val="11"/>
    </font>
    <font>
      <name val="Arial"/>
      <charset val="1"/>
      <b val="1"/>
      <color rgb="FF1E3A5F"/>
      <sz val="11"/>
    </font>
    <font>
      <name val="Arial"/>
      <charset val="1"/>
      <b val="1"/>
      <color rgb="FF7C2D12"/>
      <sz val="11"/>
    </font>
    <font>
      <name val="Arial"/>
      <charset val="1"/>
      <i val="1"/>
      <color rgb="FF888888"/>
      <sz val="8"/>
    </font>
    <font>
      <name val="Arial"/>
      <charset val="1"/>
      <b val="1"/>
      <color rgb="FFFFFFFF"/>
      <sz val="16"/>
    </font>
    <font>
      <name val="Arial"/>
      <charset val="1"/>
      <b val="1"/>
      <color rgb="FFFFFFFF"/>
      <sz val="10"/>
    </font>
    <font>
      <name val="Arial"/>
      <charset val="1"/>
      <b val="1"/>
      <color rgb="FFFFFFFF"/>
      <sz val="20"/>
    </font>
    <font>
      <name val="Arial"/>
      <charset val="1"/>
      <b val="1"/>
      <color rgb="FFDDBBFF"/>
      <sz val="11"/>
    </font>
    <font>
      <name val="Calibri"/>
      <charset val="1"/>
      <b val="1"/>
      <color rgb="FFFFFFFF"/>
      <sz val="18"/>
    </font>
    <font>
      <name val="Calibri"/>
      <charset val="1"/>
      <b val="1"/>
      <color rgb="FF1F3864"/>
      <sz val="12"/>
    </font>
    <font>
      <name val="Arial"/>
      <charset val="1"/>
      <b val="1"/>
      <color rgb="FFFFFFFF"/>
      <sz val="12"/>
    </font>
    <font>
      <name val="Arial"/>
      <charset val="1"/>
      <b val="1"/>
      <color rgb="FFD4A017"/>
      <sz val="12"/>
    </font>
    <font>
      <name val="Cambria"/>
      <charset val="1"/>
      <color rgb="FFFFFFFF"/>
      <sz val="8"/>
    </font>
    <font>
      <name val="Arial"/>
      <charset val="1"/>
      <family val="2"/>
      <color rgb="FF111111"/>
      <sz val="10"/>
    </font>
  </fonts>
  <fills count="38">
    <fill>
      <patternFill/>
    </fill>
    <fill>
      <patternFill patternType="gray125"/>
    </fill>
    <fill>
      <patternFill patternType="solid">
        <fgColor rgb="FF1F3864"/>
        <bgColor rgb="FF1E3A5F"/>
      </patternFill>
    </fill>
    <fill>
      <patternFill patternType="solid">
        <fgColor rgb="FF2E7D32"/>
        <bgColor rgb="FF166534"/>
      </patternFill>
    </fill>
    <fill>
      <patternFill patternType="solid">
        <fgColor rgb="FF1565C0"/>
        <bgColor rgb="FF1976D2"/>
      </patternFill>
    </fill>
    <fill>
      <patternFill patternType="solid">
        <fgColor rgb="FFF57C00"/>
        <bgColor rgb="FFDB7C0C"/>
      </patternFill>
    </fill>
    <fill>
      <patternFill patternType="solid">
        <fgColor rgb="FFF5F5F5"/>
        <bgColor rgb="FFF8FAFC"/>
      </patternFill>
    </fill>
    <fill>
      <patternFill patternType="solid">
        <fgColor rgb="FF7D3230"/>
        <bgColor rgb="FF7C2D12"/>
      </patternFill>
    </fill>
    <fill>
      <patternFill patternType="solid">
        <fgColor rgb="FF65C030"/>
        <bgColor rgb="FF97A136"/>
      </patternFill>
    </fill>
    <fill>
      <patternFill patternType="solid">
        <fgColor rgb="FF7C0030"/>
        <bgColor rgb="FF7C2D12"/>
      </patternFill>
    </fill>
    <fill>
      <patternFill patternType="solid">
        <fgColor rgb="FFD60030"/>
        <bgColor rgb="FFC8102E"/>
      </patternFill>
    </fill>
    <fill>
      <patternFill patternType="solid">
        <fgColor rgb="FF97A136"/>
        <bgColor rgb="FFBDBD30"/>
      </patternFill>
    </fill>
    <fill>
      <patternFill patternType="solid">
        <fgColor rgb="FFBDBD30"/>
        <bgColor rgb="FFD4A017"/>
      </patternFill>
    </fill>
    <fill>
      <patternFill patternType="darkGray">
        <fgColor rgb="FF2A2A31"/>
        <bgColor rgb="FF1E293B"/>
      </patternFill>
    </fill>
    <fill>
      <patternFill patternType="solid">
        <fgColor rgb="FF1C1C30"/>
        <bgColor rgb="FF1E293B"/>
      </patternFill>
    </fill>
    <fill>
      <patternFill patternType="solid">
        <fgColor rgb="FFE8EDF4"/>
        <bgColor rgb="FFF5F5F5"/>
      </patternFill>
    </fill>
    <fill>
      <patternFill patternType="solid">
        <fgColor rgb="FF0D1117"/>
        <bgColor rgb="FF111111"/>
      </patternFill>
    </fill>
    <fill>
      <patternFill patternType="solid">
        <fgColor rgb="FFC8102E"/>
        <bgColor rgb="FFB71C1C"/>
      </patternFill>
    </fill>
    <fill>
      <patternFill patternType="solid">
        <fgColor rgb="FF166534"/>
        <bgColor rgb="FF2E7D32"/>
      </patternFill>
    </fill>
    <fill>
      <patternFill patternType="solid">
        <fgColor rgb="FF1E3A5F"/>
        <bgColor rgb="FF1F3864"/>
      </patternFill>
    </fill>
    <fill>
      <patternFill patternType="solid">
        <fgColor rgb="FF7C2D12"/>
        <bgColor rgb="FF7D3230"/>
      </patternFill>
    </fill>
    <fill>
      <patternFill patternType="solid">
        <fgColor rgb="FFFFFFFF"/>
        <bgColor rgb="FFF8FAFC"/>
      </patternFill>
    </fill>
    <fill>
      <patternFill patternType="solid">
        <fgColor rgb="FF1E293B"/>
        <bgColor rgb="FF2A2A31"/>
      </patternFill>
    </fill>
    <fill>
      <patternFill patternType="solid">
        <fgColor rgb="FFDCFCE7"/>
        <bgColor rgb="FFF0FDF4"/>
      </patternFill>
    </fill>
    <fill>
      <patternFill patternType="solid">
        <fgColor rgb="FFF8FAFC"/>
        <bgColor rgb="FFF5F5F5"/>
      </patternFill>
    </fill>
    <fill>
      <patternFill patternType="solid">
        <fgColor rgb="FF4C1D95"/>
        <bgColor rgb="FF1F3864"/>
      </patternFill>
    </fill>
    <fill>
      <patternFill patternType="solid">
        <fgColor rgb="FFF0FDF4"/>
        <bgColor rgb="FFF8FAFC"/>
      </patternFill>
    </fill>
    <fill>
      <patternFill patternType="solid">
        <fgColor rgb="FF16A34A"/>
        <bgColor rgb="FF2E7D32"/>
      </patternFill>
    </fill>
    <fill>
      <patternFill patternType="solid">
        <fgColor rgb="FFDB7C0C"/>
        <bgColor rgb="FFF57C00"/>
      </patternFill>
    </fill>
    <fill>
      <patternFill patternType="solid">
        <fgColor rgb="FFFEF2F2"/>
        <bgColor rgb="FFF5F5F5"/>
      </patternFill>
    </fill>
    <fill>
      <patternFill patternType="solid">
        <fgColor rgb="FFDC2626"/>
        <bgColor rgb="FFC42B2B"/>
      </patternFill>
    </fill>
    <fill>
      <patternFill patternType="solid">
        <fgColor rgb="FF7C3AED"/>
        <bgColor rgb="FF4C1D95"/>
      </patternFill>
    </fill>
    <fill>
      <patternFill patternType="solid">
        <fgColor rgb="FF0891B2"/>
        <bgColor rgb="FF1976D2"/>
      </patternFill>
    </fill>
    <fill>
      <patternFill patternType="solid">
        <fgColor rgb="FF2563EB"/>
        <bgColor rgb="FF1565C0"/>
      </patternFill>
    </fill>
    <fill>
      <patternFill patternType="solid">
        <fgColor rgb="FFC00000"/>
        <bgColor rgb="FFD60030"/>
      </patternFill>
    </fill>
    <fill>
      <patternFill patternType="solid">
        <fgColor rgb="FF6C7081"/>
        <bgColor rgb="FF696272"/>
      </patternFill>
    </fill>
    <fill>
      <patternFill patternType="solid">
        <fgColor rgb="FFF8FAFC"/>
        <bgColor rgb="FFF8FAFC"/>
      </patternFill>
    </fill>
    <fill>
      <patternFill patternType="solid">
        <fgColor rgb="FFF0FDF4"/>
        <bgColor rgb="FFF0FDF4"/>
      </patternFill>
    </fill>
  </fills>
  <borders count="18">
    <border>
      <left/>
      <right/>
      <top/>
      <bottom/>
      <diagonal/>
    </border>
    <border>
      <left style="thin">
        <color rgb="FFBDBEBB"/>
      </left>
      <right style="thin">
        <color rgb="FFBDBEBB"/>
      </right>
      <top style="thin">
        <color rgb="FFBDBEBB"/>
      </top>
      <bottom style="thin">
        <color rgb="FFBDBEBB"/>
      </bottom>
      <diagonal/>
    </border>
    <border>
      <left/>
      <right/>
      <top/>
      <bottom style="medium">
        <color rgb="FF1F3864"/>
      </bottom>
      <diagonal/>
    </border>
    <border>
      <left style="thin">
        <color rgb="FFAFA7A9"/>
      </left>
      <right style="thin">
        <color rgb="FFAFA7A9"/>
      </right>
      <top style="thin">
        <color rgb="FFAFA7A9"/>
      </top>
      <bottom style="thin">
        <color rgb="FFAFA7A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BDBEBB"/>
      </top>
      <bottom/>
      <diagonal/>
    </border>
    <border>
      <left/>
      <right style="thin">
        <color rgb="FFBDBEBB"/>
      </right>
      <top style="thin">
        <color rgb="FFBDBEBB"/>
      </top>
      <bottom/>
      <diagonal/>
    </border>
    <border>
      <left/>
      <right style="thin">
        <color rgb="FFBDBEBB"/>
      </right>
      <top style="thin">
        <color rgb="FFBDBEBB"/>
      </top>
      <bottom style="thin">
        <color rgb="FFBDBEBB"/>
      </bottom>
      <diagonal/>
    </border>
    <border>
      <left style="thin">
        <color rgb="FFBDBEBB"/>
      </left>
      <right/>
      <top/>
      <bottom/>
      <diagonal/>
    </border>
    <border>
      <left/>
      <right style="thin">
        <color rgb="FFBDBEBB"/>
      </right>
      <top/>
      <bottom/>
      <diagonal/>
    </border>
    <border>
      <left style="thin">
        <color rgb="FFBDBEBB"/>
      </left>
      <right/>
      <top/>
      <bottom style="thin">
        <color rgb="FFBDBEBB"/>
      </bottom>
      <diagonal/>
    </border>
    <border>
      <left/>
      <right/>
      <top/>
      <bottom style="thin">
        <color rgb="FFBDBEBB"/>
      </bottom>
      <diagonal/>
    </border>
    <border>
      <left/>
      <right style="thin">
        <color rgb="FFBDBEBB"/>
      </right>
      <top/>
      <bottom style="thin">
        <color rgb="FFBDBEBB"/>
      </bottom>
      <diagonal/>
    </border>
    <border>
      <left/>
      <right/>
      <top style="thin">
        <color rgb="FFBDBEBB"/>
      </top>
      <bottom style="thin">
        <color rgb="FFBDBEBB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8">
    <xf numFmtId="0" fontId="0" fillId="0" borderId="0" pivotButton="0" quotePrefix="0" xfId="0"/>
    <xf numFmtId="0" fontId="9" fillId="2" borderId="0" applyAlignment="1" pivotButton="0" quotePrefix="0" xfId="0">
      <alignment horizontal="center"/>
    </xf>
    <xf numFmtId="0" fontId="9" fillId="2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left"/>
    </xf>
    <xf numFmtId="164" fontId="1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2" borderId="3" applyAlignment="1" pivotButton="0" quotePrefix="0" xfId="0">
      <alignment horizontal="center"/>
    </xf>
    <xf numFmtId="0" fontId="15" fillId="0" borderId="3" applyAlignment="1" pivotButton="0" quotePrefix="0" xfId="0">
      <alignment horizontal="left" vertical="center"/>
    </xf>
    <xf numFmtId="164" fontId="0" fillId="0" borderId="3" applyAlignment="1" pivotButton="0" quotePrefix="0" xfId="0">
      <alignment horizontal="center" vertical="center"/>
    </xf>
    <xf numFmtId="166" fontId="0" fillId="0" borderId="3" applyAlignment="1" pivotButton="0" quotePrefix="0" xfId="0">
      <alignment horizontal="center" vertical="center"/>
    </xf>
    <xf numFmtId="165" fontId="0" fillId="0" borderId="3" applyAlignment="1" pivotButton="0" quotePrefix="0" xfId="0">
      <alignment horizontal="center" vertical="center"/>
    </xf>
    <xf numFmtId="0" fontId="16" fillId="15" borderId="3" applyAlignment="1" pivotButton="0" quotePrefix="0" xfId="0">
      <alignment horizontal="left" vertical="center"/>
    </xf>
    <xf numFmtId="164" fontId="16" fillId="15" borderId="3" applyAlignment="1" pivotButton="0" quotePrefix="0" xfId="0">
      <alignment horizontal="center" vertical="center"/>
    </xf>
    <xf numFmtId="166" fontId="16" fillId="15" borderId="3" applyAlignment="1" pivotButton="0" quotePrefix="0" xfId="0">
      <alignment horizontal="center" vertical="center"/>
    </xf>
    <xf numFmtId="165" fontId="16" fillId="15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/>
    </xf>
    <xf numFmtId="0" fontId="0" fillId="0" borderId="3" pivotButton="0" quotePrefix="0" xfId="0"/>
    <xf numFmtId="164" fontId="0" fillId="0" borderId="3" pivotButton="0" quotePrefix="0" xfId="0"/>
    <xf numFmtId="1" fontId="0" fillId="0" borderId="3" applyAlignment="1" pivotButton="0" quotePrefix="0" xfId="0">
      <alignment horizontal="center"/>
    </xf>
    <xf numFmtId="9" fontId="0" fillId="0" borderId="3" applyAlignment="1" pivotButton="0" quotePrefix="0" xfId="0">
      <alignment horizontal="center"/>
    </xf>
    <xf numFmtId="0" fontId="18" fillId="0" borderId="0" pivotButton="0" quotePrefix="0" xfId="0"/>
    <xf numFmtId="164" fontId="18" fillId="0" borderId="0" pivotButton="0" quotePrefix="0" xfId="0"/>
    <xf numFmtId="0" fontId="0" fillId="21" borderId="0" pivotButton="0" quotePrefix="0" xfId="0"/>
    <xf numFmtId="0" fontId="25" fillId="22" borderId="4" applyAlignment="1" pivotButton="0" quotePrefix="0" xfId="0">
      <alignment horizontal="center" vertical="center"/>
    </xf>
    <xf numFmtId="0" fontId="26" fillId="23" borderId="4" applyAlignment="1" pivotButton="0" quotePrefix="0" xfId="0">
      <alignment horizontal="center" vertical="center"/>
    </xf>
    <xf numFmtId="0" fontId="26" fillId="23" borderId="4" applyAlignment="1" pivotButton="0" quotePrefix="0" xfId="0">
      <alignment horizontal="left" vertical="center"/>
    </xf>
    <xf numFmtId="3" fontId="26" fillId="23" borderId="4" applyAlignment="1" pivotButton="0" quotePrefix="0" xfId="0">
      <alignment horizontal="left" vertical="center"/>
    </xf>
    <xf numFmtId="9" fontId="26" fillId="23" borderId="4" applyAlignment="1" pivotButton="0" quotePrefix="0" xfId="0">
      <alignment horizontal="left" vertical="center"/>
    </xf>
    <xf numFmtId="167" fontId="26" fillId="23" borderId="4" applyAlignment="1" pivotButton="0" quotePrefix="0" xfId="0">
      <alignment horizontal="left" vertical="center"/>
    </xf>
    <xf numFmtId="0" fontId="26" fillId="23" borderId="4" applyAlignment="1" pivotButton="0" quotePrefix="0" xfId="0">
      <alignment horizontal="left" vertical="center" wrapText="1"/>
    </xf>
    <xf numFmtId="168" fontId="26" fillId="23" borderId="4" applyAlignment="1" pivotButton="0" quotePrefix="0" xfId="0">
      <alignment horizontal="left" vertical="center"/>
    </xf>
    <xf numFmtId="3" fontId="27" fillId="16" borderId="4" applyAlignment="1" pivotButton="0" quotePrefix="0" xfId="0">
      <alignment horizontal="right" vertical="center"/>
    </xf>
    <xf numFmtId="0" fontId="0" fillId="16" borderId="4" pivotButton="0" quotePrefix="0" xfId="0"/>
    <xf numFmtId="0" fontId="0" fillId="16" borderId="4" applyAlignment="1" pivotButton="0" quotePrefix="0" xfId="0">
      <alignment vertical="top" wrapText="1"/>
    </xf>
    <xf numFmtId="3" fontId="29" fillId="24" borderId="0" applyAlignment="1" pivotButton="0" quotePrefix="0" xfId="0">
      <alignment horizontal="right" vertical="center"/>
    </xf>
    <xf numFmtId="0" fontId="0" fillId="24" borderId="0" pivotButton="0" quotePrefix="0" xfId="0"/>
    <xf numFmtId="0" fontId="0" fillId="24" borderId="0" applyAlignment="1" pivotButton="0" quotePrefix="0" xfId="0">
      <alignment vertical="top" wrapText="1"/>
    </xf>
    <xf numFmtId="3" fontId="30" fillId="24" borderId="0" applyAlignment="1" pivotButton="0" quotePrefix="0" xfId="0">
      <alignment horizontal="right" vertical="center"/>
    </xf>
    <xf numFmtId="3" fontId="31" fillId="24" borderId="0" applyAlignment="1" pivotButton="0" quotePrefix="0" xfId="0">
      <alignment horizontal="right" vertical="center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  <xf numFmtId="2" fontId="0" fillId="21" borderId="0" pivotButton="0" quotePrefix="0" xfId="0"/>
    <xf numFmtId="2" fontId="27" fillId="16" borderId="4" applyAlignment="1" pivotButton="0" quotePrefix="0" xfId="0">
      <alignment horizontal="right" vertical="center"/>
    </xf>
    <xf numFmtId="2" fontId="0" fillId="16" borderId="4" pivotButton="0" quotePrefix="0" xfId="0"/>
    <xf numFmtId="2" fontId="29" fillId="24" borderId="0" applyAlignment="1" pivotButton="0" quotePrefix="0" xfId="0">
      <alignment horizontal="right" vertical="center"/>
    </xf>
    <xf numFmtId="2" fontId="0" fillId="24" borderId="0" pivotButton="0" quotePrefix="0" xfId="0"/>
    <xf numFmtId="2" fontId="30" fillId="24" borderId="0" applyAlignment="1" pivotButton="0" quotePrefix="0" xfId="0">
      <alignment horizontal="right" vertical="center"/>
    </xf>
    <xf numFmtId="2" fontId="31" fillId="24" borderId="0" applyAlignment="1" pivotButton="0" quotePrefix="0" xfId="0">
      <alignment horizontal="right" vertical="center"/>
    </xf>
    <xf numFmtId="0" fontId="38" fillId="0" borderId="0" applyAlignment="1" pivotButton="0" quotePrefix="0" xfId="0">
      <alignment horizontal="left"/>
    </xf>
    <xf numFmtId="164" fontId="38" fillId="0" borderId="0" applyAlignment="1" pivotButton="0" quotePrefix="0" xfId="0">
      <alignment horizontal="left"/>
    </xf>
    <xf numFmtId="0" fontId="25" fillId="22" borderId="4" applyAlignment="1" pivotButton="0" quotePrefix="0" xfId="0">
      <alignment horizontal="center" vertical="center" wrapText="1"/>
    </xf>
    <xf numFmtId="2" fontId="25" fillId="22" borderId="4" applyAlignment="1" pivotButton="0" quotePrefix="0" xfId="0">
      <alignment horizontal="center" vertical="center" wrapText="1"/>
    </xf>
    <xf numFmtId="0" fontId="41" fillId="0" borderId="0" pivotButton="0" quotePrefix="0" xfId="0"/>
    <xf numFmtId="0" fontId="26" fillId="26" borderId="4" applyAlignment="1" pivotButton="0" quotePrefix="0" xfId="0">
      <alignment horizontal="center" vertical="center"/>
    </xf>
    <xf numFmtId="0" fontId="26" fillId="26" borderId="4" applyAlignment="1" pivotButton="0" quotePrefix="0" xfId="0">
      <alignment horizontal="left" vertical="center"/>
    </xf>
    <xf numFmtId="3" fontId="26" fillId="26" borderId="4" applyAlignment="1" pivotButton="0" quotePrefix="0" xfId="0">
      <alignment horizontal="right" vertical="center"/>
    </xf>
    <xf numFmtId="0" fontId="26" fillId="26" borderId="4" applyAlignment="1" pivotButton="0" quotePrefix="0" xfId="0">
      <alignment horizontal="right" vertical="center"/>
    </xf>
    <xf numFmtId="0" fontId="25" fillId="27" borderId="4" applyAlignment="1" pivotButton="0" quotePrefix="0" xfId="0">
      <alignment horizontal="center" vertical="center"/>
    </xf>
    <xf numFmtId="0" fontId="26" fillId="21" borderId="4" applyAlignment="1" pivotButton="0" quotePrefix="0" xfId="0">
      <alignment horizontal="center" vertical="center"/>
    </xf>
    <xf numFmtId="0" fontId="26" fillId="21" borderId="4" applyAlignment="1" pivotButton="0" quotePrefix="0" xfId="0">
      <alignment horizontal="left" vertical="center"/>
    </xf>
    <xf numFmtId="3" fontId="26" fillId="21" borderId="4" applyAlignment="1" pivotButton="0" quotePrefix="0" xfId="0">
      <alignment horizontal="right" vertical="center"/>
    </xf>
    <xf numFmtId="2" fontId="26" fillId="21" borderId="4" applyAlignment="1" pivotButton="0" quotePrefix="0" xfId="0">
      <alignment horizontal="right" vertical="center"/>
    </xf>
    <xf numFmtId="0" fontId="26" fillId="21" borderId="4" applyAlignment="1" pivotButton="0" quotePrefix="0" xfId="0">
      <alignment horizontal="right" vertical="center"/>
    </xf>
    <xf numFmtId="0" fontId="26" fillId="24" borderId="4" applyAlignment="1" pivotButton="0" quotePrefix="0" xfId="0">
      <alignment horizontal="center" vertical="center"/>
    </xf>
    <xf numFmtId="0" fontId="26" fillId="24" borderId="4" applyAlignment="1" pivotButton="0" quotePrefix="0" xfId="0">
      <alignment horizontal="left" vertical="center"/>
    </xf>
    <xf numFmtId="3" fontId="26" fillId="24" borderId="4" applyAlignment="1" pivotButton="0" quotePrefix="0" xfId="0">
      <alignment horizontal="right" vertical="center"/>
    </xf>
    <xf numFmtId="167" fontId="26" fillId="24" borderId="4" applyAlignment="1" pivotButton="0" quotePrefix="0" xfId="0">
      <alignment horizontal="center" vertical="center"/>
    </xf>
    <xf numFmtId="2" fontId="26" fillId="24" borderId="4" applyAlignment="1" pivotButton="0" quotePrefix="0" xfId="0">
      <alignment horizontal="right" vertical="center"/>
    </xf>
    <xf numFmtId="0" fontId="26" fillId="24" borderId="4" applyAlignment="1" pivotButton="0" quotePrefix="0" xfId="0">
      <alignment horizontal="right" vertical="center"/>
    </xf>
    <xf numFmtId="0" fontId="25" fillId="28" borderId="4" applyAlignment="1" pivotButton="0" quotePrefix="0" xfId="0">
      <alignment horizontal="center" vertical="center"/>
    </xf>
    <xf numFmtId="0" fontId="26" fillId="29" borderId="4" applyAlignment="1" pivotButton="0" quotePrefix="0" xfId="0">
      <alignment horizontal="center" vertical="center"/>
    </xf>
    <xf numFmtId="0" fontId="26" fillId="29" borderId="4" applyAlignment="1" pivotButton="0" quotePrefix="0" xfId="0">
      <alignment horizontal="left" vertical="center"/>
    </xf>
    <xf numFmtId="3" fontId="26" fillId="29" borderId="4" applyAlignment="1" pivotButton="0" quotePrefix="0" xfId="0">
      <alignment horizontal="right" vertical="center"/>
    </xf>
    <xf numFmtId="167" fontId="26" fillId="29" borderId="4" applyAlignment="1" pivotButton="0" quotePrefix="0" xfId="0">
      <alignment horizontal="center" vertical="center"/>
    </xf>
    <xf numFmtId="0" fontId="26" fillId="29" borderId="4" applyAlignment="1" pivotButton="0" quotePrefix="0" xfId="0">
      <alignment horizontal="right" vertical="center"/>
    </xf>
    <xf numFmtId="0" fontId="25" fillId="30" borderId="4" applyAlignment="1" pivotButton="0" quotePrefix="0" xfId="0">
      <alignment horizontal="center" vertical="center"/>
    </xf>
    <xf numFmtId="0" fontId="25" fillId="31" borderId="4" applyAlignment="1" pivotButton="0" quotePrefix="0" xfId="0">
      <alignment horizontal="center" vertical="center"/>
    </xf>
    <xf numFmtId="9" fontId="26" fillId="24" borderId="4" applyAlignment="1" pivotButton="0" quotePrefix="0" xfId="0">
      <alignment horizontal="center" vertical="center"/>
    </xf>
    <xf numFmtId="9" fontId="26" fillId="21" borderId="4" applyAlignment="1" pivotButton="0" quotePrefix="0" xfId="0">
      <alignment horizontal="center" vertical="center"/>
    </xf>
    <xf numFmtId="0" fontId="25" fillId="32" borderId="4" applyAlignment="1" pivotButton="0" quotePrefix="0" xfId="0">
      <alignment horizontal="center" vertical="center"/>
    </xf>
    <xf numFmtId="0" fontId="25" fillId="33" borderId="4" applyAlignment="1" pivotButton="0" quotePrefix="0" xfId="0">
      <alignment horizontal="center" vertical="center"/>
    </xf>
    <xf numFmtId="0" fontId="25" fillId="34" borderId="4" applyAlignment="1" pivotButton="0" quotePrefix="0" xfId="0">
      <alignment horizontal="center" vertical="center"/>
    </xf>
    <xf numFmtId="0" fontId="42" fillId="21" borderId="4" applyAlignment="1" pivotButton="0" quotePrefix="0" xfId="0">
      <alignment horizontal="center" vertical="center"/>
    </xf>
    <xf numFmtId="0" fontId="25" fillId="35" borderId="4" applyAlignment="1" pivotButton="0" quotePrefix="0" xfId="0">
      <alignment horizontal="center" vertical="center"/>
    </xf>
    <xf numFmtId="0" fontId="42" fillId="24" borderId="4" applyAlignment="1" pivotButton="0" quotePrefix="0" xfId="0">
      <alignment horizontal="left" vertical="center"/>
    </xf>
    <xf numFmtId="0" fontId="42" fillId="24" borderId="4" applyAlignment="1" pivotButton="0" quotePrefix="0" xfId="0">
      <alignment horizontal="center" vertical="center"/>
    </xf>
    <xf numFmtId="3" fontId="42" fillId="24" borderId="4" applyAlignment="1" pivotButton="0" quotePrefix="0" xfId="0">
      <alignment horizontal="right" vertical="center"/>
    </xf>
    <xf numFmtId="0" fontId="26" fillId="26" borderId="4" applyAlignment="1" pivotButton="0" quotePrefix="0" xfId="0">
      <alignment horizontal="left" vertical="center" wrapText="1"/>
    </xf>
    <xf numFmtId="0" fontId="26" fillId="21" borderId="4" applyAlignment="1" pivotButton="0" quotePrefix="0" xfId="0">
      <alignment horizontal="left" vertical="center" wrapText="1"/>
    </xf>
    <xf numFmtId="0" fontId="26" fillId="24" borderId="4" applyAlignment="1" pivotButton="0" quotePrefix="0" xfId="0">
      <alignment horizontal="left" vertical="center" wrapText="1"/>
    </xf>
    <xf numFmtId="0" fontId="26" fillId="29" borderId="4" applyAlignment="1" pivotButton="0" quotePrefix="0" xfId="0">
      <alignment horizontal="left" vertical="center" wrapText="1"/>
    </xf>
    <xf numFmtId="0" fontId="42" fillId="24" borderId="4" applyAlignment="1" pivotButton="0" quotePrefix="0" xfId="0">
      <alignment horizontal="left" vertical="center" wrapText="1"/>
    </xf>
    <xf numFmtId="0" fontId="42" fillId="21" borderId="4" applyAlignment="1" pivotButton="0" quotePrefix="0" xfId="0">
      <alignment horizontal="left" vertical="center" wrapText="1"/>
    </xf>
    <xf numFmtId="0" fontId="0" fillId="0" borderId="4" applyAlignment="1" pivotButton="0" quotePrefix="0" xfId="0">
      <alignment vertical="center" wrapText="1"/>
    </xf>
    <xf numFmtId="0" fontId="26" fillId="24" borderId="0" applyAlignment="1" pivotButton="0" quotePrefix="0" xfId="0">
      <alignment horizontal="left" vertical="center" wrapText="1"/>
    </xf>
    <xf numFmtId="169" fontId="25" fillId="22" borderId="4" applyAlignment="1" pivotButton="0" quotePrefix="0" xfId="0">
      <alignment horizontal="center" vertical="center" wrapText="1"/>
    </xf>
    <xf numFmtId="169" fontId="26" fillId="24" borderId="4" applyAlignment="1" pivotButton="0" quotePrefix="0" xfId="0">
      <alignment horizontal="center" vertical="center"/>
    </xf>
    <xf numFmtId="169" fontId="26" fillId="21" borderId="4" applyAlignment="1" pivotButton="0" quotePrefix="0" xfId="0">
      <alignment horizontal="center" vertical="center"/>
    </xf>
    <xf numFmtId="169" fontId="26" fillId="26" borderId="4" applyAlignment="1" pivotButton="0" quotePrefix="0" xfId="0">
      <alignment horizontal="center" vertical="center"/>
    </xf>
    <xf numFmtId="169" fontId="42" fillId="24" borderId="4" applyAlignment="1" pivotButton="0" quotePrefix="0" xfId="0">
      <alignment horizontal="center" vertical="center"/>
    </xf>
    <xf numFmtId="169" fontId="0" fillId="0" borderId="0" pivotButton="0" quotePrefix="0" xfId="0"/>
    <xf numFmtId="0" fontId="39" fillId="16" borderId="0" applyAlignment="1" pivotButton="0" quotePrefix="0" xfId="0">
      <alignment horizontal="center" vertical="center"/>
    </xf>
    <xf numFmtId="169" fontId="39" fillId="16" borderId="0" applyAlignment="1" pivotButton="0" quotePrefix="0" xfId="0">
      <alignment horizontal="center" vertical="center"/>
    </xf>
    <xf numFmtId="0" fontId="19" fillId="16" borderId="0" applyAlignment="1" pivotButton="0" quotePrefix="0" xfId="0">
      <alignment horizontal="left" vertical="center"/>
    </xf>
    <xf numFmtId="169" fontId="19" fillId="16" borderId="0" applyAlignment="1" pivotButton="0" quotePrefix="0" xfId="0">
      <alignment horizontal="left" vertical="center"/>
    </xf>
    <xf numFmtId="0" fontId="25" fillId="18" borderId="0" applyAlignment="1" pivotButton="0" quotePrefix="0" xfId="0">
      <alignment horizontal="left" vertical="center" indent="1"/>
    </xf>
    <xf numFmtId="2" fontId="40" fillId="18" borderId="0" applyAlignment="1" pivotButton="0" quotePrefix="0" xfId="0">
      <alignment horizontal="right" vertical="center"/>
    </xf>
    <xf numFmtId="0" fontId="25" fillId="19" borderId="0" applyAlignment="1" pivotButton="0" quotePrefix="0" xfId="0">
      <alignment horizontal="left" vertical="center" indent="1"/>
    </xf>
    <xf numFmtId="169" fontId="25" fillId="19" borderId="0" applyAlignment="1" pivotButton="0" quotePrefix="0" xfId="0">
      <alignment horizontal="left" vertical="center" indent="1"/>
    </xf>
    <xf numFmtId="2" fontId="40" fillId="19" borderId="0" applyAlignment="1" pivotButton="0" quotePrefix="0" xfId="0">
      <alignment horizontal="right" vertical="center"/>
    </xf>
    <xf numFmtId="2" fontId="25" fillId="19" borderId="0" applyAlignment="1" pivotButton="0" quotePrefix="0" xfId="0">
      <alignment horizontal="left" vertical="center" indent="1"/>
    </xf>
    <xf numFmtId="0" fontId="25" fillId="20" borderId="0" applyAlignment="1" pivotButton="0" quotePrefix="0" xfId="0">
      <alignment horizontal="left" vertical="center" indent="1"/>
    </xf>
    <xf numFmtId="3" fontId="40" fillId="20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/>
    </xf>
    <xf numFmtId="0" fontId="7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/>
    </xf>
    <xf numFmtId="164" fontId="0" fillId="0" borderId="1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17" fillId="16" borderId="0" applyAlignment="1" pivotButton="0" quotePrefix="0" xfId="0">
      <alignment horizontal="center" vertical="center"/>
    </xf>
    <xf numFmtId="0" fontId="19" fillId="16" borderId="0" applyAlignment="1" pivotButton="0" quotePrefix="0" xfId="0">
      <alignment horizontal="center" vertical="center"/>
    </xf>
    <xf numFmtId="0" fontId="20" fillId="18" borderId="0" applyAlignment="1" pivotButton="0" quotePrefix="0" xfId="0">
      <alignment horizontal="center" vertical="center"/>
    </xf>
    <xf numFmtId="0" fontId="20" fillId="19" borderId="0" applyAlignment="1" pivotButton="0" quotePrefix="0" xfId="0">
      <alignment horizontal="center" vertical="center"/>
    </xf>
    <xf numFmtId="0" fontId="20" fillId="20" borderId="0" applyAlignment="1" pivotButton="0" quotePrefix="0" xfId="0">
      <alignment horizontal="center" vertical="center"/>
    </xf>
    <xf numFmtId="3" fontId="21" fillId="18" borderId="0" applyAlignment="1" pivotButton="0" quotePrefix="0" xfId="0">
      <alignment horizontal="center" vertical="center"/>
    </xf>
    <xf numFmtId="3" fontId="21" fillId="19" borderId="0" applyAlignment="1" pivotButton="0" quotePrefix="0" xfId="0">
      <alignment horizontal="center" vertical="center"/>
    </xf>
    <xf numFmtId="3" fontId="21" fillId="20" borderId="0" applyAlignment="1" pivotButton="0" quotePrefix="0" xfId="0">
      <alignment horizontal="center" vertical="center"/>
    </xf>
    <xf numFmtId="170" fontId="22" fillId="18" borderId="0" applyAlignment="1" pivotButton="0" quotePrefix="0" xfId="0">
      <alignment horizontal="center" vertical="center"/>
    </xf>
    <xf numFmtId="170" fontId="23" fillId="19" borderId="0" applyAlignment="1" pivotButton="0" quotePrefix="0" xfId="0">
      <alignment horizontal="center" vertical="center"/>
    </xf>
    <xf numFmtId="170" fontId="24" fillId="20" borderId="0" applyAlignment="1" pivotButton="0" quotePrefix="0" xfId="0">
      <alignment horizontal="center" vertical="center"/>
    </xf>
    <xf numFmtId="0" fontId="28" fillId="24" borderId="0" applyAlignment="1" pivotButton="0" quotePrefix="0" xfId="0">
      <alignment horizontal="left" vertical="center" indent="2"/>
    </xf>
    <xf numFmtId="0" fontId="32" fillId="0" borderId="0" applyAlignment="1" pivotButton="0" quotePrefix="0" xfId="0">
      <alignment horizontal="center" vertical="center"/>
    </xf>
    <xf numFmtId="0" fontId="20" fillId="18" borderId="4" applyAlignment="1" pivotButton="0" quotePrefix="0" xfId="0">
      <alignment horizontal="left" vertical="center" indent="1"/>
    </xf>
    <xf numFmtId="0" fontId="20" fillId="19" borderId="4" applyAlignment="1" pivotButton="0" quotePrefix="0" xfId="0">
      <alignment horizontal="left" vertical="center" indent="1"/>
    </xf>
    <xf numFmtId="0" fontId="20" fillId="20" borderId="4" applyAlignment="1" pivotButton="0" quotePrefix="0" xfId="0">
      <alignment horizontal="left" vertical="center" indent="1"/>
    </xf>
    <xf numFmtId="0" fontId="20" fillId="16" borderId="4" applyAlignment="1" pivotButton="0" quotePrefix="0" xfId="0">
      <alignment horizontal="left" vertical="center" indent="1"/>
    </xf>
    <xf numFmtId="0" fontId="33" fillId="16" borderId="0" applyAlignment="1" pivotButton="0" quotePrefix="0" xfId="0">
      <alignment horizontal="center" vertical="center"/>
    </xf>
    <xf numFmtId="0" fontId="34" fillId="18" borderId="0" applyAlignment="1" pivotButton="0" quotePrefix="0" xfId="0">
      <alignment horizontal="center" vertical="center"/>
    </xf>
    <xf numFmtId="0" fontId="34" fillId="19" borderId="0" applyAlignment="1" pivotButton="0" quotePrefix="0" xfId="0">
      <alignment horizontal="center" vertical="center"/>
    </xf>
    <xf numFmtId="0" fontId="34" fillId="20" borderId="0" applyAlignment="1" pivotButton="0" quotePrefix="0" xfId="0">
      <alignment horizontal="center" vertical="center"/>
    </xf>
    <xf numFmtId="0" fontId="34" fillId="25" borderId="0" applyAlignment="1" pivotButton="0" quotePrefix="0" xfId="0">
      <alignment horizontal="center" vertical="center"/>
    </xf>
    <xf numFmtId="3" fontId="35" fillId="18" borderId="0" applyAlignment="1" pivotButton="0" quotePrefix="0" xfId="0">
      <alignment horizontal="center" vertical="center"/>
    </xf>
    <xf numFmtId="3" fontId="35" fillId="19" borderId="0" applyAlignment="1" pivotButton="0" quotePrefix="0" xfId="0">
      <alignment horizontal="center" vertical="center"/>
    </xf>
    <xf numFmtId="3" fontId="35" fillId="20" borderId="0" applyAlignment="1" pivotButton="0" quotePrefix="0" xfId="0">
      <alignment horizontal="center" vertical="center"/>
    </xf>
    <xf numFmtId="3" fontId="35" fillId="25" borderId="0" applyAlignment="1" pivotButton="0" quotePrefix="0" xfId="0">
      <alignment horizontal="center" vertical="center"/>
    </xf>
    <xf numFmtId="166" fontId="22" fillId="18" borderId="0" applyAlignment="1" pivotButton="0" quotePrefix="0" xfId="0">
      <alignment horizontal="center" vertical="center"/>
    </xf>
    <xf numFmtId="166" fontId="23" fillId="19" borderId="0" applyAlignment="1" pivotButton="0" quotePrefix="0" xfId="0">
      <alignment horizontal="center" vertical="center"/>
    </xf>
    <xf numFmtId="166" fontId="24" fillId="20" borderId="0" applyAlignment="1" pivotButton="0" quotePrefix="0" xfId="0">
      <alignment horizontal="center" vertical="center"/>
    </xf>
    <xf numFmtId="166" fontId="36" fillId="25" borderId="0" applyAlignment="1" pivotButton="0" quotePrefix="0" xfId="0">
      <alignment horizontal="center" vertical="center"/>
    </xf>
    <xf numFmtId="0" fontId="37" fillId="2" borderId="0" applyAlignment="1" pivotButton="0" quotePrefix="0" xfId="0">
      <alignment horizontal="center" vertical="center"/>
    </xf>
    <xf numFmtId="0" fontId="8" fillId="0" borderId="2" pivotButton="0" quotePrefix="0" xfId="0"/>
    <xf numFmtId="0" fontId="11" fillId="7" borderId="1" pivotButton="0" quotePrefix="0" xfId="0"/>
    <xf numFmtId="0" fontId="11" fillId="8" borderId="1" pivotButton="0" quotePrefix="0" xfId="0"/>
    <xf numFmtId="0" fontId="11" fillId="9" borderId="1" pivotButton="0" quotePrefix="0" xfId="0"/>
    <xf numFmtId="0" fontId="11" fillId="10" borderId="1" pivotButton="0" quotePrefix="0" xfId="0"/>
    <xf numFmtId="0" fontId="11" fillId="11" borderId="1" pivotButton="0" quotePrefix="0" xfId="0"/>
    <xf numFmtId="0" fontId="11" fillId="12" borderId="1" pivotButton="0" quotePrefix="0" xfId="0"/>
    <xf numFmtId="0" fontId="11" fillId="13" borderId="1" pivotButton="0" quotePrefix="0" xfId="0"/>
    <xf numFmtId="0" fontId="11" fillId="14" borderId="1" pivotButton="0" quotePrefix="0" xfId="0"/>
    <xf numFmtId="0" fontId="13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4" fillId="0" borderId="2" pivotButton="0" quotePrefix="0" xfId="0"/>
    <xf numFmtId="0" fontId="12" fillId="0" borderId="0" pivotButton="0" quotePrefix="0" xfId="0"/>
    <xf numFmtId="0" fontId="0" fillId="17" borderId="0" pivotButton="0" quotePrefix="0" xfId="0"/>
    <xf numFmtId="169" fontId="0" fillId="17" borderId="0" pivotButton="0" quotePrefix="0" xfId="0"/>
    <xf numFmtId="0" fontId="0" fillId="0" borderId="13" pivotButton="0" quotePrefix="0" xfId="0"/>
    <xf numFmtId="0" fontId="0" fillId="0" borderId="7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2" pivotButton="0" quotePrefix="0" xfId="0"/>
    <xf numFmtId="3" fontId="10" fillId="0" borderId="1" applyAlignment="1" pivotButton="0" quotePrefix="0" xfId="0">
      <alignment horizontal="right"/>
    </xf>
    <xf numFmtId="1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  <xf numFmtId="9" fontId="0" fillId="0" borderId="1" applyAlignment="1" pivotButton="0" quotePrefix="0" xfId="0">
      <alignment horizontal="center"/>
    </xf>
    <xf numFmtId="1" fontId="22" fillId="18" borderId="0" applyAlignment="1" pivotButton="0" quotePrefix="0" xfId="0">
      <alignment horizontal="center" vertical="center"/>
    </xf>
    <xf numFmtId="1" fontId="23" fillId="19" borderId="0" applyAlignment="1" pivotButton="0" quotePrefix="0" xfId="0">
      <alignment horizontal="center" vertical="center"/>
    </xf>
    <xf numFmtId="1" fontId="24" fillId="20" borderId="0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7" pivotButton="0" quotePrefix="0" xfId="0"/>
    <xf numFmtId="167" fontId="26" fillId="23" borderId="4" applyAlignment="1" pivotButton="0" quotePrefix="0" xfId="0">
      <alignment horizontal="left" vertical="center"/>
    </xf>
    <xf numFmtId="168" fontId="26" fillId="23" borderId="4" applyAlignment="1" pivotButton="0" quotePrefix="0" xfId="0">
      <alignment horizontal="left" vertical="center"/>
    </xf>
    <xf numFmtId="1" fontId="36" fillId="25" borderId="0" applyAlignment="1" pivotButton="0" quotePrefix="0" xfId="0">
      <alignment horizontal="center" vertical="center"/>
    </xf>
    <xf numFmtId="3" fontId="40" fillId="18" borderId="0" applyAlignment="1" pivotButton="0" quotePrefix="0" xfId="0">
      <alignment horizontal="right" vertical="center"/>
    </xf>
    <xf numFmtId="1" fontId="40" fillId="19" borderId="0" applyAlignment="1" pivotButton="0" quotePrefix="0" xfId="0">
      <alignment horizontal="right" vertical="center"/>
    </xf>
    <xf numFmtId="3" fontId="40" fillId="19" borderId="0" applyAlignment="1" pivotButton="0" quotePrefix="0" xfId="0">
      <alignment horizontal="right" vertical="center"/>
    </xf>
    <xf numFmtId="169" fontId="25" fillId="22" borderId="4" applyAlignment="1" pivotButton="0" quotePrefix="0" xfId="0">
      <alignment horizontal="center" vertical="center" wrapText="1"/>
    </xf>
    <xf numFmtId="0" fontId="26" fillId="36" borderId="4" applyAlignment="1" pivotButton="0" quotePrefix="0" xfId="0">
      <alignment horizontal="center" vertical="center"/>
    </xf>
    <xf numFmtId="0" fontId="26" fillId="36" borderId="4" applyAlignment="1" pivotButton="0" quotePrefix="0" xfId="0">
      <alignment horizontal="left" vertical="center"/>
    </xf>
    <xf numFmtId="0" fontId="26" fillId="36" borderId="4" applyAlignment="1" pivotButton="0" quotePrefix="0" xfId="0">
      <alignment horizontal="left" vertical="center" wrapText="1"/>
    </xf>
    <xf numFmtId="3" fontId="26" fillId="36" borderId="4" applyAlignment="1" pivotButton="0" quotePrefix="0" xfId="0">
      <alignment horizontal="right" vertical="center"/>
    </xf>
    <xf numFmtId="169" fontId="26" fillId="36" borderId="4" applyAlignment="1" pivotButton="0" quotePrefix="0" xfId="0">
      <alignment horizontal="center" vertical="center"/>
    </xf>
    <xf numFmtId="165" fontId="26" fillId="37" borderId="4" applyAlignment="1" pivotButton="0" quotePrefix="0" xfId="0">
      <alignment horizontal="right" vertical="center"/>
    </xf>
    <xf numFmtId="0" fontId="25" fillId="36" borderId="4" applyAlignment="1" pivotButton="0" quotePrefix="0" xfId="0">
      <alignment horizontal="center" vertical="center"/>
    </xf>
    <xf numFmtId="9" fontId="26" fillId="36" borderId="4" applyAlignment="1" pivotButton="0" quotePrefix="0" xfId="0">
      <alignment horizontal="center" vertical="center"/>
    </xf>
    <xf numFmtId="0" fontId="26" fillId="36" borderId="4" applyAlignment="1" pivotButton="0" quotePrefix="0" xfId="0">
      <alignment horizontal="right" vertical="center"/>
    </xf>
    <xf numFmtId="167" fontId="26" fillId="36" borderId="4" applyAlignment="1" pivotButton="0" quotePrefix="0" xfId="0">
      <alignment horizontal="center" vertical="center"/>
    </xf>
    <xf numFmtId="0" fontId="42" fillId="36" borderId="4" applyAlignment="1" pivotButton="0" quotePrefix="0" xfId="0">
      <alignment horizontal="left" vertical="center" wrapText="1"/>
    </xf>
    <xf numFmtId="0" fontId="42" fillId="36" borderId="4" applyAlignment="1" pivotButton="0" quotePrefix="0" xfId="0">
      <alignment horizontal="center" vertical="center"/>
    </xf>
    <xf numFmtId="0" fontId="42" fillId="36" borderId="4" applyAlignment="1" pivotButton="0" quotePrefix="0" xfId="0">
      <alignment horizontal="left" vertical="center"/>
    </xf>
    <xf numFmtId="3" fontId="42" fillId="36" borderId="4" applyAlignment="1" pivotButton="0" quotePrefix="0" xfId="0">
      <alignment horizontal="right" vertical="center"/>
    </xf>
    <xf numFmtId="169" fontId="42" fillId="36" borderId="4" applyAlignment="1" pivotButton="0" quotePrefix="0" xfId="0">
      <alignment horizontal="center" vertical="center"/>
    </xf>
    <xf numFmtId="0" fontId="0" fillId="36" borderId="4" applyAlignment="1" pivotButton="0" quotePrefix="0" xfId="0">
      <alignment vertical="center" wrapText="1"/>
    </xf>
    <xf numFmtId="0" fontId="26" fillId="36" borderId="0" applyAlignment="1" pivotButton="0" quotePrefix="0" xfId="0">
      <alignment horizontal="left" vertical="center" wrapText="1"/>
    </xf>
    <xf numFmtId="3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</cellXfs>
  <cellStyles count="1">
    <cellStyle name="Standard" xfId="0" builtinId="0"/>
  </cellStyles>
  <dxfs count="10">
    <dxf>
      <font>
        <b val="1"/>
        <color rgb="FFFFFFFF"/>
      </font>
      <fill>
        <patternFill>
          <bgColor rgb="FFB71C1C"/>
        </patternFill>
      </fill>
    </dxf>
    <dxf>
      <font>
        <b val="1"/>
        <color rgb="FFFFFFFF"/>
      </font>
      <fill>
        <patternFill>
          <bgColor rgb="FFC62828"/>
        </patternFill>
      </fill>
    </dxf>
    <dxf>
      <font>
        <b val="1"/>
        <color rgb="FFFFFFFF"/>
      </font>
      <fill>
        <patternFill>
          <bgColor rgb="FFBDBDBD"/>
        </patternFill>
      </fill>
    </dxf>
    <dxf>
      <font>
        <b val="1"/>
        <color rgb="FFFFFFFF"/>
      </font>
      <fill>
        <patternFill>
          <bgColor rgb="FF9E9E9E"/>
        </patternFill>
      </fill>
    </dxf>
    <dxf>
      <font>
        <b val="1"/>
        <color rgb="FF000000"/>
      </font>
      <fill>
        <patternFill>
          <bgColor rgb="FFFFD600"/>
        </patternFill>
      </fill>
    </dxf>
    <dxf>
      <font>
        <b val="1"/>
        <color rgb="FF000000"/>
      </font>
      <fill>
        <patternFill>
          <bgColor rgb="FFFFD600"/>
        </patternFill>
      </fill>
    </dxf>
    <dxf>
      <font>
        <b val="1"/>
        <color rgb="FFFFFFFF"/>
      </font>
      <fill>
        <patternFill>
          <bgColor rgb="FFF57C00"/>
        </patternFill>
      </fill>
    </dxf>
    <dxf>
      <font>
        <b val="1"/>
        <color rgb="FFFFFFFF"/>
      </font>
      <fill>
        <patternFill>
          <bgColor rgb="FF1976D2"/>
        </patternFill>
      </fill>
    </dxf>
    <dxf>
      <font>
        <b val="1"/>
        <color rgb="FFFFFFFF"/>
      </font>
      <fill>
        <patternFill>
          <bgColor rgb="FF1565C0"/>
        </patternFill>
      </fill>
    </dxf>
    <dxf>
      <font>
        <b val="1"/>
        <color rgb="FFFFFFFF"/>
      </font>
      <fill>
        <patternFill>
          <bgColor rgb="FF2E7D3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D60030"/>
      <rgbColor rgb="FF65C030"/>
      <rgbColor rgb="FF2E5496"/>
      <rgbColor rgb="FFF5F5F5"/>
      <rgbColor rgb="FFDC2626"/>
      <rgbColor rgb="FFB3B3B3"/>
      <rgbColor rgb="FF7C0030"/>
      <rgbColor rgb="FF166534"/>
      <rgbColor rgb="FF1C1C30"/>
      <rgbColor rgb="FF97A136"/>
      <rgbColor rgb="FFC8102E"/>
      <rgbColor rgb="FF0891B2"/>
      <rgbColor rgb="FFBDBEBB"/>
      <rgbColor rgb="FF888888"/>
      <rgbColor rgb="FFA5A6BC"/>
      <rgbColor rgb="FF7D3230"/>
      <rgbColor rgb="FFF0FDF4"/>
      <rgbColor rgb="FFDCFCE7"/>
      <rgbColor rgb="FF1E3A5F"/>
      <rgbColor rgb="FFDB7C0C"/>
      <rgbColor rgb="FF1565C0"/>
      <rgbColor rgb="FFBBDDFF"/>
      <rgbColor rgb="FF111111"/>
      <rgbColor rgb="FF696272"/>
      <rgbColor rgb="FFF8FAFC"/>
      <rgbColor rgb="FF555555"/>
      <rgbColor rgb="FFB71C1C"/>
      <rgbColor rgb="FFC00000"/>
      <rgbColor rgb="FF1976D2"/>
      <rgbColor rgb="FF7C3AED"/>
      <rgbColor rgb="FF2E7D32"/>
      <rgbColor rgb="FFE8EDF4"/>
      <rgbColor rgb="FFBBFFCC"/>
      <rgbColor rgb="FFFEF2F2"/>
      <rgbColor rgb="FFBDBDBD"/>
      <rgbColor rgb="FFAFA7A9"/>
      <rgbColor rgb="FFDDBBFF"/>
      <rgbColor rgb="FFFFDDAA"/>
      <rgbColor rgb="FF2563EB"/>
      <rgbColor rgb="FF4B83B6"/>
      <rgbColor rgb="FFBDBD30"/>
      <rgbColor rgb="FFFFD600"/>
      <rgbColor rgb="FFD4A017"/>
      <rgbColor rgb="FFF57C00"/>
      <rgbColor rgb="FF6C7081"/>
      <rgbColor rgb="FF9E9E9E"/>
      <rgbColor rgb="FF1F3864"/>
      <rgbColor rgb="FF16A34A"/>
      <rgbColor rgb="FF0D1117"/>
      <rgbColor rgb="FF1E293B"/>
      <rgbColor rgb="FF7C2D12"/>
      <rgbColor rgb="FFC42B2B"/>
      <rgbColor rgb="FF4C1D95"/>
      <rgbColor rgb="FF2A2A3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de-CH" sz="1800" b="1" strike="noStrike" spc="-1">
                <a:solidFill>
                  <a:srgbClr val="000000"/>
                </a:solidFill>
                <a:latin typeface="Calibri"/>
              </a:rPr>
              <a:t>Pipeline — Status (Anzahl)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doughnutChart>
        <varyColors val="1"/>
        <ser>
          <idx val="0"/>
          <order val="0"/>
          <tx>
            <strRef>
              <f>_data!$C$1</f>
              <strCache>
                <ptCount val="1"/>
                <pt idx="0">
                  <v>Anzahl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dPt>
            <idx val="0"/>
            <spPr>
              <a:solidFill xmlns:a="http://schemas.openxmlformats.org/drawingml/2006/main">
                <a:srgbClr val="2E7D32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1565C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1976D2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F57C0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FFD600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FFD600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9E9E9E"/>
              </a:solidFill>
              <a:ln xmlns:a="http://schemas.openxmlformats.org/drawingml/2006/main"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BDBDBD"/>
              </a:solidFill>
              <a:ln xmlns:a="http://schemas.openxmlformats.org/drawingml/2006/main">
                <a:prstDash val="solid"/>
              </a:ln>
            </spPr>
          </dPt>
          <dPt>
            <idx val="8"/>
            <spPr>
              <a:solidFill xmlns:a="http://schemas.openxmlformats.org/drawingml/2006/main">
                <a:srgbClr val="C62828"/>
              </a:solidFill>
              <a:ln xmlns:a="http://schemas.openxmlformats.org/drawingml/2006/main">
                <a:prstDash val="solid"/>
              </a:ln>
            </spPr>
          </dPt>
          <dPt>
            <idx val="9"/>
            <spPr>
              <a:solidFill xmlns:a="http://schemas.openxmlformats.org/drawingml/2006/main">
                <a:srgbClr val="B71C1C"/>
              </a:solidFill>
              <a:ln xmlns:a="http://schemas.openxmlformats.org/drawingml/2006/main">
                <a:prstDash val="solid"/>
              </a:ln>
            </spPr>
          </dPt>
          <dLbls>
            <dLbl>
              <idx val="0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  <a:endParaRPr lang="de-DE"/>
                </a:p>
              </txPr>
              <showLegendKey val="1"/>
              <showVal val="0"/>
              <showCatName val="1"/>
              <showSerName val="1"/>
              <showPercent val="1"/>
              <showBubbleSize val="1"/>
            </dLbl>
            <dLbl>
              <idx val="1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  <a:endParaRPr lang="de-DE"/>
                </a:p>
              </txPr>
              <showLegendKey val="1"/>
              <showVal val="0"/>
              <showCatName val="1"/>
              <showSerName val="1"/>
              <showPercent val="1"/>
              <showBubbleSize val="1"/>
            </dLbl>
            <dLbl>
              <idx val="2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  <a:endParaRPr lang="de-DE"/>
                </a:p>
              </txPr>
              <showLegendKey val="1"/>
              <showVal val="0"/>
              <showCatName val="1"/>
              <showSerName val="1"/>
              <showPercent val="1"/>
              <showBubbleSize val="1"/>
            </dLbl>
            <dLbl>
              <idx val="3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  <a:endParaRPr lang="de-DE"/>
                </a:p>
              </txPr>
              <showLegendKey val="1"/>
              <showVal val="0"/>
              <showCatName val="1"/>
              <showSerName val="1"/>
              <showPercent val="1"/>
              <showBubbleSize val="1"/>
            </dLbl>
            <dLbl>
              <idx val="4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  <a:endParaRPr lang="de-DE"/>
                </a:p>
              </txPr>
              <showLegendKey val="1"/>
              <showVal val="0"/>
              <showCatName val="1"/>
              <showSerName val="1"/>
              <showPercent val="1"/>
              <showBubbleSize val="1"/>
            </dLbl>
            <dLbl>
              <idx val="5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  <a:endParaRPr lang="de-DE"/>
                </a:p>
              </txPr>
              <showLegendKey val="1"/>
              <showVal val="0"/>
              <showCatName val="1"/>
              <showSerName val="1"/>
              <showPercent val="1"/>
              <showBubbleSize val="1"/>
            </dLbl>
            <dLbl>
              <idx val="6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  <a:endParaRPr lang="de-DE"/>
                </a:p>
              </txPr>
              <showLegendKey val="1"/>
              <showVal val="0"/>
              <showCatName val="1"/>
              <showSerName val="1"/>
              <showPercent val="1"/>
              <showBubbleSize val="1"/>
            </dLbl>
            <dLbl>
              <idx val="7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  <a:endParaRPr lang="de-DE"/>
                </a:p>
              </txPr>
              <showLegendKey val="1"/>
              <showVal val="0"/>
              <showCatName val="1"/>
              <showSerName val="1"/>
              <showPercent val="1"/>
              <showBubbleSize val="1"/>
            </dLbl>
            <dLbl>
              <idx val="8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  <a:endParaRPr lang="de-DE"/>
                </a:p>
              </txPr>
              <showLegendKey val="1"/>
              <showVal val="0"/>
              <showCatName val="1"/>
              <showSerName val="1"/>
              <showPercent val="1"/>
              <showBubbleSize val="1"/>
            </dLbl>
            <dLbl>
              <idx val="9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  <a:endParaRPr lang="de-DE"/>
                </a:p>
              </txPr>
              <showLegendKey val="1"/>
              <showVal val="0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de-DE"/>
              </a:p>
            </txPr>
            <showLegendKey val="1"/>
            <showVal val="0"/>
            <showCatName val="1"/>
            <showSerName val="1"/>
            <showPercent val="1"/>
            <showBubbleSize val="1"/>
            <showLeaderLines val="1"/>
          </dLbls>
          <cat>
            <strRef>
              <f>_data!$B$2:$B$11</f>
              <strCache>
                <ptCount val="10"/>
                <pt idx="0">
                  <v>✅ WON</v>
                </pt>
                <pt idx="1">
                  <v>📄 Offerte</v>
                </pt>
                <pt idx="2">
                  <v>📝 To Offer</v>
                </pt>
                <pt idx="3">
                  <v>🎯 Follow-Up</v>
                </pt>
                <pt idx="4">
                  <v>🔍 Evaluation</v>
                </pt>
                <pt idx="5">
                  <v>🔍 In Eval</v>
                </pt>
                <pt idx="6">
                  <v>⏸ On Hold</v>
                </pt>
                <pt idx="7">
                  <v>❓ TBD</v>
                </pt>
                <pt idx="8">
                  <v>❌ LOST</v>
                </pt>
                <pt idx="9">
                  <v>🚫 Declined</v>
                </pt>
              </strCache>
            </strRef>
          </cat>
          <val>
            <numRef>
              <f>_data!$C$2:$C$11</f>
              <numCache>
                <formatCode>General</formatCode>
                <ptCount val="10"/>
                <pt idx="0">
                  <v>7</v>
                </pt>
                <pt idx="1">
                  <v>18</v>
                </pt>
                <pt idx="2">
                  <v>0</v>
                </pt>
                <pt idx="3">
                  <v>4</v>
                </pt>
                <pt idx="4">
                  <v>3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7</v>
                </pt>
                <pt idx="9">
                  <v>13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  <a:endParaRPr lang="de-DE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de-CH" sz="1800" b="1" strike="noStrike" spc="-1">
                <a:solidFill>
                  <a:srgbClr val="000000"/>
                </a:solidFill>
                <a:latin typeface="Calibri"/>
              </a:rPr>
              <a:t>Pipeline — Status nach Volumen CHF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bar"/>
        <grouping val="clustered"/>
        <varyColors val="0"/>
        <ser>
          <idx val="0"/>
          <order val="0"/>
          <tx>
            <strRef>
              <f>_data!$D$1</f>
              <strCache>
                <ptCount val="1"/>
                <pt idx="0">
                  <v>Volumen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Pt>
            <idx val="0"/>
            <spPr>
              <a:solidFill xmlns:a="http://schemas.openxmlformats.org/drawingml/2006/main">
                <a:srgbClr val="2E7D32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1565C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1976D2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F57C0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FFD600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FFD600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9E9E9E"/>
              </a:solidFill>
              <a:ln xmlns:a="http://schemas.openxmlformats.org/drawingml/2006/main"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BDBDBD"/>
              </a:solidFill>
              <a:ln xmlns:a="http://schemas.openxmlformats.org/drawingml/2006/main">
                <a:prstDash val="solid"/>
              </a:ln>
            </spPr>
          </dPt>
          <dPt>
            <idx val="8"/>
            <spPr>
              <a:solidFill xmlns:a="http://schemas.openxmlformats.org/drawingml/2006/main">
                <a:srgbClr val="C62828"/>
              </a:solidFill>
              <a:ln xmlns:a="http://schemas.openxmlformats.org/drawingml/2006/main">
                <a:prstDash val="solid"/>
              </a:ln>
            </spPr>
          </dPt>
          <dPt>
            <idx val="9"/>
            <spPr>
              <a:solidFill xmlns:a="http://schemas.openxmlformats.org/drawingml/2006/main">
                <a:srgbClr val="B71C1C"/>
              </a:solidFill>
              <a:ln xmlns:a="http://schemas.openxmlformats.org/drawingml/2006/main"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  <a:endParaRPr lang="de-DE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_data!$B$2:$B$11</f>
              <strCache>
                <ptCount val="10"/>
                <pt idx="0">
                  <v>✅ WON</v>
                </pt>
                <pt idx="1">
                  <v>📄 Offerte</v>
                </pt>
                <pt idx="2">
                  <v>📝 To Offer</v>
                </pt>
                <pt idx="3">
                  <v>🎯 Follow-Up</v>
                </pt>
                <pt idx="4">
                  <v>🔍 Evaluation</v>
                </pt>
                <pt idx="5">
                  <v>🔍 In Eval</v>
                </pt>
                <pt idx="6">
                  <v>⏸ On Hold</v>
                </pt>
                <pt idx="7">
                  <v>❓ TBD</v>
                </pt>
                <pt idx="8">
                  <v>❌ LOST</v>
                </pt>
                <pt idx="9">
                  <v>🚫 Declined</v>
                </pt>
              </strCache>
            </strRef>
          </cat>
          <val>
            <numRef>
              <f>_data!$D$2:$D$11</f>
              <numCache>
                <formatCode>General</formatCode>
                <ptCount val="10"/>
                <pt idx="0">
                  <v>694803.6899999999</v>
                </pt>
                <pt idx="1">
                  <v>3559557.950000001</v>
                </pt>
                <pt idx="2">
                  <v>0</v>
                </pt>
                <pt idx="3">
                  <v>1293888</v>
                </pt>
                <pt idx="4">
                  <v>6772.8</v>
                </pt>
                <pt idx="5">
                  <v>3760.04</v>
                </pt>
                <pt idx="6">
                  <v>0</v>
                </pt>
                <pt idx="7">
                  <v>0</v>
                </pt>
                <pt idx="8">
                  <v>78251.62</v>
                </pt>
                <pt idx="9">
                  <v>96029.00999999999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84075192"/>
        <axId val="27447151"/>
      </barChart>
      <catAx>
        <axId val="84075192"/>
        <scaling>
          <orientation val="minMax"/>
        </scaling>
        <delete val="0"/>
        <axPos val="l"/>
        <numFmt formatCode="General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de-DE"/>
          </a:p>
        </txPr>
        <crossAx val="27447151"/>
        <crosses val="autoZero"/>
        <auto val="1"/>
        <lblAlgn val="ctr"/>
        <lblOffset val="100"/>
        <noMultiLvlLbl val="0"/>
      </catAx>
      <valAx>
        <axId val="27447151"/>
        <scaling>
          <orientation val="minMax"/>
        </scaling>
        <delete val="0"/>
        <axPos val="b"/>
        <majorGridlines>
          <spPr>
            <a:ln xmlns:a="http://schemas.openxmlformats.org/drawingml/2006/main" w="0">
              <a:solidFill>
                <a:srgbClr val="B3B3B3"/>
              </a:solidFill>
              <a:prstDash val="solid"/>
            </a:ln>
          </spPr>
        </majorGridlines>
        <numFmt formatCode="General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de-DE"/>
          </a:p>
        </txPr>
        <crossAx val="84075192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  <a:endParaRPr lang="de-DE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plotArea>
      <layout/>
      <doughnutChart>
        <varyColors val="1"/>
        <ser>
          <idx val="0"/>
          <order val="0"/>
          <tx>
            <strRef>
              <f>_data!$C$1</f>
              <strCache>
                <ptCount val="1"/>
                <pt idx="0">
                  <v>Anzahl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dPt>
            <idx val="0"/>
            <spPr>
              <a:solidFill xmlns:a="http://schemas.openxmlformats.org/drawingml/2006/main">
                <a:srgbClr val="2E7D32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1565C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1976D2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F57C0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FFD600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FFD600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9E9E9E"/>
              </a:solidFill>
              <a:ln xmlns:a="http://schemas.openxmlformats.org/drawingml/2006/main"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BDBDBD"/>
              </a:solidFill>
              <a:ln xmlns:a="http://schemas.openxmlformats.org/drawingml/2006/main">
                <a:prstDash val="solid"/>
              </a:ln>
            </spPr>
          </dPt>
          <dPt>
            <idx val="8"/>
            <spPr>
              <a:solidFill xmlns:a="http://schemas.openxmlformats.org/drawingml/2006/main">
                <a:srgbClr val="C62828"/>
              </a:solidFill>
              <a:ln xmlns:a="http://schemas.openxmlformats.org/drawingml/2006/main">
                <a:prstDash val="solid"/>
              </a:ln>
            </spPr>
          </dPt>
          <dPt>
            <idx val="9"/>
            <spPr>
              <a:solidFill xmlns:a="http://schemas.openxmlformats.org/drawingml/2006/main">
                <a:srgbClr val="B71C1C"/>
              </a:solidFill>
              <a:ln xmlns:a="http://schemas.openxmlformats.org/drawingml/2006/main">
                <a:prstDash val="solid"/>
              </a:ln>
            </spPr>
          </dPt>
          <dLbls>
            <dLbl>
              <idx val="0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  <a:endParaRPr lang="de-DE"/>
                </a:p>
              </txPr>
              <showLegendKey val="1"/>
              <showVal val="1"/>
              <showCatName val="0"/>
              <showSerName val="1"/>
              <showPercent val="1"/>
              <showBubbleSize val="1"/>
            </dLbl>
            <dLbl>
              <idx val="1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  <a:endParaRPr lang="de-DE"/>
                </a:p>
              </txPr>
              <showLegendKey val="1"/>
              <showVal val="1"/>
              <showCatName val="0"/>
              <showSerName val="1"/>
              <showPercent val="1"/>
              <showBubbleSize val="1"/>
            </dLbl>
            <dLbl>
              <idx val="2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  <a:endParaRPr lang="de-DE"/>
                </a:p>
              </txPr>
              <showLegendKey val="1"/>
              <showVal val="1"/>
              <showCatName val="0"/>
              <showSerName val="1"/>
              <showPercent val="1"/>
              <showBubbleSize val="1"/>
            </dLbl>
            <dLbl>
              <idx val="3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  <a:endParaRPr lang="de-DE"/>
                </a:p>
              </txPr>
              <showLegendKey val="1"/>
              <showVal val="1"/>
              <showCatName val="0"/>
              <showSerName val="1"/>
              <showPercent val="1"/>
              <showBubbleSize val="1"/>
            </dLbl>
            <dLbl>
              <idx val="4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  <a:endParaRPr lang="de-DE"/>
                </a:p>
              </txPr>
              <showLegendKey val="1"/>
              <showVal val="1"/>
              <showCatName val="0"/>
              <showSerName val="1"/>
              <showPercent val="1"/>
              <showBubbleSize val="1"/>
            </dLbl>
            <dLbl>
              <idx val="5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  <a:endParaRPr lang="de-DE"/>
                </a:p>
              </txPr>
              <showLegendKey val="1"/>
              <showVal val="1"/>
              <showCatName val="0"/>
              <showSerName val="1"/>
              <showPercent val="1"/>
              <showBubbleSize val="1"/>
            </dLbl>
            <dLbl>
              <idx val="6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  <a:endParaRPr lang="de-DE"/>
                </a:p>
              </txPr>
              <showLegendKey val="1"/>
              <showVal val="1"/>
              <showCatName val="0"/>
              <showSerName val="1"/>
              <showPercent val="1"/>
              <showBubbleSize val="1"/>
            </dLbl>
            <dLbl>
              <idx val="7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  <a:endParaRPr lang="de-DE"/>
                </a:p>
              </txPr>
              <showLegendKey val="1"/>
              <showVal val="1"/>
              <showCatName val="0"/>
              <showSerName val="1"/>
              <showPercent val="1"/>
              <showBubbleSize val="1"/>
            </dLbl>
            <dLbl>
              <idx val="8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  <a:endParaRPr lang="de-DE"/>
                </a:p>
              </txPr>
              <showLegendKey val="1"/>
              <showVal val="1"/>
              <showCatName val="0"/>
              <showSerName val="1"/>
              <showPercent val="1"/>
              <showBubbleSize val="1"/>
            </dLbl>
            <dLbl>
              <idx val="9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  <a:endParaRPr lang="de-DE"/>
                </a:p>
              </txPr>
              <showLegendKey val="1"/>
              <showVal val="1"/>
              <showCatName val="0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de-DE"/>
              </a:p>
            </txPr>
            <showLegendKey val="1"/>
            <showVal val="1"/>
            <showCatName val="0"/>
            <showSerName val="1"/>
            <showPercent val="1"/>
            <showBubbleSize val="1"/>
            <showLeaderLines val="1"/>
          </dLbls>
          <cat>
            <strRef>
              <f>_data!$B$2:$B$11</f>
              <strCache>
                <ptCount val="10"/>
                <pt idx="0">
                  <v>✅ WON</v>
                </pt>
                <pt idx="1">
                  <v>📄 Offerte</v>
                </pt>
                <pt idx="2">
                  <v>📝 To Offer</v>
                </pt>
                <pt idx="3">
                  <v>🎯 Follow-Up</v>
                </pt>
                <pt idx="4">
                  <v>🔍 Evaluation</v>
                </pt>
                <pt idx="5">
                  <v>🔍 In Eval</v>
                </pt>
                <pt idx="6">
                  <v>⏸ On Hold</v>
                </pt>
                <pt idx="7">
                  <v>❓ TBD</v>
                </pt>
                <pt idx="8">
                  <v>❌ LOST</v>
                </pt>
                <pt idx="9">
                  <v>🚫 Declined</v>
                </pt>
              </strCache>
            </strRef>
          </cat>
          <val>
            <numRef>
              <f>_data!$C$2:$C$11</f>
              <numCache>
                <formatCode>General</formatCode>
                <ptCount val="10"/>
                <pt idx="0">
                  <v>7</v>
                </pt>
                <pt idx="1">
                  <v>18</v>
                </pt>
                <pt idx="2">
                  <v>0</v>
                </pt>
                <pt idx="3">
                  <v>4</v>
                </pt>
                <pt idx="4">
                  <v>3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7</v>
                </pt>
                <pt idx="9">
                  <v>13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  <a:endParaRPr lang="de-DE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4.xml><?xml version="1.0" encoding="utf-8"?>
<chartSpace xmlns="http://schemas.openxmlformats.org/drawingml/2006/chart">
  <chart>
    <plotArea>
      <layout/>
      <barChart>
        <barDir val="bar"/>
        <grouping val="clustered"/>
        <varyColors val="0"/>
        <ser>
          <idx val="0"/>
          <order val="0"/>
          <tx>
            <strRef>
              <f>_data!$D$1</f>
              <strCache>
                <ptCount val="1"/>
                <pt idx="0">
                  <v>Volumen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Pt>
            <idx val="0"/>
            <spPr>
              <a:solidFill xmlns:a="http://schemas.openxmlformats.org/drawingml/2006/main">
                <a:srgbClr val="2E7D32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1565C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1976D2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F57C0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FFD600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FFD600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9E9E9E"/>
              </a:solidFill>
              <a:ln xmlns:a="http://schemas.openxmlformats.org/drawingml/2006/main"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BDBDBD"/>
              </a:solidFill>
              <a:ln xmlns:a="http://schemas.openxmlformats.org/drawingml/2006/main">
                <a:prstDash val="solid"/>
              </a:ln>
            </spPr>
          </dPt>
          <dPt>
            <idx val="8"/>
            <spPr>
              <a:solidFill xmlns:a="http://schemas.openxmlformats.org/drawingml/2006/main">
                <a:srgbClr val="C62828"/>
              </a:solidFill>
              <a:ln xmlns:a="http://schemas.openxmlformats.org/drawingml/2006/main">
                <a:prstDash val="solid"/>
              </a:ln>
            </spPr>
          </dPt>
          <dPt>
            <idx val="9"/>
            <spPr>
              <a:solidFill xmlns:a="http://schemas.openxmlformats.org/drawingml/2006/main">
                <a:srgbClr val="B71C1C"/>
              </a:solidFill>
              <a:ln xmlns:a="http://schemas.openxmlformats.org/drawingml/2006/main"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  <a:endParaRPr lang="de-DE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_data!$B$2:$B$11</f>
              <strCache>
                <ptCount val="10"/>
                <pt idx="0">
                  <v>✅ WON</v>
                </pt>
                <pt idx="1">
                  <v>📄 Offerte</v>
                </pt>
                <pt idx="2">
                  <v>📝 To Offer</v>
                </pt>
                <pt idx="3">
                  <v>🎯 Follow-Up</v>
                </pt>
                <pt idx="4">
                  <v>🔍 Evaluation</v>
                </pt>
                <pt idx="5">
                  <v>🔍 In Eval</v>
                </pt>
                <pt idx="6">
                  <v>⏸ On Hold</v>
                </pt>
                <pt idx="7">
                  <v>❓ TBD</v>
                </pt>
                <pt idx="8">
                  <v>❌ LOST</v>
                </pt>
                <pt idx="9">
                  <v>🚫 Declined</v>
                </pt>
              </strCache>
            </strRef>
          </cat>
          <val>
            <numRef>
              <f>_data!$D$2:$D$11</f>
              <numCache>
                <formatCode>General</formatCode>
                <ptCount val="10"/>
                <pt idx="0">
                  <v>694803.6899999999</v>
                </pt>
                <pt idx="1">
                  <v>3559557.950000001</v>
                </pt>
                <pt idx="2">
                  <v>0</v>
                </pt>
                <pt idx="3">
                  <v>1293888</v>
                </pt>
                <pt idx="4">
                  <v>6772.8</v>
                </pt>
                <pt idx="5">
                  <v>3760.04</v>
                </pt>
                <pt idx="6">
                  <v>0</v>
                </pt>
                <pt idx="7">
                  <v>0</v>
                </pt>
                <pt idx="8">
                  <v>78251.62</v>
                </pt>
                <pt idx="9">
                  <v>96029.00999999999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96321874"/>
        <axId val="15179763"/>
      </barChart>
      <catAx>
        <axId val="96321874"/>
        <scaling>
          <orientation val="minMax"/>
        </scaling>
        <delete val="0"/>
        <axPos val="l"/>
        <numFmt formatCode="General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de-DE"/>
          </a:p>
        </txPr>
        <crossAx val="15179763"/>
        <crosses val="autoZero"/>
        <auto val="1"/>
        <lblAlgn val="ctr"/>
        <lblOffset val="100"/>
        <noMultiLvlLbl val="0"/>
      </catAx>
      <valAx>
        <axId val="15179763"/>
        <scaling>
          <orientation val="minMax"/>
        </scaling>
        <delete val="0"/>
        <axPos val="b"/>
        <majorGridlines>
          <spPr>
            <a:ln xmlns:a="http://schemas.openxmlformats.org/drawingml/2006/main" w="0">
              <a:solidFill>
                <a:srgbClr val="B3B3B3"/>
              </a:solidFill>
              <a:prstDash val="solid"/>
            </a:ln>
          </spPr>
        </majorGridlines>
        <numFmt formatCode="General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de-DE"/>
          </a:p>
        </txPr>
        <crossAx val="96321874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  <a:endParaRPr lang="de-DE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5.xml><?xml version="1.0" encoding="utf-8"?>
<chartSpace xmlns="http://schemas.openxmlformats.org/drawingml/2006/chart">
  <chart>
    <plotArea>
      <layout/>
      <barChart>
        <barDir val="bar"/>
        <grouping val="clustered"/>
        <varyColors val="0"/>
        <ser>
          <idx val="0"/>
          <order val="0"/>
          <tx>
            <strRef>
              <f>_data!$B$13</f>
              <strCache>
                <ptCount val="1"/>
                <pt idx="0">
                  <v>Volumen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  <a:endParaRPr lang="de-DE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_data!$A$14:$A$39</f>
              <strCache>
                <ptCount val="26"/>
                <pt idx="0">
                  <v>AG</v>
                </pt>
                <pt idx="1">
                  <v>AI</v>
                </pt>
                <pt idx="2">
                  <v>AR</v>
                </pt>
                <pt idx="3">
                  <v>BE</v>
                </pt>
                <pt idx="4">
                  <v>BL</v>
                </pt>
                <pt idx="5">
                  <v>BS</v>
                </pt>
                <pt idx="6">
                  <v>FR</v>
                </pt>
                <pt idx="7">
                  <v>GE</v>
                </pt>
                <pt idx="8">
                  <v>GL</v>
                </pt>
                <pt idx="9">
                  <v>GR</v>
                </pt>
                <pt idx="10">
                  <v>JU</v>
                </pt>
                <pt idx="11">
                  <v>LU</v>
                </pt>
                <pt idx="12">
                  <v>NE</v>
                </pt>
                <pt idx="13">
                  <v>NW</v>
                </pt>
                <pt idx="14">
                  <v>OW</v>
                </pt>
                <pt idx="15">
                  <v>SG</v>
                </pt>
                <pt idx="16">
                  <v>SH</v>
                </pt>
                <pt idx="17">
                  <v>SO</v>
                </pt>
                <pt idx="18">
                  <v>SZ</v>
                </pt>
                <pt idx="19">
                  <v>TG</v>
                </pt>
                <pt idx="20">
                  <v>TI</v>
                </pt>
                <pt idx="21">
                  <v>UR</v>
                </pt>
                <pt idx="22">
                  <v>VD</v>
                </pt>
                <pt idx="23">
                  <v>VS</v>
                </pt>
                <pt idx="24">
                  <v>ZG</v>
                </pt>
                <pt idx="25">
                  <v>ZH</v>
                </pt>
              </strCache>
            </strRef>
          </cat>
          <val>
            <numRef>
              <f>_data!$B$14:$B$39</f>
              <numCache>
                <formatCode>General</formatCode>
                <ptCount val="26"/>
                <pt idx="0">
                  <v>330550.23</v>
                </pt>
                <pt idx="1">
                  <v>0</v>
                </pt>
                <pt idx="2">
                  <v>0</v>
                </pt>
                <pt idx="3">
                  <v>58012.12</v>
                </pt>
                <pt idx="4">
                  <v>0</v>
                </pt>
                <pt idx="5">
                  <v>13866.21</v>
                </pt>
                <pt idx="6">
                  <v>0</v>
                </pt>
                <pt idx="7">
                  <v>38885</v>
                </pt>
                <pt idx="8">
                  <v>0</v>
                </pt>
                <pt idx="9">
                  <v>77325.62</v>
                </pt>
                <pt idx="10">
                  <v>0</v>
                </pt>
                <pt idx="11">
                  <v>12409.01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101192.62</v>
                </pt>
                <pt idx="16">
                  <v>2637287.63</v>
                </pt>
                <pt idx="17">
                  <v>390750.65</v>
                </pt>
                <pt idx="18">
                  <v>0</v>
                </pt>
                <pt idx="19">
                  <v>155328.36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338213.99</v>
                </pt>
                <pt idx="24">
                  <v>0</v>
                </pt>
                <pt idx="25">
                  <v>1579241.67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67303973"/>
        <axId val="69243823"/>
      </barChart>
      <catAx>
        <axId val="67303973"/>
        <scaling>
          <orientation val="minMax"/>
        </scaling>
        <delete val="0"/>
        <axPos val="l"/>
        <numFmt formatCode="General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de-DE"/>
          </a:p>
        </txPr>
        <crossAx val="69243823"/>
        <crosses val="autoZero"/>
        <auto val="1"/>
        <lblAlgn val="ctr"/>
        <lblOffset val="100"/>
        <noMultiLvlLbl val="0"/>
      </catAx>
      <valAx>
        <axId val="69243823"/>
        <scaling>
          <orientation val="minMax"/>
        </scaling>
        <delete val="0"/>
        <axPos val="b"/>
        <majorGridlines>
          <spPr>
            <a:ln xmlns:a="http://schemas.openxmlformats.org/drawingml/2006/main" w="0">
              <a:solidFill>
                <a:srgbClr val="B3B3B3"/>
              </a:solidFill>
              <a:prstDash val="solid"/>
            </a:ln>
          </spPr>
        </majorGridlines>
        <numFmt formatCode="General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de-DE"/>
          </a:p>
        </txPr>
        <crossAx val="67303973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  <a:endParaRPr lang="de-DE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6.xml><?xml version="1.0" encoding="utf-8"?>
<chartSpace xmlns="http://schemas.openxmlformats.org/drawingml/2006/chart">
  <chart>
    <plotArea>
      <layout/>
      <barChart>
        <barDir val="bar"/>
        <grouping val="clustered"/>
        <varyColors val="0"/>
        <ser>
          <idx val="0"/>
          <order val="0"/>
          <tx>
            <strRef>
              <f>_data!$H$1</f>
              <strCache>
                <ptCount val="1"/>
                <pt idx="0">
                  <v>Volumen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  <a:endParaRPr lang="de-DE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_data!$G$2:$G$27</f>
              <strCache>
                <ptCount val="22"/>
                <pt idx="0">
                  <v>Events &amp; Sport</v>
                </pt>
                <pt idx="1">
                  <v>Industrie / Oberfläche</v>
                </pt>
                <pt idx="2">
                  <v>Industrie / Elektro</v>
                </pt>
                <pt idx="3">
                  <v>Events &amp; Kultur</v>
                </pt>
                <pt idx="4">
                  <v>Immobilien / FM</v>
                </pt>
                <pt idx="5">
                  <v>EVU / Energie</v>
                </pt>
                <pt idx="6">
                  <v>Infrastruktur / Bau</v>
                </pt>
                <pt idx="7">
                  <v>Industrie / Metall</v>
                </pt>
                <pt idx="8">
                  <v>Elektroinstallation</v>
                </pt>
                <pt idx="9">
                  <v>Events / Medien</v>
                </pt>
                <pt idx="10">
                  <v>Forschung / Hightech</v>
                </pt>
                <pt idx="11">
                  <v>Industrie / Messtechnik</v>
                </pt>
                <pt idx="12">
                  <v>Infrastruktur / Bahn</v>
                </pt>
                <pt idx="13">
                  <v>Bildung / Forschung</v>
                </pt>
                <pt idx="14">
                  <v>tbd</v>
                </pt>
                <pt idx="15">
                  <v>Industrie / Generatoren</v>
                </pt>
                <pt idx="16">
                  <v>Ingenieure / Planung</v>
                </pt>
                <pt idx="17">
                  <v>Kühlung / Konkurrenz</v>
                </pt>
                <pt idx="18">
                  <v>Gemeinde</v>
                </pt>
                <pt idx="19">
                  <v>Hochschule</v>
                </pt>
                <pt idx="20">
                  <v>Industrie</v>
                </pt>
                <pt idx="21">
                  <v>Event</v>
                </pt>
              </strCache>
            </strRef>
          </cat>
          <val>
            <numRef>
              <f>_data!$H$2:$H$27</f>
              <numCache>
                <formatCode>General</formatCode>
                <ptCount val="22"/>
                <pt idx="0">
                  <v>310000</v>
                </pt>
                <pt idx="1">
                  <v>13100</v>
                </pt>
                <pt idx="2">
                  <v>10000</v>
                </pt>
                <pt idx="3">
                  <v>150000</v>
                </pt>
                <pt idx="4">
                  <v>390000</v>
                </pt>
                <pt idx="5">
                  <v>137658.69</v>
                </pt>
                <pt idx="6">
                  <v>57897.12</v>
                </pt>
                <pt idx="7">
                  <v>500000</v>
                </pt>
                <pt idx="8">
                  <v>24765.49</v>
                </pt>
                <pt idx="9">
                  <v>0</v>
                </pt>
                <pt idx="10">
                  <v>365003</v>
                </pt>
                <pt idx="11">
                  <v>75769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48950</v>
                </pt>
                <pt idx="16">
                  <v>39000</v>
                </pt>
                <pt idx="17">
                  <v>12572.63</v>
                </pt>
                <pt idx="18">
                  <v>0</v>
                </pt>
                <pt idx="19">
                  <v>0</v>
                </pt>
                <pt idx="20">
                  <v>3167711.08</v>
                </pt>
                <pt idx="21">
                  <v>196130.66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71035484"/>
        <axId val="73790805"/>
      </barChart>
      <catAx>
        <axId val="71035484"/>
        <scaling>
          <orientation val="minMax"/>
        </scaling>
        <delete val="0"/>
        <axPos val="l"/>
        <numFmt formatCode="General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de-DE"/>
          </a:p>
        </txPr>
        <crossAx val="73790805"/>
        <crosses val="autoZero"/>
        <auto val="1"/>
        <lblAlgn val="ctr"/>
        <lblOffset val="100"/>
        <noMultiLvlLbl val="0"/>
      </catAx>
      <valAx>
        <axId val="73790805"/>
        <scaling>
          <orientation val="minMax"/>
        </scaling>
        <delete val="0"/>
        <axPos val="b"/>
        <majorGridlines>
          <spPr>
            <a:ln xmlns:a="http://schemas.openxmlformats.org/drawingml/2006/main" w="0">
              <a:solidFill>
                <a:srgbClr val="B3B3B3"/>
              </a:solidFill>
              <a:prstDash val="solid"/>
            </a:ln>
          </spPr>
        </majorGridlines>
        <numFmt formatCode="General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de-DE"/>
          </a:p>
        </txPr>
        <crossAx val="71035484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  <a:endParaRPr lang="de-DE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/Relationships>
</file>

<file path=xl/drawings/drawing1.xml><?xml version="1.0" encoding="utf-8"?>
<wsDr xmlns="http://schemas.openxmlformats.org/drawingml/2006/spreadsheetDrawing">
  <twoCellAnchor editAs="oneCell">
    <from>
      <col>5</col>
      <colOff>2457450</colOff>
      <row>207</row>
      <rowOff>133350</rowOff>
    </from>
    <to>
      <col>10</col>
      <colOff>1943100</colOff>
      <row>238</row>
      <rowOff>38100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0</col>
      <colOff>0</colOff>
      <row>207</row>
      <rowOff>86444</rowOff>
    </from>
    <to>
      <col>5</col>
      <colOff>850847</colOff>
      <row>234</row>
      <rowOff>68035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4</row>
      <rowOff>0</rowOff>
    </from>
    <to>
      <col>8</col>
      <colOff>628650</colOff>
      <row>26</row>
      <rowOff>85725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8</col>
      <colOff>723900</colOff>
      <row>4</row>
      <rowOff>0</rowOff>
    </from>
    <to>
      <col>20</col>
      <colOff>371475</colOff>
      <row>26</row>
      <rowOff>66675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0</col>
      <colOff>0</colOff>
      <row>28</row>
      <rowOff>0</rowOff>
    </from>
    <to>
      <col>8</col>
      <colOff>619125</colOff>
      <row>57</row>
      <rowOff>180975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 editAs="oneCell">
    <from>
      <col>9</col>
      <colOff>66675</colOff>
      <row>28</row>
      <rowOff>171450</rowOff>
    </from>
    <to>
      <col>21</col>
      <colOff>561975</colOff>
      <row>57</row>
      <rowOff>152400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 fitToPage="1"/>
  </sheetPr>
  <dimension ref="A1:H35"/>
  <sheetViews>
    <sheetView showGridLines="0" zoomScaleNormal="100" workbookViewId="0">
      <selection activeCell="A1" sqref="A1"/>
    </sheetView>
  </sheetViews>
  <sheetFormatPr baseColWidth="8" defaultColWidth="8.5703125" defaultRowHeight="15"/>
  <cols>
    <col width="3" customWidth="1" min="1" max="1"/>
    <col width="5" customWidth="1" min="2" max="2"/>
    <col width="17" customWidth="1" min="3" max="3"/>
    <col width="5" customWidth="1" min="4" max="4"/>
    <col width="12" customWidth="1" min="5" max="5"/>
    <col width="17" customWidth="1" min="6" max="6"/>
    <col width="12" customWidth="1" min="7" max="7"/>
    <col width="21.140625" customWidth="1" min="8" max="8"/>
    <col width="3" customWidth="1" min="9" max="9"/>
  </cols>
  <sheetData>
    <row r="1" ht="37.5" customHeight="1">
      <c r="A1" s="115" t="inlineStr">
        <is>
          <t>⚡  MiT Strom Schweiz — Executive Sales Summary</t>
        </is>
      </c>
    </row>
    <row r="2" ht="15" customHeight="1">
      <c r="A2" s="116" t="inlineStr">
        <is>
          <t>Mobil in Time AG  ·  An Aggreko Company  ·  Burak Ücöz</t>
        </is>
      </c>
    </row>
    <row r="3" ht="15" customHeight="1">
      <c r="A3" s="117" t="str">
        <f>"Stand: "&amp;TEXT(TODAY(),"DD.MM.YYYY")&amp;"  ·  Live aus Pipeline"</f>
        <v>Stand: 13.07.2026  ·  Live aus Pipeline</v>
      </c>
    </row>
    <row r="4"/>
    <row r="5" ht="21.75" customHeight="1">
      <c r="B5" s="118" t="inlineStr">
        <is>
          <t>✅ WON</t>
        </is>
      </c>
      <c r="C5" s="174" t="n"/>
      <c r="D5" s="175" t="n"/>
      <c r="E5" s="119" t="inlineStr">
        <is>
          <t>📄 OFFERTE</t>
        </is>
      </c>
      <c r="F5" s="175" t="n"/>
      <c r="G5" s="120" t="inlineStr">
        <is>
          <t>🎯 OPPORTUNITÄT</t>
        </is>
      </c>
      <c r="H5" s="175" t="n"/>
    </row>
    <row r="6" ht="18" customHeight="1">
      <c r="B6" s="121">
        <f>Dashboard!A6</f>
        <v>694803.69</v>
      </c>
      <c r="C6" s="176" t="n"/>
      <c r="D6" s="177" t="n"/>
      <c r="E6" s="121">
        <f>Dashboard!D6</f>
        <v>3559557.95</v>
      </c>
      <c r="F6" s="177" t="n"/>
      <c r="G6" s="121">
        <f>Dashboard!G6</f>
        <v>1377334.56</v>
      </c>
      <c r="H6" s="177" t="n"/>
    </row>
    <row r="7" ht="18" customHeight="1">
      <c r="B7" s="178" t="n"/>
      <c r="C7" s="179" t="n"/>
      <c r="D7" s="180" t="n"/>
      <c r="E7" s="178" t="n"/>
      <c r="F7" s="180" t="n"/>
      <c r="G7" s="178" t="n"/>
      <c r="H7" s="180" t="n"/>
    </row>
    <row r="8" ht="18" customHeight="1">
      <c r="B8" s="122" t="str">
        <f>Dashboard!A7&amp;" Deals"</f>
        <v>7 Deals</v>
      </c>
      <c r="C8" s="174" t="n"/>
      <c r="D8" s="175" t="n"/>
      <c r="E8" s="122" t="str">
        <f>Dashboard!D7&amp;" Deals"</f>
        <v>19 Deals</v>
      </c>
      <c r="F8" s="175" t="n"/>
      <c r="G8" s="122" t="str">
        <f>Dashboard!G7&amp;" Deals"</f>
        <v>9 Deals</v>
      </c>
      <c r="H8" s="175" t="n"/>
    </row>
    <row r="9"/>
    <row r="10" ht="27.75" customHeight="1">
      <c r="B10" s="123" t="str">
        <f>"📊  GESAMT-PIPELINE: "&amp;TEXT(Dashboard!I6,"#,##0")&amp;" CHF  ·  "&amp;Dashboard!I7&amp;" aktive Deals"</f>
        <v>📊  GESAMT-PIPELINE: 5,631,696 CHF  ·  35 aktive Deals</v>
      </c>
    </row>
    <row r="11"/>
    <row r="12" ht="15.75" customHeight="1">
      <c r="B12" s="158" t="inlineStr">
        <is>
          <t>🏆  Top 5 WON-Deals (nach Volumen)</t>
        </is>
      </c>
      <c r="C12" s="181" t="n"/>
      <c r="D12" s="181" t="n"/>
      <c r="E12" s="181" t="n"/>
      <c r="F12" s="181" t="n"/>
      <c r="G12" s="181" t="n"/>
    </row>
    <row r="13" ht="15" customHeight="1">
      <c r="B13" s="2" t="inlineStr">
        <is>
          <t>#</t>
        </is>
      </c>
      <c r="C13" s="2" t="inlineStr">
        <is>
          <t>Kunde</t>
        </is>
      </c>
      <c r="D13" s="2" t="inlineStr">
        <is>
          <t>Kt.</t>
        </is>
      </c>
      <c r="E13" s="2" t="inlineStr">
        <is>
          <t>Start</t>
        </is>
      </c>
      <c r="F13" s="2" t="inlineStr">
        <is>
          <t>Segment</t>
        </is>
      </c>
      <c r="G13" s="2" t="inlineStr">
        <is>
          <t>Volumen</t>
        </is>
      </c>
      <c r="H13" s="2" t="inlineStr">
        <is>
          <t>Marge</t>
        </is>
      </c>
    </row>
    <row r="14" ht="15" customHeight="1">
      <c r="B14" s="3" t="n">
        <v>1</v>
      </c>
      <c r="C14" s="4" t="str">
        <f>IFERROR(INDEX('MiT Strom Pipeline'!B6:B860,MATCH(LARGE('MiT Strom Pipeline'!Z6:Z860,1),'MiT Strom Pipeline'!Z6:Z860,0)),"")</f>
        <v>Ice Hockey Championship</v>
      </c>
      <c r="D14" s="3" t="str">
        <f>IFERROR(INDEX('MiT Strom Pipeline'!C6:C860,MATCH(LARGE('MiT Strom Pipeline'!Z6:Z860,1),'MiT Strom Pipeline'!Z6:Z860,0)),"")</f>
        <v>ZH</v>
      </c>
      <c r="E14" s="3" t="str">
        <f>IFERROR(INDEX('MiT Strom Pipeline'!H6:H860,MATCH(LARGE('MiT Strom Pipeline'!Z6:Z860,1),'MiT Strom Pipeline'!Z6:Z860,0)),"")</f>
        <v>Mai</v>
      </c>
      <c r="F14" s="4" t="str">
        <f>IFERROR(INDEX('MiT Strom Pipeline'!D6:D860,MATCH(LARGE('MiT Strom Pipeline'!Z6:Z860,1),'MiT Strom Pipeline'!Z6:Z860,0)),"")</f>
        <v>Events &amp; Sport</v>
      </c>
      <c r="G14" s="182">
        <f>IFERROR(INDEX('MiT Strom Pipeline'!I6:I860,MATCH(LARGE('MiT Strom Pipeline'!Z6:Z860,1),'MiT Strom Pipeline'!Z6:Z860,0)),"")</f>
        <v>310000</v>
      </c>
      <c r="H14" s="182">
        <f>IFERROR(INDEX('MiT Strom Pipeline'!O6:O860,MATCH(LARGE('MiT Strom Pipeline'!Z6:Z860,1),'MiT Strom Pipeline'!Z6:Z860,0)),"")</f>
        <v>75000</v>
      </c>
    </row>
    <row r="15" ht="15" customHeight="1">
      <c r="B15" s="3" t="n">
        <v>2</v>
      </c>
      <c r="C15" s="4" t="str">
        <f>IFERROR(INDEX('MiT Strom Pipeline'!B6:B860,MATCH(LARGE('MiT Strom Pipeline'!Z6:Z860,2),'MiT Strom Pipeline'!Z6:Z860,0)),"")</f>
        <v>Stagelight – OpenAir Frauenfeld</v>
      </c>
      <c r="D15" s="3" t="str">
        <f>IFERROR(INDEX('MiT Strom Pipeline'!C6:C860,MATCH(LARGE('MiT Strom Pipeline'!Z6:Z860,2),'MiT Strom Pipeline'!Z6:Z860,0)),"")</f>
        <v>TG</v>
      </c>
      <c r="E15" s="3" t="str">
        <f>IFERROR(INDEX('MiT Strom Pipeline'!H6:H860,MATCH(LARGE('MiT Strom Pipeline'!Z6:Z860,2),'MiT Strom Pipeline'!Z6:Z860,0)),"")</f>
        <v>Juli</v>
      </c>
      <c r="F15" s="4" t="str">
        <f>IFERROR(INDEX('MiT Strom Pipeline'!D6:D860,MATCH(LARGE('MiT Strom Pipeline'!Z6:Z860,2),'MiT Strom Pipeline'!Z6:Z860,0)),"")</f>
        <v>Events &amp; Kultur</v>
      </c>
      <c r="G15" s="182">
        <f>IFERROR(INDEX('MiT Strom Pipeline'!I6:I860,MATCH(LARGE('MiT Strom Pipeline'!Z6:Z860,2),'MiT Strom Pipeline'!Z6:Z860,0)),"")</f>
        <v>150000</v>
      </c>
      <c r="H15" s="182">
        <f>IFERROR(INDEX('MiT Strom Pipeline'!O6:O860,MATCH(LARGE('MiT Strom Pipeline'!Z6:Z860,2),'MiT Strom Pipeline'!Z6:Z860,0)),"")</f>
        <v>39500</v>
      </c>
    </row>
    <row r="16" ht="15" customHeight="1">
      <c r="B16" s="3" t="n">
        <v>3</v>
      </c>
      <c r="C16" s="4" t="str">
        <f>IFERROR(INDEX('MiT Strom Pipeline'!B6:B860,MATCH(LARGE('MiT Strom Pipeline'!Z6:Z860,3),'MiT Strom Pipeline'!Z6:Z860,0)),"")</f>
        <v>Gampeln</v>
      </c>
      <c r="D16" s="3" t="str">
        <f>IFERROR(INDEX('MiT Strom Pipeline'!C6:C860,MATCH(LARGE('MiT Strom Pipeline'!Z6:Z860,3),'MiT Strom Pipeline'!Z6:Z860,0)),"")</f>
        <v>VS</v>
      </c>
      <c r="E16" s="3" t="str">
        <f>IFERROR(INDEX('MiT Strom Pipeline'!H6:H860,MATCH(LARGE('MiT Strom Pipeline'!Z6:Z860,3),'MiT Strom Pipeline'!Z6:Z860,0)),"")</f>
        <v>Aug</v>
      </c>
      <c r="F16" s="4" t="str">
        <f>IFERROR(INDEX('MiT Strom Pipeline'!D6:D860,MATCH(LARGE('MiT Strom Pipeline'!Z6:Z860,3),'MiT Strom Pipeline'!Z6:Z860,0)),"")</f>
        <v>Event</v>
      </c>
      <c r="G16" s="182">
        <f>IFERROR(INDEX('MiT Strom Pipeline'!I6:I860,MATCH(LARGE('MiT Strom Pipeline'!Z6:Z860,3),'MiT Strom Pipeline'!Z6:Z860,0)),"")</f>
        <v>115045</v>
      </c>
      <c r="H16" s="182">
        <f>IFERROR(INDEX('MiT Strom Pipeline'!O6:O860,MATCH(LARGE('MiT Strom Pipeline'!Z6:Z860,3),'MiT Strom Pipeline'!Z6:Z860,0)),"")</f>
        <v>0</v>
      </c>
    </row>
    <row r="17" ht="15" customHeight="1">
      <c r="B17" s="3" t="n">
        <v>4</v>
      </c>
      <c r="C17" s="4" t="str">
        <f>IFERROR(INDEX('MiT Strom Pipeline'!B6:B860,MATCH(LARGE('MiT Strom Pipeline'!Z6:Z860,4),'MiT Strom Pipeline'!Z6:Z860,0)),"")</f>
        <v>Murg Flums Energie</v>
      </c>
      <c r="D17" s="3" t="str">
        <f>IFERROR(INDEX('MiT Strom Pipeline'!C6:C860,MATCH(LARGE('MiT Strom Pipeline'!Z6:Z860,4),'MiT Strom Pipeline'!Z6:Z860,0)),"")</f>
        <v>SG</v>
      </c>
      <c r="E17" s="3" t="str">
        <f>IFERROR(INDEX('MiT Strom Pipeline'!H6:H860,MATCH(LARGE('MiT Strom Pipeline'!Z6:Z860,4),'MiT Strom Pipeline'!Z6:Z860,0)),"")</f>
        <v>Auf Abruf</v>
      </c>
      <c r="F17" s="4" t="str">
        <f>IFERROR(INDEX('MiT Strom Pipeline'!D6:D860,MATCH(LARGE('MiT Strom Pipeline'!Z6:Z860,4),'MiT Strom Pipeline'!Z6:Z860,0)),"")</f>
        <v>EVU / Energie</v>
      </c>
      <c r="G17" s="182">
        <f>IFERROR(INDEX('MiT Strom Pipeline'!I6:I860,MATCH(LARGE('MiT Strom Pipeline'!Z6:Z860,4),'MiT Strom Pipeline'!Z6:Z860,0)),"")</f>
        <v>96658.69</v>
      </c>
      <c r="H17" s="182">
        <f>IFERROR(INDEX('MiT Strom Pipeline'!O6:O860,MATCH(LARGE('MiT Strom Pipeline'!Z6:Z860,4),'MiT Strom Pipeline'!Z6:Z860,0)),"")</f>
        <v>7242.69</v>
      </c>
    </row>
    <row r="18" ht="15" customHeight="1">
      <c r="B18" s="3" t="n">
        <v>5</v>
      </c>
      <c r="C18" s="4" t="str">
        <f>IFERROR(INDEX('MiT Strom Pipeline'!B6:B860,MATCH(LARGE('MiT Strom Pipeline'!Z6:Z860,5),'MiT Strom Pipeline'!Z6:Z860,0)),"")</f>
        <v>Oerlikon Metco Wohlen</v>
      </c>
      <c r="D18" s="3" t="str">
        <f>IFERROR(INDEX('MiT Strom Pipeline'!C6:C860,MATCH(LARGE('MiT Strom Pipeline'!Z6:Z860,5),'MiT Strom Pipeline'!Z6:Z860,0)),"")</f>
        <v>AG</v>
      </c>
      <c r="E18" s="3" t="str">
        <f>IFERROR(INDEX('MiT Strom Pipeline'!H6:H860,MATCH(LARGE('MiT Strom Pipeline'!Z6:Z860,5),'MiT Strom Pipeline'!Z6:Z860,0)),"")</f>
        <v>April</v>
      </c>
      <c r="F18" s="4" t="str">
        <f>IFERROR(INDEX('MiT Strom Pipeline'!D6:D860,MATCH(LARGE('MiT Strom Pipeline'!Z6:Z860,5),'MiT Strom Pipeline'!Z6:Z860,0)),"")</f>
        <v>Industrie / Oberfläche</v>
      </c>
      <c r="G18" s="182">
        <f>IFERROR(INDEX('MiT Strom Pipeline'!I6:I860,MATCH(LARGE('MiT Strom Pipeline'!Z6:Z860,5),'MiT Strom Pipeline'!Z6:Z860,0)),"")</f>
        <v>13100</v>
      </c>
      <c r="H18" s="182">
        <f>IFERROR(INDEX('MiT Strom Pipeline'!O6:O860,MATCH(LARGE('MiT Strom Pipeline'!Z6:Z860,5),'MiT Strom Pipeline'!Z6:Z860,0)),"")</f>
        <v>3000</v>
      </c>
    </row>
    <row r="19"/>
    <row r="20"/>
    <row r="21" ht="15.75" customHeight="1">
      <c r="B21" s="158" t="inlineStr">
        <is>
          <t>📊  Status-Verteilung Pipeline</t>
        </is>
      </c>
      <c r="C21" s="181" t="n"/>
      <c r="D21" s="181" t="n"/>
      <c r="E21" s="181" t="n"/>
      <c r="F21" s="181" t="n"/>
      <c r="G21" s="181" t="n"/>
    </row>
    <row r="22" ht="15" customHeight="1">
      <c r="B22" s="124" t="inlineStr">
        <is>
          <t>Status</t>
        </is>
      </c>
      <c r="D22" s="124" t="inlineStr">
        <is>
          <t>Anzahl</t>
        </is>
      </c>
      <c r="E22" s="124" t="inlineStr">
        <is>
          <t>Volumen CHF</t>
        </is>
      </c>
      <c r="G22" s="124" t="inlineStr">
        <is>
          <t>Anteil %</t>
        </is>
      </c>
    </row>
    <row r="23" ht="15" customHeight="1">
      <c r="B23" s="159" t="inlineStr">
        <is>
          <t>✅ WON</t>
        </is>
      </c>
      <c r="C23" s="175" t="n"/>
      <c r="D23" s="183">
        <f>COUNTIF('MiT Strom Pipeline'!R6:R860,"WON")</f>
        <v>7</v>
      </c>
      <c r="E23" s="184">
        <f>SUMIFS('MiT Strom Pipeline'!I6:I860,'MiT Strom Pipeline'!R6:R860,"WON")</f>
        <v>694803.69</v>
      </c>
      <c r="F23" s="175" t="n"/>
      <c r="G23" s="185">
        <f>IFERROR(E23/Dashboard!I6,0)</f>
        <v>0.123373787456788</v>
      </c>
    </row>
    <row r="24" ht="15" customHeight="1">
      <c r="B24" s="160" t="inlineStr">
        <is>
          <t>📄 Offerte (inkl. To Offer)</t>
        </is>
      </c>
      <c r="C24" s="175" t="n"/>
      <c r="D24" s="183">
        <f>COUNTIF('MiT Strom Pipeline'!R6:R860,"offered")+COUNTIF('MiT Strom Pipeline'!R6:R860,"to be offered")</f>
        <v>18</v>
      </c>
      <c r="E24" s="184">
        <f>SUMIFS('MiT Strom Pipeline'!I6:I860,'MiT Strom Pipeline'!R6:R860,"offered")+SUMIFS('MiT Strom Pipeline'!I6:I860,'MiT Strom Pipeline'!R6:R860,"to be offered")</f>
        <v>3559557.95</v>
      </c>
      <c r="F24" s="175" t="n"/>
      <c r="G24" s="185">
        <f>IFERROR(E24/Dashboard!I6,0)</f>
        <v>0.632057878051021</v>
      </c>
    </row>
    <row r="25" ht="15" customHeight="1">
      <c r="B25" s="161" t="inlineStr">
        <is>
          <t>🎯 Follow-Up</t>
        </is>
      </c>
      <c r="C25" s="175" t="n"/>
      <c r="D25" s="183">
        <f>COUNTIF('MiT Strom Pipeline'!R6:R860,"follow-up")</f>
        <v>4</v>
      </c>
      <c r="E25" s="184">
        <f>SUMIFS('MiT Strom Pipeline'!I6:I860,'MiT Strom Pipeline'!R6:R860,"follow-up")</f>
        <v>1293888</v>
      </c>
      <c r="F25" s="175" t="n"/>
      <c r="G25" s="185">
        <f>IFERROR(E25/Dashboard!I6,0)</f>
        <v>0.229751029538845</v>
      </c>
    </row>
    <row r="26" ht="15" customHeight="1">
      <c r="B26" s="162" t="inlineStr">
        <is>
          <t>🔍 Evaluation (inkl. In Eval)</t>
        </is>
      </c>
      <c r="C26" s="175" t="n"/>
      <c r="D26" s="183">
        <f>COUNTIF('MiT Strom Pipeline'!R6:R860,"Evaluation")+COUNTIF('MiT Strom Pipeline'!R6:R860,"In evaluation")</f>
        <v>4</v>
      </c>
      <c r="E26" s="184">
        <f>SUMIFS('MiT Strom Pipeline'!I6:I860,'MiT Strom Pipeline'!R6:R860,"Evaluation")+SUMIFS('MiT Strom Pipeline'!I6:I860,'MiT Strom Pipeline'!R6:R860,"In evaluation")</f>
        <v>83446.56</v>
      </c>
      <c r="F26" s="175" t="n"/>
      <c r="G26" s="185">
        <f>IFERROR(E26/Dashboard!I6,0)</f>
        <v>0.014817304953346</v>
      </c>
    </row>
    <row r="27" ht="15" customHeight="1">
      <c r="B27" s="163" t="inlineStr">
        <is>
          <t>⏸ On Hold</t>
        </is>
      </c>
      <c r="C27" s="175" t="n"/>
      <c r="D27" s="183">
        <f>COUNTIF('MiT Strom Pipeline'!R6:R860,"on hold")</f>
        <v>1</v>
      </c>
      <c r="E27" s="184">
        <f>SUMIFS('MiT Strom Pipeline'!I6:I860,'MiT Strom Pipeline'!R6:R860,"on hold")</f>
        <v>0</v>
      </c>
      <c r="F27" s="175" t="n"/>
      <c r="G27" s="185">
        <f>IFERROR(E27/Dashboard!I6,0)</f>
        <v>0</v>
      </c>
    </row>
    <row r="28" ht="15" customHeight="1">
      <c r="B28" s="164" t="inlineStr">
        <is>
          <t>❓ TBD</t>
        </is>
      </c>
      <c r="C28" s="175" t="n"/>
      <c r="D28" s="183">
        <f>COUNTIF('MiT Strom Pipeline'!R6:R860,"tbd")</f>
        <v>1</v>
      </c>
      <c r="E28" s="184">
        <f>SUMIFS('MiT Strom Pipeline'!I6:I860,'MiT Strom Pipeline'!R6:R860,"tbd")</f>
        <v>0</v>
      </c>
      <c r="F28" s="175" t="n"/>
      <c r="G28" s="185">
        <f>IFERROR(E28/Dashboard!I6,0)</f>
        <v>0</v>
      </c>
    </row>
    <row r="29" ht="15" customHeight="1">
      <c r="B29" s="165" t="inlineStr">
        <is>
          <t>❌ LOST</t>
        </is>
      </c>
      <c r="C29" s="175" t="n"/>
      <c r="D29" s="183">
        <f>COUNTIF('MiT Strom Pipeline'!R6:R860,"LOST")</f>
        <v>7</v>
      </c>
      <c r="E29" s="184">
        <f>SUMIFS('MiT Strom Pipeline'!I6:I860,'MiT Strom Pipeline'!R6:R860,"LOST")</f>
        <v>78251.62</v>
      </c>
      <c r="F29" s="175" t="n"/>
      <c r="G29" s="185">
        <f>IFERROR(E29/Dashboard!I6,0)</f>
        <v>0.0138948581778967</v>
      </c>
    </row>
    <row r="30" ht="15" customHeight="1">
      <c r="B30" s="166" t="inlineStr">
        <is>
          <t>🚫 Declined</t>
        </is>
      </c>
      <c r="C30" s="175" t="n"/>
      <c r="D30" s="183">
        <f>COUNTIF('MiT Strom Pipeline'!R6:R860,"Declined")</f>
        <v>13</v>
      </c>
      <c r="E30" s="184">
        <f>SUMIFS('MiT Strom Pipeline'!I6:I860,'MiT Strom Pipeline'!R6:R860,"Declined")</f>
        <v>96029.01</v>
      </c>
      <c r="F30" s="175" t="n"/>
      <c r="G30" s="185">
        <f>IFERROR(E30/Dashboard!I6,0)</f>
        <v>0.0170515252580564</v>
      </c>
    </row>
    <row r="31"/>
    <row r="32"/>
    <row r="33"/>
    <row r="34"/>
    <row r="35" ht="15" customHeight="1">
      <c r="A35" s="126" t="inlineStr">
        <is>
          <t>🖨  Strg+P → Als PDF speichern  ·  Druckbereich ist bereits gesetzt (A4 Hochformat)</t>
        </is>
      </c>
    </row>
  </sheetData>
  <mergeCells count="34">
    <mergeCell ref="E6:F7"/>
    <mergeCell ref="B25:C25"/>
    <mergeCell ref="E24:F24"/>
    <mergeCell ref="G6:H7"/>
    <mergeCell ref="B8:D8"/>
    <mergeCell ref="E5:F5"/>
    <mergeCell ref="E23:F23"/>
    <mergeCell ref="B22:C22"/>
    <mergeCell ref="A1:H1"/>
    <mergeCell ref="G8:H8"/>
    <mergeCell ref="B27:C27"/>
    <mergeCell ref="E8:F8"/>
    <mergeCell ref="B10:G10"/>
    <mergeCell ref="E29:F29"/>
    <mergeCell ref="B23:C23"/>
    <mergeCell ref="E28:F28"/>
    <mergeCell ref="A3:H3"/>
    <mergeCell ref="B5:D5"/>
    <mergeCell ref="E30:F30"/>
    <mergeCell ref="B29:C29"/>
    <mergeCell ref="A2:H2"/>
    <mergeCell ref="B28:C28"/>
    <mergeCell ref="E27:F27"/>
    <mergeCell ref="G5:H5"/>
    <mergeCell ref="E26:F26"/>
    <mergeCell ref="B30:C30"/>
    <mergeCell ref="B24:C24"/>
    <mergeCell ref="B6:D7"/>
    <mergeCell ref="A35:H35"/>
    <mergeCell ref="E25:F25"/>
    <mergeCell ref="E22:F22"/>
    <mergeCell ref="B12:G12"/>
    <mergeCell ref="B26:C26"/>
    <mergeCell ref="B21:G21"/>
  </mergeCells>
  <printOptions horizontalCentered="1"/>
  <pageMargins left="0.3" right="0.3" top="0.347222222222222" bottom="0.5" header="0.511811023622047" footer="0.2"/>
  <pageSetup orientation="portrait" paperSize="9" fitToHeight="0" fitToWidth="1" horizontalDpi="300" verticalDpi="300"/>
  <headerFooter>
    <oddHeader/>
    <oddFooter>&amp;C&amp;"Calibri,Italic"&amp;9 Mobil in Time AG · &amp;D · Seite &amp;P/&amp;N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2E7D32"/>
    <outlinePr summaryBelow="1" summaryRight="1"/>
    <pageSetUpPr fitToPage="1"/>
  </sheetPr>
  <dimension ref="A1:L41"/>
  <sheetViews>
    <sheetView topLeftCell="A19" zoomScaleNormal="100" workbookViewId="0">
      <selection activeCell="A1" sqref="A1"/>
    </sheetView>
  </sheetViews>
  <sheetFormatPr baseColWidth="8" defaultColWidth="8.5703125" defaultRowHeight="15"/>
  <cols>
    <col width="18" customWidth="1" min="1" max="1"/>
    <col width="24" customWidth="1" min="2" max="2"/>
    <col width="14.7109375" bestFit="1" customWidth="1" min="3" max="3"/>
    <col width="20" customWidth="1" min="4" max="4"/>
    <col width="14" customWidth="1" min="5" max="6"/>
    <col width="13" customWidth="1" min="7" max="8"/>
    <col hidden="1" width="13" customWidth="1" min="10" max="12"/>
  </cols>
  <sheetData>
    <row r="1" ht="36" customHeight="1">
      <c r="A1" s="167" t="inlineStr">
        <is>
          <t>MiT Strom Schweiz — Sales-Report</t>
        </is>
      </c>
    </row>
    <row r="2" ht="15" customHeight="1">
      <c r="A2" s="168" t="inlineStr">
        <is>
          <t>Mobil in Time AG · An Aggreko Company · Burak Ücöz</t>
        </is>
      </c>
    </row>
    <row r="3" ht="15" customHeight="1">
      <c r="A3" s="169" t="str">
        <f>"Stand: "&amp;TEXT(TODAY(),"DD.MM.YYYY")&amp;"  ·  Auto-Update via Pipeline-Daten"</f>
        <v>Stand: 13.07.2026  ·  Auto-Update via Pipeline-Daten</v>
      </c>
    </row>
    <row r="4"/>
    <row r="5" ht="17.25" customHeight="1">
      <c r="A5" s="170" t="inlineStr">
        <is>
          <t>Key Performance Indicators</t>
        </is>
      </c>
      <c r="B5" s="181" t="n"/>
      <c r="C5" s="181" t="n"/>
      <c r="D5" s="181" t="n"/>
      <c r="E5" s="181" t="n"/>
      <c r="F5" s="181" t="n"/>
      <c r="G5" s="181" t="n"/>
      <c r="H5" s="181" t="n"/>
    </row>
    <row r="6" ht="15" customHeight="1">
      <c r="A6" s="8" t="inlineStr">
        <is>
          <t>KPI</t>
        </is>
      </c>
      <c r="B6" s="8" t="inlineStr">
        <is>
          <t>Wert CHF</t>
        </is>
      </c>
      <c r="C6" s="8" t="inlineStr">
        <is>
          <t>Anzahl</t>
        </is>
      </c>
      <c r="D6" s="8" t="inlineStr">
        <is>
          <t>Anteil</t>
        </is>
      </c>
    </row>
    <row r="7" ht="15" customHeight="1">
      <c r="A7" s="9" t="inlineStr">
        <is>
          <t>✅ WON</t>
        </is>
      </c>
      <c r="B7" s="10">
        <f>Dashboard!A6</f>
        <v>694803.69</v>
      </c>
      <c r="C7" s="11">
        <f>Dashboard!A7</f>
        <v>7</v>
      </c>
      <c r="D7" s="12">
        <f>IFERROR(B7/$B$10,0)</f>
        <v>0.123373787456788</v>
      </c>
    </row>
    <row r="8" ht="15" customHeight="1">
      <c r="A8" s="9" t="inlineStr">
        <is>
          <t>📄 Offerte</t>
        </is>
      </c>
      <c r="B8" s="10">
        <f>Dashboard!D6</f>
        <v>3559557.95</v>
      </c>
      <c r="C8" s="11">
        <f>Dashboard!D7</f>
        <v>19</v>
      </c>
      <c r="D8" s="12">
        <f>IFERROR(B8/$B$10,0)</f>
        <v>0.632057878051021</v>
      </c>
    </row>
    <row r="9" ht="15" customHeight="1">
      <c r="A9" s="9" t="inlineStr">
        <is>
          <t>🎯 Opportunität</t>
        </is>
      </c>
      <c r="B9" s="10">
        <f>Dashboard!G6</f>
        <v>1377334.56</v>
      </c>
      <c r="C9" s="11">
        <f>Dashboard!G7</f>
        <v>9</v>
      </c>
      <c r="D9" s="12">
        <f>IFERROR(B9/$B$10,0)</f>
        <v>0.244568334492191</v>
      </c>
    </row>
    <row r="10" ht="15" customHeight="1">
      <c r="A10" s="13" t="inlineStr">
        <is>
          <t>📊 TOTAL Pipeline</t>
        </is>
      </c>
      <c r="B10" s="14">
        <f>Dashboard!I6</f>
        <v>5631696.2</v>
      </c>
      <c r="C10" s="15">
        <f>Dashboard!I7</f>
        <v>35</v>
      </c>
      <c r="D10" s="16">
        <f>IFERROR(B10/$B$10,0)</f>
        <v>1</v>
      </c>
    </row>
    <row r="11"/>
    <row r="12"/>
    <row r="13" ht="17.25" customHeight="1">
      <c r="A13" s="170" t="inlineStr">
        <is>
          <t>Top Kantone (nach Volumen)</t>
        </is>
      </c>
      <c r="B13" s="181" t="n"/>
      <c r="C13" s="181" t="n"/>
      <c r="D13" s="181" t="n"/>
      <c r="E13" s="181" t="n"/>
      <c r="F13" s="181" t="n"/>
      <c r="G13" s="181" t="n"/>
      <c r="H13" s="181" t="n"/>
      <c r="J13" t="inlineStr">
        <is>
          <t>_kt</t>
        </is>
      </c>
      <c r="K13" t="inlineStr">
        <is>
          <t>_vol</t>
        </is>
      </c>
      <c r="L13" t="inlineStr">
        <is>
          <t>_rankkey</t>
        </is>
      </c>
    </row>
    <row r="14" ht="15" customHeight="1">
      <c r="A14" s="8" t="inlineStr">
        <is>
          <t>Rang</t>
        </is>
      </c>
      <c r="B14" s="8" t="inlineStr">
        <is>
          <t>Kanton</t>
        </is>
      </c>
      <c r="C14" s="8" t="inlineStr">
        <is>
          <t>Volumen CHF</t>
        </is>
      </c>
      <c r="D14" s="8" t="inlineStr">
        <is>
          <t>Anzahl Deals</t>
        </is>
      </c>
      <c r="E14" s="8" t="inlineStr">
        <is>
          <t>WON-Rate</t>
        </is>
      </c>
      <c r="J14" t="inlineStr">
        <is>
          <t>AG</t>
        </is>
      </c>
      <c r="K14">
        <f>SUMIF('MiT Strom Pipeline'!$C$6:$C$860,J14,'MiT Strom Pipeline'!$I$6:$I$860)</f>
        <v>403463.95</v>
      </c>
      <c r="L14">
        <f>K14+(26-ROW())*0.0001</f>
        <v>403463.9512</v>
      </c>
    </row>
    <row r="15" ht="15" customHeight="1">
      <c r="A15" s="17" t="n">
        <v>1</v>
      </c>
      <c r="B15" s="18" t="str">
        <f>IFERROR(INDEX($J$14:$J$39,MATCH(LARGE($L$14:$L$39,1),$L$14:$L$39,0)),"")</f>
        <v>SH</v>
      </c>
      <c r="C15" s="19">
        <f>IF(B15="","",SUMIF('MiT Strom Pipeline'!$C$6:$C$860,B15,'MiT Strom Pipeline'!$I$6:$I$860))</f>
        <v>2637287.63</v>
      </c>
      <c r="D15" s="20">
        <f>IF(B15="","",COUNTIF('MiT Strom Pipeline'!$C$6:$C$860,B15))</f>
        <v>5</v>
      </c>
      <c r="E15" s="21">
        <f>IF(OR(B15="",D15=0),"",COUNTIFS('MiT Strom Pipeline'!$C$6:$C$860,B15,'MiT Strom Pipeline'!$R$6:$R$860,"WON")/D15)</f>
        <v>0.2</v>
      </c>
      <c r="J15" t="inlineStr">
        <is>
          <t>AI</t>
        </is>
      </c>
      <c r="K15">
        <f>SUMIF('MiT Strom Pipeline'!$C$6:$C$860,J15,'MiT Strom Pipeline'!$I$6:$I$860)</f>
        <v>0</v>
      </c>
      <c r="L15">
        <f>K15+(26-ROW())*0.0001</f>
        <v>0.0011</v>
      </c>
    </row>
    <row r="16" ht="15" customHeight="1">
      <c r="A16" s="17" t="n">
        <v>2</v>
      </c>
      <c r="B16" s="18" t="str">
        <f>IFERROR(INDEX($J$14:$J$39,MATCH(LARGE($L$14:$L$39,2),$L$14:$L$39,0)),"")</f>
        <v>ZH</v>
      </c>
      <c r="C16" s="19">
        <f>IF(B16="","",SUMIF('MiT Strom Pipeline'!$C$6:$C$860,B16,'MiT Strom Pipeline'!$I$6:$I$860))</f>
        <v>1579241.67</v>
      </c>
      <c r="D16" s="20">
        <f>IF(B16="","",COUNTIF('MiT Strom Pipeline'!$C$6:$C$860,B16))</f>
        <v>19</v>
      </c>
      <c r="E16" s="21">
        <f>IF(OR(B16="",D16=0),"",COUNTIFS('MiT Strom Pipeline'!$C$6:$C$860,B16,'MiT Strom Pipeline'!$R$6:$R$860,"WON")/D16)</f>
        <v>0.105263157894737</v>
      </c>
      <c r="J16" t="inlineStr">
        <is>
          <t>AR</t>
        </is>
      </c>
      <c r="K16">
        <f>SUMIF('MiT Strom Pipeline'!$C$6:$C$860,J16,'MiT Strom Pipeline'!$I$6:$I$860)</f>
        <v>0</v>
      </c>
      <c r="L16">
        <f>K16+(26-ROW())*0.0001</f>
        <v>0.001</v>
      </c>
    </row>
    <row r="17" ht="15" customHeight="1">
      <c r="A17" s="17" t="n">
        <v>3</v>
      </c>
      <c r="B17" s="18" t="str">
        <f>IFERROR(INDEX($J$14:$J$39,MATCH(LARGE($L$14:$L$39,3),$L$14:$L$39,0)),"")</f>
        <v>AG</v>
      </c>
      <c r="C17" s="19">
        <f>IF(B17="","",SUMIF('MiT Strom Pipeline'!$C$6:$C$860,B17,'MiT Strom Pipeline'!$I$6:$I$860))</f>
        <v>403463.95</v>
      </c>
      <c r="D17" s="20">
        <f>IF(B17="","",COUNTIF('MiT Strom Pipeline'!$C$6:$C$860,B17))</f>
        <v>6</v>
      </c>
      <c r="E17" s="21">
        <f>IF(OR(B17="",D17=0),"",COUNTIFS('MiT Strom Pipeline'!$C$6:$C$860,B17,'MiT Strom Pipeline'!$R$6:$R$860,"WON")/D17)</f>
        <v>0.166666666666667</v>
      </c>
      <c r="J17" t="inlineStr">
        <is>
          <t>BE</t>
        </is>
      </c>
      <c r="K17">
        <f>SUMIF('MiT Strom Pipeline'!$C$6:$C$860,J17,'MiT Strom Pipeline'!$I$6:$I$860)</f>
        <v>58012.12</v>
      </c>
      <c r="L17">
        <f>K17+(26-ROW())*0.0001</f>
        <v>58012.1209</v>
      </c>
    </row>
    <row r="18" ht="15" customHeight="1">
      <c r="A18" s="17" t="n">
        <v>4</v>
      </c>
      <c r="B18" s="18" t="str">
        <f>IFERROR(INDEX($J$14:$J$39,MATCH(LARGE($L$14:$L$39,4),$L$14:$L$39,0)),"")</f>
        <v>SO</v>
      </c>
      <c r="C18" s="19">
        <f>IF(B18="","",SUMIF('MiT Strom Pipeline'!$C$6:$C$860,B18,'MiT Strom Pipeline'!$I$6:$I$860))</f>
        <v>390750.65</v>
      </c>
      <c r="D18" s="20">
        <f>IF(B18="","",COUNTIF('MiT Strom Pipeline'!$C$6:$C$860,B18))</f>
        <v>2</v>
      </c>
      <c r="E18" s="21">
        <f>IF(OR(B18="",D18=0),"",COUNTIFS('MiT Strom Pipeline'!$C$6:$C$860,B18,'MiT Strom Pipeline'!$R$6:$R$860,"WON")/D18)</f>
        <v>0</v>
      </c>
      <c r="J18" t="inlineStr">
        <is>
          <t>BL</t>
        </is>
      </c>
      <c r="K18">
        <f>SUMIF('MiT Strom Pipeline'!$C$6:$C$860,J18,'MiT Strom Pipeline'!$I$6:$I$860)</f>
        <v>0</v>
      </c>
      <c r="L18">
        <f>K18+(26-ROW())*0.0001</f>
        <v>0.0008</v>
      </c>
    </row>
    <row r="19" ht="15" customHeight="1">
      <c r="A19" s="17" t="n">
        <v>5</v>
      </c>
      <c r="B19" s="18" t="str">
        <f>IFERROR(INDEX($J$14:$J$39,MATCH(LARGE($L$14:$L$39,5),$L$14:$L$39,0)),"")</f>
        <v>VS</v>
      </c>
      <c r="C19" s="19">
        <f>IF(B19="","",SUMIF('MiT Strom Pipeline'!$C$6:$C$860,B19,'MiT Strom Pipeline'!$I$6:$I$860))</f>
        <v>338213.99</v>
      </c>
      <c r="D19" s="20">
        <f>IF(B19="","",COUNTIF('MiT Strom Pipeline'!$C$6:$C$860,B19))</f>
        <v>3</v>
      </c>
      <c r="E19" s="21">
        <f>IF(OR(B19="",D19=0),"",COUNTIFS('MiT Strom Pipeline'!$C$6:$C$860,B19,'MiT Strom Pipeline'!$R$6:$R$860,"WON")/D19)</f>
        <v>0.333333333333333</v>
      </c>
      <c r="J19" t="inlineStr">
        <is>
          <t>BS</t>
        </is>
      </c>
      <c r="K19">
        <f>SUMIF('MiT Strom Pipeline'!$C$6:$C$860,J19,'MiT Strom Pipeline'!$I$6:$I$860)</f>
        <v>13866.21</v>
      </c>
      <c r="L19">
        <f>K19+(26-ROW())*0.0001</f>
        <v>13866.2107</v>
      </c>
    </row>
    <row r="20" ht="15" customHeight="1">
      <c r="A20" s="17" t="n">
        <v>6</v>
      </c>
      <c r="B20" s="18" t="str">
        <f>IFERROR(INDEX($J$14:$J$39,MATCH(LARGE($L$14:$L$39,6),$L$14:$L$39,0)),"")</f>
        <v>TG</v>
      </c>
      <c r="C20" s="19">
        <f>IF(B20="","",SUMIF('MiT Strom Pipeline'!$C$6:$C$860,B20,'MiT Strom Pipeline'!$I$6:$I$860))</f>
        <v>155328.36</v>
      </c>
      <c r="D20" s="20">
        <f>IF(B20="","",COUNTIF('MiT Strom Pipeline'!$C$6:$C$860,B20))</f>
        <v>2</v>
      </c>
      <c r="E20" s="21">
        <f>IF(OR(B20="",D20=0),"",COUNTIFS('MiT Strom Pipeline'!$C$6:$C$860,B20,'MiT Strom Pipeline'!$R$6:$R$860,"WON")/D20)</f>
        <v>0.5</v>
      </c>
      <c r="J20" t="inlineStr">
        <is>
          <t>FR</t>
        </is>
      </c>
      <c r="K20">
        <f>SUMIF('MiT Strom Pipeline'!$C$6:$C$860,J20,'MiT Strom Pipeline'!$I$6:$I$860)</f>
        <v>0</v>
      </c>
      <c r="L20">
        <f>K20+(26-ROW())*0.0001</f>
        <v>0.0006</v>
      </c>
    </row>
    <row r="21" ht="15" customHeight="1">
      <c r="A21" s="17" t="n">
        <v>7</v>
      </c>
      <c r="B21" s="18" t="str">
        <f>IFERROR(INDEX($J$14:$J$39,MATCH(LARGE($L$14:$L$39,7),$L$14:$L$39,0)),"")</f>
        <v>SG</v>
      </c>
      <c r="C21" s="19">
        <f>IF(B21="","",SUMIF('MiT Strom Pipeline'!$C$6:$C$860,B21,'MiT Strom Pipeline'!$I$6:$I$860))</f>
        <v>101192.62</v>
      </c>
      <c r="D21" s="20">
        <f>IF(B21="","",COUNTIF('MiT Strom Pipeline'!$C$6:$C$860,B21))</f>
        <v>3</v>
      </c>
      <c r="E21" s="21">
        <f>IF(OR(B21="",D21=0),"",COUNTIFS('MiT Strom Pipeline'!$C$6:$C$860,B21,'MiT Strom Pipeline'!$R$6:$R$860,"WON")/D21)</f>
        <v>0.333333333333333</v>
      </c>
      <c r="J21" t="inlineStr">
        <is>
          <t>GE</t>
        </is>
      </c>
      <c r="K21">
        <f>SUMIF('MiT Strom Pipeline'!$C$6:$C$860,J21,'MiT Strom Pipeline'!$I$6:$I$860)</f>
        <v>38885</v>
      </c>
      <c r="L21">
        <f>K21+(26-ROW())*0.0001</f>
        <v>38885.0005</v>
      </c>
    </row>
    <row r="22" ht="15" customHeight="1">
      <c r="A22" s="17" t="n">
        <v>8</v>
      </c>
      <c r="B22" s="18" t="str">
        <f>IFERROR(INDEX($J$14:$J$39,MATCH(LARGE($L$14:$L$39,8),$L$14:$L$39,0)),"")</f>
        <v>GR</v>
      </c>
      <c r="C22" s="19">
        <f>IF(B22="","",SUMIF('MiT Strom Pipeline'!$C$6:$C$860,B22,'MiT Strom Pipeline'!$I$6:$I$860))</f>
        <v>77325.62</v>
      </c>
      <c r="D22" s="20">
        <f>IF(B22="","",COUNTIF('MiT Strom Pipeline'!$C$6:$C$860,B22))</f>
        <v>2</v>
      </c>
      <c r="E22" s="21">
        <f>IF(OR(B22="",D22=0),"",COUNTIFS('MiT Strom Pipeline'!$C$6:$C$860,B22,'MiT Strom Pipeline'!$R$6:$R$860,"WON")/D22)</f>
        <v>0</v>
      </c>
      <c r="J22" t="inlineStr">
        <is>
          <t>GL</t>
        </is>
      </c>
      <c r="K22">
        <f>SUMIF('MiT Strom Pipeline'!$C$6:$C$860,J22,'MiT Strom Pipeline'!$I$6:$I$860)</f>
        <v>0</v>
      </c>
      <c r="L22">
        <f>K22+(26-ROW())*0.0001</f>
        <v>0.0004</v>
      </c>
    </row>
    <row r="23" ht="15" customHeight="1">
      <c r="A23" s="17" t="n">
        <v>9</v>
      </c>
      <c r="B23" s="18" t="str">
        <f>IFERROR(INDEX($J$14:$J$39,MATCH(LARGE($L$14:$L$39,9),$L$14:$L$39,0)),"")</f>
        <v>BE</v>
      </c>
      <c r="C23" s="19">
        <f>IF(B23="","",SUMIF('MiT Strom Pipeline'!$C$6:$C$860,B23,'MiT Strom Pipeline'!$I$6:$I$860))</f>
        <v>58012.12</v>
      </c>
      <c r="D23" s="20">
        <f>IF(B23="","",COUNTIF('MiT Strom Pipeline'!$C$6:$C$860,B23))</f>
        <v>5</v>
      </c>
      <c r="E23" s="21">
        <f>IF(OR(B23="",D23=0),"",COUNTIFS('MiT Strom Pipeline'!$C$6:$C$860,B23,'MiT Strom Pipeline'!$R$6:$R$860,"WON")/D23)</f>
        <v>0</v>
      </c>
      <c r="J23" t="inlineStr">
        <is>
          <t>GR</t>
        </is>
      </c>
      <c r="K23">
        <f>SUMIF('MiT Strom Pipeline'!$C$6:$C$860,J23,'MiT Strom Pipeline'!$I$6:$I$860)</f>
        <v>77325.62</v>
      </c>
      <c r="L23">
        <f>K23+(26-ROW())*0.0001</f>
        <v>77325.6203</v>
      </c>
    </row>
    <row r="24" ht="15" customHeight="1">
      <c r="A24" s="17" t="n">
        <v>10</v>
      </c>
      <c r="B24" s="18" t="str">
        <f>IFERROR(INDEX($J$14:$J$39,MATCH(LARGE($L$14:$L$39,10),$L$14:$L$39,0)),"")</f>
        <v>GE</v>
      </c>
      <c r="C24" s="19">
        <f>IF(B24="","",SUMIF('MiT Strom Pipeline'!$C$6:$C$860,B24,'MiT Strom Pipeline'!$I$6:$I$860))</f>
        <v>38885</v>
      </c>
      <c r="D24" s="20">
        <f>IF(B24="","",COUNTIF('MiT Strom Pipeline'!$C$6:$C$860,B24))</f>
        <v>1</v>
      </c>
      <c r="E24" s="21">
        <f>IF(OR(B24="",D24=0),"",COUNTIFS('MiT Strom Pipeline'!$C$6:$C$860,B24,'MiT Strom Pipeline'!$R$6:$R$860,"WON")/D24)</f>
        <v>0</v>
      </c>
      <c r="J24" t="inlineStr">
        <is>
          <t>JU</t>
        </is>
      </c>
      <c r="K24">
        <f>SUMIF('MiT Strom Pipeline'!$C$6:$C$860,J24,'MiT Strom Pipeline'!$I$6:$I$860)</f>
        <v>0</v>
      </c>
      <c r="L24">
        <f>K24+(26-ROW())*0.0001</f>
        <v>0.0002</v>
      </c>
    </row>
    <row r="25" ht="15" customHeight="1">
      <c r="J25" t="inlineStr">
        <is>
          <t>LU</t>
        </is>
      </c>
      <c r="K25">
        <f>SUMIF('MiT Strom Pipeline'!$C$6:$C$860,J25,'MiT Strom Pipeline'!$I$6:$I$860)</f>
        <v>12409.01</v>
      </c>
      <c r="L25">
        <f>K25+(26-ROW())*0.0001</f>
        <v>12409.0101</v>
      </c>
    </row>
    <row r="26" ht="15" customHeight="1">
      <c r="J26" t="inlineStr">
        <is>
          <t>NE</t>
        </is>
      </c>
      <c r="K26">
        <f>SUMIF('MiT Strom Pipeline'!$C$6:$C$860,J26,'MiT Strom Pipeline'!$I$6:$I$860)</f>
        <v>0</v>
      </c>
      <c r="L26">
        <f>K26+(26-ROW())*0.0001</f>
        <v>0</v>
      </c>
    </row>
    <row r="27" ht="17.25" customHeight="1">
      <c r="A27" s="170" t="inlineStr">
        <is>
          <t>Top WON-Deals</t>
        </is>
      </c>
      <c r="B27" s="181" t="n"/>
      <c r="C27" s="181" t="n"/>
      <c r="D27" s="181" t="n"/>
      <c r="E27" s="181" t="n"/>
      <c r="F27" s="181" t="n"/>
      <c r="G27" s="181" t="n"/>
      <c r="H27" s="181" t="n"/>
      <c r="J27" t="inlineStr">
        <is>
          <t>NW</t>
        </is>
      </c>
      <c r="K27">
        <f>SUMIF('MiT Strom Pipeline'!$C$6:$C$860,J27,'MiT Strom Pipeline'!$I$6:$I$860)</f>
        <v>0</v>
      </c>
      <c r="L27">
        <f>K27+(26-ROW())*0.0001</f>
        <v>-0.0001</v>
      </c>
    </row>
    <row r="28" ht="15" customHeight="1">
      <c r="A28" s="8" t="inlineStr">
        <is>
          <t>Rang</t>
        </is>
      </c>
      <c r="B28" s="8" t="inlineStr">
        <is>
          <t>Kunde</t>
        </is>
      </c>
      <c r="C28" s="8" t="inlineStr">
        <is>
          <t>Kanton</t>
        </is>
      </c>
      <c r="D28" s="8" t="inlineStr">
        <is>
          <t>Segment</t>
        </is>
      </c>
      <c r="E28" s="8" t="inlineStr">
        <is>
          <t>Volumen CHF</t>
        </is>
      </c>
      <c r="F28" s="8" t="inlineStr">
        <is>
          <t>Marge CHF</t>
        </is>
      </c>
      <c r="G28" s="8" t="inlineStr">
        <is>
          <t>Start</t>
        </is>
      </c>
      <c r="J28" t="inlineStr">
        <is>
          <t>OW</t>
        </is>
      </c>
      <c r="K28">
        <f>SUMIF('MiT Strom Pipeline'!$C$6:$C$860,J28,'MiT Strom Pipeline'!$I$6:$I$860)</f>
        <v>0</v>
      </c>
      <c r="L28">
        <f>K28+(26-ROW())*0.0001</f>
        <v>-0.0002</v>
      </c>
    </row>
    <row r="29" ht="15" customHeight="1">
      <c r="A29" s="17" t="n">
        <v>1</v>
      </c>
      <c r="B29" s="18" t="str">
        <f>IFERROR(INDEX('MiT Strom Pipeline'!$B$6:$B$860,MATCH(LARGE('MiT Strom Pipeline'!$Z$6:$Z$860,1),'MiT Strom Pipeline'!$Z$6:$Z$860,0)),"")</f>
        <v>Ice Hockey Championship</v>
      </c>
      <c r="C29" s="17" t="str">
        <f>IFERROR(INDEX('MiT Strom Pipeline'!$C$6:$C$860,MATCH(LARGE('MiT Strom Pipeline'!$Z$6:$Z$860,1),'MiT Strom Pipeline'!$Z$6:$Z$860,0)),"")</f>
        <v>ZH</v>
      </c>
      <c r="D29" s="18" t="str">
        <f>IFERROR(INDEX('MiT Strom Pipeline'!$D$6:$D$860,MATCH(LARGE('MiT Strom Pipeline'!$Z$6:$Z$860,1),'MiT Strom Pipeline'!$Z$6:$Z$860,0)),"")</f>
        <v>Events &amp; Sport</v>
      </c>
      <c r="E29" s="19">
        <f>IFERROR(LARGE('MiT Strom Pipeline'!$Z$6:$Z$860,1),"")</f>
        <v>310000</v>
      </c>
      <c r="F29" s="19">
        <f>IFERROR(INDEX('MiT Strom Pipeline'!$O$6:$O$860,MATCH(LARGE('MiT Strom Pipeline'!$Z$6:$Z$860,1),'MiT Strom Pipeline'!$Z$6:$Z$860,0)),"")</f>
        <v>75000</v>
      </c>
      <c r="G29" s="18" t="str">
        <f>IFERROR(INDEX('MiT Strom Pipeline'!H6:H860,MATCH(LARGE('MiT Strom Pipeline'!Z6:Z860,1),'MiT Strom Pipeline'!Z6:Z860,0)),"")</f>
        <v>Mai</v>
      </c>
      <c r="J29" t="inlineStr">
        <is>
          <t>SG</t>
        </is>
      </c>
      <c r="K29">
        <f>SUMIF('MiT Strom Pipeline'!$C$6:$C$860,J29,'MiT Strom Pipeline'!$I$6:$I$860)</f>
        <v>101192.62</v>
      </c>
      <c r="L29">
        <f>K29+(26-ROW())*0.0001</f>
        <v>101192.6197</v>
      </c>
    </row>
    <row r="30" ht="15" customHeight="1">
      <c r="A30" s="17" t="n">
        <v>2</v>
      </c>
      <c r="B30" s="18" t="str">
        <f>IFERROR(INDEX('MiT Strom Pipeline'!$B$6:$B$860,MATCH(LARGE('MiT Strom Pipeline'!$Z$6:$Z$860,2),'MiT Strom Pipeline'!$Z$6:$Z$860,0)),"")</f>
        <v>Stagelight – OpenAir Frauenfeld</v>
      </c>
      <c r="C30" s="17" t="str">
        <f>IFERROR(INDEX('MiT Strom Pipeline'!$C$6:$C$860,MATCH(LARGE('MiT Strom Pipeline'!$Z$6:$Z$860,2),'MiT Strom Pipeline'!$Z$6:$Z$860,0)),"")</f>
        <v>TG</v>
      </c>
      <c r="D30" s="18" t="str">
        <f>IFERROR(INDEX('MiT Strom Pipeline'!$D$6:$D$860,MATCH(LARGE('MiT Strom Pipeline'!$Z$6:$Z$860,2),'MiT Strom Pipeline'!$Z$6:$Z$860,0)),"")</f>
        <v>Events &amp; Kultur</v>
      </c>
      <c r="E30" s="19">
        <f>IFERROR(LARGE('MiT Strom Pipeline'!$Z$6:$Z$860,2),"")</f>
        <v>150000</v>
      </c>
      <c r="F30" s="19">
        <f>IFERROR(INDEX('MiT Strom Pipeline'!$O$6:$O$860,MATCH(LARGE('MiT Strom Pipeline'!$Z$6:$Z$860,2),'MiT Strom Pipeline'!$Z$6:$Z$860,0)),"")</f>
        <v>39500</v>
      </c>
      <c r="G30" s="18" t="str">
        <f>IFERROR(INDEX('MiT Strom Pipeline'!H6:H860,MATCH(LARGE('MiT Strom Pipeline'!Z6:Z860,2),'MiT Strom Pipeline'!Z6:Z860,0)),"")</f>
        <v>Juli</v>
      </c>
      <c r="J30" t="inlineStr">
        <is>
          <t>SH</t>
        </is>
      </c>
      <c r="K30">
        <f>SUMIF('MiT Strom Pipeline'!$C$6:$C$860,J30,'MiT Strom Pipeline'!$I$6:$I$860)</f>
        <v>2637287.63</v>
      </c>
      <c r="L30">
        <f>K30+(26-ROW())*0.0001</f>
        <v>2637287.6296</v>
      </c>
    </row>
    <row r="31" ht="15" customHeight="1">
      <c r="A31" s="17" t="n">
        <v>3</v>
      </c>
      <c r="B31" s="18" t="str">
        <f>IFERROR(INDEX('MiT Strom Pipeline'!$B$6:$B$860,MATCH(LARGE('MiT Strom Pipeline'!$Z$6:$Z$860,3),'MiT Strom Pipeline'!$Z$6:$Z$860,0)),"")</f>
        <v>Gampeln</v>
      </c>
      <c r="C31" s="17" t="str">
        <f>IFERROR(INDEX('MiT Strom Pipeline'!$C$6:$C$860,MATCH(LARGE('MiT Strom Pipeline'!$Z$6:$Z$860,3),'MiT Strom Pipeline'!$Z$6:$Z$860,0)),"")</f>
        <v>VS</v>
      </c>
      <c r="D31" s="18" t="str">
        <f>IFERROR(INDEX('MiT Strom Pipeline'!$D$6:$D$860,MATCH(LARGE('MiT Strom Pipeline'!$Z$6:$Z$860,3),'MiT Strom Pipeline'!$Z$6:$Z$860,0)),"")</f>
        <v>Event</v>
      </c>
      <c r="E31" s="19">
        <f>IFERROR(LARGE('MiT Strom Pipeline'!$Z$6:$Z$860,3),"")</f>
        <v>115045</v>
      </c>
      <c r="F31" s="19">
        <f>IFERROR(INDEX('MiT Strom Pipeline'!$O$6:$O$860,MATCH(LARGE('MiT Strom Pipeline'!$Z$6:$Z$860,3),'MiT Strom Pipeline'!$Z$6:$Z$860,0)),"")</f>
        <v>0</v>
      </c>
      <c r="G31" s="18" t="str">
        <f>IFERROR(INDEX('MiT Strom Pipeline'!H6:H860,MATCH(LARGE('MiT Strom Pipeline'!Z6:Z860,3),'MiT Strom Pipeline'!Z6:Z860,0)),"")</f>
        <v>Aug</v>
      </c>
      <c r="J31" t="inlineStr">
        <is>
          <t>SO</t>
        </is>
      </c>
      <c r="K31">
        <f>SUMIF('MiT Strom Pipeline'!$C$6:$C$860,J31,'MiT Strom Pipeline'!$I$6:$I$860)</f>
        <v>390750.65</v>
      </c>
      <c r="L31">
        <f>K31+(26-ROW())*0.0001</f>
        <v>390750.6495</v>
      </c>
    </row>
    <row r="32" ht="15" customHeight="1">
      <c r="A32" s="17" t="n">
        <v>4</v>
      </c>
      <c r="B32" s="18" t="str">
        <f>IFERROR(INDEX('MiT Strom Pipeline'!$B$6:$B$860,MATCH(LARGE('MiT Strom Pipeline'!$Z$6:$Z$860,4),'MiT Strom Pipeline'!$Z$6:$Z$860,0)),"")</f>
        <v>Murg Flums Energie</v>
      </c>
      <c r="C32" s="17" t="str">
        <f>IFERROR(INDEX('MiT Strom Pipeline'!$C$6:$C$860,MATCH(LARGE('MiT Strom Pipeline'!$Z$6:$Z$860,4),'MiT Strom Pipeline'!$Z$6:$Z$860,0)),"")</f>
        <v>SG</v>
      </c>
      <c r="D32" s="18" t="str">
        <f>IFERROR(INDEX('MiT Strom Pipeline'!$D$6:$D$860,MATCH(LARGE('MiT Strom Pipeline'!$Z$6:$Z$860,4),'MiT Strom Pipeline'!$Z$6:$Z$860,0)),"")</f>
        <v>EVU / Energie</v>
      </c>
      <c r="E32" s="19">
        <f>IFERROR(LARGE('MiT Strom Pipeline'!$Z$6:$Z$860,4),"")</f>
        <v>96658.69</v>
      </c>
      <c r="F32" s="19">
        <f>IFERROR(INDEX('MiT Strom Pipeline'!$O$6:$O$860,MATCH(LARGE('MiT Strom Pipeline'!$Z$6:$Z$860,4),'MiT Strom Pipeline'!$Z$6:$Z$860,0)),"")</f>
        <v>7242.69</v>
      </c>
      <c r="G32" s="18" t="str">
        <f>IFERROR(INDEX('MiT Strom Pipeline'!H6:H860,MATCH(LARGE('MiT Strom Pipeline'!Z6:Z860,4),'MiT Strom Pipeline'!Z6:Z860,0)),"")</f>
        <v>Auf Abruf</v>
      </c>
      <c r="J32" t="inlineStr">
        <is>
          <t>SZ</t>
        </is>
      </c>
      <c r="K32">
        <f>SUMIF('MiT Strom Pipeline'!$C$6:$C$860,J32,'MiT Strom Pipeline'!$I$6:$I$860)</f>
        <v>0</v>
      </c>
      <c r="L32">
        <f>K32+(26-ROW())*0.0001</f>
        <v>-0.0006</v>
      </c>
    </row>
    <row r="33" ht="15" customHeight="1">
      <c r="A33" s="17" t="n">
        <v>5</v>
      </c>
      <c r="B33" s="18" t="str">
        <f>IFERROR(INDEX('MiT Strom Pipeline'!$B$6:$B$860,MATCH(LARGE('MiT Strom Pipeline'!$Z$6:$Z$860,5),'MiT Strom Pipeline'!$Z$6:$Z$860,0)),"")</f>
        <v>Oerlikon Metco Wohlen</v>
      </c>
      <c r="C33" s="17" t="str">
        <f>IFERROR(INDEX('MiT Strom Pipeline'!$C$6:$C$860,MATCH(LARGE('MiT Strom Pipeline'!$Z$6:$Z$860,5),'MiT Strom Pipeline'!$Z$6:$Z$860,0)),"")</f>
        <v>AG</v>
      </c>
      <c r="D33" s="18" t="str">
        <f>IFERROR(INDEX('MiT Strom Pipeline'!$D$6:$D$860,MATCH(LARGE('MiT Strom Pipeline'!$Z$6:$Z$860,5),'MiT Strom Pipeline'!$Z$6:$Z$860,0)),"")</f>
        <v>Industrie / Oberfläche</v>
      </c>
      <c r="E33" s="19">
        <f>IFERROR(LARGE('MiT Strom Pipeline'!$Z$6:$Z$860,5),"")</f>
        <v>13100</v>
      </c>
      <c r="F33" s="19">
        <f>IFERROR(INDEX('MiT Strom Pipeline'!$O$6:$O$860,MATCH(LARGE('MiT Strom Pipeline'!$Z$6:$Z$860,5),'MiT Strom Pipeline'!$Z$6:$Z$860,0)),"")</f>
        <v>3000</v>
      </c>
      <c r="G33" s="18" t="str">
        <f>IFERROR(INDEX('MiT Strom Pipeline'!H6:H860,MATCH(LARGE('MiT Strom Pipeline'!Z6:Z860,5),'MiT Strom Pipeline'!Z6:Z860,0)),"")</f>
        <v>April</v>
      </c>
      <c r="J33" t="inlineStr">
        <is>
          <t>TG</t>
        </is>
      </c>
      <c r="K33">
        <f>SUMIF('MiT Strom Pipeline'!$C$6:$C$860,J33,'MiT Strom Pipeline'!$I$6:$I$860)</f>
        <v>155328.36</v>
      </c>
      <c r="L33">
        <f>K33+(26-ROW())*0.0001</f>
        <v>155328.3593</v>
      </c>
    </row>
    <row r="34" ht="15" customHeight="1">
      <c r="A34" s="17" t="n">
        <v>6</v>
      </c>
      <c r="B34" s="18" t="str">
        <f>IFERROR(INDEX('MiT Strom Pipeline'!$B$6:$B$860,MATCH(LARGE('MiT Strom Pipeline'!$Z$6:$Z$860,6),'MiT Strom Pipeline'!$Z$6:$Z$860,0)),"")</f>
        <v>Siemens</v>
      </c>
      <c r="C34" s="17" t="str">
        <f>IFERROR(INDEX('MiT Strom Pipeline'!$C$6:$C$860,MATCH(LARGE('MiT Strom Pipeline'!$Z$6:$Z$860,6),'MiT Strom Pipeline'!$Z$6:$Z$860,0)),"")</f>
        <v>ZH</v>
      </c>
      <c r="D34" s="18" t="str">
        <f>IFERROR(INDEX('MiT Strom Pipeline'!$D$6:$D$860,MATCH(LARGE('MiT Strom Pipeline'!$Z$6:$Z$860,6),'MiT Strom Pipeline'!$Z$6:$Z$860,0)),"")</f>
        <v>Industrie / Elektro</v>
      </c>
      <c r="E34" s="19">
        <f>IFERROR(LARGE('MiT Strom Pipeline'!$Z$6:$Z$860,6),"")</f>
        <v>10000</v>
      </c>
      <c r="F34" s="19">
        <f>IFERROR(INDEX('MiT Strom Pipeline'!$O$6:$O$860,MATCH(LARGE('MiT Strom Pipeline'!$Z$6:$Z$860,6),'MiT Strom Pipeline'!$Z$6:$Z$860,0)),"")</f>
        <v>10000</v>
      </c>
      <c r="G34" s="18" t="str">
        <f>IFERROR(INDEX('MiT Strom Pipeline'!H6:H860,MATCH(LARGE('MiT Strom Pipeline'!Z6:Z860,6),'MiT Strom Pipeline'!Z6:Z860,0)),"")</f>
        <v>tbd</v>
      </c>
      <c r="J34" t="inlineStr">
        <is>
          <t>TI</t>
        </is>
      </c>
      <c r="K34">
        <f>SUMIF('MiT Strom Pipeline'!$C$6:$C$860,J34,'MiT Strom Pipeline'!$I$6:$I$860)</f>
        <v>0</v>
      </c>
      <c r="L34">
        <f>K34+(26-ROW())*0.0001</f>
        <v>-0.0008</v>
      </c>
    </row>
    <row r="35" ht="15" customHeight="1">
      <c r="A35" s="17" t="n">
        <v>7</v>
      </c>
      <c r="B35" s="18" t="str">
        <f>IFERROR(INDEX('MiT Strom Pipeline'!$B$6:$B$860,MATCH(LARGE('MiT Strom Pipeline'!$Z$6:$Z$860,7),'MiT Strom Pipeline'!$Z$6:$Z$860,0)),"")</f>
        <v/>
      </c>
      <c r="C35" s="17" t="str">
        <f>IFERROR(INDEX('MiT Strom Pipeline'!$C$6:$C$860,MATCH(LARGE('MiT Strom Pipeline'!$Z$6:$Z$860,7),'MiT Strom Pipeline'!$Z$6:$Z$860,0)),"")</f>
        <v/>
      </c>
      <c r="D35" s="18" t="str">
        <f>IFERROR(INDEX('MiT Strom Pipeline'!$D$6:$D$860,MATCH(LARGE('MiT Strom Pipeline'!$Z$6:$Z$860,7),'MiT Strom Pipeline'!$Z$6:$Z$860,0)),"")</f>
        <v/>
      </c>
      <c r="E35" s="19" t="str">
        <f>IFERROR(LARGE('MiT Strom Pipeline'!$Z$6:$Z$860,7),"")</f>
        <v/>
      </c>
      <c r="F35" s="19" t="str">
        <f>IFERROR(INDEX('MiT Strom Pipeline'!$O$6:$O$860,MATCH(LARGE('MiT Strom Pipeline'!$Z$6:$Z$860,7),'MiT Strom Pipeline'!$Z$6:$Z$860,0)),"")</f>
        <v/>
      </c>
      <c r="G35" s="18" t="str">
        <f>IFERROR(INDEX('MiT Strom Pipeline'!H6:H860,MATCH(LARGE('MiT Strom Pipeline'!Z6:Z860,7),'MiT Strom Pipeline'!Z6:Z860,0)),"")</f>
        <v/>
      </c>
      <c r="J35" t="inlineStr">
        <is>
          <t>UR</t>
        </is>
      </c>
      <c r="K35">
        <f>SUMIF('MiT Strom Pipeline'!$C$6:$C$860,J35,'MiT Strom Pipeline'!$I$6:$I$860)</f>
        <v>0</v>
      </c>
      <c r="L35">
        <f>K35+(26-ROW())*0.0001</f>
        <v>-0.0009</v>
      </c>
    </row>
    <row r="36" ht="15" customHeight="1">
      <c r="A36" s="17" t="n">
        <v>8</v>
      </c>
      <c r="B36" s="18" t="str">
        <f>IFERROR(INDEX('MiT Strom Pipeline'!$B$6:$B$860,MATCH(LARGE('MiT Strom Pipeline'!$Z$6:$Z$860,8),'MiT Strom Pipeline'!$Z$6:$Z$860,0)),"")</f>
        <v/>
      </c>
      <c r="C36" s="17" t="str">
        <f>IFERROR(INDEX('MiT Strom Pipeline'!$C$6:$C$860,MATCH(LARGE('MiT Strom Pipeline'!$Z$6:$Z$860,8),'MiT Strom Pipeline'!$Z$6:$Z$860,0)),"")</f>
        <v/>
      </c>
      <c r="D36" s="18" t="str">
        <f>IFERROR(INDEX('MiT Strom Pipeline'!$D$6:$D$860,MATCH(LARGE('MiT Strom Pipeline'!$Z$6:$Z$860,8),'MiT Strom Pipeline'!$Z$6:$Z$860,0)),"")</f>
        <v/>
      </c>
      <c r="E36" s="19" t="str">
        <f>IFERROR(LARGE('MiT Strom Pipeline'!$Z$6:$Z$860,8),"")</f>
        <v/>
      </c>
      <c r="F36" s="19" t="str">
        <f>IFERROR(INDEX('MiT Strom Pipeline'!$O$6:$O$860,MATCH(LARGE('MiT Strom Pipeline'!$Z$6:$Z$860,8),'MiT Strom Pipeline'!$Z$6:$Z$860,0)),"")</f>
        <v/>
      </c>
      <c r="G36" s="18" t="str">
        <f>IFERROR(INDEX('MiT Strom Pipeline'!H6:H860,MATCH(LARGE('MiT Strom Pipeline'!Z6:Z860,8),'MiT Strom Pipeline'!Z6:Z860,0)),"")</f>
        <v/>
      </c>
      <c r="J36" t="inlineStr">
        <is>
          <t>VD</t>
        </is>
      </c>
      <c r="K36">
        <f>SUMIF('MiT Strom Pipeline'!$C$6:$C$860,J36,'MiT Strom Pipeline'!$I$6:$I$860)</f>
        <v>0</v>
      </c>
      <c r="L36">
        <f>K36+(26-ROW())*0.0001</f>
        <v>-0.001</v>
      </c>
    </row>
    <row r="37" ht="15" customHeight="1">
      <c r="A37" s="17" t="n">
        <v>9</v>
      </c>
      <c r="B37" s="18" t="str">
        <f>IFERROR(INDEX('MiT Strom Pipeline'!$B$6:$B$860,MATCH(LARGE('MiT Strom Pipeline'!$Z$6:$Z$860,9),'MiT Strom Pipeline'!$Z$6:$Z$860,0)),"")</f>
        <v/>
      </c>
      <c r="C37" s="17" t="str">
        <f>IFERROR(INDEX('MiT Strom Pipeline'!$C$6:$C$860,MATCH(LARGE('MiT Strom Pipeline'!$Z$6:$Z$860,9),'MiT Strom Pipeline'!$Z$6:$Z$860,0)),"")</f>
        <v/>
      </c>
      <c r="D37" s="18" t="str">
        <f>IFERROR(INDEX('MiT Strom Pipeline'!$D$6:$D$860,MATCH(LARGE('MiT Strom Pipeline'!$Z$6:$Z$860,9),'MiT Strom Pipeline'!$Z$6:$Z$860,0)),"")</f>
        <v/>
      </c>
      <c r="E37" s="19" t="str">
        <f>IFERROR(LARGE('MiT Strom Pipeline'!$Z$6:$Z$860,9),"")</f>
        <v/>
      </c>
      <c r="F37" s="19" t="str">
        <f>IFERROR(INDEX('MiT Strom Pipeline'!$O$6:$O$860,MATCH(LARGE('MiT Strom Pipeline'!$Z$6:$Z$860,9),'MiT Strom Pipeline'!$Z$6:$Z$860,0)),"")</f>
        <v/>
      </c>
      <c r="G37" s="18" t="str">
        <f>IFERROR(INDEX('MiT Strom Pipeline'!H6:H860,MATCH(LARGE('MiT Strom Pipeline'!Z6:Z860,9),'MiT Strom Pipeline'!Z6:Z860,0)),"")</f>
        <v/>
      </c>
      <c r="J37" t="inlineStr">
        <is>
          <t>VS</t>
        </is>
      </c>
      <c r="K37">
        <f>SUMIF('MiT Strom Pipeline'!$C$6:$C$860,J37,'MiT Strom Pipeline'!$I$6:$I$860)</f>
        <v>338213.99</v>
      </c>
      <c r="L37">
        <f>K37+(26-ROW())*0.0001</f>
        <v>338213.9889</v>
      </c>
    </row>
    <row r="38" ht="15" customHeight="1">
      <c r="A38" s="17" t="n">
        <v>10</v>
      </c>
      <c r="B38" s="18" t="str">
        <f>IFERROR(INDEX('MiT Strom Pipeline'!$B$6:$B$860,MATCH(LARGE('MiT Strom Pipeline'!$Z$6:$Z$860,10),'MiT Strom Pipeline'!$Z$6:$Z$860,0)),"")</f>
        <v/>
      </c>
      <c r="C38" s="17" t="str">
        <f>IFERROR(INDEX('MiT Strom Pipeline'!$C$6:$C$860,MATCH(LARGE('MiT Strom Pipeline'!$Z$6:$Z$860,10),'MiT Strom Pipeline'!$Z$6:$Z$860,0)),"")</f>
        <v/>
      </c>
      <c r="D38" s="18" t="str">
        <f>IFERROR(INDEX('MiT Strom Pipeline'!$D$6:$D$860,MATCH(LARGE('MiT Strom Pipeline'!$Z$6:$Z$860,10),'MiT Strom Pipeline'!$Z$6:$Z$860,0)),"")</f>
        <v/>
      </c>
      <c r="E38" s="19" t="str">
        <f>IFERROR(LARGE('MiT Strom Pipeline'!$Z$6:$Z$860,10),"")</f>
        <v/>
      </c>
      <c r="F38" s="19" t="str">
        <f>IFERROR(INDEX('MiT Strom Pipeline'!$O$6:$O$860,MATCH(LARGE('MiT Strom Pipeline'!$Z$6:$Z$860,10),'MiT Strom Pipeline'!$Z$6:$Z$860,0)),"")</f>
        <v/>
      </c>
      <c r="G38" s="18" t="str">
        <f>IFERROR(INDEX('MiT Strom Pipeline'!H6:H860,MATCH(LARGE('MiT Strom Pipeline'!Z6:Z860,10),'MiT Strom Pipeline'!Z6:Z860,0)),"")</f>
        <v/>
      </c>
      <c r="J38" t="inlineStr">
        <is>
          <t>ZG</t>
        </is>
      </c>
      <c r="K38">
        <f>SUMIF('MiT Strom Pipeline'!$C$6:$C$860,J38,'MiT Strom Pipeline'!$I$6:$I$860)</f>
        <v>0</v>
      </c>
      <c r="L38">
        <f>K38+(26-ROW())*0.0001</f>
        <v>-0.0012</v>
      </c>
    </row>
    <row r="39" ht="15" customHeight="1">
      <c r="J39" t="inlineStr">
        <is>
          <t>ZH</t>
        </is>
      </c>
      <c r="K39">
        <f>SUMIF('MiT Strom Pipeline'!$C$6:$C$860,J39,'MiT Strom Pipeline'!$I$6:$I$860)</f>
        <v>1579241.67</v>
      </c>
      <c r="L39">
        <f>K39+(26-ROW())*0.0001</f>
        <v>1579241.6687</v>
      </c>
    </row>
    <row r="40" ht="15" customHeight="1">
      <c r="A40" s="171" t="inlineStr">
        <is>
          <t>↻ Auto-Update aus Pipeline · Sortiert nach Volumen ↓ · Nur WON mit numerischem Volumen</t>
        </is>
      </c>
    </row>
    <row r="41" ht="15" customHeight="1">
      <c r="A41" s="171" t="inlineStr">
        <is>
          <t>🖨  Strg+P → «Als PDF speichern» · Druckbereich A4 ist gesetzt</t>
        </is>
      </c>
    </row>
  </sheetData>
  <mergeCells count="8">
    <mergeCell ref="A1:H1"/>
    <mergeCell ref="A3:H3"/>
    <mergeCell ref="A2:H2"/>
    <mergeCell ref="A41:H41"/>
    <mergeCell ref="A13:H13"/>
    <mergeCell ref="A40:F40"/>
    <mergeCell ref="A5:H5"/>
    <mergeCell ref="A27:H27"/>
  </mergeCells>
  <printOptions horizontalCentered="1"/>
  <pageMargins left="0.3" right="0.3" top="0.5" bottom="0.5" header="0.2" footer="0.2"/>
  <pageSetup orientation="portrait" paperSize="9" horizontalDpi="300" verticalDpi="300"/>
  <headerFooter>
    <oddHeader>&amp;C&amp;"Calibri,Bold"&amp;14 ⚡ MiT Strom Schweiz — Sales Report</oddHeader>
    <oddFooter>&amp;LMobil in Time AG · An Aggreko Company&amp;R&amp;"Calibri,Italic"&amp;9 Stand: &amp;D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1F3864"/>
    <outlinePr summaryBelow="1" summaryRight="1"/>
    <pageSetUpPr fitToPage="1"/>
  </sheetPr>
  <dimension ref="A1:U219"/>
  <sheetViews>
    <sheetView zoomScaleNormal="100" workbookViewId="0">
      <selection activeCell="A1" sqref="A1"/>
    </sheetView>
  </sheetViews>
  <sheetFormatPr baseColWidth="8" defaultColWidth="9.140625" defaultRowHeight="15"/>
  <cols>
    <col width="4" customWidth="1" min="1" max="1"/>
    <col width="27.7109375" bestFit="1" customWidth="1" min="2" max="2"/>
    <col width="7.7109375" bestFit="1" customWidth="1" min="3" max="3"/>
    <col width="18" customWidth="1" min="4" max="4"/>
    <col width="13" customWidth="1" min="5" max="5"/>
    <col width="16" customWidth="1" min="6" max="6"/>
    <col width="12" customWidth="1" min="7" max="8"/>
    <col width="11" customWidth="1" min="9" max="10"/>
    <col width="7" customWidth="1" min="11" max="11"/>
    <col width="52.5703125" bestFit="1" customWidth="1" min="12" max="12"/>
    <col width="8.42578125" customWidth="1" min="13" max="20"/>
    <col hidden="1" width="13" customWidth="1" min="21" max="21"/>
  </cols>
  <sheetData>
    <row r="1" ht="39.75" customHeight="1">
      <c r="A1" s="127" t="str">
        <f>"⚡  MiT Strom Schweiz — CEO Sales Report  ·  "&amp;TEXT(TODAY(),"MMMM YYYY")</f>
        <v>⚡  MiT Strom Schweiz — CEO Sales Report  ·  July 2026</v>
      </c>
      <c r="M1" s="22" t="n"/>
      <c r="N1" s="22" t="n"/>
      <c r="O1" s="22" t="n"/>
      <c r="P1" s="22" t="n"/>
      <c r="Q1" s="22" t="n"/>
      <c r="R1" s="22" t="n"/>
      <c r="S1" s="22" t="n"/>
    </row>
    <row r="2" ht="18" customHeight="1">
      <c r="A2" s="128" t="inlineStr">
        <is>
          <t>Mobil in Time AG  ·  An Aggreko Company  ·  Burak Ücöz  ·  Neue Einträge in «MiT Strom Pipeline» erscheinen automatisch.</t>
        </is>
      </c>
      <c r="M2" s="22" t="n"/>
      <c r="N2" s="22" t="n"/>
      <c r="O2" s="22" t="n"/>
      <c r="P2" s="22" t="n"/>
      <c r="Q2" s="22" t="n"/>
      <c r="R2" s="22" t="n"/>
      <c r="S2" s="22" t="n"/>
    </row>
    <row r="3" ht="4.5" customHeight="1">
      <c r="A3" s="172" t="n"/>
      <c r="M3" s="22" t="n"/>
      <c r="N3" s="22" t="n"/>
      <c r="O3" s="22" t="n"/>
      <c r="P3" s="22" t="n"/>
      <c r="Q3" s="22" t="n"/>
      <c r="R3" s="22" t="n"/>
      <c r="S3" s="22" t="n"/>
    </row>
    <row r="4" ht="9.75" customHeight="1">
      <c r="M4" s="22" t="n"/>
      <c r="N4" s="22" t="n"/>
      <c r="O4" s="22" t="n"/>
      <c r="P4" s="22" t="n"/>
      <c r="Q4" s="22" t="n"/>
      <c r="R4" s="22" t="n"/>
      <c r="S4" s="22" t="n"/>
    </row>
    <row r="5" ht="21.75" customHeight="1">
      <c r="A5" s="129" t="inlineStr">
        <is>
          <t>✅  AUFTRAGSEINGANG (WON)</t>
        </is>
      </c>
      <c r="E5" s="130" t="inlineStr">
        <is>
          <t>📄  OFFERTE — Laufend</t>
        </is>
      </c>
      <c r="I5" s="131" t="inlineStr">
        <is>
          <t>🎯  OPPORTUNITÄT</t>
        </is>
      </c>
      <c r="M5" s="23" t="n"/>
      <c r="N5" s="22" t="n"/>
      <c r="O5" s="22" t="n"/>
      <c r="P5" s="22" t="n"/>
      <c r="Q5" s="22" t="n"/>
      <c r="R5" s="22" t="n"/>
      <c r="S5" s="22" t="n"/>
    </row>
    <row r="6" ht="36" customHeight="1">
      <c r="A6" s="132">
        <f>SUMIFS('MiT Strom Pipeline'!I$6:I$860,'MiT Strom Pipeline'!R$6:R$860,"WON")</f>
        <v>694803.69</v>
      </c>
      <c r="E6" s="133">
        <f>SUMIFS('MiT Strom Pipeline'!I$6:I$860,'MiT Strom Pipeline'!R$6:R$860,"offered")+SUMIFS('MiT Strom Pipeline'!I$6:I$860,'MiT Strom Pipeline'!R$6:R$860,"to be offered")+SUMIFS('MiT Strom Pipeline'!I$6:I$860,'MiT Strom Pipeline'!R$6:R$860,"on hold")</f>
        <v>3559557.95</v>
      </c>
      <c r="I6" s="134">
        <f>SUMIFS('MiT Strom Pipeline'!I$6:I$860,'MiT Strom Pipeline'!R$6:R$860,"follow-up")+SUMIFS('MiT Strom Pipeline'!I$6:I$860,'MiT Strom Pipeline'!R$6:R$860,"Evaluation")+SUMIFS('MiT Strom Pipeline'!I$6:I$860,'MiT Strom Pipeline'!R$6:R$860,"tbd")+SUMIFS('MiT Strom Pipeline'!I$6:I$860,'MiT Strom Pipeline'!R$6:R$860,"In evaluation")</f>
        <v>1377334.56</v>
      </c>
      <c r="M6" s="23" t="n"/>
      <c r="N6" s="22" t="n"/>
      <c r="O6" s="22" t="n"/>
      <c r="P6" s="22" t="n"/>
      <c r="Q6" s="22" t="n"/>
      <c r="R6" s="22" t="n"/>
      <c r="S6" s="22" t="n"/>
    </row>
    <row r="7" ht="19.5" customHeight="1">
      <c r="A7" s="186">
        <f>COUNTIF('MiT Strom Pipeline'!R$6:R$860,"WON")</f>
        <v>7</v>
      </c>
      <c r="E7" s="187">
        <f>COUNTIF('MiT Strom Pipeline'!R$6:R$860,"offered")+COUNTIF('MiT Strom Pipeline'!R$6:R$860,"to be offered")+COUNTIF('MiT Strom Pipeline'!R$6:R$860,"on hold")</f>
        <v>19</v>
      </c>
      <c r="I7" s="188">
        <f>COUNTIF('MiT Strom Pipeline'!R$6:R$860,"follow-up")+COUNTIF('MiT Strom Pipeline'!R$6:R$860,"Evaluation")+COUNTIF('MiT Strom Pipeline'!R$6:R$860,"tbd")+COUNTIF('MiT Strom Pipeline'!R$6:R$860,"In evaluation")</f>
        <v>9</v>
      </c>
      <c r="M7" s="23" t="n"/>
      <c r="N7" s="22" t="n"/>
      <c r="O7" s="22" t="n"/>
      <c r="P7" s="22" t="n"/>
      <c r="Q7" s="22" t="n"/>
      <c r="R7" s="22" t="n"/>
      <c r="S7" s="22" t="n"/>
    </row>
    <row r="8" ht="7.5" customHeight="1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M8" s="23" t="n"/>
      <c r="N8" s="22" t="n"/>
      <c r="O8" s="22" t="n"/>
      <c r="P8" s="22" t="n"/>
      <c r="Q8" s="22" t="n"/>
      <c r="R8" s="22" t="n"/>
      <c r="S8" s="22" t="n"/>
    </row>
    <row r="9" ht="24" customHeight="1">
      <c r="A9" s="140" t="inlineStr">
        <is>
          <t>✅  1. AUFTRAGSEINGANG (WON) — Bestätigte Aufträge</t>
        </is>
      </c>
      <c r="B9" s="189" t="n"/>
      <c r="C9" s="189" t="n"/>
      <c r="D9" s="189" t="n"/>
      <c r="E9" s="189" t="n"/>
      <c r="F9" s="189" t="n"/>
      <c r="G9" s="189" t="n"/>
      <c r="H9" s="189" t="n"/>
      <c r="I9" s="189" t="n"/>
      <c r="J9" s="189" t="n"/>
      <c r="K9" s="189" t="n"/>
      <c r="L9" s="190" t="n"/>
      <c r="M9" s="23" t="n"/>
      <c r="N9" s="22" t="n"/>
      <c r="O9" s="22" t="n"/>
      <c r="P9" s="22" t="n"/>
      <c r="Q9" s="22" t="n"/>
      <c r="R9" s="22" t="n"/>
      <c r="S9" s="22" t="n"/>
    </row>
    <row r="10" ht="19.5" customHeight="1">
      <c r="A10" s="25" t="inlineStr">
        <is>
          <t>#</t>
        </is>
      </c>
      <c r="B10" s="25" t="inlineStr">
        <is>
          <t>Kunde / Unternehmen</t>
        </is>
      </c>
      <c r="C10" s="25" t="inlineStr">
        <is>
          <t>Kt.</t>
        </is>
      </c>
      <c r="D10" s="25" t="inlineStr">
        <is>
          <t>Segment</t>
        </is>
      </c>
      <c r="E10" s="25" t="inlineStr">
        <is>
          <t>Start</t>
        </is>
      </c>
      <c r="F10" s="25" t="inlineStr">
        <is>
          <t>Leistung / Fleet</t>
        </is>
      </c>
      <c r="G10" s="25" t="inlineStr">
        <is>
          <t>Volumen CHF</t>
        </is>
      </c>
      <c r="H10" s="25" t="inlineStr">
        <is>
          <t>Gew.Wert CHF</t>
        </is>
      </c>
      <c r="I10" s="25" t="inlineStr">
        <is>
          <t>Marge CHF</t>
        </is>
      </c>
      <c r="J10" s="25" t="inlineStr">
        <is>
          <t>Status</t>
        </is>
      </c>
      <c r="K10" s="25" t="inlineStr">
        <is>
          <t>Wahr.%</t>
        </is>
      </c>
      <c r="L10" s="25" t="inlineStr">
        <is>
          <t>Nächster Schritt</t>
        </is>
      </c>
      <c r="M10" s="22" t="n"/>
      <c r="N10" s="22" t="n"/>
      <c r="O10" s="22" t="n"/>
      <c r="P10" s="22" t="n"/>
      <c r="Q10" s="22" t="n"/>
      <c r="R10" s="22" t="n"/>
      <c r="S10" s="22" t="n"/>
    </row>
    <row r="11" ht="15.75" customHeight="1">
      <c r="A11" s="26">
        <f>IF($U11="","",IF(ISNUMBER(INDEX('MiT Strom Pipeline'!$A:$A,$U11)),INDEX('MiT Strom Pipeline'!$A:$A,$U11),""))</f>
        <v>1</v>
      </c>
      <c r="B11" s="27" t="str">
        <f>IF($U11="","",IF(INDEX('MiT Strom Pipeline'!$B:$B,$U11)="","",INDEX('MiT Strom Pipeline'!$B:$B,$U11)))</f>
        <v>Ice Hockey Championship</v>
      </c>
      <c r="C11" s="27" t="str">
        <f>IF($U11="","",IF(INDEX('MiT Strom Pipeline'!$C:$C,$U11)="","",INDEX('MiT Strom Pipeline'!$C:$C,$U11)))</f>
        <v>ZH</v>
      </c>
      <c r="D11" s="27" t="str">
        <f>IF($U11="","",IF(INDEX('MiT Strom Pipeline'!$D:$D,$U11)="","",INDEX('MiT Strom Pipeline'!$D:$D,$U11)))</f>
        <v>Events &amp; Sport</v>
      </c>
      <c r="E11" s="27" t="str">
        <f>IF($U11="","",IF(INDEX('MiT Strom Pipeline'!$H:$H,$U11)="","",INDEX('MiT Strom Pipeline'!$H:$H,$U11)))</f>
        <v>Mai</v>
      </c>
      <c r="F11" s="27" t="str">
        <f>IF($U11="","",IF(INDEX('MiT Strom Pipeline'!$E:$E,$U11)="","",INDEX('MiT Strom Pipeline'!$E:$E,$U11)))</f>
        <v>2×600+2×200 kVA</v>
      </c>
      <c r="G11" s="28">
        <f>IF($U11="","",IF(ISNUMBER(INDEX('MiT Strom Pipeline'!$I:$I,$U11)),INDEX('MiT Strom Pipeline'!$I:$I,$U11),0))</f>
        <v>310000</v>
      </c>
      <c r="H11" s="28">
        <f>IF($U11="","",IF(ISNUMBER(INDEX('MiT Strom Pipeline'!$Q:$Q,$U11)),INDEX('MiT Strom Pipeline'!$Q:$Q,$U11),0))</f>
        <v>310000</v>
      </c>
      <c r="I11" s="28">
        <f>IF($U11="","",IF(ISNUMBER(INDEX('MiT Strom Pipeline'!$O:$O,$U11)),INDEX('MiT Strom Pipeline'!$O:$O,$U11),0))</f>
        <v>75000</v>
      </c>
      <c r="J11" s="27" t="str">
        <f>IF($U11="","",INDEX('MiT Strom Pipeline'!$R:$R,$U11))</f>
        <v>WON</v>
      </c>
      <c r="K11" s="29">
        <f>IF($U11="","",IF(ISNUMBER(INDEX('MiT Strom Pipeline'!$S:$S,$U11)),INDEX('MiT Strom Pipeline'!$S:$S,$U11),""))</f>
        <v>1</v>
      </c>
      <c r="L11" s="27" t="str">
        <f>IF($U11="","",IF(LEN(INDEX('MiT Strom Pipeline'!$V:$V,$U11))&gt;0,LEFT(INDEX('MiT Strom Pipeline'!$V:$V,$U11),55),""))</f>
        <v>✅ Einsatzplanung läuft – Logistik finalisieren</v>
      </c>
      <c r="M11" s="22" t="n"/>
      <c r="N11" s="22" t="n"/>
      <c r="O11" s="22" t="n"/>
      <c r="P11" s="22" t="n"/>
      <c r="Q11" s="22" t="n"/>
      <c r="R11" s="22" t="n"/>
      <c r="S11" s="22" t="n"/>
      <c r="U11">
        <f>IFERROR(MATCH(1,'MiT Strom Pipeline'!$AB$6:$AB$860,0)+5,"")</f>
        <v>9</v>
      </c>
    </row>
    <row r="12" ht="15.75" customHeight="1">
      <c r="A12" s="26">
        <f>IF($U12="","",IF(ISNUMBER(INDEX('MiT Strom Pipeline'!$A:$A,$U12)),INDEX('MiT Strom Pipeline'!$A:$A,$U12),""))</f>
        <v>2</v>
      </c>
      <c r="B12" s="27" t="str">
        <f>IF($U12="","",IF(INDEX('MiT Strom Pipeline'!$B:$B,$U12)="","",INDEX('MiT Strom Pipeline'!$B:$B,$U12)))</f>
        <v>Oerlikon Metco Wohlen</v>
      </c>
      <c r="C12" s="27" t="str">
        <f>IF($U12="","",IF(INDEX('MiT Strom Pipeline'!$C:$C,$U12)="","",INDEX('MiT Strom Pipeline'!$C:$C,$U12)))</f>
        <v>AG</v>
      </c>
      <c r="D12" s="27" t="str">
        <f>IF($U12="","",IF(INDEX('MiT Strom Pipeline'!$D:$D,$U12)="","",INDEX('MiT Strom Pipeline'!$D:$D,$U12)))</f>
        <v>Industrie / Oberfläche</v>
      </c>
      <c r="E12" s="27" t="str">
        <f>IF($U12="","",IF(INDEX('MiT Strom Pipeline'!$H:$H,$U12)="","",INDEX('MiT Strom Pipeline'!$H:$H,$U12)))</f>
        <v>April</v>
      </c>
      <c r="F12" s="27" t="str">
        <f>IF($U12="","",IF(INDEX('MiT Strom Pipeline'!$E:$E,$U12)="","",INDEX('MiT Strom Pipeline'!$E:$E,$U12)))</f>
        <v>240 kVA Generator</v>
      </c>
      <c r="G12" s="28">
        <f>IF($U12="","",IF(ISNUMBER(INDEX('MiT Strom Pipeline'!$I:$I,$U12)),INDEX('MiT Strom Pipeline'!$I:$I,$U12),0))</f>
        <v>13100</v>
      </c>
      <c r="H12" s="28">
        <f>IF($U12="","",IF(ISNUMBER(INDEX('MiT Strom Pipeline'!$Q:$Q,$U12)),INDEX('MiT Strom Pipeline'!$Q:$Q,$U12),0))</f>
        <v>13100</v>
      </c>
      <c r="I12" s="28">
        <f>IF($U12="","",IF(ISNUMBER(INDEX('MiT Strom Pipeline'!$O:$O,$U12)),INDEX('MiT Strom Pipeline'!$O:$O,$U12),0))</f>
        <v>3000</v>
      </c>
      <c r="J12" s="27" t="str">
        <f>IF($U12="","",INDEX('MiT Strom Pipeline'!$R:$R,$U12))</f>
        <v>WON</v>
      </c>
      <c r="K12" s="29">
        <f>IF($U12="","",IF(ISNUMBER(INDEX('MiT Strom Pipeline'!$S:$S,$U12)),INDEX('MiT Strom Pipeline'!$S:$S,$U12),""))</f>
        <v>1</v>
      </c>
      <c r="L12" s="27" t="str">
        <f>IF($U12="","",IF(LEN(INDEX('MiT Strom Pipeline'!$V:$V,$U12))&gt;0,LEFT(INDEX('MiT Strom Pipeline'!$V:$V,$U12),55),""))</f>
        <v>✅ Abgeschlossen – Invoice prüfen, Referenz sichern</v>
      </c>
      <c r="M12" s="22" t="n"/>
      <c r="N12" s="22" t="n"/>
      <c r="O12" s="22" t="n"/>
      <c r="P12" s="22" t="n"/>
      <c r="Q12" s="22" t="n"/>
      <c r="R12" s="22" t="n"/>
      <c r="S12" s="22" t="n"/>
      <c r="U12">
        <f>IFERROR(MATCH(2,'MiT Strom Pipeline'!$AB$6:$AB$860,0)+5,"")</f>
        <v>10</v>
      </c>
    </row>
    <row r="13" ht="15.75" customHeight="1">
      <c r="A13" s="26">
        <f>IF($U13="","",IF(ISNUMBER(INDEX('MiT Strom Pipeline'!$A:$A,$U13)),INDEX('MiT Strom Pipeline'!$A:$A,$U13),""))</f>
        <v>3</v>
      </c>
      <c r="B13" s="27" t="str">
        <f>IF($U13="","",IF(INDEX('MiT Strom Pipeline'!$B:$B,$U13)="","",INDEX('MiT Strom Pipeline'!$B:$B,$U13)))</f>
        <v>Siemens</v>
      </c>
      <c r="C13" s="27" t="str">
        <f>IF($U13="","",IF(INDEX('MiT Strom Pipeline'!$C:$C,$U13)="","",INDEX('MiT Strom Pipeline'!$C:$C,$U13)))</f>
        <v>ZH</v>
      </c>
      <c r="D13" s="27" t="str">
        <f>IF($U13="","",IF(INDEX('MiT Strom Pipeline'!$D:$D,$U13)="","",INDEX('MiT Strom Pipeline'!$D:$D,$U13)))</f>
        <v>Industrie / Elektro</v>
      </c>
      <c r="E13" s="27" t="str">
        <f>IF($U13="","",IF(INDEX('MiT Strom Pipeline'!$H:$H,$U13)="","",INDEX('MiT Strom Pipeline'!$H:$H,$U13)))</f>
        <v>tbd</v>
      </c>
      <c r="F13" s="27" t="str">
        <f>IF($U13="","",IF(INDEX('MiT Strom Pipeline'!$E:$E,$U13)="","",INDEX('MiT Strom Pipeline'!$E:$E,$U13)))</f>
        <v>600 kVA Generator</v>
      </c>
      <c r="G13" s="28">
        <f>IF($U13="","",IF(ISNUMBER(INDEX('MiT Strom Pipeline'!$I:$I,$U13)),INDEX('MiT Strom Pipeline'!$I:$I,$U13),0))</f>
        <v>10000</v>
      </c>
      <c r="H13" s="28">
        <f>IF($U13="","",IF(ISNUMBER(INDEX('MiT Strom Pipeline'!$Q:$Q,$U13)),INDEX('MiT Strom Pipeline'!$Q:$Q,$U13),0))</f>
        <v>10000</v>
      </c>
      <c r="I13" s="28">
        <f>IF($U13="","",IF(ISNUMBER(INDEX('MiT Strom Pipeline'!$O:$O,$U13)),INDEX('MiT Strom Pipeline'!$O:$O,$U13),0))</f>
        <v>10000</v>
      </c>
      <c r="J13" s="27" t="str">
        <f>IF($U13="","",INDEX('MiT Strom Pipeline'!$R:$R,$U13))</f>
        <v>WON</v>
      </c>
      <c r="K13" s="29">
        <f>IF($U13="","",IF(ISNUMBER(INDEX('MiT Strom Pipeline'!$S:$S,$U13)),INDEX('MiT Strom Pipeline'!$S:$S,$U13),""))</f>
        <v>1</v>
      </c>
      <c r="L13" s="27" t="str">
        <f>IF($U13="","",IF(LEN(INDEX('MiT Strom Pipeline'!$V:$V,$U13))&gt;0,LEFT(INDEX('MiT Strom Pipeline'!$V:$V,$U13),55),""))</f>
        <v>✅ Referenzschreiben anfordern</v>
      </c>
      <c r="M13" s="22" t="n"/>
      <c r="N13" s="22" t="n"/>
      <c r="O13" s="22" t="n"/>
      <c r="P13" s="22" t="n"/>
      <c r="Q13" s="22" t="n"/>
      <c r="R13" s="22" t="n"/>
      <c r="S13" s="22" t="n"/>
      <c r="U13">
        <f>IFERROR(MATCH(3,'MiT Strom Pipeline'!$AB$6:$AB$860,0)+5,"")</f>
        <v>12</v>
      </c>
    </row>
    <row r="14" ht="15.75" customHeight="1">
      <c r="A14" s="26">
        <f>IF($U14="","",IF(ISNUMBER(INDEX('MiT Strom Pipeline'!$A:$A,$U14)),INDEX('MiT Strom Pipeline'!$A:$A,$U14),""))</f>
        <v>4</v>
      </c>
      <c r="B14" s="27" t="str">
        <f>IF($U14="","",IF(INDEX('MiT Strom Pipeline'!$B:$B,$U14)="","",INDEX('MiT Strom Pipeline'!$B:$B,$U14)))</f>
        <v>Stagelight – OpenAir Frauenfeld</v>
      </c>
      <c r="C14" s="27" t="str">
        <f>IF($U14="","",IF(INDEX('MiT Strom Pipeline'!$C:$C,$U14)="","",INDEX('MiT Strom Pipeline'!$C:$C,$U14)))</f>
        <v>TG</v>
      </c>
      <c r="D14" s="27" t="str">
        <f>IF($U14="","",IF(INDEX('MiT Strom Pipeline'!$D:$D,$U14)="","",INDEX('MiT Strom Pipeline'!$D:$D,$U14)))</f>
        <v>Events &amp; Kultur</v>
      </c>
      <c r="E14" s="27" t="str">
        <f>IF($U14="","",IF(INDEX('MiT Strom Pipeline'!$H:$H,$U14)="","",INDEX('MiT Strom Pipeline'!$H:$H,$U14)))</f>
        <v>Juli</v>
      </c>
      <c r="F14" s="27" t="str">
        <f>IF($U14="","",IF(INDEX('MiT Strom Pipeline'!$E:$E,$U14)="","",INDEX('MiT Strom Pipeline'!$E:$E,$U14)))</f>
        <v>~500 kVA Generator</v>
      </c>
      <c r="G14" s="28">
        <f>IF($U14="","",IF(ISNUMBER(INDEX('MiT Strom Pipeline'!$I:$I,$U14)),INDEX('MiT Strom Pipeline'!$I:$I,$U14),0))</f>
        <v>150000</v>
      </c>
      <c r="H14" s="28">
        <f>IF($U14="","",IF(ISNUMBER(INDEX('MiT Strom Pipeline'!$Q:$Q,$U14)),INDEX('MiT Strom Pipeline'!$Q:$Q,$U14),0))</f>
        <v>150000</v>
      </c>
      <c r="I14" s="28">
        <f>IF($U14="","",IF(ISNUMBER(INDEX('MiT Strom Pipeline'!$O:$O,$U14)),INDEX('MiT Strom Pipeline'!$O:$O,$U14),0))</f>
        <v>39500</v>
      </c>
      <c r="J14" s="27" t="str">
        <f>IF($U14="","",INDEX('MiT Strom Pipeline'!$R:$R,$U14))</f>
        <v>WON</v>
      </c>
      <c r="K14" s="29">
        <f>IF($U14="","",IF(ISNUMBER(INDEX('MiT Strom Pipeline'!$S:$S,$U14)),INDEX('MiT Strom Pipeline'!$S:$S,$U14),""))</f>
        <v>1</v>
      </c>
      <c r="L14" s="27" t="str">
        <f>IF($U14="","",IF(LEN(INDEX('MiT Strom Pipeline'!$V:$V,$U14))&gt;0,LEFT(INDEX('MiT Strom Pipeline'!$V:$V,$U14),55),""))</f>
        <v>Follow-up + Vertragsverhandlung initiieren</v>
      </c>
      <c r="M14" s="22" t="n"/>
      <c r="N14" s="22" t="n"/>
      <c r="O14" s="22" t="n"/>
      <c r="P14" s="22" t="n"/>
      <c r="Q14" s="22" t="n"/>
      <c r="R14" s="22" t="n"/>
      <c r="S14" s="22" t="n"/>
      <c r="U14">
        <f>IFERROR(MATCH(4,'MiT Strom Pipeline'!$AB$6:$AB$860,0)+5,"")</f>
        <v>13</v>
      </c>
    </row>
    <row r="15" hidden="1" ht="15.75" customHeight="1">
      <c r="A15" s="26">
        <f>IF($U15="","",IF(ISNUMBER(INDEX('MiT Strom Pipeline'!$A:$A,$U15)),INDEX('MiT Strom Pipeline'!$A:$A,$U15),""))</f>
        <v>10</v>
      </c>
      <c r="B15" s="27" t="str">
        <f>IF($U15="","",IF(INDEX('MiT Strom Pipeline'!$B:$B,$U15)="","",INDEX('MiT Strom Pipeline'!$B:$B,$U15)))</f>
        <v>Murg Flums Energie</v>
      </c>
      <c r="C15" s="27" t="str">
        <f>IF($U15="","",IF(INDEX('MiT Strom Pipeline'!$C:$C,$U15)="","",INDEX('MiT Strom Pipeline'!$C:$C,$U15)))</f>
        <v>SG</v>
      </c>
      <c r="D15" s="27" t="str">
        <f>IF($U15="","",IF(INDEX('MiT Strom Pipeline'!$D:$D,$U15)="","",INDEX('MiT Strom Pipeline'!$D:$D,$U15)))</f>
        <v>EVU / Energie</v>
      </c>
      <c r="E15" s="27" t="str">
        <f>IF($U15="","",IF(INDEX('MiT Strom Pipeline'!$H:$H,$U15)="","",INDEX('MiT Strom Pipeline'!$H:$H,$U15)))</f>
        <v>Auf Abruf</v>
      </c>
      <c r="F15" s="27" t="str">
        <f>IF($U15="","",IF(INDEX('MiT Strom Pipeline'!$E:$E,$U15)="","",INDEX('MiT Strom Pipeline'!$E:$E,$U15)))</f>
        <v>250 kVA Generator</v>
      </c>
      <c r="G15" s="28">
        <f>IF($U15="","",IF(ISNUMBER(INDEX('MiT Strom Pipeline'!$I:$I,$U15)),INDEX('MiT Strom Pipeline'!$I:$I,$U15),0))</f>
        <v>96658.69</v>
      </c>
      <c r="H15" s="28">
        <f>IF($U15="","",IF(ISNUMBER(INDEX('MiT Strom Pipeline'!$Q:$Q,$U15)),INDEX('MiT Strom Pipeline'!$Q:$Q,$U15),0))</f>
        <v>96658.69</v>
      </c>
      <c r="I15" s="28">
        <f>IF($U15="","",IF(ISNUMBER(INDEX('MiT Strom Pipeline'!$O:$O,$U15)),INDEX('MiT Strom Pipeline'!$O:$O,$U15),0))</f>
        <v>7242.69</v>
      </c>
      <c r="J15" s="27" t="str">
        <f>IF($U15="","",INDEX('MiT Strom Pipeline'!$R:$R,$U15))</f>
        <v>WON</v>
      </c>
      <c r="K15" s="29">
        <f>IF($U15="","",IF(ISNUMBER(INDEX('MiT Strom Pipeline'!$S:$S,$U15)),INDEX('MiT Strom Pipeline'!$S:$S,$U15),""))</f>
        <v>1</v>
      </c>
      <c r="L15" s="27" t="str">
        <f>IF($U15="","",IF(LEN(INDEX('MiT Strom Pipeline'!$V:$V,$U15))&gt;0,LEFT(INDEX('MiT Strom Pipeline'!$V:$V,$U15),55),""))</f>
        <v>Bedarfsanalyse, NEA-Konzept vorschlagen, Termin vor Ort</v>
      </c>
      <c r="M15" s="22" t="n"/>
      <c r="N15" s="22" t="n"/>
      <c r="O15" s="22" t="n"/>
      <c r="P15" s="22" t="n"/>
      <c r="Q15" s="22" t="n"/>
      <c r="R15" s="22" t="n"/>
      <c r="S15" s="22" t="n"/>
      <c r="U15">
        <f>IFERROR(MATCH(5,'MiT Strom Pipeline'!$AB$6:$AB$860,0)+5,"")</f>
        <v>14</v>
      </c>
    </row>
    <row r="16" hidden="1" ht="15.75" customHeight="1">
      <c r="A16" s="26">
        <f>IF($U16="","",IF(ISNUMBER(INDEX('MiT Strom Pipeline'!$A:$A,$U16)),INDEX('MiT Strom Pipeline'!$A:$A,$U16),""))</f>
        <v>21</v>
      </c>
      <c r="B16" s="27" t="str">
        <f>IF($U16="","",IF(INDEX('MiT Strom Pipeline'!$B:$B,$U16)="","",INDEX('MiT Strom Pipeline'!$B:$B,$U16)))</f>
        <v>X-Event</v>
      </c>
      <c r="C16" s="27" t="str">
        <f>IF($U16="","",IF(INDEX('MiT Strom Pipeline'!$C:$C,$U16)="","",INDEX('MiT Strom Pipeline'!$C:$C,$U16)))</f>
        <v>SH</v>
      </c>
      <c r="D16" s="27" t="str">
        <f>IF($U16="","",IF(INDEX('MiT Strom Pipeline'!$D:$D,$U16)="","",INDEX('MiT Strom Pipeline'!$D:$D,$U16)))</f>
        <v>Events / Medien</v>
      </c>
      <c r="E16" s="27" t="str">
        <f>IF($U16="","",IF(INDEX('MiT Strom Pipeline'!$H:$H,$U16)="","",INDEX('MiT Strom Pipeline'!$H:$H,$U16)))</f>
        <v>Juni</v>
      </c>
      <c r="F16" s="27" t="str">
        <f>IF($U16="","",IF(INDEX('MiT Strom Pipeline'!$E:$E,$U16)="","",INDEX('MiT Strom Pipeline'!$E:$E,$U16)))</f>
        <v>100 kVA Generator</v>
      </c>
      <c r="G16" s="28">
        <f>IF($U16="","",IF(ISNUMBER(INDEX('MiT Strom Pipeline'!$I:$I,$U16)),INDEX('MiT Strom Pipeline'!$I:$I,$U16),0))</f>
        <v>0</v>
      </c>
      <c r="H16" s="28">
        <f>IF($U16="","",IF(ISNUMBER(INDEX('MiT Strom Pipeline'!$Q:$Q,$U16)),INDEX('MiT Strom Pipeline'!$Q:$Q,$U16),0))</f>
        <v>0</v>
      </c>
      <c r="I16" s="28">
        <f>IF($U16="","",IF(ISNUMBER(INDEX('MiT Strom Pipeline'!$O:$O,$U16)),INDEX('MiT Strom Pipeline'!$O:$O,$U16),0))</f>
        <v>0</v>
      </c>
      <c r="J16" s="27" t="str">
        <f>IF($U16="","",INDEX('MiT Strom Pipeline'!$R:$R,$U16))</f>
        <v>WON</v>
      </c>
      <c r="K16" s="29">
        <f>IF($U16="","",IF(ISNUMBER(INDEX('MiT Strom Pipeline'!$S:$S,$U16)),INDEX('MiT Strom Pipeline'!$S:$S,$U16),""))</f>
        <v>1</v>
      </c>
      <c r="L16" s="27" t="str">
        <f>IF($U16="","",IF(LEN(INDEX('MiT Strom Pipeline'!$V:$V,$U16))&gt;0,LEFT(INDEX('MiT Strom Pipeline'!$V:$V,$U16),55),""))</f>
        <v>Kunde Telefon Kontaktiert und Vor Ort 
Besichtigung und</v>
      </c>
      <c r="M16" s="22" t="n"/>
      <c r="N16" s="22" t="n"/>
      <c r="O16" s="22" t="n"/>
      <c r="P16" s="22" t="n"/>
      <c r="Q16" s="22" t="n"/>
      <c r="R16" s="22" t="n"/>
      <c r="S16" s="22" t="n"/>
      <c r="U16">
        <f>IFERROR(MATCH(6,'MiT Strom Pipeline'!$AB$6:$AB$860,0)+5,"")</f>
        <v>15</v>
      </c>
    </row>
    <row r="17" hidden="1" ht="15.75" customHeight="1">
      <c r="A17" s="26">
        <f>IF($U17="","",IF(ISNUMBER(INDEX('MiT Strom Pipeline'!$A:$A,$U17)),INDEX('MiT Strom Pipeline'!$A:$A,$U17),""))</f>
        <v>29</v>
      </c>
      <c r="B17" s="27" t="str">
        <f>IF($U17="","",IF(INDEX('MiT Strom Pipeline'!$B:$B,$U17)="","",INDEX('MiT Strom Pipeline'!$B:$B,$U17)))</f>
        <v>Gampeln</v>
      </c>
      <c r="C17" s="27" t="str">
        <f>IF($U17="","",IF(INDEX('MiT Strom Pipeline'!$C:$C,$U17)="","",INDEX('MiT Strom Pipeline'!$C:$C,$U17)))</f>
        <v>VS</v>
      </c>
      <c r="D17" s="27" t="str">
        <f>IF($U17="","",IF(INDEX('MiT Strom Pipeline'!$D:$D,$U17)="","",INDEX('MiT Strom Pipeline'!$D:$D,$U17)))</f>
        <v>Event</v>
      </c>
      <c r="E17" s="27" t="str">
        <f>IF($U17="","",IF(INDEX('MiT Strom Pipeline'!$H:$H,$U17)="","",INDEX('MiT Strom Pipeline'!$H:$H,$U17)))</f>
        <v>Aug</v>
      </c>
      <c r="F17" s="27" t="str">
        <f>IF($U17="","",IF(INDEX('MiT Strom Pipeline'!$E:$E,$U17)="","",INDEX('MiT Strom Pipeline'!$E:$E,$U17)))</f>
        <v>6x300 kVA, 10x200 kVA, 1x100 kVA Generator</v>
      </c>
      <c r="G17" s="28">
        <f>IF($U17="","",IF(ISNUMBER(INDEX('MiT Strom Pipeline'!$I:$I,$U17)),INDEX('MiT Strom Pipeline'!$I:$I,$U17),0))</f>
        <v>115045</v>
      </c>
      <c r="H17" s="28">
        <f>IF($U17="","",IF(ISNUMBER(INDEX('MiT Strom Pipeline'!$Q:$Q,$U17)),INDEX('MiT Strom Pipeline'!$Q:$Q,$U17),0))</f>
        <v>115045</v>
      </c>
      <c r="I17" s="28">
        <f>IF($U17="","",IF(ISNUMBER(INDEX('MiT Strom Pipeline'!$O:$O,$U17)),INDEX('MiT Strom Pipeline'!$O:$O,$U17),0))</f>
        <v>0</v>
      </c>
      <c r="J17" s="27" t="str">
        <f>IF($U17="","",INDEX('MiT Strom Pipeline'!$R:$R,$U17))</f>
        <v>WON</v>
      </c>
      <c r="K17" s="29">
        <f>IF($U17="","",IF(ISNUMBER(INDEX('MiT Strom Pipeline'!$S:$S,$U17)),INDEX('MiT Strom Pipeline'!$S:$S,$U17),""))</f>
        <v>1</v>
      </c>
      <c r="L17" s="27" t="str">
        <f>IF($U17="","",IF(LEN(INDEX('MiT Strom Pipeline'!$V:$V,$U17))&gt;0,LEFT(INDEX('MiT Strom Pipeline'!$V:$V,$U17),55),""))</f>
        <v>Kunde angeschrieben, Kunde besucht, Kunde zufrieden mit</v>
      </c>
      <c r="M17" s="22" t="n"/>
      <c r="N17" s="22" t="n"/>
      <c r="O17" s="22" t="n"/>
      <c r="P17" s="22" t="n"/>
      <c r="Q17" s="22" t="n"/>
      <c r="R17" s="22" t="n"/>
      <c r="S17" s="22" t="n"/>
      <c r="U17">
        <f>IFERROR(MATCH(7,'MiT Strom Pipeline'!$AB$6:$AB$860,0)+5,"")</f>
        <v>22</v>
      </c>
    </row>
    <row r="18" hidden="1" ht="15.75" customHeight="1">
      <c r="A18" s="26" t="str">
        <f>IF($U18="","",IF(ISNUMBER(INDEX('MiT Strom Pipeline'!$A:$A,$U18)),INDEX('MiT Strom Pipeline'!$A:$A,$U18),""))</f>
        <v/>
      </c>
      <c r="B18" s="27" t="str">
        <f>IF($U18="","",IF(INDEX('MiT Strom Pipeline'!$B:$B,$U18)="","",INDEX('MiT Strom Pipeline'!$B:$B,$U18)))</f>
        <v/>
      </c>
      <c r="C18" s="27" t="str">
        <f>IF($U18="","",IF(INDEX('MiT Strom Pipeline'!$C:$C,$U18)="","",INDEX('MiT Strom Pipeline'!$C:$C,$U18)))</f>
        <v/>
      </c>
      <c r="D18" s="27" t="str">
        <f>IF($U18="","",IF(INDEX('MiT Strom Pipeline'!$D:$D,$U18)="","",INDEX('MiT Strom Pipeline'!$D:$D,$U18)))</f>
        <v/>
      </c>
      <c r="E18" s="27" t="str">
        <f>IF($U18="","",IF(INDEX('MiT Strom Pipeline'!$H:$H,$U18)="","",INDEX('MiT Strom Pipeline'!$H:$H,$U18)))</f>
        <v/>
      </c>
      <c r="F18" s="27" t="str">
        <f>IF($U18="","",IF(INDEX('MiT Strom Pipeline'!$E:$E,$U18)="","",INDEX('MiT Strom Pipeline'!$E:$E,$U18)))</f>
        <v/>
      </c>
      <c r="G18" s="28" t="str">
        <f>IF($U18="","",IF(ISNUMBER(INDEX('MiT Strom Pipeline'!$I:$I,$U18)),INDEX('MiT Strom Pipeline'!$I:$I,$U18),0))</f>
        <v/>
      </c>
      <c r="H18" s="28" t="str">
        <f>IF($U18="","",IF(ISNUMBER(INDEX('MiT Strom Pipeline'!$Q:$Q,$U18)),INDEX('MiT Strom Pipeline'!$Q:$Q,$U18),0))</f>
        <v/>
      </c>
      <c r="I18" s="28" t="str">
        <f>IF($U18="","",IF(ISNUMBER(INDEX('MiT Strom Pipeline'!$O:$O,$U18)),INDEX('MiT Strom Pipeline'!$O:$O,$U18),0))</f>
        <v/>
      </c>
      <c r="J18" s="27" t="str">
        <f>IF($U18="","",INDEX('MiT Strom Pipeline'!$R:$R,$U18))</f>
        <v/>
      </c>
      <c r="K18" s="29" t="str">
        <f>IF($U18="","",IF(ISNUMBER(INDEX('MiT Strom Pipeline'!$S:$S,$U18)),INDEX('MiT Strom Pipeline'!$S:$S,$U18),""))</f>
        <v/>
      </c>
      <c r="L18" s="27" t="str">
        <f>IF($U18="","",IF(LEN(INDEX('MiT Strom Pipeline'!$V:$V,$U18))&gt;0,LEFT(INDEX('MiT Strom Pipeline'!$V:$V,$U18),55),""))</f>
        <v/>
      </c>
      <c r="M18" s="22" t="n"/>
      <c r="N18" s="22" t="n"/>
      <c r="O18" s="22" t="n"/>
      <c r="P18" s="22" t="n"/>
      <c r="Q18" s="22" t="n"/>
      <c r="R18" s="22" t="n"/>
      <c r="S18" s="22" t="n"/>
      <c r="U18" t="str">
        <f>IFERROR(MATCH(8,'MiT Strom Pipeline'!$AB$6:$AB$860,0)+5,"")</f>
        <v/>
      </c>
    </row>
    <row r="19" ht="15.75" customHeight="1">
      <c r="A19" s="26" t="str">
        <f>IF($U19="","",IF(ISNUMBER(INDEX('MiT Strom Pipeline'!$A:$A,$U19)),INDEX('MiT Strom Pipeline'!$A:$A,$U19),""))</f>
        <v/>
      </c>
      <c r="B19" s="27" t="str">
        <f>IF($U19="","",IF(INDEX('MiT Strom Pipeline'!$B:$B,$U19)="","",INDEX('MiT Strom Pipeline'!$B:$B,$U19)))</f>
        <v/>
      </c>
      <c r="C19" s="27" t="str">
        <f>IF($U19="","",IF(INDEX('MiT Strom Pipeline'!$C:$C,$U19)="","",INDEX('MiT Strom Pipeline'!$C:$C,$U19)))</f>
        <v/>
      </c>
      <c r="D19" s="27" t="str">
        <f>IF($U19="","",IF(INDEX('MiT Strom Pipeline'!$D:$D,$U19)="","",INDEX('MiT Strom Pipeline'!$D:$D,$U19)))</f>
        <v/>
      </c>
      <c r="E19" s="27" t="str">
        <f>IF($U19="","",IF(INDEX('MiT Strom Pipeline'!$H:$H,$U19)="","",INDEX('MiT Strom Pipeline'!$H:$H,$U19)))</f>
        <v/>
      </c>
      <c r="F19" s="27" t="str">
        <f>IF($U19="","",IF(INDEX('MiT Strom Pipeline'!$E:$E,$U19)="","",INDEX('MiT Strom Pipeline'!$E:$E,$U19)))</f>
        <v/>
      </c>
      <c r="G19" s="28" t="str">
        <f>IF($U19="","",IF(ISNUMBER(INDEX('MiT Strom Pipeline'!$I:$I,$U19)),INDEX('MiT Strom Pipeline'!$I:$I,$U19),0))</f>
        <v/>
      </c>
      <c r="H19" s="28" t="str">
        <f>IF($U19="","",IF(ISNUMBER(INDEX('MiT Strom Pipeline'!$Q:$Q,$U19)),INDEX('MiT Strom Pipeline'!$Q:$Q,$U19),0))</f>
        <v/>
      </c>
      <c r="I19" s="28" t="str">
        <f>IF($U19="","",IF(ISNUMBER(INDEX('MiT Strom Pipeline'!$O:$O,$U19)),INDEX('MiT Strom Pipeline'!$O:$O,$U19),0))</f>
        <v/>
      </c>
      <c r="J19" s="27" t="str">
        <f>IF($U19="","",INDEX('MiT Strom Pipeline'!$R:$R,$U19))</f>
        <v/>
      </c>
      <c r="K19" s="29" t="str">
        <f>IF($U19="","",IF(ISNUMBER(INDEX('MiT Strom Pipeline'!$S:$S,$U19)),INDEX('MiT Strom Pipeline'!$S:$S,$U19),""))</f>
        <v/>
      </c>
      <c r="L19" s="27" t="str">
        <f>IF($U19="","",IF(LEN(INDEX('MiT Strom Pipeline'!$V:$V,$U19))&gt;0,LEFT(INDEX('MiT Strom Pipeline'!$V:$V,$U19),55),""))</f>
        <v/>
      </c>
      <c r="M19" s="22" t="n"/>
      <c r="N19" s="22" t="n"/>
      <c r="O19" s="22" t="n"/>
      <c r="P19" s="22" t="n"/>
      <c r="Q19" s="22" t="n"/>
      <c r="R19" s="22" t="n"/>
      <c r="S19" s="22" t="n"/>
      <c r="U19" t="str">
        <f>IFERROR(MATCH(9,'MiT Strom Pipeline'!$AB$6:$AB$860,0)+5,"")</f>
        <v/>
      </c>
    </row>
    <row r="20" hidden="1" ht="15.75" customHeight="1">
      <c r="A20" s="26" t="str">
        <f>IF($U20="","",IF(ISNUMBER(INDEX('MiT Strom Pipeline'!$A:$A,$U20)),INDEX('MiT Strom Pipeline'!$A:$A,$U20),""))</f>
        <v/>
      </c>
      <c r="B20" s="27" t="str">
        <f>IF($U20="","",IF(INDEX('MiT Strom Pipeline'!$B:$B,$U20)="","",INDEX('MiT Strom Pipeline'!$B:$B,$U20)))</f>
        <v/>
      </c>
      <c r="C20" s="27" t="str">
        <f>IF($U20="","",IF(INDEX('MiT Strom Pipeline'!$C:$C,$U20)="","",INDEX('MiT Strom Pipeline'!$C:$C,$U20)))</f>
        <v/>
      </c>
      <c r="D20" s="27" t="str">
        <f>IF($U20="","",IF(INDEX('MiT Strom Pipeline'!$D:$D,$U20)="","",INDEX('MiT Strom Pipeline'!$D:$D,$U20)))</f>
        <v/>
      </c>
      <c r="E20" s="27" t="str">
        <f>IF($U20="","",IF(INDEX('MiT Strom Pipeline'!$H:$H,$U20)="","",INDEX('MiT Strom Pipeline'!$H:$H,$U20)))</f>
        <v/>
      </c>
      <c r="F20" s="27" t="str">
        <f>IF($U20="","",IF(INDEX('MiT Strom Pipeline'!$E:$E,$U20)="","",INDEX('MiT Strom Pipeline'!$E:$E,$U20)))</f>
        <v/>
      </c>
      <c r="G20" s="28" t="str">
        <f>IF($U20="","",IF(ISNUMBER(INDEX('MiT Strom Pipeline'!$I:$I,$U20)),INDEX('MiT Strom Pipeline'!$I:$I,$U20),0))</f>
        <v/>
      </c>
      <c r="H20" s="28" t="str">
        <f>IF($U20="","",IF(ISNUMBER(INDEX('MiT Strom Pipeline'!$Q:$Q,$U20)),INDEX('MiT Strom Pipeline'!$Q:$Q,$U20),0))</f>
        <v/>
      </c>
      <c r="I20" s="28" t="str">
        <f>IF($U20="","",IF(ISNUMBER(INDEX('MiT Strom Pipeline'!$O:$O,$U20)),INDEX('MiT Strom Pipeline'!$O:$O,$U20),0))</f>
        <v/>
      </c>
      <c r="J20" s="27" t="str">
        <f>IF($U20="","",INDEX('MiT Strom Pipeline'!$R:$R,$U20))</f>
        <v/>
      </c>
      <c r="K20" s="29" t="str">
        <f>IF($U20="","",IF(ISNUMBER(INDEX('MiT Strom Pipeline'!$S:$S,$U20)),INDEX('MiT Strom Pipeline'!$S:$S,$U20),""))</f>
        <v/>
      </c>
      <c r="L20" s="27" t="str">
        <f>IF($U20="","",IF(LEN(INDEX('MiT Strom Pipeline'!$V:$V,$U20))&gt;0,LEFT(INDEX('MiT Strom Pipeline'!$V:$V,$U20),55),""))</f>
        <v/>
      </c>
      <c r="M20" s="22" t="n"/>
      <c r="N20" s="22" t="n"/>
      <c r="O20" s="22" t="n"/>
      <c r="P20" s="22" t="n"/>
      <c r="Q20" s="22" t="n"/>
      <c r="R20" s="22" t="n"/>
      <c r="S20" s="22" t="n"/>
      <c r="U20" t="str">
        <f>IFERROR(MATCH(10,'MiT Strom Pipeline'!$AB$6:$AB$860,0)+5,"")</f>
        <v/>
      </c>
    </row>
    <row r="21" hidden="1" ht="15.75" customHeight="1">
      <c r="A21" s="26" t="str">
        <f>IF($U21="","",IF(ISNUMBER(INDEX('MiT Strom Pipeline'!$A:$A,$U21)),INDEX('MiT Strom Pipeline'!$A:$A,$U21),""))</f>
        <v/>
      </c>
      <c r="B21" s="27" t="str">
        <f>IF($U21="","",IF(INDEX('MiT Strom Pipeline'!$B:$B,$U21)="","",INDEX('MiT Strom Pipeline'!$B:$B,$U21)))</f>
        <v/>
      </c>
      <c r="C21" s="27" t="str">
        <f>IF($U21="","",IF(INDEX('MiT Strom Pipeline'!$C:$C,$U21)="","",INDEX('MiT Strom Pipeline'!$C:$C,$U21)))</f>
        <v/>
      </c>
      <c r="D21" s="27" t="str">
        <f>IF($U21="","",IF(INDEX('MiT Strom Pipeline'!$D:$D,$U21)="","",INDEX('MiT Strom Pipeline'!$D:$D,$U21)))</f>
        <v/>
      </c>
      <c r="E21" s="27" t="str">
        <f>IF($U21="","",IF(INDEX('MiT Strom Pipeline'!$H:$H,$U21)="","",INDEX('MiT Strom Pipeline'!$H:$H,$U21)))</f>
        <v/>
      </c>
      <c r="F21" s="27" t="str">
        <f>IF($U21="","",IF(INDEX('MiT Strom Pipeline'!$E:$E,$U21)="","",INDEX('MiT Strom Pipeline'!$E:$E,$U21)))</f>
        <v/>
      </c>
      <c r="G21" s="28" t="str">
        <f>IF($U21="","",IF(ISNUMBER(INDEX('MiT Strom Pipeline'!$I:$I,$U21)),INDEX('MiT Strom Pipeline'!$I:$I,$U21),0))</f>
        <v/>
      </c>
      <c r="H21" s="28" t="str">
        <f>IF($U21="","",IF(ISNUMBER(INDEX('MiT Strom Pipeline'!$Q:$Q,$U21)),INDEX('MiT Strom Pipeline'!$Q:$Q,$U21),0))</f>
        <v/>
      </c>
      <c r="I21" s="28" t="str">
        <f>IF($U21="","",IF(ISNUMBER(INDEX('MiT Strom Pipeline'!$O:$O,$U21)),INDEX('MiT Strom Pipeline'!$O:$O,$U21),0))</f>
        <v/>
      </c>
      <c r="J21" s="27" t="str">
        <f>IF($U21="","",INDEX('MiT Strom Pipeline'!$R:$R,$U21))</f>
        <v/>
      </c>
      <c r="K21" s="29" t="str">
        <f>IF($U21="","",IF(ISNUMBER(INDEX('MiT Strom Pipeline'!$S:$S,$U21)),INDEX('MiT Strom Pipeline'!$S:$S,$U21),""))</f>
        <v/>
      </c>
      <c r="L21" s="27" t="str">
        <f>IF($U21="","",IF(LEN(INDEX('MiT Strom Pipeline'!$V:$V,$U21))&gt;0,LEFT(INDEX('MiT Strom Pipeline'!$V:$V,$U21),55),""))</f>
        <v/>
      </c>
      <c r="M21" s="22" t="n"/>
      <c r="N21" s="22" t="n"/>
      <c r="O21" s="22" t="n"/>
      <c r="P21" s="22" t="n"/>
      <c r="Q21" s="22" t="n"/>
      <c r="R21" s="22" t="n"/>
      <c r="S21" s="22" t="n"/>
      <c r="U21" t="str">
        <f>IFERROR(MATCH(11,'MiT Strom Pipeline'!$AB$6:$AB$860,0)+5,"")</f>
        <v/>
      </c>
    </row>
    <row r="22" hidden="1" ht="15.75" customHeight="1">
      <c r="A22" s="26" t="str">
        <f>IF($U22="","",IF(ISNUMBER(INDEX('MiT Strom Pipeline'!$A:$A,$U22)),INDEX('MiT Strom Pipeline'!$A:$A,$U22),""))</f>
        <v/>
      </c>
      <c r="B22" s="27" t="str">
        <f>IF($U22="","",IF(INDEX('MiT Strom Pipeline'!$B:$B,$U22)="","",INDEX('MiT Strom Pipeline'!$B:$B,$U22)))</f>
        <v/>
      </c>
      <c r="C22" s="27" t="str">
        <f>IF($U22="","",IF(INDEX('MiT Strom Pipeline'!$C:$C,$U22)="","",INDEX('MiT Strom Pipeline'!$C:$C,$U22)))</f>
        <v/>
      </c>
      <c r="D22" s="27" t="str">
        <f>IF($U22="","",IF(INDEX('MiT Strom Pipeline'!$D:$D,$U22)="","",INDEX('MiT Strom Pipeline'!$D:$D,$U22)))</f>
        <v/>
      </c>
      <c r="E22" s="27" t="str">
        <f>IF($U22="","",IF(INDEX('MiT Strom Pipeline'!$H:$H,$U22)="","",INDEX('MiT Strom Pipeline'!$H:$H,$U22)))</f>
        <v/>
      </c>
      <c r="F22" s="27" t="str">
        <f>IF($U22="","",IF(INDEX('MiT Strom Pipeline'!$E:$E,$U22)="","",INDEX('MiT Strom Pipeline'!$E:$E,$U22)))</f>
        <v/>
      </c>
      <c r="G22" s="28" t="str">
        <f>IF($U22="","",IF(ISNUMBER(INDEX('MiT Strom Pipeline'!$I:$I,$U22)),INDEX('MiT Strom Pipeline'!$I:$I,$U22),0))</f>
        <v/>
      </c>
      <c r="H22" s="28" t="str">
        <f>IF($U22="","",IF(ISNUMBER(INDEX('MiT Strom Pipeline'!$Q:$Q,$U22)),INDEX('MiT Strom Pipeline'!$Q:$Q,$U22),0))</f>
        <v/>
      </c>
      <c r="I22" s="28" t="str">
        <f>IF($U22="","",IF(ISNUMBER(INDEX('MiT Strom Pipeline'!$O:$O,$U22)),INDEX('MiT Strom Pipeline'!$O:$O,$U22),0))</f>
        <v/>
      </c>
      <c r="J22" s="27" t="str">
        <f>IF($U22="","",INDEX('MiT Strom Pipeline'!$R:$R,$U22))</f>
        <v/>
      </c>
      <c r="K22" s="29" t="str">
        <f>IF($U22="","",IF(ISNUMBER(INDEX('MiT Strom Pipeline'!$S:$S,$U22)),INDEX('MiT Strom Pipeline'!$S:$S,$U22),""))</f>
        <v/>
      </c>
      <c r="L22" s="27" t="str">
        <f>IF($U22="","",IF(LEN(INDEX('MiT Strom Pipeline'!$V:$V,$U22))&gt;0,LEFT(INDEX('MiT Strom Pipeline'!$V:$V,$U22),55),""))</f>
        <v/>
      </c>
      <c r="M22" s="22" t="n"/>
      <c r="N22" s="22" t="n"/>
      <c r="O22" s="22" t="n"/>
      <c r="P22" s="22" t="n"/>
      <c r="Q22" s="22" t="n"/>
      <c r="R22" s="22" t="n"/>
      <c r="S22" s="22" t="n"/>
      <c r="U22" t="str">
        <f>IFERROR(MATCH(12,'MiT Strom Pipeline'!$AB$6:$AB$860,0)+5,"")</f>
        <v/>
      </c>
    </row>
    <row r="23" hidden="1" ht="15.75" customHeight="1">
      <c r="A23" s="26" t="str">
        <f>IF($U23="","",IF(ISNUMBER(INDEX('MiT Strom Pipeline'!$A:$A,$U23)),INDEX('MiT Strom Pipeline'!$A:$A,$U23),""))</f>
        <v/>
      </c>
      <c r="B23" s="27" t="str">
        <f>IF($U23="","",IF(INDEX('MiT Strom Pipeline'!$B:$B,$U23)="","",INDEX('MiT Strom Pipeline'!$B:$B,$U23)))</f>
        <v/>
      </c>
      <c r="C23" s="27" t="str">
        <f>IF($U23="","",IF(INDEX('MiT Strom Pipeline'!$C:$C,$U23)="","",INDEX('MiT Strom Pipeline'!$C:$C,$U23)))</f>
        <v/>
      </c>
      <c r="D23" s="27" t="str">
        <f>IF($U23="","",IF(INDEX('MiT Strom Pipeline'!$D:$D,$U23)="","",INDEX('MiT Strom Pipeline'!$D:$D,$U23)))</f>
        <v/>
      </c>
      <c r="E23" s="27" t="str">
        <f>IF($U23="","",IF(INDEX('MiT Strom Pipeline'!$H:$H,$U23)="","",INDEX('MiT Strom Pipeline'!$H:$H,$U23)))</f>
        <v/>
      </c>
      <c r="F23" s="27" t="str">
        <f>IF($U23="","",IF(INDEX('MiT Strom Pipeline'!$E:$E,$U23)="","",INDEX('MiT Strom Pipeline'!$E:$E,$U23)))</f>
        <v/>
      </c>
      <c r="G23" s="28" t="str">
        <f>IF($U23="","",IF(ISNUMBER(INDEX('MiT Strom Pipeline'!$I:$I,$U23)),INDEX('MiT Strom Pipeline'!$I:$I,$U23),0))</f>
        <v/>
      </c>
      <c r="H23" s="28" t="str">
        <f>IF($U23="","",IF(ISNUMBER(INDEX('MiT Strom Pipeline'!$Q:$Q,$U23)),INDEX('MiT Strom Pipeline'!$Q:$Q,$U23),0))</f>
        <v/>
      </c>
      <c r="I23" s="28" t="str">
        <f>IF($U23="","",IF(ISNUMBER(INDEX('MiT Strom Pipeline'!$O:$O,$U23)),INDEX('MiT Strom Pipeline'!$O:$O,$U23),0))</f>
        <v/>
      </c>
      <c r="J23" s="27" t="str">
        <f>IF($U23="","",INDEX('MiT Strom Pipeline'!$R:$R,$U23))</f>
        <v/>
      </c>
      <c r="K23" s="29" t="str">
        <f>IF($U23="","",IF(ISNUMBER(INDEX('MiT Strom Pipeline'!$S:$S,$U23)),INDEX('MiT Strom Pipeline'!$S:$S,$U23),""))</f>
        <v/>
      </c>
      <c r="L23" s="27" t="str">
        <f>IF($U23="","",IF(LEN(INDEX('MiT Strom Pipeline'!$V:$V,$U23))&gt;0,LEFT(INDEX('MiT Strom Pipeline'!$V:$V,$U23),55),""))</f>
        <v/>
      </c>
      <c r="M23" s="22" t="n"/>
      <c r="N23" s="22" t="n"/>
      <c r="O23" s="22" t="n"/>
      <c r="P23" s="22" t="n"/>
      <c r="Q23" s="22" t="n"/>
      <c r="R23" s="22" t="n"/>
      <c r="S23" s="22" t="n"/>
      <c r="U23" t="str">
        <f>IFERROR(MATCH(13,'MiT Strom Pipeline'!$AB$6:$AB$860,0)+5,"")</f>
        <v/>
      </c>
    </row>
    <row r="24" hidden="1" ht="15.75" customHeight="1">
      <c r="A24" s="26" t="str">
        <f>IF($U24="","",IF(ISNUMBER(INDEX('MiT Strom Pipeline'!$A:$A,$U24)),INDEX('MiT Strom Pipeline'!$A:$A,$U24),""))</f>
        <v/>
      </c>
      <c r="B24" s="27" t="str">
        <f>IF($U24="","",IF(INDEX('MiT Strom Pipeline'!$B:$B,$U24)="","",INDEX('MiT Strom Pipeline'!$B:$B,$U24)))</f>
        <v/>
      </c>
      <c r="C24" s="27" t="str">
        <f>IF($U24="","",IF(INDEX('MiT Strom Pipeline'!$C:$C,$U24)="","",INDEX('MiT Strom Pipeline'!$C:$C,$U24)))</f>
        <v/>
      </c>
      <c r="D24" s="27" t="str">
        <f>IF($U24="","",IF(INDEX('MiT Strom Pipeline'!$D:$D,$U24)="","",INDEX('MiT Strom Pipeline'!$D:$D,$U24)))</f>
        <v/>
      </c>
      <c r="E24" s="27" t="str">
        <f>IF($U24="","",IF(INDEX('MiT Strom Pipeline'!$H:$H,$U24)="","",INDEX('MiT Strom Pipeline'!$H:$H,$U24)))</f>
        <v/>
      </c>
      <c r="F24" s="27" t="str">
        <f>IF($U24="","",IF(INDEX('MiT Strom Pipeline'!$E:$E,$U24)="","",INDEX('MiT Strom Pipeline'!$E:$E,$U24)))</f>
        <v/>
      </c>
      <c r="G24" s="28" t="str">
        <f>IF($U24="","",IF(ISNUMBER(INDEX('MiT Strom Pipeline'!$I:$I,$U24)),INDEX('MiT Strom Pipeline'!$I:$I,$U24),0))</f>
        <v/>
      </c>
      <c r="H24" s="28" t="str">
        <f>IF($U24="","",IF(ISNUMBER(INDEX('MiT Strom Pipeline'!$Q:$Q,$U24)),INDEX('MiT Strom Pipeline'!$Q:$Q,$U24),0))</f>
        <v/>
      </c>
      <c r="I24" s="28" t="str">
        <f>IF($U24="","",IF(ISNUMBER(INDEX('MiT Strom Pipeline'!$O:$O,$U24)),INDEX('MiT Strom Pipeline'!$O:$O,$U24),0))</f>
        <v/>
      </c>
      <c r="J24" s="27" t="str">
        <f>IF($U24="","",INDEX('MiT Strom Pipeline'!$R:$R,$U24))</f>
        <v/>
      </c>
      <c r="K24" s="29" t="str">
        <f>IF($U24="","",IF(ISNUMBER(INDEX('MiT Strom Pipeline'!$S:$S,$U24)),INDEX('MiT Strom Pipeline'!$S:$S,$U24),""))</f>
        <v/>
      </c>
      <c r="L24" s="27" t="str">
        <f>IF($U24="","",IF(LEN(INDEX('MiT Strom Pipeline'!$V:$V,$U24))&gt;0,LEFT(INDEX('MiT Strom Pipeline'!$V:$V,$U24),55),""))</f>
        <v/>
      </c>
      <c r="M24" s="22" t="n"/>
      <c r="N24" s="22" t="n"/>
      <c r="O24" s="22" t="n"/>
      <c r="P24" s="22" t="n"/>
      <c r="Q24" s="22" t="n"/>
      <c r="R24" s="22" t="n"/>
      <c r="S24" s="22" t="n"/>
      <c r="U24" t="str">
        <f>IFERROR(MATCH(14,'MiT Strom Pipeline'!$AB$6:$AB$860,0)+5,"")</f>
        <v/>
      </c>
    </row>
    <row r="25" hidden="1" ht="15.75" customHeight="1">
      <c r="A25" s="26" t="str">
        <f>IF($U25="","",IF(ISNUMBER(INDEX('MiT Strom Pipeline'!$A:$A,$U25)),INDEX('MiT Strom Pipeline'!$A:$A,$U25),""))</f>
        <v/>
      </c>
      <c r="B25" s="27" t="str">
        <f>IF($U25="","",IF(INDEX('MiT Strom Pipeline'!$B:$B,$U25)="","",INDEX('MiT Strom Pipeline'!$B:$B,$U25)))</f>
        <v/>
      </c>
      <c r="C25" s="27" t="str">
        <f>IF($U25="","",IF(INDEX('MiT Strom Pipeline'!$C:$C,$U25)="","",INDEX('MiT Strom Pipeline'!$C:$C,$U25)))</f>
        <v/>
      </c>
      <c r="D25" s="27" t="str">
        <f>IF($U25="","",IF(INDEX('MiT Strom Pipeline'!$D:$D,$U25)="","",INDEX('MiT Strom Pipeline'!$D:$D,$U25)))</f>
        <v/>
      </c>
      <c r="E25" s="27" t="str">
        <f>IF($U25="","",IF(INDEX('MiT Strom Pipeline'!$H:$H,$U25)="","",INDEX('MiT Strom Pipeline'!$H:$H,$U25)))</f>
        <v/>
      </c>
      <c r="F25" s="27" t="str">
        <f>IF($U25="","",IF(INDEX('MiT Strom Pipeline'!$E:$E,$U25)="","",INDEX('MiT Strom Pipeline'!$E:$E,$U25)))</f>
        <v/>
      </c>
      <c r="G25" s="28" t="str">
        <f>IF($U25="","",IF(ISNUMBER(INDEX('MiT Strom Pipeline'!$I:$I,$U25)),INDEX('MiT Strom Pipeline'!$I:$I,$U25),0))</f>
        <v/>
      </c>
      <c r="H25" s="28" t="str">
        <f>IF($U25="","",IF(ISNUMBER(INDEX('MiT Strom Pipeline'!$Q:$Q,$U25)),INDEX('MiT Strom Pipeline'!$Q:$Q,$U25),0))</f>
        <v/>
      </c>
      <c r="I25" s="28" t="str">
        <f>IF($U25="","",IF(ISNUMBER(INDEX('MiT Strom Pipeline'!$O:$O,$U25)),INDEX('MiT Strom Pipeline'!$O:$O,$U25),0))</f>
        <v/>
      </c>
      <c r="J25" s="27" t="str">
        <f>IF($U25="","",INDEX('MiT Strom Pipeline'!$R:$R,$U25))</f>
        <v/>
      </c>
      <c r="K25" s="29" t="str">
        <f>IF($U25="","",IF(ISNUMBER(INDEX('MiT Strom Pipeline'!$S:$S,$U25)),INDEX('MiT Strom Pipeline'!$S:$S,$U25),""))</f>
        <v/>
      </c>
      <c r="L25" s="27" t="str">
        <f>IF($U25="","",IF(LEN(INDEX('MiT Strom Pipeline'!$V:$V,$U25))&gt;0,LEFT(INDEX('MiT Strom Pipeline'!$V:$V,$U25),55),""))</f>
        <v/>
      </c>
      <c r="M25" s="22" t="n"/>
      <c r="N25" s="22" t="n"/>
      <c r="O25" s="22" t="n"/>
      <c r="P25" s="22" t="n"/>
      <c r="Q25" s="22" t="n"/>
      <c r="R25" s="22" t="n"/>
      <c r="S25" s="22" t="n"/>
      <c r="U25" t="str">
        <f>IFERROR(MATCH(15,'MiT Strom Pipeline'!$AB$6:$AB$860,0)+5,"")</f>
        <v/>
      </c>
    </row>
    <row r="26" hidden="1" ht="15.75" customHeight="1">
      <c r="A26" s="26" t="str">
        <f>IF($U26="","",IF(ISNUMBER(INDEX('MiT Strom Pipeline'!$A:$A,$U26)),INDEX('MiT Strom Pipeline'!$A:$A,$U26),""))</f>
        <v/>
      </c>
      <c r="B26" s="27" t="str">
        <f>IF($U26="","",IF(INDEX('MiT Strom Pipeline'!$B:$B,$U26)="","",INDEX('MiT Strom Pipeline'!$B:$B,$U26)))</f>
        <v/>
      </c>
      <c r="C26" s="27" t="str">
        <f>IF($U26="","",IF(INDEX('MiT Strom Pipeline'!$C:$C,$U26)="","",INDEX('MiT Strom Pipeline'!$C:$C,$U26)))</f>
        <v/>
      </c>
      <c r="D26" s="27" t="str">
        <f>IF($U26="","",IF(INDEX('MiT Strom Pipeline'!$D:$D,$U26)="","",INDEX('MiT Strom Pipeline'!$D:$D,$U26)))</f>
        <v/>
      </c>
      <c r="E26" s="27" t="str">
        <f>IF($U26="","",IF(INDEX('MiT Strom Pipeline'!$H:$H,$U26)="","",INDEX('MiT Strom Pipeline'!$H:$H,$U26)))</f>
        <v/>
      </c>
      <c r="F26" s="27" t="str">
        <f>IF($U26="","",IF(INDEX('MiT Strom Pipeline'!$E:$E,$U26)="","",INDEX('MiT Strom Pipeline'!$E:$E,$U26)))</f>
        <v/>
      </c>
      <c r="G26" s="28" t="str">
        <f>IF($U26="","",IF(ISNUMBER(INDEX('MiT Strom Pipeline'!$I:$I,$U26)),INDEX('MiT Strom Pipeline'!$I:$I,$U26),0))</f>
        <v/>
      </c>
      <c r="H26" s="28" t="str">
        <f>IF($U26="","",IF(ISNUMBER(INDEX('MiT Strom Pipeline'!$Q:$Q,$U26)),INDEX('MiT Strom Pipeline'!$Q:$Q,$U26),0))</f>
        <v/>
      </c>
      <c r="I26" s="28" t="str">
        <f>IF($U26="","",IF(ISNUMBER(INDEX('MiT Strom Pipeline'!$O:$O,$U26)),INDEX('MiT Strom Pipeline'!$O:$O,$U26),0))</f>
        <v/>
      </c>
      <c r="J26" s="27" t="str">
        <f>IF($U26="","",INDEX('MiT Strom Pipeline'!$R:$R,$U26))</f>
        <v/>
      </c>
      <c r="K26" s="29" t="str">
        <f>IF($U26="","",IF(ISNUMBER(INDEX('MiT Strom Pipeline'!$S:$S,$U26)),INDEX('MiT Strom Pipeline'!$S:$S,$U26),""))</f>
        <v/>
      </c>
      <c r="L26" s="27" t="str">
        <f>IF($U26="","",IF(LEN(INDEX('MiT Strom Pipeline'!$V:$V,$U26))&gt;0,LEFT(INDEX('MiT Strom Pipeline'!$V:$V,$U26),55),""))</f>
        <v/>
      </c>
      <c r="M26" s="22" t="n"/>
      <c r="N26" s="22" t="n"/>
      <c r="O26" s="22" t="n"/>
      <c r="P26" s="22" t="n"/>
      <c r="Q26" s="22" t="n"/>
      <c r="R26" s="22" t="n"/>
      <c r="S26" s="22" t="n"/>
      <c r="U26" t="str">
        <f>IFERROR(MATCH(16,'MiT Strom Pipeline'!$AB$6:$AB$860,0)+5,"")</f>
        <v/>
      </c>
    </row>
    <row r="27" hidden="1" ht="15.75" customHeight="1">
      <c r="A27" s="26" t="str">
        <f>IF($U27="","",IF(ISNUMBER(INDEX('MiT Strom Pipeline'!$A:$A,$U27)),INDEX('MiT Strom Pipeline'!$A:$A,$U27),""))</f>
        <v/>
      </c>
      <c r="B27" s="27" t="str">
        <f>IF($U27="","",IF(INDEX('MiT Strom Pipeline'!$B:$B,$U27)="","",INDEX('MiT Strom Pipeline'!$B:$B,$U27)))</f>
        <v/>
      </c>
      <c r="C27" s="27" t="str">
        <f>IF($U27="","",IF(INDEX('MiT Strom Pipeline'!$C:$C,$U27)="","",INDEX('MiT Strom Pipeline'!$C:$C,$U27)))</f>
        <v/>
      </c>
      <c r="D27" s="27" t="str">
        <f>IF($U27="","",IF(INDEX('MiT Strom Pipeline'!$D:$D,$U27)="","",INDEX('MiT Strom Pipeline'!$D:$D,$U27)))</f>
        <v/>
      </c>
      <c r="E27" s="27" t="str">
        <f>IF($U27="","",IF(INDEX('MiT Strom Pipeline'!$H:$H,$U27)="","",INDEX('MiT Strom Pipeline'!$H:$H,$U27)))</f>
        <v/>
      </c>
      <c r="F27" s="27" t="str">
        <f>IF($U27="","",IF(INDEX('MiT Strom Pipeline'!$E:$E,$U27)="","",INDEX('MiT Strom Pipeline'!$E:$E,$U27)))</f>
        <v/>
      </c>
      <c r="G27" s="28" t="str">
        <f>IF($U27="","",IF(ISNUMBER(INDEX('MiT Strom Pipeline'!$I:$I,$U27)),INDEX('MiT Strom Pipeline'!$I:$I,$U27),0))</f>
        <v/>
      </c>
      <c r="H27" s="28" t="str">
        <f>IF($U27="","",IF(ISNUMBER(INDEX('MiT Strom Pipeline'!$Q:$Q,$U27)),INDEX('MiT Strom Pipeline'!$Q:$Q,$U27),0))</f>
        <v/>
      </c>
      <c r="I27" s="28" t="str">
        <f>IF($U27="","",IF(ISNUMBER(INDEX('MiT Strom Pipeline'!$O:$O,$U27)),INDEX('MiT Strom Pipeline'!$O:$O,$U27),0))</f>
        <v/>
      </c>
      <c r="J27" s="27" t="str">
        <f>IF($U27="","",INDEX('MiT Strom Pipeline'!$R:$R,$U27))</f>
        <v/>
      </c>
      <c r="K27" s="29" t="str">
        <f>IF($U27="","",IF(ISNUMBER(INDEX('MiT Strom Pipeline'!$S:$S,$U27)),INDEX('MiT Strom Pipeline'!$S:$S,$U27),""))</f>
        <v/>
      </c>
      <c r="L27" s="27" t="str">
        <f>IF($U27="","",IF(LEN(INDEX('MiT Strom Pipeline'!$V:$V,$U27))&gt;0,LEFT(INDEX('MiT Strom Pipeline'!$V:$V,$U27),55),""))</f>
        <v/>
      </c>
      <c r="M27" s="22" t="n"/>
      <c r="N27" s="22" t="n"/>
      <c r="O27" s="22" t="n"/>
      <c r="P27" s="22" t="n"/>
      <c r="Q27" s="22" t="n"/>
      <c r="R27" s="22" t="n"/>
      <c r="S27" s="22" t="n"/>
      <c r="U27" t="str">
        <f>IFERROR(MATCH(17,'MiT Strom Pipeline'!$AB$6:$AB$860,0)+5,"")</f>
        <v/>
      </c>
    </row>
    <row r="28" hidden="1" ht="15.75" customHeight="1">
      <c r="A28" s="26" t="str">
        <f>IF($U28="","",IF(ISNUMBER(INDEX('MiT Strom Pipeline'!$A:$A,$U28)),INDEX('MiT Strom Pipeline'!$A:$A,$U28),""))</f>
        <v/>
      </c>
      <c r="B28" s="27" t="str">
        <f>IF($U28="","",IF(INDEX('MiT Strom Pipeline'!$B:$B,$U28)="","",INDEX('MiT Strom Pipeline'!$B:$B,$U28)))</f>
        <v/>
      </c>
      <c r="C28" s="27" t="str">
        <f>IF($U28="","",IF(INDEX('MiT Strom Pipeline'!$C:$C,$U28)="","",INDEX('MiT Strom Pipeline'!$C:$C,$U28)))</f>
        <v/>
      </c>
      <c r="D28" s="27" t="str">
        <f>IF($U28="","",IF(INDEX('MiT Strom Pipeline'!$D:$D,$U28)="","",INDEX('MiT Strom Pipeline'!$D:$D,$U28)))</f>
        <v/>
      </c>
      <c r="E28" s="27" t="str">
        <f>IF($U28="","",IF(INDEX('MiT Strom Pipeline'!$H:$H,$U28)="","",INDEX('MiT Strom Pipeline'!$H:$H,$U28)))</f>
        <v/>
      </c>
      <c r="F28" s="27" t="str">
        <f>IF($U28="","",IF(INDEX('MiT Strom Pipeline'!$E:$E,$U28)="","",INDEX('MiT Strom Pipeline'!$E:$E,$U28)))</f>
        <v/>
      </c>
      <c r="G28" s="28" t="str">
        <f>IF($U28="","",IF(ISNUMBER(INDEX('MiT Strom Pipeline'!$I:$I,$U28)),INDEX('MiT Strom Pipeline'!$I:$I,$U28),0))</f>
        <v/>
      </c>
      <c r="H28" s="28" t="str">
        <f>IF($U28="","",IF(ISNUMBER(INDEX('MiT Strom Pipeline'!$Q:$Q,$U28)),INDEX('MiT Strom Pipeline'!$Q:$Q,$U28),0))</f>
        <v/>
      </c>
      <c r="I28" s="28" t="str">
        <f>IF($U28="","",IF(ISNUMBER(INDEX('MiT Strom Pipeline'!$O:$O,$U28)),INDEX('MiT Strom Pipeline'!$O:$O,$U28),0))</f>
        <v/>
      </c>
      <c r="J28" s="27" t="str">
        <f>IF($U28="","",INDEX('MiT Strom Pipeline'!$R:$R,$U28))</f>
        <v/>
      </c>
      <c r="K28" s="29" t="str">
        <f>IF($U28="","",IF(ISNUMBER(INDEX('MiT Strom Pipeline'!$S:$S,$U28)),INDEX('MiT Strom Pipeline'!$S:$S,$U28),""))</f>
        <v/>
      </c>
      <c r="L28" s="27" t="str">
        <f>IF($U28="","",IF(LEN(INDEX('MiT Strom Pipeline'!$V:$V,$U28))&gt;0,LEFT(INDEX('MiT Strom Pipeline'!$V:$V,$U28),55),""))</f>
        <v/>
      </c>
      <c r="M28" s="22" t="n"/>
      <c r="N28" s="22" t="n"/>
      <c r="O28" s="22" t="n"/>
      <c r="P28" s="22" t="n"/>
      <c r="Q28" s="22" t="n"/>
      <c r="R28" s="22" t="n"/>
      <c r="S28" s="22" t="n"/>
      <c r="U28" t="str">
        <f>IFERROR(MATCH(18,'MiT Strom Pipeline'!$AB$6:$AB$860,0)+5,"")</f>
        <v/>
      </c>
    </row>
    <row r="29" hidden="1" ht="15.75" customHeight="1">
      <c r="A29" s="26" t="str">
        <f>IF($U29="","",IF(ISNUMBER(INDEX('MiT Strom Pipeline'!$A:$A,$U29)),INDEX('MiT Strom Pipeline'!$A:$A,$U29),""))</f>
        <v/>
      </c>
      <c r="B29" s="27" t="str">
        <f>IF($U29="","",IF(INDEX('MiT Strom Pipeline'!$B:$B,$U29)="","",INDEX('MiT Strom Pipeline'!$B:$B,$U29)))</f>
        <v/>
      </c>
      <c r="C29" s="27" t="str">
        <f>IF($U29="","",IF(INDEX('MiT Strom Pipeline'!$C:$C,$U29)="","",INDEX('MiT Strom Pipeline'!$C:$C,$U29)))</f>
        <v/>
      </c>
      <c r="D29" s="27" t="str">
        <f>IF($U29="","",IF(INDEX('MiT Strom Pipeline'!$D:$D,$U29)="","",INDEX('MiT Strom Pipeline'!$D:$D,$U29)))</f>
        <v/>
      </c>
      <c r="E29" s="27" t="str">
        <f>IF($U29="","",IF(INDEX('MiT Strom Pipeline'!$H:$H,$U29)="","",INDEX('MiT Strom Pipeline'!$H:$H,$U29)))</f>
        <v/>
      </c>
      <c r="F29" s="27" t="str">
        <f>IF($U29="","",IF(INDEX('MiT Strom Pipeline'!$E:$E,$U29)="","",INDEX('MiT Strom Pipeline'!$E:$E,$U29)))</f>
        <v/>
      </c>
      <c r="G29" s="28" t="str">
        <f>IF($U29="","",IF(ISNUMBER(INDEX('MiT Strom Pipeline'!$I:$I,$U29)),INDEX('MiT Strom Pipeline'!$I:$I,$U29),0))</f>
        <v/>
      </c>
      <c r="H29" s="28" t="str">
        <f>IF($U29="","",IF(ISNUMBER(INDEX('MiT Strom Pipeline'!$Q:$Q,$U29)),INDEX('MiT Strom Pipeline'!$Q:$Q,$U29),0))</f>
        <v/>
      </c>
      <c r="I29" s="28" t="str">
        <f>IF($U29="","",IF(ISNUMBER(INDEX('MiT Strom Pipeline'!$O:$O,$U29)),INDEX('MiT Strom Pipeline'!$O:$O,$U29),0))</f>
        <v/>
      </c>
      <c r="J29" s="27" t="str">
        <f>IF($U29="","",INDEX('MiT Strom Pipeline'!$R:$R,$U29))</f>
        <v/>
      </c>
      <c r="K29" s="29" t="str">
        <f>IF($U29="","",IF(ISNUMBER(INDEX('MiT Strom Pipeline'!$S:$S,$U29)),INDEX('MiT Strom Pipeline'!$S:$S,$U29),""))</f>
        <v/>
      </c>
      <c r="L29" s="27" t="str">
        <f>IF($U29="","",IF(LEN(INDEX('MiT Strom Pipeline'!$V:$V,$U29))&gt;0,LEFT(INDEX('MiT Strom Pipeline'!$V:$V,$U29),55),""))</f>
        <v/>
      </c>
      <c r="M29" s="22" t="n"/>
      <c r="N29" s="22" t="n"/>
      <c r="O29" s="22" t="n"/>
      <c r="P29" s="22" t="n"/>
      <c r="Q29" s="22" t="n"/>
      <c r="R29" s="22" t="n"/>
      <c r="S29" s="22" t="n"/>
      <c r="U29" t="str">
        <f>IFERROR(MATCH(19,'MiT Strom Pipeline'!$AB$6:$AB$860,0)+5,"")</f>
        <v/>
      </c>
    </row>
    <row r="30" hidden="1" ht="15.75" customHeight="1">
      <c r="A30" s="26" t="str">
        <f>IF($U30="","",IF(ISNUMBER(INDEX('MiT Strom Pipeline'!$A:$A,$U30)),INDEX('MiT Strom Pipeline'!$A:$A,$U30),""))</f>
        <v/>
      </c>
      <c r="B30" s="27" t="str">
        <f>IF($U30="","",IF(INDEX('MiT Strom Pipeline'!$B:$B,$U30)="","",INDEX('MiT Strom Pipeline'!$B:$B,$U30)))</f>
        <v/>
      </c>
      <c r="C30" s="27" t="str">
        <f>IF($U30="","",IF(INDEX('MiT Strom Pipeline'!$C:$C,$U30)="","",INDEX('MiT Strom Pipeline'!$C:$C,$U30)))</f>
        <v/>
      </c>
      <c r="D30" s="27" t="str">
        <f>IF($U30="","",IF(INDEX('MiT Strom Pipeline'!$D:$D,$U30)="","",INDEX('MiT Strom Pipeline'!$D:$D,$U30)))</f>
        <v/>
      </c>
      <c r="E30" s="27" t="str">
        <f>IF($U30="","",IF(INDEX('MiT Strom Pipeline'!$H:$H,$U30)="","",INDEX('MiT Strom Pipeline'!$H:$H,$U30)))</f>
        <v/>
      </c>
      <c r="F30" s="27" t="str">
        <f>IF($U30="","",IF(INDEX('MiT Strom Pipeline'!$E:$E,$U30)="","",INDEX('MiT Strom Pipeline'!$E:$E,$U30)))</f>
        <v/>
      </c>
      <c r="G30" s="28" t="str">
        <f>IF($U30="","",IF(ISNUMBER(INDEX('MiT Strom Pipeline'!$I:$I,$U30)),INDEX('MiT Strom Pipeline'!$I:$I,$U30),0))</f>
        <v/>
      </c>
      <c r="H30" s="28" t="str">
        <f>IF($U30="","",IF(ISNUMBER(INDEX('MiT Strom Pipeline'!$Q:$Q,$U30)),INDEX('MiT Strom Pipeline'!$Q:$Q,$U30),0))</f>
        <v/>
      </c>
      <c r="I30" s="28" t="str">
        <f>IF($U30="","",IF(ISNUMBER(INDEX('MiT Strom Pipeline'!$O:$O,$U30)),INDEX('MiT Strom Pipeline'!$O:$O,$U30),0))</f>
        <v/>
      </c>
      <c r="J30" s="27" t="str">
        <f>IF($U30="","",INDEX('MiT Strom Pipeline'!$R:$R,$U30))</f>
        <v/>
      </c>
      <c r="K30" s="29" t="str">
        <f>IF($U30="","",IF(ISNUMBER(INDEX('MiT Strom Pipeline'!$S:$S,$U30)),INDEX('MiT Strom Pipeline'!$S:$S,$U30),""))</f>
        <v/>
      </c>
      <c r="L30" s="27" t="str">
        <f>IF($U30="","",IF(LEN(INDEX('MiT Strom Pipeline'!$V:$V,$U30))&gt;0,LEFT(INDEX('MiT Strom Pipeline'!$V:$V,$U30),55),""))</f>
        <v/>
      </c>
      <c r="M30" s="22" t="n"/>
      <c r="N30" s="22" t="n"/>
      <c r="O30" s="22" t="n"/>
      <c r="P30" s="22" t="n"/>
      <c r="Q30" s="22" t="n"/>
      <c r="R30" s="22" t="n"/>
      <c r="S30" s="22" t="n"/>
      <c r="U30" t="str">
        <f>IFERROR(MATCH(20,'MiT Strom Pipeline'!$AB$6:$AB$860,0)+5,"")</f>
        <v/>
      </c>
    </row>
    <row r="31" hidden="1" ht="15.75" customHeight="1">
      <c r="A31" s="26" t="str">
        <f>IF($U31="","",IF(ISNUMBER(INDEX('MiT Strom Pipeline'!$A:$A,$U31)),INDEX('MiT Strom Pipeline'!$A:$A,$U31),""))</f>
        <v/>
      </c>
      <c r="B31" s="27" t="str">
        <f>IF($U31="","",IF(INDEX('MiT Strom Pipeline'!$B:$B,$U31)="","",INDEX('MiT Strom Pipeline'!$B:$B,$U31)))</f>
        <v/>
      </c>
      <c r="C31" s="27" t="str">
        <f>IF($U31="","",IF(INDEX('MiT Strom Pipeline'!$C:$C,$U31)="","",INDEX('MiT Strom Pipeline'!$C:$C,$U31)))</f>
        <v/>
      </c>
      <c r="D31" s="27" t="str">
        <f>IF($U31="","",IF(INDEX('MiT Strom Pipeline'!$D:$D,$U31)="","",INDEX('MiT Strom Pipeline'!$D:$D,$U31)))</f>
        <v/>
      </c>
      <c r="E31" s="27" t="str">
        <f>IF($U31="","",IF(INDEX('MiT Strom Pipeline'!$H:$H,$U31)="","",INDEX('MiT Strom Pipeline'!$H:$H,$U31)))</f>
        <v/>
      </c>
      <c r="F31" s="27" t="str">
        <f>IF($U31="","",IF(INDEX('MiT Strom Pipeline'!$E:$E,$U31)="","",INDEX('MiT Strom Pipeline'!$E:$E,$U31)))</f>
        <v/>
      </c>
      <c r="G31" s="28" t="str">
        <f>IF($U31="","",IF(ISNUMBER(INDEX('MiT Strom Pipeline'!$I:$I,$U31)),INDEX('MiT Strom Pipeline'!$I:$I,$U31),0))</f>
        <v/>
      </c>
      <c r="H31" s="28" t="str">
        <f>IF($U31="","",IF(ISNUMBER(INDEX('MiT Strom Pipeline'!$Q:$Q,$U31)),INDEX('MiT Strom Pipeline'!$Q:$Q,$U31),0))</f>
        <v/>
      </c>
      <c r="I31" s="28" t="str">
        <f>IF($U31="","",IF(ISNUMBER(INDEX('MiT Strom Pipeline'!$O:$O,$U31)),INDEX('MiT Strom Pipeline'!$O:$O,$U31),0))</f>
        <v/>
      </c>
      <c r="J31" s="27" t="str">
        <f>IF($U31="","",INDEX('MiT Strom Pipeline'!$R:$R,$U31))</f>
        <v/>
      </c>
      <c r="K31" s="29" t="str">
        <f>IF($U31="","",IF(ISNUMBER(INDEX('MiT Strom Pipeline'!$S:$S,$U31)),INDEX('MiT Strom Pipeline'!$S:$S,$U31),""))</f>
        <v/>
      </c>
      <c r="L31" s="27" t="str">
        <f>IF($U31="","",IF(LEN(INDEX('MiT Strom Pipeline'!$V:$V,$U31))&gt;0,LEFT(INDEX('MiT Strom Pipeline'!$V:$V,$U31),55),""))</f>
        <v/>
      </c>
      <c r="M31" s="22" t="n"/>
      <c r="N31" s="22" t="n"/>
      <c r="O31" s="22" t="n"/>
      <c r="P31" s="22" t="n"/>
      <c r="Q31" s="22" t="n"/>
      <c r="R31" s="22" t="n"/>
      <c r="S31" s="22" t="n"/>
      <c r="U31" t="str">
        <f>IFERROR(MATCH(21,'MiT Strom Pipeline'!$AB$6:$AB$860,0)+5,"")</f>
        <v/>
      </c>
    </row>
    <row r="32" ht="25.5" customHeight="1">
      <c r="A32" s="26" t="str">
        <f>IF($U32="","",IF(ISNUMBER(INDEX('MiT Strom Pipeline'!$A:$A,$U32)),INDEX('MiT Strom Pipeline'!$A:$A,$U32),""))</f>
        <v/>
      </c>
      <c r="B32" s="27" t="str">
        <f>IF($U32="","",IF(INDEX('MiT Strom Pipeline'!$B:$B,$U32)="","",INDEX('MiT Strom Pipeline'!$B:$B,$U32)))</f>
        <v/>
      </c>
      <c r="C32" s="27" t="str">
        <f>IF($U32="","",IF(INDEX('MiT Strom Pipeline'!$C:$C,$U32)="","",INDEX('MiT Strom Pipeline'!$C:$C,$U32)))</f>
        <v/>
      </c>
      <c r="D32" s="27" t="str">
        <f>IF($U32="","",IF(INDEX('MiT Strom Pipeline'!$D:$D,$U32)="","",INDEX('MiT Strom Pipeline'!$D:$D,$U32)))</f>
        <v/>
      </c>
      <c r="E32" s="191" t="str">
        <f>IF($U32="","",IF(INDEX('MiT Strom Pipeline'!$H:$H,$U32)="","",INDEX('MiT Strom Pipeline'!$H:$H,$U32)))</f>
        <v/>
      </c>
      <c r="F32" s="27" t="str">
        <f>IF($U32="","",IF(INDEX('MiT Strom Pipeline'!$E:$E,$U32)="","",INDEX('MiT Strom Pipeline'!$E:$E,$U32)))</f>
        <v/>
      </c>
      <c r="G32" s="28" t="str">
        <f>IF($U32="","",IF(ISNUMBER(INDEX('MiT Strom Pipeline'!$I:$I,$U32)),INDEX('MiT Strom Pipeline'!$I:$I,$U32),0))</f>
        <v/>
      </c>
      <c r="H32" s="28" t="str">
        <f>IF($U32="","",IF(ISNUMBER(INDEX('MiT Strom Pipeline'!$Q:$Q,$U32)),INDEX('MiT Strom Pipeline'!$Q:$Q,$U32),0))</f>
        <v/>
      </c>
      <c r="I32" s="28" t="str">
        <f>IF($U32="","",IF(ISNUMBER(INDEX('MiT Strom Pipeline'!$O:$O,$U32)),INDEX('MiT Strom Pipeline'!$O:$O,$U32),0))</f>
        <v/>
      </c>
      <c r="J32" s="27" t="str">
        <f>IF($U32="","",INDEX('MiT Strom Pipeline'!$R:$R,$U32))</f>
        <v/>
      </c>
      <c r="K32" s="29" t="str">
        <f>IF($U32="","",IF(ISNUMBER(INDEX('MiT Strom Pipeline'!$S:$S,$U32)),INDEX('MiT Strom Pipeline'!$S:$S,$U32),""))</f>
        <v/>
      </c>
      <c r="L32" s="31" t="str">
        <f>IF($U32="","",IF(LEN(INDEX('MiT Strom Pipeline'!$V:$V,$U32))&gt;0,LEFT(INDEX('MiT Strom Pipeline'!$V:$V,$U32),55),""))</f>
        <v/>
      </c>
      <c r="M32" s="22" t="n"/>
      <c r="N32" s="22" t="n"/>
      <c r="O32" s="22" t="n"/>
      <c r="P32" s="22" t="n"/>
      <c r="Q32" s="22" t="n"/>
      <c r="R32" s="22" t="n"/>
      <c r="S32" s="22" t="n"/>
      <c r="U32" t="str">
        <f>IFERROR(MATCH(22,'MiT Strom Pipeline'!$AB$6:$AB$860,0)+5,"")</f>
        <v/>
      </c>
    </row>
    <row r="33" ht="15.75" customHeight="1">
      <c r="A33" s="26" t="str">
        <f>IF($U33="","",IF(ISNUMBER(INDEX('MiT Strom Pipeline'!$A:$A,$U33)),INDEX('MiT Strom Pipeline'!$A:$A,$U33),""))</f>
        <v/>
      </c>
      <c r="B33" s="27" t="str">
        <f>IF($U33="","",IF(INDEX('MiT Strom Pipeline'!$B:$B,$U33)="","",INDEX('MiT Strom Pipeline'!$B:$B,$U33)))</f>
        <v/>
      </c>
      <c r="C33" s="27" t="str">
        <f>IF($U33="","",IF(INDEX('MiT Strom Pipeline'!$C:$C,$U33)="","",INDEX('MiT Strom Pipeline'!$C:$C,$U33)))</f>
        <v/>
      </c>
      <c r="D33" s="27" t="str">
        <f>IF($U33="","",IF(INDEX('MiT Strom Pipeline'!$D:$D,$U33)="","",INDEX('MiT Strom Pipeline'!$D:$D,$U33)))</f>
        <v/>
      </c>
      <c r="E33" s="27" t="str">
        <f>IF($U33="","",IF(INDEX('MiT Strom Pipeline'!$H:$H,$U33)="","",INDEX('MiT Strom Pipeline'!$H:$H,$U33)))</f>
        <v/>
      </c>
      <c r="F33" s="27" t="str">
        <f>IF($U33="","",IF(INDEX('MiT Strom Pipeline'!$E:$E,$U33)="","",INDEX('MiT Strom Pipeline'!$E:$E,$U33)))</f>
        <v/>
      </c>
      <c r="G33" s="28" t="str">
        <f>IF($U33="","",IF(ISNUMBER(INDEX('MiT Strom Pipeline'!$I:$I,$U33)),INDEX('MiT Strom Pipeline'!$I:$I,$U33),0))</f>
        <v/>
      </c>
      <c r="H33" s="28" t="str">
        <f>IF($U33="","",IF(ISNUMBER(INDEX('MiT Strom Pipeline'!$Q:$Q,$U33)),INDEX('MiT Strom Pipeline'!$Q:$Q,$U33),0))</f>
        <v/>
      </c>
      <c r="I33" s="28" t="str">
        <f>IF($U33="","",IF(ISNUMBER(INDEX('MiT Strom Pipeline'!$O:$O,$U33)),INDEX('MiT Strom Pipeline'!$O:$O,$U33),0))</f>
        <v/>
      </c>
      <c r="J33" s="27" t="str">
        <f>IF($U33="","",INDEX('MiT Strom Pipeline'!$R:$R,$U33))</f>
        <v/>
      </c>
      <c r="K33" s="29" t="str">
        <f>IF($U33="","",IF(ISNUMBER(INDEX('MiT Strom Pipeline'!$S:$S,$U33)),INDEX('MiT Strom Pipeline'!$S:$S,$U33),""))</f>
        <v/>
      </c>
      <c r="L33" s="27" t="str">
        <f>IF($U33="","",IF(LEN(INDEX('MiT Strom Pipeline'!$V:$V,$U33))&gt;0,LEFT(INDEX('MiT Strom Pipeline'!$V:$V,$U33),55),""))</f>
        <v/>
      </c>
      <c r="M33" s="22" t="n"/>
      <c r="N33" s="22" t="n"/>
      <c r="O33" s="22" t="n"/>
      <c r="P33" s="22" t="n"/>
      <c r="Q33" s="22" t="n"/>
      <c r="R33" s="22" t="n"/>
      <c r="S33" s="22" t="n"/>
      <c r="U33" t="str">
        <f>IFERROR(MATCH(23,'MiT Strom Pipeline'!$AB$6:$AB$860,0)+5,"")</f>
        <v/>
      </c>
    </row>
    <row r="34" ht="15.75" customHeight="1">
      <c r="A34" s="26" t="str">
        <f>IF($U34="","",IF(ISNUMBER(INDEX('MiT Strom Pipeline'!$A:$A,$U34)),INDEX('MiT Strom Pipeline'!$A:$A,$U34),""))</f>
        <v/>
      </c>
      <c r="B34" s="27" t="str">
        <f>IF($U34="","",IF(INDEX('MiT Strom Pipeline'!$B:$B,$U34)="","",INDEX('MiT Strom Pipeline'!$B:$B,$U34)))</f>
        <v/>
      </c>
      <c r="C34" s="27" t="str">
        <f>IF($U34="","",IF(INDEX('MiT Strom Pipeline'!$C:$C,$U34)="","",INDEX('MiT Strom Pipeline'!$C:$C,$U34)))</f>
        <v/>
      </c>
      <c r="D34" s="27" t="str">
        <f>IF($U34="","",IF(INDEX('MiT Strom Pipeline'!$D:$D,$U34)="","",INDEX('MiT Strom Pipeline'!$D:$D,$U34)))</f>
        <v/>
      </c>
      <c r="E34" s="27" t="str">
        <f>IF($U34="","",IF(INDEX('MiT Strom Pipeline'!$H:$H,$U34)="","",INDEX('MiT Strom Pipeline'!$H:$H,$U34)))</f>
        <v/>
      </c>
      <c r="F34" s="27" t="str">
        <f>IF($U34="","",IF(INDEX('MiT Strom Pipeline'!$E:$E,$U34)="","",INDEX('MiT Strom Pipeline'!$E:$E,$U34)))</f>
        <v/>
      </c>
      <c r="G34" s="28" t="str">
        <f>IF($U34="","",IF(ISNUMBER(INDEX('MiT Strom Pipeline'!$I:$I,$U34)),INDEX('MiT Strom Pipeline'!$I:$I,$U34),0))</f>
        <v/>
      </c>
      <c r="H34" s="28" t="str">
        <f>IF($U34="","",IF(ISNUMBER(INDEX('MiT Strom Pipeline'!$Q:$Q,$U34)),INDEX('MiT Strom Pipeline'!$Q:$Q,$U34),0))</f>
        <v/>
      </c>
      <c r="I34" s="28" t="str">
        <f>IF($U34="","",IF(ISNUMBER(INDEX('MiT Strom Pipeline'!$O:$O,$U34)),INDEX('MiT Strom Pipeline'!$O:$O,$U34),0))</f>
        <v/>
      </c>
      <c r="J34" s="27" t="str">
        <f>IF($U34="","",INDEX('MiT Strom Pipeline'!$R:$R,$U34))</f>
        <v/>
      </c>
      <c r="K34" s="29" t="str">
        <f>IF($U34="","",IF(ISNUMBER(INDEX('MiT Strom Pipeline'!$S:$S,$U34)),INDEX('MiT Strom Pipeline'!$S:$S,$U34),""))</f>
        <v/>
      </c>
      <c r="L34" s="27" t="str">
        <f>IF($U34="","",IF(LEN(INDEX('MiT Strom Pipeline'!$V:$V,$U34))&gt;0,LEFT(INDEX('MiT Strom Pipeline'!$V:$V,$U34),55),""))</f>
        <v/>
      </c>
      <c r="M34" s="22" t="n"/>
      <c r="N34" s="22" t="n"/>
      <c r="O34" s="22" t="n"/>
      <c r="P34" s="22" t="n"/>
      <c r="Q34" s="22" t="n"/>
      <c r="R34" s="22" t="n"/>
      <c r="S34" s="22" t="n"/>
      <c r="U34" t="str">
        <f>IFERROR(MATCH(24,'MiT Strom Pipeline'!$AB$6:$AB$860,0)+5,"")</f>
        <v/>
      </c>
    </row>
    <row r="35" ht="15.75" customHeight="1">
      <c r="A35" s="26" t="str">
        <f>IF($U35="","",IF(ISNUMBER(INDEX('MiT Strom Pipeline'!$A:$A,$U35)),INDEX('MiT Strom Pipeline'!$A:$A,$U35),""))</f>
        <v/>
      </c>
      <c r="B35" s="27" t="str">
        <f>IF($U35="","",IF(INDEX('MiT Strom Pipeline'!$B:$B,$U35)="","",INDEX('MiT Strom Pipeline'!$B:$B,$U35)))</f>
        <v/>
      </c>
      <c r="C35" s="27" t="str">
        <f>IF($U35="","",IF(INDEX('MiT Strom Pipeline'!$C:$C,$U35)="","",INDEX('MiT Strom Pipeline'!$C:$C,$U35)))</f>
        <v/>
      </c>
      <c r="D35" s="27" t="str">
        <f>IF($U35="","",IF(INDEX('MiT Strom Pipeline'!$D:$D,$U35)="","",INDEX('MiT Strom Pipeline'!$D:$D,$U35)))</f>
        <v/>
      </c>
      <c r="E35" s="27" t="str">
        <f>IF($U35="","",IF(INDEX('MiT Strom Pipeline'!$H:$H,$U35)="","",INDEX('MiT Strom Pipeline'!$H:$H,$U35)))</f>
        <v/>
      </c>
      <c r="F35" s="27" t="str">
        <f>IF($U35="","",IF(INDEX('MiT Strom Pipeline'!$E:$E,$U35)="","",INDEX('MiT Strom Pipeline'!$E:$E,$U35)))</f>
        <v/>
      </c>
      <c r="G35" s="28" t="str">
        <f>IF($U35="","",IF(ISNUMBER(INDEX('MiT Strom Pipeline'!$I:$I,$U35)),INDEX('MiT Strom Pipeline'!$I:$I,$U35),0))</f>
        <v/>
      </c>
      <c r="H35" s="28" t="str">
        <f>IF($U35="","",IF(ISNUMBER(INDEX('MiT Strom Pipeline'!$Q:$Q,$U35)),INDEX('MiT Strom Pipeline'!$Q:$Q,$U35),0))</f>
        <v/>
      </c>
      <c r="I35" s="28" t="str">
        <f>IF($U35="","",IF(ISNUMBER(INDEX('MiT Strom Pipeline'!$O:$O,$U35)),INDEX('MiT Strom Pipeline'!$O:$O,$U35),0))</f>
        <v/>
      </c>
      <c r="J35" s="27" t="str">
        <f>IF($U35="","",INDEX('MiT Strom Pipeline'!$R:$R,$U35))</f>
        <v/>
      </c>
      <c r="K35" s="29" t="str">
        <f>IF($U35="","",IF(ISNUMBER(INDEX('MiT Strom Pipeline'!$S:$S,$U35)),INDEX('MiT Strom Pipeline'!$S:$S,$U35),""))</f>
        <v/>
      </c>
      <c r="L35" s="27" t="str">
        <f>IF($U35="","",IF(LEN(INDEX('MiT Strom Pipeline'!$V:$V,$U35))&gt;0,LEFT(INDEX('MiT Strom Pipeline'!$V:$V,$U35),55),""))</f>
        <v/>
      </c>
      <c r="M35" s="22" t="n"/>
      <c r="N35" s="22" t="n"/>
      <c r="O35" s="22" t="n"/>
      <c r="P35" s="22" t="n"/>
      <c r="Q35" s="22" t="n"/>
      <c r="R35" s="22" t="n"/>
      <c r="S35" s="22" t="n"/>
      <c r="U35" t="str">
        <f>IFERROR(MATCH(25,'MiT Strom Pipeline'!$AB$6:$AB$860,0)+5,"")</f>
        <v/>
      </c>
    </row>
    <row r="36" ht="15.75" customHeight="1">
      <c r="A36" s="26" t="str">
        <f>IF($U36="","",IF(ISNUMBER(INDEX('MiT Strom Pipeline'!$A:$A,$U36)),INDEX('MiT Strom Pipeline'!$A:$A,$U36),""))</f>
        <v/>
      </c>
      <c r="B36" s="27" t="str">
        <f>IF($U36="","",IF(INDEX('MiT Strom Pipeline'!$B:$B,$U36)="","",INDEX('MiT Strom Pipeline'!$B:$B,$U36)))</f>
        <v/>
      </c>
      <c r="C36" s="27" t="str">
        <f>IF($U36="","",IF(INDEX('MiT Strom Pipeline'!$C:$C,$U36)="","",INDEX('MiT Strom Pipeline'!$C:$C,$U36)))</f>
        <v/>
      </c>
      <c r="D36" s="27" t="str">
        <f>IF($U36="","",IF(INDEX('MiT Strom Pipeline'!$D:$D,$U36)="","",INDEX('MiT Strom Pipeline'!$D:$D,$U36)))</f>
        <v/>
      </c>
      <c r="E36" s="27" t="str">
        <f>IF($U36="","",IF(INDEX('MiT Strom Pipeline'!$H:$H,$U36)="","",INDEX('MiT Strom Pipeline'!$H:$H,$U36)))</f>
        <v/>
      </c>
      <c r="F36" s="27" t="str">
        <f>IF($U36="","",IF(INDEX('MiT Strom Pipeline'!$E:$E,$U36)="","",INDEX('MiT Strom Pipeline'!$E:$E,$U36)))</f>
        <v/>
      </c>
      <c r="G36" s="28" t="str">
        <f>IF($U36="","",IF(ISNUMBER(INDEX('MiT Strom Pipeline'!$I:$I,$U36)),INDEX('MiT Strom Pipeline'!$I:$I,$U36),0))</f>
        <v/>
      </c>
      <c r="H36" s="28" t="str">
        <f>IF($U36="","",IF(ISNUMBER(INDEX('MiT Strom Pipeline'!$Q:$Q,$U36)),INDEX('MiT Strom Pipeline'!$Q:$Q,$U36),0))</f>
        <v/>
      </c>
      <c r="I36" s="28" t="str">
        <f>IF($U36="","",IF(ISNUMBER(INDEX('MiT Strom Pipeline'!$O:$O,$U36)),INDEX('MiT Strom Pipeline'!$O:$O,$U36),0))</f>
        <v/>
      </c>
      <c r="J36" s="27" t="str">
        <f>IF($U36="","",INDEX('MiT Strom Pipeline'!$R:$R,$U36))</f>
        <v/>
      </c>
      <c r="K36" s="29" t="str">
        <f>IF($U36="","",IF(ISNUMBER(INDEX('MiT Strom Pipeline'!$S:$S,$U36)),INDEX('MiT Strom Pipeline'!$S:$S,$U36),""))</f>
        <v/>
      </c>
      <c r="L36" s="27" t="str">
        <f>IF($U36="","",IF(LEN(INDEX('MiT Strom Pipeline'!$V:$V,$U36))&gt;0,LEFT(INDEX('MiT Strom Pipeline'!$V:$V,$U36),55),""))</f>
        <v/>
      </c>
      <c r="M36" s="22" t="n"/>
      <c r="N36" s="22" t="n"/>
      <c r="O36" s="22" t="n"/>
      <c r="P36" s="22" t="n"/>
      <c r="Q36" s="22" t="n"/>
      <c r="R36" s="22" t="n"/>
      <c r="S36" s="22" t="n"/>
      <c r="U36" t="str">
        <f>IFERROR(MATCH(26,'MiT Strom Pipeline'!$AB$6:$AB$860,0)+5,"")</f>
        <v/>
      </c>
    </row>
    <row r="37" ht="15.75" customHeight="1">
      <c r="A37" s="26" t="str">
        <f>IF($U37="","",IF(ISNUMBER(INDEX('MiT Strom Pipeline'!$A:$A,$U37)),INDEX('MiT Strom Pipeline'!$A:$A,$U37),""))</f>
        <v/>
      </c>
      <c r="B37" s="27" t="str">
        <f>IF($U37="","",IF(INDEX('MiT Strom Pipeline'!$B:$B,$U37)="","",INDEX('MiT Strom Pipeline'!$B:$B,$U37)))</f>
        <v/>
      </c>
      <c r="C37" s="27" t="str">
        <f>IF($U37="","",IF(INDEX('MiT Strom Pipeline'!$C:$C,$U37)="","",INDEX('MiT Strom Pipeline'!$C:$C,$U37)))</f>
        <v/>
      </c>
      <c r="D37" s="27" t="str">
        <f>IF($U37="","",IF(INDEX('MiT Strom Pipeline'!$D:$D,$U37)="","",INDEX('MiT Strom Pipeline'!$D:$D,$U37)))</f>
        <v/>
      </c>
      <c r="E37" s="27" t="str">
        <f>IF($U37="","",IF(INDEX('MiT Strom Pipeline'!$H:$H,$U37)="","",INDEX('MiT Strom Pipeline'!$H:$H,$U37)))</f>
        <v/>
      </c>
      <c r="F37" s="27" t="str">
        <f>IF($U37="","",IF(INDEX('MiT Strom Pipeline'!$E:$E,$U37)="","",INDEX('MiT Strom Pipeline'!$E:$E,$U37)))</f>
        <v/>
      </c>
      <c r="G37" s="28" t="str">
        <f>IF($U37="","",IF(ISNUMBER(INDEX('MiT Strom Pipeline'!$I:$I,$U37)),INDEX('MiT Strom Pipeline'!$I:$I,$U37),0))</f>
        <v/>
      </c>
      <c r="H37" s="28" t="str">
        <f>IF($U37="","",IF(ISNUMBER(INDEX('MiT Strom Pipeline'!$Q:$Q,$U37)),INDEX('MiT Strom Pipeline'!$Q:$Q,$U37),0))</f>
        <v/>
      </c>
      <c r="I37" s="28" t="str">
        <f>IF($U37="","",IF(ISNUMBER(INDEX('MiT Strom Pipeline'!$O:$O,$U37)),INDEX('MiT Strom Pipeline'!$O:$O,$U37),0))</f>
        <v/>
      </c>
      <c r="J37" s="27" t="str">
        <f>IF($U37="","",INDEX('MiT Strom Pipeline'!$R:$R,$U37))</f>
        <v/>
      </c>
      <c r="K37" s="29" t="str">
        <f>IF($U37="","",IF(ISNUMBER(INDEX('MiT Strom Pipeline'!$S:$S,$U37)),INDEX('MiT Strom Pipeline'!$S:$S,$U37),""))</f>
        <v/>
      </c>
      <c r="L37" s="27" t="str">
        <f>IF($U37="","",IF(LEN(INDEX('MiT Strom Pipeline'!$V:$V,$U37))&gt;0,LEFT(INDEX('MiT Strom Pipeline'!$V:$V,$U37),55),""))</f>
        <v/>
      </c>
      <c r="M37" s="22" t="n"/>
      <c r="N37" s="22" t="n"/>
      <c r="O37" s="22" t="n"/>
      <c r="P37" s="22" t="n"/>
      <c r="Q37" s="22" t="n"/>
      <c r="R37" s="22" t="n"/>
      <c r="S37" s="22" t="n"/>
      <c r="U37" t="str">
        <f>IFERROR(MATCH(27,'MiT Strom Pipeline'!$AB$6:$AB$860,0)+5,"")</f>
        <v/>
      </c>
    </row>
    <row r="38" ht="15.75" customHeight="1">
      <c r="A38" s="26" t="str">
        <f>IF($U38="","",IF(ISNUMBER(INDEX('MiT Strom Pipeline'!$A:$A,$U38)),INDEX('MiT Strom Pipeline'!$A:$A,$U38),""))</f>
        <v/>
      </c>
      <c r="B38" s="27" t="str">
        <f>IF($U38="","",IF(INDEX('MiT Strom Pipeline'!$B:$B,$U38)="","",INDEX('MiT Strom Pipeline'!$B:$B,$U38)))</f>
        <v/>
      </c>
      <c r="C38" s="27" t="str">
        <f>IF($U38="","",IF(INDEX('MiT Strom Pipeline'!$C:$C,$U38)="","",INDEX('MiT Strom Pipeline'!$C:$C,$U38)))</f>
        <v/>
      </c>
      <c r="D38" s="27" t="str">
        <f>IF($U38="","",IF(INDEX('MiT Strom Pipeline'!$D:$D,$U38)="","",INDEX('MiT Strom Pipeline'!$D:$D,$U38)))</f>
        <v/>
      </c>
      <c r="E38" s="27" t="str">
        <f>IF($U38="","",IF(INDEX('MiT Strom Pipeline'!$H:$H,$U38)="","",INDEX('MiT Strom Pipeline'!$H:$H,$U38)))</f>
        <v/>
      </c>
      <c r="F38" s="27" t="str">
        <f>IF($U38="","",IF(INDEX('MiT Strom Pipeline'!$E:$E,$U38)="","",INDEX('MiT Strom Pipeline'!$E:$E,$U38)))</f>
        <v/>
      </c>
      <c r="G38" s="28" t="str">
        <f>IF($U38="","",IF(ISNUMBER(INDEX('MiT Strom Pipeline'!$I:$I,$U38)),INDEX('MiT Strom Pipeline'!$I:$I,$U38),0))</f>
        <v/>
      </c>
      <c r="H38" s="28" t="str">
        <f>IF($U38="","",IF(ISNUMBER(INDEX('MiT Strom Pipeline'!$Q:$Q,$U38)),INDEX('MiT Strom Pipeline'!$Q:$Q,$U38),0))</f>
        <v/>
      </c>
      <c r="I38" s="28" t="str">
        <f>IF($U38="","",IF(ISNUMBER(INDEX('MiT Strom Pipeline'!$O:$O,$U38)),INDEX('MiT Strom Pipeline'!$O:$O,$U38),0))</f>
        <v/>
      </c>
      <c r="J38" s="27" t="str">
        <f>IF($U38="","",INDEX('MiT Strom Pipeline'!$R:$R,$U38))</f>
        <v/>
      </c>
      <c r="K38" s="29" t="str">
        <f>IF($U38="","",IF(ISNUMBER(INDEX('MiT Strom Pipeline'!$S:$S,$U38)),INDEX('MiT Strom Pipeline'!$S:$S,$U38),""))</f>
        <v/>
      </c>
      <c r="L38" s="27" t="str">
        <f>IF($U38="","",IF(LEN(INDEX('MiT Strom Pipeline'!$V:$V,$U38))&gt;0,LEFT(INDEX('MiT Strom Pipeline'!$V:$V,$U38),55),""))</f>
        <v/>
      </c>
      <c r="M38" s="22" t="n"/>
      <c r="N38" s="22" t="n"/>
      <c r="O38" s="22" t="n"/>
      <c r="P38" s="22" t="n"/>
      <c r="Q38" s="22" t="n"/>
      <c r="R38" s="22" t="n"/>
      <c r="S38" s="22" t="n"/>
      <c r="U38" t="str">
        <f>IFERROR(MATCH(28,'MiT Strom Pipeline'!$AB$6:$AB$860,0)+5,"")</f>
        <v/>
      </c>
    </row>
    <row r="39" ht="15.75" customHeight="1">
      <c r="A39" s="26" t="str">
        <f>IF($U39="","",IF(ISNUMBER(INDEX('MiT Strom Pipeline'!$A:$A,$U39)),INDEX('MiT Strom Pipeline'!$A:$A,$U39),""))</f>
        <v/>
      </c>
      <c r="B39" s="27" t="str">
        <f>IF($U39="","",IF(INDEX('MiT Strom Pipeline'!$B:$B,$U39)="","",INDEX('MiT Strom Pipeline'!$B:$B,$U39)))</f>
        <v/>
      </c>
      <c r="C39" s="27" t="str">
        <f>IF($U39="","",IF(INDEX('MiT Strom Pipeline'!$C:$C,$U39)="","",INDEX('MiT Strom Pipeline'!$C:$C,$U39)))</f>
        <v/>
      </c>
      <c r="D39" s="27" t="str">
        <f>IF($U39="","",IF(INDEX('MiT Strom Pipeline'!$D:$D,$U39)="","",INDEX('MiT Strom Pipeline'!$D:$D,$U39)))</f>
        <v/>
      </c>
      <c r="E39" s="27" t="str">
        <f>IF($U39="","",IF(INDEX('MiT Strom Pipeline'!$H:$H,$U39)="","",INDEX('MiT Strom Pipeline'!$H:$H,$U39)))</f>
        <v/>
      </c>
      <c r="F39" s="27" t="str">
        <f>IF($U39="","",IF(INDEX('MiT Strom Pipeline'!$E:$E,$U39)="","",INDEX('MiT Strom Pipeline'!$E:$E,$U39)))</f>
        <v/>
      </c>
      <c r="G39" s="28" t="str">
        <f>IF($U39="","",IF(ISNUMBER(INDEX('MiT Strom Pipeline'!$I:$I,$U39)),INDEX('MiT Strom Pipeline'!$I:$I,$U39),0))</f>
        <v/>
      </c>
      <c r="H39" s="28" t="str">
        <f>IF($U39="","",IF(ISNUMBER(INDEX('MiT Strom Pipeline'!$Q:$Q,$U39)),INDEX('MiT Strom Pipeline'!$Q:$Q,$U39),0))</f>
        <v/>
      </c>
      <c r="I39" s="28" t="str">
        <f>IF($U39="","",IF(ISNUMBER(INDEX('MiT Strom Pipeline'!$O:$O,$U39)),INDEX('MiT Strom Pipeline'!$O:$O,$U39),0))</f>
        <v/>
      </c>
      <c r="J39" s="27" t="str">
        <f>IF($U39="","",INDEX('MiT Strom Pipeline'!$R:$R,$U39))</f>
        <v/>
      </c>
      <c r="K39" s="29" t="str">
        <f>IF($U39="","",IF(ISNUMBER(INDEX('MiT Strom Pipeline'!$S:$S,$U39)),INDEX('MiT Strom Pipeline'!$S:$S,$U39),""))</f>
        <v/>
      </c>
      <c r="L39" s="27" t="str">
        <f>IF($U39="","",IF(LEN(INDEX('MiT Strom Pipeline'!$V:$V,$U39))&gt;0,LEFT(INDEX('MiT Strom Pipeline'!$V:$V,$U39),55),""))</f>
        <v/>
      </c>
      <c r="M39" s="22" t="n"/>
      <c r="N39" s="22" t="n"/>
      <c r="O39" s="22" t="n"/>
      <c r="P39" s="22" t="n"/>
      <c r="Q39" s="22" t="n"/>
      <c r="R39" s="22" t="n"/>
      <c r="S39" s="22" t="n"/>
      <c r="U39" t="str">
        <f>IFERROR(MATCH(29,'MiT Strom Pipeline'!$AB$6:$AB$860,0)+5,"")</f>
        <v/>
      </c>
    </row>
    <row r="40" ht="15.75" customHeight="1">
      <c r="A40" s="26" t="str">
        <f>IF($U40="","",IF(ISNUMBER(INDEX('MiT Strom Pipeline'!$A:$A,$U40)),INDEX('MiT Strom Pipeline'!$A:$A,$U40),""))</f>
        <v/>
      </c>
      <c r="B40" s="27" t="str">
        <f>IF($U40="","",IF(INDEX('MiT Strom Pipeline'!$B:$B,$U40)="","",INDEX('MiT Strom Pipeline'!$B:$B,$U40)))</f>
        <v/>
      </c>
      <c r="C40" s="27" t="str">
        <f>IF($U40="","",IF(INDEX('MiT Strom Pipeline'!$C:$C,$U40)="","",INDEX('MiT Strom Pipeline'!$C:$C,$U40)))</f>
        <v/>
      </c>
      <c r="D40" s="27" t="str">
        <f>IF($U40="","",IF(INDEX('MiT Strom Pipeline'!$D:$D,$U40)="","",INDEX('MiT Strom Pipeline'!$D:$D,$U40)))</f>
        <v/>
      </c>
      <c r="E40" s="27" t="str">
        <f>IF($U40="","",IF(INDEX('MiT Strom Pipeline'!$H:$H,$U40)="","",INDEX('MiT Strom Pipeline'!$H:$H,$U40)))</f>
        <v/>
      </c>
      <c r="F40" s="27" t="str">
        <f>IF($U40="","",IF(INDEX('MiT Strom Pipeline'!$E:$E,$U40)="","",INDEX('MiT Strom Pipeline'!$E:$E,$U40)))</f>
        <v/>
      </c>
      <c r="G40" s="28" t="str">
        <f>IF($U40="","",IF(ISNUMBER(INDEX('MiT Strom Pipeline'!$I:$I,$U40)),INDEX('MiT Strom Pipeline'!$I:$I,$U40),0))</f>
        <v/>
      </c>
      <c r="H40" s="28" t="str">
        <f>IF($U40="","",IF(ISNUMBER(INDEX('MiT Strom Pipeline'!$Q:$Q,$U40)),INDEX('MiT Strom Pipeline'!$Q:$Q,$U40),0))</f>
        <v/>
      </c>
      <c r="I40" s="28" t="str">
        <f>IF($U40="","",IF(ISNUMBER(INDEX('MiT Strom Pipeline'!$O:$O,$U40)),INDEX('MiT Strom Pipeline'!$O:$O,$U40),0))</f>
        <v/>
      </c>
      <c r="J40" s="27" t="str">
        <f>IF($U40="","",INDEX('MiT Strom Pipeline'!$R:$R,$U40))</f>
        <v/>
      </c>
      <c r="K40" s="29" t="str">
        <f>IF($U40="","",IF(ISNUMBER(INDEX('MiT Strom Pipeline'!$S:$S,$U40)),INDEX('MiT Strom Pipeline'!$S:$S,$U40),""))</f>
        <v/>
      </c>
      <c r="L40" s="27" t="str">
        <f>IF($U40="","",IF(LEN(INDEX('MiT Strom Pipeline'!$V:$V,$U40))&gt;0,LEFT(INDEX('MiT Strom Pipeline'!$V:$V,$U40),55),""))</f>
        <v/>
      </c>
      <c r="M40" s="22" t="n"/>
      <c r="N40" s="22" t="n"/>
      <c r="O40" s="22" t="n"/>
      <c r="P40" s="22" t="n"/>
      <c r="Q40" s="22" t="n"/>
      <c r="R40" s="22" t="n"/>
      <c r="S40" s="22" t="n"/>
      <c r="U40" t="str">
        <f>IFERROR(MATCH(30,'MiT Strom Pipeline'!$AB$6:$AB$860,0)+5,"")</f>
        <v/>
      </c>
    </row>
    <row r="41" ht="15.75" customHeight="1">
      <c r="A41" s="26" t="str">
        <f>IF($U41="","",IF(ISNUMBER(INDEX('MiT Strom Pipeline'!$A:$A,$U41)),INDEX('MiT Strom Pipeline'!$A:$A,$U41),""))</f>
        <v/>
      </c>
      <c r="B41" s="27" t="str">
        <f>IF($U41="","",IF(INDEX('MiT Strom Pipeline'!$B:$B,$U41)="","",INDEX('MiT Strom Pipeline'!$B:$B,$U41)))</f>
        <v/>
      </c>
      <c r="C41" s="27" t="str">
        <f>IF($U41="","",IF(INDEX('MiT Strom Pipeline'!$C:$C,$U41)="","",INDEX('MiT Strom Pipeline'!$C:$C,$U41)))</f>
        <v/>
      </c>
      <c r="D41" s="27" t="str">
        <f>IF($U41="","",IF(INDEX('MiT Strom Pipeline'!$D:$D,$U41)="","",INDEX('MiT Strom Pipeline'!$D:$D,$U41)))</f>
        <v/>
      </c>
      <c r="E41" s="27" t="str">
        <f>IF($U41="","",IF(INDEX('MiT Strom Pipeline'!$H:$H,$U41)="","",INDEX('MiT Strom Pipeline'!$H:$H,$U41)))</f>
        <v/>
      </c>
      <c r="F41" s="27" t="str">
        <f>IF($U41="","",IF(INDEX('MiT Strom Pipeline'!$E:$E,$U41)="","",INDEX('MiT Strom Pipeline'!$E:$E,$U41)))</f>
        <v/>
      </c>
      <c r="G41" s="28" t="str">
        <f>IF($U41="","",IF(ISNUMBER(INDEX('MiT Strom Pipeline'!$I:$I,$U41)),INDEX('MiT Strom Pipeline'!$I:$I,$U41),0))</f>
        <v/>
      </c>
      <c r="H41" s="28" t="str">
        <f>IF($U41="","",IF(ISNUMBER(INDEX('MiT Strom Pipeline'!$Q:$Q,$U41)),INDEX('MiT Strom Pipeline'!$Q:$Q,$U41),0))</f>
        <v/>
      </c>
      <c r="I41" s="28" t="str">
        <f>IF($U41="","",IF(ISNUMBER(INDEX('MiT Strom Pipeline'!$O:$O,$U41)),INDEX('MiT Strom Pipeline'!$O:$O,$U41),0))</f>
        <v/>
      </c>
      <c r="J41" s="27" t="str">
        <f>IF($U41="","",INDEX('MiT Strom Pipeline'!$R:$R,$U41))</f>
        <v/>
      </c>
      <c r="K41" s="29" t="str">
        <f>IF($U41="","",IF(ISNUMBER(INDEX('MiT Strom Pipeline'!$S:$S,$U41)),INDEX('MiT Strom Pipeline'!$S:$S,$U41),""))</f>
        <v/>
      </c>
      <c r="L41" s="27" t="str">
        <f>IF($U41="","",IF(LEN(INDEX('MiT Strom Pipeline'!$V:$V,$U41))&gt;0,LEFT(INDEX('MiT Strom Pipeline'!$V:$V,$U41),55),""))</f>
        <v/>
      </c>
      <c r="M41" s="22" t="n"/>
      <c r="N41" s="22" t="n"/>
      <c r="O41" s="22" t="n"/>
      <c r="P41" s="22" t="n"/>
      <c r="Q41" s="22" t="n"/>
      <c r="R41" s="22" t="n"/>
      <c r="S41" s="22" t="n"/>
      <c r="U41" t="str">
        <f>IFERROR(MATCH(31,'MiT Strom Pipeline'!$AB$6:$AB$860,0)+5,"")</f>
        <v/>
      </c>
    </row>
    <row r="42" ht="15.75" customHeight="1">
      <c r="A42" s="26" t="str">
        <f>IF($U42="","",IF(ISNUMBER(INDEX('MiT Strom Pipeline'!$A:$A,$U42)),INDEX('MiT Strom Pipeline'!$A:$A,$U42),""))</f>
        <v/>
      </c>
      <c r="B42" s="27" t="str">
        <f>IF($U42="","",IF(INDEX('MiT Strom Pipeline'!$B:$B,$U42)="","",INDEX('MiT Strom Pipeline'!$B:$B,$U42)))</f>
        <v/>
      </c>
      <c r="C42" s="27" t="str">
        <f>IF($U42="","",IF(INDEX('MiT Strom Pipeline'!$C:$C,$U42)="","",INDEX('MiT Strom Pipeline'!$C:$C,$U42)))</f>
        <v/>
      </c>
      <c r="D42" s="27" t="str">
        <f>IF($U42="","",IF(INDEX('MiT Strom Pipeline'!$D:$D,$U42)="","",INDEX('MiT Strom Pipeline'!$D:$D,$U42)))</f>
        <v/>
      </c>
      <c r="E42" s="27" t="str">
        <f>IF($U42="","",IF(INDEX('MiT Strom Pipeline'!$H:$H,$U42)="","",INDEX('MiT Strom Pipeline'!$H:$H,$U42)))</f>
        <v/>
      </c>
      <c r="F42" s="27" t="str">
        <f>IF($U42="","",IF(INDEX('MiT Strom Pipeline'!$E:$E,$U42)="","",INDEX('MiT Strom Pipeline'!$E:$E,$U42)))</f>
        <v/>
      </c>
      <c r="G42" s="28" t="str">
        <f>IF($U42="","",IF(ISNUMBER(INDEX('MiT Strom Pipeline'!$I:$I,$U42)),INDEX('MiT Strom Pipeline'!$I:$I,$U42),0))</f>
        <v/>
      </c>
      <c r="H42" s="28" t="str">
        <f>IF($U42="","",IF(ISNUMBER(INDEX('MiT Strom Pipeline'!$Q:$Q,$U42)),INDEX('MiT Strom Pipeline'!$Q:$Q,$U42),0))</f>
        <v/>
      </c>
      <c r="I42" s="28" t="str">
        <f>IF($U42="","",IF(ISNUMBER(INDEX('MiT Strom Pipeline'!$O:$O,$U42)),INDEX('MiT Strom Pipeline'!$O:$O,$U42),0))</f>
        <v/>
      </c>
      <c r="J42" s="27" t="str">
        <f>IF($U42="","",INDEX('MiT Strom Pipeline'!$R:$R,$U42))</f>
        <v/>
      </c>
      <c r="K42" s="29" t="str">
        <f>IF($U42="","",IF(ISNUMBER(INDEX('MiT Strom Pipeline'!$S:$S,$U42)),INDEX('MiT Strom Pipeline'!$S:$S,$U42),""))</f>
        <v/>
      </c>
      <c r="L42" s="27" t="str">
        <f>IF($U42="","",IF(LEN(INDEX('MiT Strom Pipeline'!$V:$V,$U42))&gt;0,LEFT(INDEX('MiT Strom Pipeline'!$V:$V,$U42),55),""))</f>
        <v/>
      </c>
      <c r="M42" s="22" t="n"/>
      <c r="N42" s="22" t="n"/>
      <c r="O42" s="22" t="n"/>
      <c r="P42" s="22" t="n"/>
      <c r="Q42" s="22" t="n"/>
      <c r="R42" s="22" t="n"/>
      <c r="S42" s="22" t="n"/>
      <c r="U42" t="str">
        <f>IFERROR(MATCH(32,'MiT Strom Pipeline'!$AB$6:$AB$860,0)+5,"")</f>
        <v/>
      </c>
    </row>
    <row r="43" ht="15.75" customHeight="1">
      <c r="A43" s="26" t="str">
        <f>IF($U43="","",IF(ISNUMBER(INDEX('MiT Strom Pipeline'!$A:$A,$U43)),INDEX('MiT Strom Pipeline'!$A:$A,$U43),""))</f>
        <v/>
      </c>
      <c r="B43" s="27" t="str">
        <f>IF($U43="","",IF(INDEX('MiT Strom Pipeline'!$B:$B,$U43)="","",INDEX('MiT Strom Pipeline'!$B:$B,$U43)))</f>
        <v/>
      </c>
      <c r="C43" s="27" t="str">
        <f>IF($U43="","",IF(INDEX('MiT Strom Pipeline'!$C:$C,$U43)="","",INDEX('MiT Strom Pipeline'!$C:$C,$U43)))</f>
        <v/>
      </c>
      <c r="D43" s="27" t="str">
        <f>IF($U43="","",IF(INDEX('MiT Strom Pipeline'!$D:$D,$U43)="","",INDEX('MiT Strom Pipeline'!$D:$D,$U43)))</f>
        <v/>
      </c>
      <c r="E43" s="27" t="str">
        <f>IF($U43="","",IF(INDEX('MiT Strom Pipeline'!$H:$H,$U43)="","",INDEX('MiT Strom Pipeline'!$H:$H,$U43)))</f>
        <v/>
      </c>
      <c r="F43" s="27" t="str">
        <f>IF($U43="","",IF(INDEX('MiT Strom Pipeline'!$E:$E,$U43)="","",INDEX('MiT Strom Pipeline'!$E:$E,$U43)))</f>
        <v/>
      </c>
      <c r="G43" s="28" t="str">
        <f>IF($U43="","",IF(ISNUMBER(INDEX('MiT Strom Pipeline'!$I:$I,$U43)),INDEX('MiT Strom Pipeline'!$I:$I,$U43),0))</f>
        <v/>
      </c>
      <c r="H43" s="28" t="str">
        <f>IF($U43="","",IF(ISNUMBER(INDEX('MiT Strom Pipeline'!$Q:$Q,$U43)),INDEX('MiT Strom Pipeline'!$Q:$Q,$U43),0))</f>
        <v/>
      </c>
      <c r="I43" s="28" t="str">
        <f>IF($U43="","",IF(ISNUMBER(INDEX('MiT Strom Pipeline'!$O:$O,$U43)),INDEX('MiT Strom Pipeline'!$O:$O,$U43),0))</f>
        <v/>
      </c>
      <c r="J43" s="27" t="str">
        <f>IF($U43="","",INDEX('MiT Strom Pipeline'!$R:$R,$U43))</f>
        <v/>
      </c>
      <c r="K43" s="29" t="str">
        <f>IF($U43="","",IF(ISNUMBER(INDEX('MiT Strom Pipeline'!$S:$S,$U43)),INDEX('MiT Strom Pipeline'!$S:$S,$U43),""))</f>
        <v/>
      </c>
      <c r="L43" s="27" t="str">
        <f>IF($U43="","",IF(LEN(INDEX('MiT Strom Pipeline'!$V:$V,$U43))&gt;0,LEFT(INDEX('MiT Strom Pipeline'!$V:$V,$U43),55),""))</f>
        <v/>
      </c>
      <c r="M43" s="22" t="n"/>
      <c r="N43" s="22" t="n"/>
      <c r="O43" s="22" t="n"/>
      <c r="P43" s="22" t="n"/>
      <c r="Q43" s="22" t="n"/>
      <c r="R43" s="22" t="n"/>
      <c r="S43" s="22" t="n"/>
      <c r="U43" t="str">
        <f>IFERROR(MATCH(33,'MiT Strom Pipeline'!$AB$6:$AB$860,0)+5,"")</f>
        <v/>
      </c>
    </row>
    <row r="44" ht="15.75" customHeight="1">
      <c r="A44" s="26" t="str">
        <f>IF($U44="","",IF(ISNUMBER(INDEX('MiT Strom Pipeline'!$A:$A,$U44)),INDEX('MiT Strom Pipeline'!$A:$A,$U44),""))</f>
        <v/>
      </c>
      <c r="B44" s="27" t="str">
        <f>IF($U44="","",IF(INDEX('MiT Strom Pipeline'!$B:$B,$U44)="","",INDEX('MiT Strom Pipeline'!$B:$B,$U44)))</f>
        <v/>
      </c>
      <c r="C44" s="27" t="str">
        <f>IF($U44="","",IF(INDEX('MiT Strom Pipeline'!$C:$C,$U44)="","",INDEX('MiT Strom Pipeline'!$C:$C,$U44)))</f>
        <v/>
      </c>
      <c r="D44" s="27" t="str">
        <f>IF($U44="","",IF(INDEX('MiT Strom Pipeline'!$D:$D,$U44)="","",INDEX('MiT Strom Pipeline'!$D:$D,$U44)))</f>
        <v/>
      </c>
      <c r="E44" s="27" t="str">
        <f>IF($U44="","",IF(INDEX('MiT Strom Pipeline'!$H:$H,$U44)="","",INDEX('MiT Strom Pipeline'!$H:$H,$U44)))</f>
        <v/>
      </c>
      <c r="F44" s="27" t="str">
        <f>IF($U44="","",IF(INDEX('MiT Strom Pipeline'!$E:$E,$U44)="","",INDEX('MiT Strom Pipeline'!$E:$E,$U44)))</f>
        <v/>
      </c>
      <c r="G44" s="28" t="str">
        <f>IF($U44="","",IF(ISNUMBER(INDEX('MiT Strom Pipeline'!$I:$I,$U44)),INDEX('MiT Strom Pipeline'!$I:$I,$U44),0))</f>
        <v/>
      </c>
      <c r="H44" s="28" t="str">
        <f>IF($U44="","",IF(ISNUMBER(INDEX('MiT Strom Pipeline'!$Q:$Q,$U44)),INDEX('MiT Strom Pipeline'!$Q:$Q,$U44),0))</f>
        <v/>
      </c>
      <c r="I44" s="28" t="str">
        <f>IF($U44="","",IF(ISNUMBER(INDEX('MiT Strom Pipeline'!$O:$O,$U44)),INDEX('MiT Strom Pipeline'!$O:$O,$U44),0))</f>
        <v/>
      </c>
      <c r="J44" s="27" t="str">
        <f>IF($U44="","",INDEX('MiT Strom Pipeline'!$R:$R,$U44))</f>
        <v/>
      </c>
      <c r="K44" s="29" t="str">
        <f>IF($U44="","",IF(ISNUMBER(INDEX('MiT Strom Pipeline'!$S:$S,$U44)),INDEX('MiT Strom Pipeline'!$S:$S,$U44),""))</f>
        <v/>
      </c>
      <c r="L44" s="27" t="str">
        <f>IF($U44="","",IF(LEN(INDEX('MiT Strom Pipeline'!$V:$V,$U44))&gt;0,LEFT(INDEX('MiT Strom Pipeline'!$V:$V,$U44),55),""))</f>
        <v/>
      </c>
      <c r="M44" s="22" t="n"/>
      <c r="N44" s="22" t="n"/>
      <c r="O44" s="22" t="n"/>
      <c r="P44" s="22" t="n"/>
      <c r="Q44" s="22" t="n"/>
      <c r="R44" s="22" t="n"/>
      <c r="S44" s="22" t="n"/>
      <c r="U44" t="str">
        <f>IFERROR(MATCH(34,'MiT Strom Pipeline'!$AB$6:$AB$860,0)+5,"")</f>
        <v/>
      </c>
    </row>
    <row r="45" ht="15.75" customHeight="1">
      <c r="A45" s="26" t="str">
        <f>IF($U45="","",IF(ISNUMBER(INDEX('MiT Strom Pipeline'!$A:$A,$U45)),INDEX('MiT Strom Pipeline'!$A:$A,$U45),""))</f>
        <v/>
      </c>
      <c r="B45" s="27" t="str">
        <f>IF($U45="","",IF(INDEX('MiT Strom Pipeline'!$B:$B,$U45)="","",INDEX('MiT Strom Pipeline'!$B:$B,$U45)))</f>
        <v/>
      </c>
      <c r="C45" s="27" t="str">
        <f>IF($U45="","",IF(INDEX('MiT Strom Pipeline'!$C:$C,$U45)="","",INDEX('MiT Strom Pipeline'!$C:$C,$U45)))</f>
        <v/>
      </c>
      <c r="D45" s="27" t="str">
        <f>IF($U45="","",IF(INDEX('MiT Strom Pipeline'!$D:$D,$U45)="","",INDEX('MiT Strom Pipeline'!$D:$D,$U45)))</f>
        <v/>
      </c>
      <c r="E45" s="27" t="str">
        <f>IF($U45="","",IF(INDEX('MiT Strom Pipeline'!$H:$H,$U45)="","",INDEX('MiT Strom Pipeline'!$H:$H,$U45)))</f>
        <v/>
      </c>
      <c r="F45" s="27" t="str">
        <f>IF($U45="","",IF(INDEX('MiT Strom Pipeline'!$E:$E,$U45)="","",INDEX('MiT Strom Pipeline'!$E:$E,$U45)))</f>
        <v/>
      </c>
      <c r="G45" s="28" t="str">
        <f>IF($U45="","",IF(ISNUMBER(INDEX('MiT Strom Pipeline'!$I:$I,$U45)),INDEX('MiT Strom Pipeline'!$I:$I,$U45),0))</f>
        <v/>
      </c>
      <c r="H45" s="28" t="str">
        <f>IF($U45="","",IF(ISNUMBER(INDEX('MiT Strom Pipeline'!$Q:$Q,$U45)),INDEX('MiT Strom Pipeline'!$Q:$Q,$U45),0))</f>
        <v/>
      </c>
      <c r="I45" s="28" t="str">
        <f>IF($U45="","",IF(ISNUMBER(INDEX('MiT Strom Pipeline'!$O:$O,$U45)),INDEX('MiT Strom Pipeline'!$O:$O,$U45),0))</f>
        <v/>
      </c>
      <c r="J45" s="27" t="str">
        <f>IF($U45="","",INDEX('MiT Strom Pipeline'!$R:$R,$U45))</f>
        <v/>
      </c>
      <c r="K45" s="29" t="str">
        <f>IF($U45="","",IF(ISNUMBER(INDEX('MiT Strom Pipeline'!$S:$S,$U45)),INDEX('MiT Strom Pipeline'!$S:$S,$U45),""))</f>
        <v/>
      </c>
      <c r="L45" s="27" t="str">
        <f>IF($U45="","",IF(LEN(INDEX('MiT Strom Pipeline'!$V:$V,$U45))&gt;0,LEFT(INDEX('MiT Strom Pipeline'!$V:$V,$U45),55),""))</f>
        <v/>
      </c>
      <c r="M45" s="22" t="n"/>
      <c r="N45" s="22" t="n"/>
      <c r="O45" s="22" t="n"/>
      <c r="P45" s="22" t="n"/>
      <c r="Q45" s="22" t="n"/>
      <c r="R45" s="22" t="n"/>
      <c r="S45" s="22" t="n"/>
      <c r="U45" t="str">
        <f>IFERROR(MATCH(35,'MiT Strom Pipeline'!$AB$6:$AB$860,0)+5,"")</f>
        <v/>
      </c>
    </row>
    <row r="46" ht="15.75" customHeight="1">
      <c r="A46" s="26" t="str">
        <f>IF($U46="","",IF(ISNUMBER(INDEX('MiT Strom Pipeline'!$A:$A,$U46)),INDEX('MiT Strom Pipeline'!$A:$A,$U46),""))</f>
        <v/>
      </c>
      <c r="B46" s="27" t="str">
        <f>IF($U46="","",IF(INDEX('MiT Strom Pipeline'!$B:$B,$U46)="","",INDEX('MiT Strom Pipeline'!$B:$B,$U46)))</f>
        <v/>
      </c>
      <c r="C46" s="27" t="str">
        <f>IF($U46="","",IF(INDEX('MiT Strom Pipeline'!$C:$C,$U46)="","",INDEX('MiT Strom Pipeline'!$C:$C,$U46)))</f>
        <v/>
      </c>
      <c r="D46" s="27" t="str">
        <f>IF($U46="","",IF(INDEX('MiT Strom Pipeline'!$D:$D,$U46)="","",INDEX('MiT Strom Pipeline'!$D:$D,$U46)))</f>
        <v/>
      </c>
      <c r="E46" s="27" t="str">
        <f>IF($U46="","",IF(INDEX('MiT Strom Pipeline'!$H:$H,$U46)="","",INDEX('MiT Strom Pipeline'!$H:$H,$U46)))</f>
        <v/>
      </c>
      <c r="F46" s="27" t="str">
        <f>IF($U46="","",IF(INDEX('MiT Strom Pipeline'!$E:$E,$U46)="","",INDEX('MiT Strom Pipeline'!$E:$E,$U46)))</f>
        <v/>
      </c>
      <c r="G46" s="28" t="str">
        <f>IF($U46="","",IF(ISNUMBER(INDEX('MiT Strom Pipeline'!$I:$I,$U46)),INDEX('MiT Strom Pipeline'!$I:$I,$U46),0))</f>
        <v/>
      </c>
      <c r="H46" s="28" t="str">
        <f>IF($U46="","",IF(ISNUMBER(INDEX('MiT Strom Pipeline'!$Q:$Q,$U46)),INDEX('MiT Strom Pipeline'!$Q:$Q,$U46),0))</f>
        <v/>
      </c>
      <c r="I46" s="28" t="str">
        <f>IF($U46="","",IF(ISNUMBER(INDEX('MiT Strom Pipeline'!$O:$O,$U46)),INDEX('MiT Strom Pipeline'!$O:$O,$U46),0))</f>
        <v/>
      </c>
      <c r="J46" s="27" t="str">
        <f>IF($U46="","",INDEX('MiT Strom Pipeline'!$R:$R,$U46))</f>
        <v/>
      </c>
      <c r="K46" s="29" t="str">
        <f>IF($U46="","",IF(ISNUMBER(INDEX('MiT Strom Pipeline'!$S:$S,$U46)),INDEX('MiT Strom Pipeline'!$S:$S,$U46),""))</f>
        <v/>
      </c>
      <c r="L46" s="27" t="str">
        <f>IF($U46="","",IF(LEN(INDEX('MiT Strom Pipeline'!$V:$V,$U46))&gt;0,LEFT(INDEX('MiT Strom Pipeline'!$V:$V,$U46),55),""))</f>
        <v/>
      </c>
      <c r="M46" s="22" t="n"/>
      <c r="N46" s="22" t="n"/>
      <c r="O46" s="22" t="n"/>
      <c r="P46" s="22" t="n"/>
      <c r="Q46" s="22" t="n"/>
      <c r="R46" s="22" t="n"/>
      <c r="S46" s="22" t="n"/>
      <c r="U46" t="str">
        <f>IFERROR(MATCH(36,'MiT Strom Pipeline'!$AB$6:$AB$860,0)+5,"")</f>
        <v/>
      </c>
    </row>
    <row r="47" ht="15.75" customHeight="1">
      <c r="A47" s="26" t="str">
        <f>IF($U47="","",IF(ISNUMBER(INDEX('MiT Strom Pipeline'!$A:$A,$U47)),INDEX('MiT Strom Pipeline'!$A:$A,$U47),""))</f>
        <v/>
      </c>
      <c r="B47" s="27" t="str">
        <f>IF($U47="","",IF(INDEX('MiT Strom Pipeline'!$B:$B,$U47)="","",INDEX('MiT Strom Pipeline'!$B:$B,$U47)))</f>
        <v/>
      </c>
      <c r="C47" s="27" t="str">
        <f>IF($U47="","",IF(INDEX('MiT Strom Pipeline'!$C:$C,$U47)="","",INDEX('MiT Strom Pipeline'!$C:$C,$U47)))</f>
        <v/>
      </c>
      <c r="D47" s="27" t="str">
        <f>IF($U47="","",IF(INDEX('MiT Strom Pipeline'!$D:$D,$U47)="","",INDEX('MiT Strom Pipeline'!$D:$D,$U47)))</f>
        <v/>
      </c>
      <c r="E47" s="27" t="str">
        <f>IF($U47="","",IF(INDEX('MiT Strom Pipeline'!$H:$H,$U47)="","",INDEX('MiT Strom Pipeline'!$H:$H,$U47)))</f>
        <v/>
      </c>
      <c r="F47" s="27" t="str">
        <f>IF($U47="","",IF(INDEX('MiT Strom Pipeline'!$E:$E,$U47)="","",INDEX('MiT Strom Pipeline'!$E:$E,$U47)))</f>
        <v/>
      </c>
      <c r="G47" s="28" t="str">
        <f>IF($U47="","",IF(ISNUMBER(INDEX('MiT Strom Pipeline'!$I:$I,$U47)),INDEX('MiT Strom Pipeline'!$I:$I,$U47),0))</f>
        <v/>
      </c>
      <c r="H47" s="28" t="str">
        <f>IF($U47="","",IF(ISNUMBER(INDEX('MiT Strom Pipeline'!$Q:$Q,$U47)),INDEX('MiT Strom Pipeline'!$Q:$Q,$U47),0))</f>
        <v/>
      </c>
      <c r="I47" s="28" t="str">
        <f>IF($U47="","",IF(ISNUMBER(INDEX('MiT Strom Pipeline'!$O:$O,$U47)),INDEX('MiT Strom Pipeline'!$O:$O,$U47),0))</f>
        <v/>
      </c>
      <c r="J47" s="27" t="str">
        <f>IF($U47="","",INDEX('MiT Strom Pipeline'!$R:$R,$U47))</f>
        <v/>
      </c>
      <c r="K47" s="29" t="str">
        <f>IF($U47="","",IF(ISNUMBER(INDEX('MiT Strom Pipeline'!$S:$S,$U47)),INDEX('MiT Strom Pipeline'!$S:$S,$U47),""))</f>
        <v/>
      </c>
      <c r="L47" s="27" t="str">
        <f>IF($U47="","",IF(LEN(INDEX('MiT Strom Pipeline'!$V:$V,$U47))&gt;0,LEFT(INDEX('MiT Strom Pipeline'!$V:$V,$U47),55),""))</f>
        <v/>
      </c>
      <c r="M47" s="22" t="n"/>
      <c r="N47" s="22" t="n"/>
      <c r="O47" s="22" t="n"/>
      <c r="P47" s="22" t="n"/>
      <c r="Q47" s="22" t="n"/>
      <c r="R47" s="22" t="n"/>
      <c r="S47" s="22" t="n"/>
      <c r="U47" t="str">
        <f>IFERROR(MATCH(37,'MiT Strom Pipeline'!$AB$6:$AB$860,0)+5,"")</f>
        <v/>
      </c>
    </row>
    <row r="48" ht="15.75" customHeight="1">
      <c r="A48" s="26" t="str">
        <f>IF($U48="","",IF(ISNUMBER(INDEX('MiT Strom Pipeline'!$A:$A,$U48)),INDEX('MiT Strom Pipeline'!$A:$A,$U48),""))</f>
        <v/>
      </c>
      <c r="B48" s="27" t="str">
        <f>IF($U48="","",IF(INDEX('MiT Strom Pipeline'!$B:$B,$U48)="","",INDEX('MiT Strom Pipeline'!$B:$B,$U48)))</f>
        <v/>
      </c>
      <c r="C48" s="27" t="str">
        <f>IF($U48="","",IF(INDEX('MiT Strom Pipeline'!$C:$C,$U48)="","",INDEX('MiT Strom Pipeline'!$C:$C,$U48)))</f>
        <v/>
      </c>
      <c r="D48" s="27" t="str">
        <f>IF($U48="","",IF(INDEX('MiT Strom Pipeline'!$D:$D,$U48)="","",INDEX('MiT Strom Pipeline'!$D:$D,$U48)))</f>
        <v/>
      </c>
      <c r="E48" s="27" t="str">
        <f>IF($U48="","",IF(INDEX('MiT Strom Pipeline'!$H:$H,$U48)="","",INDEX('MiT Strom Pipeline'!$H:$H,$U48)))</f>
        <v/>
      </c>
      <c r="F48" s="27" t="str">
        <f>IF($U48="","",IF(INDEX('MiT Strom Pipeline'!$E:$E,$U48)="","",INDEX('MiT Strom Pipeline'!$E:$E,$U48)))</f>
        <v/>
      </c>
      <c r="G48" s="28" t="str">
        <f>IF($U48="","",IF(ISNUMBER(INDEX('MiT Strom Pipeline'!$I:$I,$U48)),INDEX('MiT Strom Pipeline'!$I:$I,$U48),0))</f>
        <v/>
      </c>
      <c r="H48" s="28" t="str">
        <f>IF($U48="","",IF(ISNUMBER(INDEX('MiT Strom Pipeline'!$Q:$Q,$U48)),INDEX('MiT Strom Pipeline'!$Q:$Q,$U48),0))</f>
        <v/>
      </c>
      <c r="I48" s="28" t="str">
        <f>IF($U48="","",IF(ISNUMBER(INDEX('MiT Strom Pipeline'!$O:$O,$U48)),INDEX('MiT Strom Pipeline'!$O:$O,$U48),0))</f>
        <v/>
      </c>
      <c r="J48" s="27" t="str">
        <f>IF($U48="","",INDEX('MiT Strom Pipeline'!$R:$R,$U48))</f>
        <v/>
      </c>
      <c r="K48" s="29" t="str">
        <f>IF($U48="","",IF(ISNUMBER(INDEX('MiT Strom Pipeline'!$S:$S,$U48)),INDEX('MiT Strom Pipeline'!$S:$S,$U48),""))</f>
        <v/>
      </c>
      <c r="L48" s="27" t="str">
        <f>IF($U48="","",IF(LEN(INDEX('MiT Strom Pipeline'!$V:$V,$U48))&gt;0,LEFT(INDEX('MiT Strom Pipeline'!$V:$V,$U48),55),""))</f>
        <v/>
      </c>
      <c r="M48" s="22" t="n"/>
      <c r="N48" s="22" t="n"/>
      <c r="O48" s="22" t="n"/>
      <c r="P48" s="22" t="n"/>
      <c r="Q48" s="22" t="n"/>
      <c r="R48" s="22" t="n"/>
      <c r="S48" s="22" t="n"/>
      <c r="U48" t="str">
        <f>IFERROR(MATCH(38,'MiT Strom Pipeline'!$AB$6:$AB$860,0)+5,"")</f>
        <v/>
      </c>
    </row>
    <row r="49" ht="15.75" customHeight="1">
      <c r="A49" s="26" t="str">
        <f>IF($U49="","",IF(ISNUMBER(INDEX('MiT Strom Pipeline'!$A:$A,$U49)),INDEX('MiT Strom Pipeline'!$A:$A,$U49),""))</f>
        <v/>
      </c>
      <c r="B49" s="27" t="str">
        <f>IF($U49="","",IF(INDEX('MiT Strom Pipeline'!$B:$B,$U49)="","",INDEX('MiT Strom Pipeline'!$B:$B,$U49)))</f>
        <v/>
      </c>
      <c r="C49" s="27" t="str">
        <f>IF($U49="","",IF(INDEX('MiT Strom Pipeline'!$C:$C,$U49)="","",INDEX('MiT Strom Pipeline'!$C:$C,$U49)))</f>
        <v/>
      </c>
      <c r="D49" s="27" t="str">
        <f>IF($U49="","",IF(INDEX('MiT Strom Pipeline'!$D:$D,$U49)="","",INDEX('MiT Strom Pipeline'!$D:$D,$U49)))</f>
        <v/>
      </c>
      <c r="E49" s="27" t="str">
        <f>IF($U49="","",IF(INDEX('MiT Strom Pipeline'!$H:$H,$U49)="","",INDEX('MiT Strom Pipeline'!$H:$H,$U49)))</f>
        <v/>
      </c>
      <c r="F49" s="27" t="str">
        <f>IF($U49="","",IF(INDEX('MiT Strom Pipeline'!$E:$E,$U49)="","",INDEX('MiT Strom Pipeline'!$E:$E,$U49)))</f>
        <v/>
      </c>
      <c r="G49" s="28" t="str">
        <f>IF($U49="","",IF(ISNUMBER(INDEX('MiT Strom Pipeline'!$I:$I,$U49)),INDEX('MiT Strom Pipeline'!$I:$I,$U49),0))</f>
        <v/>
      </c>
      <c r="H49" s="28" t="str">
        <f>IF($U49="","",IF(ISNUMBER(INDEX('MiT Strom Pipeline'!$Q:$Q,$U49)),INDEX('MiT Strom Pipeline'!$Q:$Q,$U49),0))</f>
        <v/>
      </c>
      <c r="I49" s="28" t="str">
        <f>IF($U49="","",IF(ISNUMBER(INDEX('MiT Strom Pipeline'!$O:$O,$U49)),INDEX('MiT Strom Pipeline'!$O:$O,$U49),0))</f>
        <v/>
      </c>
      <c r="J49" s="27" t="str">
        <f>IF($U49="","",INDEX('MiT Strom Pipeline'!$R:$R,$U49))</f>
        <v/>
      </c>
      <c r="K49" s="29" t="str">
        <f>IF($U49="","",IF(ISNUMBER(INDEX('MiT Strom Pipeline'!$S:$S,$U49)),INDEX('MiT Strom Pipeline'!$S:$S,$U49),""))</f>
        <v/>
      </c>
      <c r="L49" s="27" t="str">
        <f>IF($U49="","",IF(LEN(INDEX('MiT Strom Pipeline'!$V:$V,$U49))&gt;0,LEFT(INDEX('MiT Strom Pipeline'!$V:$V,$U49),55),""))</f>
        <v/>
      </c>
      <c r="M49" s="22" t="n"/>
      <c r="N49" s="22" t="n"/>
      <c r="O49" s="22" t="n"/>
      <c r="P49" s="22" t="n"/>
      <c r="Q49" s="22" t="n"/>
      <c r="R49" s="22" t="n"/>
      <c r="S49" s="22" t="n"/>
      <c r="U49" t="str">
        <f>IFERROR(MATCH(39,'MiT Strom Pipeline'!$AB$6:$AB$860,0)+5,"")</f>
        <v/>
      </c>
    </row>
    <row r="50" ht="15.75" customHeight="1">
      <c r="A50" s="26" t="str">
        <f>IF($U50="","",IF(ISNUMBER(INDEX('MiT Strom Pipeline'!$A:$A,$U50)),INDEX('MiT Strom Pipeline'!$A:$A,$U50),""))</f>
        <v/>
      </c>
      <c r="B50" s="27" t="str">
        <f>IF($U50="","",IF(INDEX('MiT Strom Pipeline'!$B:$B,$U50)="","",INDEX('MiT Strom Pipeline'!$B:$B,$U50)))</f>
        <v/>
      </c>
      <c r="C50" s="27" t="str">
        <f>IF($U50="","",IF(INDEX('MiT Strom Pipeline'!$C:$C,$U50)="","",INDEX('MiT Strom Pipeline'!$C:$C,$U50)))</f>
        <v/>
      </c>
      <c r="D50" s="27" t="str">
        <f>IF($U50="","",IF(INDEX('MiT Strom Pipeline'!$D:$D,$U50)="","",INDEX('MiT Strom Pipeline'!$D:$D,$U50)))</f>
        <v/>
      </c>
      <c r="E50" s="27" t="str">
        <f>IF($U50="","",IF(INDEX('MiT Strom Pipeline'!$H:$H,$U50)="","",INDEX('MiT Strom Pipeline'!$H:$H,$U50)))</f>
        <v/>
      </c>
      <c r="F50" s="27" t="str">
        <f>IF($U50="","",IF(INDEX('MiT Strom Pipeline'!$E:$E,$U50)="","",INDEX('MiT Strom Pipeline'!$E:$E,$U50)))</f>
        <v/>
      </c>
      <c r="G50" s="28" t="str">
        <f>IF($U50="","",IF(ISNUMBER(INDEX('MiT Strom Pipeline'!$I:$I,$U50)),INDEX('MiT Strom Pipeline'!$I:$I,$U50),0))</f>
        <v/>
      </c>
      <c r="H50" s="28" t="str">
        <f>IF($U50="","",IF(ISNUMBER(INDEX('MiT Strom Pipeline'!$Q:$Q,$U50)),INDEX('MiT Strom Pipeline'!$Q:$Q,$U50),0))</f>
        <v/>
      </c>
      <c r="I50" s="28" t="str">
        <f>IF($U50="","",IF(ISNUMBER(INDEX('MiT Strom Pipeline'!$O:$O,$U50)),INDEX('MiT Strom Pipeline'!$O:$O,$U50),0))</f>
        <v/>
      </c>
      <c r="J50" s="27" t="str">
        <f>IF($U50="","",INDEX('MiT Strom Pipeline'!$R:$R,$U50))</f>
        <v/>
      </c>
      <c r="K50" s="29" t="str">
        <f>IF($U50="","",IF(ISNUMBER(INDEX('MiT Strom Pipeline'!$S:$S,$U50)),INDEX('MiT Strom Pipeline'!$S:$S,$U50),""))</f>
        <v/>
      </c>
      <c r="L50" s="27" t="str">
        <f>IF($U50="","",IF(LEN(INDEX('MiT Strom Pipeline'!$V:$V,$U50))&gt;0,LEFT(INDEX('MiT Strom Pipeline'!$V:$V,$U50),55),""))</f>
        <v/>
      </c>
      <c r="M50" s="22" t="n"/>
      <c r="N50" s="22" t="n"/>
      <c r="O50" s="22" t="n"/>
      <c r="P50" s="22" t="n"/>
      <c r="Q50" s="22" t="n"/>
      <c r="R50" s="22" t="n"/>
      <c r="S50" s="22" t="n"/>
      <c r="U50" t="str">
        <f>IFERROR(MATCH(40,'MiT Strom Pipeline'!$AB$6:$AB$860,0)+5,"")</f>
        <v/>
      </c>
    </row>
    <row r="51" ht="15.75" customHeight="1">
      <c r="A51" s="26" t="str">
        <f>IF($U51="","",IF(ISNUMBER(INDEX('MiT Strom Pipeline'!$A:$A,$U51)),INDEX('MiT Strom Pipeline'!$A:$A,$U51),""))</f>
        <v/>
      </c>
      <c r="B51" s="27" t="str">
        <f>IF($U51="","",IF(INDEX('MiT Strom Pipeline'!$B:$B,$U51)="","",INDEX('MiT Strom Pipeline'!$B:$B,$U51)))</f>
        <v/>
      </c>
      <c r="C51" s="27" t="str">
        <f>IF($U51="","",IF(INDEX('MiT Strom Pipeline'!$C:$C,$U51)="","",INDEX('MiT Strom Pipeline'!$C:$C,$U51)))</f>
        <v/>
      </c>
      <c r="D51" s="27" t="str">
        <f>IF($U51="","",IF(INDEX('MiT Strom Pipeline'!$D:$D,$U51)="","",INDEX('MiT Strom Pipeline'!$D:$D,$U51)))</f>
        <v/>
      </c>
      <c r="E51" s="27" t="str">
        <f>IF($U51="","",IF(INDEX('MiT Strom Pipeline'!$H:$H,$U51)="","",INDEX('MiT Strom Pipeline'!$H:$H,$U51)))</f>
        <v/>
      </c>
      <c r="F51" s="27" t="str">
        <f>IF($U51="","",IF(INDEX('MiT Strom Pipeline'!$E:$E,$U51)="","",INDEX('MiT Strom Pipeline'!$E:$E,$U51)))</f>
        <v/>
      </c>
      <c r="G51" s="28" t="str">
        <f>IF($U51="","",IF(ISNUMBER(INDEX('MiT Strom Pipeline'!$I:$I,$U51)),INDEX('MiT Strom Pipeline'!$I:$I,$U51),0))</f>
        <v/>
      </c>
      <c r="H51" s="28" t="str">
        <f>IF($U51="","",IF(ISNUMBER(INDEX('MiT Strom Pipeline'!$Q:$Q,$U51)),INDEX('MiT Strom Pipeline'!$Q:$Q,$U51),0))</f>
        <v/>
      </c>
      <c r="I51" s="28" t="str">
        <f>IF($U51="","",IF(ISNUMBER(INDEX('MiT Strom Pipeline'!$O:$O,$U51)),INDEX('MiT Strom Pipeline'!$O:$O,$U51),0))</f>
        <v/>
      </c>
      <c r="J51" s="27" t="str">
        <f>IF($U51="","",INDEX('MiT Strom Pipeline'!$R:$R,$U51))</f>
        <v/>
      </c>
      <c r="K51" s="29" t="str">
        <f>IF($U51="","",IF(ISNUMBER(INDEX('MiT Strom Pipeline'!$S:$S,$U51)),INDEX('MiT Strom Pipeline'!$S:$S,$U51),""))</f>
        <v/>
      </c>
      <c r="L51" s="27" t="str">
        <f>IF($U51="","",IF(LEN(INDEX('MiT Strom Pipeline'!$V:$V,$U51))&gt;0,LEFT(INDEX('MiT Strom Pipeline'!$V:$V,$U51),55),""))</f>
        <v/>
      </c>
      <c r="M51" s="22" t="n"/>
      <c r="N51" s="22" t="n"/>
      <c r="O51" s="22" t="n"/>
      <c r="P51" s="22" t="n"/>
      <c r="Q51" s="22" t="n"/>
      <c r="R51" s="22" t="n"/>
      <c r="S51" s="22" t="n"/>
      <c r="U51" t="str">
        <f>IFERROR(MATCH(41,'MiT Strom Pipeline'!$AB$6:$AB$860,0)+5,"")</f>
        <v/>
      </c>
    </row>
    <row r="52" ht="15.75" customHeight="1">
      <c r="A52" s="26" t="str">
        <f>IF($U52="","",IF(ISNUMBER(INDEX('MiT Strom Pipeline'!$A:$A,$U52)),INDEX('MiT Strom Pipeline'!$A:$A,$U52),""))</f>
        <v/>
      </c>
      <c r="B52" s="27" t="str">
        <f>IF($U52="","",IF(INDEX('MiT Strom Pipeline'!$B:$B,$U52)="","",INDEX('MiT Strom Pipeline'!$B:$B,$U52)))</f>
        <v/>
      </c>
      <c r="C52" s="27" t="str">
        <f>IF($U52="","",IF(INDEX('MiT Strom Pipeline'!$C:$C,$U52)="","",INDEX('MiT Strom Pipeline'!$C:$C,$U52)))</f>
        <v/>
      </c>
      <c r="D52" s="27" t="str">
        <f>IF($U52="","",IF(INDEX('MiT Strom Pipeline'!$D:$D,$U52)="","",INDEX('MiT Strom Pipeline'!$D:$D,$U52)))</f>
        <v/>
      </c>
      <c r="E52" s="27" t="str">
        <f>IF($U52="","",IF(INDEX('MiT Strom Pipeline'!$H:$H,$U52)="","",INDEX('MiT Strom Pipeline'!$H:$H,$U52)))</f>
        <v/>
      </c>
      <c r="F52" s="27" t="str">
        <f>IF($U52="","",IF(INDEX('MiT Strom Pipeline'!$E:$E,$U52)="","",INDEX('MiT Strom Pipeline'!$E:$E,$U52)))</f>
        <v/>
      </c>
      <c r="G52" s="28" t="str">
        <f>IF($U52="","",IF(ISNUMBER(INDEX('MiT Strom Pipeline'!$I:$I,$U52)),INDEX('MiT Strom Pipeline'!$I:$I,$U52),0))</f>
        <v/>
      </c>
      <c r="H52" s="28" t="str">
        <f>IF($U52="","",IF(ISNUMBER(INDEX('MiT Strom Pipeline'!$Q:$Q,$U52)),INDEX('MiT Strom Pipeline'!$Q:$Q,$U52),0))</f>
        <v/>
      </c>
      <c r="I52" s="28" t="str">
        <f>IF($U52="","",IF(ISNUMBER(INDEX('MiT Strom Pipeline'!$O:$O,$U52)),INDEX('MiT Strom Pipeline'!$O:$O,$U52),0))</f>
        <v/>
      </c>
      <c r="J52" s="27" t="str">
        <f>IF($U52="","",INDEX('MiT Strom Pipeline'!$R:$R,$U52))</f>
        <v/>
      </c>
      <c r="K52" s="29" t="str">
        <f>IF($U52="","",IF(ISNUMBER(INDEX('MiT Strom Pipeline'!$S:$S,$U52)),INDEX('MiT Strom Pipeline'!$S:$S,$U52),""))</f>
        <v/>
      </c>
      <c r="L52" s="27" t="str">
        <f>IF($U52="","",IF(LEN(INDEX('MiT Strom Pipeline'!$V:$V,$U52))&gt;0,LEFT(INDEX('MiT Strom Pipeline'!$V:$V,$U52),55),""))</f>
        <v/>
      </c>
      <c r="M52" s="22" t="n"/>
      <c r="N52" s="22" t="n"/>
      <c r="O52" s="22" t="n"/>
      <c r="P52" s="22" t="n"/>
      <c r="Q52" s="22" t="n"/>
      <c r="R52" s="22" t="n"/>
      <c r="S52" s="22" t="n"/>
      <c r="U52" t="str">
        <f>IFERROR(MATCH(42,'MiT Strom Pipeline'!$AB$6:$AB$860,0)+5,"")</f>
        <v/>
      </c>
    </row>
    <row r="53" ht="15.75" customHeight="1">
      <c r="A53" s="26" t="str">
        <f>IF($U53="","",IF(ISNUMBER(INDEX('MiT Strom Pipeline'!$A:$A,$U53)),INDEX('MiT Strom Pipeline'!$A:$A,$U53),""))</f>
        <v/>
      </c>
      <c r="B53" s="27" t="str">
        <f>IF($U53="","",IF(INDEX('MiT Strom Pipeline'!$B:$B,$U53)="","",INDEX('MiT Strom Pipeline'!$B:$B,$U53)))</f>
        <v/>
      </c>
      <c r="C53" s="27" t="str">
        <f>IF($U53="","",IF(INDEX('MiT Strom Pipeline'!$C:$C,$U53)="","",INDEX('MiT Strom Pipeline'!$C:$C,$U53)))</f>
        <v/>
      </c>
      <c r="D53" s="27" t="str">
        <f>IF($U53="","",IF(INDEX('MiT Strom Pipeline'!$D:$D,$U53)="","",INDEX('MiT Strom Pipeline'!$D:$D,$U53)))</f>
        <v/>
      </c>
      <c r="E53" s="27" t="str">
        <f>IF($U53="","",IF(INDEX('MiT Strom Pipeline'!$H:$H,$U53)="","",INDEX('MiT Strom Pipeline'!$H:$H,$U53)))</f>
        <v/>
      </c>
      <c r="F53" s="27" t="str">
        <f>IF($U53="","",IF(INDEX('MiT Strom Pipeline'!$E:$E,$U53)="","",INDEX('MiT Strom Pipeline'!$E:$E,$U53)))</f>
        <v/>
      </c>
      <c r="G53" s="28" t="str">
        <f>IF($U53="","",IF(ISNUMBER(INDEX('MiT Strom Pipeline'!$I:$I,$U53)),INDEX('MiT Strom Pipeline'!$I:$I,$U53),0))</f>
        <v/>
      </c>
      <c r="H53" s="28" t="str">
        <f>IF($U53="","",IF(ISNUMBER(INDEX('MiT Strom Pipeline'!$Q:$Q,$U53)),INDEX('MiT Strom Pipeline'!$Q:$Q,$U53),0))</f>
        <v/>
      </c>
      <c r="I53" s="28" t="str">
        <f>IF($U53="","",IF(ISNUMBER(INDEX('MiT Strom Pipeline'!$O:$O,$U53)),INDEX('MiT Strom Pipeline'!$O:$O,$U53),0))</f>
        <v/>
      </c>
      <c r="J53" s="27" t="str">
        <f>IF($U53="","",INDEX('MiT Strom Pipeline'!$R:$R,$U53))</f>
        <v/>
      </c>
      <c r="K53" s="29" t="str">
        <f>IF($U53="","",IF(ISNUMBER(INDEX('MiT Strom Pipeline'!$S:$S,$U53)),INDEX('MiT Strom Pipeline'!$S:$S,$U53),""))</f>
        <v/>
      </c>
      <c r="L53" s="27" t="str">
        <f>IF($U53="","",IF(LEN(INDEX('MiT Strom Pipeline'!$V:$V,$U53))&gt;0,LEFT(INDEX('MiT Strom Pipeline'!$V:$V,$U53),55),""))</f>
        <v/>
      </c>
      <c r="M53" s="22" t="n"/>
      <c r="N53" s="22" t="n"/>
      <c r="O53" s="22" t="n"/>
      <c r="P53" s="22" t="n"/>
      <c r="Q53" s="22" t="n"/>
      <c r="R53" s="22" t="n"/>
      <c r="S53" s="22" t="n"/>
      <c r="U53" t="str">
        <f>IFERROR(MATCH(43,'MiT Strom Pipeline'!$AB$6:$AB$860,0)+5,"")</f>
        <v/>
      </c>
    </row>
    <row r="54" ht="15.75" customHeight="1">
      <c r="A54" s="26" t="str">
        <f>IF($U54="","",IF(ISNUMBER(INDEX('MiT Strom Pipeline'!$A:$A,$U54)),INDEX('MiT Strom Pipeline'!$A:$A,$U54),""))</f>
        <v/>
      </c>
      <c r="B54" s="27" t="str">
        <f>IF($U54="","",IF(INDEX('MiT Strom Pipeline'!$B:$B,$U54)="","",INDEX('MiT Strom Pipeline'!$B:$B,$U54)))</f>
        <v/>
      </c>
      <c r="C54" s="27" t="str">
        <f>IF($U54="","",IF(INDEX('MiT Strom Pipeline'!$C:$C,$U54)="","",INDEX('MiT Strom Pipeline'!$C:$C,$U54)))</f>
        <v/>
      </c>
      <c r="D54" s="27" t="str">
        <f>IF($U54="","",IF(INDEX('MiT Strom Pipeline'!$D:$D,$U54)="","",INDEX('MiT Strom Pipeline'!$D:$D,$U54)))</f>
        <v/>
      </c>
      <c r="E54" s="27" t="str">
        <f>IF($U54="","",IF(INDEX('MiT Strom Pipeline'!$H:$H,$U54)="","",INDEX('MiT Strom Pipeline'!$H:$H,$U54)))</f>
        <v/>
      </c>
      <c r="F54" s="27" t="str">
        <f>IF($U54="","",IF(INDEX('MiT Strom Pipeline'!$E:$E,$U54)="","",INDEX('MiT Strom Pipeline'!$E:$E,$U54)))</f>
        <v/>
      </c>
      <c r="G54" s="28" t="str">
        <f>IF($U54="","",IF(ISNUMBER(INDEX('MiT Strom Pipeline'!$I:$I,$U54)),INDEX('MiT Strom Pipeline'!$I:$I,$U54),0))</f>
        <v/>
      </c>
      <c r="H54" s="28" t="str">
        <f>IF($U54="","",IF(ISNUMBER(INDEX('MiT Strom Pipeline'!$Q:$Q,$U54)),INDEX('MiT Strom Pipeline'!$Q:$Q,$U54),0))</f>
        <v/>
      </c>
      <c r="I54" s="28" t="str">
        <f>IF($U54="","",IF(ISNUMBER(INDEX('MiT Strom Pipeline'!$O:$O,$U54)),INDEX('MiT Strom Pipeline'!$O:$O,$U54),0))</f>
        <v/>
      </c>
      <c r="J54" s="27" t="str">
        <f>IF($U54="","",INDEX('MiT Strom Pipeline'!$R:$R,$U54))</f>
        <v/>
      </c>
      <c r="K54" s="29" t="str">
        <f>IF($U54="","",IF(ISNUMBER(INDEX('MiT Strom Pipeline'!$S:$S,$U54)),INDEX('MiT Strom Pipeline'!$S:$S,$U54),""))</f>
        <v/>
      </c>
      <c r="L54" s="27" t="str">
        <f>IF($U54="","",IF(LEN(INDEX('MiT Strom Pipeline'!$V:$V,$U54))&gt;0,LEFT(INDEX('MiT Strom Pipeline'!$V:$V,$U54),55),""))</f>
        <v/>
      </c>
      <c r="M54" s="22" t="n"/>
      <c r="N54" s="22" t="n"/>
      <c r="O54" s="22" t="n"/>
      <c r="P54" s="22" t="n"/>
      <c r="Q54" s="22" t="n"/>
      <c r="R54" s="22" t="n"/>
      <c r="S54" s="22" t="n"/>
      <c r="U54" t="str">
        <f>IFERROR(MATCH(44,'MiT Strom Pipeline'!$AB$6:$AB$860,0)+5,"")</f>
        <v/>
      </c>
    </row>
    <row r="55" ht="15.75" customHeight="1">
      <c r="A55" s="26" t="str">
        <f>IF($U55="","",IF(ISNUMBER(INDEX('MiT Strom Pipeline'!$A:$A,$U55)),INDEX('MiT Strom Pipeline'!$A:$A,$U55),""))</f>
        <v/>
      </c>
      <c r="B55" s="27" t="str">
        <f>IF($U55="","",IF(INDEX('MiT Strom Pipeline'!$B:$B,$U55)="","",INDEX('MiT Strom Pipeline'!$B:$B,$U55)))</f>
        <v/>
      </c>
      <c r="C55" s="27" t="str">
        <f>IF($U55="","",IF(INDEX('MiT Strom Pipeline'!$C:$C,$U55)="","",INDEX('MiT Strom Pipeline'!$C:$C,$U55)))</f>
        <v/>
      </c>
      <c r="D55" s="27" t="str">
        <f>IF($U55="","",IF(INDEX('MiT Strom Pipeline'!$D:$D,$U55)="","",INDEX('MiT Strom Pipeline'!$D:$D,$U55)))</f>
        <v/>
      </c>
      <c r="E55" s="27" t="str">
        <f>IF($U55="","",IF(INDEX('MiT Strom Pipeline'!$H:$H,$U55)="","",INDEX('MiT Strom Pipeline'!$H:$H,$U55)))</f>
        <v/>
      </c>
      <c r="F55" s="27" t="str">
        <f>IF($U55="","",IF(INDEX('MiT Strom Pipeline'!$E:$E,$U55)="","",INDEX('MiT Strom Pipeline'!$E:$E,$U55)))</f>
        <v/>
      </c>
      <c r="G55" s="28" t="str">
        <f>IF($U55="","",IF(ISNUMBER(INDEX('MiT Strom Pipeline'!$I:$I,$U55)),INDEX('MiT Strom Pipeline'!$I:$I,$U55),0))</f>
        <v/>
      </c>
      <c r="H55" s="28" t="str">
        <f>IF($U55="","",IF(ISNUMBER(INDEX('MiT Strom Pipeline'!$Q:$Q,$U55)),INDEX('MiT Strom Pipeline'!$Q:$Q,$U55),0))</f>
        <v/>
      </c>
      <c r="I55" s="28" t="str">
        <f>IF($U55="","",IF(ISNUMBER(INDEX('MiT Strom Pipeline'!$O:$O,$U55)),INDEX('MiT Strom Pipeline'!$O:$O,$U55),0))</f>
        <v/>
      </c>
      <c r="J55" s="27" t="str">
        <f>IF($U55="","",INDEX('MiT Strom Pipeline'!$R:$R,$U55))</f>
        <v/>
      </c>
      <c r="K55" s="29" t="str">
        <f>IF($U55="","",IF(ISNUMBER(INDEX('MiT Strom Pipeline'!$S:$S,$U55)),INDEX('MiT Strom Pipeline'!$S:$S,$U55),""))</f>
        <v/>
      </c>
      <c r="L55" s="27" t="str">
        <f>IF($U55="","",IF(LEN(INDEX('MiT Strom Pipeline'!$V:$V,$U55))&gt;0,LEFT(INDEX('MiT Strom Pipeline'!$V:$V,$U55),55),""))</f>
        <v/>
      </c>
      <c r="M55" s="22" t="n"/>
      <c r="N55" s="22" t="n"/>
      <c r="O55" s="22" t="n"/>
      <c r="P55" s="22" t="n"/>
      <c r="Q55" s="22" t="n"/>
      <c r="R55" s="22" t="n"/>
      <c r="S55" s="22" t="n"/>
      <c r="U55" t="str">
        <f>IFERROR(MATCH(45,'MiT Strom Pipeline'!$AB$6:$AB$860,0)+5,"")</f>
        <v/>
      </c>
    </row>
    <row r="56" ht="15.75" customHeight="1">
      <c r="A56" s="26" t="str">
        <f>IF($U56="","",IF(ISNUMBER(INDEX('MiT Strom Pipeline'!$A:$A,$U56)),INDEX('MiT Strom Pipeline'!$A:$A,$U56),""))</f>
        <v/>
      </c>
      <c r="B56" s="27" t="str">
        <f>IF($U56="","",IF(INDEX('MiT Strom Pipeline'!$B:$B,$U56)="","",INDEX('MiT Strom Pipeline'!$B:$B,$U56)))</f>
        <v/>
      </c>
      <c r="C56" s="27" t="str">
        <f>IF($U56="","",IF(INDEX('MiT Strom Pipeline'!$C:$C,$U56)="","",INDEX('MiT Strom Pipeline'!$C:$C,$U56)))</f>
        <v/>
      </c>
      <c r="D56" s="27" t="str">
        <f>IF($U56="","",IF(INDEX('MiT Strom Pipeline'!$D:$D,$U56)="","",INDEX('MiT Strom Pipeline'!$D:$D,$U56)))</f>
        <v/>
      </c>
      <c r="E56" s="27" t="str">
        <f>IF($U56="","",IF(INDEX('MiT Strom Pipeline'!$H:$H,$U56)="","",INDEX('MiT Strom Pipeline'!$H:$H,$U56)))</f>
        <v/>
      </c>
      <c r="F56" s="27" t="str">
        <f>IF($U56="","",IF(INDEX('MiT Strom Pipeline'!$E:$E,$U56)="","",INDEX('MiT Strom Pipeline'!$E:$E,$U56)))</f>
        <v/>
      </c>
      <c r="G56" s="28" t="str">
        <f>IF($U56="","",IF(ISNUMBER(INDEX('MiT Strom Pipeline'!$I:$I,$U56)),INDEX('MiT Strom Pipeline'!$I:$I,$U56),0))</f>
        <v/>
      </c>
      <c r="H56" s="28" t="str">
        <f>IF($U56="","",IF(ISNUMBER(INDEX('MiT Strom Pipeline'!$Q:$Q,$U56)),INDEX('MiT Strom Pipeline'!$Q:$Q,$U56),0))</f>
        <v/>
      </c>
      <c r="I56" s="28" t="str">
        <f>IF($U56="","",IF(ISNUMBER(INDEX('MiT Strom Pipeline'!$O:$O,$U56)),INDEX('MiT Strom Pipeline'!$O:$O,$U56),0))</f>
        <v/>
      </c>
      <c r="J56" s="27" t="str">
        <f>IF($U56="","",INDEX('MiT Strom Pipeline'!$R:$R,$U56))</f>
        <v/>
      </c>
      <c r="K56" s="29" t="str">
        <f>IF($U56="","",IF(ISNUMBER(INDEX('MiT Strom Pipeline'!$S:$S,$U56)),INDEX('MiT Strom Pipeline'!$S:$S,$U56),""))</f>
        <v/>
      </c>
      <c r="L56" s="27" t="str">
        <f>IF($U56="","",IF(LEN(INDEX('MiT Strom Pipeline'!$V:$V,$U56))&gt;0,LEFT(INDEX('MiT Strom Pipeline'!$V:$V,$U56),55),""))</f>
        <v/>
      </c>
      <c r="M56" s="22" t="n"/>
      <c r="N56" s="22" t="n"/>
      <c r="O56" s="22" t="n"/>
      <c r="P56" s="22" t="n"/>
      <c r="Q56" s="22" t="n"/>
      <c r="R56" s="22" t="n"/>
      <c r="S56" s="22" t="n"/>
      <c r="U56" t="str">
        <f>IFERROR(MATCH(46,'MiT Strom Pipeline'!$AB$6:$AB$860,0)+5,"")</f>
        <v/>
      </c>
    </row>
    <row r="57" ht="15.75" customHeight="1">
      <c r="A57" s="26" t="str">
        <f>IF($U57="","",IF(ISNUMBER(INDEX('MiT Strom Pipeline'!$A:$A,$U57)),INDEX('MiT Strom Pipeline'!$A:$A,$U57),""))</f>
        <v/>
      </c>
      <c r="B57" s="27" t="str">
        <f>IF($U57="","",IF(INDEX('MiT Strom Pipeline'!$B:$B,$U57)="","",INDEX('MiT Strom Pipeline'!$B:$B,$U57)))</f>
        <v/>
      </c>
      <c r="C57" s="27" t="str">
        <f>IF($U57="","",IF(INDEX('MiT Strom Pipeline'!$C:$C,$U57)="","",INDEX('MiT Strom Pipeline'!$C:$C,$U57)))</f>
        <v/>
      </c>
      <c r="D57" s="27" t="str">
        <f>IF($U57="","",IF(INDEX('MiT Strom Pipeline'!$D:$D,$U57)="","",INDEX('MiT Strom Pipeline'!$D:$D,$U57)))</f>
        <v/>
      </c>
      <c r="E57" s="27" t="str">
        <f>IF($U57="","",IF(INDEX('MiT Strom Pipeline'!$H:$H,$U57)="","",INDEX('MiT Strom Pipeline'!$H:$H,$U57)))</f>
        <v/>
      </c>
      <c r="F57" s="27" t="str">
        <f>IF($U57="","",IF(INDEX('MiT Strom Pipeline'!$E:$E,$U57)="","",INDEX('MiT Strom Pipeline'!$E:$E,$U57)))</f>
        <v/>
      </c>
      <c r="G57" s="28" t="str">
        <f>IF($U57="","",IF(ISNUMBER(INDEX('MiT Strom Pipeline'!$I:$I,$U57)),INDEX('MiT Strom Pipeline'!$I:$I,$U57),0))</f>
        <v/>
      </c>
      <c r="H57" s="28" t="str">
        <f>IF($U57="","",IF(ISNUMBER(INDEX('MiT Strom Pipeline'!$Q:$Q,$U57)),INDEX('MiT Strom Pipeline'!$Q:$Q,$U57),0))</f>
        <v/>
      </c>
      <c r="I57" s="28" t="str">
        <f>IF($U57="","",IF(ISNUMBER(INDEX('MiT Strom Pipeline'!$O:$O,$U57)),INDEX('MiT Strom Pipeline'!$O:$O,$U57),0))</f>
        <v/>
      </c>
      <c r="J57" s="27" t="str">
        <f>IF($U57="","",INDEX('MiT Strom Pipeline'!$R:$R,$U57))</f>
        <v/>
      </c>
      <c r="K57" s="29" t="str">
        <f>IF($U57="","",IF(ISNUMBER(INDEX('MiT Strom Pipeline'!$S:$S,$U57)),INDEX('MiT Strom Pipeline'!$S:$S,$U57),""))</f>
        <v/>
      </c>
      <c r="L57" s="27" t="str">
        <f>IF($U57="","",IF(LEN(INDEX('MiT Strom Pipeline'!$V:$V,$U57))&gt;0,LEFT(INDEX('MiT Strom Pipeline'!$V:$V,$U57),55),""))</f>
        <v/>
      </c>
      <c r="M57" s="22" t="n"/>
      <c r="N57" s="22" t="n"/>
      <c r="O57" s="22" t="n"/>
      <c r="P57" s="22" t="n"/>
      <c r="Q57" s="22" t="n"/>
      <c r="R57" s="22" t="n"/>
      <c r="S57" s="22" t="n"/>
      <c r="U57" t="str">
        <f>IFERROR(MATCH(47,'MiT Strom Pipeline'!$AB$6:$AB$860,0)+5,"")</f>
        <v/>
      </c>
    </row>
    <row r="58" ht="15.75" customHeight="1">
      <c r="A58" s="26" t="str">
        <f>IF($U58="","",IF(ISNUMBER(INDEX('MiT Strom Pipeline'!$A:$A,$U58)),INDEX('MiT Strom Pipeline'!$A:$A,$U58),""))</f>
        <v/>
      </c>
      <c r="B58" s="27" t="str">
        <f>IF($U58="","",IF(INDEX('MiT Strom Pipeline'!$B:$B,$U58)="","",INDEX('MiT Strom Pipeline'!$B:$B,$U58)))</f>
        <v/>
      </c>
      <c r="C58" s="27" t="str">
        <f>IF($U58="","",IF(INDEX('MiT Strom Pipeline'!$C:$C,$U58)="","",INDEX('MiT Strom Pipeline'!$C:$C,$U58)))</f>
        <v/>
      </c>
      <c r="D58" s="27" t="str">
        <f>IF($U58="","",IF(INDEX('MiT Strom Pipeline'!$D:$D,$U58)="","",INDEX('MiT Strom Pipeline'!$D:$D,$U58)))</f>
        <v/>
      </c>
      <c r="E58" s="27" t="str">
        <f>IF($U58="","",IF(INDEX('MiT Strom Pipeline'!$H:$H,$U58)="","",INDEX('MiT Strom Pipeline'!$H:$H,$U58)))</f>
        <v/>
      </c>
      <c r="F58" s="27" t="str">
        <f>IF($U58="","",IF(INDEX('MiT Strom Pipeline'!$E:$E,$U58)="","",INDEX('MiT Strom Pipeline'!$E:$E,$U58)))</f>
        <v/>
      </c>
      <c r="G58" s="28" t="str">
        <f>IF($U58="","",IF(ISNUMBER(INDEX('MiT Strom Pipeline'!$I:$I,$U58)),INDEX('MiT Strom Pipeline'!$I:$I,$U58),0))</f>
        <v/>
      </c>
      <c r="H58" s="28" t="str">
        <f>IF($U58="","",IF(ISNUMBER(INDEX('MiT Strom Pipeline'!$Q:$Q,$U58)),INDEX('MiT Strom Pipeline'!$Q:$Q,$U58),0))</f>
        <v/>
      </c>
      <c r="I58" s="28" t="str">
        <f>IF($U58="","",IF(ISNUMBER(INDEX('MiT Strom Pipeline'!$O:$O,$U58)),INDEX('MiT Strom Pipeline'!$O:$O,$U58),0))</f>
        <v/>
      </c>
      <c r="J58" s="27" t="str">
        <f>IF($U58="","",INDEX('MiT Strom Pipeline'!$R:$R,$U58))</f>
        <v/>
      </c>
      <c r="K58" s="29" t="str">
        <f>IF($U58="","",IF(ISNUMBER(INDEX('MiT Strom Pipeline'!$S:$S,$U58)),INDEX('MiT Strom Pipeline'!$S:$S,$U58),""))</f>
        <v/>
      </c>
      <c r="L58" s="27" t="str">
        <f>IF($U58="","",IF(LEN(INDEX('MiT Strom Pipeline'!$V:$V,$U58))&gt;0,LEFT(INDEX('MiT Strom Pipeline'!$V:$V,$U58),55),""))</f>
        <v/>
      </c>
      <c r="M58" s="22" t="n"/>
      <c r="N58" s="22" t="n"/>
      <c r="O58" s="22" t="n"/>
      <c r="P58" s="22" t="n"/>
      <c r="Q58" s="22" t="n"/>
      <c r="R58" s="22" t="n"/>
      <c r="S58" s="22" t="n"/>
      <c r="U58" t="str">
        <f>IFERROR(MATCH(48,'MiT Strom Pipeline'!$AB$6:$AB$860,0)+5,"")</f>
        <v/>
      </c>
    </row>
    <row r="59" ht="15.75" customHeight="1">
      <c r="A59" s="26" t="str">
        <f>IF($U59="","",IF(ISNUMBER(INDEX('MiT Strom Pipeline'!$A:$A,$U59)),INDEX('MiT Strom Pipeline'!$A:$A,$U59),""))</f>
        <v/>
      </c>
      <c r="B59" s="27" t="str">
        <f>IF($U59="","",IF(INDEX('MiT Strom Pipeline'!$B:$B,$U59)="","",INDEX('MiT Strom Pipeline'!$B:$B,$U59)))</f>
        <v/>
      </c>
      <c r="C59" s="27" t="str">
        <f>IF($U59="","",IF(INDEX('MiT Strom Pipeline'!$C:$C,$U59)="","",INDEX('MiT Strom Pipeline'!$C:$C,$U59)))</f>
        <v/>
      </c>
      <c r="D59" s="27" t="str">
        <f>IF($U59="","",IF(INDEX('MiT Strom Pipeline'!$D:$D,$U59)="","",INDEX('MiT Strom Pipeline'!$D:$D,$U59)))</f>
        <v/>
      </c>
      <c r="E59" s="27" t="str">
        <f>IF($U59="","",IF(INDEX('MiT Strom Pipeline'!$H:$H,$U59)="","",INDEX('MiT Strom Pipeline'!$H:$H,$U59)))</f>
        <v/>
      </c>
      <c r="F59" s="27" t="str">
        <f>IF($U59="","",IF(INDEX('MiT Strom Pipeline'!$E:$E,$U59)="","",INDEX('MiT Strom Pipeline'!$E:$E,$U59)))</f>
        <v/>
      </c>
      <c r="G59" s="28" t="str">
        <f>IF($U59="","",IF(ISNUMBER(INDEX('MiT Strom Pipeline'!$I:$I,$U59)),INDEX('MiT Strom Pipeline'!$I:$I,$U59),0))</f>
        <v/>
      </c>
      <c r="H59" s="28" t="str">
        <f>IF($U59="","",IF(ISNUMBER(INDEX('MiT Strom Pipeline'!$Q:$Q,$U59)),INDEX('MiT Strom Pipeline'!$Q:$Q,$U59),0))</f>
        <v/>
      </c>
      <c r="I59" s="28" t="str">
        <f>IF($U59="","",IF(ISNUMBER(INDEX('MiT Strom Pipeline'!$O:$O,$U59)),INDEX('MiT Strom Pipeline'!$O:$O,$U59),0))</f>
        <v/>
      </c>
      <c r="J59" s="27" t="str">
        <f>IF($U59="","",INDEX('MiT Strom Pipeline'!$R:$R,$U59))</f>
        <v/>
      </c>
      <c r="K59" s="29" t="str">
        <f>IF($U59="","",IF(ISNUMBER(INDEX('MiT Strom Pipeline'!$S:$S,$U59)),INDEX('MiT Strom Pipeline'!$S:$S,$U59),""))</f>
        <v/>
      </c>
      <c r="L59" s="27" t="str">
        <f>IF($U59="","",IF(LEN(INDEX('MiT Strom Pipeline'!$V:$V,$U59))&gt;0,LEFT(INDEX('MiT Strom Pipeline'!$V:$V,$U59),55),""))</f>
        <v/>
      </c>
      <c r="M59" s="22" t="n"/>
      <c r="N59" s="22" t="n"/>
      <c r="O59" s="22" t="n"/>
      <c r="P59" s="22" t="n"/>
      <c r="Q59" s="22" t="n"/>
      <c r="R59" s="22" t="n"/>
      <c r="S59" s="22" t="n"/>
      <c r="U59" t="str">
        <f>IFERROR(MATCH(49,'MiT Strom Pipeline'!$AB$6:$AB$860,0)+5,"")</f>
        <v/>
      </c>
    </row>
    <row r="60" ht="15.75" customHeight="1">
      <c r="A60" s="26" t="str">
        <f>IF($U60="","",IF(ISNUMBER(INDEX('MiT Strom Pipeline'!$A:$A,$U60)),INDEX('MiT Strom Pipeline'!$A:$A,$U60),""))</f>
        <v/>
      </c>
      <c r="B60" s="27" t="str">
        <f>IF($U60="","",IF(INDEX('MiT Strom Pipeline'!$B:$B,$U60)="","",INDEX('MiT Strom Pipeline'!$B:$B,$U60)))</f>
        <v/>
      </c>
      <c r="C60" s="27" t="str">
        <f>IF($U60="","",IF(INDEX('MiT Strom Pipeline'!$C:$C,$U60)="","",INDEX('MiT Strom Pipeline'!$C:$C,$U60)))</f>
        <v/>
      </c>
      <c r="D60" s="27" t="str">
        <f>IF($U60="","",IF(INDEX('MiT Strom Pipeline'!$D:$D,$U60)="","",INDEX('MiT Strom Pipeline'!$D:$D,$U60)))</f>
        <v/>
      </c>
      <c r="E60" s="27" t="str">
        <f>IF($U60="","",IF(INDEX('MiT Strom Pipeline'!$H:$H,$U60)="","",INDEX('MiT Strom Pipeline'!$H:$H,$U60)))</f>
        <v/>
      </c>
      <c r="F60" s="27" t="str">
        <f>IF($U60="","",IF(INDEX('MiT Strom Pipeline'!$E:$E,$U60)="","",INDEX('MiT Strom Pipeline'!$E:$E,$U60)))</f>
        <v/>
      </c>
      <c r="G60" s="28" t="str">
        <f>IF($U60="","",IF(ISNUMBER(INDEX('MiT Strom Pipeline'!$I:$I,$U60)),INDEX('MiT Strom Pipeline'!$I:$I,$U60),0))</f>
        <v/>
      </c>
      <c r="H60" s="28" t="str">
        <f>IF($U60="","",IF(ISNUMBER(INDEX('MiT Strom Pipeline'!$Q:$Q,$U60)),INDEX('MiT Strom Pipeline'!$Q:$Q,$U60),0))</f>
        <v/>
      </c>
      <c r="I60" s="28" t="str">
        <f>IF($U60="","",IF(ISNUMBER(INDEX('MiT Strom Pipeline'!$O:$O,$U60)),INDEX('MiT Strom Pipeline'!$O:$O,$U60),0))</f>
        <v/>
      </c>
      <c r="J60" s="27" t="str">
        <f>IF($U60="","",INDEX('MiT Strom Pipeline'!$R:$R,$U60))</f>
        <v/>
      </c>
      <c r="K60" s="29" t="str">
        <f>IF($U60="","",IF(ISNUMBER(INDEX('MiT Strom Pipeline'!$S:$S,$U60)),INDEX('MiT Strom Pipeline'!$S:$S,$U60),""))</f>
        <v/>
      </c>
      <c r="L60" s="27" t="str">
        <f>IF($U60="","",IF(LEN(INDEX('MiT Strom Pipeline'!$V:$V,$U60))&gt;0,LEFT(INDEX('MiT Strom Pipeline'!$V:$V,$U60),55),""))</f>
        <v/>
      </c>
      <c r="M60" s="22" t="n"/>
      <c r="N60" s="22" t="n"/>
      <c r="O60" s="22" t="n"/>
      <c r="P60" s="22" t="n"/>
      <c r="Q60" s="22" t="n"/>
      <c r="R60" s="22" t="n"/>
      <c r="S60" s="22" t="n"/>
      <c r="U60" t="str">
        <f>IFERROR(MATCH(50,'MiT Strom Pipeline'!$AB$6:$AB$860,0)+5,"")</f>
        <v/>
      </c>
    </row>
    <row r="61" ht="15.75" customHeight="1">
      <c r="A61" s="26" t="str">
        <f>IF($U61="","",IF(ISNUMBER(INDEX('MiT Strom Pipeline'!$A:$A,$U61)),INDEX('MiT Strom Pipeline'!$A:$A,$U61),""))</f>
        <v/>
      </c>
      <c r="B61" s="27" t="str">
        <f>IF($U61="","",IF(INDEX('MiT Strom Pipeline'!$B:$B,$U61)="","",INDEX('MiT Strom Pipeline'!$B:$B,$U61)))</f>
        <v/>
      </c>
      <c r="C61" s="27" t="str">
        <f>IF($U61="","",IF(INDEX('MiT Strom Pipeline'!$C:$C,$U61)="","",INDEX('MiT Strom Pipeline'!$C:$C,$U61)))</f>
        <v/>
      </c>
      <c r="D61" s="27" t="str">
        <f>IF($U61="","",IF(INDEX('MiT Strom Pipeline'!$D:$D,$U61)="","",INDEX('MiT Strom Pipeline'!$D:$D,$U61)))</f>
        <v/>
      </c>
      <c r="E61" s="27" t="str">
        <f>IF($U61="","",IF(INDEX('MiT Strom Pipeline'!$H:$H,$U61)="","",INDEX('MiT Strom Pipeline'!$H:$H,$U61)))</f>
        <v/>
      </c>
      <c r="F61" s="27" t="str">
        <f>IF($U61="","",IF(INDEX('MiT Strom Pipeline'!$E:$E,$U61)="","",INDEX('MiT Strom Pipeline'!$E:$E,$U61)))</f>
        <v/>
      </c>
      <c r="G61" s="28" t="str">
        <f>IF($U61="","",IF(ISNUMBER(INDEX('MiT Strom Pipeline'!$I:$I,$U61)),INDEX('MiT Strom Pipeline'!$I:$I,$U61),0))</f>
        <v/>
      </c>
      <c r="H61" s="28" t="str">
        <f>IF($U61="","",IF(ISNUMBER(INDEX('MiT Strom Pipeline'!$Q:$Q,$U61)),INDEX('MiT Strom Pipeline'!$Q:$Q,$U61),0))</f>
        <v/>
      </c>
      <c r="I61" s="28" t="str">
        <f>IF($U61="","",IF(ISNUMBER(INDEX('MiT Strom Pipeline'!$O:$O,$U61)),INDEX('MiT Strom Pipeline'!$O:$O,$U61),0))</f>
        <v/>
      </c>
      <c r="J61" s="27" t="str">
        <f>IF($U61="","",INDEX('MiT Strom Pipeline'!$R:$R,$U61))</f>
        <v/>
      </c>
      <c r="K61" s="29" t="str">
        <f>IF($U61="","",IF(ISNUMBER(INDEX('MiT Strom Pipeline'!$S:$S,$U61)),INDEX('MiT Strom Pipeline'!$S:$S,$U61),""))</f>
        <v/>
      </c>
      <c r="L61" s="27" t="str">
        <f>IF($U61="","",IF(LEN(INDEX('MiT Strom Pipeline'!$V:$V,$U61))&gt;0,LEFT(INDEX('MiT Strom Pipeline'!$V:$V,$U61),55),""))</f>
        <v/>
      </c>
      <c r="M61" s="22" t="n"/>
      <c r="N61" s="22" t="n"/>
      <c r="O61" s="22" t="n"/>
      <c r="P61" s="22" t="n"/>
      <c r="Q61" s="22" t="n"/>
      <c r="R61" s="22" t="n"/>
      <c r="S61" s="22" t="n"/>
      <c r="U61" t="str">
        <f>IFERROR(MATCH(51,'MiT Strom Pipeline'!$AB$6:$AB$860,0)+5,"")</f>
        <v/>
      </c>
    </row>
    <row r="62" ht="15.75" customHeight="1">
      <c r="A62" s="26" t="str">
        <f>IF($U62="","",IF(ISNUMBER(INDEX('MiT Strom Pipeline'!$A:$A,$U62)),INDEX('MiT Strom Pipeline'!$A:$A,$U62),""))</f>
        <v/>
      </c>
      <c r="B62" s="27" t="str">
        <f>IF($U62="","",IF(INDEX('MiT Strom Pipeline'!$B:$B,$U62)="","",INDEX('MiT Strom Pipeline'!$B:$B,$U62)))</f>
        <v/>
      </c>
      <c r="C62" s="27" t="str">
        <f>IF($U62="","",IF(INDEX('MiT Strom Pipeline'!$C:$C,$U62)="","",INDEX('MiT Strom Pipeline'!$C:$C,$U62)))</f>
        <v/>
      </c>
      <c r="D62" s="27" t="str">
        <f>IF($U62="","",IF(INDEX('MiT Strom Pipeline'!$D:$D,$U62)="","",INDEX('MiT Strom Pipeline'!$D:$D,$U62)))</f>
        <v/>
      </c>
      <c r="E62" s="27" t="str">
        <f>IF($U62="","",IF(INDEX('MiT Strom Pipeline'!$H:$H,$U62)="","",INDEX('MiT Strom Pipeline'!$H:$H,$U62)))</f>
        <v/>
      </c>
      <c r="F62" s="27" t="str">
        <f>IF($U62="","",IF(INDEX('MiT Strom Pipeline'!$E:$E,$U62)="","",INDEX('MiT Strom Pipeline'!$E:$E,$U62)))</f>
        <v/>
      </c>
      <c r="G62" s="28" t="str">
        <f>IF($U62="","",IF(ISNUMBER(INDEX('MiT Strom Pipeline'!$I:$I,$U62)),INDEX('MiT Strom Pipeline'!$I:$I,$U62),0))</f>
        <v/>
      </c>
      <c r="H62" s="28" t="str">
        <f>IF($U62="","",IF(ISNUMBER(INDEX('MiT Strom Pipeline'!$Q:$Q,$U62)),INDEX('MiT Strom Pipeline'!$Q:$Q,$U62),0))</f>
        <v/>
      </c>
      <c r="I62" s="28" t="str">
        <f>IF($U62="","",IF(ISNUMBER(INDEX('MiT Strom Pipeline'!$O:$O,$U62)),INDEX('MiT Strom Pipeline'!$O:$O,$U62),0))</f>
        <v/>
      </c>
      <c r="J62" s="27" t="str">
        <f>IF($U62="","",INDEX('MiT Strom Pipeline'!$R:$R,$U62))</f>
        <v/>
      </c>
      <c r="K62" s="29" t="str">
        <f>IF($U62="","",IF(ISNUMBER(INDEX('MiT Strom Pipeline'!$S:$S,$U62)),INDEX('MiT Strom Pipeline'!$S:$S,$U62),""))</f>
        <v/>
      </c>
      <c r="L62" s="27" t="str">
        <f>IF($U62="","",IF(LEN(INDEX('MiT Strom Pipeline'!$V:$V,$U62))&gt;0,LEFT(INDEX('MiT Strom Pipeline'!$V:$V,$U62),55),""))</f>
        <v/>
      </c>
      <c r="M62" s="22" t="n"/>
      <c r="N62" s="22" t="n"/>
      <c r="O62" s="22" t="n"/>
      <c r="P62" s="22" t="n"/>
      <c r="Q62" s="22" t="n"/>
      <c r="R62" s="22" t="n"/>
      <c r="S62" s="22" t="n"/>
      <c r="U62" t="str">
        <f>IFERROR(MATCH(52,'MiT Strom Pipeline'!$AB$6:$AB$860,0)+5,"")</f>
        <v/>
      </c>
    </row>
    <row r="63" ht="15.75" customHeight="1">
      <c r="A63" s="26" t="str">
        <f>IF($U63="","",IF(ISNUMBER(INDEX('MiT Strom Pipeline'!$A:$A,$U63)),INDEX('MiT Strom Pipeline'!$A:$A,$U63),""))</f>
        <v/>
      </c>
      <c r="B63" s="27" t="str">
        <f>IF($U63="","",IF(INDEX('MiT Strom Pipeline'!$B:$B,$U63)="","",INDEX('MiT Strom Pipeline'!$B:$B,$U63)))</f>
        <v/>
      </c>
      <c r="C63" s="27" t="str">
        <f>IF($U63="","",IF(INDEX('MiT Strom Pipeline'!$C:$C,$U63)="","",INDEX('MiT Strom Pipeline'!$C:$C,$U63)))</f>
        <v/>
      </c>
      <c r="D63" s="27" t="str">
        <f>IF($U63="","",IF(INDEX('MiT Strom Pipeline'!$D:$D,$U63)="","",INDEX('MiT Strom Pipeline'!$D:$D,$U63)))</f>
        <v/>
      </c>
      <c r="E63" s="27" t="str">
        <f>IF($U63="","",IF(INDEX('MiT Strom Pipeline'!$H:$H,$U63)="","",INDEX('MiT Strom Pipeline'!$H:$H,$U63)))</f>
        <v/>
      </c>
      <c r="F63" s="27" t="str">
        <f>IF($U63="","",IF(INDEX('MiT Strom Pipeline'!$E:$E,$U63)="","",INDEX('MiT Strom Pipeline'!$E:$E,$U63)))</f>
        <v/>
      </c>
      <c r="G63" s="28" t="str">
        <f>IF($U63="","",IF(ISNUMBER(INDEX('MiT Strom Pipeline'!$I:$I,$U63)),INDEX('MiT Strom Pipeline'!$I:$I,$U63),0))</f>
        <v/>
      </c>
      <c r="H63" s="28" t="str">
        <f>IF($U63="","",IF(ISNUMBER(INDEX('MiT Strom Pipeline'!$Q:$Q,$U63)),INDEX('MiT Strom Pipeline'!$Q:$Q,$U63),0))</f>
        <v/>
      </c>
      <c r="I63" s="28" t="str">
        <f>IF($U63="","",IF(ISNUMBER(INDEX('MiT Strom Pipeline'!$O:$O,$U63)),INDEX('MiT Strom Pipeline'!$O:$O,$U63),0))</f>
        <v/>
      </c>
      <c r="J63" s="27" t="str">
        <f>IF($U63="","",INDEX('MiT Strom Pipeline'!$R:$R,$U63))</f>
        <v/>
      </c>
      <c r="K63" s="29" t="str">
        <f>IF($U63="","",IF(ISNUMBER(INDEX('MiT Strom Pipeline'!$S:$S,$U63)),INDEX('MiT Strom Pipeline'!$S:$S,$U63),""))</f>
        <v/>
      </c>
      <c r="L63" s="27" t="str">
        <f>IF($U63="","",IF(LEN(INDEX('MiT Strom Pipeline'!$V:$V,$U63))&gt;0,LEFT(INDEX('MiT Strom Pipeline'!$V:$V,$U63),55),""))</f>
        <v/>
      </c>
      <c r="M63" s="22" t="n"/>
      <c r="N63" s="22" t="n"/>
      <c r="O63" s="22" t="n"/>
      <c r="P63" s="22" t="n"/>
      <c r="Q63" s="22" t="n"/>
      <c r="R63" s="22" t="n"/>
      <c r="S63" s="22" t="n"/>
      <c r="U63" t="str">
        <f>IFERROR(MATCH(53,'MiT Strom Pipeline'!$AB$6:$AB$860,0)+5,"")</f>
        <v/>
      </c>
    </row>
    <row r="64" ht="15.75" customHeight="1">
      <c r="A64" s="26" t="str">
        <f>IF($U64="","",IF(ISNUMBER(INDEX('MiT Strom Pipeline'!$A:$A,$U64)),INDEX('MiT Strom Pipeline'!$A:$A,$U64),""))</f>
        <v/>
      </c>
      <c r="B64" s="27" t="str">
        <f>IF($U64="","",IF(INDEX('MiT Strom Pipeline'!$B:$B,$U64)="","",INDEX('MiT Strom Pipeline'!$B:$B,$U64)))</f>
        <v/>
      </c>
      <c r="C64" s="27" t="str">
        <f>IF($U64="","",IF(INDEX('MiT Strom Pipeline'!$C:$C,$U64)="","",INDEX('MiT Strom Pipeline'!$C:$C,$U64)))</f>
        <v/>
      </c>
      <c r="D64" s="27" t="str">
        <f>IF($U64="","",IF(INDEX('MiT Strom Pipeline'!$D:$D,$U64)="","",INDEX('MiT Strom Pipeline'!$D:$D,$U64)))</f>
        <v/>
      </c>
      <c r="E64" s="27" t="str">
        <f>IF($U64="","",IF(INDEX('MiT Strom Pipeline'!$H:$H,$U64)="","",INDEX('MiT Strom Pipeline'!$H:$H,$U64)))</f>
        <v/>
      </c>
      <c r="F64" s="27" t="str">
        <f>IF($U64="","",IF(INDEX('MiT Strom Pipeline'!$E:$E,$U64)="","",INDEX('MiT Strom Pipeline'!$E:$E,$U64)))</f>
        <v/>
      </c>
      <c r="G64" s="28" t="str">
        <f>IF($U64="","",IF(ISNUMBER(INDEX('MiT Strom Pipeline'!$I:$I,$U64)),INDEX('MiT Strom Pipeline'!$I:$I,$U64),0))</f>
        <v/>
      </c>
      <c r="H64" s="28" t="str">
        <f>IF($U64="","",IF(ISNUMBER(INDEX('MiT Strom Pipeline'!$Q:$Q,$U64)),INDEX('MiT Strom Pipeline'!$Q:$Q,$U64),0))</f>
        <v/>
      </c>
      <c r="I64" s="28" t="str">
        <f>IF($U64="","",IF(ISNUMBER(INDEX('MiT Strom Pipeline'!$O:$O,$U64)),INDEX('MiT Strom Pipeline'!$O:$O,$U64),0))</f>
        <v/>
      </c>
      <c r="J64" s="27" t="str">
        <f>IF($U64="","",INDEX('MiT Strom Pipeline'!$R:$R,$U64))</f>
        <v/>
      </c>
      <c r="K64" s="29" t="str">
        <f>IF($U64="","",IF(ISNUMBER(INDEX('MiT Strom Pipeline'!$S:$S,$U64)),INDEX('MiT Strom Pipeline'!$S:$S,$U64),""))</f>
        <v/>
      </c>
      <c r="L64" s="27" t="str">
        <f>IF($U64="","",IF(LEN(INDEX('MiT Strom Pipeline'!$V:$V,$U64))&gt;0,LEFT(INDEX('MiT Strom Pipeline'!$V:$V,$U64),55),""))</f>
        <v/>
      </c>
      <c r="M64" s="22" t="n"/>
      <c r="N64" s="22" t="n"/>
      <c r="O64" s="22" t="n"/>
      <c r="P64" s="22" t="n"/>
      <c r="Q64" s="22" t="n"/>
      <c r="R64" s="22" t="n"/>
      <c r="S64" s="22" t="n"/>
      <c r="U64" t="str">
        <f>IFERROR(MATCH(54,'MiT Strom Pipeline'!$AB$6:$AB$860,0)+5,"")</f>
        <v/>
      </c>
    </row>
    <row r="65" ht="15.75" customHeight="1">
      <c r="A65" s="26" t="str">
        <f>IF($U65="","",IF(ISNUMBER(INDEX('MiT Strom Pipeline'!$A:$A,$U65)),INDEX('MiT Strom Pipeline'!$A:$A,$U65),""))</f>
        <v/>
      </c>
      <c r="B65" s="27" t="str">
        <f>IF($U65="","",IF(INDEX('MiT Strom Pipeline'!$B:$B,$U65)="","",INDEX('MiT Strom Pipeline'!$B:$B,$U65)))</f>
        <v/>
      </c>
      <c r="C65" s="27" t="str">
        <f>IF($U65="","",IF(INDEX('MiT Strom Pipeline'!$C:$C,$U65)="","",INDEX('MiT Strom Pipeline'!$C:$C,$U65)))</f>
        <v/>
      </c>
      <c r="D65" s="27" t="str">
        <f>IF($U65="","",IF(INDEX('MiT Strom Pipeline'!$D:$D,$U65)="","",INDEX('MiT Strom Pipeline'!$D:$D,$U65)))</f>
        <v/>
      </c>
      <c r="E65" s="27" t="str">
        <f>IF($U65="","",IF(INDEX('MiT Strom Pipeline'!$H:$H,$U65)="","",INDEX('MiT Strom Pipeline'!$H:$H,$U65)))</f>
        <v/>
      </c>
      <c r="F65" s="27" t="str">
        <f>IF($U65="","",IF(INDEX('MiT Strom Pipeline'!$E:$E,$U65)="","",INDEX('MiT Strom Pipeline'!$E:$E,$U65)))</f>
        <v/>
      </c>
      <c r="G65" s="28" t="str">
        <f>IF($U65="","",IF(ISNUMBER(INDEX('MiT Strom Pipeline'!$I:$I,$U65)),INDEX('MiT Strom Pipeline'!$I:$I,$U65),0))</f>
        <v/>
      </c>
      <c r="H65" s="28" t="str">
        <f>IF($U65="","",IF(ISNUMBER(INDEX('MiT Strom Pipeline'!$Q:$Q,$U65)),INDEX('MiT Strom Pipeline'!$Q:$Q,$U65),0))</f>
        <v/>
      </c>
      <c r="I65" s="28" t="str">
        <f>IF($U65="","",IF(ISNUMBER(INDEX('MiT Strom Pipeline'!$O:$O,$U65)),INDEX('MiT Strom Pipeline'!$O:$O,$U65),0))</f>
        <v/>
      </c>
      <c r="J65" s="27" t="str">
        <f>IF($U65="","",INDEX('MiT Strom Pipeline'!$R:$R,$U65))</f>
        <v/>
      </c>
      <c r="K65" s="29" t="str">
        <f>IF($U65="","",IF(ISNUMBER(INDEX('MiT Strom Pipeline'!$S:$S,$U65)),INDEX('MiT Strom Pipeline'!$S:$S,$U65),""))</f>
        <v/>
      </c>
      <c r="L65" s="27" t="str">
        <f>IF($U65="","",IF(LEN(INDEX('MiT Strom Pipeline'!$V:$V,$U65))&gt;0,LEFT(INDEX('MiT Strom Pipeline'!$V:$V,$U65),55),""))</f>
        <v/>
      </c>
      <c r="M65" s="22" t="n"/>
      <c r="N65" s="22" t="n"/>
      <c r="O65" s="22" t="n"/>
      <c r="P65" s="22" t="n"/>
      <c r="Q65" s="22" t="n"/>
      <c r="R65" s="22" t="n"/>
      <c r="S65" s="22" t="n"/>
      <c r="U65" t="str">
        <f>IFERROR(MATCH(55,'MiT Strom Pipeline'!$AB$6:$AB$860,0)+5,"")</f>
        <v/>
      </c>
    </row>
    <row r="66" ht="15.75" customHeight="1">
      <c r="A66" s="26" t="str">
        <f>IF($U66="","",IF(ISNUMBER(INDEX('MiT Strom Pipeline'!$A:$A,$U66)),INDEX('MiT Strom Pipeline'!$A:$A,$U66),""))</f>
        <v/>
      </c>
      <c r="B66" s="27" t="str">
        <f>IF($U66="","",IF(INDEX('MiT Strom Pipeline'!$B:$B,$U66)="","",INDEX('MiT Strom Pipeline'!$B:$B,$U66)))</f>
        <v/>
      </c>
      <c r="C66" s="27" t="str">
        <f>IF($U66="","",IF(INDEX('MiT Strom Pipeline'!$C:$C,$U66)="","",INDEX('MiT Strom Pipeline'!$C:$C,$U66)))</f>
        <v/>
      </c>
      <c r="D66" s="27" t="str">
        <f>IF($U66="","",IF(INDEX('MiT Strom Pipeline'!$D:$D,$U66)="","",INDEX('MiT Strom Pipeline'!$D:$D,$U66)))</f>
        <v/>
      </c>
      <c r="E66" s="27" t="str">
        <f>IF($U66="","",IF(INDEX('MiT Strom Pipeline'!$H:$H,$U66)="","",INDEX('MiT Strom Pipeline'!$H:$H,$U66)))</f>
        <v/>
      </c>
      <c r="F66" s="27" t="str">
        <f>IF($U66="","",IF(INDEX('MiT Strom Pipeline'!$E:$E,$U66)="","",INDEX('MiT Strom Pipeline'!$E:$E,$U66)))</f>
        <v/>
      </c>
      <c r="G66" s="28" t="str">
        <f>IF($U66="","",IF(ISNUMBER(INDEX('MiT Strom Pipeline'!$I:$I,$U66)),INDEX('MiT Strom Pipeline'!$I:$I,$U66),0))</f>
        <v/>
      </c>
      <c r="H66" s="28" t="str">
        <f>IF($U66="","",IF(ISNUMBER(INDEX('MiT Strom Pipeline'!$Q:$Q,$U66)),INDEX('MiT Strom Pipeline'!$Q:$Q,$U66),0))</f>
        <v/>
      </c>
      <c r="I66" s="28" t="str">
        <f>IF($U66="","",IF(ISNUMBER(INDEX('MiT Strom Pipeline'!$O:$O,$U66)),INDEX('MiT Strom Pipeline'!$O:$O,$U66),0))</f>
        <v/>
      </c>
      <c r="J66" s="27" t="str">
        <f>IF($U66="","",INDEX('MiT Strom Pipeline'!$R:$R,$U66))</f>
        <v/>
      </c>
      <c r="K66" s="29" t="str">
        <f>IF($U66="","",IF(ISNUMBER(INDEX('MiT Strom Pipeline'!$S:$S,$U66)),INDEX('MiT Strom Pipeline'!$S:$S,$U66),""))</f>
        <v/>
      </c>
      <c r="L66" s="27" t="str">
        <f>IF($U66="","",IF(LEN(INDEX('MiT Strom Pipeline'!$V:$V,$U66))&gt;0,LEFT(INDEX('MiT Strom Pipeline'!$V:$V,$U66),55),""))</f>
        <v/>
      </c>
      <c r="M66" s="22" t="n"/>
      <c r="N66" s="22" t="n"/>
      <c r="O66" s="22" t="n"/>
      <c r="P66" s="22" t="n"/>
      <c r="Q66" s="22" t="n"/>
      <c r="R66" s="22" t="n"/>
      <c r="S66" s="22" t="n"/>
      <c r="U66" t="str">
        <f>IFERROR(MATCH(56,'MiT Strom Pipeline'!$AB$6:$AB$860,0)+5,"")</f>
        <v/>
      </c>
    </row>
    <row r="67" ht="15.75" customHeight="1">
      <c r="A67" s="26" t="str">
        <f>IF($U67="","",IF(ISNUMBER(INDEX('MiT Strom Pipeline'!$A:$A,$U67)),INDEX('MiT Strom Pipeline'!$A:$A,$U67),""))</f>
        <v/>
      </c>
      <c r="B67" s="27" t="str">
        <f>IF($U67="","",IF(INDEX('MiT Strom Pipeline'!$B:$B,$U67)="","",INDEX('MiT Strom Pipeline'!$B:$B,$U67)))</f>
        <v/>
      </c>
      <c r="C67" s="27" t="str">
        <f>IF($U67="","",IF(INDEX('MiT Strom Pipeline'!$C:$C,$U67)="","",INDEX('MiT Strom Pipeline'!$C:$C,$U67)))</f>
        <v/>
      </c>
      <c r="D67" s="27" t="str">
        <f>IF($U67="","",IF(INDEX('MiT Strom Pipeline'!$D:$D,$U67)="","",INDEX('MiT Strom Pipeline'!$D:$D,$U67)))</f>
        <v/>
      </c>
      <c r="E67" s="27" t="str">
        <f>IF($U67="","",IF(INDEX('MiT Strom Pipeline'!$H:$H,$U67)="","",INDEX('MiT Strom Pipeline'!$H:$H,$U67)))</f>
        <v/>
      </c>
      <c r="F67" s="27" t="str">
        <f>IF($U67="","",IF(INDEX('MiT Strom Pipeline'!$E:$E,$U67)="","",INDEX('MiT Strom Pipeline'!$E:$E,$U67)))</f>
        <v/>
      </c>
      <c r="G67" s="28" t="str">
        <f>IF($U67="","",IF(ISNUMBER(INDEX('MiT Strom Pipeline'!$I:$I,$U67)),INDEX('MiT Strom Pipeline'!$I:$I,$U67),0))</f>
        <v/>
      </c>
      <c r="H67" s="28" t="str">
        <f>IF($U67="","",IF(ISNUMBER(INDEX('MiT Strom Pipeline'!$Q:$Q,$U67)),INDEX('MiT Strom Pipeline'!$Q:$Q,$U67),0))</f>
        <v/>
      </c>
      <c r="I67" s="28" t="str">
        <f>IF($U67="","",IF(ISNUMBER(INDEX('MiT Strom Pipeline'!$O:$O,$U67)),INDEX('MiT Strom Pipeline'!$O:$O,$U67),0))</f>
        <v/>
      </c>
      <c r="J67" s="27" t="str">
        <f>IF($U67="","",INDEX('MiT Strom Pipeline'!$R:$R,$U67))</f>
        <v/>
      </c>
      <c r="K67" s="29" t="str">
        <f>IF($U67="","",IF(ISNUMBER(INDEX('MiT Strom Pipeline'!$S:$S,$U67)),INDEX('MiT Strom Pipeline'!$S:$S,$U67),""))</f>
        <v/>
      </c>
      <c r="L67" s="27" t="str">
        <f>IF($U67="","",IF(LEN(INDEX('MiT Strom Pipeline'!$V:$V,$U67))&gt;0,LEFT(INDEX('MiT Strom Pipeline'!$V:$V,$U67),55),""))</f>
        <v/>
      </c>
      <c r="M67" s="22" t="n"/>
      <c r="N67" s="22" t="n"/>
      <c r="O67" s="22" t="n"/>
      <c r="P67" s="22" t="n"/>
      <c r="Q67" s="22" t="n"/>
      <c r="R67" s="22" t="n"/>
      <c r="S67" s="22" t="n"/>
      <c r="U67" t="str">
        <f>IFERROR(MATCH(57,'MiT Strom Pipeline'!$AB$6:$AB$860,0)+5,"")</f>
        <v/>
      </c>
    </row>
    <row r="68" ht="15.75" customHeight="1">
      <c r="A68" s="26" t="str">
        <f>IF($U68="","",IF(ISNUMBER(INDEX('MiT Strom Pipeline'!$A:$A,$U68)),INDEX('MiT Strom Pipeline'!$A:$A,$U68),""))</f>
        <v/>
      </c>
      <c r="B68" s="27" t="str">
        <f>IF($U68="","",IF(INDEX('MiT Strom Pipeline'!$B:$B,$U68)="","",INDEX('MiT Strom Pipeline'!$B:$B,$U68)))</f>
        <v/>
      </c>
      <c r="C68" s="27" t="str">
        <f>IF($U68="","",IF(INDEX('MiT Strom Pipeline'!$C:$C,$U68)="","",INDEX('MiT Strom Pipeline'!$C:$C,$U68)))</f>
        <v/>
      </c>
      <c r="D68" s="27" t="str">
        <f>IF($U68="","",IF(INDEX('MiT Strom Pipeline'!$D:$D,$U68)="","",INDEX('MiT Strom Pipeline'!$D:$D,$U68)))</f>
        <v/>
      </c>
      <c r="E68" s="27" t="str">
        <f>IF($U68="","",IF(INDEX('MiT Strom Pipeline'!$H:$H,$U68)="","",INDEX('MiT Strom Pipeline'!$H:$H,$U68)))</f>
        <v/>
      </c>
      <c r="F68" s="27" t="str">
        <f>IF($U68="","",IF(INDEX('MiT Strom Pipeline'!$E:$E,$U68)="","",INDEX('MiT Strom Pipeline'!$E:$E,$U68)))</f>
        <v/>
      </c>
      <c r="G68" s="28" t="str">
        <f>IF($U68="","",IF(ISNUMBER(INDEX('MiT Strom Pipeline'!$I:$I,$U68)),INDEX('MiT Strom Pipeline'!$I:$I,$U68),0))</f>
        <v/>
      </c>
      <c r="H68" s="28" t="str">
        <f>IF($U68="","",IF(ISNUMBER(INDEX('MiT Strom Pipeline'!$Q:$Q,$U68)),INDEX('MiT Strom Pipeline'!$Q:$Q,$U68),0))</f>
        <v/>
      </c>
      <c r="I68" s="28" t="str">
        <f>IF($U68="","",IF(ISNUMBER(INDEX('MiT Strom Pipeline'!$O:$O,$U68)),INDEX('MiT Strom Pipeline'!$O:$O,$U68),0))</f>
        <v/>
      </c>
      <c r="J68" s="27" t="str">
        <f>IF($U68="","",INDEX('MiT Strom Pipeline'!$R:$R,$U68))</f>
        <v/>
      </c>
      <c r="K68" s="29" t="str">
        <f>IF($U68="","",IF(ISNUMBER(INDEX('MiT Strom Pipeline'!$S:$S,$U68)),INDEX('MiT Strom Pipeline'!$S:$S,$U68),""))</f>
        <v/>
      </c>
      <c r="L68" s="27" t="str">
        <f>IF($U68="","",IF(LEN(INDEX('MiT Strom Pipeline'!$V:$V,$U68))&gt;0,LEFT(INDEX('MiT Strom Pipeline'!$V:$V,$U68),55),""))</f>
        <v/>
      </c>
      <c r="M68" s="22" t="n"/>
      <c r="N68" s="22" t="n"/>
      <c r="O68" s="22" t="n"/>
      <c r="P68" s="22" t="n"/>
      <c r="Q68" s="22" t="n"/>
      <c r="R68" s="22" t="n"/>
      <c r="S68" s="22" t="n"/>
      <c r="U68" t="str">
        <f>IFERROR(MATCH(58,'MiT Strom Pipeline'!$AB$6:$AB$860,0)+5,"")</f>
        <v/>
      </c>
    </row>
    <row r="69" ht="15.75" customHeight="1">
      <c r="A69" s="26" t="str">
        <f>IF($U69="","",IF(ISNUMBER(INDEX('MiT Strom Pipeline'!$A:$A,$U69)),INDEX('MiT Strom Pipeline'!$A:$A,$U69),""))</f>
        <v/>
      </c>
      <c r="B69" s="27" t="str">
        <f>IF($U69="","",IF(INDEX('MiT Strom Pipeline'!$B:$B,$U69)="","",INDEX('MiT Strom Pipeline'!$B:$B,$U69)))</f>
        <v/>
      </c>
      <c r="C69" s="27" t="str">
        <f>IF($U69="","",IF(INDEX('MiT Strom Pipeline'!$C:$C,$U69)="","",INDEX('MiT Strom Pipeline'!$C:$C,$U69)))</f>
        <v/>
      </c>
      <c r="D69" s="27" t="str">
        <f>IF($U69="","",IF(INDEX('MiT Strom Pipeline'!$D:$D,$U69)="","",INDEX('MiT Strom Pipeline'!$D:$D,$U69)))</f>
        <v/>
      </c>
      <c r="E69" s="27" t="str">
        <f>IF($U69="","",IF(INDEX('MiT Strom Pipeline'!$H:$H,$U69)="","",INDEX('MiT Strom Pipeline'!$H:$H,$U69)))</f>
        <v/>
      </c>
      <c r="F69" s="27" t="str">
        <f>IF($U69="","",IF(INDEX('MiT Strom Pipeline'!$E:$E,$U69)="","",INDEX('MiT Strom Pipeline'!$E:$E,$U69)))</f>
        <v/>
      </c>
      <c r="G69" s="28" t="str">
        <f>IF($U69="","",IF(ISNUMBER(INDEX('MiT Strom Pipeline'!$I:$I,$U69)),INDEX('MiT Strom Pipeline'!$I:$I,$U69),0))</f>
        <v/>
      </c>
      <c r="H69" s="28" t="str">
        <f>IF($U69="","",IF(ISNUMBER(INDEX('MiT Strom Pipeline'!$Q:$Q,$U69)),INDEX('MiT Strom Pipeline'!$Q:$Q,$U69),0))</f>
        <v/>
      </c>
      <c r="I69" s="28" t="str">
        <f>IF($U69="","",IF(ISNUMBER(INDEX('MiT Strom Pipeline'!$O:$O,$U69)),INDEX('MiT Strom Pipeline'!$O:$O,$U69),0))</f>
        <v/>
      </c>
      <c r="J69" s="27" t="str">
        <f>IF($U69="","",INDEX('MiT Strom Pipeline'!$R:$R,$U69))</f>
        <v/>
      </c>
      <c r="K69" s="29" t="str">
        <f>IF($U69="","",IF(ISNUMBER(INDEX('MiT Strom Pipeline'!$S:$S,$U69)),INDEX('MiT Strom Pipeline'!$S:$S,$U69),""))</f>
        <v/>
      </c>
      <c r="L69" s="27" t="str">
        <f>IF($U69="","",IF(LEN(INDEX('MiT Strom Pipeline'!$V:$V,$U69))&gt;0,LEFT(INDEX('MiT Strom Pipeline'!$V:$V,$U69),55),""))</f>
        <v/>
      </c>
      <c r="M69" s="22" t="n"/>
      <c r="N69" s="22" t="n"/>
      <c r="O69" s="22" t="n"/>
      <c r="P69" s="22" t="n"/>
      <c r="Q69" s="22" t="n"/>
      <c r="R69" s="22" t="n"/>
      <c r="S69" s="22" t="n"/>
      <c r="U69" t="str">
        <f>IFERROR(MATCH(59,'MiT Strom Pipeline'!$AB$6:$AB$860,0)+5,"")</f>
        <v/>
      </c>
    </row>
    <row r="70" ht="15.75" customHeight="1">
      <c r="A70" s="26" t="str">
        <f>IF($U70="","",IF(ISNUMBER(INDEX('MiT Strom Pipeline'!$A:$A,$U70)),INDEX('MiT Strom Pipeline'!$A:$A,$U70),""))</f>
        <v/>
      </c>
      <c r="B70" s="27" t="str">
        <f>IF($U70="","",IF(INDEX('MiT Strom Pipeline'!$B:$B,$U70)="","",INDEX('MiT Strom Pipeline'!$B:$B,$U70)))</f>
        <v/>
      </c>
      <c r="C70" s="27" t="str">
        <f>IF($U70="","",IF(INDEX('MiT Strom Pipeline'!$C:$C,$U70)="","",INDEX('MiT Strom Pipeline'!$C:$C,$U70)))</f>
        <v/>
      </c>
      <c r="D70" s="27" t="str">
        <f>IF($U70="","",IF(INDEX('MiT Strom Pipeline'!$D:$D,$U70)="","",INDEX('MiT Strom Pipeline'!$D:$D,$U70)))</f>
        <v/>
      </c>
      <c r="E70" s="27" t="str">
        <f>IF($U70="","",IF(INDEX('MiT Strom Pipeline'!$H:$H,$U70)="","",INDEX('MiT Strom Pipeline'!$H:$H,$U70)))</f>
        <v/>
      </c>
      <c r="F70" s="27" t="str">
        <f>IF($U70="","",IF(INDEX('MiT Strom Pipeline'!$E:$E,$U70)="","",INDEX('MiT Strom Pipeline'!$E:$E,$U70)))</f>
        <v/>
      </c>
      <c r="G70" s="28" t="str">
        <f>IF($U70="","",IF(ISNUMBER(INDEX('MiT Strom Pipeline'!$I:$I,$U70)),INDEX('MiT Strom Pipeline'!$I:$I,$U70),0))</f>
        <v/>
      </c>
      <c r="H70" s="28" t="str">
        <f>IF($U70="","",IF(ISNUMBER(INDEX('MiT Strom Pipeline'!$Q:$Q,$U70)),INDEX('MiT Strom Pipeline'!$Q:$Q,$U70),0))</f>
        <v/>
      </c>
      <c r="I70" s="28" t="str">
        <f>IF($U70="","",IF(ISNUMBER(INDEX('MiT Strom Pipeline'!$O:$O,$U70)),INDEX('MiT Strom Pipeline'!$O:$O,$U70),0))</f>
        <v/>
      </c>
      <c r="J70" s="27" t="str">
        <f>IF($U70="","",INDEX('MiT Strom Pipeline'!$R:$R,$U70))</f>
        <v/>
      </c>
      <c r="K70" s="29" t="str">
        <f>IF($U70="","",IF(ISNUMBER(INDEX('MiT Strom Pipeline'!$S:$S,$U70)),INDEX('MiT Strom Pipeline'!$S:$S,$U70),""))</f>
        <v/>
      </c>
      <c r="L70" s="27" t="str">
        <f>IF($U70="","",IF(LEN(INDEX('MiT Strom Pipeline'!$V:$V,$U70))&gt;0,LEFT(INDEX('MiT Strom Pipeline'!$V:$V,$U70),55),""))</f>
        <v/>
      </c>
      <c r="M70" s="22" t="n"/>
      <c r="N70" s="22" t="n"/>
      <c r="O70" s="22" t="n"/>
      <c r="P70" s="22" t="n"/>
      <c r="Q70" s="22" t="n"/>
      <c r="R70" s="22" t="n"/>
      <c r="S70" s="22" t="n"/>
      <c r="U70" t="str">
        <f>IFERROR(MATCH(60,'MiT Strom Pipeline'!$AB$6:$AB$860,0)+5,"")</f>
        <v/>
      </c>
    </row>
    <row r="71" ht="21.75" customHeight="1">
      <c r="A71" s="26" t="str">
        <f>IF($U71="","",IF(ISNUMBER(INDEX('MiT Strom Pipeline'!$A:$A,$U71)),INDEX('MiT Strom Pipeline'!$A:$A,$U71),""))</f>
        <v/>
      </c>
      <c r="B71" s="27" t="str">
        <f>IF($U71="","",IF(INDEX('MiT Strom Pipeline'!$B:$B,$U71)="","",INDEX('MiT Strom Pipeline'!$B:$B,$U71)))</f>
        <v/>
      </c>
      <c r="C71" s="27" t="str">
        <f>IF($U71="","",IF(INDEX('MiT Strom Pipeline'!$C:$C,$U71)="","",INDEX('MiT Strom Pipeline'!$C:$C,$U71)))</f>
        <v/>
      </c>
      <c r="D71" s="27" t="str">
        <f>IF($U71="","",IF(INDEX('MiT Strom Pipeline'!$D:$D,$U71)="","",INDEX('MiT Strom Pipeline'!$D:$D,$U71)))</f>
        <v/>
      </c>
      <c r="E71" s="27" t="str">
        <f>IF($U71="","",IF(INDEX('MiT Strom Pipeline'!$H:$H,$U71)="","",INDEX('MiT Strom Pipeline'!$H:$H,$U71)))</f>
        <v/>
      </c>
      <c r="F71" s="27" t="str">
        <f>IF($U71="","",IF(INDEX('MiT Strom Pipeline'!$E:$E,$U71)="","",INDEX('MiT Strom Pipeline'!$E:$E,$U71)))</f>
        <v/>
      </c>
      <c r="G71" s="28" t="str">
        <f>IF($U71="","",IF(ISNUMBER(INDEX('MiT Strom Pipeline'!$I:$I,$U71)),INDEX('MiT Strom Pipeline'!$I:$I,$U71),0))</f>
        <v/>
      </c>
      <c r="H71" s="28" t="str">
        <f>IF($U71="","",IF(ISNUMBER(INDEX('MiT Strom Pipeline'!$Q:$Q,$U71)),INDEX('MiT Strom Pipeline'!$Q:$Q,$U71),0))</f>
        <v/>
      </c>
      <c r="I71" s="28" t="str">
        <f>IF($U71="","",IF(ISNUMBER(INDEX('MiT Strom Pipeline'!$O:$O,$U71)),INDEX('MiT Strom Pipeline'!$O:$O,$U71),0))</f>
        <v/>
      </c>
      <c r="J71" s="27" t="str">
        <f>IF($U71="","",INDEX('MiT Strom Pipeline'!$R:$R,$U71))</f>
        <v/>
      </c>
      <c r="K71" s="29" t="str">
        <f>IF($U71="","",IF(ISNUMBER(INDEX('MiT Strom Pipeline'!$S:$S,$U71)),INDEX('MiT Strom Pipeline'!$S:$S,$U71),""))</f>
        <v/>
      </c>
      <c r="L71" s="27" t="str">
        <f>IF($U71="","",IF(LEN(INDEX('MiT Strom Pipeline'!$V:$V,$U71))&gt;0,LEFT(INDEX('MiT Strom Pipeline'!$V:$V,$U71),55),""))</f>
        <v/>
      </c>
      <c r="M71" s="22" t="n"/>
      <c r="N71" s="22" t="n"/>
      <c r="O71" s="22" t="n"/>
      <c r="P71" s="22" t="n"/>
      <c r="Q71" s="22" t="n"/>
      <c r="R71" s="22" t="n"/>
      <c r="S71" s="22" t="n"/>
      <c r="U71" t="str">
        <f>IFERROR(MATCH(61,'MiT Strom Pipeline'!$AB$6:$AB$860,0)+5,"")</f>
        <v/>
      </c>
    </row>
    <row r="72" ht="3.75" customHeight="1">
      <c r="A72" s="26" t="str">
        <f>IF($U72="","",IF(ISNUMBER(INDEX('MiT Strom Pipeline'!$A:$A,$U72)),INDEX('MiT Strom Pipeline'!$A:$A,$U72),""))</f>
        <v/>
      </c>
      <c r="B72" s="27" t="str">
        <f>IF($U72="","",IF(INDEX('MiT Strom Pipeline'!$B:$B,$U72)="","",INDEX('MiT Strom Pipeline'!$B:$B,$U72)))</f>
        <v/>
      </c>
      <c r="C72" s="27" t="str">
        <f>IF($U72="","",IF(INDEX('MiT Strom Pipeline'!$C:$C,$U72)="","",INDEX('MiT Strom Pipeline'!$C:$C,$U72)))</f>
        <v/>
      </c>
      <c r="D72" s="27" t="str">
        <f>IF($U72="","",IF(INDEX('MiT Strom Pipeline'!$D:$D,$U72)="","",INDEX('MiT Strom Pipeline'!$D:$D,$U72)))</f>
        <v/>
      </c>
      <c r="E72" s="27" t="str">
        <f>IF($U72="","",IF(INDEX('MiT Strom Pipeline'!$H:$H,$U72)="","",INDEX('MiT Strom Pipeline'!$H:$H,$U72)))</f>
        <v/>
      </c>
      <c r="F72" s="27" t="str">
        <f>IF($U72="","",IF(INDEX('MiT Strom Pipeline'!$E:$E,$U72)="","",INDEX('MiT Strom Pipeline'!$E:$E,$U72)))</f>
        <v/>
      </c>
      <c r="G72" s="28" t="str">
        <f>IF($U72="","",IF(ISNUMBER(INDEX('MiT Strom Pipeline'!$I:$I,$U72)),INDEX('MiT Strom Pipeline'!$I:$I,$U72),0))</f>
        <v/>
      </c>
      <c r="H72" s="28" t="str">
        <f>IF($U72="","",IF(ISNUMBER(INDEX('MiT Strom Pipeline'!$Q:$Q,$U72)),INDEX('MiT Strom Pipeline'!$Q:$Q,$U72),0))</f>
        <v/>
      </c>
      <c r="I72" s="28" t="str">
        <f>IF($U72="","",IF(ISNUMBER(INDEX('MiT Strom Pipeline'!$O:$O,$U72)),INDEX('MiT Strom Pipeline'!$O:$O,$U72),0))</f>
        <v/>
      </c>
      <c r="J72" s="27" t="str">
        <f>IF($U72="","",INDEX('MiT Strom Pipeline'!$R:$R,$U72))</f>
        <v/>
      </c>
      <c r="K72" s="29" t="str">
        <f>IF($U72="","",IF(ISNUMBER(INDEX('MiT Strom Pipeline'!$S:$S,$U72)),INDEX('MiT Strom Pipeline'!$S:$S,$U72),""))</f>
        <v/>
      </c>
      <c r="L72" s="27" t="str">
        <f>IF($U72="","",IF(LEN(INDEX('MiT Strom Pipeline'!$V:$V,$U72))&gt;0,LEFT(INDEX('MiT Strom Pipeline'!$V:$V,$U72),55),""))</f>
        <v/>
      </c>
      <c r="M72" s="22" t="n"/>
      <c r="N72" s="22" t="n"/>
      <c r="O72" s="22" t="n"/>
      <c r="P72" s="22" t="n"/>
      <c r="Q72" s="22" t="n"/>
      <c r="R72" s="22" t="n"/>
      <c r="S72" s="22" t="n"/>
      <c r="U72" t="str">
        <f>IFERROR(MATCH(62,'MiT Strom Pipeline'!$AB$6:$AB$860,0)+5,"")</f>
        <v/>
      </c>
    </row>
    <row r="73" ht="24" customHeight="1">
      <c r="A73" s="141" t="inlineStr">
        <is>
          <t>📄  2. OFFERTE — Versendete &amp; laufende Angebote</t>
        </is>
      </c>
      <c r="B73" s="189" t="n"/>
      <c r="C73" s="189" t="n"/>
      <c r="D73" s="189" t="n"/>
      <c r="E73" s="189" t="n"/>
      <c r="F73" s="189" t="n"/>
      <c r="G73" s="189" t="n"/>
      <c r="H73" s="189" t="n"/>
      <c r="I73" s="189" t="n"/>
      <c r="J73" s="189" t="n"/>
      <c r="K73" s="189" t="n"/>
      <c r="L73" s="190" t="n"/>
      <c r="M73" s="22" t="n"/>
      <c r="N73" s="22" t="n"/>
      <c r="O73" s="22" t="n"/>
      <c r="P73" s="22" t="n"/>
      <c r="Q73" s="22" t="n"/>
      <c r="R73" s="22" t="n"/>
      <c r="S73" s="22" t="n"/>
    </row>
    <row r="74" ht="19.5" customHeight="1">
      <c r="A74" s="25" t="inlineStr">
        <is>
          <t>#</t>
        </is>
      </c>
      <c r="B74" s="25" t="inlineStr">
        <is>
          <t>Kunde / Unternehmen</t>
        </is>
      </c>
      <c r="C74" s="25" t="inlineStr">
        <is>
          <t>Kt.</t>
        </is>
      </c>
      <c r="D74" s="25" t="inlineStr">
        <is>
          <t>Segment</t>
        </is>
      </c>
      <c r="E74" s="25" t="inlineStr">
        <is>
          <t>Start</t>
        </is>
      </c>
      <c r="F74" s="25" t="inlineStr">
        <is>
          <t>Leistung / Fleet</t>
        </is>
      </c>
      <c r="G74" s="25" t="inlineStr">
        <is>
          <t>Volumen CHF</t>
        </is>
      </c>
      <c r="H74" s="25" t="inlineStr">
        <is>
          <t>Gew.Wert CHF</t>
        </is>
      </c>
      <c r="I74" s="25" t="inlineStr">
        <is>
          <t>Marge CHF</t>
        </is>
      </c>
      <c r="J74" s="25" t="inlineStr">
        <is>
          <t>Status</t>
        </is>
      </c>
      <c r="K74" s="25" t="inlineStr">
        <is>
          <t>Wahr.%</t>
        </is>
      </c>
      <c r="L74" s="25" t="inlineStr">
        <is>
          <t>Nächster Schritt</t>
        </is>
      </c>
      <c r="M74" s="22" t="n"/>
      <c r="N74" s="22" t="n"/>
      <c r="O74" s="22" t="n"/>
      <c r="P74" s="22" t="n"/>
      <c r="Q74" s="22" t="n"/>
      <c r="R74" s="22" t="n"/>
      <c r="S74" s="22" t="n"/>
    </row>
    <row r="75" hidden="1" ht="15.75" customHeight="1">
      <c r="A75" s="26">
        <f>IF($U75="","",IF(ISNUMBER(INDEX('MiT Strom Pipeline'!$A:$A,$U75)),INDEX('MiT Strom Pipeline'!$A:$A,$U75),""))</f>
        <v>15</v>
      </c>
      <c r="B75" s="27" t="str">
        <f>IF($U75="","",IF(INDEX('MiT Strom Pipeline'!$B:$B,$U75)="","",INDEX('MiT Strom Pipeline'!$B:$B,$U75)))</f>
        <v>Gotthard Base Tunnel</v>
      </c>
      <c r="C75" s="27" t="str">
        <f>IF($U75="","",IF(INDEX('MiT Strom Pipeline'!$C:$C,$U75)="","",INDEX('MiT Strom Pipeline'!$C:$C,$U75)))</f>
        <v>UR</v>
      </c>
      <c r="D75" s="27" t="str">
        <f>IF($U75="","",IF(INDEX('MiT Strom Pipeline'!$D:$D,$U75)="","",INDEX('MiT Strom Pipeline'!$D:$D,$U75)))</f>
        <v>Infrastruktur / Bahn</v>
      </c>
      <c r="E75" s="27" t="str">
        <f>IF($U75="","",IF(INDEX('MiT Strom Pipeline'!$H:$H,$U75)="","",INDEX('MiT Strom Pipeline'!$H:$H,$U75)))</f>
        <v>tbd</v>
      </c>
      <c r="F75" s="27" t="str">
        <f>IF($U75="","",IF(INDEX('MiT Strom Pipeline'!$E:$E,$U75)="","",INDEX('MiT Strom Pipeline'!$E:$E,$U75)))</f>
        <v>Grossanlage tbd</v>
      </c>
      <c r="G75" s="28">
        <f>IF($U75="","",IF(ISNUMBER(INDEX('MiT Strom Pipeline'!$I:$I,$U75)),INDEX('MiT Strom Pipeline'!$I:$I,$U75),0))</f>
        <v>0</v>
      </c>
      <c r="H75" s="28">
        <f>IF($U75="","",IF(ISNUMBER(INDEX('MiT Strom Pipeline'!$Q:$Q,$U75)),INDEX('MiT Strom Pipeline'!$Q:$Q,$U75),0))</f>
        <v>0</v>
      </c>
      <c r="I75" s="28">
        <f>IF($U75="","",IF(ISNUMBER(INDEX('MiT Strom Pipeline'!$O:$O,$U75)),INDEX('MiT Strom Pipeline'!$O:$O,$U75),0))</f>
        <v>0</v>
      </c>
      <c r="J75" s="27" t="str">
        <f>IF($U75="","",INDEX('MiT Strom Pipeline'!$R:$R,$U75))</f>
        <v>on hold</v>
      </c>
      <c r="K75" s="29">
        <f>IF($U75="","",IF(ISNUMBER(INDEX('MiT Strom Pipeline'!$S:$S,$U75)),INDEX('MiT Strom Pipeline'!$S:$S,$U75),""))</f>
        <v>0.1</v>
      </c>
      <c r="L75" s="27" t="str">
        <f>IF($U75="","",IF(LEN(INDEX('MiT Strom Pipeline'!$V:$V,$U75))&gt;0,LEFT(INDEX('MiT Strom Pipeline'!$V:$V,$U75),55),""))</f>
        <v>Stakeholder identifizieren – AlpTransit/SBB kontaktiere</v>
      </c>
      <c r="M75" s="22" t="n"/>
      <c r="N75" s="22" t="n"/>
      <c r="O75" s="22" t="n"/>
      <c r="P75" s="22" t="n"/>
      <c r="Q75" s="22" t="n"/>
      <c r="R75" s="22" t="n"/>
      <c r="S75" s="22" t="n"/>
      <c r="U75">
        <f>IFERROR(MATCH(1,'MiT Strom Pipeline'!$AC$6:$AC$860,0)+5,"")</f>
        <v>8</v>
      </c>
    </row>
    <row r="76" hidden="1" ht="15.75" customHeight="1">
      <c r="A76" s="26">
        <f>IF($U76="","",IF(ISNUMBER(INDEX('MiT Strom Pipeline'!$A:$A,$U76)),INDEX('MiT Strom Pipeline'!$A:$A,$U76),""))</f>
        <v>33</v>
      </c>
      <c r="B76" s="27" t="str">
        <f>IF($U76="","",IF(INDEX('MiT Strom Pipeline'!$B:$B,$U76)="","",INDEX('MiT Strom Pipeline'!$B:$B,$U76)))</f>
        <v>Oerlikon Metco Wohlen</v>
      </c>
      <c r="C76" s="27" t="str">
        <f>IF($U76="","",IF(INDEX('MiT Strom Pipeline'!$C:$C,$U76)="","",INDEX('MiT Strom Pipeline'!$C:$C,$U76)))</f>
        <v>AG</v>
      </c>
      <c r="D76" s="27" t="str">
        <f>IF($U76="","",IF(INDEX('MiT Strom Pipeline'!$D:$D,$U76)="","",INDEX('MiT Strom Pipeline'!$D:$D,$U76)))</f>
        <v>Industrie</v>
      </c>
      <c r="E76" s="27" t="str">
        <f>IF($U76="","",IF(INDEX('MiT Strom Pipeline'!$H:$H,$U76)="","",INDEX('MiT Strom Pipeline'!$H:$H,$U76)))</f>
        <v>August</v>
      </c>
      <c r="F76" s="27" t="str">
        <f>IF($U76="","",IF(INDEX('MiT Strom Pipeline'!$E:$E,$U76)="","",INDEX('MiT Strom Pipeline'!$E:$E,$U76)))</f>
        <v>300 kVA</v>
      </c>
      <c r="G76" s="28">
        <f>IF($U76="","",IF(ISNUMBER(INDEX('MiT Strom Pipeline'!$I:$I,$U76)),INDEX('MiT Strom Pipeline'!$I:$I,$U76),0))</f>
        <v>193598.12</v>
      </c>
      <c r="H76" s="28">
        <f>IF($U76="","",IF(ISNUMBER(INDEX('MiT Strom Pipeline'!$Q:$Q,$U76)),INDEX('MiT Strom Pipeline'!$Q:$Q,$U76),0))</f>
        <v>154878.496</v>
      </c>
      <c r="I76" s="28">
        <f>IF($U76="","",IF(ISNUMBER(INDEX('MiT Strom Pipeline'!$O:$O,$U76)),INDEX('MiT Strom Pipeline'!$O:$O,$U76),0))</f>
        <v>14506.42</v>
      </c>
      <c r="J76" s="27" t="str">
        <f>IF($U76="","",INDEX('MiT Strom Pipeline'!$R:$R,$U76))</f>
        <v>offered</v>
      </c>
      <c r="K76" s="29">
        <f>IF($U76="","",IF(ISNUMBER(INDEX('MiT Strom Pipeline'!$S:$S,$U76)),INDEX('MiT Strom Pipeline'!$S:$S,$U76),""))</f>
        <v>0.8</v>
      </c>
      <c r="L76" s="27" t="str">
        <f>IF($U76="","",IF(LEN(INDEX('MiT Strom Pipeline'!$V:$V,$U76))&gt;0,LEFT(INDEX('MiT Strom Pipeline'!$V:$V,$U76),55),""))</f>
        <v>Kunde wahr sehr Zufrieden mit dem 1. Auftrag und im Ans</v>
      </c>
      <c r="M76" s="22" t="n"/>
      <c r="N76" s="22" t="n"/>
      <c r="O76" s="22" t="n"/>
      <c r="P76" s="22" t="n"/>
      <c r="Q76" s="22" t="n"/>
      <c r="R76" s="22" t="n"/>
      <c r="S76" s="22" t="n"/>
      <c r="U76">
        <f>IFERROR(MATCH(2,'MiT Strom Pipeline'!$AC$6:$AC$860,0)+5,"")</f>
        <v>16</v>
      </c>
    </row>
    <row r="77" hidden="1" ht="15.75" customHeight="1">
      <c r="A77" s="26">
        <f>IF($U77="","",IF(ISNUMBER(INDEX('MiT Strom Pipeline'!$A:$A,$U77)),INDEX('MiT Strom Pipeline'!$A:$A,$U77),""))</f>
        <v>33</v>
      </c>
      <c r="B77" s="27" t="str">
        <f>IF($U77="","",IF(INDEX('MiT Strom Pipeline'!$B:$B,$U77)="","",INDEX('MiT Strom Pipeline'!$B:$B,$U77)))</f>
        <v>Oerlikon Metco Wohlen</v>
      </c>
      <c r="C77" s="27" t="str">
        <f>IF($U77="","",IF(INDEX('MiT Strom Pipeline'!$C:$C,$U77)="","",INDEX('MiT Strom Pipeline'!$C:$C,$U77)))</f>
        <v>AG</v>
      </c>
      <c r="D77" s="27" t="str">
        <f>IF($U77="","",IF(INDEX('MiT Strom Pipeline'!$D:$D,$U77)="","",INDEX('MiT Strom Pipeline'!$D:$D,$U77)))</f>
        <v>Industrie</v>
      </c>
      <c r="E77" s="27" t="str">
        <f>IF($U77="","",IF(INDEX('MiT Strom Pipeline'!$H:$H,$U77)="","",INDEX('MiT Strom Pipeline'!$H:$H,$U77)))</f>
        <v>August</v>
      </c>
      <c r="F77" s="27" t="str">
        <f>IF($U77="","",IF(INDEX('MiT Strom Pipeline'!$E:$E,$U77)="","",INDEX('MiT Strom Pipeline'!$E:$E,$U77)))</f>
        <v>Kaltwasser 100 kW</v>
      </c>
      <c r="G77" s="28">
        <f>IF($U77="","",IF(ISNUMBER(INDEX('MiT Strom Pipeline'!$I:$I,$U77)),INDEX('MiT Strom Pipeline'!$I:$I,$U77),0))</f>
        <v>74902.11</v>
      </c>
      <c r="H77" s="28">
        <f>IF($U77="","",IF(ISNUMBER(INDEX('MiT Strom Pipeline'!$Q:$Q,$U77)),INDEX('MiT Strom Pipeline'!$Q:$Q,$U77),0))</f>
        <v>59921.688</v>
      </c>
      <c r="I77" s="28">
        <f>IF($U77="","",IF(ISNUMBER(INDEX('MiT Strom Pipeline'!$O:$O,$U77)),INDEX('MiT Strom Pipeline'!$O:$O,$U77),0))</f>
        <v>10935.08</v>
      </c>
      <c r="J77" s="27" t="str">
        <f>IF($U77="","",INDEX('MiT Strom Pipeline'!$R:$R,$U77))</f>
        <v>offered</v>
      </c>
      <c r="K77" s="29">
        <f>IF($U77="","",IF(ISNUMBER(INDEX('MiT Strom Pipeline'!$S:$S,$U77)),INDEX('MiT Strom Pipeline'!$S:$S,$U77),""))</f>
        <v>0.8</v>
      </c>
      <c r="L77" s="27" t="str">
        <f>IF($U77="","",IF(LEN(INDEX('MiT Strom Pipeline'!$V:$V,$U77))&gt;0,LEFT(INDEX('MiT Strom Pipeline'!$V:$V,$U77),55),""))</f>
        <v>Kunde wahr sehr Zufrieden mit dem 1. Auftrag und im Ans</v>
      </c>
      <c r="M77" s="22" t="n"/>
      <c r="N77" s="22" t="n"/>
      <c r="O77" s="22" t="n"/>
      <c r="P77" s="22" t="n"/>
      <c r="Q77" s="22" t="n"/>
      <c r="R77" s="22" t="n"/>
      <c r="S77" s="22" t="n"/>
      <c r="U77">
        <f>IFERROR(MATCH(3,'MiT Strom Pipeline'!$AC$6:$AC$860,0)+5,"")</f>
        <v>17</v>
      </c>
    </row>
    <row r="78" hidden="1" ht="15.75" customHeight="1">
      <c r="A78" s="26">
        <f>IF($U78="","",IF(ISNUMBER(INDEX('MiT Strom Pipeline'!$A:$A,$U78)),INDEX('MiT Strom Pipeline'!$A:$A,$U78),""))</f>
        <v>28</v>
      </c>
      <c r="B78" s="27" t="str">
        <f>IF($U78="","",IF(INDEX('MiT Strom Pipeline'!$B:$B,$U78)="","",INDEX('MiT Strom Pipeline'!$B:$B,$U78)))</f>
        <v>WEF</v>
      </c>
      <c r="C78" s="27" t="str">
        <f>IF($U78="","",IF(INDEX('MiT Strom Pipeline'!$C:$C,$U78)="","",INDEX('MiT Strom Pipeline'!$C:$C,$U78)))</f>
        <v>GR</v>
      </c>
      <c r="D78" s="27" t="str">
        <f>IF($U78="","",IF(INDEX('MiT Strom Pipeline'!$D:$D,$U78)="","",INDEX('MiT Strom Pipeline'!$D:$D,$U78)))</f>
        <v>Event</v>
      </c>
      <c r="E78" s="27" t="str">
        <f>IF($U78="","",IF(INDEX('MiT Strom Pipeline'!$H:$H,$U78)="","",INDEX('MiT Strom Pipeline'!$H:$H,$U78)))</f>
        <v>Jan</v>
      </c>
      <c r="F78" s="27" t="str">
        <f>IF($U78="","",IF(INDEX('MiT Strom Pipeline'!$E:$E,$U78)="","",INDEX('MiT Strom Pipeline'!$E:$E,$U78)))</f>
        <v>1500 kVA, 600 kVA, 450 kVA, 450 kVA</v>
      </c>
      <c r="G78" s="28">
        <f>IF($U78="","",IF(ISNUMBER(INDEX('MiT Strom Pipeline'!$I:$I,$U78)),INDEX('MiT Strom Pipeline'!$I:$I,$U78),0))</f>
        <v>77325.62</v>
      </c>
      <c r="H78" s="28">
        <f>IF($U78="","",IF(ISNUMBER(INDEX('MiT Strom Pipeline'!$Q:$Q,$U78)),INDEX('MiT Strom Pipeline'!$Q:$Q,$U78),0))</f>
        <v>54127.934</v>
      </c>
      <c r="I78" s="28">
        <f>IF($U78="","",IF(ISNUMBER(INDEX('MiT Strom Pipeline'!$O:$O,$U78)),INDEX('MiT Strom Pipeline'!$O:$O,$U78),0))</f>
        <v>5794.06</v>
      </c>
      <c r="J78" s="27" t="str">
        <f>IF($U78="","",INDEX('MiT Strom Pipeline'!$R:$R,$U78))</f>
        <v>offered</v>
      </c>
      <c r="K78" s="29">
        <f>IF($U78="","",IF(ISNUMBER(INDEX('MiT Strom Pipeline'!$S:$S,$U78)),INDEX('MiT Strom Pipeline'!$S:$S,$U78),""))</f>
        <v>0.7</v>
      </c>
      <c r="L78" s="27" t="str">
        <f>IF($U78="","",IF(LEN(INDEX('MiT Strom Pipeline'!$V:$V,$U78))&gt;0,LEFT(INDEX('MiT Strom Pipeline'!$V:$V,$U78),55),""))</f>
        <v>Offerte erstellt, Stefan hat die Offerte bekommen, Stef</v>
      </c>
      <c r="M78" s="22" t="n"/>
      <c r="N78" s="22" t="n"/>
      <c r="O78" s="22" t="n"/>
      <c r="P78" s="22" t="n"/>
      <c r="Q78" s="22" t="n"/>
      <c r="R78" s="22" t="n"/>
      <c r="S78" s="22" t="n"/>
      <c r="U78">
        <f>IFERROR(MATCH(4,'MiT Strom Pipeline'!$AC$6:$AC$860,0)+5,"")</f>
        <v>21</v>
      </c>
    </row>
    <row r="79" ht="15.75" customHeight="1">
      <c r="A79" s="26">
        <f>IF($U79="","",IF(ISNUMBER(INDEX('MiT Strom Pipeline'!$A:$A,$U79)),INDEX('MiT Strom Pipeline'!$A:$A,$U79),""))</f>
        <v>14</v>
      </c>
      <c r="B79" s="27" t="str">
        <f>IF($U79="","",IF(INDEX('MiT Strom Pipeline'!$B:$B,$U79)="","",INDEX('MiT Strom Pipeline'!$B:$B,$U79)))</f>
        <v>Trafag AG</v>
      </c>
      <c r="C79" s="27" t="str">
        <f>IF($U79="","",IF(INDEX('MiT Strom Pipeline'!$C:$C,$U79)="","",INDEX('MiT Strom Pipeline'!$C:$C,$U79)))</f>
        <v>ZH</v>
      </c>
      <c r="D79" s="27" t="str">
        <f>IF($U79="","",IF(INDEX('MiT Strom Pipeline'!$D:$D,$U79)="","",INDEX('MiT Strom Pipeline'!$D:$D,$U79)))</f>
        <v>Industrie / Messtechnik</v>
      </c>
      <c r="E79" s="27" t="str">
        <f>IF($U79="","",IF(INDEX('MiT Strom Pipeline'!$H:$H,$U79)="","",INDEX('MiT Strom Pipeline'!$H:$H,$U79)))</f>
        <v>tbd</v>
      </c>
      <c r="F79" s="27" t="str">
        <f>IF($U79="","",IF(INDEX('MiT Strom Pipeline'!$E:$E,$U79)="","",INDEX('MiT Strom Pipeline'!$E:$E,$U79)))</f>
        <v>450 kVA Generator</v>
      </c>
      <c r="G79" s="28">
        <f>IF($U79="","",IF(ISNUMBER(INDEX('MiT Strom Pipeline'!$I:$I,$U79)),INDEX('MiT Strom Pipeline'!$I:$I,$U79),0))</f>
        <v>17300</v>
      </c>
      <c r="H79" s="28">
        <f>IF($U79="","",IF(ISNUMBER(INDEX('MiT Strom Pipeline'!$Q:$Q,$U79)),INDEX('MiT Strom Pipeline'!$Q:$Q,$U79),0))</f>
        <v>8650</v>
      </c>
      <c r="I79" s="28">
        <f>IF($U79="","",IF(ISNUMBER(INDEX('MiT Strom Pipeline'!$O:$O,$U79)),INDEX('MiT Strom Pipeline'!$O:$O,$U79),0))</f>
        <v>17300</v>
      </c>
      <c r="J79" s="27" t="str">
        <f>IF($U79="","",INDEX('MiT Strom Pipeline'!$R:$R,$U79))</f>
        <v>offered</v>
      </c>
      <c r="K79" s="29">
        <f>IF($U79="","",IF(ISNUMBER(INDEX('MiT Strom Pipeline'!$S:$S,$U79)),INDEX('MiT Strom Pipeline'!$S:$S,$U79),""))</f>
        <v>0.5</v>
      </c>
      <c r="L79" s="27" t="str">
        <f>IF($U79="","",IF(LEN(INDEX('MiT Strom Pipeline'!$V:$V,$U79))&gt;0,LEFT(INDEX('MiT Strom Pipeline'!$V:$V,$U79),55),""))</f>
        <v>Angebot vorbereiten – PQ-Argument für Messtechnik, Stef</v>
      </c>
      <c r="M79" s="22" t="n"/>
      <c r="N79" s="22" t="n"/>
      <c r="O79" s="22" t="n"/>
      <c r="P79" s="22" t="n"/>
      <c r="Q79" s="22" t="n"/>
      <c r="R79" s="22" t="n"/>
      <c r="S79" s="22" t="n"/>
      <c r="U79">
        <f>IFERROR(MATCH(5,'MiT Strom Pipeline'!$AC$6:$AC$860,0)+5,"")</f>
        <v>33</v>
      </c>
    </row>
    <row r="80" hidden="1" ht="15.75" customHeight="1">
      <c r="A80" s="26">
        <f>IF($U80="","",IF(ISNUMBER(INDEX('MiT Strom Pipeline'!$A:$A,$U80)),INDEX('MiT Strom Pipeline'!$A:$A,$U80),""))</f>
        <v>14</v>
      </c>
      <c r="B80" s="27" t="str">
        <f>IF($U80="","",IF(INDEX('MiT Strom Pipeline'!$B:$B,$U80)="","",INDEX('MiT Strom Pipeline'!$B:$B,$U80)))</f>
        <v>Trafag AG</v>
      </c>
      <c r="C80" s="27" t="str">
        <f>IF($U80="","",IF(INDEX('MiT Strom Pipeline'!$C:$C,$U80)="","",INDEX('MiT Strom Pipeline'!$C:$C,$U80)))</f>
        <v>ZH</v>
      </c>
      <c r="D80" s="27" t="str">
        <f>IF($U80="","",IF(INDEX('MiT Strom Pipeline'!$D:$D,$U80)="","",INDEX('MiT Strom Pipeline'!$D:$D,$U80)))</f>
        <v>Industrie / Messtechnik</v>
      </c>
      <c r="E80" s="27" t="str">
        <f>IF($U80="","",IF(INDEX('MiT Strom Pipeline'!$H:$H,$U80)="","",INDEX('MiT Strom Pipeline'!$H:$H,$U80)))</f>
        <v>tbd</v>
      </c>
      <c r="F80" s="27" t="str">
        <f>IF($U80="","",IF(INDEX('MiT Strom Pipeline'!$E:$E,$U80)="","",INDEX('MiT Strom Pipeline'!$E:$E,$U80)))</f>
        <v>BESS 500 kVA</v>
      </c>
      <c r="G80" s="28">
        <f>IF($U80="","",IF(ISNUMBER(INDEX('MiT Strom Pipeline'!$I:$I,$U80)),INDEX('MiT Strom Pipeline'!$I:$I,$U80),0))</f>
        <v>21025</v>
      </c>
      <c r="H80" s="28">
        <f>IF($U80="","",IF(ISNUMBER(INDEX('MiT Strom Pipeline'!$Q:$Q,$U80)),INDEX('MiT Strom Pipeline'!$Q:$Q,$U80),0))</f>
        <v>10512.5</v>
      </c>
      <c r="I80" s="28">
        <f>IF($U80="","",IF(ISNUMBER(INDEX('MiT Strom Pipeline'!$O:$O,$U80)),INDEX('MiT Strom Pipeline'!$O:$O,$U80),0))</f>
        <v>21025</v>
      </c>
      <c r="J80" s="27" t="str">
        <f>IF($U80="","",INDEX('MiT Strom Pipeline'!$R:$R,$U80))</f>
        <v>offered</v>
      </c>
      <c r="K80" s="29">
        <f>IF($U80="","",IF(ISNUMBER(INDEX('MiT Strom Pipeline'!$S:$S,$U80)),INDEX('MiT Strom Pipeline'!$S:$S,$U80),""))</f>
        <v>0.5</v>
      </c>
      <c r="L80" s="27" t="str">
        <f>IF($U80="","",IF(LEN(INDEX('MiT Strom Pipeline'!$V:$V,$U80))&gt;0,LEFT(INDEX('MiT Strom Pipeline'!$V:$V,$U80),55),""))</f>
        <v>Angebot vorbereiten – PQ-Argument für Messtechnik, Stef</v>
      </c>
      <c r="M80" s="22" t="n"/>
      <c r="N80" s="22" t="n"/>
      <c r="O80" s="22" t="n"/>
      <c r="P80" s="22" t="n"/>
      <c r="Q80" s="22" t="n"/>
      <c r="R80" s="22" t="n"/>
      <c r="S80" s="22" t="n"/>
      <c r="U80">
        <f>IFERROR(MATCH(6,'MiT Strom Pipeline'!$AC$6:$AC$860,0)+5,"")</f>
        <v>35</v>
      </c>
    </row>
    <row r="81" hidden="1" ht="15.75" customHeight="1">
      <c r="A81" s="26">
        <f>IF($U81="","",IF(ISNUMBER(INDEX('MiT Strom Pipeline'!$A:$A,$U81)),INDEX('MiT Strom Pipeline'!$A:$A,$U81),""))</f>
        <v>14</v>
      </c>
      <c r="B81" s="27" t="str">
        <f>IF($U81="","",IF(INDEX('MiT Strom Pipeline'!$B:$B,$U81)="","",INDEX('MiT Strom Pipeline'!$B:$B,$U81)))</f>
        <v>Trafag AG</v>
      </c>
      <c r="C81" s="27" t="str">
        <f>IF($U81="","",IF(INDEX('MiT Strom Pipeline'!$C:$C,$U81)="","",INDEX('MiT Strom Pipeline'!$C:$C,$U81)))</f>
        <v>ZH</v>
      </c>
      <c r="D81" s="27" t="str">
        <f>IF($U81="","",IF(INDEX('MiT Strom Pipeline'!$D:$D,$U81)="","",INDEX('MiT Strom Pipeline'!$D:$D,$U81)))</f>
        <v>Industrie / Messtechnik</v>
      </c>
      <c r="E81" s="27" t="str">
        <f>IF($U81="","",IF(INDEX('MiT Strom Pipeline'!$H:$H,$U81)="","",INDEX('MiT Strom Pipeline'!$H:$H,$U81)))</f>
        <v>tbd</v>
      </c>
      <c r="F81" s="27" t="str">
        <f>IF($U81="","",IF(INDEX('MiT Strom Pipeline'!$E:$E,$U81)="","",INDEX('MiT Strom Pipeline'!$E:$E,$U81)))</f>
        <v>Kombi 450 kVA Generator / BESS 500 kVA</v>
      </c>
      <c r="G81" s="28">
        <f>IF($U81="","",IF(ISNUMBER(INDEX('MiT Strom Pipeline'!$I:$I,$U81)),INDEX('MiT Strom Pipeline'!$I:$I,$U81),0))</f>
        <v>37444</v>
      </c>
      <c r="H81" s="28">
        <f>IF($U81="","",IF(ISNUMBER(INDEX('MiT Strom Pipeline'!$Q:$Q,$U81)),INDEX('MiT Strom Pipeline'!$Q:$Q,$U81),0))</f>
        <v>18722</v>
      </c>
      <c r="I81" s="28">
        <f>IF($U81="","",IF(ISNUMBER(INDEX('MiT Strom Pipeline'!$O:$O,$U81)),INDEX('MiT Strom Pipeline'!$O:$O,$U81),0))</f>
        <v>37444</v>
      </c>
      <c r="J81" s="27" t="str">
        <f>IF($U81="","",INDEX('MiT Strom Pipeline'!$R:$R,$U81))</f>
        <v>offered</v>
      </c>
      <c r="K81" s="29">
        <f>IF($U81="","",IF(ISNUMBER(INDEX('MiT Strom Pipeline'!$S:$S,$U81)),INDEX('MiT Strom Pipeline'!$S:$S,$U81),""))</f>
        <v>0.5</v>
      </c>
      <c r="L81" s="27" t="str">
        <f>IF($U81="","",IF(LEN(INDEX('MiT Strom Pipeline'!$V:$V,$U81))&gt;0,LEFT(INDEX('MiT Strom Pipeline'!$V:$V,$U81),55),""))</f>
        <v>Angebot vorbereiten – PQ-Argument für Messtechnik, Stef</v>
      </c>
      <c r="M81" s="22" t="n"/>
      <c r="N81" s="22" t="n"/>
      <c r="O81" s="22" t="n"/>
      <c r="P81" s="22" t="n"/>
      <c r="Q81" s="22" t="n"/>
      <c r="R81" s="22" t="n"/>
      <c r="S81" s="22" t="n"/>
      <c r="U81">
        <f>IFERROR(MATCH(7,'MiT Strom Pipeline'!$AC$6:$AC$860,0)+5,"")</f>
        <v>36</v>
      </c>
    </row>
    <row r="82" hidden="1" ht="15.75" customHeight="1">
      <c r="A82" s="26">
        <f>IF($U82="","",IF(ISNUMBER(INDEX('MiT Strom Pipeline'!$A:$A,$U82)),INDEX('MiT Strom Pipeline'!$A:$A,$U82),""))</f>
        <v>27</v>
      </c>
      <c r="B82" s="27" t="str">
        <f>IF($U82="","",IF(INDEX('MiT Strom Pipeline'!$B:$B,$U82)="","",INDEX('MiT Strom Pipeline'!$B:$B,$U82)))</f>
        <v>Rimus &amp; Sstrada</v>
      </c>
      <c r="C82" s="27" t="str">
        <f>IF($U82="","",IF(INDEX('MiT Strom Pipeline'!$C:$C,$U82)="","",INDEX('MiT Strom Pipeline'!$C:$C,$U82)))</f>
        <v>SH</v>
      </c>
      <c r="D82" s="27" t="str">
        <f>IF($U82="","",IF(INDEX('MiT Strom Pipeline'!$D:$D,$U82)="","",INDEX('MiT Strom Pipeline'!$D:$D,$U82)))</f>
        <v>Industrie</v>
      </c>
      <c r="E82" s="27" t="str">
        <f>IF($U82="","",IF(INDEX('MiT Strom Pipeline'!$H:$H,$U82)="","",INDEX('MiT Strom Pipeline'!$H:$H,$U82)))</f>
        <v>tbd</v>
      </c>
      <c r="F82" s="27" t="str">
        <f>IF($U82="","",IF(INDEX('MiT Strom Pipeline'!$E:$E,$U82)="","",INDEX('MiT Strom Pipeline'!$E:$E,$U82)))</f>
        <v>500 kWh Small BESS</v>
      </c>
      <c r="G82" s="28">
        <f>IF($U82="","",IF(ISNUMBER(INDEX('MiT Strom Pipeline'!$I:$I,$U82)),INDEX('MiT Strom Pipeline'!$I:$I,$U82),0))</f>
        <v>425955</v>
      </c>
      <c r="H82" s="28">
        <f>IF($U82="","",IF(ISNUMBER(INDEX('MiT Strom Pipeline'!$Q:$Q,$U82)),INDEX('MiT Strom Pipeline'!$Q:$Q,$U82),0))</f>
        <v>212977.5</v>
      </c>
      <c r="I82" s="28">
        <f>IF($U82="","",IF(ISNUMBER(INDEX('MiT Strom Pipeline'!$O:$O,$U82)),INDEX('MiT Strom Pipeline'!$O:$O,$U82),0))</f>
        <v>2235</v>
      </c>
      <c r="J82" s="27" t="str">
        <f>IF($U82="","",INDEX('MiT Strom Pipeline'!$R:$R,$U82))</f>
        <v>offered</v>
      </c>
      <c r="K82" s="29">
        <f>IF($U82="","",IF(ISNUMBER(INDEX('MiT Strom Pipeline'!$S:$S,$U82)),INDEX('MiT Strom Pipeline'!$S:$S,$U82),""))</f>
        <v>0.5</v>
      </c>
      <c r="L82" s="27" t="str">
        <f>IF($U82="","",IF(LEN(INDEX('MiT Strom Pipeline'!$V:$V,$U82))&gt;0,LEFT(INDEX('MiT Strom Pipeline'!$V:$V,$U82),55),""))</f>
        <v>Kunde Telefon Kontaktiert und Vor Ort 
Besichtigung und</v>
      </c>
      <c r="M82" s="22" t="n"/>
      <c r="N82" s="22" t="n"/>
      <c r="O82" s="22" t="n"/>
      <c r="P82" s="22" t="n"/>
      <c r="Q82" s="22" t="n"/>
      <c r="R82" s="22" t="n"/>
      <c r="S82" s="22" t="n"/>
      <c r="U82">
        <f>IFERROR(MATCH(8,'MiT Strom Pipeline'!$AC$6:$AC$860,0)+5,"")</f>
        <v>37</v>
      </c>
    </row>
    <row r="83" hidden="1" ht="15.75" customHeight="1">
      <c r="A83" s="26">
        <f>IF($U83="","",IF(ISNUMBER(INDEX('MiT Strom Pipeline'!$A:$A,$U83)),INDEX('MiT Strom Pipeline'!$A:$A,$U83),""))</f>
        <v>27</v>
      </c>
      <c r="B83" s="27" t="str">
        <f>IF($U83="","",IF(INDEX('MiT Strom Pipeline'!$B:$B,$U83)="","",INDEX('MiT Strom Pipeline'!$B:$B,$U83)))</f>
        <v>Rimus &amp; Sstrada</v>
      </c>
      <c r="C83" s="27" t="str">
        <f>IF($U83="","",IF(INDEX('MiT Strom Pipeline'!$C:$C,$U83)="","",INDEX('MiT Strom Pipeline'!$C:$C,$U83)))</f>
        <v>SH</v>
      </c>
      <c r="D83" s="27" t="str">
        <f>IF($U83="","",IF(INDEX('MiT Strom Pipeline'!$D:$D,$U83)="","",INDEX('MiT Strom Pipeline'!$D:$D,$U83)))</f>
        <v>Industrie</v>
      </c>
      <c r="E83" s="27" t="str">
        <f>IF($U83="","",IF(INDEX('MiT Strom Pipeline'!$H:$H,$U83)="","",INDEX('MiT Strom Pipeline'!$H:$H,$U83)))</f>
        <v>tbd</v>
      </c>
      <c r="F83" s="27" t="str">
        <f>IF($U83="","",IF(INDEX('MiT Strom Pipeline'!$E:$E,$U83)="","",INDEX('MiT Strom Pipeline'!$E:$E,$U83)))</f>
        <v>1 MWh Medium BESS</v>
      </c>
      <c r="G83" s="28">
        <f>IF($U83="","",IF(ISNUMBER(INDEX('MiT Strom Pipeline'!$I:$I,$U83)),INDEX('MiT Strom Pipeline'!$I:$I,$U83),0))</f>
        <v>891330</v>
      </c>
      <c r="H83" s="28">
        <f>IF($U83="","",IF(ISNUMBER(INDEX('MiT Strom Pipeline'!$Q:$Q,$U83)),INDEX('MiT Strom Pipeline'!$Q:$Q,$U83),0))</f>
        <v>445665</v>
      </c>
      <c r="I83" s="28">
        <f>IF($U83="","",IF(ISNUMBER(INDEX('MiT Strom Pipeline'!$O:$O,$U83)),INDEX('MiT Strom Pipeline'!$O:$O,$U83),0))</f>
        <v>9900</v>
      </c>
      <c r="J83" s="27" t="str">
        <f>IF($U83="","",INDEX('MiT Strom Pipeline'!$R:$R,$U83))</f>
        <v>offered</v>
      </c>
      <c r="K83" s="29">
        <f>IF($U83="","",IF(ISNUMBER(INDEX('MiT Strom Pipeline'!$S:$S,$U83)),INDEX('MiT Strom Pipeline'!$S:$S,$U83),""))</f>
        <v>0.5</v>
      </c>
      <c r="L83" s="27" t="str">
        <f>IF($U83="","",IF(LEN(INDEX('MiT Strom Pipeline'!$V:$V,$U83))&gt;0,LEFT(INDEX('MiT Strom Pipeline'!$V:$V,$U83),55),""))</f>
        <v>Kunde Telefon Kontaktiert und Vor Ort 
Besichtigung und</v>
      </c>
      <c r="M83" s="22" t="n"/>
      <c r="N83" s="22" t="n"/>
      <c r="O83" s="22" t="n"/>
      <c r="P83" s="22" t="n"/>
      <c r="Q83" s="22" t="n"/>
      <c r="R83" s="22" t="n"/>
      <c r="S83" s="22" t="n"/>
      <c r="U83">
        <f>IFERROR(MATCH(9,'MiT Strom Pipeline'!$AC$6:$AC$860,0)+5,"")</f>
        <v>38</v>
      </c>
    </row>
    <row r="84" ht="15.75" customHeight="1">
      <c r="A84" s="26">
        <f>IF($U84="","",IF(ISNUMBER(INDEX('MiT Strom Pipeline'!$A:$A,$U84)),INDEX('MiT Strom Pipeline'!$A:$A,$U84),""))</f>
        <v>27</v>
      </c>
      <c r="B84" s="27" t="str">
        <f>IF($U84="","",IF(INDEX('MiT Strom Pipeline'!$B:$B,$U84)="","",INDEX('MiT Strom Pipeline'!$B:$B,$U84)))</f>
        <v>Rimus &amp; Sstrada</v>
      </c>
      <c r="C84" s="27" t="str">
        <f>IF($U84="","",IF(INDEX('MiT Strom Pipeline'!$C:$C,$U84)="","",INDEX('MiT Strom Pipeline'!$C:$C,$U84)))</f>
        <v>SH</v>
      </c>
      <c r="D84" s="27" t="str">
        <f>IF($U84="","",IF(INDEX('MiT Strom Pipeline'!$D:$D,$U84)="","",INDEX('MiT Strom Pipeline'!$D:$D,$U84)))</f>
        <v>Industrie</v>
      </c>
      <c r="E84" s="27" t="str">
        <f>IF($U84="","",IF(INDEX('MiT Strom Pipeline'!$H:$H,$U84)="","",INDEX('MiT Strom Pipeline'!$H:$H,$U84)))</f>
        <v>tbd</v>
      </c>
      <c r="F84" s="27" t="str">
        <f>IF($U84="","",IF(INDEX('MiT Strom Pipeline'!$E:$E,$U84)="","",INDEX('MiT Strom Pipeline'!$E:$E,$U84)))</f>
        <v>1,5 MWh Large BESS</v>
      </c>
      <c r="G84" s="28">
        <f>IF($U84="","",IF(ISNUMBER(INDEX('MiT Strom Pipeline'!$I:$I,$U84)),INDEX('MiT Strom Pipeline'!$I:$I,$U84),0))</f>
        <v>1307430</v>
      </c>
      <c r="H84" s="28">
        <f>IF($U84="","",IF(ISNUMBER(INDEX('MiT Strom Pipeline'!$Q:$Q,$U84)),INDEX('MiT Strom Pipeline'!$Q:$Q,$U84),0))</f>
        <v>653715</v>
      </c>
      <c r="I84" s="28">
        <f>IF($U84="","",IF(ISNUMBER(INDEX('MiT Strom Pipeline'!$O:$O,$U84)),INDEX('MiT Strom Pipeline'!$O:$O,$U84),0))</f>
        <v>9900</v>
      </c>
      <c r="J84" s="27" t="str">
        <f>IF($U84="","",INDEX('MiT Strom Pipeline'!$R:$R,$U84))</f>
        <v>offered</v>
      </c>
      <c r="K84" s="29">
        <f>IF($U84="","",IF(ISNUMBER(INDEX('MiT Strom Pipeline'!$S:$S,$U84)),INDEX('MiT Strom Pipeline'!$S:$S,$U84),""))</f>
        <v>0.5</v>
      </c>
      <c r="L84" s="27" t="str">
        <f>IF($U84="","",IF(LEN(INDEX('MiT Strom Pipeline'!$V:$V,$U84))&gt;0,LEFT(INDEX('MiT Strom Pipeline'!$V:$V,$U84),55),""))</f>
        <v>Kunde Telefon Kontaktiert und Vor Ort 
Besichtigung und</v>
      </c>
      <c r="M84" s="22" t="n"/>
      <c r="N84" s="22" t="n"/>
      <c r="O84" s="22" t="n"/>
      <c r="P84" s="22" t="n"/>
      <c r="Q84" s="22" t="n"/>
      <c r="R84" s="22" t="n"/>
      <c r="S84" s="22" t="n"/>
      <c r="U84">
        <f>IFERROR(MATCH(10,'MiT Strom Pipeline'!$AC$6:$AC$860,0)+5,"")</f>
        <v>39</v>
      </c>
    </row>
    <row r="85" ht="15.75" customHeight="1">
      <c r="A85" s="26">
        <f>IF($U85="","",IF(ISNUMBER(INDEX('MiT Strom Pipeline'!$A:$A,$U85)),INDEX('MiT Strom Pipeline'!$A:$A,$U85),""))</f>
        <v>34</v>
      </c>
      <c r="B85" s="27" t="str">
        <f>IF($U85="","",IF(INDEX('MiT Strom Pipeline'!$B:$B,$U85)="","",INDEX('MiT Strom Pipeline'!$B:$B,$U85)))</f>
        <v>Creabeton</v>
      </c>
      <c r="C85" s="27" t="str">
        <f>IF($U85="","",IF(INDEX('MiT Strom Pipeline'!$C:$C,$U85)="","",INDEX('MiT Strom Pipeline'!$C:$C,$U85)))</f>
        <v>BE</v>
      </c>
      <c r="D85" s="27" t="str">
        <f>IF($U85="","",IF(INDEX('MiT Strom Pipeline'!$D:$D,$U85)="","",INDEX('MiT Strom Pipeline'!$D:$D,$U85)))</f>
        <v>Infrastruktur / Bau</v>
      </c>
      <c r="E85" s="27" t="str">
        <f>IF($U85="","",IF(INDEX('MiT Strom Pipeline'!$H:$H,$U85)="","",INDEX('MiT Strom Pipeline'!$H:$H,$U85)))</f>
        <v>Juli</v>
      </c>
      <c r="F85" s="27" t="str">
        <f>IF($U85="","",IF(INDEX('MiT Strom Pipeline'!$E:$E,$U85)="","",INDEX('MiT Strom Pipeline'!$E:$E,$U85)))</f>
        <v>100 kVA Generator</v>
      </c>
      <c r="G85" s="28">
        <f>IF($U85="","",IF(ISNUMBER(INDEX('MiT Strom Pipeline'!$I:$I,$U85)),INDEX('MiT Strom Pipeline'!$I:$I,$U85),0))</f>
        <v>3232.41</v>
      </c>
      <c r="H85" s="28">
        <f>IF($U85="","",IF(ISNUMBER(INDEX('MiT Strom Pipeline'!$Q:$Q,$U85)),INDEX('MiT Strom Pipeline'!$Q:$Q,$U85),0))</f>
        <v>1616.205</v>
      </c>
      <c r="I85" s="28">
        <f>IF($U85="","",IF(ISNUMBER(INDEX('MiT Strom Pipeline'!$O:$O,$U85)),INDEX('MiT Strom Pipeline'!$O:$O,$U85),0))</f>
        <v>370</v>
      </c>
      <c r="J85" s="27" t="str">
        <f>IF($U85="","",INDEX('MiT Strom Pipeline'!$R:$R,$U85))</f>
        <v>offered</v>
      </c>
      <c r="K85" s="29">
        <f>IF($U85="","",IF(ISNUMBER(INDEX('MiT Strom Pipeline'!$S:$S,$U85)),INDEX('MiT Strom Pipeline'!$S:$S,$U85),""))</f>
        <v>0.5</v>
      </c>
      <c r="L85" s="27" t="str">
        <f>IF($U85="","",IF(LEN(INDEX('MiT Strom Pipeline'!$V:$V,$U85))&gt;0,LEFT(INDEX('MiT Strom Pipeline'!$V:$V,$U85),55),""))</f>
        <v>Kunde angeschrieben, Warten auf Rückmeldung</v>
      </c>
      <c r="M85" s="22" t="n"/>
      <c r="N85" s="22" t="n"/>
      <c r="O85" s="22" t="n"/>
      <c r="P85" s="22" t="n"/>
      <c r="Q85" s="22" t="n"/>
      <c r="R85" s="22" t="n"/>
      <c r="S85" s="22" t="n"/>
      <c r="U85">
        <f>IFERROR(MATCH(11,'MiT Strom Pipeline'!$AC$6:$AC$860,0)+5,"")</f>
        <v>40</v>
      </c>
    </row>
    <row r="86" ht="15.75" customHeight="1">
      <c r="A86" s="26">
        <f>IF($U86="","",IF(ISNUMBER(INDEX('MiT Strom Pipeline'!$A:$A,$U86)),INDEX('MiT Strom Pipeline'!$A:$A,$U86),""))</f>
        <v>38</v>
      </c>
      <c r="B86" s="27" t="str">
        <f>IF($U86="","",IF(INDEX('MiT Strom Pipeline'!$B:$B,$U86)="","",INDEX('MiT Strom Pipeline'!$B:$B,$U86)))</f>
        <v>Linde Gas Schweiz AG</v>
      </c>
      <c r="C86" s="27" t="str">
        <f>IF($U86="","",IF(INDEX('MiT Strom Pipeline'!$C:$C,$U86)="","",INDEX('MiT Strom Pipeline'!$C:$C,$U86)))</f>
        <v>LU</v>
      </c>
      <c r="D86" s="27" t="str">
        <f>IF($U86="","",IF(INDEX('MiT Strom Pipeline'!$D:$D,$U86)="","",INDEX('MiT Strom Pipeline'!$D:$D,$U86)))</f>
        <v>Industrie</v>
      </c>
      <c r="E86" s="191" t="str">
        <f>IF($U86="","",IF(INDEX('MiT Strom Pipeline'!$H:$H,$U86)="","",INDEX('MiT Strom Pipeline'!$H:$H,$U86)))</f>
        <v>Jan</v>
      </c>
      <c r="F86" s="27" t="str">
        <f>IF($U86="","",IF(INDEX('MiT Strom Pipeline'!$E:$E,$U86)="","",INDEX('MiT Strom Pipeline'!$E:$E,$U86)))</f>
        <v>60 kVA Generator</v>
      </c>
      <c r="G86" s="28">
        <f>IF($U86="","",IF(ISNUMBER(INDEX('MiT Strom Pipeline'!$I:$I,$U86)),INDEX('MiT Strom Pipeline'!$I:$I,$U86),0))</f>
        <v>3686.2</v>
      </c>
      <c r="H86" s="28">
        <f>IF($U86="","",IF(ISNUMBER(INDEX('MiT Strom Pipeline'!$Q:$Q,$U86)),INDEX('MiT Strom Pipeline'!$Q:$Q,$U86),0))</f>
        <v>1843.1</v>
      </c>
      <c r="I86" s="28">
        <f>IF($U86="","",IF(ISNUMBER(INDEX('MiT Strom Pipeline'!$O:$O,$U86)),INDEX('MiT Strom Pipeline'!$O:$O,$U86),0))</f>
        <v>179.99</v>
      </c>
      <c r="J86" s="27" t="str">
        <f>IF($U86="","",INDEX('MiT Strom Pipeline'!$R:$R,$U86))</f>
        <v>offered</v>
      </c>
      <c r="K86" s="29">
        <f>IF($U86="","",IF(ISNUMBER(INDEX('MiT Strom Pipeline'!$S:$S,$U86)),INDEX('MiT Strom Pipeline'!$S:$S,$U86),""))</f>
        <v>0.5</v>
      </c>
      <c r="L86" s="27" t="str">
        <f>IF($U86="","",IF(LEN(INDEX('MiT Strom Pipeline'!$V:$V,$U86))&gt;0,LEFT(INDEX('MiT Strom Pipeline'!$V:$V,$U86),55),""))</f>
        <v/>
      </c>
      <c r="M86" s="22" t="n"/>
      <c r="N86" s="22" t="n"/>
      <c r="O86" s="22" t="n"/>
      <c r="P86" s="22" t="n"/>
      <c r="Q86" s="22" t="n"/>
      <c r="R86" s="22" t="n"/>
      <c r="S86" s="22" t="n"/>
      <c r="U86">
        <f>IFERROR(MATCH(12,'MiT Strom Pipeline'!$AC$6:$AC$860,0)+5,"")</f>
        <v>42</v>
      </c>
    </row>
    <row r="87" ht="15.75" customHeight="1">
      <c r="A87" s="26">
        <f>IF($U87="","",IF(ISNUMBER(INDEX('MiT Strom Pipeline'!$A:$A,$U87)),INDEX('MiT Strom Pipeline'!$A:$A,$U87),""))</f>
        <v>39</v>
      </c>
      <c r="B87" s="27" t="str">
        <f>IF($U87="","",IF(INDEX('MiT Strom Pipeline'!$B:$B,$U87)="","",INDEX('MiT Strom Pipeline'!$B:$B,$U87)))</f>
        <v>Baumeler Leitungsbau AG</v>
      </c>
      <c r="C87" s="27" t="str">
        <f>IF($U87="","",IF(INDEX('MiT Strom Pipeline'!$C:$C,$U87)="","",INDEX('MiT Strom Pipeline'!$C:$C,$U87)))</f>
        <v>LU</v>
      </c>
      <c r="D87" s="27" t="str">
        <f>IF($U87="","",IF(INDEX('MiT Strom Pipeline'!$D:$D,$U87)="","",INDEX('MiT Strom Pipeline'!$D:$D,$U87)))</f>
        <v>Industrie</v>
      </c>
      <c r="E87" s="27" t="str">
        <f>IF($U87="","",IF(INDEX('MiT Strom Pipeline'!$H:$H,$U87)="","",INDEX('MiT Strom Pipeline'!$H:$H,$U87)))</f>
        <v>Juli</v>
      </c>
      <c r="F87" s="27" t="str">
        <f>IF($U87="","",IF(INDEX('MiT Strom Pipeline'!$E:$E,$U87)="","",INDEX('MiT Strom Pipeline'!$E:$E,$U87)))</f>
        <v>600 kVA </v>
      </c>
      <c r="G87" s="28">
        <f>IF($U87="","",IF(ISNUMBER(INDEX('MiT Strom Pipeline'!$I:$I,$U87)),INDEX('MiT Strom Pipeline'!$I:$I,$U87),0))</f>
        <v>8722.81</v>
      </c>
      <c r="H87" s="28">
        <f>IF($U87="","",IF(ISNUMBER(INDEX('MiT Strom Pipeline'!$Q:$Q,$U87)),INDEX('MiT Strom Pipeline'!$Q:$Q,$U87),0))</f>
        <v>4361.405</v>
      </c>
      <c r="I87" s="28">
        <f>IF($U87="","",IF(ISNUMBER(INDEX('MiT Strom Pipeline'!$O:$O,$U87)),INDEX('MiT Strom Pipeline'!$O:$O,$U87),0))</f>
        <v>3369.6</v>
      </c>
      <c r="J87" s="27" t="str">
        <f>IF($U87="","",INDEX('MiT Strom Pipeline'!$R:$R,$U87))</f>
        <v>offered</v>
      </c>
      <c r="K87" s="29">
        <f>IF($U87="","",IF(ISNUMBER(INDEX('MiT Strom Pipeline'!$S:$S,$U87)),INDEX('MiT Strom Pipeline'!$S:$S,$U87),""))</f>
        <v>0.5</v>
      </c>
      <c r="L87" s="27" t="str">
        <f>IF($U87="","",IF(LEN(INDEX('MiT Strom Pipeline'!$V:$V,$U87))&gt;0,LEFT(INDEX('MiT Strom Pipeline'!$V:$V,$U87),55),""))</f>
        <v>Kunde angeschrieben, Offerte erstellt, Kunde hat Offert</v>
      </c>
      <c r="M87" s="22" t="n"/>
      <c r="N87" s="22" t="n"/>
      <c r="O87" s="22" t="n"/>
      <c r="P87" s="22" t="n"/>
      <c r="Q87" s="22" t="n"/>
      <c r="R87" s="22" t="n"/>
      <c r="S87" s="22" t="n"/>
      <c r="U87">
        <f>IFERROR(MATCH(13,'MiT Strom Pipeline'!$AC$6:$AC$860,0)+5,"")</f>
        <v>43</v>
      </c>
    </row>
    <row r="88" ht="15.75" customHeight="1">
      <c r="A88" s="26">
        <f>IF($U88="","",IF(ISNUMBER(INDEX('MiT Strom Pipeline'!$A:$A,$U88)),INDEX('MiT Strom Pipeline'!$A:$A,$U88),""))</f>
        <v>43</v>
      </c>
      <c r="B88" s="27" t="str">
        <f>IF($U88="","",IF(INDEX('MiT Strom Pipeline'!$B:$B,$U88)="","",INDEX('MiT Strom Pipeline'!$B:$B,$U88)))</f>
        <v>Equans Switzerland Kloten</v>
      </c>
      <c r="C88" s="27" t="str">
        <f>IF($U88="","",IF(INDEX('MiT Strom Pipeline'!$C:$C,$U88)="","",INDEX('MiT Strom Pipeline'!$C:$C,$U88)))</f>
        <v>ZH</v>
      </c>
      <c r="D88" s="27" t="str">
        <f>IF($U88="","",IF(INDEX('MiT Strom Pipeline'!$D:$D,$U88)="","",INDEX('MiT Strom Pipeline'!$D:$D,$U88)))</f>
        <v>Industrie</v>
      </c>
      <c r="E88" s="27" t="str">
        <f>IF($U88="","",IF(INDEX('MiT Strom Pipeline'!$H:$H,$U88)="","",INDEX('MiT Strom Pipeline'!$H:$H,$U88)))</f>
        <v>Dez</v>
      </c>
      <c r="F88" s="27" t="str">
        <f>IF($U88="","",IF(INDEX('MiT Strom Pipeline'!$E:$E,$U88)="","",INDEX('MiT Strom Pipeline'!$E:$E,$U88)))</f>
        <v>600 kVA</v>
      </c>
      <c r="G88" s="28">
        <f>IF($U88="","",IF(ISNUMBER(INDEX('MiT Strom Pipeline'!$I:$I,$U88)),INDEX('MiT Strom Pipeline'!$I:$I,$U88),0))</f>
        <v>224236.15</v>
      </c>
      <c r="H88" s="28">
        <f>IF($U88="","",IF(ISNUMBER(INDEX('MiT Strom Pipeline'!$Q:$Q,$U88)),INDEX('MiT Strom Pipeline'!$Q:$Q,$U88),0))</f>
        <v>112118.075</v>
      </c>
      <c r="I88" s="28">
        <f>IF($U88="","",IF(ISNUMBER(INDEX('MiT Strom Pipeline'!$O:$O,$U88)),INDEX('MiT Strom Pipeline'!$O:$O,$U88),0))</f>
        <v>0</v>
      </c>
      <c r="J88" s="27" t="str">
        <f>IF($U88="","",INDEX('MiT Strom Pipeline'!$R:$R,$U88))</f>
        <v>offered</v>
      </c>
      <c r="K88" s="29">
        <f>IF($U88="","",IF(ISNUMBER(INDEX('MiT Strom Pipeline'!$S:$S,$U88)),INDEX('MiT Strom Pipeline'!$S:$S,$U88),""))</f>
        <v>0.5</v>
      </c>
      <c r="L88" s="27" t="str">
        <f>IF($U88="","",IF(LEN(INDEX('MiT Strom Pipeline'!$V:$V,$U88))&gt;0,LEFT(INDEX('MiT Strom Pipeline'!$V:$V,$U88),55),""))</f>
        <v>Kunde angeschrieben, Offerte erstellt, Kunde hat Offert</v>
      </c>
      <c r="M88" s="22" t="n"/>
      <c r="N88" s="22" t="n"/>
      <c r="O88" s="22" t="n"/>
      <c r="P88" s="22" t="n"/>
      <c r="Q88" s="22" t="n"/>
      <c r="R88" s="22" t="n"/>
      <c r="S88" s="22" t="n"/>
      <c r="U88">
        <f>IFERROR(MATCH(14,'MiT Strom Pipeline'!$AC$6:$AC$860,0)+5,"")</f>
        <v>53</v>
      </c>
    </row>
    <row r="89" ht="15.75" customHeight="1">
      <c r="A89" s="26">
        <f>IF($U89="","",IF(ISNUMBER(INDEX('MiT Strom Pipeline'!$A:$A,$U89)),INDEX('MiT Strom Pipeline'!$A:$A,$U89),""))</f>
        <v>44</v>
      </c>
      <c r="B89" s="27" t="str">
        <f>IF($U89="","",IF(INDEX('MiT Strom Pipeline'!$B:$B,$U89)="","",INDEX('MiT Strom Pipeline'!$B:$B,$U89)))</f>
        <v>Equans Switzerland Kloten</v>
      </c>
      <c r="C89" s="27" t="str">
        <f>IF($U89="","",IF(INDEX('MiT Strom Pipeline'!$C:$C,$U89)="","",INDEX('MiT Strom Pipeline'!$C:$C,$U89)))</f>
        <v>ZH</v>
      </c>
      <c r="D89" s="27" t="str">
        <f>IF($U89="","",IF(INDEX('MiT Strom Pipeline'!$D:$D,$U89)="","",INDEX('MiT Strom Pipeline'!$D:$D,$U89)))</f>
        <v>Industrie</v>
      </c>
      <c r="E89" s="27" t="str">
        <f>IF($U89="","",IF(INDEX('MiT Strom Pipeline'!$H:$H,$U89)="","",INDEX('MiT Strom Pipeline'!$H:$H,$U89)))</f>
        <v>Juli</v>
      </c>
      <c r="F89" s="27" t="str">
        <f>IF($U89="","",IF(INDEX('MiT Strom Pipeline'!$E:$E,$U89)="","",INDEX('MiT Strom Pipeline'!$E:$E,$U89)))</f>
        <v>300 kVA</v>
      </c>
      <c r="G89" s="28">
        <f>IF($U89="","",IF(ISNUMBER(INDEX('MiT Strom Pipeline'!$I:$I,$U89)),INDEX('MiT Strom Pipeline'!$I:$I,$U89),0))</f>
        <v>31077.89</v>
      </c>
      <c r="H89" s="28">
        <f>IF($U89="","",IF(ISNUMBER(INDEX('MiT Strom Pipeline'!$Q:$Q,$U89)),INDEX('MiT Strom Pipeline'!$Q:$Q,$U89),0))</f>
        <v>15538.945</v>
      </c>
      <c r="I89" s="28">
        <f>IF($U89="","",IF(ISNUMBER(INDEX('MiT Strom Pipeline'!$O:$O,$U89)),INDEX('MiT Strom Pipeline'!$O:$O,$U89),0))</f>
        <v>0</v>
      </c>
      <c r="J89" s="27" t="str">
        <f>IF($U89="","",INDEX('MiT Strom Pipeline'!$R:$R,$U89))</f>
        <v>offered</v>
      </c>
      <c r="K89" s="29">
        <f>IF($U89="","",IF(ISNUMBER(INDEX('MiT Strom Pipeline'!$S:$S,$U89)),INDEX('MiT Strom Pipeline'!$S:$S,$U89),""))</f>
        <v>0.5</v>
      </c>
      <c r="L89" s="27" t="str">
        <f>IF($U89="","",IF(LEN(INDEX('MiT Strom Pipeline'!$V:$V,$U89))&gt;0,LEFT(INDEX('MiT Strom Pipeline'!$V:$V,$U89),55),""))</f>
        <v>Kunde angeschrieben, Offerte erstellt, Kunde hat Offert</v>
      </c>
      <c r="M89" s="22" t="n"/>
      <c r="N89" s="22" t="n"/>
      <c r="O89" s="22" t="n"/>
      <c r="P89" s="22" t="n"/>
      <c r="Q89" s="22" t="n"/>
      <c r="R89" s="22" t="n"/>
      <c r="S89" s="22" t="n"/>
      <c r="U89">
        <f>IFERROR(MATCH(15,'MiT Strom Pipeline'!$AC$6:$AC$860,0)+5,"")</f>
        <v>54</v>
      </c>
    </row>
    <row r="90" hidden="1" ht="15.75" customHeight="1">
      <c r="A90" s="26">
        <f>IF($U90="","",IF(ISNUMBER(INDEX('MiT Strom Pipeline'!$A:$A,$U90)),INDEX('MiT Strom Pipeline'!$A:$A,$U90),""))</f>
        <v>45</v>
      </c>
      <c r="B90" s="27" t="str">
        <f>IF($U90="","",IF(INDEX('MiT Strom Pipeline'!$B:$B,$U90)="","",INDEX('MiT Strom Pipeline'!$B:$B,$U90)))</f>
        <v>ETAVIS Basel</v>
      </c>
      <c r="C90" s="27" t="str">
        <f>IF($U90="","",IF(INDEX('MiT Strom Pipeline'!$C:$C,$U90)="","",INDEX('MiT Strom Pipeline'!$C:$C,$U90)))</f>
        <v>BS</v>
      </c>
      <c r="D90" s="27" t="str">
        <f>IF($U90="","",IF(INDEX('MiT Strom Pipeline'!$D:$D,$U90)="","",INDEX('MiT Strom Pipeline'!$D:$D,$U90)))</f>
        <v>Elektroinstallation</v>
      </c>
      <c r="E90" s="27" t="str">
        <f>IF($U90="","",IF(INDEX('MiT Strom Pipeline'!$H:$H,$U90)="","",INDEX('MiT Strom Pipeline'!$H:$H,$U90)))</f>
        <v>Juli</v>
      </c>
      <c r="F90" s="27" t="str">
        <f>IF($U90="","",IF(INDEX('MiT Strom Pipeline'!$E:$E,$U90)="","",INDEX('MiT Strom Pipeline'!$E:$E,$U90)))</f>
        <v>300 kVA</v>
      </c>
      <c r="G90" s="28">
        <f>IF($U90="","",IF(ISNUMBER(INDEX('MiT Strom Pipeline'!$I:$I,$U90)),INDEX('MiT Strom Pipeline'!$I:$I,$U90),0))</f>
        <v>13866.21</v>
      </c>
      <c r="H90" s="28">
        <f>IF($U90="","",IF(ISNUMBER(INDEX('MiT Strom Pipeline'!$Q:$Q,$U90)),INDEX('MiT Strom Pipeline'!$Q:$Q,$U90),0))</f>
        <v>6933.105</v>
      </c>
      <c r="I90" s="28">
        <f>IF($U90="","",IF(ISNUMBER(INDEX('MiT Strom Pipeline'!$O:$O,$U90)),INDEX('MiT Strom Pipeline'!$O:$O,$U90),0))</f>
        <v>0.0100000000002183</v>
      </c>
      <c r="J90" s="27" t="str">
        <f>IF($U90="","",INDEX('MiT Strom Pipeline'!$R:$R,$U90))</f>
        <v>offered</v>
      </c>
      <c r="K90" s="29">
        <f>IF($U90="","",IF(ISNUMBER(INDEX('MiT Strom Pipeline'!$S:$S,$U90)),INDEX('MiT Strom Pipeline'!$S:$S,$U90),""))</f>
        <v>0.5</v>
      </c>
      <c r="L90" s="27" t="str">
        <f>IF($U90="","",IF(LEN(INDEX('MiT Strom Pipeline'!$V:$V,$U90))&gt;0,LEFT(INDEX('MiT Strom Pipeline'!$V:$V,$U90),55),""))</f>
        <v>Kunde angeschrieben, Offerte erstellt, Kunde hat Offert</v>
      </c>
      <c r="M90" s="22" t="n"/>
      <c r="N90" s="22" t="n"/>
      <c r="O90" s="22" t="n"/>
      <c r="P90" s="22" t="n"/>
      <c r="Q90" s="22" t="n"/>
      <c r="R90" s="22" t="n"/>
      <c r="S90" s="22" t="n"/>
      <c r="U90">
        <f>IFERROR(MATCH(16,'MiT Strom Pipeline'!$AC$6:$AC$860,0)+5,"")</f>
        <v>55</v>
      </c>
    </row>
    <row r="91" hidden="1" ht="15.75" customHeight="1">
      <c r="A91" s="26">
        <f>IF($U91="","",IF(ISNUMBER(INDEX('MiT Strom Pipeline'!$A:$A,$U91)),INDEX('MiT Strom Pipeline'!$A:$A,$U91),""))</f>
        <v>48</v>
      </c>
      <c r="B91" s="27" t="str">
        <f>IF($U91="","",IF(INDEX('MiT Strom Pipeline'!$B:$B,$U91)="","",INDEX('MiT Strom Pipeline'!$B:$B,$U91)))</f>
        <v>Coutaz CVS SA</v>
      </c>
      <c r="C91" s="27" t="str">
        <f>IF($U91="","",IF(INDEX('MiT Strom Pipeline'!$C:$C,$U91)="","",INDEX('MiT Strom Pipeline'!$C:$C,$U91)))</f>
        <v>VS</v>
      </c>
      <c r="D91" s="27" t="str">
        <f>IF($U91="","",IF(INDEX('MiT Strom Pipeline'!$D:$D,$U91)="","",INDEX('MiT Strom Pipeline'!$D:$D,$U91)))</f>
        <v>EVU</v>
      </c>
      <c r="E91" s="27" t="str">
        <f>IF($U91="","",IF(INDEX('MiT Strom Pipeline'!$H:$H,$U91)="","",INDEX('MiT Strom Pipeline'!$H:$H,$U91)))</f>
        <v>Okt</v>
      </c>
      <c r="F91" s="27" t="str">
        <f>IF($U91="","",IF(INDEX('MiT Strom Pipeline'!$E:$E,$U91)="","",INDEX('MiT Strom Pipeline'!$E:$E,$U91)))</f>
        <v>600 kVA, 200 kVA</v>
      </c>
      <c r="G91" s="28">
        <f>IF($U91="","",IF(ISNUMBER(INDEX('MiT Strom Pipeline'!$I:$I,$U91)),INDEX('MiT Strom Pipeline'!$I:$I,$U91),0))</f>
        <v>190701.37</v>
      </c>
      <c r="H91" s="28">
        <f>IF($U91="","",IF(ISNUMBER(INDEX('MiT Strom Pipeline'!$Q:$Q,$U91)),INDEX('MiT Strom Pipeline'!$Q:$Q,$U91),0))</f>
        <v>95350.685</v>
      </c>
      <c r="I91" s="28">
        <f>IF($U91="","",IF(ISNUMBER(INDEX('MiT Strom Pipeline'!$O:$O,$U91)),INDEX('MiT Strom Pipeline'!$O:$O,$U91),0))</f>
        <v>10854</v>
      </c>
      <c r="J91" s="27" t="str">
        <f>IF($U91="","",INDEX('MiT Strom Pipeline'!$R:$R,$U91))</f>
        <v>offered</v>
      </c>
      <c r="K91" s="29">
        <f>IF($U91="","",IF(ISNUMBER(INDEX('MiT Strom Pipeline'!$S:$S,$U91)),INDEX('MiT Strom Pipeline'!$S:$S,$U91),""))</f>
        <v>0.5</v>
      </c>
      <c r="L91" s="27" t="str">
        <f>IF($U91="","",IF(LEN(INDEX('MiT Strom Pipeline'!$V:$V,$U91))&gt;0,LEFT(INDEX('MiT Strom Pipeline'!$V:$V,$U91),55),""))</f>
        <v>Kunde angeschrieben, Offerte erstellt, Kunde hat Offert</v>
      </c>
      <c r="M91" s="22" t="n"/>
      <c r="N91" s="22" t="n"/>
      <c r="O91" s="22" t="n"/>
      <c r="P91" s="22" t="n"/>
      <c r="Q91" s="22" t="n"/>
      <c r="R91" s="22" t="n"/>
      <c r="S91" s="22" t="n"/>
      <c r="U91">
        <f>IFERROR(MATCH(17,'MiT Strom Pipeline'!$AC$6:$AC$860,0)+5,"")</f>
        <v>58</v>
      </c>
    </row>
    <row r="92" hidden="1" ht="15.75" customHeight="1">
      <c r="A92" s="26">
        <f>IF($U92="","",IF(ISNUMBER(INDEX('MiT Strom Pipeline'!$A:$A,$U92)),INDEX('MiT Strom Pipeline'!$A:$A,$U92),""))</f>
        <v>49</v>
      </c>
      <c r="B92" s="27" t="str">
        <f>IF($U92="","",IF(INDEX('MiT Strom Pipeline'!$B:$B,$U92)="","",INDEX('MiT Strom Pipeline'!$B:$B,$U92)))</f>
        <v>Romand Energei SA</v>
      </c>
      <c r="C92" s="27" t="str">
        <f>IF($U92="","",IF(INDEX('MiT Strom Pipeline'!$C:$C,$U92)="","",INDEX('MiT Strom Pipeline'!$C:$C,$U92)))</f>
        <v>VS</v>
      </c>
      <c r="D92" s="27" t="str">
        <f>IF($U92="","",IF(INDEX('MiT Strom Pipeline'!$D:$D,$U92)="","",INDEX('MiT Strom Pipeline'!$D:$D,$U92)))</f>
        <v>EVU</v>
      </c>
      <c r="E92" s="27" t="str">
        <f>IF($U92="","",IF(INDEX('MiT Strom Pipeline'!$H:$H,$U92)="","",INDEX('MiT Strom Pipeline'!$H:$H,$U92)))</f>
        <v>Aug</v>
      </c>
      <c r="F92" s="27" t="str">
        <f>IF($U92="","",IF(INDEX('MiT Strom Pipeline'!$E:$E,$U92)="","",INDEX('MiT Strom Pipeline'!$E:$E,$U92)))</f>
        <v>600 kVA</v>
      </c>
      <c r="G92" s="28">
        <f>IF($U92="","",IF(ISNUMBER(INDEX('MiT Strom Pipeline'!$I:$I,$U92)),INDEX('MiT Strom Pipeline'!$I:$I,$U92),0))</f>
        <v>32467.62</v>
      </c>
      <c r="H92" s="28">
        <f>IF($U92="","",IF(ISNUMBER(INDEX('MiT Strom Pipeline'!$Q:$Q,$U92)),INDEX('MiT Strom Pipeline'!$Q:$Q,$U92),0))</f>
        <v>16233.81</v>
      </c>
      <c r="I92" s="28">
        <f>IF($U92="","",IF(ISNUMBER(INDEX('MiT Strom Pipeline'!$O:$O,$U92)),INDEX('MiT Strom Pipeline'!$O:$O,$U92),0))</f>
        <v>870.999999999996</v>
      </c>
      <c r="J92" s="27" t="str">
        <f>IF($U92="","",INDEX('MiT Strom Pipeline'!$R:$R,$U92))</f>
        <v>offered</v>
      </c>
      <c r="K92" s="29">
        <f>IF($U92="","",IF(ISNUMBER(INDEX('MiT Strom Pipeline'!$S:$S,$U92)),INDEX('MiT Strom Pipeline'!$S:$S,$U92),""))</f>
        <v>0.5</v>
      </c>
      <c r="L92" s="27" t="str">
        <f>IF($U92="","",IF(LEN(INDEX('MiT Strom Pipeline'!$V:$V,$U92))&gt;0,LEFT(INDEX('MiT Strom Pipeline'!$V:$V,$U92),55),""))</f>
        <v>Kunde angeschrieben, Offerte erstellt, Kunde hat Offert</v>
      </c>
      <c r="M92" s="22" t="n"/>
      <c r="N92" s="22" t="n"/>
      <c r="O92" s="22" t="n"/>
      <c r="P92" s="22" t="n"/>
      <c r="Q92" s="22" t="n"/>
      <c r="R92" s="22" t="n"/>
      <c r="S92" s="22" t="n"/>
      <c r="U92">
        <f>IFERROR(MATCH(18,'MiT Strom Pipeline'!$AC$6:$AC$860,0)+5,"")</f>
        <v>59</v>
      </c>
    </row>
    <row r="93" hidden="1" ht="15.75" customHeight="1">
      <c r="A93" s="26">
        <f>IF($U93="","",IF(ISNUMBER(INDEX('MiT Strom Pipeline'!$A:$A,$U93)),INDEX('MiT Strom Pipeline'!$A:$A,$U93),""))</f>
        <v>50</v>
      </c>
      <c r="B93" s="27" t="str">
        <f>IF($U93="","",IF(INDEX('MiT Strom Pipeline'!$B:$B,$U93)="","",INDEX('MiT Strom Pipeline'!$B:$B,$U93)))</f>
        <v>EIDG AMT Agroscope</v>
      </c>
      <c r="C93" s="27" t="str">
        <f>IF($U93="","",IF(INDEX('MiT Strom Pipeline'!$C:$C,$U93)="","",INDEX('MiT Strom Pipeline'!$C:$C,$U93)))</f>
        <v>ZH</v>
      </c>
      <c r="D93" s="27" t="str">
        <f>IF($U93="","",IF(INDEX('MiT Strom Pipeline'!$D:$D,$U93)="","",INDEX('MiT Strom Pipeline'!$D:$D,$U93)))</f>
        <v>Forschung</v>
      </c>
      <c r="E93" s="27" t="str">
        <f>IF($U93="","",IF(INDEX('MiT Strom Pipeline'!$H:$H,$U93)="","",INDEX('MiT Strom Pipeline'!$H:$H,$U93)))</f>
        <v>Aug</v>
      </c>
      <c r="F93" s="27" t="str">
        <f>IF($U93="","",IF(INDEX('MiT Strom Pipeline'!$E:$E,$U93)="","",INDEX('MiT Strom Pipeline'!$E:$E,$U93)))</f>
        <v>450 kVA</v>
      </c>
      <c r="G93" s="28">
        <f>IF($U93="","",IF(ISNUMBER(INDEX('MiT Strom Pipeline'!$I:$I,$U93)),INDEX('MiT Strom Pipeline'!$I:$I,$U93),0))</f>
        <v>5257.44</v>
      </c>
      <c r="H93" s="28">
        <f>IF($U93="","",IF(ISNUMBER(INDEX('MiT Strom Pipeline'!$Q:$Q,$U93)),INDEX('MiT Strom Pipeline'!$Q:$Q,$U93),0))</f>
        <v>2628.72</v>
      </c>
      <c r="I93" s="28">
        <f>IF($U93="","",IF(ISNUMBER(INDEX('MiT Strom Pipeline'!$O:$O,$U93)),INDEX('MiT Strom Pipeline'!$O:$O,$U93),0))</f>
        <v>0</v>
      </c>
      <c r="J93" s="27" t="str">
        <f>IF($U93="","",INDEX('MiT Strom Pipeline'!$R:$R,$U93))</f>
        <v>offered</v>
      </c>
      <c r="K93" s="29">
        <f>IF($U93="","",IF(ISNUMBER(INDEX('MiT Strom Pipeline'!$S:$S,$U93)),INDEX('MiT Strom Pipeline'!$S:$S,$U93),""))</f>
        <v>0.5</v>
      </c>
      <c r="L93" s="27" t="str">
        <f>IF($U93="","",IF(LEN(INDEX('MiT Strom Pipeline'!$V:$V,$U93))&gt;0,LEFT(INDEX('MiT Strom Pipeline'!$V:$V,$U93),55),""))</f>
        <v>Kunde angeschrieben, Offerte erstellt, Kunde hat Offert</v>
      </c>
      <c r="M93" s="22" t="n"/>
      <c r="N93" s="22" t="n"/>
      <c r="O93" s="22" t="n"/>
      <c r="P93" s="22" t="n"/>
      <c r="Q93" s="22" t="n"/>
      <c r="R93" s="22" t="n"/>
      <c r="S93" s="22" t="n"/>
      <c r="U93">
        <f>IFERROR(MATCH(19,'MiT Strom Pipeline'!$AC$6:$AC$860,0)+5,"")</f>
        <v>60</v>
      </c>
    </row>
    <row r="94" hidden="1" ht="15.75" customHeight="1">
      <c r="A94" s="26" t="str">
        <f>IF($U94="","",IF(ISNUMBER(INDEX('MiT Strom Pipeline'!$A:$A,$U94)),INDEX('MiT Strom Pipeline'!$A:$A,$U94),""))</f>
        <v/>
      </c>
      <c r="B94" s="27" t="str">
        <f>IF($U94="","",IF(INDEX('MiT Strom Pipeline'!$B:$B,$U94)="","",INDEX('MiT Strom Pipeline'!$B:$B,$U94)))</f>
        <v/>
      </c>
      <c r="C94" s="27" t="str">
        <f>IF($U94="","",IF(INDEX('MiT Strom Pipeline'!$C:$C,$U94)="","",INDEX('MiT Strom Pipeline'!$C:$C,$U94)))</f>
        <v/>
      </c>
      <c r="D94" s="27" t="str">
        <f>IF($U94="","",IF(INDEX('MiT Strom Pipeline'!$D:$D,$U94)="","",INDEX('MiT Strom Pipeline'!$D:$D,$U94)))</f>
        <v/>
      </c>
      <c r="E94" s="27" t="str">
        <f>IF($U94="","",IF(INDEX('MiT Strom Pipeline'!$H:$H,$U94)="","",INDEX('MiT Strom Pipeline'!$H:$H,$U94)))</f>
        <v/>
      </c>
      <c r="F94" s="27" t="str">
        <f>IF($U94="","",IF(INDEX('MiT Strom Pipeline'!$E:$E,$U94)="","",INDEX('MiT Strom Pipeline'!$E:$E,$U94)))</f>
        <v/>
      </c>
      <c r="G94" s="28" t="str">
        <f>IF($U94="","",IF(ISNUMBER(INDEX('MiT Strom Pipeline'!$I:$I,$U94)),INDEX('MiT Strom Pipeline'!$I:$I,$U94),0))</f>
        <v/>
      </c>
      <c r="H94" s="28" t="str">
        <f>IF($U94="","",IF(ISNUMBER(INDEX('MiT Strom Pipeline'!$Q:$Q,$U94)),INDEX('MiT Strom Pipeline'!$Q:$Q,$U94),0))</f>
        <v/>
      </c>
      <c r="I94" s="28" t="str">
        <f>IF($U94="","",IF(ISNUMBER(INDEX('MiT Strom Pipeline'!$O:$O,$U94)),INDEX('MiT Strom Pipeline'!$O:$O,$U94),0))</f>
        <v/>
      </c>
      <c r="J94" s="27" t="str">
        <f>IF($U94="","",INDEX('MiT Strom Pipeline'!$R:$R,$U94))</f>
        <v/>
      </c>
      <c r="K94" s="29" t="str">
        <f>IF($U94="","",IF(ISNUMBER(INDEX('MiT Strom Pipeline'!$S:$S,$U94)),INDEX('MiT Strom Pipeline'!$S:$S,$U94),""))</f>
        <v/>
      </c>
      <c r="L94" s="27" t="str">
        <f>IF($U94="","",IF(LEN(INDEX('MiT Strom Pipeline'!$V:$V,$U94))&gt;0,LEFT(INDEX('MiT Strom Pipeline'!$V:$V,$U94),55),""))</f>
        <v/>
      </c>
      <c r="M94" s="22" t="n"/>
      <c r="N94" s="22" t="n"/>
      <c r="O94" s="22" t="n"/>
      <c r="P94" s="22" t="n"/>
      <c r="Q94" s="22" t="n"/>
      <c r="R94" s="22" t="n"/>
      <c r="S94" s="22" t="n"/>
      <c r="U94" t="str">
        <f>IFERROR(MATCH(20,'MiT Strom Pipeline'!$AC$6:$AC$860,0)+5,"")</f>
        <v/>
      </c>
    </row>
    <row r="95" hidden="1" ht="15.75" customHeight="1">
      <c r="A95" s="26" t="str">
        <f>IF($U95="","",IF(ISNUMBER(INDEX('MiT Strom Pipeline'!$A:$A,$U95)),INDEX('MiT Strom Pipeline'!$A:$A,$U95),""))</f>
        <v/>
      </c>
      <c r="B95" s="27" t="str">
        <f>IF($U95="","",IF(INDEX('MiT Strom Pipeline'!$B:$B,$U95)="","",INDEX('MiT Strom Pipeline'!$B:$B,$U95)))</f>
        <v/>
      </c>
      <c r="C95" s="27" t="str">
        <f>IF($U95="","",IF(INDEX('MiT Strom Pipeline'!$C:$C,$U95)="","",INDEX('MiT Strom Pipeline'!$C:$C,$U95)))</f>
        <v/>
      </c>
      <c r="D95" s="27" t="str">
        <f>IF($U95="","",IF(INDEX('MiT Strom Pipeline'!$D:$D,$U95)="","",INDEX('MiT Strom Pipeline'!$D:$D,$U95)))</f>
        <v/>
      </c>
      <c r="E95" s="27" t="str">
        <f>IF($U95="","",IF(INDEX('MiT Strom Pipeline'!$H:$H,$U95)="","",INDEX('MiT Strom Pipeline'!$H:$H,$U95)))</f>
        <v/>
      </c>
      <c r="F95" s="27" t="str">
        <f>IF($U95="","",IF(INDEX('MiT Strom Pipeline'!$E:$E,$U95)="","",INDEX('MiT Strom Pipeline'!$E:$E,$U95)))</f>
        <v/>
      </c>
      <c r="G95" s="28" t="str">
        <f>IF($U95="","",IF(ISNUMBER(INDEX('MiT Strom Pipeline'!$I:$I,$U95)),INDEX('MiT Strom Pipeline'!$I:$I,$U95),0))</f>
        <v/>
      </c>
      <c r="H95" s="28" t="str">
        <f>IF($U95="","",IF(ISNUMBER(INDEX('MiT Strom Pipeline'!$Q:$Q,$U95)),INDEX('MiT Strom Pipeline'!$Q:$Q,$U95),0))</f>
        <v/>
      </c>
      <c r="I95" s="28" t="str">
        <f>IF($U95="","",IF(ISNUMBER(INDEX('MiT Strom Pipeline'!$O:$O,$U95)),INDEX('MiT Strom Pipeline'!$O:$O,$U95),0))</f>
        <v/>
      </c>
      <c r="J95" s="27" t="str">
        <f>IF($U95="","",INDEX('MiT Strom Pipeline'!$R:$R,$U95))</f>
        <v/>
      </c>
      <c r="K95" s="29" t="str">
        <f>IF($U95="","",IF(ISNUMBER(INDEX('MiT Strom Pipeline'!$S:$S,$U95)),INDEX('MiT Strom Pipeline'!$S:$S,$U95),""))</f>
        <v/>
      </c>
      <c r="L95" s="27" t="str">
        <f>IF($U95="","",IF(LEN(INDEX('MiT Strom Pipeline'!$V:$V,$U95))&gt;0,LEFT(INDEX('MiT Strom Pipeline'!$V:$V,$U95),55),""))</f>
        <v/>
      </c>
      <c r="M95" s="22" t="n"/>
      <c r="N95" s="22" t="n"/>
      <c r="O95" s="22" t="n"/>
      <c r="P95" s="22" t="n"/>
      <c r="Q95" s="22" t="n"/>
      <c r="R95" s="22" t="n"/>
      <c r="S95" s="22" t="n"/>
      <c r="U95" t="str">
        <f>IFERROR(MATCH(21,'MiT Strom Pipeline'!$AC$6:$AC$860,0)+5,"")</f>
        <v/>
      </c>
    </row>
    <row r="96" hidden="1" ht="15.75" customHeight="1">
      <c r="A96" s="26" t="str">
        <f>IF($U96="","",IF(ISNUMBER(INDEX('MiT Strom Pipeline'!$A:$A,$U96)),INDEX('MiT Strom Pipeline'!$A:$A,$U96),""))</f>
        <v/>
      </c>
      <c r="B96" s="27" t="str">
        <f>IF($U96="","",IF(INDEX('MiT Strom Pipeline'!$B:$B,$U96)="","",INDEX('MiT Strom Pipeline'!$B:$B,$U96)))</f>
        <v/>
      </c>
      <c r="C96" s="27" t="str">
        <f>IF($U96="","",IF(INDEX('MiT Strom Pipeline'!$C:$C,$U96)="","",INDEX('MiT Strom Pipeline'!$C:$C,$U96)))</f>
        <v/>
      </c>
      <c r="D96" s="27" t="str">
        <f>IF($U96="","",IF(INDEX('MiT Strom Pipeline'!$D:$D,$U96)="","",INDEX('MiT Strom Pipeline'!$D:$D,$U96)))</f>
        <v/>
      </c>
      <c r="E96" s="27" t="str">
        <f>IF($U96="","",IF(INDEX('MiT Strom Pipeline'!$H:$H,$U96)="","",INDEX('MiT Strom Pipeline'!$H:$H,$U96)))</f>
        <v/>
      </c>
      <c r="F96" s="27" t="str">
        <f>IF($U96="","",IF(INDEX('MiT Strom Pipeline'!$E:$E,$U96)="","",INDEX('MiT Strom Pipeline'!$E:$E,$U96)))</f>
        <v/>
      </c>
      <c r="G96" s="28" t="str">
        <f>IF($U96="","",IF(ISNUMBER(INDEX('MiT Strom Pipeline'!$I:$I,$U96)),INDEX('MiT Strom Pipeline'!$I:$I,$U96),0))</f>
        <v/>
      </c>
      <c r="H96" s="28" t="str">
        <f>IF($U96="","",IF(ISNUMBER(INDEX('MiT Strom Pipeline'!$Q:$Q,$U96)),INDEX('MiT Strom Pipeline'!$Q:$Q,$U96),0))</f>
        <v/>
      </c>
      <c r="I96" s="28" t="str">
        <f>IF($U96="","",IF(ISNUMBER(INDEX('MiT Strom Pipeline'!$O:$O,$U96)),INDEX('MiT Strom Pipeline'!$O:$O,$U96),0))</f>
        <v/>
      </c>
      <c r="J96" s="27" t="str">
        <f>IF($U96="","",INDEX('MiT Strom Pipeline'!$R:$R,$U96))</f>
        <v/>
      </c>
      <c r="K96" s="29" t="str">
        <f>IF($U96="","",IF(ISNUMBER(INDEX('MiT Strom Pipeline'!$S:$S,$U96)),INDEX('MiT Strom Pipeline'!$S:$S,$U96),""))</f>
        <v/>
      </c>
      <c r="L96" s="27" t="str">
        <f>IF($U96="","",IF(LEN(INDEX('MiT Strom Pipeline'!$V:$V,$U96))&gt;0,LEFT(INDEX('MiT Strom Pipeline'!$V:$V,$U96),55),""))</f>
        <v/>
      </c>
      <c r="M96" s="22" t="n"/>
      <c r="N96" s="22" t="n"/>
      <c r="O96" s="22" t="n"/>
      <c r="P96" s="22" t="n"/>
      <c r="Q96" s="22" t="n"/>
      <c r="R96" s="22" t="n"/>
      <c r="S96" s="22" t="n"/>
      <c r="U96" t="str">
        <f>IFERROR(MATCH(22,'MiT Strom Pipeline'!$AC$6:$AC$860,0)+5,"")</f>
        <v/>
      </c>
    </row>
    <row r="97" ht="15.75" customHeight="1">
      <c r="A97" s="26" t="str">
        <f>IF($U97="","",IF(ISNUMBER(INDEX('MiT Strom Pipeline'!$A:$A,$U97)),INDEX('MiT Strom Pipeline'!$A:$A,$U97),""))</f>
        <v/>
      </c>
      <c r="B97" s="27" t="str">
        <f>IF($U97="","",IF(INDEX('MiT Strom Pipeline'!$B:$B,$U97)="","",INDEX('MiT Strom Pipeline'!$B:$B,$U97)))</f>
        <v/>
      </c>
      <c r="C97" s="27" t="str">
        <f>IF($U97="","",IF(INDEX('MiT Strom Pipeline'!$C:$C,$U97)="","",INDEX('MiT Strom Pipeline'!$C:$C,$U97)))</f>
        <v/>
      </c>
      <c r="D97" s="27" t="str">
        <f>IF($U97="","",IF(INDEX('MiT Strom Pipeline'!$D:$D,$U97)="","",INDEX('MiT Strom Pipeline'!$D:$D,$U97)))</f>
        <v/>
      </c>
      <c r="E97" s="191" t="str">
        <f>IF($U97="","",IF(INDEX('MiT Strom Pipeline'!$H:$H,$U97)="","",INDEX('MiT Strom Pipeline'!$H:$H,$U97)))</f>
        <v/>
      </c>
      <c r="F97" s="27" t="str">
        <f>IF($U97="","",IF(INDEX('MiT Strom Pipeline'!$E:$E,$U97)="","",INDEX('MiT Strom Pipeline'!$E:$E,$U97)))</f>
        <v/>
      </c>
      <c r="G97" s="28" t="str">
        <f>IF($U97="","",IF(ISNUMBER(INDEX('MiT Strom Pipeline'!$I:$I,$U97)),INDEX('MiT Strom Pipeline'!$I:$I,$U97),0))</f>
        <v/>
      </c>
      <c r="H97" s="28" t="str">
        <f>IF($U97="","",IF(ISNUMBER(INDEX('MiT Strom Pipeline'!$Q:$Q,$U97)),INDEX('MiT Strom Pipeline'!$Q:$Q,$U97),0))</f>
        <v/>
      </c>
      <c r="I97" s="28" t="str">
        <f>IF($U97="","",IF(ISNUMBER(INDEX('MiT Strom Pipeline'!$O:$O,$U97)),INDEX('MiT Strom Pipeline'!$O:$O,$U97),0))</f>
        <v/>
      </c>
      <c r="J97" s="27" t="str">
        <f>IF($U97="","",INDEX('MiT Strom Pipeline'!$R:$R,$U97))</f>
        <v/>
      </c>
      <c r="K97" s="29" t="str">
        <f>IF($U97="","",IF(ISNUMBER(INDEX('MiT Strom Pipeline'!$S:$S,$U97)),INDEX('MiT Strom Pipeline'!$S:$S,$U97),""))</f>
        <v/>
      </c>
      <c r="L97" s="27" t="str">
        <f>IF($U97="","",IF(LEN(INDEX('MiT Strom Pipeline'!$V:$V,$U97))&gt;0,LEFT(INDEX('MiT Strom Pipeline'!$V:$V,$U97),55),""))</f>
        <v/>
      </c>
      <c r="M97" s="22" t="n"/>
      <c r="N97" s="22" t="n"/>
      <c r="O97" s="22" t="n"/>
      <c r="P97" s="22" t="n"/>
      <c r="Q97" s="22" t="n"/>
      <c r="R97" s="22" t="n"/>
      <c r="S97" s="22" t="n"/>
      <c r="U97" t="str">
        <f>IFERROR(MATCH(23,'MiT Strom Pipeline'!$AC$6:$AC$860,0)+5,"")</f>
        <v/>
      </c>
    </row>
    <row r="98" hidden="1" ht="15.75" customHeight="1">
      <c r="A98" s="26" t="str">
        <f>IF($U98="","",IF(ISNUMBER(INDEX('MiT Strom Pipeline'!$A:$A,$U98)),INDEX('MiT Strom Pipeline'!$A:$A,$U98),""))</f>
        <v/>
      </c>
      <c r="B98" s="27" t="str">
        <f>IF($U98="","",IF(INDEX('MiT Strom Pipeline'!$B:$B,$U98)="","",INDEX('MiT Strom Pipeline'!$B:$B,$U98)))</f>
        <v/>
      </c>
      <c r="C98" s="27" t="str">
        <f>IF($U98="","",IF(INDEX('MiT Strom Pipeline'!$C:$C,$U98)="","",INDEX('MiT Strom Pipeline'!$C:$C,$U98)))</f>
        <v/>
      </c>
      <c r="D98" s="27" t="str">
        <f>IF($U98="","",IF(INDEX('MiT Strom Pipeline'!$D:$D,$U98)="","",INDEX('MiT Strom Pipeline'!$D:$D,$U98)))</f>
        <v/>
      </c>
      <c r="E98" s="27" t="str">
        <f>IF($U98="","",IF(INDEX('MiT Strom Pipeline'!$H:$H,$U98)="","",INDEX('MiT Strom Pipeline'!$H:$H,$U98)))</f>
        <v/>
      </c>
      <c r="F98" s="27" t="str">
        <f>IF($U98="","",IF(INDEX('MiT Strom Pipeline'!$E:$E,$U98)="","",INDEX('MiT Strom Pipeline'!$E:$E,$U98)))</f>
        <v/>
      </c>
      <c r="G98" s="28" t="str">
        <f>IF($U98="","",IF(ISNUMBER(INDEX('MiT Strom Pipeline'!$I:$I,$U98)),INDEX('MiT Strom Pipeline'!$I:$I,$U98),0))</f>
        <v/>
      </c>
      <c r="H98" s="28" t="str">
        <f>IF($U98="","",IF(ISNUMBER(INDEX('MiT Strom Pipeline'!$Q:$Q,$U98)),INDEX('MiT Strom Pipeline'!$Q:$Q,$U98),0))</f>
        <v/>
      </c>
      <c r="I98" s="28" t="str">
        <f>IF($U98="","",IF(ISNUMBER(INDEX('MiT Strom Pipeline'!$O:$O,$U98)),INDEX('MiT Strom Pipeline'!$O:$O,$U98),0))</f>
        <v/>
      </c>
      <c r="J98" s="27" t="str">
        <f>IF($U98="","",INDEX('MiT Strom Pipeline'!$R:$R,$U98))</f>
        <v/>
      </c>
      <c r="K98" s="29" t="str">
        <f>IF($U98="","",IF(ISNUMBER(INDEX('MiT Strom Pipeline'!$S:$S,$U98)),INDEX('MiT Strom Pipeline'!$S:$S,$U98),""))</f>
        <v/>
      </c>
      <c r="L98" s="27" t="str">
        <f>IF($U98="","",IF(LEN(INDEX('MiT Strom Pipeline'!$V:$V,$U98))&gt;0,LEFT(INDEX('MiT Strom Pipeline'!$V:$V,$U98),55),""))</f>
        <v/>
      </c>
      <c r="M98" s="22" t="n"/>
      <c r="N98" s="22" t="n"/>
      <c r="O98" s="22" t="n"/>
      <c r="P98" s="22" t="n"/>
      <c r="Q98" s="22" t="n"/>
      <c r="R98" s="22" t="n"/>
      <c r="S98" s="22" t="n"/>
      <c r="U98" t="str">
        <f>IFERROR(MATCH(24,'MiT Strom Pipeline'!$AC$6:$AC$860,0)+5,"")</f>
        <v/>
      </c>
    </row>
    <row r="99" hidden="1" ht="15.75" customHeight="1">
      <c r="A99" s="26" t="str">
        <f>IF($U99="","",IF(ISNUMBER(INDEX('MiT Strom Pipeline'!$A:$A,$U99)),INDEX('MiT Strom Pipeline'!$A:$A,$U99),""))</f>
        <v/>
      </c>
      <c r="B99" s="27" t="str">
        <f>IF($U99="","",IF(INDEX('MiT Strom Pipeline'!$B:$B,$U99)="","",INDEX('MiT Strom Pipeline'!$B:$B,$U99)))</f>
        <v/>
      </c>
      <c r="C99" s="27" t="str">
        <f>IF($U99="","",IF(INDEX('MiT Strom Pipeline'!$C:$C,$U99)="","",INDEX('MiT Strom Pipeline'!$C:$C,$U99)))</f>
        <v/>
      </c>
      <c r="D99" s="27" t="str">
        <f>IF($U99="","",IF(INDEX('MiT Strom Pipeline'!$D:$D,$U99)="","",INDEX('MiT Strom Pipeline'!$D:$D,$U99)))</f>
        <v/>
      </c>
      <c r="E99" s="27" t="str">
        <f>IF($U99="","",IF(INDEX('MiT Strom Pipeline'!$H:$H,$U99)="","",INDEX('MiT Strom Pipeline'!$H:$H,$U99)))</f>
        <v/>
      </c>
      <c r="F99" s="27" t="str">
        <f>IF($U99="","",IF(INDEX('MiT Strom Pipeline'!$E:$E,$U99)="","",INDEX('MiT Strom Pipeline'!$E:$E,$U99)))</f>
        <v/>
      </c>
      <c r="G99" s="28" t="str">
        <f>IF($U99="","",IF(ISNUMBER(INDEX('MiT Strom Pipeline'!$I:$I,$U99)),INDEX('MiT Strom Pipeline'!$I:$I,$U99),0))</f>
        <v/>
      </c>
      <c r="H99" s="28" t="str">
        <f>IF($U99="","",IF(ISNUMBER(INDEX('MiT Strom Pipeline'!$Q:$Q,$U99)),INDEX('MiT Strom Pipeline'!$Q:$Q,$U99),0))</f>
        <v/>
      </c>
      <c r="I99" s="28" t="str">
        <f>IF($U99="","",IF(ISNUMBER(INDEX('MiT Strom Pipeline'!$O:$O,$U99)),INDEX('MiT Strom Pipeline'!$O:$O,$U99),0))</f>
        <v/>
      </c>
      <c r="J99" s="27" t="str">
        <f>IF($U99="","",INDEX('MiT Strom Pipeline'!$R:$R,$U99))</f>
        <v/>
      </c>
      <c r="K99" s="29" t="str">
        <f>IF($U99="","",IF(ISNUMBER(INDEX('MiT Strom Pipeline'!$S:$S,$U99)),INDEX('MiT Strom Pipeline'!$S:$S,$U99),""))</f>
        <v/>
      </c>
      <c r="L99" s="27" t="str">
        <f>IF($U99="","",IF(LEN(INDEX('MiT Strom Pipeline'!$V:$V,$U99))&gt;0,LEFT(INDEX('MiT Strom Pipeline'!$V:$V,$U99),55),""))</f>
        <v/>
      </c>
      <c r="M99" s="22" t="n"/>
      <c r="N99" s="22" t="n"/>
      <c r="O99" s="22" t="n"/>
      <c r="P99" s="22" t="n"/>
      <c r="Q99" s="22" t="n"/>
      <c r="R99" s="22" t="n"/>
      <c r="S99" s="22" t="n"/>
      <c r="U99" t="str">
        <f>IFERROR(MATCH(25,'MiT Strom Pipeline'!$AC$6:$AC$860,0)+5,"")</f>
        <v/>
      </c>
    </row>
    <row r="100" ht="25.5" customHeight="1">
      <c r="A100" s="26" t="str">
        <f>IF($U100="","",IF(ISNUMBER(INDEX('MiT Strom Pipeline'!$A:$A,$U100)),INDEX('MiT Strom Pipeline'!$A:$A,$U100),""))</f>
        <v/>
      </c>
      <c r="B100" s="27" t="str">
        <f>IF($U100="","",IF(INDEX('MiT Strom Pipeline'!$B:$B,$U100)="","",INDEX('MiT Strom Pipeline'!$B:$B,$U100)))</f>
        <v/>
      </c>
      <c r="C100" s="27" t="str">
        <f>IF($U100="","",IF(INDEX('MiT Strom Pipeline'!$C:$C,$U100)="","",INDEX('MiT Strom Pipeline'!$C:$C,$U100)))</f>
        <v/>
      </c>
      <c r="D100" s="27" t="str">
        <f>IF($U100="","",IF(INDEX('MiT Strom Pipeline'!$D:$D,$U100)="","",INDEX('MiT Strom Pipeline'!$D:$D,$U100)))</f>
        <v/>
      </c>
      <c r="E100" s="191" t="str">
        <f>IF($U100="","",IF(INDEX('MiT Strom Pipeline'!$H:$H,$U100)="","",INDEX('MiT Strom Pipeline'!$H:$H,$U100)))</f>
        <v/>
      </c>
      <c r="F100" s="27" t="str">
        <f>IF($U100="","",IF(INDEX('MiT Strom Pipeline'!$E:$E,$U100)="","",INDEX('MiT Strom Pipeline'!$E:$E,$U100)))</f>
        <v/>
      </c>
      <c r="G100" s="28" t="str">
        <f>IF($U100="","",IF(ISNUMBER(INDEX('MiT Strom Pipeline'!$I:$I,$U100)),INDEX('MiT Strom Pipeline'!$I:$I,$U100),0))</f>
        <v/>
      </c>
      <c r="H100" s="28" t="str">
        <f>IF($U100="","",IF(ISNUMBER(INDEX('MiT Strom Pipeline'!$Q:$Q,$U100)),INDEX('MiT Strom Pipeline'!$Q:$Q,$U100),0))</f>
        <v/>
      </c>
      <c r="I100" s="28" t="str">
        <f>IF($U100="","",IF(ISNUMBER(INDEX('MiT Strom Pipeline'!$O:$O,$U100)),INDEX('MiT Strom Pipeline'!$O:$O,$U100),0))</f>
        <v/>
      </c>
      <c r="J100" s="27" t="str">
        <f>IF($U100="","",INDEX('MiT Strom Pipeline'!$R:$R,$U100))</f>
        <v/>
      </c>
      <c r="K100" s="29" t="str">
        <f>IF($U100="","",IF(ISNUMBER(INDEX('MiT Strom Pipeline'!$S:$S,$U100)),INDEX('MiT Strom Pipeline'!$S:$S,$U100),""))</f>
        <v/>
      </c>
      <c r="L100" s="31" t="str">
        <f>IF($U100="","",IF(LEN(INDEX('MiT Strom Pipeline'!$V:$V,$U100))&gt;0,LEFT(INDEX('MiT Strom Pipeline'!$V:$V,$U100),55),""))</f>
        <v/>
      </c>
      <c r="M100" s="22" t="n"/>
      <c r="N100" s="22" t="n"/>
      <c r="O100" s="22" t="n"/>
      <c r="P100" s="22" t="n"/>
      <c r="Q100" s="22" t="n"/>
      <c r="R100" s="22" t="n"/>
      <c r="S100" s="22" t="n"/>
      <c r="U100" t="str">
        <f>IFERROR(MATCH(26,'MiT Strom Pipeline'!$AC$6:$AC$860,0)+5,"")</f>
        <v/>
      </c>
    </row>
    <row r="101" ht="25.5" customHeight="1">
      <c r="A101" s="26" t="str">
        <f>IF($U101="","",IF(ISNUMBER(INDEX('MiT Strom Pipeline'!$A:$A,$U101)),INDEX('MiT Strom Pipeline'!$A:$A,$U101),""))</f>
        <v/>
      </c>
      <c r="B101" s="27" t="str">
        <f>IF($U101="","",IF(INDEX('MiT Strom Pipeline'!$B:$B,$U101)="","",INDEX('MiT Strom Pipeline'!$B:$B,$U101)))</f>
        <v/>
      </c>
      <c r="C101" s="27" t="str">
        <f>IF($U101="","",IF(INDEX('MiT Strom Pipeline'!$C:$C,$U101)="","",INDEX('MiT Strom Pipeline'!$C:$C,$U101)))</f>
        <v/>
      </c>
      <c r="D101" s="27" t="str">
        <f>IF($U101="","",IF(INDEX('MiT Strom Pipeline'!$D:$D,$U101)="","",INDEX('MiT Strom Pipeline'!$D:$D,$U101)))</f>
        <v/>
      </c>
      <c r="E101" s="191" t="str">
        <f>IF($U101="","",IF(INDEX('MiT Strom Pipeline'!$H:$H,$U101)="","",INDEX('MiT Strom Pipeline'!$H:$H,$U101)))</f>
        <v/>
      </c>
      <c r="F101" s="27" t="str">
        <f>IF($U101="","",IF(INDEX('MiT Strom Pipeline'!$E:$E,$U101)="","",INDEX('MiT Strom Pipeline'!$E:$E,$U101)))</f>
        <v/>
      </c>
      <c r="G101" s="28" t="str">
        <f>IF($U101="","",IF(ISNUMBER(INDEX('MiT Strom Pipeline'!$I:$I,$U101)),INDEX('MiT Strom Pipeline'!$I:$I,$U101),0))</f>
        <v/>
      </c>
      <c r="H101" s="28" t="str">
        <f>IF($U101="","",IF(ISNUMBER(INDEX('MiT Strom Pipeline'!$Q:$Q,$U101)),INDEX('MiT Strom Pipeline'!$Q:$Q,$U101),0))</f>
        <v/>
      </c>
      <c r="I101" s="28" t="str">
        <f>IF($U101="","",IF(ISNUMBER(INDEX('MiT Strom Pipeline'!$O:$O,$U101)),INDEX('MiT Strom Pipeline'!$O:$O,$U101),0))</f>
        <v/>
      </c>
      <c r="J101" s="27" t="str">
        <f>IF($U101="","",INDEX('MiT Strom Pipeline'!$R:$R,$U101))</f>
        <v/>
      </c>
      <c r="K101" s="29" t="str">
        <f>IF($U101="","",IF(ISNUMBER(INDEX('MiT Strom Pipeline'!$S:$S,$U101)),INDEX('MiT Strom Pipeline'!$S:$S,$U101),""))</f>
        <v/>
      </c>
      <c r="L101" s="31" t="str">
        <f>IF($U101="","",IF(LEN(INDEX('MiT Strom Pipeline'!$V:$V,$U101))&gt;0,LEFT(INDEX('MiT Strom Pipeline'!$V:$V,$U101),55),""))</f>
        <v/>
      </c>
      <c r="M101" s="22" t="n"/>
      <c r="N101" s="22" t="n"/>
      <c r="O101" s="22" t="n"/>
      <c r="P101" s="22" t="n"/>
      <c r="Q101" s="22" t="n"/>
      <c r="R101" s="22" t="n"/>
      <c r="S101" s="22" t="n"/>
      <c r="U101" t="str">
        <f>IFERROR(MATCH(27,'MiT Strom Pipeline'!$AC$6:$AC$860,0)+5,"")</f>
        <v/>
      </c>
    </row>
    <row r="102" hidden="1" ht="15.75" customHeight="1">
      <c r="A102" s="26" t="str">
        <f>IF($U102="","",IF(ISNUMBER(INDEX('MiT Strom Pipeline'!$A:$A,$U102)),INDEX('MiT Strom Pipeline'!$A:$A,$U102),""))</f>
        <v/>
      </c>
      <c r="B102" s="27" t="str">
        <f>IF($U102="","",IF(INDEX('MiT Strom Pipeline'!$B:$B,$U102)="","",INDEX('MiT Strom Pipeline'!$B:$B,$U102)))</f>
        <v/>
      </c>
      <c r="C102" s="27" t="str">
        <f>IF($U102="","",IF(INDEX('MiT Strom Pipeline'!$C:$C,$U102)="","",INDEX('MiT Strom Pipeline'!$C:$C,$U102)))</f>
        <v/>
      </c>
      <c r="D102" s="27" t="str">
        <f>IF($U102="","",IF(INDEX('MiT Strom Pipeline'!$D:$D,$U102)="","",INDEX('MiT Strom Pipeline'!$D:$D,$U102)))</f>
        <v/>
      </c>
      <c r="E102" s="27" t="str">
        <f>IF($U102="","",IF(INDEX('MiT Strom Pipeline'!$H:$H,$U102)="","",INDEX('MiT Strom Pipeline'!$H:$H,$U102)))</f>
        <v/>
      </c>
      <c r="F102" s="27" t="str">
        <f>IF($U102="","",IF(INDEX('MiT Strom Pipeline'!$E:$E,$U102)="","",INDEX('MiT Strom Pipeline'!$E:$E,$U102)))</f>
        <v/>
      </c>
      <c r="G102" s="28" t="str">
        <f>IF($U102="","",IF(ISNUMBER(INDEX('MiT Strom Pipeline'!$I:$I,$U102)),INDEX('MiT Strom Pipeline'!$I:$I,$U102),0))</f>
        <v/>
      </c>
      <c r="H102" s="28" t="str">
        <f>IF($U102="","",IF(ISNUMBER(INDEX('MiT Strom Pipeline'!$Q:$Q,$U102)),INDEX('MiT Strom Pipeline'!$Q:$Q,$U102),0))</f>
        <v/>
      </c>
      <c r="I102" s="28" t="str">
        <f>IF($U102="","",IF(ISNUMBER(INDEX('MiT Strom Pipeline'!$O:$O,$U102)),INDEX('MiT Strom Pipeline'!$O:$O,$U102),0))</f>
        <v/>
      </c>
      <c r="J102" s="27" t="str">
        <f>IF($U102="","",INDEX('MiT Strom Pipeline'!$R:$R,$U102))</f>
        <v/>
      </c>
      <c r="K102" s="29" t="str">
        <f>IF($U102="","",IF(ISNUMBER(INDEX('MiT Strom Pipeline'!$S:$S,$U102)),INDEX('MiT Strom Pipeline'!$S:$S,$U102),""))</f>
        <v/>
      </c>
      <c r="L102" s="27" t="str">
        <f>IF($U102="","",IF(LEN(INDEX('MiT Strom Pipeline'!$V:$V,$U102))&gt;0,LEFT(INDEX('MiT Strom Pipeline'!$V:$V,$U102),55),""))</f>
        <v/>
      </c>
      <c r="M102" s="22" t="n"/>
      <c r="N102" s="22" t="n"/>
      <c r="O102" s="22" t="n"/>
      <c r="P102" s="22" t="n"/>
      <c r="Q102" s="22" t="n"/>
      <c r="R102" s="22" t="n"/>
      <c r="S102" s="22" t="n"/>
      <c r="U102" t="str">
        <f>IFERROR(MATCH(28,'MiT Strom Pipeline'!$AC$6:$AC$860,0)+5,"")</f>
        <v/>
      </c>
    </row>
    <row r="103" ht="15.75" customHeight="1">
      <c r="A103" s="26" t="str">
        <f>IF($U103="","",IF(ISNUMBER(INDEX('MiT Strom Pipeline'!$A:$A,$U103)),INDEX('MiT Strom Pipeline'!$A:$A,$U103),""))</f>
        <v/>
      </c>
      <c r="B103" s="27" t="str">
        <f>IF($U103="","",IF(INDEX('MiT Strom Pipeline'!$B:$B,$U103)="","",INDEX('MiT Strom Pipeline'!$B:$B,$U103)))</f>
        <v/>
      </c>
      <c r="C103" s="27" t="str">
        <f>IF($U103="","",IF(INDEX('MiT Strom Pipeline'!$C:$C,$U103)="","",INDEX('MiT Strom Pipeline'!$C:$C,$U103)))</f>
        <v/>
      </c>
      <c r="D103" s="27" t="str">
        <f>IF($U103="","",IF(INDEX('MiT Strom Pipeline'!$D:$D,$U103)="","",INDEX('MiT Strom Pipeline'!$D:$D,$U103)))</f>
        <v/>
      </c>
      <c r="E103" s="27" t="str">
        <f>IF($U103="","",IF(INDEX('MiT Strom Pipeline'!$H:$H,$U103)="","",INDEX('MiT Strom Pipeline'!$H:$H,$U103)))</f>
        <v/>
      </c>
      <c r="F103" s="27" t="str">
        <f>IF($U103="","",IF(INDEX('MiT Strom Pipeline'!$E:$E,$U103)="","",INDEX('MiT Strom Pipeline'!$E:$E,$U103)))</f>
        <v/>
      </c>
      <c r="G103" s="28" t="str">
        <f>IF($U103="","",IF(ISNUMBER(INDEX('MiT Strom Pipeline'!$I:$I,$U103)),INDEX('MiT Strom Pipeline'!$I:$I,$U103),0))</f>
        <v/>
      </c>
      <c r="H103" s="28" t="str">
        <f>IF($U103="","",IF(ISNUMBER(INDEX('MiT Strom Pipeline'!$Q:$Q,$U103)),INDEX('MiT Strom Pipeline'!$Q:$Q,$U103),0))</f>
        <v/>
      </c>
      <c r="I103" s="28" t="str">
        <f>IF($U103="","",IF(ISNUMBER(INDEX('MiT Strom Pipeline'!$O:$O,$U103)),INDEX('MiT Strom Pipeline'!$O:$O,$U103),0))</f>
        <v/>
      </c>
      <c r="J103" s="27" t="str">
        <f>IF($U103="","",INDEX('MiT Strom Pipeline'!$R:$R,$U103))</f>
        <v/>
      </c>
      <c r="K103" s="29" t="str">
        <f>IF($U103="","",IF(ISNUMBER(INDEX('MiT Strom Pipeline'!$S:$S,$U103)),INDEX('MiT Strom Pipeline'!$S:$S,$U103),""))</f>
        <v/>
      </c>
      <c r="L103" s="31" t="str">
        <f>IF($U103="","",IF(LEN(INDEX('MiT Strom Pipeline'!$V:$V,$U103))&gt;0,LEFT(INDEX('MiT Strom Pipeline'!$V:$V,$U103),55),""))</f>
        <v/>
      </c>
      <c r="M103" s="22" t="n"/>
      <c r="N103" s="22" t="n"/>
      <c r="O103" s="22" t="n"/>
      <c r="P103" s="22" t="n"/>
      <c r="Q103" s="22" t="n"/>
      <c r="R103" s="22" t="n"/>
      <c r="S103" s="22" t="n"/>
      <c r="U103" t="str">
        <f>IFERROR(MATCH(29,'MiT Strom Pipeline'!$AC$6:$AC$860,0)+5,"")</f>
        <v/>
      </c>
    </row>
    <row r="104" ht="15.75" customHeight="1">
      <c r="A104" s="26" t="str">
        <f>IF($U104="","",IF(ISNUMBER(INDEX('MiT Strom Pipeline'!$A:$A,$U104)),INDEX('MiT Strom Pipeline'!$A:$A,$U104),""))</f>
        <v/>
      </c>
      <c r="B104" s="27" t="str">
        <f>IF($U104="","",IF(INDEX('MiT Strom Pipeline'!$B:$B,$U104)="","",INDEX('MiT Strom Pipeline'!$B:$B,$U104)))</f>
        <v/>
      </c>
      <c r="C104" s="27" t="str">
        <f>IF($U104="","",IF(INDEX('MiT Strom Pipeline'!$C:$C,$U104)="","",INDEX('MiT Strom Pipeline'!$C:$C,$U104)))</f>
        <v/>
      </c>
      <c r="D104" s="27" t="str">
        <f>IF($U104="","",IF(INDEX('MiT Strom Pipeline'!$D:$D,$U104)="","",INDEX('MiT Strom Pipeline'!$D:$D,$U104)))</f>
        <v/>
      </c>
      <c r="E104" s="27" t="str">
        <f>IF($U104="","",IF(INDEX('MiT Strom Pipeline'!$H:$H,$U104)="","",INDEX('MiT Strom Pipeline'!$H:$H,$U104)))</f>
        <v/>
      </c>
      <c r="F104" s="27" t="str">
        <f>IF($U104="","",IF(INDEX('MiT Strom Pipeline'!$E:$E,$U104)="","",INDEX('MiT Strom Pipeline'!$E:$E,$U104)))</f>
        <v/>
      </c>
      <c r="G104" s="28" t="str">
        <f>IF($U104="","",IF(ISNUMBER(INDEX('MiT Strom Pipeline'!$I:$I,$U104)),INDEX('MiT Strom Pipeline'!$I:$I,$U104),0))</f>
        <v/>
      </c>
      <c r="H104" s="28" t="str">
        <f>IF($U104="","",IF(ISNUMBER(INDEX('MiT Strom Pipeline'!$Q:$Q,$U104)),INDEX('MiT Strom Pipeline'!$Q:$Q,$U104),0))</f>
        <v/>
      </c>
      <c r="I104" s="28" t="str">
        <f>IF($U104="","",IF(ISNUMBER(INDEX('MiT Strom Pipeline'!$O:$O,$U104)),INDEX('MiT Strom Pipeline'!$O:$O,$U104),0))</f>
        <v/>
      </c>
      <c r="J104" s="27" t="str">
        <f>IF($U104="","",INDEX('MiT Strom Pipeline'!$R:$R,$U104))</f>
        <v/>
      </c>
      <c r="K104" s="29" t="str">
        <f>IF($U104="","",IF(ISNUMBER(INDEX('MiT Strom Pipeline'!$S:$S,$U104)),INDEX('MiT Strom Pipeline'!$S:$S,$U104),""))</f>
        <v/>
      </c>
      <c r="L104" s="31" t="str">
        <f>IF($U104="","",IF(LEN(INDEX('MiT Strom Pipeline'!$V:$V,$U104))&gt;0,LEFT(INDEX('MiT Strom Pipeline'!$V:$V,$U104),55),""))</f>
        <v/>
      </c>
      <c r="M104" s="22" t="n"/>
      <c r="N104" s="22" t="n"/>
      <c r="O104" s="22" t="n"/>
      <c r="P104" s="22" t="n"/>
      <c r="Q104" s="22" t="n"/>
      <c r="R104" s="22" t="n"/>
      <c r="S104" s="22" t="n"/>
      <c r="U104" t="str">
        <f>IFERROR(MATCH(30,'MiT Strom Pipeline'!$AC$6:$AC$860,0)+5,"")</f>
        <v/>
      </c>
    </row>
    <row r="105" ht="15.75" customHeight="1">
      <c r="A105" s="26" t="str">
        <f>IF($U105="","",IF(ISNUMBER(INDEX('MiT Strom Pipeline'!$A:$A,$U105)),INDEX('MiT Strom Pipeline'!$A:$A,$U105),""))</f>
        <v/>
      </c>
      <c r="B105" s="27" t="str">
        <f>IF($U105="","",IF(INDEX('MiT Strom Pipeline'!$B:$B,$U105)="","",INDEX('MiT Strom Pipeline'!$B:$B,$U105)))</f>
        <v/>
      </c>
      <c r="C105" s="27" t="str">
        <f>IF($U105="","",IF(INDEX('MiT Strom Pipeline'!$C:$C,$U105)="","",INDEX('MiT Strom Pipeline'!$C:$C,$U105)))</f>
        <v/>
      </c>
      <c r="D105" s="27" t="str">
        <f>IF($U105="","",IF(INDEX('MiT Strom Pipeline'!$D:$D,$U105)="","",INDEX('MiT Strom Pipeline'!$D:$D,$U105)))</f>
        <v/>
      </c>
      <c r="E105" s="27" t="str">
        <f>IF($U105="","",IF(INDEX('MiT Strom Pipeline'!$H:$H,$U105)="","",INDEX('MiT Strom Pipeline'!$H:$H,$U105)))</f>
        <v/>
      </c>
      <c r="F105" s="27" t="str">
        <f>IF($U105="","",IF(INDEX('MiT Strom Pipeline'!$E:$E,$U105)="","",INDEX('MiT Strom Pipeline'!$E:$E,$U105)))</f>
        <v/>
      </c>
      <c r="G105" s="28" t="str">
        <f>IF($U105="","",IF(ISNUMBER(INDEX('MiT Strom Pipeline'!$I:$I,$U105)),INDEX('MiT Strom Pipeline'!$I:$I,$U105),0))</f>
        <v/>
      </c>
      <c r="H105" s="28" t="str">
        <f>IF($U105="","",IF(ISNUMBER(INDEX('MiT Strom Pipeline'!$Q:$Q,$U105)),INDEX('MiT Strom Pipeline'!$Q:$Q,$U105),0))</f>
        <v/>
      </c>
      <c r="I105" s="28" t="str">
        <f>IF($U105="","",IF(ISNUMBER(INDEX('MiT Strom Pipeline'!$O:$O,$U105)),INDEX('MiT Strom Pipeline'!$O:$O,$U105),0))</f>
        <v/>
      </c>
      <c r="J105" s="27" t="str">
        <f>IF($U105="","",INDEX('MiT Strom Pipeline'!$R:$R,$U105))</f>
        <v/>
      </c>
      <c r="K105" s="29" t="str">
        <f>IF($U105="","",IF(ISNUMBER(INDEX('MiT Strom Pipeline'!$S:$S,$U105)),INDEX('MiT Strom Pipeline'!$S:$S,$U105),""))</f>
        <v/>
      </c>
      <c r="L105" s="31" t="str">
        <f>IF($U105="","",IF(LEN(INDEX('MiT Strom Pipeline'!$V:$V,$U105))&gt;0,LEFT(INDEX('MiT Strom Pipeline'!$V:$V,$U105),55),""))</f>
        <v/>
      </c>
      <c r="M105" s="22" t="n"/>
      <c r="N105" s="22" t="n"/>
      <c r="O105" s="22" t="n"/>
      <c r="P105" s="22" t="n"/>
      <c r="Q105" s="22" t="n"/>
      <c r="R105" s="22" t="n"/>
      <c r="S105" s="22" t="n"/>
      <c r="U105" t="str">
        <f>IFERROR(MATCH(31,'MiT Strom Pipeline'!$AC$6:$AC$860,0)+5,"")</f>
        <v/>
      </c>
    </row>
    <row r="106" ht="15.75" customHeight="1">
      <c r="A106" s="26" t="str">
        <f>IF($U106="","",IF(ISNUMBER(INDEX('MiT Strom Pipeline'!$A:$A,$U106)),INDEX('MiT Strom Pipeline'!$A:$A,$U106),""))</f>
        <v/>
      </c>
      <c r="B106" s="27" t="str">
        <f>IF($U106="","",IF(INDEX('MiT Strom Pipeline'!$B:$B,$U106)="","",INDEX('MiT Strom Pipeline'!$B:$B,$U106)))</f>
        <v/>
      </c>
      <c r="C106" s="27" t="str">
        <f>IF($U106="","",IF(INDEX('MiT Strom Pipeline'!$C:$C,$U106)="","",INDEX('MiT Strom Pipeline'!$C:$C,$U106)))</f>
        <v/>
      </c>
      <c r="D106" s="27" t="str">
        <f>IF($U106="","",IF(INDEX('MiT Strom Pipeline'!$D:$D,$U106)="","",INDEX('MiT Strom Pipeline'!$D:$D,$U106)))</f>
        <v/>
      </c>
      <c r="E106" s="191" t="str">
        <f>IF($U106="","",IF(INDEX('MiT Strom Pipeline'!$H:$H,$U106)="","",INDEX('MiT Strom Pipeline'!$H:$H,$U106)))</f>
        <v/>
      </c>
      <c r="F106" s="27" t="str">
        <f>IF($U106="","",IF(INDEX('MiT Strom Pipeline'!$E:$E,$U106)="","",INDEX('MiT Strom Pipeline'!$E:$E,$U106)))</f>
        <v/>
      </c>
      <c r="G106" s="28" t="str">
        <f>IF($U106="","",IF(ISNUMBER(INDEX('MiT Strom Pipeline'!$I:$I,$U106)),INDEX('MiT Strom Pipeline'!$I:$I,$U106),0))</f>
        <v/>
      </c>
      <c r="H106" s="28" t="str">
        <f>IF($U106="","",IF(ISNUMBER(INDEX('MiT Strom Pipeline'!$Q:$Q,$U106)),INDEX('MiT Strom Pipeline'!$Q:$Q,$U106),0))</f>
        <v/>
      </c>
      <c r="I106" s="28" t="str">
        <f>IF($U106="","",IF(ISNUMBER(INDEX('MiT Strom Pipeline'!$O:$O,$U106)),INDEX('MiT Strom Pipeline'!$O:$O,$U106),0))</f>
        <v/>
      </c>
      <c r="J106" s="27" t="str">
        <f>IF($U106="","",INDEX('MiT Strom Pipeline'!$R:$R,$U106))</f>
        <v/>
      </c>
      <c r="K106" s="29" t="str">
        <f>IF($U106="","",IF(ISNUMBER(INDEX('MiT Strom Pipeline'!$S:$S,$U106)),INDEX('MiT Strom Pipeline'!$S:$S,$U106),""))</f>
        <v/>
      </c>
      <c r="L106" s="27" t="str">
        <f>IF($U106="","",IF(LEN(INDEX('MiT Strom Pipeline'!$V:$V,$U106))&gt;0,LEFT(INDEX('MiT Strom Pipeline'!$V:$V,$U106),55),""))</f>
        <v/>
      </c>
      <c r="M106" s="22" t="n"/>
      <c r="N106" s="22" t="n"/>
      <c r="O106" s="22" t="n"/>
      <c r="P106" s="22" t="n"/>
      <c r="Q106" s="22" t="n"/>
      <c r="R106" s="22" t="n"/>
      <c r="S106" s="22" t="n"/>
      <c r="U106" t="str">
        <f>IFERROR(MATCH(32,'MiT Strom Pipeline'!$AC$6:$AC$860,0)+5,"")</f>
        <v/>
      </c>
    </row>
    <row r="107" hidden="1" ht="15.75" customHeight="1">
      <c r="A107" s="26" t="str">
        <f>IF($U107="","",IF(ISNUMBER(INDEX('MiT Strom Pipeline'!$A:$A,$U107)),INDEX('MiT Strom Pipeline'!$A:$A,$U107),""))</f>
        <v/>
      </c>
      <c r="B107" s="27" t="str">
        <f>IF($U107="","",IF(INDEX('MiT Strom Pipeline'!$B:$B,$U107)="","",INDEX('MiT Strom Pipeline'!$B:$B,$U107)))</f>
        <v/>
      </c>
      <c r="C107" s="27" t="str">
        <f>IF($U107="","",IF(INDEX('MiT Strom Pipeline'!$C:$C,$U107)="","",INDEX('MiT Strom Pipeline'!$C:$C,$U107)))</f>
        <v/>
      </c>
      <c r="D107" s="27" t="str">
        <f>IF($U107="","",IF(INDEX('MiT Strom Pipeline'!$D:$D,$U107)="","",INDEX('MiT Strom Pipeline'!$D:$D,$U107)))</f>
        <v/>
      </c>
      <c r="E107" s="27" t="str">
        <f>IF($U107="","",IF(INDEX('MiT Strom Pipeline'!$H:$H,$U107)="","",INDEX('MiT Strom Pipeline'!$H:$H,$U107)))</f>
        <v/>
      </c>
      <c r="F107" s="27" t="str">
        <f>IF($U107="","",IF(INDEX('MiT Strom Pipeline'!$E:$E,$U107)="","",INDEX('MiT Strom Pipeline'!$E:$E,$U107)))</f>
        <v/>
      </c>
      <c r="G107" s="28" t="str">
        <f>IF($U107="","",IF(ISNUMBER(INDEX('MiT Strom Pipeline'!$I:$I,$U107)),INDEX('MiT Strom Pipeline'!$I:$I,$U107),0))</f>
        <v/>
      </c>
      <c r="H107" s="28" t="str">
        <f>IF($U107="","",IF(ISNUMBER(INDEX('MiT Strom Pipeline'!$Q:$Q,$U107)),INDEX('MiT Strom Pipeline'!$Q:$Q,$U107),0))</f>
        <v/>
      </c>
      <c r="I107" s="28" t="str">
        <f>IF($U107="","",IF(ISNUMBER(INDEX('MiT Strom Pipeline'!$O:$O,$U107)),INDEX('MiT Strom Pipeline'!$O:$O,$U107),0))</f>
        <v/>
      </c>
      <c r="J107" s="27" t="str">
        <f>IF($U107="","",INDEX('MiT Strom Pipeline'!$R:$R,$U107))</f>
        <v/>
      </c>
      <c r="K107" s="29" t="str">
        <f>IF($U107="","",IF(ISNUMBER(INDEX('MiT Strom Pipeline'!$S:$S,$U107)),INDEX('MiT Strom Pipeline'!$S:$S,$U107),""))</f>
        <v/>
      </c>
      <c r="L107" s="27" t="str">
        <f>IF($U107="","",IF(LEN(INDEX('MiT Strom Pipeline'!$V:$V,$U107))&gt;0,LEFT(INDEX('MiT Strom Pipeline'!$V:$V,$U107),55),""))</f>
        <v/>
      </c>
      <c r="M107" s="22" t="n"/>
      <c r="N107" s="22" t="n"/>
      <c r="O107" s="22" t="n"/>
      <c r="P107" s="22" t="n"/>
      <c r="Q107" s="22" t="n"/>
      <c r="R107" s="22" t="n"/>
      <c r="S107" s="22" t="n"/>
      <c r="U107" t="str">
        <f>IFERROR(MATCH(33,'MiT Strom Pipeline'!$AC$6:$AC$860,0)+5,"")</f>
        <v/>
      </c>
    </row>
    <row r="108" hidden="1" ht="15.75" customHeight="1">
      <c r="A108" s="26" t="str">
        <f>IF($U108="","",IF(ISNUMBER(INDEX('MiT Strom Pipeline'!$A:$A,$U108)),INDEX('MiT Strom Pipeline'!$A:$A,$U108),""))</f>
        <v/>
      </c>
      <c r="B108" s="27" t="str">
        <f>IF($U108="","",IF(INDEX('MiT Strom Pipeline'!$B:$B,$U108)="","",INDEX('MiT Strom Pipeline'!$B:$B,$U108)))</f>
        <v/>
      </c>
      <c r="C108" s="27" t="str">
        <f>IF($U108="","",IF(INDEX('MiT Strom Pipeline'!$C:$C,$U108)="","",INDEX('MiT Strom Pipeline'!$C:$C,$U108)))</f>
        <v/>
      </c>
      <c r="D108" s="27" t="str">
        <f>IF($U108="","",IF(INDEX('MiT Strom Pipeline'!$D:$D,$U108)="","",INDEX('MiT Strom Pipeline'!$D:$D,$U108)))</f>
        <v/>
      </c>
      <c r="E108" s="27" t="str">
        <f>IF($U108="","",IF(INDEX('MiT Strom Pipeline'!$H:$H,$U108)="","",INDEX('MiT Strom Pipeline'!$H:$H,$U108)))</f>
        <v/>
      </c>
      <c r="F108" s="27" t="str">
        <f>IF($U108="","",IF(INDEX('MiT Strom Pipeline'!$E:$E,$U108)="","",INDEX('MiT Strom Pipeline'!$E:$E,$U108)))</f>
        <v/>
      </c>
      <c r="G108" s="28" t="str">
        <f>IF($U108="","",IF(ISNUMBER(INDEX('MiT Strom Pipeline'!$I:$I,$U108)),INDEX('MiT Strom Pipeline'!$I:$I,$U108),0))</f>
        <v/>
      </c>
      <c r="H108" s="28" t="str">
        <f>IF($U108="","",IF(ISNUMBER(INDEX('MiT Strom Pipeline'!$Q:$Q,$U108)),INDEX('MiT Strom Pipeline'!$Q:$Q,$U108),0))</f>
        <v/>
      </c>
      <c r="I108" s="28" t="str">
        <f>IF($U108="","",IF(ISNUMBER(INDEX('MiT Strom Pipeline'!$O:$O,$U108)),INDEX('MiT Strom Pipeline'!$O:$O,$U108),0))</f>
        <v/>
      </c>
      <c r="J108" s="27" t="str">
        <f>IF($U108="","",INDEX('MiT Strom Pipeline'!$R:$R,$U108))</f>
        <v/>
      </c>
      <c r="K108" s="29" t="str">
        <f>IF($U108="","",IF(ISNUMBER(INDEX('MiT Strom Pipeline'!$S:$S,$U108)),INDEX('MiT Strom Pipeline'!$S:$S,$U108),""))</f>
        <v/>
      </c>
      <c r="L108" s="27" t="str">
        <f>IF($U108="","",IF(LEN(INDEX('MiT Strom Pipeline'!$V:$V,$U108))&gt;0,LEFT(INDEX('MiT Strom Pipeline'!$V:$V,$U108),55),""))</f>
        <v/>
      </c>
      <c r="M108" s="22" t="n"/>
      <c r="N108" s="22" t="n"/>
      <c r="O108" s="22" t="n"/>
      <c r="P108" s="22" t="n"/>
      <c r="Q108" s="22" t="n"/>
      <c r="R108" s="22" t="n"/>
      <c r="S108" s="22" t="n"/>
      <c r="U108" t="str">
        <f>IFERROR(MATCH(34,'MiT Strom Pipeline'!$AC$6:$AC$860,0)+5,"")</f>
        <v/>
      </c>
    </row>
    <row r="109" hidden="1" ht="15.75" customHeight="1">
      <c r="A109" s="26" t="str">
        <f>IF($U109="","",IF(ISNUMBER(INDEX('MiT Strom Pipeline'!$A:$A,$U109)),INDEX('MiT Strom Pipeline'!$A:$A,$U109),""))</f>
        <v/>
      </c>
      <c r="B109" s="27" t="str">
        <f>IF($U109="","",IF(INDEX('MiT Strom Pipeline'!$B:$B,$U109)="","",INDEX('MiT Strom Pipeline'!$B:$B,$U109)))</f>
        <v/>
      </c>
      <c r="C109" s="27" t="str">
        <f>IF($U109="","",IF(INDEX('MiT Strom Pipeline'!$C:$C,$U109)="","",INDEX('MiT Strom Pipeline'!$C:$C,$U109)))</f>
        <v/>
      </c>
      <c r="D109" s="27" t="str">
        <f>IF($U109="","",IF(INDEX('MiT Strom Pipeline'!$D:$D,$U109)="","",INDEX('MiT Strom Pipeline'!$D:$D,$U109)))</f>
        <v/>
      </c>
      <c r="E109" s="27" t="str">
        <f>IF($U109="","",IF(INDEX('MiT Strom Pipeline'!$H:$H,$U109)="","",INDEX('MiT Strom Pipeline'!$H:$H,$U109)))</f>
        <v/>
      </c>
      <c r="F109" s="27" t="str">
        <f>IF($U109="","",IF(INDEX('MiT Strom Pipeline'!$E:$E,$U109)="","",INDEX('MiT Strom Pipeline'!$E:$E,$U109)))</f>
        <v/>
      </c>
      <c r="G109" s="28" t="str">
        <f>IF($U109="","",IF(ISNUMBER(INDEX('MiT Strom Pipeline'!$I:$I,$U109)),INDEX('MiT Strom Pipeline'!$I:$I,$U109),0))</f>
        <v/>
      </c>
      <c r="H109" s="28" t="str">
        <f>IF($U109="","",IF(ISNUMBER(INDEX('MiT Strom Pipeline'!$Q:$Q,$U109)),INDEX('MiT Strom Pipeline'!$Q:$Q,$U109),0))</f>
        <v/>
      </c>
      <c r="I109" s="28" t="str">
        <f>IF($U109="","",IF(ISNUMBER(INDEX('MiT Strom Pipeline'!$O:$O,$U109)),INDEX('MiT Strom Pipeline'!$O:$O,$U109),0))</f>
        <v/>
      </c>
      <c r="J109" s="27" t="str">
        <f>IF($U109="","",INDEX('MiT Strom Pipeline'!$R:$R,$U109))</f>
        <v/>
      </c>
      <c r="K109" s="29" t="str">
        <f>IF($U109="","",IF(ISNUMBER(INDEX('MiT Strom Pipeline'!$S:$S,$U109)),INDEX('MiT Strom Pipeline'!$S:$S,$U109),""))</f>
        <v/>
      </c>
      <c r="L109" s="27" t="str">
        <f>IF($U109="","",IF(LEN(INDEX('MiT Strom Pipeline'!$V:$V,$U109))&gt;0,LEFT(INDEX('MiT Strom Pipeline'!$V:$V,$U109),55),""))</f>
        <v/>
      </c>
      <c r="M109" s="22" t="n"/>
      <c r="N109" s="22" t="n"/>
      <c r="O109" s="22" t="n"/>
      <c r="P109" s="22" t="n"/>
      <c r="Q109" s="22" t="n"/>
      <c r="R109" s="22" t="n"/>
      <c r="S109" s="22" t="n"/>
      <c r="U109" t="str">
        <f>IFERROR(MATCH(35,'MiT Strom Pipeline'!$AC$6:$AC$860,0)+5,"")</f>
        <v/>
      </c>
    </row>
    <row r="110" hidden="1" ht="15.75" customHeight="1">
      <c r="A110" s="26" t="str">
        <f>IF($U110="","",IF(ISNUMBER(INDEX('MiT Strom Pipeline'!$A:$A,$U110)),INDEX('MiT Strom Pipeline'!$A:$A,$U110),""))</f>
        <v/>
      </c>
      <c r="B110" s="27" t="str">
        <f>IF($U110="","",IF(INDEX('MiT Strom Pipeline'!$B:$B,$U110)="","",INDEX('MiT Strom Pipeline'!$B:$B,$U110)))</f>
        <v/>
      </c>
      <c r="C110" s="27" t="str">
        <f>IF($U110="","",IF(INDEX('MiT Strom Pipeline'!$C:$C,$U110)="","",INDEX('MiT Strom Pipeline'!$C:$C,$U110)))</f>
        <v/>
      </c>
      <c r="D110" s="27" t="str">
        <f>IF($U110="","",IF(INDEX('MiT Strom Pipeline'!$D:$D,$U110)="","",INDEX('MiT Strom Pipeline'!$D:$D,$U110)))</f>
        <v/>
      </c>
      <c r="E110" s="27" t="str">
        <f>IF($U110="","",IF(INDEX('MiT Strom Pipeline'!$H:$H,$U110)="","",INDEX('MiT Strom Pipeline'!$H:$H,$U110)))</f>
        <v/>
      </c>
      <c r="F110" s="27" t="str">
        <f>IF($U110="","",IF(INDEX('MiT Strom Pipeline'!$E:$E,$U110)="","",INDEX('MiT Strom Pipeline'!$E:$E,$U110)))</f>
        <v/>
      </c>
      <c r="G110" s="28" t="str">
        <f>IF($U110="","",IF(ISNUMBER(INDEX('MiT Strom Pipeline'!$I:$I,$U110)),INDEX('MiT Strom Pipeline'!$I:$I,$U110),0))</f>
        <v/>
      </c>
      <c r="H110" s="28" t="str">
        <f>IF($U110="","",IF(ISNUMBER(INDEX('MiT Strom Pipeline'!$Q:$Q,$U110)),INDEX('MiT Strom Pipeline'!$Q:$Q,$U110),0))</f>
        <v/>
      </c>
      <c r="I110" s="28" t="str">
        <f>IF($U110="","",IF(ISNUMBER(INDEX('MiT Strom Pipeline'!$O:$O,$U110)),INDEX('MiT Strom Pipeline'!$O:$O,$U110),0))</f>
        <v/>
      </c>
      <c r="J110" s="27" t="str">
        <f>IF($U110="","",INDEX('MiT Strom Pipeline'!$R:$R,$U110))</f>
        <v/>
      </c>
      <c r="K110" s="29" t="str">
        <f>IF($U110="","",IF(ISNUMBER(INDEX('MiT Strom Pipeline'!$S:$S,$U110)),INDEX('MiT Strom Pipeline'!$S:$S,$U110),""))</f>
        <v/>
      </c>
      <c r="L110" s="27" t="str">
        <f>IF($U110="","",IF(LEN(INDEX('MiT Strom Pipeline'!$V:$V,$U110))&gt;0,LEFT(INDEX('MiT Strom Pipeline'!$V:$V,$U110),55),""))</f>
        <v/>
      </c>
      <c r="M110" s="22" t="n"/>
      <c r="N110" s="22" t="n"/>
      <c r="O110" s="22" t="n"/>
      <c r="P110" s="22" t="n"/>
      <c r="Q110" s="22" t="n"/>
      <c r="R110" s="22" t="n"/>
      <c r="S110" s="22" t="n"/>
      <c r="U110" t="str">
        <f>IFERROR(MATCH(36,'MiT Strom Pipeline'!$AC$6:$AC$860,0)+5,"")</f>
        <v/>
      </c>
    </row>
    <row r="111" ht="15.75" customHeight="1">
      <c r="A111" s="26" t="str">
        <f>IF($U111="","",IF(ISNUMBER(INDEX('MiT Strom Pipeline'!$A:$A,$U111)),INDEX('MiT Strom Pipeline'!$A:$A,$U111),""))</f>
        <v/>
      </c>
      <c r="B111" s="27" t="str">
        <f>IF($U111="","",IF(INDEX('MiT Strom Pipeline'!$B:$B,$U111)="","",INDEX('MiT Strom Pipeline'!$B:$B,$U111)))</f>
        <v/>
      </c>
      <c r="C111" s="27" t="str">
        <f>IF($U111="","",IF(INDEX('MiT Strom Pipeline'!$C:$C,$U111)="","",INDEX('MiT Strom Pipeline'!$C:$C,$U111)))</f>
        <v/>
      </c>
      <c r="D111" s="27" t="str">
        <f>IF($U111="","",IF(INDEX('MiT Strom Pipeline'!$D:$D,$U111)="","",INDEX('MiT Strom Pipeline'!$D:$D,$U111)))</f>
        <v/>
      </c>
      <c r="E111" s="192" t="str">
        <f>IF($U111="","",IF(INDEX('MiT Strom Pipeline'!$H:$H,$U111)="","",INDEX('MiT Strom Pipeline'!$H:$H,$U111)))</f>
        <v/>
      </c>
      <c r="F111" s="27" t="str">
        <f>IF($U111="","",IF(INDEX('MiT Strom Pipeline'!$E:$E,$U111)="","",INDEX('MiT Strom Pipeline'!$E:$E,$U111)))</f>
        <v/>
      </c>
      <c r="G111" s="28" t="str">
        <f>IF($U111="","",IF(ISNUMBER(INDEX('MiT Strom Pipeline'!$I:$I,$U111)),INDEX('MiT Strom Pipeline'!$I:$I,$U111),0))</f>
        <v/>
      </c>
      <c r="H111" s="28" t="str">
        <f>IF($U111="","",IF(ISNUMBER(INDEX('MiT Strom Pipeline'!$Q:$Q,$U111)),INDEX('MiT Strom Pipeline'!$Q:$Q,$U111),0))</f>
        <v/>
      </c>
      <c r="I111" s="28" t="str">
        <f>IF($U111="","",IF(ISNUMBER(INDEX('MiT Strom Pipeline'!$O:$O,$U111)),INDEX('MiT Strom Pipeline'!$O:$O,$U111),0))</f>
        <v/>
      </c>
      <c r="J111" s="27" t="str">
        <f>IF($U111="","",INDEX('MiT Strom Pipeline'!$R:$R,$U111))</f>
        <v/>
      </c>
      <c r="K111" s="29" t="str">
        <f>IF($U111="","",IF(ISNUMBER(INDEX('MiT Strom Pipeline'!$S:$S,$U111)),INDEX('MiT Strom Pipeline'!$S:$S,$U111),""))</f>
        <v/>
      </c>
      <c r="L111" s="27" t="str">
        <f>IF($U111="","",IF(LEN(INDEX('MiT Strom Pipeline'!$V:$V,$U111))&gt;0,LEFT(INDEX('MiT Strom Pipeline'!$V:$V,$U111),55),""))</f>
        <v/>
      </c>
      <c r="M111" s="22" t="n"/>
      <c r="N111" s="22" t="n"/>
      <c r="O111" s="22" t="n"/>
      <c r="P111" s="22" t="n"/>
      <c r="Q111" s="22" t="n"/>
      <c r="R111" s="22" t="n"/>
      <c r="S111" s="22" t="n"/>
      <c r="U111" t="str">
        <f>IFERROR(MATCH(37,'MiT Strom Pipeline'!$AC$6:$AC$860,0)+5,"")</f>
        <v/>
      </c>
    </row>
    <row r="112" ht="15.75" customHeight="1">
      <c r="A112" s="26" t="str">
        <f>IF($U112="","",IF(ISNUMBER(INDEX('MiT Strom Pipeline'!$A:$A,$U112)),INDEX('MiT Strom Pipeline'!$A:$A,$U112),""))</f>
        <v/>
      </c>
      <c r="B112" s="27" t="str">
        <f>IF($U112="","",IF(INDEX('MiT Strom Pipeline'!$B:$B,$U112)="","",INDEX('MiT Strom Pipeline'!$B:$B,$U112)))</f>
        <v/>
      </c>
      <c r="C112" s="27" t="str">
        <f>IF($U112="","",IF(INDEX('MiT Strom Pipeline'!$C:$C,$U112)="","",INDEX('MiT Strom Pipeline'!$C:$C,$U112)))</f>
        <v/>
      </c>
      <c r="D112" s="27" t="str">
        <f>IF($U112="","",IF(INDEX('MiT Strom Pipeline'!$D:$D,$U112)="","",INDEX('MiT Strom Pipeline'!$D:$D,$U112)))</f>
        <v/>
      </c>
      <c r="E112" s="192" t="str">
        <f>IF($U112="","",IF(INDEX('MiT Strom Pipeline'!$H:$H,$U112)="","",INDEX('MiT Strom Pipeline'!$H:$H,$U112)))</f>
        <v/>
      </c>
      <c r="F112" s="27" t="str">
        <f>IF($U112="","",IF(INDEX('MiT Strom Pipeline'!$E:$E,$U112)="","",INDEX('MiT Strom Pipeline'!$E:$E,$U112)))</f>
        <v/>
      </c>
      <c r="G112" s="28" t="str">
        <f>IF($U112="","",IF(ISNUMBER(INDEX('MiT Strom Pipeline'!$I:$I,$U112)),INDEX('MiT Strom Pipeline'!$I:$I,$U112),0))</f>
        <v/>
      </c>
      <c r="H112" s="28" t="str">
        <f>IF($U112="","",IF(ISNUMBER(INDEX('MiT Strom Pipeline'!$Q:$Q,$U112)),INDEX('MiT Strom Pipeline'!$Q:$Q,$U112),0))</f>
        <v/>
      </c>
      <c r="I112" s="28" t="str">
        <f>IF($U112="","",IF(ISNUMBER(INDEX('MiT Strom Pipeline'!$O:$O,$U112)),INDEX('MiT Strom Pipeline'!$O:$O,$U112),0))</f>
        <v/>
      </c>
      <c r="J112" s="27" t="str">
        <f>IF($U112="","",INDEX('MiT Strom Pipeline'!$R:$R,$U112))</f>
        <v/>
      </c>
      <c r="K112" s="29" t="str">
        <f>IF($U112="","",IF(ISNUMBER(INDEX('MiT Strom Pipeline'!$S:$S,$U112)),INDEX('MiT Strom Pipeline'!$S:$S,$U112),""))</f>
        <v/>
      </c>
      <c r="L112" s="27" t="str">
        <f>IF($U112="","",IF(LEN(INDEX('MiT Strom Pipeline'!$V:$V,$U112))&gt;0,LEFT(INDEX('MiT Strom Pipeline'!$V:$V,$U112),55),""))</f>
        <v/>
      </c>
      <c r="M112" s="22" t="n"/>
      <c r="N112" s="22" t="n"/>
      <c r="O112" s="22" t="n"/>
      <c r="P112" s="22" t="n"/>
      <c r="Q112" s="22" t="n"/>
      <c r="R112" s="22" t="n"/>
      <c r="S112" s="22" t="n"/>
      <c r="U112" t="str">
        <f>IFERROR(MATCH(38,'MiT Strom Pipeline'!$AC$6:$AC$860,0)+5,"")</f>
        <v/>
      </c>
    </row>
    <row r="113" hidden="1" ht="15.75" customHeight="1">
      <c r="A113" s="26" t="str">
        <f>IF($U113="","",IF(ISNUMBER(INDEX('MiT Strom Pipeline'!$A:$A,$U113)),INDEX('MiT Strom Pipeline'!$A:$A,$U113),""))</f>
        <v/>
      </c>
      <c r="B113" s="27" t="str">
        <f>IF($U113="","",IF(INDEX('MiT Strom Pipeline'!$B:$B,$U113)="","",INDEX('MiT Strom Pipeline'!$B:$B,$U113)))</f>
        <v/>
      </c>
      <c r="C113" s="27" t="str">
        <f>IF($U113="","",IF(INDEX('MiT Strom Pipeline'!$C:$C,$U113)="","",INDEX('MiT Strom Pipeline'!$C:$C,$U113)))</f>
        <v/>
      </c>
      <c r="D113" s="27" t="str">
        <f>IF($U113="","",IF(INDEX('MiT Strom Pipeline'!$D:$D,$U113)="","",INDEX('MiT Strom Pipeline'!$D:$D,$U113)))</f>
        <v/>
      </c>
      <c r="E113" s="27" t="str">
        <f>IF($U113="","",IF(INDEX('MiT Strom Pipeline'!$H:$H,$U113)="","",INDEX('MiT Strom Pipeline'!$H:$H,$U113)))</f>
        <v/>
      </c>
      <c r="F113" s="27" t="str">
        <f>IF($U113="","",IF(INDEX('MiT Strom Pipeline'!$E:$E,$U113)="","",INDEX('MiT Strom Pipeline'!$E:$E,$U113)))</f>
        <v/>
      </c>
      <c r="G113" s="28" t="str">
        <f>IF($U113="","",IF(ISNUMBER(INDEX('MiT Strom Pipeline'!$I:$I,$U113)),INDEX('MiT Strom Pipeline'!$I:$I,$U113),0))</f>
        <v/>
      </c>
      <c r="H113" s="28" t="str">
        <f>IF($U113="","",IF(ISNUMBER(INDEX('MiT Strom Pipeline'!$Q:$Q,$U113)),INDEX('MiT Strom Pipeline'!$Q:$Q,$U113),0))</f>
        <v/>
      </c>
      <c r="I113" s="28" t="str">
        <f>IF($U113="","",IF(ISNUMBER(INDEX('MiT Strom Pipeline'!$O:$O,$U113)),INDEX('MiT Strom Pipeline'!$O:$O,$U113),0))</f>
        <v/>
      </c>
      <c r="J113" s="27" t="str">
        <f>IF($U113="","",INDEX('MiT Strom Pipeline'!$R:$R,$U113))</f>
        <v/>
      </c>
      <c r="K113" s="29" t="str">
        <f>IF($U113="","",IF(ISNUMBER(INDEX('MiT Strom Pipeline'!$S:$S,$U113)),INDEX('MiT Strom Pipeline'!$S:$S,$U113),""))</f>
        <v/>
      </c>
      <c r="L113" s="27" t="str">
        <f>IF($U113="","",IF(LEN(INDEX('MiT Strom Pipeline'!$V:$V,$U113))&gt;0,LEFT(INDEX('MiT Strom Pipeline'!$V:$V,$U113),55),""))</f>
        <v/>
      </c>
      <c r="M113" s="22" t="n"/>
      <c r="N113" s="22" t="n"/>
      <c r="O113" s="22" t="n"/>
      <c r="P113" s="22" t="n"/>
      <c r="Q113" s="22" t="n"/>
      <c r="R113" s="22" t="n"/>
      <c r="S113" s="22" t="n"/>
      <c r="U113" t="str">
        <f>IFERROR(MATCH(39,'MiT Strom Pipeline'!$AC$6:$AC$860,0)+5,"")</f>
        <v/>
      </c>
    </row>
    <row r="114" ht="15.75" customHeight="1">
      <c r="A114" s="26" t="str">
        <f>IF($U114="","",IF(ISNUMBER(INDEX('MiT Strom Pipeline'!$A:$A,$U114)),INDEX('MiT Strom Pipeline'!$A:$A,$U114),""))</f>
        <v/>
      </c>
      <c r="B114" s="27" t="str">
        <f>IF($U114="","",IF(INDEX('MiT Strom Pipeline'!$B:$B,$U114)="","",INDEX('MiT Strom Pipeline'!$B:$B,$U114)))</f>
        <v/>
      </c>
      <c r="C114" s="27" t="str">
        <f>IF($U114="","",IF(INDEX('MiT Strom Pipeline'!$C:$C,$U114)="","",INDEX('MiT Strom Pipeline'!$C:$C,$U114)))</f>
        <v/>
      </c>
      <c r="D114" s="27" t="str">
        <f>IF($U114="","",IF(INDEX('MiT Strom Pipeline'!$D:$D,$U114)="","",INDEX('MiT Strom Pipeline'!$D:$D,$U114)))</f>
        <v/>
      </c>
      <c r="E114" s="191" t="str">
        <f>IF($U114="","",IF(INDEX('MiT Strom Pipeline'!$H:$H,$U114)="","",INDEX('MiT Strom Pipeline'!$H:$H,$U114)))</f>
        <v/>
      </c>
      <c r="F114" s="27" t="str">
        <f>IF($U114="","",IF(INDEX('MiT Strom Pipeline'!$E:$E,$U114)="","",INDEX('MiT Strom Pipeline'!$E:$E,$U114)))</f>
        <v/>
      </c>
      <c r="G114" s="28" t="str">
        <f>IF($U114="","",IF(ISNUMBER(INDEX('MiT Strom Pipeline'!$I:$I,$U114)),INDEX('MiT Strom Pipeline'!$I:$I,$U114),0))</f>
        <v/>
      </c>
      <c r="H114" s="28" t="str">
        <f>IF($U114="","",IF(ISNUMBER(INDEX('MiT Strom Pipeline'!$Q:$Q,$U114)),INDEX('MiT Strom Pipeline'!$Q:$Q,$U114),0))</f>
        <v/>
      </c>
      <c r="I114" s="28" t="str">
        <f>IF($U114="","",IF(ISNUMBER(INDEX('MiT Strom Pipeline'!$O:$O,$U114)),INDEX('MiT Strom Pipeline'!$O:$O,$U114),0))</f>
        <v/>
      </c>
      <c r="J114" s="27" t="str">
        <f>IF($U114="","",INDEX('MiT Strom Pipeline'!$R:$R,$U114))</f>
        <v/>
      </c>
      <c r="K114" s="29" t="str">
        <f>IF($U114="","",IF(ISNUMBER(INDEX('MiT Strom Pipeline'!$S:$S,$U114)),INDEX('MiT Strom Pipeline'!$S:$S,$U114),""))</f>
        <v/>
      </c>
      <c r="L114" s="27" t="str">
        <f>IF($U114="","",IF(LEN(INDEX('MiT Strom Pipeline'!$V:$V,$U114))&gt;0,LEFT(INDEX('MiT Strom Pipeline'!$V:$V,$U114),55),""))</f>
        <v/>
      </c>
      <c r="M114" s="22" t="n"/>
      <c r="N114" s="22" t="n"/>
      <c r="O114" s="22" t="n"/>
      <c r="P114" s="22" t="n"/>
      <c r="Q114" s="22" t="n"/>
      <c r="R114" s="22" t="n"/>
      <c r="S114" s="22" t="n"/>
      <c r="U114" t="str">
        <f>IFERROR(MATCH(40,'MiT Strom Pipeline'!$AC$6:$AC$860,0)+5,"")</f>
        <v/>
      </c>
    </row>
    <row r="115" hidden="1" ht="15.75" customHeight="1">
      <c r="A115" s="26" t="str">
        <f>IF($U115="","",IF(ISNUMBER(INDEX('MiT Strom Pipeline'!$A:$A,$U115)),INDEX('MiT Strom Pipeline'!$A:$A,$U115),""))</f>
        <v/>
      </c>
      <c r="B115" s="27" t="str">
        <f>IF($U115="","",IF(INDEX('MiT Strom Pipeline'!$B:$B,$U115)="","",INDEX('MiT Strom Pipeline'!$B:$B,$U115)))</f>
        <v/>
      </c>
      <c r="C115" s="27" t="str">
        <f>IF($U115="","",IF(INDEX('MiT Strom Pipeline'!$C:$C,$U115)="","",INDEX('MiT Strom Pipeline'!$C:$C,$U115)))</f>
        <v/>
      </c>
      <c r="D115" s="27" t="str">
        <f>IF($U115="","",IF(INDEX('MiT Strom Pipeline'!$D:$D,$U115)="","",INDEX('MiT Strom Pipeline'!$D:$D,$U115)))</f>
        <v/>
      </c>
      <c r="E115" s="27" t="str">
        <f>IF($U115="","",IF(INDEX('MiT Strom Pipeline'!$H:$H,$U115)="","",INDEX('MiT Strom Pipeline'!$H:$H,$U115)))</f>
        <v/>
      </c>
      <c r="F115" s="27" t="str">
        <f>IF($U115="","",IF(INDEX('MiT Strom Pipeline'!$E:$E,$U115)="","",INDEX('MiT Strom Pipeline'!$E:$E,$U115)))</f>
        <v/>
      </c>
      <c r="G115" s="28" t="str">
        <f>IF($U115="","",IF(ISNUMBER(INDEX('MiT Strom Pipeline'!$I:$I,$U115)),INDEX('MiT Strom Pipeline'!$I:$I,$U115),0))</f>
        <v/>
      </c>
      <c r="H115" s="28" t="str">
        <f>IF($U115="","",IF(ISNUMBER(INDEX('MiT Strom Pipeline'!$Q:$Q,$U115)),INDEX('MiT Strom Pipeline'!$Q:$Q,$U115),0))</f>
        <v/>
      </c>
      <c r="I115" s="28" t="str">
        <f>IF($U115="","",IF(ISNUMBER(INDEX('MiT Strom Pipeline'!$O:$O,$U115)),INDEX('MiT Strom Pipeline'!$O:$O,$U115),0))</f>
        <v/>
      </c>
      <c r="J115" s="27" t="str">
        <f>IF($U115="","",INDEX('MiT Strom Pipeline'!$R:$R,$U115))</f>
        <v/>
      </c>
      <c r="K115" s="29" t="str">
        <f>IF($U115="","",IF(ISNUMBER(INDEX('MiT Strom Pipeline'!$S:$S,$U115)),INDEX('MiT Strom Pipeline'!$S:$S,$U115),""))</f>
        <v/>
      </c>
      <c r="L115" s="27" t="str">
        <f>IF($U115="","",IF(LEN(INDEX('MiT Strom Pipeline'!$V:$V,$U115))&gt;0,LEFT(INDEX('MiT Strom Pipeline'!$V:$V,$U115),55),""))</f>
        <v/>
      </c>
      <c r="M115" s="22" t="n"/>
      <c r="N115" s="22" t="n"/>
      <c r="O115" s="22" t="n"/>
      <c r="P115" s="22" t="n"/>
      <c r="Q115" s="22" t="n"/>
      <c r="R115" s="22" t="n"/>
      <c r="S115" s="22" t="n"/>
      <c r="U115" t="str">
        <f>IFERROR(MATCH(41,'MiT Strom Pipeline'!$AC$6:$AC$860,0)+5,"")</f>
        <v/>
      </c>
    </row>
    <row r="116" ht="15.75" customHeight="1">
      <c r="A116" s="26" t="str">
        <f>IF($U116="","",IF(ISNUMBER(INDEX('MiT Strom Pipeline'!$A:$A,$U116)),INDEX('MiT Strom Pipeline'!$A:$A,$U116),""))</f>
        <v/>
      </c>
      <c r="B116" s="27" t="str">
        <f>IF($U116="","",IF(INDEX('MiT Strom Pipeline'!$B:$B,$U116)="","",INDEX('MiT Strom Pipeline'!$B:$B,$U116)))</f>
        <v/>
      </c>
      <c r="C116" s="27" t="str">
        <f>IF($U116="","",IF(INDEX('MiT Strom Pipeline'!$C:$C,$U116)="","",INDEX('MiT Strom Pipeline'!$C:$C,$U116)))</f>
        <v/>
      </c>
      <c r="D116" s="27" t="str">
        <f>IF($U116="","",IF(INDEX('MiT Strom Pipeline'!$D:$D,$U116)="","",INDEX('MiT Strom Pipeline'!$D:$D,$U116)))</f>
        <v/>
      </c>
      <c r="E116" s="191" t="str">
        <f>IF($U116="","",IF(INDEX('MiT Strom Pipeline'!$H:$H,$U116)="","",INDEX('MiT Strom Pipeline'!$H:$H,$U116)))</f>
        <v/>
      </c>
      <c r="F116" s="27" t="str">
        <f>IF($U116="","",IF(INDEX('MiT Strom Pipeline'!$E:$E,$U116)="","",INDEX('MiT Strom Pipeline'!$E:$E,$U116)))</f>
        <v/>
      </c>
      <c r="G116" s="28" t="str">
        <f>IF($U116="","",IF(ISNUMBER(INDEX('MiT Strom Pipeline'!$I:$I,$U116)),INDEX('MiT Strom Pipeline'!$I:$I,$U116),0))</f>
        <v/>
      </c>
      <c r="H116" s="28" t="str">
        <f>IF($U116="","",IF(ISNUMBER(INDEX('MiT Strom Pipeline'!$Q:$Q,$U116)),INDEX('MiT Strom Pipeline'!$Q:$Q,$U116),0))</f>
        <v/>
      </c>
      <c r="I116" s="28" t="str">
        <f>IF($U116="","",IF(ISNUMBER(INDEX('MiT Strom Pipeline'!$O:$O,$U116)),INDEX('MiT Strom Pipeline'!$O:$O,$U116),0))</f>
        <v/>
      </c>
      <c r="J116" s="27" t="str">
        <f>IF($U116="","",INDEX('MiT Strom Pipeline'!$R:$R,$U116))</f>
        <v/>
      </c>
      <c r="K116" s="29" t="str">
        <f>IF($U116="","",IF(ISNUMBER(INDEX('MiT Strom Pipeline'!$S:$S,$U116)),INDEX('MiT Strom Pipeline'!$S:$S,$U116),""))</f>
        <v/>
      </c>
      <c r="L116" s="27" t="str">
        <f>IF($U116="","",IF(LEN(INDEX('MiT Strom Pipeline'!$V:$V,$U116))&gt;0,LEFT(INDEX('MiT Strom Pipeline'!$V:$V,$U116),55),""))</f>
        <v/>
      </c>
      <c r="M116" s="22" t="n"/>
      <c r="N116" s="22" t="n"/>
      <c r="O116" s="22" t="n"/>
      <c r="P116" s="22" t="n"/>
      <c r="Q116" s="22" t="n"/>
      <c r="R116" s="22" t="n"/>
      <c r="S116" s="22" t="n"/>
      <c r="U116" t="str">
        <f>IFERROR(MATCH(42,'MiT Strom Pipeline'!$AC$6:$AC$860,0)+5,"")</f>
        <v/>
      </c>
    </row>
    <row r="117" ht="15.75" customHeight="1">
      <c r="A117" s="26" t="str">
        <f>IF($U117="","",IF(ISNUMBER(INDEX('MiT Strom Pipeline'!$A:$A,$U117)),INDEX('MiT Strom Pipeline'!$A:$A,$U117),""))</f>
        <v/>
      </c>
      <c r="B117" s="27" t="str">
        <f>IF($U117="","",IF(INDEX('MiT Strom Pipeline'!$B:$B,$U117)="","",INDEX('MiT Strom Pipeline'!$B:$B,$U117)))</f>
        <v/>
      </c>
      <c r="C117" s="27" t="str">
        <f>IF($U117="","",IF(INDEX('MiT Strom Pipeline'!$C:$C,$U117)="","",INDEX('MiT Strom Pipeline'!$C:$C,$U117)))</f>
        <v/>
      </c>
      <c r="D117" s="27" t="str">
        <f>IF($U117="","",IF(INDEX('MiT Strom Pipeline'!$D:$D,$U117)="","",INDEX('MiT Strom Pipeline'!$D:$D,$U117)))</f>
        <v/>
      </c>
      <c r="E117" s="27" t="str">
        <f>IF($U117="","",IF(INDEX('MiT Strom Pipeline'!$H:$H,$U117)="","",INDEX('MiT Strom Pipeline'!$H:$H,$U117)))</f>
        <v/>
      </c>
      <c r="F117" s="27" t="str">
        <f>IF($U117="","",IF(INDEX('MiT Strom Pipeline'!$E:$E,$U117)="","",INDEX('MiT Strom Pipeline'!$E:$E,$U117)))</f>
        <v/>
      </c>
      <c r="G117" s="28" t="str">
        <f>IF($U117="","",IF(ISNUMBER(INDEX('MiT Strom Pipeline'!$I:$I,$U117)),INDEX('MiT Strom Pipeline'!$I:$I,$U117),0))</f>
        <v/>
      </c>
      <c r="H117" s="28" t="str">
        <f>IF($U117="","",IF(ISNUMBER(INDEX('MiT Strom Pipeline'!$Q:$Q,$U117)),INDEX('MiT Strom Pipeline'!$Q:$Q,$U117),0))</f>
        <v/>
      </c>
      <c r="I117" s="28" t="str">
        <f>IF($U117="","",IF(ISNUMBER(INDEX('MiT Strom Pipeline'!$O:$O,$U117)),INDEX('MiT Strom Pipeline'!$O:$O,$U117),0))</f>
        <v/>
      </c>
      <c r="J117" s="27" t="str">
        <f>IF($U117="","",INDEX('MiT Strom Pipeline'!$R:$R,$U117))</f>
        <v/>
      </c>
      <c r="K117" s="29" t="str">
        <f>IF($U117="","",IF(ISNUMBER(INDEX('MiT Strom Pipeline'!$S:$S,$U117)),INDEX('MiT Strom Pipeline'!$S:$S,$U117),""))</f>
        <v/>
      </c>
      <c r="L117" s="27" t="str">
        <f>IF($U117="","",IF(LEN(INDEX('MiT Strom Pipeline'!$V:$V,$U117))&gt;0,LEFT(INDEX('MiT Strom Pipeline'!$V:$V,$U117),55),""))</f>
        <v/>
      </c>
      <c r="M117" s="22" t="n"/>
      <c r="N117" s="22" t="n"/>
      <c r="O117" s="22" t="n"/>
      <c r="P117" s="22" t="n"/>
      <c r="Q117" s="22" t="n"/>
      <c r="R117" s="22" t="n"/>
      <c r="S117" s="22" t="n"/>
      <c r="U117" t="str">
        <f>IFERROR(MATCH(43,'MiT Strom Pipeline'!$AC$6:$AC$860,0)+5,"")</f>
        <v/>
      </c>
    </row>
    <row r="118" ht="15.75" customHeight="1">
      <c r="A118" s="26" t="str">
        <f>IF($U118="","",IF(ISNUMBER(INDEX('MiT Strom Pipeline'!$A:$A,$U118)),INDEX('MiT Strom Pipeline'!$A:$A,$U118),""))</f>
        <v/>
      </c>
      <c r="B118" s="27" t="str">
        <f>IF($U118="","",IF(INDEX('MiT Strom Pipeline'!$B:$B,$U118)="","",INDEX('MiT Strom Pipeline'!$B:$B,$U118)))</f>
        <v/>
      </c>
      <c r="C118" s="27" t="str">
        <f>IF($U118="","",IF(INDEX('MiT Strom Pipeline'!$C:$C,$U118)="","",INDEX('MiT Strom Pipeline'!$C:$C,$U118)))</f>
        <v/>
      </c>
      <c r="D118" s="27" t="str">
        <f>IF($U118="","",IF(INDEX('MiT Strom Pipeline'!$D:$D,$U118)="","",INDEX('MiT Strom Pipeline'!$D:$D,$U118)))</f>
        <v/>
      </c>
      <c r="E118" s="27" t="str">
        <f>IF($U118="","",IF(INDEX('MiT Strom Pipeline'!$H:$H,$U118)="","",INDEX('MiT Strom Pipeline'!$H:$H,$U118)))</f>
        <v/>
      </c>
      <c r="F118" s="27" t="str">
        <f>IF($U118="","",IF(INDEX('MiT Strom Pipeline'!$E:$E,$U118)="","",INDEX('MiT Strom Pipeline'!$E:$E,$U118)))</f>
        <v/>
      </c>
      <c r="G118" s="28" t="str">
        <f>IF($U118="","",IF(ISNUMBER(INDEX('MiT Strom Pipeline'!$I:$I,$U118)),INDEX('MiT Strom Pipeline'!$I:$I,$U118),0))</f>
        <v/>
      </c>
      <c r="H118" s="28" t="str">
        <f>IF($U118="","",IF(ISNUMBER(INDEX('MiT Strom Pipeline'!$Q:$Q,$U118)),INDEX('MiT Strom Pipeline'!$Q:$Q,$U118),0))</f>
        <v/>
      </c>
      <c r="I118" s="28" t="str">
        <f>IF($U118="","",IF(ISNUMBER(INDEX('MiT Strom Pipeline'!$O:$O,$U118)),INDEX('MiT Strom Pipeline'!$O:$O,$U118),0))</f>
        <v/>
      </c>
      <c r="J118" s="27" t="str">
        <f>IF($U118="","",INDEX('MiT Strom Pipeline'!$R:$R,$U118))</f>
        <v/>
      </c>
      <c r="K118" s="29" t="str">
        <f>IF($U118="","",IF(ISNUMBER(INDEX('MiT Strom Pipeline'!$S:$S,$U118)),INDEX('MiT Strom Pipeline'!$S:$S,$U118),""))</f>
        <v/>
      </c>
      <c r="L118" s="27" t="str">
        <f>IF($U118="","",IF(LEN(INDEX('MiT Strom Pipeline'!$V:$V,$U118))&gt;0,LEFT(INDEX('MiT Strom Pipeline'!$V:$V,$U118),55),""))</f>
        <v/>
      </c>
      <c r="M118" s="22" t="n"/>
      <c r="N118" s="22" t="n"/>
      <c r="O118" s="22" t="n"/>
      <c r="P118" s="22" t="n"/>
      <c r="Q118" s="22" t="n"/>
      <c r="R118" s="22" t="n"/>
      <c r="S118" s="22" t="n"/>
      <c r="U118" t="str">
        <f>IFERROR(MATCH(44,'MiT Strom Pipeline'!$AC$6:$AC$860,0)+5,"")</f>
        <v/>
      </c>
    </row>
    <row r="119" ht="15.75" customHeight="1">
      <c r="A119" s="26" t="str">
        <f>IF($U119="","",IF(ISNUMBER(INDEX('MiT Strom Pipeline'!$A:$A,$U119)),INDEX('MiT Strom Pipeline'!$A:$A,$U119),""))</f>
        <v/>
      </c>
      <c r="B119" s="27" t="str">
        <f>IF($U119="","",IF(INDEX('MiT Strom Pipeline'!$B:$B,$U119)="","",INDEX('MiT Strom Pipeline'!$B:$B,$U119)))</f>
        <v/>
      </c>
      <c r="C119" s="27" t="str">
        <f>IF($U119="","",IF(INDEX('MiT Strom Pipeline'!$C:$C,$U119)="","",INDEX('MiT Strom Pipeline'!$C:$C,$U119)))</f>
        <v/>
      </c>
      <c r="D119" s="27" t="str">
        <f>IF($U119="","",IF(INDEX('MiT Strom Pipeline'!$D:$D,$U119)="","",INDEX('MiT Strom Pipeline'!$D:$D,$U119)))</f>
        <v/>
      </c>
      <c r="E119" s="27" t="str">
        <f>IF($U119="","",IF(INDEX('MiT Strom Pipeline'!$H:$H,$U119)="","",INDEX('MiT Strom Pipeline'!$H:$H,$U119)))</f>
        <v/>
      </c>
      <c r="F119" s="27" t="str">
        <f>IF($U119="","",IF(INDEX('MiT Strom Pipeline'!$E:$E,$U119)="","",INDEX('MiT Strom Pipeline'!$E:$E,$U119)))</f>
        <v/>
      </c>
      <c r="G119" s="28" t="str">
        <f>IF($U119="","",IF(ISNUMBER(INDEX('MiT Strom Pipeline'!$I:$I,$U119)),INDEX('MiT Strom Pipeline'!$I:$I,$U119),0))</f>
        <v/>
      </c>
      <c r="H119" s="28" t="str">
        <f>IF($U119="","",IF(ISNUMBER(INDEX('MiT Strom Pipeline'!$Q:$Q,$U119)),INDEX('MiT Strom Pipeline'!$Q:$Q,$U119),0))</f>
        <v/>
      </c>
      <c r="I119" s="28" t="str">
        <f>IF($U119="","",IF(ISNUMBER(INDEX('MiT Strom Pipeline'!$O:$O,$U119)),INDEX('MiT Strom Pipeline'!$O:$O,$U119),0))</f>
        <v/>
      </c>
      <c r="J119" s="27" t="str">
        <f>IF($U119="","",INDEX('MiT Strom Pipeline'!$R:$R,$U119))</f>
        <v/>
      </c>
      <c r="K119" s="29" t="str">
        <f>IF($U119="","",IF(ISNUMBER(INDEX('MiT Strom Pipeline'!$S:$S,$U119)),INDEX('MiT Strom Pipeline'!$S:$S,$U119),""))</f>
        <v/>
      </c>
      <c r="L119" s="27" t="str">
        <f>IF($U119="","",IF(LEN(INDEX('MiT Strom Pipeline'!$V:$V,$U119))&gt;0,LEFT(INDEX('MiT Strom Pipeline'!$V:$V,$U119),55),""))</f>
        <v/>
      </c>
      <c r="M119" s="22" t="n"/>
      <c r="N119" s="22" t="n"/>
      <c r="O119" s="22" t="n"/>
      <c r="P119" s="22" t="n"/>
      <c r="Q119" s="22" t="n"/>
      <c r="R119" s="22" t="n"/>
      <c r="S119" s="22" t="n"/>
      <c r="U119" t="str">
        <f>IFERROR(MATCH(45,'MiT Strom Pipeline'!$AC$6:$AC$860,0)+5,"")</f>
        <v/>
      </c>
    </row>
    <row r="120" ht="15.75" customHeight="1">
      <c r="A120" s="26" t="str">
        <f>IF($U120="","",IF(ISNUMBER(INDEX('MiT Strom Pipeline'!$A:$A,$U120)),INDEX('MiT Strom Pipeline'!$A:$A,$U120),""))</f>
        <v/>
      </c>
      <c r="B120" s="27" t="str">
        <f>IF($U120="","",IF(INDEX('MiT Strom Pipeline'!$B:$B,$U120)="","",INDEX('MiT Strom Pipeline'!$B:$B,$U120)))</f>
        <v/>
      </c>
      <c r="C120" s="27" t="str">
        <f>IF($U120="","",IF(INDEX('MiT Strom Pipeline'!$C:$C,$U120)="","",INDEX('MiT Strom Pipeline'!$C:$C,$U120)))</f>
        <v/>
      </c>
      <c r="D120" s="27" t="str">
        <f>IF($U120="","",IF(INDEX('MiT Strom Pipeline'!$D:$D,$U120)="","",INDEX('MiT Strom Pipeline'!$D:$D,$U120)))</f>
        <v/>
      </c>
      <c r="E120" s="27" t="str">
        <f>IF($U120="","",IF(INDEX('MiT Strom Pipeline'!$H:$H,$U120)="","",INDEX('MiT Strom Pipeline'!$H:$H,$U120)))</f>
        <v/>
      </c>
      <c r="F120" s="27" t="str">
        <f>IF($U120="","",IF(INDEX('MiT Strom Pipeline'!$E:$E,$U120)="","",INDEX('MiT Strom Pipeline'!$E:$E,$U120)))</f>
        <v/>
      </c>
      <c r="G120" s="28" t="str">
        <f>IF($U120="","",IF(ISNUMBER(INDEX('MiT Strom Pipeline'!$I:$I,$U120)),INDEX('MiT Strom Pipeline'!$I:$I,$U120),0))</f>
        <v/>
      </c>
      <c r="H120" s="28" t="str">
        <f>IF($U120="","",IF(ISNUMBER(INDEX('MiT Strom Pipeline'!$Q:$Q,$U120)),INDEX('MiT Strom Pipeline'!$Q:$Q,$U120),0))</f>
        <v/>
      </c>
      <c r="I120" s="28" t="str">
        <f>IF($U120="","",IF(ISNUMBER(INDEX('MiT Strom Pipeline'!$O:$O,$U120)),INDEX('MiT Strom Pipeline'!$O:$O,$U120),0))</f>
        <v/>
      </c>
      <c r="J120" s="27" t="str">
        <f>IF($U120="","",INDEX('MiT Strom Pipeline'!$R:$R,$U120))</f>
        <v/>
      </c>
      <c r="K120" s="29" t="str">
        <f>IF($U120="","",IF(ISNUMBER(INDEX('MiT Strom Pipeline'!$S:$S,$U120)),INDEX('MiT Strom Pipeline'!$S:$S,$U120),""))</f>
        <v/>
      </c>
      <c r="L120" s="27" t="str">
        <f>IF($U120="","",IF(LEN(INDEX('MiT Strom Pipeline'!$V:$V,$U120))&gt;0,LEFT(INDEX('MiT Strom Pipeline'!$V:$V,$U120),55),""))</f>
        <v/>
      </c>
      <c r="M120" s="22" t="n"/>
      <c r="N120" s="22" t="n"/>
      <c r="O120" s="22" t="n"/>
      <c r="P120" s="22" t="n"/>
      <c r="Q120" s="22" t="n"/>
      <c r="R120" s="22" t="n"/>
      <c r="S120" s="22" t="n"/>
      <c r="U120" t="str">
        <f>IFERROR(MATCH(46,'MiT Strom Pipeline'!$AC$6:$AC$860,0)+5,"")</f>
        <v/>
      </c>
    </row>
    <row r="121" ht="15.75" customHeight="1">
      <c r="A121" s="26" t="str">
        <f>IF($U121="","",IF(ISNUMBER(INDEX('MiT Strom Pipeline'!$A:$A,$U121)),INDEX('MiT Strom Pipeline'!$A:$A,$U121),""))</f>
        <v/>
      </c>
      <c r="B121" s="27" t="str">
        <f>IF($U121="","",IF(INDEX('MiT Strom Pipeline'!$B:$B,$U121)="","",INDEX('MiT Strom Pipeline'!$B:$B,$U121)))</f>
        <v/>
      </c>
      <c r="C121" s="27" t="str">
        <f>IF($U121="","",IF(INDEX('MiT Strom Pipeline'!$C:$C,$U121)="","",INDEX('MiT Strom Pipeline'!$C:$C,$U121)))</f>
        <v/>
      </c>
      <c r="D121" s="27" t="str">
        <f>IF($U121="","",IF(INDEX('MiT Strom Pipeline'!$D:$D,$U121)="","",INDEX('MiT Strom Pipeline'!$D:$D,$U121)))</f>
        <v/>
      </c>
      <c r="E121" s="27" t="str">
        <f>IF($U121="","",IF(INDEX('MiT Strom Pipeline'!$H:$H,$U121)="","",INDEX('MiT Strom Pipeline'!$H:$H,$U121)))</f>
        <v/>
      </c>
      <c r="F121" s="27" t="str">
        <f>IF($U121="","",IF(INDEX('MiT Strom Pipeline'!$E:$E,$U121)="","",INDEX('MiT Strom Pipeline'!$E:$E,$U121)))</f>
        <v/>
      </c>
      <c r="G121" s="28" t="str">
        <f>IF($U121="","",IF(ISNUMBER(INDEX('MiT Strom Pipeline'!$I:$I,$U121)),INDEX('MiT Strom Pipeline'!$I:$I,$U121),0))</f>
        <v/>
      </c>
      <c r="H121" s="28" t="str">
        <f>IF($U121="","",IF(ISNUMBER(INDEX('MiT Strom Pipeline'!$Q:$Q,$U121)),INDEX('MiT Strom Pipeline'!$Q:$Q,$U121),0))</f>
        <v/>
      </c>
      <c r="I121" s="28" t="str">
        <f>IF($U121="","",IF(ISNUMBER(INDEX('MiT Strom Pipeline'!$O:$O,$U121)),INDEX('MiT Strom Pipeline'!$O:$O,$U121),0))</f>
        <v/>
      </c>
      <c r="J121" s="27" t="str">
        <f>IF($U121="","",INDEX('MiT Strom Pipeline'!$R:$R,$U121))</f>
        <v/>
      </c>
      <c r="K121" s="29" t="str">
        <f>IF($U121="","",IF(ISNUMBER(INDEX('MiT Strom Pipeline'!$S:$S,$U121)),INDEX('MiT Strom Pipeline'!$S:$S,$U121),""))</f>
        <v/>
      </c>
      <c r="L121" s="27" t="str">
        <f>IF($U121="","",IF(LEN(INDEX('MiT Strom Pipeline'!$V:$V,$U121))&gt;0,LEFT(INDEX('MiT Strom Pipeline'!$V:$V,$U121),55),""))</f>
        <v/>
      </c>
      <c r="M121" s="22" t="n"/>
      <c r="N121" s="22" t="n"/>
      <c r="O121" s="22" t="n"/>
      <c r="P121" s="22" t="n"/>
      <c r="Q121" s="22" t="n"/>
      <c r="R121" s="22" t="n"/>
      <c r="S121" s="22" t="n"/>
      <c r="U121" t="str">
        <f>IFERROR(MATCH(47,'MiT Strom Pipeline'!$AC$6:$AC$860,0)+5,"")</f>
        <v/>
      </c>
    </row>
    <row r="122" ht="15.75" customHeight="1">
      <c r="A122" s="26" t="str">
        <f>IF($U122="","",IF(ISNUMBER(INDEX('MiT Strom Pipeline'!$A:$A,$U122)),INDEX('MiT Strom Pipeline'!$A:$A,$U122),""))</f>
        <v/>
      </c>
      <c r="B122" s="27" t="str">
        <f>IF($U122="","",IF(INDEX('MiT Strom Pipeline'!$B:$B,$U122)="","",INDEX('MiT Strom Pipeline'!$B:$B,$U122)))</f>
        <v/>
      </c>
      <c r="C122" s="27" t="str">
        <f>IF($U122="","",IF(INDEX('MiT Strom Pipeline'!$C:$C,$U122)="","",INDEX('MiT Strom Pipeline'!$C:$C,$U122)))</f>
        <v/>
      </c>
      <c r="D122" s="27" t="str">
        <f>IF($U122="","",IF(INDEX('MiT Strom Pipeline'!$D:$D,$U122)="","",INDEX('MiT Strom Pipeline'!$D:$D,$U122)))</f>
        <v/>
      </c>
      <c r="E122" s="27" t="str">
        <f>IF($U122="","",IF(INDEX('MiT Strom Pipeline'!$H:$H,$U122)="","",INDEX('MiT Strom Pipeline'!$H:$H,$U122)))</f>
        <v/>
      </c>
      <c r="F122" s="27" t="str">
        <f>IF($U122="","",IF(INDEX('MiT Strom Pipeline'!$E:$E,$U122)="","",INDEX('MiT Strom Pipeline'!$E:$E,$U122)))</f>
        <v/>
      </c>
      <c r="G122" s="28" t="str">
        <f>IF($U122="","",IF(ISNUMBER(INDEX('MiT Strom Pipeline'!$I:$I,$U122)),INDEX('MiT Strom Pipeline'!$I:$I,$U122),0))</f>
        <v/>
      </c>
      <c r="H122" s="28" t="str">
        <f>IF($U122="","",IF(ISNUMBER(INDEX('MiT Strom Pipeline'!$Q:$Q,$U122)),INDEX('MiT Strom Pipeline'!$Q:$Q,$U122),0))</f>
        <v/>
      </c>
      <c r="I122" s="28" t="str">
        <f>IF($U122="","",IF(ISNUMBER(INDEX('MiT Strom Pipeline'!$O:$O,$U122)),INDEX('MiT Strom Pipeline'!$O:$O,$U122),0))</f>
        <v/>
      </c>
      <c r="J122" s="27" t="str">
        <f>IF($U122="","",INDEX('MiT Strom Pipeline'!$R:$R,$U122))</f>
        <v/>
      </c>
      <c r="K122" s="29" t="str">
        <f>IF($U122="","",IF(ISNUMBER(INDEX('MiT Strom Pipeline'!$S:$S,$U122)),INDEX('MiT Strom Pipeline'!$S:$S,$U122),""))</f>
        <v/>
      </c>
      <c r="L122" s="27" t="str">
        <f>IF($U122="","",IF(LEN(INDEX('MiT Strom Pipeline'!$V:$V,$U122))&gt;0,LEFT(INDEX('MiT Strom Pipeline'!$V:$V,$U122),55),""))</f>
        <v/>
      </c>
      <c r="M122" s="22" t="n"/>
      <c r="N122" s="22" t="n"/>
      <c r="O122" s="22" t="n"/>
      <c r="P122" s="22" t="n"/>
      <c r="Q122" s="22" t="n"/>
      <c r="R122" s="22" t="n"/>
      <c r="S122" s="22" t="n"/>
      <c r="U122" t="str">
        <f>IFERROR(MATCH(48,'MiT Strom Pipeline'!$AC$6:$AC$860,0)+5,"")</f>
        <v/>
      </c>
    </row>
    <row r="123" ht="15.75" customHeight="1">
      <c r="A123" s="26" t="str">
        <f>IF($U123="","",IF(ISNUMBER(INDEX('MiT Strom Pipeline'!$A:$A,$U123)),INDEX('MiT Strom Pipeline'!$A:$A,$U123),""))</f>
        <v/>
      </c>
      <c r="B123" s="27" t="str">
        <f>IF($U123="","",IF(INDEX('MiT Strom Pipeline'!$B:$B,$U123)="","",INDEX('MiT Strom Pipeline'!$B:$B,$U123)))</f>
        <v/>
      </c>
      <c r="C123" s="27" t="str">
        <f>IF($U123="","",IF(INDEX('MiT Strom Pipeline'!$C:$C,$U123)="","",INDEX('MiT Strom Pipeline'!$C:$C,$U123)))</f>
        <v/>
      </c>
      <c r="D123" s="27" t="str">
        <f>IF($U123="","",IF(INDEX('MiT Strom Pipeline'!$D:$D,$U123)="","",INDEX('MiT Strom Pipeline'!$D:$D,$U123)))</f>
        <v/>
      </c>
      <c r="E123" s="27" t="str">
        <f>IF($U123="","",IF(INDEX('MiT Strom Pipeline'!$H:$H,$U123)="","",INDEX('MiT Strom Pipeline'!$H:$H,$U123)))</f>
        <v/>
      </c>
      <c r="F123" s="27" t="str">
        <f>IF($U123="","",IF(INDEX('MiT Strom Pipeline'!$E:$E,$U123)="","",INDEX('MiT Strom Pipeline'!$E:$E,$U123)))</f>
        <v/>
      </c>
      <c r="G123" s="28" t="str">
        <f>IF($U123="","",IF(ISNUMBER(INDEX('MiT Strom Pipeline'!$I:$I,$U123)),INDEX('MiT Strom Pipeline'!$I:$I,$U123),0))</f>
        <v/>
      </c>
      <c r="H123" s="28" t="str">
        <f>IF($U123="","",IF(ISNUMBER(INDEX('MiT Strom Pipeline'!$Q:$Q,$U123)),INDEX('MiT Strom Pipeline'!$Q:$Q,$U123),0))</f>
        <v/>
      </c>
      <c r="I123" s="28" t="str">
        <f>IF($U123="","",IF(ISNUMBER(INDEX('MiT Strom Pipeline'!$O:$O,$U123)),INDEX('MiT Strom Pipeline'!$O:$O,$U123),0))</f>
        <v/>
      </c>
      <c r="J123" s="27" t="str">
        <f>IF($U123="","",INDEX('MiT Strom Pipeline'!$R:$R,$U123))</f>
        <v/>
      </c>
      <c r="K123" s="29" t="str">
        <f>IF($U123="","",IF(ISNUMBER(INDEX('MiT Strom Pipeline'!$S:$S,$U123)),INDEX('MiT Strom Pipeline'!$S:$S,$U123),""))</f>
        <v/>
      </c>
      <c r="L123" s="27" t="str">
        <f>IF($U123="","",IF(LEN(INDEX('MiT Strom Pipeline'!$V:$V,$U123))&gt;0,LEFT(INDEX('MiT Strom Pipeline'!$V:$V,$U123),55),""))</f>
        <v/>
      </c>
      <c r="M123" s="22" t="n"/>
      <c r="N123" s="22" t="n"/>
      <c r="O123" s="22" t="n"/>
      <c r="P123" s="22" t="n"/>
      <c r="Q123" s="22" t="n"/>
      <c r="R123" s="22" t="n"/>
      <c r="S123" s="22" t="n"/>
      <c r="U123" t="str">
        <f>IFERROR(MATCH(49,'MiT Strom Pipeline'!$AC$6:$AC$860,0)+5,"")</f>
        <v/>
      </c>
    </row>
    <row r="124" ht="15.75" customHeight="1">
      <c r="A124" s="26" t="str">
        <f>IF($U124="","",IF(ISNUMBER(INDEX('MiT Strom Pipeline'!$A:$A,$U124)),INDEX('MiT Strom Pipeline'!$A:$A,$U124),""))</f>
        <v/>
      </c>
      <c r="B124" s="27" t="str">
        <f>IF($U124="","",IF(INDEX('MiT Strom Pipeline'!$B:$B,$U124)="","",INDEX('MiT Strom Pipeline'!$B:$B,$U124)))</f>
        <v/>
      </c>
      <c r="C124" s="27" t="str">
        <f>IF($U124="","",IF(INDEX('MiT Strom Pipeline'!$C:$C,$U124)="","",INDEX('MiT Strom Pipeline'!$C:$C,$U124)))</f>
        <v/>
      </c>
      <c r="D124" s="27" t="str">
        <f>IF($U124="","",IF(INDEX('MiT Strom Pipeline'!$D:$D,$U124)="","",INDEX('MiT Strom Pipeline'!$D:$D,$U124)))</f>
        <v/>
      </c>
      <c r="E124" s="27" t="str">
        <f>IF($U124="","",IF(INDEX('MiT Strom Pipeline'!$H:$H,$U124)="","",INDEX('MiT Strom Pipeline'!$H:$H,$U124)))</f>
        <v/>
      </c>
      <c r="F124" s="27" t="str">
        <f>IF($U124="","",IF(INDEX('MiT Strom Pipeline'!$E:$E,$U124)="","",INDEX('MiT Strom Pipeline'!$E:$E,$U124)))</f>
        <v/>
      </c>
      <c r="G124" s="28" t="str">
        <f>IF($U124="","",IF(ISNUMBER(INDEX('MiT Strom Pipeline'!$I:$I,$U124)),INDEX('MiT Strom Pipeline'!$I:$I,$U124),0))</f>
        <v/>
      </c>
      <c r="H124" s="28" t="str">
        <f>IF($U124="","",IF(ISNUMBER(INDEX('MiT Strom Pipeline'!$Q:$Q,$U124)),INDEX('MiT Strom Pipeline'!$Q:$Q,$U124),0))</f>
        <v/>
      </c>
      <c r="I124" s="28" t="str">
        <f>IF($U124="","",IF(ISNUMBER(INDEX('MiT Strom Pipeline'!$O:$O,$U124)),INDEX('MiT Strom Pipeline'!$O:$O,$U124),0))</f>
        <v/>
      </c>
      <c r="J124" s="27" t="str">
        <f>IF($U124="","",INDEX('MiT Strom Pipeline'!$R:$R,$U124))</f>
        <v/>
      </c>
      <c r="K124" s="29" t="str">
        <f>IF($U124="","",IF(ISNUMBER(INDEX('MiT Strom Pipeline'!$S:$S,$U124)),INDEX('MiT Strom Pipeline'!$S:$S,$U124),""))</f>
        <v/>
      </c>
      <c r="L124" s="27" t="str">
        <f>IF($U124="","",IF(LEN(INDEX('MiT Strom Pipeline'!$V:$V,$U124))&gt;0,LEFT(INDEX('MiT Strom Pipeline'!$V:$V,$U124),55),""))</f>
        <v/>
      </c>
      <c r="M124" s="22" t="n"/>
      <c r="N124" s="22" t="n"/>
      <c r="O124" s="22" t="n"/>
      <c r="P124" s="22" t="n"/>
      <c r="Q124" s="22" t="n"/>
      <c r="R124" s="22" t="n"/>
      <c r="S124" s="22" t="n"/>
      <c r="U124" t="str">
        <f>IFERROR(MATCH(50,'MiT Strom Pipeline'!$AC$6:$AC$860,0)+5,"")</f>
        <v/>
      </c>
    </row>
    <row r="125" ht="15.75" customHeight="1">
      <c r="A125" s="26" t="str">
        <f>IF($U125="","",IF(ISNUMBER(INDEX('MiT Strom Pipeline'!$A:$A,$U125)),INDEX('MiT Strom Pipeline'!$A:$A,$U125),""))</f>
        <v/>
      </c>
      <c r="B125" s="27" t="str">
        <f>IF($U125="","",IF(INDEX('MiT Strom Pipeline'!$B:$B,$U125)="","",INDEX('MiT Strom Pipeline'!$B:$B,$U125)))</f>
        <v/>
      </c>
      <c r="C125" s="27" t="str">
        <f>IF($U125="","",IF(INDEX('MiT Strom Pipeline'!$C:$C,$U125)="","",INDEX('MiT Strom Pipeline'!$C:$C,$U125)))</f>
        <v/>
      </c>
      <c r="D125" s="27" t="str">
        <f>IF($U125="","",IF(INDEX('MiT Strom Pipeline'!$D:$D,$U125)="","",INDEX('MiT Strom Pipeline'!$D:$D,$U125)))</f>
        <v/>
      </c>
      <c r="E125" s="27" t="str">
        <f>IF($U125="","",IF(INDEX('MiT Strom Pipeline'!$H:$H,$U125)="","",INDEX('MiT Strom Pipeline'!$H:$H,$U125)))</f>
        <v/>
      </c>
      <c r="F125" s="27" t="str">
        <f>IF($U125="","",IF(INDEX('MiT Strom Pipeline'!$E:$E,$U125)="","",INDEX('MiT Strom Pipeline'!$E:$E,$U125)))</f>
        <v/>
      </c>
      <c r="G125" s="28" t="str">
        <f>IF($U125="","",IF(ISNUMBER(INDEX('MiT Strom Pipeline'!$I:$I,$U125)),INDEX('MiT Strom Pipeline'!$I:$I,$U125),0))</f>
        <v/>
      </c>
      <c r="H125" s="28" t="str">
        <f>IF($U125="","",IF(ISNUMBER(INDEX('MiT Strom Pipeline'!$Q:$Q,$U125)),INDEX('MiT Strom Pipeline'!$Q:$Q,$U125),0))</f>
        <v/>
      </c>
      <c r="I125" s="28" t="str">
        <f>IF($U125="","",IF(ISNUMBER(INDEX('MiT Strom Pipeline'!$O:$O,$U125)),INDEX('MiT Strom Pipeline'!$O:$O,$U125),0))</f>
        <v/>
      </c>
      <c r="J125" s="27" t="str">
        <f>IF($U125="","",INDEX('MiT Strom Pipeline'!$R:$R,$U125))</f>
        <v/>
      </c>
      <c r="K125" s="29" t="str">
        <f>IF($U125="","",IF(ISNUMBER(INDEX('MiT Strom Pipeline'!$S:$S,$U125)),INDEX('MiT Strom Pipeline'!$S:$S,$U125),""))</f>
        <v/>
      </c>
      <c r="L125" s="27" t="str">
        <f>IF($U125="","",IF(LEN(INDEX('MiT Strom Pipeline'!$V:$V,$U125))&gt;0,LEFT(INDEX('MiT Strom Pipeline'!$V:$V,$U125),55),""))</f>
        <v/>
      </c>
      <c r="M125" s="22" t="n"/>
      <c r="N125" s="22" t="n"/>
      <c r="O125" s="22" t="n"/>
      <c r="P125" s="22" t="n"/>
      <c r="Q125" s="22" t="n"/>
      <c r="R125" s="22" t="n"/>
      <c r="S125" s="22" t="n"/>
      <c r="U125" t="str">
        <f>IFERROR(MATCH(51,'MiT Strom Pipeline'!$AC$6:$AC$860,0)+5,"")</f>
        <v/>
      </c>
    </row>
    <row r="126" ht="15.75" customHeight="1">
      <c r="A126" s="26" t="str">
        <f>IF($U126="","",IF(ISNUMBER(INDEX('MiT Strom Pipeline'!$A:$A,$U126)),INDEX('MiT Strom Pipeline'!$A:$A,$U126),""))</f>
        <v/>
      </c>
      <c r="B126" s="27" t="str">
        <f>IF($U126="","",IF(INDEX('MiT Strom Pipeline'!$B:$B,$U126)="","",INDEX('MiT Strom Pipeline'!$B:$B,$U126)))</f>
        <v/>
      </c>
      <c r="C126" s="27" t="str">
        <f>IF($U126="","",IF(INDEX('MiT Strom Pipeline'!$C:$C,$U126)="","",INDEX('MiT Strom Pipeline'!$C:$C,$U126)))</f>
        <v/>
      </c>
      <c r="D126" s="27" t="str">
        <f>IF($U126="","",IF(INDEX('MiT Strom Pipeline'!$D:$D,$U126)="","",INDEX('MiT Strom Pipeline'!$D:$D,$U126)))</f>
        <v/>
      </c>
      <c r="E126" s="27" t="str">
        <f>IF($U126="","",IF(INDEX('MiT Strom Pipeline'!$H:$H,$U126)="","",INDEX('MiT Strom Pipeline'!$H:$H,$U126)))</f>
        <v/>
      </c>
      <c r="F126" s="27" t="str">
        <f>IF($U126="","",IF(INDEX('MiT Strom Pipeline'!$E:$E,$U126)="","",INDEX('MiT Strom Pipeline'!$E:$E,$U126)))</f>
        <v/>
      </c>
      <c r="G126" s="28" t="str">
        <f>IF($U126="","",IF(ISNUMBER(INDEX('MiT Strom Pipeline'!$I:$I,$U126)),INDEX('MiT Strom Pipeline'!$I:$I,$U126),0))</f>
        <v/>
      </c>
      <c r="H126" s="28" t="str">
        <f>IF($U126="","",IF(ISNUMBER(INDEX('MiT Strom Pipeline'!$Q:$Q,$U126)),INDEX('MiT Strom Pipeline'!$Q:$Q,$U126),0))</f>
        <v/>
      </c>
      <c r="I126" s="28" t="str">
        <f>IF($U126="","",IF(ISNUMBER(INDEX('MiT Strom Pipeline'!$O:$O,$U126)),INDEX('MiT Strom Pipeline'!$O:$O,$U126),0))</f>
        <v/>
      </c>
      <c r="J126" s="27" t="str">
        <f>IF($U126="","",INDEX('MiT Strom Pipeline'!$R:$R,$U126))</f>
        <v/>
      </c>
      <c r="K126" s="29" t="str">
        <f>IF($U126="","",IF(ISNUMBER(INDEX('MiT Strom Pipeline'!$S:$S,$U126)),INDEX('MiT Strom Pipeline'!$S:$S,$U126),""))</f>
        <v/>
      </c>
      <c r="L126" s="27" t="str">
        <f>IF($U126="","",IF(LEN(INDEX('MiT Strom Pipeline'!$V:$V,$U126))&gt;0,LEFT(INDEX('MiT Strom Pipeline'!$V:$V,$U126),55),""))</f>
        <v/>
      </c>
      <c r="M126" s="22" t="n"/>
      <c r="N126" s="22" t="n"/>
      <c r="O126" s="22" t="n"/>
      <c r="P126" s="22" t="n"/>
      <c r="Q126" s="22" t="n"/>
      <c r="R126" s="22" t="n"/>
      <c r="S126" s="22" t="n"/>
      <c r="U126" t="str">
        <f>IFERROR(MATCH(52,'MiT Strom Pipeline'!$AC$6:$AC$860,0)+5,"")</f>
        <v/>
      </c>
    </row>
    <row r="127" ht="15.75" customHeight="1">
      <c r="A127" s="26" t="str">
        <f>IF($U127="","",IF(ISNUMBER(INDEX('MiT Strom Pipeline'!$A:$A,$U127)),INDEX('MiT Strom Pipeline'!$A:$A,$U127),""))</f>
        <v/>
      </c>
      <c r="B127" s="27" t="str">
        <f>IF($U127="","",IF(INDEX('MiT Strom Pipeline'!$B:$B,$U127)="","",INDEX('MiT Strom Pipeline'!$B:$B,$U127)))</f>
        <v/>
      </c>
      <c r="C127" s="27" t="str">
        <f>IF($U127="","",IF(INDEX('MiT Strom Pipeline'!$C:$C,$U127)="","",INDEX('MiT Strom Pipeline'!$C:$C,$U127)))</f>
        <v/>
      </c>
      <c r="D127" s="27" t="str">
        <f>IF($U127="","",IF(INDEX('MiT Strom Pipeline'!$D:$D,$U127)="","",INDEX('MiT Strom Pipeline'!$D:$D,$U127)))</f>
        <v/>
      </c>
      <c r="E127" s="27" t="str">
        <f>IF($U127="","",IF(INDEX('MiT Strom Pipeline'!$H:$H,$U127)="","",INDEX('MiT Strom Pipeline'!$H:$H,$U127)))</f>
        <v/>
      </c>
      <c r="F127" s="27" t="str">
        <f>IF($U127="","",IF(INDEX('MiT Strom Pipeline'!$E:$E,$U127)="","",INDEX('MiT Strom Pipeline'!$E:$E,$U127)))</f>
        <v/>
      </c>
      <c r="G127" s="28" t="str">
        <f>IF($U127="","",IF(ISNUMBER(INDEX('MiT Strom Pipeline'!$I:$I,$U127)),INDEX('MiT Strom Pipeline'!$I:$I,$U127),0))</f>
        <v/>
      </c>
      <c r="H127" s="28" t="str">
        <f>IF($U127="","",IF(ISNUMBER(INDEX('MiT Strom Pipeline'!$Q:$Q,$U127)),INDEX('MiT Strom Pipeline'!$Q:$Q,$U127),0))</f>
        <v/>
      </c>
      <c r="I127" s="28" t="str">
        <f>IF($U127="","",IF(ISNUMBER(INDEX('MiT Strom Pipeline'!$O:$O,$U127)),INDEX('MiT Strom Pipeline'!$O:$O,$U127),0))</f>
        <v/>
      </c>
      <c r="J127" s="27" t="str">
        <f>IF($U127="","",INDEX('MiT Strom Pipeline'!$R:$R,$U127))</f>
        <v/>
      </c>
      <c r="K127" s="29" t="str">
        <f>IF($U127="","",IF(ISNUMBER(INDEX('MiT Strom Pipeline'!$S:$S,$U127)),INDEX('MiT Strom Pipeline'!$S:$S,$U127),""))</f>
        <v/>
      </c>
      <c r="L127" s="27" t="str">
        <f>IF($U127="","",IF(LEN(INDEX('MiT Strom Pipeline'!$V:$V,$U127))&gt;0,LEFT(INDEX('MiT Strom Pipeline'!$V:$V,$U127),55),""))</f>
        <v/>
      </c>
      <c r="M127" s="22" t="n"/>
      <c r="N127" s="22" t="n"/>
      <c r="O127" s="22" t="n"/>
      <c r="P127" s="22" t="n"/>
      <c r="Q127" s="22" t="n"/>
      <c r="R127" s="22" t="n"/>
      <c r="S127" s="22" t="n"/>
      <c r="U127" t="str">
        <f>IFERROR(MATCH(53,'MiT Strom Pipeline'!$AC$6:$AC$860,0)+5,"")</f>
        <v/>
      </c>
    </row>
    <row r="128" ht="15.75" customHeight="1">
      <c r="A128" s="26" t="str">
        <f>IF($U128="","",IF(ISNUMBER(INDEX('MiT Strom Pipeline'!$A:$A,$U128)),INDEX('MiT Strom Pipeline'!$A:$A,$U128),""))</f>
        <v/>
      </c>
      <c r="B128" s="27" t="str">
        <f>IF($U128="","",IF(INDEX('MiT Strom Pipeline'!$B:$B,$U128)="","",INDEX('MiT Strom Pipeline'!$B:$B,$U128)))</f>
        <v/>
      </c>
      <c r="C128" s="27" t="str">
        <f>IF($U128="","",IF(INDEX('MiT Strom Pipeline'!$C:$C,$U128)="","",INDEX('MiT Strom Pipeline'!$C:$C,$U128)))</f>
        <v/>
      </c>
      <c r="D128" s="27" t="str">
        <f>IF($U128="","",IF(INDEX('MiT Strom Pipeline'!$D:$D,$U128)="","",INDEX('MiT Strom Pipeline'!$D:$D,$U128)))</f>
        <v/>
      </c>
      <c r="E128" s="27" t="str">
        <f>IF($U128="","",IF(INDEX('MiT Strom Pipeline'!$H:$H,$U128)="","",INDEX('MiT Strom Pipeline'!$H:$H,$U128)))</f>
        <v/>
      </c>
      <c r="F128" s="27" t="str">
        <f>IF($U128="","",IF(INDEX('MiT Strom Pipeline'!$E:$E,$U128)="","",INDEX('MiT Strom Pipeline'!$E:$E,$U128)))</f>
        <v/>
      </c>
      <c r="G128" s="28" t="str">
        <f>IF($U128="","",IF(ISNUMBER(INDEX('MiT Strom Pipeline'!$I:$I,$U128)),INDEX('MiT Strom Pipeline'!$I:$I,$U128),0))</f>
        <v/>
      </c>
      <c r="H128" s="28" t="str">
        <f>IF($U128="","",IF(ISNUMBER(INDEX('MiT Strom Pipeline'!$Q:$Q,$U128)),INDEX('MiT Strom Pipeline'!$Q:$Q,$U128),0))</f>
        <v/>
      </c>
      <c r="I128" s="28" t="str">
        <f>IF($U128="","",IF(ISNUMBER(INDEX('MiT Strom Pipeline'!$O:$O,$U128)),INDEX('MiT Strom Pipeline'!$O:$O,$U128),0))</f>
        <v/>
      </c>
      <c r="J128" s="27" t="str">
        <f>IF($U128="","",INDEX('MiT Strom Pipeline'!$R:$R,$U128))</f>
        <v/>
      </c>
      <c r="K128" s="29" t="str">
        <f>IF($U128="","",IF(ISNUMBER(INDEX('MiT Strom Pipeline'!$S:$S,$U128)),INDEX('MiT Strom Pipeline'!$S:$S,$U128),""))</f>
        <v/>
      </c>
      <c r="L128" s="27" t="str">
        <f>IF($U128="","",IF(LEN(INDEX('MiT Strom Pipeline'!$V:$V,$U128))&gt;0,LEFT(INDEX('MiT Strom Pipeline'!$V:$V,$U128),55),""))</f>
        <v/>
      </c>
      <c r="M128" s="22" t="n"/>
      <c r="N128" s="22" t="n"/>
      <c r="O128" s="22" t="n"/>
      <c r="P128" s="22" t="n"/>
      <c r="Q128" s="22" t="n"/>
      <c r="R128" s="22" t="n"/>
      <c r="S128" s="22" t="n"/>
      <c r="U128" t="str">
        <f>IFERROR(MATCH(54,'MiT Strom Pipeline'!$AC$6:$AC$860,0)+5,"")</f>
        <v/>
      </c>
    </row>
    <row r="129" ht="15.75" customHeight="1">
      <c r="A129" s="26" t="str">
        <f>IF($U129="","",IF(ISNUMBER(INDEX('MiT Strom Pipeline'!$A:$A,$U129)),INDEX('MiT Strom Pipeline'!$A:$A,$U129),""))</f>
        <v/>
      </c>
      <c r="B129" s="27" t="str">
        <f>IF($U129="","",IF(INDEX('MiT Strom Pipeline'!$B:$B,$U129)="","",INDEX('MiT Strom Pipeline'!$B:$B,$U129)))</f>
        <v/>
      </c>
      <c r="C129" s="27" t="str">
        <f>IF($U129="","",IF(INDEX('MiT Strom Pipeline'!$C:$C,$U129)="","",INDEX('MiT Strom Pipeline'!$C:$C,$U129)))</f>
        <v/>
      </c>
      <c r="D129" s="27" t="str">
        <f>IF($U129="","",IF(INDEX('MiT Strom Pipeline'!$D:$D,$U129)="","",INDEX('MiT Strom Pipeline'!$D:$D,$U129)))</f>
        <v/>
      </c>
      <c r="E129" s="27" t="str">
        <f>IF($U129="","",IF(INDEX('MiT Strom Pipeline'!$H:$H,$U129)="","",INDEX('MiT Strom Pipeline'!$H:$H,$U129)))</f>
        <v/>
      </c>
      <c r="F129" s="27" t="str">
        <f>IF($U129="","",IF(INDEX('MiT Strom Pipeline'!$E:$E,$U129)="","",INDEX('MiT Strom Pipeline'!$E:$E,$U129)))</f>
        <v/>
      </c>
      <c r="G129" s="28" t="str">
        <f>IF($U129="","",IF(ISNUMBER(INDEX('MiT Strom Pipeline'!$I:$I,$U129)),INDEX('MiT Strom Pipeline'!$I:$I,$U129),0))</f>
        <v/>
      </c>
      <c r="H129" s="28" t="str">
        <f>IF($U129="","",IF(ISNUMBER(INDEX('MiT Strom Pipeline'!$Q:$Q,$U129)),INDEX('MiT Strom Pipeline'!$Q:$Q,$U129),0))</f>
        <v/>
      </c>
      <c r="I129" s="28" t="str">
        <f>IF($U129="","",IF(ISNUMBER(INDEX('MiT Strom Pipeline'!$O:$O,$U129)),INDEX('MiT Strom Pipeline'!$O:$O,$U129),0))</f>
        <v/>
      </c>
      <c r="J129" s="27" t="str">
        <f>IF($U129="","",INDEX('MiT Strom Pipeline'!$R:$R,$U129))</f>
        <v/>
      </c>
      <c r="K129" s="29" t="str">
        <f>IF($U129="","",IF(ISNUMBER(INDEX('MiT Strom Pipeline'!$S:$S,$U129)),INDEX('MiT Strom Pipeline'!$S:$S,$U129),""))</f>
        <v/>
      </c>
      <c r="L129" s="27" t="str">
        <f>IF($U129="","",IF(LEN(INDEX('MiT Strom Pipeline'!$V:$V,$U129))&gt;0,LEFT(INDEX('MiT Strom Pipeline'!$V:$V,$U129),55),""))</f>
        <v/>
      </c>
      <c r="M129" s="22" t="n"/>
      <c r="N129" s="22" t="n"/>
      <c r="O129" s="22" t="n"/>
      <c r="P129" s="22" t="n"/>
      <c r="Q129" s="22" t="n"/>
      <c r="R129" s="22" t="n"/>
      <c r="S129" s="22" t="n"/>
      <c r="U129" t="str">
        <f>IFERROR(MATCH(55,'MiT Strom Pipeline'!$AC$6:$AC$860,0)+5,"")</f>
        <v/>
      </c>
    </row>
    <row r="130" ht="15.75" customHeight="1">
      <c r="A130" s="26" t="str">
        <f>IF($U130="","",IF(ISNUMBER(INDEX('MiT Strom Pipeline'!$A:$A,$U130)),INDEX('MiT Strom Pipeline'!$A:$A,$U130),""))</f>
        <v/>
      </c>
      <c r="B130" s="27" t="str">
        <f>IF($U130="","",IF(INDEX('MiT Strom Pipeline'!$B:$B,$U130)="","",INDEX('MiT Strom Pipeline'!$B:$B,$U130)))</f>
        <v/>
      </c>
      <c r="C130" s="27" t="str">
        <f>IF($U130="","",IF(INDEX('MiT Strom Pipeline'!$C:$C,$U130)="","",INDEX('MiT Strom Pipeline'!$C:$C,$U130)))</f>
        <v/>
      </c>
      <c r="D130" s="27" t="str">
        <f>IF($U130="","",IF(INDEX('MiT Strom Pipeline'!$D:$D,$U130)="","",INDEX('MiT Strom Pipeline'!$D:$D,$U130)))</f>
        <v/>
      </c>
      <c r="E130" s="27" t="str">
        <f>IF($U130="","",IF(INDEX('MiT Strom Pipeline'!$H:$H,$U130)="","",INDEX('MiT Strom Pipeline'!$H:$H,$U130)))</f>
        <v/>
      </c>
      <c r="F130" s="27" t="str">
        <f>IF($U130="","",IF(INDEX('MiT Strom Pipeline'!$E:$E,$U130)="","",INDEX('MiT Strom Pipeline'!$E:$E,$U130)))</f>
        <v/>
      </c>
      <c r="G130" s="28" t="str">
        <f>IF($U130="","",IF(ISNUMBER(INDEX('MiT Strom Pipeline'!$I:$I,$U130)),INDEX('MiT Strom Pipeline'!$I:$I,$U130),0))</f>
        <v/>
      </c>
      <c r="H130" s="28" t="str">
        <f>IF($U130="","",IF(ISNUMBER(INDEX('MiT Strom Pipeline'!$Q:$Q,$U130)),INDEX('MiT Strom Pipeline'!$Q:$Q,$U130),0))</f>
        <v/>
      </c>
      <c r="I130" s="28" t="str">
        <f>IF($U130="","",IF(ISNUMBER(INDEX('MiT Strom Pipeline'!$O:$O,$U130)),INDEX('MiT Strom Pipeline'!$O:$O,$U130),0))</f>
        <v/>
      </c>
      <c r="J130" s="27" t="str">
        <f>IF($U130="","",INDEX('MiT Strom Pipeline'!$R:$R,$U130))</f>
        <v/>
      </c>
      <c r="K130" s="29" t="str">
        <f>IF($U130="","",IF(ISNUMBER(INDEX('MiT Strom Pipeline'!$S:$S,$U130)),INDEX('MiT Strom Pipeline'!$S:$S,$U130),""))</f>
        <v/>
      </c>
      <c r="L130" s="27" t="str">
        <f>IF($U130="","",IF(LEN(INDEX('MiT Strom Pipeline'!$V:$V,$U130))&gt;0,LEFT(INDEX('MiT Strom Pipeline'!$V:$V,$U130),55),""))</f>
        <v/>
      </c>
      <c r="M130" s="22" t="n"/>
      <c r="N130" s="22" t="n"/>
      <c r="O130" s="22" t="n"/>
      <c r="P130" s="22" t="n"/>
      <c r="Q130" s="22" t="n"/>
      <c r="R130" s="22" t="n"/>
      <c r="S130" s="22" t="n"/>
      <c r="U130" t="str">
        <f>IFERROR(MATCH(56,'MiT Strom Pipeline'!$AC$6:$AC$860,0)+5,"")</f>
        <v/>
      </c>
    </row>
    <row r="131" ht="15.75" customHeight="1">
      <c r="A131" s="26" t="str">
        <f>IF($U131="","",IF(ISNUMBER(INDEX('MiT Strom Pipeline'!$A:$A,$U131)),INDEX('MiT Strom Pipeline'!$A:$A,$U131),""))</f>
        <v/>
      </c>
      <c r="B131" s="27" t="str">
        <f>IF($U131="","",IF(INDEX('MiT Strom Pipeline'!$B:$B,$U131)="","",INDEX('MiT Strom Pipeline'!$B:$B,$U131)))</f>
        <v/>
      </c>
      <c r="C131" s="27" t="str">
        <f>IF($U131="","",IF(INDEX('MiT Strom Pipeline'!$C:$C,$U131)="","",INDEX('MiT Strom Pipeline'!$C:$C,$U131)))</f>
        <v/>
      </c>
      <c r="D131" s="27" t="str">
        <f>IF($U131="","",IF(INDEX('MiT Strom Pipeline'!$D:$D,$U131)="","",INDEX('MiT Strom Pipeline'!$D:$D,$U131)))</f>
        <v/>
      </c>
      <c r="E131" s="27" t="str">
        <f>IF($U131="","",IF(INDEX('MiT Strom Pipeline'!$H:$H,$U131)="","",INDEX('MiT Strom Pipeline'!$H:$H,$U131)))</f>
        <v/>
      </c>
      <c r="F131" s="27" t="str">
        <f>IF($U131="","",IF(INDEX('MiT Strom Pipeline'!$E:$E,$U131)="","",INDEX('MiT Strom Pipeline'!$E:$E,$U131)))</f>
        <v/>
      </c>
      <c r="G131" s="28" t="str">
        <f>IF($U131="","",IF(ISNUMBER(INDEX('MiT Strom Pipeline'!$I:$I,$U131)),INDEX('MiT Strom Pipeline'!$I:$I,$U131),0))</f>
        <v/>
      </c>
      <c r="H131" s="28" t="str">
        <f>IF($U131="","",IF(ISNUMBER(INDEX('MiT Strom Pipeline'!$Q:$Q,$U131)),INDEX('MiT Strom Pipeline'!$Q:$Q,$U131),0))</f>
        <v/>
      </c>
      <c r="I131" s="28" t="str">
        <f>IF($U131="","",IF(ISNUMBER(INDEX('MiT Strom Pipeline'!$O:$O,$U131)),INDEX('MiT Strom Pipeline'!$O:$O,$U131),0))</f>
        <v/>
      </c>
      <c r="J131" s="27" t="str">
        <f>IF($U131="","",INDEX('MiT Strom Pipeline'!$R:$R,$U131))</f>
        <v/>
      </c>
      <c r="K131" s="29" t="str">
        <f>IF($U131="","",IF(ISNUMBER(INDEX('MiT Strom Pipeline'!$S:$S,$U131)),INDEX('MiT Strom Pipeline'!$S:$S,$U131),""))</f>
        <v/>
      </c>
      <c r="L131" s="27" t="str">
        <f>IF($U131="","",IF(LEN(INDEX('MiT Strom Pipeline'!$V:$V,$U131))&gt;0,LEFT(INDEX('MiT Strom Pipeline'!$V:$V,$U131),55),""))</f>
        <v/>
      </c>
      <c r="M131" s="22" t="n"/>
      <c r="N131" s="22" t="n"/>
      <c r="O131" s="22" t="n"/>
      <c r="P131" s="22" t="n"/>
      <c r="Q131" s="22" t="n"/>
      <c r="R131" s="22" t="n"/>
      <c r="S131" s="22" t="n"/>
      <c r="U131" t="str">
        <f>IFERROR(MATCH(57,'MiT Strom Pipeline'!$AC$6:$AC$860,0)+5,"")</f>
        <v/>
      </c>
    </row>
    <row r="132" ht="15.75" customHeight="1">
      <c r="A132" s="26" t="str">
        <f>IF($U132="","",IF(ISNUMBER(INDEX('MiT Strom Pipeline'!$A:$A,$U132)),INDEX('MiT Strom Pipeline'!$A:$A,$U132),""))</f>
        <v/>
      </c>
      <c r="B132" s="27" t="str">
        <f>IF($U132="","",IF(INDEX('MiT Strom Pipeline'!$B:$B,$U132)="","",INDEX('MiT Strom Pipeline'!$B:$B,$U132)))</f>
        <v/>
      </c>
      <c r="C132" s="27" t="str">
        <f>IF($U132="","",IF(INDEX('MiT Strom Pipeline'!$C:$C,$U132)="","",INDEX('MiT Strom Pipeline'!$C:$C,$U132)))</f>
        <v/>
      </c>
      <c r="D132" s="27" t="str">
        <f>IF($U132="","",IF(INDEX('MiT Strom Pipeline'!$D:$D,$U132)="","",INDEX('MiT Strom Pipeline'!$D:$D,$U132)))</f>
        <v/>
      </c>
      <c r="E132" s="27" t="str">
        <f>IF($U132="","",IF(INDEX('MiT Strom Pipeline'!$H:$H,$U132)="","",INDEX('MiT Strom Pipeline'!$H:$H,$U132)))</f>
        <v/>
      </c>
      <c r="F132" s="27" t="str">
        <f>IF($U132="","",IF(INDEX('MiT Strom Pipeline'!$E:$E,$U132)="","",INDEX('MiT Strom Pipeline'!$E:$E,$U132)))</f>
        <v/>
      </c>
      <c r="G132" s="28" t="str">
        <f>IF($U132="","",IF(ISNUMBER(INDEX('MiT Strom Pipeline'!$I:$I,$U132)),INDEX('MiT Strom Pipeline'!$I:$I,$U132),0))</f>
        <v/>
      </c>
      <c r="H132" s="28" t="str">
        <f>IF($U132="","",IF(ISNUMBER(INDEX('MiT Strom Pipeline'!$Q:$Q,$U132)),INDEX('MiT Strom Pipeline'!$Q:$Q,$U132),0))</f>
        <v/>
      </c>
      <c r="I132" s="28" t="str">
        <f>IF($U132="","",IF(ISNUMBER(INDEX('MiT Strom Pipeline'!$O:$O,$U132)),INDEX('MiT Strom Pipeline'!$O:$O,$U132),0))</f>
        <v/>
      </c>
      <c r="J132" s="27" t="str">
        <f>IF($U132="","",INDEX('MiT Strom Pipeline'!$R:$R,$U132))</f>
        <v/>
      </c>
      <c r="K132" s="29" t="str">
        <f>IF($U132="","",IF(ISNUMBER(INDEX('MiT Strom Pipeline'!$S:$S,$U132)),INDEX('MiT Strom Pipeline'!$S:$S,$U132),""))</f>
        <v/>
      </c>
      <c r="L132" s="27" t="str">
        <f>IF($U132="","",IF(LEN(INDEX('MiT Strom Pipeline'!$V:$V,$U132))&gt;0,LEFT(INDEX('MiT Strom Pipeline'!$V:$V,$U132),55),""))</f>
        <v/>
      </c>
      <c r="M132" s="22" t="n"/>
      <c r="N132" s="22" t="n"/>
      <c r="O132" s="22" t="n"/>
      <c r="P132" s="22" t="n"/>
      <c r="Q132" s="22" t="n"/>
      <c r="R132" s="22" t="n"/>
      <c r="S132" s="22" t="n"/>
      <c r="U132" t="str">
        <f>IFERROR(MATCH(58,'MiT Strom Pipeline'!$AC$6:$AC$860,0)+5,"")</f>
        <v/>
      </c>
    </row>
    <row r="133" ht="15.75" customHeight="1">
      <c r="A133" s="26" t="str">
        <f>IF($U133="","",IF(ISNUMBER(INDEX('MiT Strom Pipeline'!$A:$A,$U133)),INDEX('MiT Strom Pipeline'!$A:$A,$U133),""))</f>
        <v/>
      </c>
      <c r="B133" s="27" t="str">
        <f>IF($U133="","",IF(INDEX('MiT Strom Pipeline'!$B:$B,$U133)="","",INDEX('MiT Strom Pipeline'!$B:$B,$U133)))</f>
        <v/>
      </c>
      <c r="C133" s="27" t="str">
        <f>IF($U133="","",IF(INDEX('MiT Strom Pipeline'!$C:$C,$U133)="","",INDEX('MiT Strom Pipeline'!$C:$C,$U133)))</f>
        <v/>
      </c>
      <c r="D133" s="27" t="str">
        <f>IF($U133="","",IF(INDEX('MiT Strom Pipeline'!$D:$D,$U133)="","",INDEX('MiT Strom Pipeline'!$D:$D,$U133)))</f>
        <v/>
      </c>
      <c r="E133" s="27" t="str">
        <f>IF($U133="","",IF(INDEX('MiT Strom Pipeline'!$H:$H,$U133)="","",INDEX('MiT Strom Pipeline'!$H:$H,$U133)))</f>
        <v/>
      </c>
      <c r="F133" s="27" t="str">
        <f>IF($U133="","",IF(INDEX('MiT Strom Pipeline'!$E:$E,$U133)="","",INDEX('MiT Strom Pipeline'!$E:$E,$U133)))</f>
        <v/>
      </c>
      <c r="G133" s="28" t="str">
        <f>IF($U133="","",IF(ISNUMBER(INDEX('MiT Strom Pipeline'!$I:$I,$U133)),INDEX('MiT Strom Pipeline'!$I:$I,$U133),0))</f>
        <v/>
      </c>
      <c r="H133" s="28" t="str">
        <f>IF($U133="","",IF(ISNUMBER(INDEX('MiT Strom Pipeline'!$Q:$Q,$U133)),INDEX('MiT Strom Pipeline'!$Q:$Q,$U133),0))</f>
        <v/>
      </c>
      <c r="I133" s="28" t="str">
        <f>IF($U133="","",IF(ISNUMBER(INDEX('MiT Strom Pipeline'!$O:$O,$U133)),INDEX('MiT Strom Pipeline'!$O:$O,$U133),0))</f>
        <v/>
      </c>
      <c r="J133" s="27" t="str">
        <f>IF($U133="","",INDEX('MiT Strom Pipeline'!$R:$R,$U133))</f>
        <v/>
      </c>
      <c r="K133" s="29" t="str">
        <f>IF($U133="","",IF(ISNUMBER(INDEX('MiT Strom Pipeline'!$S:$S,$U133)),INDEX('MiT Strom Pipeline'!$S:$S,$U133),""))</f>
        <v/>
      </c>
      <c r="L133" s="27" t="str">
        <f>IF($U133="","",IF(LEN(INDEX('MiT Strom Pipeline'!$V:$V,$U133))&gt;0,LEFT(INDEX('MiT Strom Pipeline'!$V:$V,$U133),55),""))</f>
        <v/>
      </c>
      <c r="M133" s="22" t="n"/>
      <c r="N133" s="22" t="n"/>
      <c r="O133" s="22" t="n"/>
      <c r="P133" s="22" t="n"/>
      <c r="Q133" s="22" t="n"/>
      <c r="R133" s="22" t="n"/>
      <c r="S133" s="22" t="n"/>
      <c r="U133" t="str">
        <f>IFERROR(MATCH(59,'MiT Strom Pipeline'!$AC$6:$AC$860,0)+5,"")</f>
        <v/>
      </c>
    </row>
    <row r="134" ht="15.75" customHeight="1">
      <c r="A134" s="26" t="str">
        <f>IF($U134="","",IF(ISNUMBER(INDEX('MiT Strom Pipeline'!$A:$A,$U134)),INDEX('MiT Strom Pipeline'!$A:$A,$U134),""))</f>
        <v/>
      </c>
      <c r="B134" s="27" t="str">
        <f>IF($U134="","",IF(INDEX('MiT Strom Pipeline'!$B:$B,$U134)="","",INDEX('MiT Strom Pipeline'!$B:$B,$U134)))</f>
        <v/>
      </c>
      <c r="C134" s="27" t="str">
        <f>IF($U134="","",IF(INDEX('MiT Strom Pipeline'!$C:$C,$U134)="","",INDEX('MiT Strom Pipeline'!$C:$C,$U134)))</f>
        <v/>
      </c>
      <c r="D134" s="27" t="str">
        <f>IF($U134="","",IF(INDEX('MiT Strom Pipeline'!$D:$D,$U134)="","",INDEX('MiT Strom Pipeline'!$D:$D,$U134)))</f>
        <v/>
      </c>
      <c r="E134" s="27" t="str">
        <f>IF($U134="","",IF(INDEX('MiT Strom Pipeline'!$H:$H,$U134)="","",INDEX('MiT Strom Pipeline'!$H:$H,$U134)))</f>
        <v/>
      </c>
      <c r="F134" s="27" t="str">
        <f>IF($U134="","",IF(INDEX('MiT Strom Pipeline'!$E:$E,$U134)="","",INDEX('MiT Strom Pipeline'!$E:$E,$U134)))</f>
        <v/>
      </c>
      <c r="G134" s="28" t="str">
        <f>IF($U134="","",IF(ISNUMBER(INDEX('MiT Strom Pipeline'!$I:$I,$U134)),INDEX('MiT Strom Pipeline'!$I:$I,$U134),0))</f>
        <v/>
      </c>
      <c r="H134" s="28" t="str">
        <f>IF($U134="","",IF(ISNUMBER(INDEX('MiT Strom Pipeline'!$Q:$Q,$U134)),INDEX('MiT Strom Pipeline'!$Q:$Q,$U134),0))</f>
        <v/>
      </c>
      <c r="I134" s="28" t="str">
        <f>IF($U134="","",IF(ISNUMBER(INDEX('MiT Strom Pipeline'!$O:$O,$U134)),INDEX('MiT Strom Pipeline'!$O:$O,$U134),0))</f>
        <v/>
      </c>
      <c r="J134" s="27" t="str">
        <f>IF($U134="","",INDEX('MiT Strom Pipeline'!$R:$R,$U134))</f>
        <v/>
      </c>
      <c r="K134" s="29" t="str">
        <f>IF($U134="","",IF(ISNUMBER(INDEX('MiT Strom Pipeline'!$S:$S,$U134)),INDEX('MiT Strom Pipeline'!$S:$S,$U134),""))</f>
        <v/>
      </c>
      <c r="L134" s="27" t="str">
        <f>IF($U134="","",IF(LEN(INDEX('MiT Strom Pipeline'!$V:$V,$U134))&gt;0,LEFT(INDEX('MiT Strom Pipeline'!$V:$V,$U134),55),""))</f>
        <v/>
      </c>
      <c r="M134" s="22" t="n"/>
      <c r="N134" s="22" t="n"/>
      <c r="O134" s="22" t="n"/>
      <c r="P134" s="22" t="n"/>
      <c r="Q134" s="22" t="n"/>
      <c r="R134" s="22" t="n"/>
      <c r="S134" s="22" t="n"/>
      <c r="U134" t="str">
        <f>IFERROR(MATCH(60,'MiT Strom Pipeline'!$AC$6:$AC$860,0)+5,"")</f>
        <v/>
      </c>
    </row>
    <row r="135" ht="21.75" customHeight="1">
      <c r="A135" s="26" t="str">
        <f>IF($U135="","",IF(ISNUMBER(INDEX('MiT Strom Pipeline'!$A:$A,$U135)),INDEX('MiT Strom Pipeline'!$A:$A,$U135),""))</f>
        <v/>
      </c>
      <c r="B135" s="27" t="str">
        <f>IF($U135="","",IF(INDEX('MiT Strom Pipeline'!$B:$B,$U135)="","",INDEX('MiT Strom Pipeline'!$B:$B,$U135)))</f>
        <v/>
      </c>
      <c r="C135" s="27" t="str">
        <f>IF($U135="","",IF(INDEX('MiT Strom Pipeline'!$C:$C,$U135)="","",INDEX('MiT Strom Pipeline'!$C:$C,$U135)))</f>
        <v/>
      </c>
      <c r="D135" s="27" t="str">
        <f>IF($U135="","",IF(INDEX('MiT Strom Pipeline'!$D:$D,$U135)="","",INDEX('MiT Strom Pipeline'!$D:$D,$U135)))</f>
        <v/>
      </c>
      <c r="E135" s="27" t="str">
        <f>IF($U135="","",IF(INDEX('MiT Strom Pipeline'!$H:$H,$U135)="","",INDEX('MiT Strom Pipeline'!$H:$H,$U135)))</f>
        <v/>
      </c>
      <c r="F135" s="27" t="str">
        <f>IF($U135="","",IF(INDEX('MiT Strom Pipeline'!$E:$E,$U135)="","",INDEX('MiT Strom Pipeline'!$E:$E,$U135)))</f>
        <v/>
      </c>
      <c r="G135" s="28" t="str">
        <f>IF($U135="","",IF(ISNUMBER(INDEX('MiT Strom Pipeline'!$I:$I,$U135)),INDEX('MiT Strom Pipeline'!$I:$I,$U135),0))</f>
        <v/>
      </c>
      <c r="H135" s="28" t="str">
        <f>IF($U135="","",IF(ISNUMBER(INDEX('MiT Strom Pipeline'!$Q:$Q,$U135)),INDEX('MiT Strom Pipeline'!$Q:$Q,$U135),0))</f>
        <v/>
      </c>
      <c r="I135" s="28" t="str">
        <f>IF($U135="","",IF(ISNUMBER(INDEX('MiT Strom Pipeline'!$O:$O,$U135)),INDEX('MiT Strom Pipeline'!$O:$O,$U135),0))</f>
        <v/>
      </c>
      <c r="J135" s="27" t="str">
        <f>IF($U135="","",INDEX('MiT Strom Pipeline'!$R:$R,$U135))</f>
        <v/>
      </c>
      <c r="K135" s="29" t="str">
        <f>IF($U135="","",IF(ISNUMBER(INDEX('MiT Strom Pipeline'!$S:$S,$U135)),INDEX('MiT Strom Pipeline'!$S:$S,$U135),""))</f>
        <v/>
      </c>
      <c r="L135" s="27" t="str">
        <f>IF($U135="","",IF(LEN(INDEX('MiT Strom Pipeline'!$V:$V,$U135))&gt;0,LEFT(INDEX('MiT Strom Pipeline'!$V:$V,$U135),55),""))</f>
        <v/>
      </c>
      <c r="M135" s="22" t="n"/>
      <c r="N135" s="22" t="n"/>
      <c r="O135" s="22" t="n"/>
      <c r="P135" s="22" t="n"/>
      <c r="Q135" s="22" t="n"/>
      <c r="R135" s="22" t="n"/>
      <c r="S135" s="22" t="n"/>
      <c r="U135" t="str">
        <f>IFERROR(MATCH(61,'MiT Strom Pipeline'!$AC$6:$AC$860,0)+5,"")</f>
        <v/>
      </c>
    </row>
    <row r="136" ht="3.75" customHeight="1">
      <c r="A136" s="26" t="str">
        <f>IF($U136="","",IF(ISNUMBER(INDEX('MiT Strom Pipeline'!$A:$A,$U136)),INDEX('MiT Strom Pipeline'!$A:$A,$U136),""))</f>
        <v/>
      </c>
      <c r="B136" s="27" t="str">
        <f>IF($U136="","",IF(INDEX('MiT Strom Pipeline'!$B:$B,$U136)="","",INDEX('MiT Strom Pipeline'!$B:$B,$U136)))</f>
        <v/>
      </c>
      <c r="C136" s="27" t="str">
        <f>IF($U136="","",IF(INDEX('MiT Strom Pipeline'!$C:$C,$U136)="","",INDEX('MiT Strom Pipeline'!$C:$C,$U136)))</f>
        <v/>
      </c>
      <c r="D136" s="27" t="str">
        <f>IF($U136="","",IF(INDEX('MiT Strom Pipeline'!$D:$D,$U136)="","",INDEX('MiT Strom Pipeline'!$D:$D,$U136)))</f>
        <v/>
      </c>
      <c r="E136" s="27" t="str">
        <f>IF($U136="","",IF(INDEX('MiT Strom Pipeline'!$H:$H,$U136)="","",INDEX('MiT Strom Pipeline'!$H:$H,$U136)))</f>
        <v/>
      </c>
      <c r="F136" s="27" t="str">
        <f>IF($U136="","",IF(INDEX('MiT Strom Pipeline'!$E:$E,$U136)="","",INDEX('MiT Strom Pipeline'!$E:$E,$U136)))</f>
        <v/>
      </c>
      <c r="G136" s="28" t="str">
        <f>IF($U136="","",IF(ISNUMBER(INDEX('MiT Strom Pipeline'!$I:$I,$U136)),INDEX('MiT Strom Pipeline'!$I:$I,$U136),0))</f>
        <v/>
      </c>
      <c r="H136" s="28" t="str">
        <f>IF($U136="","",IF(ISNUMBER(INDEX('MiT Strom Pipeline'!$Q:$Q,$U136)),INDEX('MiT Strom Pipeline'!$Q:$Q,$U136),0))</f>
        <v/>
      </c>
      <c r="I136" s="28" t="str">
        <f>IF($U136="","",IF(ISNUMBER(INDEX('MiT Strom Pipeline'!$O:$O,$U136)),INDEX('MiT Strom Pipeline'!$O:$O,$U136),0))</f>
        <v/>
      </c>
      <c r="J136" s="27" t="str">
        <f>IF($U136="","",INDEX('MiT Strom Pipeline'!$R:$R,$U136))</f>
        <v/>
      </c>
      <c r="K136" s="29" t="str">
        <f>IF($U136="","",IF(ISNUMBER(INDEX('MiT Strom Pipeline'!$S:$S,$U136)),INDEX('MiT Strom Pipeline'!$S:$S,$U136),""))</f>
        <v/>
      </c>
      <c r="L136" s="27" t="str">
        <f>IF($U136="","",IF(LEN(INDEX('MiT Strom Pipeline'!$V:$V,$U136))&gt;0,LEFT(INDEX('MiT Strom Pipeline'!$V:$V,$U136),55),""))</f>
        <v/>
      </c>
      <c r="M136" s="22" t="n"/>
      <c r="N136" s="22" t="n"/>
      <c r="O136" s="22" t="n"/>
      <c r="P136" s="22" t="n"/>
      <c r="Q136" s="22" t="n"/>
      <c r="R136" s="22" t="n"/>
      <c r="S136" s="22" t="n"/>
      <c r="U136" t="str">
        <f>IFERROR(MATCH(62,'MiT Strom Pipeline'!$AC$6:$AC$860,0)+5,"")</f>
        <v/>
      </c>
    </row>
    <row r="137" ht="24" customHeight="1">
      <c r="A137" s="142" t="inlineStr">
        <is>
          <t>🎯  3. OPPORTUNITÄT — Qualifizierte Leads</t>
        </is>
      </c>
      <c r="B137" s="189" t="n"/>
      <c r="C137" s="189" t="n"/>
      <c r="D137" s="189" t="n"/>
      <c r="E137" s="189" t="n"/>
      <c r="F137" s="189" t="n"/>
      <c r="G137" s="189" t="n"/>
      <c r="H137" s="189" t="n"/>
      <c r="I137" s="189" t="n"/>
      <c r="J137" s="189" t="n"/>
      <c r="K137" s="189" t="n"/>
      <c r="L137" s="190" t="n"/>
      <c r="M137" s="22" t="n"/>
      <c r="N137" s="22" t="n"/>
      <c r="O137" s="22" t="n"/>
      <c r="P137" s="22" t="n"/>
      <c r="Q137" s="22" t="n"/>
      <c r="R137" s="22" t="n"/>
      <c r="S137" s="22" t="n"/>
    </row>
    <row r="138" ht="19.5" customHeight="1">
      <c r="A138" s="25" t="inlineStr">
        <is>
          <t>#</t>
        </is>
      </c>
      <c r="B138" s="25" t="inlineStr">
        <is>
          <t>Kunde / Unternehmen</t>
        </is>
      </c>
      <c r="C138" s="25" t="inlineStr">
        <is>
          <t>Kt.</t>
        </is>
      </c>
      <c r="D138" s="25" t="inlineStr">
        <is>
          <t>Segment</t>
        </is>
      </c>
      <c r="E138" s="25" t="inlineStr">
        <is>
          <t>Start</t>
        </is>
      </c>
      <c r="F138" s="25" t="inlineStr">
        <is>
          <t>Leistung / Fleet</t>
        </is>
      </c>
      <c r="G138" s="25" t="inlineStr">
        <is>
          <t>Volumen CHF</t>
        </is>
      </c>
      <c r="H138" s="25" t="inlineStr">
        <is>
          <t>Gew.Wert CHF</t>
        </is>
      </c>
      <c r="I138" s="25" t="inlineStr">
        <is>
          <t>Marge CHF</t>
        </is>
      </c>
      <c r="J138" s="25" t="inlineStr">
        <is>
          <t>Status</t>
        </is>
      </c>
      <c r="K138" s="25" t="inlineStr">
        <is>
          <t>Wahr.%</t>
        </is>
      </c>
      <c r="L138" s="25" t="inlineStr">
        <is>
          <t>Nächster Schritt</t>
        </is>
      </c>
      <c r="M138" s="22" t="n"/>
      <c r="N138" s="22" t="n"/>
      <c r="O138" s="22" t="n"/>
      <c r="P138" s="22" t="n"/>
      <c r="Q138" s="22" t="n"/>
      <c r="R138" s="22" t="n"/>
      <c r="S138" s="22" t="n"/>
    </row>
    <row r="139" hidden="1" ht="15.75" customHeight="1">
      <c r="A139" s="26">
        <f>IF($U139="","",IF(ISNUMBER(INDEX('MiT Strom Pipeline'!$A:$A,$U139)),INDEX('MiT Strom Pipeline'!$A:$A,$U139),""))</f>
        <v>6</v>
      </c>
      <c r="B139" s="27" t="str">
        <f>IF($U139="","",IF(INDEX('MiT Strom Pipeline'!$B:$B,$U139)="","",INDEX('MiT Strom Pipeline'!$B:$B,$U139)))</f>
        <v>Wincasa Solothurn</v>
      </c>
      <c r="C139" s="27" t="str">
        <f>IF($U139="","",IF(INDEX('MiT Strom Pipeline'!$C:$C,$U139)="","",INDEX('MiT Strom Pipeline'!$C:$C,$U139)))</f>
        <v>SO</v>
      </c>
      <c r="D139" s="27" t="str">
        <f>IF($U139="","",IF(INDEX('MiT Strom Pipeline'!$D:$D,$U139)="","",INDEX('MiT Strom Pipeline'!$D:$D,$U139)))</f>
        <v>Immobilien / FM</v>
      </c>
      <c r="E139" s="27" t="str">
        <f>IF($U139="","",IF(INDEX('MiT Strom Pipeline'!$H:$H,$U139)="","",INDEX('MiT Strom Pipeline'!$H:$H,$U139)))</f>
        <v>Mai</v>
      </c>
      <c r="F139" s="27" t="str">
        <f>IF($U139="","",IF(INDEX('MiT Strom Pipeline'!$E:$E,$U139)="","",INDEX('MiT Strom Pipeline'!$E:$E,$U139)))</f>
        <v>BESS 1 MWh</v>
      </c>
      <c r="G139" s="28">
        <f>IF($U139="","",IF(ISNUMBER(INDEX('MiT Strom Pipeline'!$I:$I,$U139)),INDEX('MiT Strom Pipeline'!$I:$I,$U139),0))</f>
        <v>390000</v>
      </c>
      <c r="H139" s="28">
        <f>IF($U139="","",IF(ISNUMBER(INDEX('MiT Strom Pipeline'!$Q:$Q,$U139)),INDEX('MiT Strom Pipeline'!$Q:$Q,$U139),0))</f>
        <v>195000</v>
      </c>
      <c r="I139" s="28">
        <f>IF($U139="","",IF(ISNUMBER(INDEX('MiT Strom Pipeline'!$O:$O,$U139)),INDEX('MiT Strom Pipeline'!$O:$O,$U139),0))</f>
        <v>118000</v>
      </c>
      <c r="J139" s="27" t="str">
        <f>IF($U139="","",INDEX('MiT Strom Pipeline'!$R:$R,$U139))</f>
        <v>follow-up</v>
      </c>
      <c r="K139" s="29">
        <f>IF($U139="","",IF(ISNUMBER(INDEX('MiT Strom Pipeline'!$S:$S,$U139)),INDEX('MiT Strom Pipeline'!$S:$S,$U139),""))</f>
        <v>0.5</v>
      </c>
      <c r="L139" s="27" t="str">
        <f>IF($U139="","",IF(LEN(INDEX('MiT Strom Pipeline'!$V:$V,$U139))&gt;0,LEFT(INDEX('MiT Strom Pipeline'!$V:$V,$U139),55),""))</f>
        <v>Entscheider-Meeting anfordern, Businesscase Energie-ROI</v>
      </c>
      <c r="M139" s="22" t="n"/>
      <c r="N139" s="22" t="n"/>
      <c r="O139" s="22" t="n"/>
      <c r="P139" s="22" t="n"/>
      <c r="Q139" s="22" t="n"/>
      <c r="R139" s="22" t="n"/>
      <c r="S139" s="22" t="n"/>
      <c r="U139">
        <f>IFERROR(MATCH(1,'MiT Strom Pipeline'!$AD$6:$AD$860,0)+5,"")</f>
        <v>6</v>
      </c>
    </row>
    <row r="140" hidden="1" ht="15.75" customHeight="1">
      <c r="A140" s="26">
        <f>IF($U140="","",IF(ISNUMBER(INDEX('MiT Strom Pipeline'!$A:$A,$U140)),INDEX('MiT Strom Pipeline'!$A:$A,$U140),""))</f>
        <v>13</v>
      </c>
      <c r="B140" s="27" t="str">
        <f>IF($U140="","",IF(INDEX('MiT Strom Pipeline'!$B:$B,$U140)="","",INDEX('MiT Strom Pipeline'!$B:$B,$U140)))</f>
        <v>Proxima Fusion AG</v>
      </c>
      <c r="C140" s="27" t="str">
        <f>IF($U140="","",IF(INDEX('MiT Strom Pipeline'!$C:$C,$U140)="","",INDEX('MiT Strom Pipeline'!$C:$C,$U140)))</f>
        <v>ZH</v>
      </c>
      <c r="D140" s="27" t="str">
        <f>IF($U140="","",IF(INDEX('MiT Strom Pipeline'!$D:$D,$U140)="","",INDEX('MiT Strom Pipeline'!$D:$D,$U140)))</f>
        <v>Forschung / Hightech</v>
      </c>
      <c r="E140" s="27" t="str">
        <f>IF($U140="","",IF(INDEX('MiT Strom Pipeline'!$H:$H,$U140)="","",INDEX('MiT Strom Pipeline'!$H:$H,$U140)))</f>
        <v>Juli</v>
      </c>
      <c r="F140" s="27" t="str">
        <f>IF($U140="","",IF(INDEX('MiT Strom Pipeline'!$E:$E,$U140)="","",INDEX('MiT Strom Pipeline'!$E:$E,$U140)))</f>
        <v>BESS 1 MWh</v>
      </c>
      <c r="G140" s="28">
        <f>IF($U140="","",IF(ISNUMBER(INDEX('MiT Strom Pipeline'!$I:$I,$U140)),INDEX('MiT Strom Pipeline'!$I:$I,$U140),0))</f>
        <v>365003</v>
      </c>
      <c r="H140" s="28">
        <f>IF($U140="","",IF(ISNUMBER(INDEX('MiT Strom Pipeline'!$Q:$Q,$U140)),INDEX('MiT Strom Pipeline'!$Q:$Q,$U140),0))</f>
        <v>182501.5</v>
      </c>
      <c r="I140" s="28">
        <f>IF($U140="","",IF(ISNUMBER(INDEX('MiT Strom Pipeline'!$O:$O,$U140)),INDEX('MiT Strom Pipeline'!$O:$O,$U140),0))</f>
        <v>30087</v>
      </c>
      <c r="J140" s="27" t="str">
        <f>IF($U140="","",INDEX('MiT Strom Pipeline'!$R:$R,$U140))</f>
        <v>follow-up</v>
      </c>
      <c r="K140" s="29">
        <f>IF($U140="","",IF(ISNUMBER(INDEX('MiT Strom Pipeline'!$S:$S,$U140)),INDEX('MiT Strom Pipeline'!$S:$S,$U140),""))</f>
        <v>0.5</v>
      </c>
      <c r="L140" s="27" t="str">
        <f>IF($U140="","",IF(LEN(INDEX('MiT Strom Pipeline'!$V:$V,$U140))&gt;0,LEFT(INDEX('MiT Strom Pipeline'!$V:$V,$U140),55),""))</f>
        <v>Technisches Gespräch – USV + PQ-Anforderungen klären, K</v>
      </c>
      <c r="M140" s="22" t="n"/>
      <c r="N140" s="22" t="n"/>
      <c r="O140" s="22" t="n"/>
      <c r="P140" s="22" t="n"/>
      <c r="Q140" s="22" t="n"/>
      <c r="R140" s="22" t="n"/>
      <c r="S140" s="22" t="n"/>
      <c r="U140">
        <f>IFERROR(MATCH(2,'MiT Strom Pipeline'!$AD$6:$AD$860,0)+5,"")</f>
        <v>18</v>
      </c>
    </row>
    <row r="141" hidden="1" ht="15.75" customHeight="1">
      <c r="A141" s="26">
        <f>IF($U141="","",IF(ISNUMBER(INDEX('MiT Strom Pipeline'!$A:$A,$U141)),INDEX('MiT Strom Pipeline'!$A:$A,$U141),""))</f>
        <v>25</v>
      </c>
      <c r="B141" s="27" t="str">
        <f>IF($U141="","",IF(INDEX('MiT Strom Pipeline'!$B:$B,$U141)="","",INDEX('MiT Strom Pipeline'!$B:$B,$U141)))</f>
        <v>Reto EKAG</v>
      </c>
      <c r="C141" s="27" t="str">
        <f>IF($U141="","",IF(INDEX('MiT Strom Pipeline'!$C:$C,$U141)="","",INDEX('MiT Strom Pipeline'!$C:$C,$U141)))</f>
        <v>AG</v>
      </c>
      <c r="D141" s="27" t="str">
        <f>IF($U141="","",IF(INDEX('MiT Strom Pipeline'!$D:$D,$U141)="","",INDEX('MiT Strom Pipeline'!$D:$D,$U141)))</f>
        <v>Elektroinstallation</v>
      </c>
      <c r="E141" s="27" t="str">
        <f>IF($U141="","",IF(INDEX('MiT Strom Pipeline'!$H:$H,$U141)="","",INDEX('MiT Strom Pipeline'!$H:$H,$U141)))</f>
        <v>Okt</v>
      </c>
      <c r="F141" s="27" t="str">
        <f>IF($U141="","",IF(INDEX('MiT Strom Pipeline'!$E:$E,$U141)="","",INDEX('MiT Strom Pipeline'!$E:$E,$U141)))</f>
        <v>Option B 1x 6 kVA Trafo, 1x 3000 kVA Trafo, 1x 6000 kVA Lastbank, 1x 3300 kVA Lastbank</v>
      </c>
      <c r="G141" s="28">
        <f>IF($U141="","",IF(ISNUMBER(INDEX('MiT Strom Pipeline'!$I:$I,$U141)),INDEX('MiT Strom Pipeline'!$I:$I,$U141),0))</f>
        <v>57249.54</v>
      </c>
      <c r="H141" s="28">
        <f>IF($U141="","",IF(ISNUMBER(INDEX('MiT Strom Pipeline'!$Q:$Q,$U141)),INDEX('MiT Strom Pipeline'!$Q:$Q,$U141),0))</f>
        <v>40074.678</v>
      </c>
      <c r="I141" s="28">
        <f>IF($U141="","",IF(ISNUMBER(INDEX('MiT Strom Pipeline'!$O:$O,$U141)),INDEX('MiT Strom Pipeline'!$O:$O,$U141),0))</f>
        <v>-21565.77</v>
      </c>
      <c r="J141" s="27" t="str">
        <f>IF($U141="","",INDEX('MiT Strom Pipeline'!$R:$R,$U141))</f>
        <v>Evaluation</v>
      </c>
      <c r="K141" s="29">
        <f>IF($U141="","",IF(ISNUMBER(INDEX('MiT Strom Pipeline'!$S:$S,$U141)),INDEX('MiT Strom Pipeline'!$S:$S,$U141),""))</f>
        <v>0.7</v>
      </c>
      <c r="L141" s="27" t="str">
        <f>IF($U141="","",IF(LEN(INDEX('MiT Strom Pipeline'!$V:$V,$U141))&gt;0,LEFT(INDEX('MiT Strom Pipeline'!$V:$V,$U141),55),""))</f>
        <v>Kunde Telefon Kontaktiert und Vor Ort 
Besichtigung und</v>
      </c>
      <c r="M141" s="22" t="n"/>
      <c r="N141" s="22" t="n"/>
      <c r="O141" s="22" t="n"/>
      <c r="P141" s="22" t="n"/>
      <c r="Q141" s="22" t="n"/>
      <c r="R141" s="22" t="n"/>
      <c r="S141" s="22" t="n"/>
      <c r="U141">
        <f>IFERROR(MATCH(3,'MiT Strom Pipeline'!$AD$6:$AD$860,0)+5,"")</f>
        <v>19</v>
      </c>
    </row>
    <row r="142" hidden="1" ht="15.75" customHeight="1">
      <c r="A142" s="26">
        <f>IF($U142="","",IF(ISNUMBER(INDEX('MiT Strom Pipeline'!$A:$A,$U142)),INDEX('MiT Strom Pipeline'!$A:$A,$U142),""))</f>
        <v>25</v>
      </c>
      <c r="B142" s="27" t="str">
        <f>IF($U142="","",IF(INDEX('MiT Strom Pipeline'!$B:$B,$U142)="","",INDEX('MiT Strom Pipeline'!$B:$B,$U142)))</f>
        <v>Reto EKAG</v>
      </c>
      <c r="C142" s="27" t="str">
        <f>IF($U142="","",IF(INDEX('MiT Strom Pipeline'!$C:$C,$U142)="","",INDEX('MiT Strom Pipeline'!$C:$C,$U142)))</f>
        <v>AG</v>
      </c>
      <c r="D142" s="27" t="str">
        <f>IF($U142="","",IF(INDEX('MiT Strom Pipeline'!$D:$D,$U142)="","",INDEX('MiT Strom Pipeline'!$D:$D,$U142)))</f>
        <v>Elektroinstallation</v>
      </c>
      <c r="E142" s="27" t="str">
        <f>IF($U142="","",IF(INDEX('MiT Strom Pipeline'!$H:$H,$U142)="","",INDEX('MiT Strom Pipeline'!$H:$H,$U142)))</f>
        <v>Okt</v>
      </c>
      <c r="F142" s="27" t="str">
        <f>IF($U142="","",IF(INDEX('MiT Strom Pipeline'!$E:$E,$U142)="","",INDEX('MiT Strom Pipeline'!$E:$E,$U142)))</f>
        <v>MS Kabel 95mm</v>
      </c>
      <c r="G142" s="28">
        <f>IF($U142="","",IF(ISNUMBER(INDEX('MiT Strom Pipeline'!$I:$I,$U142)),INDEX('MiT Strom Pipeline'!$I:$I,$U142),0))</f>
        <v>15664.18</v>
      </c>
      <c r="H142" s="28">
        <f>IF($U142="","",IF(ISNUMBER(INDEX('MiT Strom Pipeline'!$Q:$Q,$U142)),INDEX('MiT Strom Pipeline'!$Q:$Q,$U142),0))</f>
        <v>10964.926</v>
      </c>
      <c r="I142" s="28">
        <f>IF($U142="","",IF(ISNUMBER(INDEX('MiT Strom Pipeline'!$O:$O,$U142)),INDEX('MiT Strom Pipeline'!$O:$O,$U142),0))</f>
        <v>18</v>
      </c>
      <c r="J142" s="27" t="str">
        <f>IF($U142="","",INDEX('MiT Strom Pipeline'!$R:$R,$U142))</f>
        <v>Evaluation</v>
      </c>
      <c r="K142" s="29">
        <f>IF($U142="","",IF(ISNUMBER(INDEX('MiT Strom Pipeline'!$S:$S,$U142)),INDEX('MiT Strom Pipeline'!$S:$S,$U142),""))</f>
        <v>0.7</v>
      </c>
      <c r="L142" s="27" t="str">
        <f>IF($U142="","",IF(LEN(INDEX('MiT Strom Pipeline'!$V:$V,$U142))&gt;0,LEFT(INDEX('MiT Strom Pipeline'!$V:$V,$U142),55),""))</f>
        <v>Kunde Telefon Kontaktiert und Vor Ort 
Besichtigung und</v>
      </c>
      <c r="M142" s="22" t="n"/>
      <c r="N142" s="22" t="n"/>
      <c r="O142" s="22" t="n"/>
      <c r="P142" s="22" t="n"/>
      <c r="Q142" s="22" t="n"/>
      <c r="R142" s="22" t="n"/>
      <c r="S142" s="22" t="n"/>
      <c r="U142">
        <f>IFERROR(MATCH(4,'MiT Strom Pipeline'!$AD$6:$AD$860,0)+5,"")</f>
        <v>20</v>
      </c>
    </row>
    <row r="143" hidden="1" ht="15.75" customHeight="1">
      <c r="A143" s="26">
        <f>IF($U143="","",IF(ISNUMBER(INDEX('MiT Strom Pipeline'!$A:$A,$U143)),INDEX('MiT Strom Pipeline'!$A:$A,$U143),""))</f>
        <v>8</v>
      </c>
      <c r="B143" s="27" t="str">
        <f>IF($U143="","",IF(INDEX('MiT Strom Pipeline'!$B:$B,$U143)="","",INDEX('MiT Strom Pipeline'!$B:$B,$U143)))</f>
        <v>Sade CGTH (Schweiz)</v>
      </c>
      <c r="C143" s="27" t="str">
        <f>IF($U143="","",IF(INDEX('MiT Strom Pipeline'!$C:$C,$U143)="","",INDEX('MiT Strom Pipeline'!$C:$C,$U143)))</f>
        <v>GE</v>
      </c>
      <c r="D143" s="27" t="str">
        <f>IF($U143="","",IF(INDEX('MiT Strom Pipeline'!$D:$D,$U143)="","",INDEX('MiT Strom Pipeline'!$D:$D,$U143)))</f>
        <v>Infrastruktur / Bau</v>
      </c>
      <c r="E143" s="27" t="str">
        <f>IF($U143="","",IF(INDEX('MiT Strom Pipeline'!$H:$H,$U143)="","",INDEX('MiT Strom Pipeline'!$H:$H,$U143)))</f>
        <v>April</v>
      </c>
      <c r="F143" s="27" t="str">
        <f>IF($U143="","",IF(INDEX('MiT Strom Pipeline'!$E:$E,$U143)="","",INDEX('MiT Strom Pipeline'!$E:$E,$U143)))</f>
        <v>750 kVA Generator</v>
      </c>
      <c r="G143" s="28">
        <f>IF($U143="","",IF(ISNUMBER(INDEX('MiT Strom Pipeline'!$I:$I,$U143)),INDEX('MiT Strom Pipeline'!$I:$I,$U143),0))</f>
        <v>38885</v>
      </c>
      <c r="H143" s="28">
        <f>IF($U143="","",IF(ISNUMBER(INDEX('MiT Strom Pipeline'!$Q:$Q,$U143)),INDEX('MiT Strom Pipeline'!$Q:$Q,$U143),0))</f>
        <v>19442.5</v>
      </c>
      <c r="I143" s="28">
        <f>IF($U143="","",IF(ISNUMBER(INDEX('MiT Strom Pipeline'!$O:$O,$U143)),INDEX('MiT Strom Pipeline'!$O:$O,$U143),0))</f>
        <v>7085</v>
      </c>
      <c r="J143" s="27" t="str">
        <f>IF($U143="","",INDEX('MiT Strom Pipeline'!$R:$R,$U143))</f>
        <v>follow-up</v>
      </c>
      <c r="K143" s="29">
        <f>IF($U143="","",IF(ISNUMBER(INDEX('MiT Strom Pipeline'!$S:$S,$U143)),INDEX('MiT Strom Pipeline'!$S:$S,$U143),""))</f>
        <v>0.5</v>
      </c>
      <c r="L143" s="27" t="str">
        <f>IF($U143="","",IF(LEN(INDEX('MiT Strom Pipeline'!$V:$V,$U143))&gt;0,LEFT(INDEX('MiT Strom Pipeline'!$V:$V,$U143),55),""))</f>
        <v>Auftragsbestätigung anfordern – Entscheid steht bevor</v>
      </c>
      <c r="M143" s="22" t="n"/>
      <c r="N143" s="22" t="n"/>
      <c r="O143" s="22" t="n"/>
      <c r="P143" s="22" t="n"/>
      <c r="Q143" s="22" t="n"/>
      <c r="R143" s="22" t="n"/>
      <c r="S143" s="22" t="n"/>
      <c r="U143">
        <f>IFERROR(MATCH(5,'MiT Strom Pipeline'!$AD$6:$AD$860,0)+5,"")</f>
        <v>28</v>
      </c>
    </row>
    <row r="144" hidden="1" ht="15.75" customHeight="1">
      <c r="A144" s="26">
        <f>IF($U144="","",IF(ISNUMBER(INDEX('MiT Strom Pipeline'!$A:$A,$U144)),INDEX('MiT Strom Pipeline'!$A:$A,$U144),""))</f>
        <v>41</v>
      </c>
      <c r="B144" s="27" t="str">
        <f>IF($U144="","",IF(INDEX('MiT Strom Pipeline'!$B:$B,$U144)="","",INDEX('MiT Strom Pipeline'!$B:$B,$U144)))</f>
        <v>Verein Street Parade Zürich</v>
      </c>
      <c r="C144" s="27" t="str">
        <f>IF($U144="","",IF(INDEX('MiT Strom Pipeline'!$C:$C,$U144)="","",INDEX('MiT Strom Pipeline'!$C:$C,$U144)))</f>
        <v>ZH</v>
      </c>
      <c r="D144" s="27" t="str">
        <f>IF($U144="","",IF(INDEX('MiT Strom Pipeline'!$D:$D,$U144)="","",INDEX('MiT Strom Pipeline'!$D:$D,$U144)))</f>
        <v>Event</v>
      </c>
      <c r="E144" s="27" t="str">
        <f>IF($U144="","",IF(INDEX('MiT Strom Pipeline'!$H:$H,$U144)="","",INDEX('MiT Strom Pipeline'!$H:$H,$U144)))</f>
        <v>Aug</v>
      </c>
      <c r="F144" s="27" t="str">
        <f>IF($U144="","",IF(INDEX('MiT Strom Pipeline'!$E:$E,$U144)="","",INDEX('MiT Strom Pipeline'!$E:$E,$U144)))</f>
        <v>100 kVA </v>
      </c>
      <c r="G144" s="28">
        <f>IF($U144="","",IF(ISNUMBER(INDEX('MiT Strom Pipeline'!$I:$I,$U144)),INDEX('MiT Strom Pipeline'!$I:$I,$U144),0))</f>
        <v>3760.04</v>
      </c>
      <c r="H144" s="28">
        <f>IF($U144="","",IF(ISNUMBER(INDEX('MiT Strom Pipeline'!$Q:$Q,$U144)),INDEX('MiT Strom Pipeline'!$Q:$Q,$U144),0))</f>
        <v>1880.02</v>
      </c>
      <c r="I144" s="28">
        <f>IF($U144="","",IF(ISNUMBER(INDEX('MiT Strom Pipeline'!$O:$O,$U144)),INDEX('MiT Strom Pipeline'!$O:$O,$U144),0))</f>
        <v>0</v>
      </c>
      <c r="J144" s="27" t="str">
        <f>IF($U144="","",INDEX('MiT Strom Pipeline'!$R:$R,$U144))</f>
        <v>In evaluation</v>
      </c>
      <c r="K144" s="29">
        <f>IF($U144="","",IF(ISNUMBER(INDEX('MiT Strom Pipeline'!$S:$S,$U144)),INDEX('MiT Strom Pipeline'!$S:$S,$U144),""))</f>
        <v>0.5</v>
      </c>
      <c r="L144" s="27" t="str">
        <f>IF($U144="","",IF(LEN(INDEX('MiT Strom Pipeline'!$V:$V,$U144))&gt;0,LEFT(INDEX('MiT Strom Pipeline'!$V:$V,$U144),55),""))</f>
        <v>Kunde angeschrieben, Offerte erstellt, Kunde hat Offert</v>
      </c>
      <c r="M144" s="22" t="n"/>
      <c r="N144" s="22" t="n"/>
      <c r="O144" s="22" t="n"/>
      <c r="P144" s="22" t="n"/>
      <c r="Q144" s="22" t="n"/>
      <c r="R144" s="22" t="n"/>
      <c r="S144" s="22" t="n"/>
      <c r="U144">
        <f>IFERROR(MATCH(6,'MiT Strom Pipeline'!$AD$6:$AD$860,0)+5,"")</f>
        <v>44</v>
      </c>
    </row>
    <row r="145" ht="15.75" customHeight="1">
      <c r="A145" s="26">
        <f>IF($U145="","",IF(ISNUMBER(INDEX('MiT Strom Pipeline'!$A:$A,$U145)),INDEX('MiT Strom Pipeline'!$A:$A,$U145),""))</f>
        <v>9</v>
      </c>
      <c r="B145" s="27" t="str">
        <f>IF($U145="","",IF(INDEX('MiT Strom Pipeline'!$B:$B,$U145)="","",INDEX('MiT Strom Pipeline'!$B:$B,$U145)))</f>
        <v>Badermetaux Sàrl (Schweiz)</v>
      </c>
      <c r="C145" s="27" t="str">
        <f>IF($U145="","",IF(INDEX('MiT Strom Pipeline'!$C:$C,$U145)="","",INDEX('MiT Strom Pipeline'!$C:$C,$U145)))</f>
        <v>ZH</v>
      </c>
      <c r="D145" s="27" t="str">
        <f>IF($U145="","",IF(INDEX('MiT Strom Pipeline'!$D:$D,$U145)="","",INDEX('MiT Strom Pipeline'!$D:$D,$U145)))</f>
        <v>Industrie / Metall</v>
      </c>
      <c r="E145" s="27" t="str">
        <f>IF($U145="","",IF(INDEX('MiT Strom Pipeline'!$H:$H,$U145)="","",INDEX('MiT Strom Pipeline'!$H:$H,$U145)))</f>
        <v>Mai</v>
      </c>
      <c r="F145" s="27" t="str">
        <f>IF($U145="","",IF(INDEX('MiT Strom Pipeline'!$E:$E,$U145)="","",INDEX('MiT Strom Pipeline'!$E:$E,$U145)))</f>
        <v>600 kVA Langzeitmiete</v>
      </c>
      <c r="G145" s="28">
        <f>IF($U145="","",IF(ISNUMBER(INDEX('MiT Strom Pipeline'!$I:$I,$U145)),INDEX('MiT Strom Pipeline'!$I:$I,$U145),0))</f>
        <v>500000</v>
      </c>
      <c r="H145" s="28">
        <f>IF($U145="","",IF(ISNUMBER(INDEX('MiT Strom Pipeline'!$Q:$Q,$U145)),INDEX('MiT Strom Pipeline'!$Q:$Q,$U145),0))</f>
        <v>50000</v>
      </c>
      <c r="I145" s="28">
        <f>IF($U145="","",IF(ISNUMBER(INDEX('MiT Strom Pipeline'!$O:$O,$U145)),INDEX('MiT Strom Pipeline'!$O:$O,$U145),0))</f>
        <v>130000</v>
      </c>
      <c r="J145" s="27" t="str">
        <f>IF($U145="","",INDEX('MiT Strom Pipeline'!$R:$R,$U145))</f>
        <v>follow-up</v>
      </c>
      <c r="K145" s="29">
        <f>IF($U145="","",IF(ISNUMBER(INDEX('MiT Strom Pipeline'!$S:$S,$U145)),INDEX('MiT Strom Pipeline'!$S:$S,$U145),""))</f>
        <v>0.1</v>
      </c>
      <c r="L145" s="27" t="str">
        <f>IF($U145="","",IF(LEN(INDEX('MiT Strom Pipeline'!$V:$V,$U145))&gt;0,LEFT(INDEX('MiT Strom Pipeline'!$V:$V,$U145),55),""))</f>
        <v>PQ-Analyse + Langzeitkonzept vorlegen</v>
      </c>
      <c r="M145" s="22" t="n"/>
      <c r="N145" s="22" t="n"/>
      <c r="O145" s="22" t="n"/>
      <c r="P145" s="22" t="n"/>
      <c r="Q145" s="22" t="n"/>
      <c r="R145" s="22" t="n"/>
      <c r="S145" s="22" t="n"/>
      <c r="U145">
        <f>IFERROR(MATCH(7,'MiT Strom Pipeline'!$AD$6:$AD$860,0)+5,"")</f>
        <v>46</v>
      </c>
    </row>
    <row r="146" ht="15.75" customHeight="1">
      <c r="A146" s="26">
        <f>IF($U146="","",IF(ISNUMBER(INDEX('MiT Strom Pipeline'!$A:$A,$U146)),INDEX('MiT Strom Pipeline'!$A:$A,$U146),""))</f>
        <v>32</v>
      </c>
      <c r="B146" s="27" t="str">
        <f>IF($U146="","",IF(INDEX('MiT Strom Pipeline'!$B:$B,$U146)="","",INDEX('MiT Strom Pipeline'!$B:$B,$U146)))</f>
        <v>WSP</v>
      </c>
      <c r="C146" s="27" t="str">
        <f>IF($U146="","",IF(INDEX('MiT Strom Pipeline'!$C:$C,$U146)="","",INDEX('MiT Strom Pipeline'!$C:$C,$U146)))</f>
        <v>VD</v>
      </c>
      <c r="D146" s="27" t="str">
        <f>IF($U146="","",IF(INDEX('MiT Strom Pipeline'!$D:$D,$U146)="","",INDEX('MiT Strom Pipeline'!$D:$D,$U146)))</f>
        <v>Industrie</v>
      </c>
      <c r="E146" s="27" t="str">
        <f>IF($U146="","",IF(INDEX('MiT Strom Pipeline'!$H:$H,$U146)="","",INDEX('MiT Strom Pipeline'!$H:$H,$U146)))</f>
        <v>tbd</v>
      </c>
      <c r="F146" s="27" t="str">
        <f>IF($U146="","",IF(INDEX('MiT Strom Pipeline'!$E:$E,$U146)="","",INDEX('MiT Strom Pipeline'!$E:$E,$U146)))</f>
        <v>tbd</v>
      </c>
      <c r="G146" s="28">
        <f>IF($U146="","",IF(ISNUMBER(INDEX('MiT Strom Pipeline'!$I:$I,$U146)),INDEX('MiT Strom Pipeline'!$I:$I,$U146),0))</f>
        <v>0</v>
      </c>
      <c r="H146" s="28">
        <f>IF($U146="","",IF(ISNUMBER(INDEX('MiT Strom Pipeline'!$Q:$Q,$U146)),INDEX('MiT Strom Pipeline'!$Q:$Q,$U146),0))</f>
        <v>0</v>
      </c>
      <c r="I146" s="28">
        <f>IF($U146="","",IF(ISNUMBER(INDEX('MiT Strom Pipeline'!$O:$O,$U146)),INDEX('MiT Strom Pipeline'!$O:$O,$U146),0))</f>
        <v>0</v>
      </c>
      <c r="J146" s="27" t="str">
        <f>IF($U146="","",INDEX('MiT Strom Pipeline'!$R:$R,$U146))</f>
        <v>tbd</v>
      </c>
      <c r="K146" s="29">
        <f>IF($U146="","",IF(ISNUMBER(INDEX('MiT Strom Pipeline'!$S:$S,$U146)),INDEX('MiT Strom Pipeline'!$S:$S,$U146),""))</f>
        <v>0</v>
      </c>
      <c r="L146" s="27" t="str">
        <f>IF($U146="","",IF(LEN(INDEX('MiT Strom Pipeline'!$V:$V,$U146))&gt;0,LEFT(INDEX('MiT Strom Pipeline'!$V:$V,$U146),55),""))</f>
        <v>Kunde angeschrieben, Telefoniert noch kein bedarf</v>
      </c>
      <c r="M146" s="22" t="n"/>
      <c r="N146" s="22" t="n"/>
      <c r="O146" s="22" t="n"/>
      <c r="P146" s="22" t="n"/>
      <c r="Q146" s="22" t="n"/>
      <c r="R146" s="22" t="n"/>
      <c r="S146" s="22" t="n"/>
      <c r="U146">
        <f>IFERROR(MATCH(8,'MiT Strom Pipeline'!$AD$6:$AD$860,0)+5,"")</f>
        <v>51</v>
      </c>
    </row>
    <row r="147" hidden="1" ht="15.75" customHeight="1">
      <c r="A147" s="26">
        <f>IF($U147="","",IF(ISNUMBER(INDEX('MiT Strom Pipeline'!$A:$A,$U147)),INDEX('MiT Strom Pipeline'!$A:$A,$U147),""))</f>
        <v>42</v>
      </c>
      <c r="B147" s="27" t="str">
        <f>IF($U147="","",IF(INDEX('MiT Strom Pipeline'!$B:$B,$U147)="","",INDEX('MiT Strom Pipeline'!$B:$B,$U147)))</f>
        <v>SMT</v>
      </c>
      <c r="C147" s="27" t="str">
        <f>IF($U147="","",IF(INDEX('MiT Strom Pipeline'!$C:$C,$U147)="","",INDEX('MiT Strom Pipeline'!$C:$C,$U147)))</f>
        <v>ZH</v>
      </c>
      <c r="D147" s="27" t="str">
        <f>IF($U147="","",IF(INDEX('MiT Strom Pipeline'!$D:$D,$U147)="","",INDEX('MiT Strom Pipeline'!$D:$D,$U147)))</f>
        <v>Industrie</v>
      </c>
      <c r="E147" s="27" t="str">
        <f>IF($U147="","",IF(INDEX('MiT Strom Pipeline'!$H:$H,$U147)="","",INDEX('MiT Strom Pipeline'!$H:$H,$U147)))</f>
        <v>Aug</v>
      </c>
      <c r="F147" s="27" t="str">
        <f>IF($U147="","",IF(INDEX('MiT Strom Pipeline'!$E:$E,$U147)="","",INDEX('MiT Strom Pipeline'!$E:$E,$U147)))</f>
        <v>1000 kVA</v>
      </c>
      <c r="G147" s="28">
        <f>IF($U147="","",IF(ISNUMBER(INDEX('MiT Strom Pipeline'!$I:$I,$U147)),INDEX('MiT Strom Pipeline'!$I:$I,$U147),0))</f>
        <v>6772.8</v>
      </c>
      <c r="H147" s="28">
        <f>IF($U147="","",IF(ISNUMBER(INDEX('MiT Strom Pipeline'!$Q:$Q,$U147)),INDEX('MiT Strom Pipeline'!$Q:$Q,$U147),0))</f>
        <v>4740.96</v>
      </c>
      <c r="I147" s="28">
        <f>IF($U147="","",IF(ISNUMBER(INDEX('MiT Strom Pipeline'!$O:$O,$U147)),INDEX('MiT Strom Pipeline'!$O:$O,$U147),0))</f>
        <v>0</v>
      </c>
      <c r="J147" s="27" t="str">
        <f>IF($U147="","",INDEX('MiT Strom Pipeline'!$R:$R,$U147))</f>
        <v>Evaluation</v>
      </c>
      <c r="K147" s="29">
        <f>IF($U147="","",IF(ISNUMBER(INDEX('MiT Strom Pipeline'!$S:$S,$U147)),INDEX('MiT Strom Pipeline'!$S:$S,$U147),""))</f>
        <v>0.7</v>
      </c>
      <c r="L147" s="27" t="str">
        <f>IF($U147="","",IF(LEN(INDEX('MiT Strom Pipeline'!$V:$V,$U147))&gt;0,LEFT(INDEX('MiT Strom Pipeline'!$V:$V,$U147),55),""))</f>
        <v>Kunde angeschrieben, Offerte erstellt, Kunde hat Offert</v>
      </c>
      <c r="M147" s="22" t="n"/>
      <c r="N147" s="22" t="n"/>
      <c r="O147" s="22" t="n"/>
      <c r="P147" s="22" t="n"/>
      <c r="Q147" s="22" t="n"/>
      <c r="R147" s="22" t="n"/>
      <c r="S147" s="22" t="n"/>
      <c r="U147">
        <f>IFERROR(MATCH(9,'MiT Strom Pipeline'!$AD$6:$AD$860,0)+5,"")</f>
        <v>52</v>
      </c>
    </row>
    <row r="148" hidden="1" ht="15.75" customHeight="1">
      <c r="A148" s="26" t="str">
        <f>IF($U148="","",IF(ISNUMBER(INDEX('MiT Strom Pipeline'!$A:$A,$U148)),INDEX('MiT Strom Pipeline'!$A:$A,$U148),""))</f>
        <v/>
      </c>
      <c r="B148" s="27" t="str">
        <f>IF($U148="","",IF(INDEX('MiT Strom Pipeline'!$B:$B,$U148)="","",INDEX('MiT Strom Pipeline'!$B:$B,$U148)))</f>
        <v/>
      </c>
      <c r="C148" s="27" t="str">
        <f>IF($U148="","",IF(INDEX('MiT Strom Pipeline'!$C:$C,$U148)="","",INDEX('MiT Strom Pipeline'!$C:$C,$U148)))</f>
        <v/>
      </c>
      <c r="D148" s="27" t="str">
        <f>IF($U148="","",IF(INDEX('MiT Strom Pipeline'!$D:$D,$U148)="","",INDEX('MiT Strom Pipeline'!$D:$D,$U148)))</f>
        <v/>
      </c>
      <c r="E148" s="27" t="str">
        <f>IF($U148="","",IF(INDEX('MiT Strom Pipeline'!$H:$H,$U148)="","",INDEX('MiT Strom Pipeline'!$H:$H,$U148)))</f>
        <v/>
      </c>
      <c r="F148" s="27" t="str">
        <f>IF($U148="","",IF(INDEX('MiT Strom Pipeline'!$E:$E,$U148)="","",INDEX('MiT Strom Pipeline'!$E:$E,$U148)))</f>
        <v/>
      </c>
      <c r="G148" s="28" t="str">
        <f>IF($U148="","",IF(ISNUMBER(INDEX('MiT Strom Pipeline'!$I:$I,$U148)),INDEX('MiT Strom Pipeline'!$I:$I,$U148),0))</f>
        <v/>
      </c>
      <c r="H148" s="28" t="str">
        <f>IF($U148="","",IF(ISNUMBER(INDEX('MiT Strom Pipeline'!$Q:$Q,$U148)),INDEX('MiT Strom Pipeline'!$Q:$Q,$U148),0))</f>
        <v/>
      </c>
      <c r="I148" s="28" t="str">
        <f>IF($U148="","",IF(ISNUMBER(INDEX('MiT Strom Pipeline'!$O:$O,$U148)),INDEX('MiT Strom Pipeline'!$O:$O,$U148),0))</f>
        <v/>
      </c>
      <c r="J148" s="27" t="str">
        <f>IF($U148="","",INDEX('MiT Strom Pipeline'!$R:$R,$U148))</f>
        <v/>
      </c>
      <c r="K148" s="29" t="str">
        <f>IF($U148="","",IF(ISNUMBER(INDEX('MiT Strom Pipeline'!$S:$S,$U148)),INDEX('MiT Strom Pipeline'!$S:$S,$U148),""))</f>
        <v/>
      </c>
      <c r="L148" s="27" t="str">
        <f>IF($U148="","",IF(LEN(INDEX('MiT Strom Pipeline'!$V:$V,$U148))&gt;0,LEFT(INDEX('MiT Strom Pipeline'!$V:$V,$U148),55),""))</f>
        <v/>
      </c>
      <c r="M148" s="22" t="n"/>
      <c r="N148" s="22" t="n"/>
      <c r="O148" s="22" t="n"/>
      <c r="P148" s="22" t="n"/>
      <c r="Q148" s="22" t="n"/>
      <c r="R148" s="22" t="n"/>
      <c r="S148" s="22" t="n"/>
      <c r="U148" t="str">
        <f>IFERROR(MATCH(10,'MiT Strom Pipeline'!$AD$6:$AD$860,0)+5,"")</f>
        <v/>
      </c>
    </row>
    <row r="149" hidden="1" ht="15.75" customHeight="1">
      <c r="A149" s="26" t="str">
        <f>IF($U149="","",IF(ISNUMBER(INDEX('MiT Strom Pipeline'!$A:$A,$U149)),INDEX('MiT Strom Pipeline'!$A:$A,$U149),""))</f>
        <v/>
      </c>
      <c r="B149" s="27" t="str">
        <f>IF($U149="","",IF(INDEX('MiT Strom Pipeline'!$B:$B,$U149)="","",INDEX('MiT Strom Pipeline'!$B:$B,$U149)))</f>
        <v/>
      </c>
      <c r="C149" s="27" t="str">
        <f>IF($U149="","",IF(INDEX('MiT Strom Pipeline'!$C:$C,$U149)="","",INDEX('MiT Strom Pipeline'!$C:$C,$U149)))</f>
        <v/>
      </c>
      <c r="D149" s="27" t="str">
        <f>IF($U149="","",IF(INDEX('MiT Strom Pipeline'!$D:$D,$U149)="","",INDEX('MiT Strom Pipeline'!$D:$D,$U149)))</f>
        <v/>
      </c>
      <c r="E149" s="27" t="str">
        <f>IF($U149="","",IF(INDEX('MiT Strom Pipeline'!$H:$H,$U149)="","",INDEX('MiT Strom Pipeline'!$H:$H,$U149)))</f>
        <v/>
      </c>
      <c r="F149" s="27" t="str">
        <f>IF($U149="","",IF(INDEX('MiT Strom Pipeline'!$E:$E,$U149)="","",INDEX('MiT Strom Pipeline'!$E:$E,$U149)))</f>
        <v/>
      </c>
      <c r="G149" s="28" t="str">
        <f>IF($U149="","",IF(ISNUMBER(INDEX('MiT Strom Pipeline'!$I:$I,$U149)),INDEX('MiT Strom Pipeline'!$I:$I,$U149),0))</f>
        <v/>
      </c>
      <c r="H149" s="28" t="str">
        <f>IF($U149="","",IF(ISNUMBER(INDEX('MiT Strom Pipeline'!$Q:$Q,$U149)),INDEX('MiT Strom Pipeline'!$Q:$Q,$U149),0))</f>
        <v/>
      </c>
      <c r="I149" s="28" t="str">
        <f>IF($U149="","",IF(ISNUMBER(INDEX('MiT Strom Pipeline'!$O:$O,$U149)),INDEX('MiT Strom Pipeline'!$O:$O,$U149),0))</f>
        <v/>
      </c>
      <c r="J149" s="27" t="str">
        <f>IF($U149="","",INDEX('MiT Strom Pipeline'!$R:$R,$U149))</f>
        <v/>
      </c>
      <c r="K149" s="29" t="str">
        <f>IF($U149="","",IF(ISNUMBER(INDEX('MiT Strom Pipeline'!$S:$S,$U149)),INDEX('MiT Strom Pipeline'!$S:$S,$U149),""))</f>
        <v/>
      </c>
      <c r="L149" s="27" t="str">
        <f>IF($U149="","",IF(LEN(INDEX('MiT Strom Pipeline'!$V:$V,$U149))&gt;0,LEFT(INDEX('MiT Strom Pipeline'!$V:$V,$U149),55),""))</f>
        <v/>
      </c>
      <c r="M149" s="22" t="n"/>
      <c r="N149" s="22" t="n"/>
      <c r="O149" s="22" t="n"/>
      <c r="P149" s="22" t="n"/>
      <c r="Q149" s="22" t="n"/>
      <c r="R149" s="22" t="n"/>
      <c r="S149" s="22" t="n"/>
      <c r="U149" t="str">
        <f>IFERROR(MATCH(11,'MiT Strom Pipeline'!$AD$6:$AD$860,0)+5,"")</f>
        <v/>
      </c>
    </row>
    <row r="150" hidden="1" ht="15.75" customHeight="1">
      <c r="A150" s="26" t="str">
        <f>IF($U150="","",IF(ISNUMBER(INDEX('MiT Strom Pipeline'!$A:$A,$U150)),INDEX('MiT Strom Pipeline'!$A:$A,$U150),""))</f>
        <v/>
      </c>
      <c r="B150" s="27" t="str">
        <f>IF($U150="","",IF(INDEX('MiT Strom Pipeline'!$B:$B,$U150)="","",INDEX('MiT Strom Pipeline'!$B:$B,$U150)))</f>
        <v/>
      </c>
      <c r="C150" s="27" t="str">
        <f>IF($U150="","",IF(INDEX('MiT Strom Pipeline'!$C:$C,$U150)="","",INDEX('MiT Strom Pipeline'!$C:$C,$U150)))</f>
        <v/>
      </c>
      <c r="D150" s="27" t="str">
        <f>IF($U150="","",IF(INDEX('MiT Strom Pipeline'!$D:$D,$U150)="","",INDEX('MiT Strom Pipeline'!$D:$D,$U150)))</f>
        <v/>
      </c>
      <c r="E150" s="27" t="str">
        <f>IF($U150="","",IF(INDEX('MiT Strom Pipeline'!$H:$H,$U150)="","",INDEX('MiT Strom Pipeline'!$H:$H,$U150)))</f>
        <v/>
      </c>
      <c r="F150" s="27" t="str">
        <f>IF($U150="","",IF(INDEX('MiT Strom Pipeline'!$E:$E,$U150)="","",INDEX('MiT Strom Pipeline'!$E:$E,$U150)))</f>
        <v/>
      </c>
      <c r="G150" s="28" t="str">
        <f>IF($U150="","",IF(ISNUMBER(INDEX('MiT Strom Pipeline'!$I:$I,$U150)),INDEX('MiT Strom Pipeline'!$I:$I,$U150),0))</f>
        <v/>
      </c>
      <c r="H150" s="28" t="str">
        <f>IF($U150="","",IF(ISNUMBER(INDEX('MiT Strom Pipeline'!$Q:$Q,$U150)),INDEX('MiT Strom Pipeline'!$Q:$Q,$U150),0))</f>
        <v/>
      </c>
      <c r="I150" s="28" t="str">
        <f>IF($U150="","",IF(ISNUMBER(INDEX('MiT Strom Pipeline'!$O:$O,$U150)),INDEX('MiT Strom Pipeline'!$O:$O,$U150),0))</f>
        <v/>
      </c>
      <c r="J150" s="27" t="str">
        <f>IF($U150="","",INDEX('MiT Strom Pipeline'!$R:$R,$U150))</f>
        <v/>
      </c>
      <c r="K150" s="29" t="str">
        <f>IF($U150="","",IF(ISNUMBER(INDEX('MiT Strom Pipeline'!$S:$S,$U150)),INDEX('MiT Strom Pipeline'!$S:$S,$U150),""))</f>
        <v/>
      </c>
      <c r="L150" s="27" t="str">
        <f>IF($U150="","",IF(LEN(INDEX('MiT Strom Pipeline'!$V:$V,$U150))&gt;0,LEFT(INDEX('MiT Strom Pipeline'!$V:$V,$U150),55),""))</f>
        <v/>
      </c>
      <c r="M150" s="22" t="n"/>
      <c r="N150" s="22" t="n"/>
      <c r="O150" s="22" t="n"/>
      <c r="P150" s="22" t="n"/>
      <c r="Q150" s="22" t="n"/>
      <c r="R150" s="22" t="n"/>
      <c r="S150" s="22" t="n"/>
      <c r="U150" t="str">
        <f>IFERROR(MATCH(12,'MiT Strom Pipeline'!$AD$6:$AD$860,0)+5,"")</f>
        <v/>
      </c>
    </row>
    <row r="151" hidden="1" ht="15.75" customHeight="1">
      <c r="A151" s="26" t="str">
        <f>IF($U151="","",IF(ISNUMBER(INDEX('MiT Strom Pipeline'!$A:$A,$U151)),INDEX('MiT Strom Pipeline'!$A:$A,$U151),""))</f>
        <v/>
      </c>
      <c r="B151" s="27" t="str">
        <f>IF($U151="","",IF(INDEX('MiT Strom Pipeline'!$B:$B,$U151)="","",INDEX('MiT Strom Pipeline'!$B:$B,$U151)))</f>
        <v/>
      </c>
      <c r="C151" s="27" t="str">
        <f>IF($U151="","",IF(INDEX('MiT Strom Pipeline'!$C:$C,$U151)="","",INDEX('MiT Strom Pipeline'!$C:$C,$U151)))</f>
        <v/>
      </c>
      <c r="D151" s="27" t="str">
        <f>IF($U151="","",IF(INDEX('MiT Strom Pipeline'!$D:$D,$U151)="","",INDEX('MiT Strom Pipeline'!$D:$D,$U151)))</f>
        <v/>
      </c>
      <c r="E151" s="27" t="str">
        <f>IF($U151="","",IF(INDEX('MiT Strom Pipeline'!$H:$H,$U151)="","",INDEX('MiT Strom Pipeline'!$H:$H,$U151)))</f>
        <v/>
      </c>
      <c r="F151" s="27" t="str">
        <f>IF($U151="","",IF(INDEX('MiT Strom Pipeline'!$E:$E,$U151)="","",INDEX('MiT Strom Pipeline'!$E:$E,$U151)))</f>
        <v/>
      </c>
      <c r="G151" s="28" t="str">
        <f>IF($U151="","",IF(ISNUMBER(INDEX('MiT Strom Pipeline'!$I:$I,$U151)),INDEX('MiT Strom Pipeline'!$I:$I,$U151),0))</f>
        <v/>
      </c>
      <c r="H151" s="28" t="str">
        <f>IF($U151="","",IF(ISNUMBER(INDEX('MiT Strom Pipeline'!$Q:$Q,$U151)),INDEX('MiT Strom Pipeline'!$Q:$Q,$U151),0))</f>
        <v/>
      </c>
      <c r="I151" s="28" t="str">
        <f>IF($U151="","",IF(ISNUMBER(INDEX('MiT Strom Pipeline'!$O:$O,$U151)),INDEX('MiT Strom Pipeline'!$O:$O,$U151),0))</f>
        <v/>
      </c>
      <c r="J151" s="27" t="str">
        <f>IF($U151="","",INDEX('MiT Strom Pipeline'!$R:$R,$U151))</f>
        <v/>
      </c>
      <c r="K151" s="29" t="str">
        <f>IF($U151="","",IF(ISNUMBER(INDEX('MiT Strom Pipeline'!$S:$S,$U151)),INDEX('MiT Strom Pipeline'!$S:$S,$U151),""))</f>
        <v/>
      </c>
      <c r="L151" s="27" t="str">
        <f>IF($U151="","",IF(LEN(INDEX('MiT Strom Pipeline'!$V:$V,$U151))&gt;0,LEFT(INDEX('MiT Strom Pipeline'!$V:$V,$U151),55),""))</f>
        <v/>
      </c>
      <c r="M151" s="22" t="n"/>
      <c r="N151" s="22" t="n"/>
      <c r="O151" s="22" t="n"/>
      <c r="P151" s="22" t="n"/>
      <c r="Q151" s="22" t="n"/>
      <c r="R151" s="22" t="n"/>
      <c r="S151" s="22" t="n"/>
      <c r="U151" t="str">
        <f>IFERROR(MATCH(13,'MiT Strom Pipeline'!$AD$6:$AD$860,0)+5,"")</f>
        <v/>
      </c>
    </row>
    <row r="152" hidden="1" ht="15.75" customHeight="1">
      <c r="A152" s="26" t="str">
        <f>IF($U152="","",IF(ISNUMBER(INDEX('MiT Strom Pipeline'!$A:$A,$U152)),INDEX('MiT Strom Pipeline'!$A:$A,$U152),""))</f>
        <v/>
      </c>
      <c r="B152" s="27" t="str">
        <f>IF($U152="","",IF(INDEX('MiT Strom Pipeline'!$B:$B,$U152)="","",INDEX('MiT Strom Pipeline'!$B:$B,$U152)))</f>
        <v/>
      </c>
      <c r="C152" s="27" t="str">
        <f>IF($U152="","",IF(INDEX('MiT Strom Pipeline'!$C:$C,$U152)="","",INDEX('MiT Strom Pipeline'!$C:$C,$U152)))</f>
        <v/>
      </c>
      <c r="D152" s="27" t="str">
        <f>IF($U152="","",IF(INDEX('MiT Strom Pipeline'!$D:$D,$U152)="","",INDEX('MiT Strom Pipeline'!$D:$D,$U152)))</f>
        <v/>
      </c>
      <c r="E152" s="27" t="str">
        <f>IF($U152="","",IF(INDEX('MiT Strom Pipeline'!$H:$H,$U152)="","",INDEX('MiT Strom Pipeline'!$H:$H,$U152)))</f>
        <v/>
      </c>
      <c r="F152" s="27" t="str">
        <f>IF($U152="","",IF(INDEX('MiT Strom Pipeline'!$E:$E,$U152)="","",INDEX('MiT Strom Pipeline'!$E:$E,$U152)))</f>
        <v/>
      </c>
      <c r="G152" s="28" t="str">
        <f>IF($U152="","",IF(ISNUMBER(INDEX('MiT Strom Pipeline'!$I:$I,$U152)),INDEX('MiT Strom Pipeline'!$I:$I,$U152),0))</f>
        <v/>
      </c>
      <c r="H152" s="28" t="str">
        <f>IF($U152="","",IF(ISNUMBER(INDEX('MiT Strom Pipeline'!$Q:$Q,$U152)),INDEX('MiT Strom Pipeline'!$Q:$Q,$U152),0))</f>
        <v/>
      </c>
      <c r="I152" s="28" t="str">
        <f>IF($U152="","",IF(ISNUMBER(INDEX('MiT Strom Pipeline'!$O:$O,$U152)),INDEX('MiT Strom Pipeline'!$O:$O,$U152),0))</f>
        <v/>
      </c>
      <c r="J152" s="27" t="str">
        <f>IF($U152="","",INDEX('MiT Strom Pipeline'!$R:$R,$U152))</f>
        <v/>
      </c>
      <c r="K152" s="29" t="str">
        <f>IF($U152="","",IF(ISNUMBER(INDEX('MiT Strom Pipeline'!$S:$S,$U152)),INDEX('MiT Strom Pipeline'!$S:$S,$U152),""))</f>
        <v/>
      </c>
      <c r="L152" s="27" t="str">
        <f>IF($U152="","",IF(LEN(INDEX('MiT Strom Pipeline'!$V:$V,$U152))&gt;0,LEFT(INDEX('MiT Strom Pipeline'!$V:$V,$U152),55),""))</f>
        <v/>
      </c>
      <c r="M152" s="22" t="n"/>
      <c r="N152" s="22" t="n"/>
      <c r="O152" s="22" t="n"/>
      <c r="P152" s="22" t="n"/>
      <c r="Q152" s="22" t="n"/>
      <c r="R152" s="22" t="n"/>
      <c r="S152" s="22" t="n"/>
      <c r="U152" t="str">
        <f>IFERROR(MATCH(14,'MiT Strom Pipeline'!$AD$6:$AD$860,0)+5,"")</f>
        <v/>
      </c>
    </row>
    <row r="153" hidden="1" ht="15.75" customHeight="1">
      <c r="A153" s="26" t="str">
        <f>IF($U153="","",IF(ISNUMBER(INDEX('MiT Strom Pipeline'!$A:$A,$U153)),INDEX('MiT Strom Pipeline'!$A:$A,$U153),""))</f>
        <v/>
      </c>
      <c r="B153" s="27" t="str">
        <f>IF($U153="","",IF(INDEX('MiT Strom Pipeline'!$B:$B,$U153)="","",INDEX('MiT Strom Pipeline'!$B:$B,$U153)))</f>
        <v/>
      </c>
      <c r="C153" s="27" t="str">
        <f>IF($U153="","",IF(INDEX('MiT Strom Pipeline'!$C:$C,$U153)="","",INDEX('MiT Strom Pipeline'!$C:$C,$U153)))</f>
        <v/>
      </c>
      <c r="D153" s="27" t="str">
        <f>IF($U153="","",IF(INDEX('MiT Strom Pipeline'!$D:$D,$U153)="","",INDEX('MiT Strom Pipeline'!$D:$D,$U153)))</f>
        <v/>
      </c>
      <c r="E153" s="27" t="str">
        <f>IF($U153="","",IF(INDEX('MiT Strom Pipeline'!$H:$H,$U153)="","",INDEX('MiT Strom Pipeline'!$H:$H,$U153)))</f>
        <v/>
      </c>
      <c r="F153" s="27" t="str">
        <f>IF($U153="","",IF(INDEX('MiT Strom Pipeline'!$E:$E,$U153)="","",INDEX('MiT Strom Pipeline'!$E:$E,$U153)))</f>
        <v/>
      </c>
      <c r="G153" s="28" t="str">
        <f>IF($U153="","",IF(ISNUMBER(INDEX('MiT Strom Pipeline'!$I:$I,$U153)),INDEX('MiT Strom Pipeline'!$I:$I,$U153),0))</f>
        <v/>
      </c>
      <c r="H153" s="28" t="str">
        <f>IF($U153="","",IF(ISNUMBER(INDEX('MiT Strom Pipeline'!$Q:$Q,$U153)),INDEX('MiT Strom Pipeline'!$Q:$Q,$U153),0))</f>
        <v/>
      </c>
      <c r="I153" s="28" t="str">
        <f>IF($U153="","",IF(ISNUMBER(INDEX('MiT Strom Pipeline'!$O:$O,$U153)),INDEX('MiT Strom Pipeline'!$O:$O,$U153),0))</f>
        <v/>
      </c>
      <c r="J153" s="27" t="str">
        <f>IF($U153="","",INDEX('MiT Strom Pipeline'!$R:$R,$U153))</f>
        <v/>
      </c>
      <c r="K153" s="29" t="str">
        <f>IF($U153="","",IF(ISNUMBER(INDEX('MiT Strom Pipeline'!$S:$S,$U153)),INDEX('MiT Strom Pipeline'!$S:$S,$U153),""))</f>
        <v/>
      </c>
      <c r="L153" s="27" t="str">
        <f>IF($U153="","",IF(LEN(INDEX('MiT Strom Pipeline'!$V:$V,$U153))&gt;0,LEFT(INDEX('MiT Strom Pipeline'!$V:$V,$U153),55),""))</f>
        <v/>
      </c>
      <c r="M153" s="22" t="n"/>
      <c r="N153" s="22" t="n"/>
      <c r="O153" s="22" t="n"/>
      <c r="P153" s="22" t="n"/>
      <c r="Q153" s="22" t="n"/>
      <c r="R153" s="22" t="n"/>
      <c r="S153" s="22" t="n"/>
      <c r="U153" t="str">
        <f>IFERROR(MATCH(15,'MiT Strom Pipeline'!$AD$6:$AD$860,0)+5,"")</f>
        <v/>
      </c>
    </row>
    <row r="154" ht="15.75" customHeight="1">
      <c r="A154" s="26" t="str">
        <f>IF($U154="","",IF(ISNUMBER(INDEX('MiT Strom Pipeline'!$A:$A,$U154)),INDEX('MiT Strom Pipeline'!$A:$A,$U154),""))</f>
        <v/>
      </c>
      <c r="B154" s="27" t="str">
        <f>IF($U154="","",IF(INDEX('MiT Strom Pipeline'!$B:$B,$U154)="","",INDEX('MiT Strom Pipeline'!$B:$B,$U154)))</f>
        <v/>
      </c>
      <c r="C154" s="27" t="str">
        <f>IF($U154="","",IF(INDEX('MiT Strom Pipeline'!$C:$C,$U154)="","",INDEX('MiT Strom Pipeline'!$C:$C,$U154)))</f>
        <v/>
      </c>
      <c r="D154" s="27" t="str">
        <f>IF($U154="","",IF(INDEX('MiT Strom Pipeline'!$D:$D,$U154)="","",INDEX('MiT Strom Pipeline'!$D:$D,$U154)))</f>
        <v/>
      </c>
      <c r="E154" s="27" t="str">
        <f>IF($U154="","",IF(INDEX('MiT Strom Pipeline'!$H:$H,$U154)="","",INDEX('MiT Strom Pipeline'!$H:$H,$U154)))</f>
        <v/>
      </c>
      <c r="F154" s="27" t="str">
        <f>IF($U154="","",IF(INDEX('MiT Strom Pipeline'!$E:$E,$U154)="","",INDEX('MiT Strom Pipeline'!$E:$E,$U154)))</f>
        <v/>
      </c>
      <c r="G154" s="28" t="str">
        <f>IF($U154="","",IF(ISNUMBER(INDEX('MiT Strom Pipeline'!$I:$I,$U154)),INDEX('MiT Strom Pipeline'!$I:$I,$U154),0))</f>
        <v/>
      </c>
      <c r="H154" s="28" t="str">
        <f>IF($U154="","",IF(ISNUMBER(INDEX('MiT Strom Pipeline'!$Q:$Q,$U154)),INDEX('MiT Strom Pipeline'!$Q:$Q,$U154),0))</f>
        <v/>
      </c>
      <c r="I154" s="28" t="str">
        <f>IF($U154="","",IF(ISNUMBER(INDEX('MiT Strom Pipeline'!$O:$O,$U154)),INDEX('MiT Strom Pipeline'!$O:$O,$U154),0))</f>
        <v/>
      </c>
      <c r="J154" s="27" t="str">
        <f>IF($U154="","",INDEX('MiT Strom Pipeline'!$R:$R,$U154))</f>
        <v/>
      </c>
      <c r="K154" s="29" t="str">
        <f>IF($U154="","",IF(ISNUMBER(INDEX('MiT Strom Pipeline'!$S:$S,$U154)),INDEX('MiT Strom Pipeline'!$S:$S,$U154),""))</f>
        <v/>
      </c>
      <c r="L154" s="27" t="str">
        <f>IF($U154="","",IF(LEN(INDEX('MiT Strom Pipeline'!$V:$V,$U154))&gt;0,LEFT(INDEX('MiT Strom Pipeline'!$V:$V,$U154),55),""))</f>
        <v/>
      </c>
      <c r="M154" s="22" t="n"/>
      <c r="N154" s="22" t="n"/>
      <c r="O154" s="22" t="n"/>
      <c r="P154" s="22" t="n"/>
      <c r="Q154" s="22" t="n"/>
      <c r="R154" s="22" t="n"/>
      <c r="S154" s="22" t="n"/>
      <c r="U154" t="str">
        <f>IFERROR(MATCH(16,'MiT Strom Pipeline'!$AD$6:$AD$860,0)+5,"")</f>
        <v/>
      </c>
    </row>
    <row r="155" hidden="1" ht="15.75" customHeight="1">
      <c r="A155" s="26" t="str">
        <f>IF($U155="","",IF(ISNUMBER(INDEX('MiT Strom Pipeline'!$A:$A,$U155)),INDEX('MiT Strom Pipeline'!$A:$A,$U155),""))</f>
        <v/>
      </c>
      <c r="B155" s="27" t="str">
        <f>IF($U155="","",IF(INDEX('MiT Strom Pipeline'!$B:$B,$U155)="","",INDEX('MiT Strom Pipeline'!$B:$B,$U155)))</f>
        <v/>
      </c>
      <c r="C155" s="27" t="str">
        <f>IF($U155="","",IF(INDEX('MiT Strom Pipeline'!$C:$C,$U155)="","",INDEX('MiT Strom Pipeline'!$C:$C,$U155)))</f>
        <v/>
      </c>
      <c r="D155" s="27" t="str">
        <f>IF($U155="","",IF(INDEX('MiT Strom Pipeline'!$D:$D,$U155)="","",INDEX('MiT Strom Pipeline'!$D:$D,$U155)))</f>
        <v/>
      </c>
      <c r="E155" s="27" t="str">
        <f>IF($U155="","",IF(INDEX('MiT Strom Pipeline'!$H:$H,$U155)="","",INDEX('MiT Strom Pipeline'!$H:$H,$U155)))</f>
        <v/>
      </c>
      <c r="F155" s="27" t="str">
        <f>IF($U155="","",IF(INDEX('MiT Strom Pipeline'!$E:$E,$U155)="","",INDEX('MiT Strom Pipeline'!$E:$E,$U155)))</f>
        <v/>
      </c>
      <c r="G155" s="28" t="str">
        <f>IF($U155="","",IF(ISNUMBER(INDEX('MiT Strom Pipeline'!$I:$I,$U155)),INDEX('MiT Strom Pipeline'!$I:$I,$U155),0))</f>
        <v/>
      </c>
      <c r="H155" s="28" t="str">
        <f>IF($U155="","",IF(ISNUMBER(INDEX('MiT Strom Pipeline'!$Q:$Q,$U155)),INDEX('MiT Strom Pipeline'!$Q:$Q,$U155),0))</f>
        <v/>
      </c>
      <c r="I155" s="28" t="str">
        <f>IF($U155="","",IF(ISNUMBER(INDEX('MiT Strom Pipeline'!$O:$O,$U155)),INDEX('MiT Strom Pipeline'!$O:$O,$U155),0))</f>
        <v/>
      </c>
      <c r="J155" s="27" t="str">
        <f>IF($U155="","",INDEX('MiT Strom Pipeline'!$R:$R,$U155))</f>
        <v/>
      </c>
      <c r="K155" s="29" t="str">
        <f>IF($U155="","",IF(ISNUMBER(INDEX('MiT Strom Pipeline'!$S:$S,$U155)),INDEX('MiT Strom Pipeline'!$S:$S,$U155),""))</f>
        <v/>
      </c>
      <c r="L155" s="27" t="str">
        <f>IF($U155="","",IF(LEN(INDEX('MiT Strom Pipeline'!$V:$V,$U155))&gt;0,LEFT(INDEX('MiT Strom Pipeline'!$V:$V,$U155),55),""))</f>
        <v/>
      </c>
      <c r="M155" s="22" t="n"/>
      <c r="N155" s="22" t="n"/>
      <c r="O155" s="22" t="n"/>
      <c r="P155" s="22" t="n"/>
      <c r="Q155" s="22" t="n"/>
      <c r="R155" s="22" t="n"/>
      <c r="S155" s="22" t="n"/>
      <c r="U155" t="str">
        <f>IFERROR(MATCH(17,'MiT Strom Pipeline'!$AD$6:$AD$860,0)+5,"")</f>
        <v/>
      </c>
    </row>
    <row r="156" hidden="1" ht="15.75" customHeight="1">
      <c r="A156" s="26" t="str">
        <f>IF($U156="","",IF(ISNUMBER(INDEX('MiT Strom Pipeline'!$A:$A,$U156)),INDEX('MiT Strom Pipeline'!$A:$A,$U156),""))</f>
        <v/>
      </c>
      <c r="B156" s="27" t="str">
        <f>IF($U156="","",IF(INDEX('MiT Strom Pipeline'!$B:$B,$U156)="","",INDEX('MiT Strom Pipeline'!$B:$B,$U156)))</f>
        <v/>
      </c>
      <c r="C156" s="27" t="str">
        <f>IF($U156="","",IF(INDEX('MiT Strom Pipeline'!$C:$C,$U156)="","",INDEX('MiT Strom Pipeline'!$C:$C,$U156)))</f>
        <v/>
      </c>
      <c r="D156" s="27" t="str">
        <f>IF($U156="","",IF(INDEX('MiT Strom Pipeline'!$D:$D,$U156)="","",INDEX('MiT Strom Pipeline'!$D:$D,$U156)))</f>
        <v/>
      </c>
      <c r="E156" s="27" t="str">
        <f>IF($U156="","",IF(INDEX('MiT Strom Pipeline'!$H:$H,$U156)="","",INDEX('MiT Strom Pipeline'!$H:$H,$U156)))</f>
        <v/>
      </c>
      <c r="F156" s="27" t="str">
        <f>IF($U156="","",IF(INDEX('MiT Strom Pipeline'!$E:$E,$U156)="","",INDEX('MiT Strom Pipeline'!$E:$E,$U156)))</f>
        <v/>
      </c>
      <c r="G156" s="28" t="str">
        <f>IF($U156="","",IF(ISNUMBER(INDEX('MiT Strom Pipeline'!$I:$I,$U156)),INDEX('MiT Strom Pipeline'!$I:$I,$U156),0))</f>
        <v/>
      </c>
      <c r="H156" s="28" t="str">
        <f>IF($U156="","",IF(ISNUMBER(INDEX('MiT Strom Pipeline'!$Q:$Q,$U156)),INDEX('MiT Strom Pipeline'!$Q:$Q,$U156),0))</f>
        <v/>
      </c>
      <c r="I156" s="28" t="str">
        <f>IF($U156="","",IF(ISNUMBER(INDEX('MiT Strom Pipeline'!$O:$O,$U156)),INDEX('MiT Strom Pipeline'!$O:$O,$U156),0))</f>
        <v/>
      </c>
      <c r="J156" s="27" t="str">
        <f>IF($U156="","",INDEX('MiT Strom Pipeline'!$R:$R,$U156))</f>
        <v/>
      </c>
      <c r="K156" s="29" t="str">
        <f>IF($U156="","",IF(ISNUMBER(INDEX('MiT Strom Pipeline'!$S:$S,$U156)),INDEX('MiT Strom Pipeline'!$S:$S,$U156),""))</f>
        <v/>
      </c>
      <c r="L156" s="27" t="str">
        <f>IF($U156="","",IF(LEN(INDEX('MiT Strom Pipeline'!$V:$V,$U156))&gt;0,LEFT(INDEX('MiT Strom Pipeline'!$V:$V,$U156),55),""))</f>
        <v/>
      </c>
      <c r="M156" s="22" t="n"/>
      <c r="N156" s="22" t="n"/>
      <c r="O156" s="22" t="n"/>
      <c r="P156" s="22" t="n"/>
      <c r="Q156" s="22" t="n"/>
      <c r="R156" s="22" t="n"/>
      <c r="S156" s="22" t="n"/>
      <c r="U156" t="str">
        <f>IFERROR(MATCH(18,'MiT Strom Pipeline'!$AD$6:$AD$860,0)+5,"")</f>
        <v/>
      </c>
    </row>
    <row r="157" hidden="1" ht="15.75" customHeight="1">
      <c r="A157" s="26" t="str">
        <f>IF($U157="","",IF(ISNUMBER(INDEX('MiT Strom Pipeline'!$A:$A,$U157)),INDEX('MiT Strom Pipeline'!$A:$A,$U157),""))</f>
        <v/>
      </c>
      <c r="B157" s="27" t="str">
        <f>IF($U157="","",IF(INDEX('MiT Strom Pipeline'!$B:$B,$U157)="","",INDEX('MiT Strom Pipeline'!$B:$B,$U157)))</f>
        <v/>
      </c>
      <c r="C157" s="27" t="str">
        <f>IF($U157="","",IF(INDEX('MiT Strom Pipeline'!$C:$C,$U157)="","",INDEX('MiT Strom Pipeline'!$C:$C,$U157)))</f>
        <v/>
      </c>
      <c r="D157" s="27" t="str">
        <f>IF($U157="","",IF(INDEX('MiT Strom Pipeline'!$D:$D,$U157)="","",INDEX('MiT Strom Pipeline'!$D:$D,$U157)))</f>
        <v/>
      </c>
      <c r="E157" s="27" t="str">
        <f>IF($U157="","",IF(INDEX('MiT Strom Pipeline'!$H:$H,$U157)="","",INDEX('MiT Strom Pipeline'!$H:$H,$U157)))</f>
        <v/>
      </c>
      <c r="F157" s="27" t="str">
        <f>IF($U157="","",IF(INDEX('MiT Strom Pipeline'!$E:$E,$U157)="","",INDEX('MiT Strom Pipeline'!$E:$E,$U157)))</f>
        <v/>
      </c>
      <c r="G157" s="28" t="str">
        <f>IF($U157="","",IF(ISNUMBER(INDEX('MiT Strom Pipeline'!$I:$I,$U157)),INDEX('MiT Strom Pipeline'!$I:$I,$U157),0))</f>
        <v/>
      </c>
      <c r="H157" s="28" t="str">
        <f>IF($U157="","",IF(ISNUMBER(INDEX('MiT Strom Pipeline'!$Q:$Q,$U157)),INDEX('MiT Strom Pipeline'!$Q:$Q,$U157),0))</f>
        <v/>
      </c>
      <c r="I157" s="28" t="str">
        <f>IF($U157="","",IF(ISNUMBER(INDEX('MiT Strom Pipeline'!$O:$O,$U157)),INDEX('MiT Strom Pipeline'!$O:$O,$U157),0))</f>
        <v/>
      </c>
      <c r="J157" s="27" t="str">
        <f>IF($U157="","",INDEX('MiT Strom Pipeline'!$R:$R,$U157))</f>
        <v/>
      </c>
      <c r="K157" s="29" t="str">
        <f>IF($U157="","",IF(ISNUMBER(INDEX('MiT Strom Pipeline'!$S:$S,$U157)),INDEX('MiT Strom Pipeline'!$S:$S,$U157),""))</f>
        <v/>
      </c>
      <c r="L157" s="27" t="str">
        <f>IF($U157="","",IF(LEN(INDEX('MiT Strom Pipeline'!$V:$V,$U157))&gt;0,LEFT(INDEX('MiT Strom Pipeline'!$V:$V,$U157),55),""))</f>
        <v/>
      </c>
      <c r="M157" s="22" t="n"/>
      <c r="N157" s="22" t="n"/>
      <c r="O157" s="22" t="n"/>
      <c r="P157" s="22" t="n"/>
      <c r="Q157" s="22" t="n"/>
      <c r="R157" s="22" t="n"/>
      <c r="S157" s="22" t="n"/>
      <c r="U157" t="str">
        <f>IFERROR(MATCH(19,'MiT Strom Pipeline'!$AD$6:$AD$860,0)+5,"")</f>
        <v/>
      </c>
    </row>
    <row r="158" hidden="1" ht="15.75" customHeight="1">
      <c r="A158" s="26" t="str">
        <f>IF($U158="","",IF(ISNUMBER(INDEX('MiT Strom Pipeline'!$A:$A,$U158)),INDEX('MiT Strom Pipeline'!$A:$A,$U158),""))</f>
        <v/>
      </c>
      <c r="B158" s="27" t="str">
        <f>IF($U158="","",IF(INDEX('MiT Strom Pipeline'!$B:$B,$U158)="","",INDEX('MiT Strom Pipeline'!$B:$B,$U158)))</f>
        <v/>
      </c>
      <c r="C158" s="27" t="str">
        <f>IF($U158="","",IF(INDEX('MiT Strom Pipeline'!$C:$C,$U158)="","",INDEX('MiT Strom Pipeline'!$C:$C,$U158)))</f>
        <v/>
      </c>
      <c r="D158" s="27" t="str">
        <f>IF($U158="","",IF(INDEX('MiT Strom Pipeline'!$D:$D,$U158)="","",INDEX('MiT Strom Pipeline'!$D:$D,$U158)))</f>
        <v/>
      </c>
      <c r="E158" s="27" t="str">
        <f>IF($U158="","",IF(INDEX('MiT Strom Pipeline'!$H:$H,$U158)="","",INDEX('MiT Strom Pipeline'!$H:$H,$U158)))</f>
        <v/>
      </c>
      <c r="F158" s="27" t="str">
        <f>IF($U158="","",IF(INDEX('MiT Strom Pipeline'!$E:$E,$U158)="","",INDEX('MiT Strom Pipeline'!$E:$E,$U158)))</f>
        <v/>
      </c>
      <c r="G158" s="28" t="str">
        <f>IF($U158="","",IF(ISNUMBER(INDEX('MiT Strom Pipeline'!$I:$I,$U158)),INDEX('MiT Strom Pipeline'!$I:$I,$U158),0))</f>
        <v/>
      </c>
      <c r="H158" s="28" t="str">
        <f>IF($U158="","",IF(ISNUMBER(INDEX('MiT Strom Pipeline'!$Q:$Q,$U158)),INDEX('MiT Strom Pipeline'!$Q:$Q,$U158),0))</f>
        <v/>
      </c>
      <c r="I158" s="28" t="str">
        <f>IF($U158="","",IF(ISNUMBER(INDEX('MiT Strom Pipeline'!$O:$O,$U158)),INDEX('MiT Strom Pipeline'!$O:$O,$U158),0))</f>
        <v/>
      </c>
      <c r="J158" s="27" t="str">
        <f>IF($U158="","",INDEX('MiT Strom Pipeline'!$R:$R,$U158))</f>
        <v/>
      </c>
      <c r="K158" s="29" t="str">
        <f>IF($U158="","",IF(ISNUMBER(INDEX('MiT Strom Pipeline'!$S:$S,$U158)),INDEX('MiT Strom Pipeline'!$S:$S,$U158),""))</f>
        <v/>
      </c>
      <c r="L158" s="27" t="str">
        <f>IF($U158="","",IF(LEN(INDEX('MiT Strom Pipeline'!$V:$V,$U158))&gt;0,LEFT(INDEX('MiT Strom Pipeline'!$V:$V,$U158),55),""))</f>
        <v/>
      </c>
      <c r="M158" s="22" t="n"/>
      <c r="N158" s="22" t="n"/>
      <c r="O158" s="22" t="n"/>
      <c r="P158" s="22" t="n"/>
      <c r="Q158" s="22" t="n"/>
      <c r="R158" s="22" t="n"/>
      <c r="S158" s="22" t="n"/>
      <c r="U158" t="str">
        <f>IFERROR(MATCH(20,'MiT Strom Pipeline'!$AD$6:$AD$860,0)+5,"")</f>
        <v/>
      </c>
    </row>
    <row r="159" hidden="1" ht="15.75" customHeight="1">
      <c r="A159" s="26" t="str">
        <f>IF($U159="","",IF(ISNUMBER(INDEX('MiT Strom Pipeline'!$A:$A,$U159)),INDEX('MiT Strom Pipeline'!$A:$A,$U159),""))</f>
        <v/>
      </c>
      <c r="B159" s="27" t="str">
        <f>IF($U159="","",IF(INDEX('MiT Strom Pipeline'!$B:$B,$U159)="","",INDEX('MiT Strom Pipeline'!$B:$B,$U159)))</f>
        <v/>
      </c>
      <c r="C159" s="27" t="str">
        <f>IF($U159="","",IF(INDEX('MiT Strom Pipeline'!$C:$C,$U159)="","",INDEX('MiT Strom Pipeline'!$C:$C,$U159)))</f>
        <v/>
      </c>
      <c r="D159" s="27" t="str">
        <f>IF($U159="","",IF(INDEX('MiT Strom Pipeline'!$D:$D,$U159)="","",INDEX('MiT Strom Pipeline'!$D:$D,$U159)))</f>
        <v/>
      </c>
      <c r="E159" s="27" t="str">
        <f>IF($U159="","",IF(INDEX('MiT Strom Pipeline'!$H:$H,$U159)="","",INDEX('MiT Strom Pipeline'!$H:$H,$U159)))</f>
        <v/>
      </c>
      <c r="F159" s="27" t="str">
        <f>IF($U159="","",IF(INDEX('MiT Strom Pipeline'!$E:$E,$U159)="","",INDEX('MiT Strom Pipeline'!$E:$E,$U159)))</f>
        <v/>
      </c>
      <c r="G159" s="28" t="str">
        <f>IF($U159="","",IF(ISNUMBER(INDEX('MiT Strom Pipeline'!$I:$I,$U159)),INDEX('MiT Strom Pipeline'!$I:$I,$U159),0))</f>
        <v/>
      </c>
      <c r="H159" s="28" t="str">
        <f>IF($U159="","",IF(ISNUMBER(INDEX('MiT Strom Pipeline'!$Q:$Q,$U159)),INDEX('MiT Strom Pipeline'!$Q:$Q,$U159),0))</f>
        <v/>
      </c>
      <c r="I159" s="28" t="str">
        <f>IF($U159="","",IF(ISNUMBER(INDEX('MiT Strom Pipeline'!$O:$O,$U159)),INDEX('MiT Strom Pipeline'!$O:$O,$U159),0))</f>
        <v/>
      </c>
      <c r="J159" s="27" t="str">
        <f>IF($U159="","",INDEX('MiT Strom Pipeline'!$R:$R,$U159))</f>
        <v/>
      </c>
      <c r="K159" s="29" t="str">
        <f>IF($U159="","",IF(ISNUMBER(INDEX('MiT Strom Pipeline'!$S:$S,$U159)),INDEX('MiT Strom Pipeline'!$S:$S,$U159),""))</f>
        <v/>
      </c>
      <c r="L159" s="27" t="str">
        <f>IF($U159="","",IF(LEN(INDEX('MiT Strom Pipeline'!$V:$V,$U159))&gt;0,LEFT(INDEX('MiT Strom Pipeline'!$V:$V,$U159),55),""))</f>
        <v/>
      </c>
      <c r="M159" s="22" t="n"/>
      <c r="N159" s="22" t="n"/>
      <c r="O159" s="22" t="n"/>
      <c r="P159" s="22" t="n"/>
      <c r="Q159" s="22" t="n"/>
      <c r="R159" s="22" t="n"/>
      <c r="S159" s="22" t="n"/>
      <c r="U159" t="str">
        <f>IFERROR(MATCH(21,'MiT Strom Pipeline'!$AD$6:$AD$860,0)+5,"")</f>
        <v/>
      </c>
    </row>
    <row r="160" hidden="1" ht="15.75" customHeight="1">
      <c r="A160" s="26" t="str">
        <f>IF($U160="","",IF(ISNUMBER(INDEX('MiT Strom Pipeline'!$A:$A,$U160)),INDEX('MiT Strom Pipeline'!$A:$A,$U160),""))</f>
        <v/>
      </c>
      <c r="B160" s="27" t="str">
        <f>IF($U160="","",IF(INDEX('MiT Strom Pipeline'!$B:$B,$U160)="","",INDEX('MiT Strom Pipeline'!$B:$B,$U160)))</f>
        <v/>
      </c>
      <c r="C160" s="27" t="str">
        <f>IF($U160="","",IF(INDEX('MiT Strom Pipeline'!$C:$C,$U160)="","",INDEX('MiT Strom Pipeline'!$C:$C,$U160)))</f>
        <v/>
      </c>
      <c r="D160" s="27" t="str">
        <f>IF($U160="","",IF(INDEX('MiT Strom Pipeline'!$D:$D,$U160)="","",INDEX('MiT Strom Pipeline'!$D:$D,$U160)))</f>
        <v/>
      </c>
      <c r="E160" s="27" t="str">
        <f>IF($U160="","",IF(INDEX('MiT Strom Pipeline'!$H:$H,$U160)="","",INDEX('MiT Strom Pipeline'!$H:$H,$U160)))</f>
        <v/>
      </c>
      <c r="F160" s="27" t="str">
        <f>IF($U160="","",IF(INDEX('MiT Strom Pipeline'!$E:$E,$U160)="","",INDEX('MiT Strom Pipeline'!$E:$E,$U160)))</f>
        <v/>
      </c>
      <c r="G160" s="28" t="str">
        <f>IF($U160="","",IF(ISNUMBER(INDEX('MiT Strom Pipeline'!$I:$I,$U160)),INDEX('MiT Strom Pipeline'!$I:$I,$U160),0))</f>
        <v/>
      </c>
      <c r="H160" s="28" t="str">
        <f>IF($U160="","",IF(ISNUMBER(INDEX('MiT Strom Pipeline'!$Q:$Q,$U160)),INDEX('MiT Strom Pipeline'!$Q:$Q,$U160),0))</f>
        <v/>
      </c>
      <c r="I160" s="28" t="str">
        <f>IF($U160="","",IF(ISNUMBER(INDEX('MiT Strom Pipeline'!$O:$O,$U160)),INDEX('MiT Strom Pipeline'!$O:$O,$U160),0))</f>
        <v/>
      </c>
      <c r="J160" s="27" t="str">
        <f>IF($U160="","",INDEX('MiT Strom Pipeline'!$R:$R,$U160))</f>
        <v/>
      </c>
      <c r="K160" s="29" t="str">
        <f>IF($U160="","",IF(ISNUMBER(INDEX('MiT Strom Pipeline'!$S:$S,$U160)),INDEX('MiT Strom Pipeline'!$S:$S,$U160),""))</f>
        <v/>
      </c>
      <c r="L160" s="27" t="str">
        <f>IF($U160="","",IF(LEN(INDEX('MiT Strom Pipeline'!$V:$V,$U160))&gt;0,LEFT(INDEX('MiT Strom Pipeline'!$V:$V,$U160),55),""))</f>
        <v/>
      </c>
      <c r="M160" s="22" t="n"/>
      <c r="N160" s="22" t="n"/>
      <c r="O160" s="22" t="n"/>
      <c r="P160" s="22" t="n"/>
      <c r="Q160" s="22" t="n"/>
      <c r="R160" s="22" t="n"/>
      <c r="S160" s="22" t="n"/>
      <c r="U160" t="str">
        <f>IFERROR(MATCH(22,'MiT Strom Pipeline'!$AD$6:$AD$860,0)+5,"")</f>
        <v/>
      </c>
    </row>
    <row r="161" hidden="1" ht="15.75" customHeight="1">
      <c r="A161" s="26" t="str">
        <f>IF($U161="","",IF(ISNUMBER(INDEX('MiT Strom Pipeline'!$A:$A,$U161)),INDEX('MiT Strom Pipeline'!$A:$A,$U161),""))</f>
        <v/>
      </c>
      <c r="B161" s="27" t="str">
        <f>IF($U161="","",IF(INDEX('MiT Strom Pipeline'!$B:$B,$U161)="","",INDEX('MiT Strom Pipeline'!$B:$B,$U161)))</f>
        <v/>
      </c>
      <c r="C161" s="27" t="str">
        <f>IF($U161="","",IF(INDEX('MiT Strom Pipeline'!$C:$C,$U161)="","",INDEX('MiT Strom Pipeline'!$C:$C,$U161)))</f>
        <v/>
      </c>
      <c r="D161" s="27" t="str">
        <f>IF($U161="","",IF(INDEX('MiT Strom Pipeline'!$D:$D,$U161)="","",INDEX('MiT Strom Pipeline'!$D:$D,$U161)))</f>
        <v/>
      </c>
      <c r="E161" s="27" t="str">
        <f>IF($U161="","",IF(INDEX('MiT Strom Pipeline'!$H:$H,$U161)="","",INDEX('MiT Strom Pipeline'!$H:$H,$U161)))</f>
        <v/>
      </c>
      <c r="F161" s="27" t="str">
        <f>IF($U161="","",IF(INDEX('MiT Strom Pipeline'!$E:$E,$U161)="","",INDEX('MiT Strom Pipeline'!$E:$E,$U161)))</f>
        <v/>
      </c>
      <c r="G161" s="28" t="str">
        <f>IF($U161="","",IF(ISNUMBER(INDEX('MiT Strom Pipeline'!$I:$I,$U161)),INDEX('MiT Strom Pipeline'!$I:$I,$U161),0))</f>
        <v/>
      </c>
      <c r="H161" s="28" t="str">
        <f>IF($U161="","",IF(ISNUMBER(INDEX('MiT Strom Pipeline'!$Q:$Q,$U161)),INDEX('MiT Strom Pipeline'!$Q:$Q,$U161),0))</f>
        <v/>
      </c>
      <c r="I161" s="28" t="str">
        <f>IF($U161="","",IF(ISNUMBER(INDEX('MiT Strom Pipeline'!$O:$O,$U161)),INDEX('MiT Strom Pipeline'!$O:$O,$U161),0))</f>
        <v/>
      </c>
      <c r="J161" s="27" t="str">
        <f>IF($U161="","",INDEX('MiT Strom Pipeline'!$R:$R,$U161))</f>
        <v/>
      </c>
      <c r="K161" s="29" t="str">
        <f>IF($U161="","",IF(ISNUMBER(INDEX('MiT Strom Pipeline'!$S:$S,$U161)),INDEX('MiT Strom Pipeline'!$S:$S,$U161),""))</f>
        <v/>
      </c>
      <c r="L161" s="27" t="str">
        <f>IF($U161="","",IF(LEN(INDEX('MiT Strom Pipeline'!$V:$V,$U161))&gt;0,LEFT(INDEX('MiT Strom Pipeline'!$V:$V,$U161),55),""))</f>
        <v/>
      </c>
      <c r="M161" s="22" t="n"/>
      <c r="N161" s="22" t="n"/>
      <c r="O161" s="22" t="n"/>
      <c r="P161" s="22" t="n"/>
      <c r="Q161" s="22" t="n"/>
      <c r="R161" s="22" t="n"/>
      <c r="S161" s="22" t="n"/>
      <c r="U161" t="str">
        <f>IFERROR(MATCH(23,'MiT Strom Pipeline'!$AD$6:$AD$860,0)+5,"")</f>
        <v/>
      </c>
    </row>
    <row r="162" ht="15.75" customHeight="1">
      <c r="A162" s="26" t="str">
        <f>IF($U162="","",IF(ISNUMBER(INDEX('MiT Strom Pipeline'!$A:$A,$U162)),INDEX('MiT Strom Pipeline'!$A:$A,$U162),""))</f>
        <v/>
      </c>
      <c r="B162" s="27" t="str">
        <f>IF($U162="","",IF(INDEX('MiT Strom Pipeline'!$B:$B,$U162)="","",INDEX('MiT Strom Pipeline'!$B:$B,$U162)))</f>
        <v/>
      </c>
      <c r="C162" s="27" t="str">
        <f>IF($U162="","",IF(INDEX('MiT Strom Pipeline'!$C:$C,$U162)="","",INDEX('MiT Strom Pipeline'!$C:$C,$U162)))</f>
        <v/>
      </c>
      <c r="D162" s="27" t="str">
        <f>IF($U162="","",IF(INDEX('MiT Strom Pipeline'!$D:$D,$U162)="","",INDEX('MiT Strom Pipeline'!$D:$D,$U162)))</f>
        <v/>
      </c>
      <c r="E162" s="27" t="str">
        <f>IF($U162="","",IF(INDEX('MiT Strom Pipeline'!$H:$H,$U162)="","",INDEX('MiT Strom Pipeline'!$H:$H,$U162)))</f>
        <v/>
      </c>
      <c r="F162" s="27" t="str">
        <f>IF($U162="","",IF(INDEX('MiT Strom Pipeline'!$E:$E,$U162)="","",INDEX('MiT Strom Pipeline'!$E:$E,$U162)))</f>
        <v/>
      </c>
      <c r="G162" s="28" t="str">
        <f>IF($U162="","",IF(ISNUMBER(INDEX('MiT Strom Pipeline'!$I:$I,$U162)),INDEX('MiT Strom Pipeline'!$I:$I,$U162),0))</f>
        <v/>
      </c>
      <c r="H162" s="28" t="str">
        <f>IF($U162="","",IF(ISNUMBER(INDEX('MiT Strom Pipeline'!$Q:$Q,$U162)),INDEX('MiT Strom Pipeline'!$Q:$Q,$U162),0))</f>
        <v/>
      </c>
      <c r="I162" s="28" t="str">
        <f>IF($U162="","",IF(ISNUMBER(INDEX('MiT Strom Pipeline'!$O:$O,$U162)),INDEX('MiT Strom Pipeline'!$O:$O,$U162),0))</f>
        <v/>
      </c>
      <c r="J162" s="27" t="str">
        <f>IF($U162="","",INDEX('MiT Strom Pipeline'!$R:$R,$U162))</f>
        <v/>
      </c>
      <c r="K162" s="29" t="str">
        <f>IF($U162="","",IF(ISNUMBER(INDEX('MiT Strom Pipeline'!$S:$S,$U162)),INDEX('MiT Strom Pipeline'!$S:$S,$U162),""))</f>
        <v/>
      </c>
      <c r="L162" s="27" t="str">
        <f>IF($U162="","",IF(LEN(INDEX('MiT Strom Pipeline'!$V:$V,$U162))&gt;0,LEFT(INDEX('MiT Strom Pipeline'!$V:$V,$U162),55),""))</f>
        <v/>
      </c>
      <c r="M162" s="22" t="n"/>
      <c r="N162" s="22" t="n"/>
      <c r="O162" s="22" t="n"/>
      <c r="P162" s="22" t="n"/>
      <c r="Q162" s="22" t="n"/>
      <c r="R162" s="22" t="n"/>
      <c r="S162" s="22" t="n"/>
      <c r="U162" t="str">
        <f>IFERROR(MATCH(24,'MiT Strom Pipeline'!$AD$6:$AD$860,0)+5,"")</f>
        <v/>
      </c>
    </row>
    <row r="163" ht="15.75" customHeight="1">
      <c r="A163" s="26" t="str">
        <f>IF($U163="","",IF(ISNUMBER(INDEX('MiT Strom Pipeline'!$A:$A,$U163)),INDEX('MiT Strom Pipeline'!$A:$A,$U163),""))</f>
        <v/>
      </c>
      <c r="B163" s="27" t="str">
        <f>IF($U163="","",IF(INDEX('MiT Strom Pipeline'!$B:$B,$U163)="","",INDEX('MiT Strom Pipeline'!$B:$B,$U163)))</f>
        <v/>
      </c>
      <c r="C163" s="27" t="str">
        <f>IF($U163="","",IF(INDEX('MiT Strom Pipeline'!$C:$C,$U163)="","",INDEX('MiT Strom Pipeline'!$C:$C,$U163)))</f>
        <v/>
      </c>
      <c r="D163" s="27" t="str">
        <f>IF($U163="","",IF(INDEX('MiT Strom Pipeline'!$D:$D,$U163)="","",INDEX('MiT Strom Pipeline'!$D:$D,$U163)))</f>
        <v/>
      </c>
      <c r="E163" s="27" t="str">
        <f>IF($U163="","",IF(INDEX('MiT Strom Pipeline'!$H:$H,$U163)="","",INDEX('MiT Strom Pipeline'!$H:$H,$U163)))</f>
        <v/>
      </c>
      <c r="F163" s="27" t="str">
        <f>IF($U163="","",IF(INDEX('MiT Strom Pipeline'!$E:$E,$U163)="","",INDEX('MiT Strom Pipeline'!$E:$E,$U163)))</f>
        <v/>
      </c>
      <c r="G163" s="28" t="str">
        <f>IF($U163="","",IF(ISNUMBER(INDEX('MiT Strom Pipeline'!$I:$I,$U163)),INDEX('MiT Strom Pipeline'!$I:$I,$U163),0))</f>
        <v/>
      </c>
      <c r="H163" s="28" t="str">
        <f>IF($U163="","",IF(ISNUMBER(INDEX('MiT Strom Pipeline'!$Q:$Q,$U163)),INDEX('MiT Strom Pipeline'!$Q:$Q,$U163),0))</f>
        <v/>
      </c>
      <c r="I163" s="28" t="str">
        <f>IF($U163="","",IF(ISNUMBER(INDEX('MiT Strom Pipeline'!$O:$O,$U163)),INDEX('MiT Strom Pipeline'!$O:$O,$U163),0))</f>
        <v/>
      </c>
      <c r="J163" s="27" t="str">
        <f>IF($U163="","",INDEX('MiT Strom Pipeline'!$R:$R,$U163))</f>
        <v/>
      </c>
      <c r="K163" s="29" t="str">
        <f>IF($U163="","",IF(ISNUMBER(INDEX('MiT Strom Pipeline'!$S:$S,$U163)),INDEX('MiT Strom Pipeline'!$S:$S,$U163),""))</f>
        <v/>
      </c>
      <c r="L163" s="27" t="str">
        <f>IF($U163="","",IF(LEN(INDEX('MiT Strom Pipeline'!$V:$V,$U163))&gt;0,LEFT(INDEX('MiT Strom Pipeline'!$V:$V,$U163),55),""))</f>
        <v/>
      </c>
      <c r="M163" s="22" t="n"/>
      <c r="N163" s="22" t="n"/>
      <c r="O163" s="22" t="n"/>
      <c r="P163" s="22" t="n"/>
      <c r="Q163" s="22" t="n"/>
      <c r="R163" s="22" t="n"/>
      <c r="S163" s="22" t="n"/>
      <c r="U163" t="str">
        <f>IFERROR(MATCH(25,'MiT Strom Pipeline'!$AD$6:$AD$860,0)+5,"")</f>
        <v/>
      </c>
    </row>
    <row r="164" hidden="1" ht="15.75" customHeight="1">
      <c r="A164" s="26" t="str">
        <f>IF($U164="","",IF(ISNUMBER(INDEX('MiT Strom Pipeline'!$A:$A,$U164)),INDEX('MiT Strom Pipeline'!$A:$A,$U164),""))</f>
        <v/>
      </c>
      <c r="B164" s="27" t="str">
        <f>IF($U164="","",IF(INDEX('MiT Strom Pipeline'!$B:$B,$U164)="","",INDEX('MiT Strom Pipeline'!$B:$B,$U164)))</f>
        <v/>
      </c>
      <c r="C164" s="27" t="str">
        <f>IF($U164="","",IF(INDEX('MiT Strom Pipeline'!$C:$C,$U164)="","",INDEX('MiT Strom Pipeline'!$C:$C,$U164)))</f>
        <v/>
      </c>
      <c r="D164" s="27" t="str">
        <f>IF($U164="","",IF(INDEX('MiT Strom Pipeline'!$D:$D,$U164)="","",INDEX('MiT Strom Pipeline'!$D:$D,$U164)))</f>
        <v/>
      </c>
      <c r="E164" s="27" t="str">
        <f>IF($U164="","",IF(INDEX('MiT Strom Pipeline'!$H:$H,$U164)="","",INDEX('MiT Strom Pipeline'!$H:$H,$U164)))</f>
        <v/>
      </c>
      <c r="F164" s="27" t="str">
        <f>IF($U164="","",IF(INDEX('MiT Strom Pipeline'!$E:$E,$U164)="","",INDEX('MiT Strom Pipeline'!$E:$E,$U164)))</f>
        <v/>
      </c>
      <c r="G164" s="28" t="str">
        <f>IF($U164="","",IF(ISNUMBER(INDEX('MiT Strom Pipeline'!$I:$I,$U164)),INDEX('MiT Strom Pipeline'!$I:$I,$U164),0))</f>
        <v/>
      </c>
      <c r="H164" s="28" t="str">
        <f>IF($U164="","",IF(ISNUMBER(INDEX('MiT Strom Pipeline'!$Q:$Q,$U164)),INDEX('MiT Strom Pipeline'!$Q:$Q,$U164),0))</f>
        <v/>
      </c>
      <c r="I164" s="28" t="str">
        <f>IF($U164="","",IF(ISNUMBER(INDEX('MiT Strom Pipeline'!$O:$O,$U164)),INDEX('MiT Strom Pipeline'!$O:$O,$U164),0))</f>
        <v/>
      </c>
      <c r="J164" s="27" t="str">
        <f>IF($U164="","",INDEX('MiT Strom Pipeline'!$R:$R,$U164))</f>
        <v/>
      </c>
      <c r="K164" s="29" t="str">
        <f>IF($U164="","",IF(ISNUMBER(INDEX('MiT Strom Pipeline'!$S:$S,$U164)),INDEX('MiT Strom Pipeline'!$S:$S,$U164),""))</f>
        <v/>
      </c>
      <c r="L164" s="27" t="str">
        <f>IF($U164="","",IF(LEN(INDEX('MiT Strom Pipeline'!$V:$V,$U164))&gt;0,LEFT(INDEX('MiT Strom Pipeline'!$V:$V,$U164),55),""))</f>
        <v/>
      </c>
      <c r="M164" s="22" t="n"/>
      <c r="N164" s="22" t="n"/>
      <c r="O164" s="22" t="n"/>
      <c r="P164" s="22" t="n"/>
      <c r="Q164" s="22" t="n"/>
      <c r="R164" s="22" t="n"/>
      <c r="S164" s="22" t="n"/>
      <c r="U164" t="str">
        <f>IFERROR(MATCH(26,'MiT Strom Pipeline'!$AD$6:$AD$860,0)+5,"")</f>
        <v/>
      </c>
    </row>
    <row r="165" hidden="1" ht="15.75" customHeight="1">
      <c r="A165" s="26" t="str">
        <f>IF($U165="","",IF(ISNUMBER(INDEX('MiT Strom Pipeline'!$A:$A,$U165)),INDEX('MiT Strom Pipeline'!$A:$A,$U165),""))</f>
        <v/>
      </c>
      <c r="B165" s="27" t="str">
        <f>IF($U165="","",IF(INDEX('MiT Strom Pipeline'!$B:$B,$U165)="","",INDEX('MiT Strom Pipeline'!$B:$B,$U165)))</f>
        <v/>
      </c>
      <c r="C165" s="27" t="str">
        <f>IF($U165="","",IF(INDEX('MiT Strom Pipeline'!$C:$C,$U165)="","",INDEX('MiT Strom Pipeline'!$C:$C,$U165)))</f>
        <v/>
      </c>
      <c r="D165" s="27" t="str">
        <f>IF($U165="","",IF(INDEX('MiT Strom Pipeline'!$D:$D,$U165)="","",INDEX('MiT Strom Pipeline'!$D:$D,$U165)))</f>
        <v/>
      </c>
      <c r="E165" s="27" t="str">
        <f>IF($U165="","",IF(INDEX('MiT Strom Pipeline'!$H:$H,$U165)="","",INDEX('MiT Strom Pipeline'!$H:$H,$U165)))</f>
        <v/>
      </c>
      <c r="F165" s="27" t="str">
        <f>IF($U165="","",IF(INDEX('MiT Strom Pipeline'!$E:$E,$U165)="","",INDEX('MiT Strom Pipeline'!$E:$E,$U165)))</f>
        <v/>
      </c>
      <c r="G165" s="28" t="str">
        <f>IF($U165="","",IF(ISNUMBER(INDEX('MiT Strom Pipeline'!$I:$I,$U165)),INDEX('MiT Strom Pipeline'!$I:$I,$U165),0))</f>
        <v/>
      </c>
      <c r="H165" s="28" t="str">
        <f>IF($U165="","",IF(ISNUMBER(INDEX('MiT Strom Pipeline'!$Q:$Q,$U165)),INDEX('MiT Strom Pipeline'!$Q:$Q,$U165),0))</f>
        <v/>
      </c>
      <c r="I165" s="28" t="str">
        <f>IF($U165="","",IF(ISNUMBER(INDEX('MiT Strom Pipeline'!$O:$O,$U165)),INDEX('MiT Strom Pipeline'!$O:$O,$U165),0))</f>
        <v/>
      </c>
      <c r="J165" s="27" t="str">
        <f>IF($U165="","",INDEX('MiT Strom Pipeline'!$R:$R,$U165))</f>
        <v/>
      </c>
      <c r="K165" s="29" t="str">
        <f>IF($U165="","",IF(ISNUMBER(INDEX('MiT Strom Pipeline'!$S:$S,$U165)),INDEX('MiT Strom Pipeline'!$S:$S,$U165),""))</f>
        <v/>
      </c>
      <c r="L165" s="27" t="str">
        <f>IF($U165="","",IF(LEN(INDEX('MiT Strom Pipeline'!$V:$V,$U165))&gt;0,LEFT(INDEX('MiT Strom Pipeline'!$V:$V,$U165),55),""))</f>
        <v/>
      </c>
      <c r="M165" s="22" t="n"/>
      <c r="N165" s="22" t="n"/>
      <c r="O165" s="22" t="n"/>
      <c r="P165" s="22" t="n"/>
      <c r="Q165" s="22" t="n"/>
      <c r="R165" s="22" t="n"/>
      <c r="S165" s="22" t="n"/>
      <c r="U165" t="str">
        <f>IFERROR(MATCH(27,'MiT Strom Pipeline'!$AD$6:$AD$860,0)+5,"")</f>
        <v/>
      </c>
    </row>
    <row r="166" hidden="1" ht="15.75" customHeight="1">
      <c r="A166" s="26" t="str">
        <f>IF($U166="","",IF(ISNUMBER(INDEX('MiT Strom Pipeline'!$A:$A,$U166)),INDEX('MiT Strom Pipeline'!$A:$A,$U166),""))</f>
        <v/>
      </c>
      <c r="B166" s="27" t="str">
        <f>IF($U166="","",IF(INDEX('MiT Strom Pipeline'!$B:$B,$U166)="","",INDEX('MiT Strom Pipeline'!$B:$B,$U166)))</f>
        <v/>
      </c>
      <c r="C166" s="27" t="str">
        <f>IF($U166="","",IF(INDEX('MiT Strom Pipeline'!$C:$C,$U166)="","",INDEX('MiT Strom Pipeline'!$C:$C,$U166)))</f>
        <v/>
      </c>
      <c r="D166" s="27" t="str">
        <f>IF($U166="","",IF(INDEX('MiT Strom Pipeline'!$D:$D,$U166)="","",INDEX('MiT Strom Pipeline'!$D:$D,$U166)))</f>
        <v/>
      </c>
      <c r="E166" s="27" t="str">
        <f>IF($U166="","",IF(INDEX('MiT Strom Pipeline'!$H:$H,$U166)="","",INDEX('MiT Strom Pipeline'!$H:$H,$U166)))</f>
        <v/>
      </c>
      <c r="F166" s="27" t="str">
        <f>IF($U166="","",IF(INDEX('MiT Strom Pipeline'!$E:$E,$U166)="","",INDEX('MiT Strom Pipeline'!$E:$E,$U166)))</f>
        <v/>
      </c>
      <c r="G166" s="28" t="str">
        <f>IF($U166="","",IF(ISNUMBER(INDEX('MiT Strom Pipeline'!$I:$I,$U166)),INDEX('MiT Strom Pipeline'!$I:$I,$U166),0))</f>
        <v/>
      </c>
      <c r="H166" s="28" t="str">
        <f>IF($U166="","",IF(ISNUMBER(INDEX('MiT Strom Pipeline'!$Q:$Q,$U166)),INDEX('MiT Strom Pipeline'!$Q:$Q,$U166),0))</f>
        <v/>
      </c>
      <c r="I166" s="28" t="str">
        <f>IF($U166="","",IF(ISNUMBER(INDEX('MiT Strom Pipeline'!$O:$O,$U166)),INDEX('MiT Strom Pipeline'!$O:$O,$U166),0))</f>
        <v/>
      </c>
      <c r="J166" s="27" t="str">
        <f>IF($U166="","",INDEX('MiT Strom Pipeline'!$R:$R,$U166))</f>
        <v/>
      </c>
      <c r="K166" s="29" t="str">
        <f>IF($U166="","",IF(ISNUMBER(INDEX('MiT Strom Pipeline'!$S:$S,$U166)),INDEX('MiT Strom Pipeline'!$S:$S,$U166),""))</f>
        <v/>
      </c>
      <c r="L166" s="27" t="str">
        <f>IF($U166="","",IF(LEN(INDEX('MiT Strom Pipeline'!$V:$V,$U166))&gt;0,LEFT(INDEX('MiT Strom Pipeline'!$V:$V,$U166),55),""))</f>
        <v/>
      </c>
      <c r="M166" s="22" t="n"/>
      <c r="N166" s="22" t="n"/>
      <c r="O166" s="22" t="n"/>
      <c r="P166" s="22" t="n"/>
      <c r="Q166" s="22" t="n"/>
      <c r="R166" s="22" t="n"/>
      <c r="S166" s="22" t="n"/>
      <c r="U166" t="str">
        <f>IFERROR(MATCH(28,'MiT Strom Pipeline'!$AD$6:$AD$860,0)+5,"")</f>
        <v/>
      </c>
    </row>
    <row r="167" hidden="1" ht="15.75" customHeight="1">
      <c r="A167" s="26" t="str">
        <f>IF($U167="","",IF(ISNUMBER(INDEX('MiT Strom Pipeline'!$A:$A,$U167)),INDEX('MiT Strom Pipeline'!$A:$A,$U167),""))</f>
        <v/>
      </c>
      <c r="B167" s="27" t="str">
        <f>IF($U167="","",IF(INDEX('MiT Strom Pipeline'!$B:$B,$U167)="","",INDEX('MiT Strom Pipeline'!$B:$B,$U167)))</f>
        <v/>
      </c>
      <c r="C167" s="27" t="str">
        <f>IF($U167="","",IF(INDEX('MiT Strom Pipeline'!$C:$C,$U167)="","",INDEX('MiT Strom Pipeline'!$C:$C,$U167)))</f>
        <v/>
      </c>
      <c r="D167" s="27" t="str">
        <f>IF($U167="","",IF(INDEX('MiT Strom Pipeline'!$D:$D,$U167)="","",INDEX('MiT Strom Pipeline'!$D:$D,$U167)))</f>
        <v/>
      </c>
      <c r="E167" s="27" t="str">
        <f>IF($U167="","",IF(INDEX('MiT Strom Pipeline'!$H:$H,$U167)="","",INDEX('MiT Strom Pipeline'!$H:$H,$U167)))</f>
        <v/>
      </c>
      <c r="F167" s="27" t="str">
        <f>IF($U167="","",IF(INDEX('MiT Strom Pipeline'!$E:$E,$U167)="","",INDEX('MiT Strom Pipeline'!$E:$E,$U167)))</f>
        <v/>
      </c>
      <c r="G167" s="28" t="str">
        <f>IF($U167="","",IF(ISNUMBER(INDEX('MiT Strom Pipeline'!$I:$I,$U167)),INDEX('MiT Strom Pipeline'!$I:$I,$U167),0))</f>
        <v/>
      </c>
      <c r="H167" s="28" t="str">
        <f>IF($U167="","",IF(ISNUMBER(INDEX('MiT Strom Pipeline'!$Q:$Q,$U167)),INDEX('MiT Strom Pipeline'!$Q:$Q,$U167),0))</f>
        <v/>
      </c>
      <c r="I167" s="28" t="str">
        <f>IF($U167="","",IF(ISNUMBER(INDEX('MiT Strom Pipeline'!$O:$O,$U167)),INDEX('MiT Strom Pipeline'!$O:$O,$U167),0))</f>
        <v/>
      </c>
      <c r="J167" s="27" t="str">
        <f>IF($U167="","",INDEX('MiT Strom Pipeline'!$R:$R,$U167))</f>
        <v/>
      </c>
      <c r="K167" s="29" t="str">
        <f>IF($U167="","",IF(ISNUMBER(INDEX('MiT Strom Pipeline'!$S:$S,$U167)),INDEX('MiT Strom Pipeline'!$S:$S,$U167),""))</f>
        <v/>
      </c>
      <c r="L167" s="27" t="str">
        <f>IF($U167="","",IF(LEN(INDEX('MiT Strom Pipeline'!$V:$V,$U167))&gt;0,LEFT(INDEX('MiT Strom Pipeline'!$V:$V,$U167),55),""))</f>
        <v/>
      </c>
      <c r="M167" s="22" t="n"/>
      <c r="N167" s="22" t="n"/>
      <c r="O167" s="22" t="n"/>
      <c r="P167" s="22" t="n"/>
      <c r="Q167" s="22" t="n"/>
      <c r="R167" s="22" t="n"/>
      <c r="S167" s="22" t="n"/>
      <c r="U167" t="str">
        <f>IFERROR(MATCH(29,'MiT Strom Pipeline'!$AD$6:$AD$860,0)+5,"")</f>
        <v/>
      </c>
    </row>
    <row r="168" hidden="1" ht="15.75" customHeight="1">
      <c r="A168" s="26" t="str">
        <f>IF($U168="","",IF(ISNUMBER(INDEX('MiT Strom Pipeline'!$A:$A,$U168)),INDEX('MiT Strom Pipeline'!$A:$A,$U168),""))</f>
        <v/>
      </c>
      <c r="B168" s="27" t="str">
        <f>IF($U168="","",IF(INDEX('MiT Strom Pipeline'!$B:$B,$U168)="","",INDEX('MiT Strom Pipeline'!$B:$B,$U168)))</f>
        <v/>
      </c>
      <c r="C168" s="27" t="str">
        <f>IF($U168="","",IF(INDEX('MiT Strom Pipeline'!$C:$C,$U168)="","",INDEX('MiT Strom Pipeline'!$C:$C,$U168)))</f>
        <v/>
      </c>
      <c r="D168" s="27" t="str">
        <f>IF($U168="","",IF(INDEX('MiT Strom Pipeline'!$D:$D,$U168)="","",INDEX('MiT Strom Pipeline'!$D:$D,$U168)))</f>
        <v/>
      </c>
      <c r="E168" s="27" t="str">
        <f>IF($U168="","",IF(INDEX('MiT Strom Pipeline'!$H:$H,$U168)="","",INDEX('MiT Strom Pipeline'!$H:$H,$U168)))</f>
        <v/>
      </c>
      <c r="F168" s="27" t="str">
        <f>IF($U168="","",IF(INDEX('MiT Strom Pipeline'!$E:$E,$U168)="","",INDEX('MiT Strom Pipeline'!$E:$E,$U168)))</f>
        <v/>
      </c>
      <c r="G168" s="28" t="str">
        <f>IF($U168="","",IF(ISNUMBER(INDEX('MiT Strom Pipeline'!$I:$I,$U168)),INDEX('MiT Strom Pipeline'!$I:$I,$U168),0))</f>
        <v/>
      </c>
      <c r="H168" s="28" t="str">
        <f>IF($U168="","",IF(ISNUMBER(INDEX('MiT Strom Pipeline'!$Q:$Q,$U168)),INDEX('MiT Strom Pipeline'!$Q:$Q,$U168),0))</f>
        <v/>
      </c>
      <c r="I168" s="28" t="str">
        <f>IF($U168="","",IF(ISNUMBER(INDEX('MiT Strom Pipeline'!$O:$O,$U168)),INDEX('MiT Strom Pipeline'!$O:$O,$U168),0))</f>
        <v/>
      </c>
      <c r="J168" s="27" t="str">
        <f>IF($U168="","",INDEX('MiT Strom Pipeline'!$R:$R,$U168))</f>
        <v/>
      </c>
      <c r="K168" s="29" t="str">
        <f>IF($U168="","",IF(ISNUMBER(INDEX('MiT Strom Pipeline'!$S:$S,$U168)),INDEX('MiT Strom Pipeline'!$S:$S,$U168),""))</f>
        <v/>
      </c>
      <c r="L168" s="27" t="str">
        <f>IF($U168="","",IF(LEN(INDEX('MiT Strom Pipeline'!$V:$V,$U168))&gt;0,LEFT(INDEX('MiT Strom Pipeline'!$V:$V,$U168),55),""))</f>
        <v/>
      </c>
      <c r="M168" s="22" t="n"/>
      <c r="N168" s="22" t="n"/>
      <c r="O168" s="22" t="n"/>
      <c r="P168" s="22" t="n"/>
      <c r="Q168" s="22" t="n"/>
      <c r="R168" s="22" t="n"/>
      <c r="S168" s="22" t="n"/>
      <c r="U168" t="str">
        <f>IFERROR(MATCH(30,'MiT Strom Pipeline'!$AD$6:$AD$860,0)+5,"")</f>
        <v/>
      </c>
    </row>
    <row r="169" hidden="1" ht="15.75" customHeight="1">
      <c r="A169" s="26" t="str">
        <f>IF($U169="","",IF(ISNUMBER(INDEX('MiT Strom Pipeline'!$A:$A,$U169)),INDEX('MiT Strom Pipeline'!$A:$A,$U169),""))</f>
        <v/>
      </c>
      <c r="B169" s="27" t="str">
        <f>IF($U169="","",IF(INDEX('MiT Strom Pipeline'!$B:$B,$U169)="","",INDEX('MiT Strom Pipeline'!$B:$B,$U169)))</f>
        <v/>
      </c>
      <c r="C169" s="27" t="str">
        <f>IF($U169="","",IF(INDEX('MiT Strom Pipeline'!$C:$C,$U169)="","",INDEX('MiT Strom Pipeline'!$C:$C,$U169)))</f>
        <v/>
      </c>
      <c r="D169" s="27" t="str">
        <f>IF($U169="","",IF(INDEX('MiT Strom Pipeline'!$D:$D,$U169)="","",INDEX('MiT Strom Pipeline'!$D:$D,$U169)))</f>
        <v/>
      </c>
      <c r="E169" s="27" t="str">
        <f>IF($U169="","",IF(INDEX('MiT Strom Pipeline'!$H:$H,$U169)="","",INDEX('MiT Strom Pipeline'!$H:$H,$U169)))</f>
        <v/>
      </c>
      <c r="F169" s="27" t="str">
        <f>IF($U169="","",IF(INDEX('MiT Strom Pipeline'!$E:$E,$U169)="","",INDEX('MiT Strom Pipeline'!$E:$E,$U169)))</f>
        <v/>
      </c>
      <c r="G169" s="28" t="str">
        <f>IF($U169="","",IF(ISNUMBER(INDEX('MiT Strom Pipeline'!$I:$I,$U169)),INDEX('MiT Strom Pipeline'!$I:$I,$U169),0))</f>
        <v/>
      </c>
      <c r="H169" s="28" t="str">
        <f>IF($U169="","",IF(ISNUMBER(INDEX('MiT Strom Pipeline'!$Q:$Q,$U169)),INDEX('MiT Strom Pipeline'!$Q:$Q,$U169),0))</f>
        <v/>
      </c>
      <c r="I169" s="28" t="str">
        <f>IF($U169="","",IF(ISNUMBER(INDEX('MiT Strom Pipeline'!$O:$O,$U169)),INDEX('MiT Strom Pipeline'!$O:$O,$U169),0))</f>
        <v/>
      </c>
      <c r="J169" s="27" t="str">
        <f>IF($U169="","",INDEX('MiT Strom Pipeline'!$R:$R,$U169))</f>
        <v/>
      </c>
      <c r="K169" s="29" t="str">
        <f>IF($U169="","",IF(ISNUMBER(INDEX('MiT Strom Pipeline'!$S:$S,$U169)),INDEX('MiT Strom Pipeline'!$S:$S,$U169),""))</f>
        <v/>
      </c>
      <c r="L169" s="27" t="str">
        <f>IF($U169="","",IF(LEN(INDEX('MiT Strom Pipeline'!$V:$V,$U169))&gt;0,LEFT(INDEX('MiT Strom Pipeline'!$V:$V,$U169),55),""))</f>
        <v/>
      </c>
      <c r="M169" s="22" t="n"/>
      <c r="N169" s="22" t="n"/>
      <c r="O169" s="22" t="n"/>
      <c r="P169" s="22" t="n"/>
      <c r="Q169" s="22" t="n"/>
      <c r="R169" s="22" t="n"/>
      <c r="S169" s="22" t="n"/>
      <c r="U169" t="str">
        <f>IFERROR(MATCH(31,'MiT Strom Pipeline'!$AD$6:$AD$860,0)+5,"")</f>
        <v/>
      </c>
    </row>
    <row r="170" hidden="1" ht="15.75" customHeight="1">
      <c r="A170" s="26" t="str">
        <f>IF($U170="","",IF(ISNUMBER(INDEX('MiT Strom Pipeline'!$A:$A,$U170)),INDEX('MiT Strom Pipeline'!$A:$A,$U170),""))</f>
        <v/>
      </c>
      <c r="B170" s="27" t="str">
        <f>IF($U170="","",IF(INDEX('MiT Strom Pipeline'!$B:$B,$U170)="","",INDEX('MiT Strom Pipeline'!$B:$B,$U170)))</f>
        <v/>
      </c>
      <c r="C170" s="27" t="str">
        <f>IF($U170="","",IF(INDEX('MiT Strom Pipeline'!$C:$C,$U170)="","",INDEX('MiT Strom Pipeline'!$C:$C,$U170)))</f>
        <v/>
      </c>
      <c r="D170" s="27" t="str">
        <f>IF($U170="","",IF(INDEX('MiT Strom Pipeline'!$D:$D,$U170)="","",INDEX('MiT Strom Pipeline'!$D:$D,$U170)))</f>
        <v/>
      </c>
      <c r="E170" s="27" t="str">
        <f>IF($U170="","",IF(INDEX('MiT Strom Pipeline'!$H:$H,$U170)="","",INDEX('MiT Strom Pipeline'!$H:$H,$U170)))</f>
        <v/>
      </c>
      <c r="F170" s="27" t="str">
        <f>IF($U170="","",IF(INDEX('MiT Strom Pipeline'!$E:$E,$U170)="","",INDEX('MiT Strom Pipeline'!$E:$E,$U170)))</f>
        <v/>
      </c>
      <c r="G170" s="28" t="str">
        <f>IF($U170="","",IF(ISNUMBER(INDEX('MiT Strom Pipeline'!$I:$I,$U170)),INDEX('MiT Strom Pipeline'!$I:$I,$U170),0))</f>
        <v/>
      </c>
      <c r="H170" s="28" t="str">
        <f>IF($U170="","",IF(ISNUMBER(INDEX('MiT Strom Pipeline'!$Q:$Q,$U170)),INDEX('MiT Strom Pipeline'!$Q:$Q,$U170),0))</f>
        <v/>
      </c>
      <c r="I170" s="28" t="str">
        <f>IF($U170="","",IF(ISNUMBER(INDEX('MiT Strom Pipeline'!$O:$O,$U170)),INDEX('MiT Strom Pipeline'!$O:$O,$U170),0))</f>
        <v/>
      </c>
      <c r="J170" s="27" t="str">
        <f>IF($U170="","",INDEX('MiT Strom Pipeline'!$R:$R,$U170))</f>
        <v/>
      </c>
      <c r="K170" s="29" t="str">
        <f>IF($U170="","",IF(ISNUMBER(INDEX('MiT Strom Pipeline'!$S:$S,$U170)),INDEX('MiT Strom Pipeline'!$S:$S,$U170),""))</f>
        <v/>
      </c>
      <c r="L170" s="27" t="str">
        <f>IF($U170="","",IF(LEN(INDEX('MiT Strom Pipeline'!$V:$V,$U170))&gt;0,LEFT(INDEX('MiT Strom Pipeline'!$V:$V,$U170),55),""))</f>
        <v/>
      </c>
      <c r="M170" s="22" t="n"/>
      <c r="N170" s="22" t="n"/>
      <c r="O170" s="22" t="n"/>
      <c r="P170" s="22" t="n"/>
      <c r="Q170" s="22" t="n"/>
      <c r="R170" s="22" t="n"/>
      <c r="S170" s="22" t="n"/>
      <c r="U170" t="str">
        <f>IFERROR(MATCH(32,'MiT Strom Pipeline'!$AD$6:$AD$860,0)+5,"")</f>
        <v/>
      </c>
    </row>
    <row r="171" ht="15.75" customHeight="1">
      <c r="A171" s="26" t="str">
        <f>IF($U171="","",IF(ISNUMBER(INDEX('MiT Strom Pipeline'!$A:$A,$U171)),INDEX('MiT Strom Pipeline'!$A:$A,$U171),""))</f>
        <v/>
      </c>
      <c r="B171" s="27" t="str">
        <f>IF($U171="","",IF(INDEX('MiT Strom Pipeline'!$B:$B,$U171)="","",INDEX('MiT Strom Pipeline'!$B:$B,$U171)))</f>
        <v/>
      </c>
      <c r="C171" s="27" t="str">
        <f>IF($U171="","",IF(INDEX('MiT Strom Pipeline'!$C:$C,$U171)="","",INDEX('MiT Strom Pipeline'!$C:$C,$U171)))</f>
        <v/>
      </c>
      <c r="D171" s="27" t="str">
        <f>IF($U171="","",IF(INDEX('MiT Strom Pipeline'!$D:$D,$U171)="","",INDEX('MiT Strom Pipeline'!$D:$D,$U171)))</f>
        <v/>
      </c>
      <c r="E171" s="192" t="str">
        <f>IF($U171="","",IF(INDEX('MiT Strom Pipeline'!$H:$H,$U171)="","",INDEX('MiT Strom Pipeline'!$H:$H,$U171)))</f>
        <v/>
      </c>
      <c r="F171" s="27" t="str">
        <f>IF($U171="","",IF(INDEX('MiT Strom Pipeline'!$E:$E,$U171)="","",INDEX('MiT Strom Pipeline'!$E:$E,$U171)))</f>
        <v/>
      </c>
      <c r="G171" s="28" t="str">
        <f>IF($U171="","",IF(ISNUMBER(INDEX('MiT Strom Pipeline'!$I:$I,$U171)),INDEX('MiT Strom Pipeline'!$I:$I,$U171),0))</f>
        <v/>
      </c>
      <c r="H171" s="28" t="str">
        <f>IF($U171="","",IF(ISNUMBER(INDEX('MiT Strom Pipeline'!$Q:$Q,$U171)),INDEX('MiT Strom Pipeline'!$Q:$Q,$U171),0))</f>
        <v/>
      </c>
      <c r="I171" s="28" t="str">
        <f>IF($U171="","",IF(ISNUMBER(INDEX('MiT Strom Pipeline'!$O:$O,$U171)),INDEX('MiT Strom Pipeline'!$O:$O,$U171),0))</f>
        <v/>
      </c>
      <c r="J171" s="27" t="str">
        <f>IF($U171="","",INDEX('MiT Strom Pipeline'!$R:$R,$U171))</f>
        <v/>
      </c>
      <c r="K171" s="29" t="str">
        <f>IF($U171="","",IF(ISNUMBER(INDEX('MiT Strom Pipeline'!$S:$S,$U171)),INDEX('MiT Strom Pipeline'!$S:$S,$U171),""))</f>
        <v/>
      </c>
      <c r="L171" s="27" t="str">
        <f>IF($U171="","",IF(LEN(INDEX('MiT Strom Pipeline'!$V:$V,$U171))&gt;0,LEFT(INDEX('MiT Strom Pipeline'!$V:$V,$U171),55),""))</f>
        <v/>
      </c>
      <c r="M171" s="22" t="n"/>
      <c r="N171" s="22" t="n"/>
      <c r="O171" s="22" t="n"/>
      <c r="P171" s="22" t="n"/>
      <c r="Q171" s="22" t="n"/>
      <c r="R171" s="22" t="n"/>
      <c r="S171" s="22" t="n"/>
      <c r="U171" t="str">
        <f>IFERROR(MATCH(33,'MiT Strom Pipeline'!$AD$6:$AD$860,0)+5,"")</f>
        <v/>
      </c>
    </row>
    <row r="172" ht="15.75" customHeight="1">
      <c r="A172" s="26" t="str">
        <f>IF($U172="","",IF(ISNUMBER(INDEX('MiT Strom Pipeline'!$A:$A,$U172)),INDEX('MiT Strom Pipeline'!$A:$A,$U172),""))</f>
        <v/>
      </c>
      <c r="B172" s="27" t="str">
        <f>IF($U172="","",IF(INDEX('MiT Strom Pipeline'!$B:$B,$U172)="","",INDEX('MiT Strom Pipeline'!$B:$B,$U172)))</f>
        <v/>
      </c>
      <c r="C172" s="27" t="str">
        <f>IF($U172="","",IF(INDEX('MiT Strom Pipeline'!$C:$C,$U172)="","",INDEX('MiT Strom Pipeline'!$C:$C,$U172)))</f>
        <v/>
      </c>
      <c r="D172" s="27" t="str">
        <f>IF($U172="","",IF(INDEX('MiT Strom Pipeline'!$D:$D,$U172)="","",INDEX('MiT Strom Pipeline'!$D:$D,$U172)))</f>
        <v/>
      </c>
      <c r="E172" s="27" t="str">
        <f>IF($U172="","",IF(INDEX('MiT Strom Pipeline'!$H:$H,$U172)="","",INDEX('MiT Strom Pipeline'!$H:$H,$U172)))</f>
        <v/>
      </c>
      <c r="F172" s="27" t="str">
        <f>IF($U172="","",IF(INDEX('MiT Strom Pipeline'!$E:$E,$U172)="","",INDEX('MiT Strom Pipeline'!$E:$E,$U172)))</f>
        <v/>
      </c>
      <c r="G172" s="28" t="str">
        <f>IF($U172="","",IF(ISNUMBER(INDEX('MiT Strom Pipeline'!$I:$I,$U172)),INDEX('MiT Strom Pipeline'!$I:$I,$U172),0))</f>
        <v/>
      </c>
      <c r="H172" s="28" t="str">
        <f>IF($U172="","",IF(ISNUMBER(INDEX('MiT Strom Pipeline'!$Q:$Q,$U172)),INDEX('MiT Strom Pipeline'!$Q:$Q,$U172),0))</f>
        <v/>
      </c>
      <c r="I172" s="28" t="str">
        <f>IF($U172="","",IF(ISNUMBER(INDEX('MiT Strom Pipeline'!$O:$O,$U172)),INDEX('MiT Strom Pipeline'!$O:$O,$U172),0))</f>
        <v/>
      </c>
      <c r="J172" s="27" t="str">
        <f>IF($U172="","",INDEX('MiT Strom Pipeline'!$R:$R,$U172))</f>
        <v/>
      </c>
      <c r="K172" s="29" t="str">
        <f>IF($U172="","",IF(ISNUMBER(INDEX('MiT Strom Pipeline'!$S:$S,$U172)),INDEX('MiT Strom Pipeline'!$S:$S,$U172),""))</f>
        <v/>
      </c>
      <c r="L172" s="27" t="str">
        <f>IF($U172="","",IF(LEN(INDEX('MiT Strom Pipeline'!$V:$V,$U172))&gt;0,LEFT(INDEX('MiT Strom Pipeline'!$V:$V,$U172),55),""))</f>
        <v/>
      </c>
      <c r="M172" s="22" t="n"/>
      <c r="N172" s="22" t="n"/>
      <c r="O172" s="22" t="n"/>
      <c r="P172" s="22" t="n"/>
      <c r="Q172" s="22" t="n"/>
      <c r="R172" s="22" t="n"/>
      <c r="S172" s="22" t="n"/>
      <c r="U172" t="str">
        <f>IFERROR(MATCH(34,'MiT Strom Pipeline'!$AD$6:$AD$860,0)+5,"")</f>
        <v/>
      </c>
    </row>
    <row r="173" ht="15.75" customHeight="1">
      <c r="A173" s="26" t="str">
        <f>IF($U173="","",IF(ISNUMBER(INDEX('MiT Strom Pipeline'!$A:$A,$U173)),INDEX('MiT Strom Pipeline'!$A:$A,$U173),""))</f>
        <v/>
      </c>
      <c r="B173" s="27" t="str">
        <f>IF($U173="","",IF(INDEX('MiT Strom Pipeline'!$B:$B,$U173)="","",INDEX('MiT Strom Pipeline'!$B:$B,$U173)))</f>
        <v/>
      </c>
      <c r="C173" s="27" t="str">
        <f>IF($U173="","",IF(INDEX('MiT Strom Pipeline'!$C:$C,$U173)="","",INDEX('MiT Strom Pipeline'!$C:$C,$U173)))</f>
        <v/>
      </c>
      <c r="D173" s="27" t="str">
        <f>IF($U173="","",IF(INDEX('MiT Strom Pipeline'!$D:$D,$U173)="","",INDEX('MiT Strom Pipeline'!$D:$D,$U173)))</f>
        <v/>
      </c>
      <c r="E173" s="27" t="str">
        <f>IF($U173="","",IF(INDEX('MiT Strom Pipeline'!$H:$H,$U173)="","",INDEX('MiT Strom Pipeline'!$H:$H,$U173)))</f>
        <v/>
      </c>
      <c r="F173" s="27" t="str">
        <f>IF($U173="","",IF(INDEX('MiT Strom Pipeline'!$E:$E,$U173)="","",INDEX('MiT Strom Pipeline'!$E:$E,$U173)))</f>
        <v/>
      </c>
      <c r="G173" s="28" t="str">
        <f>IF($U173="","",IF(ISNUMBER(INDEX('MiT Strom Pipeline'!$I:$I,$U173)),INDEX('MiT Strom Pipeline'!$I:$I,$U173),0))</f>
        <v/>
      </c>
      <c r="H173" s="28" t="str">
        <f>IF($U173="","",IF(ISNUMBER(INDEX('MiT Strom Pipeline'!$Q:$Q,$U173)),INDEX('MiT Strom Pipeline'!$Q:$Q,$U173),0))</f>
        <v/>
      </c>
      <c r="I173" s="28" t="str">
        <f>IF($U173="","",IF(ISNUMBER(INDEX('MiT Strom Pipeline'!$O:$O,$U173)),INDEX('MiT Strom Pipeline'!$O:$O,$U173),0))</f>
        <v/>
      </c>
      <c r="J173" s="27" t="str">
        <f>IF($U173="","",INDEX('MiT Strom Pipeline'!$R:$R,$U173))</f>
        <v/>
      </c>
      <c r="K173" s="29" t="str">
        <f>IF($U173="","",IF(ISNUMBER(INDEX('MiT Strom Pipeline'!$S:$S,$U173)),INDEX('MiT Strom Pipeline'!$S:$S,$U173),""))</f>
        <v/>
      </c>
      <c r="L173" s="27" t="str">
        <f>IF($U173="","",IF(LEN(INDEX('MiT Strom Pipeline'!$V:$V,$U173))&gt;0,LEFT(INDEX('MiT Strom Pipeline'!$V:$V,$U173),55),""))</f>
        <v/>
      </c>
      <c r="M173" s="22" t="n"/>
      <c r="N173" s="22" t="n"/>
      <c r="O173" s="22" t="n"/>
      <c r="P173" s="22" t="n"/>
      <c r="Q173" s="22" t="n"/>
      <c r="R173" s="22" t="n"/>
      <c r="S173" s="22" t="n"/>
      <c r="U173" t="str">
        <f>IFERROR(MATCH(35,'MiT Strom Pipeline'!$AD$6:$AD$860,0)+5,"")</f>
        <v/>
      </c>
    </row>
    <row r="174" ht="15.75" customHeight="1">
      <c r="A174" s="26" t="str">
        <f>IF($U174="","",IF(ISNUMBER(INDEX('MiT Strom Pipeline'!$A:$A,$U174)),INDEX('MiT Strom Pipeline'!$A:$A,$U174),""))</f>
        <v/>
      </c>
      <c r="B174" s="27" t="str">
        <f>IF($U174="","",IF(INDEX('MiT Strom Pipeline'!$B:$B,$U174)="","",INDEX('MiT Strom Pipeline'!$B:$B,$U174)))</f>
        <v/>
      </c>
      <c r="C174" s="27" t="str">
        <f>IF($U174="","",IF(INDEX('MiT Strom Pipeline'!$C:$C,$U174)="","",INDEX('MiT Strom Pipeline'!$C:$C,$U174)))</f>
        <v/>
      </c>
      <c r="D174" s="27" t="str">
        <f>IF($U174="","",IF(INDEX('MiT Strom Pipeline'!$D:$D,$U174)="","",INDEX('MiT Strom Pipeline'!$D:$D,$U174)))</f>
        <v/>
      </c>
      <c r="E174" s="27" t="str">
        <f>IF($U174="","",IF(INDEX('MiT Strom Pipeline'!$H:$H,$U174)="","",INDEX('MiT Strom Pipeline'!$H:$H,$U174)))</f>
        <v/>
      </c>
      <c r="F174" s="27" t="str">
        <f>IF($U174="","",IF(INDEX('MiT Strom Pipeline'!$E:$E,$U174)="","",INDEX('MiT Strom Pipeline'!$E:$E,$U174)))</f>
        <v/>
      </c>
      <c r="G174" s="28" t="str">
        <f>IF($U174="","",IF(ISNUMBER(INDEX('MiT Strom Pipeline'!$I:$I,$U174)),INDEX('MiT Strom Pipeline'!$I:$I,$U174),0))</f>
        <v/>
      </c>
      <c r="H174" s="28" t="str">
        <f>IF($U174="","",IF(ISNUMBER(INDEX('MiT Strom Pipeline'!$Q:$Q,$U174)),INDEX('MiT Strom Pipeline'!$Q:$Q,$U174),0))</f>
        <v/>
      </c>
      <c r="I174" s="28" t="str">
        <f>IF($U174="","",IF(ISNUMBER(INDEX('MiT Strom Pipeline'!$O:$O,$U174)),INDEX('MiT Strom Pipeline'!$O:$O,$U174),0))</f>
        <v/>
      </c>
      <c r="J174" s="27" t="str">
        <f>IF($U174="","",INDEX('MiT Strom Pipeline'!$R:$R,$U174))</f>
        <v/>
      </c>
      <c r="K174" s="29" t="str">
        <f>IF($U174="","",IF(ISNUMBER(INDEX('MiT Strom Pipeline'!$S:$S,$U174)),INDEX('MiT Strom Pipeline'!$S:$S,$U174),""))</f>
        <v/>
      </c>
      <c r="L174" s="27" t="str">
        <f>IF($U174="","",IF(LEN(INDEX('MiT Strom Pipeline'!$V:$V,$U174))&gt;0,LEFT(INDEX('MiT Strom Pipeline'!$V:$V,$U174),55),""))</f>
        <v/>
      </c>
      <c r="M174" s="22" t="n"/>
      <c r="N174" s="22" t="n"/>
      <c r="O174" s="22" t="n"/>
      <c r="P174" s="22" t="n"/>
      <c r="Q174" s="22" t="n"/>
      <c r="R174" s="22" t="n"/>
      <c r="S174" s="22" t="n"/>
      <c r="U174" t="str">
        <f>IFERROR(MATCH(36,'MiT Strom Pipeline'!$AD$6:$AD$860,0)+5,"")</f>
        <v/>
      </c>
    </row>
    <row r="175" ht="15.75" customHeight="1">
      <c r="A175" s="26" t="str">
        <f>IF($U175="","",IF(ISNUMBER(INDEX('MiT Strom Pipeline'!$A:$A,$U175)),INDEX('MiT Strom Pipeline'!$A:$A,$U175),""))</f>
        <v/>
      </c>
      <c r="B175" s="27" t="str">
        <f>IF($U175="","",IF(INDEX('MiT Strom Pipeline'!$B:$B,$U175)="","",INDEX('MiT Strom Pipeline'!$B:$B,$U175)))</f>
        <v/>
      </c>
      <c r="C175" s="27" t="str">
        <f>IF($U175="","",IF(INDEX('MiT Strom Pipeline'!$C:$C,$U175)="","",INDEX('MiT Strom Pipeline'!$C:$C,$U175)))</f>
        <v/>
      </c>
      <c r="D175" s="27" t="str">
        <f>IF($U175="","",IF(INDEX('MiT Strom Pipeline'!$D:$D,$U175)="","",INDEX('MiT Strom Pipeline'!$D:$D,$U175)))</f>
        <v/>
      </c>
      <c r="E175" s="27" t="str">
        <f>IF($U175="","",IF(INDEX('MiT Strom Pipeline'!$H:$H,$U175)="","",INDEX('MiT Strom Pipeline'!$H:$H,$U175)))</f>
        <v/>
      </c>
      <c r="F175" s="27" t="str">
        <f>IF($U175="","",IF(INDEX('MiT Strom Pipeline'!$E:$E,$U175)="","",INDEX('MiT Strom Pipeline'!$E:$E,$U175)))</f>
        <v/>
      </c>
      <c r="G175" s="28" t="str">
        <f>IF($U175="","",IF(ISNUMBER(INDEX('MiT Strom Pipeline'!$I:$I,$U175)),INDEX('MiT Strom Pipeline'!$I:$I,$U175),0))</f>
        <v/>
      </c>
      <c r="H175" s="28" t="str">
        <f>IF($U175="","",IF(ISNUMBER(INDEX('MiT Strom Pipeline'!$Q:$Q,$U175)),INDEX('MiT Strom Pipeline'!$Q:$Q,$U175),0))</f>
        <v/>
      </c>
      <c r="I175" s="28" t="str">
        <f>IF($U175="","",IF(ISNUMBER(INDEX('MiT Strom Pipeline'!$O:$O,$U175)),INDEX('MiT Strom Pipeline'!$O:$O,$U175),0))</f>
        <v/>
      </c>
      <c r="J175" s="27" t="str">
        <f>IF($U175="","",INDEX('MiT Strom Pipeline'!$R:$R,$U175))</f>
        <v/>
      </c>
      <c r="K175" s="29" t="str">
        <f>IF($U175="","",IF(ISNUMBER(INDEX('MiT Strom Pipeline'!$S:$S,$U175)),INDEX('MiT Strom Pipeline'!$S:$S,$U175),""))</f>
        <v/>
      </c>
      <c r="L175" s="27" t="str">
        <f>IF($U175="","",IF(LEN(INDEX('MiT Strom Pipeline'!$V:$V,$U175))&gt;0,LEFT(INDEX('MiT Strom Pipeline'!$V:$V,$U175),55),""))</f>
        <v/>
      </c>
      <c r="M175" s="22" t="n"/>
      <c r="N175" s="22" t="n"/>
      <c r="O175" s="22" t="n"/>
      <c r="P175" s="22" t="n"/>
      <c r="Q175" s="22" t="n"/>
      <c r="R175" s="22" t="n"/>
      <c r="S175" s="22" t="n"/>
      <c r="U175" t="str">
        <f>IFERROR(MATCH(37,'MiT Strom Pipeline'!$AD$6:$AD$860,0)+5,"")</f>
        <v/>
      </c>
    </row>
    <row r="176" ht="15.75" customHeight="1">
      <c r="A176" s="26" t="str">
        <f>IF($U176="","",IF(ISNUMBER(INDEX('MiT Strom Pipeline'!$A:$A,$U176)),INDEX('MiT Strom Pipeline'!$A:$A,$U176),""))</f>
        <v/>
      </c>
      <c r="B176" s="27" t="str">
        <f>IF($U176="","",IF(INDEX('MiT Strom Pipeline'!$B:$B,$U176)="","",INDEX('MiT Strom Pipeline'!$B:$B,$U176)))</f>
        <v/>
      </c>
      <c r="C176" s="27" t="str">
        <f>IF($U176="","",IF(INDEX('MiT Strom Pipeline'!$C:$C,$U176)="","",INDEX('MiT Strom Pipeline'!$C:$C,$U176)))</f>
        <v/>
      </c>
      <c r="D176" s="27" t="str">
        <f>IF($U176="","",IF(INDEX('MiT Strom Pipeline'!$D:$D,$U176)="","",INDEX('MiT Strom Pipeline'!$D:$D,$U176)))</f>
        <v/>
      </c>
      <c r="E176" s="27" t="str">
        <f>IF($U176="","",IF(INDEX('MiT Strom Pipeline'!$H:$H,$U176)="","",INDEX('MiT Strom Pipeline'!$H:$H,$U176)))</f>
        <v/>
      </c>
      <c r="F176" s="27" t="str">
        <f>IF($U176="","",IF(INDEX('MiT Strom Pipeline'!$E:$E,$U176)="","",INDEX('MiT Strom Pipeline'!$E:$E,$U176)))</f>
        <v/>
      </c>
      <c r="G176" s="28" t="str">
        <f>IF($U176="","",IF(ISNUMBER(INDEX('MiT Strom Pipeline'!$I:$I,$U176)),INDEX('MiT Strom Pipeline'!$I:$I,$U176),0))</f>
        <v/>
      </c>
      <c r="H176" s="28" t="str">
        <f>IF($U176="","",IF(ISNUMBER(INDEX('MiT Strom Pipeline'!$Q:$Q,$U176)),INDEX('MiT Strom Pipeline'!$Q:$Q,$U176),0))</f>
        <v/>
      </c>
      <c r="I176" s="28" t="str">
        <f>IF($U176="","",IF(ISNUMBER(INDEX('MiT Strom Pipeline'!$O:$O,$U176)),INDEX('MiT Strom Pipeline'!$O:$O,$U176),0))</f>
        <v/>
      </c>
      <c r="J176" s="27" t="str">
        <f>IF($U176="","",INDEX('MiT Strom Pipeline'!$R:$R,$U176))</f>
        <v/>
      </c>
      <c r="K176" s="29" t="str">
        <f>IF($U176="","",IF(ISNUMBER(INDEX('MiT Strom Pipeline'!$S:$S,$U176)),INDEX('MiT Strom Pipeline'!$S:$S,$U176),""))</f>
        <v/>
      </c>
      <c r="L176" s="27" t="str">
        <f>IF($U176="","",IF(LEN(INDEX('MiT Strom Pipeline'!$V:$V,$U176))&gt;0,LEFT(INDEX('MiT Strom Pipeline'!$V:$V,$U176),55),""))</f>
        <v/>
      </c>
      <c r="M176" s="22" t="n"/>
      <c r="N176" s="22" t="n"/>
      <c r="O176" s="22" t="n"/>
      <c r="P176" s="22" t="n"/>
      <c r="Q176" s="22" t="n"/>
      <c r="R176" s="22" t="n"/>
      <c r="S176" s="22" t="n"/>
      <c r="U176" t="str">
        <f>IFERROR(MATCH(38,'MiT Strom Pipeline'!$AD$6:$AD$860,0)+5,"")</f>
        <v/>
      </c>
    </row>
    <row r="177" ht="15.75" customHeight="1">
      <c r="A177" s="26" t="str">
        <f>IF($U177="","",IF(ISNUMBER(INDEX('MiT Strom Pipeline'!$A:$A,$U177)),INDEX('MiT Strom Pipeline'!$A:$A,$U177),""))</f>
        <v/>
      </c>
      <c r="B177" s="27" t="str">
        <f>IF($U177="","",IF(INDEX('MiT Strom Pipeline'!$B:$B,$U177)="","",INDEX('MiT Strom Pipeline'!$B:$B,$U177)))</f>
        <v/>
      </c>
      <c r="C177" s="27" t="str">
        <f>IF($U177="","",IF(INDEX('MiT Strom Pipeline'!$C:$C,$U177)="","",INDEX('MiT Strom Pipeline'!$C:$C,$U177)))</f>
        <v/>
      </c>
      <c r="D177" s="27" t="str">
        <f>IF($U177="","",IF(INDEX('MiT Strom Pipeline'!$D:$D,$U177)="","",INDEX('MiT Strom Pipeline'!$D:$D,$U177)))</f>
        <v/>
      </c>
      <c r="E177" s="27" t="str">
        <f>IF($U177="","",IF(INDEX('MiT Strom Pipeline'!$H:$H,$U177)="","",INDEX('MiT Strom Pipeline'!$H:$H,$U177)))</f>
        <v/>
      </c>
      <c r="F177" s="27" t="str">
        <f>IF($U177="","",IF(INDEX('MiT Strom Pipeline'!$E:$E,$U177)="","",INDEX('MiT Strom Pipeline'!$E:$E,$U177)))</f>
        <v/>
      </c>
      <c r="G177" s="28" t="str">
        <f>IF($U177="","",IF(ISNUMBER(INDEX('MiT Strom Pipeline'!$I:$I,$U177)),INDEX('MiT Strom Pipeline'!$I:$I,$U177),0))</f>
        <v/>
      </c>
      <c r="H177" s="28" t="str">
        <f>IF($U177="","",IF(ISNUMBER(INDEX('MiT Strom Pipeline'!$Q:$Q,$U177)),INDEX('MiT Strom Pipeline'!$Q:$Q,$U177),0))</f>
        <v/>
      </c>
      <c r="I177" s="28" t="str">
        <f>IF($U177="","",IF(ISNUMBER(INDEX('MiT Strom Pipeline'!$O:$O,$U177)),INDEX('MiT Strom Pipeline'!$O:$O,$U177),0))</f>
        <v/>
      </c>
      <c r="J177" s="27" t="str">
        <f>IF($U177="","",INDEX('MiT Strom Pipeline'!$R:$R,$U177))</f>
        <v/>
      </c>
      <c r="K177" s="29" t="str">
        <f>IF($U177="","",IF(ISNUMBER(INDEX('MiT Strom Pipeline'!$S:$S,$U177)),INDEX('MiT Strom Pipeline'!$S:$S,$U177),""))</f>
        <v/>
      </c>
      <c r="L177" s="27" t="str">
        <f>IF($U177="","",IF(LEN(INDEX('MiT Strom Pipeline'!$V:$V,$U177))&gt;0,LEFT(INDEX('MiT Strom Pipeline'!$V:$V,$U177),55),""))</f>
        <v/>
      </c>
      <c r="M177" s="22" t="n"/>
      <c r="N177" s="22" t="n"/>
      <c r="O177" s="22" t="n"/>
      <c r="P177" s="22" t="n"/>
      <c r="Q177" s="22" t="n"/>
      <c r="R177" s="22" t="n"/>
      <c r="S177" s="22" t="n"/>
      <c r="U177" t="str">
        <f>IFERROR(MATCH(39,'MiT Strom Pipeline'!$AD$6:$AD$860,0)+5,"")</f>
        <v/>
      </c>
    </row>
    <row r="178" ht="15.75" customHeight="1">
      <c r="A178" s="26" t="str">
        <f>IF($U178="","",IF(ISNUMBER(INDEX('MiT Strom Pipeline'!$A:$A,$U178)),INDEX('MiT Strom Pipeline'!$A:$A,$U178),""))</f>
        <v/>
      </c>
      <c r="B178" s="27" t="str">
        <f>IF($U178="","",IF(INDEX('MiT Strom Pipeline'!$B:$B,$U178)="","",INDEX('MiT Strom Pipeline'!$B:$B,$U178)))</f>
        <v/>
      </c>
      <c r="C178" s="27" t="str">
        <f>IF($U178="","",IF(INDEX('MiT Strom Pipeline'!$C:$C,$U178)="","",INDEX('MiT Strom Pipeline'!$C:$C,$U178)))</f>
        <v/>
      </c>
      <c r="D178" s="27" t="str">
        <f>IF($U178="","",IF(INDEX('MiT Strom Pipeline'!$D:$D,$U178)="","",INDEX('MiT Strom Pipeline'!$D:$D,$U178)))</f>
        <v/>
      </c>
      <c r="E178" s="27" t="str">
        <f>IF($U178="","",IF(INDEX('MiT Strom Pipeline'!$H:$H,$U178)="","",INDEX('MiT Strom Pipeline'!$H:$H,$U178)))</f>
        <v/>
      </c>
      <c r="F178" s="27" t="str">
        <f>IF($U178="","",IF(INDEX('MiT Strom Pipeline'!$E:$E,$U178)="","",INDEX('MiT Strom Pipeline'!$E:$E,$U178)))</f>
        <v/>
      </c>
      <c r="G178" s="28" t="str">
        <f>IF($U178="","",IF(ISNUMBER(INDEX('MiT Strom Pipeline'!$I:$I,$U178)),INDEX('MiT Strom Pipeline'!$I:$I,$U178),0))</f>
        <v/>
      </c>
      <c r="H178" s="28" t="str">
        <f>IF($U178="","",IF(ISNUMBER(INDEX('MiT Strom Pipeline'!$Q:$Q,$U178)),INDEX('MiT Strom Pipeline'!$Q:$Q,$U178),0))</f>
        <v/>
      </c>
      <c r="I178" s="28" t="str">
        <f>IF($U178="","",IF(ISNUMBER(INDEX('MiT Strom Pipeline'!$O:$O,$U178)),INDEX('MiT Strom Pipeline'!$O:$O,$U178),0))</f>
        <v/>
      </c>
      <c r="J178" s="27" t="str">
        <f>IF($U178="","",INDEX('MiT Strom Pipeline'!$R:$R,$U178))</f>
        <v/>
      </c>
      <c r="K178" s="29" t="str">
        <f>IF($U178="","",IF(ISNUMBER(INDEX('MiT Strom Pipeline'!$S:$S,$U178)),INDEX('MiT Strom Pipeline'!$S:$S,$U178),""))</f>
        <v/>
      </c>
      <c r="L178" s="27" t="str">
        <f>IF($U178="","",IF(LEN(INDEX('MiT Strom Pipeline'!$V:$V,$U178))&gt;0,LEFT(INDEX('MiT Strom Pipeline'!$V:$V,$U178),55),""))</f>
        <v/>
      </c>
      <c r="M178" s="22" t="n"/>
      <c r="N178" s="22" t="n"/>
      <c r="O178" s="22" t="n"/>
      <c r="P178" s="22" t="n"/>
      <c r="Q178" s="22" t="n"/>
      <c r="R178" s="22" t="n"/>
      <c r="S178" s="22" t="n"/>
      <c r="U178" t="str">
        <f>IFERROR(MATCH(40,'MiT Strom Pipeline'!$AD$6:$AD$860,0)+5,"")</f>
        <v/>
      </c>
    </row>
    <row r="179" ht="15.75" customHeight="1">
      <c r="A179" s="26" t="str">
        <f>IF($U179="","",IF(ISNUMBER(INDEX('MiT Strom Pipeline'!$A:$A,$U179)),INDEX('MiT Strom Pipeline'!$A:$A,$U179),""))</f>
        <v/>
      </c>
      <c r="B179" s="27" t="str">
        <f>IF($U179="","",IF(INDEX('MiT Strom Pipeline'!$B:$B,$U179)="","",INDEX('MiT Strom Pipeline'!$B:$B,$U179)))</f>
        <v/>
      </c>
      <c r="C179" s="27" t="str">
        <f>IF($U179="","",IF(INDEX('MiT Strom Pipeline'!$C:$C,$U179)="","",INDEX('MiT Strom Pipeline'!$C:$C,$U179)))</f>
        <v/>
      </c>
      <c r="D179" s="27" t="str">
        <f>IF($U179="","",IF(INDEX('MiT Strom Pipeline'!$D:$D,$U179)="","",INDEX('MiT Strom Pipeline'!$D:$D,$U179)))</f>
        <v/>
      </c>
      <c r="E179" s="27" t="str">
        <f>IF($U179="","",IF(INDEX('MiT Strom Pipeline'!$H:$H,$U179)="","",INDEX('MiT Strom Pipeline'!$H:$H,$U179)))</f>
        <v/>
      </c>
      <c r="F179" s="27" t="str">
        <f>IF($U179="","",IF(INDEX('MiT Strom Pipeline'!$E:$E,$U179)="","",INDEX('MiT Strom Pipeline'!$E:$E,$U179)))</f>
        <v/>
      </c>
      <c r="G179" s="28" t="str">
        <f>IF($U179="","",IF(ISNUMBER(INDEX('MiT Strom Pipeline'!$I:$I,$U179)),INDEX('MiT Strom Pipeline'!$I:$I,$U179),0))</f>
        <v/>
      </c>
      <c r="H179" s="28" t="str">
        <f>IF($U179="","",IF(ISNUMBER(INDEX('MiT Strom Pipeline'!$Q:$Q,$U179)),INDEX('MiT Strom Pipeline'!$Q:$Q,$U179),0))</f>
        <v/>
      </c>
      <c r="I179" s="28" t="str">
        <f>IF($U179="","",IF(ISNUMBER(INDEX('MiT Strom Pipeline'!$O:$O,$U179)),INDEX('MiT Strom Pipeline'!$O:$O,$U179),0))</f>
        <v/>
      </c>
      <c r="J179" s="27" t="str">
        <f>IF($U179="","",INDEX('MiT Strom Pipeline'!$R:$R,$U179))</f>
        <v/>
      </c>
      <c r="K179" s="29" t="str">
        <f>IF($U179="","",IF(ISNUMBER(INDEX('MiT Strom Pipeline'!$S:$S,$U179)),INDEX('MiT Strom Pipeline'!$S:$S,$U179),""))</f>
        <v/>
      </c>
      <c r="L179" s="27" t="str">
        <f>IF($U179="","",IF(LEN(INDEX('MiT Strom Pipeline'!$V:$V,$U179))&gt;0,LEFT(INDEX('MiT Strom Pipeline'!$V:$V,$U179),55),""))</f>
        <v/>
      </c>
      <c r="M179" s="22" t="n"/>
      <c r="N179" s="22" t="n"/>
      <c r="O179" s="22" t="n"/>
      <c r="P179" s="22" t="n"/>
      <c r="Q179" s="22" t="n"/>
      <c r="R179" s="22" t="n"/>
      <c r="S179" s="22" t="n"/>
      <c r="U179" t="str">
        <f>IFERROR(MATCH(41,'MiT Strom Pipeline'!$AD$6:$AD$860,0)+5,"")</f>
        <v/>
      </c>
    </row>
    <row r="180" ht="15.75" customHeight="1">
      <c r="A180" s="26" t="str">
        <f>IF($U180="","",IF(ISNUMBER(INDEX('MiT Strom Pipeline'!$A:$A,$U180)),INDEX('MiT Strom Pipeline'!$A:$A,$U180),""))</f>
        <v/>
      </c>
      <c r="B180" s="27" t="str">
        <f>IF($U180="","",IF(INDEX('MiT Strom Pipeline'!$B:$B,$U180)="","",INDEX('MiT Strom Pipeline'!$B:$B,$U180)))</f>
        <v/>
      </c>
      <c r="C180" s="27" t="str">
        <f>IF($U180="","",IF(INDEX('MiT Strom Pipeline'!$C:$C,$U180)="","",INDEX('MiT Strom Pipeline'!$C:$C,$U180)))</f>
        <v/>
      </c>
      <c r="D180" s="27" t="str">
        <f>IF($U180="","",IF(INDEX('MiT Strom Pipeline'!$D:$D,$U180)="","",INDEX('MiT Strom Pipeline'!$D:$D,$U180)))</f>
        <v/>
      </c>
      <c r="E180" s="27" t="str">
        <f>IF($U180="","",IF(INDEX('MiT Strom Pipeline'!$H:$H,$U180)="","",INDEX('MiT Strom Pipeline'!$H:$H,$U180)))</f>
        <v/>
      </c>
      <c r="F180" s="27" t="str">
        <f>IF($U180="","",IF(INDEX('MiT Strom Pipeline'!$E:$E,$U180)="","",INDEX('MiT Strom Pipeline'!$E:$E,$U180)))</f>
        <v/>
      </c>
      <c r="G180" s="28" t="str">
        <f>IF($U180="","",IF(ISNUMBER(INDEX('MiT Strom Pipeline'!$I:$I,$U180)),INDEX('MiT Strom Pipeline'!$I:$I,$U180),0))</f>
        <v/>
      </c>
      <c r="H180" s="28" t="str">
        <f>IF($U180="","",IF(ISNUMBER(INDEX('MiT Strom Pipeline'!$Q:$Q,$U180)),INDEX('MiT Strom Pipeline'!$Q:$Q,$U180),0))</f>
        <v/>
      </c>
      <c r="I180" s="28" t="str">
        <f>IF($U180="","",IF(ISNUMBER(INDEX('MiT Strom Pipeline'!$O:$O,$U180)),INDEX('MiT Strom Pipeline'!$O:$O,$U180),0))</f>
        <v/>
      </c>
      <c r="J180" s="27" t="str">
        <f>IF($U180="","",INDEX('MiT Strom Pipeline'!$R:$R,$U180))</f>
        <v/>
      </c>
      <c r="K180" s="29" t="str">
        <f>IF($U180="","",IF(ISNUMBER(INDEX('MiT Strom Pipeline'!$S:$S,$U180)),INDEX('MiT Strom Pipeline'!$S:$S,$U180),""))</f>
        <v/>
      </c>
      <c r="L180" s="27" t="str">
        <f>IF($U180="","",IF(LEN(INDEX('MiT Strom Pipeline'!$V:$V,$U180))&gt;0,LEFT(INDEX('MiT Strom Pipeline'!$V:$V,$U180),55),""))</f>
        <v/>
      </c>
      <c r="M180" s="22" t="n"/>
      <c r="N180" s="22" t="n"/>
      <c r="O180" s="22" t="n"/>
      <c r="P180" s="22" t="n"/>
      <c r="Q180" s="22" t="n"/>
      <c r="R180" s="22" t="n"/>
      <c r="S180" s="22" t="n"/>
      <c r="U180" t="str">
        <f>IFERROR(MATCH(42,'MiT Strom Pipeline'!$AD$6:$AD$860,0)+5,"")</f>
        <v/>
      </c>
    </row>
    <row r="181" ht="15.75" customHeight="1">
      <c r="A181" s="26" t="str">
        <f>IF($U181="","",IF(ISNUMBER(INDEX('MiT Strom Pipeline'!$A:$A,$U181)),INDEX('MiT Strom Pipeline'!$A:$A,$U181),""))</f>
        <v/>
      </c>
      <c r="B181" s="27" t="str">
        <f>IF($U181="","",IF(INDEX('MiT Strom Pipeline'!$B:$B,$U181)="","",INDEX('MiT Strom Pipeline'!$B:$B,$U181)))</f>
        <v/>
      </c>
      <c r="C181" s="27" t="str">
        <f>IF($U181="","",IF(INDEX('MiT Strom Pipeline'!$C:$C,$U181)="","",INDEX('MiT Strom Pipeline'!$C:$C,$U181)))</f>
        <v/>
      </c>
      <c r="D181" s="27" t="str">
        <f>IF($U181="","",IF(INDEX('MiT Strom Pipeline'!$D:$D,$U181)="","",INDEX('MiT Strom Pipeline'!$D:$D,$U181)))</f>
        <v/>
      </c>
      <c r="E181" s="191" t="str">
        <f>IF($U181="","",IF(INDEX('MiT Strom Pipeline'!$H:$H,$U181)="","",INDEX('MiT Strom Pipeline'!$H:$H,$U181)))</f>
        <v/>
      </c>
      <c r="F181" s="27" t="str">
        <f>IF($U181="","",IF(INDEX('MiT Strom Pipeline'!$E:$E,$U181)="","",INDEX('MiT Strom Pipeline'!$E:$E,$U181)))</f>
        <v/>
      </c>
      <c r="G181" s="28" t="str">
        <f>IF($U181="","",IF(ISNUMBER(INDEX('MiT Strom Pipeline'!$I:$I,$U181)),INDEX('MiT Strom Pipeline'!$I:$I,$U181),0))</f>
        <v/>
      </c>
      <c r="H181" s="28" t="str">
        <f>IF($U181="","",IF(ISNUMBER(INDEX('MiT Strom Pipeline'!$Q:$Q,$U181)),INDEX('MiT Strom Pipeline'!$Q:$Q,$U181),0))</f>
        <v/>
      </c>
      <c r="I181" s="28" t="str">
        <f>IF($U181="","",IF(ISNUMBER(INDEX('MiT Strom Pipeline'!$O:$O,$U181)),INDEX('MiT Strom Pipeline'!$O:$O,$U181),0))</f>
        <v/>
      </c>
      <c r="J181" s="27" t="str">
        <f>IF($U181="","",INDEX('MiT Strom Pipeline'!$R:$R,$U181))</f>
        <v/>
      </c>
      <c r="K181" s="29" t="str">
        <f>IF($U181="","",IF(ISNUMBER(INDEX('MiT Strom Pipeline'!$S:$S,$U181)),INDEX('MiT Strom Pipeline'!$S:$S,$U181),""))</f>
        <v/>
      </c>
      <c r="L181" s="27" t="str">
        <f>IF($U181="","",IF(LEN(INDEX('MiT Strom Pipeline'!$V:$V,$U181))&gt;0,LEFT(INDEX('MiT Strom Pipeline'!$V:$V,$U181),55),""))</f>
        <v/>
      </c>
      <c r="M181" s="22" t="n"/>
      <c r="N181" s="22" t="n"/>
      <c r="O181" s="22" t="n"/>
      <c r="P181" s="22" t="n"/>
      <c r="Q181" s="22" t="n"/>
      <c r="R181" s="22" t="n"/>
      <c r="S181" s="22" t="n"/>
      <c r="U181" t="str">
        <f>IFERROR(MATCH(43,'MiT Strom Pipeline'!$AD$6:$AD$860,0)+5,"")</f>
        <v/>
      </c>
    </row>
    <row r="182" ht="15.75" customHeight="1">
      <c r="A182" s="26" t="str">
        <f>IF($U182="","",IF(ISNUMBER(INDEX('MiT Strom Pipeline'!$A:$A,$U182)),INDEX('MiT Strom Pipeline'!$A:$A,$U182),""))</f>
        <v/>
      </c>
      <c r="B182" s="27" t="str">
        <f>IF($U182="","",IF(INDEX('MiT Strom Pipeline'!$B:$B,$U182)="","",INDEX('MiT Strom Pipeline'!$B:$B,$U182)))</f>
        <v/>
      </c>
      <c r="C182" s="27" t="str">
        <f>IF($U182="","",IF(INDEX('MiT Strom Pipeline'!$C:$C,$U182)="","",INDEX('MiT Strom Pipeline'!$C:$C,$U182)))</f>
        <v/>
      </c>
      <c r="D182" s="27" t="str">
        <f>IF($U182="","",IF(INDEX('MiT Strom Pipeline'!$D:$D,$U182)="","",INDEX('MiT Strom Pipeline'!$D:$D,$U182)))</f>
        <v/>
      </c>
      <c r="E182" s="191" t="str">
        <f>IF($U182="","",IF(INDEX('MiT Strom Pipeline'!$H:$H,$U182)="","",INDEX('MiT Strom Pipeline'!$H:$H,$U182)))</f>
        <v/>
      </c>
      <c r="F182" s="27" t="str">
        <f>IF($U182="","",IF(INDEX('MiT Strom Pipeline'!$E:$E,$U182)="","",INDEX('MiT Strom Pipeline'!$E:$E,$U182)))</f>
        <v/>
      </c>
      <c r="G182" s="28" t="str">
        <f>IF($U182="","",IF(ISNUMBER(INDEX('MiT Strom Pipeline'!$I:$I,$U182)),INDEX('MiT Strom Pipeline'!$I:$I,$U182),0))</f>
        <v/>
      </c>
      <c r="H182" s="28" t="str">
        <f>IF($U182="","",IF(ISNUMBER(INDEX('MiT Strom Pipeline'!$Q:$Q,$U182)),INDEX('MiT Strom Pipeline'!$Q:$Q,$U182),0))</f>
        <v/>
      </c>
      <c r="I182" s="28" t="str">
        <f>IF($U182="","",IF(ISNUMBER(INDEX('MiT Strom Pipeline'!$O:$O,$U182)),INDEX('MiT Strom Pipeline'!$O:$O,$U182),0))</f>
        <v/>
      </c>
      <c r="J182" s="27" t="str">
        <f>IF($U182="","",INDEX('MiT Strom Pipeline'!$R:$R,$U182))</f>
        <v/>
      </c>
      <c r="K182" s="29" t="str">
        <f>IF($U182="","",IF(ISNUMBER(INDEX('MiT Strom Pipeline'!$S:$S,$U182)),INDEX('MiT Strom Pipeline'!$S:$S,$U182),""))</f>
        <v/>
      </c>
      <c r="L182" s="27" t="str">
        <f>IF($U182="","",IF(LEN(INDEX('MiT Strom Pipeline'!$V:$V,$U182))&gt;0,LEFT(INDEX('MiT Strom Pipeline'!$V:$V,$U182),55),""))</f>
        <v/>
      </c>
      <c r="M182" s="22" t="n"/>
      <c r="N182" s="22" t="n"/>
      <c r="O182" s="22" t="n"/>
      <c r="P182" s="22" t="n"/>
      <c r="Q182" s="22" t="n"/>
      <c r="R182" s="22" t="n"/>
      <c r="S182" s="22" t="n"/>
      <c r="U182" t="str">
        <f>IFERROR(MATCH(44,'MiT Strom Pipeline'!$AD$6:$AD$860,0)+5,"")</f>
        <v/>
      </c>
    </row>
    <row r="183" ht="15.75" customHeight="1">
      <c r="A183" s="26" t="str">
        <f>IF($U183="","",IF(ISNUMBER(INDEX('MiT Strom Pipeline'!$A:$A,$U183)),INDEX('MiT Strom Pipeline'!$A:$A,$U183),""))</f>
        <v/>
      </c>
      <c r="B183" s="27" t="str">
        <f>IF($U183="","",IF(INDEX('MiT Strom Pipeline'!$B:$B,$U183)="","",INDEX('MiT Strom Pipeline'!$B:$B,$U183)))</f>
        <v/>
      </c>
      <c r="C183" s="27" t="str">
        <f>IF($U183="","",IF(INDEX('MiT Strom Pipeline'!$C:$C,$U183)="","",INDEX('MiT Strom Pipeline'!$C:$C,$U183)))</f>
        <v/>
      </c>
      <c r="D183" s="27" t="str">
        <f>IF($U183="","",IF(INDEX('MiT Strom Pipeline'!$D:$D,$U183)="","",INDEX('MiT Strom Pipeline'!$D:$D,$U183)))</f>
        <v/>
      </c>
      <c r="E183" s="191" t="str">
        <f>IF($U183="","",IF(INDEX('MiT Strom Pipeline'!$H:$H,$U183)="","",INDEX('MiT Strom Pipeline'!$H:$H,$U183)))</f>
        <v/>
      </c>
      <c r="F183" s="27" t="str">
        <f>IF($U183="","",IF(INDEX('MiT Strom Pipeline'!$E:$E,$U183)="","",INDEX('MiT Strom Pipeline'!$E:$E,$U183)))</f>
        <v/>
      </c>
      <c r="G183" s="28" t="str">
        <f>IF($U183="","",IF(ISNUMBER(INDEX('MiT Strom Pipeline'!$I:$I,$U183)),INDEX('MiT Strom Pipeline'!$I:$I,$U183),0))</f>
        <v/>
      </c>
      <c r="H183" s="28" t="str">
        <f>IF($U183="","",IF(ISNUMBER(INDEX('MiT Strom Pipeline'!$Q:$Q,$U183)),INDEX('MiT Strom Pipeline'!$Q:$Q,$U183),0))</f>
        <v/>
      </c>
      <c r="I183" s="28" t="str">
        <f>IF($U183="","",IF(ISNUMBER(INDEX('MiT Strom Pipeline'!$O:$O,$U183)),INDEX('MiT Strom Pipeline'!$O:$O,$U183),0))</f>
        <v/>
      </c>
      <c r="J183" s="27" t="str">
        <f>IF($U183="","",INDEX('MiT Strom Pipeline'!$R:$R,$U183))</f>
        <v/>
      </c>
      <c r="K183" s="29" t="str">
        <f>IF($U183="","",IF(ISNUMBER(INDEX('MiT Strom Pipeline'!$S:$S,$U183)),INDEX('MiT Strom Pipeline'!$S:$S,$U183),""))</f>
        <v/>
      </c>
      <c r="L183" s="27" t="str">
        <f>IF($U183="","",IF(LEN(INDEX('MiT Strom Pipeline'!$V:$V,$U183))&gt;0,LEFT(INDEX('MiT Strom Pipeline'!$V:$V,$U183),55),""))</f>
        <v/>
      </c>
      <c r="M183" s="22" t="n"/>
      <c r="N183" s="22" t="n"/>
      <c r="O183" s="22" t="n"/>
      <c r="P183" s="22" t="n"/>
      <c r="Q183" s="22" t="n"/>
      <c r="R183" s="22" t="n"/>
      <c r="S183" s="22" t="n"/>
      <c r="U183" t="str">
        <f>IFERROR(MATCH(45,'MiT Strom Pipeline'!$AD$6:$AD$860,0)+5,"")</f>
        <v/>
      </c>
    </row>
    <row r="184" ht="15.75" customHeight="1">
      <c r="A184" s="26" t="str">
        <f>IF($U184="","",IF(ISNUMBER(INDEX('MiT Strom Pipeline'!$A:$A,$U184)),INDEX('MiT Strom Pipeline'!$A:$A,$U184),""))</f>
        <v/>
      </c>
      <c r="B184" s="27" t="str">
        <f>IF($U184="","",IF(INDEX('MiT Strom Pipeline'!$B:$B,$U184)="","",INDEX('MiT Strom Pipeline'!$B:$B,$U184)))</f>
        <v/>
      </c>
      <c r="C184" s="27" t="str">
        <f>IF($U184="","",IF(INDEX('MiT Strom Pipeline'!$C:$C,$U184)="","",INDEX('MiT Strom Pipeline'!$C:$C,$U184)))</f>
        <v/>
      </c>
      <c r="D184" s="27" t="str">
        <f>IF($U184="","",IF(INDEX('MiT Strom Pipeline'!$D:$D,$U184)="","",INDEX('MiT Strom Pipeline'!$D:$D,$U184)))</f>
        <v/>
      </c>
      <c r="E184" s="191" t="str">
        <f>IF($U184="","",IF(INDEX('MiT Strom Pipeline'!$H:$H,$U184)="","",INDEX('MiT Strom Pipeline'!$H:$H,$U184)))</f>
        <v/>
      </c>
      <c r="F184" s="27" t="str">
        <f>IF($U184="","",IF(INDEX('MiT Strom Pipeline'!$E:$E,$U184)="","",INDEX('MiT Strom Pipeline'!$E:$E,$U184)))</f>
        <v/>
      </c>
      <c r="G184" s="28" t="str">
        <f>IF($U184="","",IF(ISNUMBER(INDEX('MiT Strom Pipeline'!$I:$I,$U184)),INDEX('MiT Strom Pipeline'!$I:$I,$U184),0))</f>
        <v/>
      </c>
      <c r="H184" s="28" t="str">
        <f>IF($U184="","",IF(ISNUMBER(INDEX('MiT Strom Pipeline'!$Q:$Q,$U184)),INDEX('MiT Strom Pipeline'!$Q:$Q,$U184),0))</f>
        <v/>
      </c>
      <c r="I184" s="28" t="str">
        <f>IF($U184="","",IF(ISNUMBER(INDEX('MiT Strom Pipeline'!$O:$O,$U184)),INDEX('MiT Strom Pipeline'!$O:$O,$U184),0))</f>
        <v/>
      </c>
      <c r="J184" s="27" t="str">
        <f>IF($U184="","",INDEX('MiT Strom Pipeline'!$R:$R,$U184))</f>
        <v/>
      </c>
      <c r="K184" s="29" t="str">
        <f>IF($U184="","",IF(ISNUMBER(INDEX('MiT Strom Pipeline'!$S:$S,$U184)),INDEX('MiT Strom Pipeline'!$S:$S,$U184),""))</f>
        <v/>
      </c>
      <c r="L184" s="27" t="str">
        <f>IF($U184="","",IF(LEN(INDEX('MiT Strom Pipeline'!$V:$V,$U184))&gt;0,LEFT(INDEX('MiT Strom Pipeline'!$V:$V,$U184),55),""))</f>
        <v/>
      </c>
      <c r="M184" s="22" t="n"/>
      <c r="N184" s="22" t="n"/>
      <c r="O184" s="22" t="n"/>
      <c r="P184" s="22" t="n"/>
      <c r="Q184" s="22" t="n"/>
      <c r="R184" s="22" t="n"/>
      <c r="S184" s="22" t="n"/>
      <c r="U184" t="str">
        <f>IFERROR(MATCH(46,'MiT Strom Pipeline'!$AD$6:$AD$860,0)+5,"")</f>
        <v/>
      </c>
    </row>
    <row r="185" ht="15.75" customHeight="1">
      <c r="A185" s="26" t="str">
        <f>IF($U185="","",IF(ISNUMBER(INDEX('MiT Strom Pipeline'!$A:$A,$U185)),INDEX('MiT Strom Pipeline'!$A:$A,$U185),""))</f>
        <v/>
      </c>
      <c r="B185" s="27" t="str">
        <f>IF($U185="","",IF(INDEX('MiT Strom Pipeline'!$B:$B,$U185)="","",INDEX('MiT Strom Pipeline'!$B:$B,$U185)))</f>
        <v/>
      </c>
      <c r="C185" s="27" t="str">
        <f>IF($U185="","",IF(INDEX('MiT Strom Pipeline'!$C:$C,$U185)="","",INDEX('MiT Strom Pipeline'!$C:$C,$U185)))</f>
        <v/>
      </c>
      <c r="D185" s="27" t="str">
        <f>IF($U185="","",IF(INDEX('MiT Strom Pipeline'!$D:$D,$U185)="","",INDEX('MiT Strom Pipeline'!$D:$D,$U185)))</f>
        <v/>
      </c>
      <c r="E185" s="191" t="str">
        <f>IF($U185="","",IF(INDEX('MiT Strom Pipeline'!$H:$H,$U185)="","",INDEX('MiT Strom Pipeline'!$H:$H,$U185)))</f>
        <v/>
      </c>
      <c r="F185" s="27" t="str">
        <f>IF($U185="","",IF(INDEX('MiT Strom Pipeline'!$E:$E,$U185)="","",INDEX('MiT Strom Pipeline'!$E:$E,$U185)))</f>
        <v/>
      </c>
      <c r="G185" s="28" t="str">
        <f>IF($U185="","",IF(ISNUMBER(INDEX('MiT Strom Pipeline'!$I:$I,$U185)),INDEX('MiT Strom Pipeline'!$I:$I,$U185),0))</f>
        <v/>
      </c>
      <c r="H185" s="28" t="str">
        <f>IF($U185="","",IF(ISNUMBER(INDEX('MiT Strom Pipeline'!$Q:$Q,$U185)),INDEX('MiT Strom Pipeline'!$Q:$Q,$U185),0))</f>
        <v/>
      </c>
      <c r="I185" s="28" t="str">
        <f>IF($U185="","",IF(ISNUMBER(INDEX('MiT Strom Pipeline'!$O:$O,$U185)),INDEX('MiT Strom Pipeline'!$O:$O,$U185),0))</f>
        <v/>
      </c>
      <c r="J185" s="27" t="str">
        <f>IF($U185="","",INDEX('MiT Strom Pipeline'!$R:$R,$U185))</f>
        <v/>
      </c>
      <c r="K185" s="29" t="str">
        <f>IF($U185="","",IF(ISNUMBER(INDEX('MiT Strom Pipeline'!$S:$S,$U185)),INDEX('MiT Strom Pipeline'!$S:$S,$U185),""))</f>
        <v/>
      </c>
      <c r="L185" s="27" t="str">
        <f>IF($U185="","",IF(LEN(INDEX('MiT Strom Pipeline'!$V:$V,$U185))&gt;0,LEFT(INDEX('MiT Strom Pipeline'!$V:$V,$U185),55),""))</f>
        <v/>
      </c>
      <c r="M185" s="22" t="n"/>
      <c r="N185" s="22" t="n"/>
      <c r="O185" s="22" t="n"/>
      <c r="P185" s="22" t="n"/>
      <c r="Q185" s="22" t="n"/>
      <c r="R185" s="22" t="n"/>
      <c r="S185" s="22" t="n"/>
      <c r="U185" t="str">
        <f>IFERROR(MATCH(47,'MiT Strom Pipeline'!$AD$6:$AD$860,0)+5,"")</f>
        <v/>
      </c>
    </row>
    <row r="186" ht="15.75" customHeight="1">
      <c r="A186" s="26" t="str">
        <f>IF($U186="","",IF(ISNUMBER(INDEX('MiT Strom Pipeline'!$A:$A,$U186)),INDEX('MiT Strom Pipeline'!$A:$A,$U186),""))</f>
        <v/>
      </c>
      <c r="B186" s="27" t="str">
        <f>IF($U186="","",IF(INDEX('MiT Strom Pipeline'!$B:$B,$U186)="","",INDEX('MiT Strom Pipeline'!$B:$B,$U186)))</f>
        <v/>
      </c>
      <c r="C186" s="27" t="str">
        <f>IF($U186="","",IF(INDEX('MiT Strom Pipeline'!$C:$C,$U186)="","",INDEX('MiT Strom Pipeline'!$C:$C,$U186)))</f>
        <v/>
      </c>
      <c r="D186" s="27" t="str">
        <f>IF($U186="","",IF(INDEX('MiT Strom Pipeline'!$D:$D,$U186)="","",INDEX('MiT Strom Pipeline'!$D:$D,$U186)))</f>
        <v/>
      </c>
      <c r="E186" s="191" t="str">
        <f>IF($U186="","",IF(INDEX('MiT Strom Pipeline'!$H:$H,$U186)="","",INDEX('MiT Strom Pipeline'!$H:$H,$U186)))</f>
        <v/>
      </c>
      <c r="F186" s="27" t="str">
        <f>IF($U186="","",IF(INDEX('MiT Strom Pipeline'!$E:$E,$U186)="","",INDEX('MiT Strom Pipeline'!$E:$E,$U186)))</f>
        <v/>
      </c>
      <c r="G186" s="28" t="str">
        <f>IF($U186="","",IF(ISNUMBER(INDEX('MiT Strom Pipeline'!$I:$I,$U186)),INDEX('MiT Strom Pipeline'!$I:$I,$U186),0))</f>
        <v/>
      </c>
      <c r="H186" s="28" t="str">
        <f>IF($U186="","",IF(ISNUMBER(INDEX('MiT Strom Pipeline'!$Q:$Q,$U186)),INDEX('MiT Strom Pipeline'!$Q:$Q,$U186),0))</f>
        <v/>
      </c>
      <c r="I186" s="28" t="str">
        <f>IF($U186="","",IF(ISNUMBER(INDEX('MiT Strom Pipeline'!$O:$O,$U186)),INDEX('MiT Strom Pipeline'!$O:$O,$U186),0))</f>
        <v/>
      </c>
      <c r="J186" s="27" t="str">
        <f>IF($U186="","",INDEX('MiT Strom Pipeline'!$R:$R,$U186))</f>
        <v/>
      </c>
      <c r="K186" s="29" t="str">
        <f>IF($U186="","",IF(ISNUMBER(INDEX('MiT Strom Pipeline'!$S:$S,$U186)),INDEX('MiT Strom Pipeline'!$S:$S,$U186),""))</f>
        <v/>
      </c>
      <c r="L186" s="27" t="str">
        <f>IF($U186="","",IF(LEN(INDEX('MiT Strom Pipeline'!$V:$V,$U186))&gt;0,LEFT(INDEX('MiT Strom Pipeline'!$V:$V,$U186),55),""))</f>
        <v/>
      </c>
      <c r="M186" s="22" t="n"/>
      <c r="N186" s="22" t="n"/>
      <c r="O186" s="22" t="n"/>
      <c r="P186" s="22" t="n"/>
      <c r="Q186" s="22" t="n"/>
      <c r="R186" s="22" t="n"/>
      <c r="S186" s="22" t="n"/>
      <c r="U186" t="str">
        <f>IFERROR(MATCH(48,'MiT Strom Pipeline'!$AD$6:$AD$860,0)+5,"")</f>
        <v/>
      </c>
    </row>
    <row r="187" ht="15.75" customHeight="1">
      <c r="A187" s="26" t="str">
        <f>IF($U187="","",IF(ISNUMBER(INDEX('MiT Strom Pipeline'!$A:$A,$U187)),INDEX('MiT Strom Pipeline'!$A:$A,$U187),""))</f>
        <v/>
      </c>
      <c r="B187" s="27" t="str">
        <f>IF($U187="","",IF(INDEX('MiT Strom Pipeline'!$B:$B,$U187)="","",INDEX('MiT Strom Pipeline'!$B:$B,$U187)))</f>
        <v/>
      </c>
      <c r="C187" s="27" t="str">
        <f>IF($U187="","",IF(INDEX('MiT Strom Pipeline'!$C:$C,$U187)="","",INDEX('MiT Strom Pipeline'!$C:$C,$U187)))</f>
        <v/>
      </c>
      <c r="D187" s="27" t="str">
        <f>IF($U187="","",IF(INDEX('MiT Strom Pipeline'!$D:$D,$U187)="","",INDEX('MiT Strom Pipeline'!$D:$D,$U187)))</f>
        <v/>
      </c>
      <c r="E187" s="191" t="str">
        <f>IF($U187="","",IF(INDEX('MiT Strom Pipeline'!$H:$H,$U187)="","",INDEX('MiT Strom Pipeline'!$H:$H,$U187)))</f>
        <v/>
      </c>
      <c r="F187" s="27" t="str">
        <f>IF($U187="","",IF(INDEX('MiT Strom Pipeline'!$E:$E,$U187)="","",INDEX('MiT Strom Pipeline'!$E:$E,$U187)))</f>
        <v/>
      </c>
      <c r="G187" s="28" t="str">
        <f>IF($U187="","",IF(ISNUMBER(INDEX('MiT Strom Pipeline'!$I:$I,$U187)),INDEX('MiT Strom Pipeline'!$I:$I,$U187),0))</f>
        <v/>
      </c>
      <c r="H187" s="28" t="str">
        <f>IF($U187="","",IF(ISNUMBER(INDEX('MiT Strom Pipeline'!$Q:$Q,$U187)),INDEX('MiT Strom Pipeline'!$Q:$Q,$U187),0))</f>
        <v/>
      </c>
      <c r="I187" s="28" t="str">
        <f>IF($U187="","",IF(ISNUMBER(INDEX('MiT Strom Pipeline'!$O:$O,$U187)),INDEX('MiT Strom Pipeline'!$O:$O,$U187),0))</f>
        <v/>
      </c>
      <c r="J187" s="27" t="str">
        <f>IF($U187="","",INDEX('MiT Strom Pipeline'!$R:$R,$U187))</f>
        <v/>
      </c>
      <c r="K187" s="29" t="str">
        <f>IF($U187="","",IF(ISNUMBER(INDEX('MiT Strom Pipeline'!$S:$S,$U187)),INDEX('MiT Strom Pipeline'!$S:$S,$U187),""))</f>
        <v/>
      </c>
      <c r="L187" s="27" t="str">
        <f>IF($U187="","",IF(LEN(INDEX('MiT Strom Pipeline'!$V:$V,$U187))&gt;0,LEFT(INDEX('MiT Strom Pipeline'!$V:$V,$U187),55),""))</f>
        <v/>
      </c>
      <c r="M187" s="22" t="n"/>
      <c r="N187" s="22" t="n"/>
      <c r="O187" s="22" t="n"/>
      <c r="P187" s="22" t="n"/>
      <c r="Q187" s="22" t="n"/>
      <c r="R187" s="22" t="n"/>
      <c r="S187" s="22" t="n"/>
      <c r="U187" t="str">
        <f>IFERROR(MATCH(49,'MiT Strom Pipeline'!$AD$6:$AD$860,0)+5,"")</f>
        <v/>
      </c>
    </row>
    <row r="188" ht="15.75" customHeight="1">
      <c r="A188" s="26" t="str">
        <f>IF($U188="","",IF(ISNUMBER(INDEX('MiT Strom Pipeline'!$A:$A,$U188)),INDEX('MiT Strom Pipeline'!$A:$A,$U188),""))</f>
        <v/>
      </c>
      <c r="B188" s="27" t="str">
        <f>IF($U188="","",IF(INDEX('MiT Strom Pipeline'!$B:$B,$U188)="","",INDEX('MiT Strom Pipeline'!$B:$B,$U188)))</f>
        <v/>
      </c>
      <c r="C188" s="27" t="str">
        <f>IF($U188="","",IF(INDEX('MiT Strom Pipeline'!$C:$C,$U188)="","",INDEX('MiT Strom Pipeline'!$C:$C,$U188)))</f>
        <v/>
      </c>
      <c r="D188" s="27" t="str">
        <f>IF($U188="","",IF(INDEX('MiT Strom Pipeline'!$D:$D,$U188)="","",INDEX('MiT Strom Pipeline'!$D:$D,$U188)))</f>
        <v/>
      </c>
      <c r="E188" s="191" t="str">
        <f>IF($U188="","",IF(INDEX('MiT Strom Pipeline'!$H:$H,$U188)="","",INDEX('MiT Strom Pipeline'!$H:$H,$U188)))</f>
        <v/>
      </c>
      <c r="F188" s="27" t="str">
        <f>IF($U188="","",IF(INDEX('MiT Strom Pipeline'!$E:$E,$U188)="","",INDEX('MiT Strom Pipeline'!$E:$E,$U188)))</f>
        <v/>
      </c>
      <c r="G188" s="28" t="str">
        <f>IF($U188="","",IF(ISNUMBER(INDEX('MiT Strom Pipeline'!$I:$I,$U188)),INDEX('MiT Strom Pipeline'!$I:$I,$U188),0))</f>
        <v/>
      </c>
      <c r="H188" s="28" t="str">
        <f>IF($U188="","",IF(ISNUMBER(INDEX('MiT Strom Pipeline'!$Q:$Q,$U188)),INDEX('MiT Strom Pipeline'!$Q:$Q,$U188),0))</f>
        <v/>
      </c>
      <c r="I188" s="28" t="str">
        <f>IF($U188="","",IF(ISNUMBER(INDEX('MiT Strom Pipeline'!$O:$O,$U188)),INDEX('MiT Strom Pipeline'!$O:$O,$U188),0))</f>
        <v/>
      </c>
      <c r="J188" s="27" t="str">
        <f>IF($U188="","",INDEX('MiT Strom Pipeline'!$R:$R,$U188))</f>
        <v/>
      </c>
      <c r="K188" s="29" t="str">
        <f>IF($U188="","",IF(ISNUMBER(INDEX('MiT Strom Pipeline'!$S:$S,$U188)),INDEX('MiT Strom Pipeline'!$S:$S,$U188),""))</f>
        <v/>
      </c>
      <c r="L188" s="27" t="str">
        <f>IF($U188="","",IF(LEN(INDEX('MiT Strom Pipeline'!$V:$V,$U188))&gt;0,LEFT(INDEX('MiT Strom Pipeline'!$V:$V,$U188),55),""))</f>
        <v/>
      </c>
      <c r="M188" s="22" t="n"/>
      <c r="N188" s="22" t="n"/>
      <c r="O188" s="22" t="n"/>
      <c r="P188" s="22" t="n"/>
      <c r="Q188" s="22" t="n"/>
      <c r="R188" s="22" t="n"/>
      <c r="S188" s="22" t="n"/>
      <c r="U188" t="str">
        <f>IFERROR(MATCH(50,'MiT Strom Pipeline'!$AD$6:$AD$860,0)+5,"")</f>
        <v/>
      </c>
    </row>
    <row r="189" ht="15.75" customHeight="1">
      <c r="A189" s="26" t="str">
        <f>IF($U189="","",IF(ISNUMBER(INDEX('MiT Strom Pipeline'!$A:$A,$U189)),INDEX('MiT Strom Pipeline'!$A:$A,$U189),""))</f>
        <v/>
      </c>
      <c r="B189" s="27" t="str">
        <f>IF($U189="","",IF(INDEX('MiT Strom Pipeline'!$B:$B,$U189)="","",INDEX('MiT Strom Pipeline'!$B:$B,$U189)))</f>
        <v/>
      </c>
      <c r="C189" s="27" t="str">
        <f>IF($U189="","",IF(INDEX('MiT Strom Pipeline'!$C:$C,$U189)="","",INDEX('MiT Strom Pipeline'!$C:$C,$U189)))</f>
        <v/>
      </c>
      <c r="D189" s="27" t="str">
        <f>IF($U189="","",IF(INDEX('MiT Strom Pipeline'!$D:$D,$U189)="","",INDEX('MiT Strom Pipeline'!$D:$D,$U189)))</f>
        <v/>
      </c>
      <c r="E189" s="191" t="str">
        <f>IF($U189="","",IF(INDEX('MiT Strom Pipeline'!$H:$H,$U189)="","",INDEX('MiT Strom Pipeline'!$H:$H,$U189)))</f>
        <v/>
      </c>
      <c r="F189" s="27" t="str">
        <f>IF($U189="","",IF(INDEX('MiT Strom Pipeline'!$E:$E,$U189)="","",INDEX('MiT Strom Pipeline'!$E:$E,$U189)))</f>
        <v/>
      </c>
      <c r="G189" s="28" t="str">
        <f>IF($U189="","",IF(ISNUMBER(INDEX('MiT Strom Pipeline'!$I:$I,$U189)),INDEX('MiT Strom Pipeline'!$I:$I,$U189),0))</f>
        <v/>
      </c>
      <c r="H189" s="28" t="str">
        <f>IF($U189="","",IF(ISNUMBER(INDEX('MiT Strom Pipeline'!$Q:$Q,$U189)),INDEX('MiT Strom Pipeline'!$Q:$Q,$U189),0))</f>
        <v/>
      </c>
      <c r="I189" s="28" t="str">
        <f>IF($U189="","",IF(ISNUMBER(INDEX('MiT Strom Pipeline'!$O:$O,$U189)),INDEX('MiT Strom Pipeline'!$O:$O,$U189),0))</f>
        <v/>
      </c>
      <c r="J189" s="27" t="str">
        <f>IF($U189="","",INDEX('MiT Strom Pipeline'!$R:$R,$U189))</f>
        <v/>
      </c>
      <c r="K189" s="29" t="str">
        <f>IF($U189="","",IF(ISNUMBER(INDEX('MiT Strom Pipeline'!$S:$S,$U189)),INDEX('MiT Strom Pipeline'!$S:$S,$U189),""))</f>
        <v/>
      </c>
      <c r="L189" s="27" t="str">
        <f>IF($U189="","",IF(LEN(INDEX('MiT Strom Pipeline'!$V:$V,$U189))&gt;0,LEFT(INDEX('MiT Strom Pipeline'!$V:$V,$U189),55),""))</f>
        <v/>
      </c>
      <c r="M189" s="22" t="n"/>
      <c r="N189" s="22" t="n"/>
      <c r="O189" s="22" t="n"/>
      <c r="P189" s="22" t="n"/>
      <c r="Q189" s="22" t="n"/>
      <c r="R189" s="22" t="n"/>
      <c r="S189" s="22" t="n"/>
      <c r="U189" t="str">
        <f>IFERROR(MATCH(51,'MiT Strom Pipeline'!$AD$6:$AD$860,0)+5,"")</f>
        <v/>
      </c>
    </row>
    <row r="190" ht="15.75" customHeight="1">
      <c r="A190" s="26" t="str">
        <f>IF($U190="","",IF(ISNUMBER(INDEX('MiT Strom Pipeline'!$A:$A,$U190)),INDEX('MiT Strom Pipeline'!$A:$A,$U190),""))</f>
        <v/>
      </c>
      <c r="B190" s="27" t="str">
        <f>IF($U190="","",IF(INDEX('MiT Strom Pipeline'!$B:$B,$U190)="","",INDEX('MiT Strom Pipeline'!$B:$B,$U190)))</f>
        <v/>
      </c>
      <c r="C190" s="27" t="str">
        <f>IF($U190="","",IF(INDEX('MiT Strom Pipeline'!$C:$C,$U190)="","",INDEX('MiT Strom Pipeline'!$C:$C,$U190)))</f>
        <v/>
      </c>
      <c r="D190" s="27" t="str">
        <f>IF($U190="","",IF(INDEX('MiT Strom Pipeline'!$D:$D,$U190)="","",INDEX('MiT Strom Pipeline'!$D:$D,$U190)))</f>
        <v/>
      </c>
      <c r="E190" s="191" t="str">
        <f>IF($U190="","",IF(INDEX('MiT Strom Pipeline'!$H:$H,$U190)="","",INDEX('MiT Strom Pipeline'!$H:$H,$U190)))</f>
        <v/>
      </c>
      <c r="F190" s="27" t="str">
        <f>IF($U190="","",IF(INDEX('MiT Strom Pipeline'!$E:$E,$U190)="","",INDEX('MiT Strom Pipeline'!$E:$E,$U190)))</f>
        <v/>
      </c>
      <c r="G190" s="28" t="str">
        <f>IF($U190="","",IF(ISNUMBER(INDEX('MiT Strom Pipeline'!$I:$I,$U190)),INDEX('MiT Strom Pipeline'!$I:$I,$U190),0))</f>
        <v/>
      </c>
      <c r="H190" s="28" t="str">
        <f>IF($U190="","",IF(ISNUMBER(INDEX('MiT Strom Pipeline'!$Q:$Q,$U190)),INDEX('MiT Strom Pipeline'!$Q:$Q,$U190),0))</f>
        <v/>
      </c>
      <c r="I190" s="28" t="str">
        <f>IF($U190="","",IF(ISNUMBER(INDEX('MiT Strom Pipeline'!$O:$O,$U190)),INDEX('MiT Strom Pipeline'!$O:$O,$U190),0))</f>
        <v/>
      </c>
      <c r="J190" s="27" t="str">
        <f>IF($U190="","",INDEX('MiT Strom Pipeline'!$R:$R,$U190))</f>
        <v/>
      </c>
      <c r="K190" s="29" t="str">
        <f>IF($U190="","",IF(ISNUMBER(INDEX('MiT Strom Pipeline'!$S:$S,$U190)),INDEX('MiT Strom Pipeline'!$S:$S,$U190),""))</f>
        <v/>
      </c>
      <c r="L190" s="27" t="str">
        <f>IF($U190="","",IF(LEN(INDEX('MiT Strom Pipeline'!$V:$V,$U190))&gt;0,LEFT(INDEX('MiT Strom Pipeline'!$V:$V,$U190),55),""))</f>
        <v/>
      </c>
      <c r="M190" s="22" t="n"/>
      <c r="N190" s="22" t="n"/>
      <c r="O190" s="22" t="n"/>
      <c r="P190" s="22" t="n"/>
      <c r="Q190" s="22" t="n"/>
      <c r="R190" s="22" t="n"/>
      <c r="S190" s="22" t="n"/>
      <c r="U190" t="str">
        <f>IFERROR(MATCH(52,'MiT Strom Pipeline'!$AD$6:$AD$860,0)+5,"")</f>
        <v/>
      </c>
    </row>
    <row r="191" ht="15.75" customHeight="1">
      <c r="A191" s="26" t="str">
        <f>IF($U191="","",IF(ISNUMBER(INDEX('MiT Strom Pipeline'!$A:$A,$U191)),INDEX('MiT Strom Pipeline'!$A:$A,$U191),""))</f>
        <v/>
      </c>
      <c r="B191" s="27" t="str">
        <f>IF($U191="","",IF(INDEX('MiT Strom Pipeline'!$B:$B,$U191)="","",INDEX('MiT Strom Pipeline'!$B:$B,$U191)))</f>
        <v/>
      </c>
      <c r="C191" s="27" t="str">
        <f>IF($U191="","",IF(INDEX('MiT Strom Pipeline'!$C:$C,$U191)="","",INDEX('MiT Strom Pipeline'!$C:$C,$U191)))</f>
        <v/>
      </c>
      <c r="D191" s="27" t="str">
        <f>IF($U191="","",IF(INDEX('MiT Strom Pipeline'!$D:$D,$U191)="","",INDEX('MiT Strom Pipeline'!$D:$D,$U191)))</f>
        <v/>
      </c>
      <c r="E191" s="191" t="str">
        <f>IF($U191="","",IF(INDEX('MiT Strom Pipeline'!$H:$H,$U191)="","",INDEX('MiT Strom Pipeline'!$H:$H,$U191)))</f>
        <v/>
      </c>
      <c r="F191" s="27" t="str">
        <f>IF($U191="","",IF(INDEX('MiT Strom Pipeline'!$E:$E,$U191)="","",INDEX('MiT Strom Pipeline'!$E:$E,$U191)))</f>
        <v/>
      </c>
      <c r="G191" s="28" t="str">
        <f>IF($U191="","",IF(ISNUMBER(INDEX('MiT Strom Pipeline'!$I:$I,$U191)),INDEX('MiT Strom Pipeline'!$I:$I,$U191),0))</f>
        <v/>
      </c>
      <c r="H191" s="28" t="str">
        <f>IF($U191="","",IF(ISNUMBER(INDEX('MiT Strom Pipeline'!$Q:$Q,$U191)),INDEX('MiT Strom Pipeline'!$Q:$Q,$U191),0))</f>
        <v/>
      </c>
      <c r="I191" s="28" t="str">
        <f>IF($U191="","",IF(ISNUMBER(INDEX('MiT Strom Pipeline'!$O:$O,$U191)),INDEX('MiT Strom Pipeline'!$O:$O,$U191),0))</f>
        <v/>
      </c>
      <c r="J191" s="27" t="str">
        <f>IF($U191="","",INDEX('MiT Strom Pipeline'!$R:$R,$U191))</f>
        <v/>
      </c>
      <c r="K191" s="29" t="str">
        <f>IF($U191="","",IF(ISNUMBER(INDEX('MiT Strom Pipeline'!$S:$S,$U191)),INDEX('MiT Strom Pipeline'!$S:$S,$U191),""))</f>
        <v/>
      </c>
      <c r="L191" s="27" t="str">
        <f>IF($U191="","",IF(LEN(INDEX('MiT Strom Pipeline'!$V:$V,$U191))&gt;0,LEFT(INDEX('MiT Strom Pipeline'!$V:$V,$U191),55),""))</f>
        <v/>
      </c>
      <c r="M191" s="22" t="n"/>
      <c r="N191" s="22" t="n"/>
      <c r="O191" s="22" t="n"/>
      <c r="P191" s="22" t="n"/>
      <c r="Q191" s="22" t="n"/>
      <c r="R191" s="22" t="n"/>
      <c r="S191" s="22" t="n"/>
      <c r="U191" t="str">
        <f>IFERROR(MATCH(53,'MiT Strom Pipeline'!$AD$6:$AD$860,0)+5,"")</f>
        <v/>
      </c>
    </row>
    <row r="192" ht="15.75" customHeight="1">
      <c r="A192" s="26" t="str">
        <f>IF($U192="","",IF(ISNUMBER(INDEX('MiT Strom Pipeline'!$A:$A,$U192)),INDEX('MiT Strom Pipeline'!$A:$A,$U192),""))</f>
        <v/>
      </c>
      <c r="B192" s="27" t="str">
        <f>IF($U192="","",IF(INDEX('MiT Strom Pipeline'!$B:$B,$U192)="","",INDEX('MiT Strom Pipeline'!$B:$B,$U192)))</f>
        <v/>
      </c>
      <c r="C192" s="27" t="str">
        <f>IF($U192="","",IF(INDEX('MiT Strom Pipeline'!$C:$C,$U192)="","",INDEX('MiT Strom Pipeline'!$C:$C,$U192)))</f>
        <v/>
      </c>
      <c r="D192" s="27" t="str">
        <f>IF($U192="","",IF(INDEX('MiT Strom Pipeline'!$D:$D,$U192)="","",INDEX('MiT Strom Pipeline'!$D:$D,$U192)))</f>
        <v/>
      </c>
      <c r="E192" s="27" t="str">
        <f>IF($U192="","",IF(INDEX('MiT Strom Pipeline'!$H:$H,$U192)="","",INDEX('MiT Strom Pipeline'!$H:$H,$U192)))</f>
        <v/>
      </c>
      <c r="F192" s="27" t="str">
        <f>IF($U192="","",IF(INDEX('MiT Strom Pipeline'!$E:$E,$U192)="","",INDEX('MiT Strom Pipeline'!$E:$E,$U192)))</f>
        <v/>
      </c>
      <c r="G192" s="28" t="str">
        <f>IF($U192="","",IF(ISNUMBER(INDEX('MiT Strom Pipeline'!$I:$I,$U192)),INDEX('MiT Strom Pipeline'!$I:$I,$U192),0))</f>
        <v/>
      </c>
      <c r="H192" s="28" t="str">
        <f>IF($U192="","",IF(ISNUMBER(INDEX('MiT Strom Pipeline'!$Q:$Q,$U192)),INDEX('MiT Strom Pipeline'!$Q:$Q,$U192),0))</f>
        <v/>
      </c>
      <c r="I192" s="28" t="str">
        <f>IF($U192="","",IF(ISNUMBER(INDEX('MiT Strom Pipeline'!$O:$O,$U192)),INDEX('MiT Strom Pipeline'!$O:$O,$U192),0))</f>
        <v/>
      </c>
      <c r="J192" s="27" t="str">
        <f>IF($U192="","",INDEX('MiT Strom Pipeline'!$R:$R,$U192))</f>
        <v/>
      </c>
      <c r="K192" s="29" t="str">
        <f>IF($U192="","",IF(ISNUMBER(INDEX('MiT Strom Pipeline'!$S:$S,$U192)),INDEX('MiT Strom Pipeline'!$S:$S,$U192),""))</f>
        <v/>
      </c>
      <c r="L192" s="27" t="str">
        <f>IF($U192="","",IF(LEN(INDEX('MiT Strom Pipeline'!$V:$V,$U192))&gt;0,LEFT(INDEX('MiT Strom Pipeline'!$V:$V,$U192),55),""))</f>
        <v/>
      </c>
      <c r="M192" s="22" t="n"/>
      <c r="N192" s="22" t="n"/>
      <c r="O192" s="22" t="n"/>
      <c r="P192" s="22" t="n"/>
      <c r="Q192" s="22" t="n"/>
      <c r="R192" s="22" t="n"/>
      <c r="S192" s="22" t="n"/>
      <c r="U192" t="str">
        <f>IFERROR(MATCH(54,'MiT Strom Pipeline'!$AD$6:$AD$860,0)+5,"")</f>
        <v/>
      </c>
    </row>
    <row r="193" ht="15.75" customHeight="1">
      <c r="A193" s="26" t="str">
        <f>IF($U193="","",IF(ISNUMBER(INDEX('MiT Strom Pipeline'!$A:$A,$U193)),INDEX('MiT Strom Pipeline'!$A:$A,$U193),""))</f>
        <v/>
      </c>
      <c r="B193" s="27" t="str">
        <f>IF($U193="","",IF(INDEX('MiT Strom Pipeline'!$B:$B,$U193)="","",INDEX('MiT Strom Pipeline'!$B:$B,$U193)))</f>
        <v/>
      </c>
      <c r="C193" s="27" t="str">
        <f>IF($U193="","",IF(INDEX('MiT Strom Pipeline'!$C:$C,$U193)="","",INDEX('MiT Strom Pipeline'!$C:$C,$U193)))</f>
        <v/>
      </c>
      <c r="D193" s="27" t="str">
        <f>IF($U193="","",IF(INDEX('MiT Strom Pipeline'!$D:$D,$U193)="","",INDEX('MiT Strom Pipeline'!$D:$D,$U193)))</f>
        <v/>
      </c>
      <c r="E193" s="27" t="str">
        <f>IF($U193="","",IF(INDEX('MiT Strom Pipeline'!$H:$H,$U193)="","",INDEX('MiT Strom Pipeline'!$H:$H,$U193)))</f>
        <v/>
      </c>
      <c r="F193" s="27" t="str">
        <f>IF($U193="","",IF(INDEX('MiT Strom Pipeline'!$E:$E,$U193)="","",INDEX('MiT Strom Pipeline'!$E:$E,$U193)))</f>
        <v/>
      </c>
      <c r="G193" s="28" t="str">
        <f>IF($U193="","",IF(ISNUMBER(INDEX('MiT Strom Pipeline'!$I:$I,$U193)),INDEX('MiT Strom Pipeline'!$I:$I,$U193),0))</f>
        <v/>
      </c>
      <c r="H193" s="28" t="str">
        <f>IF($U193="","",IF(ISNUMBER(INDEX('MiT Strom Pipeline'!$Q:$Q,$U193)),INDEX('MiT Strom Pipeline'!$Q:$Q,$U193),0))</f>
        <v/>
      </c>
      <c r="I193" s="28" t="str">
        <f>IF($U193="","",IF(ISNUMBER(INDEX('MiT Strom Pipeline'!$O:$O,$U193)),INDEX('MiT Strom Pipeline'!$O:$O,$U193),0))</f>
        <v/>
      </c>
      <c r="J193" s="27" t="str">
        <f>IF($U193="","",INDEX('MiT Strom Pipeline'!$R:$R,$U193))</f>
        <v/>
      </c>
      <c r="K193" s="29" t="str">
        <f>IF($U193="","",IF(ISNUMBER(INDEX('MiT Strom Pipeline'!$S:$S,$U193)),INDEX('MiT Strom Pipeline'!$S:$S,$U193),""))</f>
        <v/>
      </c>
      <c r="L193" s="27" t="str">
        <f>IF($U193="","",IF(LEN(INDEX('MiT Strom Pipeline'!$V:$V,$U193))&gt;0,LEFT(INDEX('MiT Strom Pipeline'!$V:$V,$U193),55),""))</f>
        <v/>
      </c>
      <c r="M193" s="22" t="n"/>
      <c r="N193" s="22" t="n"/>
      <c r="O193" s="22" t="n"/>
      <c r="P193" s="22" t="n"/>
      <c r="Q193" s="22" t="n"/>
      <c r="R193" s="22" t="n"/>
      <c r="S193" s="22" t="n"/>
      <c r="U193" t="str">
        <f>IFERROR(MATCH(55,'MiT Strom Pipeline'!$AD$6:$AD$860,0)+5,"")</f>
        <v/>
      </c>
    </row>
    <row r="194" ht="15.75" customHeight="1">
      <c r="A194" s="26" t="str">
        <f>IF($U194="","",IF(ISNUMBER(INDEX('MiT Strom Pipeline'!$A:$A,$U194)),INDEX('MiT Strom Pipeline'!$A:$A,$U194),""))</f>
        <v/>
      </c>
      <c r="B194" s="27" t="str">
        <f>IF($U194="","",IF(INDEX('MiT Strom Pipeline'!$B:$B,$U194)="","",INDEX('MiT Strom Pipeline'!$B:$B,$U194)))</f>
        <v/>
      </c>
      <c r="C194" s="27" t="str">
        <f>IF($U194="","",IF(INDEX('MiT Strom Pipeline'!$C:$C,$U194)="","",INDEX('MiT Strom Pipeline'!$C:$C,$U194)))</f>
        <v/>
      </c>
      <c r="D194" s="27" t="str">
        <f>IF($U194="","",IF(INDEX('MiT Strom Pipeline'!$D:$D,$U194)="","",INDEX('MiT Strom Pipeline'!$D:$D,$U194)))</f>
        <v/>
      </c>
      <c r="E194" s="27" t="str">
        <f>IF($U194="","",IF(INDEX('MiT Strom Pipeline'!$H:$H,$U194)="","",INDEX('MiT Strom Pipeline'!$H:$H,$U194)))</f>
        <v/>
      </c>
      <c r="F194" s="27" t="str">
        <f>IF($U194="","",IF(INDEX('MiT Strom Pipeline'!$E:$E,$U194)="","",INDEX('MiT Strom Pipeline'!$E:$E,$U194)))</f>
        <v/>
      </c>
      <c r="G194" s="28" t="str">
        <f>IF($U194="","",IF(ISNUMBER(INDEX('MiT Strom Pipeline'!$I:$I,$U194)),INDEX('MiT Strom Pipeline'!$I:$I,$U194),0))</f>
        <v/>
      </c>
      <c r="H194" s="28" t="str">
        <f>IF($U194="","",IF(ISNUMBER(INDEX('MiT Strom Pipeline'!$Q:$Q,$U194)),INDEX('MiT Strom Pipeline'!$Q:$Q,$U194),0))</f>
        <v/>
      </c>
      <c r="I194" s="28" t="str">
        <f>IF($U194="","",IF(ISNUMBER(INDEX('MiT Strom Pipeline'!$O:$O,$U194)),INDEX('MiT Strom Pipeline'!$O:$O,$U194),0))</f>
        <v/>
      </c>
      <c r="J194" s="27" t="str">
        <f>IF($U194="","",INDEX('MiT Strom Pipeline'!$R:$R,$U194))</f>
        <v/>
      </c>
      <c r="K194" s="29" t="str">
        <f>IF($U194="","",IF(ISNUMBER(INDEX('MiT Strom Pipeline'!$S:$S,$U194)),INDEX('MiT Strom Pipeline'!$S:$S,$U194),""))</f>
        <v/>
      </c>
      <c r="L194" s="27" t="str">
        <f>IF($U194="","",IF(LEN(INDEX('MiT Strom Pipeline'!$V:$V,$U194))&gt;0,LEFT(INDEX('MiT Strom Pipeline'!$V:$V,$U194),55),""))</f>
        <v/>
      </c>
      <c r="M194" s="22" t="n"/>
      <c r="N194" s="22" t="n"/>
      <c r="O194" s="22" t="n"/>
      <c r="P194" s="22" t="n"/>
      <c r="Q194" s="22" t="n"/>
      <c r="R194" s="22" t="n"/>
      <c r="S194" s="22" t="n"/>
      <c r="U194" t="str">
        <f>IFERROR(MATCH(56,'MiT Strom Pipeline'!$AD$6:$AD$860,0)+5,"")</f>
        <v/>
      </c>
    </row>
    <row r="195" ht="15.75" customHeight="1">
      <c r="A195" s="26" t="str">
        <f>IF($U195="","",IF(ISNUMBER(INDEX('MiT Strom Pipeline'!$A:$A,$U195)),INDEX('MiT Strom Pipeline'!$A:$A,$U195),""))</f>
        <v/>
      </c>
      <c r="B195" s="27" t="str">
        <f>IF($U195="","",IF(INDEX('MiT Strom Pipeline'!$B:$B,$U195)="","",INDEX('MiT Strom Pipeline'!$B:$B,$U195)))</f>
        <v/>
      </c>
      <c r="C195" s="27" t="str">
        <f>IF($U195="","",IF(INDEX('MiT Strom Pipeline'!$C:$C,$U195)="","",INDEX('MiT Strom Pipeline'!$C:$C,$U195)))</f>
        <v/>
      </c>
      <c r="D195" s="27" t="str">
        <f>IF($U195="","",IF(INDEX('MiT Strom Pipeline'!$D:$D,$U195)="","",INDEX('MiT Strom Pipeline'!$D:$D,$U195)))</f>
        <v/>
      </c>
      <c r="E195" s="27" t="str">
        <f>IF($U195="","",IF(INDEX('MiT Strom Pipeline'!$H:$H,$U195)="","",INDEX('MiT Strom Pipeline'!$H:$H,$U195)))</f>
        <v/>
      </c>
      <c r="F195" s="27" t="str">
        <f>IF($U195="","",IF(INDEX('MiT Strom Pipeline'!$E:$E,$U195)="","",INDEX('MiT Strom Pipeline'!$E:$E,$U195)))</f>
        <v/>
      </c>
      <c r="G195" s="28" t="str">
        <f>IF($U195="","",IF(ISNUMBER(INDEX('MiT Strom Pipeline'!$I:$I,$U195)),INDEX('MiT Strom Pipeline'!$I:$I,$U195),0))</f>
        <v/>
      </c>
      <c r="H195" s="28" t="str">
        <f>IF($U195="","",IF(ISNUMBER(INDEX('MiT Strom Pipeline'!$Q:$Q,$U195)),INDEX('MiT Strom Pipeline'!$Q:$Q,$U195),0))</f>
        <v/>
      </c>
      <c r="I195" s="28" t="str">
        <f>IF($U195="","",IF(ISNUMBER(INDEX('MiT Strom Pipeline'!$O:$O,$U195)),INDEX('MiT Strom Pipeline'!$O:$O,$U195),0))</f>
        <v/>
      </c>
      <c r="J195" s="27" t="str">
        <f>IF($U195="","",INDEX('MiT Strom Pipeline'!$R:$R,$U195))</f>
        <v/>
      </c>
      <c r="K195" s="29" t="str">
        <f>IF($U195="","",IF(ISNUMBER(INDEX('MiT Strom Pipeline'!$S:$S,$U195)),INDEX('MiT Strom Pipeline'!$S:$S,$U195),""))</f>
        <v/>
      </c>
      <c r="L195" s="27" t="str">
        <f>IF($U195="","",IF(LEN(INDEX('MiT Strom Pipeline'!$V:$V,$U195))&gt;0,LEFT(INDEX('MiT Strom Pipeline'!$V:$V,$U195),55),""))</f>
        <v/>
      </c>
      <c r="M195" s="22" t="n"/>
      <c r="N195" s="22" t="n"/>
      <c r="O195" s="22" t="n"/>
      <c r="P195" s="22" t="n"/>
      <c r="Q195" s="22" t="n"/>
      <c r="R195" s="22" t="n"/>
      <c r="S195" s="22" t="n"/>
      <c r="U195" t="str">
        <f>IFERROR(MATCH(57,'MiT Strom Pipeline'!$AD$6:$AD$860,0)+5,"")</f>
        <v/>
      </c>
    </row>
    <row r="196" ht="15.75" customHeight="1">
      <c r="A196" s="26" t="str">
        <f>IF($U196="","",IF(ISNUMBER(INDEX('MiT Strom Pipeline'!$A:$A,$U196)),INDEX('MiT Strom Pipeline'!$A:$A,$U196),""))</f>
        <v/>
      </c>
      <c r="B196" s="27" t="str">
        <f>IF($U196="","",IF(INDEX('MiT Strom Pipeline'!$B:$B,$U196)="","",INDEX('MiT Strom Pipeline'!$B:$B,$U196)))</f>
        <v/>
      </c>
      <c r="C196" s="27" t="str">
        <f>IF($U196="","",IF(INDEX('MiT Strom Pipeline'!$C:$C,$U196)="","",INDEX('MiT Strom Pipeline'!$C:$C,$U196)))</f>
        <v/>
      </c>
      <c r="D196" s="27" t="str">
        <f>IF($U196="","",IF(INDEX('MiT Strom Pipeline'!$D:$D,$U196)="","",INDEX('MiT Strom Pipeline'!$D:$D,$U196)))</f>
        <v/>
      </c>
      <c r="E196" s="27" t="str">
        <f>IF($U196="","",IF(INDEX('MiT Strom Pipeline'!$H:$H,$U196)="","",INDEX('MiT Strom Pipeline'!$H:$H,$U196)))</f>
        <v/>
      </c>
      <c r="F196" s="27" t="str">
        <f>IF($U196="","",IF(INDEX('MiT Strom Pipeline'!$E:$E,$U196)="","",INDEX('MiT Strom Pipeline'!$E:$E,$U196)))</f>
        <v/>
      </c>
      <c r="G196" s="28" t="str">
        <f>IF($U196="","",IF(ISNUMBER(INDEX('MiT Strom Pipeline'!$I:$I,$U196)),INDEX('MiT Strom Pipeline'!$I:$I,$U196),0))</f>
        <v/>
      </c>
      <c r="H196" s="28" t="str">
        <f>IF($U196="","",IF(ISNUMBER(INDEX('MiT Strom Pipeline'!$Q:$Q,$U196)),INDEX('MiT Strom Pipeline'!$Q:$Q,$U196),0))</f>
        <v/>
      </c>
      <c r="I196" s="28" t="str">
        <f>IF($U196="","",IF(ISNUMBER(INDEX('MiT Strom Pipeline'!$O:$O,$U196)),INDEX('MiT Strom Pipeline'!$O:$O,$U196),0))</f>
        <v/>
      </c>
      <c r="J196" s="27" t="str">
        <f>IF($U196="","",INDEX('MiT Strom Pipeline'!$R:$R,$U196))</f>
        <v/>
      </c>
      <c r="K196" s="29" t="str">
        <f>IF($U196="","",IF(ISNUMBER(INDEX('MiT Strom Pipeline'!$S:$S,$U196)),INDEX('MiT Strom Pipeline'!$S:$S,$U196),""))</f>
        <v/>
      </c>
      <c r="L196" s="27" t="str">
        <f>IF($U196="","",IF(LEN(INDEX('MiT Strom Pipeline'!$V:$V,$U196))&gt;0,LEFT(INDEX('MiT Strom Pipeline'!$V:$V,$U196),55),""))</f>
        <v/>
      </c>
      <c r="M196" s="22" t="n"/>
      <c r="N196" s="22" t="n"/>
      <c r="O196" s="22" t="n"/>
      <c r="P196" s="22" t="n"/>
      <c r="Q196" s="22" t="n"/>
      <c r="R196" s="22" t="n"/>
      <c r="S196" s="22" t="n"/>
      <c r="U196" t="str">
        <f>IFERROR(MATCH(58,'MiT Strom Pipeline'!$AD$6:$AD$860,0)+5,"")</f>
        <v/>
      </c>
    </row>
    <row r="197" ht="15.75" customHeight="1">
      <c r="A197" s="26" t="str">
        <f>IF($U197="","",IF(ISNUMBER(INDEX('MiT Strom Pipeline'!$A:$A,$U197)),INDEX('MiT Strom Pipeline'!$A:$A,$U197),""))</f>
        <v/>
      </c>
      <c r="B197" s="27" t="str">
        <f>IF($U197="","",IF(INDEX('MiT Strom Pipeline'!$B:$B,$U197)="","",INDEX('MiT Strom Pipeline'!$B:$B,$U197)))</f>
        <v/>
      </c>
      <c r="C197" s="27" t="str">
        <f>IF($U197="","",IF(INDEX('MiT Strom Pipeline'!$C:$C,$U197)="","",INDEX('MiT Strom Pipeline'!$C:$C,$U197)))</f>
        <v/>
      </c>
      <c r="D197" s="27" t="str">
        <f>IF($U197="","",IF(INDEX('MiT Strom Pipeline'!$D:$D,$U197)="","",INDEX('MiT Strom Pipeline'!$D:$D,$U197)))</f>
        <v/>
      </c>
      <c r="E197" s="27" t="str">
        <f>IF($U197="","",IF(INDEX('MiT Strom Pipeline'!$H:$H,$U197)="","",INDEX('MiT Strom Pipeline'!$H:$H,$U197)))</f>
        <v/>
      </c>
      <c r="F197" s="27" t="str">
        <f>IF($U197="","",IF(INDEX('MiT Strom Pipeline'!$E:$E,$U197)="","",INDEX('MiT Strom Pipeline'!$E:$E,$U197)))</f>
        <v/>
      </c>
      <c r="G197" s="28" t="str">
        <f>IF($U197="","",IF(ISNUMBER(INDEX('MiT Strom Pipeline'!$I:$I,$U197)),INDEX('MiT Strom Pipeline'!$I:$I,$U197),0))</f>
        <v/>
      </c>
      <c r="H197" s="28" t="str">
        <f>IF($U197="","",IF(ISNUMBER(INDEX('MiT Strom Pipeline'!$Q:$Q,$U197)),INDEX('MiT Strom Pipeline'!$Q:$Q,$U197),0))</f>
        <v/>
      </c>
      <c r="I197" s="28" t="str">
        <f>IF($U197="","",IF(ISNUMBER(INDEX('MiT Strom Pipeline'!$O:$O,$U197)),INDEX('MiT Strom Pipeline'!$O:$O,$U197),0))</f>
        <v/>
      </c>
      <c r="J197" s="27" t="str">
        <f>IF($U197="","",INDEX('MiT Strom Pipeline'!$R:$R,$U197))</f>
        <v/>
      </c>
      <c r="K197" s="29" t="str">
        <f>IF($U197="","",IF(ISNUMBER(INDEX('MiT Strom Pipeline'!$S:$S,$U197)),INDEX('MiT Strom Pipeline'!$S:$S,$U197),""))</f>
        <v/>
      </c>
      <c r="L197" s="27" t="str">
        <f>IF($U197="","",IF(LEN(INDEX('MiT Strom Pipeline'!$V:$V,$U197))&gt;0,LEFT(INDEX('MiT Strom Pipeline'!$V:$V,$U197),55),""))</f>
        <v/>
      </c>
      <c r="M197" s="22" t="n"/>
      <c r="N197" s="22" t="n"/>
      <c r="O197" s="22" t="n"/>
      <c r="P197" s="22" t="n"/>
      <c r="Q197" s="22" t="n"/>
      <c r="R197" s="22" t="n"/>
      <c r="S197" s="22" t="n"/>
      <c r="U197" t="str">
        <f>IFERROR(MATCH(59,'MiT Strom Pipeline'!$AD$6:$AD$860,0)+5,"")</f>
        <v/>
      </c>
    </row>
    <row r="198" ht="15.75" customHeight="1">
      <c r="A198" s="26" t="str">
        <f>IF($U198="","",IF(ISNUMBER(INDEX('MiT Strom Pipeline'!$A:$A,$U198)),INDEX('MiT Strom Pipeline'!$A:$A,$U198),""))</f>
        <v/>
      </c>
      <c r="B198" s="27" t="str">
        <f>IF($U198="","",IF(INDEX('MiT Strom Pipeline'!$B:$B,$U198)="","",INDEX('MiT Strom Pipeline'!$B:$B,$U198)))</f>
        <v/>
      </c>
      <c r="C198" s="27" t="str">
        <f>IF($U198="","",IF(INDEX('MiT Strom Pipeline'!$C:$C,$U198)="","",INDEX('MiT Strom Pipeline'!$C:$C,$U198)))</f>
        <v/>
      </c>
      <c r="D198" s="27" t="str">
        <f>IF($U198="","",IF(INDEX('MiT Strom Pipeline'!$D:$D,$U198)="","",INDEX('MiT Strom Pipeline'!$D:$D,$U198)))</f>
        <v/>
      </c>
      <c r="E198" s="27" t="str">
        <f>IF($U198="","",IF(INDEX('MiT Strom Pipeline'!$H:$H,$U198)="","",INDEX('MiT Strom Pipeline'!$H:$H,$U198)))</f>
        <v/>
      </c>
      <c r="F198" s="27" t="str">
        <f>IF($U198="","",IF(INDEX('MiT Strom Pipeline'!$E:$E,$U198)="","",INDEX('MiT Strom Pipeline'!$E:$E,$U198)))</f>
        <v/>
      </c>
      <c r="G198" s="28" t="str">
        <f>IF($U198="","",IF(ISNUMBER(INDEX('MiT Strom Pipeline'!$I:$I,$U198)),INDEX('MiT Strom Pipeline'!$I:$I,$U198),0))</f>
        <v/>
      </c>
      <c r="H198" s="28" t="str">
        <f>IF($U198="","",IF(ISNUMBER(INDEX('MiT Strom Pipeline'!$Q:$Q,$U198)),INDEX('MiT Strom Pipeline'!$Q:$Q,$U198),0))</f>
        <v/>
      </c>
      <c r="I198" s="28" t="str">
        <f>IF($U198="","",IF(ISNUMBER(INDEX('MiT Strom Pipeline'!$O:$O,$U198)),INDEX('MiT Strom Pipeline'!$O:$O,$U198),0))</f>
        <v/>
      </c>
      <c r="J198" s="27" t="str">
        <f>IF($U198="","",INDEX('MiT Strom Pipeline'!$R:$R,$U198))</f>
        <v/>
      </c>
      <c r="K198" s="29" t="str">
        <f>IF($U198="","",IF(ISNUMBER(INDEX('MiT Strom Pipeline'!$S:$S,$U198)),INDEX('MiT Strom Pipeline'!$S:$S,$U198),""))</f>
        <v/>
      </c>
      <c r="L198" s="27" t="str">
        <f>IF($U198="","",IF(LEN(INDEX('MiT Strom Pipeline'!$V:$V,$U198))&gt;0,LEFT(INDEX('MiT Strom Pipeline'!$V:$V,$U198),55),""))</f>
        <v/>
      </c>
      <c r="M198" s="22" t="n"/>
      <c r="N198" s="22" t="n"/>
      <c r="O198" s="22" t="n"/>
      <c r="P198" s="22" t="n"/>
      <c r="Q198" s="22" t="n"/>
      <c r="R198" s="22" t="n"/>
      <c r="S198" s="22" t="n"/>
      <c r="U198" t="str">
        <f>IFERROR(MATCH(60,'MiT Strom Pipeline'!$AD$6:$AD$860,0)+5,"")</f>
        <v/>
      </c>
    </row>
    <row r="199" ht="21.75" customHeight="1">
      <c r="A199" s="26" t="str">
        <f>IF($U199="","",IF(ISNUMBER(INDEX('MiT Strom Pipeline'!$A:$A,$U199)),INDEX('MiT Strom Pipeline'!$A:$A,$U199),""))</f>
        <v/>
      </c>
      <c r="B199" s="27" t="str">
        <f>IF($U199="","",IF(INDEX('MiT Strom Pipeline'!$B:$B,$U199)="","",INDEX('MiT Strom Pipeline'!$B:$B,$U199)))</f>
        <v/>
      </c>
      <c r="C199" s="27" t="str">
        <f>IF($U199="","",IF(INDEX('MiT Strom Pipeline'!$C:$C,$U199)="","",INDEX('MiT Strom Pipeline'!$C:$C,$U199)))</f>
        <v/>
      </c>
      <c r="D199" s="27" t="str">
        <f>IF($U199="","",IF(INDEX('MiT Strom Pipeline'!$D:$D,$U199)="","",INDEX('MiT Strom Pipeline'!$D:$D,$U199)))</f>
        <v/>
      </c>
      <c r="E199" s="27" t="str">
        <f>IF($U199="","",IF(INDEX('MiT Strom Pipeline'!$H:$H,$U199)="","",INDEX('MiT Strom Pipeline'!$H:$H,$U199)))</f>
        <v/>
      </c>
      <c r="F199" s="27" t="str">
        <f>IF($U199="","",IF(INDEX('MiT Strom Pipeline'!$E:$E,$U199)="","",INDEX('MiT Strom Pipeline'!$E:$E,$U199)))</f>
        <v/>
      </c>
      <c r="G199" s="28" t="str">
        <f>IF($U199="","",IF(ISNUMBER(INDEX('MiT Strom Pipeline'!$I:$I,$U199)),INDEX('MiT Strom Pipeline'!$I:$I,$U199),0))</f>
        <v/>
      </c>
      <c r="H199" s="28" t="str">
        <f>IF($U199="","",IF(ISNUMBER(INDEX('MiT Strom Pipeline'!$Q:$Q,$U199)),INDEX('MiT Strom Pipeline'!$Q:$Q,$U199),0))</f>
        <v/>
      </c>
      <c r="I199" s="28" t="str">
        <f>IF($U199="","",IF(ISNUMBER(INDEX('MiT Strom Pipeline'!$O:$O,$U199)),INDEX('MiT Strom Pipeline'!$O:$O,$U199),0))</f>
        <v/>
      </c>
      <c r="J199" s="27" t="str">
        <f>IF($U199="","",INDEX('MiT Strom Pipeline'!$R:$R,$U199))</f>
        <v/>
      </c>
      <c r="K199" s="29" t="str">
        <f>IF($U199="","",IF(ISNUMBER(INDEX('MiT Strom Pipeline'!$S:$S,$U199)),INDEX('MiT Strom Pipeline'!$S:$S,$U199),""))</f>
        <v/>
      </c>
      <c r="L199" s="27" t="str">
        <f>IF($U199="","",IF(LEN(INDEX('MiT Strom Pipeline'!$V:$V,$U199))&gt;0,LEFT(INDEX('MiT Strom Pipeline'!$V:$V,$U199),55),""))</f>
        <v/>
      </c>
      <c r="M199" s="22" t="n"/>
      <c r="N199" s="22" t="n"/>
      <c r="O199" s="22" t="n"/>
      <c r="P199" s="22" t="n"/>
      <c r="Q199" s="22" t="n"/>
      <c r="R199" s="22" t="n"/>
      <c r="S199" s="22" t="n"/>
      <c r="U199" t="str">
        <f>IFERROR(MATCH(61,'MiT Strom Pipeline'!$AD$6:$AD$860,0)+5,"")</f>
        <v/>
      </c>
    </row>
    <row r="200" ht="3.75" customHeight="1">
      <c r="A200" s="26" t="str">
        <f>IF($U200="","",IF(ISNUMBER(INDEX('MiT Strom Pipeline'!$A:$A,$U200)),INDEX('MiT Strom Pipeline'!$A:$A,$U200),""))</f>
        <v/>
      </c>
      <c r="B200" s="27" t="str">
        <f>IF($U200="","",IF(INDEX('MiT Strom Pipeline'!$B:$B,$U200)="","",INDEX('MiT Strom Pipeline'!$B:$B,$U200)))</f>
        <v/>
      </c>
      <c r="C200" s="27" t="str">
        <f>IF($U200="","",IF(INDEX('MiT Strom Pipeline'!$C:$C,$U200)="","",INDEX('MiT Strom Pipeline'!$C:$C,$U200)))</f>
        <v/>
      </c>
      <c r="D200" s="27" t="str">
        <f>IF($U200="","",IF(INDEX('MiT Strom Pipeline'!$D:$D,$U200)="","",INDEX('MiT Strom Pipeline'!$D:$D,$U200)))</f>
        <v/>
      </c>
      <c r="E200" s="27" t="str">
        <f>IF($U200="","",IF(INDEX('MiT Strom Pipeline'!$H:$H,$U200)="","",INDEX('MiT Strom Pipeline'!$H:$H,$U200)))</f>
        <v/>
      </c>
      <c r="F200" s="27" t="str">
        <f>IF($U200="","",IF(INDEX('MiT Strom Pipeline'!$E:$E,$U200)="","",INDEX('MiT Strom Pipeline'!$E:$E,$U200)))</f>
        <v/>
      </c>
      <c r="G200" s="28" t="str">
        <f>IF($U200="","",IF(ISNUMBER(INDEX('MiT Strom Pipeline'!$I:$I,$U200)),INDEX('MiT Strom Pipeline'!$I:$I,$U200),0))</f>
        <v/>
      </c>
      <c r="H200" s="28" t="str">
        <f>IF($U200="","",IF(ISNUMBER(INDEX('MiT Strom Pipeline'!$Q:$Q,$U200)),INDEX('MiT Strom Pipeline'!$Q:$Q,$U200),0))</f>
        <v/>
      </c>
      <c r="I200" s="28" t="str">
        <f>IF($U200="","",IF(ISNUMBER(INDEX('MiT Strom Pipeline'!$O:$O,$U200)),INDEX('MiT Strom Pipeline'!$O:$O,$U200),0))</f>
        <v/>
      </c>
      <c r="J200" s="27" t="str">
        <f>IF($U200="","",INDEX('MiT Strom Pipeline'!$R:$R,$U200))</f>
        <v/>
      </c>
      <c r="K200" s="29" t="str">
        <f>IF($U200="","",IF(ISNUMBER(INDEX('MiT Strom Pipeline'!$S:$S,$U200)),INDEX('MiT Strom Pipeline'!$S:$S,$U200),""))</f>
        <v/>
      </c>
      <c r="L200" s="27" t="str">
        <f>IF($U200="","",IF(LEN(INDEX('MiT Strom Pipeline'!$V:$V,$U200))&gt;0,LEFT(INDEX('MiT Strom Pipeline'!$V:$V,$U200),55),""))</f>
        <v/>
      </c>
      <c r="M200" s="22" t="n"/>
      <c r="N200" s="22" t="n"/>
      <c r="O200" s="22" t="n"/>
      <c r="P200" s="22" t="n"/>
      <c r="Q200" s="22" t="n"/>
      <c r="R200" s="22" t="n"/>
      <c r="S200" s="22" t="n"/>
      <c r="U200" t="str">
        <f>IFERROR(MATCH(62,'MiT Strom Pipeline'!$AD$6:$AD$860,0)+5,"")</f>
        <v/>
      </c>
    </row>
    <row r="201" ht="27.75" customHeight="1">
      <c r="A201" s="143" t="inlineStr">
        <is>
          <t>📊  GESAMTTOTAL — Aktive Pipeline</t>
        </is>
      </c>
      <c r="B201" s="189" t="n"/>
      <c r="C201" s="189" t="n"/>
      <c r="D201" s="189" t="n"/>
      <c r="E201" s="190" t="n"/>
      <c r="F201" s="33">
        <f>SUMIFS('MiT Strom Pipeline'!I$6:I$860,'MiT Strom Pipeline'!R$6:R$860,"WON")+SUMIFS('MiT Strom Pipeline'!I$6:I$860,'MiT Strom Pipeline'!R$6:R$860,"offered")+SUMIFS('MiT Strom Pipeline'!I$6:I$860,'MiT Strom Pipeline'!R$6:R$860,"to be offered")+SUMIFS('MiT Strom Pipeline'!I$6:I$860,'MiT Strom Pipeline'!R$6:R$860,"on hold")+SUMIFS('MiT Strom Pipeline'!I$6:I$860,'MiT Strom Pipeline'!R$6:R$860,"follow-up")+SUMIFS('MiT Strom Pipeline'!I$6:I$860,'MiT Strom Pipeline'!R$6:R$860,"Evaluation")+SUMIFS('MiT Strom Pipeline'!I$6:I$860,'MiT Strom Pipeline'!R$6:R$860,"tbd")+SUMIFS('MiT Strom Pipeline'!I$6:I$860,'MiT Strom Pipeline'!R$6:R$860,"In evaluation")</f>
        <v>5631696.2</v>
      </c>
      <c r="G201" s="34" t="n"/>
      <c r="H201" s="34" t="n"/>
      <c r="I201" s="34" t="n"/>
      <c r="J201" s="34" t="n"/>
      <c r="K201" s="35" t="n"/>
      <c r="M201" s="22" t="n"/>
      <c r="N201" s="22" t="n"/>
      <c r="O201" s="22" t="n"/>
      <c r="P201" s="22" t="n"/>
      <c r="Q201" s="22" t="n"/>
      <c r="R201" s="22" t="n"/>
      <c r="S201" s="22" t="n"/>
    </row>
    <row r="202" ht="18" customHeight="1">
      <c r="A202" s="138" t="inlineStr">
        <is>
          <t xml:space="preserve">  → WON</t>
        </is>
      </c>
      <c r="F202" s="36">
        <f>SUMIFS('MiT Strom Pipeline'!I$6:I$860,'MiT Strom Pipeline'!R$6:R$860,"WON")</f>
        <v>694803.69</v>
      </c>
      <c r="G202" s="37" t="n"/>
      <c r="H202" s="37" t="n"/>
      <c r="I202" s="37" t="n"/>
      <c r="J202" s="37" t="n"/>
      <c r="K202" s="38" t="n"/>
      <c r="M202" s="22" t="n"/>
      <c r="N202" s="22" t="n"/>
      <c r="O202" s="22" t="n"/>
      <c r="P202" s="22" t="n"/>
      <c r="Q202" s="22" t="n"/>
      <c r="R202" s="22" t="n"/>
      <c r="S202" s="22" t="n"/>
    </row>
    <row r="203" ht="18" customHeight="1">
      <c r="A203" s="138" t="inlineStr">
        <is>
          <t xml:space="preserve">  → Offerte</t>
        </is>
      </c>
      <c r="F203" s="39">
        <f>SUMIFS('MiT Strom Pipeline'!I$6:I$860,'MiT Strom Pipeline'!R$6:R$860,"offered")+SUMIFS('MiT Strom Pipeline'!I$6:I$860,'MiT Strom Pipeline'!R$6:R$860,"to be offered")+SUMIFS('MiT Strom Pipeline'!I$6:I$860,'MiT Strom Pipeline'!R$6:R$860,"on hold")</f>
        <v>3559557.95</v>
      </c>
      <c r="G203" s="37" t="n"/>
      <c r="H203" s="37" t="n"/>
      <c r="I203" s="37" t="n"/>
      <c r="J203" s="37" t="n"/>
      <c r="K203" s="38" t="n"/>
      <c r="M203" s="22" t="n"/>
      <c r="N203" s="22" t="n"/>
      <c r="O203" s="22" t="n"/>
      <c r="P203" s="22" t="n"/>
      <c r="Q203" s="22" t="n"/>
      <c r="R203" s="22" t="n"/>
      <c r="S203" s="22" t="n"/>
    </row>
    <row r="204" ht="18" customHeight="1">
      <c r="A204" s="138" t="inlineStr">
        <is>
          <t xml:space="preserve">  → Opportunität</t>
        </is>
      </c>
      <c r="F204" s="40">
        <f>SUMIFS('MiT Strom Pipeline'!I$6:I$860,'MiT Strom Pipeline'!R$6:R$860,"follow-up")+SUMIFS('MiT Strom Pipeline'!I$6:I$860,'MiT Strom Pipeline'!R$6:R$860,"Evaluation")+SUMIFS('MiT Strom Pipeline'!I$6:I$860,'MiT Strom Pipeline'!R$6:R$860,"tbd")+SUMIFS('MiT Strom Pipeline'!I$6:I$860,'MiT Strom Pipeline'!R$6:R$860,"In evaluation")</f>
        <v>1377334.56</v>
      </c>
      <c r="G204" s="37" t="n"/>
      <c r="H204" s="37" t="n"/>
      <c r="I204" s="37" t="n"/>
      <c r="J204" s="37" t="n"/>
      <c r="K204" s="38" t="n"/>
      <c r="M204" s="22" t="n"/>
      <c r="N204" s="22" t="n"/>
      <c r="O204" s="22" t="n"/>
      <c r="P204" s="22" t="n"/>
      <c r="Q204" s="22" t="n"/>
      <c r="R204" s="22" t="n"/>
      <c r="S204" s="22" t="n"/>
    </row>
    <row r="205" ht="15" customHeight="1">
      <c r="D205" s="41" t="n"/>
      <c r="E205" s="41" t="n"/>
      <c r="K205" s="41" t="n"/>
      <c r="M205" s="22" t="n"/>
      <c r="N205" s="22" t="n"/>
      <c r="O205" s="22" t="n"/>
      <c r="P205" s="22" t="n"/>
      <c r="Q205" s="22" t="n"/>
      <c r="R205" s="22" t="n"/>
      <c r="S205" s="22" t="n"/>
    </row>
    <row r="206" ht="13.5" customHeight="1">
      <c r="A206" s="139" t="str">
        <f>"Stand: "&amp;TEXT(TODAY(),"DD.MM.YYYY")&amp;"  |  Burak Ücöz  |  Mobil in Time AG – An Aggreko Company  |  VERTRAULICH"</f>
        <v>Stand: 13.07.2026  |  Burak Ücöz  |  Mobil in Time AG – An Aggreko Company  |  VERTRAULICH</v>
      </c>
      <c r="M206" s="22" t="n"/>
      <c r="N206" s="22" t="n"/>
      <c r="O206" s="22" t="n"/>
      <c r="P206" s="22" t="n"/>
      <c r="Q206" s="22" t="n"/>
      <c r="R206" s="22" t="n"/>
      <c r="S206" s="22" t="n"/>
    </row>
    <row r="207" ht="15" customHeight="1">
      <c r="M207" s="22" t="n"/>
      <c r="N207" s="22" t="n"/>
      <c r="O207" s="22" t="n"/>
      <c r="P207" s="22" t="n"/>
      <c r="Q207" s="22" t="n"/>
      <c r="R207" s="22" t="n"/>
      <c r="S207" s="22" t="n"/>
    </row>
    <row r="208" ht="15" customHeight="1">
      <c r="M208" s="22" t="n"/>
      <c r="N208" s="22" t="n"/>
      <c r="O208" s="22" t="n"/>
      <c r="P208" s="22" t="n"/>
      <c r="Q208" s="22" t="n"/>
      <c r="R208" s="22" t="n"/>
      <c r="S208" s="22" t="n"/>
    </row>
    <row r="209" ht="15" customHeight="1">
      <c r="M209" s="22" t="n"/>
      <c r="N209" s="22" t="n"/>
      <c r="O209" s="22" t="n"/>
      <c r="P209" s="22" t="n"/>
      <c r="Q209" s="22" t="n"/>
      <c r="R209" s="22" t="n"/>
      <c r="S209" s="22" t="n"/>
    </row>
    <row r="210" ht="15" customHeight="1">
      <c r="M210" s="22" t="n"/>
      <c r="N210" s="22" t="n"/>
      <c r="O210" s="22" t="n"/>
      <c r="P210" s="22" t="n"/>
      <c r="Q210" s="22" t="n"/>
      <c r="R210" s="22" t="n"/>
      <c r="S210" s="22" t="n"/>
    </row>
    <row r="211" ht="15" customHeight="1">
      <c r="M211" s="22" t="n"/>
      <c r="N211" s="22" t="n"/>
      <c r="O211" s="22" t="n"/>
      <c r="P211" s="22" t="n"/>
      <c r="Q211" s="22" t="n"/>
      <c r="R211" s="22" t="n"/>
      <c r="S211" s="22" t="n"/>
    </row>
    <row r="212" ht="15" customHeight="1">
      <c r="M212" s="22" t="n"/>
      <c r="N212" s="22" t="n"/>
      <c r="O212" s="22" t="n"/>
      <c r="P212" s="22" t="n"/>
      <c r="Q212" s="22" t="n"/>
      <c r="R212" s="22" t="n"/>
      <c r="S212" s="22" t="n"/>
    </row>
    <row r="213" ht="15" customHeight="1">
      <c r="M213" s="22" t="n"/>
      <c r="N213" s="22" t="n"/>
      <c r="O213" s="22" t="n"/>
      <c r="P213" s="22" t="n"/>
      <c r="Q213" s="22" t="n"/>
      <c r="R213" s="22" t="n"/>
      <c r="S213" s="22" t="n"/>
    </row>
    <row r="214" ht="15" customHeight="1">
      <c r="M214" s="22" t="n"/>
      <c r="N214" s="22" t="n"/>
      <c r="O214" s="22" t="n"/>
      <c r="P214" s="22" t="n"/>
      <c r="Q214" s="22" t="n"/>
      <c r="R214" s="22" t="n"/>
      <c r="S214" s="22" t="n"/>
    </row>
    <row r="215" ht="15" customHeight="1">
      <c r="M215" s="22" t="n"/>
      <c r="N215" s="22" t="n"/>
      <c r="O215" s="22" t="n"/>
      <c r="P215" s="22" t="n"/>
      <c r="Q215" s="22" t="n"/>
      <c r="R215" s="22" t="n"/>
      <c r="S215" s="22" t="n"/>
    </row>
    <row r="216" ht="15" customHeight="1">
      <c r="M216" s="22" t="n"/>
      <c r="N216" s="22" t="n"/>
      <c r="O216" s="22" t="n"/>
      <c r="P216" s="22" t="n"/>
      <c r="Q216" s="22" t="n"/>
      <c r="R216" s="22" t="n"/>
      <c r="S216" s="22" t="n"/>
    </row>
    <row r="217" ht="15" customHeight="1">
      <c r="M217" s="22" t="n"/>
      <c r="N217" s="22" t="n"/>
      <c r="O217" s="22" t="n"/>
      <c r="P217" s="22" t="n"/>
      <c r="Q217" s="22" t="n"/>
      <c r="R217" s="22" t="n"/>
      <c r="S217" s="22" t="n"/>
    </row>
    <row r="218" ht="15" customHeight="1">
      <c r="M218" s="22" t="n"/>
      <c r="N218" s="22" t="n"/>
      <c r="O218" s="22" t="n"/>
      <c r="P218" s="22" t="n"/>
      <c r="Q218" s="22" t="n"/>
      <c r="R218" s="22" t="n"/>
      <c r="S218" s="22" t="n"/>
    </row>
    <row r="219" ht="15" customHeight="1">
      <c r="M219" s="22" t="n"/>
      <c r="N219" s="22" t="n"/>
      <c r="O219" s="22" t="n"/>
      <c r="P219" s="22" t="n"/>
      <c r="Q219" s="22" t="n"/>
      <c r="R219" s="22" t="n"/>
      <c r="S219" s="22" t="n"/>
    </row>
  </sheetData>
  <autoFilter ref="A10:L72"/>
  <mergeCells count="20">
    <mergeCell ref="A5:D5"/>
    <mergeCell ref="A201:E201"/>
    <mergeCell ref="A137:L137"/>
    <mergeCell ref="E7:H7"/>
    <mergeCell ref="A3:L3"/>
    <mergeCell ref="A2:L2"/>
    <mergeCell ref="I6:L6"/>
    <mergeCell ref="E5:H5"/>
    <mergeCell ref="A6:D6"/>
    <mergeCell ref="A204:E204"/>
    <mergeCell ref="A7:D7"/>
    <mergeCell ref="A9:L9"/>
    <mergeCell ref="I7:L7"/>
    <mergeCell ref="A203:E203"/>
    <mergeCell ref="A73:L73"/>
    <mergeCell ref="A206:K206"/>
    <mergeCell ref="A1:L1"/>
    <mergeCell ref="E6:H6"/>
    <mergeCell ref="A202:E202"/>
    <mergeCell ref="I5:L5"/>
  </mergeCells>
  <conditionalFormatting sqref="J11:J200">
    <cfRule type="cellIs" priority="1" operator="equal" dxfId="9" stopIfTrue="1">
      <formula>"WON"</formula>
    </cfRule>
    <cfRule type="cellIs" priority="2" operator="equal" dxfId="8" stopIfTrue="1">
      <formula>"offered"</formula>
    </cfRule>
    <cfRule type="cellIs" priority="3" operator="equal" dxfId="7" stopIfTrue="1">
      <formula>"to be offered"</formula>
    </cfRule>
    <cfRule type="cellIs" priority="4" operator="equal" dxfId="6" stopIfTrue="1">
      <formula>"follow-up"</formula>
    </cfRule>
    <cfRule type="cellIs" priority="5" operator="equal" dxfId="4" stopIfTrue="1">
      <formula>"Evaluation"</formula>
    </cfRule>
    <cfRule type="cellIs" priority="6" operator="equal" dxfId="4" stopIfTrue="1">
      <formula>"In evaluation"</formula>
    </cfRule>
    <cfRule type="cellIs" priority="7" operator="equal" dxfId="3" stopIfTrue="1">
      <formula>"on hold"</formula>
    </cfRule>
    <cfRule type="cellIs" priority="8" operator="equal" dxfId="2" stopIfTrue="1">
      <formula>"tbd"</formula>
    </cfRule>
    <cfRule type="cellIs" priority="9" operator="equal" dxfId="1" stopIfTrue="1">
      <formula>"LOST"</formula>
    </cfRule>
    <cfRule type="cellIs" priority="10" operator="equal" dxfId="0" stopIfTrue="1">
      <formula>"Declined"</formula>
    </cfRule>
  </conditionalFormatting>
  <printOptions horizontalCentered="1"/>
  <pageMargins left="0.3" right="0.3" top="0.5" bottom="0.5" header="0.2" footer="0.2"/>
  <pageSetup orientation="landscape" paperSize="9" fitToHeight="0" horizontalDpi="300" verticalDpi="300"/>
  <headerFooter>
    <oddHeader>&amp;C&amp;"Calibri,Bold"&amp;14 MiT Strom Schweiz — CEO Report</oddHeader>
    <oddFooter>&amp;LMobil in Time AG · An Aggreko Company&amp;RSeite &amp;P von &amp;N</oddFooter>
    <evenHeader/>
    <evenFooter/>
    <firstHeader/>
    <firstFooter/>
  </headerFooter>
  <rowBreaks count="2" manualBreakCount="2">
    <brk id="72" min="0" max="16383" man="1"/>
    <brk id="136" min="0" max="16383" man="1"/>
  </rowBreaks>
</worksheet>
</file>

<file path=xl/worksheets/sheet4.xml><?xml version="1.0" encoding="utf-8"?>
<worksheet xmlns="http://schemas.openxmlformats.org/spreadsheetml/2006/main">
  <sheetPr>
    <tabColor rgb="FF2E5496"/>
    <outlinePr summaryBelow="1" summaryRight="1"/>
    <pageSetUpPr fitToPage="1"/>
  </sheetPr>
  <dimension ref="A1:U219"/>
  <sheetViews>
    <sheetView zoomScale="70" zoomScaleNormal="70" workbookViewId="0">
      <selection activeCell="A1" sqref="A1"/>
    </sheetView>
  </sheetViews>
  <sheetFormatPr baseColWidth="8" defaultColWidth="9.140625" defaultRowHeight="15"/>
  <cols>
    <col width="5" customWidth="1" min="1" max="1"/>
    <col width="29.140625" bestFit="1" customWidth="1" min="2" max="2"/>
    <col width="9.7109375" bestFit="1" customWidth="1" min="3" max="3"/>
    <col width="18" customWidth="1" min="4" max="4"/>
    <col width="13" customWidth="1" min="5" max="5"/>
    <col width="79.42578125" bestFit="1" customWidth="1" style="42" min="6" max="6"/>
    <col width="17.5703125" bestFit="1" customWidth="1" style="42" min="7" max="7"/>
    <col width="18.42578125" bestFit="1" customWidth="1" min="8" max="8"/>
    <col width="12" customWidth="1" min="9" max="9"/>
    <col width="12.7109375" bestFit="1" customWidth="1" min="10" max="10"/>
    <col width="54.5703125" customWidth="1" min="11" max="11"/>
    <col width="8.42578125" customWidth="1" min="12" max="19"/>
    <col hidden="1" width="13" customWidth="1" min="21" max="21"/>
  </cols>
  <sheetData>
    <row r="1" ht="39.75" customHeight="1">
      <c r="A1" s="144" t="str">
        <f>"⚡  MiT Strom Schweiz  |  Sales Dashboard  |  "&amp;TEXT(TODAY(),"MMMM YYYY")</f>
        <v>⚡  MiT Strom Schweiz  |  Sales Dashboard  |  July 2026</v>
      </c>
      <c r="L1" s="22" t="n"/>
      <c r="M1" s="22" t="n"/>
      <c r="N1" s="22" t="n"/>
      <c r="O1" s="22" t="n"/>
      <c r="P1" s="22" t="n"/>
      <c r="Q1" s="22" t="n"/>
      <c r="R1" s="22" t="n"/>
      <c r="S1" s="22" t="n"/>
    </row>
    <row r="2" ht="15.75" customHeight="1">
      <c r="A2" s="128" t="inlineStr">
        <is>
          <t>Mobil in Time AG  ·  An Aggreko Company  ·  Burak Ücöz  ·  Neue Einträge in «MiT Strom Pipeline» erscheinen automatisch.</t>
        </is>
      </c>
      <c r="L2" s="22" t="n"/>
      <c r="M2" s="22" t="n"/>
      <c r="N2" s="22" t="n"/>
      <c r="O2" s="22" t="n"/>
      <c r="P2" s="22" t="n"/>
      <c r="Q2" s="22" t="n"/>
      <c r="R2" s="22" t="n"/>
      <c r="S2" s="22" t="n"/>
    </row>
    <row r="3" ht="4.5" customHeight="1">
      <c r="A3" s="172" t="n"/>
      <c r="L3" s="22" t="n"/>
      <c r="M3" s="22" t="n"/>
      <c r="N3" s="22" t="n"/>
      <c r="O3" s="22" t="n"/>
      <c r="P3" s="22" t="n"/>
      <c r="Q3" s="22" t="n"/>
      <c r="R3" s="22" t="n"/>
      <c r="S3" s="22" t="n"/>
    </row>
    <row r="4" ht="7.5" customHeight="1">
      <c r="L4" s="22" t="n"/>
      <c r="M4" s="22" t="n"/>
      <c r="N4" s="22" t="n"/>
      <c r="O4" s="22" t="n"/>
      <c r="P4" s="22" t="n"/>
      <c r="Q4" s="22" t="n"/>
      <c r="R4" s="22" t="n"/>
      <c r="S4" s="22" t="n"/>
    </row>
    <row r="5" ht="21.75" customHeight="1">
      <c r="A5" s="145" t="inlineStr">
        <is>
          <t>✅  WON</t>
        </is>
      </c>
      <c r="D5" s="146" t="inlineStr">
        <is>
          <t>📄  OFFERTE</t>
        </is>
      </c>
      <c r="G5" s="147" t="inlineStr">
        <is>
          <t>🎯  OPP.</t>
        </is>
      </c>
      <c r="I5" s="148" t="inlineStr">
        <is>
          <t>📊  GESAMT</t>
        </is>
      </c>
      <c r="L5" s="22" t="n"/>
      <c r="M5" s="22" t="n"/>
      <c r="N5" s="22" t="n"/>
      <c r="O5" s="22" t="n"/>
      <c r="P5" s="22" t="n"/>
      <c r="Q5" s="22" t="n"/>
      <c r="R5" s="22" t="n"/>
      <c r="S5" s="22" t="n"/>
    </row>
    <row r="6" ht="36" customHeight="1">
      <c r="A6" s="149">
        <f>SUMIFS('MiT Strom Pipeline'!I$6:I$860,'MiT Strom Pipeline'!R$6:R$860,"WON")</f>
        <v>694803.69</v>
      </c>
      <c r="D6" s="150">
        <f>SUMIFS('MiT Strom Pipeline'!I$6:I$860,'MiT Strom Pipeline'!R$6:R$860,"offered")+SUMIFS('MiT Strom Pipeline'!I$6:I$860,'MiT Strom Pipeline'!R$6:R$860,"to be offered")+SUMIFS('MiT Strom Pipeline'!I$6:I$860,'MiT Strom Pipeline'!R$6:R$860,"on hold")</f>
        <v>3559557.95</v>
      </c>
      <c r="G6" s="151">
        <f>SUMIFS('MiT Strom Pipeline'!I$6:I$860,'MiT Strom Pipeline'!R$6:R$860,"follow-up")+SUMIFS('MiT Strom Pipeline'!I$6:I$860,'MiT Strom Pipeline'!R$6:R$860,"Evaluation")+SUMIFS('MiT Strom Pipeline'!I$6:I$860,'MiT Strom Pipeline'!R$6:R$860,"tbd")+SUMIFS('MiT Strom Pipeline'!I$6:I$860,'MiT Strom Pipeline'!R$6:R$860,"In evaluation")</f>
        <v>1377334.56</v>
      </c>
      <c r="I6" s="152">
        <f>SUMIFS('MiT Strom Pipeline'!I$6:I$860,'MiT Strom Pipeline'!R$6:R$860,"WON")+SUMIFS('MiT Strom Pipeline'!I$6:I$860,'MiT Strom Pipeline'!R$6:R$860,"offered")+SUMIFS('MiT Strom Pipeline'!I$6:I$860,'MiT Strom Pipeline'!R$6:R$860,"to be offered")+SUMIFS('MiT Strom Pipeline'!I$6:I$860,'MiT Strom Pipeline'!R$6:R$860,"on hold")+SUMIFS('MiT Strom Pipeline'!I$6:I$860,'MiT Strom Pipeline'!R$6:R$860,"follow-up")+SUMIFS('MiT Strom Pipeline'!I$6:I$860,'MiT Strom Pipeline'!R$6:R$860,"Evaluation")+SUMIFS('MiT Strom Pipeline'!I$6:I$860,'MiT Strom Pipeline'!R$6:R$860,"tbd")+SUMIFS('MiT Strom Pipeline'!I$6:I$860,'MiT Strom Pipeline'!R$6:R$860,"In evaluation")</f>
        <v>5631696.2</v>
      </c>
      <c r="L6" s="22" t="n"/>
      <c r="M6" s="22" t="n"/>
      <c r="N6" s="23" t="n"/>
      <c r="O6" s="22" t="n"/>
      <c r="P6" s="22" t="n"/>
      <c r="Q6" s="22" t="n"/>
      <c r="R6" s="22" t="n"/>
      <c r="S6" s="22" t="n"/>
    </row>
    <row r="7" ht="19.5" customHeight="1">
      <c r="A7" s="186">
        <f>COUNTIF('MiT Strom Pipeline'!R$6:R$860,"WON")</f>
        <v>7</v>
      </c>
      <c r="D7" s="187">
        <f>COUNTIF('MiT Strom Pipeline'!R$6:R$860,"offered")+COUNTIF('MiT Strom Pipeline'!R$6:R$860,"to be offered")+COUNTIF('MiT Strom Pipeline'!R$6:R$860,"on hold")</f>
        <v>19</v>
      </c>
      <c r="G7" s="188">
        <f>COUNTIF('MiT Strom Pipeline'!R$6:R$860,"follow-up")+COUNTIF('MiT Strom Pipeline'!R$6:R$860,"Evaluation")+COUNTIF('MiT Strom Pipeline'!R$6:R$860,"tbd")+COUNTIF('MiT Strom Pipeline'!R$6:R$860,"In evaluation")</f>
        <v>9</v>
      </c>
      <c r="I7" s="193">
        <f>COUNTIF('MiT Strom Pipeline'!R$6:R$860,"WON")+COUNTIF('MiT Strom Pipeline'!R$6:R$860,"offered")+COUNTIF('MiT Strom Pipeline'!R$6:R$860,"to be offered")+COUNTIF('MiT Strom Pipeline'!R$6:R$860,"on hold")+COUNTIF('MiT Strom Pipeline'!R$6:R$860,"follow-up")+COUNTIF('MiT Strom Pipeline'!R$6:R$860,"Evaluation")+COUNTIF('MiT Strom Pipeline'!R$6:R$860,"tbd")+COUNTIF('MiT Strom Pipeline'!R$6:R$860,"In evaluation")</f>
        <v>35</v>
      </c>
      <c r="L7" s="22" t="n"/>
      <c r="M7" s="22" t="n"/>
      <c r="N7" s="23" t="n"/>
      <c r="O7" s="22" t="n"/>
      <c r="P7" s="22" t="n"/>
      <c r="Q7" s="22" t="n"/>
      <c r="R7" s="22" t="n"/>
      <c r="S7" s="22" t="n"/>
    </row>
    <row r="8" ht="7.5" customHeight="1">
      <c r="A8" s="24" t="n"/>
      <c r="B8" s="24" t="n"/>
      <c r="C8" s="24" t="n"/>
      <c r="D8" s="24" t="n"/>
      <c r="E8" s="24" t="n"/>
      <c r="F8" s="43" t="n"/>
      <c r="G8" s="43" t="n"/>
      <c r="H8" s="24" t="n"/>
      <c r="I8" s="24" t="n"/>
      <c r="J8" s="24" t="n"/>
      <c r="L8" s="22" t="n"/>
      <c r="M8" s="22" t="n"/>
      <c r="N8" s="23" t="n"/>
      <c r="O8" s="22" t="n"/>
      <c r="P8" s="22" t="n"/>
      <c r="Q8" s="22" t="n"/>
      <c r="R8" s="22" t="n"/>
      <c r="S8" s="22" t="n"/>
    </row>
    <row r="9" ht="24" customHeight="1">
      <c r="A9" s="140" t="inlineStr">
        <is>
          <t>✅  1. AUFTRAGSEINGANG (WON) — Gewonnene Aufträge</t>
        </is>
      </c>
      <c r="B9" s="189" t="n"/>
      <c r="C9" s="189" t="n"/>
      <c r="D9" s="189" t="n"/>
      <c r="E9" s="189" t="n"/>
      <c r="F9" s="189" t="n"/>
      <c r="G9" s="189" t="n"/>
      <c r="H9" s="189" t="n"/>
      <c r="I9" s="189" t="n"/>
      <c r="J9" s="189" t="n"/>
      <c r="K9" s="190" t="n"/>
      <c r="L9" s="22" t="n"/>
      <c r="M9" s="22" t="n"/>
      <c r="N9" s="23" t="n"/>
      <c r="O9" s="22" t="n"/>
      <c r="P9" s="22" t="n"/>
      <c r="Q9" s="22" t="n"/>
      <c r="R9" s="22" t="n"/>
      <c r="S9" s="22" t="n"/>
    </row>
    <row r="10" ht="19.5" customHeight="1">
      <c r="A10" s="25" t="inlineStr">
        <is>
          <t>#</t>
        </is>
      </c>
      <c r="B10" s="25" t="inlineStr">
        <is>
          <t>Kunde / Unternehmen</t>
        </is>
      </c>
      <c r="C10" s="25" t="inlineStr">
        <is>
          <t>Kt.</t>
        </is>
      </c>
      <c r="D10" s="25" t="inlineStr">
        <is>
          <t>Segment</t>
        </is>
      </c>
      <c r="E10" s="25" t="inlineStr">
        <is>
          <t>Start</t>
        </is>
      </c>
      <c r="F10" s="25" t="inlineStr">
        <is>
          <t>Leistung / Fleet</t>
        </is>
      </c>
      <c r="G10" s="25" t="inlineStr">
        <is>
          <t>Volumen CHF</t>
        </is>
      </c>
      <c r="H10" s="25" t="inlineStr">
        <is>
          <t>Gew.Wert CHF</t>
        </is>
      </c>
      <c r="I10" s="25" t="inlineStr">
        <is>
          <t>Status</t>
        </is>
      </c>
      <c r="J10" s="25" t="inlineStr">
        <is>
          <t>Wahr.%</t>
        </is>
      </c>
      <c r="K10" s="25" t="inlineStr">
        <is>
          <t>Nächster Schritt</t>
        </is>
      </c>
      <c r="L10" s="22" t="n"/>
      <c r="M10" s="22" t="n"/>
      <c r="N10" s="23" t="n"/>
      <c r="O10" s="22" t="n"/>
      <c r="P10" s="22" t="n"/>
      <c r="Q10" s="22" t="n"/>
      <c r="R10" s="22" t="n"/>
      <c r="S10" s="22" t="n"/>
    </row>
    <row r="11" ht="15.75" customHeight="1">
      <c r="A11" s="26">
        <f>IF($U11="","",IF(ISNUMBER(INDEX('MiT Strom Pipeline'!$A:$A,$U11)),INDEX('MiT Strom Pipeline'!$A:$A,$U11),""))</f>
        <v>1</v>
      </c>
      <c r="B11" s="27" t="str">
        <f>IF($U11="","",IF(INDEX('MiT Strom Pipeline'!$B:$B,$U11)="","",INDEX('MiT Strom Pipeline'!$B:$B,$U11)))</f>
        <v>Ice Hockey Championship</v>
      </c>
      <c r="C11" s="27" t="str">
        <f>IF($U11="","",IF(INDEX('MiT Strom Pipeline'!$C:$C,$U11)="","",INDEX('MiT Strom Pipeline'!$C:$C,$U11)))</f>
        <v>ZH</v>
      </c>
      <c r="D11" s="27" t="str">
        <f>IF($U11="","",IF(INDEX('MiT Strom Pipeline'!$D:$D,$U11)="","",INDEX('MiT Strom Pipeline'!$D:$D,$U11)))</f>
        <v>Events &amp; Sport</v>
      </c>
      <c r="E11" s="27" t="str">
        <f>IF($U11="","",IF(INDEX('MiT Strom Pipeline'!$H:$H,$U11)="","",INDEX('MiT Strom Pipeline'!$H:$H,$U11)))</f>
        <v>Mai</v>
      </c>
      <c r="F11" s="27" t="str">
        <f>IF($U11="","",IF(INDEX('MiT Strom Pipeline'!$E:$E,$U11)="","",INDEX('MiT Strom Pipeline'!$E:$E,$U11)))</f>
        <v>2×600+2×200 kVA</v>
      </c>
      <c r="G11" s="28">
        <f>IF($U11="","",IF(ISNUMBER(INDEX('MiT Strom Pipeline'!$I:$I,$U11)),INDEX('MiT Strom Pipeline'!$I:$I,$U11),0))</f>
        <v>310000</v>
      </c>
      <c r="H11" s="28">
        <f>IF($U11="","",IF(ISNUMBER(INDEX('MiT Strom Pipeline'!$Q:$Q,$U11)),INDEX('MiT Strom Pipeline'!$Q:$Q,$U11),0))</f>
        <v>310000</v>
      </c>
      <c r="I11" s="27" t="str">
        <f>IF($U11="","",INDEX('MiT Strom Pipeline'!$R:$R,$U11))</f>
        <v>WON</v>
      </c>
      <c r="J11" s="29">
        <f>IF($U11="","",IF(ISNUMBER(INDEX('MiT Strom Pipeline'!$S:$S,$U11)),INDEX('MiT Strom Pipeline'!$S:$S,$U11),""))</f>
        <v>1</v>
      </c>
      <c r="K11" s="27" t="str">
        <f>IF($U11="","",IF(LEN(INDEX('MiT Strom Pipeline'!$V:$V,$U11))&gt;0,LEFT(INDEX('MiT Strom Pipeline'!$V:$V,$U11),55),""))</f>
        <v>✅ Einsatzplanung läuft – Logistik finalisieren</v>
      </c>
      <c r="L11" s="22" t="n"/>
      <c r="M11" s="22" t="n"/>
      <c r="N11" s="23" t="n"/>
      <c r="O11" s="22" t="n"/>
      <c r="P11" s="22" t="n"/>
      <c r="Q11" s="22" t="n"/>
      <c r="R11" s="22" t="n"/>
      <c r="S11" s="22" t="n"/>
      <c r="U11">
        <f>IFERROR(MATCH(1,'MiT Strom Pipeline'!$AB$6:$AB$860,0)+5,"")</f>
        <v>9</v>
      </c>
    </row>
    <row r="12" ht="15.75" customHeight="1">
      <c r="A12" s="26">
        <f>IF($U12="","",IF(ISNUMBER(INDEX('MiT Strom Pipeline'!$A:$A,$U12)),INDEX('MiT Strom Pipeline'!$A:$A,$U12),""))</f>
        <v>2</v>
      </c>
      <c r="B12" s="27" t="str">
        <f>IF($U12="","",IF(INDEX('MiT Strom Pipeline'!$B:$B,$U12)="","",INDEX('MiT Strom Pipeline'!$B:$B,$U12)))</f>
        <v>Oerlikon Metco Wohlen</v>
      </c>
      <c r="C12" s="27" t="str">
        <f>IF($U12="","",IF(INDEX('MiT Strom Pipeline'!$C:$C,$U12)="","",INDEX('MiT Strom Pipeline'!$C:$C,$U12)))</f>
        <v>AG</v>
      </c>
      <c r="D12" s="27" t="str">
        <f>IF($U12="","",IF(INDEX('MiT Strom Pipeline'!$D:$D,$U12)="","",INDEX('MiT Strom Pipeline'!$D:$D,$U12)))</f>
        <v>Industrie / Oberfläche</v>
      </c>
      <c r="E12" s="27" t="str">
        <f>IF($U12="","",IF(INDEX('MiT Strom Pipeline'!$H:$H,$U12)="","",INDEX('MiT Strom Pipeline'!$H:$H,$U12)))</f>
        <v>April</v>
      </c>
      <c r="F12" s="27" t="str">
        <f>IF($U12="","",IF(INDEX('MiT Strom Pipeline'!$E:$E,$U12)="","",INDEX('MiT Strom Pipeline'!$E:$E,$U12)))</f>
        <v>240 kVA Generator</v>
      </c>
      <c r="G12" s="28">
        <f>IF($U12="","",IF(ISNUMBER(INDEX('MiT Strom Pipeline'!$I:$I,$U12)),INDEX('MiT Strom Pipeline'!$I:$I,$U12),0))</f>
        <v>13100</v>
      </c>
      <c r="H12" s="28">
        <f>IF($U12="","",IF(ISNUMBER(INDEX('MiT Strom Pipeline'!$Q:$Q,$U12)),INDEX('MiT Strom Pipeline'!$Q:$Q,$U12),0))</f>
        <v>13100</v>
      </c>
      <c r="I12" s="27" t="str">
        <f>IF($U12="","",INDEX('MiT Strom Pipeline'!$R:$R,$U12))</f>
        <v>WON</v>
      </c>
      <c r="J12" s="29">
        <f>IF($U12="","",IF(ISNUMBER(INDEX('MiT Strom Pipeline'!$S:$S,$U12)),INDEX('MiT Strom Pipeline'!$S:$S,$U12),""))</f>
        <v>1</v>
      </c>
      <c r="K12" s="27" t="str">
        <f>IF($U12="","",IF(LEN(INDEX('MiT Strom Pipeline'!$V:$V,$U12))&gt;0,LEFT(INDEX('MiT Strom Pipeline'!$V:$V,$U12),55),""))</f>
        <v>✅ Abgeschlossen – Invoice prüfen, Referenz sichern</v>
      </c>
      <c r="L12" s="22" t="n"/>
      <c r="M12" s="22" t="n"/>
      <c r="N12" s="23" t="n"/>
      <c r="O12" s="22" t="n"/>
      <c r="P12" s="22" t="n"/>
      <c r="Q12" s="22" t="n"/>
      <c r="R12" s="22" t="n"/>
      <c r="S12" s="22" t="n"/>
      <c r="U12">
        <f>IFERROR(MATCH(2,'MiT Strom Pipeline'!$AB$6:$AB$860,0)+5,"")</f>
        <v>10</v>
      </c>
    </row>
    <row r="13" ht="15.75" customHeight="1">
      <c r="A13" s="26">
        <f>IF($U13="","",IF(ISNUMBER(INDEX('MiT Strom Pipeline'!$A:$A,$U13)),INDEX('MiT Strom Pipeline'!$A:$A,$U13),""))</f>
        <v>3</v>
      </c>
      <c r="B13" s="27" t="str">
        <f>IF($U13="","",IF(INDEX('MiT Strom Pipeline'!$B:$B,$U13)="","",INDEX('MiT Strom Pipeline'!$B:$B,$U13)))</f>
        <v>Siemens</v>
      </c>
      <c r="C13" s="27" t="str">
        <f>IF($U13="","",IF(INDEX('MiT Strom Pipeline'!$C:$C,$U13)="","",INDEX('MiT Strom Pipeline'!$C:$C,$U13)))</f>
        <v>ZH</v>
      </c>
      <c r="D13" s="27" t="str">
        <f>IF($U13="","",IF(INDEX('MiT Strom Pipeline'!$D:$D,$U13)="","",INDEX('MiT Strom Pipeline'!$D:$D,$U13)))</f>
        <v>Industrie / Elektro</v>
      </c>
      <c r="E13" s="27" t="str">
        <f>IF($U13="","",IF(INDEX('MiT Strom Pipeline'!$H:$H,$U13)="","",INDEX('MiT Strom Pipeline'!$H:$H,$U13)))</f>
        <v>tbd</v>
      </c>
      <c r="F13" s="27" t="str">
        <f>IF($U13="","",IF(INDEX('MiT Strom Pipeline'!$E:$E,$U13)="","",INDEX('MiT Strom Pipeline'!$E:$E,$U13)))</f>
        <v>600 kVA Generator</v>
      </c>
      <c r="G13" s="28">
        <f>IF($U13="","",IF(ISNUMBER(INDEX('MiT Strom Pipeline'!$I:$I,$U13)),INDEX('MiT Strom Pipeline'!$I:$I,$U13),0))</f>
        <v>10000</v>
      </c>
      <c r="H13" s="28">
        <f>IF($U13="","",IF(ISNUMBER(INDEX('MiT Strom Pipeline'!$Q:$Q,$U13)),INDEX('MiT Strom Pipeline'!$Q:$Q,$U13),0))</f>
        <v>10000</v>
      </c>
      <c r="I13" s="27" t="str">
        <f>IF($U13="","",INDEX('MiT Strom Pipeline'!$R:$R,$U13))</f>
        <v>WON</v>
      </c>
      <c r="J13" s="29">
        <f>IF($U13="","",IF(ISNUMBER(INDEX('MiT Strom Pipeline'!$S:$S,$U13)),INDEX('MiT Strom Pipeline'!$S:$S,$U13),""))</f>
        <v>1</v>
      </c>
      <c r="K13" s="27" t="str">
        <f>IF($U13="","",IF(LEN(INDEX('MiT Strom Pipeline'!$V:$V,$U13))&gt;0,LEFT(INDEX('MiT Strom Pipeline'!$V:$V,$U13),55),""))</f>
        <v>✅ Referenzschreiben anfordern</v>
      </c>
      <c r="L13" s="22" t="n"/>
      <c r="M13" s="22" t="n"/>
      <c r="N13" s="23" t="n"/>
      <c r="O13" s="22" t="n"/>
      <c r="P13" s="22" t="n"/>
      <c r="Q13" s="22" t="n"/>
      <c r="R13" s="22" t="n"/>
      <c r="S13" s="22" t="n"/>
      <c r="U13">
        <f>IFERROR(MATCH(3,'MiT Strom Pipeline'!$AB$6:$AB$860,0)+5,"")</f>
        <v>12</v>
      </c>
    </row>
    <row r="14" ht="15.75" customHeight="1">
      <c r="A14" s="26">
        <f>IF($U14="","",IF(ISNUMBER(INDEX('MiT Strom Pipeline'!$A:$A,$U14)),INDEX('MiT Strom Pipeline'!$A:$A,$U14),""))</f>
        <v>4</v>
      </c>
      <c r="B14" s="27" t="str">
        <f>IF($U14="","",IF(INDEX('MiT Strom Pipeline'!$B:$B,$U14)="","",INDEX('MiT Strom Pipeline'!$B:$B,$U14)))</f>
        <v>Stagelight – OpenAir Frauenfeld</v>
      </c>
      <c r="C14" s="27" t="str">
        <f>IF($U14="","",IF(INDEX('MiT Strom Pipeline'!$C:$C,$U14)="","",INDEX('MiT Strom Pipeline'!$C:$C,$U14)))</f>
        <v>TG</v>
      </c>
      <c r="D14" s="27" t="str">
        <f>IF($U14="","",IF(INDEX('MiT Strom Pipeline'!$D:$D,$U14)="","",INDEX('MiT Strom Pipeline'!$D:$D,$U14)))</f>
        <v>Events &amp; Kultur</v>
      </c>
      <c r="E14" s="27" t="str">
        <f>IF($U14="","",IF(INDEX('MiT Strom Pipeline'!$H:$H,$U14)="","",INDEX('MiT Strom Pipeline'!$H:$H,$U14)))</f>
        <v>Juli</v>
      </c>
      <c r="F14" s="27" t="str">
        <f>IF($U14="","",IF(INDEX('MiT Strom Pipeline'!$E:$E,$U14)="","",INDEX('MiT Strom Pipeline'!$E:$E,$U14)))</f>
        <v>~500 kVA Generator</v>
      </c>
      <c r="G14" s="28">
        <f>IF($U14="","",IF(ISNUMBER(INDEX('MiT Strom Pipeline'!$I:$I,$U14)),INDEX('MiT Strom Pipeline'!$I:$I,$U14),0))</f>
        <v>150000</v>
      </c>
      <c r="H14" s="28">
        <f>IF($U14="","",IF(ISNUMBER(INDEX('MiT Strom Pipeline'!$Q:$Q,$U14)),INDEX('MiT Strom Pipeline'!$Q:$Q,$U14),0))</f>
        <v>150000</v>
      </c>
      <c r="I14" s="27" t="str">
        <f>IF($U14="","",INDEX('MiT Strom Pipeline'!$R:$R,$U14))</f>
        <v>WON</v>
      </c>
      <c r="J14" s="29">
        <f>IF($U14="","",IF(ISNUMBER(INDEX('MiT Strom Pipeline'!$S:$S,$U14)),INDEX('MiT Strom Pipeline'!$S:$S,$U14),""))</f>
        <v>1</v>
      </c>
      <c r="K14" s="27" t="str">
        <f>IF($U14="","",IF(LEN(INDEX('MiT Strom Pipeline'!$V:$V,$U14))&gt;0,LEFT(INDEX('MiT Strom Pipeline'!$V:$V,$U14),55),""))</f>
        <v>Follow-up + Vertragsverhandlung initiieren</v>
      </c>
      <c r="L14" s="22" t="n"/>
      <c r="M14" s="22" t="n"/>
      <c r="N14" s="23" t="n"/>
      <c r="O14" s="22" t="n"/>
      <c r="P14" s="22" t="n"/>
      <c r="Q14" s="22" t="n"/>
      <c r="R14" s="22" t="n"/>
      <c r="S14" s="22" t="n"/>
      <c r="U14">
        <f>IFERROR(MATCH(4,'MiT Strom Pipeline'!$AB$6:$AB$860,0)+5,"")</f>
        <v>13</v>
      </c>
    </row>
    <row r="15" ht="15.75" customHeight="1">
      <c r="A15" s="26">
        <f>IF($U15="","",IF(ISNUMBER(INDEX('MiT Strom Pipeline'!$A:$A,$U15)),INDEX('MiT Strom Pipeline'!$A:$A,$U15),""))</f>
        <v>10</v>
      </c>
      <c r="B15" s="27" t="str">
        <f>IF($U15="","",IF(INDEX('MiT Strom Pipeline'!$B:$B,$U15)="","",INDEX('MiT Strom Pipeline'!$B:$B,$U15)))</f>
        <v>Murg Flums Energie</v>
      </c>
      <c r="C15" s="27" t="str">
        <f>IF($U15="","",IF(INDEX('MiT Strom Pipeline'!$C:$C,$U15)="","",INDEX('MiT Strom Pipeline'!$C:$C,$U15)))</f>
        <v>SG</v>
      </c>
      <c r="D15" s="27" t="str">
        <f>IF($U15="","",IF(INDEX('MiT Strom Pipeline'!$D:$D,$U15)="","",INDEX('MiT Strom Pipeline'!$D:$D,$U15)))</f>
        <v>EVU / Energie</v>
      </c>
      <c r="E15" s="27" t="str">
        <f>IF($U15="","",IF(INDEX('MiT Strom Pipeline'!$H:$H,$U15)="","",INDEX('MiT Strom Pipeline'!$H:$H,$U15)))</f>
        <v>Auf Abruf</v>
      </c>
      <c r="F15" s="27" t="str">
        <f>IF($U15="","",IF(INDEX('MiT Strom Pipeline'!$E:$E,$U15)="","",INDEX('MiT Strom Pipeline'!$E:$E,$U15)))</f>
        <v>250 kVA Generator</v>
      </c>
      <c r="G15" s="28">
        <f>IF($U15="","",IF(ISNUMBER(INDEX('MiT Strom Pipeline'!$I:$I,$U15)),INDEX('MiT Strom Pipeline'!$I:$I,$U15),0))</f>
        <v>96658.69</v>
      </c>
      <c r="H15" s="28">
        <f>IF($U15="","",IF(ISNUMBER(INDEX('MiT Strom Pipeline'!$Q:$Q,$U15)),INDEX('MiT Strom Pipeline'!$Q:$Q,$U15),0))</f>
        <v>96658.69</v>
      </c>
      <c r="I15" s="27" t="str">
        <f>IF($U15="","",INDEX('MiT Strom Pipeline'!$R:$R,$U15))</f>
        <v>WON</v>
      </c>
      <c r="J15" s="29">
        <f>IF($U15="","",IF(ISNUMBER(INDEX('MiT Strom Pipeline'!$S:$S,$U15)),INDEX('MiT Strom Pipeline'!$S:$S,$U15),""))</f>
        <v>1</v>
      </c>
      <c r="K15" s="27" t="str">
        <f>IF($U15="","",IF(LEN(INDEX('MiT Strom Pipeline'!$V:$V,$U15))&gt;0,LEFT(INDEX('MiT Strom Pipeline'!$V:$V,$U15),55),""))</f>
        <v>Bedarfsanalyse, NEA-Konzept vorschlagen, Termin vor Ort</v>
      </c>
      <c r="L15" s="22" t="n"/>
      <c r="M15" s="22" t="n"/>
      <c r="N15" s="23" t="n"/>
      <c r="O15" s="22" t="n"/>
      <c r="P15" s="22" t="n"/>
      <c r="Q15" s="22" t="n"/>
      <c r="R15" s="22" t="n"/>
      <c r="S15" s="22" t="n"/>
      <c r="U15">
        <f>IFERROR(MATCH(5,'MiT Strom Pipeline'!$AB$6:$AB$860,0)+5,"")</f>
        <v>14</v>
      </c>
    </row>
    <row r="16" ht="15.75" customHeight="1">
      <c r="A16" s="26">
        <f>IF($U16="","",IF(ISNUMBER(INDEX('MiT Strom Pipeline'!$A:$A,$U16)),INDEX('MiT Strom Pipeline'!$A:$A,$U16),""))</f>
        <v>21</v>
      </c>
      <c r="B16" s="27" t="str">
        <f>IF($U16="","",IF(INDEX('MiT Strom Pipeline'!$B:$B,$U16)="","",INDEX('MiT Strom Pipeline'!$B:$B,$U16)))</f>
        <v>X-Event</v>
      </c>
      <c r="C16" s="27" t="str">
        <f>IF($U16="","",IF(INDEX('MiT Strom Pipeline'!$C:$C,$U16)="","",INDEX('MiT Strom Pipeline'!$C:$C,$U16)))</f>
        <v>SH</v>
      </c>
      <c r="D16" s="27" t="str">
        <f>IF($U16="","",IF(INDEX('MiT Strom Pipeline'!$D:$D,$U16)="","",INDEX('MiT Strom Pipeline'!$D:$D,$U16)))</f>
        <v>Events / Medien</v>
      </c>
      <c r="E16" s="27" t="str">
        <f>IF($U16="","",IF(INDEX('MiT Strom Pipeline'!$H:$H,$U16)="","",INDEX('MiT Strom Pipeline'!$H:$H,$U16)))</f>
        <v>Juni</v>
      </c>
      <c r="F16" s="27" t="str">
        <f>IF($U16="","",IF(INDEX('MiT Strom Pipeline'!$E:$E,$U16)="","",INDEX('MiT Strom Pipeline'!$E:$E,$U16)))</f>
        <v>100 kVA Generator</v>
      </c>
      <c r="G16" s="28">
        <f>IF($U16="","",IF(ISNUMBER(INDEX('MiT Strom Pipeline'!$I:$I,$U16)),INDEX('MiT Strom Pipeline'!$I:$I,$U16),0))</f>
        <v>0</v>
      </c>
      <c r="H16" s="28">
        <f>IF($U16="","",IF(ISNUMBER(INDEX('MiT Strom Pipeline'!$Q:$Q,$U16)),INDEX('MiT Strom Pipeline'!$Q:$Q,$U16),0))</f>
        <v>0</v>
      </c>
      <c r="I16" s="27" t="str">
        <f>IF($U16="","",INDEX('MiT Strom Pipeline'!$R:$R,$U16))</f>
        <v>WON</v>
      </c>
      <c r="J16" s="29">
        <f>IF($U16="","",IF(ISNUMBER(INDEX('MiT Strom Pipeline'!$S:$S,$U16)),INDEX('MiT Strom Pipeline'!$S:$S,$U16),""))</f>
        <v>1</v>
      </c>
      <c r="K16" s="27" t="str">
        <f>IF($U16="","",IF(LEN(INDEX('MiT Strom Pipeline'!$V:$V,$U16))&gt;0,LEFT(INDEX('MiT Strom Pipeline'!$V:$V,$U16),55),""))</f>
        <v>Kunde Telefon Kontaktiert und Vor Ort 
Besichtigung und</v>
      </c>
      <c r="L16" s="22" t="n"/>
      <c r="M16" s="22" t="n"/>
      <c r="N16" s="22" t="n"/>
      <c r="O16" s="22" t="n"/>
      <c r="P16" s="22" t="n"/>
      <c r="Q16" s="22" t="n"/>
      <c r="R16" s="22" t="n"/>
      <c r="S16" s="22" t="n"/>
      <c r="U16">
        <f>IFERROR(MATCH(6,'MiT Strom Pipeline'!$AB$6:$AB$860,0)+5,"")</f>
        <v>15</v>
      </c>
    </row>
    <row r="17" ht="15.75" customHeight="1">
      <c r="A17" s="26">
        <f>IF($U17="","",IF(ISNUMBER(INDEX('MiT Strom Pipeline'!$A:$A,$U17)),INDEX('MiT Strom Pipeline'!$A:$A,$U17),""))</f>
        <v>29</v>
      </c>
      <c r="B17" s="27" t="str">
        <f>IF($U17="","",IF(INDEX('MiT Strom Pipeline'!$B:$B,$U17)="","",INDEX('MiT Strom Pipeline'!$B:$B,$U17)))</f>
        <v>Gampeln</v>
      </c>
      <c r="C17" s="27" t="str">
        <f>IF($U17="","",IF(INDEX('MiT Strom Pipeline'!$C:$C,$U17)="","",INDEX('MiT Strom Pipeline'!$C:$C,$U17)))</f>
        <v>VS</v>
      </c>
      <c r="D17" s="27" t="str">
        <f>IF($U17="","",IF(INDEX('MiT Strom Pipeline'!$D:$D,$U17)="","",INDEX('MiT Strom Pipeline'!$D:$D,$U17)))</f>
        <v>Event</v>
      </c>
      <c r="E17" s="27" t="str">
        <f>IF($U17="","",IF(INDEX('MiT Strom Pipeline'!$H:$H,$U17)="","",INDEX('MiT Strom Pipeline'!$H:$H,$U17)))</f>
        <v>Aug</v>
      </c>
      <c r="F17" s="27" t="str">
        <f>IF($U17="","",IF(INDEX('MiT Strom Pipeline'!$E:$E,$U17)="","",INDEX('MiT Strom Pipeline'!$E:$E,$U17)))</f>
        <v>6x300 kVA, 10x200 kVA, 1x100 kVA Generator</v>
      </c>
      <c r="G17" s="28">
        <f>IF($U17="","",IF(ISNUMBER(INDEX('MiT Strom Pipeline'!$I:$I,$U17)),INDEX('MiT Strom Pipeline'!$I:$I,$U17),0))</f>
        <v>115045</v>
      </c>
      <c r="H17" s="28">
        <f>IF($U17="","",IF(ISNUMBER(INDEX('MiT Strom Pipeline'!$Q:$Q,$U17)),INDEX('MiT Strom Pipeline'!$Q:$Q,$U17),0))</f>
        <v>115045</v>
      </c>
      <c r="I17" s="27" t="str">
        <f>IF($U17="","",INDEX('MiT Strom Pipeline'!$R:$R,$U17))</f>
        <v>WON</v>
      </c>
      <c r="J17" s="29">
        <f>IF($U17="","",IF(ISNUMBER(INDEX('MiT Strom Pipeline'!$S:$S,$U17)),INDEX('MiT Strom Pipeline'!$S:$S,$U17),""))</f>
        <v>1</v>
      </c>
      <c r="K17" s="27" t="str">
        <f>IF($U17="","",IF(LEN(INDEX('MiT Strom Pipeline'!$V:$V,$U17))&gt;0,LEFT(INDEX('MiT Strom Pipeline'!$V:$V,$U17),55),""))</f>
        <v>Kunde angeschrieben, Kunde besucht, Kunde zufrieden mit</v>
      </c>
      <c r="L17" s="22" t="n"/>
      <c r="M17" s="22" t="n"/>
      <c r="N17" s="22" t="n"/>
      <c r="O17" s="22" t="n"/>
      <c r="P17" s="22" t="n"/>
      <c r="Q17" s="22" t="n"/>
      <c r="R17" s="22" t="n"/>
      <c r="S17" s="22" t="n"/>
      <c r="U17">
        <f>IFERROR(MATCH(7,'MiT Strom Pipeline'!$AB$6:$AB$860,0)+5,"")</f>
        <v>22</v>
      </c>
    </row>
    <row r="18" ht="15.75" customHeight="1">
      <c r="A18" s="26" t="str">
        <f>IF($U18="","",IF(ISNUMBER(INDEX('MiT Strom Pipeline'!$A:$A,$U18)),INDEX('MiT Strom Pipeline'!$A:$A,$U18),""))</f>
        <v/>
      </c>
      <c r="B18" s="27" t="str">
        <f>IF($U18="","",IF(INDEX('MiT Strom Pipeline'!$B:$B,$U18)="","",INDEX('MiT Strom Pipeline'!$B:$B,$U18)))</f>
        <v/>
      </c>
      <c r="C18" s="27" t="str">
        <f>IF($U18="","",IF(INDEX('MiT Strom Pipeline'!$C:$C,$U18)="","",INDEX('MiT Strom Pipeline'!$C:$C,$U18)))</f>
        <v/>
      </c>
      <c r="D18" s="27" t="str">
        <f>IF($U18="","",IF(INDEX('MiT Strom Pipeline'!$D:$D,$U18)="","",INDEX('MiT Strom Pipeline'!$D:$D,$U18)))</f>
        <v/>
      </c>
      <c r="E18" s="27" t="str">
        <f>IF($U18="","",IF(INDEX('MiT Strom Pipeline'!$H:$H,$U18)="","",INDEX('MiT Strom Pipeline'!$H:$H,$U18)))</f>
        <v/>
      </c>
      <c r="F18" s="27" t="str">
        <f>IF($U18="","",IF(INDEX('MiT Strom Pipeline'!$E:$E,$U18)="","",INDEX('MiT Strom Pipeline'!$E:$E,$U18)))</f>
        <v/>
      </c>
      <c r="G18" s="28" t="str">
        <f>IF($U18="","",IF(ISNUMBER(INDEX('MiT Strom Pipeline'!$I:$I,$U18)),INDEX('MiT Strom Pipeline'!$I:$I,$U18),0))</f>
        <v/>
      </c>
      <c r="H18" s="28" t="str">
        <f>IF($U18="","",IF(ISNUMBER(INDEX('MiT Strom Pipeline'!$Q:$Q,$U18)),INDEX('MiT Strom Pipeline'!$Q:$Q,$U18),0))</f>
        <v/>
      </c>
      <c r="I18" s="27" t="str">
        <f>IF($U18="","",INDEX('MiT Strom Pipeline'!$R:$R,$U18))</f>
        <v/>
      </c>
      <c r="J18" s="29" t="str">
        <f>IF($U18="","",IF(ISNUMBER(INDEX('MiT Strom Pipeline'!$S:$S,$U18)),INDEX('MiT Strom Pipeline'!$S:$S,$U18),""))</f>
        <v/>
      </c>
      <c r="K18" s="27" t="str">
        <f>IF($U18="","",IF(LEN(INDEX('MiT Strom Pipeline'!$V:$V,$U18))&gt;0,LEFT(INDEX('MiT Strom Pipeline'!$V:$V,$U18),55),""))</f>
        <v/>
      </c>
      <c r="L18" s="22" t="n"/>
      <c r="M18" s="22" t="n"/>
      <c r="N18" s="22" t="n"/>
      <c r="O18" s="22" t="n"/>
      <c r="P18" s="22" t="n"/>
      <c r="Q18" s="22" t="n"/>
      <c r="R18" s="22" t="n"/>
      <c r="S18" s="22" t="n"/>
      <c r="U18" t="str">
        <f>IFERROR(MATCH(8,'MiT Strom Pipeline'!$AB$6:$AB$860,0)+5,"")</f>
        <v/>
      </c>
    </row>
    <row r="19" ht="15.75" customHeight="1">
      <c r="A19" s="26" t="str">
        <f>IF($U19="","",IF(ISNUMBER(INDEX('MiT Strom Pipeline'!$A:$A,$U19)),INDEX('MiT Strom Pipeline'!$A:$A,$U19),""))</f>
        <v/>
      </c>
      <c r="B19" s="27" t="str">
        <f>IF($U19="","",IF(INDEX('MiT Strom Pipeline'!$B:$B,$U19)="","",INDEX('MiT Strom Pipeline'!$B:$B,$U19)))</f>
        <v/>
      </c>
      <c r="C19" s="27" t="str">
        <f>IF($U19="","",IF(INDEX('MiT Strom Pipeline'!$C:$C,$U19)="","",INDEX('MiT Strom Pipeline'!$C:$C,$U19)))</f>
        <v/>
      </c>
      <c r="D19" s="27" t="str">
        <f>IF($U19="","",IF(INDEX('MiT Strom Pipeline'!$D:$D,$U19)="","",INDEX('MiT Strom Pipeline'!$D:$D,$U19)))</f>
        <v/>
      </c>
      <c r="E19" s="27" t="str">
        <f>IF($U19="","",IF(INDEX('MiT Strom Pipeline'!$H:$H,$U19)="","",INDEX('MiT Strom Pipeline'!$H:$H,$U19)))</f>
        <v/>
      </c>
      <c r="F19" s="27" t="str">
        <f>IF($U19="","",IF(INDEX('MiT Strom Pipeline'!$E:$E,$U19)="","",INDEX('MiT Strom Pipeline'!$E:$E,$U19)))</f>
        <v/>
      </c>
      <c r="G19" s="28" t="str">
        <f>IF($U19="","",IF(ISNUMBER(INDEX('MiT Strom Pipeline'!$I:$I,$U19)),INDEX('MiT Strom Pipeline'!$I:$I,$U19),0))</f>
        <v/>
      </c>
      <c r="H19" s="28" t="str">
        <f>IF($U19="","",IF(ISNUMBER(INDEX('MiT Strom Pipeline'!$Q:$Q,$U19)),INDEX('MiT Strom Pipeline'!$Q:$Q,$U19),0))</f>
        <v/>
      </c>
      <c r="I19" s="27" t="str">
        <f>IF($U19="","",INDEX('MiT Strom Pipeline'!$R:$R,$U19))</f>
        <v/>
      </c>
      <c r="J19" s="29" t="str">
        <f>IF($U19="","",IF(ISNUMBER(INDEX('MiT Strom Pipeline'!$S:$S,$U19)),INDEX('MiT Strom Pipeline'!$S:$S,$U19),""))</f>
        <v/>
      </c>
      <c r="K19" s="27" t="str">
        <f>IF($U19="","",IF(LEN(INDEX('MiT Strom Pipeline'!$V:$V,$U19))&gt;0,LEFT(INDEX('MiT Strom Pipeline'!$V:$V,$U19),55),""))</f>
        <v/>
      </c>
      <c r="L19" s="22" t="n"/>
      <c r="M19" s="22" t="n"/>
      <c r="N19" s="22" t="n"/>
      <c r="O19" s="22" t="n"/>
      <c r="P19" s="22" t="n"/>
      <c r="Q19" s="22" t="n"/>
      <c r="R19" s="22" t="n"/>
      <c r="S19" s="22" t="n"/>
      <c r="U19" t="str">
        <f>IFERROR(MATCH(9,'MiT Strom Pipeline'!$AB$6:$AB$860,0)+5,"")</f>
        <v/>
      </c>
    </row>
    <row r="20" ht="15.75" customHeight="1">
      <c r="A20" s="26" t="str">
        <f>IF($U20="","",IF(ISNUMBER(INDEX('MiT Strom Pipeline'!$A:$A,$U20)),INDEX('MiT Strom Pipeline'!$A:$A,$U20),""))</f>
        <v/>
      </c>
      <c r="B20" s="27" t="str">
        <f>IF($U20="","",IF(INDEX('MiT Strom Pipeline'!$B:$B,$U20)="","",INDEX('MiT Strom Pipeline'!$B:$B,$U20)))</f>
        <v/>
      </c>
      <c r="C20" s="27" t="str">
        <f>IF($U20="","",IF(INDEX('MiT Strom Pipeline'!$C:$C,$U20)="","",INDEX('MiT Strom Pipeline'!$C:$C,$U20)))</f>
        <v/>
      </c>
      <c r="D20" s="27" t="str">
        <f>IF($U20="","",IF(INDEX('MiT Strom Pipeline'!$D:$D,$U20)="","",INDEX('MiT Strom Pipeline'!$D:$D,$U20)))</f>
        <v/>
      </c>
      <c r="E20" s="27" t="str">
        <f>IF($U20="","",IF(INDEX('MiT Strom Pipeline'!$H:$H,$U20)="","",INDEX('MiT Strom Pipeline'!$H:$H,$U20)))</f>
        <v/>
      </c>
      <c r="F20" s="27" t="str">
        <f>IF($U20="","",IF(INDEX('MiT Strom Pipeline'!$E:$E,$U20)="","",INDEX('MiT Strom Pipeline'!$E:$E,$U20)))</f>
        <v/>
      </c>
      <c r="G20" s="28" t="str">
        <f>IF($U20="","",IF(ISNUMBER(INDEX('MiT Strom Pipeline'!$I:$I,$U20)),INDEX('MiT Strom Pipeline'!$I:$I,$U20),0))</f>
        <v/>
      </c>
      <c r="H20" s="28" t="str">
        <f>IF($U20="","",IF(ISNUMBER(INDEX('MiT Strom Pipeline'!$Q:$Q,$U20)),INDEX('MiT Strom Pipeline'!$Q:$Q,$U20),0))</f>
        <v/>
      </c>
      <c r="I20" s="27" t="str">
        <f>IF($U20="","",INDEX('MiT Strom Pipeline'!$R:$R,$U20))</f>
        <v/>
      </c>
      <c r="J20" s="29" t="str">
        <f>IF($U20="","",IF(ISNUMBER(INDEX('MiT Strom Pipeline'!$S:$S,$U20)),INDEX('MiT Strom Pipeline'!$S:$S,$U20),""))</f>
        <v/>
      </c>
      <c r="K20" s="27" t="str">
        <f>IF($U20="","",IF(LEN(INDEX('MiT Strom Pipeline'!$V:$V,$U20))&gt;0,LEFT(INDEX('MiT Strom Pipeline'!$V:$V,$U20),55),""))</f>
        <v/>
      </c>
      <c r="L20" s="22" t="n"/>
      <c r="M20" s="22" t="n"/>
      <c r="N20" s="22" t="n"/>
      <c r="O20" s="22" t="n"/>
      <c r="P20" s="22" t="n"/>
      <c r="Q20" s="22" t="n"/>
      <c r="R20" s="22" t="n"/>
      <c r="S20" s="22" t="n"/>
      <c r="U20" t="str">
        <f>IFERROR(MATCH(10,'MiT Strom Pipeline'!$AB$6:$AB$860,0)+5,"")</f>
        <v/>
      </c>
    </row>
    <row r="21" ht="15.75" customHeight="1">
      <c r="A21" s="26" t="str">
        <f>IF($U21="","",IF(ISNUMBER(INDEX('MiT Strom Pipeline'!$A:$A,$U21)),INDEX('MiT Strom Pipeline'!$A:$A,$U21),""))</f>
        <v/>
      </c>
      <c r="B21" s="27" t="str">
        <f>IF($U21="","",IF(INDEX('MiT Strom Pipeline'!$B:$B,$U21)="","",INDEX('MiT Strom Pipeline'!$B:$B,$U21)))</f>
        <v/>
      </c>
      <c r="C21" s="27" t="str">
        <f>IF($U21="","",IF(INDEX('MiT Strom Pipeline'!$C:$C,$U21)="","",INDEX('MiT Strom Pipeline'!$C:$C,$U21)))</f>
        <v/>
      </c>
      <c r="D21" s="27" t="str">
        <f>IF($U21="","",IF(INDEX('MiT Strom Pipeline'!$D:$D,$U21)="","",INDEX('MiT Strom Pipeline'!$D:$D,$U21)))</f>
        <v/>
      </c>
      <c r="E21" s="27" t="str">
        <f>IF($U21="","",IF(INDEX('MiT Strom Pipeline'!$H:$H,$U21)="","",INDEX('MiT Strom Pipeline'!$H:$H,$U21)))</f>
        <v/>
      </c>
      <c r="F21" s="27" t="str">
        <f>IF($U21="","",IF(INDEX('MiT Strom Pipeline'!$E:$E,$U21)="","",INDEX('MiT Strom Pipeline'!$E:$E,$U21)))</f>
        <v/>
      </c>
      <c r="G21" s="28" t="str">
        <f>IF($U21="","",IF(ISNUMBER(INDEX('MiT Strom Pipeline'!$I:$I,$U21)),INDEX('MiT Strom Pipeline'!$I:$I,$U21),0))</f>
        <v/>
      </c>
      <c r="H21" s="28" t="str">
        <f>IF($U21="","",IF(ISNUMBER(INDEX('MiT Strom Pipeline'!$Q:$Q,$U21)),INDEX('MiT Strom Pipeline'!$Q:$Q,$U21),0))</f>
        <v/>
      </c>
      <c r="I21" s="27" t="str">
        <f>IF($U21="","",INDEX('MiT Strom Pipeline'!$R:$R,$U21))</f>
        <v/>
      </c>
      <c r="J21" s="29" t="str">
        <f>IF($U21="","",IF(ISNUMBER(INDEX('MiT Strom Pipeline'!$S:$S,$U21)),INDEX('MiT Strom Pipeline'!$S:$S,$U21),""))</f>
        <v/>
      </c>
      <c r="K21" s="27" t="str">
        <f>IF($U21="","",IF(LEN(INDEX('MiT Strom Pipeline'!$V:$V,$U21))&gt;0,LEFT(INDEX('MiT Strom Pipeline'!$V:$V,$U21),55),""))</f>
        <v/>
      </c>
      <c r="L21" s="22" t="n"/>
      <c r="M21" s="22" t="n"/>
      <c r="N21" s="22" t="n"/>
      <c r="O21" s="22" t="n"/>
      <c r="P21" s="22" t="n"/>
      <c r="Q21" s="22" t="n"/>
      <c r="R21" s="22" t="n"/>
      <c r="S21" s="22" t="n"/>
      <c r="U21" t="str">
        <f>IFERROR(MATCH(11,'MiT Strom Pipeline'!$AB$6:$AB$860,0)+5,"")</f>
        <v/>
      </c>
    </row>
    <row r="22" ht="15.75" customHeight="1">
      <c r="A22" s="26" t="str">
        <f>IF($U22="","",IF(ISNUMBER(INDEX('MiT Strom Pipeline'!$A:$A,$U22)),INDEX('MiT Strom Pipeline'!$A:$A,$U22),""))</f>
        <v/>
      </c>
      <c r="B22" s="27" t="str">
        <f>IF($U22="","",IF(INDEX('MiT Strom Pipeline'!$B:$B,$U22)="","",INDEX('MiT Strom Pipeline'!$B:$B,$U22)))</f>
        <v/>
      </c>
      <c r="C22" s="27" t="str">
        <f>IF($U22="","",IF(INDEX('MiT Strom Pipeline'!$C:$C,$U22)="","",INDEX('MiT Strom Pipeline'!$C:$C,$U22)))</f>
        <v/>
      </c>
      <c r="D22" s="27" t="str">
        <f>IF($U22="","",IF(INDEX('MiT Strom Pipeline'!$D:$D,$U22)="","",INDEX('MiT Strom Pipeline'!$D:$D,$U22)))</f>
        <v/>
      </c>
      <c r="E22" s="27" t="str">
        <f>IF($U22="","",IF(INDEX('MiT Strom Pipeline'!$H:$H,$U22)="","",INDEX('MiT Strom Pipeline'!$H:$H,$U22)))</f>
        <v/>
      </c>
      <c r="F22" s="27" t="str">
        <f>IF($U22="","",IF(INDEX('MiT Strom Pipeline'!$E:$E,$U22)="","",INDEX('MiT Strom Pipeline'!$E:$E,$U22)))</f>
        <v/>
      </c>
      <c r="G22" s="28" t="str">
        <f>IF($U22="","",IF(ISNUMBER(INDEX('MiT Strom Pipeline'!$I:$I,$U22)),INDEX('MiT Strom Pipeline'!$I:$I,$U22),0))</f>
        <v/>
      </c>
      <c r="H22" s="28" t="str">
        <f>IF($U22="","",IF(ISNUMBER(INDEX('MiT Strom Pipeline'!$Q:$Q,$U22)),INDEX('MiT Strom Pipeline'!$Q:$Q,$U22),0))</f>
        <v/>
      </c>
      <c r="I22" s="27" t="str">
        <f>IF($U22="","",INDEX('MiT Strom Pipeline'!$R:$R,$U22))</f>
        <v/>
      </c>
      <c r="J22" s="29" t="str">
        <f>IF($U22="","",IF(ISNUMBER(INDEX('MiT Strom Pipeline'!$S:$S,$U22)),INDEX('MiT Strom Pipeline'!$S:$S,$U22),""))</f>
        <v/>
      </c>
      <c r="K22" s="27" t="str">
        <f>IF($U22="","",IF(LEN(INDEX('MiT Strom Pipeline'!$V:$V,$U22))&gt;0,LEFT(INDEX('MiT Strom Pipeline'!$V:$V,$U22),55),""))</f>
        <v/>
      </c>
      <c r="L22" s="22" t="n"/>
      <c r="M22" s="22" t="n"/>
      <c r="N22" s="22" t="n"/>
      <c r="O22" s="22" t="n"/>
      <c r="P22" s="22" t="n"/>
      <c r="Q22" s="22" t="n"/>
      <c r="R22" s="22" t="n"/>
      <c r="S22" s="22" t="n"/>
      <c r="U22" t="str">
        <f>IFERROR(MATCH(12,'MiT Strom Pipeline'!$AB$6:$AB$860,0)+5,"")</f>
        <v/>
      </c>
    </row>
    <row r="23" ht="15.75" customHeight="1">
      <c r="A23" s="26" t="str">
        <f>IF($U23="","",IF(ISNUMBER(INDEX('MiT Strom Pipeline'!$A:$A,$U23)),INDEX('MiT Strom Pipeline'!$A:$A,$U23),""))</f>
        <v/>
      </c>
      <c r="B23" s="27" t="str">
        <f>IF($U23="","",IF(INDEX('MiT Strom Pipeline'!$B:$B,$U23)="","",INDEX('MiT Strom Pipeline'!$B:$B,$U23)))</f>
        <v/>
      </c>
      <c r="C23" s="27" t="str">
        <f>IF($U23="","",IF(INDEX('MiT Strom Pipeline'!$C:$C,$U23)="","",INDEX('MiT Strom Pipeline'!$C:$C,$U23)))</f>
        <v/>
      </c>
      <c r="D23" s="27" t="str">
        <f>IF($U23="","",IF(INDEX('MiT Strom Pipeline'!$D:$D,$U23)="","",INDEX('MiT Strom Pipeline'!$D:$D,$U23)))</f>
        <v/>
      </c>
      <c r="E23" s="27" t="str">
        <f>IF($U23="","",IF(INDEX('MiT Strom Pipeline'!$H:$H,$U23)="","",INDEX('MiT Strom Pipeline'!$H:$H,$U23)))</f>
        <v/>
      </c>
      <c r="F23" s="27" t="str">
        <f>IF($U23="","",IF(INDEX('MiT Strom Pipeline'!$E:$E,$U23)="","",INDEX('MiT Strom Pipeline'!$E:$E,$U23)))</f>
        <v/>
      </c>
      <c r="G23" s="28" t="str">
        <f>IF($U23="","",IF(ISNUMBER(INDEX('MiT Strom Pipeline'!$I:$I,$U23)),INDEX('MiT Strom Pipeline'!$I:$I,$U23),0))</f>
        <v/>
      </c>
      <c r="H23" s="28" t="str">
        <f>IF($U23="","",IF(ISNUMBER(INDEX('MiT Strom Pipeline'!$Q:$Q,$U23)),INDEX('MiT Strom Pipeline'!$Q:$Q,$U23),0))</f>
        <v/>
      </c>
      <c r="I23" s="27" t="str">
        <f>IF($U23="","",INDEX('MiT Strom Pipeline'!$R:$R,$U23))</f>
        <v/>
      </c>
      <c r="J23" s="29" t="str">
        <f>IF($U23="","",IF(ISNUMBER(INDEX('MiT Strom Pipeline'!$S:$S,$U23)),INDEX('MiT Strom Pipeline'!$S:$S,$U23),""))</f>
        <v/>
      </c>
      <c r="K23" s="27" t="str">
        <f>IF($U23="","",IF(LEN(INDEX('MiT Strom Pipeline'!$V:$V,$U23))&gt;0,LEFT(INDEX('MiT Strom Pipeline'!$V:$V,$U23),55),""))</f>
        <v/>
      </c>
      <c r="L23" s="22" t="n"/>
      <c r="M23" s="22" t="n"/>
      <c r="N23" s="22" t="n"/>
      <c r="O23" s="22" t="n"/>
      <c r="P23" s="22" t="n"/>
      <c r="Q23" s="22" t="n"/>
      <c r="R23" s="22" t="n"/>
      <c r="S23" s="22" t="n"/>
      <c r="U23" t="str">
        <f>IFERROR(MATCH(13,'MiT Strom Pipeline'!$AB$6:$AB$860,0)+5,"")</f>
        <v/>
      </c>
    </row>
    <row r="24" ht="15.75" customHeight="1">
      <c r="A24" s="26" t="str">
        <f>IF($U24="","",IF(ISNUMBER(INDEX('MiT Strom Pipeline'!$A:$A,$U24)),INDEX('MiT Strom Pipeline'!$A:$A,$U24),""))</f>
        <v/>
      </c>
      <c r="B24" s="27" t="str">
        <f>IF($U24="","",IF(INDEX('MiT Strom Pipeline'!$B:$B,$U24)="","",INDEX('MiT Strom Pipeline'!$B:$B,$U24)))</f>
        <v/>
      </c>
      <c r="C24" s="27" t="str">
        <f>IF($U24="","",IF(INDEX('MiT Strom Pipeline'!$C:$C,$U24)="","",INDEX('MiT Strom Pipeline'!$C:$C,$U24)))</f>
        <v/>
      </c>
      <c r="D24" s="27" t="str">
        <f>IF($U24="","",IF(INDEX('MiT Strom Pipeline'!$D:$D,$U24)="","",INDEX('MiT Strom Pipeline'!$D:$D,$U24)))</f>
        <v/>
      </c>
      <c r="E24" s="27" t="str">
        <f>IF($U24="","",IF(INDEX('MiT Strom Pipeline'!$H:$H,$U24)="","",INDEX('MiT Strom Pipeline'!$H:$H,$U24)))</f>
        <v/>
      </c>
      <c r="F24" s="27" t="str">
        <f>IF($U24="","",IF(INDEX('MiT Strom Pipeline'!$E:$E,$U24)="","",INDEX('MiT Strom Pipeline'!$E:$E,$U24)))</f>
        <v/>
      </c>
      <c r="G24" s="28" t="str">
        <f>IF($U24="","",IF(ISNUMBER(INDEX('MiT Strom Pipeline'!$I:$I,$U24)),INDEX('MiT Strom Pipeline'!$I:$I,$U24),0))</f>
        <v/>
      </c>
      <c r="H24" s="28" t="str">
        <f>IF($U24="","",IF(ISNUMBER(INDEX('MiT Strom Pipeline'!$Q:$Q,$U24)),INDEX('MiT Strom Pipeline'!$Q:$Q,$U24),0))</f>
        <v/>
      </c>
      <c r="I24" s="27" t="str">
        <f>IF($U24="","",INDEX('MiT Strom Pipeline'!$R:$R,$U24))</f>
        <v/>
      </c>
      <c r="J24" s="29" t="str">
        <f>IF($U24="","",IF(ISNUMBER(INDEX('MiT Strom Pipeline'!$S:$S,$U24)),INDEX('MiT Strom Pipeline'!$S:$S,$U24),""))</f>
        <v/>
      </c>
      <c r="K24" s="27" t="str">
        <f>IF($U24="","",IF(LEN(INDEX('MiT Strom Pipeline'!$V:$V,$U24))&gt;0,LEFT(INDEX('MiT Strom Pipeline'!$V:$V,$U24),55),""))</f>
        <v/>
      </c>
      <c r="L24" s="22" t="n"/>
      <c r="M24" s="22" t="n"/>
      <c r="N24" s="22" t="n"/>
      <c r="O24" s="22" t="n"/>
      <c r="P24" s="22" t="n"/>
      <c r="Q24" s="22" t="n"/>
      <c r="R24" s="22" t="n"/>
      <c r="S24" s="22" t="n"/>
      <c r="U24" t="str">
        <f>IFERROR(MATCH(14,'MiT Strom Pipeline'!$AB$6:$AB$860,0)+5,"")</f>
        <v/>
      </c>
    </row>
    <row r="25" ht="15.75" customHeight="1">
      <c r="A25" s="26" t="str">
        <f>IF($U25="","",IF(ISNUMBER(INDEX('MiT Strom Pipeline'!$A:$A,$U25)),INDEX('MiT Strom Pipeline'!$A:$A,$U25),""))</f>
        <v/>
      </c>
      <c r="B25" s="27" t="str">
        <f>IF($U25="","",IF(INDEX('MiT Strom Pipeline'!$B:$B,$U25)="","",INDEX('MiT Strom Pipeline'!$B:$B,$U25)))</f>
        <v/>
      </c>
      <c r="C25" s="27" t="str">
        <f>IF($U25="","",IF(INDEX('MiT Strom Pipeline'!$C:$C,$U25)="","",INDEX('MiT Strom Pipeline'!$C:$C,$U25)))</f>
        <v/>
      </c>
      <c r="D25" s="27" t="str">
        <f>IF($U25="","",IF(INDEX('MiT Strom Pipeline'!$D:$D,$U25)="","",INDEX('MiT Strom Pipeline'!$D:$D,$U25)))</f>
        <v/>
      </c>
      <c r="E25" s="27" t="str">
        <f>IF($U25="","",IF(INDEX('MiT Strom Pipeline'!$H:$H,$U25)="","",INDEX('MiT Strom Pipeline'!$H:$H,$U25)))</f>
        <v/>
      </c>
      <c r="F25" s="27" t="str">
        <f>IF($U25="","",IF(INDEX('MiT Strom Pipeline'!$E:$E,$U25)="","",INDEX('MiT Strom Pipeline'!$E:$E,$U25)))</f>
        <v/>
      </c>
      <c r="G25" s="28" t="str">
        <f>IF($U25="","",IF(ISNUMBER(INDEX('MiT Strom Pipeline'!$I:$I,$U25)),INDEX('MiT Strom Pipeline'!$I:$I,$U25),0))</f>
        <v/>
      </c>
      <c r="H25" s="28" t="str">
        <f>IF($U25="","",IF(ISNUMBER(INDEX('MiT Strom Pipeline'!$Q:$Q,$U25)),INDEX('MiT Strom Pipeline'!$Q:$Q,$U25),0))</f>
        <v/>
      </c>
      <c r="I25" s="27" t="str">
        <f>IF($U25="","",INDEX('MiT Strom Pipeline'!$R:$R,$U25))</f>
        <v/>
      </c>
      <c r="J25" s="29" t="str">
        <f>IF($U25="","",IF(ISNUMBER(INDEX('MiT Strom Pipeline'!$S:$S,$U25)),INDEX('MiT Strom Pipeline'!$S:$S,$U25),""))</f>
        <v/>
      </c>
      <c r="K25" s="27" t="str">
        <f>IF($U25="","",IF(LEN(INDEX('MiT Strom Pipeline'!$V:$V,$U25))&gt;0,LEFT(INDEX('MiT Strom Pipeline'!$V:$V,$U25),55),""))</f>
        <v/>
      </c>
      <c r="L25" s="22" t="n"/>
      <c r="M25" s="22" t="n"/>
      <c r="N25" s="22" t="n"/>
      <c r="O25" s="22" t="n"/>
      <c r="P25" s="22" t="n"/>
      <c r="Q25" s="22" t="n"/>
      <c r="R25" s="22" t="n"/>
      <c r="S25" s="22" t="n"/>
      <c r="U25" t="str">
        <f>IFERROR(MATCH(15,'MiT Strom Pipeline'!$AB$6:$AB$860,0)+5,"")</f>
        <v/>
      </c>
    </row>
    <row r="26" ht="15.75" customHeight="1">
      <c r="A26" s="26" t="str">
        <f>IF($U26="","",IF(ISNUMBER(INDEX('MiT Strom Pipeline'!$A:$A,$U26)),INDEX('MiT Strom Pipeline'!$A:$A,$U26),""))</f>
        <v/>
      </c>
      <c r="B26" s="27" t="str">
        <f>IF($U26="","",IF(INDEX('MiT Strom Pipeline'!$B:$B,$U26)="","",INDEX('MiT Strom Pipeline'!$B:$B,$U26)))</f>
        <v/>
      </c>
      <c r="C26" s="27" t="str">
        <f>IF($U26="","",IF(INDEX('MiT Strom Pipeline'!$C:$C,$U26)="","",INDEX('MiT Strom Pipeline'!$C:$C,$U26)))</f>
        <v/>
      </c>
      <c r="D26" s="27" t="str">
        <f>IF($U26="","",IF(INDEX('MiT Strom Pipeline'!$D:$D,$U26)="","",INDEX('MiT Strom Pipeline'!$D:$D,$U26)))</f>
        <v/>
      </c>
      <c r="E26" s="27" t="str">
        <f>IF($U26="","",IF(INDEX('MiT Strom Pipeline'!$H:$H,$U26)="","",INDEX('MiT Strom Pipeline'!$H:$H,$U26)))</f>
        <v/>
      </c>
      <c r="F26" s="27" t="str">
        <f>IF($U26="","",IF(INDEX('MiT Strom Pipeline'!$E:$E,$U26)="","",INDEX('MiT Strom Pipeline'!$E:$E,$U26)))</f>
        <v/>
      </c>
      <c r="G26" s="28" t="str">
        <f>IF($U26="","",IF(ISNUMBER(INDEX('MiT Strom Pipeline'!$I:$I,$U26)),INDEX('MiT Strom Pipeline'!$I:$I,$U26),0))</f>
        <v/>
      </c>
      <c r="H26" s="28" t="str">
        <f>IF($U26="","",IF(ISNUMBER(INDEX('MiT Strom Pipeline'!$Q:$Q,$U26)),INDEX('MiT Strom Pipeline'!$Q:$Q,$U26),0))</f>
        <v/>
      </c>
      <c r="I26" s="27" t="str">
        <f>IF($U26="","",INDEX('MiT Strom Pipeline'!$R:$R,$U26))</f>
        <v/>
      </c>
      <c r="J26" s="29" t="str">
        <f>IF($U26="","",IF(ISNUMBER(INDEX('MiT Strom Pipeline'!$S:$S,$U26)),INDEX('MiT Strom Pipeline'!$S:$S,$U26),""))</f>
        <v/>
      </c>
      <c r="K26" s="27" t="str">
        <f>IF($U26="","",IF(LEN(INDEX('MiT Strom Pipeline'!$V:$V,$U26))&gt;0,LEFT(INDEX('MiT Strom Pipeline'!$V:$V,$U26),55),""))</f>
        <v/>
      </c>
      <c r="L26" s="22" t="n"/>
      <c r="M26" s="22" t="n"/>
      <c r="N26" s="22" t="n"/>
      <c r="O26" s="22" t="n"/>
      <c r="P26" s="22" t="n"/>
      <c r="Q26" s="22" t="n"/>
      <c r="R26" s="22" t="n"/>
      <c r="S26" s="22" t="n"/>
      <c r="U26" t="str">
        <f>IFERROR(MATCH(16,'MiT Strom Pipeline'!$AB$6:$AB$860,0)+5,"")</f>
        <v/>
      </c>
    </row>
    <row r="27" ht="15.75" customHeight="1">
      <c r="A27" s="26" t="str">
        <f>IF($U27="","",IF(ISNUMBER(INDEX('MiT Strom Pipeline'!$A:$A,$U27)),INDEX('MiT Strom Pipeline'!$A:$A,$U27),""))</f>
        <v/>
      </c>
      <c r="B27" s="27" t="str">
        <f>IF($U27="","",IF(INDEX('MiT Strom Pipeline'!$B:$B,$U27)="","",INDEX('MiT Strom Pipeline'!$B:$B,$U27)))</f>
        <v/>
      </c>
      <c r="C27" s="27" t="str">
        <f>IF($U27="","",IF(INDEX('MiT Strom Pipeline'!$C:$C,$U27)="","",INDEX('MiT Strom Pipeline'!$C:$C,$U27)))</f>
        <v/>
      </c>
      <c r="D27" s="27" t="str">
        <f>IF($U27="","",IF(INDEX('MiT Strom Pipeline'!$D:$D,$U27)="","",INDEX('MiT Strom Pipeline'!$D:$D,$U27)))</f>
        <v/>
      </c>
      <c r="E27" s="27" t="str">
        <f>IF($U27="","",IF(INDEX('MiT Strom Pipeline'!$H:$H,$U27)="","",INDEX('MiT Strom Pipeline'!$H:$H,$U27)))</f>
        <v/>
      </c>
      <c r="F27" s="27" t="str">
        <f>IF($U27="","",IF(INDEX('MiT Strom Pipeline'!$E:$E,$U27)="","",INDEX('MiT Strom Pipeline'!$E:$E,$U27)))</f>
        <v/>
      </c>
      <c r="G27" s="28" t="str">
        <f>IF($U27="","",IF(ISNUMBER(INDEX('MiT Strom Pipeline'!$I:$I,$U27)),INDEX('MiT Strom Pipeline'!$I:$I,$U27),0))</f>
        <v/>
      </c>
      <c r="H27" s="28" t="str">
        <f>IF($U27="","",IF(ISNUMBER(INDEX('MiT Strom Pipeline'!$Q:$Q,$U27)),INDEX('MiT Strom Pipeline'!$Q:$Q,$U27),0))</f>
        <v/>
      </c>
      <c r="I27" s="27" t="str">
        <f>IF($U27="","",INDEX('MiT Strom Pipeline'!$R:$R,$U27))</f>
        <v/>
      </c>
      <c r="J27" s="29" t="str">
        <f>IF($U27="","",IF(ISNUMBER(INDEX('MiT Strom Pipeline'!$S:$S,$U27)),INDEX('MiT Strom Pipeline'!$S:$S,$U27),""))</f>
        <v/>
      </c>
      <c r="K27" s="27" t="str">
        <f>IF($U27="","",IF(LEN(INDEX('MiT Strom Pipeline'!$V:$V,$U27))&gt;0,LEFT(INDEX('MiT Strom Pipeline'!$V:$V,$U27),55),""))</f>
        <v/>
      </c>
      <c r="L27" s="22" t="n"/>
      <c r="M27" s="22" t="n"/>
      <c r="N27" s="22" t="n"/>
      <c r="O27" s="22" t="n"/>
      <c r="P27" s="22" t="n"/>
      <c r="Q27" s="22" t="n"/>
      <c r="R27" s="22" t="n"/>
      <c r="S27" s="22" t="n"/>
      <c r="U27" t="str">
        <f>IFERROR(MATCH(17,'MiT Strom Pipeline'!$AB$6:$AB$860,0)+5,"")</f>
        <v/>
      </c>
    </row>
    <row r="28" ht="15.75" customHeight="1">
      <c r="A28" s="26" t="str">
        <f>IF($U28="","",IF(ISNUMBER(INDEX('MiT Strom Pipeline'!$A:$A,$U28)),INDEX('MiT Strom Pipeline'!$A:$A,$U28),""))</f>
        <v/>
      </c>
      <c r="B28" s="27" t="str">
        <f>IF($U28="","",IF(INDEX('MiT Strom Pipeline'!$B:$B,$U28)="","",INDEX('MiT Strom Pipeline'!$B:$B,$U28)))</f>
        <v/>
      </c>
      <c r="C28" s="27" t="str">
        <f>IF($U28="","",IF(INDEX('MiT Strom Pipeline'!$C:$C,$U28)="","",INDEX('MiT Strom Pipeline'!$C:$C,$U28)))</f>
        <v/>
      </c>
      <c r="D28" s="27" t="str">
        <f>IF($U28="","",IF(INDEX('MiT Strom Pipeline'!$D:$D,$U28)="","",INDEX('MiT Strom Pipeline'!$D:$D,$U28)))</f>
        <v/>
      </c>
      <c r="E28" s="27" t="str">
        <f>IF($U28="","",IF(INDEX('MiT Strom Pipeline'!$H:$H,$U28)="","",INDEX('MiT Strom Pipeline'!$H:$H,$U28)))</f>
        <v/>
      </c>
      <c r="F28" s="27" t="str">
        <f>IF($U28="","",IF(INDEX('MiT Strom Pipeline'!$E:$E,$U28)="","",INDEX('MiT Strom Pipeline'!$E:$E,$U28)))</f>
        <v/>
      </c>
      <c r="G28" s="28" t="str">
        <f>IF($U28="","",IF(ISNUMBER(INDEX('MiT Strom Pipeline'!$I:$I,$U28)),INDEX('MiT Strom Pipeline'!$I:$I,$U28),0))</f>
        <v/>
      </c>
      <c r="H28" s="28" t="str">
        <f>IF($U28="","",IF(ISNUMBER(INDEX('MiT Strom Pipeline'!$Q:$Q,$U28)),INDEX('MiT Strom Pipeline'!$Q:$Q,$U28),0))</f>
        <v/>
      </c>
      <c r="I28" s="27" t="str">
        <f>IF($U28="","",INDEX('MiT Strom Pipeline'!$R:$R,$U28))</f>
        <v/>
      </c>
      <c r="J28" s="29" t="str">
        <f>IF($U28="","",IF(ISNUMBER(INDEX('MiT Strom Pipeline'!$S:$S,$U28)),INDEX('MiT Strom Pipeline'!$S:$S,$U28),""))</f>
        <v/>
      </c>
      <c r="K28" s="27" t="str">
        <f>IF($U28="","",IF(LEN(INDEX('MiT Strom Pipeline'!$V:$V,$U28))&gt;0,LEFT(INDEX('MiT Strom Pipeline'!$V:$V,$U28),55),""))</f>
        <v/>
      </c>
      <c r="L28" s="22" t="n"/>
      <c r="M28" s="22" t="n"/>
      <c r="N28" s="22" t="n"/>
      <c r="O28" s="22" t="n"/>
      <c r="P28" s="22" t="n"/>
      <c r="Q28" s="22" t="n"/>
      <c r="R28" s="22" t="n"/>
      <c r="S28" s="22" t="n"/>
      <c r="U28" t="str">
        <f>IFERROR(MATCH(18,'MiT Strom Pipeline'!$AB$6:$AB$860,0)+5,"")</f>
        <v/>
      </c>
    </row>
    <row r="29" ht="15.75" customHeight="1">
      <c r="A29" s="26" t="str">
        <f>IF($U29="","",IF(ISNUMBER(INDEX('MiT Strom Pipeline'!$A:$A,$U29)),INDEX('MiT Strom Pipeline'!$A:$A,$U29),""))</f>
        <v/>
      </c>
      <c r="B29" s="27" t="str">
        <f>IF($U29="","",IF(INDEX('MiT Strom Pipeline'!$B:$B,$U29)="","",INDEX('MiT Strom Pipeline'!$B:$B,$U29)))</f>
        <v/>
      </c>
      <c r="C29" s="27" t="str">
        <f>IF($U29="","",IF(INDEX('MiT Strom Pipeline'!$C:$C,$U29)="","",INDEX('MiT Strom Pipeline'!$C:$C,$U29)))</f>
        <v/>
      </c>
      <c r="D29" s="27" t="str">
        <f>IF($U29="","",IF(INDEX('MiT Strom Pipeline'!$D:$D,$U29)="","",INDEX('MiT Strom Pipeline'!$D:$D,$U29)))</f>
        <v/>
      </c>
      <c r="E29" s="27" t="str">
        <f>IF($U29="","",IF(INDEX('MiT Strom Pipeline'!$H:$H,$U29)="","",INDEX('MiT Strom Pipeline'!$H:$H,$U29)))</f>
        <v/>
      </c>
      <c r="F29" s="27" t="str">
        <f>IF($U29="","",IF(INDEX('MiT Strom Pipeline'!$E:$E,$U29)="","",INDEX('MiT Strom Pipeline'!$E:$E,$U29)))</f>
        <v/>
      </c>
      <c r="G29" s="28" t="str">
        <f>IF($U29="","",IF(ISNUMBER(INDEX('MiT Strom Pipeline'!$I:$I,$U29)),INDEX('MiT Strom Pipeline'!$I:$I,$U29),0))</f>
        <v/>
      </c>
      <c r="H29" s="28" t="str">
        <f>IF($U29="","",IF(ISNUMBER(INDEX('MiT Strom Pipeline'!$Q:$Q,$U29)),INDEX('MiT Strom Pipeline'!$Q:$Q,$U29),0))</f>
        <v/>
      </c>
      <c r="I29" s="27" t="str">
        <f>IF($U29="","",INDEX('MiT Strom Pipeline'!$R:$R,$U29))</f>
        <v/>
      </c>
      <c r="J29" s="29" t="str">
        <f>IF($U29="","",IF(ISNUMBER(INDEX('MiT Strom Pipeline'!$S:$S,$U29)),INDEX('MiT Strom Pipeline'!$S:$S,$U29),""))</f>
        <v/>
      </c>
      <c r="K29" s="27" t="str">
        <f>IF($U29="","",IF(LEN(INDEX('MiT Strom Pipeline'!$V:$V,$U29))&gt;0,LEFT(INDEX('MiT Strom Pipeline'!$V:$V,$U29),55),""))</f>
        <v/>
      </c>
      <c r="L29" s="22" t="n"/>
      <c r="M29" s="22" t="n"/>
      <c r="N29" s="22" t="n"/>
      <c r="O29" s="22" t="n"/>
      <c r="P29" s="22" t="n"/>
      <c r="Q29" s="22" t="n"/>
      <c r="R29" s="22" t="n"/>
      <c r="S29" s="22" t="n"/>
      <c r="U29" t="str">
        <f>IFERROR(MATCH(19,'MiT Strom Pipeline'!$AB$6:$AB$860,0)+5,"")</f>
        <v/>
      </c>
    </row>
    <row r="30" ht="15.75" customHeight="1">
      <c r="A30" s="26" t="str">
        <f>IF($U30="","",IF(ISNUMBER(INDEX('MiT Strom Pipeline'!$A:$A,$U30)),INDEX('MiT Strom Pipeline'!$A:$A,$U30),""))</f>
        <v/>
      </c>
      <c r="B30" s="27" t="str">
        <f>IF($U30="","",IF(INDEX('MiT Strom Pipeline'!$B:$B,$U30)="","",INDEX('MiT Strom Pipeline'!$B:$B,$U30)))</f>
        <v/>
      </c>
      <c r="C30" s="27" t="str">
        <f>IF($U30="","",IF(INDEX('MiT Strom Pipeline'!$C:$C,$U30)="","",INDEX('MiT Strom Pipeline'!$C:$C,$U30)))</f>
        <v/>
      </c>
      <c r="D30" s="27" t="str">
        <f>IF($U30="","",IF(INDEX('MiT Strom Pipeline'!$D:$D,$U30)="","",INDEX('MiT Strom Pipeline'!$D:$D,$U30)))</f>
        <v/>
      </c>
      <c r="E30" s="27" t="str">
        <f>IF($U30="","",IF(INDEX('MiT Strom Pipeline'!$H:$H,$U30)="","",INDEX('MiT Strom Pipeline'!$H:$H,$U30)))</f>
        <v/>
      </c>
      <c r="F30" s="27" t="str">
        <f>IF($U30="","",IF(INDEX('MiT Strom Pipeline'!$E:$E,$U30)="","",INDEX('MiT Strom Pipeline'!$E:$E,$U30)))</f>
        <v/>
      </c>
      <c r="G30" s="28" t="str">
        <f>IF($U30="","",IF(ISNUMBER(INDEX('MiT Strom Pipeline'!$I:$I,$U30)),INDEX('MiT Strom Pipeline'!$I:$I,$U30),0))</f>
        <v/>
      </c>
      <c r="H30" s="28" t="str">
        <f>IF($U30="","",IF(ISNUMBER(INDEX('MiT Strom Pipeline'!$Q:$Q,$U30)),INDEX('MiT Strom Pipeline'!$Q:$Q,$U30),0))</f>
        <v/>
      </c>
      <c r="I30" s="27" t="str">
        <f>IF($U30="","",INDEX('MiT Strom Pipeline'!$R:$R,$U30))</f>
        <v/>
      </c>
      <c r="J30" s="29" t="str">
        <f>IF($U30="","",IF(ISNUMBER(INDEX('MiT Strom Pipeline'!$S:$S,$U30)),INDEX('MiT Strom Pipeline'!$S:$S,$U30),""))</f>
        <v/>
      </c>
      <c r="K30" s="27" t="str">
        <f>IF($U30="","",IF(LEN(INDEX('MiT Strom Pipeline'!$V:$V,$U30))&gt;0,LEFT(INDEX('MiT Strom Pipeline'!$V:$V,$U30),55),""))</f>
        <v/>
      </c>
      <c r="L30" s="22" t="n"/>
      <c r="M30" s="22" t="n"/>
      <c r="N30" s="22" t="n"/>
      <c r="O30" s="22" t="n"/>
      <c r="P30" s="22" t="n"/>
      <c r="Q30" s="22" t="n"/>
      <c r="R30" s="22" t="n"/>
      <c r="S30" s="22" t="n"/>
      <c r="U30" t="str">
        <f>IFERROR(MATCH(20,'MiT Strom Pipeline'!$AB$6:$AB$860,0)+5,"")</f>
        <v/>
      </c>
    </row>
    <row r="31" ht="15.75" customHeight="1">
      <c r="A31" s="26" t="str">
        <f>IF($U31="","",IF(ISNUMBER(INDEX('MiT Strom Pipeline'!$A:$A,$U31)),INDEX('MiT Strom Pipeline'!$A:$A,$U31),""))</f>
        <v/>
      </c>
      <c r="B31" s="27" t="str">
        <f>IF($U31="","",IF(INDEX('MiT Strom Pipeline'!$B:$B,$U31)="","",INDEX('MiT Strom Pipeline'!$B:$B,$U31)))</f>
        <v/>
      </c>
      <c r="C31" s="27" t="str">
        <f>IF($U31="","",IF(INDEX('MiT Strom Pipeline'!$C:$C,$U31)="","",INDEX('MiT Strom Pipeline'!$C:$C,$U31)))</f>
        <v/>
      </c>
      <c r="D31" s="27" t="str">
        <f>IF($U31="","",IF(INDEX('MiT Strom Pipeline'!$D:$D,$U31)="","",INDEX('MiT Strom Pipeline'!$D:$D,$U31)))</f>
        <v/>
      </c>
      <c r="E31" s="27" t="str">
        <f>IF($U31="","",IF(INDEX('MiT Strom Pipeline'!$H:$H,$U31)="","",INDEX('MiT Strom Pipeline'!$H:$H,$U31)))</f>
        <v/>
      </c>
      <c r="F31" s="27" t="str">
        <f>IF($U31="","",IF(INDEX('MiT Strom Pipeline'!$E:$E,$U31)="","",INDEX('MiT Strom Pipeline'!$E:$E,$U31)))</f>
        <v/>
      </c>
      <c r="G31" s="28" t="str">
        <f>IF($U31="","",IF(ISNUMBER(INDEX('MiT Strom Pipeline'!$I:$I,$U31)),INDEX('MiT Strom Pipeline'!$I:$I,$U31),0))</f>
        <v/>
      </c>
      <c r="H31" s="28" t="str">
        <f>IF($U31="","",IF(ISNUMBER(INDEX('MiT Strom Pipeline'!$Q:$Q,$U31)),INDEX('MiT Strom Pipeline'!$Q:$Q,$U31),0))</f>
        <v/>
      </c>
      <c r="I31" s="27" t="str">
        <f>IF($U31="","",INDEX('MiT Strom Pipeline'!$R:$R,$U31))</f>
        <v/>
      </c>
      <c r="J31" s="29" t="str">
        <f>IF($U31="","",IF(ISNUMBER(INDEX('MiT Strom Pipeline'!$S:$S,$U31)),INDEX('MiT Strom Pipeline'!$S:$S,$U31),""))</f>
        <v/>
      </c>
      <c r="K31" s="27" t="str">
        <f>IF($U31="","",IF(LEN(INDEX('MiT Strom Pipeline'!$V:$V,$U31))&gt;0,LEFT(INDEX('MiT Strom Pipeline'!$V:$V,$U31),55),""))</f>
        <v/>
      </c>
      <c r="L31" s="22" t="n"/>
      <c r="M31" s="22" t="n"/>
      <c r="N31" s="22" t="n"/>
      <c r="O31" s="22" t="n"/>
      <c r="P31" s="22" t="n"/>
      <c r="Q31" s="22" t="n"/>
      <c r="R31" s="22" t="n"/>
      <c r="S31" s="22" t="n"/>
      <c r="U31" t="str">
        <f>IFERROR(MATCH(21,'MiT Strom Pipeline'!$AB$6:$AB$860,0)+5,"")</f>
        <v/>
      </c>
    </row>
    <row r="32" ht="23.25" customHeight="1">
      <c r="A32" s="26" t="str">
        <f>IF($U32="","",IF(ISNUMBER(INDEX('MiT Strom Pipeline'!$A:$A,$U32)),INDEX('MiT Strom Pipeline'!$A:$A,$U32),""))</f>
        <v/>
      </c>
      <c r="B32" s="27" t="str">
        <f>IF($U32="","",IF(INDEX('MiT Strom Pipeline'!$B:$B,$U32)="","",INDEX('MiT Strom Pipeline'!$B:$B,$U32)))</f>
        <v/>
      </c>
      <c r="C32" s="27" t="str">
        <f>IF($U32="","",IF(INDEX('MiT Strom Pipeline'!$C:$C,$U32)="","",INDEX('MiT Strom Pipeline'!$C:$C,$U32)))</f>
        <v/>
      </c>
      <c r="D32" s="27" t="str">
        <f>IF($U32="","",IF(INDEX('MiT Strom Pipeline'!$D:$D,$U32)="","",INDEX('MiT Strom Pipeline'!$D:$D,$U32)))</f>
        <v/>
      </c>
      <c r="E32" s="191" t="str">
        <f>IF($U32="","",IF(INDEX('MiT Strom Pipeline'!$H:$H,$U32)="","",INDEX('MiT Strom Pipeline'!$H:$H,$U32)))</f>
        <v/>
      </c>
      <c r="F32" s="27" t="str">
        <f>IF($U32="","",IF(INDEX('MiT Strom Pipeline'!$E:$E,$U32)="","",INDEX('MiT Strom Pipeline'!$E:$E,$U32)))</f>
        <v/>
      </c>
      <c r="G32" s="28" t="str">
        <f>IF($U32="","",IF(ISNUMBER(INDEX('MiT Strom Pipeline'!$I:$I,$U32)),INDEX('MiT Strom Pipeline'!$I:$I,$U32),0))</f>
        <v/>
      </c>
      <c r="H32" s="28" t="str">
        <f>IF($U32="","",IF(ISNUMBER(INDEX('MiT Strom Pipeline'!$Q:$Q,$U32)),INDEX('MiT Strom Pipeline'!$Q:$Q,$U32),0))</f>
        <v/>
      </c>
      <c r="I32" s="27" t="str">
        <f>IF($U32="","",INDEX('MiT Strom Pipeline'!$R:$R,$U32))</f>
        <v/>
      </c>
      <c r="J32" s="29" t="str">
        <f>IF($U32="","",IF(ISNUMBER(INDEX('MiT Strom Pipeline'!$S:$S,$U32)),INDEX('MiT Strom Pipeline'!$S:$S,$U32),""))</f>
        <v/>
      </c>
      <c r="K32" s="31" t="str">
        <f>IF($U32="","",IF(LEN(INDEX('MiT Strom Pipeline'!$V:$V,$U32))&gt;0,LEFT(INDEX('MiT Strom Pipeline'!$V:$V,$U32),55),""))</f>
        <v/>
      </c>
      <c r="L32" s="22" t="n"/>
      <c r="M32" s="22" t="n"/>
      <c r="N32" s="22" t="n"/>
      <c r="O32" s="22" t="n"/>
      <c r="P32" s="22" t="n"/>
      <c r="Q32" s="22" t="n"/>
      <c r="R32" s="22" t="n"/>
      <c r="S32" s="22" t="n"/>
      <c r="U32" t="str">
        <f>IFERROR(MATCH(22,'MiT Strom Pipeline'!$AB$6:$AB$860,0)+5,"")</f>
        <v/>
      </c>
    </row>
    <row r="33" ht="15.75" customHeight="1">
      <c r="A33" s="26" t="str">
        <f>IF($U33="","",IF(ISNUMBER(INDEX('MiT Strom Pipeline'!$A:$A,$U33)),INDEX('MiT Strom Pipeline'!$A:$A,$U33),""))</f>
        <v/>
      </c>
      <c r="B33" s="27" t="str">
        <f>IF($U33="","",IF(INDEX('MiT Strom Pipeline'!$B:$B,$U33)="","",INDEX('MiT Strom Pipeline'!$B:$B,$U33)))</f>
        <v/>
      </c>
      <c r="C33" s="27" t="str">
        <f>IF($U33="","",IF(INDEX('MiT Strom Pipeline'!$C:$C,$U33)="","",INDEX('MiT Strom Pipeline'!$C:$C,$U33)))</f>
        <v/>
      </c>
      <c r="D33" s="27" t="str">
        <f>IF($U33="","",IF(INDEX('MiT Strom Pipeline'!$D:$D,$U33)="","",INDEX('MiT Strom Pipeline'!$D:$D,$U33)))</f>
        <v/>
      </c>
      <c r="E33" s="27" t="str">
        <f>IF($U33="","",IF(INDEX('MiT Strom Pipeline'!$H:$H,$U33)="","",INDEX('MiT Strom Pipeline'!$H:$H,$U33)))</f>
        <v/>
      </c>
      <c r="F33" s="27" t="str">
        <f>IF($U33="","",IF(INDEX('MiT Strom Pipeline'!$E:$E,$U33)="","",INDEX('MiT Strom Pipeline'!$E:$E,$U33)))</f>
        <v/>
      </c>
      <c r="G33" s="28" t="str">
        <f>IF($U33="","",IF(ISNUMBER(INDEX('MiT Strom Pipeline'!$I:$I,$U33)),INDEX('MiT Strom Pipeline'!$I:$I,$U33),0))</f>
        <v/>
      </c>
      <c r="H33" s="28" t="str">
        <f>IF($U33="","",IF(ISNUMBER(INDEX('MiT Strom Pipeline'!$Q:$Q,$U33)),INDEX('MiT Strom Pipeline'!$Q:$Q,$U33),0))</f>
        <v/>
      </c>
      <c r="I33" s="27" t="str">
        <f>IF($U33="","",INDEX('MiT Strom Pipeline'!$R:$R,$U33))</f>
        <v/>
      </c>
      <c r="J33" s="29" t="str">
        <f>IF($U33="","",IF(ISNUMBER(INDEX('MiT Strom Pipeline'!$S:$S,$U33)),INDEX('MiT Strom Pipeline'!$S:$S,$U33),""))</f>
        <v/>
      </c>
      <c r="K33" s="27" t="str">
        <f>IF($U33="","",IF(LEN(INDEX('MiT Strom Pipeline'!$V:$V,$U33))&gt;0,LEFT(INDEX('MiT Strom Pipeline'!$V:$V,$U33),55),""))</f>
        <v/>
      </c>
      <c r="L33" s="22" t="n"/>
      <c r="M33" s="22" t="n"/>
      <c r="N33" s="22" t="n"/>
      <c r="O33" s="22" t="n"/>
      <c r="P33" s="22" t="n"/>
      <c r="Q33" s="22" t="n"/>
      <c r="R33" s="22" t="n"/>
      <c r="S33" s="22" t="n"/>
      <c r="U33" t="str">
        <f>IFERROR(MATCH(23,'MiT Strom Pipeline'!$AB$6:$AB$860,0)+5,"")</f>
        <v/>
      </c>
    </row>
    <row r="34" ht="15.75" customHeight="1">
      <c r="A34" s="26" t="str">
        <f>IF($U34="","",IF(ISNUMBER(INDEX('MiT Strom Pipeline'!$A:$A,$U34)),INDEX('MiT Strom Pipeline'!$A:$A,$U34),""))</f>
        <v/>
      </c>
      <c r="B34" s="27" t="str">
        <f>IF($U34="","",IF(INDEX('MiT Strom Pipeline'!$B:$B,$U34)="","",INDEX('MiT Strom Pipeline'!$B:$B,$U34)))</f>
        <v/>
      </c>
      <c r="C34" s="27" t="str">
        <f>IF($U34="","",IF(INDEX('MiT Strom Pipeline'!$C:$C,$U34)="","",INDEX('MiT Strom Pipeline'!$C:$C,$U34)))</f>
        <v/>
      </c>
      <c r="D34" s="27" t="str">
        <f>IF($U34="","",IF(INDEX('MiT Strom Pipeline'!$D:$D,$U34)="","",INDEX('MiT Strom Pipeline'!$D:$D,$U34)))</f>
        <v/>
      </c>
      <c r="E34" s="27" t="str">
        <f>IF($U34="","",IF(INDEX('MiT Strom Pipeline'!$H:$H,$U34)="","",INDEX('MiT Strom Pipeline'!$H:$H,$U34)))</f>
        <v/>
      </c>
      <c r="F34" s="27" t="str">
        <f>IF($U34="","",IF(INDEX('MiT Strom Pipeline'!$E:$E,$U34)="","",INDEX('MiT Strom Pipeline'!$E:$E,$U34)))</f>
        <v/>
      </c>
      <c r="G34" s="28" t="str">
        <f>IF($U34="","",IF(ISNUMBER(INDEX('MiT Strom Pipeline'!$I:$I,$U34)),INDEX('MiT Strom Pipeline'!$I:$I,$U34),0))</f>
        <v/>
      </c>
      <c r="H34" s="28" t="str">
        <f>IF($U34="","",IF(ISNUMBER(INDEX('MiT Strom Pipeline'!$Q:$Q,$U34)),INDEX('MiT Strom Pipeline'!$Q:$Q,$U34),0))</f>
        <v/>
      </c>
      <c r="I34" s="27" t="str">
        <f>IF($U34="","",INDEX('MiT Strom Pipeline'!$R:$R,$U34))</f>
        <v/>
      </c>
      <c r="J34" s="29" t="str">
        <f>IF($U34="","",IF(ISNUMBER(INDEX('MiT Strom Pipeline'!$S:$S,$U34)),INDEX('MiT Strom Pipeline'!$S:$S,$U34),""))</f>
        <v/>
      </c>
      <c r="K34" s="27" t="str">
        <f>IF($U34="","",IF(LEN(INDEX('MiT Strom Pipeline'!$V:$V,$U34))&gt;0,LEFT(INDEX('MiT Strom Pipeline'!$V:$V,$U34),55),""))</f>
        <v/>
      </c>
      <c r="L34" s="22" t="n"/>
      <c r="M34" s="22" t="n"/>
      <c r="N34" s="22" t="n"/>
      <c r="O34" s="22" t="n"/>
      <c r="P34" s="22" t="n"/>
      <c r="Q34" s="22" t="n"/>
      <c r="R34" s="22" t="n"/>
      <c r="S34" s="22" t="n"/>
      <c r="U34" t="str">
        <f>IFERROR(MATCH(24,'MiT Strom Pipeline'!$AB$6:$AB$860,0)+5,"")</f>
        <v/>
      </c>
    </row>
    <row r="35" ht="15.75" customHeight="1">
      <c r="A35" s="26" t="str">
        <f>IF($U35="","",IF(ISNUMBER(INDEX('MiT Strom Pipeline'!$A:$A,$U35)),INDEX('MiT Strom Pipeline'!$A:$A,$U35),""))</f>
        <v/>
      </c>
      <c r="B35" s="27" t="str">
        <f>IF($U35="","",IF(INDEX('MiT Strom Pipeline'!$B:$B,$U35)="","",INDEX('MiT Strom Pipeline'!$B:$B,$U35)))</f>
        <v/>
      </c>
      <c r="C35" s="27" t="str">
        <f>IF($U35="","",IF(INDEX('MiT Strom Pipeline'!$C:$C,$U35)="","",INDEX('MiT Strom Pipeline'!$C:$C,$U35)))</f>
        <v/>
      </c>
      <c r="D35" s="27" t="str">
        <f>IF($U35="","",IF(INDEX('MiT Strom Pipeline'!$D:$D,$U35)="","",INDEX('MiT Strom Pipeline'!$D:$D,$U35)))</f>
        <v/>
      </c>
      <c r="E35" s="27" t="str">
        <f>IF($U35="","",IF(INDEX('MiT Strom Pipeline'!$H:$H,$U35)="","",INDEX('MiT Strom Pipeline'!$H:$H,$U35)))</f>
        <v/>
      </c>
      <c r="F35" s="27" t="str">
        <f>IF($U35="","",IF(INDEX('MiT Strom Pipeline'!$E:$E,$U35)="","",INDEX('MiT Strom Pipeline'!$E:$E,$U35)))</f>
        <v/>
      </c>
      <c r="G35" s="28" t="str">
        <f>IF($U35="","",IF(ISNUMBER(INDEX('MiT Strom Pipeline'!$I:$I,$U35)),INDEX('MiT Strom Pipeline'!$I:$I,$U35),0))</f>
        <v/>
      </c>
      <c r="H35" s="28" t="str">
        <f>IF($U35="","",IF(ISNUMBER(INDEX('MiT Strom Pipeline'!$Q:$Q,$U35)),INDEX('MiT Strom Pipeline'!$Q:$Q,$U35),0))</f>
        <v/>
      </c>
      <c r="I35" s="27" t="str">
        <f>IF($U35="","",INDEX('MiT Strom Pipeline'!$R:$R,$U35))</f>
        <v/>
      </c>
      <c r="J35" s="29" t="str">
        <f>IF($U35="","",IF(ISNUMBER(INDEX('MiT Strom Pipeline'!$S:$S,$U35)),INDEX('MiT Strom Pipeline'!$S:$S,$U35),""))</f>
        <v/>
      </c>
      <c r="K35" s="27" t="str">
        <f>IF($U35="","",IF(LEN(INDEX('MiT Strom Pipeline'!$V:$V,$U35))&gt;0,LEFT(INDEX('MiT Strom Pipeline'!$V:$V,$U35),55),""))</f>
        <v/>
      </c>
      <c r="L35" s="22" t="n"/>
      <c r="M35" s="22" t="n"/>
      <c r="N35" s="22" t="n"/>
      <c r="O35" s="22" t="n"/>
      <c r="P35" s="22" t="n"/>
      <c r="Q35" s="22" t="n"/>
      <c r="R35" s="22" t="n"/>
      <c r="S35" s="22" t="n"/>
      <c r="U35" t="str">
        <f>IFERROR(MATCH(25,'MiT Strom Pipeline'!$AB$6:$AB$860,0)+5,"")</f>
        <v/>
      </c>
    </row>
    <row r="36" ht="15.75" customHeight="1">
      <c r="A36" s="26" t="str">
        <f>IF($U36="","",IF(ISNUMBER(INDEX('MiT Strom Pipeline'!$A:$A,$U36)),INDEX('MiT Strom Pipeline'!$A:$A,$U36),""))</f>
        <v/>
      </c>
      <c r="B36" s="27" t="str">
        <f>IF($U36="","",IF(INDEX('MiT Strom Pipeline'!$B:$B,$U36)="","",INDEX('MiT Strom Pipeline'!$B:$B,$U36)))</f>
        <v/>
      </c>
      <c r="C36" s="27" t="str">
        <f>IF($U36="","",IF(INDEX('MiT Strom Pipeline'!$C:$C,$U36)="","",INDEX('MiT Strom Pipeline'!$C:$C,$U36)))</f>
        <v/>
      </c>
      <c r="D36" s="27" t="str">
        <f>IF($U36="","",IF(INDEX('MiT Strom Pipeline'!$D:$D,$U36)="","",INDEX('MiT Strom Pipeline'!$D:$D,$U36)))</f>
        <v/>
      </c>
      <c r="E36" s="27" t="str">
        <f>IF($U36="","",IF(INDEX('MiT Strom Pipeline'!$H:$H,$U36)="","",INDEX('MiT Strom Pipeline'!$H:$H,$U36)))</f>
        <v/>
      </c>
      <c r="F36" s="27" t="str">
        <f>IF($U36="","",IF(INDEX('MiT Strom Pipeline'!$E:$E,$U36)="","",INDEX('MiT Strom Pipeline'!$E:$E,$U36)))</f>
        <v/>
      </c>
      <c r="G36" s="28" t="str">
        <f>IF($U36="","",IF(ISNUMBER(INDEX('MiT Strom Pipeline'!$I:$I,$U36)),INDEX('MiT Strom Pipeline'!$I:$I,$U36),0))</f>
        <v/>
      </c>
      <c r="H36" s="28" t="str">
        <f>IF($U36="","",IF(ISNUMBER(INDEX('MiT Strom Pipeline'!$Q:$Q,$U36)),INDEX('MiT Strom Pipeline'!$Q:$Q,$U36),0))</f>
        <v/>
      </c>
      <c r="I36" s="27" t="str">
        <f>IF($U36="","",INDEX('MiT Strom Pipeline'!$R:$R,$U36))</f>
        <v/>
      </c>
      <c r="J36" s="29" t="str">
        <f>IF($U36="","",IF(ISNUMBER(INDEX('MiT Strom Pipeline'!$S:$S,$U36)),INDEX('MiT Strom Pipeline'!$S:$S,$U36),""))</f>
        <v/>
      </c>
      <c r="K36" s="27" t="str">
        <f>IF($U36="","",IF(LEN(INDEX('MiT Strom Pipeline'!$V:$V,$U36))&gt;0,LEFT(INDEX('MiT Strom Pipeline'!$V:$V,$U36),55),""))</f>
        <v/>
      </c>
      <c r="L36" s="22" t="n"/>
      <c r="M36" s="22" t="n"/>
      <c r="N36" s="22" t="n"/>
      <c r="O36" s="22" t="n"/>
      <c r="P36" s="22" t="n"/>
      <c r="Q36" s="22" t="n"/>
      <c r="R36" s="22" t="n"/>
      <c r="S36" s="22" t="n"/>
      <c r="U36" t="str">
        <f>IFERROR(MATCH(26,'MiT Strom Pipeline'!$AB$6:$AB$860,0)+5,"")</f>
        <v/>
      </c>
    </row>
    <row r="37" ht="15.75" customHeight="1">
      <c r="A37" s="26" t="str">
        <f>IF($U37="","",IF(ISNUMBER(INDEX('MiT Strom Pipeline'!$A:$A,$U37)),INDEX('MiT Strom Pipeline'!$A:$A,$U37),""))</f>
        <v/>
      </c>
      <c r="B37" s="27" t="str">
        <f>IF($U37="","",IF(INDEX('MiT Strom Pipeline'!$B:$B,$U37)="","",INDEX('MiT Strom Pipeline'!$B:$B,$U37)))</f>
        <v/>
      </c>
      <c r="C37" s="27" t="str">
        <f>IF($U37="","",IF(INDEX('MiT Strom Pipeline'!$C:$C,$U37)="","",INDEX('MiT Strom Pipeline'!$C:$C,$U37)))</f>
        <v/>
      </c>
      <c r="D37" s="27" t="str">
        <f>IF($U37="","",IF(INDEX('MiT Strom Pipeline'!$D:$D,$U37)="","",INDEX('MiT Strom Pipeline'!$D:$D,$U37)))</f>
        <v/>
      </c>
      <c r="E37" s="27" t="str">
        <f>IF($U37="","",IF(INDEX('MiT Strom Pipeline'!$H:$H,$U37)="","",INDEX('MiT Strom Pipeline'!$H:$H,$U37)))</f>
        <v/>
      </c>
      <c r="F37" s="27" t="str">
        <f>IF($U37="","",IF(INDEX('MiT Strom Pipeline'!$E:$E,$U37)="","",INDEX('MiT Strom Pipeline'!$E:$E,$U37)))</f>
        <v/>
      </c>
      <c r="G37" s="28" t="str">
        <f>IF($U37="","",IF(ISNUMBER(INDEX('MiT Strom Pipeline'!$I:$I,$U37)),INDEX('MiT Strom Pipeline'!$I:$I,$U37),0))</f>
        <v/>
      </c>
      <c r="H37" s="28" t="str">
        <f>IF($U37="","",IF(ISNUMBER(INDEX('MiT Strom Pipeline'!$Q:$Q,$U37)),INDEX('MiT Strom Pipeline'!$Q:$Q,$U37),0))</f>
        <v/>
      </c>
      <c r="I37" s="27" t="str">
        <f>IF($U37="","",INDEX('MiT Strom Pipeline'!$R:$R,$U37))</f>
        <v/>
      </c>
      <c r="J37" s="29" t="str">
        <f>IF($U37="","",IF(ISNUMBER(INDEX('MiT Strom Pipeline'!$S:$S,$U37)),INDEX('MiT Strom Pipeline'!$S:$S,$U37),""))</f>
        <v/>
      </c>
      <c r="K37" s="27" t="str">
        <f>IF($U37="","",IF(LEN(INDEX('MiT Strom Pipeline'!$V:$V,$U37))&gt;0,LEFT(INDEX('MiT Strom Pipeline'!$V:$V,$U37),55),""))</f>
        <v/>
      </c>
      <c r="L37" s="22" t="n"/>
      <c r="M37" s="22" t="n"/>
      <c r="N37" s="22" t="n"/>
      <c r="O37" s="22" t="n"/>
      <c r="P37" s="22" t="n"/>
      <c r="Q37" s="22" t="n"/>
      <c r="R37" s="22" t="n"/>
      <c r="S37" s="22" t="n"/>
      <c r="U37" t="str">
        <f>IFERROR(MATCH(27,'MiT Strom Pipeline'!$AB$6:$AB$860,0)+5,"")</f>
        <v/>
      </c>
    </row>
    <row r="38" ht="15.75" customHeight="1">
      <c r="A38" s="26" t="str">
        <f>IF($U38="","",IF(ISNUMBER(INDEX('MiT Strom Pipeline'!$A:$A,$U38)),INDEX('MiT Strom Pipeline'!$A:$A,$U38),""))</f>
        <v/>
      </c>
      <c r="B38" s="27" t="str">
        <f>IF($U38="","",IF(INDEX('MiT Strom Pipeline'!$B:$B,$U38)="","",INDEX('MiT Strom Pipeline'!$B:$B,$U38)))</f>
        <v/>
      </c>
      <c r="C38" s="27" t="str">
        <f>IF($U38="","",IF(INDEX('MiT Strom Pipeline'!$C:$C,$U38)="","",INDEX('MiT Strom Pipeline'!$C:$C,$U38)))</f>
        <v/>
      </c>
      <c r="D38" s="27" t="str">
        <f>IF($U38="","",IF(INDEX('MiT Strom Pipeline'!$D:$D,$U38)="","",INDEX('MiT Strom Pipeline'!$D:$D,$U38)))</f>
        <v/>
      </c>
      <c r="E38" s="27" t="str">
        <f>IF($U38="","",IF(INDEX('MiT Strom Pipeline'!$H:$H,$U38)="","",INDEX('MiT Strom Pipeline'!$H:$H,$U38)))</f>
        <v/>
      </c>
      <c r="F38" s="27" t="str">
        <f>IF($U38="","",IF(INDEX('MiT Strom Pipeline'!$E:$E,$U38)="","",INDEX('MiT Strom Pipeline'!$E:$E,$U38)))</f>
        <v/>
      </c>
      <c r="G38" s="28" t="str">
        <f>IF($U38="","",IF(ISNUMBER(INDEX('MiT Strom Pipeline'!$I:$I,$U38)),INDEX('MiT Strom Pipeline'!$I:$I,$U38),0))</f>
        <v/>
      </c>
      <c r="H38" s="28" t="str">
        <f>IF($U38="","",IF(ISNUMBER(INDEX('MiT Strom Pipeline'!$Q:$Q,$U38)),INDEX('MiT Strom Pipeline'!$Q:$Q,$U38),0))</f>
        <v/>
      </c>
      <c r="I38" s="27" t="str">
        <f>IF($U38="","",INDEX('MiT Strom Pipeline'!$R:$R,$U38))</f>
        <v/>
      </c>
      <c r="J38" s="29" t="str">
        <f>IF($U38="","",IF(ISNUMBER(INDEX('MiT Strom Pipeline'!$S:$S,$U38)),INDEX('MiT Strom Pipeline'!$S:$S,$U38),""))</f>
        <v/>
      </c>
      <c r="K38" s="27" t="str">
        <f>IF($U38="","",IF(LEN(INDEX('MiT Strom Pipeline'!$V:$V,$U38))&gt;0,LEFT(INDEX('MiT Strom Pipeline'!$V:$V,$U38),55),""))</f>
        <v/>
      </c>
      <c r="L38" s="22" t="n"/>
      <c r="M38" s="22" t="n"/>
      <c r="N38" s="22" t="n"/>
      <c r="O38" s="22" t="n"/>
      <c r="P38" s="22" t="n"/>
      <c r="Q38" s="22" t="n"/>
      <c r="R38" s="22" t="n"/>
      <c r="S38" s="22" t="n"/>
      <c r="U38" t="str">
        <f>IFERROR(MATCH(28,'MiT Strom Pipeline'!$AB$6:$AB$860,0)+5,"")</f>
        <v/>
      </c>
    </row>
    <row r="39" ht="15.75" customHeight="1">
      <c r="A39" s="26" t="str">
        <f>IF($U39="","",IF(ISNUMBER(INDEX('MiT Strom Pipeline'!$A:$A,$U39)),INDEX('MiT Strom Pipeline'!$A:$A,$U39),""))</f>
        <v/>
      </c>
      <c r="B39" s="27" t="str">
        <f>IF($U39="","",IF(INDEX('MiT Strom Pipeline'!$B:$B,$U39)="","",INDEX('MiT Strom Pipeline'!$B:$B,$U39)))</f>
        <v/>
      </c>
      <c r="C39" s="27" t="str">
        <f>IF($U39="","",IF(INDEX('MiT Strom Pipeline'!$C:$C,$U39)="","",INDEX('MiT Strom Pipeline'!$C:$C,$U39)))</f>
        <v/>
      </c>
      <c r="D39" s="27" t="str">
        <f>IF($U39="","",IF(INDEX('MiT Strom Pipeline'!$D:$D,$U39)="","",INDEX('MiT Strom Pipeline'!$D:$D,$U39)))</f>
        <v/>
      </c>
      <c r="E39" s="27" t="str">
        <f>IF($U39="","",IF(INDEX('MiT Strom Pipeline'!$H:$H,$U39)="","",INDEX('MiT Strom Pipeline'!$H:$H,$U39)))</f>
        <v/>
      </c>
      <c r="F39" s="27" t="str">
        <f>IF($U39="","",IF(INDEX('MiT Strom Pipeline'!$E:$E,$U39)="","",INDEX('MiT Strom Pipeline'!$E:$E,$U39)))</f>
        <v/>
      </c>
      <c r="G39" s="28" t="str">
        <f>IF($U39="","",IF(ISNUMBER(INDEX('MiT Strom Pipeline'!$I:$I,$U39)),INDEX('MiT Strom Pipeline'!$I:$I,$U39),0))</f>
        <v/>
      </c>
      <c r="H39" s="28" t="str">
        <f>IF($U39="","",IF(ISNUMBER(INDEX('MiT Strom Pipeline'!$Q:$Q,$U39)),INDEX('MiT Strom Pipeline'!$Q:$Q,$U39),0))</f>
        <v/>
      </c>
      <c r="I39" s="27" t="str">
        <f>IF($U39="","",INDEX('MiT Strom Pipeline'!$R:$R,$U39))</f>
        <v/>
      </c>
      <c r="J39" s="29" t="str">
        <f>IF($U39="","",IF(ISNUMBER(INDEX('MiT Strom Pipeline'!$S:$S,$U39)),INDEX('MiT Strom Pipeline'!$S:$S,$U39),""))</f>
        <v/>
      </c>
      <c r="K39" s="27" t="str">
        <f>IF($U39="","",IF(LEN(INDEX('MiT Strom Pipeline'!$V:$V,$U39))&gt;0,LEFT(INDEX('MiT Strom Pipeline'!$V:$V,$U39),55),""))</f>
        <v/>
      </c>
      <c r="L39" s="22" t="n"/>
      <c r="M39" s="22" t="n"/>
      <c r="N39" s="22" t="n"/>
      <c r="O39" s="22" t="n"/>
      <c r="P39" s="22" t="n"/>
      <c r="Q39" s="22" t="n"/>
      <c r="R39" s="22" t="n"/>
      <c r="S39" s="22" t="n"/>
      <c r="U39" t="str">
        <f>IFERROR(MATCH(29,'MiT Strom Pipeline'!$AB$6:$AB$860,0)+5,"")</f>
        <v/>
      </c>
    </row>
    <row r="40" ht="15.75" customHeight="1">
      <c r="A40" s="26" t="str">
        <f>IF($U40="","",IF(ISNUMBER(INDEX('MiT Strom Pipeline'!$A:$A,$U40)),INDEX('MiT Strom Pipeline'!$A:$A,$U40),""))</f>
        <v/>
      </c>
      <c r="B40" s="27" t="str">
        <f>IF($U40="","",IF(INDEX('MiT Strom Pipeline'!$B:$B,$U40)="","",INDEX('MiT Strom Pipeline'!$B:$B,$U40)))</f>
        <v/>
      </c>
      <c r="C40" s="27" t="str">
        <f>IF($U40="","",IF(INDEX('MiT Strom Pipeline'!$C:$C,$U40)="","",INDEX('MiT Strom Pipeline'!$C:$C,$U40)))</f>
        <v/>
      </c>
      <c r="D40" s="27" t="str">
        <f>IF($U40="","",IF(INDEX('MiT Strom Pipeline'!$D:$D,$U40)="","",INDEX('MiT Strom Pipeline'!$D:$D,$U40)))</f>
        <v/>
      </c>
      <c r="E40" s="27" t="str">
        <f>IF($U40="","",IF(INDEX('MiT Strom Pipeline'!$H:$H,$U40)="","",INDEX('MiT Strom Pipeline'!$H:$H,$U40)))</f>
        <v/>
      </c>
      <c r="F40" s="27" t="str">
        <f>IF($U40="","",IF(INDEX('MiT Strom Pipeline'!$E:$E,$U40)="","",INDEX('MiT Strom Pipeline'!$E:$E,$U40)))</f>
        <v/>
      </c>
      <c r="G40" s="28" t="str">
        <f>IF($U40="","",IF(ISNUMBER(INDEX('MiT Strom Pipeline'!$I:$I,$U40)),INDEX('MiT Strom Pipeline'!$I:$I,$U40),0))</f>
        <v/>
      </c>
      <c r="H40" s="28" t="str">
        <f>IF($U40="","",IF(ISNUMBER(INDEX('MiT Strom Pipeline'!$Q:$Q,$U40)),INDEX('MiT Strom Pipeline'!$Q:$Q,$U40),0))</f>
        <v/>
      </c>
      <c r="I40" s="27" t="str">
        <f>IF($U40="","",INDEX('MiT Strom Pipeline'!$R:$R,$U40))</f>
        <v/>
      </c>
      <c r="J40" s="29" t="str">
        <f>IF($U40="","",IF(ISNUMBER(INDEX('MiT Strom Pipeline'!$S:$S,$U40)),INDEX('MiT Strom Pipeline'!$S:$S,$U40),""))</f>
        <v/>
      </c>
      <c r="K40" s="27" t="str">
        <f>IF($U40="","",IF(LEN(INDEX('MiT Strom Pipeline'!$V:$V,$U40))&gt;0,LEFT(INDEX('MiT Strom Pipeline'!$V:$V,$U40),55),""))</f>
        <v/>
      </c>
      <c r="L40" s="22" t="n"/>
      <c r="M40" s="22" t="n"/>
      <c r="N40" s="22" t="n"/>
      <c r="O40" s="22" t="n"/>
      <c r="P40" s="22" t="n"/>
      <c r="Q40" s="22" t="n"/>
      <c r="R40" s="22" t="n"/>
      <c r="S40" s="22" t="n"/>
      <c r="U40" t="str">
        <f>IFERROR(MATCH(30,'MiT Strom Pipeline'!$AB$6:$AB$860,0)+5,"")</f>
        <v/>
      </c>
    </row>
    <row r="41" ht="15.75" customHeight="1">
      <c r="A41" s="26" t="str">
        <f>IF($U41="","",IF(ISNUMBER(INDEX('MiT Strom Pipeline'!$A:$A,$U41)),INDEX('MiT Strom Pipeline'!$A:$A,$U41),""))</f>
        <v/>
      </c>
      <c r="B41" s="27" t="str">
        <f>IF($U41="","",IF(INDEX('MiT Strom Pipeline'!$B:$B,$U41)="","",INDEX('MiT Strom Pipeline'!$B:$B,$U41)))</f>
        <v/>
      </c>
      <c r="C41" s="27" t="str">
        <f>IF($U41="","",IF(INDEX('MiT Strom Pipeline'!$C:$C,$U41)="","",INDEX('MiT Strom Pipeline'!$C:$C,$U41)))</f>
        <v/>
      </c>
      <c r="D41" s="27" t="str">
        <f>IF($U41="","",IF(INDEX('MiT Strom Pipeline'!$D:$D,$U41)="","",INDEX('MiT Strom Pipeline'!$D:$D,$U41)))</f>
        <v/>
      </c>
      <c r="E41" s="27" t="str">
        <f>IF($U41="","",IF(INDEX('MiT Strom Pipeline'!$H:$H,$U41)="","",INDEX('MiT Strom Pipeline'!$H:$H,$U41)))</f>
        <v/>
      </c>
      <c r="F41" s="27" t="str">
        <f>IF($U41="","",IF(INDEX('MiT Strom Pipeline'!$E:$E,$U41)="","",INDEX('MiT Strom Pipeline'!$E:$E,$U41)))</f>
        <v/>
      </c>
      <c r="G41" s="28" t="str">
        <f>IF($U41="","",IF(ISNUMBER(INDEX('MiT Strom Pipeline'!$I:$I,$U41)),INDEX('MiT Strom Pipeline'!$I:$I,$U41),0))</f>
        <v/>
      </c>
      <c r="H41" s="28" t="str">
        <f>IF($U41="","",IF(ISNUMBER(INDEX('MiT Strom Pipeline'!$Q:$Q,$U41)),INDEX('MiT Strom Pipeline'!$Q:$Q,$U41),0))</f>
        <v/>
      </c>
      <c r="I41" s="27" t="str">
        <f>IF($U41="","",INDEX('MiT Strom Pipeline'!$R:$R,$U41))</f>
        <v/>
      </c>
      <c r="J41" s="29" t="str">
        <f>IF($U41="","",IF(ISNUMBER(INDEX('MiT Strom Pipeline'!$S:$S,$U41)),INDEX('MiT Strom Pipeline'!$S:$S,$U41),""))</f>
        <v/>
      </c>
      <c r="K41" s="27" t="str">
        <f>IF($U41="","",IF(LEN(INDEX('MiT Strom Pipeline'!$V:$V,$U41))&gt;0,LEFT(INDEX('MiT Strom Pipeline'!$V:$V,$U41),55),""))</f>
        <v/>
      </c>
      <c r="L41" s="22" t="n"/>
      <c r="M41" s="22" t="n"/>
      <c r="N41" s="22" t="n"/>
      <c r="O41" s="22" t="n"/>
      <c r="P41" s="22" t="n"/>
      <c r="Q41" s="22" t="n"/>
      <c r="R41" s="22" t="n"/>
      <c r="S41" s="22" t="n"/>
      <c r="U41" t="str">
        <f>IFERROR(MATCH(31,'MiT Strom Pipeline'!$AB$6:$AB$860,0)+5,"")</f>
        <v/>
      </c>
    </row>
    <row r="42" ht="15.75" customHeight="1">
      <c r="A42" s="26" t="str">
        <f>IF($U42="","",IF(ISNUMBER(INDEX('MiT Strom Pipeline'!$A:$A,$U42)),INDEX('MiT Strom Pipeline'!$A:$A,$U42),""))</f>
        <v/>
      </c>
      <c r="B42" s="27" t="str">
        <f>IF($U42="","",IF(INDEX('MiT Strom Pipeline'!$B:$B,$U42)="","",INDEX('MiT Strom Pipeline'!$B:$B,$U42)))</f>
        <v/>
      </c>
      <c r="C42" s="27" t="str">
        <f>IF($U42="","",IF(INDEX('MiT Strom Pipeline'!$C:$C,$U42)="","",INDEX('MiT Strom Pipeline'!$C:$C,$U42)))</f>
        <v/>
      </c>
      <c r="D42" s="27" t="str">
        <f>IF($U42="","",IF(INDEX('MiT Strom Pipeline'!$D:$D,$U42)="","",INDEX('MiT Strom Pipeline'!$D:$D,$U42)))</f>
        <v/>
      </c>
      <c r="E42" s="27" t="str">
        <f>IF($U42="","",IF(INDEX('MiT Strom Pipeline'!$H:$H,$U42)="","",INDEX('MiT Strom Pipeline'!$H:$H,$U42)))</f>
        <v/>
      </c>
      <c r="F42" s="27" t="str">
        <f>IF($U42="","",IF(INDEX('MiT Strom Pipeline'!$E:$E,$U42)="","",INDEX('MiT Strom Pipeline'!$E:$E,$U42)))</f>
        <v/>
      </c>
      <c r="G42" s="28" t="str">
        <f>IF($U42="","",IF(ISNUMBER(INDEX('MiT Strom Pipeline'!$I:$I,$U42)),INDEX('MiT Strom Pipeline'!$I:$I,$U42),0))</f>
        <v/>
      </c>
      <c r="H42" s="28" t="str">
        <f>IF($U42="","",IF(ISNUMBER(INDEX('MiT Strom Pipeline'!$Q:$Q,$U42)),INDEX('MiT Strom Pipeline'!$Q:$Q,$U42),0))</f>
        <v/>
      </c>
      <c r="I42" s="27" t="str">
        <f>IF($U42="","",INDEX('MiT Strom Pipeline'!$R:$R,$U42))</f>
        <v/>
      </c>
      <c r="J42" s="29" t="str">
        <f>IF($U42="","",IF(ISNUMBER(INDEX('MiT Strom Pipeline'!$S:$S,$U42)),INDEX('MiT Strom Pipeline'!$S:$S,$U42),""))</f>
        <v/>
      </c>
      <c r="K42" s="27" t="str">
        <f>IF($U42="","",IF(LEN(INDEX('MiT Strom Pipeline'!$V:$V,$U42))&gt;0,LEFT(INDEX('MiT Strom Pipeline'!$V:$V,$U42),55),""))</f>
        <v/>
      </c>
      <c r="L42" s="22" t="n"/>
      <c r="M42" s="22" t="n"/>
      <c r="N42" s="22" t="n"/>
      <c r="O42" s="22" t="n"/>
      <c r="P42" s="22" t="n"/>
      <c r="Q42" s="22" t="n"/>
      <c r="R42" s="22" t="n"/>
      <c r="S42" s="22" t="n"/>
      <c r="U42" t="str">
        <f>IFERROR(MATCH(32,'MiT Strom Pipeline'!$AB$6:$AB$860,0)+5,"")</f>
        <v/>
      </c>
    </row>
    <row r="43" ht="15.75" customHeight="1">
      <c r="A43" s="26" t="str">
        <f>IF($U43="","",IF(ISNUMBER(INDEX('MiT Strom Pipeline'!$A:$A,$U43)),INDEX('MiT Strom Pipeline'!$A:$A,$U43),""))</f>
        <v/>
      </c>
      <c r="B43" s="27" t="str">
        <f>IF($U43="","",IF(INDEX('MiT Strom Pipeline'!$B:$B,$U43)="","",INDEX('MiT Strom Pipeline'!$B:$B,$U43)))</f>
        <v/>
      </c>
      <c r="C43" s="27" t="str">
        <f>IF($U43="","",IF(INDEX('MiT Strom Pipeline'!$C:$C,$U43)="","",INDEX('MiT Strom Pipeline'!$C:$C,$U43)))</f>
        <v/>
      </c>
      <c r="D43" s="27" t="str">
        <f>IF($U43="","",IF(INDEX('MiT Strom Pipeline'!$D:$D,$U43)="","",INDEX('MiT Strom Pipeline'!$D:$D,$U43)))</f>
        <v/>
      </c>
      <c r="E43" s="27" t="str">
        <f>IF($U43="","",IF(INDEX('MiT Strom Pipeline'!$H:$H,$U43)="","",INDEX('MiT Strom Pipeline'!$H:$H,$U43)))</f>
        <v/>
      </c>
      <c r="F43" s="27" t="str">
        <f>IF($U43="","",IF(INDEX('MiT Strom Pipeline'!$E:$E,$U43)="","",INDEX('MiT Strom Pipeline'!$E:$E,$U43)))</f>
        <v/>
      </c>
      <c r="G43" s="28" t="str">
        <f>IF($U43="","",IF(ISNUMBER(INDEX('MiT Strom Pipeline'!$I:$I,$U43)),INDEX('MiT Strom Pipeline'!$I:$I,$U43),0))</f>
        <v/>
      </c>
      <c r="H43" s="28" t="str">
        <f>IF($U43="","",IF(ISNUMBER(INDEX('MiT Strom Pipeline'!$Q:$Q,$U43)),INDEX('MiT Strom Pipeline'!$Q:$Q,$U43),0))</f>
        <v/>
      </c>
      <c r="I43" s="27" t="str">
        <f>IF($U43="","",INDEX('MiT Strom Pipeline'!$R:$R,$U43))</f>
        <v/>
      </c>
      <c r="J43" s="29" t="str">
        <f>IF($U43="","",IF(ISNUMBER(INDEX('MiT Strom Pipeline'!$S:$S,$U43)),INDEX('MiT Strom Pipeline'!$S:$S,$U43),""))</f>
        <v/>
      </c>
      <c r="K43" s="27" t="str">
        <f>IF($U43="","",IF(LEN(INDEX('MiT Strom Pipeline'!$V:$V,$U43))&gt;0,LEFT(INDEX('MiT Strom Pipeline'!$V:$V,$U43),55),""))</f>
        <v/>
      </c>
      <c r="L43" s="22" t="n"/>
      <c r="M43" s="22" t="n"/>
      <c r="N43" s="22" t="n"/>
      <c r="O43" s="22" t="n"/>
      <c r="P43" s="22" t="n"/>
      <c r="Q43" s="22" t="n"/>
      <c r="R43" s="22" t="n"/>
      <c r="S43" s="22" t="n"/>
      <c r="U43" t="str">
        <f>IFERROR(MATCH(33,'MiT Strom Pipeline'!$AB$6:$AB$860,0)+5,"")</f>
        <v/>
      </c>
    </row>
    <row r="44" ht="15.75" customHeight="1">
      <c r="A44" s="26" t="str">
        <f>IF($U44="","",IF(ISNUMBER(INDEX('MiT Strom Pipeline'!$A:$A,$U44)),INDEX('MiT Strom Pipeline'!$A:$A,$U44),""))</f>
        <v/>
      </c>
      <c r="B44" s="27" t="str">
        <f>IF($U44="","",IF(INDEX('MiT Strom Pipeline'!$B:$B,$U44)="","",INDEX('MiT Strom Pipeline'!$B:$B,$U44)))</f>
        <v/>
      </c>
      <c r="C44" s="27" t="str">
        <f>IF($U44="","",IF(INDEX('MiT Strom Pipeline'!$C:$C,$U44)="","",INDEX('MiT Strom Pipeline'!$C:$C,$U44)))</f>
        <v/>
      </c>
      <c r="D44" s="27" t="str">
        <f>IF($U44="","",IF(INDEX('MiT Strom Pipeline'!$D:$D,$U44)="","",INDEX('MiT Strom Pipeline'!$D:$D,$U44)))</f>
        <v/>
      </c>
      <c r="E44" s="27" t="str">
        <f>IF($U44="","",IF(INDEX('MiT Strom Pipeline'!$H:$H,$U44)="","",INDEX('MiT Strom Pipeline'!$H:$H,$U44)))</f>
        <v/>
      </c>
      <c r="F44" s="27" t="str">
        <f>IF($U44="","",IF(INDEX('MiT Strom Pipeline'!$E:$E,$U44)="","",INDEX('MiT Strom Pipeline'!$E:$E,$U44)))</f>
        <v/>
      </c>
      <c r="G44" s="28" t="str">
        <f>IF($U44="","",IF(ISNUMBER(INDEX('MiT Strom Pipeline'!$I:$I,$U44)),INDEX('MiT Strom Pipeline'!$I:$I,$U44),0))</f>
        <v/>
      </c>
      <c r="H44" s="28" t="str">
        <f>IF($U44="","",IF(ISNUMBER(INDEX('MiT Strom Pipeline'!$Q:$Q,$U44)),INDEX('MiT Strom Pipeline'!$Q:$Q,$U44),0))</f>
        <v/>
      </c>
      <c r="I44" s="27" t="str">
        <f>IF($U44="","",INDEX('MiT Strom Pipeline'!$R:$R,$U44))</f>
        <v/>
      </c>
      <c r="J44" s="29" t="str">
        <f>IF($U44="","",IF(ISNUMBER(INDEX('MiT Strom Pipeline'!$S:$S,$U44)),INDEX('MiT Strom Pipeline'!$S:$S,$U44),""))</f>
        <v/>
      </c>
      <c r="K44" s="27" t="str">
        <f>IF($U44="","",IF(LEN(INDEX('MiT Strom Pipeline'!$V:$V,$U44))&gt;0,LEFT(INDEX('MiT Strom Pipeline'!$V:$V,$U44),55),""))</f>
        <v/>
      </c>
      <c r="L44" s="22" t="n"/>
      <c r="M44" s="22" t="n"/>
      <c r="N44" s="22" t="n"/>
      <c r="O44" s="22" t="n"/>
      <c r="P44" s="22" t="n"/>
      <c r="Q44" s="22" t="n"/>
      <c r="R44" s="22" t="n"/>
      <c r="S44" s="22" t="n"/>
      <c r="U44" t="str">
        <f>IFERROR(MATCH(34,'MiT Strom Pipeline'!$AB$6:$AB$860,0)+5,"")</f>
        <v/>
      </c>
    </row>
    <row r="45" ht="15.75" customHeight="1">
      <c r="A45" s="26" t="str">
        <f>IF($U45="","",IF(ISNUMBER(INDEX('MiT Strom Pipeline'!$A:$A,$U45)),INDEX('MiT Strom Pipeline'!$A:$A,$U45),""))</f>
        <v/>
      </c>
      <c r="B45" s="27" t="str">
        <f>IF($U45="","",IF(INDEX('MiT Strom Pipeline'!$B:$B,$U45)="","",INDEX('MiT Strom Pipeline'!$B:$B,$U45)))</f>
        <v/>
      </c>
      <c r="C45" s="27" t="str">
        <f>IF($U45="","",IF(INDEX('MiT Strom Pipeline'!$C:$C,$U45)="","",INDEX('MiT Strom Pipeline'!$C:$C,$U45)))</f>
        <v/>
      </c>
      <c r="D45" s="27" t="str">
        <f>IF($U45="","",IF(INDEX('MiT Strom Pipeline'!$D:$D,$U45)="","",INDEX('MiT Strom Pipeline'!$D:$D,$U45)))</f>
        <v/>
      </c>
      <c r="E45" s="27" t="str">
        <f>IF($U45="","",IF(INDEX('MiT Strom Pipeline'!$H:$H,$U45)="","",INDEX('MiT Strom Pipeline'!$H:$H,$U45)))</f>
        <v/>
      </c>
      <c r="F45" s="27" t="str">
        <f>IF($U45="","",IF(INDEX('MiT Strom Pipeline'!$E:$E,$U45)="","",INDEX('MiT Strom Pipeline'!$E:$E,$U45)))</f>
        <v/>
      </c>
      <c r="G45" s="28" t="str">
        <f>IF($U45="","",IF(ISNUMBER(INDEX('MiT Strom Pipeline'!$I:$I,$U45)),INDEX('MiT Strom Pipeline'!$I:$I,$U45),0))</f>
        <v/>
      </c>
      <c r="H45" s="28" t="str">
        <f>IF($U45="","",IF(ISNUMBER(INDEX('MiT Strom Pipeline'!$Q:$Q,$U45)),INDEX('MiT Strom Pipeline'!$Q:$Q,$U45),0))</f>
        <v/>
      </c>
      <c r="I45" s="27" t="str">
        <f>IF($U45="","",INDEX('MiT Strom Pipeline'!$R:$R,$U45))</f>
        <v/>
      </c>
      <c r="J45" s="29" t="str">
        <f>IF($U45="","",IF(ISNUMBER(INDEX('MiT Strom Pipeline'!$S:$S,$U45)),INDEX('MiT Strom Pipeline'!$S:$S,$U45),""))</f>
        <v/>
      </c>
      <c r="K45" s="27" t="str">
        <f>IF($U45="","",IF(LEN(INDEX('MiT Strom Pipeline'!$V:$V,$U45))&gt;0,LEFT(INDEX('MiT Strom Pipeline'!$V:$V,$U45),55),""))</f>
        <v/>
      </c>
      <c r="L45" s="22" t="n"/>
      <c r="M45" s="22" t="n"/>
      <c r="N45" s="22" t="n"/>
      <c r="O45" s="22" t="n"/>
      <c r="P45" s="22" t="n"/>
      <c r="Q45" s="22" t="n"/>
      <c r="R45" s="22" t="n"/>
      <c r="S45" s="22" t="n"/>
      <c r="U45" t="str">
        <f>IFERROR(MATCH(35,'MiT Strom Pipeline'!$AB$6:$AB$860,0)+5,"")</f>
        <v/>
      </c>
    </row>
    <row r="46" ht="15.75" customHeight="1">
      <c r="A46" s="26" t="str">
        <f>IF($U46="","",IF(ISNUMBER(INDEX('MiT Strom Pipeline'!$A:$A,$U46)),INDEX('MiT Strom Pipeline'!$A:$A,$U46),""))</f>
        <v/>
      </c>
      <c r="B46" s="27" t="str">
        <f>IF($U46="","",IF(INDEX('MiT Strom Pipeline'!$B:$B,$U46)="","",INDEX('MiT Strom Pipeline'!$B:$B,$U46)))</f>
        <v/>
      </c>
      <c r="C46" s="27" t="str">
        <f>IF($U46="","",IF(INDEX('MiT Strom Pipeline'!$C:$C,$U46)="","",INDEX('MiT Strom Pipeline'!$C:$C,$U46)))</f>
        <v/>
      </c>
      <c r="D46" s="27" t="str">
        <f>IF($U46="","",IF(INDEX('MiT Strom Pipeline'!$D:$D,$U46)="","",INDEX('MiT Strom Pipeline'!$D:$D,$U46)))</f>
        <v/>
      </c>
      <c r="E46" s="27" t="str">
        <f>IF($U46="","",IF(INDEX('MiT Strom Pipeline'!$H:$H,$U46)="","",INDEX('MiT Strom Pipeline'!$H:$H,$U46)))</f>
        <v/>
      </c>
      <c r="F46" s="27" t="str">
        <f>IF($U46="","",IF(INDEX('MiT Strom Pipeline'!$E:$E,$U46)="","",INDEX('MiT Strom Pipeline'!$E:$E,$U46)))</f>
        <v/>
      </c>
      <c r="G46" s="28" t="str">
        <f>IF($U46="","",IF(ISNUMBER(INDEX('MiT Strom Pipeline'!$I:$I,$U46)),INDEX('MiT Strom Pipeline'!$I:$I,$U46),0))</f>
        <v/>
      </c>
      <c r="H46" s="28" t="str">
        <f>IF($U46="","",IF(ISNUMBER(INDEX('MiT Strom Pipeline'!$Q:$Q,$U46)),INDEX('MiT Strom Pipeline'!$Q:$Q,$U46),0))</f>
        <v/>
      </c>
      <c r="I46" s="27" t="str">
        <f>IF($U46="","",INDEX('MiT Strom Pipeline'!$R:$R,$U46))</f>
        <v/>
      </c>
      <c r="J46" s="29" t="str">
        <f>IF($U46="","",IF(ISNUMBER(INDEX('MiT Strom Pipeline'!$S:$S,$U46)),INDEX('MiT Strom Pipeline'!$S:$S,$U46),""))</f>
        <v/>
      </c>
      <c r="K46" s="27" t="str">
        <f>IF($U46="","",IF(LEN(INDEX('MiT Strom Pipeline'!$V:$V,$U46))&gt;0,LEFT(INDEX('MiT Strom Pipeline'!$V:$V,$U46),55),""))</f>
        <v/>
      </c>
      <c r="L46" s="22" t="n"/>
      <c r="M46" s="22" t="n"/>
      <c r="N46" s="22" t="n"/>
      <c r="O46" s="22" t="n"/>
      <c r="P46" s="22" t="n"/>
      <c r="Q46" s="22" t="n"/>
      <c r="R46" s="22" t="n"/>
      <c r="S46" s="22" t="n"/>
      <c r="U46" t="str">
        <f>IFERROR(MATCH(36,'MiT Strom Pipeline'!$AB$6:$AB$860,0)+5,"")</f>
        <v/>
      </c>
    </row>
    <row r="47" ht="15.75" customHeight="1">
      <c r="A47" s="26" t="str">
        <f>IF($U47="","",IF(ISNUMBER(INDEX('MiT Strom Pipeline'!$A:$A,$U47)),INDEX('MiT Strom Pipeline'!$A:$A,$U47),""))</f>
        <v/>
      </c>
      <c r="B47" s="27" t="str">
        <f>IF($U47="","",IF(INDEX('MiT Strom Pipeline'!$B:$B,$U47)="","",INDEX('MiT Strom Pipeline'!$B:$B,$U47)))</f>
        <v/>
      </c>
      <c r="C47" s="27" t="str">
        <f>IF($U47="","",IF(INDEX('MiT Strom Pipeline'!$C:$C,$U47)="","",INDEX('MiT Strom Pipeline'!$C:$C,$U47)))</f>
        <v/>
      </c>
      <c r="D47" s="27" t="str">
        <f>IF($U47="","",IF(INDEX('MiT Strom Pipeline'!$D:$D,$U47)="","",INDEX('MiT Strom Pipeline'!$D:$D,$U47)))</f>
        <v/>
      </c>
      <c r="E47" s="27" t="str">
        <f>IF($U47="","",IF(INDEX('MiT Strom Pipeline'!$H:$H,$U47)="","",INDEX('MiT Strom Pipeline'!$H:$H,$U47)))</f>
        <v/>
      </c>
      <c r="F47" s="27" t="str">
        <f>IF($U47="","",IF(INDEX('MiT Strom Pipeline'!$E:$E,$U47)="","",INDEX('MiT Strom Pipeline'!$E:$E,$U47)))</f>
        <v/>
      </c>
      <c r="G47" s="28" t="str">
        <f>IF($U47="","",IF(ISNUMBER(INDEX('MiT Strom Pipeline'!$I:$I,$U47)),INDEX('MiT Strom Pipeline'!$I:$I,$U47),0))</f>
        <v/>
      </c>
      <c r="H47" s="28" t="str">
        <f>IF($U47="","",IF(ISNUMBER(INDEX('MiT Strom Pipeline'!$Q:$Q,$U47)),INDEX('MiT Strom Pipeline'!$Q:$Q,$U47),0))</f>
        <v/>
      </c>
      <c r="I47" s="27" t="str">
        <f>IF($U47="","",INDEX('MiT Strom Pipeline'!$R:$R,$U47))</f>
        <v/>
      </c>
      <c r="J47" s="29" t="str">
        <f>IF($U47="","",IF(ISNUMBER(INDEX('MiT Strom Pipeline'!$S:$S,$U47)),INDEX('MiT Strom Pipeline'!$S:$S,$U47),""))</f>
        <v/>
      </c>
      <c r="K47" s="27" t="str">
        <f>IF($U47="","",IF(LEN(INDEX('MiT Strom Pipeline'!$V:$V,$U47))&gt;0,LEFT(INDEX('MiT Strom Pipeline'!$V:$V,$U47),55),""))</f>
        <v/>
      </c>
      <c r="L47" s="22" t="n"/>
      <c r="M47" s="22" t="n"/>
      <c r="N47" s="22" t="n"/>
      <c r="O47" s="22" t="n"/>
      <c r="P47" s="22" t="n"/>
      <c r="Q47" s="22" t="n"/>
      <c r="R47" s="22" t="n"/>
      <c r="S47" s="22" t="n"/>
      <c r="U47" t="str">
        <f>IFERROR(MATCH(37,'MiT Strom Pipeline'!$AB$6:$AB$860,0)+5,"")</f>
        <v/>
      </c>
    </row>
    <row r="48" ht="15.75" customHeight="1">
      <c r="A48" s="26" t="str">
        <f>IF($U48="","",IF(ISNUMBER(INDEX('MiT Strom Pipeline'!$A:$A,$U48)),INDEX('MiT Strom Pipeline'!$A:$A,$U48),""))</f>
        <v/>
      </c>
      <c r="B48" s="27" t="str">
        <f>IF($U48="","",IF(INDEX('MiT Strom Pipeline'!$B:$B,$U48)="","",INDEX('MiT Strom Pipeline'!$B:$B,$U48)))</f>
        <v/>
      </c>
      <c r="C48" s="27" t="str">
        <f>IF($U48="","",IF(INDEX('MiT Strom Pipeline'!$C:$C,$U48)="","",INDEX('MiT Strom Pipeline'!$C:$C,$U48)))</f>
        <v/>
      </c>
      <c r="D48" s="27" t="str">
        <f>IF($U48="","",IF(INDEX('MiT Strom Pipeline'!$D:$D,$U48)="","",INDEX('MiT Strom Pipeline'!$D:$D,$U48)))</f>
        <v/>
      </c>
      <c r="E48" s="27" t="str">
        <f>IF($U48="","",IF(INDEX('MiT Strom Pipeline'!$H:$H,$U48)="","",INDEX('MiT Strom Pipeline'!$H:$H,$U48)))</f>
        <v/>
      </c>
      <c r="F48" s="27" t="str">
        <f>IF($U48="","",IF(INDEX('MiT Strom Pipeline'!$E:$E,$U48)="","",INDEX('MiT Strom Pipeline'!$E:$E,$U48)))</f>
        <v/>
      </c>
      <c r="G48" s="28" t="str">
        <f>IF($U48="","",IF(ISNUMBER(INDEX('MiT Strom Pipeline'!$I:$I,$U48)),INDEX('MiT Strom Pipeline'!$I:$I,$U48),0))</f>
        <v/>
      </c>
      <c r="H48" s="28" t="str">
        <f>IF($U48="","",IF(ISNUMBER(INDEX('MiT Strom Pipeline'!$Q:$Q,$U48)),INDEX('MiT Strom Pipeline'!$Q:$Q,$U48),0))</f>
        <v/>
      </c>
      <c r="I48" s="27" t="str">
        <f>IF($U48="","",INDEX('MiT Strom Pipeline'!$R:$R,$U48))</f>
        <v/>
      </c>
      <c r="J48" s="29" t="str">
        <f>IF($U48="","",IF(ISNUMBER(INDEX('MiT Strom Pipeline'!$S:$S,$U48)),INDEX('MiT Strom Pipeline'!$S:$S,$U48),""))</f>
        <v/>
      </c>
      <c r="K48" s="27" t="str">
        <f>IF($U48="","",IF(LEN(INDEX('MiT Strom Pipeline'!$V:$V,$U48))&gt;0,LEFT(INDEX('MiT Strom Pipeline'!$V:$V,$U48),55),""))</f>
        <v/>
      </c>
      <c r="L48" s="22" t="n"/>
      <c r="M48" s="22" t="n"/>
      <c r="N48" s="22" t="n"/>
      <c r="O48" s="22" t="n"/>
      <c r="P48" s="22" t="n"/>
      <c r="Q48" s="22" t="n"/>
      <c r="R48" s="22" t="n"/>
      <c r="S48" s="22" t="n"/>
      <c r="U48" t="str">
        <f>IFERROR(MATCH(38,'MiT Strom Pipeline'!$AB$6:$AB$860,0)+5,"")</f>
        <v/>
      </c>
    </row>
    <row r="49" ht="15.75" customHeight="1">
      <c r="A49" s="26" t="str">
        <f>IF($U49="","",IF(ISNUMBER(INDEX('MiT Strom Pipeline'!$A:$A,$U49)),INDEX('MiT Strom Pipeline'!$A:$A,$U49),""))</f>
        <v/>
      </c>
      <c r="B49" s="27" t="str">
        <f>IF($U49="","",IF(INDEX('MiT Strom Pipeline'!$B:$B,$U49)="","",INDEX('MiT Strom Pipeline'!$B:$B,$U49)))</f>
        <v/>
      </c>
      <c r="C49" s="27" t="str">
        <f>IF($U49="","",IF(INDEX('MiT Strom Pipeline'!$C:$C,$U49)="","",INDEX('MiT Strom Pipeline'!$C:$C,$U49)))</f>
        <v/>
      </c>
      <c r="D49" s="27" t="str">
        <f>IF($U49="","",IF(INDEX('MiT Strom Pipeline'!$D:$D,$U49)="","",INDEX('MiT Strom Pipeline'!$D:$D,$U49)))</f>
        <v/>
      </c>
      <c r="E49" s="27" t="str">
        <f>IF($U49="","",IF(INDEX('MiT Strom Pipeline'!$H:$H,$U49)="","",INDEX('MiT Strom Pipeline'!$H:$H,$U49)))</f>
        <v/>
      </c>
      <c r="F49" s="27" t="str">
        <f>IF($U49="","",IF(INDEX('MiT Strom Pipeline'!$E:$E,$U49)="","",INDEX('MiT Strom Pipeline'!$E:$E,$U49)))</f>
        <v/>
      </c>
      <c r="G49" s="28" t="str">
        <f>IF($U49="","",IF(ISNUMBER(INDEX('MiT Strom Pipeline'!$I:$I,$U49)),INDEX('MiT Strom Pipeline'!$I:$I,$U49),0))</f>
        <v/>
      </c>
      <c r="H49" s="28" t="str">
        <f>IF($U49="","",IF(ISNUMBER(INDEX('MiT Strom Pipeline'!$Q:$Q,$U49)),INDEX('MiT Strom Pipeline'!$Q:$Q,$U49),0))</f>
        <v/>
      </c>
      <c r="I49" s="27" t="str">
        <f>IF($U49="","",INDEX('MiT Strom Pipeline'!$R:$R,$U49))</f>
        <v/>
      </c>
      <c r="J49" s="29" t="str">
        <f>IF($U49="","",IF(ISNUMBER(INDEX('MiT Strom Pipeline'!$S:$S,$U49)),INDEX('MiT Strom Pipeline'!$S:$S,$U49),""))</f>
        <v/>
      </c>
      <c r="K49" s="27" t="str">
        <f>IF($U49="","",IF(LEN(INDEX('MiT Strom Pipeline'!$V:$V,$U49))&gt;0,LEFT(INDEX('MiT Strom Pipeline'!$V:$V,$U49),55),""))</f>
        <v/>
      </c>
      <c r="L49" s="22" t="n"/>
      <c r="M49" s="22" t="n"/>
      <c r="N49" s="22" t="n"/>
      <c r="O49" s="22" t="n"/>
      <c r="P49" s="22" t="n"/>
      <c r="Q49" s="22" t="n"/>
      <c r="R49" s="22" t="n"/>
      <c r="S49" s="22" t="n"/>
      <c r="U49" t="str">
        <f>IFERROR(MATCH(39,'MiT Strom Pipeline'!$AB$6:$AB$860,0)+5,"")</f>
        <v/>
      </c>
    </row>
    <row r="50" ht="15.75" customHeight="1">
      <c r="A50" s="26" t="str">
        <f>IF($U50="","",IF(ISNUMBER(INDEX('MiT Strom Pipeline'!$A:$A,$U50)),INDEX('MiT Strom Pipeline'!$A:$A,$U50),""))</f>
        <v/>
      </c>
      <c r="B50" s="27" t="str">
        <f>IF($U50="","",IF(INDEX('MiT Strom Pipeline'!$B:$B,$U50)="","",INDEX('MiT Strom Pipeline'!$B:$B,$U50)))</f>
        <v/>
      </c>
      <c r="C50" s="27" t="str">
        <f>IF($U50="","",IF(INDEX('MiT Strom Pipeline'!$C:$C,$U50)="","",INDEX('MiT Strom Pipeline'!$C:$C,$U50)))</f>
        <v/>
      </c>
      <c r="D50" s="27" t="str">
        <f>IF($U50="","",IF(INDEX('MiT Strom Pipeline'!$D:$D,$U50)="","",INDEX('MiT Strom Pipeline'!$D:$D,$U50)))</f>
        <v/>
      </c>
      <c r="E50" s="27" t="str">
        <f>IF($U50="","",IF(INDEX('MiT Strom Pipeline'!$H:$H,$U50)="","",INDEX('MiT Strom Pipeline'!$H:$H,$U50)))</f>
        <v/>
      </c>
      <c r="F50" s="27" t="str">
        <f>IF($U50="","",IF(INDEX('MiT Strom Pipeline'!$E:$E,$U50)="","",INDEX('MiT Strom Pipeline'!$E:$E,$U50)))</f>
        <v/>
      </c>
      <c r="G50" s="28" t="str">
        <f>IF($U50="","",IF(ISNUMBER(INDEX('MiT Strom Pipeline'!$I:$I,$U50)),INDEX('MiT Strom Pipeline'!$I:$I,$U50),0))</f>
        <v/>
      </c>
      <c r="H50" s="28" t="str">
        <f>IF($U50="","",IF(ISNUMBER(INDEX('MiT Strom Pipeline'!$Q:$Q,$U50)),INDEX('MiT Strom Pipeline'!$Q:$Q,$U50),0))</f>
        <v/>
      </c>
      <c r="I50" s="27" t="str">
        <f>IF($U50="","",INDEX('MiT Strom Pipeline'!$R:$R,$U50))</f>
        <v/>
      </c>
      <c r="J50" s="29" t="str">
        <f>IF($U50="","",IF(ISNUMBER(INDEX('MiT Strom Pipeline'!$S:$S,$U50)),INDEX('MiT Strom Pipeline'!$S:$S,$U50),""))</f>
        <v/>
      </c>
      <c r="K50" s="27" t="str">
        <f>IF($U50="","",IF(LEN(INDEX('MiT Strom Pipeline'!$V:$V,$U50))&gt;0,LEFT(INDEX('MiT Strom Pipeline'!$V:$V,$U50),55),""))</f>
        <v/>
      </c>
      <c r="L50" s="22" t="n"/>
      <c r="M50" s="22" t="n"/>
      <c r="N50" s="22" t="n"/>
      <c r="O50" s="22" t="n"/>
      <c r="P50" s="22" t="n"/>
      <c r="Q50" s="22" t="n"/>
      <c r="R50" s="22" t="n"/>
      <c r="S50" s="22" t="n"/>
      <c r="U50" t="str">
        <f>IFERROR(MATCH(40,'MiT Strom Pipeline'!$AB$6:$AB$860,0)+5,"")</f>
        <v/>
      </c>
    </row>
    <row r="51" ht="15.75" customHeight="1">
      <c r="A51" s="26" t="str">
        <f>IF($U51="","",IF(ISNUMBER(INDEX('MiT Strom Pipeline'!$A:$A,$U51)),INDEX('MiT Strom Pipeline'!$A:$A,$U51),""))</f>
        <v/>
      </c>
      <c r="B51" s="27" t="str">
        <f>IF($U51="","",IF(INDEX('MiT Strom Pipeline'!$B:$B,$U51)="","",INDEX('MiT Strom Pipeline'!$B:$B,$U51)))</f>
        <v/>
      </c>
      <c r="C51" s="27" t="str">
        <f>IF($U51="","",IF(INDEX('MiT Strom Pipeline'!$C:$C,$U51)="","",INDEX('MiT Strom Pipeline'!$C:$C,$U51)))</f>
        <v/>
      </c>
      <c r="D51" s="27" t="str">
        <f>IF($U51="","",IF(INDEX('MiT Strom Pipeline'!$D:$D,$U51)="","",INDEX('MiT Strom Pipeline'!$D:$D,$U51)))</f>
        <v/>
      </c>
      <c r="E51" s="27" t="str">
        <f>IF($U51="","",IF(INDEX('MiT Strom Pipeline'!$H:$H,$U51)="","",INDEX('MiT Strom Pipeline'!$H:$H,$U51)))</f>
        <v/>
      </c>
      <c r="F51" s="27" t="str">
        <f>IF($U51="","",IF(INDEX('MiT Strom Pipeline'!$E:$E,$U51)="","",INDEX('MiT Strom Pipeline'!$E:$E,$U51)))</f>
        <v/>
      </c>
      <c r="G51" s="28" t="str">
        <f>IF($U51="","",IF(ISNUMBER(INDEX('MiT Strom Pipeline'!$I:$I,$U51)),INDEX('MiT Strom Pipeline'!$I:$I,$U51),0))</f>
        <v/>
      </c>
      <c r="H51" s="28" t="str">
        <f>IF($U51="","",IF(ISNUMBER(INDEX('MiT Strom Pipeline'!$Q:$Q,$U51)),INDEX('MiT Strom Pipeline'!$Q:$Q,$U51),0))</f>
        <v/>
      </c>
      <c r="I51" s="27" t="str">
        <f>IF($U51="","",INDEX('MiT Strom Pipeline'!$R:$R,$U51))</f>
        <v/>
      </c>
      <c r="J51" s="29" t="str">
        <f>IF($U51="","",IF(ISNUMBER(INDEX('MiT Strom Pipeline'!$S:$S,$U51)),INDEX('MiT Strom Pipeline'!$S:$S,$U51),""))</f>
        <v/>
      </c>
      <c r="K51" s="27" t="str">
        <f>IF($U51="","",IF(LEN(INDEX('MiT Strom Pipeline'!$V:$V,$U51))&gt;0,LEFT(INDEX('MiT Strom Pipeline'!$V:$V,$U51),55),""))</f>
        <v/>
      </c>
      <c r="L51" s="22" t="n"/>
      <c r="M51" s="22" t="n"/>
      <c r="N51" s="22" t="n"/>
      <c r="O51" s="22" t="n"/>
      <c r="P51" s="22" t="n"/>
      <c r="Q51" s="22" t="n"/>
      <c r="R51" s="22" t="n"/>
      <c r="S51" s="22" t="n"/>
      <c r="U51" t="str">
        <f>IFERROR(MATCH(41,'MiT Strom Pipeline'!$AB$6:$AB$860,0)+5,"")</f>
        <v/>
      </c>
    </row>
    <row r="52" ht="15.75" customHeight="1">
      <c r="A52" s="26" t="str">
        <f>IF($U52="","",IF(ISNUMBER(INDEX('MiT Strom Pipeline'!$A:$A,$U52)),INDEX('MiT Strom Pipeline'!$A:$A,$U52),""))</f>
        <v/>
      </c>
      <c r="B52" s="27" t="str">
        <f>IF($U52="","",IF(INDEX('MiT Strom Pipeline'!$B:$B,$U52)="","",INDEX('MiT Strom Pipeline'!$B:$B,$U52)))</f>
        <v/>
      </c>
      <c r="C52" s="27" t="str">
        <f>IF($U52="","",IF(INDEX('MiT Strom Pipeline'!$C:$C,$U52)="","",INDEX('MiT Strom Pipeline'!$C:$C,$U52)))</f>
        <v/>
      </c>
      <c r="D52" s="27" t="str">
        <f>IF($U52="","",IF(INDEX('MiT Strom Pipeline'!$D:$D,$U52)="","",INDEX('MiT Strom Pipeline'!$D:$D,$U52)))</f>
        <v/>
      </c>
      <c r="E52" s="27" t="str">
        <f>IF($U52="","",IF(INDEX('MiT Strom Pipeline'!$H:$H,$U52)="","",INDEX('MiT Strom Pipeline'!$H:$H,$U52)))</f>
        <v/>
      </c>
      <c r="F52" s="27" t="str">
        <f>IF($U52="","",IF(INDEX('MiT Strom Pipeline'!$E:$E,$U52)="","",INDEX('MiT Strom Pipeline'!$E:$E,$U52)))</f>
        <v/>
      </c>
      <c r="G52" s="28" t="str">
        <f>IF($U52="","",IF(ISNUMBER(INDEX('MiT Strom Pipeline'!$I:$I,$U52)),INDEX('MiT Strom Pipeline'!$I:$I,$U52),0))</f>
        <v/>
      </c>
      <c r="H52" s="28" t="str">
        <f>IF($U52="","",IF(ISNUMBER(INDEX('MiT Strom Pipeline'!$Q:$Q,$U52)),INDEX('MiT Strom Pipeline'!$Q:$Q,$U52),0))</f>
        <v/>
      </c>
      <c r="I52" s="27" t="str">
        <f>IF($U52="","",INDEX('MiT Strom Pipeline'!$R:$R,$U52))</f>
        <v/>
      </c>
      <c r="J52" s="29" t="str">
        <f>IF($U52="","",IF(ISNUMBER(INDEX('MiT Strom Pipeline'!$S:$S,$U52)),INDEX('MiT Strom Pipeline'!$S:$S,$U52),""))</f>
        <v/>
      </c>
      <c r="K52" s="27" t="str">
        <f>IF($U52="","",IF(LEN(INDEX('MiT Strom Pipeline'!$V:$V,$U52))&gt;0,LEFT(INDEX('MiT Strom Pipeline'!$V:$V,$U52),55),""))</f>
        <v/>
      </c>
      <c r="L52" s="22" t="n"/>
      <c r="M52" s="22" t="n"/>
      <c r="N52" s="22" t="n"/>
      <c r="O52" s="22" t="n"/>
      <c r="P52" s="22" t="n"/>
      <c r="Q52" s="22" t="n"/>
      <c r="R52" s="22" t="n"/>
      <c r="S52" s="22" t="n"/>
      <c r="U52" t="str">
        <f>IFERROR(MATCH(42,'MiT Strom Pipeline'!$AB$6:$AB$860,0)+5,"")</f>
        <v/>
      </c>
    </row>
    <row r="53" ht="15.75" customHeight="1">
      <c r="A53" s="26" t="str">
        <f>IF($U53="","",IF(ISNUMBER(INDEX('MiT Strom Pipeline'!$A:$A,$U53)),INDEX('MiT Strom Pipeline'!$A:$A,$U53),""))</f>
        <v/>
      </c>
      <c r="B53" s="27" t="str">
        <f>IF($U53="","",IF(INDEX('MiT Strom Pipeline'!$B:$B,$U53)="","",INDEX('MiT Strom Pipeline'!$B:$B,$U53)))</f>
        <v/>
      </c>
      <c r="C53" s="27" t="str">
        <f>IF($U53="","",IF(INDEX('MiT Strom Pipeline'!$C:$C,$U53)="","",INDEX('MiT Strom Pipeline'!$C:$C,$U53)))</f>
        <v/>
      </c>
      <c r="D53" s="27" t="str">
        <f>IF($U53="","",IF(INDEX('MiT Strom Pipeline'!$D:$D,$U53)="","",INDEX('MiT Strom Pipeline'!$D:$D,$U53)))</f>
        <v/>
      </c>
      <c r="E53" s="27" t="str">
        <f>IF($U53="","",IF(INDEX('MiT Strom Pipeline'!$H:$H,$U53)="","",INDEX('MiT Strom Pipeline'!$H:$H,$U53)))</f>
        <v/>
      </c>
      <c r="F53" s="27" t="str">
        <f>IF($U53="","",IF(INDEX('MiT Strom Pipeline'!$E:$E,$U53)="","",INDEX('MiT Strom Pipeline'!$E:$E,$U53)))</f>
        <v/>
      </c>
      <c r="G53" s="28" t="str">
        <f>IF($U53="","",IF(ISNUMBER(INDEX('MiT Strom Pipeline'!$I:$I,$U53)),INDEX('MiT Strom Pipeline'!$I:$I,$U53),0))</f>
        <v/>
      </c>
      <c r="H53" s="28" t="str">
        <f>IF($U53="","",IF(ISNUMBER(INDEX('MiT Strom Pipeline'!$Q:$Q,$U53)),INDEX('MiT Strom Pipeline'!$Q:$Q,$U53),0))</f>
        <v/>
      </c>
      <c r="I53" s="27" t="str">
        <f>IF($U53="","",INDEX('MiT Strom Pipeline'!$R:$R,$U53))</f>
        <v/>
      </c>
      <c r="J53" s="29" t="str">
        <f>IF($U53="","",IF(ISNUMBER(INDEX('MiT Strom Pipeline'!$S:$S,$U53)),INDEX('MiT Strom Pipeline'!$S:$S,$U53),""))</f>
        <v/>
      </c>
      <c r="K53" s="27" t="str">
        <f>IF($U53="","",IF(LEN(INDEX('MiT Strom Pipeline'!$V:$V,$U53))&gt;0,LEFT(INDEX('MiT Strom Pipeline'!$V:$V,$U53),55),""))</f>
        <v/>
      </c>
      <c r="L53" s="22" t="n"/>
      <c r="M53" s="22" t="n"/>
      <c r="N53" s="22" t="n"/>
      <c r="O53" s="22" t="n"/>
      <c r="P53" s="22" t="n"/>
      <c r="Q53" s="22" t="n"/>
      <c r="R53" s="22" t="n"/>
      <c r="S53" s="22" t="n"/>
      <c r="U53" t="str">
        <f>IFERROR(MATCH(43,'MiT Strom Pipeline'!$AB$6:$AB$860,0)+5,"")</f>
        <v/>
      </c>
    </row>
    <row r="54" ht="15.75" customHeight="1">
      <c r="A54" s="26" t="str">
        <f>IF($U54="","",IF(ISNUMBER(INDEX('MiT Strom Pipeline'!$A:$A,$U54)),INDEX('MiT Strom Pipeline'!$A:$A,$U54),""))</f>
        <v/>
      </c>
      <c r="B54" s="27" t="str">
        <f>IF($U54="","",IF(INDEX('MiT Strom Pipeline'!$B:$B,$U54)="","",INDEX('MiT Strom Pipeline'!$B:$B,$U54)))</f>
        <v/>
      </c>
      <c r="C54" s="27" t="str">
        <f>IF($U54="","",IF(INDEX('MiT Strom Pipeline'!$C:$C,$U54)="","",INDEX('MiT Strom Pipeline'!$C:$C,$U54)))</f>
        <v/>
      </c>
      <c r="D54" s="27" t="str">
        <f>IF($U54="","",IF(INDEX('MiT Strom Pipeline'!$D:$D,$U54)="","",INDEX('MiT Strom Pipeline'!$D:$D,$U54)))</f>
        <v/>
      </c>
      <c r="E54" s="27" t="str">
        <f>IF($U54="","",IF(INDEX('MiT Strom Pipeline'!$H:$H,$U54)="","",INDEX('MiT Strom Pipeline'!$H:$H,$U54)))</f>
        <v/>
      </c>
      <c r="F54" s="27" t="str">
        <f>IF($U54="","",IF(INDEX('MiT Strom Pipeline'!$E:$E,$U54)="","",INDEX('MiT Strom Pipeline'!$E:$E,$U54)))</f>
        <v/>
      </c>
      <c r="G54" s="28" t="str">
        <f>IF($U54="","",IF(ISNUMBER(INDEX('MiT Strom Pipeline'!$I:$I,$U54)),INDEX('MiT Strom Pipeline'!$I:$I,$U54),0))</f>
        <v/>
      </c>
      <c r="H54" s="28" t="str">
        <f>IF($U54="","",IF(ISNUMBER(INDEX('MiT Strom Pipeline'!$Q:$Q,$U54)),INDEX('MiT Strom Pipeline'!$Q:$Q,$U54),0))</f>
        <v/>
      </c>
      <c r="I54" s="27" t="str">
        <f>IF($U54="","",INDEX('MiT Strom Pipeline'!$R:$R,$U54))</f>
        <v/>
      </c>
      <c r="J54" s="29" t="str">
        <f>IF($U54="","",IF(ISNUMBER(INDEX('MiT Strom Pipeline'!$S:$S,$U54)),INDEX('MiT Strom Pipeline'!$S:$S,$U54),""))</f>
        <v/>
      </c>
      <c r="K54" s="27" t="str">
        <f>IF($U54="","",IF(LEN(INDEX('MiT Strom Pipeline'!$V:$V,$U54))&gt;0,LEFT(INDEX('MiT Strom Pipeline'!$V:$V,$U54),55),""))</f>
        <v/>
      </c>
      <c r="L54" s="22" t="n"/>
      <c r="M54" s="22" t="n"/>
      <c r="N54" s="22" t="n"/>
      <c r="O54" s="22" t="n"/>
      <c r="P54" s="22" t="n"/>
      <c r="Q54" s="22" t="n"/>
      <c r="R54" s="22" t="n"/>
      <c r="S54" s="22" t="n"/>
      <c r="U54" t="str">
        <f>IFERROR(MATCH(44,'MiT Strom Pipeline'!$AB$6:$AB$860,0)+5,"")</f>
        <v/>
      </c>
    </row>
    <row r="55" ht="15.75" customHeight="1">
      <c r="A55" s="26" t="str">
        <f>IF($U55="","",IF(ISNUMBER(INDEX('MiT Strom Pipeline'!$A:$A,$U55)),INDEX('MiT Strom Pipeline'!$A:$A,$U55),""))</f>
        <v/>
      </c>
      <c r="B55" s="27" t="str">
        <f>IF($U55="","",IF(INDEX('MiT Strom Pipeline'!$B:$B,$U55)="","",INDEX('MiT Strom Pipeline'!$B:$B,$U55)))</f>
        <v/>
      </c>
      <c r="C55" s="27" t="str">
        <f>IF($U55="","",IF(INDEX('MiT Strom Pipeline'!$C:$C,$U55)="","",INDEX('MiT Strom Pipeline'!$C:$C,$U55)))</f>
        <v/>
      </c>
      <c r="D55" s="27" t="str">
        <f>IF($U55="","",IF(INDEX('MiT Strom Pipeline'!$D:$D,$U55)="","",INDEX('MiT Strom Pipeline'!$D:$D,$U55)))</f>
        <v/>
      </c>
      <c r="E55" s="27" t="str">
        <f>IF($U55="","",IF(INDEX('MiT Strom Pipeline'!$H:$H,$U55)="","",INDEX('MiT Strom Pipeline'!$H:$H,$U55)))</f>
        <v/>
      </c>
      <c r="F55" s="27" t="str">
        <f>IF($U55="","",IF(INDEX('MiT Strom Pipeline'!$E:$E,$U55)="","",INDEX('MiT Strom Pipeline'!$E:$E,$U55)))</f>
        <v/>
      </c>
      <c r="G55" s="28" t="str">
        <f>IF($U55="","",IF(ISNUMBER(INDEX('MiT Strom Pipeline'!$I:$I,$U55)),INDEX('MiT Strom Pipeline'!$I:$I,$U55),0))</f>
        <v/>
      </c>
      <c r="H55" s="28" t="str">
        <f>IF($U55="","",IF(ISNUMBER(INDEX('MiT Strom Pipeline'!$Q:$Q,$U55)),INDEX('MiT Strom Pipeline'!$Q:$Q,$U55),0))</f>
        <v/>
      </c>
      <c r="I55" s="27" t="str">
        <f>IF($U55="","",INDEX('MiT Strom Pipeline'!$R:$R,$U55))</f>
        <v/>
      </c>
      <c r="J55" s="29" t="str">
        <f>IF($U55="","",IF(ISNUMBER(INDEX('MiT Strom Pipeline'!$S:$S,$U55)),INDEX('MiT Strom Pipeline'!$S:$S,$U55),""))</f>
        <v/>
      </c>
      <c r="K55" s="27" t="str">
        <f>IF($U55="","",IF(LEN(INDEX('MiT Strom Pipeline'!$V:$V,$U55))&gt;0,LEFT(INDEX('MiT Strom Pipeline'!$V:$V,$U55),55),""))</f>
        <v/>
      </c>
      <c r="L55" s="22" t="n"/>
      <c r="M55" s="22" t="n"/>
      <c r="N55" s="22" t="n"/>
      <c r="O55" s="22" t="n"/>
      <c r="P55" s="22" t="n"/>
      <c r="Q55" s="22" t="n"/>
      <c r="R55" s="22" t="n"/>
      <c r="S55" s="22" t="n"/>
      <c r="U55" t="str">
        <f>IFERROR(MATCH(45,'MiT Strom Pipeline'!$AB$6:$AB$860,0)+5,"")</f>
        <v/>
      </c>
    </row>
    <row r="56" ht="15.75" customHeight="1">
      <c r="A56" s="26" t="str">
        <f>IF($U56="","",IF(ISNUMBER(INDEX('MiT Strom Pipeline'!$A:$A,$U56)),INDEX('MiT Strom Pipeline'!$A:$A,$U56),""))</f>
        <v/>
      </c>
      <c r="B56" s="27" t="str">
        <f>IF($U56="","",IF(INDEX('MiT Strom Pipeline'!$B:$B,$U56)="","",INDEX('MiT Strom Pipeline'!$B:$B,$U56)))</f>
        <v/>
      </c>
      <c r="C56" s="27" t="str">
        <f>IF($U56="","",IF(INDEX('MiT Strom Pipeline'!$C:$C,$U56)="","",INDEX('MiT Strom Pipeline'!$C:$C,$U56)))</f>
        <v/>
      </c>
      <c r="D56" s="27" t="str">
        <f>IF($U56="","",IF(INDEX('MiT Strom Pipeline'!$D:$D,$U56)="","",INDEX('MiT Strom Pipeline'!$D:$D,$U56)))</f>
        <v/>
      </c>
      <c r="E56" s="27" t="str">
        <f>IF($U56="","",IF(INDEX('MiT Strom Pipeline'!$H:$H,$U56)="","",INDEX('MiT Strom Pipeline'!$H:$H,$U56)))</f>
        <v/>
      </c>
      <c r="F56" s="27" t="str">
        <f>IF($U56="","",IF(INDEX('MiT Strom Pipeline'!$E:$E,$U56)="","",INDEX('MiT Strom Pipeline'!$E:$E,$U56)))</f>
        <v/>
      </c>
      <c r="G56" s="28" t="str">
        <f>IF($U56="","",IF(ISNUMBER(INDEX('MiT Strom Pipeline'!$I:$I,$U56)),INDEX('MiT Strom Pipeline'!$I:$I,$U56),0))</f>
        <v/>
      </c>
      <c r="H56" s="28" t="str">
        <f>IF($U56="","",IF(ISNUMBER(INDEX('MiT Strom Pipeline'!$Q:$Q,$U56)),INDEX('MiT Strom Pipeline'!$Q:$Q,$U56),0))</f>
        <v/>
      </c>
      <c r="I56" s="27" t="str">
        <f>IF($U56="","",INDEX('MiT Strom Pipeline'!$R:$R,$U56))</f>
        <v/>
      </c>
      <c r="J56" s="29" t="str">
        <f>IF($U56="","",IF(ISNUMBER(INDEX('MiT Strom Pipeline'!$S:$S,$U56)),INDEX('MiT Strom Pipeline'!$S:$S,$U56),""))</f>
        <v/>
      </c>
      <c r="K56" s="27" t="str">
        <f>IF($U56="","",IF(LEN(INDEX('MiT Strom Pipeline'!$V:$V,$U56))&gt;0,LEFT(INDEX('MiT Strom Pipeline'!$V:$V,$U56),55),""))</f>
        <v/>
      </c>
      <c r="L56" s="22" t="n"/>
      <c r="M56" s="22" t="n"/>
      <c r="N56" s="22" t="n"/>
      <c r="O56" s="22" t="n"/>
      <c r="P56" s="22" t="n"/>
      <c r="Q56" s="22" t="n"/>
      <c r="R56" s="22" t="n"/>
      <c r="S56" s="22" t="n"/>
      <c r="U56" t="str">
        <f>IFERROR(MATCH(46,'MiT Strom Pipeline'!$AB$6:$AB$860,0)+5,"")</f>
        <v/>
      </c>
    </row>
    <row r="57" ht="15.75" customHeight="1">
      <c r="A57" s="26" t="str">
        <f>IF($U57="","",IF(ISNUMBER(INDEX('MiT Strom Pipeline'!$A:$A,$U57)),INDEX('MiT Strom Pipeline'!$A:$A,$U57),""))</f>
        <v/>
      </c>
      <c r="B57" s="27" t="str">
        <f>IF($U57="","",IF(INDEX('MiT Strom Pipeline'!$B:$B,$U57)="","",INDEX('MiT Strom Pipeline'!$B:$B,$U57)))</f>
        <v/>
      </c>
      <c r="C57" s="27" t="str">
        <f>IF($U57="","",IF(INDEX('MiT Strom Pipeline'!$C:$C,$U57)="","",INDEX('MiT Strom Pipeline'!$C:$C,$U57)))</f>
        <v/>
      </c>
      <c r="D57" s="27" t="str">
        <f>IF($U57="","",IF(INDEX('MiT Strom Pipeline'!$D:$D,$U57)="","",INDEX('MiT Strom Pipeline'!$D:$D,$U57)))</f>
        <v/>
      </c>
      <c r="E57" s="27" t="str">
        <f>IF($U57="","",IF(INDEX('MiT Strom Pipeline'!$H:$H,$U57)="","",INDEX('MiT Strom Pipeline'!$H:$H,$U57)))</f>
        <v/>
      </c>
      <c r="F57" s="27" t="str">
        <f>IF($U57="","",IF(INDEX('MiT Strom Pipeline'!$E:$E,$U57)="","",INDEX('MiT Strom Pipeline'!$E:$E,$U57)))</f>
        <v/>
      </c>
      <c r="G57" s="28" t="str">
        <f>IF($U57="","",IF(ISNUMBER(INDEX('MiT Strom Pipeline'!$I:$I,$U57)),INDEX('MiT Strom Pipeline'!$I:$I,$U57),0))</f>
        <v/>
      </c>
      <c r="H57" s="28" t="str">
        <f>IF($U57="","",IF(ISNUMBER(INDEX('MiT Strom Pipeline'!$Q:$Q,$U57)),INDEX('MiT Strom Pipeline'!$Q:$Q,$U57),0))</f>
        <v/>
      </c>
      <c r="I57" s="27" t="str">
        <f>IF($U57="","",INDEX('MiT Strom Pipeline'!$R:$R,$U57))</f>
        <v/>
      </c>
      <c r="J57" s="29" t="str">
        <f>IF($U57="","",IF(ISNUMBER(INDEX('MiT Strom Pipeline'!$S:$S,$U57)),INDEX('MiT Strom Pipeline'!$S:$S,$U57),""))</f>
        <v/>
      </c>
      <c r="K57" s="27" t="str">
        <f>IF($U57="","",IF(LEN(INDEX('MiT Strom Pipeline'!$V:$V,$U57))&gt;0,LEFT(INDEX('MiT Strom Pipeline'!$V:$V,$U57),55),""))</f>
        <v/>
      </c>
      <c r="L57" s="22" t="n"/>
      <c r="M57" s="22" t="n"/>
      <c r="N57" s="22" t="n"/>
      <c r="O57" s="22" t="n"/>
      <c r="P57" s="22" t="n"/>
      <c r="Q57" s="22" t="n"/>
      <c r="R57" s="22" t="n"/>
      <c r="S57" s="22" t="n"/>
      <c r="U57" t="str">
        <f>IFERROR(MATCH(47,'MiT Strom Pipeline'!$AB$6:$AB$860,0)+5,"")</f>
        <v/>
      </c>
    </row>
    <row r="58" ht="15.75" customHeight="1">
      <c r="A58" s="26" t="str">
        <f>IF($U58="","",IF(ISNUMBER(INDEX('MiT Strom Pipeline'!$A:$A,$U58)),INDEX('MiT Strom Pipeline'!$A:$A,$U58),""))</f>
        <v/>
      </c>
      <c r="B58" s="27" t="str">
        <f>IF($U58="","",IF(INDEX('MiT Strom Pipeline'!$B:$B,$U58)="","",INDEX('MiT Strom Pipeline'!$B:$B,$U58)))</f>
        <v/>
      </c>
      <c r="C58" s="27" t="str">
        <f>IF($U58="","",IF(INDEX('MiT Strom Pipeline'!$C:$C,$U58)="","",INDEX('MiT Strom Pipeline'!$C:$C,$U58)))</f>
        <v/>
      </c>
      <c r="D58" s="27" t="str">
        <f>IF($U58="","",IF(INDEX('MiT Strom Pipeline'!$D:$D,$U58)="","",INDEX('MiT Strom Pipeline'!$D:$D,$U58)))</f>
        <v/>
      </c>
      <c r="E58" s="27" t="str">
        <f>IF($U58="","",IF(INDEX('MiT Strom Pipeline'!$H:$H,$U58)="","",INDEX('MiT Strom Pipeline'!$H:$H,$U58)))</f>
        <v/>
      </c>
      <c r="F58" s="27" t="str">
        <f>IF($U58="","",IF(INDEX('MiT Strom Pipeline'!$E:$E,$U58)="","",INDEX('MiT Strom Pipeline'!$E:$E,$U58)))</f>
        <v/>
      </c>
      <c r="G58" s="28" t="str">
        <f>IF($U58="","",IF(ISNUMBER(INDEX('MiT Strom Pipeline'!$I:$I,$U58)),INDEX('MiT Strom Pipeline'!$I:$I,$U58),0))</f>
        <v/>
      </c>
      <c r="H58" s="28" t="str">
        <f>IF($U58="","",IF(ISNUMBER(INDEX('MiT Strom Pipeline'!$Q:$Q,$U58)),INDEX('MiT Strom Pipeline'!$Q:$Q,$U58),0))</f>
        <v/>
      </c>
      <c r="I58" s="27" t="str">
        <f>IF($U58="","",INDEX('MiT Strom Pipeline'!$R:$R,$U58))</f>
        <v/>
      </c>
      <c r="J58" s="29" t="str">
        <f>IF($U58="","",IF(ISNUMBER(INDEX('MiT Strom Pipeline'!$S:$S,$U58)),INDEX('MiT Strom Pipeline'!$S:$S,$U58),""))</f>
        <v/>
      </c>
      <c r="K58" s="27" t="str">
        <f>IF($U58="","",IF(LEN(INDEX('MiT Strom Pipeline'!$V:$V,$U58))&gt;0,LEFT(INDEX('MiT Strom Pipeline'!$V:$V,$U58),55),""))</f>
        <v/>
      </c>
      <c r="L58" s="22" t="n"/>
      <c r="M58" s="22" t="n"/>
      <c r="N58" s="22" t="n"/>
      <c r="O58" s="22" t="n"/>
      <c r="P58" s="22" t="n"/>
      <c r="Q58" s="22" t="n"/>
      <c r="R58" s="22" t="n"/>
      <c r="S58" s="22" t="n"/>
      <c r="U58" t="str">
        <f>IFERROR(MATCH(48,'MiT Strom Pipeline'!$AB$6:$AB$860,0)+5,"")</f>
        <v/>
      </c>
    </row>
    <row r="59" ht="15.75" customHeight="1">
      <c r="A59" s="26" t="str">
        <f>IF($U59="","",IF(ISNUMBER(INDEX('MiT Strom Pipeline'!$A:$A,$U59)),INDEX('MiT Strom Pipeline'!$A:$A,$U59),""))</f>
        <v/>
      </c>
      <c r="B59" s="27" t="str">
        <f>IF($U59="","",IF(INDEX('MiT Strom Pipeline'!$B:$B,$U59)="","",INDEX('MiT Strom Pipeline'!$B:$B,$U59)))</f>
        <v/>
      </c>
      <c r="C59" s="27" t="str">
        <f>IF($U59="","",IF(INDEX('MiT Strom Pipeline'!$C:$C,$U59)="","",INDEX('MiT Strom Pipeline'!$C:$C,$U59)))</f>
        <v/>
      </c>
      <c r="D59" s="27" t="str">
        <f>IF($U59="","",IF(INDEX('MiT Strom Pipeline'!$D:$D,$U59)="","",INDEX('MiT Strom Pipeline'!$D:$D,$U59)))</f>
        <v/>
      </c>
      <c r="E59" s="27" t="str">
        <f>IF($U59="","",IF(INDEX('MiT Strom Pipeline'!$H:$H,$U59)="","",INDEX('MiT Strom Pipeline'!$H:$H,$U59)))</f>
        <v/>
      </c>
      <c r="F59" s="27" t="str">
        <f>IF($U59="","",IF(INDEX('MiT Strom Pipeline'!$E:$E,$U59)="","",INDEX('MiT Strom Pipeline'!$E:$E,$U59)))</f>
        <v/>
      </c>
      <c r="G59" s="28" t="str">
        <f>IF($U59="","",IF(ISNUMBER(INDEX('MiT Strom Pipeline'!$I:$I,$U59)),INDEX('MiT Strom Pipeline'!$I:$I,$U59),0))</f>
        <v/>
      </c>
      <c r="H59" s="28" t="str">
        <f>IF($U59="","",IF(ISNUMBER(INDEX('MiT Strom Pipeline'!$Q:$Q,$U59)),INDEX('MiT Strom Pipeline'!$Q:$Q,$U59),0))</f>
        <v/>
      </c>
      <c r="I59" s="27" t="str">
        <f>IF($U59="","",INDEX('MiT Strom Pipeline'!$R:$R,$U59))</f>
        <v/>
      </c>
      <c r="J59" s="29" t="str">
        <f>IF($U59="","",IF(ISNUMBER(INDEX('MiT Strom Pipeline'!$S:$S,$U59)),INDEX('MiT Strom Pipeline'!$S:$S,$U59),""))</f>
        <v/>
      </c>
      <c r="K59" s="27" t="str">
        <f>IF($U59="","",IF(LEN(INDEX('MiT Strom Pipeline'!$V:$V,$U59))&gt;0,LEFT(INDEX('MiT Strom Pipeline'!$V:$V,$U59),55),""))</f>
        <v/>
      </c>
      <c r="L59" s="22" t="n"/>
      <c r="M59" s="22" t="n"/>
      <c r="N59" s="22" t="n"/>
      <c r="O59" s="22" t="n"/>
      <c r="P59" s="22" t="n"/>
      <c r="Q59" s="22" t="n"/>
      <c r="R59" s="22" t="n"/>
      <c r="S59" s="22" t="n"/>
      <c r="U59" t="str">
        <f>IFERROR(MATCH(49,'MiT Strom Pipeline'!$AB$6:$AB$860,0)+5,"")</f>
        <v/>
      </c>
    </row>
    <row r="60" ht="15.75" customHeight="1">
      <c r="A60" s="26" t="str">
        <f>IF($U60="","",IF(ISNUMBER(INDEX('MiT Strom Pipeline'!$A:$A,$U60)),INDEX('MiT Strom Pipeline'!$A:$A,$U60),""))</f>
        <v/>
      </c>
      <c r="B60" s="27" t="str">
        <f>IF($U60="","",IF(INDEX('MiT Strom Pipeline'!$B:$B,$U60)="","",INDEX('MiT Strom Pipeline'!$B:$B,$U60)))</f>
        <v/>
      </c>
      <c r="C60" s="27" t="str">
        <f>IF($U60="","",IF(INDEX('MiT Strom Pipeline'!$C:$C,$U60)="","",INDEX('MiT Strom Pipeline'!$C:$C,$U60)))</f>
        <v/>
      </c>
      <c r="D60" s="27" t="str">
        <f>IF($U60="","",IF(INDEX('MiT Strom Pipeline'!$D:$D,$U60)="","",INDEX('MiT Strom Pipeline'!$D:$D,$U60)))</f>
        <v/>
      </c>
      <c r="E60" s="27" t="str">
        <f>IF($U60="","",IF(INDEX('MiT Strom Pipeline'!$H:$H,$U60)="","",INDEX('MiT Strom Pipeline'!$H:$H,$U60)))</f>
        <v/>
      </c>
      <c r="F60" s="27" t="str">
        <f>IF($U60="","",IF(INDEX('MiT Strom Pipeline'!$E:$E,$U60)="","",INDEX('MiT Strom Pipeline'!$E:$E,$U60)))</f>
        <v/>
      </c>
      <c r="G60" s="28" t="str">
        <f>IF($U60="","",IF(ISNUMBER(INDEX('MiT Strom Pipeline'!$I:$I,$U60)),INDEX('MiT Strom Pipeline'!$I:$I,$U60),0))</f>
        <v/>
      </c>
      <c r="H60" s="28" t="str">
        <f>IF($U60="","",IF(ISNUMBER(INDEX('MiT Strom Pipeline'!$Q:$Q,$U60)),INDEX('MiT Strom Pipeline'!$Q:$Q,$U60),0))</f>
        <v/>
      </c>
      <c r="I60" s="27" t="str">
        <f>IF($U60="","",INDEX('MiT Strom Pipeline'!$R:$R,$U60))</f>
        <v/>
      </c>
      <c r="J60" s="29" t="str">
        <f>IF($U60="","",IF(ISNUMBER(INDEX('MiT Strom Pipeline'!$S:$S,$U60)),INDEX('MiT Strom Pipeline'!$S:$S,$U60),""))</f>
        <v/>
      </c>
      <c r="K60" s="27" t="str">
        <f>IF($U60="","",IF(LEN(INDEX('MiT Strom Pipeline'!$V:$V,$U60))&gt;0,LEFT(INDEX('MiT Strom Pipeline'!$V:$V,$U60),55),""))</f>
        <v/>
      </c>
      <c r="L60" s="22" t="n"/>
      <c r="M60" s="22" t="n"/>
      <c r="N60" s="22" t="n"/>
      <c r="O60" s="22" t="n"/>
      <c r="P60" s="22" t="n"/>
      <c r="Q60" s="22" t="n"/>
      <c r="R60" s="22" t="n"/>
      <c r="S60" s="22" t="n"/>
      <c r="U60" t="str">
        <f>IFERROR(MATCH(50,'MiT Strom Pipeline'!$AB$6:$AB$860,0)+5,"")</f>
        <v/>
      </c>
    </row>
    <row r="61" ht="15.75" customHeight="1">
      <c r="A61" s="26" t="str">
        <f>IF($U61="","",IF(ISNUMBER(INDEX('MiT Strom Pipeline'!$A:$A,$U61)),INDEX('MiT Strom Pipeline'!$A:$A,$U61),""))</f>
        <v/>
      </c>
      <c r="B61" s="27" t="str">
        <f>IF($U61="","",IF(INDEX('MiT Strom Pipeline'!$B:$B,$U61)="","",INDEX('MiT Strom Pipeline'!$B:$B,$U61)))</f>
        <v/>
      </c>
      <c r="C61" s="27" t="str">
        <f>IF($U61="","",IF(INDEX('MiT Strom Pipeline'!$C:$C,$U61)="","",INDEX('MiT Strom Pipeline'!$C:$C,$U61)))</f>
        <v/>
      </c>
      <c r="D61" s="27" t="str">
        <f>IF($U61="","",IF(INDEX('MiT Strom Pipeline'!$D:$D,$U61)="","",INDEX('MiT Strom Pipeline'!$D:$D,$U61)))</f>
        <v/>
      </c>
      <c r="E61" s="27" t="str">
        <f>IF($U61="","",IF(INDEX('MiT Strom Pipeline'!$H:$H,$U61)="","",INDEX('MiT Strom Pipeline'!$H:$H,$U61)))</f>
        <v/>
      </c>
      <c r="F61" s="27" t="str">
        <f>IF($U61="","",IF(INDEX('MiT Strom Pipeline'!$E:$E,$U61)="","",INDEX('MiT Strom Pipeline'!$E:$E,$U61)))</f>
        <v/>
      </c>
      <c r="G61" s="28" t="str">
        <f>IF($U61="","",IF(ISNUMBER(INDEX('MiT Strom Pipeline'!$I:$I,$U61)),INDEX('MiT Strom Pipeline'!$I:$I,$U61),0))</f>
        <v/>
      </c>
      <c r="H61" s="28" t="str">
        <f>IF($U61="","",IF(ISNUMBER(INDEX('MiT Strom Pipeline'!$Q:$Q,$U61)),INDEX('MiT Strom Pipeline'!$Q:$Q,$U61),0))</f>
        <v/>
      </c>
      <c r="I61" s="27" t="str">
        <f>IF($U61="","",INDEX('MiT Strom Pipeline'!$R:$R,$U61))</f>
        <v/>
      </c>
      <c r="J61" s="29" t="str">
        <f>IF($U61="","",IF(ISNUMBER(INDEX('MiT Strom Pipeline'!$S:$S,$U61)),INDEX('MiT Strom Pipeline'!$S:$S,$U61),""))</f>
        <v/>
      </c>
      <c r="K61" s="27" t="str">
        <f>IF($U61="","",IF(LEN(INDEX('MiT Strom Pipeline'!$V:$V,$U61))&gt;0,LEFT(INDEX('MiT Strom Pipeline'!$V:$V,$U61),55),""))</f>
        <v/>
      </c>
      <c r="L61" s="22" t="n"/>
      <c r="M61" s="22" t="n"/>
      <c r="N61" s="22" t="n"/>
      <c r="O61" s="22" t="n"/>
      <c r="P61" s="22" t="n"/>
      <c r="Q61" s="22" t="n"/>
      <c r="R61" s="22" t="n"/>
      <c r="S61" s="22" t="n"/>
      <c r="U61" t="str">
        <f>IFERROR(MATCH(51,'MiT Strom Pipeline'!$AB$6:$AB$860,0)+5,"")</f>
        <v/>
      </c>
    </row>
    <row r="62" ht="15.75" customHeight="1">
      <c r="A62" s="26" t="str">
        <f>IF($U62="","",IF(ISNUMBER(INDEX('MiT Strom Pipeline'!$A:$A,$U62)),INDEX('MiT Strom Pipeline'!$A:$A,$U62),""))</f>
        <v/>
      </c>
      <c r="B62" s="27" t="str">
        <f>IF($U62="","",IF(INDEX('MiT Strom Pipeline'!$B:$B,$U62)="","",INDEX('MiT Strom Pipeline'!$B:$B,$U62)))</f>
        <v/>
      </c>
      <c r="C62" s="27" t="str">
        <f>IF($U62="","",IF(INDEX('MiT Strom Pipeline'!$C:$C,$U62)="","",INDEX('MiT Strom Pipeline'!$C:$C,$U62)))</f>
        <v/>
      </c>
      <c r="D62" s="27" t="str">
        <f>IF($U62="","",IF(INDEX('MiT Strom Pipeline'!$D:$D,$U62)="","",INDEX('MiT Strom Pipeline'!$D:$D,$U62)))</f>
        <v/>
      </c>
      <c r="E62" s="27" t="str">
        <f>IF($U62="","",IF(INDEX('MiT Strom Pipeline'!$H:$H,$U62)="","",INDEX('MiT Strom Pipeline'!$H:$H,$U62)))</f>
        <v/>
      </c>
      <c r="F62" s="27" t="str">
        <f>IF($U62="","",IF(INDEX('MiT Strom Pipeline'!$E:$E,$U62)="","",INDEX('MiT Strom Pipeline'!$E:$E,$U62)))</f>
        <v/>
      </c>
      <c r="G62" s="28" t="str">
        <f>IF($U62="","",IF(ISNUMBER(INDEX('MiT Strom Pipeline'!$I:$I,$U62)),INDEX('MiT Strom Pipeline'!$I:$I,$U62),0))</f>
        <v/>
      </c>
      <c r="H62" s="28" t="str">
        <f>IF($U62="","",IF(ISNUMBER(INDEX('MiT Strom Pipeline'!$Q:$Q,$U62)),INDEX('MiT Strom Pipeline'!$Q:$Q,$U62),0))</f>
        <v/>
      </c>
      <c r="I62" s="27" t="str">
        <f>IF($U62="","",INDEX('MiT Strom Pipeline'!$R:$R,$U62))</f>
        <v/>
      </c>
      <c r="J62" s="29" t="str">
        <f>IF($U62="","",IF(ISNUMBER(INDEX('MiT Strom Pipeline'!$S:$S,$U62)),INDEX('MiT Strom Pipeline'!$S:$S,$U62),""))</f>
        <v/>
      </c>
      <c r="K62" s="27" t="str">
        <f>IF($U62="","",IF(LEN(INDEX('MiT Strom Pipeline'!$V:$V,$U62))&gt;0,LEFT(INDEX('MiT Strom Pipeline'!$V:$V,$U62),55),""))</f>
        <v/>
      </c>
      <c r="L62" s="22" t="n"/>
      <c r="M62" s="22" t="n"/>
      <c r="N62" s="22" t="n"/>
      <c r="O62" s="22" t="n"/>
      <c r="P62" s="22" t="n"/>
      <c r="Q62" s="22" t="n"/>
      <c r="R62" s="22" t="n"/>
      <c r="S62" s="22" t="n"/>
      <c r="U62" t="str">
        <f>IFERROR(MATCH(52,'MiT Strom Pipeline'!$AB$6:$AB$860,0)+5,"")</f>
        <v/>
      </c>
    </row>
    <row r="63" ht="15.75" customHeight="1">
      <c r="A63" s="26" t="str">
        <f>IF($U63="","",IF(ISNUMBER(INDEX('MiT Strom Pipeline'!$A:$A,$U63)),INDEX('MiT Strom Pipeline'!$A:$A,$U63),""))</f>
        <v/>
      </c>
      <c r="B63" s="27" t="str">
        <f>IF($U63="","",IF(INDEX('MiT Strom Pipeline'!$B:$B,$U63)="","",INDEX('MiT Strom Pipeline'!$B:$B,$U63)))</f>
        <v/>
      </c>
      <c r="C63" s="27" t="str">
        <f>IF($U63="","",IF(INDEX('MiT Strom Pipeline'!$C:$C,$U63)="","",INDEX('MiT Strom Pipeline'!$C:$C,$U63)))</f>
        <v/>
      </c>
      <c r="D63" s="27" t="str">
        <f>IF($U63="","",IF(INDEX('MiT Strom Pipeline'!$D:$D,$U63)="","",INDEX('MiT Strom Pipeline'!$D:$D,$U63)))</f>
        <v/>
      </c>
      <c r="E63" s="27" t="str">
        <f>IF($U63="","",IF(INDEX('MiT Strom Pipeline'!$H:$H,$U63)="","",INDEX('MiT Strom Pipeline'!$H:$H,$U63)))</f>
        <v/>
      </c>
      <c r="F63" s="27" t="str">
        <f>IF($U63="","",IF(INDEX('MiT Strom Pipeline'!$E:$E,$U63)="","",INDEX('MiT Strom Pipeline'!$E:$E,$U63)))</f>
        <v/>
      </c>
      <c r="G63" s="28" t="str">
        <f>IF($U63="","",IF(ISNUMBER(INDEX('MiT Strom Pipeline'!$I:$I,$U63)),INDEX('MiT Strom Pipeline'!$I:$I,$U63),0))</f>
        <v/>
      </c>
      <c r="H63" s="28" t="str">
        <f>IF($U63="","",IF(ISNUMBER(INDEX('MiT Strom Pipeline'!$Q:$Q,$U63)),INDEX('MiT Strom Pipeline'!$Q:$Q,$U63),0))</f>
        <v/>
      </c>
      <c r="I63" s="27" t="str">
        <f>IF($U63="","",INDEX('MiT Strom Pipeline'!$R:$R,$U63))</f>
        <v/>
      </c>
      <c r="J63" s="29" t="str">
        <f>IF($U63="","",IF(ISNUMBER(INDEX('MiT Strom Pipeline'!$S:$S,$U63)),INDEX('MiT Strom Pipeline'!$S:$S,$U63),""))</f>
        <v/>
      </c>
      <c r="K63" s="27" t="str">
        <f>IF($U63="","",IF(LEN(INDEX('MiT Strom Pipeline'!$V:$V,$U63))&gt;0,LEFT(INDEX('MiT Strom Pipeline'!$V:$V,$U63),55),""))</f>
        <v/>
      </c>
      <c r="L63" s="22" t="n"/>
      <c r="M63" s="22" t="n"/>
      <c r="N63" s="22" t="n"/>
      <c r="O63" s="22" t="n"/>
      <c r="P63" s="22" t="n"/>
      <c r="Q63" s="22" t="n"/>
      <c r="R63" s="22" t="n"/>
      <c r="S63" s="22" t="n"/>
      <c r="U63" t="str">
        <f>IFERROR(MATCH(53,'MiT Strom Pipeline'!$AB$6:$AB$860,0)+5,"")</f>
        <v/>
      </c>
    </row>
    <row r="64" ht="15.75" customHeight="1">
      <c r="A64" s="26" t="str">
        <f>IF($U64="","",IF(ISNUMBER(INDEX('MiT Strom Pipeline'!$A:$A,$U64)),INDEX('MiT Strom Pipeline'!$A:$A,$U64),""))</f>
        <v/>
      </c>
      <c r="B64" s="27" t="str">
        <f>IF($U64="","",IF(INDEX('MiT Strom Pipeline'!$B:$B,$U64)="","",INDEX('MiT Strom Pipeline'!$B:$B,$U64)))</f>
        <v/>
      </c>
      <c r="C64" s="27" t="str">
        <f>IF($U64="","",IF(INDEX('MiT Strom Pipeline'!$C:$C,$U64)="","",INDEX('MiT Strom Pipeline'!$C:$C,$U64)))</f>
        <v/>
      </c>
      <c r="D64" s="27" t="str">
        <f>IF($U64="","",IF(INDEX('MiT Strom Pipeline'!$D:$D,$U64)="","",INDEX('MiT Strom Pipeline'!$D:$D,$U64)))</f>
        <v/>
      </c>
      <c r="E64" s="27" t="str">
        <f>IF($U64="","",IF(INDEX('MiT Strom Pipeline'!$H:$H,$U64)="","",INDEX('MiT Strom Pipeline'!$H:$H,$U64)))</f>
        <v/>
      </c>
      <c r="F64" s="27" t="str">
        <f>IF($U64="","",IF(INDEX('MiT Strom Pipeline'!$E:$E,$U64)="","",INDEX('MiT Strom Pipeline'!$E:$E,$U64)))</f>
        <v/>
      </c>
      <c r="G64" s="28" t="str">
        <f>IF($U64="","",IF(ISNUMBER(INDEX('MiT Strom Pipeline'!$I:$I,$U64)),INDEX('MiT Strom Pipeline'!$I:$I,$U64),0))</f>
        <v/>
      </c>
      <c r="H64" s="28" t="str">
        <f>IF($U64="","",IF(ISNUMBER(INDEX('MiT Strom Pipeline'!$Q:$Q,$U64)),INDEX('MiT Strom Pipeline'!$Q:$Q,$U64),0))</f>
        <v/>
      </c>
      <c r="I64" s="27" t="str">
        <f>IF($U64="","",INDEX('MiT Strom Pipeline'!$R:$R,$U64))</f>
        <v/>
      </c>
      <c r="J64" s="29" t="str">
        <f>IF($U64="","",IF(ISNUMBER(INDEX('MiT Strom Pipeline'!$S:$S,$U64)),INDEX('MiT Strom Pipeline'!$S:$S,$U64),""))</f>
        <v/>
      </c>
      <c r="K64" s="27" t="str">
        <f>IF($U64="","",IF(LEN(INDEX('MiT Strom Pipeline'!$V:$V,$U64))&gt;0,LEFT(INDEX('MiT Strom Pipeline'!$V:$V,$U64),55),""))</f>
        <v/>
      </c>
      <c r="L64" s="22" t="n"/>
      <c r="M64" s="22" t="n"/>
      <c r="N64" s="22" t="n"/>
      <c r="O64" s="22" t="n"/>
      <c r="P64" s="22" t="n"/>
      <c r="Q64" s="22" t="n"/>
      <c r="R64" s="22" t="n"/>
      <c r="S64" s="22" t="n"/>
      <c r="U64" t="str">
        <f>IFERROR(MATCH(54,'MiT Strom Pipeline'!$AB$6:$AB$860,0)+5,"")</f>
        <v/>
      </c>
    </row>
    <row r="65" ht="15.75" customHeight="1">
      <c r="A65" s="26" t="str">
        <f>IF($U65="","",IF(ISNUMBER(INDEX('MiT Strom Pipeline'!$A:$A,$U65)),INDEX('MiT Strom Pipeline'!$A:$A,$U65),""))</f>
        <v/>
      </c>
      <c r="B65" s="27" t="str">
        <f>IF($U65="","",IF(INDEX('MiT Strom Pipeline'!$B:$B,$U65)="","",INDEX('MiT Strom Pipeline'!$B:$B,$U65)))</f>
        <v/>
      </c>
      <c r="C65" s="27" t="str">
        <f>IF($U65="","",IF(INDEX('MiT Strom Pipeline'!$C:$C,$U65)="","",INDEX('MiT Strom Pipeline'!$C:$C,$U65)))</f>
        <v/>
      </c>
      <c r="D65" s="27" t="str">
        <f>IF($U65="","",IF(INDEX('MiT Strom Pipeline'!$D:$D,$U65)="","",INDEX('MiT Strom Pipeline'!$D:$D,$U65)))</f>
        <v/>
      </c>
      <c r="E65" s="27" t="str">
        <f>IF($U65="","",IF(INDEX('MiT Strom Pipeline'!$H:$H,$U65)="","",INDEX('MiT Strom Pipeline'!$H:$H,$U65)))</f>
        <v/>
      </c>
      <c r="F65" s="27" t="str">
        <f>IF($U65="","",IF(INDEX('MiT Strom Pipeline'!$E:$E,$U65)="","",INDEX('MiT Strom Pipeline'!$E:$E,$U65)))</f>
        <v/>
      </c>
      <c r="G65" s="28" t="str">
        <f>IF($U65="","",IF(ISNUMBER(INDEX('MiT Strom Pipeline'!$I:$I,$U65)),INDEX('MiT Strom Pipeline'!$I:$I,$U65),0))</f>
        <v/>
      </c>
      <c r="H65" s="28" t="str">
        <f>IF($U65="","",IF(ISNUMBER(INDEX('MiT Strom Pipeline'!$Q:$Q,$U65)),INDEX('MiT Strom Pipeline'!$Q:$Q,$U65),0))</f>
        <v/>
      </c>
      <c r="I65" s="27" t="str">
        <f>IF($U65="","",INDEX('MiT Strom Pipeline'!$R:$R,$U65))</f>
        <v/>
      </c>
      <c r="J65" s="29" t="str">
        <f>IF($U65="","",IF(ISNUMBER(INDEX('MiT Strom Pipeline'!$S:$S,$U65)),INDEX('MiT Strom Pipeline'!$S:$S,$U65),""))</f>
        <v/>
      </c>
      <c r="K65" s="27" t="str">
        <f>IF($U65="","",IF(LEN(INDEX('MiT Strom Pipeline'!$V:$V,$U65))&gt;0,LEFT(INDEX('MiT Strom Pipeline'!$V:$V,$U65),55),""))</f>
        <v/>
      </c>
      <c r="L65" s="22" t="n"/>
      <c r="M65" s="22" t="n"/>
      <c r="N65" s="22" t="n"/>
      <c r="O65" s="22" t="n"/>
      <c r="P65" s="22" t="n"/>
      <c r="Q65" s="22" t="n"/>
      <c r="R65" s="22" t="n"/>
      <c r="S65" s="22" t="n"/>
      <c r="U65" t="str">
        <f>IFERROR(MATCH(55,'MiT Strom Pipeline'!$AB$6:$AB$860,0)+5,"")</f>
        <v/>
      </c>
    </row>
    <row r="66" ht="15.75" customHeight="1">
      <c r="A66" s="26" t="str">
        <f>IF($U66="","",IF(ISNUMBER(INDEX('MiT Strom Pipeline'!$A:$A,$U66)),INDEX('MiT Strom Pipeline'!$A:$A,$U66),""))</f>
        <v/>
      </c>
      <c r="B66" s="27" t="str">
        <f>IF($U66="","",IF(INDEX('MiT Strom Pipeline'!$B:$B,$U66)="","",INDEX('MiT Strom Pipeline'!$B:$B,$U66)))</f>
        <v/>
      </c>
      <c r="C66" s="27" t="str">
        <f>IF($U66="","",IF(INDEX('MiT Strom Pipeline'!$C:$C,$U66)="","",INDEX('MiT Strom Pipeline'!$C:$C,$U66)))</f>
        <v/>
      </c>
      <c r="D66" s="27" t="str">
        <f>IF($U66="","",IF(INDEX('MiT Strom Pipeline'!$D:$D,$U66)="","",INDEX('MiT Strom Pipeline'!$D:$D,$U66)))</f>
        <v/>
      </c>
      <c r="E66" s="27" t="str">
        <f>IF($U66="","",IF(INDEX('MiT Strom Pipeline'!$H:$H,$U66)="","",INDEX('MiT Strom Pipeline'!$H:$H,$U66)))</f>
        <v/>
      </c>
      <c r="F66" s="27" t="str">
        <f>IF($U66="","",IF(INDEX('MiT Strom Pipeline'!$E:$E,$U66)="","",INDEX('MiT Strom Pipeline'!$E:$E,$U66)))</f>
        <v/>
      </c>
      <c r="G66" s="28" t="str">
        <f>IF($U66="","",IF(ISNUMBER(INDEX('MiT Strom Pipeline'!$I:$I,$U66)),INDEX('MiT Strom Pipeline'!$I:$I,$U66),0))</f>
        <v/>
      </c>
      <c r="H66" s="28" t="str">
        <f>IF($U66="","",IF(ISNUMBER(INDEX('MiT Strom Pipeline'!$Q:$Q,$U66)),INDEX('MiT Strom Pipeline'!$Q:$Q,$U66),0))</f>
        <v/>
      </c>
      <c r="I66" s="27" t="str">
        <f>IF($U66="","",INDEX('MiT Strom Pipeline'!$R:$R,$U66))</f>
        <v/>
      </c>
      <c r="J66" s="29" t="str">
        <f>IF($U66="","",IF(ISNUMBER(INDEX('MiT Strom Pipeline'!$S:$S,$U66)),INDEX('MiT Strom Pipeline'!$S:$S,$U66),""))</f>
        <v/>
      </c>
      <c r="K66" s="27" t="str">
        <f>IF($U66="","",IF(LEN(INDEX('MiT Strom Pipeline'!$V:$V,$U66))&gt;0,LEFT(INDEX('MiT Strom Pipeline'!$V:$V,$U66),55),""))</f>
        <v/>
      </c>
      <c r="L66" s="22" t="n"/>
      <c r="M66" s="22" t="n"/>
      <c r="N66" s="22" t="n"/>
      <c r="O66" s="22" t="n"/>
      <c r="P66" s="22" t="n"/>
      <c r="Q66" s="22" t="n"/>
      <c r="R66" s="22" t="n"/>
      <c r="S66" s="22" t="n"/>
      <c r="U66" t="str">
        <f>IFERROR(MATCH(56,'MiT Strom Pipeline'!$AB$6:$AB$860,0)+5,"")</f>
        <v/>
      </c>
    </row>
    <row r="67" ht="15.75" customHeight="1">
      <c r="A67" s="26" t="str">
        <f>IF($U67="","",IF(ISNUMBER(INDEX('MiT Strom Pipeline'!$A:$A,$U67)),INDEX('MiT Strom Pipeline'!$A:$A,$U67),""))</f>
        <v/>
      </c>
      <c r="B67" s="27" t="str">
        <f>IF($U67="","",IF(INDEX('MiT Strom Pipeline'!$B:$B,$U67)="","",INDEX('MiT Strom Pipeline'!$B:$B,$U67)))</f>
        <v/>
      </c>
      <c r="C67" s="27" t="str">
        <f>IF($U67="","",IF(INDEX('MiT Strom Pipeline'!$C:$C,$U67)="","",INDEX('MiT Strom Pipeline'!$C:$C,$U67)))</f>
        <v/>
      </c>
      <c r="D67" s="27" t="str">
        <f>IF($U67="","",IF(INDEX('MiT Strom Pipeline'!$D:$D,$U67)="","",INDEX('MiT Strom Pipeline'!$D:$D,$U67)))</f>
        <v/>
      </c>
      <c r="E67" s="27" t="str">
        <f>IF($U67="","",IF(INDEX('MiT Strom Pipeline'!$H:$H,$U67)="","",INDEX('MiT Strom Pipeline'!$H:$H,$U67)))</f>
        <v/>
      </c>
      <c r="F67" s="27" t="str">
        <f>IF($U67="","",IF(INDEX('MiT Strom Pipeline'!$E:$E,$U67)="","",INDEX('MiT Strom Pipeline'!$E:$E,$U67)))</f>
        <v/>
      </c>
      <c r="G67" s="28" t="str">
        <f>IF($U67="","",IF(ISNUMBER(INDEX('MiT Strom Pipeline'!$I:$I,$U67)),INDEX('MiT Strom Pipeline'!$I:$I,$U67),0))</f>
        <v/>
      </c>
      <c r="H67" s="28" t="str">
        <f>IF($U67="","",IF(ISNUMBER(INDEX('MiT Strom Pipeline'!$Q:$Q,$U67)),INDEX('MiT Strom Pipeline'!$Q:$Q,$U67),0))</f>
        <v/>
      </c>
      <c r="I67" s="27" t="str">
        <f>IF($U67="","",INDEX('MiT Strom Pipeline'!$R:$R,$U67))</f>
        <v/>
      </c>
      <c r="J67" s="29" t="str">
        <f>IF($U67="","",IF(ISNUMBER(INDEX('MiT Strom Pipeline'!$S:$S,$U67)),INDEX('MiT Strom Pipeline'!$S:$S,$U67),""))</f>
        <v/>
      </c>
      <c r="K67" s="27" t="str">
        <f>IF($U67="","",IF(LEN(INDEX('MiT Strom Pipeline'!$V:$V,$U67))&gt;0,LEFT(INDEX('MiT Strom Pipeline'!$V:$V,$U67),55),""))</f>
        <v/>
      </c>
      <c r="L67" s="22" t="n"/>
      <c r="M67" s="22" t="n"/>
      <c r="N67" s="22" t="n"/>
      <c r="O67" s="22" t="n"/>
      <c r="P67" s="22" t="n"/>
      <c r="Q67" s="22" t="n"/>
      <c r="R67" s="22" t="n"/>
      <c r="S67" s="22" t="n"/>
      <c r="U67" t="str">
        <f>IFERROR(MATCH(57,'MiT Strom Pipeline'!$AB$6:$AB$860,0)+5,"")</f>
        <v/>
      </c>
    </row>
    <row r="68" ht="15.75" customHeight="1">
      <c r="A68" s="26" t="str">
        <f>IF($U68="","",IF(ISNUMBER(INDEX('MiT Strom Pipeline'!$A:$A,$U68)),INDEX('MiT Strom Pipeline'!$A:$A,$U68),""))</f>
        <v/>
      </c>
      <c r="B68" s="27" t="str">
        <f>IF($U68="","",IF(INDEX('MiT Strom Pipeline'!$B:$B,$U68)="","",INDEX('MiT Strom Pipeline'!$B:$B,$U68)))</f>
        <v/>
      </c>
      <c r="C68" s="27" t="str">
        <f>IF($U68="","",IF(INDEX('MiT Strom Pipeline'!$C:$C,$U68)="","",INDEX('MiT Strom Pipeline'!$C:$C,$U68)))</f>
        <v/>
      </c>
      <c r="D68" s="27" t="str">
        <f>IF($U68="","",IF(INDEX('MiT Strom Pipeline'!$D:$D,$U68)="","",INDEX('MiT Strom Pipeline'!$D:$D,$U68)))</f>
        <v/>
      </c>
      <c r="E68" s="27" t="str">
        <f>IF($U68="","",IF(INDEX('MiT Strom Pipeline'!$H:$H,$U68)="","",INDEX('MiT Strom Pipeline'!$H:$H,$U68)))</f>
        <v/>
      </c>
      <c r="F68" s="27" t="str">
        <f>IF($U68="","",IF(INDEX('MiT Strom Pipeline'!$E:$E,$U68)="","",INDEX('MiT Strom Pipeline'!$E:$E,$U68)))</f>
        <v/>
      </c>
      <c r="G68" s="28" t="str">
        <f>IF($U68="","",IF(ISNUMBER(INDEX('MiT Strom Pipeline'!$I:$I,$U68)),INDEX('MiT Strom Pipeline'!$I:$I,$U68),0))</f>
        <v/>
      </c>
      <c r="H68" s="28" t="str">
        <f>IF($U68="","",IF(ISNUMBER(INDEX('MiT Strom Pipeline'!$Q:$Q,$U68)),INDEX('MiT Strom Pipeline'!$Q:$Q,$U68),0))</f>
        <v/>
      </c>
      <c r="I68" s="27" t="str">
        <f>IF($U68="","",INDEX('MiT Strom Pipeline'!$R:$R,$U68))</f>
        <v/>
      </c>
      <c r="J68" s="29" t="str">
        <f>IF($U68="","",IF(ISNUMBER(INDEX('MiT Strom Pipeline'!$S:$S,$U68)),INDEX('MiT Strom Pipeline'!$S:$S,$U68),""))</f>
        <v/>
      </c>
      <c r="K68" s="27" t="str">
        <f>IF($U68="","",IF(LEN(INDEX('MiT Strom Pipeline'!$V:$V,$U68))&gt;0,LEFT(INDEX('MiT Strom Pipeline'!$V:$V,$U68),55),""))</f>
        <v/>
      </c>
      <c r="L68" s="22" t="n"/>
      <c r="M68" s="22" t="n"/>
      <c r="N68" s="22" t="n"/>
      <c r="O68" s="22" t="n"/>
      <c r="P68" s="22" t="n"/>
      <c r="Q68" s="22" t="n"/>
      <c r="R68" s="22" t="n"/>
      <c r="S68" s="22" t="n"/>
      <c r="U68" t="str">
        <f>IFERROR(MATCH(58,'MiT Strom Pipeline'!$AB$6:$AB$860,0)+5,"")</f>
        <v/>
      </c>
    </row>
    <row r="69" ht="15.75" customHeight="1">
      <c r="A69" s="26" t="str">
        <f>IF($U69="","",IF(ISNUMBER(INDEX('MiT Strom Pipeline'!$A:$A,$U69)),INDEX('MiT Strom Pipeline'!$A:$A,$U69),""))</f>
        <v/>
      </c>
      <c r="B69" s="27" t="str">
        <f>IF($U69="","",IF(INDEX('MiT Strom Pipeline'!$B:$B,$U69)="","",INDEX('MiT Strom Pipeline'!$B:$B,$U69)))</f>
        <v/>
      </c>
      <c r="C69" s="27" t="str">
        <f>IF($U69="","",IF(INDEX('MiT Strom Pipeline'!$C:$C,$U69)="","",INDEX('MiT Strom Pipeline'!$C:$C,$U69)))</f>
        <v/>
      </c>
      <c r="D69" s="27" t="str">
        <f>IF($U69="","",IF(INDEX('MiT Strom Pipeline'!$D:$D,$U69)="","",INDEX('MiT Strom Pipeline'!$D:$D,$U69)))</f>
        <v/>
      </c>
      <c r="E69" s="27" t="str">
        <f>IF($U69="","",IF(INDEX('MiT Strom Pipeline'!$H:$H,$U69)="","",INDEX('MiT Strom Pipeline'!$H:$H,$U69)))</f>
        <v/>
      </c>
      <c r="F69" s="27" t="str">
        <f>IF($U69="","",IF(INDEX('MiT Strom Pipeline'!$E:$E,$U69)="","",INDEX('MiT Strom Pipeline'!$E:$E,$U69)))</f>
        <v/>
      </c>
      <c r="G69" s="28" t="str">
        <f>IF($U69="","",IF(ISNUMBER(INDEX('MiT Strom Pipeline'!$I:$I,$U69)),INDEX('MiT Strom Pipeline'!$I:$I,$U69),0))</f>
        <v/>
      </c>
      <c r="H69" s="28" t="str">
        <f>IF($U69="","",IF(ISNUMBER(INDEX('MiT Strom Pipeline'!$Q:$Q,$U69)),INDEX('MiT Strom Pipeline'!$Q:$Q,$U69),0))</f>
        <v/>
      </c>
      <c r="I69" s="27" t="str">
        <f>IF($U69="","",INDEX('MiT Strom Pipeline'!$R:$R,$U69))</f>
        <v/>
      </c>
      <c r="J69" s="29" t="str">
        <f>IF($U69="","",IF(ISNUMBER(INDEX('MiT Strom Pipeline'!$S:$S,$U69)),INDEX('MiT Strom Pipeline'!$S:$S,$U69),""))</f>
        <v/>
      </c>
      <c r="K69" s="27" t="str">
        <f>IF($U69="","",IF(LEN(INDEX('MiT Strom Pipeline'!$V:$V,$U69))&gt;0,LEFT(INDEX('MiT Strom Pipeline'!$V:$V,$U69),55),""))</f>
        <v/>
      </c>
      <c r="L69" s="22" t="n"/>
      <c r="M69" s="22" t="n"/>
      <c r="N69" s="22" t="n"/>
      <c r="O69" s="22" t="n"/>
      <c r="P69" s="22" t="n"/>
      <c r="Q69" s="22" t="n"/>
      <c r="R69" s="22" t="n"/>
      <c r="S69" s="22" t="n"/>
      <c r="U69" t="str">
        <f>IFERROR(MATCH(59,'MiT Strom Pipeline'!$AB$6:$AB$860,0)+5,"")</f>
        <v/>
      </c>
    </row>
    <row r="70" ht="15.75" customHeight="1">
      <c r="A70" s="26" t="str">
        <f>IF($U70="","",IF(ISNUMBER(INDEX('MiT Strom Pipeline'!$A:$A,$U70)),INDEX('MiT Strom Pipeline'!$A:$A,$U70),""))</f>
        <v/>
      </c>
      <c r="B70" s="27" t="str">
        <f>IF($U70="","",IF(INDEX('MiT Strom Pipeline'!$B:$B,$U70)="","",INDEX('MiT Strom Pipeline'!$B:$B,$U70)))</f>
        <v/>
      </c>
      <c r="C70" s="27" t="str">
        <f>IF($U70="","",IF(INDEX('MiT Strom Pipeline'!$C:$C,$U70)="","",INDEX('MiT Strom Pipeline'!$C:$C,$U70)))</f>
        <v/>
      </c>
      <c r="D70" s="27" t="str">
        <f>IF($U70="","",IF(INDEX('MiT Strom Pipeline'!$D:$D,$U70)="","",INDEX('MiT Strom Pipeline'!$D:$D,$U70)))</f>
        <v/>
      </c>
      <c r="E70" s="27" t="str">
        <f>IF($U70="","",IF(INDEX('MiT Strom Pipeline'!$H:$H,$U70)="","",INDEX('MiT Strom Pipeline'!$H:$H,$U70)))</f>
        <v/>
      </c>
      <c r="F70" s="27" t="str">
        <f>IF($U70="","",IF(INDEX('MiT Strom Pipeline'!$E:$E,$U70)="","",INDEX('MiT Strom Pipeline'!$E:$E,$U70)))</f>
        <v/>
      </c>
      <c r="G70" s="28" t="str">
        <f>IF($U70="","",IF(ISNUMBER(INDEX('MiT Strom Pipeline'!$I:$I,$U70)),INDEX('MiT Strom Pipeline'!$I:$I,$U70),0))</f>
        <v/>
      </c>
      <c r="H70" s="28" t="str">
        <f>IF($U70="","",IF(ISNUMBER(INDEX('MiT Strom Pipeline'!$Q:$Q,$U70)),INDEX('MiT Strom Pipeline'!$Q:$Q,$U70),0))</f>
        <v/>
      </c>
      <c r="I70" s="27" t="str">
        <f>IF($U70="","",INDEX('MiT Strom Pipeline'!$R:$R,$U70))</f>
        <v/>
      </c>
      <c r="J70" s="29" t="str">
        <f>IF($U70="","",IF(ISNUMBER(INDEX('MiT Strom Pipeline'!$S:$S,$U70)),INDEX('MiT Strom Pipeline'!$S:$S,$U70),""))</f>
        <v/>
      </c>
      <c r="K70" s="27" t="str">
        <f>IF($U70="","",IF(LEN(INDEX('MiT Strom Pipeline'!$V:$V,$U70))&gt;0,LEFT(INDEX('MiT Strom Pipeline'!$V:$V,$U70),55),""))</f>
        <v/>
      </c>
      <c r="L70" s="22" t="n"/>
      <c r="M70" s="22" t="n"/>
      <c r="N70" s="22" t="n"/>
      <c r="O70" s="22" t="n"/>
      <c r="P70" s="22" t="n"/>
      <c r="Q70" s="22" t="n"/>
      <c r="R70" s="22" t="n"/>
      <c r="S70" s="22" t="n"/>
      <c r="U70" t="str">
        <f>IFERROR(MATCH(60,'MiT Strom Pipeline'!$AB$6:$AB$860,0)+5,"")</f>
        <v/>
      </c>
    </row>
    <row r="71" ht="21.75" customHeight="1">
      <c r="A71" s="26" t="str">
        <f>IF($U71="","",IF(ISNUMBER(INDEX('MiT Strom Pipeline'!$A:$A,$U71)),INDEX('MiT Strom Pipeline'!$A:$A,$U71),""))</f>
        <v/>
      </c>
      <c r="B71" s="27" t="str">
        <f>IF($U71="","",IF(INDEX('MiT Strom Pipeline'!$B:$B,$U71)="","",INDEX('MiT Strom Pipeline'!$B:$B,$U71)))</f>
        <v/>
      </c>
      <c r="C71" s="27" t="str">
        <f>IF($U71="","",IF(INDEX('MiT Strom Pipeline'!$C:$C,$U71)="","",INDEX('MiT Strom Pipeline'!$C:$C,$U71)))</f>
        <v/>
      </c>
      <c r="D71" s="27" t="str">
        <f>IF($U71="","",IF(INDEX('MiT Strom Pipeline'!$D:$D,$U71)="","",INDEX('MiT Strom Pipeline'!$D:$D,$U71)))</f>
        <v/>
      </c>
      <c r="E71" s="27" t="str">
        <f>IF($U71="","",IF(INDEX('MiT Strom Pipeline'!$H:$H,$U71)="","",INDEX('MiT Strom Pipeline'!$H:$H,$U71)))</f>
        <v/>
      </c>
      <c r="F71" s="27" t="str">
        <f>IF($U71="","",IF(INDEX('MiT Strom Pipeline'!$E:$E,$U71)="","",INDEX('MiT Strom Pipeline'!$E:$E,$U71)))</f>
        <v/>
      </c>
      <c r="G71" s="28" t="str">
        <f>IF($U71="","",IF(ISNUMBER(INDEX('MiT Strom Pipeline'!$I:$I,$U71)),INDEX('MiT Strom Pipeline'!$I:$I,$U71),0))</f>
        <v/>
      </c>
      <c r="H71" s="28" t="str">
        <f>IF($U71="","",IF(ISNUMBER(INDEX('MiT Strom Pipeline'!$Q:$Q,$U71)),INDEX('MiT Strom Pipeline'!$Q:$Q,$U71),0))</f>
        <v/>
      </c>
      <c r="I71" s="27" t="str">
        <f>IF($U71="","",INDEX('MiT Strom Pipeline'!$R:$R,$U71))</f>
        <v/>
      </c>
      <c r="J71" s="29" t="str">
        <f>IF($U71="","",IF(ISNUMBER(INDEX('MiT Strom Pipeline'!$S:$S,$U71)),INDEX('MiT Strom Pipeline'!$S:$S,$U71),""))</f>
        <v/>
      </c>
      <c r="K71" s="27" t="str">
        <f>IF($U71="","",IF(LEN(INDEX('MiT Strom Pipeline'!$V:$V,$U71))&gt;0,LEFT(INDEX('MiT Strom Pipeline'!$V:$V,$U71),55),""))</f>
        <v/>
      </c>
      <c r="L71" s="22" t="n"/>
      <c r="M71" s="22" t="n"/>
      <c r="N71" s="22" t="n"/>
      <c r="O71" s="22" t="n"/>
      <c r="P71" s="22" t="n"/>
      <c r="Q71" s="22" t="n"/>
      <c r="R71" s="22" t="n"/>
      <c r="S71" s="22" t="n"/>
      <c r="U71" t="str">
        <f>IFERROR(MATCH(61,'MiT Strom Pipeline'!$AB$6:$AB$860,0)+5,"")</f>
        <v/>
      </c>
    </row>
    <row r="72" ht="19.5" customHeight="1">
      <c r="A72" s="26" t="str">
        <f>IF($U72="","",IF(ISNUMBER(INDEX('MiT Strom Pipeline'!$A:$A,$U72)),INDEX('MiT Strom Pipeline'!$A:$A,$U72),""))</f>
        <v/>
      </c>
      <c r="B72" s="27" t="str">
        <f>IF($U72="","",IF(INDEX('MiT Strom Pipeline'!$B:$B,$U72)="","",INDEX('MiT Strom Pipeline'!$B:$B,$U72)))</f>
        <v/>
      </c>
      <c r="C72" s="27" t="str">
        <f>IF($U72="","",IF(INDEX('MiT Strom Pipeline'!$C:$C,$U72)="","",INDEX('MiT Strom Pipeline'!$C:$C,$U72)))</f>
        <v/>
      </c>
      <c r="D72" s="27" t="str">
        <f>IF($U72="","",IF(INDEX('MiT Strom Pipeline'!$D:$D,$U72)="","",INDEX('MiT Strom Pipeline'!$D:$D,$U72)))</f>
        <v/>
      </c>
      <c r="E72" s="27" t="str">
        <f>IF($U72="","",IF(INDEX('MiT Strom Pipeline'!$H:$H,$U72)="","",INDEX('MiT Strom Pipeline'!$H:$H,$U72)))</f>
        <v/>
      </c>
      <c r="F72" s="27" t="str">
        <f>IF($U72="","",IF(INDEX('MiT Strom Pipeline'!$E:$E,$U72)="","",INDEX('MiT Strom Pipeline'!$E:$E,$U72)))</f>
        <v/>
      </c>
      <c r="G72" s="28" t="str">
        <f>IF($U72="","",IF(ISNUMBER(INDEX('MiT Strom Pipeline'!$I:$I,$U72)),INDEX('MiT Strom Pipeline'!$I:$I,$U72),0))</f>
        <v/>
      </c>
      <c r="H72" s="28" t="str">
        <f>IF($U72="","",IF(ISNUMBER(INDEX('MiT Strom Pipeline'!$Q:$Q,$U72)),INDEX('MiT Strom Pipeline'!$Q:$Q,$U72),0))</f>
        <v/>
      </c>
      <c r="I72" s="27" t="str">
        <f>IF($U72="","",INDEX('MiT Strom Pipeline'!$R:$R,$U72))</f>
        <v/>
      </c>
      <c r="J72" s="29" t="str">
        <f>IF($U72="","",IF(ISNUMBER(INDEX('MiT Strom Pipeline'!$S:$S,$U72)),INDEX('MiT Strom Pipeline'!$S:$S,$U72),""))</f>
        <v/>
      </c>
      <c r="K72" s="27" t="str">
        <f>IF($U72="","",IF(LEN(INDEX('MiT Strom Pipeline'!$V:$V,$U72))&gt;0,LEFT(INDEX('MiT Strom Pipeline'!$V:$V,$U72),55),""))</f>
        <v/>
      </c>
      <c r="L72" s="22" t="n"/>
      <c r="M72" s="22" t="n"/>
      <c r="N72" s="22" t="n"/>
      <c r="O72" s="22" t="n"/>
      <c r="P72" s="22" t="n"/>
      <c r="Q72" s="22" t="n"/>
      <c r="R72" s="22" t="n"/>
      <c r="S72" s="22" t="n"/>
      <c r="U72" t="str">
        <f>IFERROR(MATCH(62,'MiT Strom Pipeline'!$AB$6:$AB$860,0)+5,"")</f>
        <v/>
      </c>
    </row>
    <row r="73" ht="24" customHeight="1">
      <c r="A73" s="141" t="inlineStr">
        <is>
          <t>📄  2. OFFERTE — Versendete &amp; laufende Angebote</t>
        </is>
      </c>
      <c r="B73" s="189" t="n"/>
      <c r="C73" s="189" t="n"/>
      <c r="D73" s="189" t="n"/>
      <c r="E73" s="189" t="n"/>
      <c r="F73" s="189" t="n"/>
      <c r="G73" s="189" t="n"/>
      <c r="H73" s="189" t="n"/>
      <c r="I73" s="189" t="n"/>
      <c r="J73" s="189" t="n"/>
      <c r="K73" s="190" t="n"/>
      <c r="L73" s="22" t="n"/>
      <c r="M73" s="22" t="n"/>
      <c r="N73" s="22" t="n"/>
      <c r="O73" s="22" t="n"/>
      <c r="P73" s="22" t="n"/>
      <c r="Q73" s="22" t="n"/>
      <c r="R73" s="22" t="n"/>
      <c r="S73" s="22" t="n"/>
    </row>
    <row r="74" ht="19.5" customHeight="1">
      <c r="A74" s="25" t="inlineStr">
        <is>
          <t>#</t>
        </is>
      </c>
      <c r="B74" s="25" t="inlineStr">
        <is>
          <t>Kunde / Unternehmen</t>
        </is>
      </c>
      <c r="C74" s="25" t="inlineStr">
        <is>
          <t>Kt.</t>
        </is>
      </c>
      <c r="D74" s="25" t="inlineStr">
        <is>
          <t>Segment</t>
        </is>
      </c>
      <c r="E74" s="25" t="inlineStr">
        <is>
          <t>Start</t>
        </is>
      </c>
      <c r="F74" s="25" t="inlineStr">
        <is>
          <t>Leistung / Fleet</t>
        </is>
      </c>
      <c r="G74" s="25" t="inlineStr">
        <is>
          <t>Volumen CHF</t>
        </is>
      </c>
      <c r="H74" s="25" t="inlineStr">
        <is>
          <t>Gew.Wert CHF</t>
        </is>
      </c>
      <c r="I74" s="25" t="inlineStr">
        <is>
          <t>Status</t>
        </is>
      </c>
      <c r="J74" s="25" t="inlineStr">
        <is>
          <t>Wahr.%</t>
        </is>
      </c>
      <c r="K74" s="25" t="inlineStr">
        <is>
          <t>Nächster Schritt</t>
        </is>
      </c>
      <c r="L74" s="22" t="n"/>
      <c r="M74" s="22" t="n"/>
      <c r="N74" s="22" t="n"/>
      <c r="O74" s="22" t="n"/>
      <c r="P74" s="22" t="n"/>
      <c r="Q74" s="22" t="n"/>
      <c r="R74" s="22" t="n"/>
      <c r="S74" s="22" t="n"/>
    </row>
    <row r="75" ht="15.75" customHeight="1">
      <c r="A75" s="26">
        <f>IF($U75="","",IF(ISNUMBER(INDEX('MiT Strom Pipeline'!$A:$A,$U75)),INDEX('MiT Strom Pipeline'!$A:$A,$U75),""))</f>
        <v>15</v>
      </c>
      <c r="B75" s="27" t="str">
        <f>IF($U75="","",IF(INDEX('MiT Strom Pipeline'!$B:$B,$U75)="","",INDEX('MiT Strom Pipeline'!$B:$B,$U75)))</f>
        <v>Gotthard Base Tunnel</v>
      </c>
      <c r="C75" s="27" t="str">
        <f>IF($U75="","",IF(INDEX('MiT Strom Pipeline'!$C:$C,$U75)="","",INDEX('MiT Strom Pipeline'!$C:$C,$U75)))</f>
        <v>UR</v>
      </c>
      <c r="D75" s="27" t="str">
        <f>IF($U75="","",IF(INDEX('MiT Strom Pipeline'!$D:$D,$U75)="","",INDEX('MiT Strom Pipeline'!$D:$D,$U75)))</f>
        <v>Infrastruktur / Bahn</v>
      </c>
      <c r="E75" s="27" t="str">
        <f>IF($U75="","",IF(INDEX('MiT Strom Pipeline'!$H:$H,$U75)="","",INDEX('MiT Strom Pipeline'!$H:$H,$U75)))</f>
        <v>tbd</v>
      </c>
      <c r="F75" s="27" t="str">
        <f>IF($U75="","",IF(INDEX('MiT Strom Pipeline'!$E:$E,$U75)="","",INDEX('MiT Strom Pipeline'!$E:$E,$U75)))</f>
        <v>Grossanlage tbd</v>
      </c>
      <c r="G75" s="28">
        <f>IF($U75="","",IF(ISNUMBER(INDEX('MiT Strom Pipeline'!$I:$I,$U75)),INDEX('MiT Strom Pipeline'!$I:$I,$U75),0))</f>
        <v>0</v>
      </c>
      <c r="H75" s="28">
        <f>IF($U75="","",IF(ISNUMBER(INDEX('MiT Strom Pipeline'!$Q:$Q,$U75)),INDEX('MiT Strom Pipeline'!$Q:$Q,$U75),0))</f>
        <v>0</v>
      </c>
      <c r="I75" s="27" t="str">
        <f>IF($U75="","",INDEX('MiT Strom Pipeline'!$R:$R,$U75))</f>
        <v>on hold</v>
      </c>
      <c r="J75" s="29">
        <f>IF($U75="","",IF(ISNUMBER(INDEX('MiT Strom Pipeline'!$S:$S,$U75)),INDEX('MiT Strom Pipeline'!$S:$S,$U75),""))</f>
        <v>0.1</v>
      </c>
      <c r="K75" s="27" t="str">
        <f>IF($U75="","",IF(LEN(INDEX('MiT Strom Pipeline'!$V:$V,$U75))&gt;0,LEFT(INDEX('MiT Strom Pipeline'!$V:$V,$U75),55),""))</f>
        <v>Stakeholder identifizieren – AlpTransit/SBB kontaktiere</v>
      </c>
      <c r="L75" s="22" t="n"/>
      <c r="M75" s="22" t="n"/>
      <c r="N75" s="22" t="n"/>
      <c r="O75" s="22" t="n"/>
      <c r="P75" s="22" t="n"/>
      <c r="Q75" s="22" t="n"/>
      <c r="R75" s="22" t="n"/>
      <c r="S75" s="22" t="n"/>
      <c r="U75">
        <f>IFERROR(MATCH(1,'MiT Strom Pipeline'!$AC$6:$AC$860,0)+5,"")</f>
        <v>8</v>
      </c>
    </row>
    <row r="76" ht="15.75" customHeight="1">
      <c r="A76" s="26">
        <f>IF($U76="","",IF(ISNUMBER(INDEX('MiT Strom Pipeline'!$A:$A,$U76)),INDEX('MiT Strom Pipeline'!$A:$A,$U76),""))</f>
        <v>33</v>
      </c>
      <c r="B76" s="27" t="str">
        <f>IF($U76="","",IF(INDEX('MiT Strom Pipeline'!$B:$B,$U76)="","",INDEX('MiT Strom Pipeline'!$B:$B,$U76)))</f>
        <v>Oerlikon Metco Wohlen</v>
      </c>
      <c r="C76" s="27" t="str">
        <f>IF($U76="","",IF(INDEX('MiT Strom Pipeline'!$C:$C,$U76)="","",INDEX('MiT Strom Pipeline'!$C:$C,$U76)))</f>
        <v>AG</v>
      </c>
      <c r="D76" s="27" t="str">
        <f>IF($U76="","",IF(INDEX('MiT Strom Pipeline'!$D:$D,$U76)="","",INDEX('MiT Strom Pipeline'!$D:$D,$U76)))</f>
        <v>Industrie</v>
      </c>
      <c r="E76" s="27" t="str">
        <f>IF($U76="","",IF(INDEX('MiT Strom Pipeline'!$H:$H,$U76)="","",INDEX('MiT Strom Pipeline'!$H:$H,$U76)))</f>
        <v>August</v>
      </c>
      <c r="F76" s="27" t="str">
        <f>IF($U76="","",IF(INDEX('MiT Strom Pipeline'!$E:$E,$U76)="","",INDEX('MiT Strom Pipeline'!$E:$E,$U76)))</f>
        <v>300 kVA</v>
      </c>
      <c r="G76" s="28">
        <f>IF($U76="","",IF(ISNUMBER(INDEX('MiT Strom Pipeline'!$I:$I,$U76)),INDEX('MiT Strom Pipeline'!$I:$I,$U76),0))</f>
        <v>193598.12</v>
      </c>
      <c r="H76" s="28">
        <f>IF($U76="","",IF(ISNUMBER(INDEX('MiT Strom Pipeline'!$Q:$Q,$U76)),INDEX('MiT Strom Pipeline'!$Q:$Q,$U76),0))</f>
        <v>154878.496</v>
      </c>
      <c r="I76" s="27" t="str">
        <f>IF($U76="","",INDEX('MiT Strom Pipeline'!$R:$R,$U76))</f>
        <v>offered</v>
      </c>
      <c r="J76" s="29">
        <f>IF($U76="","",IF(ISNUMBER(INDEX('MiT Strom Pipeline'!$S:$S,$U76)),INDEX('MiT Strom Pipeline'!$S:$S,$U76),""))</f>
        <v>0.8</v>
      </c>
      <c r="K76" s="27" t="str">
        <f>IF($U76="","",IF(LEN(INDEX('MiT Strom Pipeline'!$V:$V,$U76))&gt;0,LEFT(INDEX('MiT Strom Pipeline'!$V:$V,$U76),55),""))</f>
        <v>Kunde wahr sehr Zufrieden mit dem 1. Auftrag und im Ans</v>
      </c>
      <c r="L76" s="22" t="n"/>
      <c r="M76" s="22" t="n"/>
      <c r="N76" s="22" t="n"/>
      <c r="O76" s="22" t="n"/>
      <c r="P76" s="22" t="n"/>
      <c r="Q76" s="22" t="n"/>
      <c r="R76" s="22" t="n"/>
      <c r="S76" s="22" t="n"/>
      <c r="U76">
        <f>IFERROR(MATCH(2,'MiT Strom Pipeline'!$AC$6:$AC$860,0)+5,"")</f>
        <v>16</v>
      </c>
    </row>
    <row r="77" ht="15.75" customHeight="1">
      <c r="A77" s="26">
        <f>IF($U77="","",IF(ISNUMBER(INDEX('MiT Strom Pipeline'!$A:$A,$U77)),INDEX('MiT Strom Pipeline'!$A:$A,$U77),""))</f>
        <v>33</v>
      </c>
      <c r="B77" s="27" t="str">
        <f>IF($U77="","",IF(INDEX('MiT Strom Pipeline'!$B:$B,$U77)="","",INDEX('MiT Strom Pipeline'!$B:$B,$U77)))</f>
        <v>Oerlikon Metco Wohlen</v>
      </c>
      <c r="C77" s="27" t="str">
        <f>IF($U77="","",IF(INDEX('MiT Strom Pipeline'!$C:$C,$U77)="","",INDEX('MiT Strom Pipeline'!$C:$C,$U77)))</f>
        <v>AG</v>
      </c>
      <c r="D77" s="27" t="str">
        <f>IF($U77="","",IF(INDEX('MiT Strom Pipeline'!$D:$D,$U77)="","",INDEX('MiT Strom Pipeline'!$D:$D,$U77)))</f>
        <v>Industrie</v>
      </c>
      <c r="E77" s="27" t="str">
        <f>IF($U77="","",IF(INDEX('MiT Strom Pipeline'!$H:$H,$U77)="","",INDEX('MiT Strom Pipeline'!$H:$H,$U77)))</f>
        <v>August</v>
      </c>
      <c r="F77" s="27" t="str">
        <f>IF($U77="","",IF(INDEX('MiT Strom Pipeline'!$E:$E,$U77)="","",INDEX('MiT Strom Pipeline'!$E:$E,$U77)))</f>
        <v>Kaltwasser 100 kW</v>
      </c>
      <c r="G77" s="28">
        <f>IF($U77="","",IF(ISNUMBER(INDEX('MiT Strom Pipeline'!$I:$I,$U77)),INDEX('MiT Strom Pipeline'!$I:$I,$U77),0))</f>
        <v>74902.11</v>
      </c>
      <c r="H77" s="28">
        <f>IF($U77="","",IF(ISNUMBER(INDEX('MiT Strom Pipeline'!$Q:$Q,$U77)),INDEX('MiT Strom Pipeline'!$Q:$Q,$U77),0))</f>
        <v>59921.688</v>
      </c>
      <c r="I77" s="27" t="str">
        <f>IF($U77="","",INDEX('MiT Strom Pipeline'!$R:$R,$U77))</f>
        <v>offered</v>
      </c>
      <c r="J77" s="29">
        <f>IF($U77="","",IF(ISNUMBER(INDEX('MiT Strom Pipeline'!$S:$S,$U77)),INDEX('MiT Strom Pipeline'!$S:$S,$U77),""))</f>
        <v>0.8</v>
      </c>
      <c r="K77" s="27" t="str">
        <f>IF($U77="","",IF(LEN(INDEX('MiT Strom Pipeline'!$V:$V,$U77))&gt;0,LEFT(INDEX('MiT Strom Pipeline'!$V:$V,$U77),55),""))</f>
        <v>Kunde wahr sehr Zufrieden mit dem 1. Auftrag und im Ans</v>
      </c>
      <c r="L77" s="22" t="n"/>
      <c r="M77" s="22" t="n"/>
      <c r="N77" s="22" t="n"/>
      <c r="O77" s="22" t="n"/>
      <c r="P77" s="22" t="n"/>
      <c r="Q77" s="22" t="n"/>
      <c r="R77" s="22" t="n"/>
      <c r="S77" s="22" t="n"/>
      <c r="U77">
        <f>IFERROR(MATCH(3,'MiT Strom Pipeline'!$AC$6:$AC$860,0)+5,"")</f>
        <v>17</v>
      </c>
    </row>
    <row r="78" ht="15.75" customHeight="1">
      <c r="A78" s="26">
        <f>IF($U78="","",IF(ISNUMBER(INDEX('MiT Strom Pipeline'!$A:$A,$U78)),INDEX('MiT Strom Pipeline'!$A:$A,$U78),""))</f>
        <v>28</v>
      </c>
      <c r="B78" s="27" t="str">
        <f>IF($U78="","",IF(INDEX('MiT Strom Pipeline'!$B:$B,$U78)="","",INDEX('MiT Strom Pipeline'!$B:$B,$U78)))</f>
        <v>WEF</v>
      </c>
      <c r="C78" s="27" t="str">
        <f>IF($U78="","",IF(INDEX('MiT Strom Pipeline'!$C:$C,$U78)="","",INDEX('MiT Strom Pipeline'!$C:$C,$U78)))</f>
        <v>GR</v>
      </c>
      <c r="D78" s="27" t="str">
        <f>IF($U78="","",IF(INDEX('MiT Strom Pipeline'!$D:$D,$U78)="","",INDEX('MiT Strom Pipeline'!$D:$D,$U78)))</f>
        <v>Event</v>
      </c>
      <c r="E78" s="27" t="str">
        <f>IF($U78="","",IF(INDEX('MiT Strom Pipeline'!$H:$H,$U78)="","",INDEX('MiT Strom Pipeline'!$H:$H,$U78)))</f>
        <v>Jan</v>
      </c>
      <c r="F78" s="27" t="str">
        <f>IF($U78="","",IF(INDEX('MiT Strom Pipeline'!$E:$E,$U78)="","",INDEX('MiT Strom Pipeline'!$E:$E,$U78)))</f>
        <v>1500 kVA, 600 kVA, 450 kVA, 450 kVA</v>
      </c>
      <c r="G78" s="28">
        <f>IF($U78="","",IF(ISNUMBER(INDEX('MiT Strom Pipeline'!$I:$I,$U78)),INDEX('MiT Strom Pipeline'!$I:$I,$U78),0))</f>
        <v>77325.62</v>
      </c>
      <c r="H78" s="28">
        <f>IF($U78="","",IF(ISNUMBER(INDEX('MiT Strom Pipeline'!$Q:$Q,$U78)),INDEX('MiT Strom Pipeline'!$Q:$Q,$U78),0))</f>
        <v>54127.934</v>
      </c>
      <c r="I78" s="27" t="str">
        <f>IF($U78="","",INDEX('MiT Strom Pipeline'!$R:$R,$U78))</f>
        <v>offered</v>
      </c>
      <c r="J78" s="29">
        <f>IF($U78="","",IF(ISNUMBER(INDEX('MiT Strom Pipeline'!$S:$S,$U78)),INDEX('MiT Strom Pipeline'!$S:$S,$U78),""))</f>
        <v>0.7</v>
      </c>
      <c r="K78" s="27" t="str">
        <f>IF($U78="","",IF(LEN(INDEX('MiT Strom Pipeline'!$V:$V,$U78))&gt;0,LEFT(INDEX('MiT Strom Pipeline'!$V:$V,$U78),55),""))</f>
        <v>Offerte erstellt, Stefan hat die Offerte bekommen, Stef</v>
      </c>
      <c r="L78" s="22" t="n"/>
      <c r="M78" s="22" t="n"/>
      <c r="N78" s="22" t="n"/>
      <c r="O78" s="22" t="n"/>
      <c r="P78" s="22" t="n"/>
      <c r="Q78" s="22" t="n"/>
      <c r="R78" s="22" t="n"/>
      <c r="S78" s="22" t="n"/>
      <c r="U78">
        <f>IFERROR(MATCH(4,'MiT Strom Pipeline'!$AC$6:$AC$860,0)+5,"")</f>
        <v>21</v>
      </c>
    </row>
    <row r="79" ht="15.75" customHeight="1">
      <c r="A79" s="26">
        <f>IF($U79="","",IF(ISNUMBER(INDEX('MiT Strom Pipeline'!$A:$A,$U79)),INDEX('MiT Strom Pipeline'!$A:$A,$U79),""))</f>
        <v>14</v>
      </c>
      <c r="B79" s="27" t="str">
        <f>IF($U79="","",IF(INDEX('MiT Strom Pipeline'!$B:$B,$U79)="","",INDEX('MiT Strom Pipeline'!$B:$B,$U79)))</f>
        <v>Trafag AG</v>
      </c>
      <c r="C79" s="27" t="str">
        <f>IF($U79="","",IF(INDEX('MiT Strom Pipeline'!$C:$C,$U79)="","",INDEX('MiT Strom Pipeline'!$C:$C,$U79)))</f>
        <v>ZH</v>
      </c>
      <c r="D79" s="27" t="str">
        <f>IF($U79="","",IF(INDEX('MiT Strom Pipeline'!$D:$D,$U79)="","",INDEX('MiT Strom Pipeline'!$D:$D,$U79)))</f>
        <v>Industrie / Messtechnik</v>
      </c>
      <c r="E79" s="27" t="str">
        <f>IF($U79="","",IF(INDEX('MiT Strom Pipeline'!$H:$H,$U79)="","",INDEX('MiT Strom Pipeline'!$H:$H,$U79)))</f>
        <v>tbd</v>
      </c>
      <c r="F79" s="27" t="str">
        <f>IF($U79="","",IF(INDEX('MiT Strom Pipeline'!$E:$E,$U79)="","",INDEX('MiT Strom Pipeline'!$E:$E,$U79)))</f>
        <v>450 kVA Generator</v>
      </c>
      <c r="G79" s="28">
        <f>IF($U79="","",IF(ISNUMBER(INDEX('MiT Strom Pipeline'!$I:$I,$U79)),INDEX('MiT Strom Pipeline'!$I:$I,$U79),0))</f>
        <v>17300</v>
      </c>
      <c r="H79" s="28">
        <f>IF($U79="","",IF(ISNUMBER(INDEX('MiT Strom Pipeline'!$Q:$Q,$U79)),INDEX('MiT Strom Pipeline'!$Q:$Q,$U79),0))</f>
        <v>8650</v>
      </c>
      <c r="I79" s="27" t="str">
        <f>IF($U79="","",INDEX('MiT Strom Pipeline'!$R:$R,$U79))</f>
        <v>offered</v>
      </c>
      <c r="J79" s="29">
        <f>IF($U79="","",IF(ISNUMBER(INDEX('MiT Strom Pipeline'!$S:$S,$U79)),INDEX('MiT Strom Pipeline'!$S:$S,$U79),""))</f>
        <v>0.5</v>
      </c>
      <c r="K79" s="27" t="str">
        <f>IF($U79="","",IF(LEN(INDEX('MiT Strom Pipeline'!$V:$V,$U79))&gt;0,LEFT(INDEX('MiT Strom Pipeline'!$V:$V,$U79),55),""))</f>
        <v>Angebot vorbereiten – PQ-Argument für Messtechnik, Stef</v>
      </c>
      <c r="L79" s="22" t="n"/>
      <c r="M79" s="22" t="n"/>
      <c r="N79" s="22" t="n"/>
      <c r="O79" s="22" t="n"/>
      <c r="P79" s="22" t="n"/>
      <c r="Q79" s="22" t="n"/>
      <c r="R79" s="22" t="n"/>
      <c r="S79" s="22" t="n"/>
      <c r="U79">
        <f>IFERROR(MATCH(5,'MiT Strom Pipeline'!$AC$6:$AC$860,0)+5,"")</f>
        <v>33</v>
      </c>
    </row>
    <row r="80" ht="15.75" customHeight="1">
      <c r="A80" s="26">
        <f>IF($U80="","",IF(ISNUMBER(INDEX('MiT Strom Pipeline'!$A:$A,$U80)),INDEX('MiT Strom Pipeline'!$A:$A,$U80),""))</f>
        <v>14</v>
      </c>
      <c r="B80" s="27" t="str">
        <f>IF($U80="","",IF(INDEX('MiT Strom Pipeline'!$B:$B,$U80)="","",INDEX('MiT Strom Pipeline'!$B:$B,$U80)))</f>
        <v>Trafag AG</v>
      </c>
      <c r="C80" s="27" t="str">
        <f>IF($U80="","",IF(INDEX('MiT Strom Pipeline'!$C:$C,$U80)="","",INDEX('MiT Strom Pipeline'!$C:$C,$U80)))</f>
        <v>ZH</v>
      </c>
      <c r="D80" s="27" t="str">
        <f>IF($U80="","",IF(INDEX('MiT Strom Pipeline'!$D:$D,$U80)="","",INDEX('MiT Strom Pipeline'!$D:$D,$U80)))</f>
        <v>Industrie / Messtechnik</v>
      </c>
      <c r="E80" s="27" t="str">
        <f>IF($U80="","",IF(INDEX('MiT Strom Pipeline'!$H:$H,$U80)="","",INDEX('MiT Strom Pipeline'!$H:$H,$U80)))</f>
        <v>tbd</v>
      </c>
      <c r="F80" s="27" t="str">
        <f>IF($U80="","",IF(INDEX('MiT Strom Pipeline'!$E:$E,$U80)="","",INDEX('MiT Strom Pipeline'!$E:$E,$U80)))</f>
        <v>BESS 500 kVA</v>
      </c>
      <c r="G80" s="28">
        <f>IF($U80="","",IF(ISNUMBER(INDEX('MiT Strom Pipeline'!$I:$I,$U80)),INDEX('MiT Strom Pipeline'!$I:$I,$U80),0))</f>
        <v>21025</v>
      </c>
      <c r="H80" s="28">
        <f>IF($U80="","",IF(ISNUMBER(INDEX('MiT Strom Pipeline'!$Q:$Q,$U80)),INDEX('MiT Strom Pipeline'!$Q:$Q,$U80),0))</f>
        <v>10512.5</v>
      </c>
      <c r="I80" s="27" t="str">
        <f>IF($U80="","",INDEX('MiT Strom Pipeline'!$R:$R,$U80))</f>
        <v>offered</v>
      </c>
      <c r="J80" s="29">
        <f>IF($U80="","",IF(ISNUMBER(INDEX('MiT Strom Pipeline'!$S:$S,$U80)),INDEX('MiT Strom Pipeline'!$S:$S,$U80),""))</f>
        <v>0.5</v>
      </c>
      <c r="K80" s="27" t="str">
        <f>IF($U80="","",IF(LEN(INDEX('MiT Strom Pipeline'!$V:$V,$U80))&gt;0,LEFT(INDEX('MiT Strom Pipeline'!$V:$V,$U80),55),""))</f>
        <v>Angebot vorbereiten – PQ-Argument für Messtechnik, Stef</v>
      </c>
      <c r="L80" s="22" t="n"/>
      <c r="M80" s="22" t="n"/>
      <c r="N80" s="22" t="n"/>
      <c r="O80" s="22" t="n"/>
      <c r="P80" s="22" t="n"/>
      <c r="Q80" s="22" t="n"/>
      <c r="R80" s="22" t="n"/>
      <c r="S80" s="22" t="n"/>
      <c r="U80">
        <f>IFERROR(MATCH(6,'MiT Strom Pipeline'!$AC$6:$AC$860,0)+5,"")</f>
        <v>35</v>
      </c>
    </row>
    <row r="81" ht="15.75" customHeight="1">
      <c r="A81" s="26">
        <f>IF($U81="","",IF(ISNUMBER(INDEX('MiT Strom Pipeline'!$A:$A,$U81)),INDEX('MiT Strom Pipeline'!$A:$A,$U81),""))</f>
        <v>14</v>
      </c>
      <c r="B81" s="27" t="str">
        <f>IF($U81="","",IF(INDEX('MiT Strom Pipeline'!$B:$B,$U81)="","",INDEX('MiT Strom Pipeline'!$B:$B,$U81)))</f>
        <v>Trafag AG</v>
      </c>
      <c r="C81" s="27" t="str">
        <f>IF($U81="","",IF(INDEX('MiT Strom Pipeline'!$C:$C,$U81)="","",INDEX('MiT Strom Pipeline'!$C:$C,$U81)))</f>
        <v>ZH</v>
      </c>
      <c r="D81" s="27" t="str">
        <f>IF($U81="","",IF(INDEX('MiT Strom Pipeline'!$D:$D,$U81)="","",INDEX('MiT Strom Pipeline'!$D:$D,$U81)))</f>
        <v>Industrie / Messtechnik</v>
      </c>
      <c r="E81" s="27" t="str">
        <f>IF($U81="","",IF(INDEX('MiT Strom Pipeline'!$H:$H,$U81)="","",INDEX('MiT Strom Pipeline'!$H:$H,$U81)))</f>
        <v>tbd</v>
      </c>
      <c r="F81" s="27" t="str">
        <f>IF($U81="","",IF(INDEX('MiT Strom Pipeline'!$E:$E,$U81)="","",INDEX('MiT Strom Pipeline'!$E:$E,$U81)))</f>
        <v>Kombi 450 kVA Generator / BESS 500 kVA</v>
      </c>
      <c r="G81" s="28">
        <f>IF($U81="","",IF(ISNUMBER(INDEX('MiT Strom Pipeline'!$I:$I,$U81)),INDEX('MiT Strom Pipeline'!$I:$I,$U81),0))</f>
        <v>37444</v>
      </c>
      <c r="H81" s="28">
        <f>IF($U81="","",IF(ISNUMBER(INDEX('MiT Strom Pipeline'!$Q:$Q,$U81)),INDEX('MiT Strom Pipeline'!$Q:$Q,$U81),0))</f>
        <v>18722</v>
      </c>
      <c r="I81" s="27" t="str">
        <f>IF($U81="","",INDEX('MiT Strom Pipeline'!$R:$R,$U81))</f>
        <v>offered</v>
      </c>
      <c r="J81" s="29">
        <f>IF($U81="","",IF(ISNUMBER(INDEX('MiT Strom Pipeline'!$S:$S,$U81)),INDEX('MiT Strom Pipeline'!$S:$S,$U81),""))</f>
        <v>0.5</v>
      </c>
      <c r="K81" s="27" t="str">
        <f>IF($U81="","",IF(LEN(INDEX('MiT Strom Pipeline'!$V:$V,$U81))&gt;0,LEFT(INDEX('MiT Strom Pipeline'!$V:$V,$U81),55),""))</f>
        <v>Angebot vorbereiten – PQ-Argument für Messtechnik, Stef</v>
      </c>
      <c r="L81" s="22" t="n"/>
      <c r="M81" s="22" t="n"/>
      <c r="N81" s="22" t="n"/>
      <c r="O81" s="22" t="n"/>
      <c r="P81" s="22" t="n"/>
      <c r="Q81" s="22" t="n"/>
      <c r="R81" s="22" t="n"/>
      <c r="S81" s="22" t="n"/>
      <c r="U81">
        <f>IFERROR(MATCH(7,'MiT Strom Pipeline'!$AC$6:$AC$860,0)+5,"")</f>
        <v>36</v>
      </c>
    </row>
    <row r="82" ht="15.75" customHeight="1">
      <c r="A82" s="26">
        <f>IF($U82="","",IF(ISNUMBER(INDEX('MiT Strom Pipeline'!$A:$A,$U82)),INDEX('MiT Strom Pipeline'!$A:$A,$U82),""))</f>
        <v>27</v>
      </c>
      <c r="B82" s="27" t="str">
        <f>IF($U82="","",IF(INDEX('MiT Strom Pipeline'!$B:$B,$U82)="","",INDEX('MiT Strom Pipeline'!$B:$B,$U82)))</f>
        <v>Rimus &amp; Sstrada</v>
      </c>
      <c r="C82" s="27" t="str">
        <f>IF($U82="","",IF(INDEX('MiT Strom Pipeline'!$C:$C,$U82)="","",INDEX('MiT Strom Pipeline'!$C:$C,$U82)))</f>
        <v>SH</v>
      </c>
      <c r="D82" s="27" t="str">
        <f>IF($U82="","",IF(INDEX('MiT Strom Pipeline'!$D:$D,$U82)="","",INDEX('MiT Strom Pipeline'!$D:$D,$U82)))</f>
        <v>Industrie</v>
      </c>
      <c r="E82" s="27" t="str">
        <f>IF($U82="","",IF(INDEX('MiT Strom Pipeline'!$H:$H,$U82)="","",INDEX('MiT Strom Pipeline'!$H:$H,$U82)))</f>
        <v>tbd</v>
      </c>
      <c r="F82" s="27" t="str">
        <f>IF($U82="","",IF(INDEX('MiT Strom Pipeline'!$E:$E,$U82)="","",INDEX('MiT Strom Pipeline'!$E:$E,$U82)))</f>
        <v>500 kWh Small BESS</v>
      </c>
      <c r="G82" s="28">
        <f>IF($U82="","",IF(ISNUMBER(INDEX('MiT Strom Pipeline'!$I:$I,$U82)),INDEX('MiT Strom Pipeline'!$I:$I,$U82),0))</f>
        <v>425955</v>
      </c>
      <c r="H82" s="28">
        <f>IF($U82="","",IF(ISNUMBER(INDEX('MiT Strom Pipeline'!$Q:$Q,$U82)),INDEX('MiT Strom Pipeline'!$Q:$Q,$U82),0))</f>
        <v>212977.5</v>
      </c>
      <c r="I82" s="27" t="str">
        <f>IF($U82="","",INDEX('MiT Strom Pipeline'!$R:$R,$U82))</f>
        <v>offered</v>
      </c>
      <c r="J82" s="29">
        <f>IF($U82="","",IF(ISNUMBER(INDEX('MiT Strom Pipeline'!$S:$S,$U82)),INDEX('MiT Strom Pipeline'!$S:$S,$U82),""))</f>
        <v>0.5</v>
      </c>
      <c r="K82" s="27" t="str">
        <f>IF($U82="","",IF(LEN(INDEX('MiT Strom Pipeline'!$V:$V,$U82))&gt;0,LEFT(INDEX('MiT Strom Pipeline'!$V:$V,$U82),55),""))</f>
        <v>Kunde Telefon Kontaktiert und Vor Ort 
Besichtigung und</v>
      </c>
      <c r="L82" s="22" t="n"/>
      <c r="M82" s="22" t="n"/>
      <c r="N82" s="22" t="n"/>
      <c r="O82" s="22" t="n"/>
      <c r="P82" s="22" t="n"/>
      <c r="Q82" s="22" t="n"/>
      <c r="R82" s="22" t="n"/>
      <c r="S82" s="22" t="n"/>
      <c r="U82">
        <f>IFERROR(MATCH(8,'MiT Strom Pipeline'!$AC$6:$AC$860,0)+5,"")</f>
        <v>37</v>
      </c>
    </row>
    <row r="83" ht="15.75" customHeight="1">
      <c r="A83" s="26">
        <f>IF($U83="","",IF(ISNUMBER(INDEX('MiT Strom Pipeline'!$A:$A,$U83)),INDEX('MiT Strom Pipeline'!$A:$A,$U83),""))</f>
        <v>27</v>
      </c>
      <c r="B83" s="27" t="str">
        <f>IF($U83="","",IF(INDEX('MiT Strom Pipeline'!$B:$B,$U83)="","",INDEX('MiT Strom Pipeline'!$B:$B,$U83)))</f>
        <v>Rimus &amp; Sstrada</v>
      </c>
      <c r="C83" s="27" t="str">
        <f>IF($U83="","",IF(INDEX('MiT Strom Pipeline'!$C:$C,$U83)="","",INDEX('MiT Strom Pipeline'!$C:$C,$U83)))</f>
        <v>SH</v>
      </c>
      <c r="D83" s="27" t="str">
        <f>IF($U83="","",IF(INDEX('MiT Strom Pipeline'!$D:$D,$U83)="","",INDEX('MiT Strom Pipeline'!$D:$D,$U83)))</f>
        <v>Industrie</v>
      </c>
      <c r="E83" s="27" t="str">
        <f>IF($U83="","",IF(INDEX('MiT Strom Pipeline'!$H:$H,$U83)="","",INDEX('MiT Strom Pipeline'!$H:$H,$U83)))</f>
        <v>tbd</v>
      </c>
      <c r="F83" s="27" t="str">
        <f>IF($U83="","",IF(INDEX('MiT Strom Pipeline'!$E:$E,$U83)="","",INDEX('MiT Strom Pipeline'!$E:$E,$U83)))</f>
        <v>1 MWh Medium BESS</v>
      </c>
      <c r="G83" s="28">
        <f>IF($U83="","",IF(ISNUMBER(INDEX('MiT Strom Pipeline'!$I:$I,$U83)),INDEX('MiT Strom Pipeline'!$I:$I,$U83),0))</f>
        <v>891330</v>
      </c>
      <c r="H83" s="28">
        <f>IF($U83="","",IF(ISNUMBER(INDEX('MiT Strom Pipeline'!$Q:$Q,$U83)),INDEX('MiT Strom Pipeline'!$Q:$Q,$U83),0))</f>
        <v>445665</v>
      </c>
      <c r="I83" s="27" t="str">
        <f>IF($U83="","",INDEX('MiT Strom Pipeline'!$R:$R,$U83))</f>
        <v>offered</v>
      </c>
      <c r="J83" s="29">
        <f>IF($U83="","",IF(ISNUMBER(INDEX('MiT Strom Pipeline'!$S:$S,$U83)),INDEX('MiT Strom Pipeline'!$S:$S,$U83),""))</f>
        <v>0.5</v>
      </c>
      <c r="K83" s="27" t="str">
        <f>IF($U83="","",IF(LEN(INDEX('MiT Strom Pipeline'!$V:$V,$U83))&gt;0,LEFT(INDEX('MiT Strom Pipeline'!$V:$V,$U83),55),""))</f>
        <v>Kunde Telefon Kontaktiert und Vor Ort 
Besichtigung und</v>
      </c>
      <c r="L83" s="22" t="n"/>
      <c r="M83" s="22" t="n"/>
      <c r="N83" s="22" t="n"/>
      <c r="O83" s="22" t="n"/>
      <c r="P83" s="22" t="n"/>
      <c r="Q83" s="22" t="n"/>
      <c r="R83" s="22" t="n"/>
      <c r="S83" s="22" t="n"/>
      <c r="U83">
        <f>IFERROR(MATCH(9,'MiT Strom Pipeline'!$AC$6:$AC$860,0)+5,"")</f>
        <v>38</v>
      </c>
    </row>
    <row r="84" ht="15.75" customHeight="1">
      <c r="A84" s="26">
        <f>IF($U84="","",IF(ISNUMBER(INDEX('MiT Strom Pipeline'!$A:$A,$U84)),INDEX('MiT Strom Pipeline'!$A:$A,$U84),""))</f>
        <v>27</v>
      </c>
      <c r="B84" s="27" t="str">
        <f>IF($U84="","",IF(INDEX('MiT Strom Pipeline'!$B:$B,$U84)="","",INDEX('MiT Strom Pipeline'!$B:$B,$U84)))</f>
        <v>Rimus &amp; Sstrada</v>
      </c>
      <c r="C84" s="27" t="str">
        <f>IF($U84="","",IF(INDEX('MiT Strom Pipeline'!$C:$C,$U84)="","",INDEX('MiT Strom Pipeline'!$C:$C,$U84)))</f>
        <v>SH</v>
      </c>
      <c r="D84" s="27" t="str">
        <f>IF($U84="","",IF(INDEX('MiT Strom Pipeline'!$D:$D,$U84)="","",INDEX('MiT Strom Pipeline'!$D:$D,$U84)))</f>
        <v>Industrie</v>
      </c>
      <c r="E84" s="27" t="str">
        <f>IF($U84="","",IF(INDEX('MiT Strom Pipeline'!$H:$H,$U84)="","",INDEX('MiT Strom Pipeline'!$H:$H,$U84)))</f>
        <v>tbd</v>
      </c>
      <c r="F84" s="27" t="str">
        <f>IF($U84="","",IF(INDEX('MiT Strom Pipeline'!$E:$E,$U84)="","",INDEX('MiT Strom Pipeline'!$E:$E,$U84)))</f>
        <v>1,5 MWh Large BESS</v>
      </c>
      <c r="G84" s="28">
        <f>IF($U84="","",IF(ISNUMBER(INDEX('MiT Strom Pipeline'!$I:$I,$U84)),INDEX('MiT Strom Pipeline'!$I:$I,$U84),0))</f>
        <v>1307430</v>
      </c>
      <c r="H84" s="28">
        <f>IF($U84="","",IF(ISNUMBER(INDEX('MiT Strom Pipeline'!$Q:$Q,$U84)),INDEX('MiT Strom Pipeline'!$Q:$Q,$U84),0))</f>
        <v>653715</v>
      </c>
      <c r="I84" s="27" t="str">
        <f>IF($U84="","",INDEX('MiT Strom Pipeline'!$R:$R,$U84))</f>
        <v>offered</v>
      </c>
      <c r="J84" s="29">
        <f>IF($U84="","",IF(ISNUMBER(INDEX('MiT Strom Pipeline'!$S:$S,$U84)),INDEX('MiT Strom Pipeline'!$S:$S,$U84),""))</f>
        <v>0.5</v>
      </c>
      <c r="K84" s="27" t="str">
        <f>IF($U84="","",IF(LEN(INDEX('MiT Strom Pipeline'!$V:$V,$U84))&gt;0,LEFT(INDEX('MiT Strom Pipeline'!$V:$V,$U84),55),""))</f>
        <v>Kunde Telefon Kontaktiert und Vor Ort 
Besichtigung und</v>
      </c>
      <c r="L84" s="22" t="n"/>
      <c r="M84" s="22" t="n"/>
      <c r="N84" s="22" t="n"/>
      <c r="O84" s="22" t="n"/>
      <c r="P84" s="22" t="n"/>
      <c r="Q84" s="22" t="n"/>
      <c r="R84" s="22" t="n"/>
      <c r="S84" s="22" t="n"/>
      <c r="U84">
        <f>IFERROR(MATCH(10,'MiT Strom Pipeline'!$AC$6:$AC$860,0)+5,"")</f>
        <v>39</v>
      </c>
    </row>
    <row r="85" ht="15.75" customHeight="1">
      <c r="A85" s="26">
        <f>IF($U85="","",IF(ISNUMBER(INDEX('MiT Strom Pipeline'!$A:$A,$U85)),INDEX('MiT Strom Pipeline'!$A:$A,$U85),""))</f>
        <v>34</v>
      </c>
      <c r="B85" s="27" t="str">
        <f>IF($U85="","",IF(INDEX('MiT Strom Pipeline'!$B:$B,$U85)="","",INDEX('MiT Strom Pipeline'!$B:$B,$U85)))</f>
        <v>Creabeton</v>
      </c>
      <c r="C85" s="27" t="str">
        <f>IF($U85="","",IF(INDEX('MiT Strom Pipeline'!$C:$C,$U85)="","",INDEX('MiT Strom Pipeline'!$C:$C,$U85)))</f>
        <v>BE</v>
      </c>
      <c r="D85" s="27" t="str">
        <f>IF($U85="","",IF(INDEX('MiT Strom Pipeline'!$D:$D,$U85)="","",INDEX('MiT Strom Pipeline'!$D:$D,$U85)))</f>
        <v>Infrastruktur / Bau</v>
      </c>
      <c r="E85" s="27" t="str">
        <f>IF($U85="","",IF(INDEX('MiT Strom Pipeline'!$H:$H,$U85)="","",INDEX('MiT Strom Pipeline'!$H:$H,$U85)))</f>
        <v>Juli</v>
      </c>
      <c r="F85" s="27" t="str">
        <f>IF($U85="","",IF(INDEX('MiT Strom Pipeline'!$E:$E,$U85)="","",INDEX('MiT Strom Pipeline'!$E:$E,$U85)))</f>
        <v>100 kVA Generator</v>
      </c>
      <c r="G85" s="28">
        <f>IF($U85="","",IF(ISNUMBER(INDEX('MiT Strom Pipeline'!$I:$I,$U85)),INDEX('MiT Strom Pipeline'!$I:$I,$U85),0))</f>
        <v>3232.41</v>
      </c>
      <c r="H85" s="28">
        <f>IF($U85="","",IF(ISNUMBER(INDEX('MiT Strom Pipeline'!$Q:$Q,$U85)),INDEX('MiT Strom Pipeline'!$Q:$Q,$U85),0))</f>
        <v>1616.205</v>
      </c>
      <c r="I85" s="27" t="str">
        <f>IF($U85="","",INDEX('MiT Strom Pipeline'!$R:$R,$U85))</f>
        <v>offered</v>
      </c>
      <c r="J85" s="29">
        <f>IF($U85="","",IF(ISNUMBER(INDEX('MiT Strom Pipeline'!$S:$S,$U85)),INDEX('MiT Strom Pipeline'!$S:$S,$U85),""))</f>
        <v>0.5</v>
      </c>
      <c r="K85" s="27" t="str">
        <f>IF($U85="","",IF(LEN(INDEX('MiT Strom Pipeline'!$V:$V,$U85))&gt;0,LEFT(INDEX('MiT Strom Pipeline'!$V:$V,$U85),55),""))</f>
        <v>Kunde angeschrieben, Warten auf Rückmeldung</v>
      </c>
      <c r="L85" s="22" t="n"/>
      <c r="M85" s="22" t="n"/>
      <c r="N85" s="22" t="n"/>
      <c r="O85" s="22" t="n"/>
      <c r="P85" s="22" t="n"/>
      <c r="Q85" s="22" t="n"/>
      <c r="R85" s="22" t="n"/>
      <c r="S85" s="22" t="n"/>
      <c r="U85">
        <f>IFERROR(MATCH(11,'MiT Strom Pipeline'!$AC$6:$AC$860,0)+5,"")</f>
        <v>40</v>
      </c>
    </row>
    <row r="86" ht="15.75" customHeight="1">
      <c r="A86" s="26">
        <f>IF($U86="","",IF(ISNUMBER(INDEX('MiT Strom Pipeline'!$A:$A,$U86)),INDEX('MiT Strom Pipeline'!$A:$A,$U86),""))</f>
        <v>38</v>
      </c>
      <c r="B86" s="27" t="str">
        <f>IF($U86="","",IF(INDEX('MiT Strom Pipeline'!$B:$B,$U86)="","",INDEX('MiT Strom Pipeline'!$B:$B,$U86)))</f>
        <v>Linde Gas Schweiz AG</v>
      </c>
      <c r="C86" s="27" t="str">
        <f>IF($U86="","",IF(INDEX('MiT Strom Pipeline'!$C:$C,$U86)="","",INDEX('MiT Strom Pipeline'!$C:$C,$U86)))</f>
        <v>LU</v>
      </c>
      <c r="D86" s="27" t="str">
        <f>IF($U86="","",IF(INDEX('MiT Strom Pipeline'!$D:$D,$U86)="","",INDEX('MiT Strom Pipeline'!$D:$D,$U86)))</f>
        <v>Industrie</v>
      </c>
      <c r="E86" s="191" t="str">
        <f>IF($U86="","",IF(INDEX('MiT Strom Pipeline'!$H:$H,$U86)="","",INDEX('MiT Strom Pipeline'!$H:$H,$U86)))</f>
        <v>Jan</v>
      </c>
      <c r="F86" s="27" t="str">
        <f>IF($U86="","",IF(INDEX('MiT Strom Pipeline'!$E:$E,$U86)="","",INDEX('MiT Strom Pipeline'!$E:$E,$U86)))</f>
        <v>60 kVA Generator</v>
      </c>
      <c r="G86" s="28">
        <f>IF($U86="","",IF(ISNUMBER(INDEX('MiT Strom Pipeline'!$I:$I,$U86)),INDEX('MiT Strom Pipeline'!$I:$I,$U86),0))</f>
        <v>3686.2</v>
      </c>
      <c r="H86" s="28">
        <f>IF($U86="","",IF(ISNUMBER(INDEX('MiT Strom Pipeline'!$Q:$Q,$U86)),INDEX('MiT Strom Pipeline'!$Q:$Q,$U86),0))</f>
        <v>1843.1</v>
      </c>
      <c r="I86" s="27" t="str">
        <f>IF($U86="","",INDEX('MiT Strom Pipeline'!$R:$R,$U86))</f>
        <v>offered</v>
      </c>
      <c r="J86" s="29">
        <f>IF($U86="","",IF(ISNUMBER(INDEX('MiT Strom Pipeline'!$S:$S,$U86)),INDEX('MiT Strom Pipeline'!$S:$S,$U86),""))</f>
        <v>0.5</v>
      </c>
      <c r="K86" s="27" t="str">
        <f>IF($U86="","",IF(LEN(INDEX('MiT Strom Pipeline'!$V:$V,$U86))&gt;0,LEFT(INDEX('MiT Strom Pipeline'!$V:$V,$U86),55),""))</f>
        <v/>
      </c>
      <c r="L86" s="22" t="n"/>
      <c r="M86" s="22" t="n"/>
      <c r="N86" s="22" t="n"/>
      <c r="O86" s="22" t="n"/>
      <c r="P86" s="22" t="n"/>
      <c r="Q86" s="22" t="n"/>
      <c r="R86" s="22" t="n"/>
      <c r="S86" s="22" t="n"/>
      <c r="U86">
        <f>IFERROR(MATCH(12,'MiT Strom Pipeline'!$AC$6:$AC$860,0)+5,"")</f>
        <v>42</v>
      </c>
    </row>
    <row r="87" ht="15.75" customHeight="1">
      <c r="A87" s="26">
        <f>IF($U87="","",IF(ISNUMBER(INDEX('MiT Strom Pipeline'!$A:$A,$U87)),INDEX('MiT Strom Pipeline'!$A:$A,$U87),""))</f>
        <v>39</v>
      </c>
      <c r="B87" s="27" t="str">
        <f>IF($U87="","",IF(INDEX('MiT Strom Pipeline'!$B:$B,$U87)="","",INDEX('MiT Strom Pipeline'!$B:$B,$U87)))</f>
        <v>Baumeler Leitungsbau AG</v>
      </c>
      <c r="C87" s="27" t="str">
        <f>IF($U87="","",IF(INDEX('MiT Strom Pipeline'!$C:$C,$U87)="","",INDEX('MiT Strom Pipeline'!$C:$C,$U87)))</f>
        <v>LU</v>
      </c>
      <c r="D87" s="27" t="str">
        <f>IF($U87="","",IF(INDEX('MiT Strom Pipeline'!$D:$D,$U87)="","",INDEX('MiT Strom Pipeline'!$D:$D,$U87)))</f>
        <v>Industrie</v>
      </c>
      <c r="E87" s="27" t="str">
        <f>IF($U87="","",IF(INDEX('MiT Strom Pipeline'!$H:$H,$U87)="","",INDEX('MiT Strom Pipeline'!$H:$H,$U87)))</f>
        <v>Juli</v>
      </c>
      <c r="F87" s="27" t="str">
        <f>IF($U87="","",IF(INDEX('MiT Strom Pipeline'!$E:$E,$U87)="","",INDEX('MiT Strom Pipeline'!$E:$E,$U87)))</f>
        <v>600 kVA </v>
      </c>
      <c r="G87" s="28">
        <f>IF($U87="","",IF(ISNUMBER(INDEX('MiT Strom Pipeline'!$I:$I,$U87)),INDEX('MiT Strom Pipeline'!$I:$I,$U87),0))</f>
        <v>8722.81</v>
      </c>
      <c r="H87" s="28">
        <f>IF($U87="","",IF(ISNUMBER(INDEX('MiT Strom Pipeline'!$Q:$Q,$U87)),INDEX('MiT Strom Pipeline'!$Q:$Q,$U87),0))</f>
        <v>4361.405</v>
      </c>
      <c r="I87" s="27" t="str">
        <f>IF($U87="","",INDEX('MiT Strom Pipeline'!$R:$R,$U87))</f>
        <v>offered</v>
      </c>
      <c r="J87" s="29">
        <f>IF($U87="","",IF(ISNUMBER(INDEX('MiT Strom Pipeline'!$S:$S,$U87)),INDEX('MiT Strom Pipeline'!$S:$S,$U87),""))</f>
        <v>0.5</v>
      </c>
      <c r="K87" s="27" t="str">
        <f>IF($U87="","",IF(LEN(INDEX('MiT Strom Pipeline'!$V:$V,$U87))&gt;0,LEFT(INDEX('MiT Strom Pipeline'!$V:$V,$U87),55),""))</f>
        <v>Kunde angeschrieben, Offerte erstellt, Kunde hat Offert</v>
      </c>
      <c r="L87" s="22" t="n"/>
      <c r="M87" s="22" t="n"/>
      <c r="N87" s="22" t="n"/>
      <c r="O87" s="22" t="n"/>
      <c r="P87" s="22" t="n"/>
      <c r="Q87" s="22" t="n"/>
      <c r="R87" s="22" t="n"/>
      <c r="S87" s="22" t="n"/>
      <c r="U87">
        <f>IFERROR(MATCH(13,'MiT Strom Pipeline'!$AC$6:$AC$860,0)+5,"")</f>
        <v>43</v>
      </c>
    </row>
    <row r="88" ht="15.75" customHeight="1">
      <c r="A88" s="26">
        <f>IF($U88="","",IF(ISNUMBER(INDEX('MiT Strom Pipeline'!$A:$A,$U88)),INDEX('MiT Strom Pipeline'!$A:$A,$U88),""))</f>
        <v>43</v>
      </c>
      <c r="B88" s="27" t="str">
        <f>IF($U88="","",IF(INDEX('MiT Strom Pipeline'!$B:$B,$U88)="","",INDEX('MiT Strom Pipeline'!$B:$B,$U88)))</f>
        <v>Equans Switzerland Kloten</v>
      </c>
      <c r="C88" s="27" t="str">
        <f>IF($U88="","",IF(INDEX('MiT Strom Pipeline'!$C:$C,$U88)="","",INDEX('MiT Strom Pipeline'!$C:$C,$U88)))</f>
        <v>ZH</v>
      </c>
      <c r="D88" s="27" t="str">
        <f>IF($U88="","",IF(INDEX('MiT Strom Pipeline'!$D:$D,$U88)="","",INDEX('MiT Strom Pipeline'!$D:$D,$U88)))</f>
        <v>Industrie</v>
      </c>
      <c r="E88" s="27" t="str">
        <f>IF($U88="","",IF(INDEX('MiT Strom Pipeline'!$H:$H,$U88)="","",INDEX('MiT Strom Pipeline'!$H:$H,$U88)))</f>
        <v>Dez</v>
      </c>
      <c r="F88" s="27" t="str">
        <f>IF($U88="","",IF(INDEX('MiT Strom Pipeline'!$E:$E,$U88)="","",INDEX('MiT Strom Pipeline'!$E:$E,$U88)))</f>
        <v>600 kVA</v>
      </c>
      <c r="G88" s="28">
        <f>IF($U88="","",IF(ISNUMBER(INDEX('MiT Strom Pipeline'!$I:$I,$U88)),INDEX('MiT Strom Pipeline'!$I:$I,$U88),0))</f>
        <v>224236.15</v>
      </c>
      <c r="H88" s="28">
        <f>IF($U88="","",IF(ISNUMBER(INDEX('MiT Strom Pipeline'!$Q:$Q,$U88)),INDEX('MiT Strom Pipeline'!$Q:$Q,$U88),0))</f>
        <v>112118.075</v>
      </c>
      <c r="I88" s="27" t="str">
        <f>IF($U88="","",INDEX('MiT Strom Pipeline'!$R:$R,$U88))</f>
        <v>offered</v>
      </c>
      <c r="J88" s="29">
        <f>IF($U88="","",IF(ISNUMBER(INDEX('MiT Strom Pipeline'!$S:$S,$U88)),INDEX('MiT Strom Pipeline'!$S:$S,$U88),""))</f>
        <v>0.5</v>
      </c>
      <c r="K88" s="27" t="str">
        <f>IF($U88="","",IF(LEN(INDEX('MiT Strom Pipeline'!$V:$V,$U88))&gt;0,LEFT(INDEX('MiT Strom Pipeline'!$V:$V,$U88),55),""))</f>
        <v>Kunde angeschrieben, Offerte erstellt, Kunde hat Offert</v>
      </c>
      <c r="L88" s="22" t="n"/>
      <c r="M88" s="22" t="n"/>
      <c r="N88" s="22" t="n"/>
      <c r="O88" s="22" t="n"/>
      <c r="P88" s="22" t="n"/>
      <c r="Q88" s="22" t="n"/>
      <c r="R88" s="22" t="n"/>
      <c r="S88" s="22" t="n"/>
      <c r="U88">
        <f>IFERROR(MATCH(14,'MiT Strom Pipeline'!$AC$6:$AC$860,0)+5,"")</f>
        <v>53</v>
      </c>
    </row>
    <row r="89" ht="15.75" customHeight="1">
      <c r="A89" s="26">
        <f>IF($U89="","",IF(ISNUMBER(INDEX('MiT Strom Pipeline'!$A:$A,$U89)),INDEX('MiT Strom Pipeline'!$A:$A,$U89),""))</f>
        <v>44</v>
      </c>
      <c r="B89" s="27" t="str">
        <f>IF($U89="","",IF(INDEX('MiT Strom Pipeline'!$B:$B,$U89)="","",INDEX('MiT Strom Pipeline'!$B:$B,$U89)))</f>
        <v>Equans Switzerland Kloten</v>
      </c>
      <c r="C89" s="27" t="str">
        <f>IF($U89="","",IF(INDEX('MiT Strom Pipeline'!$C:$C,$U89)="","",INDEX('MiT Strom Pipeline'!$C:$C,$U89)))</f>
        <v>ZH</v>
      </c>
      <c r="D89" s="27" t="str">
        <f>IF($U89="","",IF(INDEX('MiT Strom Pipeline'!$D:$D,$U89)="","",INDEX('MiT Strom Pipeline'!$D:$D,$U89)))</f>
        <v>Industrie</v>
      </c>
      <c r="E89" s="27" t="str">
        <f>IF($U89="","",IF(INDEX('MiT Strom Pipeline'!$H:$H,$U89)="","",INDEX('MiT Strom Pipeline'!$H:$H,$U89)))</f>
        <v>Juli</v>
      </c>
      <c r="F89" s="27" t="str">
        <f>IF($U89="","",IF(INDEX('MiT Strom Pipeline'!$E:$E,$U89)="","",INDEX('MiT Strom Pipeline'!$E:$E,$U89)))</f>
        <v>300 kVA</v>
      </c>
      <c r="G89" s="28">
        <f>IF($U89="","",IF(ISNUMBER(INDEX('MiT Strom Pipeline'!$I:$I,$U89)),INDEX('MiT Strom Pipeline'!$I:$I,$U89),0))</f>
        <v>31077.89</v>
      </c>
      <c r="H89" s="28">
        <f>IF($U89="","",IF(ISNUMBER(INDEX('MiT Strom Pipeline'!$Q:$Q,$U89)),INDEX('MiT Strom Pipeline'!$Q:$Q,$U89),0))</f>
        <v>15538.945</v>
      </c>
      <c r="I89" s="27" t="str">
        <f>IF($U89="","",INDEX('MiT Strom Pipeline'!$R:$R,$U89))</f>
        <v>offered</v>
      </c>
      <c r="J89" s="29">
        <f>IF($U89="","",IF(ISNUMBER(INDEX('MiT Strom Pipeline'!$S:$S,$U89)),INDEX('MiT Strom Pipeline'!$S:$S,$U89),""))</f>
        <v>0.5</v>
      </c>
      <c r="K89" s="27" t="str">
        <f>IF($U89="","",IF(LEN(INDEX('MiT Strom Pipeline'!$V:$V,$U89))&gt;0,LEFT(INDEX('MiT Strom Pipeline'!$V:$V,$U89),55),""))</f>
        <v>Kunde angeschrieben, Offerte erstellt, Kunde hat Offert</v>
      </c>
      <c r="L89" s="22" t="n"/>
      <c r="M89" s="22" t="n"/>
      <c r="N89" s="22" t="n"/>
      <c r="O89" s="22" t="n"/>
      <c r="P89" s="22" t="n"/>
      <c r="Q89" s="22" t="n"/>
      <c r="R89" s="22" t="n"/>
      <c r="S89" s="22" t="n"/>
      <c r="U89">
        <f>IFERROR(MATCH(15,'MiT Strom Pipeline'!$AC$6:$AC$860,0)+5,"")</f>
        <v>54</v>
      </c>
    </row>
    <row r="90" ht="15.75" customHeight="1">
      <c r="A90" s="26">
        <f>IF($U90="","",IF(ISNUMBER(INDEX('MiT Strom Pipeline'!$A:$A,$U90)),INDEX('MiT Strom Pipeline'!$A:$A,$U90),""))</f>
        <v>45</v>
      </c>
      <c r="B90" s="27" t="str">
        <f>IF($U90="","",IF(INDEX('MiT Strom Pipeline'!$B:$B,$U90)="","",INDEX('MiT Strom Pipeline'!$B:$B,$U90)))</f>
        <v>ETAVIS Basel</v>
      </c>
      <c r="C90" s="27" t="str">
        <f>IF($U90="","",IF(INDEX('MiT Strom Pipeline'!$C:$C,$U90)="","",INDEX('MiT Strom Pipeline'!$C:$C,$U90)))</f>
        <v>BS</v>
      </c>
      <c r="D90" s="27" t="str">
        <f>IF($U90="","",IF(INDEX('MiT Strom Pipeline'!$D:$D,$U90)="","",INDEX('MiT Strom Pipeline'!$D:$D,$U90)))</f>
        <v>Elektroinstallation</v>
      </c>
      <c r="E90" s="27" t="str">
        <f>IF($U90="","",IF(INDEX('MiT Strom Pipeline'!$H:$H,$U90)="","",INDEX('MiT Strom Pipeline'!$H:$H,$U90)))</f>
        <v>Juli</v>
      </c>
      <c r="F90" s="27" t="str">
        <f>IF($U90="","",IF(INDEX('MiT Strom Pipeline'!$E:$E,$U90)="","",INDEX('MiT Strom Pipeline'!$E:$E,$U90)))</f>
        <v>300 kVA</v>
      </c>
      <c r="G90" s="28">
        <f>IF($U90="","",IF(ISNUMBER(INDEX('MiT Strom Pipeline'!$I:$I,$U90)),INDEX('MiT Strom Pipeline'!$I:$I,$U90),0))</f>
        <v>13866.21</v>
      </c>
      <c r="H90" s="28">
        <f>IF($U90="","",IF(ISNUMBER(INDEX('MiT Strom Pipeline'!$Q:$Q,$U90)),INDEX('MiT Strom Pipeline'!$Q:$Q,$U90),0))</f>
        <v>6933.105</v>
      </c>
      <c r="I90" s="27" t="str">
        <f>IF($U90="","",INDEX('MiT Strom Pipeline'!$R:$R,$U90))</f>
        <v>offered</v>
      </c>
      <c r="J90" s="29">
        <f>IF($U90="","",IF(ISNUMBER(INDEX('MiT Strom Pipeline'!$S:$S,$U90)),INDEX('MiT Strom Pipeline'!$S:$S,$U90),""))</f>
        <v>0.5</v>
      </c>
      <c r="K90" s="27" t="str">
        <f>IF($U90="","",IF(LEN(INDEX('MiT Strom Pipeline'!$V:$V,$U90))&gt;0,LEFT(INDEX('MiT Strom Pipeline'!$V:$V,$U90),55),""))</f>
        <v>Kunde angeschrieben, Offerte erstellt, Kunde hat Offert</v>
      </c>
      <c r="L90" s="22" t="n"/>
      <c r="M90" s="22" t="n"/>
      <c r="N90" s="22" t="n"/>
      <c r="O90" s="22" t="n"/>
      <c r="P90" s="22" t="n"/>
      <c r="Q90" s="22" t="n"/>
      <c r="R90" s="22" t="n"/>
      <c r="S90" s="22" t="n"/>
      <c r="U90">
        <f>IFERROR(MATCH(16,'MiT Strom Pipeline'!$AC$6:$AC$860,0)+5,"")</f>
        <v>55</v>
      </c>
    </row>
    <row r="91" ht="15.75" customHeight="1">
      <c r="A91" s="26">
        <f>IF($U91="","",IF(ISNUMBER(INDEX('MiT Strom Pipeline'!$A:$A,$U91)),INDEX('MiT Strom Pipeline'!$A:$A,$U91),""))</f>
        <v>48</v>
      </c>
      <c r="B91" s="27" t="str">
        <f>IF($U91="","",IF(INDEX('MiT Strom Pipeline'!$B:$B,$U91)="","",INDEX('MiT Strom Pipeline'!$B:$B,$U91)))</f>
        <v>Coutaz CVS SA</v>
      </c>
      <c r="C91" s="27" t="str">
        <f>IF($U91="","",IF(INDEX('MiT Strom Pipeline'!$C:$C,$U91)="","",INDEX('MiT Strom Pipeline'!$C:$C,$U91)))</f>
        <v>VS</v>
      </c>
      <c r="D91" s="27" t="str">
        <f>IF($U91="","",IF(INDEX('MiT Strom Pipeline'!$D:$D,$U91)="","",INDEX('MiT Strom Pipeline'!$D:$D,$U91)))</f>
        <v>EVU</v>
      </c>
      <c r="E91" s="27" t="str">
        <f>IF($U91="","",IF(INDEX('MiT Strom Pipeline'!$H:$H,$U91)="","",INDEX('MiT Strom Pipeline'!$H:$H,$U91)))</f>
        <v>Okt</v>
      </c>
      <c r="F91" s="27" t="str">
        <f>IF($U91="","",IF(INDEX('MiT Strom Pipeline'!$E:$E,$U91)="","",INDEX('MiT Strom Pipeline'!$E:$E,$U91)))</f>
        <v>600 kVA, 200 kVA</v>
      </c>
      <c r="G91" s="28">
        <f>IF($U91="","",IF(ISNUMBER(INDEX('MiT Strom Pipeline'!$I:$I,$U91)),INDEX('MiT Strom Pipeline'!$I:$I,$U91),0))</f>
        <v>190701.37</v>
      </c>
      <c r="H91" s="28">
        <f>IF($U91="","",IF(ISNUMBER(INDEX('MiT Strom Pipeline'!$Q:$Q,$U91)),INDEX('MiT Strom Pipeline'!$Q:$Q,$U91),0))</f>
        <v>95350.685</v>
      </c>
      <c r="I91" s="27" t="str">
        <f>IF($U91="","",INDEX('MiT Strom Pipeline'!$R:$R,$U91))</f>
        <v>offered</v>
      </c>
      <c r="J91" s="29">
        <f>IF($U91="","",IF(ISNUMBER(INDEX('MiT Strom Pipeline'!$S:$S,$U91)),INDEX('MiT Strom Pipeline'!$S:$S,$U91),""))</f>
        <v>0.5</v>
      </c>
      <c r="K91" s="27" t="str">
        <f>IF($U91="","",IF(LEN(INDEX('MiT Strom Pipeline'!$V:$V,$U91))&gt;0,LEFT(INDEX('MiT Strom Pipeline'!$V:$V,$U91),55),""))</f>
        <v>Kunde angeschrieben, Offerte erstellt, Kunde hat Offert</v>
      </c>
      <c r="L91" s="22" t="n"/>
      <c r="M91" s="22" t="n"/>
      <c r="N91" s="22" t="n"/>
      <c r="O91" s="22" t="n"/>
      <c r="P91" s="22" t="n"/>
      <c r="Q91" s="22" t="n"/>
      <c r="R91" s="22" t="n"/>
      <c r="S91" s="22" t="n"/>
      <c r="U91">
        <f>IFERROR(MATCH(17,'MiT Strom Pipeline'!$AC$6:$AC$860,0)+5,"")</f>
        <v>58</v>
      </c>
    </row>
    <row r="92" ht="15.75" customHeight="1">
      <c r="A92" s="26">
        <f>IF($U92="","",IF(ISNUMBER(INDEX('MiT Strom Pipeline'!$A:$A,$U92)),INDEX('MiT Strom Pipeline'!$A:$A,$U92),""))</f>
        <v>49</v>
      </c>
      <c r="B92" s="27" t="str">
        <f>IF($U92="","",IF(INDEX('MiT Strom Pipeline'!$B:$B,$U92)="","",INDEX('MiT Strom Pipeline'!$B:$B,$U92)))</f>
        <v>Romand Energei SA</v>
      </c>
      <c r="C92" s="27" t="str">
        <f>IF($U92="","",IF(INDEX('MiT Strom Pipeline'!$C:$C,$U92)="","",INDEX('MiT Strom Pipeline'!$C:$C,$U92)))</f>
        <v>VS</v>
      </c>
      <c r="D92" s="27" t="str">
        <f>IF($U92="","",IF(INDEX('MiT Strom Pipeline'!$D:$D,$U92)="","",INDEX('MiT Strom Pipeline'!$D:$D,$U92)))</f>
        <v>EVU</v>
      </c>
      <c r="E92" s="27" t="str">
        <f>IF($U92="","",IF(INDEX('MiT Strom Pipeline'!$H:$H,$U92)="","",INDEX('MiT Strom Pipeline'!$H:$H,$U92)))</f>
        <v>Aug</v>
      </c>
      <c r="F92" s="27" t="str">
        <f>IF($U92="","",IF(INDEX('MiT Strom Pipeline'!$E:$E,$U92)="","",INDEX('MiT Strom Pipeline'!$E:$E,$U92)))</f>
        <v>600 kVA</v>
      </c>
      <c r="G92" s="28">
        <f>IF($U92="","",IF(ISNUMBER(INDEX('MiT Strom Pipeline'!$I:$I,$U92)),INDEX('MiT Strom Pipeline'!$I:$I,$U92),0))</f>
        <v>32467.62</v>
      </c>
      <c r="H92" s="28">
        <f>IF($U92="","",IF(ISNUMBER(INDEX('MiT Strom Pipeline'!$Q:$Q,$U92)),INDEX('MiT Strom Pipeline'!$Q:$Q,$U92),0))</f>
        <v>16233.81</v>
      </c>
      <c r="I92" s="27" t="str">
        <f>IF($U92="","",INDEX('MiT Strom Pipeline'!$R:$R,$U92))</f>
        <v>offered</v>
      </c>
      <c r="J92" s="29">
        <f>IF($U92="","",IF(ISNUMBER(INDEX('MiT Strom Pipeline'!$S:$S,$U92)),INDEX('MiT Strom Pipeline'!$S:$S,$U92),""))</f>
        <v>0.5</v>
      </c>
      <c r="K92" s="27" t="str">
        <f>IF($U92="","",IF(LEN(INDEX('MiT Strom Pipeline'!$V:$V,$U92))&gt;0,LEFT(INDEX('MiT Strom Pipeline'!$V:$V,$U92),55),""))</f>
        <v>Kunde angeschrieben, Offerte erstellt, Kunde hat Offert</v>
      </c>
      <c r="L92" s="22" t="n"/>
      <c r="M92" s="22" t="n"/>
      <c r="N92" s="22" t="n"/>
      <c r="O92" s="22" t="n"/>
      <c r="P92" s="22" t="n"/>
      <c r="Q92" s="22" t="n"/>
      <c r="R92" s="22" t="n"/>
      <c r="S92" s="22" t="n"/>
      <c r="U92">
        <f>IFERROR(MATCH(18,'MiT Strom Pipeline'!$AC$6:$AC$860,0)+5,"")</f>
        <v>59</v>
      </c>
    </row>
    <row r="93" ht="15.75" customHeight="1">
      <c r="A93" s="26">
        <f>IF($U93="","",IF(ISNUMBER(INDEX('MiT Strom Pipeline'!$A:$A,$U93)),INDEX('MiT Strom Pipeline'!$A:$A,$U93),""))</f>
        <v>50</v>
      </c>
      <c r="B93" s="27" t="str">
        <f>IF($U93="","",IF(INDEX('MiT Strom Pipeline'!$B:$B,$U93)="","",INDEX('MiT Strom Pipeline'!$B:$B,$U93)))</f>
        <v>EIDG AMT Agroscope</v>
      </c>
      <c r="C93" s="27" t="str">
        <f>IF($U93="","",IF(INDEX('MiT Strom Pipeline'!$C:$C,$U93)="","",INDEX('MiT Strom Pipeline'!$C:$C,$U93)))</f>
        <v>ZH</v>
      </c>
      <c r="D93" s="27" t="str">
        <f>IF($U93="","",IF(INDEX('MiT Strom Pipeline'!$D:$D,$U93)="","",INDEX('MiT Strom Pipeline'!$D:$D,$U93)))</f>
        <v>Forschung</v>
      </c>
      <c r="E93" s="27" t="str">
        <f>IF($U93="","",IF(INDEX('MiT Strom Pipeline'!$H:$H,$U93)="","",INDEX('MiT Strom Pipeline'!$H:$H,$U93)))</f>
        <v>Aug</v>
      </c>
      <c r="F93" s="27" t="str">
        <f>IF($U93="","",IF(INDEX('MiT Strom Pipeline'!$E:$E,$U93)="","",INDEX('MiT Strom Pipeline'!$E:$E,$U93)))</f>
        <v>450 kVA</v>
      </c>
      <c r="G93" s="28">
        <f>IF($U93="","",IF(ISNUMBER(INDEX('MiT Strom Pipeline'!$I:$I,$U93)),INDEX('MiT Strom Pipeline'!$I:$I,$U93),0))</f>
        <v>5257.44</v>
      </c>
      <c r="H93" s="28">
        <f>IF($U93="","",IF(ISNUMBER(INDEX('MiT Strom Pipeline'!$Q:$Q,$U93)),INDEX('MiT Strom Pipeline'!$Q:$Q,$U93),0))</f>
        <v>2628.72</v>
      </c>
      <c r="I93" s="27" t="str">
        <f>IF($U93="","",INDEX('MiT Strom Pipeline'!$R:$R,$U93))</f>
        <v>offered</v>
      </c>
      <c r="J93" s="29">
        <f>IF($U93="","",IF(ISNUMBER(INDEX('MiT Strom Pipeline'!$S:$S,$U93)),INDEX('MiT Strom Pipeline'!$S:$S,$U93),""))</f>
        <v>0.5</v>
      </c>
      <c r="K93" s="27" t="str">
        <f>IF($U93="","",IF(LEN(INDEX('MiT Strom Pipeline'!$V:$V,$U93))&gt;0,LEFT(INDEX('MiT Strom Pipeline'!$V:$V,$U93),55),""))</f>
        <v>Kunde angeschrieben, Offerte erstellt, Kunde hat Offert</v>
      </c>
      <c r="L93" s="22" t="n"/>
      <c r="M93" s="22" t="n"/>
      <c r="N93" s="22" t="n"/>
      <c r="O93" s="22" t="n"/>
      <c r="P93" s="22" t="n"/>
      <c r="Q93" s="22" t="n"/>
      <c r="R93" s="22" t="n"/>
      <c r="S93" s="22" t="n"/>
      <c r="U93">
        <f>IFERROR(MATCH(19,'MiT Strom Pipeline'!$AC$6:$AC$860,0)+5,"")</f>
        <v>60</v>
      </c>
    </row>
    <row r="94" ht="15.75" customHeight="1">
      <c r="A94" s="26" t="str">
        <f>IF($U94="","",IF(ISNUMBER(INDEX('MiT Strom Pipeline'!$A:$A,$U94)),INDEX('MiT Strom Pipeline'!$A:$A,$U94),""))</f>
        <v/>
      </c>
      <c r="B94" s="27" t="str">
        <f>IF($U94="","",IF(INDEX('MiT Strom Pipeline'!$B:$B,$U94)="","",INDEX('MiT Strom Pipeline'!$B:$B,$U94)))</f>
        <v/>
      </c>
      <c r="C94" s="27" t="str">
        <f>IF($U94="","",IF(INDEX('MiT Strom Pipeline'!$C:$C,$U94)="","",INDEX('MiT Strom Pipeline'!$C:$C,$U94)))</f>
        <v/>
      </c>
      <c r="D94" s="27" t="str">
        <f>IF($U94="","",IF(INDEX('MiT Strom Pipeline'!$D:$D,$U94)="","",INDEX('MiT Strom Pipeline'!$D:$D,$U94)))</f>
        <v/>
      </c>
      <c r="E94" s="27" t="str">
        <f>IF($U94="","",IF(INDEX('MiT Strom Pipeline'!$H:$H,$U94)="","",INDEX('MiT Strom Pipeline'!$H:$H,$U94)))</f>
        <v/>
      </c>
      <c r="F94" s="27" t="str">
        <f>IF($U94="","",IF(INDEX('MiT Strom Pipeline'!$E:$E,$U94)="","",INDEX('MiT Strom Pipeline'!$E:$E,$U94)))</f>
        <v/>
      </c>
      <c r="G94" s="28" t="str">
        <f>IF($U94="","",IF(ISNUMBER(INDEX('MiT Strom Pipeline'!$I:$I,$U94)),INDEX('MiT Strom Pipeline'!$I:$I,$U94),0))</f>
        <v/>
      </c>
      <c r="H94" s="28" t="str">
        <f>IF($U94="","",IF(ISNUMBER(INDEX('MiT Strom Pipeline'!$Q:$Q,$U94)),INDEX('MiT Strom Pipeline'!$Q:$Q,$U94),0))</f>
        <v/>
      </c>
      <c r="I94" s="27" t="str">
        <f>IF($U94="","",INDEX('MiT Strom Pipeline'!$R:$R,$U94))</f>
        <v/>
      </c>
      <c r="J94" s="29" t="str">
        <f>IF($U94="","",IF(ISNUMBER(INDEX('MiT Strom Pipeline'!$S:$S,$U94)),INDEX('MiT Strom Pipeline'!$S:$S,$U94),""))</f>
        <v/>
      </c>
      <c r="K94" s="27" t="str">
        <f>IF($U94="","",IF(LEN(INDEX('MiT Strom Pipeline'!$V:$V,$U94))&gt;0,LEFT(INDEX('MiT Strom Pipeline'!$V:$V,$U94),55),""))</f>
        <v/>
      </c>
      <c r="L94" s="22" t="n"/>
      <c r="M94" s="22" t="n"/>
      <c r="N94" s="22" t="n"/>
      <c r="O94" s="22" t="n"/>
      <c r="P94" s="22" t="n"/>
      <c r="Q94" s="22" t="n"/>
      <c r="R94" s="22" t="n"/>
      <c r="S94" s="22" t="n"/>
      <c r="U94" t="str">
        <f>IFERROR(MATCH(20,'MiT Strom Pipeline'!$AC$6:$AC$860,0)+5,"")</f>
        <v/>
      </c>
    </row>
    <row r="95" ht="15.75" customHeight="1">
      <c r="A95" s="26" t="str">
        <f>IF($U95="","",IF(ISNUMBER(INDEX('MiT Strom Pipeline'!$A:$A,$U95)),INDEX('MiT Strom Pipeline'!$A:$A,$U95),""))</f>
        <v/>
      </c>
      <c r="B95" s="27" t="str">
        <f>IF($U95="","",IF(INDEX('MiT Strom Pipeline'!$B:$B,$U95)="","",INDEX('MiT Strom Pipeline'!$B:$B,$U95)))</f>
        <v/>
      </c>
      <c r="C95" s="27" t="str">
        <f>IF($U95="","",IF(INDEX('MiT Strom Pipeline'!$C:$C,$U95)="","",INDEX('MiT Strom Pipeline'!$C:$C,$U95)))</f>
        <v/>
      </c>
      <c r="D95" s="27" t="str">
        <f>IF($U95="","",IF(INDEX('MiT Strom Pipeline'!$D:$D,$U95)="","",INDEX('MiT Strom Pipeline'!$D:$D,$U95)))</f>
        <v/>
      </c>
      <c r="E95" s="27" t="str">
        <f>IF($U95="","",IF(INDEX('MiT Strom Pipeline'!$H:$H,$U95)="","",INDEX('MiT Strom Pipeline'!$H:$H,$U95)))</f>
        <v/>
      </c>
      <c r="F95" s="27" t="str">
        <f>IF($U95="","",IF(INDEX('MiT Strom Pipeline'!$E:$E,$U95)="","",INDEX('MiT Strom Pipeline'!$E:$E,$U95)))</f>
        <v/>
      </c>
      <c r="G95" s="28" t="str">
        <f>IF($U95="","",IF(ISNUMBER(INDEX('MiT Strom Pipeline'!$I:$I,$U95)),INDEX('MiT Strom Pipeline'!$I:$I,$U95),0))</f>
        <v/>
      </c>
      <c r="H95" s="28" t="str">
        <f>IF($U95="","",IF(ISNUMBER(INDEX('MiT Strom Pipeline'!$Q:$Q,$U95)),INDEX('MiT Strom Pipeline'!$Q:$Q,$U95),0))</f>
        <v/>
      </c>
      <c r="I95" s="27" t="str">
        <f>IF($U95="","",INDEX('MiT Strom Pipeline'!$R:$R,$U95))</f>
        <v/>
      </c>
      <c r="J95" s="29" t="str">
        <f>IF($U95="","",IF(ISNUMBER(INDEX('MiT Strom Pipeline'!$S:$S,$U95)),INDEX('MiT Strom Pipeline'!$S:$S,$U95),""))</f>
        <v/>
      </c>
      <c r="K95" s="27" t="str">
        <f>IF($U95="","",IF(LEN(INDEX('MiT Strom Pipeline'!$V:$V,$U95))&gt;0,LEFT(INDEX('MiT Strom Pipeline'!$V:$V,$U95),55),""))</f>
        <v/>
      </c>
      <c r="L95" s="22" t="n"/>
      <c r="M95" s="22" t="n"/>
      <c r="N95" s="22" t="n"/>
      <c r="O95" s="22" t="n"/>
      <c r="P95" s="22" t="n"/>
      <c r="Q95" s="22" t="n"/>
      <c r="R95" s="22" t="n"/>
      <c r="S95" s="22" t="n"/>
      <c r="U95" t="str">
        <f>IFERROR(MATCH(21,'MiT Strom Pipeline'!$AC$6:$AC$860,0)+5,"")</f>
        <v/>
      </c>
    </row>
    <row r="96" ht="15.75" customHeight="1">
      <c r="A96" s="26" t="str">
        <f>IF($U96="","",IF(ISNUMBER(INDEX('MiT Strom Pipeline'!$A:$A,$U96)),INDEX('MiT Strom Pipeline'!$A:$A,$U96),""))</f>
        <v/>
      </c>
      <c r="B96" s="27" t="str">
        <f>IF($U96="","",IF(INDEX('MiT Strom Pipeline'!$B:$B,$U96)="","",INDEX('MiT Strom Pipeline'!$B:$B,$U96)))</f>
        <v/>
      </c>
      <c r="C96" s="27" t="str">
        <f>IF($U96="","",IF(INDEX('MiT Strom Pipeline'!$C:$C,$U96)="","",INDEX('MiT Strom Pipeline'!$C:$C,$U96)))</f>
        <v/>
      </c>
      <c r="D96" s="27" t="str">
        <f>IF($U96="","",IF(INDEX('MiT Strom Pipeline'!$D:$D,$U96)="","",INDEX('MiT Strom Pipeline'!$D:$D,$U96)))</f>
        <v/>
      </c>
      <c r="E96" s="27" t="str">
        <f>IF($U96="","",IF(INDEX('MiT Strom Pipeline'!$H:$H,$U96)="","",INDEX('MiT Strom Pipeline'!$H:$H,$U96)))</f>
        <v/>
      </c>
      <c r="F96" s="27" t="str">
        <f>IF($U96="","",IF(INDEX('MiT Strom Pipeline'!$E:$E,$U96)="","",INDEX('MiT Strom Pipeline'!$E:$E,$U96)))</f>
        <v/>
      </c>
      <c r="G96" s="28" t="str">
        <f>IF($U96="","",IF(ISNUMBER(INDEX('MiT Strom Pipeline'!$I:$I,$U96)),INDEX('MiT Strom Pipeline'!$I:$I,$U96),0))</f>
        <v/>
      </c>
      <c r="H96" s="28" t="str">
        <f>IF($U96="","",IF(ISNUMBER(INDEX('MiT Strom Pipeline'!$Q:$Q,$U96)),INDEX('MiT Strom Pipeline'!$Q:$Q,$U96),0))</f>
        <v/>
      </c>
      <c r="I96" s="27" t="str">
        <f>IF($U96="","",INDEX('MiT Strom Pipeline'!$R:$R,$U96))</f>
        <v/>
      </c>
      <c r="J96" s="29" t="str">
        <f>IF($U96="","",IF(ISNUMBER(INDEX('MiT Strom Pipeline'!$S:$S,$U96)),INDEX('MiT Strom Pipeline'!$S:$S,$U96),""))</f>
        <v/>
      </c>
      <c r="K96" s="27" t="str">
        <f>IF($U96="","",IF(LEN(INDEX('MiT Strom Pipeline'!$V:$V,$U96))&gt;0,LEFT(INDEX('MiT Strom Pipeline'!$V:$V,$U96),55),""))</f>
        <v/>
      </c>
      <c r="L96" s="22" t="n"/>
      <c r="M96" s="22" t="n"/>
      <c r="N96" s="22" t="n"/>
      <c r="O96" s="22" t="n"/>
      <c r="P96" s="22" t="n"/>
      <c r="Q96" s="22" t="n"/>
      <c r="R96" s="22" t="n"/>
      <c r="S96" s="22" t="n"/>
      <c r="U96" t="str">
        <f>IFERROR(MATCH(22,'MiT Strom Pipeline'!$AC$6:$AC$860,0)+5,"")</f>
        <v/>
      </c>
    </row>
    <row r="97" ht="15.75" customHeight="1">
      <c r="A97" s="26" t="str">
        <f>IF($U97="","",IF(ISNUMBER(INDEX('MiT Strom Pipeline'!$A:$A,$U97)),INDEX('MiT Strom Pipeline'!$A:$A,$U97),""))</f>
        <v/>
      </c>
      <c r="B97" s="27" t="str">
        <f>IF($U97="","",IF(INDEX('MiT Strom Pipeline'!$B:$B,$U97)="","",INDEX('MiT Strom Pipeline'!$B:$B,$U97)))</f>
        <v/>
      </c>
      <c r="C97" s="27" t="str">
        <f>IF($U97="","",IF(INDEX('MiT Strom Pipeline'!$C:$C,$U97)="","",INDEX('MiT Strom Pipeline'!$C:$C,$U97)))</f>
        <v/>
      </c>
      <c r="D97" s="27" t="str">
        <f>IF($U97="","",IF(INDEX('MiT Strom Pipeline'!$D:$D,$U97)="","",INDEX('MiT Strom Pipeline'!$D:$D,$U97)))</f>
        <v/>
      </c>
      <c r="E97" s="191" t="str">
        <f>IF($U97="","",IF(INDEX('MiT Strom Pipeline'!$H:$H,$U97)="","",INDEX('MiT Strom Pipeline'!$H:$H,$U97)))</f>
        <v/>
      </c>
      <c r="F97" s="27" t="str">
        <f>IF($U97="","",IF(INDEX('MiT Strom Pipeline'!$E:$E,$U97)="","",INDEX('MiT Strom Pipeline'!$E:$E,$U97)))</f>
        <v/>
      </c>
      <c r="G97" s="28" t="str">
        <f>IF($U97="","",IF(ISNUMBER(INDEX('MiT Strom Pipeline'!$I:$I,$U97)),INDEX('MiT Strom Pipeline'!$I:$I,$U97),0))</f>
        <v/>
      </c>
      <c r="H97" s="28" t="str">
        <f>IF($U97="","",IF(ISNUMBER(INDEX('MiT Strom Pipeline'!$Q:$Q,$U97)),INDEX('MiT Strom Pipeline'!$Q:$Q,$U97),0))</f>
        <v/>
      </c>
      <c r="I97" s="27" t="str">
        <f>IF($U97="","",INDEX('MiT Strom Pipeline'!$R:$R,$U97))</f>
        <v/>
      </c>
      <c r="J97" s="29" t="str">
        <f>IF($U97="","",IF(ISNUMBER(INDEX('MiT Strom Pipeline'!$S:$S,$U97)),INDEX('MiT Strom Pipeline'!$S:$S,$U97),""))</f>
        <v/>
      </c>
      <c r="K97" s="27" t="str">
        <f>IF($U97="","",IF(LEN(INDEX('MiT Strom Pipeline'!$V:$V,$U97))&gt;0,LEFT(INDEX('MiT Strom Pipeline'!$V:$V,$U97),55),""))</f>
        <v/>
      </c>
      <c r="L97" s="22" t="n"/>
      <c r="M97" s="22" t="n"/>
      <c r="N97" s="22" t="n"/>
      <c r="O97" s="22" t="n"/>
      <c r="P97" s="22" t="n"/>
      <c r="Q97" s="22" t="n"/>
      <c r="R97" s="22" t="n"/>
      <c r="S97" s="22" t="n"/>
      <c r="U97" t="str">
        <f>IFERROR(MATCH(23,'MiT Strom Pipeline'!$AC$6:$AC$860,0)+5,"")</f>
        <v/>
      </c>
    </row>
    <row r="98" ht="15.75" customHeight="1">
      <c r="A98" s="26" t="str">
        <f>IF($U98="","",IF(ISNUMBER(INDEX('MiT Strom Pipeline'!$A:$A,$U98)),INDEX('MiT Strom Pipeline'!$A:$A,$U98),""))</f>
        <v/>
      </c>
      <c r="B98" s="27" t="str">
        <f>IF($U98="","",IF(INDEX('MiT Strom Pipeline'!$B:$B,$U98)="","",INDEX('MiT Strom Pipeline'!$B:$B,$U98)))</f>
        <v/>
      </c>
      <c r="C98" s="27" t="str">
        <f>IF($U98="","",IF(INDEX('MiT Strom Pipeline'!$C:$C,$U98)="","",INDEX('MiT Strom Pipeline'!$C:$C,$U98)))</f>
        <v/>
      </c>
      <c r="D98" s="27" t="str">
        <f>IF($U98="","",IF(INDEX('MiT Strom Pipeline'!$D:$D,$U98)="","",INDEX('MiT Strom Pipeline'!$D:$D,$U98)))</f>
        <v/>
      </c>
      <c r="E98" s="27" t="str">
        <f>IF($U98="","",IF(INDEX('MiT Strom Pipeline'!$H:$H,$U98)="","",INDEX('MiT Strom Pipeline'!$H:$H,$U98)))</f>
        <v/>
      </c>
      <c r="F98" s="27" t="str">
        <f>IF($U98="","",IF(INDEX('MiT Strom Pipeline'!$E:$E,$U98)="","",INDEX('MiT Strom Pipeline'!$E:$E,$U98)))</f>
        <v/>
      </c>
      <c r="G98" s="28" t="str">
        <f>IF($U98="","",IF(ISNUMBER(INDEX('MiT Strom Pipeline'!$I:$I,$U98)),INDEX('MiT Strom Pipeline'!$I:$I,$U98),0))</f>
        <v/>
      </c>
      <c r="H98" s="28" t="str">
        <f>IF($U98="","",IF(ISNUMBER(INDEX('MiT Strom Pipeline'!$Q:$Q,$U98)),INDEX('MiT Strom Pipeline'!$Q:$Q,$U98),0))</f>
        <v/>
      </c>
      <c r="I98" s="27" t="str">
        <f>IF($U98="","",INDEX('MiT Strom Pipeline'!$R:$R,$U98))</f>
        <v/>
      </c>
      <c r="J98" s="29" t="str">
        <f>IF($U98="","",IF(ISNUMBER(INDEX('MiT Strom Pipeline'!$S:$S,$U98)),INDEX('MiT Strom Pipeline'!$S:$S,$U98),""))</f>
        <v/>
      </c>
      <c r="K98" s="27" t="str">
        <f>IF($U98="","",IF(LEN(INDEX('MiT Strom Pipeline'!$V:$V,$U98))&gt;0,LEFT(INDEX('MiT Strom Pipeline'!$V:$V,$U98),55),""))</f>
        <v/>
      </c>
      <c r="L98" s="22" t="n"/>
      <c r="M98" s="22" t="n"/>
      <c r="N98" s="22" t="n"/>
      <c r="O98" s="22" t="n"/>
      <c r="P98" s="22" t="n"/>
      <c r="Q98" s="22" t="n"/>
      <c r="R98" s="22" t="n"/>
      <c r="S98" s="22" t="n"/>
      <c r="U98" t="str">
        <f>IFERROR(MATCH(24,'MiT Strom Pipeline'!$AC$6:$AC$860,0)+5,"")</f>
        <v/>
      </c>
    </row>
    <row r="99" ht="15" customHeight="1">
      <c r="A99" s="26" t="str">
        <f>IF($U99="","",IF(ISNUMBER(INDEX('MiT Strom Pipeline'!$A:$A,$U99)),INDEX('MiT Strom Pipeline'!$A:$A,$U99),""))</f>
        <v/>
      </c>
      <c r="B99" s="27" t="str">
        <f>IF($U99="","",IF(INDEX('MiT Strom Pipeline'!$B:$B,$U99)="","",INDEX('MiT Strom Pipeline'!$B:$B,$U99)))</f>
        <v/>
      </c>
      <c r="C99" s="27" t="str">
        <f>IF($U99="","",IF(INDEX('MiT Strom Pipeline'!$C:$C,$U99)="","",INDEX('MiT Strom Pipeline'!$C:$C,$U99)))</f>
        <v/>
      </c>
      <c r="D99" s="27" t="str">
        <f>IF($U99="","",IF(INDEX('MiT Strom Pipeline'!$D:$D,$U99)="","",INDEX('MiT Strom Pipeline'!$D:$D,$U99)))</f>
        <v/>
      </c>
      <c r="E99" s="27" t="str">
        <f>IF($U99="","",IF(INDEX('MiT Strom Pipeline'!$H:$H,$U99)="","",INDEX('MiT Strom Pipeline'!$H:$H,$U99)))</f>
        <v/>
      </c>
      <c r="F99" s="27" t="str">
        <f>IF($U99="","",IF(INDEX('MiT Strom Pipeline'!$E:$E,$U99)="","",INDEX('MiT Strom Pipeline'!$E:$E,$U99)))</f>
        <v/>
      </c>
      <c r="G99" s="28" t="str">
        <f>IF($U99="","",IF(ISNUMBER(INDEX('MiT Strom Pipeline'!$I:$I,$U99)),INDEX('MiT Strom Pipeline'!$I:$I,$U99),0))</f>
        <v/>
      </c>
      <c r="H99" s="28" t="str">
        <f>IF($U99="","",IF(ISNUMBER(INDEX('MiT Strom Pipeline'!$Q:$Q,$U99)),INDEX('MiT Strom Pipeline'!$Q:$Q,$U99),0))</f>
        <v/>
      </c>
      <c r="I99" s="27" t="str">
        <f>IF($U99="","",INDEX('MiT Strom Pipeline'!$R:$R,$U99))</f>
        <v/>
      </c>
      <c r="J99" s="29" t="str">
        <f>IF($U99="","",IF(ISNUMBER(INDEX('MiT Strom Pipeline'!$S:$S,$U99)),INDEX('MiT Strom Pipeline'!$S:$S,$U99),""))</f>
        <v/>
      </c>
      <c r="K99" s="27" t="str">
        <f>IF($U99="","",IF(LEN(INDEX('MiT Strom Pipeline'!$V:$V,$U99))&gt;0,LEFT(INDEX('MiT Strom Pipeline'!$V:$V,$U99),55),""))</f>
        <v/>
      </c>
      <c r="L99" s="22" t="n"/>
      <c r="M99" s="22" t="n"/>
      <c r="N99" s="22" t="n"/>
      <c r="O99" s="22" t="n"/>
      <c r="P99" s="22" t="n"/>
      <c r="Q99" s="22" t="n"/>
      <c r="R99" s="22" t="n"/>
      <c r="S99" s="22" t="n"/>
      <c r="U99" t="str">
        <f>IFERROR(MATCH(25,'MiT Strom Pipeline'!$AC$6:$AC$860,0)+5,"")</f>
        <v/>
      </c>
    </row>
    <row r="100" ht="23.25" customHeight="1">
      <c r="A100" s="26" t="str">
        <f>IF($U100="","",IF(ISNUMBER(INDEX('MiT Strom Pipeline'!$A:$A,$U100)),INDEX('MiT Strom Pipeline'!$A:$A,$U100),""))</f>
        <v/>
      </c>
      <c r="B100" s="27" t="str">
        <f>IF($U100="","",IF(INDEX('MiT Strom Pipeline'!$B:$B,$U100)="","",INDEX('MiT Strom Pipeline'!$B:$B,$U100)))</f>
        <v/>
      </c>
      <c r="C100" s="27" t="str">
        <f>IF($U100="","",IF(INDEX('MiT Strom Pipeline'!$C:$C,$U100)="","",INDEX('MiT Strom Pipeline'!$C:$C,$U100)))</f>
        <v/>
      </c>
      <c r="D100" s="27" t="str">
        <f>IF($U100="","",IF(INDEX('MiT Strom Pipeline'!$D:$D,$U100)="","",INDEX('MiT Strom Pipeline'!$D:$D,$U100)))</f>
        <v/>
      </c>
      <c r="E100" s="191" t="str">
        <f>IF($U100="","",IF(INDEX('MiT Strom Pipeline'!$H:$H,$U100)="","",INDEX('MiT Strom Pipeline'!$H:$H,$U100)))</f>
        <v/>
      </c>
      <c r="F100" s="27" t="str">
        <f>IF($U100="","",IF(INDEX('MiT Strom Pipeline'!$E:$E,$U100)="","",INDEX('MiT Strom Pipeline'!$E:$E,$U100)))</f>
        <v/>
      </c>
      <c r="G100" s="28" t="str">
        <f>IF($U100="","",IF(ISNUMBER(INDEX('MiT Strom Pipeline'!$I:$I,$U100)),INDEX('MiT Strom Pipeline'!$I:$I,$U100),0))</f>
        <v/>
      </c>
      <c r="H100" s="28" t="str">
        <f>IF($U100="","",IF(ISNUMBER(INDEX('MiT Strom Pipeline'!$Q:$Q,$U100)),INDEX('MiT Strom Pipeline'!$Q:$Q,$U100),0))</f>
        <v/>
      </c>
      <c r="I100" s="27" t="str">
        <f>IF($U100="","",INDEX('MiT Strom Pipeline'!$R:$R,$U100))</f>
        <v/>
      </c>
      <c r="J100" s="29" t="str">
        <f>IF($U100="","",IF(ISNUMBER(INDEX('MiT Strom Pipeline'!$S:$S,$U100)),INDEX('MiT Strom Pipeline'!$S:$S,$U100),""))</f>
        <v/>
      </c>
      <c r="K100" s="31" t="str">
        <f>IF($U100="","",IF(LEN(INDEX('MiT Strom Pipeline'!$V:$V,$U100))&gt;0,LEFT(INDEX('MiT Strom Pipeline'!$V:$V,$U100),55),""))</f>
        <v/>
      </c>
      <c r="L100" s="22" t="n"/>
      <c r="M100" s="22" t="n"/>
      <c r="N100" s="22" t="n"/>
      <c r="O100" s="22" t="n"/>
      <c r="P100" s="22" t="n"/>
      <c r="Q100" s="22" t="n"/>
      <c r="R100" s="22" t="n"/>
      <c r="S100" s="22" t="n"/>
      <c r="U100" t="str">
        <f>IFERROR(MATCH(26,'MiT Strom Pipeline'!$AC$6:$AC$860,0)+5,"")</f>
        <v/>
      </c>
    </row>
    <row r="101" ht="23.25" customHeight="1">
      <c r="A101" s="26" t="str">
        <f>IF($U101="","",IF(ISNUMBER(INDEX('MiT Strom Pipeline'!$A:$A,$U101)),INDEX('MiT Strom Pipeline'!$A:$A,$U101),""))</f>
        <v/>
      </c>
      <c r="B101" s="27" t="str">
        <f>IF($U101="","",IF(INDEX('MiT Strom Pipeline'!$B:$B,$U101)="","",INDEX('MiT Strom Pipeline'!$B:$B,$U101)))</f>
        <v/>
      </c>
      <c r="C101" s="27" t="str">
        <f>IF($U101="","",IF(INDEX('MiT Strom Pipeline'!$C:$C,$U101)="","",INDEX('MiT Strom Pipeline'!$C:$C,$U101)))</f>
        <v/>
      </c>
      <c r="D101" s="27" t="str">
        <f>IF($U101="","",IF(INDEX('MiT Strom Pipeline'!$D:$D,$U101)="","",INDEX('MiT Strom Pipeline'!$D:$D,$U101)))</f>
        <v/>
      </c>
      <c r="E101" s="191" t="str">
        <f>IF($U101="","",IF(INDEX('MiT Strom Pipeline'!$H:$H,$U101)="","",INDEX('MiT Strom Pipeline'!$H:$H,$U101)))</f>
        <v/>
      </c>
      <c r="F101" s="27" t="str">
        <f>IF($U101="","",IF(INDEX('MiT Strom Pipeline'!$E:$E,$U101)="","",INDEX('MiT Strom Pipeline'!$E:$E,$U101)))</f>
        <v/>
      </c>
      <c r="G101" s="28" t="str">
        <f>IF($U101="","",IF(ISNUMBER(INDEX('MiT Strom Pipeline'!$I:$I,$U101)),INDEX('MiT Strom Pipeline'!$I:$I,$U101),0))</f>
        <v/>
      </c>
      <c r="H101" s="28" t="str">
        <f>IF($U101="","",IF(ISNUMBER(INDEX('MiT Strom Pipeline'!$Q:$Q,$U101)),INDEX('MiT Strom Pipeline'!$Q:$Q,$U101),0))</f>
        <v/>
      </c>
      <c r="I101" s="27" t="str">
        <f>IF($U101="","",INDEX('MiT Strom Pipeline'!$R:$R,$U101))</f>
        <v/>
      </c>
      <c r="J101" s="29" t="str">
        <f>IF($U101="","",IF(ISNUMBER(INDEX('MiT Strom Pipeline'!$S:$S,$U101)),INDEX('MiT Strom Pipeline'!$S:$S,$U101),""))</f>
        <v/>
      </c>
      <c r="K101" s="31" t="str">
        <f>IF($U101="","",IF(LEN(INDEX('MiT Strom Pipeline'!$V:$V,$U101))&gt;0,LEFT(INDEX('MiT Strom Pipeline'!$V:$V,$U101),55),""))</f>
        <v/>
      </c>
      <c r="L101" s="22" t="n"/>
      <c r="M101" s="22" t="n"/>
      <c r="N101" s="22" t="n"/>
      <c r="O101" s="22" t="n"/>
      <c r="P101" s="22" t="n"/>
      <c r="Q101" s="22" t="n"/>
      <c r="R101" s="22" t="n"/>
      <c r="S101" s="22" t="n"/>
      <c r="U101" t="str">
        <f>IFERROR(MATCH(27,'MiT Strom Pipeline'!$AC$6:$AC$860,0)+5,"")</f>
        <v/>
      </c>
    </row>
    <row r="102" ht="15" customHeight="1">
      <c r="A102" s="26" t="str">
        <f>IF($U102="","",IF(ISNUMBER(INDEX('MiT Strom Pipeline'!$A:$A,$U102)),INDEX('MiT Strom Pipeline'!$A:$A,$U102),""))</f>
        <v/>
      </c>
      <c r="B102" s="27" t="str">
        <f>IF($U102="","",IF(INDEX('MiT Strom Pipeline'!$B:$B,$U102)="","",INDEX('MiT Strom Pipeline'!$B:$B,$U102)))</f>
        <v/>
      </c>
      <c r="C102" s="27" t="str">
        <f>IF($U102="","",IF(INDEX('MiT Strom Pipeline'!$C:$C,$U102)="","",INDEX('MiT Strom Pipeline'!$C:$C,$U102)))</f>
        <v/>
      </c>
      <c r="D102" s="27" t="str">
        <f>IF($U102="","",IF(INDEX('MiT Strom Pipeline'!$D:$D,$U102)="","",INDEX('MiT Strom Pipeline'!$D:$D,$U102)))</f>
        <v/>
      </c>
      <c r="E102" s="27" t="str">
        <f>IF($U102="","",IF(INDEX('MiT Strom Pipeline'!$H:$H,$U102)="","",INDEX('MiT Strom Pipeline'!$H:$H,$U102)))</f>
        <v/>
      </c>
      <c r="F102" s="27" t="str">
        <f>IF($U102="","",IF(INDEX('MiT Strom Pipeline'!$E:$E,$U102)="","",INDEX('MiT Strom Pipeline'!$E:$E,$U102)))</f>
        <v/>
      </c>
      <c r="G102" s="28" t="str">
        <f>IF($U102="","",IF(ISNUMBER(INDEX('MiT Strom Pipeline'!$I:$I,$U102)),INDEX('MiT Strom Pipeline'!$I:$I,$U102),0))</f>
        <v/>
      </c>
      <c r="H102" s="28" t="str">
        <f>IF($U102="","",IF(ISNUMBER(INDEX('MiT Strom Pipeline'!$Q:$Q,$U102)),INDEX('MiT Strom Pipeline'!$Q:$Q,$U102),0))</f>
        <v/>
      </c>
      <c r="I102" s="27" t="str">
        <f>IF($U102="","",INDEX('MiT Strom Pipeline'!$R:$R,$U102))</f>
        <v/>
      </c>
      <c r="J102" s="29" t="str">
        <f>IF($U102="","",IF(ISNUMBER(INDEX('MiT Strom Pipeline'!$S:$S,$U102)),INDEX('MiT Strom Pipeline'!$S:$S,$U102),""))</f>
        <v/>
      </c>
      <c r="K102" s="27" t="str">
        <f>IF($U102="","",IF(LEN(INDEX('MiT Strom Pipeline'!$V:$V,$U102))&gt;0,LEFT(INDEX('MiT Strom Pipeline'!$V:$V,$U102),55),""))</f>
        <v/>
      </c>
      <c r="L102" s="22" t="n"/>
      <c r="M102" s="22" t="n"/>
      <c r="N102" s="22" t="n"/>
      <c r="O102" s="22" t="n"/>
      <c r="P102" s="22" t="n"/>
      <c r="Q102" s="22" t="n"/>
      <c r="R102" s="22" t="n"/>
      <c r="S102" s="22" t="n"/>
      <c r="U102" t="str">
        <f>IFERROR(MATCH(28,'MiT Strom Pipeline'!$AC$6:$AC$860,0)+5,"")</f>
        <v/>
      </c>
    </row>
    <row r="103" ht="23.25" customHeight="1">
      <c r="A103" s="26" t="str">
        <f>IF($U103="","",IF(ISNUMBER(INDEX('MiT Strom Pipeline'!$A:$A,$U103)),INDEX('MiT Strom Pipeline'!$A:$A,$U103),""))</f>
        <v/>
      </c>
      <c r="B103" s="27" t="str">
        <f>IF($U103="","",IF(INDEX('MiT Strom Pipeline'!$B:$B,$U103)="","",INDEX('MiT Strom Pipeline'!$B:$B,$U103)))</f>
        <v/>
      </c>
      <c r="C103" s="27" t="str">
        <f>IF($U103="","",IF(INDEX('MiT Strom Pipeline'!$C:$C,$U103)="","",INDEX('MiT Strom Pipeline'!$C:$C,$U103)))</f>
        <v/>
      </c>
      <c r="D103" s="27" t="str">
        <f>IF($U103="","",IF(INDEX('MiT Strom Pipeline'!$D:$D,$U103)="","",INDEX('MiT Strom Pipeline'!$D:$D,$U103)))</f>
        <v/>
      </c>
      <c r="E103" s="27" t="str">
        <f>IF($U103="","",IF(INDEX('MiT Strom Pipeline'!$H:$H,$U103)="","",INDEX('MiT Strom Pipeline'!$H:$H,$U103)))</f>
        <v/>
      </c>
      <c r="F103" s="27" t="str">
        <f>IF($U103="","",IF(INDEX('MiT Strom Pipeline'!$E:$E,$U103)="","",INDEX('MiT Strom Pipeline'!$E:$E,$U103)))</f>
        <v/>
      </c>
      <c r="G103" s="28" t="str">
        <f>IF($U103="","",IF(ISNUMBER(INDEX('MiT Strom Pipeline'!$I:$I,$U103)),INDEX('MiT Strom Pipeline'!$I:$I,$U103),0))</f>
        <v/>
      </c>
      <c r="H103" s="28" t="str">
        <f>IF($U103="","",IF(ISNUMBER(INDEX('MiT Strom Pipeline'!$Q:$Q,$U103)),INDEX('MiT Strom Pipeline'!$Q:$Q,$U103),0))</f>
        <v/>
      </c>
      <c r="I103" s="27" t="str">
        <f>IF($U103="","",INDEX('MiT Strom Pipeline'!$R:$R,$U103))</f>
        <v/>
      </c>
      <c r="J103" s="29" t="str">
        <f>IF($U103="","",IF(ISNUMBER(INDEX('MiT Strom Pipeline'!$S:$S,$U103)),INDEX('MiT Strom Pipeline'!$S:$S,$U103),""))</f>
        <v/>
      </c>
      <c r="K103" s="31" t="str">
        <f>IF($U103="","",IF(LEN(INDEX('MiT Strom Pipeline'!$V:$V,$U103))&gt;0,LEFT(INDEX('MiT Strom Pipeline'!$V:$V,$U103),55),""))</f>
        <v/>
      </c>
      <c r="L103" s="22" t="n"/>
      <c r="M103" s="22" t="n"/>
      <c r="N103" s="22" t="n"/>
      <c r="O103" s="22" t="n"/>
      <c r="P103" s="22" t="n"/>
      <c r="Q103" s="22" t="n"/>
      <c r="R103" s="22" t="n"/>
      <c r="S103" s="22" t="n"/>
      <c r="U103" t="str">
        <f>IFERROR(MATCH(29,'MiT Strom Pipeline'!$AC$6:$AC$860,0)+5,"")</f>
        <v/>
      </c>
    </row>
    <row r="104" ht="23.25" customHeight="1">
      <c r="A104" s="26" t="str">
        <f>IF($U104="","",IF(ISNUMBER(INDEX('MiT Strom Pipeline'!$A:$A,$U104)),INDEX('MiT Strom Pipeline'!$A:$A,$U104),""))</f>
        <v/>
      </c>
      <c r="B104" s="27" t="str">
        <f>IF($U104="","",IF(INDEX('MiT Strom Pipeline'!$B:$B,$U104)="","",INDEX('MiT Strom Pipeline'!$B:$B,$U104)))</f>
        <v/>
      </c>
      <c r="C104" s="27" t="str">
        <f>IF($U104="","",IF(INDEX('MiT Strom Pipeline'!$C:$C,$U104)="","",INDEX('MiT Strom Pipeline'!$C:$C,$U104)))</f>
        <v/>
      </c>
      <c r="D104" s="27" t="str">
        <f>IF($U104="","",IF(INDEX('MiT Strom Pipeline'!$D:$D,$U104)="","",INDEX('MiT Strom Pipeline'!$D:$D,$U104)))</f>
        <v/>
      </c>
      <c r="E104" s="27" t="str">
        <f>IF($U104="","",IF(INDEX('MiT Strom Pipeline'!$H:$H,$U104)="","",INDEX('MiT Strom Pipeline'!$H:$H,$U104)))</f>
        <v/>
      </c>
      <c r="F104" s="27" t="str">
        <f>IF($U104="","",IF(INDEX('MiT Strom Pipeline'!$E:$E,$U104)="","",INDEX('MiT Strom Pipeline'!$E:$E,$U104)))</f>
        <v/>
      </c>
      <c r="G104" s="28" t="str">
        <f>IF($U104="","",IF(ISNUMBER(INDEX('MiT Strom Pipeline'!$I:$I,$U104)),INDEX('MiT Strom Pipeline'!$I:$I,$U104),0))</f>
        <v/>
      </c>
      <c r="H104" s="28" t="str">
        <f>IF($U104="","",IF(ISNUMBER(INDEX('MiT Strom Pipeline'!$Q:$Q,$U104)),INDEX('MiT Strom Pipeline'!$Q:$Q,$U104),0))</f>
        <v/>
      </c>
      <c r="I104" s="27" t="str">
        <f>IF($U104="","",INDEX('MiT Strom Pipeline'!$R:$R,$U104))</f>
        <v/>
      </c>
      <c r="J104" s="29" t="str">
        <f>IF($U104="","",IF(ISNUMBER(INDEX('MiT Strom Pipeline'!$S:$S,$U104)),INDEX('MiT Strom Pipeline'!$S:$S,$U104),""))</f>
        <v/>
      </c>
      <c r="K104" s="31" t="str">
        <f>IF($U104="","",IF(LEN(INDEX('MiT Strom Pipeline'!$V:$V,$U104))&gt;0,LEFT(INDEX('MiT Strom Pipeline'!$V:$V,$U104),55),""))</f>
        <v/>
      </c>
      <c r="L104" s="22" t="n"/>
      <c r="M104" s="22" t="n"/>
      <c r="N104" s="22" t="n"/>
      <c r="O104" s="22" t="n"/>
      <c r="P104" s="22" t="n"/>
      <c r="Q104" s="22" t="n"/>
      <c r="R104" s="22" t="n"/>
      <c r="S104" s="22" t="n"/>
      <c r="U104" t="str">
        <f>IFERROR(MATCH(30,'MiT Strom Pipeline'!$AC$6:$AC$860,0)+5,"")</f>
        <v/>
      </c>
    </row>
    <row r="105" ht="23.25" customHeight="1">
      <c r="A105" s="26" t="str">
        <f>IF($U105="","",IF(ISNUMBER(INDEX('MiT Strom Pipeline'!$A:$A,$U105)),INDEX('MiT Strom Pipeline'!$A:$A,$U105),""))</f>
        <v/>
      </c>
      <c r="B105" s="27" t="str">
        <f>IF($U105="","",IF(INDEX('MiT Strom Pipeline'!$B:$B,$U105)="","",INDEX('MiT Strom Pipeline'!$B:$B,$U105)))</f>
        <v/>
      </c>
      <c r="C105" s="27" t="str">
        <f>IF($U105="","",IF(INDEX('MiT Strom Pipeline'!$C:$C,$U105)="","",INDEX('MiT Strom Pipeline'!$C:$C,$U105)))</f>
        <v/>
      </c>
      <c r="D105" s="27" t="str">
        <f>IF($U105="","",IF(INDEX('MiT Strom Pipeline'!$D:$D,$U105)="","",INDEX('MiT Strom Pipeline'!$D:$D,$U105)))</f>
        <v/>
      </c>
      <c r="E105" s="27" t="str">
        <f>IF($U105="","",IF(INDEX('MiT Strom Pipeline'!$H:$H,$U105)="","",INDEX('MiT Strom Pipeline'!$H:$H,$U105)))</f>
        <v/>
      </c>
      <c r="F105" s="27" t="str">
        <f>IF($U105="","",IF(INDEX('MiT Strom Pipeline'!$E:$E,$U105)="","",INDEX('MiT Strom Pipeline'!$E:$E,$U105)))</f>
        <v/>
      </c>
      <c r="G105" s="28" t="str">
        <f>IF($U105="","",IF(ISNUMBER(INDEX('MiT Strom Pipeline'!$I:$I,$U105)),INDEX('MiT Strom Pipeline'!$I:$I,$U105),0))</f>
        <v/>
      </c>
      <c r="H105" s="28" t="str">
        <f>IF($U105="","",IF(ISNUMBER(INDEX('MiT Strom Pipeline'!$Q:$Q,$U105)),INDEX('MiT Strom Pipeline'!$Q:$Q,$U105),0))</f>
        <v/>
      </c>
      <c r="I105" s="27" t="str">
        <f>IF($U105="","",INDEX('MiT Strom Pipeline'!$R:$R,$U105))</f>
        <v/>
      </c>
      <c r="J105" s="29" t="str">
        <f>IF($U105="","",IF(ISNUMBER(INDEX('MiT Strom Pipeline'!$S:$S,$U105)),INDEX('MiT Strom Pipeline'!$S:$S,$U105),""))</f>
        <v/>
      </c>
      <c r="K105" s="31" t="str">
        <f>IF($U105="","",IF(LEN(INDEX('MiT Strom Pipeline'!$V:$V,$U105))&gt;0,LEFT(INDEX('MiT Strom Pipeline'!$V:$V,$U105),55),""))</f>
        <v/>
      </c>
      <c r="L105" s="22" t="n"/>
      <c r="M105" s="22" t="n"/>
      <c r="N105" s="22" t="n"/>
      <c r="O105" s="22" t="n"/>
      <c r="P105" s="22" t="n"/>
      <c r="Q105" s="22" t="n"/>
      <c r="R105" s="22" t="n"/>
      <c r="S105" s="22" t="n"/>
      <c r="U105" t="str">
        <f>IFERROR(MATCH(31,'MiT Strom Pipeline'!$AC$6:$AC$860,0)+5,"")</f>
        <v/>
      </c>
    </row>
    <row r="106" ht="15" customHeight="1">
      <c r="A106" s="26" t="str">
        <f>IF($U106="","",IF(ISNUMBER(INDEX('MiT Strom Pipeline'!$A:$A,$U106)),INDEX('MiT Strom Pipeline'!$A:$A,$U106),""))</f>
        <v/>
      </c>
      <c r="B106" s="27" t="str">
        <f>IF($U106="","",IF(INDEX('MiT Strom Pipeline'!$B:$B,$U106)="","",INDEX('MiT Strom Pipeline'!$B:$B,$U106)))</f>
        <v/>
      </c>
      <c r="C106" s="27" t="str">
        <f>IF($U106="","",IF(INDEX('MiT Strom Pipeline'!$C:$C,$U106)="","",INDEX('MiT Strom Pipeline'!$C:$C,$U106)))</f>
        <v/>
      </c>
      <c r="D106" s="27" t="str">
        <f>IF($U106="","",IF(INDEX('MiT Strom Pipeline'!$D:$D,$U106)="","",INDEX('MiT Strom Pipeline'!$D:$D,$U106)))</f>
        <v/>
      </c>
      <c r="E106" s="191" t="str">
        <f>IF($U106="","",IF(INDEX('MiT Strom Pipeline'!$H:$H,$U106)="","",INDEX('MiT Strom Pipeline'!$H:$H,$U106)))</f>
        <v/>
      </c>
      <c r="F106" s="27" t="str">
        <f>IF($U106="","",IF(INDEX('MiT Strom Pipeline'!$E:$E,$U106)="","",INDEX('MiT Strom Pipeline'!$E:$E,$U106)))</f>
        <v/>
      </c>
      <c r="G106" s="28" t="str">
        <f>IF($U106="","",IF(ISNUMBER(INDEX('MiT Strom Pipeline'!$I:$I,$U106)),INDEX('MiT Strom Pipeline'!$I:$I,$U106),0))</f>
        <v/>
      </c>
      <c r="H106" s="28" t="str">
        <f>IF($U106="","",IF(ISNUMBER(INDEX('MiT Strom Pipeline'!$Q:$Q,$U106)),INDEX('MiT Strom Pipeline'!$Q:$Q,$U106),0))</f>
        <v/>
      </c>
      <c r="I106" s="27" t="str">
        <f>IF($U106="","",INDEX('MiT Strom Pipeline'!$R:$R,$U106))</f>
        <v/>
      </c>
      <c r="J106" s="29" t="str">
        <f>IF($U106="","",IF(ISNUMBER(INDEX('MiT Strom Pipeline'!$S:$S,$U106)),INDEX('MiT Strom Pipeline'!$S:$S,$U106),""))</f>
        <v/>
      </c>
      <c r="K106" s="27" t="str">
        <f>IF($U106="","",IF(LEN(INDEX('MiT Strom Pipeline'!$V:$V,$U106))&gt;0,LEFT(INDEX('MiT Strom Pipeline'!$V:$V,$U106),55),""))</f>
        <v/>
      </c>
      <c r="L106" s="22" t="n"/>
      <c r="M106" s="22" t="n"/>
      <c r="N106" s="22" t="n"/>
      <c r="O106" s="22" t="n"/>
      <c r="P106" s="22" t="n"/>
      <c r="Q106" s="22" t="n"/>
      <c r="R106" s="22" t="n"/>
      <c r="S106" s="22" t="n"/>
      <c r="U106" t="str">
        <f>IFERROR(MATCH(32,'MiT Strom Pipeline'!$AC$6:$AC$860,0)+5,"")</f>
        <v/>
      </c>
    </row>
    <row r="107" ht="15.75" customHeight="1">
      <c r="A107" s="26" t="str">
        <f>IF($U107="","",IF(ISNUMBER(INDEX('MiT Strom Pipeline'!$A:$A,$U107)),INDEX('MiT Strom Pipeline'!$A:$A,$U107),""))</f>
        <v/>
      </c>
      <c r="B107" s="27" t="str">
        <f>IF($U107="","",IF(INDEX('MiT Strom Pipeline'!$B:$B,$U107)="","",INDEX('MiT Strom Pipeline'!$B:$B,$U107)))</f>
        <v/>
      </c>
      <c r="C107" s="27" t="str">
        <f>IF($U107="","",IF(INDEX('MiT Strom Pipeline'!$C:$C,$U107)="","",INDEX('MiT Strom Pipeline'!$C:$C,$U107)))</f>
        <v/>
      </c>
      <c r="D107" s="27" t="str">
        <f>IF($U107="","",IF(INDEX('MiT Strom Pipeline'!$D:$D,$U107)="","",INDEX('MiT Strom Pipeline'!$D:$D,$U107)))</f>
        <v/>
      </c>
      <c r="E107" s="27" t="str">
        <f>IF($U107="","",IF(INDEX('MiT Strom Pipeline'!$H:$H,$U107)="","",INDEX('MiT Strom Pipeline'!$H:$H,$U107)))</f>
        <v/>
      </c>
      <c r="F107" s="27" t="str">
        <f>IF($U107="","",IF(INDEX('MiT Strom Pipeline'!$E:$E,$U107)="","",INDEX('MiT Strom Pipeline'!$E:$E,$U107)))</f>
        <v/>
      </c>
      <c r="G107" s="28" t="str">
        <f>IF($U107="","",IF(ISNUMBER(INDEX('MiT Strom Pipeline'!$I:$I,$U107)),INDEX('MiT Strom Pipeline'!$I:$I,$U107),0))</f>
        <v/>
      </c>
      <c r="H107" s="28" t="str">
        <f>IF($U107="","",IF(ISNUMBER(INDEX('MiT Strom Pipeline'!$Q:$Q,$U107)),INDEX('MiT Strom Pipeline'!$Q:$Q,$U107),0))</f>
        <v/>
      </c>
      <c r="I107" s="27" t="str">
        <f>IF($U107="","",INDEX('MiT Strom Pipeline'!$R:$R,$U107))</f>
        <v/>
      </c>
      <c r="J107" s="29" t="str">
        <f>IF($U107="","",IF(ISNUMBER(INDEX('MiT Strom Pipeline'!$S:$S,$U107)),INDEX('MiT Strom Pipeline'!$S:$S,$U107),""))</f>
        <v/>
      </c>
      <c r="K107" s="27" t="str">
        <f>IF($U107="","",IF(LEN(INDEX('MiT Strom Pipeline'!$V:$V,$U107))&gt;0,LEFT(INDEX('MiT Strom Pipeline'!$V:$V,$U107),55),""))</f>
        <v/>
      </c>
      <c r="L107" s="22" t="n"/>
      <c r="M107" s="22" t="n"/>
      <c r="N107" s="22" t="n"/>
      <c r="O107" s="22" t="n"/>
      <c r="P107" s="22" t="n"/>
      <c r="Q107" s="22" t="n"/>
      <c r="R107" s="22" t="n"/>
      <c r="S107" s="22" t="n"/>
      <c r="U107" t="str">
        <f>IFERROR(MATCH(33,'MiT Strom Pipeline'!$AC$6:$AC$860,0)+5,"")</f>
        <v/>
      </c>
    </row>
    <row r="108" ht="15.75" customHeight="1">
      <c r="A108" s="26" t="str">
        <f>IF($U108="","",IF(ISNUMBER(INDEX('MiT Strom Pipeline'!$A:$A,$U108)),INDEX('MiT Strom Pipeline'!$A:$A,$U108),""))</f>
        <v/>
      </c>
      <c r="B108" s="27" t="str">
        <f>IF($U108="","",IF(INDEX('MiT Strom Pipeline'!$B:$B,$U108)="","",INDEX('MiT Strom Pipeline'!$B:$B,$U108)))</f>
        <v/>
      </c>
      <c r="C108" s="27" t="str">
        <f>IF($U108="","",IF(INDEX('MiT Strom Pipeline'!$C:$C,$U108)="","",INDEX('MiT Strom Pipeline'!$C:$C,$U108)))</f>
        <v/>
      </c>
      <c r="D108" s="27" t="str">
        <f>IF($U108="","",IF(INDEX('MiT Strom Pipeline'!$D:$D,$U108)="","",INDEX('MiT Strom Pipeline'!$D:$D,$U108)))</f>
        <v/>
      </c>
      <c r="E108" s="27" t="str">
        <f>IF($U108="","",IF(INDEX('MiT Strom Pipeline'!$H:$H,$U108)="","",INDEX('MiT Strom Pipeline'!$H:$H,$U108)))</f>
        <v/>
      </c>
      <c r="F108" s="27" t="str">
        <f>IF($U108="","",IF(INDEX('MiT Strom Pipeline'!$E:$E,$U108)="","",INDEX('MiT Strom Pipeline'!$E:$E,$U108)))</f>
        <v/>
      </c>
      <c r="G108" s="28" t="str">
        <f>IF($U108="","",IF(ISNUMBER(INDEX('MiT Strom Pipeline'!$I:$I,$U108)),INDEX('MiT Strom Pipeline'!$I:$I,$U108),0))</f>
        <v/>
      </c>
      <c r="H108" s="28" t="str">
        <f>IF($U108="","",IF(ISNUMBER(INDEX('MiT Strom Pipeline'!$Q:$Q,$U108)),INDEX('MiT Strom Pipeline'!$Q:$Q,$U108),0))</f>
        <v/>
      </c>
      <c r="I108" s="27" t="str">
        <f>IF($U108="","",INDEX('MiT Strom Pipeline'!$R:$R,$U108))</f>
        <v/>
      </c>
      <c r="J108" s="29" t="str">
        <f>IF($U108="","",IF(ISNUMBER(INDEX('MiT Strom Pipeline'!$S:$S,$U108)),INDEX('MiT Strom Pipeline'!$S:$S,$U108),""))</f>
        <v/>
      </c>
      <c r="K108" s="27" t="str">
        <f>IF($U108="","",IF(LEN(INDEX('MiT Strom Pipeline'!$V:$V,$U108))&gt;0,LEFT(INDEX('MiT Strom Pipeline'!$V:$V,$U108),55),""))</f>
        <v/>
      </c>
      <c r="L108" s="22" t="n"/>
      <c r="M108" s="22" t="n"/>
      <c r="N108" s="22" t="n"/>
      <c r="O108" s="22" t="n"/>
      <c r="P108" s="22" t="n"/>
      <c r="Q108" s="22" t="n"/>
      <c r="R108" s="22" t="n"/>
      <c r="S108" s="22" t="n"/>
      <c r="U108" t="str">
        <f>IFERROR(MATCH(34,'MiT Strom Pipeline'!$AC$6:$AC$860,0)+5,"")</f>
        <v/>
      </c>
    </row>
    <row r="109" ht="15.75" customHeight="1">
      <c r="A109" s="26" t="str">
        <f>IF($U109="","",IF(ISNUMBER(INDEX('MiT Strom Pipeline'!$A:$A,$U109)),INDEX('MiT Strom Pipeline'!$A:$A,$U109),""))</f>
        <v/>
      </c>
      <c r="B109" s="27" t="str">
        <f>IF($U109="","",IF(INDEX('MiT Strom Pipeline'!$B:$B,$U109)="","",INDEX('MiT Strom Pipeline'!$B:$B,$U109)))</f>
        <v/>
      </c>
      <c r="C109" s="27" t="str">
        <f>IF($U109="","",IF(INDEX('MiT Strom Pipeline'!$C:$C,$U109)="","",INDEX('MiT Strom Pipeline'!$C:$C,$U109)))</f>
        <v/>
      </c>
      <c r="D109" s="27" t="str">
        <f>IF($U109="","",IF(INDEX('MiT Strom Pipeline'!$D:$D,$U109)="","",INDEX('MiT Strom Pipeline'!$D:$D,$U109)))</f>
        <v/>
      </c>
      <c r="E109" s="27" t="str">
        <f>IF($U109="","",IF(INDEX('MiT Strom Pipeline'!$H:$H,$U109)="","",INDEX('MiT Strom Pipeline'!$H:$H,$U109)))</f>
        <v/>
      </c>
      <c r="F109" s="27" t="str">
        <f>IF($U109="","",IF(INDEX('MiT Strom Pipeline'!$E:$E,$U109)="","",INDEX('MiT Strom Pipeline'!$E:$E,$U109)))</f>
        <v/>
      </c>
      <c r="G109" s="28" t="str">
        <f>IF($U109="","",IF(ISNUMBER(INDEX('MiT Strom Pipeline'!$I:$I,$U109)),INDEX('MiT Strom Pipeline'!$I:$I,$U109),0))</f>
        <v/>
      </c>
      <c r="H109" s="28" t="str">
        <f>IF($U109="","",IF(ISNUMBER(INDEX('MiT Strom Pipeline'!$Q:$Q,$U109)),INDEX('MiT Strom Pipeline'!$Q:$Q,$U109),0))</f>
        <v/>
      </c>
      <c r="I109" s="27" t="str">
        <f>IF($U109="","",INDEX('MiT Strom Pipeline'!$R:$R,$U109))</f>
        <v/>
      </c>
      <c r="J109" s="29" t="str">
        <f>IF($U109="","",IF(ISNUMBER(INDEX('MiT Strom Pipeline'!$S:$S,$U109)),INDEX('MiT Strom Pipeline'!$S:$S,$U109),""))</f>
        <v/>
      </c>
      <c r="K109" s="27" t="str">
        <f>IF($U109="","",IF(LEN(INDEX('MiT Strom Pipeline'!$V:$V,$U109))&gt;0,LEFT(INDEX('MiT Strom Pipeline'!$V:$V,$U109),55),""))</f>
        <v/>
      </c>
      <c r="L109" s="22" t="n"/>
      <c r="M109" s="22" t="n"/>
      <c r="N109" s="22" t="n"/>
      <c r="O109" s="22" t="n"/>
      <c r="P109" s="22" t="n"/>
      <c r="Q109" s="22" t="n"/>
      <c r="R109" s="22" t="n"/>
      <c r="S109" s="22" t="n"/>
      <c r="U109" t="str">
        <f>IFERROR(MATCH(35,'MiT Strom Pipeline'!$AC$6:$AC$860,0)+5,"")</f>
        <v/>
      </c>
    </row>
    <row r="110" ht="15.75" customHeight="1">
      <c r="A110" s="26" t="str">
        <f>IF($U110="","",IF(ISNUMBER(INDEX('MiT Strom Pipeline'!$A:$A,$U110)),INDEX('MiT Strom Pipeline'!$A:$A,$U110),""))</f>
        <v/>
      </c>
      <c r="B110" s="27" t="str">
        <f>IF($U110="","",IF(INDEX('MiT Strom Pipeline'!$B:$B,$U110)="","",INDEX('MiT Strom Pipeline'!$B:$B,$U110)))</f>
        <v/>
      </c>
      <c r="C110" s="27" t="str">
        <f>IF($U110="","",IF(INDEX('MiT Strom Pipeline'!$C:$C,$U110)="","",INDEX('MiT Strom Pipeline'!$C:$C,$U110)))</f>
        <v/>
      </c>
      <c r="D110" s="27" t="str">
        <f>IF($U110="","",IF(INDEX('MiT Strom Pipeline'!$D:$D,$U110)="","",INDEX('MiT Strom Pipeline'!$D:$D,$U110)))</f>
        <v/>
      </c>
      <c r="E110" s="27" t="str">
        <f>IF($U110="","",IF(INDEX('MiT Strom Pipeline'!$H:$H,$U110)="","",INDEX('MiT Strom Pipeline'!$H:$H,$U110)))</f>
        <v/>
      </c>
      <c r="F110" s="27" t="str">
        <f>IF($U110="","",IF(INDEX('MiT Strom Pipeline'!$E:$E,$U110)="","",INDEX('MiT Strom Pipeline'!$E:$E,$U110)))</f>
        <v/>
      </c>
      <c r="G110" s="28" t="str">
        <f>IF($U110="","",IF(ISNUMBER(INDEX('MiT Strom Pipeline'!$I:$I,$U110)),INDEX('MiT Strom Pipeline'!$I:$I,$U110),0))</f>
        <v/>
      </c>
      <c r="H110" s="28" t="str">
        <f>IF($U110="","",IF(ISNUMBER(INDEX('MiT Strom Pipeline'!$Q:$Q,$U110)),INDEX('MiT Strom Pipeline'!$Q:$Q,$U110),0))</f>
        <v/>
      </c>
      <c r="I110" s="27" t="str">
        <f>IF($U110="","",INDEX('MiT Strom Pipeline'!$R:$R,$U110))</f>
        <v/>
      </c>
      <c r="J110" s="29" t="str">
        <f>IF($U110="","",IF(ISNUMBER(INDEX('MiT Strom Pipeline'!$S:$S,$U110)),INDEX('MiT Strom Pipeline'!$S:$S,$U110),""))</f>
        <v/>
      </c>
      <c r="K110" s="27" t="str">
        <f>IF($U110="","",IF(LEN(INDEX('MiT Strom Pipeline'!$V:$V,$U110))&gt;0,LEFT(INDEX('MiT Strom Pipeline'!$V:$V,$U110),55),""))</f>
        <v/>
      </c>
      <c r="L110" s="22" t="n"/>
      <c r="M110" s="22" t="n"/>
      <c r="N110" s="22" t="n"/>
      <c r="O110" s="22" t="n"/>
      <c r="P110" s="22" t="n"/>
      <c r="Q110" s="22" t="n"/>
      <c r="R110" s="22" t="n"/>
      <c r="S110" s="22" t="n"/>
      <c r="U110" t="str">
        <f>IFERROR(MATCH(36,'MiT Strom Pipeline'!$AC$6:$AC$860,0)+5,"")</f>
        <v/>
      </c>
    </row>
    <row r="111" ht="15.75" customHeight="1">
      <c r="A111" s="26" t="str">
        <f>IF($U111="","",IF(ISNUMBER(INDEX('MiT Strom Pipeline'!$A:$A,$U111)),INDEX('MiT Strom Pipeline'!$A:$A,$U111),""))</f>
        <v/>
      </c>
      <c r="B111" s="27" t="str">
        <f>IF($U111="","",IF(INDEX('MiT Strom Pipeline'!$B:$B,$U111)="","",INDEX('MiT Strom Pipeline'!$B:$B,$U111)))</f>
        <v/>
      </c>
      <c r="C111" s="27" t="str">
        <f>IF($U111="","",IF(INDEX('MiT Strom Pipeline'!$C:$C,$U111)="","",INDEX('MiT Strom Pipeline'!$C:$C,$U111)))</f>
        <v/>
      </c>
      <c r="D111" s="27" t="str">
        <f>IF($U111="","",IF(INDEX('MiT Strom Pipeline'!$D:$D,$U111)="","",INDEX('MiT Strom Pipeline'!$D:$D,$U111)))</f>
        <v/>
      </c>
      <c r="E111" s="192" t="str">
        <f>IF($U111="","",IF(INDEX('MiT Strom Pipeline'!$H:$H,$U111)="","",INDEX('MiT Strom Pipeline'!$H:$H,$U111)))</f>
        <v/>
      </c>
      <c r="F111" s="27" t="str">
        <f>IF($U111="","",IF(INDEX('MiT Strom Pipeline'!$E:$E,$U111)="","",INDEX('MiT Strom Pipeline'!$E:$E,$U111)))</f>
        <v/>
      </c>
      <c r="G111" s="28" t="str">
        <f>IF($U111="","",IF(ISNUMBER(INDEX('MiT Strom Pipeline'!$I:$I,$U111)),INDEX('MiT Strom Pipeline'!$I:$I,$U111),0))</f>
        <v/>
      </c>
      <c r="H111" s="28" t="str">
        <f>IF($U111="","",IF(ISNUMBER(INDEX('MiT Strom Pipeline'!$Q:$Q,$U111)),INDEX('MiT Strom Pipeline'!$Q:$Q,$U111),0))</f>
        <v/>
      </c>
      <c r="I111" s="27" t="str">
        <f>IF($U111="","",INDEX('MiT Strom Pipeline'!$R:$R,$U111))</f>
        <v/>
      </c>
      <c r="J111" s="29" t="str">
        <f>IF($U111="","",IF(ISNUMBER(INDEX('MiT Strom Pipeline'!$S:$S,$U111)),INDEX('MiT Strom Pipeline'!$S:$S,$U111),""))</f>
        <v/>
      </c>
      <c r="K111" s="27" t="str">
        <f>IF($U111="","",IF(LEN(INDEX('MiT Strom Pipeline'!$V:$V,$U111))&gt;0,LEFT(INDEX('MiT Strom Pipeline'!$V:$V,$U111),55),""))</f>
        <v/>
      </c>
      <c r="L111" s="22" t="n"/>
      <c r="M111" s="22" t="n"/>
      <c r="N111" s="22" t="n"/>
      <c r="O111" s="22" t="n"/>
      <c r="P111" s="22" t="n"/>
      <c r="Q111" s="22" t="n"/>
      <c r="R111" s="22" t="n"/>
      <c r="S111" s="22" t="n"/>
      <c r="U111" t="str">
        <f>IFERROR(MATCH(37,'MiT Strom Pipeline'!$AC$6:$AC$860,0)+5,"")</f>
        <v/>
      </c>
    </row>
    <row r="112" ht="15.75" customHeight="1">
      <c r="A112" s="26" t="str">
        <f>IF($U112="","",IF(ISNUMBER(INDEX('MiT Strom Pipeline'!$A:$A,$U112)),INDEX('MiT Strom Pipeline'!$A:$A,$U112),""))</f>
        <v/>
      </c>
      <c r="B112" s="27" t="str">
        <f>IF($U112="","",IF(INDEX('MiT Strom Pipeline'!$B:$B,$U112)="","",INDEX('MiT Strom Pipeline'!$B:$B,$U112)))</f>
        <v/>
      </c>
      <c r="C112" s="27" t="str">
        <f>IF($U112="","",IF(INDEX('MiT Strom Pipeline'!$C:$C,$U112)="","",INDEX('MiT Strom Pipeline'!$C:$C,$U112)))</f>
        <v/>
      </c>
      <c r="D112" s="27" t="str">
        <f>IF($U112="","",IF(INDEX('MiT Strom Pipeline'!$D:$D,$U112)="","",INDEX('MiT Strom Pipeline'!$D:$D,$U112)))</f>
        <v/>
      </c>
      <c r="E112" s="192" t="str">
        <f>IF($U112="","",IF(INDEX('MiT Strom Pipeline'!$H:$H,$U112)="","",INDEX('MiT Strom Pipeline'!$H:$H,$U112)))</f>
        <v/>
      </c>
      <c r="F112" s="27" t="str">
        <f>IF($U112="","",IF(INDEX('MiT Strom Pipeline'!$E:$E,$U112)="","",INDEX('MiT Strom Pipeline'!$E:$E,$U112)))</f>
        <v/>
      </c>
      <c r="G112" s="28" t="str">
        <f>IF($U112="","",IF(ISNUMBER(INDEX('MiT Strom Pipeline'!$I:$I,$U112)),INDEX('MiT Strom Pipeline'!$I:$I,$U112),0))</f>
        <v/>
      </c>
      <c r="H112" s="28" t="str">
        <f>IF($U112="","",IF(ISNUMBER(INDEX('MiT Strom Pipeline'!$Q:$Q,$U112)),INDEX('MiT Strom Pipeline'!$Q:$Q,$U112),0))</f>
        <v/>
      </c>
      <c r="I112" s="27" t="str">
        <f>IF($U112="","",INDEX('MiT Strom Pipeline'!$R:$R,$U112))</f>
        <v/>
      </c>
      <c r="J112" s="29" t="str">
        <f>IF($U112="","",IF(ISNUMBER(INDEX('MiT Strom Pipeline'!$S:$S,$U112)),INDEX('MiT Strom Pipeline'!$S:$S,$U112),""))</f>
        <v/>
      </c>
      <c r="K112" s="27" t="str">
        <f>IF($U112="","",IF(LEN(INDEX('MiT Strom Pipeline'!$V:$V,$U112))&gt;0,LEFT(INDEX('MiT Strom Pipeline'!$V:$V,$U112),55),""))</f>
        <v/>
      </c>
      <c r="L112" s="22" t="n"/>
      <c r="M112" s="22" t="n"/>
      <c r="N112" s="22" t="n"/>
      <c r="O112" s="22" t="n"/>
      <c r="P112" s="22" t="n"/>
      <c r="Q112" s="22" t="n"/>
      <c r="R112" s="22" t="n"/>
      <c r="S112" s="22" t="n"/>
      <c r="U112" t="str">
        <f>IFERROR(MATCH(38,'MiT Strom Pipeline'!$AC$6:$AC$860,0)+5,"")</f>
        <v/>
      </c>
    </row>
    <row r="113" ht="15.75" customHeight="1">
      <c r="A113" s="26" t="str">
        <f>IF($U113="","",IF(ISNUMBER(INDEX('MiT Strom Pipeline'!$A:$A,$U113)),INDEX('MiT Strom Pipeline'!$A:$A,$U113),""))</f>
        <v/>
      </c>
      <c r="B113" s="27" t="str">
        <f>IF($U113="","",IF(INDEX('MiT Strom Pipeline'!$B:$B,$U113)="","",INDEX('MiT Strom Pipeline'!$B:$B,$U113)))</f>
        <v/>
      </c>
      <c r="C113" s="27" t="str">
        <f>IF($U113="","",IF(INDEX('MiT Strom Pipeline'!$C:$C,$U113)="","",INDEX('MiT Strom Pipeline'!$C:$C,$U113)))</f>
        <v/>
      </c>
      <c r="D113" s="27" t="str">
        <f>IF($U113="","",IF(INDEX('MiT Strom Pipeline'!$D:$D,$U113)="","",INDEX('MiT Strom Pipeline'!$D:$D,$U113)))</f>
        <v/>
      </c>
      <c r="E113" s="27" t="str">
        <f>IF($U113="","",IF(INDEX('MiT Strom Pipeline'!$H:$H,$U113)="","",INDEX('MiT Strom Pipeline'!$H:$H,$U113)))</f>
        <v/>
      </c>
      <c r="F113" s="27" t="str">
        <f>IF($U113="","",IF(INDEX('MiT Strom Pipeline'!$E:$E,$U113)="","",INDEX('MiT Strom Pipeline'!$E:$E,$U113)))</f>
        <v/>
      </c>
      <c r="G113" s="28" t="str">
        <f>IF($U113="","",IF(ISNUMBER(INDEX('MiT Strom Pipeline'!$I:$I,$U113)),INDEX('MiT Strom Pipeline'!$I:$I,$U113),0))</f>
        <v/>
      </c>
      <c r="H113" s="28" t="str">
        <f>IF($U113="","",IF(ISNUMBER(INDEX('MiT Strom Pipeline'!$Q:$Q,$U113)),INDEX('MiT Strom Pipeline'!$Q:$Q,$U113),0))</f>
        <v/>
      </c>
      <c r="I113" s="27" t="str">
        <f>IF($U113="","",INDEX('MiT Strom Pipeline'!$R:$R,$U113))</f>
        <v/>
      </c>
      <c r="J113" s="29" t="str">
        <f>IF($U113="","",IF(ISNUMBER(INDEX('MiT Strom Pipeline'!$S:$S,$U113)),INDEX('MiT Strom Pipeline'!$S:$S,$U113),""))</f>
        <v/>
      </c>
      <c r="K113" s="27" t="str">
        <f>IF($U113="","",IF(LEN(INDEX('MiT Strom Pipeline'!$V:$V,$U113))&gt;0,LEFT(INDEX('MiT Strom Pipeline'!$V:$V,$U113),55),""))</f>
        <v/>
      </c>
      <c r="L113" s="22" t="n"/>
      <c r="M113" s="22" t="n"/>
      <c r="N113" s="22" t="n"/>
      <c r="O113" s="22" t="n"/>
      <c r="P113" s="22" t="n"/>
      <c r="Q113" s="22" t="n"/>
      <c r="R113" s="22" t="n"/>
      <c r="S113" s="22" t="n"/>
      <c r="U113" t="str">
        <f>IFERROR(MATCH(39,'MiT Strom Pipeline'!$AC$6:$AC$860,0)+5,"")</f>
        <v/>
      </c>
    </row>
    <row r="114" ht="15.75" customHeight="1">
      <c r="A114" s="26" t="str">
        <f>IF($U114="","",IF(ISNUMBER(INDEX('MiT Strom Pipeline'!$A:$A,$U114)),INDEX('MiT Strom Pipeline'!$A:$A,$U114),""))</f>
        <v/>
      </c>
      <c r="B114" s="27" t="str">
        <f>IF($U114="","",IF(INDEX('MiT Strom Pipeline'!$B:$B,$U114)="","",INDEX('MiT Strom Pipeline'!$B:$B,$U114)))</f>
        <v/>
      </c>
      <c r="C114" s="27" t="str">
        <f>IF($U114="","",IF(INDEX('MiT Strom Pipeline'!$C:$C,$U114)="","",INDEX('MiT Strom Pipeline'!$C:$C,$U114)))</f>
        <v/>
      </c>
      <c r="D114" s="27" t="str">
        <f>IF($U114="","",IF(INDEX('MiT Strom Pipeline'!$D:$D,$U114)="","",INDEX('MiT Strom Pipeline'!$D:$D,$U114)))</f>
        <v/>
      </c>
      <c r="E114" s="191" t="str">
        <f>IF($U114="","",IF(INDEX('MiT Strom Pipeline'!$H:$H,$U114)="","",INDEX('MiT Strom Pipeline'!$H:$H,$U114)))</f>
        <v/>
      </c>
      <c r="F114" s="27" t="str">
        <f>IF($U114="","",IF(INDEX('MiT Strom Pipeline'!$E:$E,$U114)="","",INDEX('MiT Strom Pipeline'!$E:$E,$U114)))</f>
        <v/>
      </c>
      <c r="G114" s="28" t="str">
        <f>IF($U114="","",IF(ISNUMBER(INDEX('MiT Strom Pipeline'!$I:$I,$U114)),INDEX('MiT Strom Pipeline'!$I:$I,$U114),0))</f>
        <v/>
      </c>
      <c r="H114" s="28" t="str">
        <f>IF($U114="","",IF(ISNUMBER(INDEX('MiT Strom Pipeline'!$Q:$Q,$U114)),INDEX('MiT Strom Pipeline'!$Q:$Q,$U114),0))</f>
        <v/>
      </c>
      <c r="I114" s="27" t="str">
        <f>IF($U114="","",INDEX('MiT Strom Pipeline'!$R:$R,$U114))</f>
        <v/>
      </c>
      <c r="J114" s="29" t="str">
        <f>IF($U114="","",IF(ISNUMBER(INDEX('MiT Strom Pipeline'!$S:$S,$U114)),INDEX('MiT Strom Pipeline'!$S:$S,$U114),""))</f>
        <v/>
      </c>
      <c r="K114" s="27" t="str">
        <f>IF($U114="","",IF(LEN(INDEX('MiT Strom Pipeline'!$V:$V,$U114))&gt;0,LEFT(INDEX('MiT Strom Pipeline'!$V:$V,$U114),55),""))</f>
        <v/>
      </c>
      <c r="L114" s="22" t="n"/>
      <c r="M114" s="22" t="n"/>
      <c r="N114" s="22" t="n"/>
      <c r="O114" s="22" t="n"/>
      <c r="P114" s="22" t="n"/>
      <c r="Q114" s="22" t="n"/>
      <c r="R114" s="22" t="n"/>
      <c r="S114" s="22" t="n"/>
      <c r="U114" t="str">
        <f>IFERROR(MATCH(40,'MiT Strom Pipeline'!$AC$6:$AC$860,0)+5,"")</f>
        <v/>
      </c>
    </row>
    <row r="115" ht="15.75" customHeight="1">
      <c r="A115" s="26" t="str">
        <f>IF($U115="","",IF(ISNUMBER(INDEX('MiT Strom Pipeline'!$A:$A,$U115)),INDEX('MiT Strom Pipeline'!$A:$A,$U115),""))</f>
        <v/>
      </c>
      <c r="B115" s="27" t="str">
        <f>IF($U115="","",IF(INDEX('MiT Strom Pipeline'!$B:$B,$U115)="","",INDEX('MiT Strom Pipeline'!$B:$B,$U115)))</f>
        <v/>
      </c>
      <c r="C115" s="27" t="str">
        <f>IF($U115="","",IF(INDEX('MiT Strom Pipeline'!$C:$C,$U115)="","",INDEX('MiT Strom Pipeline'!$C:$C,$U115)))</f>
        <v/>
      </c>
      <c r="D115" s="27" t="str">
        <f>IF($U115="","",IF(INDEX('MiT Strom Pipeline'!$D:$D,$U115)="","",INDEX('MiT Strom Pipeline'!$D:$D,$U115)))</f>
        <v/>
      </c>
      <c r="E115" s="27" t="str">
        <f>IF($U115="","",IF(INDEX('MiT Strom Pipeline'!$H:$H,$U115)="","",INDEX('MiT Strom Pipeline'!$H:$H,$U115)))</f>
        <v/>
      </c>
      <c r="F115" s="27" t="str">
        <f>IF($U115="","",IF(INDEX('MiT Strom Pipeline'!$E:$E,$U115)="","",INDEX('MiT Strom Pipeline'!$E:$E,$U115)))</f>
        <v/>
      </c>
      <c r="G115" s="28" t="str">
        <f>IF($U115="","",IF(ISNUMBER(INDEX('MiT Strom Pipeline'!$I:$I,$U115)),INDEX('MiT Strom Pipeline'!$I:$I,$U115),0))</f>
        <v/>
      </c>
      <c r="H115" s="28" t="str">
        <f>IF($U115="","",IF(ISNUMBER(INDEX('MiT Strom Pipeline'!$Q:$Q,$U115)),INDEX('MiT Strom Pipeline'!$Q:$Q,$U115),0))</f>
        <v/>
      </c>
      <c r="I115" s="27" t="str">
        <f>IF($U115="","",INDEX('MiT Strom Pipeline'!$R:$R,$U115))</f>
        <v/>
      </c>
      <c r="J115" s="29" t="str">
        <f>IF($U115="","",IF(ISNUMBER(INDEX('MiT Strom Pipeline'!$S:$S,$U115)),INDEX('MiT Strom Pipeline'!$S:$S,$U115),""))</f>
        <v/>
      </c>
      <c r="K115" s="27" t="str">
        <f>IF($U115="","",IF(LEN(INDEX('MiT Strom Pipeline'!$V:$V,$U115))&gt;0,LEFT(INDEX('MiT Strom Pipeline'!$V:$V,$U115),55),""))</f>
        <v/>
      </c>
      <c r="L115" s="22" t="n"/>
      <c r="M115" s="22" t="n"/>
      <c r="N115" s="22" t="n"/>
      <c r="O115" s="22" t="n"/>
      <c r="P115" s="22" t="n"/>
      <c r="Q115" s="22" t="n"/>
      <c r="R115" s="22" t="n"/>
      <c r="S115" s="22" t="n"/>
      <c r="U115" t="str">
        <f>IFERROR(MATCH(41,'MiT Strom Pipeline'!$AC$6:$AC$860,0)+5,"")</f>
        <v/>
      </c>
    </row>
    <row r="116" ht="15.75" customHeight="1">
      <c r="A116" s="26" t="str">
        <f>IF($U116="","",IF(ISNUMBER(INDEX('MiT Strom Pipeline'!$A:$A,$U116)),INDEX('MiT Strom Pipeline'!$A:$A,$U116),""))</f>
        <v/>
      </c>
      <c r="B116" s="27" t="str">
        <f>IF($U116="","",IF(INDEX('MiT Strom Pipeline'!$B:$B,$U116)="","",INDEX('MiT Strom Pipeline'!$B:$B,$U116)))</f>
        <v/>
      </c>
      <c r="C116" s="27" t="str">
        <f>IF($U116="","",IF(INDEX('MiT Strom Pipeline'!$C:$C,$U116)="","",INDEX('MiT Strom Pipeline'!$C:$C,$U116)))</f>
        <v/>
      </c>
      <c r="D116" s="27" t="str">
        <f>IF($U116="","",IF(INDEX('MiT Strom Pipeline'!$D:$D,$U116)="","",INDEX('MiT Strom Pipeline'!$D:$D,$U116)))</f>
        <v/>
      </c>
      <c r="E116" s="191" t="str">
        <f>IF($U116="","",IF(INDEX('MiT Strom Pipeline'!$H:$H,$U116)="","",INDEX('MiT Strom Pipeline'!$H:$H,$U116)))</f>
        <v/>
      </c>
      <c r="F116" s="27" t="str">
        <f>IF($U116="","",IF(INDEX('MiT Strom Pipeline'!$E:$E,$U116)="","",INDEX('MiT Strom Pipeline'!$E:$E,$U116)))</f>
        <v/>
      </c>
      <c r="G116" s="28" t="str">
        <f>IF($U116="","",IF(ISNUMBER(INDEX('MiT Strom Pipeline'!$I:$I,$U116)),INDEX('MiT Strom Pipeline'!$I:$I,$U116),0))</f>
        <v/>
      </c>
      <c r="H116" s="28" t="str">
        <f>IF($U116="","",IF(ISNUMBER(INDEX('MiT Strom Pipeline'!$Q:$Q,$U116)),INDEX('MiT Strom Pipeline'!$Q:$Q,$U116),0))</f>
        <v/>
      </c>
      <c r="I116" s="27" t="str">
        <f>IF($U116="","",INDEX('MiT Strom Pipeline'!$R:$R,$U116))</f>
        <v/>
      </c>
      <c r="J116" s="29" t="str">
        <f>IF($U116="","",IF(ISNUMBER(INDEX('MiT Strom Pipeline'!$S:$S,$U116)),INDEX('MiT Strom Pipeline'!$S:$S,$U116),""))</f>
        <v/>
      </c>
      <c r="K116" s="27" t="str">
        <f>IF($U116="","",IF(LEN(INDEX('MiT Strom Pipeline'!$V:$V,$U116))&gt;0,LEFT(INDEX('MiT Strom Pipeline'!$V:$V,$U116),55),""))</f>
        <v/>
      </c>
      <c r="L116" s="22" t="n"/>
      <c r="M116" s="22" t="n"/>
      <c r="N116" s="22" t="n"/>
      <c r="O116" s="22" t="n"/>
      <c r="P116" s="22" t="n"/>
      <c r="Q116" s="22" t="n"/>
      <c r="R116" s="22" t="n"/>
      <c r="S116" s="22" t="n"/>
      <c r="U116" t="str">
        <f>IFERROR(MATCH(42,'MiT Strom Pipeline'!$AC$6:$AC$860,0)+5,"")</f>
        <v/>
      </c>
    </row>
    <row r="117" ht="15.75" customHeight="1">
      <c r="A117" s="26" t="str">
        <f>IF($U117="","",IF(ISNUMBER(INDEX('MiT Strom Pipeline'!$A:$A,$U117)),INDEX('MiT Strom Pipeline'!$A:$A,$U117),""))</f>
        <v/>
      </c>
      <c r="B117" s="27" t="str">
        <f>IF($U117="","",IF(INDEX('MiT Strom Pipeline'!$B:$B,$U117)="","",INDEX('MiT Strom Pipeline'!$B:$B,$U117)))</f>
        <v/>
      </c>
      <c r="C117" s="27" t="str">
        <f>IF($U117="","",IF(INDEX('MiT Strom Pipeline'!$C:$C,$U117)="","",INDEX('MiT Strom Pipeline'!$C:$C,$U117)))</f>
        <v/>
      </c>
      <c r="D117" s="27" t="str">
        <f>IF($U117="","",IF(INDEX('MiT Strom Pipeline'!$D:$D,$U117)="","",INDEX('MiT Strom Pipeline'!$D:$D,$U117)))</f>
        <v/>
      </c>
      <c r="E117" s="27" t="str">
        <f>IF($U117="","",IF(INDEX('MiT Strom Pipeline'!$H:$H,$U117)="","",INDEX('MiT Strom Pipeline'!$H:$H,$U117)))</f>
        <v/>
      </c>
      <c r="F117" s="27" t="str">
        <f>IF($U117="","",IF(INDEX('MiT Strom Pipeline'!$E:$E,$U117)="","",INDEX('MiT Strom Pipeline'!$E:$E,$U117)))</f>
        <v/>
      </c>
      <c r="G117" s="28" t="str">
        <f>IF($U117="","",IF(ISNUMBER(INDEX('MiT Strom Pipeline'!$I:$I,$U117)),INDEX('MiT Strom Pipeline'!$I:$I,$U117),0))</f>
        <v/>
      </c>
      <c r="H117" s="28" t="str">
        <f>IF($U117="","",IF(ISNUMBER(INDEX('MiT Strom Pipeline'!$Q:$Q,$U117)),INDEX('MiT Strom Pipeline'!$Q:$Q,$U117),0))</f>
        <v/>
      </c>
      <c r="I117" s="27" t="str">
        <f>IF($U117="","",INDEX('MiT Strom Pipeline'!$R:$R,$U117))</f>
        <v/>
      </c>
      <c r="J117" s="29" t="str">
        <f>IF($U117="","",IF(ISNUMBER(INDEX('MiT Strom Pipeline'!$S:$S,$U117)),INDEX('MiT Strom Pipeline'!$S:$S,$U117),""))</f>
        <v/>
      </c>
      <c r="K117" s="27" t="str">
        <f>IF($U117="","",IF(LEN(INDEX('MiT Strom Pipeline'!$V:$V,$U117))&gt;0,LEFT(INDEX('MiT Strom Pipeline'!$V:$V,$U117),55),""))</f>
        <v/>
      </c>
      <c r="L117" s="22" t="n"/>
      <c r="M117" s="22" t="n"/>
      <c r="N117" s="22" t="n"/>
      <c r="O117" s="22" t="n"/>
      <c r="P117" s="22" t="n"/>
      <c r="Q117" s="22" t="n"/>
      <c r="R117" s="22" t="n"/>
      <c r="S117" s="22" t="n"/>
      <c r="U117" t="str">
        <f>IFERROR(MATCH(43,'MiT Strom Pipeline'!$AC$6:$AC$860,0)+5,"")</f>
        <v/>
      </c>
    </row>
    <row r="118" ht="15.75" customHeight="1">
      <c r="A118" s="26" t="str">
        <f>IF($U118="","",IF(ISNUMBER(INDEX('MiT Strom Pipeline'!$A:$A,$U118)),INDEX('MiT Strom Pipeline'!$A:$A,$U118),""))</f>
        <v/>
      </c>
      <c r="B118" s="27" t="str">
        <f>IF($U118="","",IF(INDEX('MiT Strom Pipeline'!$B:$B,$U118)="","",INDEX('MiT Strom Pipeline'!$B:$B,$U118)))</f>
        <v/>
      </c>
      <c r="C118" s="27" t="str">
        <f>IF($U118="","",IF(INDEX('MiT Strom Pipeline'!$C:$C,$U118)="","",INDEX('MiT Strom Pipeline'!$C:$C,$U118)))</f>
        <v/>
      </c>
      <c r="D118" s="27" t="str">
        <f>IF($U118="","",IF(INDEX('MiT Strom Pipeline'!$D:$D,$U118)="","",INDEX('MiT Strom Pipeline'!$D:$D,$U118)))</f>
        <v/>
      </c>
      <c r="E118" s="27" t="str">
        <f>IF($U118="","",IF(INDEX('MiT Strom Pipeline'!$H:$H,$U118)="","",INDEX('MiT Strom Pipeline'!$H:$H,$U118)))</f>
        <v/>
      </c>
      <c r="F118" s="27" t="str">
        <f>IF($U118="","",IF(INDEX('MiT Strom Pipeline'!$E:$E,$U118)="","",INDEX('MiT Strom Pipeline'!$E:$E,$U118)))</f>
        <v/>
      </c>
      <c r="G118" s="28" t="str">
        <f>IF($U118="","",IF(ISNUMBER(INDEX('MiT Strom Pipeline'!$I:$I,$U118)),INDEX('MiT Strom Pipeline'!$I:$I,$U118),0))</f>
        <v/>
      </c>
      <c r="H118" s="28" t="str">
        <f>IF($U118="","",IF(ISNUMBER(INDEX('MiT Strom Pipeline'!$Q:$Q,$U118)),INDEX('MiT Strom Pipeline'!$Q:$Q,$U118),0))</f>
        <v/>
      </c>
      <c r="I118" s="27" t="str">
        <f>IF($U118="","",INDEX('MiT Strom Pipeline'!$R:$R,$U118))</f>
        <v/>
      </c>
      <c r="J118" s="29" t="str">
        <f>IF($U118="","",IF(ISNUMBER(INDEX('MiT Strom Pipeline'!$S:$S,$U118)),INDEX('MiT Strom Pipeline'!$S:$S,$U118),""))</f>
        <v/>
      </c>
      <c r="K118" s="27" t="str">
        <f>IF($U118="","",IF(LEN(INDEX('MiT Strom Pipeline'!$V:$V,$U118))&gt;0,LEFT(INDEX('MiT Strom Pipeline'!$V:$V,$U118),55),""))</f>
        <v/>
      </c>
      <c r="L118" s="22" t="n"/>
      <c r="M118" s="22" t="n"/>
      <c r="N118" s="22" t="n"/>
      <c r="O118" s="22" t="n"/>
      <c r="P118" s="22" t="n"/>
      <c r="Q118" s="22" t="n"/>
      <c r="R118" s="22" t="n"/>
      <c r="S118" s="22" t="n"/>
      <c r="U118" t="str">
        <f>IFERROR(MATCH(44,'MiT Strom Pipeline'!$AC$6:$AC$860,0)+5,"")</f>
        <v/>
      </c>
    </row>
    <row r="119" ht="15.75" customHeight="1">
      <c r="A119" s="26" t="str">
        <f>IF($U119="","",IF(ISNUMBER(INDEX('MiT Strom Pipeline'!$A:$A,$U119)),INDEX('MiT Strom Pipeline'!$A:$A,$U119),""))</f>
        <v/>
      </c>
      <c r="B119" s="27" t="str">
        <f>IF($U119="","",IF(INDEX('MiT Strom Pipeline'!$B:$B,$U119)="","",INDEX('MiT Strom Pipeline'!$B:$B,$U119)))</f>
        <v/>
      </c>
      <c r="C119" s="27" t="str">
        <f>IF($U119="","",IF(INDEX('MiT Strom Pipeline'!$C:$C,$U119)="","",INDEX('MiT Strom Pipeline'!$C:$C,$U119)))</f>
        <v/>
      </c>
      <c r="D119" s="27" t="str">
        <f>IF($U119="","",IF(INDEX('MiT Strom Pipeline'!$D:$D,$U119)="","",INDEX('MiT Strom Pipeline'!$D:$D,$U119)))</f>
        <v/>
      </c>
      <c r="E119" s="27" t="str">
        <f>IF($U119="","",IF(INDEX('MiT Strom Pipeline'!$H:$H,$U119)="","",INDEX('MiT Strom Pipeline'!$H:$H,$U119)))</f>
        <v/>
      </c>
      <c r="F119" s="27" t="str">
        <f>IF($U119="","",IF(INDEX('MiT Strom Pipeline'!$E:$E,$U119)="","",INDEX('MiT Strom Pipeline'!$E:$E,$U119)))</f>
        <v/>
      </c>
      <c r="G119" s="28" t="str">
        <f>IF($U119="","",IF(ISNUMBER(INDEX('MiT Strom Pipeline'!$I:$I,$U119)),INDEX('MiT Strom Pipeline'!$I:$I,$U119),0))</f>
        <v/>
      </c>
      <c r="H119" s="28" t="str">
        <f>IF($U119="","",IF(ISNUMBER(INDEX('MiT Strom Pipeline'!$Q:$Q,$U119)),INDEX('MiT Strom Pipeline'!$Q:$Q,$U119),0))</f>
        <v/>
      </c>
      <c r="I119" s="27" t="str">
        <f>IF($U119="","",INDEX('MiT Strom Pipeline'!$R:$R,$U119))</f>
        <v/>
      </c>
      <c r="J119" s="29" t="str">
        <f>IF($U119="","",IF(ISNUMBER(INDEX('MiT Strom Pipeline'!$S:$S,$U119)),INDEX('MiT Strom Pipeline'!$S:$S,$U119),""))</f>
        <v/>
      </c>
      <c r="K119" s="27" t="str">
        <f>IF($U119="","",IF(LEN(INDEX('MiT Strom Pipeline'!$V:$V,$U119))&gt;0,LEFT(INDEX('MiT Strom Pipeline'!$V:$V,$U119),55),""))</f>
        <v/>
      </c>
      <c r="L119" s="22" t="n"/>
      <c r="M119" s="22" t="n"/>
      <c r="N119" s="22" t="n"/>
      <c r="O119" s="22" t="n"/>
      <c r="P119" s="22" t="n"/>
      <c r="Q119" s="22" t="n"/>
      <c r="R119" s="22" t="n"/>
      <c r="S119" s="22" t="n"/>
      <c r="U119" t="str">
        <f>IFERROR(MATCH(45,'MiT Strom Pipeline'!$AC$6:$AC$860,0)+5,"")</f>
        <v/>
      </c>
    </row>
    <row r="120" ht="15.75" customHeight="1">
      <c r="A120" s="26" t="str">
        <f>IF($U120="","",IF(ISNUMBER(INDEX('MiT Strom Pipeline'!$A:$A,$U120)),INDEX('MiT Strom Pipeline'!$A:$A,$U120),""))</f>
        <v/>
      </c>
      <c r="B120" s="27" t="str">
        <f>IF($U120="","",IF(INDEX('MiT Strom Pipeline'!$B:$B,$U120)="","",INDEX('MiT Strom Pipeline'!$B:$B,$U120)))</f>
        <v/>
      </c>
      <c r="C120" s="27" t="str">
        <f>IF($U120="","",IF(INDEX('MiT Strom Pipeline'!$C:$C,$U120)="","",INDEX('MiT Strom Pipeline'!$C:$C,$U120)))</f>
        <v/>
      </c>
      <c r="D120" s="27" t="str">
        <f>IF($U120="","",IF(INDEX('MiT Strom Pipeline'!$D:$D,$U120)="","",INDEX('MiT Strom Pipeline'!$D:$D,$U120)))</f>
        <v/>
      </c>
      <c r="E120" s="27" t="str">
        <f>IF($U120="","",IF(INDEX('MiT Strom Pipeline'!$H:$H,$U120)="","",INDEX('MiT Strom Pipeline'!$H:$H,$U120)))</f>
        <v/>
      </c>
      <c r="F120" s="27" t="str">
        <f>IF($U120="","",IF(INDEX('MiT Strom Pipeline'!$E:$E,$U120)="","",INDEX('MiT Strom Pipeline'!$E:$E,$U120)))</f>
        <v/>
      </c>
      <c r="G120" s="28" t="str">
        <f>IF($U120="","",IF(ISNUMBER(INDEX('MiT Strom Pipeline'!$I:$I,$U120)),INDEX('MiT Strom Pipeline'!$I:$I,$U120),0))</f>
        <v/>
      </c>
      <c r="H120" s="28" t="str">
        <f>IF($U120="","",IF(ISNUMBER(INDEX('MiT Strom Pipeline'!$Q:$Q,$U120)),INDEX('MiT Strom Pipeline'!$Q:$Q,$U120),0))</f>
        <v/>
      </c>
      <c r="I120" s="27" t="str">
        <f>IF($U120="","",INDEX('MiT Strom Pipeline'!$R:$R,$U120))</f>
        <v/>
      </c>
      <c r="J120" s="29" t="str">
        <f>IF($U120="","",IF(ISNUMBER(INDEX('MiT Strom Pipeline'!$S:$S,$U120)),INDEX('MiT Strom Pipeline'!$S:$S,$U120),""))</f>
        <v/>
      </c>
      <c r="K120" s="27" t="str">
        <f>IF($U120="","",IF(LEN(INDEX('MiT Strom Pipeline'!$V:$V,$U120))&gt;0,LEFT(INDEX('MiT Strom Pipeline'!$V:$V,$U120),55),""))</f>
        <v/>
      </c>
      <c r="L120" s="22" t="n"/>
      <c r="M120" s="22" t="n"/>
      <c r="N120" s="22" t="n"/>
      <c r="O120" s="22" t="n"/>
      <c r="P120" s="22" t="n"/>
      <c r="Q120" s="22" t="n"/>
      <c r="R120" s="22" t="n"/>
      <c r="S120" s="22" t="n"/>
      <c r="U120" t="str">
        <f>IFERROR(MATCH(46,'MiT Strom Pipeline'!$AC$6:$AC$860,0)+5,"")</f>
        <v/>
      </c>
    </row>
    <row r="121" ht="15.75" customHeight="1">
      <c r="A121" s="26" t="str">
        <f>IF($U121="","",IF(ISNUMBER(INDEX('MiT Strom Pipeline'!$A:$A,$U121)),INDEX('MiT Strom Pipeline'!$A:$A,$U121),""))</f>
        <v/>
      </c>
      <c r="B121" s="27" t="str">
        <f>IF($U121="","",IF(INDEX('MiT Strom Pipeline'!$B:$B,$U121)="","",INDEX('MiT Strom Pipeline'!$B:$B,$U121)))</f>
        <v/>
      </c>
      <c r="C121" s="27" t="str">
        <f>IF($U121="","",IF(INDEX('MiT Strom Pipeline'!$C:$C,$U121)="","",INDEX('MiT Strom Pipeline'!$C:$C,$U121)))</f>
        <v/>
      </c>
      <c r="D121" s="27" t="str">
        <f>IF($U121="","",IF(INDEX('MiT Strom Pipeline'!$D:$D,$U121)="","",INDEX('MiT Strom Pipeline'!$D:$D,$U121)))</f>
        <v/>
      </c>
      <c r="E121" s="27" t="str">
        <f>IF($U121="","",IF(INDEX('MiT Strom Pipeline'!$H:$H,$U121)="","",INDEX('MiT Strom Pipeline'!$H:$H,$U121)))</f>
        <v/>
      </c>
      <c r="F121" s="27" t="str">
        <f>IF($U121="","",IF(INDEX('MiT Strom Pipeline'!$E:$E,$U121)="","",INDEX('MiT Strom Pipeline'!$E:$E,$U121)))</f>
        <v/>
      </c>
      <c r="G121" s="28" t="str">
        <f>IF($U121="","",IF(ISNUMBER(INDEX('MiT Strom Pipeline'!$I:$I,$U121)),INDEX('MiT Strom Pipeline'!$I:$I,$U121),0))</f>
        <v/>
      </c>
      <c r="H121" s="28" t="str">
        <f>IF($U121="","",IF(ISNUMBER(INDEX('MiT Strom Pipeline'!$Q:$Q,$U121)),INDEX('MiT Strom Pipeline'!$Q:$Q,$U121),0))</f>
        <v/>
      </c>
      <c r="I121" s="27" t="str">
        <f>IF($U121="","",INDEX('MiT Strom Pipeline'!$R:$R,$U121))</f>
        <v/>
      </c>
      <c r="J121" s="29" t="str">
        <f>IF($U121="","",IF(ISNUMBER(INDEX('MiT Strom Pipeline'!$S:$S,$U121)),INDEX('MiT Strom Pipeline'!$S:$S,$U121),""))</f>
        <v/>
      </c>
      <c r="K121" s="27" t="str">
        <f>IF($U121="","",IF(LEN(INDEX('MiT Strom Pipeline'!$V:$V,$U121))&gt;0,LEFT(INDEX('MiT Strom Pipeline'!$V:$V,$U121),55),""))</f>
        <v/>
      </c>
      <c r="L121" s="22" t="n"/>
      <c r="M121" s="22" t="n"/>
      <c r="N121" s="22" t="n"/>
      <c r="O121" s="22" t="n"/>
      <c r="P121" s="22" t="n"/>
      <c r="Q121" s="22" t="n"/>
      <c r="R121" s="22" t="n"/>
      <c r="S121" s="22" t="n"/>
      <c r="U121" t="str">
        <f>IFERROR(MATCH(47,'MiT Strom Pipeline'!$AC$6:$AC$860,0)+5,"")</f>
        <v/>
      </c>
    </row>
    <row r="122" ht="15.75" customHeight="1">
      <c r="A122" s="26" t="str">
        <f>IF($U122="","",IF(ISNUMBER(INDEX('MiT Strom Pipeline'!$A:$A,$U122)),INDEX('MiT Strom Pipeline'!$A:$A,$U122),""))</f>
        <v/>
      </c>
      <c r="B122" s="27" t="str">
        <f>IF($U122="","",IF(INDEX('MiT Strom Pipeline'!$B:$B,$U122)="","",INDEX('MiT Strom Pipeline'!$B:$B,$U122)))</f>
        <v/>
      </c>
      <c r="C122" s="27" t="str">
        <f>IF($U122="","",IF(INDEX('MiT Strom Pipeline'!$C:$C,$U122)="","",INDEX('MiT Strom Pipeline'!$C:$C,$U122)))</f>
        <v/>
      </c>
      <c r="D122" s="27" t="str">
        <f>IF($U122="","",IF(INDEX('MiT Strom Pipeline'!$D:$D,$U122)="","",INDEX('MiT Strom Pipeline'!$D:$D,$U122)))</f>
        <v/>
      </c>
      <c r="E122" s="27" t="str">
        <f>IF($U122="","",IF(INDEX('MiT Strom Pipeline'!$H:$H,$U122)="","",INDEX('MiT Strom Pipeline'!$H:$H,$U122)))</f>
        <v/>
      </c>
      <c r="F122" s="27" t="str">
        <f>IF($U122="","",IF(INDEX('MiT Strom Pipeline'!$E:$E,$U122)="","",INDEX('MiT Strom Pipeline'!$E:$E,$U122)))</f>
        <v/>
      </c>
      <c r="G122" s="28" t="str">
        <f>IF($U122="","",IF(ISNUMBER(INDEX('MiT Strom Pipeline'!$I:$I,$U122)),INDEX('MiT Strom Pipeline'!$I:$I,$U122),0))</f>
        <v/>
      </c>
      <c r="H122" s="28" t="str">
        <f>IF($U122="","",IF(ISNUMBER(INDEX('MiT Strom Pipeline'!$Q:$Q,$U122)),INDEX('MiT Strom Pipeline'!$Q:$Q,$U122),0))</f>
        <v/>
      </c>
      <c r="I122" s="27" t="str">
        <f>IF($U122="","",INDEX('MiT Strom Pipeline'!$R:$R,$U122))</f>
        <v/>
      </c>
      <c r="J122" s="29" t="str">
        <f>IF($U122="","",IF(ISNUMBER(INDEX('MiT Strom Pipeline'!$S:$S,$U122)),INDEX('MiT Strom Pipeline'!$S:$S,$U122),""))</f>
        <v/>
      </c>
      <c r="K122" s="27" t="str">
        <f>IF($U122="","",IF(LEN(INDEX('MiT Strom Pipeline'!$V:$V,$U122))&gt;0,LEFT(INDEX('MiT Strom Pipeline'!$V:$V,$U122),55),""))</f>
        <v/>
      </c>
      <c r="L122" s="22" t="n"/>
      <c r="M122" s="22" t="n"/>
      <c r="N122" s="22" t="n"/>
      <c r="O122" s="22" t="n"/>
      <c r="P122" s="22" t="n"/>
      <c r="Q122" s="22" t="n"/>
      <c r="R122" s="22" t="n"/>
      <c r="S122" s="22" t="n"/>
      <c r="U122" t="str">
        <f>IFERROR(MATCH(48,'MiT Strom Pipeline'!$AC$6:$AC$860,0)+5,"")</f>
        <v/>
      </c>
    </row>
    <row r="123" ht="15.75" customHeight="1">
      <c r="A123" s="26" t="str">
        <f>IF($U123="","",IF(ISNUMBER(INDEX('MiT Strom Pipeline'!$A:$A,$U123)),INDEX('MiT Strom Pipeline'!$A:$A,$U123),""))</f>
        <v/>
      </c>
      <c r="B123" s="27" t="str">
        <f>IF($U123="","",IF(INDEX('MiT Strom Pipeline'!$B:$B,$U123)="","",INDEX('MiT Strom Pipeline'!$B:$B,$U123)))</f>
        <v/>
      </c>
      <c r="C123" s="27" t="str">
        <f>IF($U123="","",IF(INDEX('MiT Strom Pipeline'!$C:$C,$U123)="","",INDEX('MiT Strom Pipeline'!$C:$C,$U123)))</f>
        <v/>
      </c>
      <c r="D123" s="27" t="str">
        <f>IF($U123="","",IF(INDEX('MiT Strom Pipeline'!$D:$D,$U123)="","",INDEX('MiT Strom Pipeline'!$D:$D,$U123)))</f>
        <v/>
      </c>
      <c r="E123" s="27" t="str">
        <f>IF($U123="","",IF(INDEX('MiT Strom Pipeline'!$H:$H,$U123)="","",INDEX('MiT Strom Pipeline'!$H:$H,$U123)))</f>
        <v/>
      </c>
      <c r="F123" s="27" t="str">
        <f>IF($U123="","",IF(INDEX('MiT Strom Pipeline'!$E:$E,$U123)="","",INDEX('MiT Strom Pipeline'!$E:$E,$U123)))</f>
        <v/>
      </c>
      <c r="G123" s="28" t="str">
        <f>IF($U123="","",IF(ISNUMBER(INDEX('MiT Strom Pipeline'!$I:$I,$U123)),INDEX('MiT Strom Pipeline'!$I:$I,$U123),0))</f>
        <v/>
      </c>
      <c r="H123" s="28" t="str">
        <f>IF($U123="","",IF(ISNUMBER(INDEX('MiT Strom Pipeline'!$Q:$Q,$U123)),INDEX('MiT Strom Pipeline'!$Q:$Q,$U123),0))</f>
        <v/>
      </c>
      <c r="I123" s="27" t="str">
        <f>IF($U123="","",INDEX('MiT Strom Pipeline'!$R:$R,$U123))</f>
        <v/>
      </c>
      <c r="J123" s="29" t="str">
        <f>IF($U123="","",IF(ISNUMBER(INDEX('MiT Strom Pipeline'!$S:$S,$U123)),INDEX('MiT Strom Pipeline'!$S:$S,$U123),""))</f>
        <v/>
      </c>
      <c r="K123" s="27" t="str">
        <f>IF($U123="","",IF(LEN(INDEX('MiT Strom Pipeline'!$V:$V,$U123))&gt;0,LEFT(INDEX('MiT Strom Pipeline'!$V:$V,$U123),55),""))</f>
        <v/>
      </c>
      <c r="L123" s="22" t="n"/>
      <c r="M123" s="22" t="n"/>
      <c r="N123" s="22" t="n"/>
      <c r="O123" s="22" t="n"/>
      <c r="P123" s="22" t="n"/>
      <c r="Q123" s="22" t="n"/>
      <c r="R123" s="22" t="n"/>
      <c r="S123" s="22" t="n"/>
      <c r="U123" t="str">
        <f>IFERROR(MATCH(49,'MiT Strom Pipeline'!$AC$6:$AC$860,0)+5,"")</f>
        <v/>
      </c>
    </row>
    <row r="124" ht="15.75" customHeight="1">
      <c r="A124" s="26" t="str">
        <f>IF($U124="","",IF(ISNUMBER(INDEX('MiT Strom Pipeline'!$A:$A,$U124)),INDEX('MiT Strom Pipeline'!$A:$A,$U124),""))</f>
        <v/>
      </c>
      <c r="B124" s="27" t="str">
        <f>IF($U124="","",IF(INDEX('MiT Strom Pipeline'!$B:$B,$U124)="","",INDEX('MiT Strom Pipeline'!$B:$B,$U124)))</f>
        <v/>
      </c>
      <c r="C124" s="27" t="str">
        <f>IF($U124="","",IF(INDEX('MiT Strom Pipeline'!$C:$C,$U124)="","",INDEX('MiT Strom Pipeline'!$C:$C,$U124)))</f>
        <v/>
      </c>
      <c r="D124" s="27" t="str">
        <f>IF($U124="","",IF(INDEX('MiT Strom Pipeline'!$D:$D,$U124)="","",INDEX('MiT Strom Pipeline'!$D:$D,$U124)))</f>
        <v/>
      </c>
      <c r="E124" s="27" t="str">
        <f>IF($U124="","",IF(INDEX('MiT Strom Pipeline'!$H:$H,$U124)="","",INDEX('MiT Strom Pipeline'!$H:$H,$U124)))</f>
        <v/>
      </c>
      <c r="F124" s="27" t="str">
        <f>IF($U124="","",IF(INDEX('MiT Strom Pipeline'!$E:$E,$U124)="","",INDEX('MiT Strom Pipeline'!$E:$E,$U124)))</f>
        <v/>
      </c>
      <c r="G124" s="28" t="str">
        <f>IF($U124="","",IF(ISNUMBER(INDEX('MiT Strom Pipeline'!$I:$I,$U124)),INDEX('MiT Strom Pipeline'!$I:$I,$U124),0))</f>
        <v/>
      </c>
      <c r="H124" s="28" t="str">
        <f>IF($U124="","",IF(ISNUMBER(INDEX('MiT Strom Pipeline'!$Q:$Q,$U124)),INDEX('MiT Strom Pipeline'!$Q:$Q,$U124),0))</f>
        <v/>
      </c>
      <c r="I124" s="27" t="str">
        <f>IF($U124="","",INDEX('MiT Strom Pipeline'!$R:$R,$U124))</f>
        <v/>
      </c>
      <c r="J124" s="29" t="str">
        <f>IF($U124="","",IF(ISNUMBER(INDEX('MiT Strom Pipeline'!$S:$S,$U124)),INDEX('MiT Strom Pipeline'!$S:$S,$U124),""))</f>
        <v/>
      </c>
      <c r="K124" s="27" t="str">
        <f>IF($U124="","",IF(LEN(INDEX('MiT Strom Pipeline'!$V:$V,$U124))&gt;0,LEFT(INDEX('MiT Strom Pipeline'!$V:$V,$U124),55),""))</f>
        <v/>
      </c>
      <c r="L124" s="22" t="n"/>
      <c r="M124" s="22" t="n"/>
      <c r="N124" s="22" t="n"/>
      <c r="O124" s="22" t="n"/>
      <c r="P124" s="22" t="n"/>
      <c r="Q124" s="22" t="n"/>
      <c r="R124" s="22" t="n"/>
      <c r="S124" s="22" t="n"/>
      <c r="U124" t="str">
        <f>IFERROR(MATCH(50,'MiT Strom Pipeline'!$AC$6:$AC$860,0)+5,"")</f>
        <v/>
      </c>
    </row>
    <row r="125" ht="15.75" customHeight="1">
      <c r="A125" s="26" t="str">
        <f>IF($U125="","",IF(ISNUMBER(INDEX('MiT Strom Pipeline'!$A:$A,$U125)),INDEX('MiT Strom Pipeline'!$A:$A,$U125),""))</f>
        <v/>
      </c>
      <c r="B125" s="27" t="str">
        <f>IF($U125="","",IF(INDEX('MiT Strom Pipeline'!$B:$B,$U125)="","",INDEX('MiT Strom Pipeline'!$B:$B,$U125)))</f>
        <v/>
      </c>
      <c r="C125" s="27" t="str">
        <f>IF($U125="","",IF(INDEX('MiT Strom Pipeline'!$C:$C,$U125)="","",INDEX('MiT Strom Pipeline'!$C:$C,$U125)))</f>
        <v/>
      </c>
      <c r="D125" s="27" t="str">
        <f>IF($U125="","",IF(INDEX('MiT Strom Pipeline'!$D:$D,$U125)="","",INDEX('MiT Strom Pipeline'!$D:$D,$U125)))</f>
        <v/>
      </c>
      <c r="E125" s="27" t="str">
        <f>IF($U125="","",IF(INDEX('MiT Strom Pipeline'!$H:$H,$U125)="","",INDEX('MiT Strom Pipeline'!$H:$H,$U125)))</f>
        <v/>
      </c>
      <c r="F125" s="27" t="str">
        <f>IF($U125="","",IF(INDEX('MiT Strom Pipeline'!$E:$E,$U125)="","",INDEX('MiT Strom Pipeline'!$E:$E,$U125)))</f>
        <v/>
      </c>
      <c r="G125" s="28" t="str">
        <f>IF($U125="","",IF(ISNUMBER(INDEX('MiT Strom Pipeline'!$I:$I,$U125)),INDEX('MiT Strom Pipeline'!$I:$I,$U125),0))</f>
        <v/>
      </c>
      <c r="H125" s="28" t="str">
        <f>IF($U125="","",IF(ISNUMBER(INDEX('MiT Strom Pipeline'!$Q:$Q,$U125)),INDEX('MiT Strom Pipeline'!$Q:$Q,$U125),0))</f>
        <v/>
      </c>
      <c r="I125" s="27" t="str">
        <f>IF($U125="","",INDEX('MiT Strom Pipeline'!$R:$R,$U125))</f>
        <v/>
      </c>
      <c r="J125" s="29" t="str">
        <f>IF($U125="","",IF(ISNUMBER(INDEX('MiT Strom Pipeline'!$S:$S,$U125)),INDEX('MiT Strom Pipeline'!$S:$S,$U125),""))</f>
        <v/>
      </c>
      <c r="K125" s="27" t="str">
        <f>IF($U125="","",IF(LEN(INDEX('MiT Strom Pipeline'!$V:$V,$U125))&gt;0,LEFT(INDEX('MiT Strom Pipeline'!$V:$V,$U125),55),""))</f>
        <v/>
      </c>
      <c r="L125" s="22" t="n"/>
      <c r="M125" s="22" t="n"/>
      <c r="N125" s="22" t="n"/>
      <c r="O125" s="22" t="n"/>
      <c r="P125" s="22" t="n"/>
      <c r="Q125" s="22" t="n"/>
      <c r="R125" s="22" t="n"/>
      <c r="S125" s="22" t="n"/>
      <c r="U125" t="str">
        <f>IFERROR(MATCH(51,'MiT Strom Pipeline'!$AC$6:$AC$860,0)+5,"")</f>
        <v/>
      </c>
    </row>
    <row r="126" ht="15.75" customHeight="1">
      <c r="A126" s="26" t="str">
        <f>IF($U126="","",IF(ISNUMBER(INDEX('MiT Strom Pipeline'!$A:$A,$U126)),INDEX('MiT Strom Pipeline'!$A:$A,$U126),""))</f>
        <v/>
      </c>
      <c r="B126" s="27" t="str">
        <f>IF($U126="","",IF(INDEX('MiT Strom Pipeline'!$B:$B,$U126)="","",INDEX('MiT Strom Pipeline'!$B:$B,$U126)))</f>
        <v/>
      </c>
      <c r="C126" s="27" t="str">
        <f>IF($U126="","",IF(INDEX('MiT Strom Pipeline'!$C:$C,$U126)="","",INDEX('MiT Strom Pipeline'!$C:$C,$U126)))</f>
        <v/>
      </c>
      <c r="D126" s="27" t="str">
        <f>IF($U126="","",IF(INDEX('MiT Strom Pipeline'!$D:$D,$U126)="","",INDEX('MiT Strom Pipeline'!$D:$D,$U126)))</f>
        <v/>
      </c>
      <c r="E126" s="27" t="str">
        <f>IF($U126="","",IF(INDEX('MiT Strom Pipeline'!$H:$H,$U126)="","",INDEX('MiT Strom Pipeline'!$H:$H,$U126)))</f>
        <v/>
      </c>
      <c r="F126" s="27" t="str">
        <f>IF($U126="","",IF(INDEX('MiT Strom Pipeline'!$E:$E,$U126)="","",INDEX('MiT Strom Pipeline'!$E:$E,$U126)))</f>
        <v/>
      </c>
      <c r="G126" s="28" t="str">
        <f>IF($U126="","",IF(ISNUMBER(INDEX('MiT Strom Pipeline'!$I:$I,$U126)),INDEX('MiT Strom Pipeline'!$I:$I,$U126),0))</f>
        <v/>
      </c>
      <c r="H126" s="28" t="str">
        <f>IF($U126="","",IF(ISNUMBER(INDEX('MiT Strom Pipeline'!$Q:$Q,$U126)),INDEX('MiT Strom Pipeline'!$Q:$Q,$U126),0))</f>
        <v/>
      </c>
      <c r="I126" s="27" t="str">
        <f>IF($U126="","",INDEX('MiT Strom Pipeline'!$R:$R,$U126))</f>
        <v/>
      </c>
      <c r="J126" s="29" t="str">
        <f>IF($U126="","",IF(ISNUMBER(INDEX('MiT Strom Pipeline'!$S:$S,$U126)),INDEX('MiT Strom Pipeline'!$S:$S,$U126),""))</f>
        <v/>
      </c>
      <c r="K126" s="27" t="str">
        <f>IF($U126="","",IF(LEN(INDEX('MiT Strom Pipeline'!$V:$V,$U126))&gt;0,LEFT(INDEX('MiT Strom Pipeline'!$V:$V,$U126),55),""))</f>
        <v/>
      </c>
      <c r="L126" s="22" t="n"/>
      <c r="M126" s="22" t="n"/>
      <c r="N126" s="22" t="n"/>
      <c r="O126" s="22" t="n"/>
      <c r="P126" s="22" t="n"/>
      <c r="Q126" s="22" t="n"/>
      <c r="R126" s="22" t="n"/>
      <c r="S126" s="22" t="n"/>
      <c r="U126" t="str">
        <f>IFERROR(MATCH(52,'MiT Strom Pipeline'!$AC$6:$AC$860,0)+5,"")</f>
        <v/>
      </c>
    </row>
    <row r="127" ht="15.75" customHeight="1">
      <c r="A127" s="26" t="str">
        <f>IF($U127="","",IF(ISNUMBER(INDEX('MiT Strom Pipeline'!$A:$A,$U127)),INDEX('MiT Strom Pipeline'!$A:$A,$U127),""))</f>
        <v/>
      </c>
      <c r="B127" s="27" t="str">
        <f>IF($U127="","",IF(INDEX('MiT Strom Pipeline'!$B:$B,$U127)="","",INDEX('MiT Strom Pipeline'!$B:$B,$U127)))</f>
        <v/>
      </c>
      <c r="C127" s="27" t="str">
        <f>IF($U127="","",IF(INDEX('MiT Strom Pipeline'!$C:$C,$U127)="","",INDEX('MiT Strom Pipeline'!$C:$C,$U127)))</f>
        <v/>
      </c>
      <c r="D127" s="27" t="str">
        <f>IF($U127="","",IF(INDEX('MiT Strom Pipeline'!$D:$D,$U127)="","",INDEX('MiT Strom Pipeline'!$D:$D,$U127)))</f>
        <v/>
      </c>
      <c r="E127" s="27" t="str">
        <f>IF($U127="","",IF(INDEX('MiT Strom Pipeline'!$H:$H,$U127)="","",INDEX('MiT Strom Pipeline'!$H:$H,$U127)))</f>
        <v/>
      </c>
      <c r="F127" s="27" t="str">
        <f>IF($U127="","",IF(INDEX('MiT Strom Pipeline'!$E:$E,$U127)="","",INDEX('MiT Strom Pipeline'!$E:$E,$U127)))</f>
        <v/>
      </c>
      <c r="G127" s="28" t="str">
        <f>IF($U127="","",IF(ISNUMBER(INDEX('MiT Strom Pipeline'!$I:$I,$U127)),INDEX('MiT Strom Pipeline'!$I:$I,$U127),0))</f>
        <v/>
      </c>
      <c r="H127" s="28" t="str">
        <f>IF($U127="","",IF(ISNUMBER(INDEX('MiT Strom Pipeline'!$Q:$Q,$U127)),INDEX('MiT Strom Pipeline'!$Q:$Q,$U127),0))</f>
        <v/>
      </c>
      <c r="I127" s="27" t="str">
        <f>IF($U127="","",INDEX('MiT Strom Pipeline'!$R:$R,$U127))</f>
        <v/>
      </c>
      <c r="J127" s="29" t="str">
        <f>IF($U127="","",IF(ISNUMBER(INDEX('MiT Strom Pipeline'!$S:$S,$U127)),INDEX('MiT Strom Pipeline'!$S:$S,$U127),""))</f>
        <v/>
      </c>
      <c r="K127" s="27" t="str">
        <f>IF($U127="","",IF(LEN(INDEX('MiT Strom Pipeline'!$V:$V,$U127))&gt;0,LEFT(INDEX('MiT Strom Pipeline'!$V:$V,$U127),55),""))</f>
        <v/>
      </c>
      <c r="L127" s="22" t="n"/>
      <c r="M127" s="22" t="n"/>
      <c r="N127" s="22" t="n"/>
      <c r="O127" s="22" t="n"/>
      <c r="P127" s="22" t="n"/>
      <c r="Q127" s="22" t="n"/>
      <c r="R127" s="22" t="n"/>
      <c r="S127" s="22" t="n"/>
      <c r="U127" t="str">
        <f>IFERROR(MATCH(53,'MiT Strom Pipeline'!$AC$6:$AC$860,0)+5,"")</f>
        <v/>
      </c>
    </row>
    <row r="128" ht="15.75" customHeight="1">
      <c r="A128" s="26" t="str">
        <f>IF($U128="","",IF(ISNUMBER(INDEX('MiT Strom Pipeline'!$A:$A,$U128)),INDEX('MiT Strom Pipeline'!$A:$A,$U128),""))</f>
        <v/>
      </c>
      <c r="B128" s="27" t="str">
        <f>IF($U128="","",IF(INDEX('MiT Strom Pipeline'!$B:$B,$U128)="","",INDEX('MiT Strom Pipeline'!$B:$B,$U128)))</f>
        <v/>
      </c>
      <c r="C128" s="27" t="str">
        <f>IF($U128="","",IF(INDEX('MiT Strom Pipeline'!$C:$C,$U128)="","",INDEX('MiT Strom Pipeline'!$C:$C,$U128)))</f>
        <v/>
      </c>
      <c r="D128" s="27" t="str">
        <f>IF($U128="","",IF(INDEX('MiT Strom Pipeline'!$D:$D,$U128)="","",INDEX('MiT Strom Pipeline'!$D:$D,$U128)))</f>
        <v/>
      </c>
      <c r="E128" s="27" t="str">
        <f>IF($U128="","",IF(INDEX('MiT Strom Pipeline'!$H:$H,$U128)="","",INDEX('MiT Strom Pipeline'!$H:$H,$U128)))</f>
        <v/>
      </c>
      <c r="F128" s="27" t="str">
        <f>IF($U128="","",IF(INDEX('MiT Strom Pipeline'!$E:$E,$U128)="","",INDEX('MiT Strom Pipeline'!$E:$E,$U128)))</f>
        <v/>
      </c>
      <c r="G128" s="28" t="str">
        <f>IF($U128="","",IF(ISNUMBER(INDEX('MiT Strom Pipeline'!$I:$I,$U128)),INDEX('MiT Strom Pipeline'!$I:$I,$U128),0))</f>
        <v/>
      </c>
      <c r="H128" s="28" t="str">
        <f>IF($U128="","",IF(ISNUMBER(INDEX('MiT Strom Pipeline'!$Q:$Q,$U128)),INDEX('MiT Strom Pipeline'!$Q:$Q,$U128),0))</f>
        <v/>
      </c>
      <c r="I128" s="27" t="str">
        <f>IF($U128="","",INDEX('MiT Strom Pipeline'!$R:$R,$U128))</f>
        <v/>
      </c>
      <c r="J128" s="29" t="str">
        <f>IF($U128="","",IF(ISNUMBER(INDEX('MiT Strom Pipeline'!$S:$S,$U128)),INDEX('MiT Strom Pipeline'!$S:$S,$U128),""))</f>
        <v/>
      </c>
      <c r="K128" s="27" t="str">
        <f>IF($U128="","",IF(LEN(INDEX('MiT Strom Pipeline'!$V:$V,$U128))&gt;0,LEFT(INDEX('MiT Strom Pipeline'!$V:$V,$U128),55),""))</f>
        <v/>
      </c>
      <c r="L128" s="22" t="n"/>
      <c r="M128" s="22" t="n"/>
      <c r="N128" s="22" t="n"/>
      <c r="O128" s="22" t="n"/>
      <c r="P128" s="22" t="n"/>
      <c r="Q128" s="22" t="n"/>
      <c r="R128" s="22" t="n"/>
      <c r="S128" s="22" t="n"/>
      <c r="U128" t="str">
        <f>IFERROR(MATCH(54,'MiT Strom Pipeline'!$AC$6:$AC$860,0)+5,"")</f>
        <v/>
      </c>
    </row>
    <row r="129" ht="15.75" customHeight="1">
      <c r="A129" s="26" t="str">
        <f>IF($U129="","",IF(ISNUMBER(INDEX('MiT Strom Pipeline'!$A:$A,$U129)),INDEX('MiT Strom Pipeline'!$A:$A,$U129),""))</f>
        <v/>
      </c>
      <c r="B129" s="27" t="str">
        <f>IF($U129="","",IF(INDEX('MiT Strom Pipeline'!$B:$B,$U129)="","",INDEX('MiT Strom Pipeline'!$B:$B,$U129)))</f>
        <v/>
      </c>
      <c r="C129" s="27" t="str">
        <f>IF($U129="","",IF(INDEX('MiT Strom Pipeline'!$C:$C,$U129)="","",INDEX('MiT Strom Pipeline'!$C:$C,$U129)))</f>
        <v/>
      </c>
      <c r="D129" s="27" t="str">
        <f>IF($U129="","",IF(INDEX('MiT Strom Pipeline'!$D:$D,$U129)="","",INDEX('MiT Strom Pipeline'!$D:$D,$U129)))</f>
        <v/>
      </c>
      <c r="E129" s="27" t="str">
        <f>IF($U129="","",IF(INDEX('MiT Strom Pipeline'!$H:$H,$U129)="","",INDEX('MiT Strom Pipeline'!$H:$H,$U129)))</f>
        <v/>
      </c>
      <c r="F129" s="27" t="str">
        <f>IF($U129="","",IF(INDEX('MiT Strom Pipeline'!$E:$E,$U129)="","",INDEX('MiT Strom Pipeline'!$E:$E,$U129)))</f>
        <v/>
      </c>
      <c r="G129" s="28" t="str">
        <f>IF($U129="","",IF(ISNUMBER(INDEX('MiT Strom Pipeline'!$I:$I,$U129)),INDEX('MiT Strom Pipeline'!$I:$I,$U129),0))</f>
        <v/>
      </c>
      <c r="H129" s="28" t="str">
        <f>IF($U129="","",IF(ISNUMBER(INDEX('MiT Strom Pipeline'!$Q:$Q,$U129)),INDEX('MiT Strom Pipeline'!$Q:$Q,$U129),0))</f>
        <v/>
      </c>
      <c r="I129" s="27" t="str">
        <f>IF($U129="","",INDEX('MiT Strom Pipeline'!$R:$R,$U129))</f>
        <v/>
      </c>
      <c r="J129" s="29" t="str">
        <f>IF($U129="","",IF(ISNUMBER(INDEX('MiT Strom Pipeline'!$S:$S,$U129)),INDEX('MiT Strom Pipeline'!$S:$S,$U129),""))</f>
        <v/>
      </c>
      <c r="K129" s="27" t="str">
        <f>IF($U129="","",IF(LEN(INDEX('MiT Strom Pipeline'!$V:$V,$U129))&gt;0,LEFT(INDEX('MiT Strom Pipeline'!$V:$V,$U129),55),""))</f>
        <v/>
      </c>
      <c r="L129" s="22" t="n"/>
      <c r="M129" s="22" t="n"/>
      <c r="N129" s="22" t="n"/>
      <c r="O129" s="22" t="n"/>
      <c r="P129" s="22" t="n"/>
      <c r="Q129" s="22" t="n"/>
      <c r="R129" s="22" t="n"/>
      <c r="S129" s="22" t="n"/>
      <c r="U129" t="str">
        <f>IFERROR(MATCH(55,'MiT Strom Pipeline'!$AC$6:$AC$860,0)+5,"")</f>
        <v/>
      </c>
    </row>
    <row r="130" ht="15.75" customHeight="1">
      <c r="A130" s="26" t="str">
        <f>IF($U130="","",IF(ISNUMBER(INDEX('MiT Strom Pipeline'!$A:$A,$U130)),INDEX('MiT Strom Pipeline'!$A:$A,$U130),""))</f>
        <v/>
      </c>
      <c r="B130" s="27" t="str">
        <f>IF($U130="","",IF(INDEX('MiT Strom Pipeline'!$B:$B,$U130)="","",INDEX('MiT Strom Pipeline'!$B:$B,$U130)))</f>
        <v/>
      </c>
      <c r="C130" s="27" t="str">
        <f>IF($U130="","",IF(INDEX('MiT Strom Pipeline'!$C:$C,$U130)="","",INDEX('MiT Strom Pipeline'!$C:$C,$U130)))</f>
        <v/>
      </c>
      <c r="D130" s="27" t="str">
        <f>IF($U130="","",IF(INDEX('MiT Strom Pipeline'!$D:$D,$U130)="","",INDEX('MiT Strom Pipeline'!$D:$D,$U130)))</f>
        <v/>
      </c>
      <c r="E130" s="27" t="str">
        <f>IF($U130="","",IF(INDEX('MiT Strom Pipeline'!$H:$H,$U130)="","",INDEX('MiT Strom Pipeline'!$H:$H,$U130)))</f>
        <v/>
      </c>
      <c r="F130" s="27" t="str">
        <f>IF($U130="","",IF(INDEX('MiT Strom Pipeline'!$E:$E,$U130)="","",INDEX('MiT Strom Pipeline'!$E:$E,$U130)))</f>
        <v/>
      </c>
      <c r="G130" s="28" t="str">
        <f>IF($U130="","",IF(ISNUMBER(INDEX('MiT Strom Pipeline'!$I:$I,$U130)),INDEX('MiT Strom Pipeline'!$I:$I,$U130),0))</f>
        <v/>
      </c>
      <c r="H130" s="28" t="str">
        <f>IF($U130="","",IF(ISNUMBER(INDEX('MiT Strom Pipeline'!$Q:$Q,$U130)),INDEX('MiT Strom Pipeline'!$Q:$Q,$U130),0))</f>
        <v/>
      </c>
      <c r="I130" s="27" t="str">
        <f>IF($U130="","",INDEX('MiT Strom Pipeline'!$R:$R,$U130))</f>
        <v/>
      </c>
      <c r="J130" s="29" t="str">
        <f>IF($U130="","",IF(ISNUMBER(INDEX('MiT Strom Pipeline'!$S:$S,$U130)),INDEX('MiT Strom Pipeline'!$S:$S,$U130),""))</f>
        <v/>
      </c>
      <c r="K130" s="27" t="str">
        <f>IF($U130="","",IF(LEN(INDEX('MiT Strom Pipeline'!$V:$V,$U130))&gt;0,LEFT(INDEX('MiT Strom Pipeline'!$V:$V,$U130),55),""))</f>
        <v/>
      </c>
      <c r="L130" s="22" t="n"/>
      <c r="M130" s="22" t="n"/>
      <c r="N130" s="22" t="n"/>
      <c r="O130" s="22" t="n"/>
      <c r="P130" s="22" t="n"/>
      <c r="Q130" s="22" t="n"/>
      <c r="R130" s="22" t="n"/>
      <c r="S130" s="22" t="n"/>
      <c r="U130" t="str">
        <f>IFERROR(MATCH(56,'MiT Strom Pipeline'!$AC$6:$AC$860,0)+5,"")</f>
        <v/>
      </c>
    </row>
    <row r="131" ht="15.75" customHeight="1">
      <c r="A131" s="26" t="str">
        <f>IF($U131="","",IF(ISNUMBER(INDEX('MiT Strom Pipeline'!$A:$A,$U131)),INDEX('MiT Strom Pipeline'!$A:$A,$U131),""))</f>
        <v/>
      </c>
      <c r="B131" s="27" t="str">
        <f>IF($U131="","",IF(INDEX('MiT Strom Pipeline'!$B:$B,$U131)="","",INDEX('MiT Strom Pipeline'!$B:$B,$U131)))</f>
        <v/>
      </c>
      <c r="C131" s="27" t="str">
        <f>IF($U131="","",IF(INDEX('MiT Strom Pipeline'!$C:$C,$U131)="","",INDEX('MiT Strom Pipeline'!$C:$C,$U131)))</f>
        <v/>
      </c>
      <c r="D131" s="27" t="str">
        <f>IF($U131="","",IF(INDEX('MiT Strom Pipeline'!$D:$D,$U131)="","",INDEX('MiT Strom Pipeline'!$D:$D,$U131)))</f>
        <v/>
      </c>
      <c r="E131" s="27" t="str">
        <f>IF($U131="","",IF(INDEX('MiT Strom Pipeline'!$H:$H,$U131)="","",INDEX('MiT Strom Pipeline'!$H:$H,$U131)))</f>
        <v/>
      </c>
      <c r="F131" s="27" t="str">
        <f>IF($U131="","",IF(INDEX('MiT Strom Pipeline'!$E:$E,$U131)="","",INDEX('MiT Strom Pipeline'!$E:$E,$U131)))</f>
        <v/>
      </c>
      <c r="G131" s="28" t="str">
        <f>IF($U131="","",IF(ISNUMBER(INDEX('MiT Strom Pipeline'!$I:$I,$U131)),INDEX('MiT Strom Pipeline'!$I:$I,$U131),0))</f>
        <v/>
      </c>
      <c r="H131" s="28" t="str">
        <f>IF($U131="","",IF(ISNUMBER(INDEX('MiT Strom Pipeline'!$Q:$Q,$U131)),INDEX('MiT Strom Pipeline'!$Q:$Q,$U131),0))</f>
        <v/>
      </c>
      <c r="I131" s="27" t="str">
        <f>IF($U131="","",INDEX('MiT Strom Pipeline'!$R:$R,$U131))</f>
        <v/>
      </c>
      <c r="J131" s="29" t="str">
        <f>IF($U131="","",IF(ISNUMBER(INDEX('MiT Strom Pipeline'!$S:$S,$U131)),INDEX('MiT Strom Pipeline'!$S:$S,$U131),""))</f>
        <v/>
      </c>
      <c r="K131" s="27" t="str">
        <f>IF($U131="","",IF(LEN(INDEX('MiT Strom Pipeline'!$V:$V,$U131))&gt;0,LEFT(INDEX('MiT Strom Pipeline'!$V:$V,$U131),55),""))</f>
        <v/>
      </c>
      <c r="L131" s="22" t="n"/>
      <c r="M131" s="22" t="n"/>
      <c r="N131" s="22" t="n"/>
      <c r="O131" s="22" t="n"/>
      <c r="P131" s="22" t="n"/>
      <c r="Q131" s="22" t="n"/>
      <c r="R131" s="22" t="n"/>
      <c r="S131" s="22" t="n"/>
      <c r="U131" t="str">
        <f>IFERROR(MATCH(57,'MiT Strom Pipeline'!$AC$6:$AC$860,0)+5,"")</f>
        <v/>
      </c>
    </row>
    <row r="132" ht="15.75" customHeight="1">
      <c r="A132" s="26" t="str">
        <f>IF($U132="","",IF(ISNUMBER(INDEX('MiT Strom Pipeline'!$A:$A,$U132)),INDEX('MiT Strom Pipeline'!$A:$A,$U132),""))</f>
        <v/>
      </c>
      <c r="B132" s="27" t="str">
        <f>IF($U132="","",IF(INDEX('MiT Strom Pipeline'!$B:$B,$U132)="","",INDEX('MiT Strom Pipeline'!$B:$B,$U132)))</f>
        <v/>
      </c>
      <c r="C132" s="27" t="str">
        <f>IF($U132="","",IF(INDEX('MiT Strom Pipeline'!$C:$C,$U132)="","",INDEX('MiT Strom Pipeline'!$C:$C,$U132)))</f>
        <v/>
      </c>
      <c r="D132" s="27" t="str">
        <f>IF($U132="","",IF(INDEX('MiT Strom Pipeline'!$D:$D,$U132)="","",INDEX('MiT Strom Pipeline'!$D:$D,$U132)))</f>
        <v/>
      </c>
      <c r="E132" s="27" t="str">
        <f>IF($U132="","",IF(INDEX('MiT Strom Pipeline'!$H:$H,$U132)="","",INDEX('MiT Strom Pipeline'!$H:$H,$U132)))</f>
        <v/>
      </c>
      <c r="F132" s="27" t="str">
        <f>IF($U132="","",IF(INDEX('MiT Strom Pipeline'!$E:$E,$U132)="","",INDEX('MiT Strom Pipeline'!$E:$E,$U132)))</f>
        <v/>
      </c>
      <c r="G132" s="28" t="str">
        <f>IF($U132="","",IF(ISNUMBER(INDEX('MiT Strom Pipeline'!$I:$I,$U132)),INDEX('MiT Strom Pipeline'!$I:$I,$U132),0))</f>
        <v/>
      </c>
      <c r="H132" s="28" t="str">
        <f>IF($U132="","",IF(ISNUMBER(INDEX('MiT Strom Pipeline'!$Q:$Q,$U132)),INDEX('MiT Strom Pipeline'!$Q:$Q,$U132),0))</f>
        <v/>
      </c>
      <c r="I132" s="27" t="str">
        <f>IF($U132="","",INDEX('MiT Strom Pipeline'!$R:$R,$U132))</f>
        <v/>
      </c>
      <c r="J132" s="29" t="str">
        <f>IF($U132="","",IF(ISNUMBER(INDEX('MiT Strom Pipeline'!$S:$S,$U132)),INDEX('MiT Strom Pipeline'!$S:$S,$U132),""))</f>
        <v/>
      </c>
      <c r="K132" s="27" t="str">
        <f>IF($U132="","",IF(LEN(INDEX('MiT Strom Pipeline'!$V:$V,$U132))&gt;0,LEFT(INDEX('MiT Strom Pipeline'!$V:$V,$U132),55),""))</f>
        <v/>
      </c>
      <c r="L132" s="22" t="n"/>
      <c r="M132" s="22" t="n"/>
      <c r="N132" s="22" t="n"/>
      <c r="O132" s="22" t="n"/>
      <c r="P132" s="22" t="n"/>
      <c r="Q132" s="22" t="n"/>
      <c r="R132" s="22" t="n"/>
      <c r="S132" s="22" t="n"/>
      <c r="U132" t="str">
        <f>IFERROR(MATCH(58,'MiT Strom Pipeline'!$AC$6:$AC$860,0)+5,"")</f>
        <v/>
      </c>
    </row>
    <row r="133" ht="15.75" customHeight="1">
      <c r="A133" s="26" t="str">
        <f>IF($U133="","",IF(ISNUMBER(INDEX('MiT Strom Pipeline'!$A:$A,$U133)),INDEX('MiT Strom Pipeline'!$A:$A,$U133),""))</f>
        <v/>
      </c>
      <c r="B133" s="27" t="str">
        <f>IF($U133="","",IF(INDEX('MiT Strom Pipeline'!$B:$B,$U133)="","",INDEX('MiT Strom Pipeline'!$B:$B,$U133)))</f>
        <v/>
      </c>
      <c r="C133" s="27" t="str">
        <f>IF($U133="","",IF(INDEX('MiT Strom Pipeline'!$C:$C,$U133)="","",INDEX('MiT Strom Pipeline'!$C:$C,$U133)))</f>
        <v/>
      </c>
      <c r="D133" s="27" t="str">
        <f>IF($U133="","",IF(INDEX('MiT Strom Pipeline'!$D:$D,$U133)="","",INDEX('MiT Strom Pipeline'!$D:$D,$U133)))</f>
        <v/>
      </c>
      <c r="E133" s="27" t="str">
        <f>IF($U133="","",IF(INDEX('MiT Strom Pipeline'!$H:$H,$U133)="","",INDEX('MiT Strom Pipeline'!$H:$H,$U133)))</f>
        <v/>
      </c>
      <c r="F133" s="27" t="str">
        <f>IF($U133="","",IF(INDEX('MiT Strom Pipeline'!$E:$E,$U133)="","",INDEX('MiT Strom Pipeline'!$E:$E,$U133)))</f>
        <v/>
      </c>
      <c r="G133" s="28" t="str">
        <f>IF($U133="","",IF(ISNUMBER(INDEX('MiT Strom Pipeline'!$I:$I,$U133)),INDEX('MiT Strom Pipeline'!$I:$I,$U133),0))</f>
        <v/>
      </c>
      <c r="H133" s="28" t="str">
        <f>IF($U133="","",IF(ISNUMBER(INDEX('MiT Strom Pipeline'!$Q:$Q,$U133)),INDEX('MiT Strom Pipeline'!$Q:$Q,$U133),0))</f>
        <v/>
      </c>
      <c r="I133" s="27" t="str">
        <f>IF($U133="","",INDEX('MiT Strom Pipeline'!$R:$R,$U133))</f>
        <v/>
      </c>
      <c r="J133" s="29" t="str">
        <f>IF($U133="","",IF(ISNUMBER(INDEX('MiT Strom Pipeline'!$S:$S,$U133)),INDEX('MiT Strom Pipeline'!$S:$S,$U133),""))</f>
        <v/>
      </c>
      <c r="K133" s="27" t="str">
        <f>IF($U133="","",IF(LEN(INDEX('MiT Strom Pipeline'!$V:$V,$U133))&gt;0,LEFT(INDEX('MiT Strom Pipeline'!$V:$V,$U133),55),""))</f>
        <v/>
      </c>
      <c r="L133" s="22" t="n"/>
      <c r="M133" s="22" t="n"/>
      <c r="N133" s="22" t="n"/>
      <c r="O133" s="22" t="n"/>
      <c r="P133" s="22" t="n"/>
      <c r="Q133" s="22" t="n"/>
      <c r="R133" s="22" t="n"/>
      <c r="S133" s="22" t="n"/>
      <c r="U133" t="str">
        <f>IFERROR(MATCH(59,'MiT Strom Pipeline'!$AC$6:$AC$860,0)+5,"")</f>
        <v/>
      </c>
    </row>
    <row r="134" ht="15.75" customHeight="1">
      <c r="A134" s="26" t="str">
        <f>IF($U134="","",IF(ISNUMBER(INDEX('MiT Strom Pipeline'!$A:$A,$U134)),INDEX('MiT Strom Pipeline'!$A:$A,$U134),""))</f>
        <v/>
      </c>
      <c r="B134" s="27" t="str">
        <f>IF($U134="","",IF(INDEX('MiT Strom Pipeline'!$B:$B,$U134)="","",INDEX('MiT Strom Pipeline'!$B:$B,$U134)))</f>
        <v/>
      </c>
      <c r="C134" s="27" t="str">
        <f>IF($U134="","",IF(INDEX('MiT Strom Pipeline'!$C:$C,$U134)="","",INDEX('MiT Strom Pipeline'!$C:$C,$U134)))</f>
        <v/>
      </c>
      <c r="D134" s="27" t="str">
        <f>IF($U134="","",IF(INDEX('MiT Strom Pipeline'!$D:$D,$U134)="","",INDEX('MiT Strom Pipeline'!$D:$D,$U134)))</f>
        <v/>
      </c>
      <c r="E134" s="27" t="str">
        <f>IF($U134="","",IF(INDEX('MiT Strom Pipeline'!$H:$H,$U134)="","",INDEX('MiT Strom Pipeline'!$H:$H,$U134)))</f>
        <v/>
      </c>
      <c r="F134" s="27" t="str">
        <f>IF($U134="","",IF(INDEX('MiT Strom Pipeline'!$E:$E,$U134)="","",INDEX('MiT Strom Pipeline'!$E:$E,$U134)))</f>
        <v/>
      </c>
      <c r="G134" s="28" t="str">
        <f>IF($U134="","",IF(ISNUMBER(INDEX('MiT Strom Pipeline'!$I:$I,$U134)),INDEX('MiT Strom Pipeline'!$I:$I,$U134),0))</f>
        <v/>
      </c>
      <c r="H134" s="28" t="str">
        <f>IF($U134="","",IF(ISNUMBER(INDEX('MiT Strom Pipeline'!$Q:$Q,$U134)),INDEX('MiT Strom Pipeline'!$Q:$Q,$U134),0))</f>
        <v/>
      </c>
      <c r="I134" s="27" t="str">
        <f>IF($U134="","",INDEX('MiT Strom Pipeline'!$R:$R,$U134))</f>
        <v/>
      </c>
      <c r="J134" s="29" t="str">
        <f>IF($U134="","",IF(ISNUMBER(INDEX('MiT Strom Pipeline'!$S:$S,$U134)),INDEX('MiT Strom Pipeline'!$S:$S,$U134),""))</f>
        <v/>
      </c>
      <c r="K134" s="27" t="str">
        <f>IF($U134="","",IF(LEN(INDEX('MiT Strom Pipeline'!$V:$V,$U134))&gt;0,LEFT(INDEX('MiT Strom Pipeline'!$V:$V,$U134),55),""))</f>
        <v/>
      </c>
      <c r="L134" s="22" t="n"/>
      <c r="M134" s="22" t="n"/>
      <c r="N134" s="22" t="n"/>
      <c r="O134" s="22" t="n"/>
      <c r="P134" s="22" t="n"/>
      <c r="Q134" s="22" t="n"/>
      <c r="R134" s="22" t="n"/>
      <c r="S134" s="22" t="n"/>
      <c r="U134" t="str">
        <f>IFERROR(MATCH(60,'MiT Strom Pipeline'!$AC$6:$AC$860,0)+5,"")</f>
        <v/>
      </c>
    </row>
    <row r="135" ht="21.75" customHeight="1">
      <c r="A135" s="26" t="str">
        <f>IF($U135="","",IF(ISNUMBER(INDEX('MiT Strom Pipeline'!$A:$A,$U135)),INDEX('MiT Strom Pipeline'!$A:$A,$U135),""))</f>
        <v/>
      </c>
      <c r="B135" s="27" t="str">
        <f>IF($U135="","",IF(INDEX('MiT Strom Pipeline'!$B:$B,$U135)="","",INDEX('MiT Strom Pipeline'!$B:$B,$U135)))</f>
        <v/>
      </c>
      <c r="C135" s="27" t="str">
        <f>IF($U135="","",IF(INDEX('MiT Strom Pipeline'!$C:$C,$U135)="","",INDEX('MiT Strom Pipeline'!$C:$C,$U135)))</f>
        <v/>
      </c>
      <c r="D135" s="27" t="str">
        <f>IF($U135="","",IF(INDEX('MiT Strom Pipeline'!$D:$D,$U135)="","",INDEX('MiT Strom Pipeline'!$D:$D,$U135)))</f>
        <v/>
      </c>
      <c r="E135" s="27" t="str">
        <f>IF($U135="","",IF(INDEX('MiT Strom Pipeline'!$H:$H,$U135)="","",INDEX('MiT Strom Pipeline'!$H:$H,$U135)))</f>
        <v/>
      </c>
      <c r="F135" s="27" t="str">
        <f>IF($U135="","",IF(INDEX('MiT Strom Pipeline'!$E:$E,$U135)="","",INDEX('MiT Strom Pipeline'!$E:$E,$U135)))</f>
        <v/>
      </c>
      <c r="G135" s="28" t="str">
        <f>IF($U135="","",IF(ISNUMBER(INDEX('MiT Strom Pipeline'!$I:$I,$U135)),INDEX('MiT Strom Pipeline'!$I:$I,$U135),0))</f>
        <v/>
      </c>
      <c r="H135" s="28" t="str">
        <f>IF($U135="","",IF(ISNUMBER(INDEX('MiT Strom Pipeline'!$Q:$Q,$U135)),INDEX('MiT Strom Pipeline'!$Q:$Q,$U135),0))</f>
        <v/>
      </c>
      <c r="I135" s="27" t="str">
        <f>IF($U135="","",INDEX('MiT Strom Pipeline'!$R:$R,$U135))</f>
        <v/>
      </c>
      <c r="J135" s="29" t="str">
        <f>IF($U135="","",IF(ISNUMBER(INDEX('MiT Strom Pipeline'!$S:$S,$U135)),INDEX('MiT Strom Pipeline'!$S:$S,$U135),""))</f>
        <v/>
      </c>
      <c r="K135" s="27" t="str">
        <f>IF($U135="","",IF(LEN(INDEX('MiT Strom Pipeline'!$V:$V,$U135))&gt;0,LEFT(INDEX('MiT Strom Pipeline'!$V:$V,$U135),55),""))</f>
        <v/>
      </c>
      <c r="L135" s="22" t="n"/>
      <c r="M135" s="22" t="n"/>
      <c r="N135" s="22" t="n"/>
      <c r="O135" s="22" t="n"/>
      <c r="P135" s="22" t="n"/>
      <c r="Q135" s="22" t="n"/>
      <c r="R135" s="22" t="n"/>
      <c r="S135" s="22" t="n"/>
      <c r="U135" t="str">
        <f>IFERROR(MATCH(61,'MiT Strom Pipeline'!$AC$6:$AC$860,0)+5,"")</f>
        <v/>
      </c>
    </row>
    <row r="136" ht="18.75" customHeight="1">
      <c r="A136" s="26" t="str">
        <f>IF($U136="","",IF(ISNUMBER(INDEX('MiT Strom Pipeline'!$A:$A,$U136)),INDEX('MiT Strom Pipeline'!$A:$A,$U136),""))</f>
        <v/>
      </c>
      <c r="B136" s="27" t="str">
        <f>IF($U136="","",IF(INDEX('MiT Strom Pipeline'!$B:$B,$U136)="","",INDEX('MiT Strom Pipeline'!$B:$B,$U136)))</f>
        <v/>
      </c>
      <c r="C136" s="27" t="str">
        <f>IF($U136="","",IF(INDEX('MiT Strom Pipeline'!$C:$C,$U136)="","",INDEX('MiT Strom Pipeline'!$C:$C,$U136)))</f>
        <v/>
      </c>
      <c r="D136" s="27" t="str">
        <f>IF($U136="","",IF(INDEX('MiT Strom Pipeline'!$D:$D,$U136)="","",INDEX('MiT Strom Pipeline'!$D:$D,$U136)))</f>
        <v/>
      </c>
      <c r="E136" s="27" t="str">
        <f>IF($U136="","",IF(INDEX('MiT Strom Pipeline'!$H:$H,$U136)="","",INDEX('MiT Strom Pipeline'!$H:$H,$U136)))</f>
        <v/>
      </c>
      <c r="F136" s="27" t="str">
        <f>IF($U136="","",IF(INDEX('MiT Strom Pipeline'!$E:$E,$U136)="","",INDEX('MiT Strom Pipeline'!$E:$E,$U136)))</f>
        <v/>
      </c>
      <c r="G136" s="28" t="str">
        <f>IF($U136="","",IF(ISNUMBER(INDEX('MiT Strom Pipeline'!$I:$I,$U136)),INDEX('MiT Strom Pipeline'!$I:$I,$U136),0))</f>
        <v/>
      </c>
      <c r="H136" s="28" t="str">
        <f>IF($U136="","",IF(ISNUMBER(INDEX('MiT Strom Pipeline'!$Q:$Q,$U136)),INDEX('MiT Strom Pipeline'!$Q:$Q,$U136),0))</f>
        <v/>
      </c>
      <c r="I136" s="27" t="str">
        <f>IF($U136="","",INDEX('MiT Strom Pipeline'!$R:$R,$U136))</f>
        <v/>
      </c>
      <c r="J136" s="29" t="str">
        <f>IF($U136="","",IF(ISNUMBER(INDEX('MiT Strom Pipeline'!$S:$S,$U136)),INDEX('MiT Strom Pipeline'!$S:$S,$U136),""))</f>
        <v/>
      </c>
      <c r="K136" s="27" t="str">
        <f>IF($U136="","",IF(LEN(INDEX('MiT Strom Pipeline'!$V:$V,$U136))&gt;0,LEFT(INDEX('MiT Strom Pipeline'!$V:$V,$U136),55),""))</f>
        <v/>
      </c>
      <c r="L136" s="22" t="n"/>
      <c r="M136" s="22" t="n"/>
      <c r="N136" s="22" t="n"/>
      <c r="O136" s="22" t="n"/>
      <c r="P136" s="22" t="n"/>
      <c r="Q136" s="22" t="n"/>
      <c r="R136" s="22" t="n"/>
      <c r="S136" s="22" t="n"/>
      <c r="U136" t="str">
        <f>IFERROR(MATCH(62,'MiT Strom Pipeline'!$AC$6:$AC$860,0)+5,"")</f>
        <v/>
      </c>
    </row>
    <row r="137" ht="24" customHeight="1">
      <c r="A137" s="142" t="inlineStr">
        <is>
          <t>🎯  3. OPPORTUNITÄT — Qualifizierte Leads</t>
        </is>
      </c>
      <c r="B137" s="189" t="n"/>
      <c r="C137" s="189" t="n"/>
      <c r="D137" s="189" t="n"/>
      <c r="E137" s="189" t="n"/>
      <c r="F137" s="189" t="n"/>
      <c r="G137" s="189" t="n"/>
      <c r="H137" s="189" t="n"/>
      <c r="I137" s="189" t="n"/>
      <c r="J137" s="189" t="n"/>
      <c r="K137" s="190" t="n"/>
      <c r="L137" s="22" t="n"/>
      <c r="M137" s="22" t="n"/>
      <c r="N137" s="22" t="n"/>
      <c r="O137" s="22" t="n"/>
      <c r="P137" s="22" t="n"/>
      <c r="Q137" s="22" t="n"/>
      <c r="R137" s="22" t="n"/>
      <c r="S137" s="22" t="n"/>
    </row>
    <row r="138" ht="19.5" customHeight="1">
      <c r="A138" s="25" t="inlineStr">
        <is>
          <t>#</t>
        </is>
      </c>
      <c r="B138" s="25" t="inlineStr">
        <is>
          <t>Kunde / Unternehmen</t>
        </is>
      </c>
      <c r="C138" s="25" t="inlineStr">
        <is>
          <t>Kt.</t>
        </is>
      </c>
      <c r="D138" s="25" t="inlineStr">
        <is>
          <t>Segment</t>
        </is>
      </c>
      <c r="E138" s="25" t="inlineStr">
        <is>
          <t>Start</t>
        </is>
      </c>
      <c r="F138" s="25" t="inlineStr">
        <is>
          <t>Leistung / Fleet</t>
        </is>
      </c>
      <c r="G138" s="25" t="inlineStr">
        <is>
          <t>Volumen CHF</t>
        </is>
      </c>
      <c r="H138" s="25" t="inlineStr">
        <is>
          <t>Gew.Wert CHF</t>
        </is>
      </c>
      <c r="I138" s="25" t="inlineStr">
        <is>
          <t>Status</t>
        </is>
      </c>
      <c r="J138" s="25" t="inlineStr">
        <is>
          <t>Wahr.%</t>
        </is>
      </c>
      <c r="K138" s="25" t="inlineStr">
        <is>
          <t>Nächster Schritt</t>
        </is>
      </c>
      <c r="L138" s="22" t="n"/>
      <c r="M138" s="22" t="n"/>
      <c r="N138" s="22" t="n"/>
      <c r="O138" s="22" t="n"/>
      <c r="P138" s="22" t="n"/>
      <c r="Q138" s="22" t="n"/>
      <c r="R138" s="22" t="n"/>
      <c r="S138" s="22" t="n"/>
    </row>
    <row r="139" ht="15.75" customHeight="1">
      <c r="A139" s="26">
        <f>IF($U139="","",IF(ISNUMBER(INDEX('MiT Strom Pipeline'!$A:$A,$U139)),INDEX('MiT Strom Pipeline'!$A:$A,$U139),""))</f>
        <v>6</v>
      </c>
      <c r="B139" s="27" t="str">
        <f>IF($U139="","",IF(INDEX('MiT Strom Pipeline'!$B:$B,$U139)="","",INDEX('MiT Strom Pipeline'!$B:$B,$U139)))</f>
        <v>Wincasa Solothurn</v>
      </c>
      <c r="C139" s="27" t="str">
        <f>IF($U139="","",IF(INDEX('MiT Strom Pipeline'!$C:$C,$U139)="","",INDEX('MiT Strom Pipeline'!$C:$C,$U139)))</f>
        <v>SO</v>
      </c>
      <c r="D139" s="27" t="str">
        <f>IF($U139="","",IF(INDEX('MiT Strom Pipeline'!$D:$D,$U139)="","",INDEX('MiT Strom Pipeline'!$D:$D,$U139)))</f>
        <v>Immobilien / FM</v>
      </c>
      <c r="E139" s="27" t="str">
        <f>IF($U139="","",IF(INDEX('MiT Strom Pipeline'!$H:$H,$U139)="","",INDEX('MiT Strom Pipeline'!$H:$H,$U139)))</f>
        <v>Mai</v>
      </c>
      <c r="F139" s="27" t="str">
        <f>IF($U139="","",IF(INDEX('MiT Strom Pipeline'!$E:$E,$U139)="","",INDEX('MiT Strom Pipeline'!$E:$E,$U139)))</f>
        <v>BESS 1 MWh</v>
      </c>
      <c r="G139" s="28">
        <f>IF($U139="","",IF(ISNUMBER(INDEX('MiT Strom Pipeline'!$I:$I,$U139)),INDEX('MiT Strom Pipeline'!$I:$I,$U139),0))</f>
        <v>390000</v>
      </c>
      <c r="H139" s="28">
        <f>IF($U139="","",IF(ISNUMBER(INDEX('MiT Strom Pipeline'!$Q:$Q,$U139)),INDEX('MiT Strom Pipeline'!$Q:$Q,$U139),0))</f>
        <v>195000</v>
      </c>
      <c r="I139" s="27" t="str">
        <f>IF($U139="","",INDEX('MiT Strom Pipeline'!$R:$R,$U139))</f>
        <v>follow-up</v>
      </c>
      <c r="J139" s="29">
        <f>IF($U139="","",IF(ISNUMBER(INDEX('MiT Strom Pipeline'!$S:$S,$U139)),INDEX('MiT Strom Pipeline'!$S:$S,$U139),""))</f>
        <v>0.5</v>
      </c>
      <c r="K139" s="27" t="str">
        <f>IF($U139="","",IF(LEN(INDEX('MiT Strom Pipeline'!$V:$V,$U139))&gt;0,LEFT(INDEX('MiT Strom Pipeline'!$V:$V,$U139),55),""))</f>
        <v>Entscheider-Meeting anfordern, Businesscase Energie-ROI</v>
      </c>
      <c r="L139" s="22" t="n"/>
      <c r="M139" s="22" t="n"/>
      <c r="N139" s="22" t="n"/>
      <c r="O139" s="22" t="n"/>
      <c r="P139" s="22" t="n"/>
      <c r="Q139" s="22" t="n"/>
      <c r="R139" s="22" t="n"/>
      <c r="S139" s="22" t="n"/>
      <c r="U139">
        <f>IFERROR(MATCH(1,'MiT Strom Pipeline'!$AD$6:$AD$860,0)+5,"")</f>
        <v>6</v>
      </c>
    </row>
    <row r="140" ht="15.75" customHeight="1">
      <c r="A140" s="26">
        <f>IF($U140="","",IF(ISNUMBER(INDEX('MiT Strom Pipeline'!$A:$A,$U140)),INDEX('MiT Strom Pipeline'!$A:$A,$U140),""))</f>
        <v>13</v>
      </c>
      <c r="B140" s="27" t="str">
        <f>IF($U140="","",IF(INDEX('MiT Strom Pipeline'!$B:$B,$U140)="","",INDEX('MiT Strom Pipeline'!$B:$B,$U140)))</f>
        <v>Proxima Fusion AG</v>
      </c>
      <c r="C140" s="27" t="str">
        <f>IF($U140="","",IF(INDEX('MiT Strom Pipeline'!$C:$C,$U140)="","",INDEX('MiT Strom Pipeline'!$C:$C,$U140)))</f>
        <v>ZH</v>
      </c>
      <c r="D140" s="27" t="str">
        <f>IF($U140="","",IF(INDEX('MiT Strom Pipeline'!$D:$D,$U140)="","",INDEX('MiT Strom Pipeline'!$D:$D,$U140)))</f>
        <v>Forschung / Hightech</v>
      </c>
      <c r="E140" s="27" t="str">
        <f>IF($U140="","",IF(INDEX('MiT Strom Pipeline'!$H:$H,$U140)="","",INDEX('MiT Strom Pipeline'!$H:$H,$U140)))</f>
        <v>Juli</v>
      </c>
      <c r="F140" s="27" t="str">
        <f>IF($U140="","",IF(INDEX('MiT Strom Pipeline'!$E:$E,$U140)="","",INDEX('MiT Strom Pipeline'!$E:$E,$U140)))</f>
        <v>BESS 1 MWh</v>
      </c>
      <c r="G140" s="28">
        <f>IF($U140="","",IF(ISNUMBER(INDEX('MiT Strom Pipeline'!$I:$I,$U140)),INDEX('MiT Strom Pipeline'!$I:$I,$U140),0))</f>
        <v>365003</v>
      </c>
      <c r="H140" s="28">
        <f>IF($U140="","",IF(ISNUMBER(INDEX('MiT Strom Pipeline'!$Q:$Q,$U140)),INDEX('MiT Strom Pipeline'!$Q:$Q,$U140),0))</f>
        <v>182501.5</v>
      </c>
      <c r="I140" s="27" t="str">
        <f>IF($U140="","",INDEX('MiT Strom Pipeline'!$R:$R,$U140))</f>
        <v>follow-up</v>
      </c>
      <c r="J140" s="29">
        <f>IF($U140="","",IF(ISNUMBER(INDEX('MiT Strom Pipeline'!$S:$S,$U140)),INDEX('MiT Strom Pipeline'!$S:$S,$U140),""))</f>
        <v>0.5</v>
      </c>
      <c r="K140" s="27" t="str">
        <f>IF($U140="","",IF(LEN(INDEX('MiT Strom Pipeline'!$V:$V,$U140))&gt;0,LEFT(INDEX('MiT Strom Pipeline'!$V:$V,$U140),55),""))</f>
        <v>Technisches Gespräch – USV + PQ-Anforderungen klären, K</v>
      </c>
      <c r="L140" s="22" t="n"/>
      <c r="M140" s="22" t="n"/>
      <c r="N140" s="22" t="n"/>
      <c r="O140" s="22" t="n"/>
      <c r="P140" s="22" t="n"/>
      <c r="Q140" s="22" t="n"/>
      <c r="R140" s="22" t="n"/>
      <c r="S140" s="22" t="n"/>
      <c r="U140">
        <f>IFERROR(MATCH(2,'MiT Strom Pipeline'!$AD$6:$AD$860,0)+5,"")</f>
        <v>18</v>
      </c>
    </row>
    <row r="141" ht="15.75" customHeight="1">
      <c r="A141" s="26">
        <f>IF($U141="","",IF(ISNUMBER(INDEX('MiT Strom Pipeline'!$A:$A,$U141)),INDEX('MiT Strom Pipeline'!$A:$A,$U141),""))</f>
        <v>25</v>
      </c>
      <c r="B141" s="27" t="str">
        <f>IF($U141="","",IF(INDEX('MiT Strom Pipeline'!$B:$B,$U141)="","",INDEX('MiT Strom Pipeline'!$B:$B,$U141)))</f>
        <v>Reto EKAG</v>
      </c>
      <c r="C141" s="27" t="str">
        <f>IF($U141="","",IF(INDEX('MiT Strom Pipeline'!$C:$C,$U141)="","",INDEX('MiT Strom Pipeline'!$C:$C,$U141)))</f>
        <v>AG</v>
      </c>
      <c r="D141" s="27" t="str">
        <f>IF($U141="","",IF(INDEX('MiT Strom Pipeline'!$D:$D,$U141)="","",INDEX('MiT Strom Pipeline'!$D:$D,$U141)))</f>
        <v>Elektroinstallation</v>
      </c>
      <c r="E141" s="27" t="str">
        <f>IF($U141="","",IF(INDEX('MiT Strom Pipeline'!$H:$H,$U141)="","",INDEX('MiT Strom Pipeline'!$H:$H,$U141)))</f>
        <v>Okt</v>
      </c>
      <c r="F141" s="27" t="str">
        <f>IF($U141="","",IF(INDEX('MiT Strom Pipeline'!$E:$E,$U141)="","",INDEX('MiT Strom Pipeline'!$E:$E,$U141)))</f>
        <v>Option B 1x 6 kVA Trafo, 1x 3000 kVA Trafo, 1x 6000 kVA Lastbank, 1x 3300 kVA Lastbank</v>
      </c>
      <c r="G141" s="28">
        <f>IF($U141="","",IF(ISNUMBER(INDEX('MiT Strom Pipeline'!$I:$I,$U141)),INDEX('MiT Strom Pipeline'!$I:$I,$U141),0))</f>
        <v>57249.54</v>
      </c>
      <c r="H141" s="28">
        <f>IF($U141="","",IF(ISNUMBER(INDEX('MiT Strom Pipeline'!$Q:$Q,$U141)),INDEX('MiT Strom Pipeline'!$Q:$Q,$U141),0))</f>
        <v>40074.678</v>
      </c>
      <c r="I141" s="27" t="str">
        <f>IF($U141="","",INDEX('MiT Strom Pipeline'!$R:$R,$U141))</f>
        <v>Evaluation</v>
      </c>
      <c r="J141" s="29">
        <f>IF($U141="","",IF(ISNUMBER(INDEX('MiT Strom Pipeline'!$S:$S,$U141)),INDEX('MiT Strom Pipeline'!$S:$S,$U141),""))</f>
        <v>0.7</v>
      </c>
      <c r="K141" s="27" t="str">
        <f>IF($U141="","",IF(LEN(INDEX('MiT Strom Pipeline'!$V:$V,$U141))&gt;0,LEFT(INDEX('MiT Strom Pipeline'!$V:$V,$U141),55),""))</f>
        <v>Kunde Telefon Kontaktiert und Vor Ort 
Besichtigung und</v>
      </c>
      <c r="L141" s="22" t="n"/>
      <c r="M141" s="22" t="n"/>
      <c r="N141" s="22" t="n"/>
      <c r="O141" s="22" t="n"/>
      <c r="P141" s="22" t="n"/>
      <c r="Q141" s="22" t="n"/>
      <c r="R141" s="22" t="n"/>
      <c r="S141" s="22" t="n"/>
      <c r="U141">
        <f>IFERROR(MATCH(3,'MiT Strom Pipeline'!$AD$6:$AD$860,0)+5,"")</f>
        <v>19</v>
      </c>
    </row>
    <row r="142" ht="15.75" customHeight="1">
      <c r="A142" s="26">
        <f>IF($U142="","",IF(ISNUMBER(INDEX('MiT Strom Pipeline'!$A:$A,$U142)),INDEX('MiT Strom Pipeline'!$A:$A,$U142),""))</f>
        <v>25</v>
      </c>
      <c r="B142" s="27" t="str">
        <f>IF($U142="","",IF(INDEX('MiT Strom Pipeline'!$B:$B,$U142)="","",INDEX('MiT Strom Pipeline'!$B:$B,$U142)))</f>
        <v>Reto EKAG</v>
      </c>
      <c r="C142" s="27" t="str">
        <f>IF($U142="","",IF(INDEX('MiT Strom Pipeline'!$C:$C,$U142)="","",INDEX('MiT Strom Pipeline'!$C:$C,$U142)))</f>
        <v>AG</v>
      </c>
      <c r="D142" s="27" t="str">
        <f>IF($U142="","",IF(INDEX('MiT Strom Pipeline'!$D:$D,$U142)="","",INDEX('MiT Strom Pipeline'!$D:$D,$U142)))</f>
        <v>Elektroinstallation</v>
      </c>
      <c r="E142" s="27" t="str">
        <f>IF($U142="","",IF(INDEX('MiT Strom Pipeline'!$H:$H,$U142)="","",INDEX('MiT Strom Pipeline'!$H:$H,$U142)))</f>
        <v>Okt</v>
      </c>
      <c r="F142" s="27" t="str">
        <f>IF($U142="","",IF(INDEX('MiT Strom Pipeline'!$E:$E,$U142)="","",INDEX('MiT Strom Pipeline'!$E:$E,$U142)))</f>
        <v>MS Kabel 95mm</v>
      </c>
      <c r="G142" s="28">
        <f>IF($U142="","",IF(ISNUMBER(INDEX('MiT Strom Pipeline'!$I:$I,$U142)),INDEX('MiT Strom Pipeline'!$I:$I,$U142),0))</f>
        <v>15664.18</v>
      </c>
      <c r="H142" s="28">
        <f>IF($U142="","",IF(ISNUMBER(INDEX('MiT Strom Pipeline'!$Q:$Q,$U142)),INDEX('MiT Strom Pipeline'!$Q:$Q,$U142),0))</f>
        <v>10964.926</v>
      </c>
      <c r="I142" s="27" t="str">
        <f>IF($U142="","",INDEX('MiT Strom Pipeline'!$R:$R,$U142))</f>
        <v>Evaluation</v>
      </c>
      <c r="J142" s="29">
        <f>IF($U142="","",IF(ISNUMBER(INDEX('MiT Strom Pipeline'!$S:$S,$U142)),INDEX('MiT Strom Pipeline'!$S:$S,$U142),""))</f>
        <v>0.7</v>
      </c>
      <c r="K142" s="27" t="str">
        <f>IF($U142="","",IF(LEN(INDEX('MiT Strom Pipeline'!$V:$V,$U142))&gt;0,LEFT(INDEX('MiT Strom Pipeline'!$V:$V,$U142),55),""))</f>
        <v>Kunde Telefon Kontaktiert und Vor Ort 
Besichtigung und</v>
      </c>
      <c r="L142" s="22" t="n"/>
      <c r="M142" s="22" t="n"/>
      <c r="N142" s="22" t="n"/>
      <c r="O142" s="22" t="n"/>
      <c r="P142" s="22" t="n"/>
      <c r="Q142" s="22" t="n"/>
      <c r="R142" s="22" t="n"/>
      <c r="S142" s="22" t="n"/>
      <c r="U142">
        <f>IFERROR(MATCH(4,'MiT Strom Pipeline'!$AD$6:$AD$860,0)+5,"")</f>
        <v>20</v>
      </c>
    </row>
    <row r="143" ht="15.75" customHeight="1">
      <c r="A143" s="26">
        <f>IF($U143="","",IF(ISNUMBER(INDEX('MiT Strom Pipeline'!$A:$A,$U143)),INDEX('MiT Strom Pipeline'!$A:$A,$U143),""))</f>
        <v>8</v>
      </c>
      <c r="B143" s="27" t="str">
        <f>IF($U143="","",IF(INDEX('MiT Strom Pipeline'!$B:$B,$U143)="","",INDEX('MiT Strom Pipeline'!$B:$B,$U143)))</f>
        <v>Sade CGTH (Schweiz)</v>
      </c>
      <c r="C143" s="27" t="str">
        <f>IF($U143="","",IF(INDEX('MiT Strom Pipeline'!$C:$C,$U143)="","",INDEX('MiT Strom Pipeline'!$C:$C,$U143)))</f>
        <v>GE</v>
      </c>
      <c r="D143" s="27" t="str">
        <f>IF($U143="","",IF(INDEX('MiT Strom Pipeline'!$D:$D,$U143)="","",INDEX('MiT Strom Pipeline'!$D:$D,$U143)))</f>
        <v>Infrastruktur / Bau</v>
      </c>
      <c r="E143" s="27" t="str">
        <f>IF($U143="","",IF(INDEX('MiT Strom Pipeline'!$H:$H,$U143)="","",INDEX('MiT Strom Pipeline'!$H:$H,$U143)))</f>
        <v>April</v>
      </c>
      <c r="F143" s="27" t="str">
        <f>IF($U143="","",IF(INDEX('MiT Strom Pipeline'!$E:$E,$U143)="","",INDEX('MiT Strom Pipeline'!$E:$E,$U143)))</f>
        <v>750 kVA Generator</v>
      </c>
      <c r="G143" s="28">
        <f>IF($U143="","",IF(ISNUMBER(INDEX('MiT Strom Pipeline'!$I:$I,$U143)),INDEX('MiT Strom Pipeline'!$I:$I,$U143),0))</f>
        <v>38885</v>
      </c>
      <c r="H143" s="28">
        <f>IF($U143="","",IF(ISNUMBER(INDEX('MiT Strom Pipeline'!$Q:$Q,$U143)),INDEX('MiT Strom Pipeline'!$Q:$Q,$U143),0))</f>
        <v>19442.5</v>
      </c>
      <c r="I143" s="27" t="str">
        <f>IF($U143="","",INDEX('MiT Strom Pipeline'!$R:$R,$U143))</f>
        <v>follow-up</v>
      </c>
      <c r="J143" s="29">
        <f>IF($U143="","",IF(ISNUMBER(INDEX('MiT Strom Pipeline'!$S:$S,$U143)),INDEX('MiT Strom Pipeline'!$S:$S,$U143),""))</f>
        <v>0.5</v>
      </c>
      <c r="K143" s="27" t="str">
        <f>IF($U143="","",IF(LEN(INDEX('MiT Strom Pipeline'!$V:$V,$U143))&gt;0,LEFT(INDEX('MiT Strom Pipeline'!$V:$V,$U143),55),""))</f>
        <v>Auftragsbestätigung anfordern – Entscheid steht bevor</v>
      </c>
      <c r="L143" s="22" t="n"/>
      <c r="M143" s="22" t="n"/>
      <c r="N143" s="22" t="n"/>
      <c r="O143" s="22" t="n"/>
      <c r="P143" s="22" t="n"/>
      <c r="Q143" s="22" t="n"/>
      <c r="R143" s="22" t="n"/>
      <c r="S143" s="22" t="n"/>
      <c r="U143">
        <f>IFERROR(MATCH(5,'MiT Strom Pipeline'!$AD$6:$AD$860,0)+5,"")</f>
        <v>28</v>
      </c>
    </row>
    <row r="144" ht="15.75" customHeight="1">
      <c r="A144" s="26">
        <f>IF($U144="","",IF(ISNUMBER(INDEX('MiT Strom Pipeline'!$A:$A,$U144)),INDEX('MiT Strom Pipeline'!$A:$A,$U144),""))</f>
        <v>41</v>
      </c>
      <c r="B144" s="27" t="str">
        <f>IF($U144="","",IF(INDEX('MiT Strom Pipeline'!$B:$B,$U144)="","",INDEX('MiT Strom Pipeline'!$B:$B,$U144)))</f>
        <v>Verein Street Parade Zürich</v>
      </c>
      <c r="C144" s="27" t="str">
        <f>IF($U144="","",IF(INDEX('MiT Strom Pipeline'!$C:$C,$U144)="","",INDEX('MiT Strom Pipeline'!$C:$C,$U144)))</f>
        <v>ZH</v>
      </c>
      <c r="D144" s="27" t="str">
        <f>IF($U144="","",IF(INDEX('MiT Strom Pipeline'!$D:$D,$U144)="","",INDEX('MiT Strom Pipeline'!$D:$D,$U144)))</f>
        <v>Event</v>
      </c>
      <c r="E144" s="27" t="str">
        <f>IF($U144="","",IF(INDEX('MiT Strom Pipeline'!$H:$H,$U144)="","",INDEX('MiT Strom Pipeline'!$H:$H,$U144)))</f>
        <v>Aug</v>
      </c>
      <c r="F144" s="27" t="str">
        <f>IF($U144="","",IF(INDEX('MiT Strom Pipeline'!$E:$E,$U144)="","",INDEX('MiT Strom Pipeline'!$E:$E,$U144)))</f>
        <v>100 kVA </v>
      </c>
      <c r="G144" s="28">
        <f>IF($U144="","",IF(ISNUMBER(INDEX('MiT Strom Pipeline'!$I:$I,$U144)),INDEX('MiT Strom Pipeline'!$I:$I,$U144),0))</f>
        <v>3760.04</v>
      </c>
      <c r="H144" s="28">
        <f>IF($U144="","",IF(ISNUMBER(INDEX('MiT Strom Pipeline'!$Q:$Q,$U144)),INDEX('MiT Strom Pipeline'!$Q:$Q,$U144),0))</f>
        <v>1880.02</v>
      </c>
      <c r="I144" s="27" t="str">
        <f>IF($U144="","",INDEX('MiT Strom Pipeline'!$R:$R,$U144))</f>
        <v>In evaluation</v>
      </c>
      <c r="J144" s="29">
        <f>IF($U144="","",IF(ISNUMBER(INDEX('MiT Strom Pipeline'!$S:$S,$U144)),INDEX('MiT Strom Pipeline'!$S:$S,$U144),""))</f>
        <v>0.5</v>
      </c>
      <c r="K144" s="27" t="str">
        <f>IF($U144="","",IF(LEN(INDEX('MiT Strom Pipeline'!$V:$V,$U144))&gt;0,LEFT(INDEX('MiT Strom Pipeline'!$V:$V,$U144),55),""))</f>
        <v>Kunde angeschrieben, Offerte erstellt, Kunde hat Offert</v>
      </c>
      <c r="L144" s="22" t="n"/>
      <c r="M144" s="22" t="n"/>
      <c r="N144" s="22" t="n"/>
      <c r="O144" s="22" t="n"/>
      <c r="P144" s="22" t="n"/>
      <c r="Q144" s="22" t="n"/>
      <c r="R144" s="22" t="n"/>
      <c r="S144" s="22" t="n"/>
      <c r="U144">
        <f>IFERROR(MATCH(6,'MiT Strom Pipeline'!$AD$6:$AD$860,0)+5,"")</f>
        <v>44</v>
      </c>
    </row>
    <row r="145" ht="15.75" customHeight="1">
      <c r="A145" s="26">
        <f>IF($U145="","",IF(ISNUMBER(INDEX('MiT Strom Pipeline'!$A:$A,$U145)),INDEX('MiT Strom Pipeline'!$A:$A,$U145),""))</f>
        <v>9</v>
      </c>
      <c r="B145" s="27" t="str">
        <f>IF($U145="","",IF(INDEX('MiT Strom Pipeline'!$B:$B,$U145)="","",INDEX('MiT Strom Pipeline'!$B:$B,$U145)))</f>
        <v>Badermetaux Sàrl (Schweiz)</v>
      </c>
      <c r="C145" s="27" t="str">
        <f>IF($U145="","",IF(INDEX('MiT Strom Pipeline'!$C:$C,$U145)="","",INDEX('MiT Strom Pipeline'!$C:$C,$U145)))</f>
        <v>ZH</v>
      </c>
      <c r="D145" s="27" t="str">
        <f>IF($U145="","",IF(INDEX('MiT Strom Pipeline'!$D:$D,$U145)="","",INDEX('MiT Strom Pipeline'!$D:$D,$U145)))</f>
        <v>Industrie / Metall</v>
      </c>
      <c r="E145" s="27" t="str">
        <f>IF($U145="","",IF(INDEX('MiT Strom Pipeline'!$H:$H,$U145)="","",INDEX('MiT Strom Pipeline'!$H:$H,$U145)))</f>
        <v>Mai</v>
      </c>
      <c r="F145" s="27" t="str">
        <f>IF($U145="","",IF(INDEX('MiT Strom Pipeline'!$E:$E,$U145)="","",INDEX('MiT Strom Pipeline'!$E:$E,$U145)))</f>
        <v>600 kVA Langzeitmiete</v>
      </c>
      <c r="G145" s="28">
        <f>IF($U145="","",IF(ISNUMBER(INDEX('MiT Strom Pipeline'!$I:$I,$U145)),INDEX('MiT Strom Pipeline'!$I:$I,$U145),0))</f>
        <v>500000</v>
      </c>
      <c r="H145" s="28">
        <f>IF($U145="","",IF(ISNUMBER(INDEX('MiT Strom Pipeline'!$Q:$Q,$U145)),INDEX('MiT Strom Pipeline'!$Q:$Q,$U145),0))</f>
        <v>50000</v>
      </c>
      <c r="I145" s="27" t="str">
        <f>IF($U145="","",INDEX('MiT Strom Pipeline'!$R:$R,$U145))</f>
        <v>follow-up</v>
      </c>
      <c r="J145" s="29">
        <f>IF($U145="","",IF(ISNUMBER(INDEX('MiT Strom Pipeline'!$S:$S,$U145)),INDEX('MiT Strom Pipeline'!$S:$S,$U145),""))</f>
        <v>0.1</v>
      </c>
      <c r="K145" s="27" t="str">
        <f>IF($U145="","",IF(LEN(INDEX('MiT Strom Pipeline'!$V:$V,$U145))&gt;0,LEFT(INDEX('MiT Strom Pipeline'!$V:$V,$U145),55),""))</f>
        <v>PQ-Analyse + Langzeitkonzept vorlegen</v>
      </c>
      <c r="L145" s="22" t="n"/>
      <c r="M145" s="22" t="n"/>
      <c r="N145" s="22" t="n"/>
      <c r="O145" s="22" t="n"/>
      <c r="P145" s="22" t="n"/>
      <c r="Q145" s="22" t="n"/>
      <c r="R145" s="22" t="n"/>
      <c r="S145" s="22" t="n"/>
      <c r="U145">
        <f>IFERROR(MATCH(7,'MiT Strom Pipeline'!$AD$6:$AD$860,0)+5,"")</f>
        <v>46</v>
      </c>
    </row>
    <row r="146" ht="15.75" customHeight="1">
      <c r="A146" s="26">
        <f>IF($U146="","",IF(ISNUMBER(INDEX('MiT Strom Pipeline'!$A:$A,$U146)),INDEX('MiT Strom Pipeline'!$A:$A,$U146),""))</f>
        <v>32</v>
      </c>
      <c r="B146" s="27" t="str">
        <f>IF($U146="","",IF(INDEX('MiT Strom Pipeline'!$B:$B,$U146)="","",INDEX('MiT Strom Pipeline'!$B:$B,$U146)))</f>
        <v>WSP</v>
      </c>
      <c r="C146" s="27" t="str">
        <f>IF($U146="","",IF(INDEX('MiT Strom Pipeline'!$C:$C,$U146)="","",INDEX('MiT Strom Pipeline'!$C:$C,$U146)))</f>
        <v>VD</v>
      </c>
      <c r="D146" s="27" t="str">
        <f>IF($U146="","",IF(INDEX('MiT Strom Pipeline'!$D:$D,$U146)="","",INDEX('MiT Strom Pipeline'!$D:$D,$U146)))</f>
        <v>Industrie</v>
      </c>
      <c r="E146" s="27" t="str">
        <f>IF($U146="","",IF(INDEX('MiT Strom Pipeline'!$H:$H,$U146)="","",INDEX('MiT Strom Pipeline'!$H:$H,$U146)))</f>
        <v>tbd</v>
      </c>
      <c r="F146" s="27" t="str">
        <f>IF($U146="","",IF(INDEX('MiT Strom Pipeline'!$E:$E,$U146)="","",INDEX('MiT Strom Pipeline'!$E:$E,$U146)))</f>
        <v>tbd</v>
      </c>
      <c r="G146" s="28">
        <f>IF($U146="","",IF(ISNUMBER(INDEX('MiT Strom Pipeline'!$I:$I,$U146)),INDEX('MiT Strom Pipeline'!$I:$I,$U146),0))</f>
        <v>0</v>
      </c>
      <c r="H146" s="28">
        <f>IF($U146="","",IF(ISNUMBER(INDEX('MiT Strom Pipeline'!$Q:$Q,$U146)),INDEX('MiT Strom Pipeline'!$Q:$Q,$U146),0))</f>
        <v>0</v>
      </c>
      <c r="I146" s="27" t="str">
        <f>IF($U146="","",INDEX('MiT Strom Pipeline'!$R:$R,$U146))</f>
        <v>tbd</v>
      </c>
      <c r="J146" s="29">
        <f>IF($U146="","",IF(ISNUMBER(INDEX('MiT Strom Pipeline'!$S:$S,$U146)),INDEX('MiT Strom Pipeline'!$S:$S,$U146),""))</f>
        <v>0</v>
      </c>
      <c r="K146" s="27" t="str">
        <f>IF($U146="","",IF(LEN(INDEX('MiT Strom Pipeline'!$V:$V,$U146))&gt;0,LEFT(INDEX('MiT Strom Pipeline'!$V:$V,$U146),55),""))</f>
        <v>Kunde angeschrieben, Telefoniert noch kein bedarf</v>
      </c>
      <c r="L146" s="22" t="n"/>
      <c r="M146" s="22" t="n"/>
      <c r="N146" s="22" t="n"/>
      <c r="O146" s="22" t="n"/>
      <c r="P146" s="22" t="n"/>
      <c r="Q146" s="22" t="n"/>
      <c r="R146" s="22" t="n"/>
      <c r="S146" s="22" t="n"/>
      <c r="U146">
        <f>IFERROR(MATCH(8,'MiT Strom Pipeline'!$AD$6:$AD$860,0)+5,"")</f>
        <v>51</v>
      </c>
    </row>
    <row r="147" ht="15.75" customHeight="1">
      <c r="A147" s="26">
        <f>IF($U147="","",IF(ISNUMBER(INDEX('MiT Strom Pipeline'!$A:$A,$U147)),INDEX('MiT Strom Pipeline'!$A:$A,$U147),""))</f>
        <v>42</v>
      </c>
      <c r="B147" s="27" t="str">
        <f>IF($U147="","",IF(INDEX('MiT Strom Pipeline'!$B:$B,$U147)="","",INDEX('MiT Strom Pipeline'!$B:$B,$U147)))</f>
        <v>SMT</v>
      </c>
      <c r="C147" s="27" t="str">
        <f>IF($U147="","",IF(INDEX('MiT Strom Pipeline'!$C:$C,$U147)="","",INDEX('MiT Strom Pipeline'!$C:$C,$U147)))</f>
        <v>ZH</v>
      </c>
      <c r="D147" s="27" t="str">
        <f>IF($U147="","",IF(INDEX('MiT Strom Pipeline'!$D:$D,$U147)="","",INDEX('MiT Strom Pipeline'!$D:$D,$U147)))</f>
        <v>Industrie</v>
      </c>
      <c r="E147" s="27" t="str">
        <f>IF($U147="","",IF(INDEX('MiT Strom Pipeline'!$H:$H,$U147)="","",INDEX('MiT Strom Pipeline'!$H:$H,$U147)))</f>
        <v>Aug</v>
      </c>
      <c r="F147" s="27" t="str">
        <f>IF($U147="","",IF(INDEX('MiT Strom Pipeline'!$E:$E,$U147)="","",INDEX('MiT Strom Pipeline'!$E:$E,$U147)))</f>
        <v>1000 kVA</v>
      </c>
      <c r="G147" s="28">
        <f>IF($U147="","",IF(ISNUMBER(INDEX('MiT Strom Pipeline'!$I:$I,$U147)),INDEX('MiT Strom Pipeline'!$I:$I,$U147),0))</f>
        <v>6772.8</v>
      </c>
      <c r="H147" s="28">
        <f>IF($U147="","",IF(ISNUMBER(INDEX('MiT Strom Pipeline'!$Q:$Q,$U147)),INDEX('MiT Strom Pipeline'!$Q:$Q,$U147),0))</f>
        <v>4740.96</v>
      </c>
      <c r="I147" s="27" t="str">
        <f>IF($U147="","",INDEX('MiT Strom Pipeline'!$R:$R,$U147))</f>
        <v>Evaluation</v>
      </c>
      <c r="J147" s="29">
        <f>IF($U147="","",IF(ISNUMBER(INDEX('MiT Strom Pipeline'!$S:$S,$U147)),INDEX('MiT Strom Pipeline'!$S:$S,$U147),""))</f>
        <v>0.7</v>
      </c>
      <c r="K147" s="27" t="str">
        <f>IF($U147="","",IF(LEN(INDEX('MiT Strom Pipeline'!$V:$V,$U147))&gt;0,LEFT(INDEX('MiT Strom Pipeline'!$V:$V,$U147),55),""))</f>
        <v>Kunde angeschrieben, Offerte erstellt, Kunde hat Offert</v>
      </c>
      <c r="L147" s="22" t="n"/>
      <c r="M147" s="22" t="n"/>
      <c r="N147" s="22" t="n"/>
      <c r="O147" s="22" t="n"/>
      <c r="P147" s="22" t="n"/>
      <c r="Q147" s="22" t="n"/>
      <c r="R147" s="22" t="n"/>
      <c r="S147" s="22" t="n"/>
      <c r="U147">
        <f>IFERROR(MATCH(9,'MiT Strom Pipeline'!$AD$6:$AD$860,0)+5,"")</f>
        <v>52</v>
      </c>
    </row>
    <row r="148" ht="15.75" customHeight="1">
      <c r="A148" s="26" t="str">
        <f>IF($U148="","",IF(ISNUMBER(INDEX('MiT Strom Pipeline'!$A:$A,$U148)),INDEX('MiT Strom Pipeline'!$A:$A,$U148),""))</f>
        <v/>
      </c>
      <c r="B148" s="27" t="str">
        <f>IF($U148="","",IF(INDEX('MiT Strom Pipeline'!$B:$B,$U148)="","",INDEX('MiT Strom Pipeline'!$B:$B,$U148)))</f>
        <v/>
      </c>
      <c r="C148" s="27" t="str">
        <f>IF($U148="","",IF(INDEX('MiT Strom Pipeline'!$C:$C,$U148)="","",INDEX('MiT Strom Pipeline'!$C:$C,$U148)))</f>
        <v/>
      </c>
      <c r="D148" s="27" t="str">
        <f>IF($U148="","",IF(INDEX('MiT Strom Pipeline'!$D:$D,$U148)="","",INDEX('MiT Strom Pipeline'!$D:$D,$U148)))</f>
        <v/>
      </c>
      <c r="E148" s="27" t="str">
        <f>IF($U148="","",IF(INDEX('MiT Strom Pipeline'!$H:$H,$U148)="","",INDEX('MiT Strom Pipeline'!$H:$H,$U148)))</f>
        <v/>
      </c>
      <c r="F148" s="27" t="str">
        <f>IF($U148="","",IF(INDEX('MiT Strom Pipeline'!$E:$E,$U148)="","",INDEX('MiT Strom Pipeline'!$E:$E,$U148)))</f>
        <v/>
      </c>
      <c r="G148" s="28" t="str">
        <f>IF($U148="","",IF(ISNUMBER(INDEX('MiT Strom Pipeline'!$I:$I,$U148)),INDEX('MiT Strom Pipeline'!$I:$I,$U148),0))</f>
        <v/>
      </c>
      <c r="H148" s="28" t="str">
        <f>IF($U148="","",IF(ISNUMBER(INDEX('MiT Strom Pipeline'!$Q:$Q,$U148)),INDEX('MiT Strom Pipeline'!$Q:$Q,$U148),0))</f>
        <v/>
      </c>
      <c r="I148" s="27" t="str">
        <f>IF($U148="","",INDEX('MiT Strom Pipeline'!$R:$R,$U148))</f>
        <v/>
      </c>
      <c r="J148" s="29" t="str">
        <f>IF($U148="","",IF(ISNUMBER(INDEX('MiT Strom Pipeline'!$S:$S,$U148)),INDEX('MiT Strom Pipeline'!$S:$S,$U148),""))</f>
        <v/>
      </c>
      <c r="K148" s="27" t="str">
        <f>IF($U148="","",IF(LEN(INDEX('MiT Strom Pipeline'!$V:$V,$U148))&gt;0,LEFT(INDEX('MiT Strom Pipeline'!$V:$V,$U148),55),""))</f>
        <v/>
      </c>
      <c r="L148" s="22" t="n"/>
      <c r="M148" s="22" t="n"/>
      <c r="N148" s="22" t="n"/>
      <c r="O148" s="22" t="n"/>
      <c r="P148" s="22" t="n"/>
      <c r="Q148" s="22" t="n"/>
      <c r="R148" s="22" t="n"/>
      <c r="S148" s="22" t="n"/>
      <c r="U148" t="str">
        <f>IFERROR(MATCH(10,'MiT Strom Pipeline'!$AD$6:$AD$860,0)+5,"")</f>
        <v/>
      </c>
    </row>
    <row r="149" ht="15.75" customHeight="1">
      <c r="A149" s="26" t="str">
        <f>IF($U149="","",IF(ISNUMBER(INDEX('MiT Strom Pipeline'!$A:$A,$U149)),INDEX('MiT Strom Pipeline'!$A:$A,$U149),""))</f>
        <v/>
      </c>
      <c r="B149" s="27" t="str">
        <f>IF($U149="","",IF(INDEX('MiT Strom Pipeline'!$B:$B,$U149)="","",INDEX('MiT Strom Pipeline'!$B:$B,$U149)))</f>
        <v/>
      </c>
      <c r="C149" s="27" t="str">
        <f>IF($U149="","",IF(INDEX('MiT Strom Pipeline'!$C:$C,$U149)="","",INDEX('MiT Strom Pipeline'!$C:$C,$U149)))</f>
        <v/>
      </c>
      <c r="D149" s="27" t="str">
        <f>IF($U149="","",IF(INDEX('MiT Strom Pipeline'!$D:$D,$U149)="","",INDEX('MiT Strom Pipeline'!$D:$D,$U149)))</f>
        <v/>
      </c>
      <c r="E149" s="27" t="str">
        <f>IF($U149="","",IF(INDEX('MiT Strom Pipeline'!$H:$H,$U149)="","",INDEX('MiT Strom Pipeline'!$H:$H,$U149)))</f>
        <v/>
      </c>
      <c r="F149" s="27" t="str">
        <f>IF($U149="","",IF(INDEX('MiT Strom Pipeline'!$E:$E,$U149)="","",INDEX('MiT Strom Pipeline'!$E:$E,$U149)))</f>
        <v/>
      </c>
      <c r="G149" s="28" t="str">
        <f>IF($U149="","",IF(ISNUMBER(INDEX('MiT Strom Pipeline'!$I:$I,$U149)),INDEX('MiT Strom Pipeline'!$I:$I,$U149),0))</f>
        <v/>
      </c>
      <c r="H149" s="28" t="str">
        <f>IF($U149="","",IF(ISNUMBER(INDEX('MiT Strom Pipeline'!$Q:$Q,$U149)),INDEX('MiT Strom Pipeline'!$Q:$Q,$U149),0))</f>
        <v/>
      </c>
      <c r="I149" s="27" t="str">
        <f>IF($U149="","",INDEX('MiT Strom Pipeline'!$R:$R,$U149))</f>
        <v/>
      </c>
      <c r="J149" s="29" t="str">
        <f>IF($U149="","",IF(ISNUMBER(INDEX('MiT Strom Pipeline'!$S:$S,$U149)),INDEX('MiT Strom Pipeline'!$S:$S,$U149),""))</f>
        <v/>
      </c>
      <c r="K149" s="27" t="str">
        <f>IF($U149="","",IF(LEN(INDEX('MiT Strom Pipeline'!$V:$V,$U149))&gt;0,LEFT(INDEX('MiT Strom Pipeline'!$V:$V,$U149),55),""))</f>
        <v/>
      </c>
      <c r="L149" s="22" t="n"/>
      <c r="M149" s="22" t="n"/>
      <c r="N149" s="22" t="n"/>
      <c r="O149" s="22" t="n"/>
      <c r="P149" s="22" t="n"/>
      <c r="Q149" s="22" t="n"/>
      <c r="R149" s="22" t="n"/>
      <c r="S149" s="22" t="n"/>
      <c r="U149" t="str">
        <f>IFERROR(MATCH(11,'MiT Strom Pipeline'!$AD$6:$AD$860,0)+5,"")</f>
        <v/>
      </c>
    </row>
    <row r="150" ht="15.75" customHeight="1">
      <c r="A150" s="26" t="str">
        <f>IF($U150="","",IF(ISNUMBER(INDEX('MiT Strom Pipeline'!$A:$A,$U150)),INDEX('MiT Strom Pipeline'!$A:$A,$U150),""))</f>
        <v/>
      </c>
      <c r="B150" s="27" t="str">
        <f>IF($U150="","",IF(INDEX('MiT Strom Pipeline'!$B:$B,$U150)="","",INDEX('MiT Strom Pipeline'!$B:$B,$U150)))</f>
        <v/>
      </c>
      <c r="C150" s="27" t="str">
        <f>IF($U150="","",IF(INDEX('MiT Strom Pipeline'!$C:$C,$U150)="","",INDEX('MiT Strom Pipeline'!$C:$C,$U150)))</f>
        <v/>
      </c>
      <c r="D150" s="27" t="str">
        <f>IF($U150="","",IF(INDEX('MiT Strom Pipeline'!$D:$D,$U150)="","",INDEX('MiT Strom Pipeline'!$D:$D,$U150)))</f>
        <v/>
      </c>
      <c r="E150" s="27" t="str">
        <f>IF($U150="","",IF(INDEX('MiT Strom Pipeline'!$H:$H,$U150)="","",INDEX('MiT Strom Pipeline'!$H:$H,$U150)))</f>
        <v/>
      </c>
      <c r="F150" s="27" t="str">
        <f>IF($U150="","",IF(INDEX('MiT Strom Pipeline'!$E:$E,$U150)="","",INDEX('MiT Strom Pipeline'!$E:$E,$U150)))</f>
        <v/>
      </c>
      <c r="G150" s="28" t="str">
        <f>IF($U150="","",IF(ISNUMBER(INDEX('MiT Strom Pipeline'!$I:$I,$U150)),INDEX('MiT Strom Pipeline'!$I:$I,$U150),0))</f>
        <v/>
      </c>
      <c r="H150" s="28" t="str">
        <f>IF($U150="","",IF(ISNUMBER(INDEX('MiT Strom Pipeline'!$Q:$Q,$U150)),INDEX('MiT Strom Pipeline'!$Q:$Q,$U150),0))</f>
        <v/>
      </c>
      <c r="I150" s="27" t="str">
        <f>IF($U150="","",INDEX('MiT Strom Pipeline'!$R:$R,$U150))</f>
        <v/>
      </c>
      <c r="J150" s="29" t="str">
        <f>IF($U150="","",IF(ISNUMBER(INDEX('MiT Strom Pipeline'!$S:$S,$U150)),INDEX('MiT Strom Pipeline'!$S:$S,$U150),""))</f>
        <v/>
      </c>
      <c r="K150" s="27" t="str">
        <f>IF($U150="","",IF(LEN(INDEX('MiT Strom Pipeline'!$V:$V,$U150))&gt;0,LEFT(INDEX('MiT Strom Pipeline'!$V:$V,$U150),55),""))</f>
        <v/>
      </c>
      <c r="L150" s="22" t="n"/>
      <c r="M150" s="22" t="n"/>
      <c r="N150" s="22" t="n"/>
      <c r="O150" s="22" t="n"/>
      <c r="P150" s="22" t="n"/>
      <c r="Q150" s="22" t="n"/>
      <c r="R150" s="22" t="n"/>
      <c r="S150" s="22" t="n"/>
      <c r="U150" t="str">
        <f>IFERROR(MATCH(12,'MiT Strom Pipeline'!$AD$6:$AD$860,0)+5,"")</f>
        <v/>
      </c>
    </row>
    <row r="151" ht="15.75" customHeight="1">
      <c r="A151" s="26" t="str">
        <f>IF($U151="","",IF(ISNUMBER(INDEX('MiT Strom Pipeline'!$A:$A,$U151)),INDEX('MiT Strom Pipeline'!$A:$A,$U151),""))</f>
        <v/>
      </c>
      <c r="B151" s="27" t="str">
        <f>IF($U151="","",IF(INDEX('MiT Strom Pipeline'!$B:$B,$U151)="","",INDEX('MiT Strom Pipeline'!$B:$B,$U151)))</f>
        <v/>
      </c>
      <c r="C151" s="27" t="str">
        <f>IF($U151="","",IF(INDEX('MiT Strom Pipeline'!$C:$C,$U151)="","",INDEX('MiT Strom Pipeline'!$C:$C,$U151)))</f>
        <v/>
      </c>
      <c r="D151" s="27" t="str">
        <f>IF($U151="","",IF(INDEX('MiT Strom Pipeline'!$D:$D,$U151)="","",INDEX('MiT Strom Pipeline'!$D:$D,$U151)))</f>
        <v/>
      </c>
      <c r="E151" s="27" t="str">
        <f>IF($U151="","",IF(INDEX('MiT Strom Pipeline'!$H:$H,$U151)="","",INDEX('MiT Strom Pipeline'!$H:$H,$U151)))</f>
        <v/>
      </c>
      <c r="F151" s="27" t="str">
        <f>IF($U151="","",IF(INDEX('MiT Strom Pipeline'!$E:$E,$U151)="","",INDEX('MiT Strom Pipeline'!$E:$E,$U151)))</f>
        <v/>
      </c>
      <c r="G151" s="28" t="str">
        <f>IF($U151="","",IF(ISNUMBER(INDEX('MiT Strom Pipeline'!$I:$I,$U151)),INDEX('MiT Strom Pipeline'!$I:$I,$U151),0))</f>
        <v/>
      </c>
      <c r="H151" s="28" t="str">
        <f>IF($U151="","",IF(ISNUMBER(INDEX('MiT Strom Pipeline'!$Q:$Q,$U151)),INDEX('MiT Strom Pipeline'!$Q:$Q,$U151),0))</f>
        <v/>
      </c>
      <c r="I151" s="27" t="str">
        <f>IF($U151="","",INDEX('MiT Strom Pipeline'!$R:$R,$U151))</f>
        <v/>
      </c>
      <c r="J151" s="29" t="str">
        <f>IF($U151="","",IF(ISNUMBER(INDEX('MiT Strom Pipeline'!$S:$S,$U151)),INDEX('MiT Strom Pipeline'!$S:$S,$U151),""))</f>
        <v/>
      </c>
      <c r="K151" s="27" t="str">
        <f>IF($U151="","",IF(LEN(INDEX('MiT Strom Pipeline'!$V:$V,$U151))&gt;0,LEFT(INDEX('MiT Strom Pipeline'!$V:$V,$U151),55),""))</f>
        <v/>
      </c>
      <c r="L151" s="22" t="n"/>
      <c r="M151" s="22" t="n"/>
      <c r="N151" s="22" t="n"/>
      <c r="O151" s="22" t="n"/>
      <c r="P151" s="22" t="n"/>
      <c r="Q151" s="22" t="n"/>
      <c r="R151" s="22" t="n"/>
      <c r="S151" s="22" t="n"/>
      <c r="U151" t="str">
        <f>IFERROR(MATCH(13,'MiT Strom Pipeline'!$AD$6:$AD$860,0)+5,"")</f>
        <v/>
      </c>
    </row>
    <row r="152" ht="15.75" customHeight="1">
      <c r="A152" s="26" t="str">
        <f>IF($U152="","",IF(ISNUMBER(INDEX('MiT Strom Pipeline'!$A:$A,$U152)),INDEX('MiT Strom Pipeline'!$A:$A,$U152),""))</f>
        <v/>
      </c>
      <c r="B152" s="27" t="str">
        <f>IF($U152="","",IF(INDEX('MiT Strom Pipeline'!$B:$B,$U152)="","",INDEX('MiT Strom Pipeline'!$B:$B,$U152)))</f>
        <v/>
      </c>
      <c r="C152" s="27" t="str">
        <f>IF($U152="","",IF(INDEX('MiT Strom Pipeline'!$C:$C,$U152)="","",INDEX('MiT Strom Pipeline'!$C:$C,$U152)))</f>
        <v/>
      </c>
      <c r="D152" s="27" t="str">
        <f>IF($U152="","",IF(INDEX('MiT Strom Pipeline'!$D:$D,$U152)="","",INDEX('MiT Strom Pipeline'!$D:$D,$U152)))</f>
        <v/>
      </c>
      <c r="E152" s="27" t="str">
        <f>IF($U152="","",IF(INDEX('MiT Strom Pipeline'!$H:$H,$U152)="","",INDEX('MiT Strom Pipeline'!$H:$H,$U152)))</f>
        <v/>
      </c>
      <c r="F152" s="27" t="str">
        <f>IF($U152="","",IF(INDEX('MiT Strom Pipeline'!$E:$E,$U152)="","",INDEX('MiT Strom Pipeline'!$E:$E,$U152)))</f>
        <v/>
      </c>
      <c r="G152" s="28" t="str">
        <f>IF($U152="","",IF(ISNUMBER(INDEX('MiT Strom Pipeline'!$I:$I,$U152)),INDEX('MiT Strom Pipeline'!$I:$I,$U152),0))</f>
        <v/>
      </c>
      <c r="H152" s="28" t="str">
        <f>IF($U152="","",IF(ISNUMBER(INDEX('MiT Strom Pipeline'!$Q:$Q,$U152)),INDEX('MiT Strom Pipeline'!$Q:$Q,$U152),0))</f>
        <v/>
      </c>
      <c r="I152" s="27" t="str">
        <f>IF($U152="","",INDEX('MiT Strom Pipeline'!$R:$R,$U152))</f>
        <v/>
      </c>
      <c r="J152" s="29" t="str">
        <f>IF($U152="","",IF(ISNUMBER(INDEX('MiT Strom Pipeline'!$S:$S,$U152)),INDEX('MiT Strom Pipeline'!$S:$S,$U152),""))</f>
        <v/>
      </c>
      <c r="K152" s="27" t="str">
        <f>IF($U152="","",IF(LEN(INDEX('MiT Strom Pipeline'!$V:$V,$U152))&gt;0,LEFT(INDEX('MiT Strom Pipeline'!$V:$V,$U152),55),""))</f>
        <v/>
      </c>
      <c r="L152" s="22" t="n"/>
      <c r="M152" s="22" t="n"/>
      <c r="N152" s="22" t="n"/>
      <c r="O152" s="22" t="n"/>
      <c r="P152" s="22" t="n"/>
      <c r="Q152" s="22" t="n"/>
      <c r="R152" s="22" t="n"/>
      <c r="S152" s="22" t="n"/>
      <c r="U152" t="str">
        <f>IFERROR(MATCH(14,'MiT Strom Pipeline'!$AD$6:$AD$860,0)+5,"")</f>
        <v/>
      </c>
    </row>
    <row r="153" ht="15.75" customHeight="1">
      <c r="A153" s="26" t="str">
        <f>IF($U153="","",IF(ISNUMBER(INDEX('MiT Strom Pipeline'!$A:$A,$U153)),INDEX('MiT Strom Pipeline'!$A:$A,$U153),""))</f>
        <v/>
      </c>
      <c r="B153" s="27" t="str">
        <f>IF($U153="","",IF(INDEX('MiT Strom Pipeline'!$B:$B,$U153)="","",INDEX('MiT Strom Pipeline'!$B:$B,$U153)))</f>
        <v/>
      </c>
      <c r="C153" s="27" t="str">
        <f>IF($U153="","",IF(INDEX('MiT Strom Pipeline'!$C:$C,$U153)="","",INDEX('MiT Strom Pipeline'!$C:$C,$U153)))</f>
        <v/>
      </c>
      <c r="D153" s="27" t="str">
        <f>IF($U153="","",IF(INDEX('MiT Strom Pipeline'!$D:$D,$U153)="","",INDEX('MiT Strom Pipeline'!$D:$D,$U153)))</f>
        <v/>
      </c>
      <c r="E153" s="27" t="str">
        <f>IF($U153="","",IF(INDEX('MiT Strom Pipeline'!$H:$H,$U153)="","",INDEX('MiT Strom Pipeline'!$H:$H,$U153)))</f>
        <v/>
      </c>
      <c r="F153" s="27" t="str">
        <f>IF($U153="","",IF(INDEX('MiT Strom Pipeline'!$E:$E,$U153)="","",INDEX('MiT Strom Pipeline'!$E:$E,$U153)))</f>
        <v/>
      </c>
      <c r="G153" s="28" t="str">
        <f>IF($U153="","",IF(ISNUMBER(INDEX('MiT Strom Pipeline'!$I:$I,$U153)),INDEX('MiT Strom Pipeline'!$I:$I,$U153),0))</f>
        <v/>
      </c>
      <c r="H153" s="28" t="str">
        <f>IF($U153="","",IF(ISNUMBER(INDEX('MiT Strom Pipeline'!$Q:$Q,$U153)),INDEX('MiT Strom Pipeline'!$Q:$Q,$U153),0))</f>
        <v/>
      </c>
      <c r="I153" s="27" t="str">
        <f>IF($U153="","",INDEX('MiT Strom Pipeline'!$R:$R,$U153))</f>
        <v/>
      </c>
      <c r="J153" s="29" t="str">
        <f>IF($U153="","",IF(ISNUMBER(INDEX('MiT Strom Pipeline'!$S:$S,$U153)),INDEX('MiT Strom Pipeline'!$S:$S,$U153),""))</f>
        <v/>
      </c>
      <c r="K153" s="27" t="str">
        <f>IF($U153="","",IF(LEN(INDEX('MiT Strom Pipeline'!$V:$V,$U153))&gt;0,LEFT(INDEX('MiT Strom Pipeline'!$V:$V,$U153),55),""))</f>
        <v/>
      </c>
      <c r="L153" s="22" t="n"/>
      <c r="M153" s="22" t="n"/>
      <c r="N153" s="22" t="n"/>
      <c r="O153" s="22" t="n"/>
      <c r="P153" s="22" t="n"/>
      <c r="Q153" s="22" t="n"/>
      <c r="R153" s="22" t="n"/>
      <c r="S153" s="22" t="n"/>
      <c r="U153" t="str">
        <f>IFERROR(MATCH(15,'MiT Strom Pipeline'!$AD$6:$AD$860,0)+5,"")</f>
        <v/>
      </c>
    </row>
    <row r="154" ht="15.75" customHeight="1">
      <c r="A154" s="26" t="str">
        <f>IF($U154="","",IF(ISNUMBER(INDEX('MiT Strom Pipeline'!$A:$A,$U154)),INDEX('MiT Strom Pipeline'!$A:$A,$U154),""))</f>
        <v/>
      </c>
      <c r="B154" s="27" t="str">
        <f>IF($U154="","",IF(INDEX('MiT Strom Pipeline'!$B:$B,$U154)="","",INDEX('MiT Strom Pipeline'!$B:$B,$U154)))</f>
        <v/>
      </c>
      <c r="C154" s="27" t="str">
        <f>IF($U154="","",IF(INDEX('MiT Strom Pipeline'!$C:$C,$U154)="","",INDEX('MiT Strom Pipeline'!$C:$C,$U154)))</f>
        <v/>
      </c>
      <c r="D154" s="27" t="str">
        <f>IF($U154="","",IF(INDEX('MiT Strom Pipeline'!$D:$D,$U154)="","",INDEX('MiT Strom Pipeline'!$D:$D,$U154)))</f>
        <v/>
      </c>
      <c r="E154" s="27" t="str">
        <f>IF($U154="","",IF(INDEX('MiT Strom Pipeline'!$H:$H,$U154)="","",INDEX('MiT Strom Pipeline'!$H:$H,$U154)))</f>
        <v/>
      </c>
      <c r="F154" s="27" t="str">
        <f>IF($U154="","",IF(INDEX('MiT Strom Pipeline'!$E:$E,$U154)="","",INDEX('MiT Strom Pipeline'!$E:$E,$U154)))</f>
        <v/>
      </c>
      <c r="G154" s="28" t="str">
        <f>IF($U154="","",IF(ISNUMBER(INDEX('MiT Strom Pipeline'!$I:$I,$U154)),INDEX('MiT Strom Pipeline'!$I:$I,$U154),0))</f>
        <v/>
      </c>
      <c r="H154" s="28" t="str">
        <f>IF($U154="","",IF(ISNUMBER(INDEX('MiT Strom Pipeline'!$Q:$Q,$U154)),INDEX('MiT Strom Pipeline'!$Q:$Q,$U154),0))</f>
        <v/>
      </c>
      <c r="I154" s="27" t="str">
        <f>IF($U154="","",INDEX('MiT Strom Pipeline'!$R:$R,$U154))</f>
        <v/>
      </c>
      <c r="J154" s="29" t="str">
        <f>IF($U154="","",IF(ISNUMBER(INDEX('MiT Strom Pipeline'!$S:$S,$U154)),INDEX('MiT Strom Pipeline'!$S:$S,$U154),""))</f>
        <v/>
      </c>
      <c r="K154" s="27" t="str">
        <f>IF($U154="","",IF(LEN(INDEX('MiT Strom Pipeline'!$V:$V,$U154))&gt;0,LEFT(INDEX('MiT Strom Pipeline'!$V:$V,$U154),55),""))</f>
        <v/>
      </c>
      <c r="L154" s="22" t="n"/>
      <c r="M154" s="22" t="n"/>
      <c r="N154" s="22" t="n"/>
      <c r="O154" s="22" t="n"/>
      <c r="P154" s="22" t="n"/>
      <c r="Q154" s="22" t="n"/>
      <c r="R154" s="22" t="n"/>
      <c r="S154" s="22" t="n"/>
      <c r="U154" t="str">
        <f>IFERROR(MATCH(16,'MiT Strom Pipeline'!$AD$6:$AD$860,0)+5,"")</f>
        <v/>
      </c>
    </row>
    <row r="155" ht="15.75" customHeight="1">
      <c r="A155" s="26" t="str">
        <f>IF($U155="","",IF(ISNUMBER(INDEX('MiT Strom Pipeline'!$A:$A,$U155)),INDEX('MiT Strom Pipeline'!$A:$A,$U155),""))</f>
        <v/>
      </c>
      <c r="B155" s="27" t="str">
        <f>IF($U155="","",IF(INDEX('MiT Strom Pipeline'!$B:$B,$U155)="","",INDEX('MiT Strom Pipeline'!$B:$B,$U155)))</f>
        <v/>
      </c>
      <c r="C155" s="27" t="str">
        <f>IF($U155="","",IF(INDEX('MiT Strom Pipeline'!$C:$C,$U155)="","",INDEX('MiT Strom Pipeline'!$C:$C,$U155)))</f>
        <v/>
      </c>
      <c r="D155" s="27" t="str">
        <f>IF($U155="","",IF(INDEX('MiT Strom Pipeline'!$D:$D,$U155)="","",INDEX('MiT Strom Pipeline'!$D:$D,$U155)))</f>
        <v/>
      </c>
      <c r="E155" s="27" t="str">
        <f>IF($U155="","",IF(INDEX('MiT Strom Pipeline'!$H:$H,$U155)="","",INDEX('MiT Strom Pipeline'!$H:$H,$U155)))</f>
        <v/>
      </c>
      <c r="F155" s="27" t="str">
        <f>IF($U155="","",IF(INDEX('MiT Strom Pipeline'!$E:$E,$U155)="","",INDEX('MiT Strom Pipeline'!$E:$E,$U155)))</f>
        <v/>
      </c>
      <c r="G155" s="28" t="str">
        <f>IF($U155="","",IF(ISNUMBER(INDEX('MiT Strom Pipeline'!$I:$I,$U155)),INDEX('MiT Strom Pipeline'!$I:$I,$U155),0))</f>
        <v/>
      </c>
      <c r="H155" s="28" t="str">
        <f>IF($U155="","",IF(ISNUMBER(INDEX('MiT Strom Pipeline'!$Q:$Q,$U155)),INDEX('MiT Strom Pipeline'!$Q:$Q,$U155),0))</f>
        <v/>
      </c>
      <c r="I155" s="27" t="str">
        <f>IF($U155="","",INDEX('MiT Strom Pipeline'!$R:$R,$U155))</f>
        <v/>
      </c>
      <c r="J155" s="29" t="str">
        <f>IF($U155="","",IF(ISNUMBER(INDEX('MiT Strom Pipeline'!$S:$S,$U155)),INDEX('MiT Strom Pipeline'!$S:$S,$U155),""))</f>
        <v/>
      </c>
      <c r="K155" s="27" t="str">
        <f>IF($U155="","",IF(LEN(INDEX('MiT Strom Pipeline'!$V:$V,$U155))&gt;0,LEFT(INDEX('MiT Strom Pipeline'!$V:$V,$U155),55),""))</f>
        <v/>
      </c>
      <c r="L155" s="22" t="n"/>
      <c r="M155" s="22" t="n"/>
      <c r="N155" s="22" t="n"/>
      <c r="O155" s="22" t="n"/>
      <c r="P155" s="22" t="n"/>
      <c r="Q155" s="22" t="n"/>
      <c r="R155" s="22" t="n"/>
      <c r="S155" s="22" t="n"/>
      <c r="U155" t="str">
        <f>IFERROR(MATCH(17,'MiT Strom Pipeline'!$AD$6:$AD$860,0)+5,"")</f>
        <v/>
      </c>
    </row>
    <row r="156" ht="15.75" customHeight="1">
      <c r="A156" s="26" t="str">
        <f>IF($U156="","",IF(ISNUMBER(INDEX('MiT Strom Pipeline'!$A:$A,$U156)),INDEX('MiT Strom Pipeline'!$A:$A,$U156),""))</f>
        <v/>
      </c>
      <c r="B156" s="27" t="str">
        <f>IF($U156="","",IF(INDEX('MiT Strom Pipeline'!$B:$B,$U156)="","",INDEX('MiT Strom Pipeline'!$B:$B,$U156)))</f>
        <v/>
      </c>
      <c r="C156" s="27" t="str">
        <f>IF($U156="","",IF(INDEX('MiT Strom Pipeline'!$C:$C,$U156)="","",INDEX('MiT Strom Pipeline'!$C:$C,$U156)))</f>
        <v/>
      </c>
      <c r="D156" s="27" t="str">
        <f>IF($U156="","",IF(INDEX('MiT Strom Pipeline'!$D:$D,$U156)="","",INDEX('MiT Strom Pipeline'!$D:$D,$U156)))</f>
        <v/>
      </c>
      <c r="E156" s="27" t="str">
        <f>IF($U156="","",IF(INDEX('MiT Strom Pipeline'!$H:$H,$U156)="","",INDEX('MiT Strom Pipeline'!$H:$H,$U156)))</f>
        <v/>
      </c>
      <c r="F156" s="27" t="str">
        <f>IF($U156="","",IF(INDEX('MiT Strom Pipeline'!$E:$E,$U156)="","",INDEX('MiT Strom Pipeline'!$E:$E,$U156)))</f>
        <v/>
      </c>
      <c r="G156" s="28" t="str">
        <f>IF($U156="","",IF(ISNUMBER(INDEX('MiT Strom Pipeline'!$I:$I,$U156)),INDEX('MiT Strom Pipeline'!$I:$I,$U156),0))</f>
        <v/>
      </c>
      <c r="H156" s="28" t="str">
        <f>IF($U156="","",IF(ISNUMBER(INDEX('MiT Strom Pipeline'!$Q:$Q,$U156)),INDEX('MiT Strom Pipeline'!$Q:$Q,$U156),0))</f>
        <v/>
      </c>
      <c r="I156" s="27" t="str">
        <f>IF($U156="","",INDEX('MiT Strom Pipeline'!$R:$R,$U156))</f>
        <v/>
      </c>
      <c r="J156" s="29" t="str">
        <f>IF($U156="","",IF(ISNUMBER(INDEX('MiT Strom Pipeline'!$S:$S,$U156)),INDEX('MiT Strom Pipeline'!$S:$S,$U156),""))</f>
        <v/>
      </c>
      <c r="K156" s="27" t="str">
        <f>IF($U156="","",IF(LEN(INDEX('MiT Strom Pipeline'!$V:$V,$U156))&gt;0,LEFT(INDEX('MiT Strom Pipeline'!$V:$V,$U156),55),""))</f>
        <v/>
      </c>
      <c r="L156" s="22" t="n"/>
      <c r="M156" s="22" t="n"/>
      <c r="N156" s="22" t="n"/>
      <c r="O156" s="22" t="n"/>
      <c r="P156" s="22" t="n"/>
      <c r="Q156" s="22" t="n"/>
      <c r="R156" s="22" t="n"/>
      <c r="S156" s="22" t="n"/>
      <c r="U156" t="str">
        <f>IFERROR(MATCH(18,'MiT Strom Pipeline'!$AD$6:$AD$860,0)+5,"")</f>
        <v/>
      </c>
    </row>
    <row r="157" ht="15.75" customHeight="1">
      <c r="A157" s="26" t="str">
        <f>IF($U157="","",IF(ISNUMBER(INDEX('MiT Strom Pipeline'!$A:$A,$U157)),INDEX('MiT Strom Pipeline'!$A:$A,$U157),""))</f>
        <v/>
      </c>
      <c r="B157" s="27" t="str">
        <f>IF($U157="","",IF(INDEX('MiT Strom Pipeline'!$B:$B,$U157)="","",INDEX('MiT Strom Pipeline'!$B:$B,$U157)))</f>
        <v/>
      </c>
      <c r="C157" s="27" t="str">
        <f>IF($U157="","",IF(INDEX('MiT Strom Pipeline'!$C:$C,$U157)="","",INDEX('MiT Strom Pipeline'!$C:$C,$U157)))</f>
        <v/>
      </c>
      <c r="D157" s="27" t="str">
        <f>IF($U157="","",IF(INDEX('MiT Strom Pipeline'!$D:$D,$U157)="","",INDEX('MiT Strom Pipeline'!$D:$D,$U157)))</f>
        <v/>
      </c>
      <c r="E157" s="27" t="str">
        <f>IF($U157="","",IF(INDEX('MiT Strom Pipeline'!$H:$H,$U157)="","",INDEX('MiT Strom Pipeline'!$H:$H,$U157)))</f>
        <v/>
      </c>
      <c r="F157" s="27" t="str">
        <f>IF($U157="","",IF(INDEX('MiT Strom Pipeline'!$E:$E,$U157)="","",INDEX('MiT Strom Pipeline'!$E:$E,$U157)))</f>
        <v/>
      </c>
      <c r="G157" s="28" t="str">
        <f>IF($U157="","",IF(ISNUMBER(INDEX('MiT Strom Pipeline'!$I:$I,$U157)),INDEX('MiT Strom Pipeline'!$I:$I,$U157),0))</f>
        <v/>
      </c>
      <c r="H157" s="28" t="str">
        <f>IF($U157="","",IF(ISNUMBER(INDEX('MiT Strom Pipeline'!$Q:$Q,$U157)),INDEX('MiT Strom Pipeline'!$Q:$Q,$U157),0))</f>
        <v/>
      </c>
      <c r="I157" s="27" t="str">
        <f>IF($U157="","",INDEX('MiT Strom Pipeline'!$R:$R,$U157))</f>
        <v/>
      </c>
      <c r="J157" s="29" t="str">
        <f>IF($U157="","",IF(ISNUMBER(INDEX('MiT Strom Pipeline'!$S:$S,$U157)),INDEX('MiT Strom Pipeline'!$S:$S,$U157),""))</f>
        <v/>
      </c>
      <c r="K157" s="27" t="str">
        <f>IF($U157="","",IF(LEN(INDEX('MiT Strom Pipeline'!$V:$V,$U157))&gt;0,LEFT(INDEX('MiT Strom Pipeline'!$V:$V,$U157),55),""))</f>
        <v/>
      </c>
      <c r="L157" s="22" t="n"/>
      <c r="M157" s="22" t="n"/>
      <c r="N157" s="22" t="n"/>
      <c r="O157" s="22" t="n"/>
      <c r="P157" s="22" t="n"/>
      <c r="Q157" s="22" t="n"/>
      <c r="R157" s="22" t="n"/>
      <c r="S157" s="22" t="n"/>
      <c r="U157" t="str">
        <f>IFERROR(MATCH(19,'MiT Strom Pipeline'!$AD$6:$AD$860,0)+5,"")</f>
        <v/>
      </c>
    </row>
    <row r="158" ht="15.75" customHeight="1">
      <c r="A158" s="26" t="str">
        <f>IF($U158="","",IF(ISNUMBER(INDEX('MiT Strom Pipeline'!$A:$A,$U158)),INDEX('MiT Strom Pipeline'!$A:$A,$U158),""))</f>
        <v/>
      </c>
      <c r="B158" s="27" t="str">
        <f>IF($U158="","",IF(INDEX('MiT Strom Pipeline'!$B:$B,$U158)="","",INDEX('MiT Strom Pipeline'!$B:$B,$U158)))</f>
        <v/>
      </c>
      <c r="C158" s="27" t="str">
        <f>IF($U158="","",IF(INDEX('MiT Strom Pipeline'!$C:$C,$U158)="","",INDEX('MiT Strom Pipeline'!$C:$C,$U158)))</f>
        <v/>
      </c>
      <c r="D158" s="27" t="str">
        <f>IF($U158="","",IF(INDEX('MiT Strom Pipeline'!$D:$D,$U158)="","",INDEX('MiT Strom Pipeline'!$D:$D,$U158)))</f>
        <v/>
      </c>
      <c r="E158" s="27" t="str">
        <f>IF($U158="","",IF(INDEX('MiT Strom Pipeline'!$H:$H,$U158)="","",INDEX('MiT Strom Pipeline'!$H:$H,$U158)))</f>
        <v/>
      </c>
      <c r="F158" s="27" t="str">
        <f>IF($U158="","",IF(INDEX('MiT Strom Pipeline'!$E:$E,$U158)="","",INDEX('MiT Strom Pipeline'!$E:$E,$U158)))</f>
        <v/>
      </c>
      <c r="G158" s="28" t="str">
        <f>IF($U158="","",IF(ISNUMBER(INDEX('MiT Strom Pipeline'!$I:$I,$U158)),INDEX('MiT Strom Pipeline'!$I:$I,$U158),0))</f>
        <v/>
      </c>
      <c r="H158" s="28" t="str">
        <f>IF($U158="","",IF(ISNUMBER(INDEX('MiT Strom Pipeline'!$Q:$Q,$U158)),INDEX('MiT Strom Pipeline'!$Q:$Q,$U158),0))</f>
        <v/>
      </c>
      <c r="I158" s="27" t="str">
        <f>IF($U158="","",INDEX('MiT Strom Pipeline'!$R:$R,$U158))</f>
        <v/>
      </c>
      <c r="J158" s="29" t="str">
        <f>IF($U158="","",IF(ISNUMBER(INDEX('MiT Strom Pipeline'!$S:$S,$U158)),INDEX('MiT Strom Pipeline'!$S:$S,$U158),""))</f>
        <v/>
      </c>
      <c r="K158" s="27" t="str">
        <f>IF($U158="","",IF(LEN(INDEX('MiT Strom Pipeline'!$V:$V,$U158))&gt;0,LEFT(INDEX('MiT Strom Pipeline'!$V:$V,$U158),55),""))</f>
        <v/>
      </c>
      <c r="L158" s="22" t="n"/>
      <c r="M158" s="22" t="n"/>
      <c r="N158" s="22" t="n"/>
      <c r="O158" s="22" t="n"/>
      <c r="P158" s="22" t="n"/>
      <c r="Q158" s="22" t="n"/>
      <c r="R158" s="22" t="n"/>
      <c r="S158" s="22" t="n"/>
      <c r="U158" t="str">
        <f>IFERROR(MATCH(20,'MiT Strom Pipeline'!$AD$6:$AD$860,0)+5,"")</f>
        <v/>
      </c>
    </row>
    <row r="159" ht="15.75" customHeight="1">
      <c r="A159" s="26" t="str">
        <f>IF($U159="","",IF(ISNUMBER(INDEX('MiT Strom Pipeline'!$A:$A,$U159)),INDEX('MiT Strom Pipeline'!$A:$A,$U159),""))</f>
        <v/>
      </c>
      <c r="B159" s="27" t="str">
        <f>IF($U159="","",IF(INDEX('MiT Strom Pipeline'!$B:$B,$U159)="","",INDEX('MiT Strom Pipeline'!$B:$B,$U159)))</f>
        <v/>
      </c>
      <c r="C159" s="27" t="str">
        <f>IF($U159="","",IF(INDEX('MiT Strom Pipeline'!$C:$C,$U159)="","",INDEX('MiT Strom Pipeline'!$C:$C,$U159)))</f>
        <v/>
      </c>
      <c r="D159" s="27" t="str">
        <f>IF($U159="","",IF(INDEX('MiT Strom Pipeline'!$D:$D,$U159)="","",INDEX('MiT Strom Pipeline'!$D:$D,$U159)))</f>
        <v/>
      </c>
      <c r="E159" s="27" t="str">
        <f>IF($U159="","",IF(INDEX('MiT Strom Pipeline'!$H:$H,$U159)="","",INDEX('MiT Strom Pipeline'!$H:$H,$U159)))</f>
        <v/>
      </c>
      <c r="F159" s="27" t="str">
        <f>IF($U159="","",IF(INDEX('MiT Strom Pipeline'!$E:$E,$U159)="","",INDEX('MiT Strom Pipeline'!$E:$E,$U159)))</f>
        <v/>
      </c>
      <c r="G159" s="28" t="str">
        <f>IF($U159="","",IF(ISNUMBER(INDEX('MiT Strom Pipeline'!$I:$I,$U159)),INDEX('MiT Strom Pipeline'!$I:$I,$U159),0))</f>
        <v/>
      </c>
      <c r="H159" s="28" t="str">
        <f>IF($U159="","",IF(ISNUMBER(INDEX('MiT Strom Pipeline'!$Q:$Q,$U159)),INDEX('MiT Strom Pipeline'!$Q:$Q,$U159),0))</f>
        <v/>
      </c>
      <c r="I159" s="27" t="str">
        <f>IF($U159="","",INDEX('MiT Strom Pipeline'!$R:$R,$U159))</f>
        <v/>
      </c>
      <c r="J159" s="29" t="str">
        <f>IF($U159="","",IF(ISNUMBER(INDEX('MiT Strom Pipeline'!$S:$S,$U159)),INDEX('MiT Strom Pipeline'!$S:$S,$U159),""))</f>
        <v/>
      </c>
      <c r="K159" s="27" t="str">
        <f>IF($U159="","",IF(LEN(INDEX('MiT Strom Pipeline'!$V:$V,$U159))&gt;0,LEFT(INDEX('MiT Strom Pipeline'!$V:$V,$U159),55),""))</f>
        <v/>
      </c>
      <c r="L159" s="22" t="n"/>
      <c r="M159" s="22" t="n"/>
      <c r="N159" s="22" t="n"/>
      <c r="O159" s="22" t="n"/>
      <c r="P159" s="22" t="n"/>
      <c r="Q159" s="22" t="n"/>
      <c r="R159" s="22" t="n"/>
      <c r="S159" s="22" t="n"/>
      <c r="U159" t="str">
        <f>IFERROR(MATCH(21,'MiT Strom Pipeline'!$AD$6:$AD$860,0)+5,"")</f>
        <v/>
      </c>
    </row>
    <row r="160" ht="15.75" customHeight="1">
      <c r="A160" s="26" t="str">
        <f>IF($U160="","",IF(ISNUMBER(INDEX('MiT Strom Pipeline'!$A:$A,$U160)),INDEX('MiT Strom Pipeline'!$A:$A,$U160),""))</f>
        <v/>
      </c>
      <c r="B160" s="27" t="str">
        <f>IF($U160="","",IF(INDEX('MiT Strom Pipeline'!$B:$B,$U160)="","",INDEX('MiT Strom Pipeline'!$B:$B,$U160)))</f>
        <v/>
      </c>
      <c r="C160" s="27" t="str">
        <f>IF($U160="","",IF(INDEX('MiT Strom Pipeline'!$C:$C,$U160)="","",INDEX('MiT Strom Pipeline'!$C:$C,$U160)))</f>
        <v/>
      </c>
      <c r="D160" s="27" t="str">
        <f>IF($U160="","",IF(INDEX('MiT Strom Pipeline'!$D:$D,$U160)="","",INDEX('MiT Strom Pipeline'!$D:$D,$U160)))</f>
        <v/>
      </c>
      <c r="E160" s="27" t="str">
        <f>IF($U160="","",IF(INDEX('MiT Strom Pipeline'!$H:$H,$U160)="","",INDEX('MiT Strom Pipeline'!$H:$H,$U160)))</f>
        <v/>
      </c>
      <c r="F160" s="27" t="str">
        <f>IF($U160="","",IF(INDEX('MiT Strom Pipeline'!$E:$E,$U160)="","",INDEX('MiT Strom Pipeline'!$E:$E,$U160)))</f>
        <v/>
      </c>
      <c r="G160" s="28" t="str">
        <f>IF($U160="","",IF(ISNUMBER(INDEX('MiT Strom Pipeline'!$I:$I,$U160)),INDEX('MiT Strom Pipeline'!$I:$I,$U160),0))</f>
        <v/>
      </c>
      <c r="H160" s="28" t="str">
        <f>IF($U160="","",IF(ISNUMBER(INDEX('MiT Strom Pipeline'!$Q:$Q,$U160)),INDEX('MiT Strom Pipeline'!$Q:$Q,$U160),0))</f>
        <v/>
      </c>
      <c r="I160" s="27" t="str">
        <f>IF($U160="","",INDEX('MiT Strom Pipeline'!$R:$R,$U160))</f>
        <v/>
      </c>
      <c r="J160" s="29" t="str">
        <f>IF($U160="","",IF(ISNUMBER(INDEX('MiT Strom Pipeline'!$S:$S,$U160)),INDEX('MiT Strom Pipeline'!$S:$S,$U160),""))</f>
        <v/>
      </c>
      <c r="K160" s="27" t="str">
        <f>IF($U160="","",IF(LEN(INDEX('MiT Strom Pipeline'!$V:$V,$U160))&gt;0,LEFT(INDEX('MiT Strom Pipeline'!$V:$V,$U160),55),""))</f>
        <v/>
      </c>
      <c r="L160" s="22" t="n"/>
      <c r="M160" s="22" t="n"/>
      <c r="N160" s="22" t="n"/>
      <c r="O160" s="22" t="n"/>
      <c r="P160" s="22" t="n"/>
      <c r="Q160" s="22" t="n"/>
      <c r="R160" s="22" t="n"/>
      <c r="S160" s="22" t="n"/>
      <c r="U160" t="str">
        <f>IFERROR(MATCH(22,'MiT Strom Pipeline'!$AD$6:$AD$860,0)+5,"")</f>
        <v/>
      </c>
    </row>
    <row r="161" ht="15.75" customHeight="1">
      <c r="A161" s="26" t="str">
        <f>IF($U161="","",IF(ISNUMBER(INDEX('MiT Strom Pipeline'!$A:$A,$U161)),INDEX('MiT Strom Pipeline'!$A:$A,$U161),""))</f>
        <v/>
      </c>
      <c r="B161" s="27" t="str">
        <f>IF($U161="","",IF(INDEX('MiT Strom Pipeline'!$B:$B,$U161)="","",INDEX('MiT Strom Pipeline'!$B:$B,$U161)))</f>
        <v/>
      </c>
      <c r="C161" s="27" t="str">
        <f>IF($U161="","",IF(INDEX('MiT Strom Pipeline'!$C:$C,$U161)="","",INDEX('MiT Strom Pipeline'!$C:$C,$U161)))</f>
        <v/>
      </c>
      <c r="D161" s="27" t="str">
        <f>IF($U161="","",IF(INDEX('MiT Strom Pipeline'!$D:$D,$U161)="","",INDEX('MiT Strom Pipeline'!$D:$D,$U161)))</f>
        <v/>
      </c>
      <c r="E161" s="27" t="str">
        <f>IF($U161="","",IF(INDEX('MiT Strom Pipeline'!$H:$H,$U161)="","",INDEX('MiT Strom Pipeline'!$H:$H,$U161)))</f>
        <v/>
      </c>
      <c r="F161" s="27" t="str">
        <f>IF($U161="","",IF(INDEX('MiT Strom Pipeline'!$E:$E,$U161)="","",INDEX('MiT Strom Pipeline'!$E:$E,$U161)))</f>
        <v/>
      </c>
      <c r="G161" s="28" t="str">
        <f>IF($U161="","",IF(ISNUMBER(INDEX('MiT Strom Pipeline'!$I:$I,$U161)),INDEX('MiT Strom Pipeline'!$I:$I,$U161),0))</f>
        <v/>
      </c>
      <c r="H161" s="28" t="str">
        <f>IF($U161="","",IF(ISNUMBER(INDEX('MiT Strom Pipeline'!$Q:$Q,$U161)),INDEX('MiT Strom Pipeline'!$Q:$Q,$U161),0))</f>
        <v/>
      </c>
      <c r="I161" s="27" t="str">
        <f>IF($U161="","",INDEX('MiT Strom Pipeline'!$R:$R,$U161))</f>
        <v/>
      </c>
      <c r="J161" s="29" t="str">
        <f>IF($U161="","",IF(ISNUMBER(INDEX('MiT Strom Pipeline'!$S:$S,$U161)),INDEX('MiT Strom Pipeline'!$S:$S,$U161),""))</f>
        <v/>
      </c>
      <c r="K161" s="27" t="str">
        <f>IF($U161="","",IF(LEN(INDEX('MiT Strom Pipeline'!$V:$V,$U161))&gt;0,LEFT(INDEX('MiT Strom Pipeline'!$V:$V,$U161),55),""))</f>
        <v/>
      </c>
      <c r="L161" s="22" t="n"/>
      <c r="M161" s="22" t="n"/>
      <c r="N161" s="22" t="n"/>
      <c r="O161" s="22" t="n"/>
      <c r="P161" s="22" t="n"/>
      <c r="Q161" s="22" t="n"/>
      <c r="R161" s="22" t="n"/>
      <c r="S161" s="22" t="n"/>
      <c r="U161" t="str">
        <f>IFERROR(MATCH(23,'MiT Strom Pipeline'!$AD$6:$AD$860,0)+5,"")</f>
        <v/>
      </c>
    </row>
    <row r="162" ht="15.75" customHeight="1">
      <c r="A162" s="26" t="str">
        <f>IF($U162="","",IF(ISNUMBER(INDEX('MiT Strom Pipeline'!$A:$A,$U162)),INDEX('MiT Strom Pipeline'!$A:$A,$U162),""))</f>
        <v/>
      </c>
      <c r="B162" s="27" t="str">
        <f>IF($U162="","",IF(INDEX('MiT Strom Pipeline'!$B:$B,$U162)="","",INDEX('MiT Strom Pipeline'!$B:$B,$U162)))</f>
        <v/>
      </c>
      <c r="C162" s="27" t="str">
        <f>IF($U162="","",IF(INDEX('MiT Strom Pipeline'!$C:$C,$U162)="","",INDEX('MiT Strom Pipeline'!$C:$C,$U162)))</f>
        <v/>
      </c>
      <c r="D162" s="27" t="str">
        <f>IF($U162="","",IF(INDEX('MiT Strom Pipeline'!$D:$D,$U162)="","",INDEX('MiT Strom Pipeline'!$D:$D,$U162)))</f>
        <v/>
      </c>
      <c r="E162" s="27" t="str">
        <f>IF($U162="","",IF(INDEX('MiT Strom Pipeline'!$H:$H,$U162)="","",INDEX('MiT Strom Pipeline'!$H:$H,$U162)))</f>
        <v/>
      </c>
      <c r="F162" s="27" t="str">
        <f>IF($U162="","",IF(INDEX('MiT Strom Pipeline'!$E:$E,$U162)="","",INDEX('MiT Strom Pipeline'!$E:$E,$U162)))</f>
        <v/>
      </c>
      <c r="G162" s="28" t="str">
        <f>IF($U162="","",IF(ISNUMBER(INDEX('MiT Strom Pipeline'!$I:$I,$U162)),INDEX('MiT Strom Pipeline'!$I:$I,$U162),0))</f>
        <v/>
      </c>
      <c r="H162" s="28" t="str">
        <f>IF($U162="","",IF(ISNUMBER(INDEX('MiT Strom Pipeline'!$Q:$Q,$U162)),INDEX('MiT Strom Pipeline'!$Q:$Q,$U162),0))</f>
        <v/>
      </c>
      <c r="I162" s="27" t="str">
        <f>IF($U162="","",INDEX('MiT Strom Pipeline'!$R:$R,$U162))</f>
        <v/>
      </c>
      <c r="J162" s="29" t="str">
        <f>IF($U162="","",IF(ISNUMBER(INDEX('MiT Strom Pipeline'!$S:$S,$U162)),INDEX('MiT Strom Pipeline'!$S:$S,$U162),""))</f>
        <v/>
      </c>
      <c r="K162" s="27" t="str">
        <f>IF($U162="","",IF(LEN(INDEX('MiT Strom Pipeline'!$V:$V,$U162))&gt;0,LEFT(INDEX('MiT Strom Pipeline'!$V:$V,$U162),55),""))</f>
        <v/>
      </c>
      <c r="L162" s="22" t="n"/>
      <c r="M162" s="22" t="n"/>
      <c r="N162" s="22" t="n"/>
      <c r="O162" s="22" t="n"/>
      <c r="P162" s="22" t="n"/>
      <c r="Q162" s="22" t="n"/>
      <c r="R162" s="22" t="n"/>
      <c r="S162" s="22" t="n"/>
      <c r="U162" t="str">
        <f>IFERROR(MATCH(24,'MiT Strom Pipeline'!$AD$6:$AD$860,0)+5,"")</f>
        <v/>
      </c>
    </row>
    <row r="163" ht="15.75" customHeight="1">
      <c r="A163" s="26" t="str">
        <f>IF($U163="","",IF(ISNUMBER(INDEX('MiT Strom Pipeline'!$A:$A,$U163)),INDEX('MiT Strom Pipeline'!$A:$A,$U163),""))</f>
        <v/>
      </c>
      <c r="B163" s="27" t="str">
        <f>IF($U163="","",IF(INDEX('MiT Strom Pipeline'!$B:$B,$U163)="","",INDEX('MiT Strom Pipeline'!$B:$B,$U163)))</f>
        <v/>
      </c>
      <c r="C163" s="27" t="str">
        <f>IF($U163="","",IF(INDEX('MiT Strom Pipeline'!$C:$C,$U163)="","",INDEX('MiT Strom Pipeline'!$C:$C,$U163)))</f>
        <v/>
      </c>
      <c r="D163" s="27" t="str">
        <f>IF($U163="","",IF(INDEX('MiT Strom Pipeline'!$D:$D,$U163)="","",INDEX('MiT Strom Pipeline'!$D:$D,$U163)))</f>
        <v/>
      </c>
      <c r="E163" s="27" t="str">
        <f>IF($U163="","",IF(INDEX('MiT Strom Pipeline'!$H:$H,$U163)="","",INDEX('MiT Strom Pipeline'!$H:$H,$U163)))</f>
        <v/>
      </c>
      <c r="F163" s="27" t="str">
        <f>IF($U163="","",IF(INDEX('MiT Strom Pipeline'!$E:$E,$U163)="","",INDEX('MiT Strom Pipeline'!$E:$E,$U163)))</f>
        <v/>
      </c>
      <c r="G163" s="28" t="str">
        <f>IF($U163="","",IF(ISNUMBER(INDEX('MiT Strom Pipeline'!$I:$I,$U163)),INDEX('MiT Strom Pipeline'!$I:$I,$U163),0))</f>
        <v/>
      </c>
      <c r="H163" s="28" t="str">
        <f>IF($U163="","",IF(ISNUMBER(INDEX('MiT Strom Pipeline'!$Q:$Q,$U163)),INDEX('MiT Strom Pipeline'!$Q:$Q,$U163),0))</f>
        <v/>
      </c>
      <c r="I163" s="27" t="str">
        <f>IF($U163="","",INDEX('MiT Strom Pipeline'!$R:$R,$U163))</f>
        <v/>
      </c>
      <c r="J163" s="29" t="str">
        <f>IF($U163="","",IF(ISNUMBER(INDEX('MiT Strom Pipeline'!$S:$S,$U163)),INDEX('MiT Strom Pipeline'!$S:$S,$U163),""))</f>
        <v/>
      </c>
      <c r="K163" s="27" t="str">
        <f>IF($U163="","",IF(LEN(INDEX('MiT Strom Pipeline'!$V:$V,$U163))&gt;0,LEFT(INDEX('MiT Strom Pipeline'!$V:$V,$U163),55),""))</f>
        <v/>
      </c>
      <c r="L163" s="22" t="n"/>
      <c r="M163" s="22" t="n"/>
      <c r="N163" s="22" t="n"/>
      <c r="O163" s="22" t="n"/>
      <c r="P163" s="22" t="n"/>
      <c r="Q163" s="22" t="n"/>
      <c r="R163" s="22" t="n"/>
      <c r="S163" s="22" t="n"/>
      <c r="U163" t="str">
        <f>IFERROR(MATCH(25,'MiT Strom Pipeline'!$AD$6:$AD$860,0)+5,"")</f>
        <v/>
      </c>
    </row>
    <row r="164" ht="15.75" customHeight="1">
      <c r="A164" s="26" t="str">
        <f>IF($U164="","",IF(ISNUMBER(INDEX('MiT Strom Pipeline'!$A:$A,$U164)),INDEX('MiT Strom Pipeline'!$A:$A,$U164),""))</f>
        <v/>
      </c>
      <c r="B164" s="27" t="str">
        <f>IF($U164="","",IF(INDEX('MiT Strom Pipeline'!$B:$B,$U164)="","",INDEX('MiT Strom Pipeline'!$B:$B,$U164)))</f>
        <v/>
      </c>
      <c r="C164" s="27" t="str">
        <f>IF($U164="","",IF(INDEX('MiT Strom Pipeline'!$C:$C,$U164)="","",INDEX('MiT Strom Pipeline'!$C:$C,$U164)))</f>
        <v/>
      </c>
      <c r="D164" s="27" t="str">
        <f>IF($U164="","",IF(INDEX('MiT Strom Pipeline'!$D:$D,$U164)="","",INDEX('MiT Strom Pipeline'!$D:$D,$U164)))</f>
        <v/>
      </c>
      <c r="E164" s="27" t="str">
        <f>IF($U164="","",IF(INDEX('MiT Strom Pipeline'!$H:$H,$U164)="","",INDEX('MiT Strom Pipeline'!$H:$H,$U164)))</f>
        <v/>
      </c>
      <c r="F164" s="27" t="str">
        <f>IF($U164="","",IF(INDEX('MiT Strom Pipeline'!$E:$E,$U164)="","",INDEX('MiT Strom Pipeline'!$E:$E,$U164)))</f>
        <v/>
      </c>
      <c r="G164" s="28" t="str">
        <f>IF($U164="","",IF(ISNUMBER(INDEX('MiT Strom Pipeline'!$I:$I,$U164)),INDEX('MiT Strom Pipeline'!$I:$I,$U164),0))</f>
        <v/>
      </c>
      <c r="H164" s="28" t="str">
        <f>IF($U164="","",IF(ISNUMBER(INDEX('MiT Strom Pipeline'!$Q:$Q,$U164)),INDEX('MiT Strom Pipeline'!$Q:$Q,$U164),0))</f>
        <v/>
      </c>
      <c r="I164" s="27" t="str">
        <f>IF($U164="","",INDEX('MiT Strom Pipeline'!$R:$R,$U164))</f>
        <v/>
      </c>
      <c r="J164" s="29" t="str">
        <f>IF($U164="","",IF(ISNUMBER(INDEX('MiT Strom Pipeline'!$S:$S,$U164)),INDEX('MiT Strom Pipeline'!$S:$S,$U164),""))</f>
        <v/>
      </c>
      <c r="K164" s="27" t="str">
        <f>IF($U164="","",IF(LEN(INDEX('MiT Strom Pipeline'!$V:$V,$U164))&gt;0,LEFT(INDEX('MiT Strom Pipeline'!$V:$V,$U164),55),""))</f>
        <v/>
      </c>
      <c r="L164" s="22" t="n"/>
      <c r="M164" s="22" t="n"/>
      <c r="N164" s="22" t="n"/>
      <c r="O164" s="22" t="n"/>
      <c r="P164" s="22" t="n"/>
      <c r="Q164" s="22" t="n"/>
      <c r="R164" s="22" t="n"/>
      <c r="S164" s="22" t="n"/>
      <c r="U164" t="str">
        <f>IFERROR(MATCH(26,'MiT Strom Pipeline'!$AD$6:$AD$860,0)+5,"")</f>
        <v/>
      </c>
    </row>
    <row r="165" ht="15.75" customHeight="1">
      <c r="A165" s="26" t="str">
        <f>IF($U165="","",IF(ISNUMBER(INDEX('MiT Strom Pipeline'!$A:$A,$U165)),INDEX('MiT Strom Pipeline'!$A:$A,$U165),""))</f>
        <v/>
      </c>
      <c r="B165" s="27" t="str">
        <f>IF($U165="","",IF(INDEX('MiT Strom Pipeline'!$B:$B,$U165)="","",INDEX('MiT Strom Pipeline'!$B:$B,$U165)))</f>
        <v/>
      </c>
      <c r="C165" s="27" t="str">
        <f>IF($U165="","",IF(INDEX('MiT Strom Pipeline'!$C:$C,$U165)="","",INDEX('MiT Strom Pipeline'!$C:$C,$U165)))</f>
        <v/>
      </c>
      <c r="D165" s="27" t="str">
        <f>IF($U165="","",IF(INDEX('MiT Strom Pipeline'!$D:$D,$U165)="","",INDEX('MiT Strom Pipeline'!$D:$D,$U165)))</f>
        <v/>
      </c>
      <c r="E165" s="27" t="str">
        <f>IF($U165="","",IF(INDEX('MiT Strom Pipeline'!$H:$H,$U165)="","",INDEX('MiT Strom Pipeline'!$H:$H,$U165)))</f>
        <v/>
      </c>
      <c r="F165" s="27" t="str">
        <f>IF($U165="","",IF(INDEX('MiT Strom Pipeline'!$E:$E,$U165)="","",INDEX('MiT Strom Pipeline'!$E:$E,$U165)))</f>
        <v/>
      </c>
      <c r="G165" s="28" t="str">
        <f>IF($U165="","",IF(ISNUMBER(INDEX('MiT Strom Pipeline'!$I:$I,$U165)),INDEX('MiT Strom Pipeline'!$I:$I,$U165),0))</f>
        <v/>
      </c>
      <c r="H165" s="28" t="str">
        <f>IF($U165="","",IF(ISNUMBER(INDEX('MiT Strom Pipeline'!$Q:$Q,$U165)),INDEX('MiT Strom Pipeline'!$Q:$Q,$U165),0))</f>
        <v/>
      </c>
      <c r="I165" s="27" t="str">
        <f>IF($U165="","",INDEX('MiT Strom Pipeline'!$R:$R,$U165))</f>
        <v/>
      </c>
      <c r="J165" s="29" t="str">
        <f>IF($U165="","",IF(ISNUMBER(INDEX('MiT Strom Pipeline'!$S:$S,$U165)),INDEX('MiT Strom Pipeline'!$S:$S,$U165),""))</f>
        <v/>
      </c>
      <c r="K165" s="27" t="str">
        <f>IF($U165="","",IF(LEN(INDEX('MiT Strom Pipeline'!$V:$V,$U165))&gt;0,LEFT(INDEX('MiT Strom Pipeline'!$V:$V,$U165),55),""))</f>
        <v/>
      </c>
      <c r="L165" s="22" t="n"/>
      <c r="M165" s="22" t="n"/>
      <c r="N165" s="22" t="n"/>
      <c r="O165" s="22" t="n"/>
      <c r="P165" s="22" t="n"/>
      <c r="Q165" s="22" t="n"/>
      <c r="R165" s="22" t="n"/>
      <c r="S165" s="22" t="n"/>
      <c r="U165" t="str">
        <f>IFERROR(MATCH(27,'MiT Strom Pipeline'!$AD$6:$AD$860,0)+5,"")</f>
        <v/>
      </c>
    </row>
    <row r="166" ht="15.75" customHeight="1">
      <c r="A166" s="26" t="str">
        <f>IF($U166="","",IF(ISNUMBER(INDEX('MiT Strom Pipeline'!$A:$A,$U166)),INDEX('MiT Strom Pipeline'!$A:$A,$U166),""))</f>
        <v/>
      </c>
      <c r="B166" s="27" t="str">
        <f>IF($U166="","",IF(INDEX('MiT Strom Pipeline'!$B:$B,$U166)="","",INDEX('MiT Strom Pipeline'!$B:$B,$U166)))</f>
        <v/>
      </c>
      <c r="C166" s="27" t="str">
        <f>IF($U166="","",IF(INDEX('MiT Strom Pipeline'!$C:$C,$U166)="","",INDEX('MiT Strom Pipeline'!$C:$C,$U166)))</f>
        <v/>
      </c>
      <c r="D166" s="27" t="str">
        <f>IF($U166="","",IF(INDEX('MiT Strom Pipeline'!$D:$D,$U166)="","",INDEX('MiT Strom Pipeline'!$D:$D,$U166)))</f>
        <v/>
      </c>
      <c r="E166" s="27" t="str">
        <f>IF($U166="","",IF(INDEX('MiT Strom Pipeline'!$H:$H,$U166)="","",INDEX('MiT Strom Pipeline'!$H:$H,$U166)))</f>
        <v/>
      </c>
      <c r="F166" s="27" t="str">
        <f>IF($U166="","",IF(INDEX('MiT Strom Pipeline'!$E:$E,$U166)="","",INDEX('MiT Strom Pipeline'!$E:$E,$U166)))</f>
        <v/>
      </c>
      <c r="G166" s="28" t="str">
        <f>IF($U166="","",IF(ISNUMBER(INDEX('MiT Strom Pipeline'!$I:$I,$U166)),INDEX('MiT Strom Pipeline'!$I:$I,$U166),0))</f>
        <v/>
      </c>
      <c r="H166" s="28" t="str">
        <f>IF($U166="","",IF(ISNUMBER(INDEX('MiT Strom Pipeline'!$Q:$Q,$U166)),INDEX('MiT Strom Pipeline'!$Q:$Q,$U166),0))</f>
        <v/>
      </c>
      <c r="I166" s="27" t="str">
        <f>IF($U166="","",INDEX('MiT Strom Pipeline'!$R:$R,$U166))</f>
        <v/>
      </c>
      <c r="J166" s="29" t="str">
        <f>IF($U166="","",IF(ISNUMBER(INDEX('MiT Strom Pipeline'!$S:$S,$U166)),INDEX('MiT Strom Pipeline'!$S:$S,$U166),""))</f>
        <v/>
      </c>
      <c r="K166" s="27" t="str">
        <f>IF($U166="","",IF(LEN(INDEX('MiT Strom Pipeline'!$V:$V,$U166))&gt;0,LEFT(INDEX('MiT Strom Pipeline'!$V:$V,$U166),55),""))</f>
        <v/>
      </c>
      <c r="L166" s="22" t="n"/>
      <c r="M166" s="22" t="n"/>
      <c r="N166" s="22" t="n"/>
      <c r="O166" s="22" t="n"/>
      <c r="P166" s="22" t="n"/>
      <c r="Q166" s="22" t="n"/>
      <c r="R166" s="22" t="n"/>
      <c r="S166" s="22" t="n"/>
      <c r="U166" t="str">
        <f>IFERROR(MATCH(28,'MiT Strom Pipeline'!$AD$6:$AD$860,0)+5,"")</f>
        <v/>
      </c>
    </row>
    <row r="167" ht="15.75" customHeight="1">
      <c r="A167" s="26" t="str">
        <f>IF($U167="","",IF(ISNUMBER(INDEX('MiT Strom Pipeline'!$A:$A,$U167)),INDEX('MiT Strom Pipeline'!$A:$A,$U167),""))</f>
        <v/>
      </c>
      <c r="B167" s="27" t="str">
        <f>IF($U167="","",IF(INDEX('MiT Strom Pipeline'!$B:$B,$U167)="","",INDEX('MiT Strom Pipeline'!$B:$B,$U167)))</f>
        <v/>
      </c>
      <c r="C167" s="27" t="str">
        <f>IF($U167="","",IF(INDEX('MiT Strom Pipeline'!$C:$C,$U167)="","",INDEX('MiT Strom Pipeline'!$C:$C,$U167)))</f>
        <v/>
      </c>
      <c r="D167" s="27" t="str">
        <f>IF($U167="","",IF(INDEX('MiT Strom Pipeline'!$D:$D,$U167)="","",INDEX('MiT Strom Pipeline'!$D:$D,$U167)))</f>
        <v/>
      </c>
      <c r="E167" s="27" t="str">
        <f>IF($U167="","",IF(INDEX('MiT Strom Pipeline'!$H:$H,$U167)="","",INDEX('MiT Strom Pipeline'!$H:$H,$U167)))</f>
        <v/>
      </c>
      <c r="F167" s="27" t="str">
        <f>IF($U167="","",IF(INDEX('MiT Strom Pipeline'!$E:$E,$U167)="","",INDEX('MiT Strom Pipeline'!$E:$E,$U167)))</f>
        <v/>
      </c>
      <c r="G167" s="28" t="str">
        <f>IF($U167="","",IF(ISNUMBER(INDEX('MiT Strom Pipeline'!$I:$I,$U167)),INDEX('MiT Strom Pipeline'!$I:$I,$U167),0))</f>
        <v/>
      </c>
      <c r="H167" s="28" t="str">
        <f>IF($U167="","",IF(ISNUMBER(INDEX('MiT Strom Pipeline'!$Q:$Q,$U167)),INDEX('MiT Strom Pipeline'!$Q:$Q,$U167),0))</f>
        <v/>
      </c>
      <c r="I167" s="27" t="str">
        <f>IF($U167="","",INDEX('MiT Strom Pipeline'!$R:$R,$U167))</f>
        <v/>
      </c>
      <c r="J167" s="29" t="str">
        <f>IF($U167="","",IF(ISNUMBER(INDEX('MiT Strom Pipeline'!$S:$S,$U167)),INDEX('MiT Strom Pipeline'!$S:$S,$U167),""))</f>
        <v/>
      </c>
      <c r="K167" s="27" t="str">
        <f>IF($U167="","",IF(LEN(INDEX('MiT Strom Pipeline'!$V:$V,$U167))&gt;0,LEFT(INDEX('MiT Strom Pipeline'!$V:$V,$U167),55),""))</f>
        <v/>
      </c>
      <c r="L167" s="22" t="n"/>
      <c r="M167" s="22" t="n"/>
      <c r="N167" s="22" t="n"/>
      <c r="O167" s="22" t="n"/>
      <c r="P167" s="22" t="n"/>
      <c r="Q167" s="22" t="n"/>
      <c r="R167" s="22" t="n"/>
      <c r="S167" s="22" t="n"/>
      <c r="U167" t="str">
        <f>IFERROR(MATCH(29,'MiT Strom Pipeline'!$AD$6:$AD$860,0)+5,"")</f>
        <v/>
      </c>
    </row>
    <row r="168" ht="15.75" customHeight="1">
      <c r="A168" s="26" t="str">
        <f>IF($U168="","",IF(ISNUMBER(INDEX('MiT Strom Pipeline'!$A:$A,$U168)),INDEX('MiT Strom Pipeline'!$A:$A,$U168),""))</f>
        <v/>
      </c>
      <c r="B168" s="27" t="str">
        <f>IF($U168="","",IF(INDEX('MiT Strom Pipeline'!$B:$B,$U168)="","",INDEX('MiT Strom Pipeline'!$B:$B,$U168)))</f>
        <v/>
      </c>
      <c r="C168" s="27" t="str">
        <f>IF($U168="","",IF(INDEX('MiT Strom Pipeline'!$C:$C,$U168)="","",INDEX('MiT Strom Pipeline'!$C:$C,$U168)))</f>
        <v/>
      </c>
      <c r="D168" s="27" t="str">
        <f>IF($U168="","",IF(INDEX('MiT Strom Pipeline'!$D:$D,$U168)="","",INDEX('MiT Strom Pipeline'!$D:$D,$U168)))</f>
        <v/>
      </c>
      <c r="E168" s="27" t="str">
        <f>IF($U168="","",IF(INDEX('MiT Strom Pipeline'!$H:$H,$U168)="","",INDEX('MiT Strom Pipeline'!$H:$H,$U168)))</f>
        <v/>
      </c>
      <c r="F168" s="27" t="str">
        <f>IF($U168="","",IF(INDEX('MiT Strom Pipeline'!$E:$E,$U168)="","",INDEX('MiT Strom Pipeline'!$E:$E,$U168)))</f>
        <v/>
      </c>
      <c r="G168" s="28" t="str">
        <f>IF($U168="","",IF(ISNUMBER(INDEX('MiT Strom Pipeline'!$I:$I,$U168)),INDEX('MiT Strom Pipeline'!$I:$I,$U168),0))</f>
        <v/>
      </c>
      <c r="H168" s="28" t="str">
        <f>IF($U168="","",IF(ISNUMBER(INDEX('MiT Strom Pipeline'!$Q:$Q,$U168)),INDEX('MiT Strom Pipeline'!$Q:$Q,$U168),0))</f>
        <v/>
      </c>
      <c r="I168" s="27" t="str">
        <f>IF($U168="","",INDEX('MiT Strom Pipeline'!$R:$R,$U168))</f>
        <v/>
      </c>
      <c r="J168" s="29" t="str">
        <f>IF($U168="","",IF(ISNUMBER(INDEX('MiT Strom Pipeline'!$S:$S,$U168)),INDEX('MiT Strom Pipeline'!$S:$S,$U168),""))</f>
        <v/>
      </c>
      <c r="K168" s="27" t="str">
        <f>IF($U168="","",IF(LEN(INDEX('MiT Strom Pipeline'!$V:$V,$U168))&gt;0,LEFT(INDEX('MiT Strom Pipeline'!$V:$V,$U168),55),""))</f>
        <v/>
      </c>
      <c r="L168" s="22" t="n"/>
      <c r="M168" s="22" t="n"/>
      <c r="N168" s="22" t="n"/>
      <c r="O168" s="22" t="n"/>
      <c r="P168" s="22" t="n"/>
      <c r="Q168" s="22" t="n"/>
      <c r="R168" s="22" t="n"/>
      <c r="S168" s="22" t="n"/>
      <c r="U168" t="str">
        <f>IFERROR(MATCH(30,'MiT Strom Pipeline'!$AD$6:$AD$860,0)+5,"")</f>
        <v/>
      </c>
    </row>
    <row r="169" ht="15.75" customHeight="1">
      <c r="A169" s="26" t="str">
        <f>IF($U169="","",IF(ISNUMBER(INDEX('MiT Strom Pipeline'!$A:$A,$U169)),INDEX('MiT Strom Pipeline'!$A:$A,$U169),""))</f>
        <v/>
      </c>
      <c r="B169" s="27" t="str">
        <f>IF($U169="","",IF(INDEX('MiT Strom Pipeline'!$B:$B,$U169)="","",INDEX('MiT Strom Pipeline'!$B:$B,$U169)))</f>
        <v/>
      </c>
      <c r="C169" s="27" t="str">
        <f>IF($U169="","",IF(INDEX('MiT Strom Pipeline'!$C:$C,$U169)="","",INDEX('MiT Strom Pipeline'!$C:$C,$U169)))</f>
        <v/>
      </c>
      <c r="D169" s="27" t="str">
        <f>IF($U169="","",IF(INDEX('MiT Strom Pipeline'!$D:$D,$U169)="","",INDEX('MiT Strom Pipeline'!$D:$D,$U169)))</f>
        <v/>
      </c>
      <c r="E169" s="27" t="str">
        <f>IF($U169="","",IF(INDEX('MiT Strom Pipeline'!$H:$H,$U169)="","",INDEX('MiT Strom Pipeline'!$H:$H,$U169)))</f>
        <v/>
      </c>
      <c r="F169" s="27" t="str">
        <f>IF($U169="","",IF(INDEX('MiT Strom Pipeline'!$E:$E,$U169)="","",INDEX('MiT Strom Pipeline'!$E:$E,$U169)))</f>
        <v/>
      </c>
      <c r="G169" s="28" t="str">
        <f>IF($U169="","",IF(ISNUMBER(INDEX('MiT Strom Pipeline'!$I:$I,$U169)),INDEX('MiT Strom Pipeline'!$I:$I,$U169),0))</f>
        <v/>
      </c>
      <c r="H169" s="28" t="str">
        <f>IF($U169="","",IF(ISNUMBER(INDEX('MiT Strom Pipeline'!$Q:$Q,$U169)),INDEX('MiT Strom Pipeline'!$Q:$Q,$U169),0))</f>
        <v/>
      </c>
      <c r="I169" s="27" t="str">
        <f>IF($U169="","",INDEX('MiT Strom Pipeline'!$R:$R,$U169))</f>
        <v/>
      </c>
      <c r="J169" s="29" t="str">
        <f>IF($U169="","",IF(ISNUMBER(INDEX('MiT Strom Pipeline'!$S:$S,$U169)),INDEX('MiT Strom Pipeline'!$S:$S,$U169),""))</f>
        <v/>
      </c>
      <c r="K169" s="27" t="str">
        <f>IF($U169="","",IF(LEN(INDEX('MiT Strom Pipeline'!$V:$V,$U169))&gt;0,LEFT(INDEX('MiT Strom Pipeline'!$V:$V,$U169),55),""))</f>
        <v/>
      </c>
      <c r="L169" s="22" t="n"/>
      <c r="M169" s="22" t="n"/>
      <c r="N169" s="22" t="n"/>
      <c r="O169" s="22" t="n"/>
      <c r="P169" s="22" t="n"/>
      <c r="Q169" s="22" t="n"/>
      <c r="R169" s="22" t="n"/>
      <c r="S169" s="22" t="n"/>
      <c r="U169" t="str">
        <f>IFERROR(MATCH(31,'MiT Strom Pipeline'!$AD$6:$AD$860,0)+5,"")</f>
        <v/>
      </c>
    </row>
    <row r="170" ht="15.75" customHeight="1">
      <c r="A170" s="26" t="str">
        <f>IF($U170="","",IF(ISNUMBER(INDEX('MiT Strom Pipeline'!$A:$A,$U170)),INDEX('MiT Strom Pipeline'!$A:$A,$U170),""))</f>
        <v/>
      </c>
      <c r="B170" s="27" t="str">
        <f>IF($U170="","",IF(INDEX('MiT Strom Pipeline'!$B:$B,$U170)="","",INDEX('MiT Strom Pipeline'!$B:$B,$U170)))</f>
        <v/>
      </c>
      <c r="C170" s="27" t="str">
        <f>IF($U170="","",IF(INDEX('MiT Strom Pipeline'!$C:$C,$U170)="","",INDEX('MiT Strom Pipeline'!$C:$C,$U170)))</f>
        <v/>
      </c>
      <c r="D170" s="27" t="str">
        <f>IF($U170="","",IF(INDEX('MiT Strom Pipeline'!$D:$D,$U170)="","",INDEX('MiT Strom Pipeline'!$D:$D,$U170)))</f>
        <v/>
      </c>
      <c r="E170" s="27" t="str">
        <f>IF($U170="","",IF(INDEX('MiT Strom Pipeline'!$H:$H,$U170)="","",INDEX('MiT Strom Pipeline'!$H:$H,$U170)))</f>
        <v/>
      </c>
      <c r="F170" s="27" t="str">
        <f>IF($U170="","",IF(INDEX('MiT Strom Pipeline'!$E:$E,$U170)="","",INDEX('MiT Strom Pipeline'!$E:$E,$U170)))</f>
        <v/>
      </c>
      <c r="G170" s="28" t="str">
        <f>IF($U170="","",IF(ISNUMBER(INDEX('MiT Strom Pipeline'!$I:$I,$U170)),INDEX('MiT Strom Pipeline'!$I:$I,$U170),0))</f>
        <v/>
      </c>
      <c r="H170" s="28" t="str">
        <f>IF($U170="","",IF(ISNUMBER(INDEX('MiT Strom Pipeline'!$Q:$Q,$U170)),INDEX('MiT Strom Pipeline'!$Q:$Q,$U170),0))</f>
        <v/>
      </c>
      <c r="I170" s="27" t="str">
        <f>IF($U170="","",INDEX('MiT Strom Pipeline'!$R:$R,$U170))</f>
        <v/>
      </c>
      <c r="J170" s="29" t="str">
        <f>IF($U170="","",IF(ISNUMBER(INDEX('MiT Strom Pipeline'!$S:$S,$U170)),INDEX('MiT Strom Pipeline'!$S:$S,$U170),""))</f>
        <v/>
      </c>
      <c r="K170" s="27" t="str">
        <f>IF($U170="","",IF(LEN(INDEX('MiT Strom Pipeline'!$V:$V,$U170))&gt;0,LEFT(INDEX('MiT Strom Pipeline'!$V:$V,$U170),55),""))</f>
        <v/>
      </c>
      <c r="L170" s="22" t="n"/>
      <c r="M170" s="22" t="n"/>
      <c r="N170" s="22" t="n"/>
      <c r="O170" s="22" t="n"/>
      <c r="P170" s="22" t="n"/>
      <c r="Q170" s="22" t="n"/>
      <c r="R170" s="22" t="n"/>
      <c r="S170" s="22" t="n"/>
      <c r="U170" t="str">
        <f>IFERROR(MATCH(32,'MiT Strom Pipeline'!$AD$6:$AD$860,0)+5,"")</f>
        <v/>
      </c>
    </row>
    <row r="171" ht="15.75" customHeight="1">
      <c r="A171" s="26" t="str">
        <f>IF($U171="","",IF(ISNUMBER(INDEX('MiT Strom Pipeline'!$A:$A,$U171)),INDEX('MiT Strom Pipeline'!$A:$A,$U171),""))</f>
        <v/>
      </c>
      <c r="B171" s="27" t="str">
        <f>IF($U171="","",IF(INDEX('MiT Strom Pipeline'!$B:$B,$U171)="","",INDEX('MiT Strom Pipeline'!$B:$B,$U171)))</f>
        <v/>
      </c>
      <c r="C171" s="27" t="str">
        <f>IF($U171="","",IF(INDEX('MiT Strom Pipeline'!$C:$C,$U171)="","",INDEX('MiT Strom Pipeline'!$C:$C,$U171)))</f>
        <v/>
      </c>
      <c r="D171" s="27" t="str">
        <f>IF($U171="","",IF(INDEX('MiT Strom Pipeline'!$D:$D,$U171)="","",INDEX('MiT Strom Pipeline'!$D:$D,$U171)))</f>
        <v/>
      </c>
      <c r="E171" s="192" t="str">
        <f>IF($U171="","",IF(INDEX('MiT Strom Pipeline'!$H:$H,$U171)="","",INDEX('MiT Strom Pipeline'!$H:$H,$U171)))</f>
        <v/>
      </c>
      <c r="F171" s="27" t="str">
        <f>IF($U171="","",IF(INDEX('MiT Strom Pipeline'!$E:$E,$U171)="","",INDEX('MiT Strom Pipeline'!$E:$E,$U171)))</f>
        <v/>
      </c>
      <c r="G171" s="28" t="str">
        <f>IF($U171="","",IF(ISNUMBER(INDEX('MiT Strom Pipeline'!$I:$I,$U171)),INDEX('MiT Strom Pipeline'!$I:$I,$U171),0))</f>
        <v/>
      </c>
      <c r="H171" s="28" t="str">
        <f>IF($U171="","",IF(ISNUMBER(INDEX('MiT Strom Pipeline'!$Q:$Q,$U171)),INDEX('MiT Strom Pipeline'!$Q:$Q,$U171),0))</f>
        <v/>
      </c>
      <c r="I171" s="27" t="str">
        <f>IF($U171="","",INDEX('MiT Strom Pipeline'!$R:$R,$U171))</f>
        <v/>
      </c>
      <c r="J171" s="29" t="str">
        <f>IF($U171="","",IF(ISNUMBER(INDEX('MiT Strom Pipeline'!$S:$S,$U171)),INDEX('MiT Strom Pipeline'!$S:$S,$U171),""))</f>
        <v/>
      </c>
      <c r="K171" s="27" t="str">
        <f>IF($U171="","",IF(LEN(INDEX('MiT Strom Pipeline'!$V:$V,$U171))&gt;0,LEFT(INDEX('MiT Strom Pipeline'!$V:$V,$U171),55),""))</f>
        <v/>
      </c>
      <c r="L171" s="22" t="n"/>
      <c r="M171" s="22" t="n"/>
      <c r="N171" s="22" t="n"/>
      <c r="O171" s="22" t="n"/>
      <c r="P171" s="22" t="n"/>
      <c r="Q171" s="22" t="n"/>
      <c r="R171" s="22" t="n"/>
      <c r="S171" s="22" t="n"/>
      <c r="U171" t="str">
        <f>IFERROR(MATCH(33,'MiT Strom Pipeline'!$AD$6:$AD$860,0)+5,"")</f>
        <v/>
      </c>
    </row>
    <row r="172" ht="15.75" customHeight="1">
      <c r="A172" s="26" t="str">
        <f>IF($U172="","",IF(ISNUMBER(INDEX('MiT Strom Pipeline'!$A:$A,$U172)),INDEX('MiT Strom Pipeline'!$A:$A,$U172),""))</f>
        <v/>
      </c>
      <c r="B172" s="27" t="str">
        <f>IF($U172="","",IF(INDEX('MiT Strom Pipeline'!$B:$B,$U172)="","",INDEX('MiT Strom Pipeline'!$B:$B,$U172)))</f>
        <v/>
      </c>
      <c r="C172" s="27" t="str">
        <f>IF($U172="","",IF(INDEX('MiT Strom Pipeline'!$C:$C,$U172)="","",INDEX('MiT Strom Pipeline'!$C:$C,$U172)))</f>
        <v/>
      </c>
      <c r="D172" s="27" t="str">
        <f>IF($U172="","",IF(INDEX('MiT Strom Pipeline'!$D:$D,$U172)="","",INDEX('MiT Strom Pipeline'!$D:$D,$U172)))</f>
        <v/>
      </c>
      <c r="E172" s="27" t="str">
        <f>IF($U172="","",IF(INDEX('MiT Strom Pipeline'!$H:$H,$U172)="","",INDEX('MiT Strom Pipeline'!$H:$H,$U172)))</f>
        <v/>
      </c>
      <c r="F172" s="27" t="str">
        <f>IF($U172="","",IF(INDEX('MiT Strom Pipeline'!$E:$E,$U172)="","",INDEX('MiT Strom Pipeline'!$E:$E,$U172)))</f>
        <v/>
      </c>
      <c r="G172" s="28" t="str">
        <f>IF($U172="","",IF(ISNUMBER(INDEX('MiT Strom Pipeline'!$I:$I,$U172)),INDEX('MiT Strom Pipeline'!$I:$I,$U172),0))</f>
        <v/>
      </c>
      <c r="H172" s="28" t="str">
        <f>IF($U172="","",IF(ISNUMBER(INDEX('MiT Strom Pipeline'!$Q:$Q,$U172)),INDEX('MiT Strom Pipeline'!$Q:$Q,$U172),0))</f>
        <v/>
      </c>
      <c r="I172" s="27" t="str">
        <f>IF($U172="","",INDEX('MiT Strom Pipeline'!$R:$R,$U172))</f>
        <v/>
      </c>
      <c r="J172" s="29" t="str">
        <f>IF($U172="","",IF(ISNUMBER(INDEX('MiT Strom Pipeline'!$S:$S,$U172)),INDEX('MiT Strom Pipeline'!$S:$S,$U172),""))</f>
        <v/>
      </c>
      <c r="K172" s="27" t="str">
        <f>IF($U172="","",IF(LEN(INDEX('MiT Strom Pipeline'!$V:$V,$U172))&gt;0,LEFT(INDEX('MiT Strom Pipeline'!$V:$V,$U172),55),""))</f>
        <v/>
      </c>
      <c r="L172" s="22" t="n"/>
      <c r="M172" s="22" t="n"/>
      <c r="N172" s="22" t="n"/>
      <c r="O172" s="22" t="n"/>
      <c r="P172" s="22" t="n"/>
      <c r="Q172" s="22" t="n"/>
      <c r="R172" s="22" t="n"/>
      <c r="S172" s="22" t="n"/>
      <c r="U172" t="str">
        <f>IFERROR(MATCH(34,'MiT Strom Pipeline'!$AD$6:$AD$860,0)+5,"")</f>
        <v/>
      </c>
    </row>
    <row r="173" ht="15.75" customHeight="1">
      <c r="A173" s="26" t="str">
        <f>IF($U173="","",IF(ISNUMBER(INDEX('MiT Strom Pipeline'!$A:$A,$U173)),INDEX('MiT Strom Pipeline'!$A:$A,$U173),""))</f>
        <v/>
      </c>
      <c r="B173" s="27" t="str">
        <f>IF($U173="","",IF(INDEX('MiT Strom Pipeline'!$B:$B,$U173)="","",INDEX('MiT Strom Pipeline'!$B:$B,$U173)))</f>
        <v/>
      </c>
      <c r="C173" s="27" t="str">
        <f>IF($U173="","",IF(INDEX('MiT Strom Pipeline'!$C:$C,$U173)="","",INDEX('MiT Strom Pipeline'!$C:$C,$U173)))</f>
        <v/>
      </c>
      <c r="D173" s="27" t="str">
        <f>IF($U173="","",IF(INDEX('MiT Strom Pipeline'!$D:$D,$U173)="","",INDEX('MiT Strom Pipeline'!$D:$D,$U173)))</f>
        <v/>
      </c>
      <c r="E173" s="27" t="str">
        <f>IF($U173="","",IF(INDEX('MiT Strom Pipeline'!$H:$H,$U173)="","",INDEX('MiT Strom Pipeline'!$H:$H,$U173)))</f>
        <v/>
      </c>
      <c r="F173" s="27" t="str">
        <f>IF($U173="","",IF(INDEX('MiT Strom Pipeline'!$E:$E,$U173)="","",INDEX('MiT Strom Pipeline'!$E:$E,$U173)))</f>
        <v/>
      </c>
      <c r="G173" s="28" t="str">
        <f>IF($U173="","",IF(ISNUMBER(INDEX('MiT Strom Pipeline'!$I:$I,$U173)),INDEX('MiT Strom Pipeline'!$I:$I,$U173),0))</f>
        <v/>
      </c>
      <c r="H173" s="28" t="str">
        <f>IF($U173="","",IF(ISNUMBER(INDEX('MiT Strom Pipeline'!$Q:$Q,$U173)),INDEX('MiT Strom Pipeline'!$Q:$Q,$U173),0))</f>
        <v/>
      </c>
      <c r="I173" s="27" t="str">
        <f>IF($U173="","",INDEX('MiT Strom Pipeline'!$R:$R,$U173))</f>
        <v/>
      </c>
      <c r="J173" s="29" t="str">
        <f>IF($U173="","",IF(ISNUMBER(INDEX('MiT Strom Pipeline'!$S:$S,$U173)),INDEX('MiT Strom Pipeline'!$S:$S,$U173),""))</f>
        <v/>
      </c>
      <c r="K173" s="27" t="str">
        <f>IF($U173="","",IF(LEN(INDEX('MiT Strom Pipeline'!$V:$V,$U173))&gt;0,LEFT(INDEX('MiT Strom Pipeline'!$V:$V,$U173),55),""))</f>
        <v/>
      </c>
      <c r="L173" s="22" t="n"/>
      <c r="M173" s="22" t="n"/>
      <c r="N173" s="22" t="n"/>
      <c r="O173" s="22" t="n"/>
      <c r="P173" s="22" t="n"/>
      <c r="Q173" s="22" t="n"/>
      <c r="R173" s="22" t="n"/>
      <c r="S173" s="22" t="n"/>
      <c r="U173" t="str">
        <f>IFERROR(MATCH(35,'MiT Strom Pipeline'!$AD$6:$AD$860,0)+5,"")</f>
        <v/>
      </c>
    </row>
    <row r="174" ht="15.75" customHeight="1">
      <c r="A174" s="26" t="str">
        <f>IF($U174="","",IF(ISNUMBER(INDEX('MiT Strom Pipeline'!$A:$A,$U174)),INDEX('MiT Strom Pipeline'!$A:$A,$U174),""))</f>
        <v/>
      </c>
      <c r="B174" s="27" t="str">
        <f>IF($U174="","",IF(INDEX('MiT Strom Pipeline'!$B:$B,$U174)="","",INDEX('MiT Strom Pipeline'!$B:$B,$U174)))</f>
        <v/>
      </c>
      <c r="C174" s="27" t="str">
        <f>IF($U174="","",IF(INDEX('MiT Strom Pipeline'!$C:$C,$U174)="","",INDEX('MiT Strom Pipeline'!$C:$C,$U174)))</f>
        <v/>
      </c>
      <c r="D174" s="27" t="str">
        <f>IF($U174="","",IF(INDEX('MiT Strom Pipeline'!$D:$D,$U174)="","",INDEX('MiT Strom Pipeline'!$D:$D,$U174)))</f>
        <v/>
      </c>
      <c r="E174" s="27" t="str">
        <f>IF($U174="","",IF(INDEX('MiT Strom Pipeline'!$H:$H,$U174)="","",INDEX('MiT Strom Pipeline'!$H:$H,$U174)))</f>
        <v/>
      </c>
      <c r="F174" s="27" t="str">
        <f>IF($U174="","",IF(INDEX('MiT Strom Pipeline'!$E:$E,$U174)="","",INDEX('MiT Strom Pipeline'!$E:$E,$U174)))</f>
        <v/>
      </c>
      <c r="G174" s="28" t="str">
        <f>IF($U174="","",IF(ISNUMBER(INDEX('MiT Strom Pipeline'!$I:$I,$U174)),INDEX('MiT Strom Pipeline'!$I:$I,$U174),0))</f>
        <v/>
      </c>
      <c r="H174" s="28" t="str">
        <f>IF($U174="","",IF(ISNUMBER(INDEX('MiT Strom Pipeline'!$Q:$Q,$U174)),INDEX('MiT Strom Pipeline'!$Q:$Q,$U174),0))</f>
        <v/>
      </c>
      <c r="I174" s="27" t="str">
        <f>IF($U174="","",INDEX('MiT Strom Pipeline'!$R:$R,$U174))</f>
        <v/>
      </c>
      <c r="J174" s="29" t="str">
        <f>IF($U174="","",IF(ISNUMBER(INDEX('MiT Strom Pipeline'!$S:$S,$U174)),INDEX('MiT Strom Pipeline'!$S:$S,$U174),""))</f>
        <v/>
      </c>
      <c r="K174" s="27" t="str">
        <f>IF($U174="","",IF(LEN(INDEX('MiT Strom Pipeline'!$V:$V,$U174))&gt;0,LEFT(INDEX('MiT Strom Pipeline'!$V:$V,$U174),55),""))</f>
        <v/>
      </c>
      <c r="L174" s="22" t="n"/>
      <c r="M174" s="22" t="n"/>
      <c r="N174" s="22" t="n"/>
      <c r="O174" s="22" t="n"/>
      <c r="P174" s="22" t="n"/>
      <c r="Q174" s="22" t="n"/>
      <c r="R174" s="22" t="n"/>
      <c r="S174" s="22" t="n"/>
      <c r="U174" t="str">
        <f>IFERROR(MATCH(36,'MiT Strom Pipeline'!$AD$6:$AD$860,0)+5,"")</f>
        <v/>
      </c>
    </row>
    <row r="175" ht="15.75" customHeight="1">
      <c r="A175" s="26" t="str">
        <f>IF($U175="","",IF(ISNUMBER(INDEX('MiT Strom Pipeline'!$A:$A,$U175)),INDEX('MiT Strom Pipeline'!$A:$A,$U175),""))</f>
        <v/>
      </c>
      <c r="B175" s="27" t="str">
        <f>IF($U175="","",IF(INDEX('MiT Strom Pipeline'!$B:$B,$U175)="","",INDEX('MiT Strom Pipeline'!$B:$B,$U175)))</f>
        <v/>
      </c>
      <c r="C175" s="27" t="str">
        <f>IF($U175="","",IF(INDEX('MiT Strom Pipeline'!$C:$C,$U175)="","",INDEX('MiT Strom Pipeline'!$C:$C,$U175)))</f>
        <v/>
      </c>
      <c r="D175" s="27" t="str">
        <f>IF($U175="","",IF(INDEX('MiT Strom Pipeline'!$D:$D,$U175)="","",INDEX('MiT Strom Pipeline'!$D:$D,$U175)))</f>
        <v/>
      </c>
      <c r="E175" s="27" t="str">
        <f>IF($U175="","",IF(INDEX('MiT Strom Pipeline'!$H:$H,$U175)="","",INDEX('MiT Strom Pipeline'!$H:$H,$U175)))</f>
        <v/>
      </c>
      <c r="F175" s="27" t="str">
        <f>IF($U175="","",IF(INDEX('MiT Strom Pipeline'!$E:$E,$U175)="","",INDEX('MiT Strom Pipeline'!$E:$E,$U175)))</f>
        <v/>
      </c>
      <c r="G175" s="28" t="str">
        <f>IF($U175="","",IF(ISNUMBER(INDEX('MiT Strom Pipeline'!$I:$I,$U175)),INDEX('MiT Strom Pipeline'!$I:$I,$U175),0))</f>
        <v/>
      </c>
      <c r="H175" s="28" t="str">
        <f>IF($U175="","",IF(ISNUMBER(INDEX('MiT Strom Pipeline'!$Q:$Q,$U175)),INDEX('MiT Strom Pipeline'!$Q:$Q,$U175),0))</f>
        <v/>
      </c>
      <c r="I175" s="27" t="str">
        <f>IF($U175="","",INDEX('MiT Strom Pipeline'!$R:$R,$U175))</f>
        <v/>
      </c>
      <c r="J175" s="29" t="str">
        <f>IF($U175="","",IF(ISNUMBER(INDEX('MiT Strom Pipeline'!$S:$S,$U175)),INDEX('MiT Strom Pipeline'!$S:$S,$U175),""))</f>
        <v/>
      </c>
      <c r="K175" s="27" t="str">
        <f>IF($U175="","",IF(LEN(INDEX('MiT Strom Pipeline'!$V:$V,$U175))&gt;0,LEFT(INDEX('MiT Strom Pipeline'!$V:$V,$U175),55),""))</f>
        <v/>
      </c>
      <c r="L175" s="22" t="n"/>
      <c r="M175" s="22" t="n"/>
      <c r="N175" s="22" t="n"/>
      <c r="O175" s="22" t="n"/>
      <c r="P175" s="22" t="n"/>
      <c r="Q175" s="22" t="n"/>
      <c r="R175" s="22" t="n"/>
      <c r="S175" s="22" t="n"/>
      <c r="U175" t="str">
        <f>IFERROR(MATCH(37,'MiT Strom Pipeline'!$AD$6:$AD$860,0)+5,"")</f>
        <v/>
      </c>
    </row>
    <row r="176" ht="15.75" customHeight="1">
      <c r="A176" s="26" t="str">
        <f>IF($U176="","",IF(ISNUMBER(INDEX('MiT Strom Pipeline'!$A:$A,$U176)),INDEX('MiT Strom Pipeline'!$A:$A,$U176),""))</f>
        <v/>
      </c>
      <c r="B176" s="27" t="str">
        <f>IF($U176="","",IF(INDEX('MiT Strom Pipeline'!$B:$B,$U176)="","",INDEX('MiT Strom Pipeline'!$B:$B,$U176)))</f>
        <v/>
      </c>
      <c r="C176" s="27" t="str">
        <f>IF($U176="","",IF(INDEX('MiT Strom Pipeline'!$C:$C,$U176)="","",INDEX('MiT Strom Pipeline'!$C:$C,$U176)))</f>
        <v/>
      </c>
      <c r="D176" s="27" t="str">
        <f>IF($U176="","",IF(INDEX('MiT Strom Pipeline'!$D:$D,$U176)="","",INDEX('MiT Strom Pipeline'!$D:$D,$U176)))</f>
        <v/>
      </c>
      <c r="E176" s="27" t="str">
        <f>IF($U176="","",IF(INDEX('MiT Strom Pipeline'!$H:$H,$U176)="","",INDEX('MiT Strom Pipeline'!$H:$H,$U176)))</f>
        <v/>
      </c>
      <c r="F176" s="27" t="str">
        <f>IF($U176="","",IF(INDEX('MiT Strom Pipeline'!$E:$E,$U176)="","",INDEX('MiT Strom Pipeline'!$E:$E,$U176)))</f>
        <v/>
      </c>
      <c r="G176" s="28" t="str">
        <f>IF($U176="","",IF(ISNUMBER(INDEX('MiT Strom Pipeline'!$I:$I,$U176)),INDEX('MiT Strom Pipeline'!$I:$I,$U176),0))</f>
        <v/>
      </c>
      <c r="H176" s="28" t="str">
        <f>IF($U176="","",IF(ISNUMBER(INDEX('MiT Strom Pipeline'!$Q:$Q,$U176)),INDEX('MiT Strom Pipeline'!$Q:$Q,$U176),0))</f>
        <v/>
      </c>
      <c r="I176" s="27" t="str">
        <f>IF($U176="","",INDEX('MiT Strom Pipeline'!$R:$R,$U176))</f>
        <v/>
      </c>
      <c r="J176" s="29" t="str">
        <f>IF($U176="","",IF(ISNUMBER(INDEX('MiT Strom Pipeline'!$S:$S,$U176)),INDEX('MiT Strom Pipeline'!$S:$S,$U176),""))</f>
        <v/>
      </c>
      <c r="K176" s="27" t="str">
        <f>IF($U176="","",IF(LEN(INDEX('MiT Strom Pipeline'!$V:$V,$U176))&gt;0,LEFT(INDEX('MiT Strom Pipeline'!$V:$V,$U176),55),""))</f>
        <v/>
      </c>
      <c r="L176" s="22" t="n"/>
      <c r="M176" s="22" t="n"/>
      <c r="N176" s="22" t="n"/>
      <c r="O176" s="22" t="n"/>
      <c r="P176" s="22" t="n"/>
      <c r="Q176" s="22" t="n"/>
      <c r="R176" s="22" t="n"/>
      <c r="S176" s="22" t="n"/>
      <c r="U176" t="str">
        <f>IFERROR(MATCH(38,'MiT Strom Pipeline'!$AD$6:$AD$860,0)+5,"")</f>
        <v/>
      </c>
    </row>
    <row r="177" ht="15.75" customHeight="1">
      <c r="A177" s="26" t="str">
        <f>IF($U177="","",IF(ISNUMBER(INDEX('MiT Strom Pipeline'!$A:$A,$U177)),INDEX('MiT Strom Pipeline'!$A:$A,$U177),""))</f>
        <v/>
      </c>
      <c r="B177" s="27" t="str">
        <f>IF($U177="","",IF(INDEX('MiT Strom Pipeline'!$B:$B,$U177)="","",INDEX('MiT Strom Pipeline'!$B:$B,$U177)))</f>
        <v/>
      </c>
      <c r="C177" s="27" t="str">
        <f>IF($U177="","",IF(INDEX('MiT Strom Pipeline'!$C:$C,$U177)="","",INDEX('MiT Strom Pipeline'!$C:$C,$U177)))</f>
        <v/>
      </c>
      <c r="D177" s="27" t="str">
        <f>IF($U177="","",IF(INDEX('MiT Strom Pipeline'!$D:$D,$U177)="","",INDEX('MiT Strom Pipeline'!$D:$D,$U177)))</f>
        <v/>
      </c>
      <c r="E177" s="27" t="str">
        <f>IF($U177="","",IF(INDEX('MiT Strom Pipeline'!$H:$H,$U177)="","",INDEX('MiT Strom Pipeline'!$H:$H,$U177)))</f>
        <v/>
      </c>
      <c r="F177" s="27" t="str">
        <f>IF($U177="","",IF(INDEX('MiT Strom Pipeline'!$E:$E,$U177)="","",INDEX('MiT Strom Pipeline'!$E:$E,$U177)))</f>
        <v/>
      </c>
      <c r="G177" s="28" t="str">
        <f>IF($U177="","",IF(ISNUMBER(INDEX('MiT Strom Pipeline'!$I:$I,$U177)),INDEX('MiT Strom Pipeline'!$I:$I,$U177),0))</f>
        <v/>
      </c>
      <c r="H177" s="28" t="str">
        <f>IF($U177="","",IF(ISNUMBER(INDEX('MiT Strom Pipeline'!$Q:$Q,$U177)),INDEX('MiT Strom Pipeline'!$Q:$Q,$U177),0))</f>
        <v/>
      </c>
      <c r="I177" s="27" t="str">
        <f>IF($U177="","",INDEX('MiT Strom Pipeline'!$R:$R,$U177))</f>
        <v/>
      </c>
      <c r="J177" s="29" t="str">
        <f>IF($U177="","",IF(ISNUMBER(INDEX('MiT Strom Pipeline'!$S:$S,$U177)),INDEX('MiT Strom Pipeline'!$S:$S,$U177),""))</f>
        <v/>
      </c>
      <c r="K177" s="27" t="str">
        <f>IF($U177="","",IF(LEN(INDEX('MiT Strom Pipeline'!$V:$V,$U177))&gt;0,LEFT(INDEX('MiT Strom Pipeline'!$V:$V,$U177),55),""))</f>
        <v/>
      </c>
      <c r="L177" s="22" t="n"/>
      <c r="M177" s="22" t="n"/>
      <c r="N177" s="22" t="n"/>
      <c r="O177" s="22" t="n"/>
      <c r="P177" s="22" t="n"/>
      <c r="Q177" s="22" t="n"/>
      <c r="R177" s="22" t="n"/>
      <c r="S177" s="22" t="n"/>
      <c r="U177" t="str">
        <f>IFERROR(MATCH(39,'MiT Strom Pipeline'!$AD$6:$AD$860,0)+5,"")</f>
        <v/>
      </c>
    </row>
    <row r="178" ht="15.75" customHeight="1">
      <c r="A178" s="26" t="str">
        <f>IF($U178="","",IF(ISNUMBER(INDEX('MiT Strom Pipeline'!$A:$A,$U178)),INDEX('MiT Strom Pipeline'!$A:$A,$U178),""))</f>
        <v/>
      </c>
      <c r="B178" s="27" t="str">
        <f>IF($U178="","",IF(INDEX('MiT Strom Pipeline'!$B:$B,$U178)="","",INDEX('MiT Strom Pipeline'!$B:$B,$U178)))</f>
        <v/>
      </c>
      <c r="C178" s="27" t="str">
        <f>IF($U178="","",IF(INDEX('MiT Strom Pipeline'!$C:$C,$U178)="","",INDEX('MiT Strom Pipeline'!$C:$C,$U178)))</f>
        <v/>
      </c>
      <c r="D178" s="27" t="str">
        <f>IF($U178="","",IF(INDEX('MiT Strom Pipeline'!$D:$D,$U178)="","",INDEX('MiT Strom Pipeline'!$D:$D,$U178)))</f>
        <v/>
      </c>
      <c r="E178" s="27" t="str">
        <f>IF($U178="","",IF(INDEX('MiT Strom Pipeline'!$H:$H,$U178)="","",INDEX('MiT Strom Pipeline'!$H:$H,$U178)))</f>
        <v/>
      </c>
      <c r="F178" s="27" t="str">
        <f>IF($U178="","",IF(INDEX('MiT Strom Pipeline'!$E:$E,$U178)="","",INDEX('MiT Strom Pipeline'!$E:$E,$U178)))</f>
        <v/>
      </c>
      <c r="G178" s="28" t="str">
        <f>IF($U178="","",IF(ISNUMBER(INDEX('MiT Strom Pipeline'!$I:$I,$U178)),INDEX('MiT Strom Pipeline'!$I:$I,$U178),0))</f>
        <v/>
      </c>
      <c r="H178" s="28" t="str">
        <f>IF($U178="","",IF(ISNUMBER(INDEX('MiT Strom Pipeline'!$Q:$Q,$U178)),INDEX('MiT Strom Pipeline'!$Q:$Q,$U178),0))</f>
        <v/>
      </c>
      <c r="I178" s="27" t="str">
        <f>IF($U178="","",INDEX('MiT Strom Pipeline'!$R:$R,$U178))</f>
        <v/>
      </c>
      <c r="J178" s="29" t="str">
        <f>IF($U178="","",IF(ISNUMBER(INDEX('MiT Strom Pipeline'!$S:$S,$U178)),INDEX('MiT Strom Pipeline'!$S:$S,$U178),""))</f>
        <v/>
      </c>
      <c r="K178" s="27" t="str">
        <f>IF($U178="","",IF(LEN(INDEX('MiT Strom Pipeline'!$V:$V,$U178))&gt;0,LEFT(INDEX('MiT Strom Pipeline'!$V:$V,$U178),55),""))</f>
        <v/>
      </c>
      <c r="L178" s="22" t="n"/>
      <c r="M178" s="22" t="n"/>
      <c r="N178" s="22" t="n"/>
      <c r="O178" s="22" t="n"/>
      <c r="P178" s="22" t="n"/>
      <c r="Q178" s="22" t="n"/>
      <c r="R178" s="22" t="n"/>
      <c r="S178" s="22" t="n"/>
      <c r="U178" t="str">
        <f>IFERROR(MATCH(40,'MiT Strom Pipeline'!$AD$6:$AD$860,0)+5,"")</f>
        <v/>
      </c>
    </row>
    <row r="179" ht="15.75" customHeight="1">
      <c r="A179" s="26" t="str">
        <f>IF($U179="","",IF(ISNUMBER(INDEX('MiT Strom Pipeline'!$A:$A,$U179)),INDEX('MiT Strom Pipeline'!$A:$A,$U179),""))</f>
        <v/>
      </c>
      <c r="B179" s="27" t="str">
        <f>IF($U179="","",IF(INDEX('MiT Strom Pipeline'!$B:$B,$U179)="","",INDEX('MiT Strom Pipeline'!$B:$B,$U179)))</f>
        <v/>
      </c>
      <c r="C179" s="27" t="str">
        <f>IF($U179="","",IF(INDEX('MiT Strom Pipeline'!$C:$C,$U179)="","",INDEX('MiT Strom Pipeline'!$C:$C,$U179)))</f>
        <v/>
      </c>
      <c r="D179" s="27" t="str">
        <f>IF($U179="","",IF(INDEX('MiT Strom Pipeline'!$D:$D,$U179)="","",INDEX('MiT Strom Pipeline'!$D:$D,$U179)))</f>
        <v/>
      </c>
      <c r="E179" s="27" t="str">
        <f>IF($U179="","",IF(INDEX('MiT Strom Pipeline'!$H:$H,$U179)="","",INDEX('MiT Strom Pipeline'!$H:$H,$U179)))</f>
        <v/>
      </c>
      <c r="F179" s="27" t="str">
        <f>IF($U179="","",IF(INDEX('MiT Strom Pipeline'!$E:$E,$U179)="","",INDEX('MiT Strom Pipeline'!$E:$E,$U179)))</f>
        <v/>
      </c>
      <c r="G179" s="28" t="str">
        <f>IF($U179="","",IF(ISNUMBER(INDEX('MiT Strom Pipeline'!$I:$I,$U179)),INDEX('MiT Strom Pipeline'!$I:$I,$U179),0))</f>
        <v/>
      </c>
      <c r="H179" s="28" t="str">
        <f>IF($U179="","",IF(ISNUMBER(INDEX('MiT Strom Pipeline'!$Q:$Q,$U179)),INDEX('MiT Strom Pipeline'!$Q:$Q,$U179),0))</f>
        <v/>
      </c>
      <c r="I179" s="27" t="str">
        <f>IF($U179="","",INDEX('MiT Strom Pipeline'!$R:$R,$U179))</f>
        <v/>
      </c>
      <c r="J179" s="29" t="str">
        <f>IF($U179="","",IF(ISNUMBER(INDEX('MiT Strom Pipeline'!$S:$S,$U179)),INDEX('MiT Strom Pipeline'!$S:$S,$U179),""))</f>
        <v/>
      </c>
      <c r="K179" s="27" t="str">
        <f>IF($U179="","",IF(LEN(INDEX('MiT Strom Pipeline'!$V:$V,$U179))&gt;0,LEFT(INDEX('MiT Strom Pipeline'!$V:$V,$U179),55),""))</f>
        <v/>
      </c>
      <c r="L179" s="22" t="n"/>
      <c r="M179" s="22" t="n"/>
      <c r="N179" s="22" t="n"/>
      <c r="O179" s="22" t="n"/>
      <c r="P179" s="22" t="n"/>
      <c r="Q179" s="22" t="n"/>
      <c r="R179" s="22" t="n"/>
      <c r="S179" s="22" t="n"/>
      <c r="U179" t="str">
        <f>IFERROR(MATCH(41,'MiT Strom Pipeline'!$AD$6:$AD$860,0)+5,"")</f>
        <v/>
      </c>
    </row>
    <row r="180" ht="15.75" customHeight="1">
      <c r="A180" s="26" t="str">
        <f>IF($U180="","",IF(ISNUMBER(INDEX('MiT Strom Pipeline'!$A:$A,$U180)),INDEX('MiT Strom Pipeline'!$A:$A,$U180),""))</f>
        <v/>
      </c>
      <c r="B180" s="27" t="str">
        <f>IF($U180="","",IF(INDEX('MiT Strom Pipeline'!$B:$B,$U180)="","",INDEX('MiT Strom Pipeline'!$B:$B,$U180)))</f>
        <v/>
      </c>
      <c r="C180" s="27" t="str">
        <f>IF($U180="","",IF(INDEX('MiT Strom Pipeline'!$C:$C,$U180)="","",INDEX('MiT Strom Pipeline'!$C:$C,$U180)))</f>
        <v/>
      </c>
      <c r="D180" s="27" t="str">
        <f>IF($U180="","",IF(INDEX('MiT Strom Pipeline'!$D:$D,$U180)="","",INDEX('MiT Strom Pipeline'!$D:$D,$U180)))</f>
        <v/>
      </c>
      <c r="E180" s="27" t="str">
        <f>IF($U180="","",IF(INDEX('MiT Strom Pipeline'!$H:$H,$U180)="","",INDEX('MiT Strom Pipeline'!$H:$H,$U180)))</f>
        <v/>
      </c>
      <c r="F180" s="27" t="str">
        <f>IF($U180="","",IF(INDEX('MiT Strom Pipeline'!$E:$E,$U180)="","",INDEX('MiT Strom Pipeline'!$E:$E,$U180)))</f>
        <v/>
      </c>
      <c r="G180" s="28" t="str">
        <f>IF($U180="","",IF(ISNUMBER(INDEX('MiT Strom Pipeline'!$I:$I,$U180)),INDEX('MiT Strom Pipeline'!$I:$I,$U180),0))</f>
        <v/>
      </c>
      <c r="H180" s="28" t="str">
        <f>IF($U180="","",IF(ISNUMBER(INDEX('MiT Strom Pipeline'!$Q:$Q,$U180)),INDEX('MiT Strom Pipeline'!$Q:$Q,$U180),0))</f>
        <v/>
      </c>
      <c r="I180" s="27" t="str">
        <f>IF($U180="","",INDEX('MiT Strom Pipeline'!$R:$R,$U180))</f>
        <v/>
      </c>
      <c r="J180" s="29" t="str">
        <f>IF($U180="","",IF(ISNUMBER(INDEX('MiT Strom Pipeline'!$S:$S,$U180)),INDEX('MiT Strom Pipeline'!$S:$S,$U180),""))</f>
        <v/>
      </c>
      <c r="K180" s="27" t="str">
        <f>IF($U180="","",IF(LEN(INDEX('MiT Strom Pipeline'!$V:$V,$U180))&gt;0,LEFT(INDEX('MiT Strom Pipeline'!$V:$V,$U180),55),""))</f>
        <v/>
      </c>
      <c r="L180" s="22" t="n"/>
      <c r="M180" s="22" t="n"/>
      <c r="N180" s="22" t="n"/>
      <c r="O180" s="22" t="n"/>
      <c r="P180" s="22" t="n"/>
      <c r="Q180" s="22" t="n"/>
      <c r="R180" s="22" t="n"/>
      <c r="S180" s="22" t="n"/>
      <c r="U180" t="str">
        <f>IFERROR(MATCH(42,'MiT Strom Pipeline'!$AD$6:$AD$860,0)+5,"")</f>
        <v/>
      </c>
    </row>
    <row r="181" ht="15.75" customHeight="1">
      <c r="A181" s="26" t="str">
        <f>IF($U181="","",IF(ISNUMBER(INDEX('MiT Strom Pipeline'!$A:$A,$U181)),INDEX('MiT Strom Pipeline'!$A:$A,$U181),""))</f>
        <v/>
      </c>
      <c r="B181" s="27" t="str">
        <f>IF($U181="","",IF(INDEX('MiT Strom Pipeline'!$B:$B,$U181)="","",INDEX('MiT Strom Pipeline'!$B:$B,$U181)))</f>
        <v/>
      </c>
      <c r="C181" s="27" t="str">
        <f>IF($U181="","",IF(INDEX('MiT Strom Pipeline'!$C:$C,$U181)="","",INDEX('MiT Strom Pipeline'!$C:$C,$U181)))</f>
        <v/>
      </c>
      <c r="D181" s="27" t="str">
        <f>IF($U181="","",IF(INDEX('MiT Strom Pipeline'!$D:$D,$U181)="","",INDEX('MiT Strom Pipeline'!$D:$D,$U181)))</f>
        <v/>
      </c>
      <c r="E181" s="191" t="str">
        <f>IF($U181="","",IF(INDEX('MiT Strom Pipeline'!$H:$H,$U181)="","",INDEX('MiT Strom Pipeline'!$H:$H,$U181)))</f>
        <v/>
      </c>
      <c r="F181" s="27" t="str">
        <f>IF($U181="","",IF(INDEX('MiT Strom Pipeline'!$E:$E,$U181)="","",INDEX('MiT Strom Pipeline'!$E:$E,$U181)))</f>
        <v/>
      </c>
      <c r="G181" s="28" t="str">
        <f>IF($U181="","",IF(ISNUMBER(INDEX('MiT Strom Pipeline'!$I:$I,$U181)),INDEX('MiT Strom Pipeline'!$I:$I,$U181),0))</f>
        <v/>
      </c>
      <c r="H181" s="28" t="str">
        <f>IF($U181="","",IF(ISNUMBER(INDEX('MiT Strom Pipeline'!$Q:$Q,$U181)),INDEX('MiT Strom Pipeline'!$Q:$Q,$U181),0))</f>
        <v/>
      </c>
      <c r="I181" s="27" t="str">
        <f>IF($U181="","",INDEX('MiT Strom Pipeline'!$R:$R,$U181))</f>
        <v/>
      </c>
      <c r="J181" s="29" t="str">
        <f>IF($U181="","",IF(ISNUMBER(INDEX('MiT Strom Pipeline'!$S:$S,$U181)),INDEX('MiT Strom Pipeline'!$S:$S,$U181),""))</f>
        <v/>
      </c>
      <c r="K181" s="27" t="str">
        <f>IF($U181="","",IF(LEN(INDEX('MiT Strom Pipeline'!$V:$V,$U181))&gt;0,LEFT(INDEX('MiT Strom Pipeline'!$V:$V,$U181),55),""))</f>
        <v/>
      </c>
      <c r="L181" s="22" t="n"/>
      <c r="M181" s="22" t="n"/>
      <c r="N181" s="22" t="n"/>
      <c r="O181" s="22" t="n"/>
      <c r="P181" s="22" t="n"/>
      <c r="Q181" s="22" t="n"/>
      <c r="R181" s="22" t="n"/>
      <c r="S181" s="22" t="n"/>
      <c r="U181" t="str">
        <f>IFERROR(MATCH(43,'MiT Strom Pipeline'!$AD$6:$AD$860,0)+5,"")</f>
        <v/>
      </c>
    </row>
    <row r="182" ht="15.75" customHeight="1">
      <c r="A182" s="26" t="str">
        <f>IF($U182="","",IF(ISNUMBER(INDEX('MiT Strom Pipeline'!$A:$A,$U182)),INDEX('MiT Strom Pipeline'!$A:$A,$U182),""))</f>
        <v/>
      </c>
      <c r="B182" s="27" t="str">
        <f>IF($U182="","",IF(INDEX('MiT Strom Pipeline'!$B:$B,$U182)="","",INDEX('MiT Strom Pipeline'!$B:$B,$U182)))</f>
        <v/>
      </c>
      <c r="C182" s="27" t="str">
        <f>IF($U182="","",IF(INDEX('MiT Strom Pipeline'!$C:$C,$U182)="","",INDEX('MiT Strom Pipeline'!$C:$C,$U182)))</f>
        <v/>
      </c>
      <c r="D182" s="27" t="str">
        <f>IF($U182="","",IF(INDEX('MiT Strom Pipeline'!$D:$D,$U182)="","",INDEX('MiT Strom Pipeline'!$D:$D,$U182)))</f>
        <v/>
      </c>
      <c r="E182" s="191" t="str">
        <f>IF($U182="","",IF(INDEX('MiT Strom Pipeline'!$H:$H,$U182)="","",INDEX('MiT Strom Pipeline'!$H:$H,$U182)))</f>
        <v/>
      </c>
      <c r="F182" s="27" t="str">
        <f>IF($U182="","",IF(INDEX('MiT Strom Pipeline'!$E:$E,$U182)="","",INDEX('MiT Strom Pipeline'!$E:$E,$U182)))</f>
        <v/>
      </c>
      <c r="G182" s="28" t="str">
        <f>IF($U182="","",IF(ISNUMBER(INDEX('MiT Strom Pipeline'!$I:$I,$U182)),INDEX('MiT Strom Pipeline'!$I:$I,$U182),0))</f>
        <v/>
      </c>
      <c r="H182" s="28" t="str">
        <f>IF($U182="","",IF(ISNUMBER(INDEX('MiT Strom Pipeline'!$Q:$Q,$U182)),INDEX('MiT Strom Pipeline'!$Q:$Q,$U182),0))</f>
        <v/>
      </c>
      <c r="I182" s="27" t="str">
        <f>IF($U182="","",INDEX('MiT Strom Pipeline'!$R:$R,$U182))</f>
        <v/>
      </c>
      <c r="J182" s="29" t="str">
        <f>IF($U182="","",IF(ISNUMBER(INDEX('MiT Strom Pipeline'!$S:$S,$U182)),INDEX('MiT Strom Pipeline'!$S:$S,$U182),""))</f>
        <v/>
      </c>
      <c r="K182" s="27" t="str">
        <f>IF($U182="","",IF(LEN(INDEX('MiT Strom Pipeline'!$V:$V,$U182))&gt;0,LEFT(INDEX('MiT Strom Pipeline'!$V:$V,$U182),55),""))</f>
        <v/>
      </c>
      <c r="L182" s="22" t="n"/>
      <c r="M182" s="22" t="n"/>
      <c r="N182" s="22" t="n"/>
      <c r="O182" s="22" t="n"/>
      <c r="P182" s="22" t="n"/>
      <c r="Q182" s="22" t="n"/>
      <c r="R182" s="22" t="n"/>
      <c r="S182" s="22" t="n"/>
      <c r="U182" t="str">
        <f>IFERROR(MATCH(44,'MiT Strom Pipeline'!$AD$6:$AD$860,0)+5,"")</f>
        <v/>
      </c>
    </row>
    <row r="183" ht="15.75" customHeight="1">
      <c r="A183" s="26" t="str">
        <f>IF($U183="","",IF(ISNUMBER(INDEX('MiT Strom Pipeline'!$A:$A,$U183)),INDEX('MiT Strom Pipeline'!$A:$A,$U183),""))</f>
        <v/>
      </c>
      <c r="B183" s="27" t="str">
        <f>IF($U183="","",IF(INDEX('MiT Strom Pipeline'!$B:$B,$U183)="","",INDEX('MiT Strom Pipeline'!$B:$B,$U183)))</f>
        <v/>
      </c>
      <c r="C183" s="27" t="str">
        <f>IF($U183="","",IF(INDEX('MiT Strom Pipeline'!$C:$C,$U183)="","",INDEX('MiT Strom Pipeline'!$C:$C,$U183)))</f>
        <v/>
      </c>
      <c r="D183" s="27" t="str">
        <f>IF($U183="","",IF(INDEX('MiT Strom Pipeline'!$D:$D,$U183)="","",INDEX('MiT Strom Pipeline'!$D:$D,$U183)))</f>
        <v/>
      </c>
      <c r="E183" s="191" t="str">
        <f>IF($U183="","",IF(INDEX('MiT Strom Pipeline'!$H:$H,$U183)="","",INDEX('MiT Strom Pipeline'!$H:$H,$U183)))</f>
        <v/>
      </c>
      <c r="F183" s="27" t="str">
        <f>IF($U183="","",IF(INDEX('MiT Strom Pipeline'!$E:$E,$U183)="","",INDEX('MiT Strom Pipeline'!$E:$E,$U183)))</f>
        <v/>
      </c>
      <c r="G183" s="28" t="str">
        <f>IF($U183="","",IF(ISNUMBER(INDEX('MiT Strom Pipeline'!$I:$I,$U183)),INDEX('MiT Strom Pipeline'!$I:$I,$U183),0))</f>
        <v/>
      </c>
      <c r="H183" s="28" t="str">
        <f>IF($U183="","",IF(ISNUMBER(INDEX('MiT Strom Pipeline'!$Q:$Q,$U183)),INDEX('MiT Strom Pipeline'!$Q:$Q,$U183),0))</f>
        <v/>
      </c>
      <c r="I183" s="27" t="str">
        <f>IF($U183="","",INDEX('MiT Strom Pipeline'!$R:$R,$U183))</f>
        <v/>
      </c>
      <c r="J183" s="29" t="str">
        <f>IF($U183="","",IF(ISNUMBER(INDEX('MiT Strom Pipeline'!$S:$S,$U183)),INDEX('MiT Strom Pipeline'!$S:$S,$U183),""))</f>
        <v/>
      </c>
      <c r="K183" s="27" t="str">
        <f>IF($U183="","",IF(LEN(INDEX('MiT Strom Pipeline'!$V:$V,$U183))&gt;0,LEFT(INDEX('MiT Strom Pipeline'!$V:$V,$U183),55),""))</f>
        <v/>
      </c>
      <c r="L183" s="22" t="n"/>
      <c r="M183" s="22" t="n"/>
      <c r="N183" s="22" t="n"/>
      <c r="O183" s="22" t="n"/>
      <c r="P183" s="22" t="n"/>
      <c r="Q183" s="22" t="n"/>
      <c r="R183" s="22" t="n"/>
      <c r="S183" s="22" t="n"/>
      <c r="U183" t="str">
        <f>IFERROR(MATCH(45,'MiT Strom Pipeline'!$AD$6:$AD$860,0)+5,"")</f>
        <v/>
      </c>
    </row>
    <row r="184" ht="15.75" customHeight="1">
      <c r="A184" s="26" t="str">
        <f>IF($U184="","",IF(ISNUMBER(INDEX('MiT Strom Pipeline'!$A:$A,$U184)),INDEX('MiT Strom Pipeline'!$A:$A,$U184),""))</f>
        <v/>
      </c>
      <c r="B184" s="27" t="str">
        <f>IF($U184="","",IF(INDEX('MiT Strom Pipeline'!$B:$B,$U184)="","",INDEX('MiT Strom Pipeline'!$B:$B,$U184)))</f>
        <v/>
      </c>
      <c r="C184" s="27" t="str">
        <f>IF($U184="","",IF(INDEX('MiT Strom Pipeline'!$C:$C,$U184)="","",INDEX('MiT Strom Pipeline'!$C:$C,$U184)))</f>
        <v/>
      </c>
      <c r="D184" s="27" t="str">
        <f>IF($U184="","",IF(INDEX('MiT Strom Pipeline'!$D:$D,$U184)="","",INDEX('MiT Strom Pipeline'!$D:$D,$U184)))</f>
        <v/>
      </c>
      <c r="E184" s="191" t="str">
        <f>IF($U184="","",IF(INDEX('MiT Strom Pipeline'!$H:$H,$U184)="","",INDEX('MiT Strom Pipeline'!$H:$H,$U184)))</f>
        <v/>
      </c>
      <c r="F184" s="27" t="str">
        <f>IF($U184="","",IF(INDEX('MiT Strom Pipeline'!$E:$E,$U184)="","",INDEX('MiT Strom Pipeline'!$E:$E,$U184)))</f>
        <v/>
      </c>
      <c r="G184" s="28" t="str">
        <f>IF($U184="","",IF(ISNUMBER(INDEX('MiT Strom Pipeline'!$I:$I,$U184)),INDEX('MiT Strom Pipeline'!$I:$I,$U184),0))</f>
        <v/>
      </c>
      <c r="H184" s="28" t="str">
        <f>IF($U184="","",IF(ISNUMBER(INDEX('MiT Strom Pipeline'!$Q:$Q,$U184)),INDEX('MiT Strom Pipeline'!$Q:$Q,$U184),0))</f>
        <v/>
      </c>
      <c r="I184" s="27" t="str">
        <f>IF($U184="","",INDEX('MiT Strom Pipeline'!$R:$R,$U184))</f>
        <v/>
      </c>
      <c r="J184" s="29" t="str">
        <f>IF($U184="","",IF(ISNUMBER(INDEX('MiT Strom Pipeline'!$S:$S,$U184)),INDEX('MiT Strom Pipeline'!$S:$S,$U184),""))</f>
        <v/>
      </c>
      <c r="K184" s="27" t="str">
        <f>IF($U184="","",IF(LEN(INDEX('MiT Strom Pipeline'!$V:$V,$U184))&gt;0,LEFT(INDEX('MiT Strom Pipeline'!$V:$V,$U184),55),""))</f>
        <v/>
      </c>
      <c r="L184" s="22" t="n"/>
      <c r="M184" s="22" t="n"/>
      <c r="N184" s="22" t="n"/>
      <c r="O184" s="22" t="n"/>
      <c r="P184" s="22" t="n"/>
      <c r="Q184" s="22" t="n"/>
      <c r="R184" s="22" t="n"/>
      <c r="S184" s="22" t="n"/>
      <c r="U184" t="str">
        <f>IFERROR(MATCH(46,'MiT Strom Pipeline'!$AD$6:$AD$860,0)+5,"")</f>
        <v/>
      </c>
    </row>
    <row r="185" ht="15.75" customHeight="1">
      <c r="A185" s="26" t="str">
        <f>IF($U185="","",IF(ISNUMBER(INDEX('MiT Strom Pipeline'!$A:$A,$U185)),INDEX('MiT Strom Pipeline'!$A:$A,$U185),""))</f>
        <v/>
      </c>
      <c r="B185" s="27" t="str">
        <f>IF($U185="","",IF(INDEX('MiT Strom Pipeline'!$B:$B,$U185)="","",INDEX('MiT Strom Pipeline'!$B:$B,$U185)))</f>
        <v/>
      </c>
      <c r="C185" s="27" t="str">
        <f>IF($U185="","",IF(INDEX('MiT Strom Pipeline'!$C:$C,$U185)="","",INDEX('MiT Strom Pipeline'!$C:$C,$U185)))</f>
        <v/>
      </c>
      <c r="D185" s="27" t="str">
        <f>IF($U185="","",IF(INDEX('MiT Strom Pipeline'!$D:$D,$U185)="","",INDEX('MiT Strom Pipeline'!$D:$D,$U185)))</f>
        <v/>
      </c>
      <c r="E185" s="191" t="str">
        <f>IF($U185="","",IF(INDEX('MiT Strom Pipeline'!$H:$H,$U185)="","",INDEX('MiT Strom Pipeline'!$H:$H,$U185)))</f>
        <v/>
      </c>
      <c r="F185" s="27" t="str">
        <f>IF($U185="","",IF(INDEX('MiT Strom Pipeline'!$E:$E,$U185)="","",INDEX('MiT Strom Pipeline'!$E:$E,$U185)))</f>
        <v/>
      </c>
      <c r="G185" s="28" t="str">
        <f>IF($U185="","",IF(ISNUMBER(INDEX('MiT Strom Pipeline'!$I:$I,$U185)),INDEX('MiT Strom Pipeline'!$I:$I,$U185),0))</f>
        <v/>
      </c>
      <c r="H185" s="28" t="str">
        <f>IF($U185="","",IF(ISNUMBER(INDEX('MiT Strom Pipeline'!$Q:$Q,$U185)),INDEX('MiT Strom Pipeline'!$Q:$Q,$U185),0))</f>
        <v/>
      </c>
      <c r="I185" s="27" t="str">
        <f>IF($U185="","",INDEX('MiT Strom Pipeline'!$R:$R,$U185))</f>
        <v/>
      </c>
      <c r="J185" s="29" t="str">
        <f>IF($U185="","",IF(ISNUMBER(INDEX('MiT Strom Pipeline'!$S:$S,$U185)),INDEX('MiT Strom Pipeline'!$S:$S,$U185),""))</f>
        <v/>
      </c>
      <c r="K185" s="27" t="str">
        <f>IF($U185="","",IF(LEN(INDEX('MiT Strom Pipeline'!$V:$V,$U185))&gt;0,LEFT(INDEX('MiT Strom Pipeline'!$V:$V,$U185),55),""))</f>
        <v/>
      </c>
      <c r="L185" s="22" t="n"/>
      <c r="M185" s="22" t="n"/>
      <c r="N185" s="22" t="n"/>
      <c r="O185" s="22" t="n"/>
      <c r="P185" s="22" t="n"/>
      <c r="Q185" s="22" t="n"/>
      <c r="R185" s="22" t="n"/>
      <c r="S185" s="22" t="n"/>
      <c r="U185" t="str">
        <f>IFERROR(MATCH(47,'MiT Strom Pipeline'!$AD$6:$AD$860,0)+5,"")</f>
        <v/>
      </c>
    </row>
    <row r="186" ht="15.75" customHeight="1">
      <c r="A186" s="26" t="str">
        <f>IF($U186="","",IF(ISNUMBER(INDEX('MiT Strom Pipeline'!$A:$A,$U186)),INDEX('MiT Strom Pipeline'!$A:$A,$U186),""))</f>
        <v/>
      </c>
      <c r="B186" s="27" t="str">
        <f>IF($U186="","",IF(INDEX('MiT Strom Pipeline'!$B:$B,$U186)="","",INDEX('MiT Strom Pipeline'!$B:$B,$U186)))</f>
        <v/>
      </c>
      <c r="C186" s="27" t="str">
        <f>IF($U186="","",IF(INDEX('MiT Strom Pipeline'!$C:$C,$U186)="","",INDEX('MiT Strom Pipeline'!$C:$C,$U186)))</f>
        <v/>
      </c>
      <c r="D186" s="27" t="str">
        <f>IF($U186="","",IF(INDEX('MiT Strom Pipeline'!$D:$D,$U186)="","",INDEX('MiT Strom Pipeline'!$D:$D,$U186)))</f>
        <v/>
      </c>
      <c r="E186" s="191" t="str">
        <f>IF($U186="","",IF(INDEX('MiT Strom Pipeline'!$H:$H,$U186)="","",INDEX('MiT Strom Pipeline'!$H:$H,$U186)))</f>
        <v/>
      </c>
      <c r="F186" s="27" t="str">
        <f>IF($U186="","",IF(INDEX('MiT Strom Pipeline'!$E:$E,$U186)="","",INDEX('MiT Strom Pipeline'!$E:$E,$U186)))</f>
        <v/>
      </c>
      <c r="G186" s="28" t="str">
        <f>IF($U186="","",IF(ISNUMBER(INDEX('MiT Strom Pipeline'!$I:$I,$U186)),INDEX('MiT Strom Pipeline'!$I:$I,$U186),0))</f>
        <v/>
      </c>
      <c r="H186" s="28" t="str">
        <f>IF($U186="","",IF(ISNUMBER(INDEX('MiT Strom Pipeline'!$Q:$Q,$U186)),INDEX('MiT Strom Pipeline'!$Q:$Q,$U186),0))</f>
        <v/>
      </c>
      <c r="I186" s="27" t="str">
        <f>IF($U186="","",INDEX('MiT Strom Pipeline'!$R:$R,$U186))</f>
        <v/>
      </c>
      <c r="J186" s="29" t="str">
        <f>IF($U186="","",IF(ISNUMBER(INDEX('MiT Strom Pipeline'!$S:$S,$U186)),INDEX('MiT Strom Pipeline'!$S:$S,$U186),""))</f>
        <v/>
      </c>
      <c r="K186" s="27" t="str">
        <f>IF($U186="","",IF(LEN(INDEX('MiT Strom Pipeline'!$V:$V,$U186))&gt;0,LEFT(INDEX('MiT Strom Pipeline'!$V:$V,$U186),55),""))</f>
        <v/>
      </c>
      <c r="L186" s="22" t="n"/>
      <c r="M186" s="22" t="n"/>
      <c r="N186" s="22" t="n"/>
      <c r="O186" s="22" t="n"/>
      <c r="P186" s="22" t="n"/>
      <c r="Q186" s="22" t="n"/>
      <c r="R186" s="22" t="n"/>
      <c r="S186" s="22" t="n"/>
      <c r="U186" t="str">
        <f>IFERROR(MATCH(48,'MiT Strom Pipeline'!$AD$6:$AD$860,0)+5,"")</f>
        <v/>
      </c>
    </row>
    <row r="187" ht="15.75" customHeight="1">
      <c r="A187" s="26" t="str">
        <f>IF($U187="","",IF(ISNUMBER(INDEX('MiT Strom Pipeline'!$A:$A,$U187)),INDEX('MiT Strom Pipeline'!$A:$A,$U187),""))</f>
        <v/>
      </c>
      <c r="B187" s="27" t="str">
        <f>IF($U187="","",IF(INDEX('MiT Strom Pipeline'!$B:$B,$U187)="","",INDEX('MiT Strom Pipeline'!$B:$B,$U187)))</f>
        <v/>
      </c>
      <c r="C187" s="27" t="str">
        <f>IF($U187="","",IF(INDEX('MiT Strom Pipeline'!$C:$C,$U187)="","",INDEX('MiT Strom Pipeline'!$C:$C,$U187)))</f>
        <v/>
      </c>
      <c r="D187" s="27" t="str">
        <f>IF($U187="","",IF(INDEX('MiT Strom Pipeline'!$D:$D,$U187)="","",INDEX('MiT Strom Pipeline'!$D:$D,$U187)))</f>
        <v/>
      </c>
      <c r="E187" s="191" t="str">
        <f>IF($U187="","",IF(INDEX('MiT Strom Pipeline'!$H:$H,$U187)="","",INDEX('MiT Strom Pipeline'!$H:$H,$U187)))</f>
        <v/>
      </c>
      <c r="F187" s="27" t="str">
        <f>IF($U187="","",IF(INDEX('MiT Strom Pipeline'!$E:$E,$U187)="","",INDEX('MiT Strom Pipeline'!$E:$E,$U187)))</f>
        <v/>
      </c>
      <c r="G187" s="28" t="str">
        <f>IF($U187="","",IF(ISNUMBER(INDEX('MiT Strom Pipeline'!$I:$I,$U187)),INDEX('MiT Strom Pipeline'!$I:$I,$U187),0))</f>
        <v/>
      </c>
      <c r="H187" s="28" t="str">
        <f>IF($U187="","",IF(ISNUMBER(INDEX('MiT Strom Pipeline'!$Q:$Q,$U187)),INDEX('MiT Strom Pipeline'!$Q:$Q,$U187),0))</f>
        <v/>
      </c>
      <c r="I187" s="27" t="str">
        <f>IF($U187="","",INDEX('MiT Strom Pipeline'!$R:$R,$U187))</f>
        <v/>
      </c>
      <c r="J187" s="29" t="str">
        <f>IF($U187="","",IF(ISNUMBER(INDEX('MiT Strom Pipeline'!$S:$S,$U187)),INDEX('MiT Strom Pipeline'!$S:$S,$U187),""))</f>
        <v/>
      </c>
      <c r="K187" s="27" t="str">
        <f>IF($U187="","",IF(LEN(INDEX('MiT Strom Pipeline'!$V:$V,$U187))&gt;0,LEFT(INDEX('MiT Strom Pipeline'!$V:$V,$U187),55),""))</f>
        <v/>
      </c>
      <c r="L187" s="22" t="n"/>
      <c r="M187" s="22" t="n"/>
      <c r="N187" s="22" t="n"/>
      <c r="O187" s="22" t="n"/>
      <c r="P187" s="22" t="n"/>
      <c r="Q187" s="22" t="n"/>
      <c r="R187" s="22" t="n"/>
      <c r="S187" s="22" t="n"/>
      <c r="U187" t="str">
        <f>IFERROR(MATCH(49,'MiT Strom Pipeline'!$AD$6:$AD$860,0)+5,"")</f>
        <v/>
      </c>
    </row>
    <row r="188" ht="15.75" customHeight="1">
      <c r="A188" s="26" t="str">
        <f>IF($U188="","",IF(ISNUMBER(INDEX('MiT Strom Pipeline'!$A:$A,$U188)),INDEX('MiT Strom Pipeline'!$A:$A,$U188),""))</f>
        <v/>
      </c>
      <c r="B188" s="27" t="str">
        <f>IF($U188="","",IF(INDEX('MiT Strom Pipeline'!$B:$B,$U188)="","",INDEX('MiT Strom Pipeline'!$B:$B,$U188)))</f>
        <v/>
      </c>
      <c r="C188" s="27" t="str">
        <f>IF($U188="","",IF(INDEX('MiT Strom Pipeline'!$C:$C,$U188)="","",INDEX('MiT Strom Pipeline'!$C:$C,$U188)))</f>
        <v/>
      </c>
      <c r="D188" s="27" t="str">
        <f>IF($U188="","",IF(INDEX('MiT Strom Pipeline'!$D:$D,$U188)="","",INDEX('MiT Strom Pipeline'!$D:$D,$U188)))</f>
        <v/>
      </c>
      <c r="E188" s="191" t="str">
        <f>IF($U188="","",IF(INDEX('MiT Strom Pipeline'!$H:$H,$U188)="","",INDEX('MiT Strom Pipeline'!$H:$H,$U188)))</f>
        <v/>
      </c>
      <c r="F188" s="27" t="str">
        <f>IF($U188="","",IF(INDEX('MiT Strom Pipeline'!$E:$E,$U188)="","",INDEX('MiT Strom Pipeline'!$E:$E,$U188)))</f>
        <v/>
      </c>
      <c r="G188" s="28" t="str">
        <f>IF($U188="","",IF(ISNUMBER(INDEX('MiT Strom Pipeline'!$I:$I,$U188)),INDEX('MiT Strom Pipeline'!$I:$I,$U188),0))</f>
        <v/>
      </c>
      <c r="H188" s="28" t="str">
        <f>IF($U188="","",IF(ISNUMBER(INDEX('MiT Strom Pipeline'!$Q:$Q,$U188)),INDEX('MiT Strom Pipeline'!$Q:$Q,$U188),0))</f>
        <v/>
      </c>
      <c r="I188" s="27" t="str">
        <f>IF($U188="","",INDEX('MiT Strom Pipeline'!$R:$R,$U188))</f>
        <v/>
      </c>
      <c r="J188" s="29" t="str">
        <f>IF($U188="","",IF(ISNUMBER(INDEX('MiT Strom Pipeline'!$S:$S,$U188)),INDEX('MiT Strom Pipeline'!$S:$S,$U188),""))</f>
        <v/>
      </c>
      <c r="K188" s="27" t="str">
        <f>IF($U188="","",IF(LEN(INDEX('MiT Strom Pipeline'!$V:$V,$U188))&gt;0,LEFT(INDEX('MiT Strom Pipeline'!$V:$V,$U188),55),""))</f>
        <v/>
      </c>
      <c r="L188" s="22" t="n"/>
      <c r="M188" s="22" t="n"/>
      <c r="N188" s="22" t="n"/>
      <c r="O188" s="22" t="n"/>
      <c r="P188" s="22" t="n"/>
      <c r="Q188" s="22" t="n"/>
      <c r="R188" s="22" t="n"/>
      <c r="S188" s="22" t="n"/>
      <c r="U188" t="str">
        <f>IFERROR(MATCH(50,'MiT Strom Pipeline'!$AD$6:$AD$860,0)+5,"")</f>
        <v/>
      </c>
    </row>
    <row r="189" ht="15.75" customHeight="1">
      <c r="A189" s="26" t="str">
        <f>IF($U189="","",IF(ISNUMBER(INDEX('MiT Strom Pipeline'!$A:$A,$U189)),INDEX('MiT Strom Pipeline'!$A:$A,$U189),""))</f>
        <v/>
      </c>
      <c r="B189" s="27" t="str">
        <f>IF($U189="","",IF(INDEX('MiT Strom Pipeline'!$B:$B,$U189)="","",INDEX('MiT Strom Pipeline'!$B:$B,$U189)))</f>
        <v/>
      </c>
      <c r="C189" s="27" t="str">
        <f>IF($U189="","",IF(INDEX('MiT Strom Pipeline'!$C:$C,$U189)="","",INDEX('MiT Strom Pipeline'!$C:$C,$U189)))</f>
        <v/>
      </c>
      <c r="D189" s="27" t="str">
        <f>IF($U189="","",IF(INDEX('MiT Strom Pipeline'!$D:$D,$U189)="","",INDEX('MiT Strom Pipeline'!$D:$D,$U189)))</f>
        <v/>
      </c>
      <c r="E189" s="191" t="str">
        <f>IF($U189="","",IF(INDEX('MiT Strom Pipeline'!$H:$H,$U189)="","",INDEX('MiT Strom Pipeline'!$H:$H,$U189)))</f>
        <v/>
      </c>
      <c r="F189" s="27" t="str">
        <f>IF($U189="","",IF(INDEX('MiT Strom Pipeline'!$E:$E,$U189)="","",INDEX('MiT Strom Pipeline'!$E:$E,$U189)))</f>
        <v/>
      </c>
      <c r="G189" s="28" t="str">
        <f>IF($U189="","",IF(ISNUMBER(INDEX('MiT Strom Pipeline'!$I:$I,$U189)),INDEX('MiT Strom Pipeline'!$I:$I,$U189),0))</f>
        <v/>
      </c>
      <c r="H189" s="28" t="str">
        <f>IF($U189="","",IF(ISNUMBER(INDEX('MiT Strom Pipeline'!$Q:$Q,$U189)),INDEX('MiT Strom Pipeline'!$Q:$Q,$U189),0))</f>
        <v/>
      </c>
      <c r="I189" s="27" t="str">
        <f>IF($U189="","",INDEX('MiT Strom Pipeline'!$R:$R,$U189))</f>
        <v/>
      </c>
      <c r="J189" s="29" t="str">
        <f>IF($U189="","",IF(ISNUMBER(INDEX('MiT Strom Pipeline'!$S:$S,$U189)),INDEX('MiT Strom Pipeline'!$S:$S,$U189),""))</f>
        <v/>
      </c>
      <c r="K189" s="27" t="str">
        <f>IF($U189="","",IF(LEN(INDEX('MiT Strom Pipeline'!$V:$V,$U189))&gt;0,LEFT(INDEX('MiT Strom Pipeline'!$V:$V,$U189),55),""))</f>
        <v/>
      </c>
      <c r="L189" s="22" t="n"/>
      <c r="M189" s="22" t="n"/>
      <c r="N189" s="22" t="n"/>
      <c r="O189" s="22" t="n"/>
      <c r="P189" s="22" t="n"/>
      <c r="Q189" s="22" t="n"/>
      <c r="R189" s="22" t="n"/>
      <c r="S189" s="22" t="n"/>
      <c r="U189" t="str">
        <f>IFERROR(MATCH(51,'MiT Strom Pipeline'!$AD$6:$AD$860,0)+5,"")</f>
        <v/>
      </c>
    </row>
    <row r="190" ht="15.75" customHeight="1">
      <c r="A190" s="26" t="str">
        <f>IF($U190="","",IF(ISNUMBER(INDEX('MiT Strom Pipeline'!$A:$A,$U190)),INDEX('MiT Strom Pipeline'!$A:$A,$U190),""))</f>
        <v/>
      </c>
      <c r="B190" s="27" t="str">
        <f>IF($U190="","",IF(INDEX('MiT Strom Pipeline'!$B:$B,$U190)="","",INDEX('MiT Strom Pipeline'!$B:$B,$U190)))</f>
        <v/>
      </c>
      <c r="C190" s="27" t="str">
        <f>IF($U190="","",IF(INDEX('MiT Strom Pipeline'!$C:$C,$U190)="","",INDEX('MiT Strom Pipeline'!$C:$C,$U190)))</f>
        <v/>
      </c>
      <c r="D190" s="27" t="str">
        <f>IF($U190="","",IF(INDEX('MiT Strom Pipeline'!$D:$D,$U190)="","",INDEX('MiT Strom Pipeline'!$D:$D,$U190)))</f>
        <v/>
      </c>
      <c r="E190" s="191" t="str">
        <f>IF($U190="","",IF(INDEX('MiT Strom Pipeline'!$H:$H,$U190)="","",INDEX('MiT Strom Pipeline'!$H:$H,$U190)))</f>
        <v/>
      </c>
      <c r="F190" s="27" t="str">
        <f>IF($U190="","",IF(INDEX('MiT Strom Pipeline'!$E:$E,$U190)="","",INDEX('MiT Strom Pipeline'!$E:$E,$U190)))</f>
        <v/>
      </c>
      <c r="G190" s="28" t="str">
        <f>IF($U190="","",IF(ISNUMBER(INDEX('MiT Strom Pipeline'!$I:$I,$U190)),INDEX('MiT Strom Pipeline'!$I:$I,$U190),0))</f>
        <v/>
      </c>
      <c r="H190" s="28" t="str">
        <f>IF($U190="","",IF(ISNUMBER(INDEX('MiT Strom Pipeline'!$Q:$Q,$U190)),INDEX('MiT Strom Pipeline'!$Q:$Q,$U190),0))</f>
        <v/>
      </c>
      <c r="I190" s="27" t="str">
        <f>IF($U190="","",INDEX('MiT Strom Pipeline'!$R:$R,$U190))</f>
        <v/>
      </c>
      <c r="J190" s="29" t="str">
        <f>IF($U190="","",IF(ISNUMBER(INDEX('MiT Strom Pipeline'!$S:$S,$U190)),INDEX('MiT Strom Pipeline'!$S:$S,$U190),""))</f>
        <v/>
      </c>
      <c r="K190" s="27" t="str">
        <f>IF($U190="","",IF(LEN(INDEX('MiT Strom Pipeline'!$V:$V,$U190))&gt;0,LEFT(INDEX('MiT Strom Pipeline'!$V:$V,$U190),55),""))</f>
        <v/>
      </c>
      <c r="L190" s="22" t="n"/>
      <c r="M190" s="22" t="n"/>
      <c r="N190" s="22" t="n"/>
      <c r="O190" s="22" t="n"/>
      <c r="P190" s="22" t="n"/>
      <c r="Q190" s="22" t="n"/>
      <c r="R190" s="22" t="n"/>
      <c r="S190" s="22" t="n"/>
      <c r="U190" t="str">
        <f>IFERROR(MATCH(52,'MiT Strom Pipeline'!$AD$6:$AD$860,0)+5,"")</f>
        <v/>
      </c>
    </row>
    <row r="191" ht="15.75" customHeight="1">
      <c r="A191" s="26" t="str">
        <f>IF($U191="","",IF(ISNUMBER(INDEX('MiT Strom Pipeline'!$A:$A,$U191)),INDEX('MiT Strom Pipeline'!$A:$A,$U191),""))</f>
        <v/>
      </c>
      <c r="B191" s="27" t="str">
        <f>IF($U191="","",IF(INDEX('MiT Strom Pipeline'!$B:$B,$U191)="","",INDEX('MiT Strom Pipeline'!$B:$B,$U191)))</f>
        <v/>
      </c>
      <c r="C191" s="27" t="str">
        <f>IF($U191="","",IF(INDEX('MiT Strom Pipeline'!$C:$C,$U191)="","",INDEX('MiT Strom Pipeline'!$C:$C,$U191)))</f>
        <v/>
      </c>
      <c r="D191" s="27" t="str">
        <f>IF($U191="","",IF(INDEX('MiT Strom Pipeline'!$D:$D,$U191)="","",INDEX('MiT Strom Pipeline'!$D:$D,$U191)))</f>
        <v/>
      </c>
      <c r="E191" s="191" t="str">
        <f>IF($U191="","",IF(INDEX('MiT Strom Pipeline'!$H:$H,$U191)="","",INDEX('MiT Strom Pipeline'!$H:$H,$U191)))</f>
        <v/>
      </c>
      <c r="F191" s="27" t="str">
        <f>IF($U191="","",IF(INDEX('MiT Strom Pipeline'!$E:$E,$U191)="","",INDEX('MiT Strom Pipeline'!$E:$E,$U191)))</f>
        <v/>
      </c>
      <c r="G191" s="28" t="str">
        <f>IF($U191="","",IF(ISNUMBER(INDEX('MiT Strom Pipeline'!$I:$I,$U191)),INDEX('MiT Strom Pipeline'!$I:$I,$U191),0))</f>
        <v/>
      </c>
      <c r="H191" s="28" t="str">
        <f>IF($U191="","",IF(ISNUMBER(INDEX('MiT Strom Pipeline'!$Q:$Q,$U191)),INDEX('MiT Strom Pipeline'!$Q:$Q,$U191),0))</f>
        <v/>
      </c>
      <c r="I191" s="27" t="str">
        <f>IF($U191="","",INDEX('MiT Strom Pipeline'!$R:$R,$U191))</f>
        <v/>
      </c>
      <c r="J191" s="29" t="str">
        <f>IF($U191="","",IF(ISNUMBER(INDEX('MiT Strom Pipeline'!$S:$S,$U191)),INDEX('MiT Strom Pipeline'!$S:$S,$U191),""))</f>
        <v/>
      </c>
      <c r="K191" s="27" t="str">
        <f>IF($U191="","",IF(LEN(INDEX('MiT Strom Pipeline'!$V:$V,$U191))&gt;0,LEFT(INDEX('MiT Strom Pipeline'!$V:$V,$U191),55),""))</f>
        <v/>
      </c>
      <c r="L191" s="22" t="n"/>
      <c r="M191" s="22" t="n"/>
      <c r="N191" s="22" t="n"/>
      <c r="O191" s="22" t="n"/>
      <c r="P191" s="22" t="n"/>
      <c r="Q191" s="22" t="n"/>
      <c r="R191" s="22" t="n"/>
      <c r="S191" s="22" t="n"/>
      <c r="U191" t="str">
        <f>IFERROR(MATCH(53,'MiT Strom Pipeline'!$AD$6:$AD$860,0)+5,"")</f>
        <v/>
      </c>
    </row>
    <row r="192" ht="15.75" customHeight="1">
      <c r="A192" s="26" t="str">
        <f>IF($U192="","",IF(ISNUMBER(INDEX('MiT Strom Pipeline'!$A:$A,$U192)),INDEX('MiT Strom Pipeline'!$A:$A,$U192),""))</f>
        <v/>
      </c>
      <c r="B192" s="27" t="str">
        <f>IF($U192="","",IF(INDEX('MiT Strom Pipeline'!$B:$B,$U192)="","",INDEX('MiT Strom Pipeline'!$B:$B,$U192)))</f>
        <v/>
      </c>
      <c r="C192" s="27" t="str">
        <f>IF($U192="","",IF(INDEX('MiT Strom Pipeline'!$C:$C,$U192)="","",INDEX('MiT Strom Pipeline'!$C:$C,$U192)))</f>
        <v/>
      </c>
      <c r="D192" s="27" t="str">
        <f>IF($U192="","",IF(INDEX('MiT Strom Pipeline'!$D:$D,$U192)="","",INDEX('MiT Strom Pipeline'!$D:$D,$U192)))</f>
        <v/>
      </c>
      <c r="E192" s="27" t="str">
        <f>IF($U192="","",IF(INDEX('MiT Strom Pipeline'!$H:$H,$U192)="","",INDEX('MiT Strom Pipeline'!$H:$H,$U192)))</f>
        <v/>
      </c>
      <c r="F192" s="27" t="str">
        <f>IF($U192="","",IF(INDEX('MiT Strom Pipeline'!$E:$E,$U192)="","",INDEX('MiT Strom Pipeline'!$E:$E,$U192)))</f>
        <v/>
      </c>
      <c r="G192" s="28" t="str">
        <f>IF($U192="","",IF(ISNUMBER(INDEX('MiT Strom Pipeline'!$I:$I,$U192)),INDEX('MiT Strom Pipeline'!$I:$I,$U192),0))</f>
        <v/>
      </c>
      <c r="H192" s="28" t="str">
        <f>IF($U192="","",IF(ISNUMBER(INDEX('MiT Strom Pipeline'!$Q:$Q,$U192)),INDEX('MiT Strom Pipeline'!$Q:$Q,$U192),0))</f>
        <v/>
      </c>
      <c r="I192" s="27" t="str">
        <f>IF($U192="","",INDEX('MiT Strom Pipeline'!$R:$R,$U192))</f>
        <v/>
      </c>
      <c r="J192" s="29" t="str">
        <f>IF($U192="","",IF(ISNUMBER(INDEX('MiT Strom Pipeline'!$S:$S,$U192)),INDEX('MiT Strom Pipeline'!$S:$S,$U192),""))</f>
        <v/>
      </c>
      <c r="K192" s="27" t="str">
        <f>IF($U192="","",IF(LEN(INDEX('MiT Strom Pipeline'!$V:$V,$U192))&gt;0,LEFT(INDEX('MiT Strom Pipeline'!$V:$V,$U192),55),""))</f>
        <v/>
      </c>
      <c r="L192" s="22" t="n"/>
      <c r="M192" s="22" t="n"/>
      <c r="N192" s="22" t="n"/>
      <c r="O192" s="22" t="n"/>
      <c r="P192" s="22" t="n"/>
      <c r="Q192" s="22" t="n"/>
      <c r="R192" s="22" t="n"/>
      <c r="S192" s="22" t="n"/>
      <c r="U192" t="str">
        <f>IFERROR(MATCH(54,'MiT Strom Pipeline'!$AD$6:$AD$860,0)+5,"")</f>
        <v/>
      </c>
    </row>
    <row r="193" ht="15.75" customHeight="1">
      <c r="A193" s="26" t="str">
        <f>IF($U193="","",IF(ISNUMBER(INDEX('MiT Strom Pipeline'!$A:$A,$U193)),INDEX('MiT Strom Pipeline'!$A:$A,$U193),""))</f>
        <v/>
      </c>
      <c r="B193" s="27" t="str">
        <f>IF($U193="","",IF(INDEX('MiT Strom Pipeline'!$B:$B,$U193)="","",INDEX('MiT Strom Pipeline'!$B:$B,$U193)))</f>
        <v/>
      </c>
      <c r="C193" s="27" t="str">
        <f>IF($U193="","",IF(INDEX('MiT Strom Pipeline'!$C:$C,$U193)="","",INDEX('MiT Strom Pipeline'!$C:$C,$U193)))</f>
        <v/>
      </c>
      <c r="D193" s="27" t="str">
        <f>IF($U193="","",IF(INDEX('MiT Strom Pipeline'!$D:$D,$U193)="","",INDEX('MiT Strom Pipeline'!$D:$D,$U193)))</f>
        <v/>
      </c>
      <c r="E193" s="27" t="str">
        <f>IF($U193="","",IF(INDEX('MiT Strom Pipeline'!$H:$H,$U193)="","",INDEX('MiT Strom Pipeline'!$H:$H,$U193)))</f>
        <v/>
      </c>
      <c r="F193" s="27" t="str">
        <f>IF($U193="","",IF(INDEX('MiT Strom Pipeline'!$E:$E,$U193)="","",INDEX('MiT Strom Pipeline'!$E:$E,$U193)))</f>
        <v/>
      </c>
      <c r="G193" s="28" t="str">
        <f>IF($U193="","",IF(ISNUMBER(INDEX('MiT Strom Pipeline'!$I:$I,$U193)),INDEX('MiT Strom Pipeline'!$I:$I,$U193),0))</f>
        <v/>
      </c>
      <c r="H193" s="28" t="str">
        <f>IF($U193="","",IF(ISNUMBER(INDEX('MiT Strom Pipeline'!$Q:$Q,$U193)),INDEX('MiT Strom Pipeline'!$Q:$Q,$U193),0))</f>
        <v/>
      </c>
      <c r="I193" s="27" t="str">
        <f>IF($U193="","",INDEX('MiT Strom Pipeline'!$R:$R,$U193))</f>
        <v/>
      </c>
      <c r="J193" s="29" t="str">
        <f>IF($U193="","",IF(ISNUMBER(INDEX('MiT Strom Pipeline'!$S:$S,$U193)),INDEX('MiT Strom Pipeline'!$S:$S,$U193),""))</f>
        <v/>
      </c>
      <c r="K193" s="27" t="str">
        <f>IF($U193="","",IF(LEN(INDEX('MiT Strom Pipeline'!$V:$V,$U193))&gt;0,LEFT(INDEX('MiT Strom Pipeline'!$V:$V,$U193),55),""))</f>
        <v/>
      </c>
      <c r="L193" s="22" t="n"/>
      <c r="M193" s="22" t="n"/>
      <c r="N193" s="22" t="n"/>
      <c r="O193" s="22" t="n"/>
      <c r="P193" s="22" t="n"/>
      <c r="Q193" s="22" t="n"/>
      <c r="R193" s="22" t="n"/>
      <c r="S193" s="22" t="n"/>
      <c r="U193" t="str">
        <f>IFERROR(MATCH(55,'MiT Strom Pipeline'!$AD$6:$AD$860,0)+5,"")</f>
        <v/>
      </c>
    </row>
    <row r="194" ht="15.75" customHeight="1">
      <c r="A194" s="26" t="str">
        <f>IF($U194="","",IF(ISNUMBER(INDEX('MiT Strom Pipeline'!$A:$A,$U194)),INDEX('MiT Strom Pipeline'!$A:$A,$U194),""))</f>
        <v/>
      </c>
      <c r="B194" s="27" t="str">
        <f>IF($U194="","",IF(INDEX('MiT Strom Pipeline'!$B:$B,$U194)="","",INDEX('MiT Strom Pipeline'!$B:$B,$U194)))</f>
        <v/>
      </c>
      <c r="C194" s="27" t="str">
        <f>IF($U194="","",IF(INDEX('MiT Strom Pipeline'!$C:$C,$U194)="","",INDEX('MiT Strom Pipeline'!$C:$C,$U194)))</f>
        <v/>
      </c>
      <c r="D194" s="27" t="str">
        <f>IF($U194="","",IF(INDEX('MiT Strom Pipeline'!$D:$D,$U194)="","",INDEX('MiT Strom Pipeline'!$D:$D,$U194)))</f>
        <v/>
      </c>
      <c r="E194" s="27" t="str">
        <f>IF($U194="","",IF(INDEX('MiT Strom Pipeline'!$H:$H,$U194)="","",INDEX('MiT Strom Pipeline'!$H:$H,$U194)))</f>
        <v/>
      </c>
      <c r="F194" s="27" t="str">
        <f>IF($U194="","",IF(INDEX('MiT Strom Pipeline'!$E:$E,$U194)="","",INDEX('MiT Strom Pipeline'!$E:$E,$U194)))</f>
        <v/>
      </c>
      <c r="G194" s="28" t="str">
        <f>IF($U194="","",IF(ISNUMBER(INDEX('MiT Strom Pipeline'!$I:$I,$U194)),INDEX('MiT Strom Pipeline'!$I:$I,$U194),0))</f>
        <v/>
      </c>
      <c r="H194" s="28" t="str">
        <f>IF($U194="","",IF(ISNUMBER(INDEX('MiT Strom Pipeline'!$Q:$Q,$U194)),INDEX('MiT Strom Pipeline'!$Q:$Q,$U194),0))</f>
        <v/>
      </c>
      <c r="I194" s="27" t="str">
        <f>IF($U194="","",INDEX('MiT Strom Pipeline'!$R:$R,$U194))</f>
        <v/>
      </c>
      <c r="J194" s="29" t="str">
        <f>IF($U194="","",IF(ISNUMBER(INDEX('MiT Strom Pipeline'!$S:$S,$U194)),INDEX('MiT Strom Pipeline'!$S:$S,$U194),""))</f>
        <v/>
      </c>
      <c r="K194" s="27" t="str">
        <f>IF($U194="","",IF(LEN(INDEX('MiT Strom Pipeline'!$V:$V,$U194))&gt;0,LEFT(INDEX('MiT Strom Pipeline'!$V:$V,$U194),55),""))</f>
        <v/>
      </c>
      <c r="L194" s="22" t="n"/>
      <c r="M194" s="22" t="n"/>
      <c r="N194" s="22" t="n"/>
      <c r="O194" s="22" t="n"/>
      <c r="P194" s="22" t="n"/>
      <c r="Q194" s="22" t="n"/>
      <c r="R194" s="22" t="n"/>
      <c r="S194" s="22" t="n"/>
      <c r="U194" t="str">
        <f>IFERROR(MATCH(56,'MiT Strom Pipeline'!$AD$6:$AD$860,0)+5,"")</f>
        <v/>
      </c>
    </row>
    <row r="195" ht="15.75" customHeight="1">
      <c r="A195" s="26" t="str">
        <f>IF($U195="","",IF(ISNUMBER(INDEX('MiT Strom Pipeline'!$A:$A,$U195)),INDEX('MiT Strom Pipeline'!$A:$A,$U195),""))</f>
        <v/>
      </c>
      <c r="B195" s="27" t="str">
        <f>IF($U195="","",IF(INDEX('MiT Strom Pipeline'!$B:$B,$U195)="","",INDEX('MiT Strom Pipeline'!$B:$B,$U195)))</f>
        <v/>
      </c>
      <c r="C195" s="27" t="str">
        <f>IF($U195="","",IF(INDEX('MiT Strom Pipeline'!$C:$C,$U195)="","",INDEX('MiT Strom Pipeline'!$C:$C,$U195)))</f>
        <v/>
      </c>
      <c r="D195" s="27" t="str">
        <f>IF($U195="","",IF(INDEX('MiT Strom Pipeline'!$D:$D,$U195)="","",INDEX('MiT Strom Pipeline'!$D:$D,$U195)))</f>
        <v/>
      </c>
      <c r="E195" s="27" t="str">
        <f>IF($U195="","",IF(INDEX('MiT Strom Pipeline'!$H:$H,$U195)="","",INDEX('MiT Strom Pipeline'!$H:$H,$U195)))</f>
        <v/>
      </c>
      <c r="F195" s="27" t="str">
        <f>IF($U195="","",IF(INDEX('MiT Strom Pipeline'!$E:$E,$U195)="","",INDEX('MiT Strom Pipeline'!$E:$E,$U195)))</f>
        <v/>
      </c>
      <c r="G195" s="28" t="str">
        <f>IF($U195="","",IF(ISNUMBER(INDEX('MiT Strom Pipeline'!$I:$I,$U195)),INDEX('MiT Strom Pipeline'!$I:$I,$U195),0))</f>
        <v/>
      </c>
      <c r="H195" s="28" t="str">
        <f>IF($U195="","",IF(ISNUMBER(INDEX('MiT Strom Pipeline'!$Q:$Q,$U195)),INDEX('MiT Strom Pipeline'!$Q:$Q,$U195),0))</f>
        <v/>
      </c>
      <c r="I195" s="27" t="str">
        <f>IF($U195="","",INDEX('MiT Strom Pipeline'!$R:$R,$U195))</f>
        <v/>
      </c>
      <c r="J195" s="29" t="str">
        <f>IF($U195="","",IF(ISNUMBER(INDEX('MiT Strom Pipeline'!$S:$S,$U195)),INDEX('MiT Strom Pipeline'!$S:$S,$U195),""))</f>
        <v/>
      </c>
      <c r="K195" s="27" t="str">
        <f>IF($U195="","",IF(LEN(INDEX('MiT Strom Pipeline'!$V:$V,$U195))&gt;0,LEFT(INDEX('MiT Strom Pipeline'!$V:$V,$U195),55),""))</f>
        <v/>
      </c>
      <c r="L195" s="22" t="n"/>
      <c r="M195" s="22" t="n"/>
      <c r="N195" s="22" t="n"/>
      <c r="O195" s="22" t="n"/>
      <c r="P195" s="22" t="n"/>
      <c r="Q195" s="22" t="n"/>
      <c r="R195" s="22" t="n"/>
      <c r="S195" s="22" t="n"/>
      <c r="U195" t="str">
        <f>IFERROR(MATCH(57,'MiT Strom Pipeline'!$AD$6:$AD$860,0)+5,"")</f>
        <v/>
      </c>
    </row>
    <row r="196" ht="15.75" customHeight="1">
      <c r="A196" s="26" t="str">
        <f>IF($U196="","",IF(ISNUMBER(INDEX('MiT Strom Pipeline'!$A:$A,$U196)),INDEX('MiT Strom Pipeline'!$A:$A,$U196),""))</f>
        <v/>
      </c>
      <c r="B196" s="27" t="str">
        <f>IF($U196="","",IF(INDEX('MiT Strom Pipeline'!$B:$B,$U196)="","",INDEX('MiT Strom Pipeline'!$B:$B,$U196)))</f>
        <v/>
      </c>
      <c r="C196" s="27" t="str">
        <f>IF($U196="","",IF(INDEX('MiT Strom Pipeline'!$C:$C,$U196)="","",INDEX('MiT Strom Pipeline'!$C:$C,$U196)))</f>
        <v/>
      </c>
      <c r="D196" s="27" t="str">
        <f>IF($U196="","",IF(INDEX('MiT Strom Pipeline'!$D:$D,$U196)="","",INDEX('MiT Strom Pipeline'!$D:$D,$U196)))</f>
        <v/>
      </c>
      <c r="E196" s="27" t="str">
        <f>IF($U196="","",IF(INDEX('MiT Strom Pipeline'!$H:$H,$U196)="","",INDEX('MiT Strom Pipeline'!$H:$H,$U196)))</f>
        <v/>
      </c>
      <c r="F196" s="27" t="str">
        <f>IF($U196="","",IF(INDEX('MiT Strom Pipeline'!$E:$E,$U196)="","",INDEX('MiT Strom Pipeline'!$E:$E,$U196)))</f>
        <v/>
      </c>
      <c r="G196" s="28" t="str">
        <f>IF($U196="","",IF(ISNUMBER(INDEX('MiT Strom Pipeline'!$I:$I,$U196)),INDEX('MiT Strom Pipeline'!$I:$I,$U196),0))</f>
        <v/>
      </c>
      <c r="H196" s="28" t="str">
        <f>IF($U196="","",IF(ISNUMBER(INDEX('MiT Strom Pipeline'!$Q:$Q,$U196)),INDEX('MiT Strom Pipeline'!$Q:$Q,$U196),0))</f>
        <v/>
      </c>
      <c r="I196" s="27" t="str">
        <f>IF($U196="","",INDEX('MiT Strom Pipeline'!$R:$R,$U196))</f>
        <v/>
      </c>
      <c r="J196" s="29" t="str">
        <f>IF($U196="","",IF(ISNUMBER(INDEX('MiT Strom Pipeline'!$S:$S,$U196)),INDEX('MiT Strom Pipeline'!$S:$S,$U196),""))</f>
        <v/>
      </c>
      <c r="K196" s="27" t="str">
        <f>IF($U196="","",IF(LEN(INDEX('MiT Strom Pipeline'!$V:$V,$U196))&gt;0,LEFT(INDEX('MiT Strom Pipeline'!$V:$V,$U196),55),""))</f>
        <v/>
      </c>
      <c r="L196" s="22" t="n"/>
      <c r="M196" s="22" t="n"/>
      <c r="N196" s="22" t="n"/>
      <c r="O196" s="22" t="n"/>
      <c r="P196" s="22" t="n"/>
      <c r="Q196" s="22" t="n"/>
      <c r="R196" s="22" t="n"/>
      <c r="S196" s="22" t="n"/>
      <c r="U196" t="str">
        <f>IFERROR(MATCH(58,'MiT Strom Pipeline'!$AD$6:$AD$860,0)+5,"")</f>
        <v/>
      </c>
    </row>
    <row r="197" ht="15.75" customHeight="1">
      <c r="A197" s="26" t="str">
        <f>IF($U197="","",IF(ISNUMBER(INDEX('MiT Strom Pipeline'!$A:$A,$U197)),INDEX('MiT Strom Pipeline'!$A:$A,$U197),""))</f>
        <v/>
      </c>
      <c r="B197" s="27" t="str">
        <f>IF($U197="","",IF(INDEX('MiT Strom Pipeline'!$B:$B,$U197)="","",INDEX('MiT Strom Pipeline'!$B:$B,$U197)))</f>
        <v/>
      </c>
      <c r="C197" s="27" t="str">
        <f>IF($U197="","",IF(INDEX('MiT Strom Pipeline'!$C:$C,$U197)="","",INDEX('MiT Strom Pipeline'!$C:$C,$U197)))</f>
        <v/>
      </c>
      <c r="D197" s="27" t="str">
        <f>IF($U197="","",IF(INDEX('MiT Strom Pipeline'!$D:$D,$U197)="","",INDEX('MiT Strom Pipeline'!$D:$D,$U197)))</f>
        <v/>
      </c>
      <c r="E197" s="27" t="str">
        <f>IF($U197="","",IF(INDEX('MiT Strom Pipeline'!$H:$H,$U197)="","",INDEX('MiT Strom Pipeline'!$H:$H,$U197)))</f>
        <v/>
      </c>
      <c r="F197" s="27" t="str">
        <f>IF($U197="","",IF(INDEX('MiT Strom Pipeline'!$E:$E,$U197)="","",INDEX('MiT Strom Pipeline'!$E:$E,$U197)))</f>
        <v/>
      </c>
      <c r="G197" s="28" t="str">
        <f>IF($U197="","",IF(ISNUMBER(INDEX('MiT Strom Pipeline'!$I:$I,$U197)),INDEX('MiT Strom Pipeline'!$I:$I,$U197),0))</f>
        <v/>
      </c>
      <c r="H197" s="28" t="str">
        <f>IF($U197="","",IF(ISNUMBER(INDEX('MiT Strom Pipeline'!$Q:$Q,$U197)),INDEX('MiT Strom Pipeline'!$Q:$Q,$U197),0))</f>
        <v/>
      </c>
      <c r="I197" s="27" t="str">
        <f>IF($U197="","",INDEX('MiT Strom Pipeline'!$R:$R,$U197))</f>
        <v/>
      </c>
      <c r="J197" s="29" t="str">
        <f>IF($U197="","",IF(ISNUMBER(INDEX('MiT Strom Pipeline'!$S:$S,$U197)),INDEX('MiT Strom Pipeline'!$S:$S,$U197),""))</f>
        <v/>
      </c>
      <c r="K197" s="27" t="str">
        <f>IF($U197="","",IF(LEN(INDEX('MiT Strom Pipeline'!$V:$V,$U197))&gt;0,LEFT(INDEX('MiT Strom Pipeline'!$V:$V,$U197),55),""))</f>
        <v/>
      </c>
      <c r="L197" s="22" t="n"/>
      <c r="M197" s="22" t="n"/>
      <c r="N197" s="22" t="n"/>
      <c r="O197" s="22" t="n"/>
      <c r="P197" s="22" t="n"/>
      <c r="Q197" s="22" t="n"/>
      <c r="R197" s="22" t="n"/>
      <c r="S197" s="22" t="n"/>
      <c r="U197" t="str">
        <f>IFERROR(MATCH(59,'MiT Strom Pipeline'!$AD$6:$AD$860,0)+5,"")</f>
        <v/>
      </c>
    </row>
    <row r="198" ht="15.75" customHeight="1">
      <c r="A198" s="26" t="str">
        <f>IF($U198="","",IF(ISNUMBER(INDEX('MiT Strom Pipeline'!$A:$A,$U198)),INDEX('MiT Strom Pipeline'!$A:$A,$U198),""))</f>
        <v/>
      </c>
      <c r="B198" s="27" t="str">
        <f>IF($U198="","",IF(INDEX('MiT Strom Pipeline'!$B:$B,$U198)="","",INDEX('MiT Strom Pipeline'!$B:$B,$U198)))</f>
        <v/>
      </c>
      <c r="C198" s="27" t="str">
        <f>IF($U198="","",IF(INDEX('MiT Strom Pipeline'!$C:$C,$U198)="","",INDEX('MiT Strom Pipeline'!$C:$C,$U198)))</f>
        <v/>
      </c>
      <c r="D198" s="27" t="str">
        <f>IF($U198="","",IF(INDEX('MiT Strom Pipeline'!$D:$D,$U198)="","",INDEX('MiT Strom Pipeline'!$D:$D,$U198)))</f>
        <v/>
      </c>
      <c r="E198" s="27" t="str">
        <f>IF($U198="","",IF(INDEX('MiT Strom Pipeline'!$H:$H,$U198)="","",INDEX('MiT Strom Pipeline'!$H:$H,$U198)))</f>
        <v/>
      </c>
      <c r="F198" s="27" t="str">
        <f>IF($U198="","",IF(INDEX('MiT Strom Pipeline'!$E:$E,$U198)="","",INDEX('MiT Strom Pipeline'!$E:$E,$U198)))</f>
        <v/>
      </c>
      <c r="G198" s="28" t="str">
        <f>IF($U198="","",IF(ISNUMBER(INDEX('MiT Strom Pipeline'!$I:$I,$U198)),INDEX('MiT Strom Pipeline'!$I:$I,$U198),0))</f>
        <v/>
      </c>
      <c r="H198" s="28" t="str">
        <f>IF($U198="","",IF(ISNUMBER(INDEX('MiT Strom Pipeline'!$Q:$Q,$U198)),INDEX('MiT Strom Pipeline'!$Q:$Q,$U198),0))</f>
        <v/>
      </c>
      <c r="I198" s="27" t="str">
        <f>IF($U198="","",INDEX('MiT Strom Pipeline'!$R:$R,$U198))</f>
        <v/>
      </c>
      <c r="J198" s="29" t="str">
        <f>IF($U198="","",IF(ISNUMBER(INDEX('MiT Strom Pipeline'!$S:$S,$U198)),INDEX('MiT Strom Pipeline'!$S:$S,$U198),""))</f>
        <v/>
      </c>
      <c r="K198" s="27" t="str">
        <f>IF($U198="","",IF(LEN(INDEX('MiT Strom Pipeline'!$V:$V,$U198))&gt;0,LEFT(INDEX('MiT Strom Pipeline'!$V:$V,$U198),55),""))</f>
        <v/>
      </c>
      <c r="L198" s="22" t="n"/>
      <c r="M198" s="22" t="n"/>
      <c r="N198" s="22" t="n"/>
      <c r="O198" s="22" t="n"/>
      <c r="P198" s="22" t="n"/>
      <c r="Q198" s="22" t="n"/>
      <c r="R198" s="22" t="n"/>
      <c r="S198" s="22" t="n"/>
      <c r="U198" t="str">
        <f>IFERROR(MATCH(60,'MiT Strom Pipeline'!$AD$6:$AD$860,0)+5,"")</f>
        <v/>
      </c>
    </row>
    <row r="199" ht="21.75" customHeight="1">
      <c r="A199" s="26" t="str">
        <f>IF($U199="","",IF(ISNUMBER(INDEX('MiT Strom Pipeline'!$A:$A,$U199)),INDEX('MiT Strom Pipeline'!$A:$A,$U199),""))</f>
        <v/>
      </c>
      <c r="B199" s="27" t="str">
        <f>IF($U199="","",IF(INDEX('MiT Strom Pipeline'!$B:$B,$U199)="","",INDEX('MiT Strom Pipeline'!$B:$B,$U199)))</f>
        <v/>
      </c>
      <c r="C199" s="27" t="str">
        <f>IF($U199="","",IF(INDEX('MiT Strom Pipeline'!$C:$C,$U199)="","",INDEX('MiT Strom Pipeline'!$C:$C,$U199)))</f>
        <v/>
      </c>
      <c r="D199" s="27" t="str">
        <f>IF($U199="","",IF(INDEX('MiT Strom Pipeline'!$D:$D,$U199)="","",INDEX('MiT Strom Pipeline'!$D:$D,$U199)))</f>
        <v/>
      </c>
      <c r="E199" s="27" t="str">
        <f>IF($U199="","",IF(INDEX('MiT Strom Pipeline'!$H:$H,$U199)="","",INDEX('MiT Strom Pipeline'!$H:$H,$U199)))</f>
        <v/>
      </c>
      <c r="F199" s="27" t="str">
        <f>IF($U199="","",IF(INDEX('MiT Strom Pipeline'!$E:$E,$U199)="","",INDEX('MiT Strom Pipeline'!$E:$E,$U199)))</f>
        <v/>
      </c>
      <c r="G199" s="28" t="str">
        <f>IF($U199="","",IF(ISNUMBER(INDEX('MiT Strom Pipeline'!$I:$I,$U199)),INDEX('MiT Strom Pipeline'!$I:$I,$U199),0))</f>
        <v/>
      </c>
      <c r="H199" s="28" t="str">
        <f>IF($U199="","",IF(ISNUMBER(INDEX('MiT Strom Pipeline'!$Q:$Q,$U199)),INDEX('MiT Strom Pipeline'!$Q:$Q,$U199),0))</f>
        <v/>
      </c>
      <c r="I199" s="27" t="str">
        <f>IF($U199="","",INDEX('MiT Strom Pipeline'!$R:$R,$U199))</f>
        <v/>
      </c>
      <c r="J199" s="29" t="str">
        <f>IF($U199="","",IF(ISNUMBER(INDEX('MiT Strom Pipeline'!$S:$S,$U199)),INDEX('MiT Strom Pipeline'!$S:$S,$U199),""))</f>
        <v/>
      </c>
      <c r="K199" s="27" t="str">
        <f>IF($U199="","",IF(LEN(INDEX('MiT Strom Pipeline'!$V:$V,$U199))&gt;0,LEFT(INDEX('MiT Strom Pipeline'!$V:$V,$U199),55),""))</f>
        <v/>
      </c>
      <c r="L199" s="22" t="n"/>
      <c r="M199" s="22" t="n"/>
      <c r="N199" s="22" t="n"/>
      <c r="O199" s="22" t="n"/>
      <c r="P199" s="22" t="n"/>
      <c r="Q199" s="22" t="n"/>
      <c r="R199" s="22" t="n"/>
      <c r="S199" s="22" t="n"/>
      <c r="U199" t="str">
        <f>IFERROR(MATCH(61,'MiT Strom Pipeline'!$AD$6:$AD$860,0)+5,"")</f>
        <v/>
      </c>
    </row>
    <row r="200" ht="3.75" customHeight="1">
      <c r="A200" s="26" t="str">
        <f>IF($U200="","",IF(ISNUMBER(INDEX('MiT Strom Pipeline'!$A:$A,$U200)),INDEX('MiT Strom Pipeline'!$A:$A,$U200),""))</f>
        <v/>
      </c>
      <c r="B200" s="27" t="str">
        <f>IF($U200="","",IF(INDEX('MiT Strom Pipeline'!$B:$B,$U200)="","",INDEX('MiT Strom Pipeline'!$B:$B,$U200)))</f>
        <v/>
      </c>
      <c r="C200" s="27" t="str">
        <f>IF($U200="","",IF(INDEX('MiT Strom Pipeline'!$C:$C,$U200)="","",INDEX('MiT Strom Pipeline'!$C:$C,$U200)))</f>
        <v/>
      </c>
      <c r="D200" s="27" t="str">
        <f>IF($U200="","",IF(INDEX('MiT Strom Pipeline'!$D:$D,$U200)="","",INDEX('MiT Strom Pipeline'!$D:$D,$U200)))</f>
        <v/>
      </c>
      <c r="E200" s="27" t="str">
        <f>IF($U200="","",IF(INDEX('MiT Strom Pipeline'!$H:$H,$U200)="","",INDEX('MiT Strom Pipeline'!$H:$H,$U200)))</f>
        <v/>
      </c>
      <c r="F200" s="27" t="str">
        <f>IF($U200="","",IF(INDEX('MiT Strom Pipeline'!$E:$E,$U200)="","",INDEX('MiT Strom Pipeline'!$E:$E,$U200)))</f>
        <v/>
      </c>
      <c r="G200" s="28" t="str">
        <f>IF($U200="","",IF(ISNUMBER(INDEX('MiT Strom Pipeline'!$I:$I,$U200)),INDEX('MiT Strom Pipeline'!$I:$I,$U200),0))</f>
        <v/>
      </c>
      <c r="H200" s="28" t="str">
        <f>IF($U200="","",IF(ISNUMBER(INDEX('MiT Strom Pipeline'!$Q:$Q,$U200)),INDEX('MiT Strom Pipeline'!$Q:$Q,$U200),0))</f>
        <v/>
      </c>
      <c r="I200" s="27" t="str">
        <f>IF($U200="","",INDEX('MiT Strom Pipeline'!$R:$R,$U200))</f>
        <v/>
      </c>
      <c r="J200" s="29" t="str">
        <f>IF($U200="","",IF(ISNUMBER(INDEX('MiT Strom Pipeline'!$S:$S,$U200)),INDEX('MiT Strom Pipeline'!$S:$S,$U200),""))</f>
        <v/>
      </c>
      <c r="K200" s="27" t="str">
        <f>IF($U200="","",IF(LEN(INDEX('MiT Strom Pipeline'!$V:$V,$U200))&gt;0,LEFT(INDEX('MiT Strom Pipeline'!$V:$V,$U200),55),""))</f>
        <v/>
      </c>
      <c r="L200" s="22" t="n"/>
      <c r="M200" s="22" t="n"/>
      <c r="N200" s="22" t="n"/>
      <c r="O200" s="22" t="n"/>
      <c r="P200" s="22" t="n"/>
      <c r="Q200" s="22" t="n"/>
      <c r="R200" s="22" t="n"/>
      <c r="S200" s="22" t="n"/>
      <c r="U200" t="str">
        <f>IFERROR(MATCH(62,'MiT Strom Pipeline'!$AD$6:$AD$860,0)+5,"")</f>
        <v/>
      </c>
    </row>
    <row r="201" ht="27.75" customHeight="1">
      <c r="A201" s="143" t="inlineStr">
        <is>
          <t>📊  GESAMTTOTAL — Aktive Pipeline (exkl. Declined / LOST)</t>
        </is>
      </c>
      <c r="B201" s="189" t="n"/>
      <c r="C201" s="189" t="n"/>
      <c r="D201" s="189" t="n"/>
      <c r="E201" s="190" t="n"/>
      <c r="F201" s="33">
        <f>SUMIFS('MiT Strom Pipeline'!I$6:I$860,'MiT Strom Pipeline'!R$6:R$860,"WON")+SUMIFS('MiT Strom Pipeline'!I$6:I$860,'MiT Strom Pipeline'!R$6:R$860,"offered")+SUMIFS('MiT Strom Pipeline'!I$6:I$860,'MiT Strom Pipeline'!R$6:R$860,"to be offered")+SUMIFS('MiT Strom Pipeline'!I$6:I$860,'MiT Strom Pipeline'!R$6:R$860,"on hold")+SUMIFS('MiT Strom Pipeline'!I$6:I$860,'MiT Strom Pipeline'!R$6:R$860,"follow-up")+SUMIFS('MiT Strom Pipeline'!I$6:I$860,'MiT Strom Pipeline'!R$6:R$860,"Evaluation")+SUMIFS('MiT Strom Pipeline'!I$6:I$860,'MiT Strom Pipeline'!R$6:R$860,"tbd")+SUMIFS('MiT Strom Pipeline'!I$6:I$860,'MiT Strom Pipeline'!R$6:R$860,"In evaluation")</f>
        <v>5631696.2</v>
      </c>
      <c r="G201" s="45" t="n"/>
      <c r="H201" s="34" t="n"/>
      <c r="I201" s="34" t="n"/>
      <c r="J201" s="35" t="n"/>
      <c r="L201" s="22" t="n"/>
      <c r="M201" s="22" t="n"/>
      <c r="N201" s="22" t="n"/>
      <c r="O201" s="22" t="n"/>
      <c r="P201" s="22" t="n"/>
      <c r="Q201" s="22" t="n"/>
      <c r="R201" s="22" t="n"/>
      <c r="S201" s="22" t="n"/>
    </row>
    <row r="202" ht="18" customHeight="1">
      <c r="A202" s="138" t="inlineStr">
        <is>
          <t xml:space="preserve">  → WON</t>
        </is>
      </c>
      <c r="F202" s="36">
        <f>SUMIFS('MiT Strom Pipeline'!I$6:I$860,'MiT Strom Pipeline'!R$6:R$860,"WON")</f>
        <v>694803.69</v>
      </c>
      <c r="G202" s="47" t="n"/>
      <c r="H202" s="37" t="n"/>
      <c r="I202" s="37" t="n"/>
      <c r="J202" s="38" t="n"/>
      <c r="L202" s="22" t="n"/>
      <c r="M202" s="22" t="n"/>
      <c r="N202" s="22" t="n"/>
      <c r="O202" s="22" t="n"/>
      <c r="P202" s="22" t="n"/>
      <c r="Q202" s="22" t="n"/>
      <c r="R202" s="22" t="n"/>
      <c r="S202" s="22" t="n"/>
    </row>
    <row r="203" ht="18" customHeight="1">
      <c r="A203" s="138" t="inlineStr">
        <is>
          <t xml:space="preserve">  → Offerte</t>
        </is>
      </c>
      <c r="F203" s="39">
        <f>SUMIFS('MiT Strom Pipeline'!I$6:I$860,'MiT Strom Pipeline'!R$6:R$860,"offered")+SUMIFS('MiT Strom Pipeline'!I$6:I$860,'MiT Strom Pipeline'!R$6:R$860,"to be offered")+SUMIFS('MiT Strom Pipeline'!I$6:I$860,'MiT Strom Pipeline'!R$6:R$860,"on hold")</f>
        <v>3559557.95</v>
      </c>
      <c r="G203" s="47" t="n"/>
      <c r="H203" s="37" t="n"/>
      <c r="I203" s="37" t="n"/>
      <c r="J203" s="38" t="n"/>
      <c r="L203" s="22" t="n"/>
      <c r="M203" s="22" t="n"/>
      <c r="N203" s="22" t="n"/>
      <c r="O203" s="22" t="n"/>
      <c r="P203" s="22" t="n"/>
      <c r="Q203" s="22" t="n"/>
      <c r="R203" s="22" t="n"/>
      <c r="S203" s="22" t="n"/>
    </row>
    <row r="204" ht="18" customHeight="1">
      <c r="A204" s="138" t="inlineStr">
        <is>
          <t xml:space="preserve">  → Opportunität</t>
        </is>
      </c>
      <c r="F204" s="40">
        <f>SUMIFS('MiT Strom Pipeline'!I$6:I$860,'MiT Strom Pipeline'!R$6:R$860,"follow-up")+SUMIFS('MiT Strom Pipeline'!I$6:I$860,'MiT Strom Pipeline'!R$6:R$860,"Evaluation")+SUMIFS('MiT Strom Pipeline'!I$6:I$860,'MiT Strom Pipeline'!R$6:R$860,"tbd")+SUMIFS('MiT Strom Pipeline'!I$6:I$860,'MiT Strom Pipeline'!R$6:R$860,"In evaluation")</f>
        <v>1377334.56</v>
      </c>
      <c r="G204" s="47" t="n"/>
      <c r="H204" s="37" t="n"/>
      <c r="I204" s="37" t="n"/>
      <c r="J204" s="38" t="n"/>
      <c r="L204" s="22" t="n"/>
      <c r="M204" s="22" t="n"/>
      <c r="N204" s="22" t="n"/>
      <c r="O204" s="22" t="n"/>
      <c r="P204" s="22" t="n"/>
      <c r="Q204" s="22" t="n"/>
      <c r="R204" s="22" t="n"/>
      <c r="S204" s="22" t="n"/>
    </row>
    <row r="205" ht="15" customHeight="1">
      <c r="D205" s="41" t="n"/>
      <c r="E205" s="41" t="n"/>
      <c r="J205" s="41" t="n"/>
      <c r="L205" s="22" t="n"/>
      <c r="M205" s="22" t="n"/>
      <c r="N205" s="22" t="n"/>
      <c r="O205" s="22" t="n"/>
      <c r="P205" s="22" t="n"/>
      <c r="Q205" s="22" t="n"/>
      <c r="R205" s="22" t="n"/>
      <c r="S205" s="22" t="n"/>
    </row>
    <row r="206" ht="13.5" customHeight="1">
      <c r="A206" s="139" t="str">
        <f>"Stand: "&amp;TEXT(TODAY(),"DD.MM.YYYY")&amp;"  |  Burak Ücöz  |  Mobil in Time AG – An Aggreko Company  |  VERTRAULICH"</f>
        <v>Stand: 13.07.2026  |  Burak Ücöz  |  Mobil in Time AG – An Aggreko Company  |  VERTRAULICH</v>
      </c>
      <c r="L206" s="22" t="n"/>
      <c r="M206" s="22" t="n"/>
      <c r="N206" s="22" t="n"/>
      <c r="O206" s="22" t="n"/>
      <c r="P206" s="22" t="n"/>
      <c r="Q206" s="22" t="n"/>
      <c r="R206" s="22" t="n"/>
      <c r="S206" s="22" t="n"/>
    </row>
    <row r="207" ht="15" customHeight="1">
      <c r="L207" s="22" t="n"/>
      <c r="M207" s="22" t="n"/>
      <c r="N207" s="22" t="n"/>
      <c r="O207" s="22" t="n"/>
      <c r="P207" s="22" t="n"/>
      <c r="Q207" s="22" t="n"/>
      <c r="R207" s="22" t="n"/>
      <c r="S207" s="22" t="n"/>
    </row>
    <row r="208" ht="15" customHeight="1">
      <c r="L208" s="22" t="n"/>
      <c r="M208" s="22" t="n"/>
      <c r="N208" s="22" t="n"/>
      <c r="O208" s="22" t="n"/>
      <c r="P208" s="22" t="n"/>
      <c r="Q208" s="22" t="n"/>
      <c r="R208" s="22" t="n"/>
      <c r="S208" s="22" t="n"/>
    </row>
    <row r="209" ht="15" customHeight="1">
      <c r="L209" s="22" t="n"/>
      <c r="M209" s="22" t="n"/>
      <c r="N209" s="22" t="n"/>
      <c r="O209" s="22" t="n"/>
      <c r="P209" s="22" t="n"/>
      <c r="Q209" s="22" t="n"/>
      <c r="R209" s="22" t="n"/>
      <c r="S209" s="22" t="n"/>
    </row>
    <row r="210" ht="15" customHeight="1">
      <c r="L210" s="22" t="n"/>
      <c r="M210" s="22" t="n"/>
      <c r="N210" s="22" t="n"/>
      <c r="O210" s="22" t="n"/>
      <c r="P210" s="22" t="n"/>
      <c r="Q210" s="22" t="n"/>
      <c r="R210" s="22" t="n"/>
      <c r="S210" s="22" t="n"/>
    </row>
    <row r="211" ht="15" customHeight="1">
      <c r="L211" s="22" t="n"/>
      <c r="M211" s="22" t="n"/>
      <c r="N211" s="22" t="n"/>
      <c r="O211" s="22" t="n"/>
      <c r="P211" s="22" t="n"/>
      <c r="Q211" s="22" t="n"/>
      <c r="R211" s="22" t="n"/>
      <c r="S211" s="22" t="n"/>
    </row>
    <row r="212" ht="15" customHeight="1">
      <c r="L212" s="22" t="n"/>
      <c r="M212" s="22" t="n"/>
      <c r="N212" s="22" t="n"/>
      <c r="O212" s="22" t="n"/>
      <c r="P212" s="22" t="n"/>
      <c r="Q212" s="22" t="n"/>
      <c r="R212" s="22" t="n"/>
      <c r="S212" s="22" t="n"/>
    </row>
    <row r="213" ht="15" customHeight="1">
      <c r="L213" s="22" t="n"/>
      <c r="M213" s="22" t="n"/>
      <c r="N213" s="22" t="n"/>
      <c r="O213" s="22" t="n"/>
      <c r="P213" s="22" t="n"/>
      <c r="Q213" s="22" t="n"/>
      <c r="R213" s="22" t="n"/>
      <c r="S213" s="22" t="n"/>
    </row>
    <row r="214" ht="15" customHeight="1">
      <c r="L214" s="22" t="n"/>
      <c r="M214" s="22" t="n"/>
      <c r="N214" s="22" t="n"/>
      <c r="O214" s="22" t="n"/>
      <c r="P214" s="22" t="n"/>
      <c r="Q214" s="22" t="n"/>
      <c r="R214" s="22" t="n"/>
      <c r="S214" s="22" t="n"/>
    </row>
    <row r="215" ht="15" customHeight="1">
      <c r="L215" s="22" t="n"/>
      <c r="M215" s="22" t="n"/>
      <c r="N215" s="22" t="n"/>
      <c r="O215" s="22" t="n"/>
      <c r="P215" s="22" t="n"/>
      <c r="Q215" s="22" t="n"/>
      <c r="R215" s="22" t="n"/>
      <c r="S215" s="22" t="n"/>
    </row>
    <row r="216" ht="15" customHeight="1">
      <c r="L216" s="22" t="n"/>
      <c r="M216" s="22" t="n"/>
      <c r="N216" s="22" t="n"/>
      <c r="O216" s="22" t="n"/>
      <c r="P216" s="22" t="n"/>
      <c r="Q216" s="22" t="n"/>
      <c r="R216" s="22" t="n"/>
      <c r="S216" s="22" t="n"/>
    </row>
    <row r="217" ht="15" customHeight="1">
      <c r="L217" s="22" t="n"/>
      <c r="M217" s="22" t="n"/>
      <c r="N217" s="22" t="n"/>
      <c r="O217" s="22" t="n"/>
      <c r="P217" s="22" t="n"/>
      <c r="Q217" s="22" t="n"/>
      <c r="R217" s="22" t="n"/>
      <c r="S217" s="22" t="n"/>
    </row>
    <row r="218" ht="15" customHeight="1">
      <c r="L218" s="22" t="n"/>
      <c r="M218" s="22" t="n"/>
      <c r="N218" s="22" t="n"/>
      <c r="O218" s="22" t="n"/>
      <c r="P218" s="22" t="n"/>
      <c r="Q218" s="22" t="n"/>
      <c r="R218" s="22" t="n"/>
      <c r="S218" s="22" t="n"/>
    </row>
    <row r="219" ht="15" customHeight="1">
      <c r="L219" s="22" t="n"/>
      <c r="M219" s="22" t="n"/>
      <c r="N219" s="22" t="n"/>
      <c r="O219" s="22" t="n"/>
      <c r="P219" s="22" t="n"/>
      <c r="Q219" s="22" t="n"/>
      <c r="R219" s="22" t="n"/>
      <c r="S219" s="22" t="n"/>
    </row>
  </sheetData>
  <autoFilter ref="A10:K72"/>
  <mergeCells count="23">
    <mergeCell ref="A201:E201"/>
    <mergeCell ref="A206:J206"/>
    <mergeCell ref="A73:K73"/>
    <mergeCell ref="D7:F7"/>
    <mergeCell ref="A1:K1"/>
    <mergeCell ref="G7:H7"/>
    <mergeCell ref="A5:C5"/>
    <mergeCell ref="I5:K5"/>
    <mergeCell ref="A137:K137"/>
    <mergeCell ref="G6:H6"/>
    <mergeCell ref="I7:K7"/>
    <mergeCell ref="A3:K3"/>
    <mergeCell ref="A204:E204"/>
    <mergeCell ref="D5:F5"/>
    <mergeCell ref="A2:K2"/>
    <mergeCell ref="G5:H5"/>
    <mergeCell ref="A203:E203"/>
    <mergeCell ref="I6:K6"/>
    <mergeCell ref="A6:C6"/>
    <mergeCell ref="A202:E202"/>
    <mergeCell ref="A7:C7"/>
    <mergeCell ref="D6:F6"/>
    <mergeCell ref="A9:K9"/>
  </mergeCells>
  <conditionalFormatting sqref="I11:I200">
    <cfRule type="cellIs" priority="1" operator="equal" dxfId="9" stopIfTrue="1">
      <formula>"WON"</formula>
    </cfRule>
    <cfRule type="cellIs" priority="2" operator="equal" dxfId="8" stopIfTrue="1">
      <formula>"offered"</formula>
    </cfRule>
    <cfRule type="cellIs" priority="3" operator="equal" dxfId="7" stopIfTrue="1">
      <formula>"to be offered"</formula>
    </cfRule>
    <cfRule type="cellIs" priority="4" operator="equal" dxfId="6" stopIfTrue="1">
      <formula>"follow-up"</formula>
    </cfRule>
    <cfRule type="cellIs" priority="5" operator="equal" dxfId="4" stopIfTrue="1">
      <formula>"Evaluation"</formula>
    </cfRule>
    <cfRule type="cellIs" priority="6" operator="equal" dxfId="4" stopIfTrue="1">
      <formula>"In evaluation"</formula>
    </cfRule>
    <cfRule type="cellIs" priority="7" operator="equal" dxfId="3" stopIfTrue="1">
      <formula>"on hold"</formula>
    </cfRule>
    <cfRule type="cellIs" priority="8" operator="equal" dxfId="2" stopIfTrue="1">
      <formula>"tbd"</formula>
    </cfRule>
    <cfRule type="cellIs" priority="9" operator="equal" dxfId="1" stopIfTrue="1">
      <formula>"LOST"</formula>
    </cfRule>
    <cfRule type="cellIs" priority="10" operator="equal" dxfId="0" stopIfTrue="1">
      <formula>"Declined"</formula>
    </cfRule>
  </conditionalFormatting>
  <printOptions horizontalCentered="1"/>
  <pageMargins left="0.3" right="0.3" top="0.5" bottom="0.5" header="0.2" footer="0.2"/>
  <pageSetup orientation="landscape" paperSize="9" fitToHeight="0" horizontalDpi="300" verticalDpi="300"/>
  <headerFooter>
    <oddHeader>&amp;C&amp;"Calibri,Bold"&amp;14 MiT Strom Schweiz — Dashboard</oddHeader>
    <oddFooter>&amp;LMobil in Time AG · An Aggreko Company&amp;RSeite &amp;P von &amp;N</oddFooter>
    <evenHeader/>
    <evenFooter/>
    <firstHeader/>
    <firstFooter/>
  </headerFooter>
  <rowBreaks count="2" manualBreakCount="2">
    <brk id="72" min="0" max="16383" man="1"/>
    <brk id="136" min="0" max="16383" man="1"/>
  </rowBreaks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FFF57C00"/>
    <outlinePr summaryBelow="1" summaryRight="1"/>
    <pageSetUpPr fitToPage="1"/>
  </sheetPr>
  <dimension ref="A1:R100"/>
  <sheetViews>
    <sheetView showGridLines="0" topLeftCell="A9" zoomScale="85" zoomScaleNormal="85" workbookViewId="0">
      <selection activeCell="A1" sqref="A1"/>
    </sheetView>
  </sheetViews>
  <sheetFormatPr baseColWidth="8" defaultColWidth="8.5703125" defaultRowHeight="15"/>
  <cols>
    <col width="11" customWidth="1" min="1" max="18"/>
  </cols>
  <sheetData>
    <row r="1" ht="31.5" customHeight="1">
      <c r="A1" s="157" t="inlineStr">
        <is>
          <t>📊  MiT Strom Schweiz — Diagramme &amp; Visualisierungen</t>
        </is>
      </c>
    </row>
    <row r="2" ht="15.75" customHeight="1">
      <c r="A2" s="168" t="inlineStr">
        <is>
          <t xml:space="preserve">  Auto-Update aus «MiT Strom Pipeline» — keine Datenpflege hier nötig</t>
        </is>
      </c>
    </row>
    <row r="3" ht="15.75" customHeight="1"/>
    <row r="4" ht="15.75" customHeight="1">
      <c r="A4" s="50" t="inlineStr">
        <is>
          <t>📊 Status-Verteilung (Anzahl)</t>
        </is>
      </c>
      <c r="B4" s="22" t="n"/>
      <c r="C4" s="22" t="n"/>
      <c r="D4" s="22" t="n"/>
      <c r="E4" s="22" t="n"/>
      <c r="F4" s="22" t="n"/>
      <c r="G4" s="22" t="n"/>
      <c r="H4" s="22" t="n"/>
      <c r="I4" s="22" t="n"/>
      <c r="J4" s="50" t="inlineStr">
        <is>
          <t>💰 Status nach Volumen CHF</t>
        </is>
      </c>
      <c r="K4" s="22" t="n"/>
      <c r="L4" s="22" t="n"/>
      <c r="M4" s="22" t="n"/>
      <c r="N4" s="22" t="n"/>
      <c r="O4" s="22" t="n"/>
      <c r="P4" s="22" t="n"/>
      <c r="Q4" s="22" t="n"/>
      <c r="R4" s="22" t="n"/>
    </row>
    <row r="5" ht="15.75" customHeight="1">
      <c r="A5" s="22" t="n"/>
      <c r="B5" s="22" t="n"/>
      <c r="C5" s="22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</row>
    <row r="6" ht="15.75" customHeight="1">
      <c r="A6" s="22" t="n"/>
      <c r="B6" s="22" t="n"/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  <c r="Q6" s="22" t="n"/>
      <c r="R6" s="22" t="n"/>
    </row>
    <row r="7" ht="15.75" customHeight="1">
      <c r="A7" s="22" t="n"/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</row>
    <row r="8" ht="15.75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</row>
    <row r="9" ht="15.75" customHeight="1">
      <c r="A9" s="22" t="n"/>
      <c r="B9" s="22" t="n"/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</row>
    <row r="10" ht="15.75" customHeight="1">
      <c r="A10" s="22" t="n"/>
      <c r="B10" s="22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</row>
    <row r="11" ht="15.75" customHeight="1">
      <c r="A11" s="22" t="n"/>
      <c r="B11" s="22" t="n"/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</row>
    <row r="12" ht="15.75" customHeight="1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</row>
    <row r="13" ht="15.75" customHeight="1">
      <c r="A13" s="22" t="n"/>
      <c r="B13" s="22" t="n"/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</row>
    <row r="14" ht="15.75" customHeight="1">
      <c r="A14" s="22" t="n"/>
      <c r="B14" s="22" t="n"/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22" t="n"/>
      <c r="R14" s="22" t="n"/>
    </row>
    <row r="15" ht="15.75" customHeight="1">
      <c r="A15" s="22" t="n"/>
      <c r="B15" s="22" t="n"/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</row>
    <row r="16" ht="15.75" customHeight="1">
      <c r="A16" s="22" t="n"/>
      <c r="B16" s="22" t="n"/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</row>
    <row r="17" ht="15.75" customHeight="1">
      <c r="A17" s="22" t="n"/>
      <c r="B17" s="22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</row>
    <row r="18" ht="15.75" customHeight="1">
      <c r="A18" s="22" t="n"/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</row>
    <row r="19" ht="15.75" customHeight="1">
      <c r="A19" s="22" t="n"/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</row>
    <row r="20" ht="15.75" customHeight="1">
      <c r="A20" s="22" t="n"/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</row>
    <row r="21" ht="15.75" customHeight="1">
      <c r="A21" s="22" t="n"/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</row>
    <row r="22" ht="7.5" customHeight="1">
      <c r="A22" s="22" t="n"/>
      <c r="B22" s="22" t="n"/>
      <c r="C22" s="23" t="n"/>
      <c r="D22" s="22" t="n"/>
      <c r="E22" s="22" t="n"/>
      <c r="F22" s="23" t="n"/>
      <c r="G22" s="22" t="n"/>
      <c r="H22" s="22" t="n"/>
      <c r="I22" s="22" t="n"/>
      <c r="J22" s="23" t="n"/>
      <c r="K22" s="22" t="n"/>
      <c r="L22" s="22" t="n"/>
      <c r="M22" s="22" t="n"/>
      <c r="N22" s="22" t="n"/>
      <c r="O22" s="22" t="n"/>
      <c r="P22" s="22" t="n"/>
      <c r="Q22" s="22" t="n"/>
      <c r="R22" s="22" t="n"/>
    </row>
    <row r="23" ht="7.5" customHeight="1">
      <c r="A23" s="22" t="n"/>
      <c r="B23" s="22" t="n"/>
      <c r="C23" s="23" t="n"/>
      <c r="D23" s="22" t="n"/>
      <c r="E23" s="22" t="n"/>
      <c r="F23" s="23" t="n"/>
      <c r="G23" s="22" t="n"/>
      <c r="H23" s="22" t="n"/>
      <c r="I23" s="22" t="n"/>
      <c r="J23" s="23" t="n"/>
      <c r="K23" s="22" t="n"/>
      <c r="L23" s="22" t="n"/>
      <c r="M23" s="22" t="n"/>
      <c r="N23" s="22" t="n"/>
      <c r="O23" s="22" t="n"/>
      <c r="P23" s="22" t="n"/>
      <c r="Q23" s="22" t="n"/>
      <c r="R23" s="22" t="n"/>
    </row>
    <row r="24" ht="15.75" customHeight="1">
      <c r="B24" s="22" t="n"/>
      <c r="C24" s="23" t="n"/>
      <c r="D24" s="22" t="n"/>
      <c r="E24" s="22" t="n"/>
      <c r="F24" s="23" t="n"/>
      <c r="G24" s="22" t="n"/>
      <c r="H24" s="22" t="n"/>
      <c r="I24" s="22" t="n"/>
      <c r="M24" s="22" t="n"/>
      <c r="N24" s="22" t="n"/>
      <c r="O24" s="22" t="n"/>
      <c r="P24" s="22" t="n"/>
      <c r="Q24" s="22" t="n"/>
      <c r="R24" s="22" t="n"/>
    </row>
    <row r="25" ht="15.75" customHeight="1">
      <c r="A25" s="22" t="n"/>
      <c r="B25" s="22" t="n"/>
      <c r="C25" s="23" t="n"/>
      <c r="D25" s="22" t="n"/>
      <c r="E25" s="22" t="n"/>
      <c r="F25" s="23" t="n"/>
      <c r="G25" s="22" t="n"/>
      <c r="H25" s="22" t="n"/>
      <c r="I25" s="22" t="n"/>
      <c r="J25" s="23" t="n"/>
      <c r="K25" s="22" t="n"/>
      <c r="L25" s="22" t="n"/>
      <c r="M25" s="22" t="n"/>
      <c r="N25" s="22" t="n"/>
      <c r="O25" s="22" t="n"/>
      <c r="P25" s="22" t="n"/>
      <c r="Q25" s="22" t="n"/>
      <c r="R25" s="22" t="n"/>
    </row>
    <row r="26" ht="15.75" customHeight="1">
      <c r="A26" s="22" t="n"/>
      <c r="B26" s="22" t="n"/>
      <c r="C26" s="23" t="n"/>
      <c r="D26" s="22" t="n"/>
      <c r="E26" s="22" t="n"/>
      <c r="F26" s="23" t="n"/>
      <c r="G26" s="22" t="n"/>
      <c r="H26" s="22" t="n"/>
      <c r="I26" s="22" t="n"/>
      <c r="J26" s="23" t="n"/>
      <c r="K26" s="22" t="n"/>
      <c r="L26" s="22" t="n"/>
      <c r="M26" s="22" t="n"/>
      <c r="N26" s="22" t="n"/>
      <c r="O26" s="22" t="n"/>
      <c r="P26" s="22" t="n"/>
      <c r="Q26" s="22" t="n"/>
      <c r="R26" s="22" t="n"/>
    </row>
    <row r="27" ht="15.75" customHeight="1">
      <c r="A27" s="22" t="n"/>
      <c r="B27" s="22" t="n"/>
      <c r="C27" s="23" t="n"/>
      <c r="D27" s="22" t="n"/>
      <c r="E27" s="22" t="n"/>
      <c r="F27" s="23" t="n"/>
      <c r="G27" s="22" t="n"/>
      <c r="H27" s="22" t="n"/>
      <c r="I27" s="22" t="n"/>
      <c r="J27" s="23" t="n"/>
      <c r="K27" s="22" t="n"/>
      <c r="L27" s="22" t="n"/>
      <c r="M27" s="22" t="n"/>
      <c r="N27" s="22" t="n"/>
      <c r="O27" s="22" t="n"/>
      <c r="P27" s="22" t="n"/>
      <c r="Q27" s="22" t="n"/>
      <c r="R27" s="22" t="n"/>
    </row>
    <row r="28" ht="15.75" customHeight="1">
      <c r="A28" s="50" t="inlineStr">
        <is>
          <t>🗺  Volumen nach Kanton</t>
        </is>
      </c>
      <c r="B28" s="22" t="n"/>
      <c r="C28" s="23" t="n"/>
      <c r="D28" s="22" t="n"/>
      <c r="E28" s="22" t="n"/>
      <c r="F28" s="23" t="n"/>
      <c r="G28" s="22" t="n"/>
      <c r="H28" s="22" t="n"/>
      <c r="I28" s="22" t="n"/>
      <c r="J28" s="51" t="inlineStr">
        <is>
          <t>🏭 Volumen nach Segment</t>
        </is>
      </c>
      <c r="K28" s="22" t="n"/>
      <c r="L28" s="22" t="n"/>
      <c r="M28" s="22" t="n"/>
      <c r="N28" s="22" t="n"/>
      <c r="O28" s="22" t="n"/>
      <c r="P28" s="22" t="n"/>
      <c r="Q28" s="22" t="n"/>
      <c r="R28" s="22" t="n"/>
    </row>
    <row r="29" ht="15.75" customHeight="1">
      <c r="A29" s="22" t="n"/>
      <c r="B29" s="22" t="n"/>
      <c r="C29" s="23" t="n"/>
      <c r="D29" s="22" t="n"/>
      <c r="E29" s="22" t="n"/>
      <c r="F29" s="23" t="n"/>
      <c r="G29" s="22" t="n"/>
      <c r="H29" s="22" t="n"/>
      <c r="I29" s="22" t="n"/>
      <c r="J29" s="23" t="n"/>
      <c r="K29" s="22" t="n"/>
      <c r="L29" s="22" t="n"/>
      <c r="M29" s="22" t="n"/>
      <c r="N29" s="22" t="n"/>
      <c r="O29" s="22" t="n"/>
      <c r="P29" s="22" t="n"/>
      <c r="Q29" s="22" t="n"/>
      <c r="R29" s="22" t="n"/>
    </row>
    <row r="30" ht="15.75" customHeight="1">
      <c r="A30" s="22" t="n"/>
      <c r="B30" s="22" t="n"/>
      <c r="C30" s="23" t="n"/>
      <c r="D30" s="22" t="n"/>
      <c r="E30" s="22" t="n"/>
      <c r="F30" s="23" t="n"/>
      <c r="G30" s="22" t="n"/>
      <c r="H30" s="22" t="n"/>
      <c r="I30" s="22" t="n"/>
      <c r="J30" s="23" t="n"/>
      <c r="K30" s="22" t="n"/>
      <c r="L30" s="22" t="n"/>
      <c r="M30" s="22" t="n"/>
      <c r="N30" s="22" t="n"/>
      <c r="O30" s="22" t="n"/>
      <c r="P30" s="22" t="n"/>
      <c r="Q30" s="22" t="n"/>
      <c r="R30" s="22" t="n"/>
    </row>
    <row r="31" ht="15.75" customHeight="1">
      <c r="A31" s="22" t="n"/>
      <c r="B31" s="22" t="n"/>
      <c r="C31" s="23" t="n"/>
      <c r="D31" s="22" t="n"/>
      <c r="E31" s="22" t="n"/>
      <c r="F31" s="23" t="n"/>
      <c r="G31" s="22" t="n"/>
      <c r="H31" s="22" t="n"/>
      <c r="I31" s="22" t="n"/>
      <c r="J31" s="23" t="n"/>
      <c r="K31" s="22" t="n"/>
      <c r="L31" s="22" t="n"/>
      <c r="M31" s="22" t="n"/>
      <c r="N31" s="22" t="n"/>
      <c r="O31" s="22" t="n"/>
      <c r="P31" s="22" t="n"/>
      <c r="Q31" s="22" t="n"/>
      <c r="R31" s="22" t="n"/>
    </row>
    <row r="32" ht="15.75" customHeight="1">
      <c r="A32" s="22" t="n"/>
      <c r="B32" s="22" t="n"/>
      <c r="C32" s="22" t="n"/>
      <c r="D32" s="22" t="n"/>
      <c r="E32" s="22" t="n"/>
      <c r="F32" s="23" t="n"/>
      <c r="G32" s="22" t="n"/>
      <c r="H32" s="22" t="n"/>
      <c r="I32" s="22" t="n"/>
      <c r="J32" s="23" t="n"/>
      <c r="K32" s="22" t="n"/>
      <c r="L32" s="22" t="n"/>
      <c r="M32" s="22" t="n"/>
      <c r="N32" s="22" t="n"/>
      <c r="O32" s="22" t="n"/>
      <c r="P32" s="22" t="n"/>
      <c r="Q32" s="22" t="n"/>
      <c r="R32" s="22" t="n"/>
    </row>
    <row r="33" ht="15.75" customHeight="1">
      <c r="A33" s="22" t="n"/>
      <c r="B33" s="22" t="n"/>
      <c r="C33" s="22" t="n"/>
      <c r="D33" s="22" t="n"/>
      <c r="E33" s="22" t="n"/>
      <c r="F33" s="23" t="n"/>
      <c r="G33" s="22" t="n"/>
      <c r="H33" s="22" t="n"/>
      <c r="I33" s="22" t="n"/>
      <c r="J33" s="23" t="n"/>
      <c r="K33" s="22" t="n"/>
      <c r="L33" s="22" t="n"/>
      <c r="M33" s="22" t="n"/>
      <c r="N33" s="22" t="n"/>
      <c r="O33" s="22" t="n"/>
      <c r="P33" s="22" t="n"/>
      <c r="Q33" s="22" t="n"/>
      <c r="R33" s="22" t="n"/>
    </row>
    <row r="34" ht="15.75" customHeight="1">
      <c r="A34" s="22" t="n"/>
      <c r="B34" s="22" t="n"/>
      <c r="C34" s="22" t="n"/>
      <c r="D34" s="22" t="n"/>
      <c r="E34" s="22" t="n"/>
      <c r="F34" s="23" t="n"/>
      <c r="G34" s="22" t="n"/>
      <c r="H34" s="22" t="n"/>
      <c r="I34" s="22" t="n"/>
      <c r="J34" s="23" t="n"/>
      <c r="K34" s="22" t="n"/>
      <c r="L34" s="22" t="n"/>
      <c r="M34" s="22" t="n"/>
      <c r="N34" s="22" t="n"/>
      <c r="O34" s="22" t="n"/>
      <c r="P34" s="22" t="n"/>
      <c r="Q34" s="22" t="n"/>
      <c r="R34" s="22" t="n"/>
    </row>
    <row r="35" ht="15.75" customHeight="1">
      <c r="A35" s="22" t="n"/>
      <c r="B35" s="22" t="n"/>
      <c r="C35" s="22" t="n"/>
      <c r="D35" s="22" t="n"/>
      <c r="E35" s="22" t="n"/>
      <c r="F35" s="23" t="n"/>
      <c r="G35" s="22" t="n"/>
      <c r="H35" s="22" t="n"/>
      <c r="I35" s="22" t="n"/>
      <c r="J35" s="23" t="n"/>
      <c r="K35" s="22" t="n"/>
      <c r="L35" s="22" t="n"/>
      <c r="M35" s="22" t="n"/>
      <c r="N35" s="22" t="n"/>
      <c r="O35" s="22" t="n"/>
      <c r="P35" s="22" t="n"/>
      <c r="Q35" s="22" t="n"/>
      <c r="R35" s="22" t="n"/>
    </row>
    <row r="36" ht="15.75" customHeight="1">
      <c r="A36" s="22" t="n"/>
      <c r="B36" s="22" t="n"/>
      <c r="C36" s="22" t="n"/>
      <c r="D36" s="22" t="n"/>
      <c r="E36" s="22" t="n"/>
      <c r="F36" s="23" t="n"/>
      <c r="G36" s="22" t="n"/>
      <c r="H36" s="22" t="n"/>
      <c r="I36" s="22" t="n"/>
      <c r="J36" s="23" t="n"/>
      <c r="K36" s="22" t="n"/>
      <c r="L36" s="22" t="n"/>
      <c r="M36" s="22" t="n"/>
      <c r="N36" s="22" t="n"/>
      <c r="O36" s="22" t="n"/>
      <c r="P36" s="22" t="n"/>
      <c r="Q36" s="22" t="n"/>
      <c r="R36" s="22" t="n"/>
    </row>
    <row r="37" ht="15.75" customHeight="1">
      <c r="A37" s="22" t="n"/>
      <c r="B37" s="22" t="n"/>
      <c r="C37" s="22" t="n"/>
      <c r="D37" s="22" t="n"/>
      <c r="E37" s="22" t="n"/>
      <c r="F37" s="22" t="n"/>
      <c r="G37" s="22" t="n"/>
      <c r="H37" s="22" t="n"/>
      <c r="I37" s="22" t="n"/>
      <c r="J37" s="23" t="n"/>
      <c r="K37" s="22" t="n"/>
      <c r="L37" s="22" t="n"/>
      <c r="M37" s="22" t="n"/>
      <c r="N37" s="22" t="n"/>
      <c r="O37" s="22" t="n"/>
      <c r="P37" s="22" t="n"/>
      <c r="Q37" s="22" t="n"/>
      <c r="R37" s="22" t="n"/>
    </row>
    <row r="38" ht="15.75" customHeight="1">
      <c r="A38" s="22" t="n"/>
      <c r="B38" s="22" t="n"/>
      <c r="C38" s="22" t="n"/>
      <c r="D38" s="22" t="n"/>
      <c r="E38" s="22" t="n"/>
      <c r="F38" s="22" t="n"/>
      <c r="G38" s="22" t="n"/>
      <c r="H38" s="22" t="n"/>
      <c r="I38" s="22" t="n"/>
      <c r="J38" s="23" t="n"/>
      <c r="K38" s="22" t="n"/>
      <c r="L38" s="22" t="n"/>
      <c r="M38" s="22" t="n"/>
      <c r="N38" s="22" t="n"/>
      <c r="O38" s="22" t="n"/>
      <c r="P38" s="22" t="n"/>
      <c r="Q38" s="22" t="n"/>
      <c r="R38" s="22" t="n"/>
    </row>
    <row r="39" ht="15.75" customHeight="1">
      <c r="A39" s="22" t="n"/>
      <c r="B39" s="22" t="n"/>
      <c r="C39" s="22" t="n"/>
      <c r="D39" s="22" t="n"/>
      <c r="E39" s="22" t="n"/>
      <c r="F39" s="22" t="n"/>
      <c r="G39" s="22" t="n"/>
      <c r="H39" s="22" t="n"/>
      <c r="I39" s="22" t="n"/>
      <c r="J39" s="23" t="n"/>
      <c r="K39" s="22" t="n"/>
      <c r="L39" s="22" t="n"/>
      <c r="M39" s="22" t="n"/>
      <c r="N39" s="22" t="n"/>
      <c r="O39" s="22" t="n"/>
      <c r="P39" s="22" t="n"/>
      <c r="Q39" s="22" t="n"/>
      <c r="R39" s="22" t="n"/>
    </row>
    <row r="40" ht="15.75" customHeight="1">
      <c r="A40" s="22" t="n"/>
      <c r="B40" s="22" t="n"/>
      <c r="C40" s="22" t="n"/>
      <c r="D40" s="22" t="n"/>
      <c r="E40" s="22" t="n"/>
      <c r="F40" s="22" t="n"/>
      <c r="G40" s="22" t="n"/>
      <c r="H40" s="22" t="n"/>
      <c r="I40" s="22" t="n"/>
      <c r="J40" s="23" t="n"/>
      <c r="K40" s="22" t="n"/>
      <c r="L40" s="22" t="n"/>
      <c r="M40" s="22" t="n"/>
      <c r="N40" s="22" t="n"/>
      <c r="O40" s="22" t="n"/>
      <c r="P40" s="22" t="n"/>
      <c r="Q40" s="22" t="n"/>
      <c r="R40" s="22" t="n"/>
    </row>
    <row r="41" ht="15.75" customHeight="1">
      <c r="A41" s="22" t="n"/>
      <c r="B41" s="22" t="n"/>
      <c r="C41" s="22" t="n"/>
      <c r="D41" s="22" t="n"/>
      <c r="E41" s="22" t="n"/>
      <c r="F41" s="22" t="n"/>
      <c r="G41" s="22" t="n"/>
      <c r="H41" s="22" t="n"/>
      <c r="I41" s="22" t="n"/>
      <c r="J41" s="23" t="n"/>
      <c r="K41" s="22" t="n"/>
      <c r="L41" s="22" t="n"/>
      <c r="M41" s="22" t="n"/>
      <c r="N41" s="22" t="n"/>
      <c r="O41" s="22" t="n"/>
      <c r="P41" s="22" t="n"/>
      <c r="Q41" s="22" t="n"/>
      <c r="R41" s="22" t="n"/>
    </row>
    <row r="42" ht="15.75" customHeight="1">
      <c r="A42" s="22" t="n"/>
      <c r="B42" s="22" t="n"/>
      <c r="C42" s="22" t="n"/>
      <c r="D42" s="22" t="n"/>
      <c r="E42" s="22" t="n"/>
      <c r="F42" s="22" t="n"/>
      <c r="G42" s="22" t="n"/>
      <c r="H42" s="22" t="n"/>
      <c r="I42" s="22" t="n"/>
      <c r="J42" s="23" t="n"/>
      <c r="K42" s="22" t="n"/>
      <c r="L42" s="22" t="n"/>
      <c r="M42" s="22" t="n"/>
      <c r="N42" s="22" t="n"/>
      <c r="O42" s="22" t="n"/>
      <c r="P42" s="22" t="n"/>
      <c r="Q42" s="22" t="n"/>
      <c r="R42" s="22" t="n"/>
    </row>
    <row r="43" ht="15.75" customHeight="1">
      <c r="A43" s="22" t="n"/>
      <c r="B43" s="22" t="n"/>
      <c r="C43" s="22" t="n"/>
      <c r="D43" s="22" t="n"/>
      <c r="E43" s="22" t="n"/>
      <c r="F43" s="22" t="n"/>
      <c r="G43" s="22" t="n"/>
      <c r="H43" s="22" t="n"/>
      <c r="I43" s="22" t="n"/>
      <c r="J43" s="23" t="n"/>
      <c r="K43" s="22" t="n"/>
      <c r="L43" s="22" t="n"/>
      <c r="M43" s="22" t="n"/>
      <c r="N43" s="22" t="n"/>
      <c r="O43" s="22" t="n"/>
      <c r="P43" s="22" t="n"/>
      <c r="Q43" s="22" t="n"/>
      <c r="R43" s="22" t="n"/>
    </row>
    <row r="44" ht="15" customHeight="1">
      <c r="A44" s="22" t="n"/>
      <c r="B44" s="22" t="n"/>
      <c r="C44" s="22" t="n"/>
      <c r="D44" s="22" t="n"/>
      <c r="E44" s="22" t="n"/>
      <c r="F44" s="22" t="n"/>
      <c r="G44" s="22" t="n"/>
      <c r="H44" s="22" t="n"/>
      <c r="I44" s="22" t="n"/>
      <c r="J44" s="23" t="n"/>
      <c r="K44" s="22" t="n"/>
      <c r="L44" s="22" t="n"/>
      <c r="M44" s="22" t="n"/>
      <c r="N44" s="22" t="n"/>
      <c r="O44" s="22" t="n"/>
      <c r="P44" s="22" t="n"/>
      <c r="Q44" s="22" t="n"/>
      <c r="R44" s="22" t="n"/>
    </row>
    <row r="45" ht="15" customHeight="1">
      <c r="A45" s="22" t="n"/>
      <c r="B45" s="22" t="n"/>
      <c r="C45" s="22" t="n"/>
      <c r="D45" s="22" t="n"/>
      <c r="E45" s="22" t="n"/>
      <c r="F45" s="22" t="n"/>
      <c r="G45" s="22" t="n"/>
      <c r="H45" s="22" t="n"/>
      <c r="I45" s="22" t="n"/>
      <c r="J45" s="23" t="n"/>
      <c r="K45" s="22" t="n"/>
      <c r="L45" s="22" t="n"/>
      <c r="M45" s="22" t="n"/>
      <c r="N45" s="22" t="n"/>
      <c r="O45" s="22" t="n"/>
      <c r="P45" s="22" t="n"/>
      <c r="Q45" s="22" t="n"/>
      <c r="R45" s="22" t="n"/>
    </row>
    <row r="46" ht="15" customHeight="1">
      <c r="A46" s="22" t="n"/>
      <c r="B46" s="22" t="n"/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</row>
    <row r="47" ht="15" customHeight="1">
      <c r="A47" s="22" t="n"/>
      <c r="B47" s="22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</row>
    <row r="48" ht="15" customHeight="1">
      <c r="A48" s="22" t="n"/>
      <c r="B48" s="22" t="n"/>
      <c r="C48" s="22" t="n"/>
      <c r="D48" s="22" t="n"/>
      <c r="E48" s="22" t="n"/>
      <c r="F48" s="22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22" t="n"/>
      <c r="P48" s="22" t="n"/>
      <c r="Q48" s="22" t="n"/>
      <c r="R48" s="22" t="n"/>
    </row>
    <row r="49" ht="15" customHeight="1">
      <c r="A49" s="22" t="n"/>
      <c r="B49" s="22" t="n"/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2" t="n"/>
      <c r="P49" s="22" t="n"/>
      <c r="Q49" s="22" t="n"/>
      <c r="R49" s="22" t="n"/>
    </row>
    <row r="50" ht="15" customHeight="1">
      <c r="A50" s="22" t="n"/>
      <c r="B50" s="22" t="n"/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22" t="n"/>
      <c r="P50" s="22" t="n"/>
      <c r="Q50" s="22" t="n"/>
      <c r="R50" s="22" t="n"/>
    </row>
    <row r="51" ht="15" customHeight="1">
      <c r="A51" s="22" t="n"/>
      <c r="B51" s="22" t="n"/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2" t="n"/>
      <c r="P51" s="22" t="n"/>
      <c r="Q51" s="22" t="n"/>
      <c r="R51" s="22" t="n"/>
    </row>
    <row r="52" ht="15" customHeight="1">
      <c r="A52" s="22" t="n"/>
      <c r="B52" s="22" t="n"/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</row>
    <row r="53" ht="15" customHeight="1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  <c r="R53" s="22" t="n"/>
    </row>
    <row r="54" ht="15" customHeight="1">
      <c r="A54" s="22" t="n"/>
      <c r="B54" s="22" t="n"/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</row>
    <row r="55" ht="15" customHeight="1">
      <c r="A55" s="22" t="n"/>
      <c r="B55" s="22" t="n"/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2" t="n"/>
      <c r="R55" s="22" t="n"/>
    </row>
    <row r="56" ht="15" customHeight="1">
      <c r="A56" s="22" t="n"/>
      <c r="B56" s="22" t="n"/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</row>
    <row r="57" ht="15" customHeight="1">
      <c r="A57" s="22" t="n"/>
      <c r="B57" s="22" t="n"/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2" t="n"/>
      <c r="P57" s="22" t="n"/>
      <c r="Q57" s="22" t="n"/>
      <c r="R57" s="22" t="n"/>
    </row>
    <row r="58" ht="15" customHeight="1">
      <c r="A58" s="22" t="n"/>
      <c r="B58" s="22" t="n"/>
      <c r="C58" s="22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2" t="n"/>
      <c r="P58" s="22" t="n"/>
      <c r="Q58" s="22" t="n"/>
      <c r="R58" s="22" t="n"/>
    </row>
    <row r="59" ht="15" customHeight="1">
      <c r="A59" s="22" t="n"/>
      <c r="B59" s="22" t="n"/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2" t="n"/>
      <c r="P59" s="22" t="n"/>
      <c r="Q59" s="22" t="n"/>
      <c r="R59" s="22" t="n"/>
    </row>
    <row r="60" ht="15" customHeight="1">
      <c r="A60" s="22" t="n"/>
      <c r="B60" s="22" t="n"/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2" t="n"/>
      <c r="P60" s="22" t="n"/>
      <c r="Q60" s="22" t="n"/>
      <c r="R60" s="22" t="n"/>
    </row>
    <row r="61" ht="15" customHeight="1">
      <c r="A61" s="22" t="n"/>
      <c r="B61" s="22" t="n"/>
      <c r="C61" s="22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2" t="n"/>
      <c r="P61" s="22" t="n"/>
      <c r="Q61" s="22" t="n"/>
      <c r="R61" s="22" t="n"/>
    </row>
    <row r="62" ht="15" customHeight="1">
      <c r="A62" s="22" t="n"/>
      <c r="B62" s="22" t="n"/>
      <c r="C62" s="22" t="n"/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2" t="n"/>
      <c r="P62" s="22" t="n"/>
      <c r="Q62" s="22" t="n"/>
      <c r="R62" s="22" t="n"/>
    </row>
    <row r="63" ht="15" customHeight="1">
      <c r="A63" s="22" t="n"/>
      <c r="B63" s="22" t="n"/>
      <c r="C63" s="22" t="n"/>
      <c r="D63" s="22" t="n"/>
      <c r="E63" s="22" t="n"/>
      <c r="F63" s="22" t="n"/>
      <c r="G63" s="22" t="n"/>
      <c r="H63" s="22" t="n"/>
      <c r="I63" s="22" t="n"/>
      <c r="J63" s="22" t="n"/>
      <c r="K63" s="22" t="n"/>
      <c r="L63" s="22" t="n"/>
      <c r="M63" s="22" t="n"/>
      <c r="N63" s="22" t="n"/>
      <c r="O63" s="22" t="n"/>
      <c r="P63" s="22" t="n"/>
      <c r="Q63" s="22" t="n"/>
      <c r="R63" s="22" t="n"/>
    </row>
    <row r="64" ht="15" customHeight="1">
      <c r="A64" s="22" t="n"/>
      <c r="B64" s="22" t="n"/>
      <c r="C64" s="22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2" t="n"/>
      <c r="R64" s="22" t="n"/>
    </row>
    <row r="65" ht="15" customHeight="1">
      <c r="A65" s="22" t="n"/>
      <c r="B65" s="22" t="n"/>
      <c r="C65" s="22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2" t="n"/>
      <c r="P65" s="22" t="n"/>
      <c r="Q65" s="22" t="n"/>
      <c r="R65" s="22" t="n"/>
    </row>
    <row r="66" ht="15" customHeight="1">
      <c r="A66" s="22" t="n"/>
      <c r="B66" s="22" t="n"/>
      <c r="C66" s="22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2" t="n"/>
      <c r="P66" s="22" t="n"/>
      <c r="Q66" s="22" t="n"/>
      <c r="R66" s="22" t="n"/>
    </row>
    <row r="67" ht="15" customHeight="1">
      <c r="A67" s="22" t="n"/>
      <c r="B67" s="22" t="n"/>
      <c r="C67" s="22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2" t="n"/>
      <c r="P67" s="22" t="n"/>
      <c r="Q67" s="22" t="n"/>
      <c r="R67" s="22" t="n"/>
    </row>
    <row r="68" ht="15" customHeight="1">
      <c r="A68" s="22" t="n"/>
      <c r="B68" s="22" t="n"/>
      <c r="C68" s="22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2" t="n"/>
      <c r="P68" s="22" t="n"/>
      <c r="Q68" s="22" t="n"/>
      <c r="R68" s="22" t="n"/>
    </row>
    <row r="69" ht="15" customHeight="1">
      <c r="A69" s="22" t="n"/>
      <c r="B69" s="22" t="n"/>
      <c r="C69" s="22" t="n"/>
      <c r="D69" s="22" t="n"/>
      <c r="E69" s="22" t="n"/>
      <c r="F69" s="22" t="n"/>
      <c r="G69" s="22" t="n"/>
      <c r="H69" s="22" t="n"/>
      <c r="I69" s="22" t="n"/>
      <c r="J69" s="22" t="n"/>
      <c r="K69" s="22" t="n"/>
      <c r="L69" s="22" t="n"/>
      <c r="M69" s="22" t="n"/>
      <c r="N69" s="22" t="n"/>
      <c r="O69" s="22" t="n"/>
      <c r="P69" s="22" t="n"/>
      <c r="Q69" s="22" t="n"/>
      <c r="R69" s="22" t="n"/>
    </row>
    <row r="70" ht="15" customHeight="1">
      <c r="A70" s="22" t="n"/>
      <c r="B70" s="22" t="n"/>
      <c r="C70" s="22" t="n"/>
      <c r="D70" s="22" t="n"/>
      <c r="E70" s="22" t="n"/>
      <c r="F70" s="22" t="n"/>
      <c r="G70" s="22" t="n"/>
      <c r="H70" s="22" t="n"/>
      <c r="I70" s="22" t="n"/>
      <c r="J70" s="22" t="n"/>
      <c r="K70" s="22" t="n"/>
      <c r="L70" s="22" t="n"/>
      <c r="M70" s="22" t="n"/>
      <c r="N70" s="22" t="n"/>
      <c r="O70" s="22" t="n"/>
      <c r="P70" s="22" t="n"/>
      <c r="Q70" s="22" t="n"/>
      <c r="R70" s="22" t="n"/>
    </row>
    <row r="71" ht="15" customHeight="1">
      <c r="A71" s="22" t="n"/>
      <c r="B71" s="22" t="n"/>
      <c r="C71" s="22" t="n"/>
      <c r="D71" s="22" t="n"/>
      <c r="E71" s="22" t="n"/>
      <c r="F71" s="22" t="n"/>
      <c r="G71" s="22" t="n"/>
      <c r="H71" s="22" t="n"/>
      <c r="I71" s="22" t="n"/>
      <c r="J71" s="22" t="n"/>
      <c r="K71" s="22" t="n"/>
      <c r="L71" s="22" t="n"/>
      <c r="M71" s="22" t="n"/>
      <c r="N71" s="22" t="n"/>
      <c r="O71" s="22" t="n"/>
      <c r="P71" s="22" t="n"/>
      <c r="Q71" s="22" t="n"/>
      <c r="R71" s="22" t="n"/>
    </row>
    <row r="72" ht="15" customHeight="1">
      <c r="A72" s="22" t="n"/>
      <c r="B72" s="22" t="n"/>
      <c r="C72" s="22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</row>
    <row r="73" ht="15" customHeight="1">
      <c r="A73" s="22" t="n"/>
      <c r="B73" s="22" t="n"/>
      <c r="C73" s="22" t="n"/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2" t="n"/>
      <c r="R73" s="22" t="n"/>
    </row>
    <row r="74" ht="15" customHeight="1">
      <c r="A74" s="22" t="n"/>
      <c r="B74" s="22" t="n"/>
      <c r="C74" s="22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2" t="n"/>
      <c r="P74" s="22" t="n"/>
      <c r="Q74" s="22" t="n"/>
      <c r="R74" s="22" t="n"/>
    </row>
    <row r="75" ht="15" customHeight="1">
      <c r="A75" s="22" t="n"/>
      <c r="B75" s="22" t="n"/>
      <c r="C75" s="22" t="n"/>
      <c r="D75" s="22" t="n"/>
      <c r="E75" s="22" t="n"/>
      <c r="F75" s="22" t="n"/>
      <c r="G75" s="22" t="n"/>
      <c r="H75" s="22" t="n"/>
      <c r="I75" s="22" t="n"/>
      <c r="J75" s="22" t="n"/>
      <c r="K75" s="22" t="n"/>
      <c r="L75" s="22" t="n"/>
      <c r="M75" s="22" t="n"/>
      <c r="N75" s="22" t="n"/>
      <c r="O75" s="22" t="n"/>
      <c r="P75" s="22" t="n"/>
      <c r="Q75" s="22" t="n"/>
      <c r="R75" s="22" t="n"/>
    </row>
    <row r="76" ht="15" customHeight="1">
      <c r="A76" s="22" t="n"/>
      <c r="B76" s="22" t="n"/>
      <c r="C76" s="22" t="n"/>
      <c r="D76" s="22" t="n"/>
      <c r="E76" s="22" t="n"/>
      <c r="F76" s="22" t="n"/>
      <c r="G76" s="22" t="n"/>
      <c r="H76" s="22" t="n"/>
      <c r="I76" s="22" t="n"/>
      <c r="J76" s="22" t="n"/>
      <c r="K76" s="22" t="n"/>
      <c r="L76" s="22" t="n"/>
      <c r="M76" s="22" t="n"/>
      <c r="N76" s="22" t="n"/>
      <c r="O76" s="22" t="n"/>
      <c r="P76" s="22" t="n"/>
      <c r="Q76" s="22" t="n"/>
      <c r="R76" s="22" t="n"/>
    </row>
    <row r="77" ht="15" customHeight="1">
      <c r="A77" s="22" t="n"/>
      <c r="B77" s="22" t="n"/>
      <c r="C77" s="22" t="n"/>
      <c r="D77" s="22" t="n"/>
      <c r="E77" s="22" t="n"/>
      <c r="F77" s="22" t="n"/>
      <c r="G77" s="22" t="n"/>
      <c r="H77" s="22" t="n"/>
      <c r="I77" s="22" t="n"/>
      <c r="J77" s="22" t="n"/>
      <c r="K77" s="22" t="n"/>
      <c r="L77" s="22" t="n"/>
      <c r="M77" s="22" t="n"/>
      <c r="N77" s="22" t="n"/>
      <c r="O77" s="22" t="n"/>
      <c r="P77" s="22" t="n"/>
      <c r="Q77" s="22" t="n"/>
      <c r="R77" s="22" t="n"/>
    </row>
    <row r="78" ht="15" customHeight="1">
      <c r="A78" s="22" t="n"/>
      <c r="B78" s="22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</row>
    <row r="79" ht="15" customHeight="1">
      <c r="A79" s="22" t="n"/>
      <c r="B79" s="22" t="n"/>
      <c r="C79" s="22" t="n"/>
      <c r="D79" s="22" t="n"/>
      <c r="E79" s="22" t="n"/>
      <c r="F79" s="22" t="n"/>
      <c r="G79" s="22" t="n"/>
      <c r="H79" s="22" t="n"/>
      <c r="I79" s="22" t="n"/>
      <c r="J79" s="22" t="n"/>
      <c r="K79" s="22" t="n"/>
      <c r="L79" s="22" t="n"/>
      <c r="M79" s="22" t="n"/>
      <c r="N79" s="22" t="n"/>
      <c r="O79" s="22" t="n"/>
      <c r="P79" s="22" t="n"/>
      <c r="Q79" s="22" t="n"/>
      <c r="R79" s="22" t="n"/>
    </row>
    <row r="80" ht="15" customHeight="1">
      <c r="A80" s="22" t="n"/>
      <c r="B80" s="22" t="n"/>
      <c r="C80" s="22" t="n"/>
      <c r="D80" s="22" t="n"/>
      <c r="E80" s="22" t="n"/>
      <c r="F80" s="22" t="n"/>
      <c r="G80" s="22" t="n"/>
      <c r="H80" s="22" t="n"/>
      <c r="I80" s="22" t="n"/>
      <c r="J80" s="22" t="n"/>
      <c r="K80" s="22" t="n"/>
      <c r="L80" s="22" t="n"/>
      <c r="M80" s="22" t="n"/>
      <c r="N80" s="22" t="n"/>
      <c r="O80" s="22" t="n"/>
      <c r="P80" s="22" t="n"/>
      <c r="Q80" s="22" t="n"/>
      <c r="R80" s="22" t="n"/>
    </row>
    <row r="81" ht="15" customHeight="1">
      <c r="A81" s="22" t="n"/>
      <c r="B81" s="22" t="n"/>
      <c r="C81" s="22" t="n"/>
      <c r="D81" s="22" t="n"/>
      <c r="E81" s="22" t="n"/>
      <c r="F81" s="22" t="n"/>
      <c r="G81" s="22" t="n"/>
      <c r="H81" s="22" t="n"/>
      <c r="I81" s="22" t="n"/>
      <c r="J81" s="22" t="n"/>
      <c r="K81" s="22" t="n"/>
      <c r="L81" s="22" t="n"/>
      <c r="M81" s="22" t="n"/>
      <c r="N81" s="22" t="n"/>
      <c r="O81" s="22" t="n"/>
      <c r="P81" s="22" t="n"/>
      <c r="Q81" s="22" t="n"/>
      <c r="R81" s="22" t="n"/>
    </row>
    <row r="82" ht="15" customHeight="1">
      <c r="A82" s="22" t="n"/>
      <c r="B82" s="22" t="n"/>
      <c r="C82" s="22" t="n"/>
      <c r="D82" s="22" t="n"/>
      <c r="E82" s="22" t="n"/>
      <c r="F82" s="22" t="n"/>
      <c r="G82" s="22" t="n"/>
      <c r="H82" s="22" t="n"/>
      <c r="I82" s="22" t="n"/>
      <c r="J82" s="22" t="n"/>
      <c r="K82" s="22" t="n"/>
      <c r="L82" s="22" t="n"/>
      <c r="M82" s="22" t="n"/>
      <c r="N82" s="22" t="n"/>
      <c r="O82" s="22" t="n"/>
      <c r="P82" s="22" t="n"/>
      <c r="Q82" s="22" t="n"/>
      <c r="R82" s="22" t="n"/>
    </row>
    <row r="83" ht="15" customHeight="1">
      <c r="A83" s="22" t="n"/>
      <c r="B83" s="22" t="n"/>
      <c r="C83" s="22" t="n"/>
      <c r="D83" s="22" t="n"/>
      <c r="E83" s="22" t="n"/>
      <c r="F83" s="22" t="n"/>
      <c r="G83" s="22" t="n"/>
      <c r="H83" s="22" t="n"/>
      <c r="I83" s="22" t="n"/>
      <c r="J83" s="22" t="n"/>
      <c r="K83" s="22" t="n"/>
      <c r="L83" s="22" t="n"/>
      <c r="M83" s="22" t="n"/>
      <c r="N83" s="22" t="n"/>
      <c r="O83" s="22" t="n"/>
      <c r="P83" s="22" t="n"/>
      <c r="Q83" s="22" t="n"/>
      <c r="R83" s="22" t="n"/>
    </row>
    <row r="84" ht="15" customHeight="1">
      <c r="A84" s="22" t="n"/>
      <c r="B84" s="22" t="n"/>
      <c r="C84" s="22" t="n"/>
      <c r="D84" s="22" t="n"/>
      <c r="E84" s="22" t="n"/>
      <c r="F84" s="22" t="n"/>
      <c r="G84" s="22" t="n"/>
      <c r="H84" s="22" t="n"/>
      <c r="I84" s="22" t="n"/>
      <c r="J84" s="22" t="n"/>
      <c r="K84" s="22" t="n"/>
      <c r="L84" s="22" t="n"/>
      <c r="M84" s="22" t="n"/>
      <c r="N84" s="22" t="n"/>
      <c r="O84" s="22" t="n"/>
      <c r="P84" s="22" t="n"/>
      <c r="Q84" s="22" t="n"/>
      <c r="R84" s="22" t="n"/>
    </row>
    <row r="85" ht="15" customHeight="1">
      <c r="A85" s="22" t="n"/>
      <c r="B85" s="22" t="n"/>
      <c r="C85" s="22" t="n"/>
      <c r="D85" s="22" t="n"/>
      <c r="E85" s="22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2" t="n"/>
      <c r="O85" s="22" t="n"/>
      <c r="P85" s="22" t="n"/>
      <c r="Q85" s="22" t="n"/>
      <c r="R85" s="22" t="n"/>
    </row>
    <row r="86" ht="15" customHeight="1">
      <c r="A86" s="22" t="n"/>
      <c r="B86" s="22" t="n"/>
      <c r="C86" s="22" t="n"/>
      <c r="D86" s="22" t="n"/>
      <c r="E86" s="22" t="n"/>
      <c r="F86" s="22" t="n"/>
      <c r="G86" s="22" t="n"/>
      <c r="H86" s="22" t="n"/>
      <c r="I86" s="22" t="n"/>
      <c r="J86" s="22" t="n"/>
      <c r="K86" s="22" t="n"/>
      <c r="L86" s="22" t="n"/>
      <c r="M86" s="22" t="n"/>
      <c r="N86" s="22" t="n"/>
      <c r="O86" s="22" t="n"/>
      <c r="P86" s="22" t="n"/>
      <c r="Q86" s="22" t="n"/>
      <c r="R86" s="22" t="n"/>
    </row>
    <row r="87" ht="15" customHeight="1">
      <c r="A87" s="22" t="n"/>
      <c r="B87" s="22" t="n"/>
      <c r="C87" s="22" t="n"/>
      <c r="D87" s="22" t="n"/>
      <c r="E87" s="22" t="n"/>
      <c r="F87" s="22" t="n"/>
      <c r="G87" s="22" t="n"/>
      <c r="H87" s="22" t="n"/>
      <c r="I87" s="22" t="n"/>
      <c r="J87" s="22" t="n"/>
      <c r="K87" s="22" t="n"/>
      <c r="L87" s="22" t="n"/>
      <c r="M87" s="22" t="n"/>
      <c r="N87" s="22" t="n"/>
      <c r="O87" s="22" t="n"/>
      <c r="P87" s="22" t="n"/>
      <c r="Q87" s="22" t="n"/>
      <c r="R87" s="22" t="n"/>
    </row>
    <row r="88" ht="15" customHeight="1">
      <c r="A88" s="22" t="n"/>
      <c r="B88" s="22" t="n"/>
      <c r="C88" s="22" t="n"/>
      <c r="D88" s="22" t="n"/>
      <c r="E88" s="22" t="n"/>
      <c r="F88" s="22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2" t="n"/>
      <c r="P88" s="22" t="n"/>
      <c r="Q88" s="22" t="n"/>
      <c r="R88" s="22" t="n"/>
    </row>
    <row r="89" ht="15" customHeight="1">
      <c r="A89" s="22" t="n"/>
      <c r="B89" s="22" t="n"/>
      <c r="C89" s="22" t="n"/>
      <c r="D89" s="22" t="n"/>
      <c r="E89" s="22" t="n"/>
      <c r="F89" s="22" t="n"/>
      <c r="G89" s="22" t="n"/>
      <c r="H89" s="22" t="n"/>
      <c r="I89" s="22" t="n"/>
      <c r="J89" s="22" t="n"/>
      <c r="K89" s="22" t="n"/>
      <c r="L89" s="22" t="n"/>
      <c r="M89" s="22" t="n"/>
      <c r="N89" s="22" t="n"/>
      <c r="O89" s="22" t="n"/>
      <c r="P89" s="22" t="n"/>
      <c r="Q89" s="22" t="n"/>
      <c r="R89" s="22" t="n"/>
    </row>
    <row r="90" ht="15" customHeight="1">
      <c r="A90" s="22" t="n"/>
      <c r="B90" s="22" t="n"/>
      <c r="C90" s="22" t="n"/>
      <c r="D90" s="22" t="n"/>
      <c r="E90" s="22" t="n"/>
      <c r="F90" s="22" t="n"/>
      <c r="G90" s="22" t="n"/>
      <c r="H90" s="22" t="n"/>
      <c r="I90" s="22" t="n"/>
      <c r="J90" s="22" t="n"/>
      <c r="K90" s="22" t="n"/>
      <c r="L90" s="22" t="n"/>
      <c r="M90" s="22" t="n"/>
      <c r="N90" s="22" t="n"/>
      <c r="O90" s="22" t="n"/>
      <c r="P90" s="22" t="n"/>
      <c r="Q90" s="22" t="n"/>
      <c r="R90" s="22" t="n"/>
    </row>
    <row r="91" ht="15" customHeight="1">
      <c r="A91" s="22" t="n"/>
      <c r="B91" s="22" t="n"/>
      <c r="C91" s="22" t="n"/>
      <c r="D91" s="22" t="n"/>
      <c r="E91" s="22" t="n"/>
      <c r="F91" s="22" t="n"/>
      <c r="G91" s="22" t="n"/>
      <c r="H91" s="22" t="n"/>
      <c r="I91" s="22" t="n"/>
      <c r="J91" s="22" t="n"/>
      <c r="K91" s="22" t="n"/>
      <c r="L91" s="22" t="n"/>
      <c r="M91" s="22" t="n"/>
      <c r="N91" s="22" t="n"/>
      <c r="O91" s="22" t="n"/>
      <c r="P91" s="22" t="n"/>
      <c r="Q91" s="22" t="n"/>
      <c r="R91" s="22" t="n"/>
    </row>
    <row r="92" ht="15" customHeight="1">
      <c r="A92" s="22" t="n"/>
      <c r="B92" s="22" t="n"/>
      <c r="C92" s="22" t="n"/>
      <c r="D92" s="22" t="n"/>
      <c r="E92" s="22" t="n"/>
      <c r="F92" s="22" t="n"/>
      <c r="G92" s="22" t="n"/>
      <c r="H92" s="22" t="n"/>
      <c r="I92" s="22" t="n"/>
      <c r="J92" s="22" t="n"/>
      <c r="K92" s="22" t="n"/>
      <c r="L92" s="22" t="n"/>
      <c r="M92" s="22" t="n"/>
      <c r="N92" s="22" t="n"/>
      <c r="O92" s="22" t="n"/>
      <c r="P92" s="22" t="n"/>
      <c r="Q92" s="22" t="n"/>
      <c r="R92" s="22" t="n"/>
    </row>
    <row r="93" ht="15" customHeight="1">
      <c r="A93" s="22" t="n"/>
      <c r="B93" s="22" t="n"/>
      <c r="C93" s="22" t="n"/>
      <c r="D93" s="22" t="n"/>
      <c r="E93" s="22" t="n"/>
      <c r="F93" s="22" t="n"/>
      <c r="G93" s="22" t="n"/>
      <c r="H93" s="22" t="n"/>
      <c r="I93" s="22" t="n"/>
      <c r="J93" s="22" t="n"/>
      <c r="K93" s="22" t="n"/>
      <c r="L93" s="22" t="n"/>
      <c r="M93" s="22" t="n"/>
      <c r="N93" s="22" t="n"/>
      <c r="O93" s="22" t="n"/>
      <c r="P93" s="22" t="n"/>
      <c r="Q93" s="22" t="n"/>
      <c r="R93" s="22" t="n"/>
    </row>
    <row r="94" ht="15" customHeight="1">
      <c r="A94" s="22" t="n"/>
      <c r="B94" s="22" t="n"/>
      <c r="C94" s="22" t="n"/>
      <c r="D94" s="22" t="n"/>
      <c r="E94" s="22" t="n"/>
      <c r="F94" s="22" t="n"/>
      <c r="G94" s="22" t="n"/>
      <c r="H94" s="22" t="n"/>
      <c r="I94" s="22" t="n"/>
      <c r="J94" s="22" t="n"/>
      <c r="K94" s="22" t="n"/>
      <c r="L94" s="22" t="n"/>
      <c r="M94" s="22" t="n"/>
      <c r="N94" s="22" t="n"/>
      <c r="O94" s="22" t="n"/>
      <c r="P94" s="22" t="n"/>
      <c r="Q94" s="22" t="n"/>
      <c r="R94" s="22" t="n"/>
    </row>
    <row r="95" ht="15" customHeight="1">
      <c r="A95" s="22" t="n"/>
      <c r="B95" s="22" t="n"/>
      <c r="C95" s="22" t="n"/>
      <c r="D95" s="22" t="n"/>
      <c r="E95" s="22" t="n"/>
      <c r="F95" s="22" t="n"/>
      <c r="G95" s="22" t="n"/>
      <c r="H95" s="22" t="n"/>
      <c r="I95" s="22" t="n"/>
      <c r="J95" s="22" t="n"/>
      <c r="K95" s="22" t="n"/>
      <c r="L95" s="22" t="n"/>
      <c r="M95" s="22" t="n"/>
      <c r="N95" s="22" t="n"/>
      <c r="O95" s="22" t="n"/>
      <c r="P95" s="22" t="n"/>
      <c r="Q95" s="22" t="n"/>
      <c r="R95" s="22" t="n"/>
    </row>
    <row r="96" ht="15" customHeight="1">
      <c r="A96" s="22" t="n"/>
      <c r="B96" s="22" t="n"/>
      <c r="C96" s="22" t="n"/>
      <c r="D96" s="22" t="n"/>
      <c r="E96" s="22" t="n"/>
      <c r="F96" s="22" t="n"/>
      <c r="G96" s="22" t="n"/>
      <c r="H96" s="22" t="n"/>
      <c r="I96" s="22" t="n"/>
      <c r="J96" s="22" t="n"/>
      <c r="K96" s="22" t="n"/>
      <c r="L96" s="22" t="n"/>
      <c r="M96" s="22" t="n"/>
      <c r="N96" s="22" t="n"/>
      <c r="O96" s="22" t="n"/>
      <c r="P96" s="22" t="n"/>
      <c r="Q96" s="22" t="n"/>
      <c r="R96" s="22" t="n"/>
    </row>
    <row r="97" ht="15" customHeight="1">
      <c r="A97" s="22" t="n"/>
      <c r="B97" s="22" t="n"/>
      <c r="C97" s="22" t="n"/>
      <c r="D97" s="22" t="n"/>
      <c r="E97" s="22" t="n"/>
      <c r="F97" s="22" t="n"/>
      <c r="G97" s="22" t="n"/>
      <c r="H97" s="22" t="n"/>
      <c r="I97" s="22" t="n"/>
      <c r="J97" s="22" t="n"/>
      <c r="K97" s="22" t="n"/>
      <c r="L97" s="22" t="n"/>
      <c r="M97" s="22" t="n"/>
      <c r="N97" s="22" t="n"/>
      <c r="O97" s="22" t="n"/>
      <c r="P97" s="22" t="n"/>
      <c r="Q97" s="22" t="n"/>
      <c r="R97" s="22" t="n"/>
    </row>
    <row r="98" ht="15" customHeight="1">
      <c r="A98" s="22" t="n"/>
      <c r="B98" s="22" t="n"/>
      <c r="C98" s="22" t="n"/>
      <c r="D98" s="22" t="n"/>
      <c r="E98" s="22" t="n"/>
      <c r="F98" s="22" t="n"/>
      <c r="G98" s="22" t="n"/>
      <c r="H98" s="22" t="n"/>
      <c r="I98" s="22" t="n"/>
      <c r="J98" s="22" t="n"/>
      <c r="K98" s="22" t="n"/>
      <c r="L98" s="22" t="n"/>
      <c r="M98" s="22" t="n"/>
      <c r="N98" s="22" t="n"/>
      <c r="O98" s="22" t="n"/>
      <c r="P98" s="22" t="n"/>
      <c r="Q98" s="22" t="n"/>
      <c r="R98" s="22" t="n"/>
    </row>
    <row r="99" ht="15" customHeight="1">
      <c r="A99" s="22" t="n"/>
      <c r="B99" s="22" t="n"/>
      <c r="C99" s="22" t="n"/>
      <c r="D99" s="22" t="n"/>
      <c r="E99" s="22" t="n"/>
      <c r="F99" s="22" t="n"/>
      <c r="G99" s="22" t="n"/>
      <c r="H99" s="22" t="n"/>
      <c r="I99" s="22" t="n"/>
      <c r="J99" s="22" t="n"/>
      <c r="K99" s="22" t="n"/>
      <c r="L99" s="22" t="n"/>
      <c r="M99" s="22" t="n"/>
      <c r="N99" s="22" t="n"/>
      <c r="O99" s="22" t="n"/>
      <c r="P99" s="22" t="n"/>
      <c r="Q99" s="22" t="n"/>
      <c r="R99" s="22" t="n"/>
    </row>
    <row r="100" ht="15" customHeight="1">
      <c r="A100" s="22" t="n"/>
      <c r="B100" s="22" t="n"/>
      <c r="C100" s="22" t="n"/>
      <c r="D100" s="22" t="n"/>
      <c r="E100" s="22" t="n"/>
      <c r="F100" s="22" t="n"/>
      <c r="G100" s="22" t="n"/>
      <c r="H100" s="22" t="n"/>
      <c r="I100" s="22" t="n"/>
      <c r="J100" s="22" t="n"/>
      <c r="K100" s="22" t="n"/>
      <c r="L100" s="22" t="n"/>
      <c r="M100" s="22" t="n"/>
      <c r="N100" s="22" t="n"/>
      <c r="O100" s="22" t="n"/>
      <c r="P100" s="22" t="n"/>
      <c r="Q100" s="22" t="n"/>
      <c r="R100" s="22" t="n"/>
    </row>
  </sheetData>
  <mergeCells count="2">
    <mergeCell ref="A2:R2"/>
    <mergeCell ref="A1:R1"/>
  </mergeCells>
  <printOptions horizontalCentered="1" verticalCentered="1"/>
  <pageMargins left="0.3" right="0.3" top="0.5" bottom="0.5" header="0.2" footer="0.2"/>
  <pageSetup orientation="landscape" paperSize="9" horizontalDpi="300" verticalDpi="300"/>
  <headerFooter>
    <oddHeader>&amp;C&amp;"Calibri,Bold"&amp;14 MiT Strom Schweiz — Visualisierungen</oddHeader>
    <oddFooter>&amp;R&amp;P/&amp;N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FF555555"/>
    <outlinePr summaryBelow="1" summaryRight="1"/>
    <pageSetUpPr fitToPage="1"/>
  </sheetPr>
  <dimension ref="A1:AD861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8" defaultColWidth="9.140625" defaultRowHeight="15"/>
  <cols>
    <col width="4" customWidth="1" min="1" max="1"/>
    <col width="28.28515625" customWidth="1" min="2" max="2"/>
    <col width="6" customWidth="1" min="3" max="3"/>
    <col width="18" customWidth="1" min="4" max="4"/>
    <col width="20" customWidth="1" min="5" max="5"/>
    <col width="19.7109375" customWidth="1" min="6" max="6"/>
    <col width="9" customWidth="1" min="7" max="7"/>
    <col width="10" customWidth="1" min="8" max="8"/>
    <col width="11" customWidth="1" min="9" max="9"/>
    <col width="12" customWidth="1" min="10" max="10"/>
    <col width="11.28515625" customWidth="1" min="11" max="11"/>
    <col width="10.5703125" customWidth="1" min="12" max="12"/>
    <col width="12" customWidth="1" min="14" max="14"/>
    <col width="8" customWidth="1" min="16" max="16"/>
    <col width="13" customWidth="1" min="17" max="17"/>
    <col width="14" customWidth="1" min="18" max="18"/>
    <col width="8" customWidth="1" min="19" max="19"/>
    <col width="15" customWidth="1" min="20" max="20"/>
    <col width="20.85546875" customWidth="1" min="21" max="21"/>
    <col width="97.140625" customWidth="1" min="22" max="22"/>
    <col width="12" customWidth="1" min="23" max="23"/>
    <col width="97.140625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</cols>
  <sheetData>
    <row r="1" ht="36" customHeight="1">
      <c r="A1" s="103" t="inlineStr">
        <is>
          <t>⚡  MiT Strom Schweiz — Pipeline &amp; Deal Tracking  |  Mobil in Time AG – An Aggreko Company</t>
        </is>
      </c>
    </row>
    <row r="2" ht="15.75" customHeight="1">
      <c r="A2" s="105" t="inlineStr">
        <is>
          <t xml:space="preserve">  ✏️  Nur in diesem Sheet Daten erfassen — Dashboard, CEO Report und Kantone aktualisieren sich automatisch.</t>
        </is>
      </c>
    </row>
    <row r="3" ht="4.5" customHeight="1">
      <c r="A3" s="172" t="n"/>
    </row>
    <row r="4" ht="25.5" customHeight="1">
      <c r="A4" s="107" t="inlineStr">
        <is>
          <t>✅  WON Umsatz</t>
        </is>
      </c>
      <c r="C4" s="194">
        <f>SUMIFS(I$6:I$860,R$6:R$860,"WON")</f>
        <v>694803.69</v>
      </c>
      <c r="G4" s="109" t="inlineStr">
        <is>
          <t>📋  Anzahl Deals (aktiv)</t>
        </is>
      </c>
      <c r="I4" s="195">
        <f>COUNTIF(R$6:R$860,"WON")+COUNTIF(R$6:R$860,"offered")+COUNTIF(R$6:R$860,"to be offered")+COUNTIF(R$6:R$860,"on hold")+COUNTIF(R$6:R$860,"follow-up")+COUNTIF(R$6:R$860,"Evaluation")+COUNTIF(R$6:R$860,"tbd")+COUNTIF(R$6:R$860,"In evaluation")</f>
        <v>35</v>
      </c>
      <c r="M4" s="112" t="inlineStr">
        <is>
          <t>💼  Offene Pipeline</t>
        </is>
      </c>
      <c r="O4" s="196">
        <f>SUMIFS(I$6:I$860,R$6:R$860,"offered")+SUMIFS(I$6:I$860,R$6:R$860,"to be offered")+SUMIFS(I$6:I$860,R$6:R$860,"on hold")</f>
        <v>3559557.95</v>
      </c>
      <c r="S4" s="113" t="inlineStr">
        <is>
          <t>⚖️  Gewichteter Wert</t>
        </is>
      </c>
      <c r="U4" s="114">
        <f>SUM(Q$6:Q$860)</f>
        <v>3075202.442</v>
      </c>
    </row>
    <row r="5" ht="36" customHeight="1">
      <c r="A5" s="52" t="inlineStr">
        <is>
          <t>#</t>
        </is>
      </c>
      <c r="B5" s="52" t="inlineStr">
        <is>
          <t>Kunde / Unternehmen</t>
        </is>
      </c>
      <c r="C5" s="52" t="inlineStr">
        <is>
          <t>Kt.</t>
        </is>
      </c>
      <c r="D5" s="52" t="inlineStr">
        <is>
          <t>Segment</t>
        </is>
      </c>
      <c r="E5" s="52" t="inlineStr">
        <is>
          <t>Leistung / Fleet</t>
        </is>
      </c>
      <c r="F5" s="52" t="inlineStr">
        <is>
          <t>kW</t>
        </is>
      </c>
      <c r="G5" s="52" t="inlineStr">
        <is>
          <t>Dauer</t>
        </is>
      </c>
      <c r="H5" s="197" t="inlineStr">
        <is>
          <t>Start</t>
        </is>
      </c>
      <c r="I5" s="53" t="inlineStr">
        <is>
          <t>Volumen
CHF</t>
        </is>
      </c>
      <c r="J5" s="53" t="inlineStr">
        <is>
          <t>Equip.
CHF</t>
        </is>
      </c>
      <c r="K5" s="53" t="inlineStr">
        <is>
          <t>Transport
CHF</t>
        </is>
      </c>
      <c r="L5" s="53" t="inlineStr">
        <is>
          <t>Treibst.
CHF</t>
        </is>
      </c>
      <c r="M5" s="53" t="inlineStr">
        <is>
          <t>Technik.
CHF</t>
        </is>
      </c>
      <c r="N5" s="53" t="inlineStr">
        <is>
          <t>Übrige / MwSt 8.1%
CHF</t>
        </is>
      </c>
      <c r="O5" s="53" t="inlineStr">
        <is>
          <t>Marge
CHF</t>
        </is>
      </c>
      <c r="P5" s="52" t="inlineStr">
        <is>
          <t>Marge
%</t>
        </is>
      </c>
      <c r="Q5" s="53" t="inlineStr">
        <is>
          <t>Gew.Wert
CHF</t>
        </is>
      </c>
      <c r="R5" s="52" t="inlineStr">
        <is>
          <t>Status</t>
        </is>
      </c>
      <c r="S5" s="52" t="inlineStr">
        <is>
          <t>Wahr.
%</t>
        </is>
      </c>
      <c r="T5" s="52" t="inlineStr">
        <is>
          <t>Akquise
Typ</t>
        </is>
      </c>
      <c r="U5" s="52" t="inlineStr">
        <is>
          <t>USP-Argument</t>
        </is>
      </c>
      <c r="V5" s="52" t="inlineStr">
        <is>
          <t>Nächster Schritt</t>
        </is>
      </c>
      <c r="W5" s="52" t="inlineStr">
        <is>
          <t>Follow-Up</t>
        </is>
      </c>
      <c r="X5" s="52" t="inlineStr">
        <is>
          <t>Notiz intern</t>
        </is>
      </c>
      <c r="Z5" s="54" t="inlineStr">
        <is>
          <t>_WON_Sort</t>
        </is>
      </c>
      <c r="AA5" s="54" t="inlineStr">
        <is>
          <t>_I_Num</t>
        </is>
      </c>
      <c r="AB5" t="inlineStr">
        <is>
          <t>_cnt_won</t>
        </is>
      </c>
      <c r="AC5" t="inlineStr">
        <is>
          <t>_cnt_offerte</t>
        </is>
      </c>
      <c r="AD5" t="inlineStr">
        <is>
          <t>_cnt_opp</t>
        </is>
      </c>
    </row>
    <row r="6" ht="30" customHeight="1">
      <c r="A6" s="198" t="n">
        <v>6</v>
      </c>
      <c r="B6" s="199" t="inlineStr">
        <is>
          <t>Wincasa Solothurn</t>
        </is>
      </c>
      <c r="C6" s="198" t="inlineStr">
        <is>
          <t>SO</t>
        </is>
      </c>
      <c r="D6" s="200" t="inlineStr">
        <is>
          <t>Immobilien / FM</t>
        </is>
      </c>
      <c r="E6" s="200" t="inlineStr">
        <is>
          <t>BESS 1 MWh</t>
        </is>
      </c>
      <c r="F6" s="201" t="n">
        <v>1000</v>
      </c>
      <c r="G6" s="198" t="n">
        <v>365</v>
      </c>
      <c r="H6" s="202" t="inlineStr">
        <is>
          <t>Mai</t>
        </is>
      </c>
      <c r="I6" s="201" t="n">
        <v>390000</v>
      </c>
      <c r="J6" s="201" t="n">
        <v>240000</v>
      </c>
      <c r="K6" s="201" t="n">
        <v>6000</v>
      </c>
      <c r="L6" s="201" t="n">
        <v>0</v>
      </c>
      <c r="M6" s="201" t="n">
        <v>18000</v>
      </c>
      <c r="N6" s="201" t="n">
        <v>8000</v>
      </c>
      <c r="O6" s="201">
        <f>IF(ISNUMBER(I6),I6-SUM(J6:N6),"")</f>
        <v>118000</v>
      </c>
      <c r="P6" s="203">
        <f>IFERROR(IF(AND(ISNUMBER(O6),ISNUMBER(I6),I6&lt;&gt;0),O6/I6,""),"")</f>
        <v>0.302564102564103</v>
      </c>
      <c r="Q6" s="201">
        <f>IF(AND(ISNUMBER(I6),ISNUMBER(S6)),I6*IF(S6&lt;=1,S6,S6/100),IF(OR(I6&lt;&gt;"",S6&lt;&gt;""),"tbd",""))</f>
        <v>195000</v>
      </c>
      <c r="R6" s="204" t="inlineStr">
        <is>
          <t>follow-up</t>
        </is>
      </c>
      <c r="S6" s="205" t="n">
        <v>0.5</v>
      </c>
      <c r="T6" s="199" t="inlineStr">
        <is>
          <t>Kalt (Burak)</t>
        </is>
      </c>
      <c r="U6" s="200" t="inlineStr">
        <is>
          <t>BESS-Hybridlösung, Energiekostensenkung</t>
        </is>
      </c>
      <c r="V6" s="200" t="inlineStr">
        <is>
          <t>Entscheider-Meeting anfordern, Businesscase Energie-ROI</t>
        </is>
      </c>
      <c r="W6" s="198" t="inlineStr">
        <is>
          <t>Juni</t>
        </is>
      </c>
      <c r="X6" s="200" t="inlineStr">
        <is>
          <t>Grösster offener Lead – Geduld + ROI-Argumentation</t>
        </is>
      </c>
      <c r="Z6" t="str">
        <f>IF(AND(R6="WON",ISNUMBER(I6)),AA6,"")</f>
        <v/>
      </c>
      <c r="AA6">
        <f>IFERROR(I6*1,0)</f>
        <v>390000</v>
      </c>
      <c r="AB6">
        <f>N(AB5)+IF(AND(R6="WON",B6&lt;&gt;""),1,0)</f>
        <v>0</v>
      </c>
      <c r="AC6">
        <f>N(AC5)+IF(AND(OR(R6="offered",R6="to be offered",R6="on hold"),B6&lt;&gt;""),1,0)</f>
        <v>0</v>
      </c>
      <c r="AD6">
        <f>N(AD5)+IF(AND(OR(R6="follow-up",R6="Evaluation",R6="tbd",R6="In evaluation"),B6&lt;&gt;""),1,0)</f>
        <v>1</v>
      </c>
    </row>
    <row r="7" ht="30" customHeight="1">
      <c r="A7" s="198" t="n">
        <v>12</v>
      </c>
      <c r="B7" s="199" t="inlineStr">
        <is>
          <t>Show-Concept.ch AG</t>
        </is>
      </c>
      <c r="C7" s="198" t="inlineStr">
        <is>
          <t>ZH</t>
        </is>
      </c>
      <c r="D7" s="200" t="inlineStr">
        <is>
          <t>Events / Medien</t>
        </is>
      </c>
      <c r="E7" s="200" t="inlineStr">
        <is>
          <t>200 kW Lastbank</t>
        </is>
      </c>
      <c r="F7" s="201" t="n">
        <v>200</v>
      </c>
      <c r="G7" s="198" t="inlineStr">
        <is>
          <t>tbd</t>
        </is>
      </c>
      <c r="H7" s="202" t="inlineStr">
        <is>
          <t>tbd</t>
        </is>
      </c>
      <c r="I7" s="201" t="n">
        <v>0</v>
      </c>
      <c r="J7" s="201" t="n">
        <v>0</v>
      </c>
      <c r="K7" s="201" t="n">
        <v>0</v>
      </c>
      <c r="L7" s="201" t="n">
        <v>0</v>
      </c>
      <c r="M7" s="201" t="n">
        <v>0</v>
      </c>
      <c r="N7" s="201" t="n">
        <v>0</v>
      </c>
      <c r="O7" s="201">
        <f>IF(ISNUMBER(I7),I7-SUM(J7:N7),"")</f>
        <v>0</v>
      </c>
      <c r="P7" s="203" t="str">
        <f>IFERROR(IF(AND(ISNUMBER(O7),ISNUMBER(I7),I7&lt;&gt;0),O7/I7,""),"")</f>
        <v/>
      </c>
      <c r="Q7" s="201">
        <f>IF(AND(ISNUMBER(I7),ISNUMBER(S7)),I7*IF(S7&lt;=1,S7,S7/100),IF(OR(I7&lt;&gt;"",S7&lt;&gt;""),"tbd",""))</f>
        <v>0</v>
      </c>
      <c r="R7" s="204" t="inlineStr">
        <is>
          <t>Declined</t>
        </is>
      </c>
      <c r="S7" s="205" t="n">
        <v>0</v>
      </c>
      <c r="T7" s="199" t="inlineStr">
        <is>
          <t>Kalt (Burak)</t>
        </is>
      </c>
      <c r="U7" s="200" t="inlineStr">
        <is>
          <t>Lastbank-Testing – Spezialprodukt MiT</t>
        </is>
      </c>
      <c r="V7" s="200" t="inlineStr">
        <is>
          <t>Use-Case klären – Lastbank oder Generator?</t>
        </is>
      </c>
      <c r="W7" s="198" t="inlineStr">
        <is>
          <t>Juni</t>
        </is>
      </c>
      <c r="X7" s="200" t="inlineStr">
        <is>
          <t>Spezialanfrage – konkreten Bedarf erst verstehen</t>
        </is>
      </c>
      <c r="Z7" t="str">
        <f>IF(AND(R7="WON",ISNUMBER(I7)),AA7,"")</f>
        <v/>
      </c>
      <c r="AA7">
        <f>IFERROR(I7*1,0)</f>
        <v>0</v>
      </c>
      <c r="AB7">
        <f>N(AB6)+IF(AND(R7="WON",B7&lt;&gt;""),1,0)</f>
        <v>0</v>
      </c>
      <c r="AC7">
        <f>N(AC6)+IF(AND(OR(R7="offered",R7="to be offered",R7="on hold"),B7&lt;&gt;""),1,0)</f>
        <v>0</v>
      </c>
      <c r="AD7">
        <f>N(AD6)+IF(AND(OR(R7="follow-up",R7="Evaluation",R7="tbd",R7="In evaluation"),B7&lt;&gt;""),1,0)</f>
        <v>1</v>
      </c>
    </row>
    <row r="8" ht="30" customHeight="1">
      <c r="A8" s="198" t="n">
        <v>15</v>
      </c>
      <c r="B8" s="199" t="inlineStr">
        <is>
          <t>Gotthard Base Tunnel</t>
        </is>
      </c>
      <c r="C8" s="198" t="inlineStr">
        <is>
          <t>UR</t>
        </is>
      </c>
      <c r="D8" s="200" t="inlineStr">
        <is>
          <t>Infrastruktur / Bahn</t>
        </is>
      </c>
      <c r="E8" s="200" t="inlineStr">
        <is>
          <t>Grossanlage tbd</t>
        </is>
      </c>
      <c r="F8" s="206" t="n"/>
      <c r="G8" s="198" t="inlineStr">
        <is>
          <t>Jahre</t>
        </is>
      </c>
      <c r="H8" s="202" t="inlineStr">
        <is>
          <t>tbd</t>
        </is>
      </c>
      <c r="I8" s="201" t="n">
        <v>0</v>
      </c>
      <c r="J8" s="201" t="n">
        <v>0</v>
      </c>
      <c r="K8" s="201" t="n">
        <v>0</v>
      </c>
      <c r="L8" s="201" t="n">
        <v>0</v>
      </c>
      <c r="M8" s="201" t="n">
        <v>0</v>
      </c>
      <c r="N8" s="201" t="n">
        <v>0</v>
      </c>
      <c r="O8" s="201">
        <f>IF(ISNUMBER(I8),I8-SUM(J8:N8),"")</f>
        <v>0</v>
      </c>
      <c r="P8" s="203" t="str">
        <f>IFERROR(IF(AND(ISNUMBER(O8),ISNUMBER(I8),I8&lt;&gt;0),O8/I8,""),"")</f>
        <v/>
      </c>
      <c r="Q8" s="201">
        <f>IF(AND(ISNUMBER(I8),ISNUMBER(S8)),I8*IF(S8&lt;=1,S8,S8/100),IF(OR(I8&lt;&gt;"",S8&lt;&gt;""),"tbd",""))</f>
        <v>0</v>
      </c>
      <c r="R8" s="204" t="inlineStr">
        <is>
          <t>on hold</t>
        </is>
      </c>
      <c r="S8" s="205" t="n">
        <v>0.1</v>
      </c>
      <c r="T8" s="199" t="inlineStr">
        <is>
          <t>Kalt (Burak)</t>
        </is>
      </c>
      <c r="U8" s="200" t="inlineStr">
        <is>
          <t>NEA-Pflicht, kritische Infra (NIV Art. 13)</t>
        </is>
      </c>
      <c r="V8" s="200" t="inlineStr">
        <is>
          <t>Stakeholder identifizieren – AlpTransit/SBB kontaktieren</t>
        </is>
      </c>
      <c r="W8" s="198" t="inlineStr">
        <is>
          <t>Juni</t>
        </is>
      </c>
      <c r="X8" s="200" t="inlineStr">
        <is>
          <t>Langfristig strategisch – Türöffner Bahnbereich</t>
        </is>
      </c>
      <c r="Z8" t="str">
        <f>IF(AND(R8="WON",ISNUMBER(I8)),AA8,"")</f>
        <v/>
      </c>
      <c r="AA8">
        <f>IFERROR(I8*1,0)</f>
        <v>0</v>
      </c>
      <c r="AB8">
        <f>N(AB7)+IF(AND(R8="WON",B8&lt;&gt;""),1,0)</f>
        <v>0</v>
      </c>
      <c r="AC8">
        <f>N(AC7)+IF(AND(OR(R8="offered",R8="to be offered",R8="on hold"),B8&lt;&gt;""),1,0)</f>
        <v>1</v>
      </c>
      <c r="AD8">
        <f>N(AD7)+IF(AND(OR(R8="follow-up",R8="Evaluation",R8="tbd",R8="In evaluation"),B8&lt;&gt;""),1,0)</f>
        <v>1</v>
      </c>
    </row>
    <row r="9" ht="30" customHeight="1">
      <c r="A9" s="198" t="n">
        <v>1</v>
      </c>
      <c r="B9" s="199" t="inlineStr">
        <is>
          <t>Ice Hockey Championship</t>
        </is>
      </c>
      <c r="C9" s="198" t="inlineStr">
        <is>
          <t>ZH</t>
        </is>
      </c>
      <c r="D9" s="200" t="inlineStr">
        <is>
          <t>Events &amp; Sport</t>
        </is>
      </c>
      <c r="E9" s="200" t="inlineStr">
        <is>
          <t>2×600+2×200 kVA</t>
        </is>
      </c>
      <c r="F9" s="201" t="n">
        <v>1600</v>
      </c>
      <c r="G9" s="198" t="n">
        <v>28</v>
      </c>
      <c r="H9" s="202" t="inlineStr">
        <is>
          <t>Mai</t>
        </is>
      </c>
      <c r="I9" s="201" t="n">
        <v>310000</v>
      </c>
      <c r="J9" s="201" t="n">
        <v>195000</v>
      </c>
      <c r="K9" s="201" t="n">
        <v>8000</v>
      </c>
      <c r="L9" s="201" t="n">
        <v>12000</v>
      </c>
      <c r="M9" s="201" t="n">
        <v>15000</v>
      </c>
      <c r="N9" s="201" t="n">
        <v>5000</v>
      </c>
      <c r="O9" s="201">
        <f>IF(ISNUMBER(I9),I9-SUM(J9:N9),"")</f>
        <v>75000</v>
      </c>
      <c r="P9" s="203">
        <f>IFERROR(IF(AND(ISNUMBER(O9),ISNUMBER(I9),I9&lt;&gt;0),O9/I9,""),"")</f>
        <v>0.241935483870968</v>
      </c>
      <c r="Q9" s="201">
        <f>IF(AND(ISNUMBER(I9),ISNUMBER(S9)),I9*IF(S9&lt;=1,S9,S9/100),IF(OR(I9&lt;&gt;"",S9&lt;&gt;""),"tbd",""))</f>
        <v>310000</v>
      </c>
      <c r="R9" s="204" t="inlineStr">
        <is>
          <t>WON</t>
        </is>
      </c>
      <c r="S9" s="205" t="n">
        <v>1</v>
      </c>
      <c r="T9" s="199" t="inlineStr">
        <is>
          <t>Warm – Aggreko</t>
        </is>
      </c>
      <c r="U9" s="200" t="inlineStr">
        <is>
          <t>Aggreko Event-Power + Redundanz</t>
        </is>
      </c>
      <c r="V9" s="200" t="inlineStr">
        <is>
          <t>✅ Einsatzplanung läuft – Logistik finalisieren</t>
        </is>
      </c>
      <c r="W9" s="198" t="inlineStr">
        <is>
          <t>–</t>
        </is>
      </c>
      <c r="X9" s="200" t="inlineStr">
        <is>
          <t>Grossreferenz CH Events – öffentlich nutzbar</t>
        </is>
      </c>
      <c r="Z9">
        <f>IF(AND(R9="WON",ISNUMBER(I9)),AA9,"")</f>
        <v>310000</v>
      </c>
      <c r="AA9">
        <f>IFERROR(I9*1,0)</f>
        <v>310000</v>
      </c>
      <c r="AB9">
        <f>N(AB8)+IF(AND(R9="WON",B9&lt;&gt;""),1,0)</f>
        <v>1</v>
      </c>
      <c r="AC9">
        <f>N(AC8)+IF(AND(OR(R9="offered",R9="to be offered",R9="on hold"),B9&lt;&gt;""),1,0)</f>
        <v>1</v>
      </c>
      <c r="AD9">
        <f>N(AD8)+IF(AND(OR(R9="follow-up",R9="Evaluation",R9="tbd",R9="In evaluation"),B9&lt;&gt;""),1,0)</f>
        <v>1</v>
      </c>
    </row>
    <row r="10" ht="30" customHeight="1">
      <c r="A10" s="198" t="n">
        <v>2</v>
      </c>
      <c r="B10" s="199" t="inlineStr">
        <is>
          <t>Oerlikon Metco Wohlen</t>
        </is>
      </c>
      <c r="C10" s="198" t="inlineStr">
        <is>
          <t>AG</t>
        </is>
      </c>
      <c r="D10" s="200" t="inlineStr">
        <is>
          <t>Industrie / Oberfläche</t>
        </is>
      </c>
      <c r="E10" s="200" t="inlineStr">
        <is>
          <t>240 kVA Generator</t>
        </is>
      </c>
      <c r="F10" s="201" t="n">
        <v>240</v>
      </c>
      <c r="G10" s="198" t="n">
        <v>21</v>
      </c>
      <c r="H10" s="202" t="inlineStr">
        <is>
          <t>April</t>
        </is>
      </c>
      <c r="I10" s="201" t="n">
        <v>13100</v>
      </c>
      <c r="J10" s="201" t="n">
        <v>7500</v>
      </c>
      <c r="K10" s="201" t="n">
        <v>800</v>
      </c>
      <c r="L10" s="201" t="n">
        <v>600</v>
      </c>
      <c r="M10" s="201" t="n">
        <v>900</v>
      </c>
      <c r="N10" s="201" t="n">
        <v>300</v>
      </c>
      <c r="O10" s="201">
        <f>IF(ISNUMBER(I10),I10-SUM(J10:N10),"")</f>
        <v>3000</v>
      </c>
      <c r="P10" s="203">
        <f>IFERROR(IF(AND(ISNUMBER(O10),ISNUMBER(I10),I10&lt;&gt;0),O10/I10,""),"")</f>
        <v>0.229007633587786</v>
      </c>
      <c r="Q10" s="201">
        <f>IF(AND(ISNUMBER(I10),ISNUMBER(S10)),I10*IF(S10&lt;=1,S10,S10/100),IF(OR(I10&lt;&gt;"",S10&lt;&gt;""),"tbd",""))</f>
        <v>13100</v>
      </c>
      <c r="R10" s="204" t="inlineStr">
        <is>
          <t>WON</t>
        </is>
      </c>
      <c r="S10" s="205" t="n">
        <v>1</v>
      </c>
      <c r="T10" s="199" t="inlineStr">
        <is>
          <t>Kalt (Burak)</t>
        </is>
      </c>
      <c r="U10" s="200" t="inlineStr">
        <is>
          <t>Schnelle Lieferung 24/7</t>
        </is>
      </c>
      <c r="V10" s="200" t="inlineStr">
        <is>
          <t>✅ Abgeschlossen – Invoice prüfen, Referenz sichern</t>
        </is>
      </c>
      <c r="W10" s="198" t="inlineStr">
        <is>
          <t>–</t>
        </is>
      </c>
      <c r="X10" s="200" t="inlineStr">
        <is>
          <t>Erste Referenz Kanton AG</t>
        </is>
      </c>
      <c r="Z10">
        <f>IF(AND(R10="WON",ISNUMBER(I10)),AA10,"")</f>
        <v>13100</v>
      </c>
      <c r="AA10">
        <f>IFERROR(I10*1,0)</f>
        <v>13100</v>
      </c>
      <c r="AB10">
        <f>N(AB9)+IF(AND(R10="WON",B10&lt;&gt;""),1,0)</f>
        <v>2</v>
      </c>
      <c r="AC10">
        <f>N(AC9)+IF(AND(OR(R10="offered",R10="to be offered",R10="on hold"),B10&lt;&gt;""),1,0)</f>
        <v>1</v>
      </c>
      <c r="AD10">
        <f>N(AD9)+IF(AND(OR(R10="follow-up",R10="Evaluation",R10="tbd",R10="In evaluation"),B10&lt;&gt;""),1,0)</f>
        <v>1</v>
      </c>
    </row>
    <row r="11" ht="30" customHeight="1">
      <c r="A11" s="198" t="n">
        <v>7</v>
      </c>
      <c r="B11" s="199" t="inlineStr">
        <is>
          <t>Avia Volt Suisse AG</t>
        </is>
      </c>
      <c r="C11" s="198" t="inlineStr">
        <is>
          <t>ZH</t>
        </is>
      </c>
      <c r="D11" s="200" t="inlineStr">
        <is>
          <t>EVU / Energie</t>
        </is>
      </c>
      <c r="E11" s="200" t="inlineStr">
        <is>
          <t>5×200 kVA Generator</t>
        </is>
      </c>
      <c r="F11" s="201" t="n">
        <v>1000</v>
      </c>
      <c r="G11" s="198" t="n">
        <v>30</v>
      </c>
      <c r="H11" s="207" t="inlineStr">
        <is>
          <t>Mai</t>
        </is>
      </c>
      <c r="I11" s="201" t="n">
        <v>41000</v>
      </c>
      <c r="J11" s="201" t="n">
        <v>24000</v>
      </c>
      <c r="K11" s="201" t="n">
        <v>2000</v>
      </c>
      <c r="L11" s="201" t="n">
        <v>2500</v>
      </c>
      <c r="M11" s="201" t="n">
        <v>3000</v>
      </c>
      <c r="N11" s="201" t="n">
        <v>500</v>
      </c>
      <c r="O11" s="201">
        <f>IF(ISNUMBER(I11),I11-SUM(J11:N11),"")</f>
        <v>9000</v>
      </c>
      <c r="P11" s="203">
        <f>IFERROR(IF(AND(ISNUMBER(O11),ISNUMBER(I11),I11&lt;&gt;0),O11/I11,""),"")</f>
        <v>0.219512195121951</v>
      </c>
      <c r="Q11" s="201">
        <f>IF(AND(ISNUMBER(I11),ISNUMBER(S11)),I11*IF(S11&lt;=1,S11,S11/100),IF(OR(I11&lt;&gt;"",S11&lt;&gt;""),"tbd",""))</f>
        <v>0</v>
      </c>
      <c r="R11" s="204" t="inlineStr">
        <is>
          <t>Declined</t>
        </is>
      </c>
      <c r="S11" s="205" t="n">
        <v>0</v>
      </c>
      <c r="T11" s="199" t="inlineStr">
        <is>
          <t>Warm</t>
        </is>
      </c>
      <c r="U11" s="200" t="inlineStr">
        <is>
          <t>PQ-Monitoring inkl. – einzigartig in CH</t>
        </is>
      </c>
      <c r="V11" s="200" t="inlineStr">
        <is>
          <t>Angebotspräsentation Termin diese Woche</t>
        </is>
      </c>
      <c r="W11" s="198" t="inlineStr">
        <is>
          <t>Juni</t>
        </is>
      </c>
      <c r="X11" s="200" t="inlineStr">
        <is>
          <t>EVU mit PQ-Bedarf – USP passt perfekt, Kunde hat kein bedarf zur Zeit</t>
        </is>
      </c>
      <c r="Z11" t="str">
        <f>IF(AND(R11="WON",ISNUMBER(I11)),AA11,"")</f>
        <v/>
      </c>
      <c r="AA11">
        <f>IFERROR(I11*1,0)</f>
        <v>41000</v>
      </c>
      <c r="AB11">
        <f>N(AB10)+IF(AND(R11="WON",B11&lt;&gt;""),1,0)</f>
        <v>2</v>
      </c>
      <c r="AC11">
        <f>N(AC10)+IF(AND(OR(R11="offered",R11="to be offered",R11="on hold"),B11&lt;&gt;""),1,0)</f>
        <v>1</v>
      </c>
      <c r="AD11">
        <f>N(AD10)+IF(AND(OR(R11="follow-up",R11="Evaluation",R11="tbd",R11="In evaluation"),B11&lt;&gt;""),1,0)</f>
        <v>1</v>
      </c>
    </row>
    <row r="12" ht="30" customHeight="1">
      <c r="A12" s="198" t="n">
        <v>3</v>
      </c>
      <c r="B12" s="199" t="inlineStr">
        <is>
          <t>Siemens</t>
        </is>
      </c>
      <c r="C12" s="198" t="inlineStr">
        <is>
          <t>ZH</t>
        </is>
      </c>
      <c r="D12" s="200" t="inlineStr">
        <is>
          <t>Industrie / Elektro</t>
        </is>
      </c>
      <c r="E12" s="200" t="inlineStr">
        <is>
          <t>600 kVA Generator</t>
        </is>
      </c>
      <c r="F12" s="201" t="n">
        <v>600</v>
      </c>
      <c r="G12" s="198" t="n">
        <v>21</v>
      </c>
      <c r="H12" s="202" t="inlineStr">
        <is>
          <t>tbd</t>
        </is>
      </c>
      <c r="I12" s="201" t="n">
        <v>10000</v>
      </c>
      <c r="J12" s="201" t="n">
        <v>0</v>
      </c>
      <c r="K12" s="201" t="n">
        <v>0</v>
      </c>
      <c r="L12" s="201" t="n">
        <v>0</v>
      </c>
      <c r="M12" s="201" t="n">
        <v>0</v>
      </c>
      <c r="N12" s="201" t="n">
        <v>0</v>
      </c>
      <c r="O12" s="201">
        <f>IF(ISNUMBER(I12),I12-SUM(J12:N12),"")</f>
        <v>10000</v>
      </c>
      <c r="P12" s="203">
        <f>IFERROR(IF(AND(ISNUMBER(O12),ISNUMBER(I12),I12&lt;&gt;0),O12/I12,""),"")</f>
        <v>1</v>
      </c>
      <c r="Q12" s="201">
        <f>IF(AND(ISNUMBER(I12),ISNUMBER(S12)),I12*IF(S12&lt;=1,S12,S12/100),IF(OR(I12&lt;&gt;"",S12&lt;&gt;""),"tbd",""))</f>
        <v>10000</v>
      </c>
      <c r="R12" s="204" t="inlineStr">
        <is>
          <t>WON</t>
        </is>
      </c>
      <c r="S12" s="205" t="n">
        <v>1</v>
      </c>
      <c r="T12" s="199" t="inlineStr">
        <is>
          <t>Warm</t>
        </is>
      </c>
      <c r="U12" s="200" t="inlineStr">
        <is>
          <t>Aggreko-Backbone + Verfügbarkeit</t>
        </is>
      </c>
      <c r="V12" s="200" t="inlineStr">
        <is>
          <t>✅ Referenzschreiben anfordern</t>
        </is>
      </c>
      <c r="W12" s="198" t="inlineStr">
        <is>
          <t>–</t>
        </is>
      </c>
      <c r="X12" s="200" t="inlineStr">
        <is>
          <t>Referenz Industriebereich – sehr wertvoll</t>
        </is>
      </c>
      <c r="Z12">
        <f>IF(AND(R12="WON",ISNUMBER(I12)),AA12,"")</f>
        <v>10000</v>
      </c>
      <c r="AA12">
        <f>IFERROR(I12*1,0)</f>
        <v>10000</v>
      </c>
      <c r="AB12">
        <f>N(AB11)+IF(AND(R12="WON",B12&lt;&gt;""),1,0)</f>
        <v>3</v>
      </c>
      <c r="AC12">
        <f>N(AC11)+IF(AND(OR(R12="offered",R12="to be offered",R12="on hold"),B12&lt;&gt;""),1,0)</f>
        <v>1</v>
      </c>
      <c r="AD12">
        <f>N(AD11)+IF(AND(OR(R12="follow-up",R12="Evaluation",R12="tbd",R12="In evaluation"),B12&lt;&gt;""),1,0)</f>
        <v>1</v>
      </c>
    </row>
    <row r="13" ht="30" customHeight="1">
      <c r="A13" s="198" t="n">
        <v>4</v>
      </c>
      <c r="B13" s="199" t="inlineStr">
        <is>
          <t>Stagelight – OpenAir Frauenfeld</t>
        </is>
      </c>
      <c r="C13" s="198" t="inlineStr">
        <is>
          <t>TG</t>
        </is>
      </c>
      <c r="D13" s="200" t="inlineStr">
        <is>
          <t>Events &amp; Kultur</t>
        </is>
      </c>
      <c r="E13" s="200" t="inlineStr">
        <is>
          <t>~500 kVA Generator</t>
        </is>
      </c>
      <c r="F13" s="201" t="n">
        <v>500</v>
      </c>
      <c r="G13" s="198" t="n">
        <v>14</v>
      </c>
      <c r="H13" s="202" t="inlineStr">
        <is>
          <t>Juli</t>
        </is>
      </c>
      <c r="I13" s="201" t="n">
        <v>150000</v>
      </c>
      <c r="J13" s="201" t="n">
        <v>88000</v>
      </c>
      <c r="K13" s="201" t="n">
        <v>4500</v>
      </c>
      <c r="L13" s="201" t="n">
        <v>7000</v>
      </c>
      <c r="M13" s="201" t="n">
        <v>9000</v>
      </c>
      <c r="N13" s="201" t="n">
        <v>2000</v>
      </c>
      <c r="O13" s="201">
        <f>IF(ISNUMBER(I13),I13-SUM(J13:N13),"")</f>
        <v>39500</v>
      </c>
      <c r="P13" s="203">
        <f>IFERROR(IF(AND(ISNUMBER(O13),ISNUMBER(I13),I13&lt;&gt;0),O13/I13,""),"")</f>
        <v>0.263333333333333</v>
      </c>
      <c r="Q13" s="201">
        <f>IF(AND(ISNUMBER(I13),ISNUMBER(S13)),I13*IF(S13&lt;=1,S13,S13/100),IF(OR(I13&lt;&gt;"",S13&lt;&gt;""),"tbd",""))</f>
        <v>150000</v>
      </c>
      <c r="R13" s="204" t="inlineStr">
        <is>
          <t>WON</t>
        </is>
      </c>
      <c r="S13" s="205" t="n">
        <v>1</v>
      </c>
      <c r="T13" s="199" t="inlineStr">
        <is>
          <t>Warm – Aggreko</t>
        </is>
      </c>
      <c r="U13" s="200" t="inlineStr">
        <is>
          <t>Reaktionszeit &lt; 24h, Zuverlässigkeit</t>
        </is>
      </c>
      <c r="V13" s="200" t="inlineStr">
        <is>
          <t>Follow-up + Vertragsverhandlung initiieren</t>
        </is>
      </c>
      <c r="W13" s="198" t="inlineStr">
        <is>
          <t>Juni</t>
        </is>
      </c>
      <c r="X13" s="200" t="inlineStr">
        <is>
          <t>OpenAir Festival – jährlich → Rahmenvertrag prüfen, Nicht umgehen den Ansprechpartner, Teams Meeting mit Aggreko Deutschland</t>
        </is>
      </c>
      <c r="Z13">
        <f>IF(AND(R13="WON",ISNUMBER(I13)),AA13,"")</f>
        <v>150000</v>
      </c>
      <c r="AA13">
        <f>IFERROR(I13*1,0)</f>
        <v>150000</v>
      </c>
      <c r="AB13">
        <f>N(AB12)+IF(AND(R13="WON",B13&lt;&gt;""),1,0)</f>
        <v>4</v>
      </c>
      <c r="AC13">
        <f>N(AC12)+IF(AND(OR(R13="offered",R13="to be offered",R13="on hold"),B13&lt;&gt;""),1,0)</f>
        <v>1</v>
      </c>
      <c r="AD13">
        <f>N(AD12)+IF(AND(OR(R13="follow-up",R13="Evaluation",R13="tbd",R13="In evaluation"),B13&lt;&gt;""),1,0)</f>
        <v>1</v>
      </c>
    </row>
    <row r="14" ht="30" customHeight="1">
      <c r="A14" s="198" t="n">
        <v>10</v>
      </c>
      <c r="B14" s="199" t="inlineStr">
        <is>
          <t>Murg Flums Energie</t>
        </is>
      </c>
      <c r="C14" s="198" t="inlineStr">
        <is>
          <t>SG</t>
        </is>
      </c>
      <c r="D14" s="200" t="inlineStr">
        <is>
          <t>EVU / Energie</t>
        </is>
      </c>
      <c r="E14" s="200" t="inlineStr">
        <is>
          <t>250 kVA Generator</t>
        </is>
      </c>
      <c r="F14" s="201" t="n">
        <v>250</v>
      </c>
      <c r="G14" s="198" t="n">
        <v>365</v>
      </c>
      <c r="H14" s="202" t="inlineStr">
        <is>
          <t>Auf Abruf</t>
        </is>
      </c>
      <c r="I14" s="201" t="n">
        <v>96658.69</v>
      </c>
      <c r="J14" s="201" t="n">
        <v>83232</v>
      </c>
      <c r="K14" s="201" t="n">
        <v>3100</v>
      </c>
      <c r="L14" s="201" t="n">
        <v>0</v>
      </c>
      <c r="M14" s="201" t="n">
        <v>870</v>
      </c>
      <c r="N14" s="201" t="n">
        <v>2214</v>
      </c>
      <c r="O14" s="201">
        <f>IF(ISNUMBER(I14),I14-SUM(J14:N14),"")</f>
        <v>7242.69</v>
      </c>
      <c r="P14" s="203">
        <f>IFERROR(IF(AND(ISNUMBER(O14),ISNUMBER(I14),I14&lt;&gt;0),O14/I14,""),"")</f>
        <v>0.0749305623736469</v>
      </c>
      <c r="Q14" s="201">
        <f>IF(AND(ISNUMBER(I14),ISNUMBER(S14)),I14*IF(S14&lt;=1,S14,S14/100),IF(OR(I14&lt;&gt;"",S14&lt;&gt;""),"tbd",""))</f>
        <v>96658.69</v>
      </c>
      <c r="R14" s="204" t="inlineStr">
        <is>
          <t>WON</t>
        </is>
      </c>
      <c r="S14" s="205" t="n">
        <v>1</v>
      </c>
      <c r="T14" s="199" t="inlineStr">
        <is>
          <t>Kalt (Burak)</t>
        </is>
      </c>
      <c r="U14" s="200" t="inlineStr">
        <is>
          <t>PQ-Expertise, NIV Art. 13 Compliance</t>
        </is>
      </c>
      <c r="V14" s="200" t="inlineStr">
        <is>
          <t>Bedarfsanalyse, NEA-Konzept vorschlagen, Termin vor Ort, Termin vor Ort wahrgenommen</t>
        </is>
      </c>
      <c r="W14" s="198" t="inlineStr">
        <is>
          <t>Juni</t>
        </is>
      </c>
      <c r="X14" s="200" t="inlineStr">
        <is>
          <t>EVU SG – NEA-Bedarf qualifizieren, Alles ermittelt und Konzept erstellt und nur noch Offerte schicken mit dem Konzept</t>
        </is>
      </c>
      <c r="Z14">
        <f>IF(AND(R14="WON",ISNUMBER(I14)),AA14,"")</f>
        <v>96658.69</v>
      </c>
      <c r="AA14">
        <f>IFERROR(I14*1,0)</f>
        <v>96658.69</v>
      </c>
      <c r="AB14">
        <f>N(AB13)+IF(AND(R14="WON",B14&lt;&gt;""),1,0)</f>
        <v>5</v>
      </c>
      <c r="AC14">
        <f>N(AC13)+IF(AND(OR(R14="offered",R14="to be offered",R14="on hold"),B14&lt;&gt;""),1,0)</f>
        <v>1</v>
      </c>
      <c r="AD14">
        <f>N(AD13)+IF(AND(OR(R14="follow-up",R14="Evaluation",R14="tbd",R14="In evaluation"),B14&lt;&gt;""),1,0)</f>
        <v>1</v>
      </c>
    </row>
    <row r="15" ht="30" customHeight="1">
      <c r="A15" s="198" t="n">
        <v>21</v>
      </c>
      <c r="B15" s="199" t="inlineStr">
        <is>
          <t>X-Event</t>
        </is>
      </c>
      <c r="C15" s="198" t="inlineStr">
        <is>
          <t>SH</t>
        </is>
      </c>
      <c r="D15" s="200" t="inlineStr">
        <is>
          <t>Events / Medien</t>
        </is>
      </c>
      <c r="E15" s="200" t="inlineStr">
        <is>
          <t>100 kVA Generator</t>
        </is>
      </c>
      <c r="F15" s="201" t="n">
        <v>150</v>
      </c>
      <c r="G15" s="198" t="n">
        <v>1</v>
      </c>
      <c r="H15" s="202" t="inlineStr">
        <is>
          <t>Juni</t>
        </is>
      </c>
      <c r="I15" s="201" t="inlineStr">
        <is>
          <t>Sponsoring</t>
        </is>
      </c>
      <c r="J15" s="201" t="inlineStr">
        <is>
          <t>Sponsoring</t>
        </is>
      </c>
      <c r="K15" s="201" t="inlineStr">
        <is>
          <t>Sponsoring</t>
        </is>
      </c>
      <c r="L15" s="201" t="inlineStr">
        <is>
          <t>Sponsoring</t>
        </is>
      </c>
      <c r="M15" s="201" t="inlineStr">
        <is>
          <t>Sponsoring</t>
        </is>
      </c>
      <c r="N15" s="201" t="inlineStr">
        <is>
          <t>Sponsoring</t>
        </is>
      </c>
      <c r="O15" s="201" t="str">
        <f>IF(ISNUMBER(I15),I15-SUM(J15:N15),"")</f>
        <v/>
      </c>
      <c r="P15" s="203" t="str">
        <f>IFERROR(IF(AND(ISNUMBER(O15),ISNUMBER(I15),I15&lt;&gt;0),O15/I15,""),"")</f>
        <v/>
      </c>
      <c r="Q15" s="201" t="str">
        <f>IF(AND(ISNUMBER(I15),ISNUMBER(S15)),I15*IF(S15&lt;=1,S15,S15/100),IF(OR(I15&lt;&gt;"",S15&lt;&gt;""),"tbd",""))</f>
        <v>tbd</v>
      </c>
      <c r="R15" s="204" t="inlineStr">
        <is>
          <t>WON</t>
        </is>
      </c>
      <c r="S15" s="205" t="n">
        <v>1</v>
      </c>
      <c r="T15" s="199" t="inlineStr">
        <is>
          <t>Kalt (Burak)</t>
        </is>
      </c>
      <c r="U15" s="200" t="inlineStr">
        <is>
          <t>Flexibilität, kleines Setup schnell verfügbar</t>
        </is>
      </c>
      <c r="V15" s="200" t="inlineStr">
        <is>
          <t>Kunde Telefon Kontaktiert und Vor Ort 
Besichtigung und Aufbauort</t>
        </is>
      </c>
      <c r="W15" s="198" t="inlineStr">
        <is>
          <t>Juni</t>
        </is>
      </c>
      <c r="X15" s="200" t="inlineStr">
        <is>
          <t>Kunde hat Angebot angenommen, im Gegenzug Starte er eine Social Media Kampagne für uns und sind jetzt ein Partner für seine Events</t>
        </is>
      </c>
      <c r="Z15" t="str">
        <f>IF(AND(R15="WON",ISNUMBER(I15)),AA15,"")</f>
        <v/>
      </c>
      <c r="AA15">
        <f>IFERROR(I15*1,0)</f>
        <v>0</v>
      </c>
      <c r="AB15">
        <f>N(AB14)+IF(AND(R15="WON",B15&lt;&gt;""),1,0)</f>
        <v>6</v>
      </c>
      <c r="AC15">
        <f>N(AC14)+IF(AND(OR(R15="offered",R15="to be offered",R15="on hold"),B15&lt;&gt;""),1,0)</f>
        <v>1</v>
      </c>
      <c r="AD15">
        <f>N(AD14)+IF(AND(OR(R15="follow-up",R15="Evaluation",R15="tbd",R15="In evaluation"),B15&lt;&gt;""),1,0)</f>
        <v>1</v>
      </c>
    </row>
    <row r="16" ht="30" customHeight="1">
      <c r="A16" s="198" t="n">
        <v>33</v>
      </c>
      <c r="B16" s="199" t="inlineStr">
        <is>
          <t>Oerlikon Metco Wohlen</t>
        </is>
      </c>
      <c r="C16" s="198" t="inlineStr">
        <is>
          <t>AG</t>
        </is>
      </c>
      <c r="D16" s="200" t="inlineStr">
        <is>
          <t>Industrie</t>
        </is>
      </c>
      <c r="E16" s="200" t="inlineStr">
        <is>
          <t>300 kVA</t>
        </is>
      </c>
      <c r="F16" s="206" t="n">
        <v>300</v>
      </c>
      <c r="G16" s="198" t="n">
        <v>365</v>
      </c>
      <c r="H16" s="202" t="inlineStr">
        <is>
          <t>August</t>
        </is>
      </c>
      <c r="I16" s="201" t="n">
        <v>193598.12</v>
      </c>
      <c r="J16" s="201" t="n">
        <v>173039.2</v>
      </c>
      <c r="K16" s="201" t="n">
        <v>2950</v>
      </c>
      <c r="L16" s="201" t="n">
        <v>0</v>
      </c>
      <c r="M16" s="201" t="n">
        <v>1232.5</v>
      </c>
      <c r="N16" s="201">
        <f>370+1500</f>
        <v>1870</v>
      </c>
      <c r="O16" s="201">
        <f>IF(ISNUMBER(I16),I16-SUM(J16:N16),"")</f>
        <v>14506.42</v>
      </c>
      <c r="P16" s="203">
        <f>IFERROR(IF(AND(ISNUMBER(O16),ISNUMBER(I16),I16&lt;&gt;0),O16/I16,""),"")</f>
        <v>0.0749305830035952</v>
      </c>
      <c r="Q16" s="201">
        <f>IF(AND(ISNUMBER(I16),ISNUMBER(S16)),I16*IF(S16&lt;=1,S16,S16/100),IF(OR(I16&lt;&gt;"",S16&lt;&gt;""),"tbd",""))</f>
        <v>154878.496</v>
      </c>
      <c r="R16" s="204" t="inlineStr">
        <is>
          <t>offered</t>
        </is>
      </c>
      <c r="S16" s="205" t="n">
        <v>0.8</v>
      </c>
      <c r="T16" s="199" t="inlineStr">
        <is>
          <t>Kalt (Burak)</t>
        </is>
      </c>
      <c r="U16" s="200" t="inlineStr">
        <is>
          <t>USV + PQ-Monitoring für Präzisionsanlagen</t>
        </is>
      </c>
      <c r="V16" s="200" t="inlineStr">
        <is>
          <t>Kunde wahr sehr Zufrieden mit dem 1. Auftrag und im Anschluss Folgeauftrag durch meine Aktivät</t>
        </is>
      </c>
      <c r="W16" s="198" t="inlineStr">
        <is>
          <t>Juni</t>
        </is>
      </c>
      <c r="X16" s="200" t="inlineStr">
        <is>
          <t>Kunde angeschrieben, Kundentermin vor Ort in Juni 26, Termin Perfekt, Kunde benötigt Offerte, Kunde hat Offerte erhalteny, Kunde muss nur noch unterschreiben</t>
        </is>
      </c>
      <c r="Z16" t="str">
        <f>IF(AND(R16="WON",ISNUMBER(I16)),AA16,"")</f>
        <v/>
      </c>
      <c r="AA16">
        <f>IFERROR(I16*1,0)</f>
        <v>193598.12</v>
      </c>
      <c r="AB16">
        <f>N(AB15)+IF(AND(R16="WON",B16&lt;&gt;""),1,0)</f>
        <v>6</v>
      </c>
      <c r="AC16">
        <f>N(AC15)+IF(AND(OR(R16="offered",R16="to be offered",R16="on hold"),B16&lt;&gt;""),1,0)</f>
        <v>2</v>
      </c>
      <c r="AD16">
        <f>N(AD15)+IF(AND(OR(R16="follow-up",R16="Evaluation",R16="tbd",R16="In evaluation"),B16&lt;&gt;""),1,0)</f>
        <v>1</v>
      </c>
    </row>
    <row r="17" ht="30" customHeight="1">
      <c r="A17" s="198" t="n">
        <v>33</v>
      </c>
      <c r="B17" s="199" t="inlineStr">
        <is>
          <t>Oerlikon Metco Wohlen</t>
        </is>
      </c>
      <c r="C17" s="198" t="inlineStr">
        <is>
          <t>AG</t>
        </is>
      </c>
      <c r="D17" s="200" t="inlineStr">
        <is>
          <t>Industrie</t>
        </is>
      </c>
      <c r="E17" s="200" t="inlineStr">
        <is>
          <t>Kaltwasser 100 kW</t>
        </is>
      </c>
      <c r="F17" s="206" t="inlineStr">
        <is>
          <t>100 kW</t>
        </is>
      </c>
      <c r="G17" s="198" t="n">
        <v>365</v>
      </c>
      <c r="H17" s="202" t="inlineStr">
        <is>
          <t>August</t>
        </is>
      </c>
      <c r="I17" s="201" t="n">
        <v>74902.11</v>
      </c>
      <c r="J17" s="201" t="n">
        <v>56475.04</v>
      </c>
      <c r="K17" s="201" t="n">
        <v>1800</v>
      </c>
      <c r="L17" s="201" t="n">
        <v>0</v>
      </c>
      <c r="M17" s="201" t="n">
        <v>0</v>
      </c>
      <c r="N17" s="201" t="n">
        <v>5691.99</v>
      </c>
      <c r="O17" s="201">
        <f>IF(ISNUMBER(I17),I17-SUM(J17:N17),"")</f>
        <v>10935.08</v>
      </c>
      <c r="P17" s="203">
        <f>IFERROR(IF(AND(ISNUMBER(O17),ISNUMBER(I17),I17&lt;&gt;0),O17/I17,""),"")</f>
        <v>0.145991614922464</v>
      </c>
      <c r="Q17" s="201">
        <f>IF(AND(ISNUMBER(I17),ISNUMBER(S17)),I17*IF(S17&lt;=1,S17,S17/100),IF(OR(I17&lt;&gt;"",S17&lt;&gt;""),"tbd",""))</f>
        <v>59921.688</v>
      </c>
      <c r="R17" s="204" t="inlineStr">
        <is>
          <t>offered</t>
        </is>
      </c>
      <c r="S17" s="205" t="n">
        <v>0.8</v>
      </c>
      <c r="T17" s="199" t="inlineStr">
        <is>
          <t>Kalt (Burak)</t>
        </is>
      </c>
      <c r="U17" s="200" t="inlineStr">
        <is>
          <t>USV + PQ-Monitoring für Präzisionsanlagen</t>
        </is>
      </c>
      <c r="V17" s="200" t="inlineStr">
        <is>
          <t>Kunde wahr sehr Zufrieden mit dem 1. Auftrag und im Anschluss Folgeauftrag durch meine Aktivät</t>
        </is>
      </c>
      <c r="W17" s="198" t="inlineStr">
        <is>
          <t>Juni</t>
        </is>
      </c>
      <c r="X17" s="200" t="inlineStr">
        <is>
          <t>Kunde angeschrieben, Kundentermin vor Ort in Juni 26, Termin Perfekt, Kunde benötigt Offerte, Kunde hat Offerte erhalteny, Kunde muss nur noch unterschreiben</t>
        </is>
      </c>
      <c r="Z17" t="str">
        <f>IF(AND(R17="WON",ISNUMBER(I17)),AA17,"")</f>
        <v/>
      </c>
      <c r="AA17">
        <f>IFERROR(I17*1,0)</f>
        <v>74902.11</v>
      </c>
      <c r="AB17">
        <f>N(AB16)+IF(AND(R17="WON",B17&lt;&gt;""),1,0)</f>
        <v>6</v>
      </c>
      <c r="AC17">
        <f>N(AC16)+IF(AND(OR(R17="offered",R17="to be offered",R17="on hold"),B17&lt;&gt;""),1,0)</f>
        <v>3</v>
      </c>
      <c r="AD17">
        <f>N(AD16)+IF(AND(OR(R17="follow-up",R17="Evaluation",R17="tbd",R17="In evaluation"),B17&lt;&gt;""),1,0)</f>
        <v>1</v>
      </c>
    </row>
    <row r="18" ht="30" customHeight="1">
      <c r="A18" s="198" t="n">
        <v>13</v>
      </c>
      <c r="B18" s="199" t="inlineStr">
        <is>
          <t>Proxima Fusion AG</t>
        </is>
      </c>
      <c r="C18" s="198" t="inlineStr">
        <is>
          <t>ZH</t>
        </is>
      </c>
      <c r="D18" s="200" t="inlineStr">
        <is>
          <t>Forschung / Hightech</t>
        </is>
      </c>
      <c r="E18" s="200" t="inlineStr">
        <is>
          <t>BESS 1 MWh</t>
        </is>
      </c>
      <c r="F18" s="201" t="n">
        <v>1000</v>
      </c>
      <c r="G18" s="198" t="n">
        <v>365</v>
      </c>
      <c r="H18" s="202" t="inlineStr">
        <is>
          <t>Juli</t>
        </is>
      </c>
      <c r="I18" s="201" t="n">
        <v>365003</v>
      </c>
      <c r="J18" s="201" t="n">
        <v>326376</v>
      </c>
      <c r="K18" s="201" t="n">
        <v>6900</v>
      </c>
      <c r="L18" s="201" t="n">
        <v>0</v>
      </c>
      <c r="M18" s="201" t="n">
        <v>1160</v>
      </c>
      <c r="N18" s="201" t="n">
        <v>480</v>
      </c>
      <c r="O18" s="201">
        <f>IF(ISNUMBER(I18),I18-SUM(J18:N18),"")</f>
        <v>30087</v>
      </c>
      <c r="P18" s="203">
        <f>IFERROR(IF(AND(ISNUMBER(O18),ISNUMBER(I18),I18&lt;&gt;0),O18/I18,""),"")</f>
        <v>0.0824294594838947</v>
      </c>
      <c r="Q18" s="201">
        <f>IF(AND(ISNUMBER(I18),ISNUMBER(S18)),I18*IF(S18&lt;=1,S18,S18/100),IF(OR(I18&lt;&gt;"",S18&lt;&gt;""),"tbd",""))</f>
        <v>182501.5</v>
      </c>
      <c r="R18" s="204" t="inlineStr">
        <is>
          <t>follow-up</t>
        </is>
      </c>
      <c r="S18" s="205" t="n">
        <v>0.5</v>
      </c>
      <c r="T18" s="199" t="inlineStr">
        <is>
          <t>Kalt (Burak)</t>
        </is>
      </c>
      <c r="U18" s="200" t="inlineStr">
        <is>
          <t>USV + PQ-Monitoring für Präzisionsanlagen</t>
        </is>
      </c>
      <c r="V18" s="200" t="inlineStr">
        <is>
          <t>Technisches Gespräch – USV + PQ-Anforderungen klären, Kunde hat Angebot und Technische Ausführung erhalten warten auf Feedback</t>
        </is>
      </c>
      <c r="W18" s="198" t="inlineStr">
        <is>
          <t>Juni</t>
        </is>
      </c>
      <c r="X18" s="200" t="inlineStr">
        <is>
          <t>Fusionsforschung – sehr sensibler Strombedarf</t>
        </is>
      </c>
      <c r="Z18" t="str">
        <f>IF(AND(R18="WON",ISNUMBER(I18)),AA18,"")</f>
        <v/>
      </c>
      <c r="AA18">
        <f>IFERROR(I18*1,0)</f>
        <v>365003</v>
      </c>
      <c r="AB18">
        <f>N(AB17)+IF(AND(R18="WON",B18&lt;&gt;""),1,0)</f>
        <v>6</v>
      </c>
      <c r="AC18">
        <f>N(AC17)+IF(AND(OR(R18="offered",R18="to be offered",R18="on hold"),B18&lt;&gt;""),1,0)</f>
        <v>3</v>
      </c>
      <c r="AD18">
        <f>N(AD17)+IF(AND(OR(R18="follow-up",R18="Evaluation",R18="tbd",R18="In evaluation"),B18&lt;&gt;""),1,0)</f>
        <v>2</v>
      </c>
    </row>
    <row r="19" ht="60" customHeight="1">
      <c r="A19" s="198" t="n">
        <v>25</v>
      </c>
      <c r="B19" s="199" t="inlineStr">
        <is>
          <t>Reto EKAG</t>
        </is>
      </c>
      <c r="C19" s="198" t="inlineStr">
        <is>
          <t>AG</t>
        </is>
      </c>
      <c r="D19" s="200" t="inlineStr">
        <is>
          <t>Elektroinstallation</t>
        </is>
      </c>
      <c r="E19" s="200" t="inlineStr">
        <is>
          <t>Option B 1x 6 kVA Trafo, 1x 3000 kVA Trafo, 1x 6000 kVA Lastbank, 1x 3300 kVA Lastbank</t>
        </is>
      </c>
      <c r="F19" s="206" t="inlineStr">
        <is>
          <t>9000 kVA + 9300 kVA</t>
        </is>
      </c>
      <c r="G19" s="198" t="n">
        <v>21</v>
      </c>
      <c r="H19" s="202" t="inlineStr">
        <is>
          <t>Okt</t>
        </is>
      </c>
      <c r="I19" s="201" t="n">
        <v>57249.54</v>
      </c>
      <c r="J19" s="201" t="n">
        <v>46525.57</v>
      </c>
      <c r="K19" s="201" t="n">
        <v>4000</v>
      </c>
      <c r="L19" s="201" t="n">
        <v>0</v>
      </c>
      <c r="M19" s="201" t="n">
        <v>24000</v>
      </c>
      <c r="N19" s="201">
        <f>IF(ISNUMBER(I19),ROUND(I19-I19/1.081,2),"")</f>
        <v>4289.74</v>
      </c>
      <c r="O19" s="201">
        <f>IF(ISNUMBER(I19),I19-SUM(J19:N19),"")</f>
        <v>-21565.77</v>
      </c>
      <c r="P19" s="203">
        <f>IFERROR(IF(AND(ISNUMBER(O19),ISNUMBER(I19),I19&lt;&gt;0),O19/I19,""),"")</f>
        <v>-0.376697699230422</v>
      </c>
      <c r="Q19" s="201">
        <f>IF(AND(ISNUMBER(I19),ISNUMBER(S19)),I19*IF(S19&lt;=1,S19,S19/100),IF(OR(I19&lt;&gt;"",S19&lt;&gt;""),"tbd",""))</f>
        <v>40074.678</v>
      </c>
      <c r="R19" s="204" t="inlineStr">
        <is>
          <t>Evaluation</t>
        </is>
      </c>
      <c r="S19" s="205" t="n">
        <v>0.7</v>
      </c>
      <c r="T19" s="199" t="inlineStr">
        <is>
          <t>Warm – Aggreko</t>
        </is>
      </c>
      <c r="U19" s="200" t="inlineStr">
        <is>
          <t>USV + PQ-Monitoring für Präzisionsanlagen</t>
        </is>
      </c>
      <c r="V19" s="200" t="inlineStr">
        <is>
          <t>Kunde Telefon Kontaktiert und Vor Ort 
Besichtigung und Aufbauort</t>
        </is>
      </c>
      <c r="W19" s="198" t="inlineStr">
        <is>
          <t>Juli</t>
        </is>
      </c>
      <c r="X19" s="200" t="inlineStr">
        <is>
          <t>Kunde angeschrieben, Kundentermin vor Ort in Mai 26, Termin Perfekt, Kunde benötigt Offerte, Kunde hat Offerte erhalten, Kunde hat sich für uns entschieden, Kunde muss die Offerte noch unterschreiben</t>
        </is>
      </c>
      <c r="Z19" t="str">
        <f>IF(AND(R19="WON",ISNUMBER(I19)),AA19,"")</f>
        <v/>
      </c>
      <c r="AA19">
        <f>IFERROR(I19*1,0)</f>
        <v>57249.54</v>
      </c>
      <c r="AB19">
        <f>N(AB18)+IF(AND(R19="WON",B19&lt;&gt;""),1,0)</f>
        <v>6</v>
      </c>
      <c r="AC19">
        <f>N(AC18)+IF(AND(OR(R19="offered",R19="to be offered",R19="on hold"),B19&lt;&gt;""),1,0)</f>
        <v>3</v>
      </c>
      <c r="AD19">
        <f>N(AD18)+IF(AND(OR(R19="follow-up",R19="Evaluation",R19="tbd",R19="In evaluation"),B19&lt;&gt;""),1,0)</f>
        <v>3</v>
      </c>
    </row>
    <row r="20" ht="24" customHeight="1">
      <c r="A20" s="198" t="n">
        <v>25</v>
      </c>
      <c r="B20" s="199" t="inlineStr">
        <is>
          <t>Reto EKAG</t>
        </is>
      </c>
      <c r="C20" s="198" t="inlineStr">
        <is>
          <t>AG</t>
        </is>
      </c>
      <c r="D20" s="200" t="inlineStr">
        <is>
          <t>Elektroinstallation</t>
        </is>
      </c>
      <c r="E20" s="200" t="inlineStr">
        <is>
          <t>MS Kabel 95mm</t>
        </is>
      </c>
      <c r="F20" s="206" t="inlineStr">
        <is>
          <t>Kabel 95mm</t>
        </is>
      </c>
      <c r="G20" s="198" t="n">
        <v>21</v>
      </c>
      <c r="H20" s="202" t="inlineStr">
        <is>
          <t>Okt</t>
        </is>
      </c>
      <c r="I20" s="201" t="n">
        <v>15664.18</v>
      </c>
      <c r="J20" s="201">
        <f>3635.52+8340.93</f>
        <v>11976.45</v>
      </c>
      <c r="K20" s="201" t="n">
        <v>2496</v>
      </c>
      <c r="L20" s="201" t="n">
        <v>0</v>
      </c>
      <c r="M20" s="201" t="n">
        <v>0</v>
      </c>
      <c r="N20" s="201">
        <f>IF(ISNUMBER(I20),ROUND(I20-I20/1.081,2),"")</f>
        <v>1173.73</v>
      </c>
      <c r="O20" s="201">
        <f>IF(ISNUMBER(I20),I20-SUM(J20:N20),"")</f>
        <v>18</v>
      </c>
      <c r="P20" s="203">
        <f>IFERROR(IF(AND(ISNUMBER(O20),ISNUMBER(I20),I20&lt;&gt;0),O20/I20,""),"")</f>
        <v>0.00114911856222285</v>
      </c>
      <c r="Q20" s="201">
        <f>IF(AND(ISNUMBER(I20),ISNUMBER(S20)),I20*IF(S20&lt;=1,S20,S20/100),IF(OR(I20&lt;&gt;"",S20&lt;&gt;""),"tbd",""))</f>
        <v>10964.926</v>
      </c>
      <c r="R20" s="204" t="inlineStr">
        <is>
          <t>Evaluation</t>
        </is>
      </c>
      <c r="S20" s="205" t="n">
        <v>0.7</v>
      </c>
      <c r="T20" s="199" t="inlineStr">
        <is>
          <t>Warm – Aggreko</t>
        </is>
      </c>
      <c r="U20" s="200" t="inlineStr">
        <is>
          <t>USV + PQ-Monitoring für Präzisionsanlagen</t>
        </is>
      </c>
      <c r="V20" s="200" t="inlineStr">
        <is>
          <t>Kunde Telefon Kontaktiert und Vor Ort 
Besichtigung und Aufbauort</t>
        </is>
      </c>
      <c r="W20" s="198" t="inlineStr">
        <is>
          <t>Juli</t>
        </is>
      </c>
      <c r="X20" s="200" t="inlineStr">
        <is>
          <t>Kunde angeschrieben, Kundentermin vor Ort in Mai 26, Termin Perfekt, Kunde benötigt Offerte, Kunde hat Offerte erhalten, Kunde hat sich für uns entschieden, Kunde muss die Offerte noch unterschreiben</t>
        </is>
      </c>
      <c r="Z20" t="str">
        <f>IF(AND(R20="WON",ISNUMBER(I20)),AA20,"")</f>
        <v/>
      </c>
      <c r="AA20">
        <f>IFERROR(I20*1,0)</f>
        <v>15664.18</v>
      </c>
      <c r="AB20">
        <f>N(AB19)+IF(AND(R20="WON",B20&lt;&gt;""),1,0)</f>
        <v>6</v>
      </c>
      <c r="AC20">
        <f>N(AC19)+IF(AND(OR(R20="offered",R20="to be offered",R20="on hold"),B20&lt;&gt;""),1,0)</f>
        <v>3</v>
      </c>
      <c r="AD20">
        <f>N(AD19)+IF(AND(OR(R20="follow-up",R20="Evaluation",R20="tbd",R20="In evaluation"),B20&lt;&gt;""),1,0)</f>
        <v>4</v>
      </c>
    </row>
    <row r="21" ht="30" customHeight="1">
      <c r="A21" s="198" t="n">
        <v>28</v>
      </c>
      <c r="B21" s="199" t="inlineStr">
        <is>
          <t>WEF</t>
        </is>
      </c>
      <c r="C21" s="198" t="inlineStr">
        <is>
          <t>GR</t>
        </is>
      </c>
      <c r="D21" s="200" t="inlineStr">
        <is>
          <t>Event</t>
        </is>
      </c>
      <c r="E21" s="200" t="inlineStr">
        <is>
          <t>1500 kVA, 600 kVA, 450 kVA, 450 kVA</t>
        </is>
      </c>
      <c r="F21" s="201" t="inlineStr">
        <is>
          <t>3000 kVA</t>
        </is>
      </c>
      <c r="G21" s="198" t="n">
        <v>28</v>
      </c>
      <c r="H21" s="202" t="inlineStr">
        <is>
          <t>Jan</t>
        </is>
      </c>
      <c r="I21" s="201" t="n">
        <v>77325.62</v>
      </c>
      <c r="J21" s="201" t="n">
        <v>54334.56</v>
      </c>
      <c r="K21" s="201" t="inlineStr">
        <is>
          <t>tbd</t>
        </is>
      </c>
      <c r="L21" s="201" t="n">
        <v>0</v>
      </c>
      <c r="M21" s="201" t="n">
        <v>10353</v>
      </c>
      <c r="N21" s="201" t="n">
        <v>6844</v>
      </c>
      <c r="O21" s="201">
        <f>IF(ISNUMBER(I21),I21-SUM(J21:N21),"")</f>
        <v>5794.06</v>
      </c>
      <c r="P21" s="203">
        <f>IFERROR(IF(AND(ISNUMBER(O21),ISNUMBER(I21),I21&lt;&gt;0),O21/I21,""),"")</f>
        <v>0.0749306633428869</v>
      </c>
      <c r="Q21" s="201">
        <f>IF(AND(ISNUMBER(I21),ISNUMBER(S21)),I21*IF(S21&lt;=1,S21,S21/100),IF(OR(I21&lt;&gt;"",S21&lt;&gt;""),"tbd",""))</f>
        <v>54127.934</v>
      </c>
      <c r="R21" s="204" t="inlineStr">
        <is>
          <t>offered</t>
        </is>
      </c>
      <c r="S21" s="205" t="n">
        <v>0.7</v>
      </c>
      <c r="T21" s="199" t="inlineStr">
        <is>
          <t>Inbound</t>
        </is>
      </c>
      <c r="U21" s="200" t="inlineStr">
        <is>
          <t>Schnelle Lieferung 24/7</t>
        </is>
      </c>
      <c r="V21" s="208" t="inlineStr">
        <is>
          <t>Offerte erstellt, Stefan hat die Offerte bekommen, Stefan muss alles weitere klären mit den Kunden</t>
        </is>
      </c>
      <c r="W21" s="209" t="inlineStr">
        <is>
          <t>Juni (Stefan)</t>
        </is>
      </c>
      <c r="X21" s="200" t="inlineStr">
        <is>
          <t>Anfrage von Stefan über kontakt, Kunde braucht Offerte und wir müssen in der Range bei 85K Chf bleiben, Wir sind unter 80K CHF</t>
        </is>
      </c>
      <c r="Z21" t="str">
        <f>IF(AND(R21="WON",ISNUMBER(I21)),AA21,"")</f>
        <v/>
      </c>
      <c r="AA21">
        <f>IFERROR(I21*1,0)</f>
        <v>77325.62</v>
      </c>
      <c r="AB21">
        <f>N(AB20)+IF(AND(R21="WON",B21&lt;&gt;""),1,0)</f>
        <v>6</v>
      </c>
      <c r="AC21">
        <f>N(AC20)+IF(AND(OR(R21="offered",R21="to be offered",R21="on hold"),B21&lt;&gt;""),1,0)</f>
        <v>4</v>
      </c>
      <c r="AD21">
        <f>N(AD20)+IF(AND(OR(R21="follow-up",R21="Evaluation",R21="tbd",R21="In evaluation"),B21&lt;&gt;""),1,0)</f>
        <v>4</v>
      </c>
    </row>
    <row r="22" ht="36" customHeight="1">
      <c r="A22" s="198" t="n">
        <v>29</v>
      </c>
      <c r="B22" s="199" t="inlineStr">
        <is>
          <t>Gampeln</t>
        </is>
      </c>
      <c r="C22" s="198" t="inlineStr">
        <is>
          <t>VS</t>
        </is>
      </c>
      <c r="D22" s="200" t="inlineStr">
        <is>
          <t>Event</t>
        </is>
      </c>
      <c r="E22" s="200" t="inlineStr">
        <is>
          <t>6x300 kVA, 10x200 kVA, 1x100 kVA Generator</t>
        </is>
      </c>
      <c r="F22" s="206" t="inlineStr">
        <is>
          <t>3900 kVA</t>
        </is>
      </c>
      <c r="G22" s="198" t="n">
        <v>3</v>
      </c>
      <c r="H22" s="202" t="inlineStr">
        <is>
          <t>Aug</t>
        </is>
      </c>
      <c r="I22" s="201" t="n">
        <v>115045</v>
      </c>
      <c r="J22" s="201" t="n">
        <v>48865</v>
      </c>
      <c r="K22" s="201" t="n">
        <v>59800</v>
      </c>
      <c r="L22" s="201" t="n">
        <v>0</v>
      </c>
      <c r="M22" s="201" t="n">
        <v>6380</v>
      </c>
      <c r="N22" s="201" t="n">
        <v>0</v>
      </c>
      <c r="O22" s="201">
        <f>IF(ISNUMBER(I22),I22-SUM(J22:N22),"")</f>
        <v>0</v>
      </c>
      <c r="P22" s="203">
        <f>IFERROR(IF(AND(ISNUMBER(O22),ISNUMBER(I22),I22&lt;&gt;0),O22/I22,""),"")</f>
        <v>0</v>
      </c>
      <c r="Q22" s="201">
        <f>IF(AND(ISNUMBER(I22),ISNUMBER(S22)),I22*IF(S22&lt;=1,S22,S22/100),IF(OR(I22&lt;&gt;"",S22&lt;&gt;""),"tbd",""))</f>
        <v>115045</v>
      </c>
      <c r="R22" s="204" t="inlineStr">
        <is>
          <t>WON</t>
        </is>
      </c>
      <c r="S22" s="205" t="n">
        <v>1</v>
      </c>
      <c r="T22" s="199" t="inlineStr">
        <is>
          <t>Warm</t>
        </is>
      </c>
      <c r="U22" s="200" t="inlineStr">
        <is>
          <t>USV + PQ-Monitoring für Präzisionsanlagen</t>
        </is>
      </c>
      <c r="V22" s="200" t="inlineStr">
        <is>
          <t>Kunde angeschrieben, Kunde besucht, Kunde zufrieden mit der Vorarbeit, Transportkosten zu hoch</t>
        </is>
      </c>
      <c r="W22" s="198" t="inlineStr">
        <is>
          <t>Juni</t>
        </is>
      </c>
      <c r="X22" s="200" t="inlineStr">
        <is>
          <t>Preis klären wegen Transport</t>
        </is>
      </c>
      <c r="Z22">
        <f>IF(AND(R22="WON",ISNUMBER(I22)),AA22,"")</f>
        <v>115045</v>
      </c>
      <c r="AA22">
        <f>IFERROR(I22*1,0)</f>
        <v>115045</v>
      </c>
      <c r="AB22">
        <f>N(AB21)+IF(AND(R22="WON",B22&lt;&gt;""),1,0)</f>
        <v>7</v>
      </c>
      <c r="AC22">
        <f>N(AC21)+IF(AND(OR(R22="offered",R22="to be offered",R22="on hold"),B22&lt;&gt;""),1,0)</f>
        <v>4</v>
      </c>
      <c r="AD22">
        <f>N(AD21)+IF(AND(OR(R22="follow-up",R22="Evaluation",R22="tbd",R22="In evaluation"),B22&lt;&gt;""),1,0)</f>
        <v>4</v>
      </c>
    </row>
    <row r="23" ht="30" customHeight="1">
      <c r="A23" s="198" t="n">
        <v>16</v>
      </c>
      <c r="B23" s="199" t="inlineStr">
        <is>
          <t>Etavis Gossenbacher AG</t>
        </is>
      </c>
      <c r="C23" s="198" t="inlineStr">
        <is>
          <t>ZH</t>
        </is>
      </c>
      <c r="D23" s="200" t="inlineStr">
        <is>
          <t>Elektroinstallation</t>
        </is>
      </c>
      <c r="E23" s="200" t="inlineStr">
        <is>
          <t>30 kVA USV/Generator</t>
        </is>
      </c>
      <c r="F23" s="201" t="n">
        <v>30</v>
      </c>
      <c r="G23" s="198" t="n">
        <v>90</v>
      </c>
      <c r="H23" s="198" t="inlineStr">
        <is>
          <t>tbd</t>
        </is>
      </c>
      <c r="I23" s="201" t="n">
        <v>0</v>
      </c>
      <c r="J23" s="201" t="n">
        <v>0</v>
      </c>
      <c r="K23" s="201" t="n">
        <v>0</v>
      </c>
      <c r="L23" s="201" t="n">
        <v>0</v>
      </c>
      <c r="M23" s="201" t="n">
        <v>0</v>
      </c>
      <c r="N23" s="201" t="n">
        <v>0</v>
      </c>
      <c r="O23" s="201">
        <f>IF(ISNUMBER(I23),I23-SUM(J23:N23),"")</f>
        <v>0</v>
      </c>
      <c r="P23" s="203" t="str">
        <f>IFERROR(IF(AND(ISNUMBER(O23),ISNUMBER(I23),I23&lt;&gt;0),O23/I23,""),"")</f>
        <v/>
      </c>
      <c r="Q23" s="201">
        <f>IF(AND(ISNUMBER(I23),ISNUMBER(S23)),I23*IF(S23&lt;=1,S23,S23/100),IF(OR(I23&lt;&gt;"",S23&lt;&gt;""),"tbd",""))</f>
        <v>0</v>
      </c>
      <c r="R23" s="204" t="inlineStr">
        <is>
          <t>Declined</t>
        </is>
      </c>
      <c r="S23" s="205" t="n">
        <v>0</v>
      </c>
      <c r="T23" s="199" t="inlineStr">
        <is>
          <t>Kalt (Burak)</t>
        </is>
      </c>
      <c r="U23" s="200" t="inlineStr">
        <is>
          <t>Flexibilität, kleines Setup schnell verfügbar</t>
        </is>
      </c>
      <c r="V23" s="200" t="inlineStr">
        <is>
          <t>Erstkontakt vertiefen – Bedarf qualifizieren, Kein bedarf mehr</t>
        </is>
      </c>
      <c r="W23" s="198" t="inlineStr">
        <is>
          <t>Juni</t>
        </is>
      </c>
      <c r="X23" s="200" t="inlineStr">
        <is>
          <t>Erstkontakt vertiefen – Bedarf qualifizieren, Kein bedarf mehr</t>
        </is>
      </c>
      <c r="Z23" t="str">
        <f>IF(AND(R23="WON",ISNUMBER(I23)),AA23,"")</f>
        <v/>
      </c>
      <c r="AA23">
        <f>IFERROR(I23*1,0)</f>
        <v>0</v>
      </c>
      <c r="AB23">
        <f>N(AB22)+IF(AND(R23="WON",B23&lt;&gt;""),1,0)</f>
        <v>7</v>
      </c>
      <c r="AC23">
        <f>N(AC22)+IF(AND(OR(R23="offered",R23="to be offered",R23="on hold"),B23&lt;&gt;""),1,0)</f>
        <v>4</v>
      </c>
      <c r="AD23">
        <f>N(AD22)+IF(AND(OR(R23="follow-up",R23="Evaluation",R23="tbd",R23="In evaluation"),B23&lt;&gt;""),1,0)</f>
        <v>4</v>
      </c>
    </row>
    <row r="24" ht="30" customHeight="1">
      <c r="A24" s="198" t="n">
        <v>17</v>
      </c>
      <c r="B24" s="199" t="inlineStr">
        <is>
          <t>MAS ETH Architektur</t>
        </is>
      </c>
      <c r="C24" s="198" t="inlineStr">
        <is>
          <t>ZH</t>
        </is>
      </c>
      <c r="D24" s="200" t="inlineStr">
        <is>
          <t>Bildung / Forschung</t>
        </is>
      </c>
      <c r="E24" s="200" t="inlineStr">
        <is>
          <t>tbd</t>
        </is>
      </c>
      <c r="F24" s="206" t="n"/>
      <c r="G24" s="198" t="inlineStr">
        <is>
          <t>tbd</t>
        </is>
      </c>
      <c r="H24" s="198" t="inlineStr">
        <is>
          <t>tbd</t>
        </is>
      </c>
      <c r="I24" s="201" t="n">
        <v>0</v>
      </c>
      <c r="J24" s="201" t="n">
        <v>0</v>
      </c>
      <c r="K24" s="201" t="n">
        <v>0</v>
      </c>
      <c r="L24" s="201" t="n">
        <v>0</v>
      </c>
      <c r="M24" s="201" t="n">
        <v>0</v>
      </c>
      <c r="N24" s="201" t="n">
        <v>0</v>
      </c>
      <c r="O24" s="201">
        <f>IF(ISNUMBER(I24),I24-SUM(J24:N24),"")</f>
        <v>0</v>
      </c>
      <c r="P24" s="203" t="str">
        <f>IFERROR(IF(AND(ISNUMBER(O24),ISNUMBER(I24),I24&lt;&gt;0),O24/I24,""),"")</f>
        <v/>
      </c>
      <c r="Q24" s="201">
        <f>IF(AND(ISNUMBER(I24),ISNUMBER(S24)),I24*IF(S24&lt;=1,S24,S24/100),IF(OR(I24&lt;&gt;"",S24&lt;&gt;""),"tbd",""))</f>
        <v>0</v>
      </c>
      <c r="R24" s="204" t="inlineStr">
        <is>
          <t>Declined</t>
        </is>
      </c>
      <c r="S24" s="205" t="n">
        <v>0</v>
      </c>
      <c r="T24" s="199" t="inlineStr">
        <is>
          <t>Kalt (Burak)</t>
        </is>
      </c>
      <c r="U24" s="200" t="inlineStr">
        <is>
          <t>tbd</t>
        </is>
      </c>
      <c r="V24" s="200" t="inlineStr">
        <is>
          <t>Erstkontakt vertiefen – Bedarf qualifizieren, Kein bedarf mehr</t>
        </is>
      </c>
      <c r="W24" s="198" t="inlineStr">
        <is>
          <t>Juni</t>
        </is>
      </c>
      <c r="X24" s="200" t="inlineStr">
        <is>
          <t>Erstkontakt vertiefen – Bedarf qualifizieren, Kein bedarf mehr</t>
        </is>
      </c>
      <c r="Z24" t="str">
        <f>IF(AND(R24="WON",ISNUMBER(I24)),AA24,"")</f>
        <v/>
      </c>
      <c r="AA24">
        <f>IFERROR(I24*1,0)</f>
        <v>0</v>
      </c>
      <c r="AB24">
        <f>N(AB23)+IF(AND(R24="WON",B24&lt;&gt;""),1,0)</f>
        <v>7</v>
      </c>
      <c r="AC24">
        <f>N(AC23)+IF(AND(OR(R24="offered",R24="to be offered",R24="on hold"),B24&lt;&gt;""),1,0)</f>
        <v>4</v>
      </c>
      <c r="AD24">
        <f>N(AD23)+IF(AND(OR(R24="follow-up",R24="Evaluation",R24="tbd",R24="In evaluation"),B24&lt;&gt;""),1,0)</f>
        <v>4</v>
      </c>
    </row>
    <row r="25" ht="30" customHeight="1">
      <c r="A25" s="198" t="n">
        <v>18</v>
      </c>
      <c r="B25" s="199" t="inlineStr">
        <is>
          <t>FIP ISA</t>
        </is>
      </c>
      <c r="C25" s="198" t="inlineStr">
        <is>
          <t>tbd</t>
        </is>
      </c>
      <c r="D25" s="200" t="inlineStr">
        <is>
          <t>tbd</t>
        </is>
      </c>
      <c r="E25" s="200" t="inlineStr">
        <is>
          <t>tbd</t>
        </is>
      </c>
      <c r="F25" s="206" t="n"/>
      <c r="G25" s="198" t="inlineStr">
        <is>
          <t>tbd</t>
        </is>
      </c>
      <c r="H25" s="198" t="inlineStr">
        <is>
          <t>tbd</t>
        </is>
      </c>
      <c r="I25" s="201" t="n"/>
      <c r="J25" s="201" t="n"/>
      <c r="K25" s="201" t="n"/>
      <c r="L25" s="201" t="n">
        <v>0</v>
      </c>
      <c r="M25" s="201" t="n"/>
      <c r="N25" s="201" t="str">
        <f>IF(ISNUMBER(I25),ROUND(I25-I25/1.081,2),"")</f>
        <v/>
      </c>
      <c r="O25" s="201" t="str">
        <f>IF(ISNUMBER(I25),I25-SUM(J25:N25),"")</f>
        <v/>
      </c>
      <c r="P25" s="203" t="str">
        <f>IFERROR(IF(AND(ISNUMBER(O25),ISNUMBER(I25),I25&lt;&gt;0),O25/I25,""),"")</f>
        <v/>
      </c>
      <c r="Q25" s="201" t="str">
        <f>IF(AND(ISNUMBER(I25),ISNUMBER(S25)),I25*IF(S25&lt;=1,S25,S25/100),IF(OR(I25&lt;&gt;"",S25&lt;&gt;""),"tbd",""))</f>
        <v>tbd</v>
      </c>
      <c r="R25" s="204" t="inlineStr">
        <is>
          <t>Declined</t>
        </is>
      </c>
      <c r="S25" s="205" t="n">
        <v>0</v>
      </c>
      <c r="T25" s="199" t="inlineStr">
        <is>
          <t>Kalt (Burak)</t>
        </is>
      </c>
      <c r="U25" s="200" t="inlineStr">
        <is>
          <t>tbd</t>
        </is>
      </c>
      <c r="V25" s="200" t="inlineStr">
        <is>
          <t>Erstkontakt vertiefen – Bedarf qualifizieren, Kein bedarf mehr</t>
        </is>
      </c>
      <c r="W25" s="198" t="inlineStr">
        <is>
          <t>Juni</t>
        </is>
      </c>
      <c r="X25" s="200" t="inlineStr">
        <is>
          <t>Erstkontakt vertiefen – Bedarf qualifizieren, Kein bedarf mehr</t>
        </is>
      </c>
      <c r="Z25" t="str">
        <f>IF(AND(R25="WON",ISNUMBER(I25)),AA25,"")</f>
        <v/>
      </c>
      <c r="AA25">
        <f>IFERROR(I25*1,0)</f>
        <v>0</v>
      </c>
      <c r="AB25">
        <f>N(AB24)+IF(AND(R25="WON",B25&lt;&gt;""),1,0)</f>
        <v>7</v>
      </c>
      <c r="AC25">
        <f>N(AC24)+IF(AND(OR(R25="offered",R25="to be offered",R25="on hold"),B25&lt;&gt;""),1,0)</f>
        <v>4</v>
      </c>
      <c r="AD25">
        <f>N(AD24)+IF(AND(OR(R25="follow-up",R25="Evaluation",R25="tbd",R25="In evaluation"),B25&lt;&gt;""),1,0)</f>
        <v>4</v>
      </c>
    </row>
    <row r="26" ht="30" customHeight="1">
      <c r="A26" s="198" t="n">
        <v>19</v>
      </c>
      <c r="B26" s="199" t="inlineStr">
        <is>
          <t>AKSA Würenlos</t>
        </is>
      </c>
      <c r="C26" s="198" t="inlineStr">
        <is>
          <t>AG</t>
        </is>
      </c>
      <c r="D26" s="200" t="inlineStr">
        <is>
          <t>Industrie / Generatoren</t>
        </is>
      </c>
      <c r="E26" s="200" t="inlineStr">
        <is>
          <t>1500 kVA Generator</t>
        </is>
      </c>
      <c r="F26" s="201" t="n">
        <v>1500</v>
      </c>
      <c r="G26" s="198" t="n">
        <v>19</v>
      </c>
      <c r="H26" s="207" t="inlineStr">
        <is>
          <t>April</t>
        </is>
      </c>
      <c r="I26" s="201" t="n">
        <v>48950</v>
      </c>
      <c r="J26" s="201" t="n">
        <v>0</v>
      </c>
      <c r="K26" s="201" t="n">
        <v>0</v>
      </c>
      <c r="L26" s="201" t="n">
        <v>0</v>
      </c>
      <c r="M26" s="201" t="n">
        <v>0</v>
      </c>
      <c r="N26" s="201" t="n">
        <v>0</v>
      </c>
      <c r="O26" s="201">
        <f>IF(ISNUMBER(I26),I26-SUM(J26:N26),"")</f>
        <v>48950</v>
      </c>
      <c r="P26" s="203">
        <f>IFERROR(IF(AND(ISNUMBER(O26),ISNUMBER(I26),I26&lt;&gt;0),O26/I26,""),"")</f>
        <v>1</v>
      </c>
      <c r="Q26" s="201">
        <f>IF(AND(ISNUMBER(I26),ISNUMBER(S26)),I26*IF(S26&lt;=1,S26,S26/100),IF(OR(I26&lt;&gt;"",S26&lt;&gt;""),"tbd",""))</f>
        <v>0</v>
      </c>
      <c r="R26" s="204" t="inlineStr">
        <is>
          <t>Declined</t>
        </is>
      </c>
      <c r="S26" s="205" t="n">
        <v>0</v>
      </c>
      <c r="T26" s="199" t="inlineStr">
        <is>
          <t>Kalt (Burak)</t>
        </is>
      </c>
      <c r="U26" s="200" t="inlineStr">
        <is>
          <t>–</t>
        </is>
      </c>
      <c r="V26" s="200" t="inlineStr">
        <is>
          <t>Kunden angeschrieben 27.04.2026</t>
        </is>
      </c>
      <c r="W26" s="198" t="inlineStr">
        <is>
          <t>Juni</t>
        </is>
      </c>
      <c r="X26" s="200" t="inlineStr">
        <is>
          <t>Wirtschaftlich nicht tragbar laut Kunde / Warten auf Rückmeldung</t>
        </is>
      </c>
      <c r="Z26" t="str">
        <f>IF(AND(R26="WON",ISNUMBER(I26)),AA26,"")</f>
        <v/>
      </c>
      <c r="AA26">
        <f>IFERROR(I26*1,0)</f>
        <v>48950</v>
      </c>
      <c r="AB26">
        <f>N(AB25)+IF(AND(R26="WON",B26&lt;&gt;""),1,0)</f>
        <v>7</v>
      </c>
      <c r="AC26">
        <f>N(AC25)+IF(AND(OR(R26="offered",R26="to be offered",R26="on hold"),B26&lt;&gt;""),1,0)</f>
        <v>4</v>
      </c>
      <c r="AD26">
        <f>N(AD25)+IF(AND(OR(R26="follow-up",R26="Evaluation",R26="tbd",R26="In evaluation"),B26&lt;&gt;""),1,0)</f>
        <v>4</v>
      </c>
    </row>
    <row r="27" ht="30" customHeight="1">
      <c r="A27" s="198" t="n">
        <v>20</v>
      </c>
      <c r="B27" s="199" t="inlineStr">
        <is>
          <t>Holinger</t>
        </is>
      </c>
      <c r="C27" s="198" t="inlineStr">
        <is>
          <t>BE</t>
        </is>
      </c>
      <c r="D27" s="200" t="inlineStr">
        <is>
          <t>Ingenieure / Planung</t>
        </is>
      </c>
      <c r="E27" s="200" t="inlineStr">
        <is>
          <t>250 kVA Generator</t>
        </is>
      </c>
      <c r="F27" s="201" t="n">
        <v>250</v>
      </c>
      <c r="G27" s="198" t="n">
        <v>90</v>
      </c>
      <c r="H27" s="207" t="inlineStr">
        <is>
          <t>Mai</t>
        </is>
      </c>
      <c r="I27" s="201" t="n">
        <v>39000</v>
      </c>
      <c r="J27" s="201" t="n"/>
      <c r="K27" s="201" t="n"/>
      <c r="L27" s="201" t="n">
        <v>0</v>
      </c>
      <c r="M27" s="201" t="n"/>
      <c r="N27" s="201">
        <f>IF(ISNUMBER(I27),ROUND(I27-I27/1.081,2),"")</f>
        <v>2922.29</v>
      </c>
      <c r="O27" s="201">
        <f>IF(ISNUMBER(I27),I27-SUM(J27:N27),"")</f>
        <v>36077.71</v>
      </c>
      <c r="P27" s="203">
        <f>IFERROR(IF(AND(ISNUMBER(O27),ISNUMBER(I27),I27&lt;&gt;0),O27/I27,""),"")</f>
        <v>0.925069487179487</v>
      </c>
      <c r="Q27" s="201">
        <f>IF(AND(ISNUMBER(I27),ISNUMBER(S27)),I27*IF(S27&lt;=1,S27,S27/100),IF(OR(I27&lt;&gt;"",S27&lt;&gt;""),"tbd",""))</f>
        <v>0</v>
      </c>
      <c r="R27" s="204" t="inlineStr">
        <is>
          <t>LOST</t>
        </is>
      </c>
      <c r="S27" s="205" t="n">
        <v>0</v>
      </c>
      <c r="T27" s="199" t="inlineStr">
        <is>
          <t>Kalt (Burak)</t>
        </is>
      </c>
      <c r="U27" s="200" t="inlineStr">
        <is>
          <t>–</t>
        </is>
      </c>
      <c r="V27" s="200" t="inlineStr">
        <is>
          <t>❌ Closed – in 12 Monaten wieder kontaktieren</t>
        </is>
      </c>
      <c r="W27" s="198" t="inlineStr">
        <is>
          <t>Juni</t>
        </is>
      </c>
      <c r="X27" s="200" t="inlineStr">
        <is>
          <t>Bauherr Entscheid gegen MiT – kein Preisproblem</t>
        </is>
      </c>
      <c r="Z27" t="str">
        <f>IF(AND(R27="WON",ISNUMBER(I27)),AA27,"")</f>
        <v/>
      </c>
      <c r="AA27">
        <f>IFERROR(I27*1,0)</f>
        <v>39000</v>
      </c>
      <c r="AB27">
        <f>N(AB26)+IF(AND(R27="WON",B27&lt;&gt;""),1,0)</f>
        <v>7</v>
      </c>
      <c r="AC27">
        <f>N(AC26)+IF(AND(OR(R27="offered",R27="to be offered",R27="on hold"),B27&lt;&gt;""),1,0)</f>
        <v>4</v>
      </c>
      <c r="AD27">
        <f>N(AD26)+IF(AND(OR(R27="follow-up",R27="Evaluation",R27="tbd",R27="In evaluation"),B27&lt;&gt;""),1,0)</f>
        <v>4</v>
      </c>
    </row>
    <row r="28" ht="30" customHeight="1">
      <c r="A28" s="198" t="n">
        <v>8</v>
      </c>
      <c r="B28" s="199" t="inlineStr">
        <is>
          <t>Sade CGTH (Schweiz)</t>
        </is>
      </c>
      <c r="C28" s="198" t="inlineStr">
        <is>
          <t>GE</t>
        </is>
      </c>
      <c r="D28" s="200" t="inlineStr">
        <is>
          <t>Infrastruktur / Bau</t>
        </is>
      </c>
      <c r="E28" s="200" t="inlineStr">
        <is>
          <t>750 kVA Generator</t>
        </is>
      </c>
      <c r="F28" s="201" t="n">
        <v>750</v>
      </c>
      <c r="G28" s="198" t="n">
        <v>42</v>
      </c>
      <c r="H28" s="202" t="inlineStr">
        <is>
          <t>April</t>
        </is>
      </c>
      <c r="I28" s="201" t="n">
        <v>38885</v>
      </c>
      <c r="J28" s="201" t="n">
        <v>22000</v>
      </c>
      <c r="K28" s="201" t="n">
        <v>2500</v>
      </c>
      <c r="L28" s="201" t="n">
        <v>3500</v>
      </c>
      <c r="M28" s="201" t="n">
        <v>3000</v>
      </c>
      <c r="N28" s="201" t="n">
        <v>800</v>
      </c>
      <c r="O28" s="201">
        <f>IF(ISNUMBER(I28),I28-SUM(J28:N28),"")</f>
        <v>7085</v>
      </c>
      <c r="P28" s="203">
        <f>IFERROR(IF(AND(ISNUMBER(O28),ISNUMBER(I28),I28&lt;&gt;0),O28/I28,""),"")</f>
        <v>0.182203934679182</v>
      </c>
      <c r="Q28" s="201">
        <f>IF(AND(ISNUMBER(I28),ISNUMBER(S28)),I28*IF(S28&lt;=1,S28,S28/100),IF(OR(I28&lt;&gt;"",S28&lt;&gt;""),"tbd",""))</f>
        <v>19442.5</v>
      </c>
      <c r="R28" s="204" t="inlineStr">
        <is>
          <t>follow-up</t>
        </is>
      </c>
      <c r="S28" s="205" t="n">
        <v>0.5</v>
      </c>
      <c r="T28" s="199" t="inlineStr">
        <is>
          <t>Kalt (Burak)</t>
        </is>
      </c>
      <c r="U28" s="200" t="inlineStr">
        <is>
          <t>24/7 Service, Aggreko-Zuverlässigkeit</t>
        </is>
      </c>
      <c r="V28" s="200" t="inlineStr">
        <is>
          <t>Auftragsbestätigung anfordern – Entscheid steht bevor</t>
        </is>
      </c>
      <c r="W28" s="198" t="inlineStr">
        <is>
          <t>Juni</t>
        </is>
      </c>
      <c r="X28" s="200" t="inlineStr">
        <is>
          <t>Infrastrukturprojekt Romandie – Türöffner GE/VD</t>
        </is>
      </c>
      <c r="Z28" t="str">
        <f>IF(AND(R28="WON",ISNUMBER(I28)),AA28,"")</f>
        <v/>
      </c>
      <c r="AA28">
        <f>IFERROR(I28*1,0)</f>
        <v>38885</v>
      </c>
      <c r="AB28">
        <f>N(AB27)+IF(AND(R28="WON",B28&lt;&gt;""),1,0)</f>
        <v>7</v>
      </c>
      <c r="AC28">
        <f>N(AC27)+IF(AND(OR(R28="offered",R28="to be offered",R28="on hold"),B28&lt;&gt;""),1,0)</f>
        <v>4</v>
      </c>
      <c r="AD28">
        <f>N(AD27)+IF(AND(OR(R28="follow-up",R28="Evaluation",R28="tbd",R28="In evaluation"),B28&lt;&gt;""),1,0)</f>
        <v>5</v>
      </c>
    </row>
    <row r="29" ht="30" customHeight="1">
      <c r="A29" s="198" t="n">
        <v>22</v>
      </c>
      <c r="B29" s="199" t="inlineStr">
        <is>
          <t>Coolworld Rentals</t>
        </is>
      </c>
      <c r="C29" s="198" t="inlineStr">
        <is>
          <t>SH</t>
        </is>
      </c>
      <c r="D29" s="200" t="inlineStr">
        <is>
          <t>Kühlung / Konkurrenz</t>
        </is>
      </c>
      <c r="E29" s="200" t="inlineStr">
        <is>
          <t>400 kVA Generator</t>
        </is>
      </c>
      <c r="F29" s="201" t="n">
        <v>400</v>
      </c>
      <c r="G29" s="198" t="n">
        <v>21</v>
      </c>
      <c r="H29" s="207" t="inlineStr">
        <is>
          <t>Juli</t>
        </is>
      </c>
      <c r="I29" s="201" t="n">
        <v>12572.63</v>
      </c>
      <c r="J29" s="201">
        <f>6763.05+672+168</f>
        <v>7603.05</v>
      </c>
      <c r="K29" s="201" t="n">
        <v>3000</v>
      </c>
      <c r="L29" s="201" t="n">
        <v>0</v>
      </c>
      <c r="M29" s="201" t="n">
        <v>870</v>
      </c>
      <c r="N29" s="201">
        <f>IF(ISNUMBER(I29),ROUND(I29-I29/1.081,2),"")</f>
        <v>942.07</v>
      </c>
      <c r="O29" s="201">
        <f>IF(ISNUMBER(I29),I29-SUM(J29:N29),"")</f>
        <v>157.51</v>
      </c>
      <c r="P29" s="203">
        <f>IFERROR(IF(AND(ISNUMBER(O29),ISNUMBER(I29),I29&lt;&gt;0),O29/I29,""),"")</f>
        <v>0.0125280072665783</v>
      </c>
      <c r="Q29" s="201">
        <f>IF(AND(ISNUMBER(I29),ISNUMBER(S29)),I29*IF(S29&lt;=1,S29,S29/100),IF(OR(I29&lt;&gt;"",S29&lt;&gt;""),"tbd",""))</f>
        <v>0</v>
      </c>
      <c r="R29" s="204" t="inlineStr">
        <is>
          <t>LOST</t>
        </is>
      </c>
      <c r="S29" s="205" t="n">
        <v>0</v>
      </c>
      <c r="T29" s="199" t="inlineStr">
        <is>
          <t>Kalt (Burak)</t>
        </is>
      </c>
      <c r="U29" s="200" t="inlineStr">
        <is>
          <t>Flexibilität, Einfaches Setup</t>
        </is>
      </c>
      <c r="V29" s="208" t="inlineStr">
        <is>
          <t>Email Kontaktiert, Telefoniert, Warten auf Rückmeldung erneut, Kunde braucht kein Power mehr, Absage so</t>
        </is>
      </c>
      <c r="W29" s="198" t="inlineStr">
        <is>
          <t>Juni</t>
        </is>
      </c>
      <c r="X29" s="200" t="inlineStr">
        <is>
          <t>Kunde klärt ab und meldet sich was der Kunde sagt</t>
        </is>
      </c>
      <c r="Z29" t="str">
        <f>IF(AND(R29="WON",ISNUMBER(I29)),AA29,"")</f>
        <v/>
      </c>
      <c r="AA29">
        <f>IFERROR(I29*1,0)</f>
        <v>12572.63</v>
      </c>
      <c r="AB29">
        <f>N(AB28)+IF(AND(R29="WON",B29&lt;&gt;""),1,0)</f>
        <v>7</v>
      </c>
      <c r="AC29">
        <f>N(AC28)+IF(AND(OR(R29="offered",R29="to be offered",R29="on hold"),B29&lt;&gt;""),1,0)</f>
        <v>4</v>
      </c>
      <c r="AD29">
        <f>N(AD28)+IF(AND(OR(R29="follow-up",R29="Evaluation",R29="tbd",R29="In evaluation"),B29&lt;&gt;""),1,0)</f>
        <v>5</v>
      </c>
    </row>
    <row r="30" ht="30" customHeight="1">
      <c r="A30" s="198" t="n">
        <v>23</v>
      </c>
      <c r="B30" s="199" t="inlineStr">
        <is>
          <t>Etavis Chur</t>
        </is>
      </c>
      <c r="C30" s="198" t="inlineStr">
        <is>
          <t>GR</t>
        </is>
      </c>
      <c r="D30" s="200" t="inlineStr">
        <is>
          <t>Elektroinstallation</t>
        </is>
      </c>
      <c r="E30" s="200" t="inlineStr">
        <is>
          <t>30 kVA Generator</t>
        </is>
      </c>
      <c r="F30" s="201" t="n">
        <v>30</v>
      </c>
      <c r="G30" s="198" t="inlineStr">
        <is>
          <t>tbd</t>
        </is>
      </c>
      <c r="H30" s="198" t="inlineStr">
        <is>
          <t>tbd</t>
        </is>
      </c>
      <c r="I30" s="201" t="n">
        <v>0</v>
      </c>
      <c r="J30" s="201" t="n">
        <v>0</v>
      </c>
      <c r="K30" s="201" t="n">
        <v>0</v>
      </c>
      <c r="L30" s="201" t="n">
        <v>0</v>
      </c>
      <c r="M30" s="201" t="n">
        <v>0</v>
      </c>
      <c r="N30" s="201" t="n">
        <v>0</v>
      </c>
      <c r="O30" s="201">
        <f>IF(ISNUMBER(I30),I30-SUM(J30:N30),"")</f>
        <v>0</v>
      </c>
      <c r="P30" s="203" t="str">
        <f>IFERROR(IF(AND(ISNUMBER(O30),ISNUMBER(I30),I30&lt;&gt;0),O30/I30,""),"")</f>
        <v/>
      </c>
      <c r="Q30" s="201">
        <f>IF(AND(ISNUMBER(I30),ISNUMBER(S30)),I30*IF(S30&lt;=1,S30,S30/100),IF(OR(I30&lt;&gt;"",S30&lt;&gt;""),"tbd",""))</f>
        <v>0</v>
      </c>
      <c r="R30" s="204" t="inlineStr">
        <is>
          <t>Declined</t>
        </is>
      </c>
      <c r="S30" s="205" t="n">
        <v>0</v>
      </c>
      <c r="T30" s="199" t="inlineStr">
        <is>
          <t>Warm – Aggreko</t>
        </is>
      </c>
      <c r="U30" s="200" t="n"/>
      <c r="V30" s="200" t="inlineStr">
        <is>
          <t>Email Kontaktiert</t>
        </is>
      </c>
      <c r="W30" s="198" t="inlineStr">
        <is>
          <t>Juni</t>
        </is>
      </c>
      <c r="X30" s="200" t="inlineStr">
        <is>
          <t>Kunde angeschrieben</t>
        </is>
      </c>
      <c r="Z30" t="str">
        <f>IF(AND(R30="WON",ISNUMBER(I30)),AA30,"")</f>
        <v/>
      </c>
      <c r="AA30">
        <f>IFERROR(I30*1,0)</f>
        <v>0</v>
      </c>
      <c r="AB30">
        <f>N(AB29)+IF(AND(R30="WON",B30&lt;&gt;""),1,0)</f>
        <v>7</v>
      </c>
      <c r="AC30">
        <f>N(AC29)+IF(AND(OR(R30="offered",R30="to be offered",R30="on hold"),B30&lt;&gt;""),1,0)</f>
        <v>4</v>
      </c>
      <c r="AD30">
        <f>N(AD29)+IF(AND(OR(R30="follow-up",R30="Evaluation",R30="tbd",R30="In evaluation"),B30&lt;&gt;""),1,0)</f>
        <v>5</v>
      </c>
    </row>
    <row r="31" ht="30" customHeight="1">
      <c r="A31" s="198" t="n">
        <v>24</v>
      </c>
      <c r="B31" s="199" t="inlineStr">
        <is>
          <t>Wetzikon</t>
        </is>
      </c>
      <c r="C31" s="198" t="inlineStr">
        <is>
          <t>ZH</t>
        </is>
      </c>
      <c r="D31" s="200" t="inlineStr">
        <is>
          <t>Gemeinde</t>
        </is>
      </c>
      <c r="E31" s="200" t="inlineStr">
        <is>
          <t>tbd (PQ-kritisch)</t>
        </is>
      </c>
      <c r="F31" s="206" t="inlineStr">
        <is>
          <t>tbd</t>
        </is>
      </c>
      <c r="G31" s="198" t="inlineStr">
        <is>
          <t>tbd</t>
        </is>
      </c>
      <c r="H31" s="198" t="inlineStr">
        <is>
          <t>tbd</t>
        </is>
      </c>
      <c r="I31" s="201" t="n"/>
      <c r="J31" s="201" t="n"/>
      <c r="K31" s="201" t="n"/>
      <c r="L31" s="201" t="n">
        <v>0</v>
      </c>
      <c r="M31" s="201" t="n"/>
      <c r="N31" s="201" t="str">
        <f>IF(ISNUMBER(I31),ROUND(I31-I31/1.081,2),"")</f>
        <v/>
      </c>
      <c r="O31" s="201" t="str">
        <f>IF(ISNUMBER(I31),I31-SUM(J31:N31),"")</f>
        <v/>
      </c>
      <c r="P31" s="203" t="str">
        <f>IFERROR(IF(AND(ISNUMBER(O31),ISNUMBER(I31),I31&lt;&gt;0),O31/I31,""),"")</f>
        <v/>
      </c>
      <c r="Q31" s="201" t="str">
        <f>IF(AND(ISNUMBER(I31),ISNUMBER(S31)),I31*IF(S31&lt;=1,S31,S31/100),IF(OR(I31&lt;&gt;"",S31&lt;&gt;""),"tbd",""))</f>
        <v>tbd</v>
      </c>
      <c r="R31" s="204" t="inlineStr">
        <is>
          <t>LOST</t>
        </is>
      </c>
      <c r="S31" s="205" t="n">
        <v>0</v>
      </c>
      <c r="T31" s="199" t="inlineStr">
        <is>
          <t>Warm – Aggreko</t>
        </is>
      </c>
      <c r="U31" s="200" t="inlineStr">
        <is>
          <t>Machbarkeitsstudei</t>
        </is>
      </c>
      <c r="V31" s="200" t="inlineStr">
        <is>
          <t>Email Kontaktiert</t>
        </is>
      </c>
      <c r="W31" s="198" t="inlineStr">
        <is>
          <t>Juni</t>
        </is>
      </c>
      <c r="X31" s="200" t="inlineStr">
        <is>
          <t>Kunde angeschrieben</t>
        </is>
      </c>
      <c r="Z31" t="str">
        <f>IF(AND(R31="WON",ISNUMBER(I31)),AA31,"")</f>
        <v/>
      </c>
      <c r="AA31">
        <f>IFERROR(I31*1,0)</f>
        <v>0</v>
      </c>
      <c r="AB31">
        <f>N(AB30)+IF(AND(R31="WON",B31&lt;&gt;""),1,0)</f>
        <v>7</v>
      </c>
      <c r="AC31">
        <f>N(AC30)+IF(AND(OR(R31="offered",R31="to be offered",R31="on hold"),B31&lt;&gt;""),1,0)</f>
        <v>4</v>
      </c>
      <c r="AD31">
        <f>N(AD30)+IF(AND(OR(R31="follow-up",R31="Evaluation",R31="tbd",R31="In evaluation"),B31&lt;&gt;""),1,0)</f>
        <v>5</v>
      </c>
    </row>
    <row r="32" ht="36" customHeight="1">
      <c r="A32" s="198" t="n">
        <v>11</v>
      </c>
      <c r="B32" s="199" t="inlineStr">
        <is>
          <t>Burkhalter Technics AG</t>
        </is>
      </c>
      <c r="C32" s="198" t="inlineStr">
        <is>
          <t>ZH</t>
        </is>
      </c>
      <c r="D32" s="200" t="inlineStr">
        <is>
          <t>Elektroinstallation</t>
        </is>
      </c>
      <c r="E32" s="200" t="inlineStr">
        <is>
          <t>150 kVA Generator</t>
        </is>
      </c>
      <c r="F32" s="201" t="n">
        <v>150</v>
      </c>
      <c r="G32" s="198" t="n">
        <v>14</v>
      </c>
      <c r="H32" s="202" t="inlineStr">
        <is>
          <t>Mai</t>
        </is>
      </c>
      <c r="I32" s="201" t="n">
        <v>0</v>
      </c>
      <c r="J32" s="201" t="n">
        <v>0</v>
      </c>
      <c r="K32" s="201" t="n">
        <v>0</v>
      </c>
      <c r="L32" s="201" t="n">
        <v>0</v>
      </c>
      <c r="M32" s="201" t="n">
        <v>0</v>
      </c>
      <c r="N32" s="201" t="n">
        <v>0</v>
      </c>
      <c r="O32" s="201">
        <f>IF(ISNUMBER(I32),I32-SUM(J32:N32),"")</f>
        <v>0</v>
      </c>
      <c r="P32" s="203" t="str">
        <f>IFERROR(IF(AND(ISNUMBER(O32),ISNUMBER(I32),I32&lt;&gt;0),O32/I32,""),"")</f>
        <v/>
      </c>
      <c r="Q32" s="201">
        <f>IF(AND(ISNUMBER(I32),ISNUMBER(S32)),I32*IF(S32&lt;=1,S32,S32/100),IF(OR(I32&lt;&gt;"",S32&lt;&gt;""),"tbd",""))</f>
        <v>0</v>
      </c>
      <c r="R32" s="204" t="inlineStr">
        <is>
          <t>Declined</t>
        </is>
      </c>
      <c r="S32" s="205" t="n">
        <v>0</v>
      </c>
      <c r="T32" s="199" t="inlineStr">
        <is>
          <t>Warm – CBM</t>
        </is>
      </c>
      <c r="U32" s="200" t="inlineStr">
        <is>
          <t>Bestehende Beziehung, schnelle Lieferung</t>
        </is>
      </c>
      <c r="V32" s="200" t="inlineStr">
        <is>
          <t>Angebot finalisieren – CBM-Beziehung nutzen, Abrufbereit und Vertrag unterschreiben</t>
        </is>
      </c>
      <c r="W32" s="198" t="inlineStr">
        <is>
          <t>Juni</t>
        </is>
      </c>
      <c r="X32" s="200" t="inlineStr">
        <is>
          <t>Bekannt aus CBM – Cross-Sell PQ-Monitoring möglich</t>
        </is>
      </c>
      <c r="Z32" t="str">
        <f>IF(AND(R32="WON",ISNUMBER(I32)),AA32,"")</f>
        <v/>
      </c>
      <c r="AA32">
        <f>IFERROR(I32*1,0)</f>
        <v>0</v>
      </c>
      <c r="AB32">
        <f>N(AB31)+IF(AND(R32="WON",B32&lt;&gt;""),1,0)</f>
        <v>7</v>
      </c>
      <c r="AC32">
        <f>N(AC31)+IF(AND(OR(R32="offered",R32="to be offered",R32="on hold"),B32&lt;&gt;""),1,0)</f>
        <v>4</v>
      </c>
      <c r="AD32">
        <f>N(AD31)+IF(AND(OR(R32="follow-up",R32="Evaluation",R32="tbd",R32="In evaluation"),B32&lt;&gt;""),1,0)</f>
        <v>5</v>
      </c>
    </row>
    <row r="33" ht="24" customHeight="1">
      <c r="A33" s="198" t="n">
        <v>14</v>
      </c>
      <c r="B33" s="199" t="inlineStr">
        <is>
          <t>Trafag AG</t>
        </is>
      </c>
      <c r="C33" s="198" t="inlineStr">
        <is>
          <t>ZH</t>
        </is>
      </c>
      <c r="D33" s="200" t="inlineStr">
        <is>
          <t>Industrie / Messtechnik</t>
        </is>
      </c>
      <c r="E33" s="200" t="inlineStr">
        <is>
          <t>450 kVA Generator</t>
        </is>
      </c>
      <c r="F33" s="201" t="n">
        <v>450</v>
      </c>
      <c r="G33" s="198" t="inlineStr">
        <is>
          <t>tbd</t>
        </is>
      </c>
      <c r="H33" s="202" t="inlineStr">
        <is>
          <t>tbd</t>
        </is>
      </c>
      <c r="I33" s="201" t="n">
        <v>17300</v>
      </c>
      <c r="J33" s="201" t="n">
        <v>0</v>
      </c>
      <c r="K33" s="201" t="n">
        <v>0</v>
      </c>
      <c r="L33" s="201" t="n">
        <v>0</v>
      </c>
      <c r="M33" s="201" t="n">
        <v>0</v>
      </c>
      <c r="N33" s="201" t="n">
        <v>0</v>
      </c>
      <c r="O33" s="201">
        <f>IF(ISNUMBER(I33),I33-SUM(J33:N33),"")</f>
        <v>17300</v>
      </c>
      <c r="P33" s="203">
        <f>IFERROR(IF(AND(ISNUMBER(O33),ISNUMBER(I33),I33&lt;&gt;0),O33/I33,""),"")</f>
        <v>1</v>
      </c>
      <c r="Q33" s="201">
        <f>IF(AND(ISNUMBER(I33),ISNUMBER(S33)),I33*IF(S33&lt;=1,S33,S33/100),IF(OR(I33&lt;&gt;"",S33&lt;&gt;""),"tbd",""))</f>
        <v>8650</v>
      </c>
      <c r="R33" s="204" t="inlineStr">
        <is>
          <t>offered</t>
        </is>
      </c>
      <c r="S33" s="205" t="n">
        <v>0.5</v>
      </c>
      <c r="T33" s="199" t="inlineStr">
        <is>
          <t>Kalt (Burak)</t>
        </is>
      </c>
      <c r="U33" s="200" t="inlineStr">
        <is>
          <t>PQ-zertifiziert für sensible Messtechnik</t>
        </is>
      </c>
      <c r="V33" s="200" t="inlineStr">
        <is>
          <t>Angebot vorbereiten – PQ-Argument für Messtechnik, Stefanie Hintermann kontaktieren für weiteren Ablauf, Kontakt aufgenommen und warten für die Zusage / Preisklärung</t>
        </is>
      </c>
      <c r="W33" s="198" t="inlineStr">
        <is>
          <t>Juni</t>
        </is>
      </c>
      <c r="X33" s="200" t="inlineStr">
        <is>
          <t>Messtechnikhersteller – PQ-Argument optimal, Kunde hat alle Daten und Offerten</t>
        </is>
      </c>
      <c r="Z33" t="str">
        <f>IF(AND(R33="WON",ISNUMBER(I33)),AA33,"")</f>
        <v/>
      </c>
      <c r="AA33">
        <f>IFERROR(I33*1,0)</f>
        <v>17300</v>
      </c>
      <c r="AB33">
        <f>N(AB32)+IF(AND(R33="WON",B33&lt;&gt;""),1,0)</f>
        <v>7</v>
      </c>
      <c r="AC33">
        <f>N(AC32)+IF(AND(OR(R33="offered",R33="to be offered",R33="on hold"),B33&lt;&gt;""),1,0)</f>
        <v>5</v>
      </c>
      <c r="AD33">
        <f>N(AD32)+IF(AND(OR(R33="follow-up",R33="Evaluation",R33="tbd",R33="In evaluation"),B33&lt;&gt;""),1,0)</f>
        <v>5</v>
      </c>
    </row>
    <row r="34" ht="30" customHeight="1">
      <c r="A34" s="198" t="n">
        <v>26</v>
      </c>
      <c r="B34" s="199" t="inlineStr">
        <is>
          <t>OST Fachhochschule</t>
        </is>
      </c>
      <c r="C34" s="198" t="inlineStr">
        <is>
          <t>SG</t>
        </is>
      </c>
      <c r="D34" s="200" t="inlineStr">
        <is>
          <t>Hochschule</t>
        </is>
      </c>
      <c r="E34" s="200" t="inlineStr">
        <is>
          <t>200 kVA Lastbank</t>
        </is>
      </c>
      <c r="F34" s="201" t="n">
        <v>200</v>
      </c>
      <c r="G34" s="202" t="inlineStr">
        <is>
          <t>tbd</t>
        </is>
      </c>
      <c r="H34" s="202" t="inlineStr">
        <is>
          <t>tbd</t>
        </is>
      </c>
      <c r="I34" s="201" t="n">
        <v>0</v>
      </c>
      <c r="J34" s="201" t="n">
        <v>0</v>
      </c>
      <c r="K34" s="201" t="n">
        <v>0</v>
      </c>
      <c r="L34" s="201" t="n">
        <v>0</v>
      </c>
      <c r="M34" s="201" t="n">
        <v>0</v>
      </c>
      <c r="N34" s="201" t="n">
        <v>0</v>
      </c>
      <c r="O34" s="201">
        <f>IF(ISNUMBER(I34),I34-SUM(J34:N34),"")</f>
        <v>0</v>
      </c>
      <c r="P34" s="203" t="str">
        <f>IFERROR(IF(AND(ISNUMBER(O34),ISNUMBER(I34),I34&lt;&gt;0),O34/I34,""),"")</f>
        <v/>
      </c>
      <c r="Q34" s="201">
        <f>IF(AND(ISNUMBER(I34),ISNUMBER(S34)),I34*IF(S34&lt;=1,S34,S34/100),IF(OR(I34&lt;&gt;"",S34&lt;&gt;""),"tbd",""))</f>
        <v>0</v>
      </c>
      <c r="R34" s="204" t="inlineStr">
        <is>
          <t>Declined</t>
        </is>
      </c>
      <c r="S34" s="205" t="n">
        <v>0</v>
      </c>
      <c r="T34" s="199" t="inlineStr">
        <is>
          <t>Warm – Aggreko</t>
        </is>
      </c>
      <c r="U34" s="200" t="inlineStr">
        <is>
          <t>Flexibilität, Einfaches Setup</t>
        </is>
      </c>
      <c r="V34" s="200" t="inlineStr">
        <is>
          <t>Email Kontaktiert, Telefoniert, Kunde hat kein bedarf mehr</t>
        </is>
      </c>
      <c r="W34" s="198" t="inlineStr">
        <is>
          <t>Juni</t>
        </is>
      </c>
      <c r="X34" s="200" t="inlineStr">
        <is>
          <t>Kunde angeschrieben, Kunde aus altem Netzwerk bekannt von CMB-Zeiten, Kunde hat kein Bedarf mehr</t>
        </is>
      </c>
      <c r="Z34" t="str">
        <f>IF(AND(R34="WON",ISNUMBER(I34)),AA34,"")</f>
        <v/>
      </c>
      <c r="AA34">
        <f>IFERROR(I34*1,0)</f>
        <v>0</v>
      </c>
      <c r="AB34">
        <f>N(AB33)+IF(AND(R34="WON",B34&lt;&gt;""),1,0)</f>
        <v>7</v>
      </c>
      <c r="AC34">
        <f>N(AC33)+IF(AND(OR(R34="offered",R34="to be offered",R34="on hold"),B34&lt;&gt;""),1,0)</f>
        <v>5</v>
      </c>
      <c r="AD34">
        <f>N(AD33)+IF(AND(OR(R34="follow-up",R34="Evaluation",R34="tbd",R34="In evaluation"),B34&lt;&gt;""),1,0)</f>
        <v>5</v>
      </c>
    </row>
    <row r="35" ht="30" customHeight="1">
      <c r="A35" s="198" t="n">
        <v>14</v>
      </c>
      <c r="B35" s="199" t="inlineStr">
        <is>
          <t>Trafag AG</t>
        </is>
      </c>
      <c r="C35" s="198" t="inlineStr">
        <is>
          <t>ZH</t>
        </is>
      </c>
      <c r="D35" s="200" t="inlineStr">
        <is>
          <t>Industrie / Messtechnik</t>
        </is>
      </c>
      <c r="E35" s="200" t="inlineStr">
        <is>
          <t>BESS 500 kVA</t>
        </is>
      </c>
      <c r="F35" s="201" t="n">
        <v>450</v>
      </c>
      <c r="G35" s="198" t="inlineStr">
        <is>
          <t>tbd</t>
        </is>
      </c>
      <c r="H35" s="202" t="inlineStr">
        <is>
          <t>tbd</t>
        </is>
      </c>
      <c r="I35" s="201" t="n">
        <v>21025</v>
      </c>
      <c r="J35" s="201" t="n">
        <v>0</v>
      </c>
      <c r="K35" s="201" t="n">
        <v>0</v>
      </c>
      <c r="L35" s="201" t="n">
        <v>0</v>
      </c>
      <c r="M35" s="201" t="n">
        <v>0</v>
      </c>
      <c r="N35" s="201" t="n">
        <v>0</v>
      </c>
      <c r="O35" s="201">
        <f>IF(ISNUMBER(I35),I35-SUM(J35:N35),"")</f>
        <v>21025</v>
      </c>
      <c r="P35" s="203">
        <f>IFERROR(IF(AND(ISNUMBER(O35),ISNUMBER(I35),I35&lt;&gt;0),O35/I35,""),"")</f>
        <v>1</v>
      </c>
      <c r="Q35" s="201">
        <f>IF(AND(ISNUMBER(I35),ISNUMBER(S35)),I35*IF(S35&lt;=1,S35,S35/100),IF(OR(I35&lt;&gt;"",S35&lt;&gt;""),"tbd",""))</f>
        <v>10512.5</v>
      </c>
      <c r="R35" s="204" t="inlineStr">
        <is>
          <t>offered</t>
        </is>
      </c>
      <c r="S35" s="205" t="n">
        <v>0.5</v>
      </c>
      <c r="T35" s="199" t="inlineStr">
        <is>
          <t>Kalt (Burak)</t>
        </is>
      </c>
      <c r="U35" s="200" t="inlineStr">
        <is>
          <t>PQ-zertifiziert für sensible Messtechnik</t>
        </is>
      </c>
      <c r="V35" s="200" t="inlineStr">
        <is>
          <t>Angebot vorbereiten – PQ-Argument für Messtechnik, Stefanie Hintermann kontaktieren für weiteren Ablauf, Kontakt aufgenommen und warten für die Zusage / Preisklärung</t>
        </is>
      </c>
      <c r="W35" s="198" t="inlineStr">
        <is>
          <t>Juni</t>
        </is>
      </c>
      <c r="X35" s="200" t="inlineStr">
        <is>
          <t>Messtechnikhersteller – PQ-Argument optimal, Kunde hat alle Daten und Offerten</t>
        </is>
      </c>
      <c r="Z35" t="str">
        <f>IF(AND(R35="WON",ISNUMBER(I35)),AA35,"")</f>
        <v/>
      </c>
      <c r="AA35">
        <f>IFERROR(I35*1,0)</f>
        <v>21025</v>
      </c>
      <c r="AB35">
        <f>N(AB34)+IF(AND(R35="WON",B35&lt;&gt;""),1,0)</f>
        <v>7</v>
      </c>
      <c r="AC35">
        <f>N(AC34)+IF(AND(OR(R35="offered",R35="to be offered",R35="on hold"),B35&lt;&gt;""),1,0)</f>
        <v>6</v>
      </c>
      <c r="AD35">
        <f>N(AD34)+IF(AND(OR(R35="follow-up",R35="Evaluation",R35="tbd",R35="In evaluation"),B35&lt;&gt;""),1,0)</f>
        <v>5</v>
      </c>
    </row>
    <row r="36" ht="30" customHeight="1">
      <c r="A36" s="198" t="n">
        <v>14</v>
      </c>
      <c r="B36" s="199" t="inlineStr">
        <is>
          <t>Trafag AG</t>
        </is>
      </c>
      <c r="C36" s="198" t="inlineStr">
        <is>
          <t>ZH</t>
        </is>
      </c>
      <c r="D36" s="200" t="inlineStr">
        <is>
          <t>Industrie / Messtechnik</t>
        </is>
      </c>
      <c r="E36" s="200" t="inlineStr">
        <is>
          <t>Kombi 450 kVA Generator / BESS 500 kVA</t>
        </is>
      </c>
      <c r="F36" s="201" t="n">
        <v>450</v>
      </c>
      <c r="G36" s="198" t="inlineStr">
        <is>
          <t>tbd</t>
        </is>
      </c>
      <c r="H36" s="202" t="inlineStr">
        <is>
          <t>tbd</t>
        </is>
      </c>
      <c r="I36" s="201" t="n">
        <v>37444</v>
      </c>
      <c r="J36" s="201" t="n">
        <v>0</v>
      </c>
      <c r="K36" s="201" t="n">
        <v>0</v>
      </c>
      <c r="L36" s="201" t="n">
        <v>0</v>
      </c>
      <c r="M36" s="201" t="n">
        <v>0</v>
      </c>
      <c r="N36" s="201" t="n">
        <v>0</v>
      </c>
      <c r="O36" s="201">
        <f>IF(ISNUMBER(I36),I36-SUM(J36:N36),"")</f>
        <v>37444</v>
      </c>
      <c r="P36" s="203">
        <f>IFERROR(IF(AND(ISNUMBER(O36),ISNUMBER(I36),I36&lt;&gt;0),O36/I36,""),"")</f>
        <v>1</v>
      </c>
      <c r="Q36" s="201">
        <f>IF(AND(ISNUMBER(I36),ISNUMBER(S36)),I36*IF(S36&lt;=1,S36,S36/100),IF(OR(I36&lt;&gt;"",S36&lt;&gt;""),"tbd",""))</f>
        <v>18722</v>
      </c>
      <c r="R36" s="204" t="inlineStr">
        <is>
          <t>offered</t>
        </is>
      </c>
      <c r="S36" s="205" t="n">
        <v>0.5</v>
      </c>
      <c r="T36" s="199" t="inlineStr">
        <is>
          <t>Kalt (Burak)</t>
        </is>
      </c>
      <c r="U36" s="200" t="inlineStr">
        <is>
          <t>PQ-zertifiziert für sensible Messtechnik</t>
        </is>
      </c>
      <c r="V36" s="200" t="inlineStr">
        <is>
          <t>Angebot vorbereiten – PQ-Argument für Messtechnik, Stefanie Hintermann kontaktieren für weiteren Ablauf, Kontakt aufgenommen und warten für die Zusage / Preisklärung</t>
        </is>
      </c>
      <c r="W36" s="198" t="inlineStr">
        <is>
          <t>Juni</t>
        </is>
      </c>
      <c r="X36" s="200" t="inlineStr">
        <is>
          <t>Messtechnikhersteller – PQ-Argument optimal, Kunde hat alle Daten und Offerten</t>
        </is>
      </c>
      <c r="Z36" t="str">
        <f>IF(AND(R36="WON",ISNUMBER(I36)),AA36,"")</f>
        <v/>
      </c>
      <c r="AA36">
        <f>IFERROR(I36*1,0)</f>
        <v>37444</v>
      </c>
      <c r="AB36">
        <f>N(AB35)+IF(AND(R36="WON",B36&lt;&gt;""),1,0)</f>
        <v>7</v>
      </c>
      <c r="AC36">
        <f>N(AC35)+IF(AND(OR(R36="offered",R36="to be offered",R36="on hold"),B36&lt;&gt;""),1,0)</f>
        <v>7</v>
      </c>
      <c r="AD36">
        <f>N(AD35)+IF(AND(OR(R36="follow-up",R36="Evaluation",R36="tbd",R36="In evaluation"),B36&lt;&gt;""),1,0)</f>
        <v>5</v>
      </c>
    </row>
    <row r="37" ht="30" customHeight="1">
      <c r="A37" s="198" t="n">
        <v>27</v>
      </c>
      <c r="B37" s="199" t="inlineStr">
        <is>
          <t>Rimus &amp; Sstrada</t>
        </is>
      </c>
      <c r="C37" s="198" t="inlineStr">
        <is>
          <t>SH</t>
        </is>
      </c>
      <c r="D37" s="200" t="inlineStr">
        <is>
          <t>Industrie</t>
        </is>
      </c>
      <c r="E37" s="200" t="inlineStr">
        <is>
          <t>500 kWh Small BESS</t>
        </is>
      </c>
      <c r="F37" s="206" t="inlineStr">
        <is>
          <t>500 kWh</t>
        </is>
      </c>
      <c r="G37" s="198" t="inlineStr">
        <is>
          <t>inf</t>
        </is>
      </c>
      <c r="H37" s="202" t="inlineStr">
        <is>
          <t>tbd</t>
        </is>
      </c>
      <c r="I37" s="201">
        <f>416100+7665+2190</f>
        <v>425955</v>
      </c>
      <c r="J37" s="201" t="n">
        <v>416100</v>
      </c>
      <c r="K37" s="201" t="n">
        <v>7620</v>
      </c>
      <c r="L37" s="201" t="n">
        <v>0</v>
      </c>
      <c r="M37" s="201" t="n">
        <v>0</v>
      </c>
      <c r="N37" s="201" t="n">
        <v>0</v>
      </c>
      <c r="O37" s="201">
        <f>IF(ISNUMBER(I37),I37-SUM(J37:N37),"")</f>
        <v>2235</v>
      </c>
      <c r="P37" s="203">
        <f>IFERROR(IF(AND(ISNUMBER(O37),ISNUMBER(I37),I37&lt;&gt;0),O37/I37,""),"")</f>
        <v>0.00524703313730324</v>
      </c>
      <c r="Q37" s="201">
        <f>IF(AND(ISNUMBER(I37),ISNUMBER(S37)),I37*IF(S37&lt;=1,S37,S37/100),IF(OR(I37&lt;&gt;"",S37&lt;&gt;""),"tbd",""))</f>
        <v>212977.5</v>
      </c>
      <c r="R37" s="204" t="inlineStr">
        <is>
          <t>offered</t>
        </is>
      </c>
      <c r="S37" s="205" t="n">
        <v>0.5</v>
      </c>
      <c r="T37" s="199" t="inlineStr">
        <is>
          <t>Inbound</t>
        </is>
      </c>
      <c r="U37" s="200" t="inlineStr">
        <is>
          <t>USV + PQ-Monitoring für Präzisionsanlagen</t>
        </is>
      </c>
      <c r="V37" s="200" t="inlineStr">
        <is>
          <t>Kunde Telefon Kontaktiert und Vor Ort 
Besichtigung und Aufbauort</t>
        </is>
      </c>
      <c r="W37" s="198" t="inlineStr">
        <is>
          <t>Juni</t>
        </is>
      </c>
      <c r="X37" s="200" t="inlineStr">
        <is>
          <t>Kunde angeschrieben, Kundentermin vor Ort in Mai 26, Termin Perfekt, Kunde benötigt Offerte, Kunde hat Offerte erhalten</t>
        </is>
      </c>
      <c r="Z37" t="str">
        <f>IF(AND(R37="WON",ISNUMBER(I37)),AA37,"")</f>
        <v/>
      </c>
      <c r="AA37">
        <f>IFERROR(I37*1,0)</f>
        <v>425955</v>
      </c>
      <c r="AB37">
        <f>N(AB36)+IF(AND(R37="WON",B37&lt;&gt;""),1,0)</f>
        <v>7</v>
      </c>
      <c r="AC37">
        <f>N(AC36)+IF(AND(OR(R37="offered",R37="to be offered",R37="on hold"),B37&lt;&gt;""),1,0)</f>
        <v>8</v>
      </c>
      <c r="AD37">
        <f>N(AD36)+IF(AND(OR(R37="follow-up",R37="Evaluation",R37="tbd",R37="In evaluation"),B37&lt;&gt;""),1,0)</f>
        <v>5</v>
      </c>
    </row>
    <row r="38" ht="30" customHeight="1">
      <c r="A38" s="198" t="n">
        <v>27</v>
      </c>
      <c r="B38" s="199" t="inlineStr">
        <is>
          <t>Rimus &amp; Sstrada</t>
        </is>
      </c>
      <c r="C38" s="198" t="inlineStr">
        <is>
          <t>SH</t>
        </is>
      </c>
      <c r="D38" s="200" t="inlineStr">
        <is>
          <t>Industrie</t>
        </is>
      </c>
      <c r="E38" s="200" t="inlineStr">
        <is>
          <t>1 MWh Medium BESS</t>
        </is>
      </c>
      <c r="F38" s="206" t="inlineStr">
        <is>
          <t>1 MWh</t>
        </is>
      </c>
      <c r="G38" s="198" t="inlineStr">
        <is>
          <t>inf</t>
        </is>
      </c>
      <c r="H38" s="202" t="inlineStr">
        <is>
          <t>tbd</t>
        </is>
      </c>
      <c r="I38" s="201">
        <f>873810+15330+2190</f>
        <v>891330</v>
      </c>
      <c r="J38" s="201" t="n">
        <v>873810</v>
      </c>
      <c r="K38" s="201" t="n">
        <v>7620</v>
      </c>
      <c r="L38" s="201" t="n">
        <v>0</v>
      </c>
      <c r="M38" s="201" t="n">
        <v>0</v>
      </c>
      <c r="N38" s="201" t="n">
        <v>0</v>
      </c>
      <c r="O38" s="201">
        <f>IF(ISNUMBER(I38),I38-SUM(J38:N38),"")</f>
        <v>9900</v>
      </c>
      <c r="P38" s="203">
        <f>IFERROR(IF(AND(ISNUMBER(O38),ISNUMBER(I38),I38&lt;&gt;0),O38/I38,""),"")</f>
        <v>0.0111069974083673</v>
      </c>
      <c r="Q38" s="201">
        <f>IF(AND(ISNUMBER(I38),ISNUMBER(S38)),I38*IF(S38&lt;=1,S38,S38/100),IF(OR(I38&lt;&gt;"",S38&lt;&gt;""),"tbd",""))</f>
        <v>445665</v>
      </c>
      <c r="R38" s="204" t="inlineStr">
        <is>
          <t>offered</t>
        </is>
      </c>
      <c r="S38" s="205" t="n">
        <v>0.5</v>
      </c>
      <c r="T38" s="199" t="inlineStr">
        <is>
          <t>Inbound</t>
        </is>
      </c>
      <c r="U38" s="200" t="inlineStr">
        <is>
          <t>USV + PQ-Monitoring für Präzisionsanlagen</t>
        </is>
      </c>
      <c r="V38" s="200" t="inlineStr">
        <is>
          <t>Kunde Telefon Kontaktiert und Vor Ort 
Besichtigung und Aufbauort</t>
        </is>
      </c>
      <c r="W38" s="198" t="inlineStr">
        <is>
          <t>Juni</t>
        </is>
      </c>
      <c r="X38" s="200" t="inlineStr">
        <is>
          <t>Kunde angeschrieben, Kundentermin vor Ort in Mai 26, Termin Perfekt, Kunde benötigt Offerte, Kunde hat Offerte erhalten</t>
        </is>
      </c>
      <c r="Z38" t="str">
        <f>IF(AND(R38="WON",ISNUMBER(I38)),AA38,"")</f>
        <v/>
      </c>
      <c r="AA38">
        <f>IFERROR(I38*1,0)</f>
        <v>891330</v>
      </c>
      <c r="AB38">
        <f>N(AB37)+IF(AND(R38="WON",B38&lt;&gt;""),1,0)</f>
        <v>7</v>
      </c>
      <c r="AC38">
        <f>N(AC37)+IF(AND(OR(R38="offered",R38="to be offered",R38="on hold"),B38&lt;&gt;""),1,0)</f>
        <v>9</v>
      </c>
      <c r="AD38">
        <f>N(AD37)+IF(AND(OR(R38="follow-up",R38="Evaluation",R38="tbd",R38="In evaluation"),B38&lt;&gt;""),1,0)</f>
        <v>5</v>
      </c>
    </row>
    <row r="39" ht="24" customHeight="1">
      <c r="A39" s="198" t="n">
        <v>27</v>
      </c>
      <c r="B39" s="199" t="inlineStr">
        <is>
          <t>Rimus &amp; Sstrada</t>
        </is>
      </c>
      <c r="C39" s="198" t="inlineStr">
        <is>
          <t>SH</t>
        </is>
      </c>
      <c r="D39" s="200" t="inlineStr">
        <is>
          <t>Industrie</t>
        </is>
      </c>
      <c r="E39" s="200" t="inlineStr">
        <is>
          <t>1,5 MWh Large BESS</t>
        </is>
      </c>
      <c r="F39" s="206" t="inlineStr">
        <is>
          <t>1,5 MWh</t>
        </is>
      </c>
      <c r="G39" s="198" t="inlineStr">
        <is>
          <t>inf</t>
        </is>
      </c>
      <c r="H39" s="202" t="inlineStr">
        <is>
          <t>tbd</t>
        </is>
      </c>
      <c r="I39" s="201">
        <f>1289910+15330+2190</f>
        <v>1307430</v>
      </c>
      <c r="J39" s="201" t="n">
        <v>1289910</v>
      </c>
      <c r="K39" s="201" t="n">
        <v>7620</v>
      </c>
      <c r="L39" s="201" t="n">
        <v>0</v>
      </c>
      <c r="M39" s="201" t="n">
        <v>0</v>
      </c>
      <c r="N39" s="201" t="n">
        <v>0</v>
      </c>
      <c r="O39" s="201">
        <f>IF(ISNUMBER(I39),I39-SUM(J39:N39),"")</f>
        <v>9900</v>
      </c>
      <c r="P39" s="203">
        <f>IFERROR(IF(AND(ISNUMBER(O39),ISNUMBER(I39),I39&lt;&gt;0),O39/I39,""),"")</f>
        <v>0.00757210711089695</v>
      </c>
      <c r="Q39" s="201">
        <f>IF(AND(ISNUMBER(I39),ISNUMBER(S39)),I39*IF(S39&lt;=1,S39,S39/100),IF(OR(I39&lt;&gt;"",S39&lt;&gt;""),"tbd",""))</f>
        <v>653715</v>
      </c>
      <c r="R39" s="204" t="inlineStr">
        <is>
          <t>offered</t>
        </is>
      </c>
      <c r="S39" s="205" t="n">
        <v>0.5</v>
      </c>
      <c r="T39" s="199" t="inlineStr">
        <is>
          <t>Inbound</t>
        </is>
      </c>
      <c r="U39" s="200" t="inlineStr">
        <is>
          <t>USV + PQ-Monitoring für Präzisionsanlagen</t>
        </is>
      </c>
      <c r="V39" s="200" t="inlineStr">
        <is>
          <t>Kunde Telefon Kontaktiert und Vor Ort 
Besichtigung und Aufbauort</t>
        </is>
      </c>
      <c r="W39" s="198" t="inlineStr">
        <is>
          <t>Juni</t>
        </is>
      </c>
      <c r="X39" s="200" t="inlineStr">
        <is>
          <t>Kunde angeschrieben, Kundentermin vor Ort in Mai 26, Termin Perfekt, Kunde benötigt Offerte, Kunde hat Offerte erhalten</t>
        </is>
      </c>
      <c r="Z39" t="str">
        <f>IF(AND(R39="WON",ISNUMBER(I39)),AA39,"")</f>
        <v/>
      </c>
      <c r="AA39">
        <f>IFERROR(I39*1,0)</f>
        <v>1307430</v>
      </c>
      <c r="AB39">
        <f>N(AB38)+IF(AND(R39="WON",B39&lt;&gt;""),1,0)</f>
        <v>7</v>
      </c>
      <c r="AC39">
        <f>N(AC38)+IF(AND(OR(R39="offered",R39="to be offered",R39="on hold"),B39&lt;&gt;""),1,0)</f>
        <v>10</v>
      </c>
      <c r="AD39">
        <f>N(AD38)+IF(AND(OR(R39="follow-up",R39="Evaluation",R39="tbd",R39="In evaluation"),B39&lt;&gt;""),1,0)</f>
        <v>5</v>
      </c>
    </row>
    <row r="40" ht="30" customHeight="1">
      <c r="A40" s="198" t="n">
        <v>34</v>
      </c>
      <c r="B40" s="199" t="inlineStr">
        <is>
          <t>Creabeton</t>
        </is>
      </c>
      <c r="C40" s="198" t="inlineStr">
        <is>
          <t>BE</t>
        </is>
      </c>
      <c r="D40" s="200" t="inlineStr">
        <is>
          <t>Infrastruktur / Bau</t>
        </is>
      </c>
      <c r="E40" s="200" t="inlineStr">
        <is>
          <t>100 kVA Generator</t>
        </is>
      </c>
      <c r="F40" s="206" t="inlineStr">
        <is>
          <t>100 kVA</t>
        </is>
      </c>
      <c r="G40" s="198" t="n">
        <v>4</v>
      </c>
      <c r="H40" s="202" t="inlineStr">
        <is>
          <t>Juli</t>
        </is>
      </c>
      <c r="I40" s="201" t="n">
        <v>3232.41</v>
      </c>
      <c r="J40" s="201">
        <f>435.2+102.4</f>
        <v>537.6</v>
      </c>
      <c r="K40" s="201" t="n">
        <v>1300</v>
      </c>
      <c r="L40" s="201" t="n">
        <v>0</v>
      </c>
      <c r="M40" s="201">
        <f>725+57.6</f>
        <v>782.6</v>
      </c>
      <c r="N40" s="201">
        <f>IF(ISNUMBER(I40),ROUND(I40-I40/1.081,2),"")</f>
        <v>242.21</v>
      </c>
      <c r="O40" s="201">
        <f>IF(ISNUMBER(I40),I40-SUM(J40:N40),"")</f>
        <v>370</v>
      </c>
      <c r="P40" s="203">
        <f>IFERROR(IF(AND(ISNUMBER(O40),ISNUMBER(I40),I40&lt;&gt;0),O40/I40,""),"")</f>
        <v>0.114465677311975</v>
      </c>
      <c r="Q40" s="201">
        <f>IF(AND(ISNUMBER(I40),ISNUMBER(S40)),I40*IF(S40&lt;=1,S40,S40/100),IF(OR(I40&lt;&gt;"",S40&lt;&gt;""),"tbd",""))</f>
        <v>1616.205</v>
      </c>
      <c r="R40" s="204" t="inlineStr">
        <is>
          <t>offered</t>
        </is>
      </c>
      <c r="S40" s="205" t="n">
        <v>0.5</v>
      </c>
      <c r="T40" s="199" t="inlineStr">
        <is>
          <t>Warm</t>
        </is>
      </c>
      <c r="U40" s="200" t="inlineStr">
        <is>
          <t>USV + PQ-Monitoring für Präzisionsanlagen</t>
        </is>
      </c>
      <c r="V40" s="200" t="inlineStr">
        <is>
          <t>Kunde angeschrieben, Warten auf Rückmeldung</t>
        </is>
      </c>
      <c r="W40" s="198" t="inlineStr">
        <is>
          <t>Juni</t>
        </is>
      </c>
      <c r="X40" s="200" t="inlineStr">
        <is>
          <t>Kunde angeschrieben, Warten auf Rückmeldung</t>
        </is>
      </c>
      <c r="Z40" t="str">
        <f>IF(AND(R40="WON",ISNUMBER(I40)),AA40,"")</f>
        <v/>
      </c>
      <c r="AA40">
        <f>IFERROR(I40*1,0)</f>
        <v>3232.41</v>
      </c>
      <c r="AB40">
        <f>N(AB39)+IF(AND(R40="WON",B40&lt;&gt;""),1,0)</f>
        <v>7</v>
      </c>
      <c r="AC40">
        <f>N(AC39)+IF(AND(OR(R40="offered",R40="to be offered",R40="on hold"),B40&lt;&gt;""),1,0)</f>
        <v>11</v>
      </c>
      <c r="AD40">
        <f>N(AD39)+IF(AND(OR(R40="follow-up",R40="Evaluation",R40="tbd",R40="In evaluation"),B40&lt;&gt;""),1,0)</f>
        <v>5</v>
      </c>
    </row>
    <row r="41" ht="30" customHeight="1">
      <c r="A41" s="198" t="n">
        <v>36</v>
      </c>
      <c r="B41" s="210" t="inlineStr">
        <is>
          <t>Basler Haustechnik AG</t>
        </is>
      </c>
      <c r="C41" s="209" t="inlineStr">
        <is>
          <t>BE</t>
        </is>
      </c>
      <c r="D41" s="200" t="inlineStr">
        <is>
          <t>Infrastruktur / Bau</t>
        </is>
      </c>
      <c r="E41" s="208" t="inlineStr">
        <is>
          <t>45 kWH Batterie</t>
        </is>
      </c>
      <c r="F41" s="211" t="inlineStr">
        <is>
          <t>45 kWH</t>
        </is>
      </c>
      <c r="G41" s="198" t="n">
        <v>28</v>
      </c>
      <c r="H41" s="212" t="inlineStr">
        <is>
          <t>Juni</t>
        </is>
      </c>
      <c r="I41" s="201" t="n">
        <v>8574.709999999999</v>
      </c>
      <c r="J41" s="201" t="n">
        <v>3427.2</v>
      </c>
      <c r="K41" s="201" t="n">
        <v>3200</v>
      </c>
      <c r="L41" s="201" t="n">
        <v>0</v>
      </c>
      <c r="M41" s="201" t="n">
        <v>1305</v>
      </c>
      <c r="N41" s="201">
        <f>IF(ISNUMBER(I41),ROUND(I41-I41/1.081,2),"")</f>
        <v>642.51</v>
      </c>
      <c r="O41" s="201">
        <f>IF(ISNUMBER(I41),I41-SUM(J41:N41),"")</f>
        <v>0</v>
      </c>
      <c r="P41" s="203">
        <f>IFERROR(IF(AND(ISNUMBER(O41),ISNUMBER(I41),I41&lt;&gt;0),O41/I41,""),"")</f>
        <v>0</v>
      </c>
      <c r="Q41" s="201">
        <f>IF(AND(ISNUMBER(I41),ISNUMBER(S41)),I41*IF(S41&lt;=1,S41,S41/100),IF(OR(I41&lt;&gt;"",S41&lt;&gt;""),"tbd",""))</f>
        <v>0</v>
      </c>
      <c r="R41" s="204" t="inlineStr">
        <is>
          <t>LOST</t>
        </is>
      </c>
      <c r="S41" s="205" t="n">
        <v>0</v>
      </c>
      <c r="T41" s="210" t="inlineStr">
        <is>
          <t>Warm</t>
        </is>
      </c>
      <c r="U41" s="200" t="inlineStr">
        <is>
          <t>USV + PQ-Monitoring für Präzisionsanlagen</t>
        </is>
      </c>
      <c r="V41" s="208" t="inlineStr">
        <is>
          <t>Kunde angeschrieben, Offerte erstellt, Kunde hat Offerte bekommen, Warten auf Rückmeldung</t>
        </is>
      </c>
      <c r="W41" s="209" t="inlineStr">
        <is>
          <t>Juni</t>
        </is>
      </c>
      <c r="X41" s="208" t="inlineStr">
        <is>
          <t>Kunde angeschrieben, Offerte erstellt, Kunde hat Offerte bekommen, Warten auf Rückmeldung</t>
        </is>
      </c>
      <c r="Z41" t="str">
        <f>IF(AND(R41="WON",ISNUMBER(I41)),AA41,"")</f>
        <v/>
      </c>
      <c r="AA41">
        <f>IFERROR(I41*1,0)</f>
        <v>8574.71</v>
      </c>
      <c r="AB41">
        <f>N(AB40)+IF(AND(R41="WON",B41&lt;&gt;""),1,0)</f>
        <v>7</v>
      </c>
      <c r="AC41">
        <f>N(AC40)+IF(AND(OR(R41="offered",R41="to be offered",R41="on hold"),B41&lt;&gt;""),1,0)</f>
        <v>11</v>
      </c>
      <c r="AD41">
        <f>N(AD40)+IF(AND(OR(R41="follow-up",R41="Evaluation",R41="tbd",R41="In evaluation"),B41&lt;&gt;""),1,0)</f>
        <v>5</v>
      </c>
    </row>
    <row r="42" ht="30" customHeight="1">
      <c r="A42" s="198" t="n">
        <v>38</v>
      </c>
      <c r="B42" s="210" t="inlineStr">
        <is>
          <t>Linde Gas Schweiz AG</t>
        </is>
      </c>
      <c r="C42" s="209" t="inlineStr">
        <is>
          <t>LU</t>
        </is>
      </c>
      <c r="D42" s="200" t="inlineStr">
        <is>
          <t>Industrie</t>
        </is>
      </c>
      <c r="E42" s="208" t="inlineStr">
        <is>
          <t>60 kVA Generator</t>
        </is>
      </c>
      <c r="F42" s="211" t="inlineStr">
        <is>
          <t>60 kVA</t>
        </is>
      </c>
      <c r="G42" s="198" t="n">
        <v>7</v>
      </c>
      <c r="H42" s="202" t="inlineStr">
        <is>
          <t>Jan</t>
        </is>
      </c>
      <c r="I42" s="201" t="n">
        <v>3686.2</v>
      </c>
      <c r="J42" s="201">
        <f>699.3+21.6+12.6+18.9+6.3+44.1</f>
        <v>802.8</v>
      </c>
      <c r="K42" s="201" t="n">
        <v>1200</v>
      </c>
      <c r="L42" s="201" t="n">
        <v>0</v>
      </c>
      <c r="M42" s="201">
        <f>1160+67.2</f>
        <v>1227.2</v>
      </c>
      <c r="N42" s="201">
        <f>IF(ISNUMBER(I42),ROUND(I42-I42/1.081,2),"")</f>
        <v>276.21</v>
      </c>
      <c r="O42" s="201">
        <f>IF(ISNUMBER(I42),I42-SUM(J42:N42),"")</f>
        <v>179.99</v>
      </c>
      <c r="P42" s="203">
        <f>IFERROR(IF(AND(ISNUMBER(O42),ISNUMBER(I42),I42&lt;&gt;0),O42/I42,""),"")</f>
        <v>0.0488280614182627</v>
      </c>
      <c r="Q42" s="201">
        <f>IF(AND(ISNUMBER(I42),ISNUMBER(S42)),I42*IF(S42&lt;=1,S42,S42/100),IF(OR(I42&lt;&gt;"",S42&lt;&gt;""),"tbd",""))</f>
        <v>1843.1</v>
      </c>
      <c r="R42" s="204" t="inlineStr">
        <is>
          <t>offered</t>
        </is>
      </c>
      <c r="S42" s="205" t="n">
        <v>0.5</v>
      </c>
      <c r="T42" s="210" t="inlineStr">
        <is>
          <t>Warm</t>
        </is>
      </c>
      <c r="U42" s="200" t="inlineStr">
        <is>
          <t>USV + PQ-Monitoring für Präzisionsanlagen</t>
        </is>
      </c>
      <c r="V42" s="213" t="n"/>
      <c r="W42" s="209" t="inlineStr">
        <is>
          <t>Juni</t>
        </is>
      </c>
      <c r="X42" s="208" t="inlineStr">
        <is>
          <t>Kunde angeschrieben, Offerte erstellt, Kunde hat Offerte bekommen, Warten auf Rückmeldung</t>
        </is>
      </c>
      <c r="Z42" t="str">
        <f>IF(AND(R42="WON",ISNUMBER(I42)),AA42,"")</f>
        <v/>
      </c>
      <c r="AA42">
        <f>IFERROR(I42*1,0)</f>
        <v>3686.2</v>
      </c>
      <c r="AB42">
        <f>N(AB41)+IF(AND(R42="WON",B42&lt;&gt;""),1,0)</f>
        <v>7</v>
      </c>
      <c r="AC42">
        <f>N(AC41)+IF(AND(OR(R42="offered",R42="to be offered",R42="on hold"),B42&lt;&gt;""),1,0)</f>
        <v>12</v>
      </c>
      <c r="AD42">
        <f>N(AD41)+IF(AND(OR(R42="follow-up",R42="Evaluation",R42="tbd",R42="In evaluation"),B42&lt;&gt;""),1,0)</f>
        <v>5</v>
      </c>
    </row>
    <row r="43" ht="30" customHeight="1">
      <c r="A43" s="198" t="n">
        <v>39</v>
      </c>
      <c r="B43" s="199" t="inlineStr">
        <is>
          <t>Baumeler Leitungsbau AG</t>
        </is>
      </c>
      <c r="C43" s="198" t="inlineStr">
        <is>
          <t>LU</t>
        </is>
      </c>
      <c r="D43" s="199" t="inlineStr">
        <is>
          <t>Industrie</t>
        </is>
      </c>
      <c r="E43" s="199" t="inlineStr">
        <is>
          <t xml:space="preserve">600 kVA </t>
        </is>
      </c>
      <c r="F43" s="201" t="inlineStr">
        <is>
          <t>600 kVA</t>
        </is>
      </c>
      <c r="G43" s="198" t="n">
        <v>2</v>
      </c>
      <c r="H43" s="202" t="inlineStr">
        <is>
          <t>Juli</t>
        </is>
      </c>
      <c r="I43" s="201" t="n">
        <v>8722.809999999999</v>
      </c>
      <c r="J43" s="201">
        <f>633.6+364.8+51.2</f>
        <v>1049.6</v>
      </c>
      <c r="K43" s="201" t="n">
        <v>2200</v>
      </c>
      <c r="L43" s="201" t="n">
        <v>0</v>
      </c>
      <c r="M43" s="201" t="n">
        <v>1450</v>
      </c>
      <c r="N43" s="201">
        <f>IF(ISNUMBER(I43),ROUND(I43-I43/1.081,2),"")</f>
        <v>653.61</v>
      </c>
      <c r="O43" s="201">
        <f>IF(ISNUMBER(I43),I43-SUM(J43:N43),"")</f>
        <v>3369.6</v>
      </c>
      <c r="P43" s="203">
        <f>IFERROR(IF(AND(ISNUMBER(O43),ISNUMBER(I43),I43&lt;&gt;0),O43/I43,""),"")</f>
        <v>0.386297534854021</v>
      </c>
      <c r="Q43" s="201">
        <f>IF(AND(ISNUMBER(I43),ISNUMBER(S43)),I43*IF(S43&lt;=1,S43,S43/100),IF(OR(I43&lt;&gt;"",S43&lt;&gt;""),"tbd",""))</f>
        <v>4361.405</v>
      </c>
      <c r="R43" s="204" t="inlineStr">
        <is>
          <t>offered</t>
        </is>
      </c>
      <c r="S43" s="205" t="n">
        <v>0.5</v>
      </c>
      <c r="T43" s="199" t="inlineStr">
        <is>
          <t>Warm</t>
        </is>
      </c>
      <c r="U43" s="200" t="inlineStr">
        <is>
          <t>USV + PQ-Monitoring für Präzisionsanlagen</t>
        </is>
      </c>
      <c r="V43" s="210" t="inlineStr">
        <is>
          <t>Kunde angeschrieben, Offerte erstellt, Kunde hat Offerte bekommen, Warten auf Rückmeldung</t>
        </is>
      </c>
      <c r="W43" s="198" t="inlineStr">
        <is>
          <t>Juni</t>
        </is>
      </c>
      <c r="X43" s="208" t="inlineStr">
        <is>
          <t>Kunde angeschrieben, Offerte erstellt, Kunde hat Offerte bekommen, Warten auf Rückmeldung</t>
        </is>
      </c>
      <c r="Z43" t="str">
        <f>IF(AND(R43="WON",ISNUMBER(I43)),AA43,"")</f>
        <v/>
      </c>
      <c r="AA43">
        <f>IFERROR(I43*1,0)</f>
        <v>8722.81</v>
      </c>
      <c r="AB43">
        <f>N(AB42)+IF(AND(R43="WON",B43&lt;&gt;""),1,0)</f>
        <v>7</v>
      </c>
      <c r="AC43">
        <f>N(AC42)+IF(AND(OR(R43="offered",R43="to be offered",R43="on hold"),B43&lt;&gt;""),1,0)</f>
        <v>13</v>
      </c>
      <c r="AD43">
        <f>N(AD42)+IF(AND(OR(R43="follow-up",R43="Evaluation",R43="tbd",R43="In evaluation"),B43&lt;&gt;""),1,0)</f>
        <v>5</v>
      </c>
    </row>
    <row r="44" ht="30" customHeight="1">
      <c r="A44" s="198" t="n">
        <v>41</v>
      </c>
      <c r="B44" s="199" t="inlineStr">
        <is>
          <t>Verein Street Parade Zürich</t>
        </is>
      </c>
      <c r="C44" s="198" t="inlineStr">
        <is>
          <t>ZH</t>
        </is>
      </c>
      <c r="D44" s="199" t="inlineStr">
        <is>
          <t>Event</t>
        </is>
      </c>
      <c r="E44" s="199" t="inlineStr">
        <is>
          <t xml:space="preserve">100 kVA </t>
        </is>
      </c>
      <c r="F44" s="201" t="inlineStr">
        <is>
          <t>100 kVA</t>
        </is>
      </c>
      <c r="G44" s="198" t="n">
        <v>7</v>
      </c>
      <c r="H44" s="202" t="inlineStr">
        <is>
          <t>Aug</t>
        </is>
      </c>
      <c r="I44" s="201" t="n">
        <v>3760.04</v>
      </c>
      <c r="J44" s="201">
        <f>666.4+73.5+78.4+14.7+78.4+4.9</f>
        <v>916.3</v>
      </c>
      <c r="K44" s="201" t="n">
        <v>1500</v>
      </c>
      <c r="L44" s="201" t="n">
        <v>0</v>
      </c>
      <c r="M44" s="201">
        <f>192+870</f>
        <v>1062</v>
      </c>
      <c r="N44" s="201">
        <f>IF(ISNUMBER(I44),ROUND(I44-I44/1.081,2),"")</f>
        <v>281.74</v>
      </c>
      <c r="O44" s="201">
        <f>IF(ISNUMBER(I44),I44-SUM(J44:N44),"")</f>
        <v>0</v>
      </c>
      <c r="P44" s="203">
        <f>IFERROR(IF(AND(ISNUMBER(O44),ISNUMBER(I44),I44&lt;&gt;0),O44/I44,""),"")</f>
        <v>0</v>
      </c>
      <c r="Q44" s="201">
        <f>IF(AND(ISNUMBER(I44),ISNUMBER(S44)),I44*IF(S44&lt;=1,S44,S44/100),IF(OR(I44&lt;&gt;"",S44&lt;&gt;""),"tbd",""))</f>
        <v>1880.02</v>
      </c>
      <c r="R44" s="204" t="inlineStr">
        <is>
          <t>In evaluation</t>
        </is>
      </c>
      <c r="S44" s="205" t="n">
        <v>0.5</v>
      </c>
      <c r="T44" s="199" t="inlineStr">
        <is>
          <t>Kalt (Burak)</t>
        </is>
      </c>
      <c r="U44" s="200" t="inlineStr">
        <is>
          <t>USV + PQ-Monitoring für Präzisionsanlagen</t>
        </is>
      </c>
      <c r="V44" s="210" t="inlineStr">
        <is>
          <t>Kunde angeschrieben, Offerte erstellt, Kunde hat Offerte bekommen, Warten auf Rückmeldung</t>
        </is>
      </c>
      <c r="W44" s="198" t="inlineStr">
        <is>
          <t xml:space="preserve">Juni </t>
        </is>
      </c>
      <c r="X44" s="210" t="inlineStr">
        <is>
          <t>Kunde angeschrieben, Offerte erstellt, Kunde hat Offerte bekommen, Warten auf Rückmeldung</t>
        </is>
      </c>
      <c r="Z44" t="str">
        <f>IF(AND(R44="WON",ISNUMBER(I44)),AA44,"")</f>
        <v/>
      </c>
      <c r="AA44">
        <f>IFERROR(I44*1,0)</f>
        <v>3760.04</v>
      </c>
      <c r="AB44">
        <f>N(AB43)+IF(AND(R44="WON",B44&lt;&gt;""),1,0)</f>
        <v>7</v>
      </c>
      <c r="AC44">
        <f>N(AC43)+IF(AND(OR(R44="offered",R44="to be offered",R44="on hold"),B44&lt;&gt;""),1,0)</f>
        <v>13</v>
      </c>
      <c r="AD44">
        <f>N(AD43)+IF(AND(OR(R44="follow-up",R44="Evaluation",R44="tbd",R44="In evaluation"),B44&lt;&gt;""),1,0)</f>
        <v>6</v>
      </c>
    </row>
    <row r="45" ht="30" customHeight="1">
      <c r="A45" s="198" t="n">
        <v>35</v>
      </c>
      <c r="B45" s="199" t="inlineStr">
        <is>
          <t>Holzplaner GmbH</t>
        </is>
      </c>
      <c r="C45" s="198" t="inlineStr">
        <is>
          <t>BE</t>
        </is>
      </c>
      <c r="D45" s="200" t="inlineStr">
        <is>
          <t>Infrastruktur / Bau</t>
        </is>
      </c>
      <c r="E45" s="200" t="inlineStr">
        <is>
          <t>90 kWH Batterie</t>
        </is>
      </c>
      <c r="F45" s="201" t="inlineStr">
        <is>
          <t>90 kWH</t>
        </is>
      </c>
      <c r="G45" s="198" t="n">
        <v>6</v>
      </c>
      <c r="H45" s="207" t="inlineStr">
        <is>
          <t>Juni</t>
        </is>
      </c>
      <c r="I45" s="201" t="n">
        <v>7205</v>
      </c>
      <c r="J45" s="201">
        <f>1132.8+57.6+90</f>
        <v>1280.4</v>
      </c>
      <c r="K45" s="201" t="n">
        <v>3500</v>
      </c>
      <c r="L45" s="201" t="n">
        <v>0</v>
      </c>
      <c r="M45" s="201" t="n">
        <v>1885</v>
      </c>
      <c r="N45" s="201">
        <f>IF(ISNUMBER(I45),ROUND(I45-I45/1.081,2),"")</f>
        <v>539.88</v>
      </c>
      <c r="O45" s="201">
        <f>IF(ISNUMBER(I45),I45-SUM(J45:N45),"")</f>
        <v>-0.279999999999745</v>
      </c>
      <c r="P45" s="203">
        <f>IFERROR(IF(AND(ISNUMBER(O45),ISNUMBER(I45),I45&lt;&gt;0),O45/I45,""),"")</f>
        <v>-3.8861901457286E-05</v>
      </c>
      <c r="Q45" s="201">
        <f>IF(AND(ISNUMBER(I45),ISNUMBER(S45)),I45*IF(S45&lt;=1,S45,S45/100),IF(OR(I45&lt;&gt;"",S45&lt;&gt;""),"tbd",""))</f>
        <v>0</v>
      </c>
      <c r="R45" s="204" t="inlineStr">
        <is>
          <t>LOST</t>
        </is>
      </c>
      <c r="S45" s="205" t="n">
        <v>0</v>
      </c>
      <c r="T45" s="199" t="inlineStr">
        <is>
          <t>Warm</t>
        </is>
      </c>
      <c r="U45" s="200" t="inlineStr">
        <is>
          <t>USV + PQ-Monitoring für Präzisionsanlagen</t>
        </is>
      </c>
      <c r="V45" s="200" t="inlineStr">
        <is>
          <t>Kunde angeschrieben, Offerte erstellt, Kunde hat Offerte bekommen, Transportkosten zu Hoch daher die Absage</t>
        </is>
      </c>
      <c r="W45" s="198" t="inlineStr">
        <is>
          <t>Juni</t>
        </is>
      </c>
      <c r="X45" s="200" t="inlineStr">
        <is>
          <t>Kunde angeschrieben, Offerte erstellt, Kunde hat Offerte bekommen, Transportkosten zu Hoch daher die Absage</t>
        </is>
      </c>
      <c r="Z45" t="str">
        <f>IF(AND(R45="WON",ISNUMBER(I45)),AA45,"")</f>
        <v/>
      </c>
      <c r="AA45">
        <f>IFERROR(I45*1,0)</f>
        <v>7205</v>
      </c>
      <c r="AB45">
        <f>N(AB44)+IF(AND(R45="WON",B45&lt;&gt;""),1,0)</f>
        <v>7</v>
      </c>
      <c r="AC45">
        <f>N(AC44)+IF(AND(OR(R45="offered",R45="to be offered",R45="on hold"),B45&lt;&gt;""),1,0)</f>
        <v>13</v>
      </c>
      <c r="AD45">
        <f>N(AD44)+IF(AND(OR(R45="follow-up",R45="Evaluation",R45="tbd",R45="In evaluation"),B45&lt;&gt;""),1,0)</f>
        <v>6</v>
      </c>
    </row>
    <row r="46" ht="30" customHeight="1">
      <c r="A46" s="198" t="n">
        <v>9</v>
      </c>
      <c r="B46" s="199" t="inlineStr">
        <is>
          <t>Badermetaux Sàrl (Schweiz)</t>
        </is>
      </c>
      <c r="C46" s="198" t="inlineStr">
        <is>
          <t>ZH</t>
        </is>
      </c>
      <c r="D46" s="200" t="inlineStr">
        <is>
          <t>Industrie / Metall</t>
        </is>
      </c>
      <c r="E46" s="200" t="inlineStr">
        <is>
          <t>600 kVA Langzeitmiete</t>
        </is>
      </c>
      <c r="F46" s="201" t="n">
        <v>600</v>
      </c>
      <c r="G46" s="198" t="inlineStr">
        <is>
          <t>5 Jahre</t>
        </is>
      </c>
      <c r="H46" s="202" t="inlineStr">
        <is>
          <t>Mai</t>
        </is>
      </c>
      <c r="I46" s="201" t="n">
        <v>500000</v>
      </c>
      <c r="J46" s="201" t="n">
        <v>300000</v>
      </c>
      <c r="K46" s="201" t="n">
        <v>5000</v>
      </c>
      <c r="L46" s="201" t="n">
        <v>25000</v>
      </c>
      <c r="M46" s="201" t="n">
        <v>30000</v>
      </c>
      <c r="N46" s="201" t="n">
        <v>10000</v>
      </c>
      <c r="O46" s="201">
        <f>IF(ISNUMBER(I46),I46-SUM(J46:N46),"")</f>
        <v>130000</v>
      </c>
      <c r="P46" s="203">
        <f>IFERROR(IF(AND(ISNUMBER(O46),ISNUMBER(I46),I46&lt;&gt;0),O46/I46,""),"")</f>
        <v>0.26</v>
      </c>
      <c r="Q46" s="201">
        <f>IF(AND(ISNUMBER(I46),ISNUMBER(S46)),I46*IF(S46&lt;=1,S46,S46/100),IF(OR(I46&lt;&gt;"",S46&lt;&gt;""),"tbd",""))</f>
        <v>50000</v>
      </c>
      <c r="R46" s="204" t="inlineStr">
        <is>
          <t>follow-up</t>
        </is>
      </c>
      <c r="S46" s="205" t="n">
        <v>0.1</v>
      </c>
      <c r="T46" s="199" t="inlineStr">
        <is>
          <t>Kalt (Burak)</t>
        </is>
      </c>
      <c r="U46" s="200" t="inlineStr">
        <is>
          <t>EN 50160-Zertifizierung, all-inclusive</t>
        </is>
      </c>
      <c r="V46" s="200" t="inlineStr">
        <is>
          <t>PQ-Analyse + Langzeitkonzept vorlegen</t>
        </is>
      </c>
      <c r="W46" s="198" t="inlineStr">
        <is>
          <t>Juni</t>
        </is>
      </c>
      <c r="X46" s="200" t="inlineStr">
        <is>
          <t>500k CHF Potenzial – langer Zyklus, jetzt Vertrauen aufbauen</t>
        </is>
      </c>
      <c r="Z46" t="str">
        <f>IF(AND(R46="WON",ISNUMBER(I46)),AA46,"")</f>
        <v/>
      </c>
      <c r="AA46">
        <f>IFERROR(I46*1,0)</f>
        <v>500000</v>
      </c>
      <c r="AB46">
        <f>N(AB45)+IF(AND(R46="WON",B46&lt;&gt;""),1,0)</f>
        <v>7</v>
      </c>
      <c r="AC46">
        <f>N(AC45)+IF(AND(OR(R46="offered",R46="to be offered",R46="on hold"),B46&lt;&gt;""),1,0)</f>
        <v>13</v>
      </c>
      <c r="AD46">
        <f>N(AD45)+IF(AND(OR(R46="follow-up",R46="Evaluation",R46="tbd",R46="In evaluation"),B46&lt;&gt;""),1,0)</f>
        <v>7</v>
      </c>
    </row>
    <row r="47" ht="30" customHeight="1">
      <c r="A47" s="198" t="n">
        <v>37</v>
      </c>
      <c r="B47" s="210" t="inlineStr">
        <is>
          <t>Swisspro AG</t>
        </is>
      </c>
      <c r="C47" s="209" t="inlineStr">
        <is>
          <t>ZH</t>
        </is>
      </c>
      <c r="D47" s="200" t="inlineStr">
        <is>
          <t>Elektroinstallation</t>
        </is>
      </c>
      <c r="E47" s="208" t="inlineStr">
        <is>
          <t>30 kVA Generator</t>
        </is>
      </c>
      <c r="F47" s="211" t="inlineStr">
        <is>
          <t>30 kVA</t>
        </is>
      </c>
      <c r="G47" s="198" t="n">
        <v>4</v>
      </c>
      <c r="H47" s="207" t="inlineStr">
        <is>
          <t>Juli</t>
        </is>
      </c>
      <c r="I47" s="201" t="n">
        <v>6365.35</v>
      </c>
      <c r="J47" s="201">
        <f>320.4+10.8+25.2+115.2</f>
        <v>471.6</v>
      </c>
      <c r="K47" s="201" t="n">
        <v>2400</v>
      </c>
      <c r="L47" s="201" t="n">
        <v>0</v>
      </c>
      <c r="M47" s="201">
        <f>1740+1276.8</f>
        <v>3016.8</v>
      </c>
      <c r="N47" s="201">
        <f>IF(ISNUMBER(I47),ROUND(I47-I47/1.081,2),"")</f>
        <v>476.96</v>
      </c>
      <c r="O47" s="201">
        <f>IF(ISNUMBER(I47),I47-SUM(J47:N47),"")</f>
        <v>-0.0100000000002183</v>
      </c>
      <c r="P47" s="203">
        <f>IFERROR(IF(AND(ISNUMBER(O47),ISNUMBER(I47),I47&lt;&gt;0),O47/I47,""),"")</f>
        <v>-1.5710055221187E-06</v>
      </c>
      <c r="Q47" s="201">
        <f>IF(AND(ISNUMBER(I47),ISNUMBER(S47)),I47*IF(S47&lt;=1,S47,S47/100),IF(OR(I47&lt;&gt;"",S47&lt;&gt;""),"tbd",""))</f>
        <v>0</v>
      </c>
      <c r="R47" s="204" t="inlineStr">
        <is>
          <t>LOST</t>
        </is>
      </c>
      <c r="S47" s="205" t="n">
        <v>0</v>
      </c>
      <c r="T47" s="210" t="inlineStr">
        <is>
          <t>Warm</t>
        </is>
      </c>
      <c r="U47" s="200" t="inlineStr">
        <is>
          <t>USV + PQ-Monitoring für Präzisionsanlagen</t>
        </is>
      </c>
      <c r="V47" s="200" t="inlineStr">
        <is>
          <t>Kunde angeschrieben, Offerte erstellt, Kunde hat Offerte bekommen, Transportkosten zu Hoch daher die Absage</t>
        </is>
      </c>
      <c r="W47" s="209" t="inlineStr">
        <is>
          <t>Juni</t>
        </is>
      </c>
      <c r="X47" s="200" t="inlineStr">
        <is>
          <t>Kunde angeschrieben, Offerte erstellt, Kunde hat Offerte bekommen, Transportkosten zu Hoch daher die Absage</t>
        </is>
      </c>
      <c r="Z47" t="str">
        <f>IF(AND(R47="WON",ISNUMBER(I47)),AA47,"")</f>
        <v/>
      </c>
      <c r="AA47">
        <f>IFERROR(I47*1,0)</f>
        <v>6365.35</v>
      </c>
      <c r="AB47">
        <f>N(AB46)+IF(AND(R47="WON",B47&lt;&gt;""),1,0)</f>
        <v>7</v>
      </c>
      <c r="AC47">
        <f>N(AC46)+IF(AND(OR(R47="offered",R47="to be offered",R47="on hold"),B47&lt;&gt;""),1,0)</f>
        <v>13</v>
      </c>
      <c r="AD47">
        <f>N(AD46)+IF(AND(OR(R47="follow-up",R47="Evaluation",R47="tbd",R47="In evaluation"),B47&lt;&gt;""),1,0)</f>
        <v>7</v>
      </c>
    </row>
    <row r="48" ht="30" customHeight="1">
      <c r="A48" s="198" t="n">
        <v>30</v>
      </c>
      <c r="B48" s="199" t="inlineStr">
        <is>
          <t>Nestle</t>
        </is>
      </c>
      <c r="C48" s="198" t="inlineStr">
        <is>
          <t>BE</t>
        </is>
      </c>
      <c r="D48" s="200" t="inlineStr">
        <is>
          <t>Industrie</t>
        </is>
      </c>
      <c r="E48" s="200" t="inlineStr">
        <is>
          <t>tbd</t>
        </is>
      </c>
      <c r="F48" s="206" t="inlineStr">
        <is>
          <t>tbd</t>
        </is>
      </c>
      <c r="G48" s="198" t="inlineStr">
        <is>
          <t>tbd</t>
        </is>
      </c>
      <c r="H48" s="198" t="inlineStr">
        <is>
          <t>tbd</t>
        </is>
      </c>
      <c r="I48" s="201" t="inlineStr">
        <is>
          <t>tbd</t>
        </is>
      </c>
      <c r="J48" s="201" t="inlineStr">
        <is>
          <t>tbd</t>
        </is>
      </c>
      <c r="K48" s="201" t="inlineStr">
        <is>
          <t>tbd</t>
        </is>
      </c>
      <c r="L48" s="201" t="n">
        <v>0</v>
      </c>
      <c r="M48" s="201" t="inlineStr">
        <is>
          <t>tbd</t>
        </is>
      </c>
      <c r="N48" s="201" t="str">
        <f>IF(ISNUMBER(I48),ROUND(I48-I48/1.081,2),"")</f>
        <v/>
      </c>
      <c r="O48" s="201" t="str">
        <f>IF(ISNUMBER(I48),I48-SUM(J48:N48),"")</f>
        <v/>
      </c>
      <c r="P48" s="203" t="str">
        <f>IFERROR(IF(AND(ISNUMBER(O48),ISNUMBER(I48),I48&lt;&gt;0),O48/I48,""),"")</f>
        <v/>
      </c>
      <c r="Q48" s="201" t="str">
        <f>IF(AND(ISNUMBER(I48),ISNUMBER(S48)),I48*IF(S48&lt;=1,S48,S48/100),IF(OR(I48&lt;&gt;"",S48&lt;&gt;""),"tbd",""))</f>
        <v>tbd</v>
      </c>
      <c r="R48" s="204" t="inlineStr">
        <is>
          <t>Declined</t>
        </is>
      </c>
      <c r="S48" s="205" t="n">
        <v>0</v>
      </c>
      <c r="T48" s="199" t="inlineStr">
        <is>
          <t>Warm – Aggreko</t>
        </is>
      </c>
      <c r="U48" s="200" t="inlineStr">
        <is>
          <t>USV + PQ-Monitoring für Präzisionsanlagen</t>
        </is>
      </c>
      <c r="V48" s="214" t="inlineStr">
        <is>
          <t>Kunde angeschrieben, Telefoniert noch kein bedarf</t>
        </is>
      </c>
      <c r="W48" s="198" t="inlineStr">
        <is>
          <t>Juni</t>
        </is>
      </c>
      <c r="X48" s="200" t="inlineStr">
        <is>
          <t>Kunde angeschrieben, Telefoniert noch kein bedarf</t>
        </is>
      </c>
      <c r="Z48" t="str">
        <f>IF(AND(R48="WON",ISNUMBER(I48)),AA48,"")</f>
        <v/>
      </c>
      <c r="AA48">
        <f>IFERROR(I48*1,0)</f>
        <v>0</v>
      </c>
      <c r="AB48">
        <f>N(AB47)+IF(AND(R48="WON",B48&lt;&gt;""),1,0)</f>
        <v>7</v>
      </c>
      <c r="AC48">
        <f>N(AC47)+IF(AND(OR(R48="offered",R48="to be offered",R48="on hold"),B48&lt;&gt;""),1,0)</f>
        <v>13</v>
      </c>
      <c r="AD48">
        <f>N(AD47)+IF(AND(OR(R48="follow-up",R48="Evaluation",R48="tbd",R48="In evaluation"),B48&lt;&gt;""),1,0)</f>
        <v>7</v>
      </c>
    </row>
    <row r="49" ht="24" customHeight="1">
      <c r="A49" s="198" t="n">
        <v>31</v>
      </c>
      <c r="B49" s="199" t="inlineStr">
        <is>
          <t>VD</t>
        </is>
      </c>
      <c r="C49" s="198" t="inlineStr">
        <is>
          <t>VD</t>
        </is>
      </c>
      <c r="D49" s="200" t="inlineStr">
        <is>
          <t>Industrie</t>
        </is>
      </c>
      <c r="E49" s="200" t="inlineStr">
        <is>
          <t>tbd</t>
        </is>
      </c>
      <c r="F49" s="206" t="inlineStr">
        <is>
          <t>tbd</t>
        </is>
      </c>
      <c r="G49" s="198" t="inlineStr">
        <is>
          <t>tbd</t>
        </is>
      </c>
      <c r="H49" s="202" t="inlineStr">
        <is>
          <t>tbd</t>
        </is>
      </c>
      <c r="I49" s="201" t="inlineStr">
        <is>
          <t>tbd</t>
        </is>
      </c>
      <c r="J49" s="201" t="inlineStr">
        <is>
          <t>tbd</t>
        </is>
      </c>
      <c r="K49" s="201" t="inlineStr">
        <is>
          <t>tbd</t>
        </is>
      </c>
      <c r="L49" s="201" t="n">
        <v>0</v>
      </c>
      <c r="M49" s="201" t="inlineStr">
        <is>
          <t>tbd</t>
        </is>
      </c>
      <c r="N49" s="201" t="str">
        <f>IF(ISNUMBER(I49),ROUND(I49-I49/1.081,2),"")</f>
        <v/>
      </c>
      <c r="O49" s="201" t="str">
        <f>IF(ISNUMBER(I49),I49-SUM(J49:N49),"")</f>
        <v/>
      </c>
      <c r="P49" s="203" t="str">
        <f>IFERROR(IF(AND(ISNUMBER(O49),ISNUMBER(I49),I49&lt;&gt;0),O49/I49,""),"")</f>
        <v/>
      </c>
      <c r="Q49" s="201" t="str">
        <f>IF(AND(ISNUMBER(I49),ISNUMBER(S49)),I49*IF(S49&lt;=1,S49,S49/100),IF(OR(I49&lt;&gt;"",S49&lt;&gt;""),"tbd",""))</f>
        <v>tbd</v>
      </c>
      <c r="R49" s="204" t="inlineStr">
        <is>
          <t>Declined</t>
        </is>
      </c>
      <c r="S49" s="205" t="n">
        <v>0</v>
      </c>
      <c r="T49" s="199" t="inlineStr">
        <is>
          <t>Warm – Aggreko</t>
        </is>
      </c>
      <c r="U49" s="200" t="inlineStr">
        <is>
          <t>USV + PQ-Monitoring für Präzisionsanlagen</t>
        </is>
      </c>
      <c r="V49" s="200" t="inlineStr">
        <is>
          <t>Kunde angeschrieben, Telefoniert noch kein bedarf</t>
        </is>
      </c>
      <c r="W49" s="198" t="inlineStr">
        <is>
          <t>Juni</t>
        </is>
      </c>
      <c r="X49" s="200" t="inlineStr">
        <is>
          <t>Kunde angeschrieben, Telefoniert noch kein bedarf</t>
        </is>
      </c>
      <c r="Z49" t="str">
        <f>IF(AND(R49="WON",ISNUMBER(I49)),AA49,"")</f>
        <v/>
      </c>
      <c r="AA49">
        <f>IFERROR(I49*1,0)</f>
        <v>0</v>
      </c>
      <c r="AB49">
        <f>N(AB48)+IF(AND(R49="WON",B49&lt;&gt;""),1,0)</f>
        <v>7</v>
      </c>
      <c r="AC49">
        <f>N(AC48)+IF(AND(OR(R49="offered",R49="to be offered",R49="on hold"),B49&lt;&gt;""),1,0)</f>
        <v>13</v>
      </c>
      <c r="AD49">
        <f>N(AD48)+IF(AND(OR(R49="follow-up",R49="Evaluation",R49="tbd",R49="In evaluation"),B49&lt;&gt;""),1,0)</f>
        <v>7</v>
      </c>
    </row>
    <row r="50" ht="24" customHeight="1">
      <c r="A50" s="198" t="n">
        <v>40</v>
      </c>
      <c r="B50" s="199" t="inlineStr">
        <is>
          <t>Equans Switzerland St.Galln</t>
        </is>
      </c>
      <c r="C50" s="198" t="inlineStr">
        <is>
          <t>SG</t>
        </is>
      </c>
      <c r="D50" s="200" t="inlineStr">
        <is>
          <t>Elektroinstallation</t>
        </is>
      </c>
      <c r="E50" s="199" t="inlineStr">
        <is>
          <t>150 kVA</t>
        </is>
      </c>
      <c r="F50" s="201" t="inlineStr">
        <is>
          <t>150 kVA</t>
        </is>
      </c>
      <c r="G50" s="198" t="n">
        <v>4</v>
      </c>
      <c r="H50" s="207" t="inlineStr">
        <is>
          <t>Mai</t>
        </is>
      </c>
      <c r="I50" s="201" t="n">
        <v>4533.93</v>
      </c>
      <c r="J50" s="201">
        <f>649.8</f>
        <v>649.8</v>
      </c>
      <c r="K50" s="201" t="n">
        <v>1650</v>
      </c>
      <c r="L50" s="201" t="n">
        <v>0</v>
      </c>
      <c r="M50" s="201">
        <f>1160+734.4</f>
        <v>1894.4</v>
      </c>
      <c r="N50" s="201">
        <f>IF(ISNUMBER(I50),ROUND(I50-I50/1.081,2),"")</f>
        <v>339.73</v>
      </c>
      <c r="O50" s="201">
        <f>IF(ISNUMBER(I50),I50-SUM(J50:N50),"")</f>
        <v>0</v>
      </c>
      <c r="P50" s="203">
        <f>IFERROR(IF(AND(ISNUMBER(O50),ISNUMBER(I50),I50&lt;&gt;0),O50/I50,""),"")</f>
        <v>0</v>
      </c>
      <c r="Q50" s="201">
        <f>IF(AND(ISNUMBER(I50),ISNUMBER(S50)),I50*IF(S50&lt;=1,S50,S50/100),IF(OR(I50&lt;&gt;"",S50&lt;&gt;""),"tbd",""))</f>
        <v>0</v>
      </c>
      <c r="R50" s="204" t="inlineStr">
        <is>
          <t>LOST</t>
        </is>
      </c>
      <c r="S50" s="205" t="n">
        <v>0</v>
      </c>
      <c r="T50" s="199" t="inlineStr">
        <is>
          <t xml:space="preserve">Warm </t>
        </is>
      </c>
      <c r="U50" s="200" t="inlineStr">
        <is>
          <t>USV + PQ-Monitoring für Präzisionsanlagen</t>
        </is>
      </c>
      <c r="V50" s="210" t="inlineStr">
        <is>
          <t>Kunde angeschrieben, Offerte erstellt, Kunde hat Offerte bekommen, Transportkosten zu Hoch daher die Absage</t>
        </is>
      </c>
      <c r="W50" s="198" t="inlineStr">
        <is>
          <t>Mai</t>
        </is>
      </c>
      <c r="X50" s="210" t="inlineStr">
        <is>
          <t>Kunde angeschrieben, Offerte erstellt, Kunde hat Offerte bekommen, Transportkosten zu Hoch daher die Absage</t>
        </is>
      </c>
      <c r="Z50" t="str">
        <f>IF(AND(R50="WON",ISNUMBER(I50)),AA50,"")</f>
        <v/>
      </c>
      <c r="AA50">
        <f>IFERROR(I50*1,0)</f>
        <v>4533.93</v>
      </c>
      <c r="AB50">
        <f>N(AB49)+IF(AND(R50="WON",B50&lt;&gt;""),1,0)</f>
        <v>7</v>
      </c>
      <c r="AC50">
        <f>N(AC49)+IF(AND(OR(R50="offered",R50="to be offered",R50="on hold"),B50&lt;&gt;""),1,0)</f>
        <v>13</v>
      </c>
      <c r="AD50">
        <f>N(AD49)+IF(AND(OR(R50="follow-up",R50="Evaluation",R50="tbd",R50="In evaluation"),B50&lt;&gt;""),1,0)</f>
        <v>7</v>
      </c>
    </row>
    <row r="51" ht="24" customHeight="1">
      <c r="A51" s="198" t="n">
        <v>32</v>
      </c>
      <c r="B51" s="199" t="inlineStr">
        <is>
          <t>WSP</t>
        </is>
      </c>
      <c r="C51" s="198" t="inlineStr">
        <is>
          <t>VD</t>
        </is>
      </c>
      <c r="D51" s="200" t="inlineStr">
        <is>
          <t>Industrie</t>
        </is>
      </c>
      <c r="E51" s="200" t="inlineStr">
        <is>
          <t>tbd</t>
        </is>
      </c>
      <c r="F51" s="206" t="inlineStr">
        <is>
          <t>tbd</t>
        </is>
      </c>
      <c r="G51" s="198" t="inlineStr">
        <is>
          <t>tbd</t>
        </is>
      </c>
      <c r="H51" s="202" t="inlineStr">
        <is>
          <t>tbd</t>
        </is>
      </c>
      <c r="I51" s="201" t="inlineStr">
        <is>
          <t>tbd</t>
        </is>
      </c>
      <c r="J51" s="201" t="inlineStr">
        <is>
          <t>tbd</t>
        </is>
      </c>
      <c r="K51" s="201" t="inlineStr">
        <is>
          <t>tbd</t>
        </is>
      </c>
      <c r="L51" s="201" t="n">
        <v>0</v>
      </c>
      <c r="M51" s="201" t="inlineStr">
        <is>
          <t>tbd</t>
        </is>
      </c>
      <c r="N51" s="201" t="str">
        <f>IF(ISNUMBER(I51),ROUND(I51-I51/1.081,2),"")</f>
        <v/>
      </c>
      <c r="O51" s="201" t="str">
        <f>IF(ISNUMBER(I51),I51-SUM(J51:N51),"")</f>
        <v/>
      </c>
      <c r="P51" s="203" t="str">
        <f>IFERROR(IF(AND(ISNUMBER(O51),ISNUMBER(I51),I51&lt;&gt;0),O51/I51,""),"")</f>
        <v/>
      </c>
      <c r="Q51" s="201" t="str">
        <f>IF(AND(ISNUMBER(I51),ISNUMBER(S51)),I51*IF(S51&lt;=1,S51,S51/100),IF(OR(I51&lt;&gt;"",S51&lt;&gt;""),"tbd",""))</f>
        <v>tbd</v>
      </c>
      <c r="R51" s="204" t="inlineStr">
        <is>
          <t>tbd</t>
        </is>
      </c>
      <c r="S51" s="205" t="n">
        <v>0</v>
      </c>
      <c r="T51" s="199" t="inlineStr">
        <is>
          <t>Warm – Aggreko</t>
        </is>
      </c>
      <c r="U51" s="200" t="inlineStr">
        <is>
          <t>USV + PQ-Monitoring für Präzisionsanlagen</t>
        </is>
      </c>
      <c r="V51" s="200" t="inlineStr">
        <is>
          <t>Kunde angeschrieben, Telefoniert noch kein bedarf</t>
        </is>
      </c>
      <c r="W51" s="198" t="inlineStr">
        <is>
          <t>Juni</t>
        </is>
      </c>
      <c r="X51" s="200" t="inlineStr">
        <is>
          <t>Kunde angeschrieben, Telefoniert noch kein bedarf</t>
        </is>
      </c>
      <c r="Z51" t="str">
        <f>IF(AND(R51="WON",ISNUMBER(I51)),AA51,"")</f>
        <v/>
      </c>
      <c r="AA51">
        <f>IFERROR(I51*1,0)</f>
        <v>0</v>
      </c>
      <c r="AB51">
        <f>N(AB50)+IF(AND(R51="WON",B51&lt;&gt;""),1,0)</f>
        <v>7</v>
      </c>
      <c r="AC51">
        <f>N(AC50)+IF(AND(OR(R51="offered",R51="to be offered",R51="on hold"),B51&lt;&gt;""),1,0)</f>
        <v>13</v>
      </c>
      <c r="AD51">
        <f>N(AD50)+IF(AND(OR(R51="follow-up",R51="Evaluation",R51="tbd",R51="In evaluation"),B51&lt;&gt;""),1,0)</f>
        <v>8</v>
      </c>
    </row>
    <row r="52" ht="24" customHeight="1">
      <c r="A52" s="198" t="n">
        <v>42</v>
      </c>
      <c r="B52" s="199" t="inlineStr">
        <is>
          <t>SMT</t>
        </is>
      </c>
      <c r="C52" s="198" t="inlineStr">
        <is>
          <t>ZH</t>
        </is>
      </c>
      <c r="D52" s="199" t="inlineStr">
        <is>
          <t>Industrie</t>
        </is>
      </c>
      <c r="E52" s="199" t="inlineStr">
        <is>
          <t>1000 kVA</t>
        </is>
      </c>
      <c r="F52" s="201" t="inlineStr">
        <is>
          <t>1000 kVA</t>
        </is>
      </c>
      <c r="G52" s="198" t="n">
        <v>4</v>
      </c>
      <c r="H52" s="202" t="inlineStr">
        <is>
          <t>Aug</t>
        </is>
      </c>
      <c r="I52" s="201" t="n">
        <v>6772.8</v>
      </c>
      <c r="J52" s="201" t="n">
        <v>3834</v>
      </c>
      <c r="K52" s="201" t="n">
        <v>1800</v>
      </c>
      <c r="L52" s="201" t="n">
        <v>0</v>
      </c>
      <c r="M52" s="201" t="n">
        <v>1138.8</v>
      </c>
      <c r="N52" s="201" t="n">
        <v>0</v>
      </c>
      <c r="O52" s="201">
        <f>IF(ISNUMBER(I52),I52-SUM(J52:N52),"")</f>
        <v>0</v>
      </c>
      <c r="P52" s="203">
        <f>IFERROR(IF(AND(ISNUMBER(O52),ISNUMBER(I52),I52&lt;&gt;0),O52/I52,""),"")</f>
        <v>0</v>
      </c>
      <c r="Q52" s="201">
        <f>IF(AND(ISNUMBER(I52),ISNUMBER(S52)),I52*IF(S52&lt;=1,S52,S52/100),IF(OR(I52&lt;&gt;"",S52&lt;&gt;""),"tbd",""))</f>
        <v>4740.96</v>
      </c>
      <c r="R52" s="204" t="inlineStr">
        <is>
          <t>Evaluation</t>
        </is>
      </c>
      <c r="S52" s="205" t="n">
        <v>0.7</v>
      </c>
      <c r="T52" s="199" t="inlineStr">
        <is>
          <t>Warm – Aggreko</t>
        </is>
      </c>
      <c r="U52" s="200" t="inlineStr">
        <is>
          <t>USV + PQ-Monitoring für Präzisionsanlagen</t>
        </is>
      </c>
      <c r="V52" s="200" t="inlineStr">
        <is>
          <t>Kunde angeschrieben, Offerte erstellt, Kunde hat Offerte bekommen</t>
        </is>
      </c>
      <c r="W52" s="198" t="inlineStr">
        <is>
          <t>August</t>
        </is>
      </c>
      <c r="X52" s="200" t="inlineStr">
        <is>
          <t>Kunde angeschrieben</t>
        </is>
      </c>
      <c r="Z52" t="str">
        <f>IF(AND(R52="WON",ISNUMBER(I52)),AA52,"")</f>
        <v/>
      </c>
      <c r="AA52">
        <f>IFERROR(I52*1,0)</f>
        <v>6772.8</v>
      </c>
      <c r="AB52">
        <f>N(AB51)+IF(AND(R52="WON",B52&lt;&gt;""),1,0)</f>
        <v>7</v>
      </c>
      <c r="AC52">
        <f>N(AC51)+IF(AND(OR(R52="offered",R52="to be offered",R52="on hold"),B52&lt;&gt;""),1,0)</f>
        <v>13</v>
      </c>
      <c r="AD52">
        <f>N(AD51)+IF(AND(OR(R52="follow-up",R52="Evaluation",R52="tbd",R52="In evaluation"),B52&lt;&gt;""),1,0)</f>
        <v>9</v>
      </c>
    </row>
    <row r="53" ht="24" customHeight="1">
      <c r="A53" s="198" t="n">
        <v>43</v>
      </c>
      <c r="B53" s="199" t="inlineStr">
        <is>
          <t>Equans Switzerland Kloten</t>
        </is>
      </c>
      <c r="C53" s="198" t="inlineStr">
        <is>
          <t>ZH</t>
        </is>
      </c>
      <c r="D53" s="199" t="inlineStr">
        <is>
          <t>Industrie</t>
        </is>
      </c>
      <c r="E53" s="199" t="inlineStr">
        <is>
          <t>600 kVA</t>
        </is>
      </c>
      <c r="F53" s="201" t="inlineStr">
        <is>
          <t>600 kVA</t>
        </is>
      </c>
      <c r="G53" s="198" t="n">
        <v>480</v>
      </c>
      <c r="H53" s="202" t="inlineStr">
        <is>
          <t>Dez</t>
        </is>
      </c>
      <c r="I53" s="201" t="n">
        <v>224236.15</v>
      </c>
      <c r="J53" s="201" t="n">
        <v>204672</v>
      </c>
      <c r="K53" s="201" t="n">
        <v>1700</v>
      </c>
      <c r="L53" s="201" t="n">
        <v>0</v>
      </c>
      <c r="M53" s="201">
        <f>870+192</f>
        <v>1062</v>
      </c>
      <c r="N53" s="201">
        <f>IF(ISNUMBER(I53),ROUND(I53-I53/1.081,2),"")</f>
        <v>16802.15</v>
      </c>
      <c r="O53" s="201">
        <f>IF(ISNUMBER(I53),I53-SUM(J53:N53),"")</f>
        <v>0</v>
      </c>
      <c r="P53" s="203">
        <f>IFERROR(IF(AND(ISNUMBER(O53),ISNUMBER(I53),I53&lt;&gt;0),O53/I53,""),"")</f>
        <v>0</v>
      </c>
      <c r="Q53" s="201">
        <f>IF(AND(ISNUMBER(I53),ISNUMBER(S53)),I53*IF(S53&lt;=1,S53,S53/100),IF(OR(I53&lt;&gt;"",S53&lt;&gt;""),"tbd",""))</f>
        <v>112118.075</v>
      </c>
      <c r="R53" s="204" t="inlineStr">
        <is>
          <t>offered</t>
        </is>
      </c>
      <c r="S53" s="205" t="n">
        <v>0.5</v>
      </c>
      <c r="T53" s="199" t="inlineStr">
        <is>
          <t>Kalt (Burak)</t>
        </is>
      </c>
      <c r="U53" s="200" t="inlineStr">
        <is>
          <t>USV + PQ-Monitoring für Präzisionsanlagen</t>
        </is>
      </c>
      <c r="V53" s="200" t="inlineStr">
        <is>
          <t>Kunde angeschrieben, Offerte erstellt, Kunde hat Offerte bekommen</t>
        </is>
      </c>
      <c r="W53" s="198" t="inlineStr">
        <is>
          <t>Oktober</t>
        </is>
      </c>
      <c r="X53" s="200" t="inlineStr">
        <is>
          <t>Kunde angeschrieben</t>
        </is>
      </c>
      <c r="Z53" t="str">
        <f>IF(AND(R53="WON",ISNUMBER(I53)),AA53,"")</f>
        <v/>
      </c>
      <c r="AA53">
        <f>IFERROR(I53*1,0)</f>
        <v>224236.15</v>
      </c>
      <c r="AB53">
        <f>N(AB52)+IF(AND(R53="WON",B53&lt;&gt;""),1,0)</f>
        <v>7</v>
      </c>
      <c r="AC53">
        <f>N(AC52)+IF(AND(OR(R53="offered",R53="to be offered",R53="on hold"),B53&lt;&gt;""),1,0)</f>
        <v>14</v>
      </c>
      <c r="AD53">
        <f>N(AD52)+IF(AND(OR(R53="follow-up",R53="Evaluation",R53="tbd",R53="In evaluation"),B53&lt;&gt;""),1,0)</f>
        <v>9</v>
      </c>
    </row>
    <row r="54" ht="24" customHeight="1">
      <c r="A54" s="198" t="n">
        <v>44</v>
      </c>
      <c r="B54" s="199" t="inlineStr">
        <is>
          <t>Equans Switzerland Kloten</t>
        </is>
      </c>
      <c r="C54" s="198" t="inlineStr">
        <is>
          <t>ZH</t>
        </is>
      </c>
      <c r="D54" s="199" t="inlineStr">
        <is>
          <t>Industrie</t>
        </is>
      </c>
      <c r="E54" s="199" t="inlineStr">
        <is>
          <t>300 kVA</t>
        </is>
      </c>
      <c r="F54" s="201" t="inlineStr">
        <is>
          <t>300 kVA</t>
        </is>
      </c>
      <c r="G54" s="198" t="n">
        <v>66</v>
      </c>
      <c r="H54" s="202" t="inlineStr">
        <is>
          <t>Juli</t>
        </is>
      </c>
      <c r="I54" s="201" t="n">
        <v>31077.89</v>
      </c>
      <c r="J54" s="201" t="n">
        <v>26030.4</v>
      </c>
      <c r="K54" s="201" t="n">
        <v>1700</v>
      </c>
      <c r="L54" s="201" t="n">
        <v>0</v>
      </c>
      <c r="M54" s="201" t="n">
        <v>1018.8</v>
      </c>
      <c r="N54" s="201">
        <f>IF(ISNUMBER(I54),ROUND(I54-I54/1.081,2),"")</f>
        <v>2328.69</v>
      </c>
      <c r="O54" s="201">
        <f>IF(ISNUMBER(I54),I54-SUM(J54:N54),"")</f>
        <v>0</v>
      </c>
      <c r="P54" s="203">
        <f>IFERROR(IF(AND(ISNUMBER(O54),ISNUMBER(I54),I54&lt;&gt;0),O54/I54,""),"")</f>
        <v>0</v>
      </c>
      <c r="Q54" s="201">
        <f>IF(AND(ISNUMBER(I54),ISNUMBER(S54)),I54*IF(S54&lt;=1,S54,S54/100),IF(OR(I54&lt;&gt;"",S54&lt;&gt;""),"tbd",""))</f>
        <v>15538.945</v>
      </c>
      <c r="R54" s="204" t="inlineStr">
        <is>
          <t>offered</t>
        </is>
      </c>
      <c r="S54" s="205" t="n">
        <v>0.5</v>
      </c>
      <c r="T54" s="199" t="inlineStr">
        <is>
          <t>Kalt (Burak)</t>
        </is>
      </c>
      <c r="U54" s="200" t="inlineStr">
        <is>
          <t>USV + PQ-Monitoring für Präzisionsanlagen</t>
        </is>
      </c>
      <c r="V54" s="200" t="inlineStr">
        <is>
          <t>Kunde angeschrieben, Offerte erstellt, Kunde hat Offerte bekommen</t>
        </is>
      </c>
      <c r="W54" s="198" t="inlineStr">
        <is>
          <t>Oktober</t>
        </is>
      </c>
      <c r="X54" s="200" t="inlineStr">
        <is>
          <t>Kunde angeschrieben</t>
        </is>
      </c>
      <c r="Z54" t="str">
        <f>IF(AND(R54="WON",ISNUMBER(I54)),AA54,"")</f>
        <v/>
      </c>
      <c r="AA54">
        <f>IFERROR(I54*1,0)</f>
        <v>31077.89</v>
      </c>
      <c r="AB54">
        <f>N(AB53)+IF(AND(R54="WON",B54&lt;&gt;""),1,0)</f>
        <v>7</v>
      </c>
      <c r="AC54">
        <f>N(AC53)+IF(AND(OR(R54="offered",R54="to be offered",R54="on hold"),B54&lt;&gt;""),1,0)</f>
        <v>15</v>
      </c>
      <c r="AD54">
        <f>N(AD53)+IF(AND(OR(R54="follow-up",R54="Evaluation",R54="tbd",R54="In evaluation"),B54&lt;&gt;""),1,0)</f>
        <v>9</v>
      </c>
    </row>
    <row r="55" ht="24" customHeight="1">
      <c r="A55" s="198" t="n">
        <v>45</v>
      </c>
      <c r="B55" s="199" t="inlineStr">
        <is>
          <t>ETAVIS Basel</t>
        </is>
      </c>
      <c r="C55" s="198" t="inlineStr">
        <is>
          <t>BS</t>
        </is>
      </c>
      <c r="D55" s="199" t="inlineStr">
        <is>
          <t>Elektroinstallation</t>
        </is>
      </c>
      <c r="E55" s="199" t="inlineStr">
        <is>
          <t>300 kVA</t>
        </is>
      </c>
      <c r="F55" s="201" t="inlineStr">
        <is>
          <t>300 kVA</t>
        </is>
      </c>
      <c r="G55" s="198" t="n">
        <v>14</v>
      </c>
      <c r="H55" s="202" t="inlineStr">
        <is>
          <t>Juli</t>
        </is>
      </c>
      <c r="I55" s="201" t="n">
        <v>13866.21</v>
      </c>
      <c r="J55" s="201">
        <f>3515.4+2835+336+1512+420</f>
        <v>8618.4</v>
      </c>
      <c r="K55" s="201" t="n">
        <v>2400</v>
      </c>
      <c r="L55" s="201" t="n">
        <v>0</v>
      </c>
      <c r="M55" s="201">
        <f>1228.8+580</f>
        <v>1808.8</v>
      </c>
      <c r="N55" s="201">
        <f>IF(ISNUMBER(I55),ROUND(I55-I55/1.081,2),"")</f>
        <v>1039</v>
      </c>
      <c r="O55" s="201">
        <f>IF(ISNUMBER(I55),I55-SUM(J55:N55),"")</f>
        <v>0.0100000000002183</v>
      </c>
      <c r="P55" s="203">
        <f>IFERROR(IF(AND(ISNUMBER(O55),ISNUMBER(I55),I55&lt;&gt;0),O55/I55,""),"")</f>
        <v>7.21177596489472E-07</v>
      </c>
      <c r="Q55" s="201">
        <f>IF(AND(ISNUMBER(I55),ISNUMBER(S55)),I55*IF(S55&lt;=1,S55,S55/100),IF(OR(I55&lt;&gt;"",S55&lt;&gt;""),"tbd",""))</f>
        <v>6933.105</v>
      </c>
      <c r="R55" s="204" t="inlineStr">
        <is>
          <t>offered</t>
        </is>
      </c>
      <c r="S55" s="205" t="n">
        <v>0.5</v>
      </c>
      <c r="T55" s="199" t="inlineStr">
        <is>
          <t>Kalt (Burak)</t>
        </is>
      </c>
      <c r="U55" s="200" t="inlineStr">
        <is>
          <t>USV + PQ-Monitoring für Präzisionsanlagen</t>
        </is>
      </c>
      <c r="V55" s="200" t="inlineStr">
        <is>
          <t>Kunde angeschrieben, Offerte erstellt, Kunde hat Offerte bekommen</t>
        </is>
      </c>
      <c r="W55" s="198" t="inlineStr">
        <is>
          <t>Juli</t>
        </is>
      </c>
      <c r="X55" s="200" t="inlineStr">
        <is>
          <t>Kunde angeschrieben</t>
        </is>
      </c>
      <c r="Z55" t="str">
        <f>IF(AND(R55="WON",ISNUMBER(I55)),AA55,"")</f>
        <v/>
      </c>
      <c r="AA55">
        <f>IFERROR(I55*1,0)</f>
        <v>13866.21</v>
      </c>
      <c r="AB55">
        <f>N(AB54)+IF(AND(R55="WON",B55&lt;&gt;""),1,0)</f>
        <v>7</v>
      </c>
      <c r="AC55">
        <f>N(AC54)+IF(AND(OR(R55="offered",R55="to be offered",R55="on hold"),B55&lt;&gt;""),1,0)</f>
        <v>16</v>
      </c>
      <c r="AD55">
        <f>N(AD54)+IF(AND(OR(R55="follow-up",R55="Evaluation",R55="tbd",R55="In evaluation"),B55&lt;&gt;""),1,0)</f>
        <v>9</v>
      </c>
    </row>
    <row r="56" ht="24" customHeight="1">
      <c r="A56" s="198" t="n">
        <v>46</v>
      </c>
      <c r="B56" s="199" t="inlineStr">
        <is>
          <t>Verein ANIMALZ</t>
        </is>
      </c>
      <c r="C56" s="198" t="inlineStr">
        <is>
          <t>SO</t>
        </is>
      </c>
      <c r="D56" s="199" t="inlineStr">
        <is>
          <t>Festival</t>
        </is>
      </c>
      <c r="E56" s="199" t="inlineStr">
        <is>
          <t>100 kVA</t>
        </is>
      </c>
      <c r="F56" s="201" t="inlineStr">
        <is>
          <t>100 kVA</t>
        </is>
      </c>
      <c r="G56" s="198" t="n">
        <v>7</v>
      </c>
      <c r="H56" s="202" t="inlineStr">
        <is>
          <t>Aug</t>
        </is>
      </c>
      <c r="I56" s="201" t="n">
        <v>750.65</v>
      </c>
      <c r="J56" s="201" t="n">
        <v>695.5</v>
      </c>
      <c r="K56" s="201" t="n">
        <v>0</v>
      </c>
      <c r="L56" s="201" t="n">
        <v>0</v>
      </c>
      <c r="M56" s="201" t="n">
        <v>0</v>
      </c>
      <c r="N56" s="201">
        <f>IF(ISNUMBER(I56),ROUND(I56-I56/1.081,2),"")</f>
        <v>56.25</v>
      </c>
      <c r="O56" s="201">
        <f>IF(ISNUMBER(I56),I56-SUM(J56:N56),"")</f>
        <v>-1.10000000000002</v>
      </c>
      <c r="P56" s="203">
        <f>IFERROR(IF(AND(ISNUMBER(O56),ISNUMBER(I56),I56&lt;&gt;0),O56/I56,""),"")</f>
        <v>-0.0014653966562313</v>
      </c>
      <c r="Q56" s="201">
        <f>IF(AND(ISNUMBER(I56),ISNUMBER(S56)),I56*IF(S56&lt;=1,S56,S56/100),IF(OR(I56&lt;&gt;"",S56&lt;&gt;""),"tbd",""))</f>
        <v>0</v>
      </c>
      <c r="R56" s="204" t="inlineStr">
        <is>
          <t>Declined</t>
        </is>
      </c>
      <c r="S56" s="205" t="n">
        <v>0</v>
      </c>
      <c r="T56" s="199" t="inlineStr">
        <is>
          <t>Kalt (Burak)</t>
        </is>
      </c>
      <c r="U56" s="200" t="inlineStr">
        <is>
          <t>USV + PQ-Monitoring für Präzisionsanlagen</t>
        </is>
      </c>
      <c r="V56" s="200" t="inlineStr">
        <is>
          <t>Kunde angeschrieben, Offerte erstellt, Kunde hat Offerte bekommen, Abgesagt Transport zu Aufwendig für ihn</t>
        </is>
      </c>
      <c r="W56" s="198" t="inlineStr">
        <is>
          <t>Juli</t>
        </is>
      </c>
      <c r="X56" s="200" t="inlineStr">
        <is>
          <t>Kunde angeschrieben, Angerufen, Abgesagt</t>
        </is>
      </c>
      <c r="Z56" t="str">
        <f>IF(AND(R56="WON",ISNUMBER(I56)),AA56,"")</f>
        <v/>
      </c>
      <c r="AA56">
        <f>IFERROR(I56*1,0)</f>
        <v>750.65</v>
      </c>
      <c r="AB56">
        <f>N(AB55)+IF(AND(R56="WON",B56&lt;&gt;""),1,0)</f>
        <v>7</v>
      </c>
      <c r="AC56">
        <f>N(AC55)+IF(AND(OR(R56="offered",R56="to be offered",R56="on hold"),B56&lt;&gt;""),1,0)</f>
        <v>16</v>
      </c>
      <c r="AD56">
        <f>N(AD55)+IF(AND(OR(R56="follow-up",R56="Evaluation",R56="tbd",R56="In evaluation"),B56&lt;&gt;""),1,0)</f>
        <v>9</v>
      </c>
    </row>
    <row r="57" ht="24" customHeight="1">
      <c r="A57" s="198" t="n">
        <v>47</v>
      </c>
      <c r="B57" s="199" t="inlineStr">
        <is>
          <t>Neuber Sounds GmbH</t>
        </is>
      </c>
      <c r="C57" s="198" t="inlineStr">
        <is>
          <t>TG</t>
        </is>
      </c>
      <c r="D57" s="199" t="inlineStr">
        <is>
          <t>Veranstaltung</t>
        </is>
      </c>
      <c r="E57" s="199" t="inlineStr">
        <is>
          <t xml:space="preserve">30 kVA </t>
        </is>
      </c>
      <c r="F57" s="201" t="inlineStr">
        <is>
          <t>30 kVA</t>
        </is>
      </c>
      <c r="G57" s="198" t="n">
        <v>3</v>
      </c>
      <c r="H57" s="202" t="inlineStr">
        <is>
          <t>Juli</t>
        </is>
      </c>
      <c r="I57" s="201" t="n">
        <v>5328.36</v>
      </c>
      <c r="J57" s="201" t="n">
        <v>789.9</v>
      </c>
      <c r="K57" s="201" t="n">
        <v>2000</v>
      </c>
      <c r="L57" s="201" t="n">
        <v>0</v>
      </c>
      <c r="M57" s="201">
        <f>1160+979.2</f>
        <v>2139.2</v>
      </c>
      <c r="N57" s="201">
        <f>IF(ISNUMBER(I57),ROUND(I57-I57/1.081,2),"")</f>
        <v>399.26</v>
      </c>
      <c r="O57" s="201">
        <f>IF(ISNUMBER(I57),I57-SUM(J57:N57),"")</f>
        <v>0</v>
      </c>
      <c r="P57" s="203">
        <f>IFERROR(IF(AND(ISNUMBER(O57),ISNUMBER(I57),I57&lt;&gt;0),O57/I57,""),"")</f>
        <v>0</v>
      </c>
      <c r="Q57" s="201">
        <f>IF(AND(ISNUMBER(I57),ISNUMBER(S57)),I57*IF(S57&lt;=1,S57,S57/100),IF(OR(I57&lt;&gt;"",S57&lt;&gt;""),"tbd",""))</f>
        <v>0</v>
      </c>
      <c r="R57" s="204" t="inlineStr">
        <is>
          <t>Declined</t>
        </is>
      </c>
      <c r="S57" s="205" t="n">
        <v>0</v>
      </c>
      <c r="T57" s="199" t="inlineStr">
        <is>
          <t>Kalt (Burak)</t>
        </is>
      </c>
      <c r="U57" s="200" t="inlineStr">
        <is>
          <t>USV + PQ-Monitoring für Präzisionsanlagen</t>
        </is>
      </c>
      <c r="V57" s="200" t="inlineStr">
        <is>
          <t>Kunde angeschrieben, Offerte erstellt, Kunde hat Offerte bekommen, Abgesagt Transport kosten zu hoch</t>
        </is>
      </c>
      <c r="W57" s="198" t="inlineStr">
        <is>
          <t>Juli</t>
        </is>
      </c>
      <c r="X57" s="200" t="inlineStr">
        <is>
          <t>Kunde angeschrieben, Angerufen, Abgesagt</t>
        </is>
      </c>
      <c r="Z57" t="str">
        <f>IF(AND(R57="WON",ISNUMBER(I57)),AA57,"")</f>
        <v/>
      </c>
      <c r="AA57">
        <f>IFERROR(I57*1,0)</f>
        <v>5328.36</v>
      </c>
      <c r="AB57">
        <f>N(AB56)+IF(AND(R57="WON",B57&lt;&gt;""),1,0)</f>
        <v>7</v>
      </c>
      <c r="AC57">
        <f>N(AC56)+IF(AND(OR(R57="offered",R57="to be offered",R57="on hold"),B57&lt;&gt;""),1,0)</f>
        <v>16</v>
      </c>
      <c r="AD57">
        <f>N(AD56)+IF(AND(OR(R57="follow-up",R57="Evaluation",R57="tbd",R57="In evaluation"),B57&lt;&gt;""),1,0)</f>
        <v>9</v>
      </c>
    </row>
    <row r="58" ht="24" customHeight="1">
      <c r="A58" s="198" t="n">
        <v>48</v>
      </c>
      <c r="B58" s="199" t="inlineStr">
        <is>
          <t>Coutaz CVS SA</t>
        </is>
      </c>
      <c r="C58" s="198" t="inlineStr">
        <is>
          <t>VS</t>
        </is>
      </c>
      <c r="D58" s="199" t="inlineStr">
        <is>
          <t>EVU</t>
        </is>
      </c>
      <c r="E58" s="199" t="inlineStr">
        <is>
          <t>600 kVA, 200 kVA</t>
        </is>
      </c>
      <c r="F58" s="201" t="inlineStr">
        <is>
          <t>800 kVA</t>
        </is>
      </c>
      <c r="G58" s="198" t="n">
        <v>180</v>
      </c>
      <c r="H58" s="202" t="inlineStr">
        <is>
          <t>Okt</t>
        </is>
      </c>
      <c r="I58" s="201" t="n">
        <v>190701.37</v>
      </c>
      <c r="J58" s="201">
        <f>64152+30618+10854+43416+10368</f>
        <v>159408</v>
      </c>
      <c r="K58" s="201" t="n">
        <v>4700</v>
      </c>
      <c r="L58" s="201" t="n">
        <v>0</v>
      </c>
      <c r="M58" s="201" t="n">
        <v>1450</v>
      </c>
      <c r="N58" s="201">
        <f>IF(ISNUMBER(I58),ROUND(I58-I58/1.081,2),"")</f>
        <v>14289.37</v>
      </c>
      <c r="O58" s="201">
        <f>IF(ISNUMBER(I58),I58-SUM(J58:N58),"")</f>
        <v>10854</v>
      </c>
      <c r="P58" s="203">
        <f>IFERROR(IF(AND(ISNUMBER(O58),ISNUMBER(I58),I58&lt;&gt;0),O58/I58,""),"")</f>
        <v>0.0569162140785879</v>
      </c>
      <c r="Q58" s="201">
        <f>IF(AND(ISNUMBER(I58),ISNUMBER(S58)),I58*IF(S58&lt;=1,S58,S58/100),IF(OR(I58&lt;&gt;"",S58&lt;&gt;""),"tbd",""))</f>
        <v>95350.685</v>
      </c>
      <c r="R58" s="204" t="inlineStr">
        <is>
          <t>offered</t>
        </is>
      </c>
      <c r="S58" s="205" t="n">
        <v>0.5</v>
      </c>
      <c r="T58" s="199" t="inlineStr">
        <is>
          <t>Warm – Aggreko</t>
        </is>
      </c>
      <c r="U58" s="200" t="inlineStr">
        <is>
          <t>USV + PQ-Monitoring für Präzisionsanlagen</t>
        </is>
      </c>
      <c r="V58" s="200" t="inlineStr">
        <is>
          <t>Kunde angeschrieben, Offerte erstellt, Kunde hat Offerte bekommen</t>
        </is>
      </c>
      <c r="W58" s="198" t="inlineStr">
        <is>
          <t>Juli</t>
        </is>
      </c>
      <c r="X58" s="200" t="inlineStr">
        <is>
          <t>Kunde angeschrieben</t>
        </is>
      </c>
      <c r="Z58" t="str">
        <f>IF(AND(R58="WON",ISNUMBER(I58)),AA58,"")</f>
        <v/>
      </c>
      <c r="AA58">
        <f>IFERROR(I58*1,0)</f>
        <v>190701.37</v>
      </c>
      <c r="AB58">
        <f>N(AB57)+IF(AND(R58="WON",B58&lt;&gt;""),1,0)</f>
        <v>7</v>
      </c>
      <c r="AC58">
        <f>N(AC57)+IF(AND(OR(R58="offered",R58="to be offered",R58="on hold"),B58&lt;&gt;""),1,0)</f>
        <v>17</v>
      </c>
      <c r="AD58">
        <f>N(AD57)+IF(AND(OR(R58="follow-up",R58="Evaluation",R58="tbd",R58="In evaluation"),B58&lt;&gt;""),1,0)</f>
        <v>9</v>
      </c>
    </row>
    <row r="59" ht="24" customHeight="1">
      <c r="A59" s="198" t="n">
        <v>49</v>
      </c>
      <c r="B59" s="199" t="inlineStr">
        <is>
          <t>Romand Energei SA</t>
        </is>
      </c>
      <c r="C59" s="198" t="inlineStr">
        <is>
          <t>VS</t>
        </is>
      </c>
      <c r="D59" s="200" t="inlineStr">
        <is>
          <t>EVU</t>
        </is>
      </c>
      <c r="E59" s="200" t="inlineStr">
        <is>
          <t>600 kVA</t>
        </is>
      </c>
      <c r="F59" s="201" t="inlineStr">
        <is>
          <t>600 kVA</t>
        </is>
      </c>
      <c r="G59" s="198" t="n">
        <v>12</v>
      </c>
      <c r="H59" s="202" t="inlineStr">
        <is>
          <t>Aug</t>
        </is>
      </c>
      <c r="I59" s="201" t="n">
        <v>32467.62</v>
      </c>
      <c r="J59" s="201">
        <f>8553.6+691.2+7775+2592+3888</f>
        <v>23499.8</v>
      </c>
      <c r="K59" s="201" t="n">
        <v>2800</v>
      </c>
      <c r="L59" s="201" t="n">
        <v>0</v>
      </c>
      <c r="M59" s="201" t="n">
        <v>2864</v>
      </c>
      <c r="N59" s="201">
        <f>IF(ISNUMBER(I59),ROUND(I59-I59/1.081,2),"")</f>
        <v>2432.82</v>
      </c>
      <c r="O59" s="201">
        <f>IF(ISNUMBER(I59),I59-SUM(J59:N59),"")</f>
        <v>870.999999999996</v>
      </c>
      <c r="P59" s="203">
        <f>IFERROR(IF(AND(ISNUMBER(O59),ISNUMBER(I59),I59&lt;&gt;0),O59/I59,""),"")</f>
        <v>0.0268267276751421</v>
      </c>
      <c r="Q59" s="201">
        <f>IF(AND(ISNUMBER(I59),ISNUMBER(S59)),I59*IF(S59&lt;=1,S59,S59/100),IF(OR(I59&lt;&gt;"",S59&lt;&gt;""),"tbd",""))</f>
        <v>16233.81</v>
      </c>
      <c r="R59" s="204" t="inlineStr">
        <is>
          <t>offered</t>
        </is>
      </c>
      <c r="S59" s="205" t="n">
        <v>0.5</v>
      </c>
      <c r="T59" s="199" t="inlineStr">
        <is>
          <t>Warm – Aggreko</t>
        </is>
      </c>
      <c r="U59" s="200" t="inlineStr">
        <is>
          <t>USV + PQ-Monitoring für Präzisionsanlagen</t>
        </is>
      </c>
      <c r="V59" s="200" t="inlineStr">
        <is>
          <t>Kunde angeschrieben, Offerte erstellt, Kunde hat Offerte bekommen</t>
        </is>
      </c>
      <c r="W59" s="198" t="inlineStr">
        <is>
          <t>Juli</t>
        </is>
      </c>
      <c r="X59" s="200" t="inlineStr">
        <is>
          <t>Kunde angeschrieben</t>
        </is>
      </c>
      <c r="Z59" t="str">
        <f>IF(AND(R59="WON",ISNUMBER(I59)),AA59,"")</f>
        <v/>
      </c>
      <c r="AA59">
        <f>IFERROR(I59*1,0)</f>
        <v>32467.62</v>
      </c>
      <c r="AB59">
        <f>N(AB58)+IF(AND(R59="WON",B59&lt;&gt;""),1,0)</f>
        <v>7</v>
      </c>
      <c r="AC59">
        <f>N(AC58)+IF(AND(OR(R59="offered",R59="to be offered",R59="on hold"),B59&lt;&gt;""),1,0)</f>
        <v>18</v>
      </c>
      <c r="AD59">
        <f>N(AD58)+IF(AND(OR(R59="follow-up",R59="Evaluation",R59="tbd",R59="In evaluation"),B59&lt;&gt;""),1,0)</f>
        <v>9</v>
      </c>
    </row>
    <row r="60" ht="15" customHeight="1">
      <c r="A60" s="198" t="n">
        <v>50</v>
      </c>
      <c r="B60" s="199" t="inlineStr">
        <is>
          <t>EIDG AMT Agroscope</t>
        </is>
      </c>
      <c r="C60" s="198" t="inlineStr">
        <is>
          <t>ZH</t>
        </is>
      </c>
      <c r="D60" s="200" t="inlineStr">
        <is>
          <t>Forschung</t>
        </is>
      </c>
      <c r="E60" s="200" t="inlineStr">
        <is>
          <t>450 kVA</t>
        </is>
      </c>
      <c r="F60" s="201" t="inlineStr">
        <is>
          <t>450 kVA</t>
        </is>
      </c>
      <c r="G60" s="198" t="n">
        <v>7</v>
      </c>
      <c r="H60" s="202" t="inlineStr">
        <is>
          <t>Aug</t>
        </is>
      </c>
      <c r="I60" s="201" t="n">
        <v>5257.44</v>
      </c>
      <c r="J60" s="201">
        <f>2135.7+189</f>
        <v>2324.7</v>
      </c>
      <c r="K60" s="201" t="n">
        <v>1400</v>
      </c>
      <c r="L60" s="201" t="n">
        <v>0</v>
      </c>
      <c r="M60" s="201">
        <f>870+268.8</f>
        <v>1138.8</v>
      </c>
      <c r="N60" s="201">
        <f>IF(ISNUMBER(I60),ROUND(I60-I60/1.081,2),"")</f>
        <v>393.94</v>
      </c>
      <c r="O60" s="201">
        <f>IF(ISNUMBER(I60),I60-SUM(J60:N60),"")</f>
        <v>0</v>
      </c>
      <c r="P60" s="203">
        <f>IFERROR(IF(AND(ISNUMBER(O60),ISNUMBER(I60),I60&lt;&gt;0),O60/I60,""),"")</f>
        <v>0</v>
      </c>
      <c r="Q60" s="201">
        <f>IF(AND(ISNUMBER(I60),ISNUMBER(S60)),I60*IF(S60&lt;=1,S60,S60/100),IF(OR(I60&lt;&gt;"",S60&lt;&gt;""),"tbd",""))</f>
        <v>2628.72</v>
      </c>
      <c r="R60" s="204" t="inlineStr">
        <is>
          <t>offered</t>
        </is>
      </c>
      <c r="S60" s="205" t="n">
        <v>0.5</v>
      </c>
      <c r="T60" s="199" t="inlineStr">
        <is>
          <t>Kalt (Mauro)</t>
        </is>
      </c>
      <c r="U60" s="200" t="inlineStr">
        <is>
          <t>USV + PQ-Monitoring für Präzisionsanlagen</t>
        </is>
      </c>
      <c r="V60" s="200" t="inlineStr">
        <is>
          <t>Kunde angeschrieben, Offerte erstellt, Kunde hat Offerte bekommen</t>
        </is>
      </c>
      <c r="W60" s="198" t="inlineStr">
        <is>
          <t>Juli</t>
        </is>
      </c>
      <c r="X60" s="200" t="inlineStr">
        <is>
          <t>Kunde angeschrieben</t>
        </is>
      </c>
      <c r="Z60" t="str">
        <f>IF(AND(R60="WON",ISNUMBER(I60)),AA60,"")</f>
        <v/>
      </c>
      <c r="AA60">
        <f>IFERROR(I60*1,0)</f>
        <v>5257.44</v>
      </c>
      <c r="AB60">
        <f>N(AB59)+IF(AND(R60="WON",B60&lt;&gt;""),1,0)</f>
        <v>7</v>
      </c>
      <c r="AC60">
        <f>N(AC59)+IF(AND(OR(R60="offered",R60="to be offered",R60="on hold"),B60&lt;&gt;""),1,0)</f>
        <v>19</v>
      </c>
      <c r="AD60">
        <f>N(AD59)+IF(AND(OR(R60="follow-up",R60="Evaluation",R60="tbd",R60="In evaluation"),B60&lt;&gt;""),1,0)</f>
        <v>9</v>
      </c>
    </row>
    <row r="61" ht="15" customHeight="1">
      <c r="A61" s="198" t="n"/>
      <c r="B61" s="199" t="n"/>
      <c r="C61" s="198" t="n"/>
      <c r="D61" s="200" t="n"/>
      <c r="E61" s="200" t="n"/>
      <c r="F61" s="201" t="n"/>
      <c r="G61" s="198" t="n"/>
      <c r="H61" s="202" t="n"/>
      <c r="I61" s="201" t="n"/>
      <c r="J61" s="201" t="n"/>
      <c r="K61" s="201" t="n"/>
      <c r="L61" s="201" t="n"/>
      <c r="M61" s="201" t="n"/>
      <c r="N61" s="201" t="str">
        <f>IF(ISNUMBER(I61),ROUND(I61-I61/1.081,2),"")</f>
        <v/>
      </c>
      <c r="O61" s="201" t="str">
        <f>IF(ISNUMBER(I61),I61-SUM(J61:N61),"")</f>
        <v/>
      </c>
      <c r="P61" s="203" t="str">
        <f>IFERROR(IF(AND(ISNUMBER(O61),ISNUMBER(I61),I61&lt;&gt;0),O61/I61,""),"")</f>
        <v/>
      </c>
      <c r="Q61" s="201" t="str">
        <f>IF(AND(ISNUMBER(I61),ISNUMBER(S61)),I61*IF(S61&lt;=1,S61,S61/100),IF(OR(I61&lt;&gt;"",S61&lt;&gt;""),"tbd",""))</f>
        <v/>
      </c>
      <c r="R61" s="204" t="n"/>
      <c r="S61" s="205" t="n"/>
      <c r="T61" s="199" t="n"/>
      <c r="U61" s="200" t="n"/>
      <c r="V61" s="200" t="n"/>
      <c r="W61" s="198" t="n"/>
      <c r="X61" s="200" t="n"/>
      <c r="Z61" t="str">
        <f>IF(AND(R61="WON",ISNUMBER(I61)),AA61,"")</f>
        <v/>
      </c>
      <c r="AA61">
        <f>IFERROR(I61*1,0)</f>
        <v>0</v>
      </c>
      <c r="AB61">
        <f>N(AB60)+IF(AND(R61="WON",B61&lt;&gt;""),1,0)</f>
        <v>7</v>
      </c>
      <c r="AC61">
        <f>N(AC60)+IF(AND(OR(R61="offered",R61="to be offered",R61="on hold"),B61&lt;&gt;""),1,0)</f>
        <v>19</v>
      </c>
      <c r="AD61">
        <f>N(AD60)+IF(AND(OR(R61="follow-up",R61="Evaluation",R61="tbd",R61="In evaluation"),B61&lt;&gt;""),1,0)</f>
        <v>9</v>
      </c>
    </row>
    <row r="62" ht="15" customHeight="1">
      <c r="A62" s="198" t="n"/>
      <c r="B62" s="199" t="n"/>
      <c r="C62" s="198" t="n"/>
      <c r="D62" s="200" t="n"/>
      <c r="E62" s="200" t="n"/>
      <c r="F62" s="201" t="n"/>
      <c r="G62" s="198" t="n"/>
      <c r="H62" s="202" t="n"/>
      <c r="I62" s="201" t="n"/>
      <c r="J62" s="201" t="n"/>
      <c r="K62" s="201" t="n"/>
      <c r="L62" s="201" t="n"/>
      <c r="M62" s="201" t="n"/>
      <c r="N62" s="201" t="str">
        <f>IF(ISNUMBER(I62),ROUND(I62-I62/1.081,2),"")</f>
        <v/>
      </c>
      <c r="O62" s="201" t="str">
        <f>IF(ISNUMBER(I62),I62-SUM(J62:N62),"")</f>
        <v/>
      </c>
      <c r="P62" s="203" t="str">
        <f>IFERROR(IF(AND(ISNUMBER(O62),ISNUMBER(I62),I62&lt;&gt;0),O62/I62,""),"")</f>
        <v/>
      </c>
      <c r="Q62" s="201" t="str">
        <f>IF(AND(ISNUMBER(I62),ISNUMBER(S62)),I62*IF(S62&lt;=1,S62,S62/100),IF(OR(I62&lt;&gt;"",S62&lt;&gt;""),"tbd",""))</f>
        <v/>
      </c>
      <c r="R62" s="204" t="n"/>
      <c r="S62" s="205" t="n"/>
      <c r="T62" s="199" t="n"/>
      <c r="U62" s="200" t="n"/>
      <c r="V62" s="200" t="n"/>
      <c r="W62" s="198" t="n"/>
      <c r="X62" s="200" t="n"/>
      <c r="Z62" t="str">
        <f>IF(AND(R62="WON",ISNUMBER(I62)),AA62,"")</f>
        <v/>
      </c>
      <c r="AA62">
        <f>IFERROR(I62*1,0)</f>
        <v>0</v>
      </c>
      <c r="AB62">
        <f>N(AB61)+IF(AND(R62="WON",B62&lt;&gt;""),1,0)</f>
        <v>7</v>
      </c>
      <c r="AC62">
        <f>N(AC61)+IF(AND(OR(R62="offered",R62="to be offered",R62="on hold"),B62&lt;&gt;""),1,0)</f>
        <v>19</v>
      </c>
      <c r="AD62">
        <f>N(AD61)+IF(AND(OR(R62="follow-up",R62="Evaluation",R62="tbd",R62="In evaluation"),B62&lt;&gt;""),1,0)</f>
        <v>9</v>
      </c>
    </row>
    <row r="63" ht="15" customHeight="1">
      <c r="A63" s="198" t="n"/>
      <c r="B63" s="199" t="n"/>
      <c r="C63" s="198" t="n"/>
      <c r="D63" s="200" t="n"/>
      <c r="E63" s="200" t="n"/>
      <c r="F63" s="201" t="n"/>
      <c r="G63" s="198" t="n"/>
      <c r="H63" s="202" t="n"/>
      <c r="I63" s="201" t="n"/>
      <c r="J63" s="201" t="n"/>
      <c r="K63" s="201" t="n"/>
      <c r="L63" s="201" t="n"/>
      <c r="M63" s="201" t="n"/>
      <c r="N63" s="201" t="str">
        <f>IF(ISNUMBER(I63),ROUND(I63-I63/1.081,2),"")</f>
        <v/>
      </c>
      <c r="O63" s="201" t="str">
        <f>IF(ISNUMBER(I63),I63-SUM(J63:N63),"")</f>
        <v/>
      </c>
      <c r="P63" s="203" t="str">
        <f>IFERROR(IF(AND(ISNUMBER(O63),ISNUMBER(I63),I63&lt;&gt;0),O63/I63,""),"")</f>
        <v/>
      </c>
      <c r="Q63" s="201" t="str">
        <f>IF(AND(ISNUMBER(I63),ISNUMBER(S63)),I63*IF(S63&lt;=1,S63,S63/100),IF(OR(I63&lt;&gt;"",S63&lt;&gt;""),"tbd",""))</f>
        <v/>
      </c>
      <c r="R63" s="204" t="n"/>
      <c r="S63" s="205" t="n"/>
      <c r="T63" s="199" t="n"/>
      <c r="U63" s="200" t="n"/>
      <c r="V63" s="200" t="n"/>
      <c r="W63" s="198" t="n"/>
      <c r="X63" s="200" t="n"/>
      <c r="Z63" t="str">
        <f>IF(AND(R63="WON",ISNUMBER(I63)),AA63,"")</f>
        <v/>
      </c>
      <c r="AA63">
        <f>IFERROR(I63*1,0)</f>
        <v>0</v>
      </c>
      <c r="AB63">
        <f>N(AB62)+IF(AND(R63="WON",B63&lt;&gt;""),1,0)</f>
        <v>7</v>
      </c>
      <c r="AC63">
        <f>N(AC62)+IF(AND(OR(R63="offered",R63="to be offered",R63="on hold"),B63&lt;&gt;""),1,0)</f>
        <v>19</v>
      </c>
      <c r="AD63">
        <f>N(AD62)+IF(AND(OR(R63="follow-up",R63="Evaluation",R63="tbd",R63="In evaluation"),B63&lt;&gt;""),1,0)</f>
        <v>9</v>
      </c>
    </row>
    <row r="64" ht="15" customHeight="1">
      <c r="A64" s="198" t="n"/>
      <c r="B64" s="199" t="n"/>
      <c r="C64" s="198" t="n"/>
      <c r="D64" s="200" t="n"/>
      <c r="E64" s="200" t="n"/>
      <c r="F64" s="201" t="n"/>
      <c r="G64" s="198" t="n"/>
      <c r="H64" s="202" t="n"/>
      <c r="I64" s="201" t="n"/>
      <c r="J64" s="201" t="n"/>
      <c r="K64" s="201" t="n"/>
      <c r="L64" s="201" t="n"/>
      <c r="M64" s="201" t="n"/>
      <c r="N64" s="201" t="str">
        <f>IF(ISNUMBER(I64),ROUND(I64-I64/1.081,2),"")</f>
        <v/>
      </c>
      <c r="O64" s="201" t="str">
        <f>IF(ISNUMBER(I64),I64-SUM(J64:N64),"")</f>
        <v/>
      </c>
      <c r="P64" s="203" t="str">
        <f>IFERROR(IF(AND(ISNUMBER(O64),ISNUMBER(I64),I64&lt;&gt;0),O64/I64,""),"")</f>
        <v/>
      </c>
      <c r="Q64" s="201" t="str">
        <f>IF(AND(ISNUMBER(I64),ISNUMBER(S64)),I64*IF(S64&lt;=1,S64,S64/100),IF(OR(I64&lt;&gt;"",S64&lt;&gt;""),"tbd",""))</f>
        <v/>
      </c>
      <c r="R64" s="204" t="n"/>
      <c r="S64" s="205" t="n"/>
      <c r="T64" s="199" t="n"/>
      <c r="U64" s="200" t="n"/>
      <c r="V64" s="200" t="n"/>
      <c r="W64" s="198" t="n"/>
      <c r="X64" s="200" t="n"/>
      <c r="Z64" t="str">
        <f>IF(AND(R64="WON",ISNUMBER(I64)),AA64,"")</f>
        <v/>
      </c>
      <c r="AA64">
        <f>IFERROR(I64*1,0)</f>
        <v>0</v>
      </c>
      <c r="AB64">
        <f>N(AB63)+IF(AND(R64="WON",B64&lt;&gt;""),1,0)</f>
        <v>7</v>
      </c>
      <c r="AC64">
        <f>N(AC63)+IF(AND(OR(R64="offered",R64="to be offered",R64="on hold"),B64&lt;&gt;""),1,0)</f>
        <v>19</v>
      </c>
      <c r="AD64">
        <f>N(AD63)+IF(AND(OR(R64="follow-up",R64="Evaluation",R64="tbd",R64="In evaluation"),B64&lt;&gt;""),1,0)</f>
        <v>9</v>
      </c>
    </row>
    <row r="65" ht="15" customHeight="1">
      <c r="A65" s="198" t="n"/>
      <c r="B65" s="199" t="n"/>
      <c r="C65" s="198" t="n"/>
      <c r="D65" s="200" t="n"/>
      <c r="E65" s="200" t="n"/>
      <c r="F65" s="201" t="n"/>
      <c r="G65" s="198" t="n"/>
      <c r="H65" s="202" t="n"/>
      <c r="I65" s="201" t="n"/>
      <c r="J65" s="201" t="n"/>
      <c r="K65" s="201" t="n"/>
      <c r="L65" s="201" t="n"/>
      <c r="M65" s="201" t="n"/>
      <c r="N65" s="201" t="str">
        <f>IF(ISNUMBER(I65),ROUND(I65-I65/1.081,2),"")</f>
        <v/>
      </c>
      <c r="O65" s="201" t="str">
        <f>IF(ISNUMBER(I65),I65-SUM(J65:N65),"")</f>
        <v/>
      </c>
      <c r="P65" s="203" t="str">
        <f>IFERROR(IF(AND(ISNUMBER(O65),ISNUMBER(I65),I65&lt;&gt;0),O65/I65,""),"")</f>
        <v/>
      </c>
      <c r="Q65" s="201" t="str">
        <f>IF(AND(ISNUMBER(I65),ISNUMBER(S65)),I65*IF(S65&lt;=1,S65,S65/100),IF(OR(I65&lt;&gt;"",S65&lt;&gt;""),"tbd",""))</f>
        <v/>
      </c>
      <c r="R65" s="204" t="n"/>
      <c r="S65" s="205" t="n"/>
      <c r="T65" s="199" t="n"/>
      <c r="U65" s="200" t="n"/>
      <c r="V65" s="200" t="n"/>
      <c r="W65" s="198" t="n"/>
      <c r="X65" s="200" t="n"/>
      <c r="Z65" t="str">
        <f>IF(AND(R65="WON",ISNUMBER(I65)),AA65,"")</f>
        <v/>
      </c>
      <c r="AA65">
        <f>IFERROR(I65*1,0)</f>
        <v>0</v>
      </c>
      <c r="AB65">
        <f>N(AB64)+IF(AND(R65="WON",B65&lt;&gt;""),1,0)</f>
        <v>7</v>
      </c>
      <c r="AC65">
        <f>N(AC64)+IF(AND(OR(R65="offered",R65="to be offered",R65="on hold"),B65&lt;&gt;""),1,0)</f>
        <v>19</v>
      </c>
      <c r="AD65">
        <f>N(AD64)+IF(AND(OR(R65="follow-up",R65="Evaluation",R65="tbd",R65="In evaluation"),B65&lt;&gt;""),1,0)</f>
        <v>9</v>
      </c>
    </row>
    <row r="66" ht="15" customHeight="1">
      <c r="A66" s="198" t="n"/>
      <c r="B66" s="199" t="n"/>
      <c r="C66" s="198" t="n"/>
      <c r="D66" s="200" t="n"/>
      <c r="E66" s="200" t="n"/>
      <c r="F66" s="201" t="n"/>
      <c r="G66" s="198" t="n"/>
      <c r="H66" s="202" t="n"/>
      <c r="I66" s="201" t="n"/>
      <c r="J66" s="201" t="n"/>
      <c r="K66" s="201" t="n"/>
      <c r="L66" s="201" t="n"/>
      <c r="M66" s="201" t="n"/>
      <c r="N66" s="201" t="str">
        <f>IF(ISNUMBER(I66),ROUND(I66-I66/1.081,2),"")</f>
        <v/>
      </c>
      <c r="O66" s="201" t="str">
        <f>IF(ISNUMBER(I66),I66-SUM(J66:N66),"")</f>
        <v/>
      </c>
      <c r="P66" s="203" t="str">
        <f>IFERROR(IF(AND(ISNUMBER(O66),ISNUMBER(I66),I66&lt;&gt;0),O66/I66,""),"")</f>
        <v/>
      </c>
      <c r="Q66" s="201" t="str">
        <f>IF(AND(ISNUMBER(I66),ISNUMBER(S66)),I66*IF(S66&lt;=1,S66,S66/100),IF(OR(I66&lt;&gt;"",S66&lt;&gt;""),"tbd",""))</f>
        <v/>
      </c>
      <c r="R66" s="204" t="n"/>
      <c r="S66" s="205" t="n"/>
      <c r="T66" s="199" t="n"/>
      <c r="U66" s="200" t="n"/>
      <c r="V66" s="200" t="n"/>
      <c r="W66" s="198" t="n"/>
      <c r="X66" s="200" t="n"/>
      <c r="Z66" t="str">
        <f>IF(AND(R66="WON",ISNUMBER(I66)),AA66,"")</f>
        <v/>
      </c>
      <c r="AA66">
        <f>IFERROR(I66*1,0)</f>
        <v>0</v>
      </c>
      <c r="AB66">
        <f>N(AB65)+IF(AND(R66="WON",B66&lt;&gt;""),1,0)</f>
        <v>7</v>
      </c>
      <c r="AC66">
        <f>N(AC65)+IF(AND(OR(R66="offered",R66="to be offered",R66="on hold"),B66&lt;&gt;""),1,0)</f>
        <v>19</v>
      </c>
      <c r="AD66">
        <f>N(AD65)+IF(AND(OR(R66="follow-up",R66="Evaluation",R66="tbd",R66="In evaluation"),B66&lt;&gt;""),1,0)</f>
        <v>9</v>
      </c>
    </row>
    <row r="67" ht="15" customHeight="1">
      <c r="A67" s="198" t="n"/>
      <c r="B67" s="199" t="n"/>
      <c r="C67" s="198" t="n"/>
      <c r="D67" s="200" t="n"/>
      <c r="E67" s="200" t="n"/>
      <c r="F67" s="201" t="n"/>
      <c r="G67" s="198" t="n"/>
      <c r="H67" s="202" t="n"/>
      <c r="I67" s="201" t="n"/>
      <c r="J67" s="201" t="n"/>
      <c r="K67" s="201" t="n"/>
      <c r="L67" s="201" t="n"/>
      <c r="M67" s="201" t="n"/>
      <c r="N67" s="201" t="str">
        <f>IF(ISNUMBER(I67),ROUND(I67-I67/1.081,2),"")</f>
        <v/>
      </c>
      <c r="O67" s="201" t="str">
        <f>IF(ISNUMBER(I67),I67-SUM(J67:N67),"")</f>
        <v/>
      </c>
      <c r="P67" s="203" t="str">
        <f>IFERROR(IF(AND(ISNUMBER(O67),ISNUMBER(I67),I67&lt;&gt;0),O67/I67,""),"")</f>
        <v/>
      </c>
      <c r="Q67" s="201" t="str">
        <f>IF(AND(ISNUMBER(I67),ISNUMBER(S67)),I67*IF(S67&lt;=1,S67,S67/100),IF(OR(I67&lt;&gt;"",S67&lt;&gt;""),"tbd",""))</f>
        <v/>
      </c>
      <c r="R67" s="204" t="n"/>
      <c r="S67" s="205" t="n"/>
      <c r="T67" s="199" t="n"/>
      <c r="U67" s="200" t="n"/>
      <c r="V67" s="200" t="n"/>
      <c r="W67" s="198" t="n"/>
      <c r="X67" s="200" t="n"/>
      <c r="Z67" t="str">
        <f>IF(AND(R67="WON",ISNUMBER(I67)),AA67,"")</f>
        <v/>
      </c>
      <c r="AA67">
        <f>IFERROR(I67*1,0)</f>
        <v>0</v>
      </c>
      <c r="AB67">
        <f>N(AB66)+IF(AND(R67="WON",B67&lt;&gt;""),1,0)</f>
        <v>7</v>
      </c>
      <c r="AC67">
        <f>N(AC66)+IF(AND(OR(R67="offered",R67="to be offered",R67="on hold"),B67&lt;&gt;""),1,0)</f>
        <v>19</v>
      </c>
      <c r="AD67">
        <f>N(AD66)+IF(AND(OR(R67="follow-up",R67="Evaluation",R67="tbd",R67="In evaluation"),B67&lt;&gt;""),1,0)</f>
        <v>9</v>
      </c>
    </row>
    <row r="68" ht="15" customHeight="1">
      <c r="A68" s="198" t="n"/>
      <c r="B68" s="199" t="n"/>
      <c r="C68" s="198" t="n"/>
      <c r="D68" s="200" t="n"/>
      <c r="E68" s="200" t="n"/>
      <c r="F68" s="201" t="n"/>
      <c r="G68" s="198" t="n"/>
      <c r="H68" s="202" t="n"/>
      <c r="I68" s="201" t="n"/>
      <c r="J68" s="201" t="n"/>
      <c r="K68" s="201" t="n"/>
      <c r="L68" s="201" t="n"/>
      <c r="M68" s="201" t="n"/>
      <c r="N68" s="201" t="str">
        <f>IF(ISNUMBER(I68),ROUND(I68-I68/1.081,2),"")</f>
        <v/>
      </c>
      <c r="O68" s="201" t="str">
        <f>IF(ISNUMBER(I68),I68-SUM(J68:N68),"")</f>
        <v/>
      </c>
      <c r="P68" s="203" t="str">
        <f>IFERROR(IF(AND(ISNUMBER(O68),ISNUMBER(I68),I68&lt;&gt;0),O68/I68,""),"")</f>
        <v/>
      </c>
      <c r="Q68" s="201" t="str">
        <f>IF(AND(ISNUMBER(I68),ISNUMBER(S68)),I68*IF(S68&lt;=1,S68,S68/100),IF(OR(I68&lt;&gt;"",S68&lt;&gt;""),"tbd",""))</f>
        <v/>
      </c>
      <c r="R68" s="204" t="n"/>
      <c r="S68" s="205" t="n"/>
      <c r="T68" s="199" t="n"/>
      <c r="U68" s="200" t="n"/>
      <c r="V68" s="200" t="n"/>
      <c r="W68" s="198" t="n"/>
      <c r="X68" s="200" t="n"/>
      <c r="Z68" t="str">
        <f>IF(AND(R68="WON",ISNUMBER(I68)),AA68,"")</f>
        <v/>
      </c>
      <c r="AA68">
        <f>IFERROR(I68*1,0)</f>
        <v>0</v>
      </c>
      <c r="AB68">
        <f>N(AB67)+IF(AND(R68="WON",B68&lt;&gt;""),1,0)</f>
        <v>7</v>
      </c>
      <c r="AC68">
        <f>N(AC67)+IF(AND(OR(R68="offered",R68="to be offered",R68="on hold"),B68&lt;&gt;""),1,0)</f>
        <v>19</v>
      </c>
      <c r="AD68">
        <f>N(AD67)+IF(AND(OR(R68="follow-up",R68="Evaluation",R68="tbd",R68="In evaluation"),B68&lt;&gt;""),1,0)</f>
        <v>9</v>
      </c>
    </row>
    <row r="69" ht="15" customHeight="1">
      <c r="A69" s="198" t="n"/>
      <c r="B69" s="199" t="n"/>
      <c r="C69" s="198" t="n"/>
      <c r="D69" s="200" t="n"/>
      <c r="E69" s="200" t="n"/>
      <c r="F69" s="201" t="n"/>
      <c r="G69" s="198" t="n"/>
      <c r="H69" s="202" t="n"/>
      <c r="I69" s="201" t="n"/>
      <c r="J69" s="201" t="n"/>
      <c r="K69" s="201" t="n"/>
      <c r="L69" s="201" t="n"/>
      <c r="M69" s="201" t="n"/>
      <c r="N69" s="201" t="str">
        <f>IF(ISNUMBER(I69),ROUND(I69-I69/1.081,2),"")</f>
        <v/>
      </c>
      <c r="O69" s="201" t="str">
        <f>IF(ISNUMBER(I69),I69-SUM(J69:N69),"")</f>
        <v/>
      </c>
      <c r="P69" s="203" t="str">
        <f>IFERROR(IF(AND(ISNUMBER(O69),ISNUMBER(I69),I69&lt;&gt;0),O69/I69,""),"")</f>
        <v/>
      </c>
      <c r="Q69" s="201" t="str">
        <f>IF(AND(ISNUMBER(I69),ISNUMBER(S69)),I69*IF(S69&lt;=1,S69,S69/100),IF(OR(I69&lt;&gt;"",S69&lt;&gt;""),"tbd",""))</f>
        <v/>
      </c>
      <c r="R69" s="204" t="n"/>
      <c r="S69" s="205" t="n"/>
      <c r="T69" s="199" t="n"/>
      <c r="U69" s="200" t="n"/>
      <c r="V69" s="200" t="n"/>
      <c r="W69" s="198" t="n"/>
      <c r="X69" s="200" t="n"/>
      <c r="Z69" t="str">
        <f>IF(AND(R69="WON",ISNUMBER(I69)),AA69,"")</f>
        <v/>
      </c>
      <c r="AA69">
        <f>IFERROR(I69*1,0)</f>
        <v>0</v>
      </c>
      <c r="AB69">
        <f>N(AB68)+IF(AND(R69="WON",B69&lt;&gt;""),1,0)</f>
        <v>7</v>
      </c>
      <c r="AC69">
        <f>N(AC68)+IF(AND(OR(R69="offered",R69="to be offered",R69="on hold"),B69&lt;&gt;""),1,0)</f>
        <v>19</v>
      </c>
      <c r="AD69">
        <f>N(AD68)+IF(AND(OR(R69="follow-up",R69="Evaluation",R69="tbd",R69="In evaluation"),B69&lt;&gt;""),1,0)</f>
        <v>9</v>
      </c>
    </row>
    <row r="70" ht="15" customHeight="1">
      <c r="A70" s="198" t="n"/>
      <c r="B70" s="199" t="n"/>
      <c r="C70" s="198" t="n"/>
      <c r="D70" s="200" t="n"/>
      <c r="E70" s="200" t="n"/>
      <c r="F70" s="201" t="n"/>
      <c r="G70" s="198" t="n"/>
      <c r="H70" s="202" t="n"/>
      <c r="I70" s="201" t="n"/>
      <c r="J70" s="201" t="n"/>
      <c r="K70" s="201" t="n"/>
      <c r="L70" s="201" t="n"/>
      <c r="M70" s="201" t="n"/>
      <c r="N70" s="201" t="str">
        <f>IF(ISNUMBER(I70),ROUND(I70-I70/1.081,2),"")</f>
        <v/>
      </c>
      <c r="O70" s="201" t="str">
        <f>IF(ISNUMBER(I70),I70-SUM(J70:N70),"")</f>
        <v/>
      </c>
      <c r="P70" s="203" t="str">
        <f>IFERROR(IF(AND(ISNUMBER(O70),ISNUMBER(I70),I70&lt;&gt;0),O70/I70,""),"")</f>
        <v/>
      </c>
      <c r="Q70" s="201" t="str">
        <f>IF(AND(ISNUMBER(I70),ISNUMBER(S70)),I70*IF(S70&lt;=1,S70,S70/100),IF(OR(I70&lt;&gt;"",S70&lt;&gt;""),"tbd",""))</f>
        <v/>
      </c>
      <c r="R70" s="204" t="n"/>
      <c r="S70" s="205" t="n"/>
      <c r="T70" s="199" t="n"/>
      <c r="U70" s="200" t="n"/>
      <c r="V70" s="200" t="n"/>
      <c r="W70" s="198" t="n"/>
      <c r="X70" s="200" t="n"/>
      <c r="Z70" t="str">
        <f>IF(AND(R70="WON",ISNUMBER(I70)),AA70,"")</f>
        <v/>
      </c>
      <c r="AA70">
        <f>IFERROR(I70*1,0)</f>
        <v>0</v>
      </c>
      <c r="AB70">
        <f>N(AB69)+IF(AND(R70="WON",B70&lt;&gt;""),1,0)</f>
        <v>7</v>
      </c>
      <c r="AC70">
        <f>N(AC69)+IF(AND(OR(R70="offered",R70="to be offered",R70="on hold"),B70&lt;&gt;""),1,0)</f>
        <v>19</v>
      </c>
      <c r="AD70">
        <f>N(AD69)+IF(AND(OR(R70="follow-up",R70="Evaluation",R70="tbd",R70="In evaluation"),B70&lt;&gt;""),1,0)</f>
        <v>9</v>
      </c>
    </row>
    <row r="71" ht="15" customHeight="1">
      <c r="A71" s="198" t="n"/>
      <c r="B71" s="199" t="n"/>
      <c r="C71" s="198" t="n"/>
      <c r="D71" s="200" t="n"/>
      <c r="E71" s="200" t="n"/>
      <c r="F71" s="201" t="n"/>
      <c r="G71" s="198" t="n"/>
      <c r="H71" s="202" t="n"/>
      <c r="I71" s="201" t="n"/>
      <c r="J71" s="201" t="n"/>
      <c r="K71" s="201" t="n"/>
      <c r="L71" s="201" t="n"/>
      <c r="M71" s="201" t="n"/>
      <c r="N71" s="201" t="str">
        <f>IF(ISNUMBER(I71),ROUND(I71-I71/1.081,2),"")</f>
        <v/>
      </c>
      <c r="O71" s="201" t="str">
        <f>IF(ISNUMBER(I71),I71-SUM(J71:N71),"")</f>
        <v/>
      </c>
      <c r="P71" s="203" t="str">
        <f>IFERROR(IF(AND(ISNUMBER(O71),ISNUMBER(I71),I71&lt;&gt;0),O71/I71,""),"")</f>
        <v/>
      </c>
      <c r="Q71" s="201" t="str">
        <f>IF(AND(ISNUMBER(I71),ISNUMBER(S71)),I71*IF(S71&lt;=1,S71,S71/100),IF(OR(I71&lt;&gt;"",S71&lt;&gt;""),"tbd",""))</f>
        <v/>
      </c>
      <c r="R71" s="204" t="n"/>
      <c r="S71" s="205" t="n"/>
      <c r="T71" s="199" t="n"/>
      <c r="U71" s="200" t="n"/>
      <c r="V71" s="200" t="n"/>
      <c r="W71" s="198" t="n"/>
      <c r="X71" s="200" t="n"/>
      <c r="Z71" t="str">
        <f>IF(AND(R71="WON",ISNUMBER(I71)),AA71,"")</f>
        <v/>
      </c>
      <c r="AA71">
        <f>IFERROR(I71*1,0)</f>
        <v>0</v>
      </c>
      <c r="AB71">
        <f>N(AB70)+IF(AND(R71="WON",B71&lt;&gt;""),1,0)</f>
        <v>7</v>
      </c>
      <c r="AC71">
        <f>N(AC70)+IF(AND(OR(R71="offered",R71="to be offered",R71="on hold"),B71&lt;&gt;""),1,0)</f>
        <v>19</v>
      </c>
      <c r="AD71">
        <f>N(AD70)+IF(AND(OR(R71="follow-up",R71="Evaluation",R71="tbd",R71="In evaluation"),B71&lt;&gt;""),1,0)</f>
        <v>9</v>
      </c>
    </row>
    <row r="72" ht="15" customHeight="1">
      <c r="A72" s="198" t="n"/>
      <c r="B72" s="199" t="n"/>
      <c r="C72" s="198" t="n"/>
      <c r="D72" s="200" t="n"/>
      <c r="E72" s="200" t="n"/>
      <c r="F72" s="201" t="n"/>
      <c r="G72" s="198" t="n"/>
      <c r="H72" s="202" t="n"/>
      <c r="I72" s="201" t="n"/>
      <c r="J72" s="201" t="n"/>
      <c r="K72" s="201" t="n"/>
      <c r="L72" s="201" t="n"/>
      <c r="M72" s="201" t="n"/>
      <c r="N72" s="201" t="str">
        <f>IF(ISNUMBER(I72),ROUND(I72-I72/1.081,2),"")</f>
        <v/>
      </c>
      <c r="O72" s="201" t="str">
        <f>IF(ISNUMBER(I72),I72-SUM(J72:N72),"")</f>
        <v/>
      </c>
      <c r="P72" s="203" t="str">
        <f>IFERROR(IF(AND(ISNUMBER(O72),ISNUMBER(I72),I72&lt;&gt;0),O72/I72,""),"")</f>
        <v/>
      </c>
      <c r="Q72" s="201" t="str">
        <f>IF(AND(ISNUMBER(I72),ISNUMBER(S72)),I72*IF(S72&lt;=1,S72,S72/100),IF(OR(I72&lt;&gt;"",S72&lt;&gt;""),"tbd",""))</f>
        <v/>
      </c>
      <c r="R72" s="204" t="n"/>
      <c r="S72" s="205" t="n"/>
      <c r="T72" s="199" t="n"/>
      <c r="U72" s="200" t="n"/>
      <c r="V72" s="200" t="n"/>
      <c r="W72" s="198" t="n"/>
      <c r="X72" s="200" t="n"/>
      <c r="Z72" t="str">
        <f>IF(AND(R72="WON",ISNUMBER(I72)),AA72,"")</f>
        <v/>
      </c>
      <c r="AA72">
        <f>IFERROR(I72*1,0)</f>
        <v>0</v>
      </c>
      <c r="AB72">
        <f>N(AB71)+IF(AND(R72="WON",B72&lt;&gt;""),1,0)</f>
        <v>7</v>
      </c>
      <c r="AC72">
        <f>N(AC71)+IF(AND(OR(R72="offered",R72="to be offered",R72="on hold"),B72&lt;&gt;""),1,0)</f>
        <v>19</v>
      </c>
      <c r="AD72">
        <f>N(AD71)+IF(AND(OR(R72="follow-up",R72="Evaluation",R72="tbd",R72="In evaluation"),B72&lt;&gt;""),1,0)</f>
        <v>9</v>
      </c>
    </row>
    <row r="73" ht="15" customHeight="1">
      <c r="A73" s="198" t="n"/>
      <c r="B73" s="199" t="n"/>
      <c r="C73" s="198" t="n"/>
      <c r="D73" s="200" t="n"/>
      <c r="E73" s="200" t="n"/>
      <c r="F73" s="201" t="n"/>
      <c r="G73" s="198" t="n"/>
      <c r="H73" s="202" t="n"/>
      <c r="I73" s="201" t="n"/>
      <c r="J73" s="201" t="n"/>
      <c r="K73" s="201" t="n"/>
      <c r="L73" s="201" t="n"/>
      <c r="M73" s="201" t="n"/>
      <c r="N73" s="201" t="str">
        <f>IF(ISNUMBER(I73),ROUND(I73-I73/1.081,2),"")</f>
        <v/>
      </c>
      <c r="O73" s="201" t="str">
        <f>IF(ISNUMBER(I73),I73-SUM(J73:N73),"")</f>
        <v/>
      </c>
      <c r="P73" s="203" t="str">
        <f>IFERROR(IF(AND(ISNUMBER(O73),ISNUMBER(I73),I73&lt;&gt;0),O73/I73,""),"")</f>
        <v/>
      </c>
      <c r="Q73" s="201" t="str">
        <f>IF(AND(ISNUMBER(I73),ISNUMBER(S73)),I73*IF(S73&lt;=1,S73,S73/100),IF(OR(I73&lt;&gt;"",S73&lt;&gt;""),"tbd",""))</f>
        <v/>
      </c>
      <c r="R73" s="204" t="n"/>
      <c r="S73" s="205" t="n"/>
      <c r="T73" s="199" t="n"/>
      <c r="U73" s="200" t="n"/>
      <c r="V73" s="200" t="n"/>
      <c r="W73" s="198" t="n"/>
      <c r="X73" s="200" t="n"/>
      <c r="Z73" t="str">
        <f>IF(AND(R73="WON",ISNUMBER(I73)),AA73,"")</f>
        <v/>
      </c>
      <c r="AA73">
        <f>IFERROR(I73*1,0)</f>
        <v>0</v>
      </c>
      <c r="AB73">
        <f>N(AB72)+IF(AND(R73="WON",B73&lt;&gt;""),1,0)</f>
        <v>7</v>
      </c>
      <c r="AC73">
        <f>N(AC72)+IF(AND(OR(R73="offered",R73="to be offered",R73="on hold"),B73&lt;&gt;""),1,0)</f>
        <v>19</v>
      </c>
      <c r="AD73">
        <f>N(AD72)+IF(AND(OR(R73="follow-up",R73="Evaluation",R73="tbd",R73="In evaluation"),B73&lt;&gt;""),1,0)</f>
        <v>9</v>
      </c>
    </row>
    <row r="74" ht="15" customHeight="1">
      <c r="A74" s="198" t="n"/>
      <c r="B74" s="199" t="n"/>
      <c r="C74" s="198" t="n"/>
      <c r="D74" s="200" t="n"/>
      <c r="E74" s="200" t="n"/>
      <c r="F74" s="201" t="n"/>
      <c r="G74" s="198" t="n"/>
      <c r="H74" s="202" t="n"/>
      <c r="I74" s="201" t="n"/>
      <c r="J74" s="201" t="n"/>
      <c r="K74" s="201" t="n"/>
      <c r="L74" s="201" t="n"/>
      <c r="M74" s="201" t="n"/>
      <c r="N74" s="201" t="str">
        <f>IF(ISNUMBER(I74),ROUND(I74-I74/1.081,2),"")</f>
        <v/>
      </c>
      <c r="O74" s="201" t="str">
        <f>IF(ISNUMBER(I74),I74-SUM(J74:N74),"")</f>
        <v/>
      </c>
      <c r="P74" s="203" t="str">
        <f>IFERROR(IF(AND(ISNUMBER(O74),ISNUMBER(I74),I74&lt;&gt;0),O74/I74,""),"")</f>
        <v/>
      </c>
      <c r="Q74" s="201" t="str">
        <f>IF(AND(ISNUMBER(I74),ISNUMBER(S74)),I74*IF(S74&lt;=1,S74,S74/100),IF(OR(I74&lt;&gt;"",S74&lt;&gt;""),"tbd",""))</f>
        <v/>
      </c>
      <c r="R74" s="204" t="n"/>
      <c r="S74" s="205" t="n"/>
      <c r="T74" s="199" t="n"/>
      <c r="U74" s="200" t="n"/>
      <c r="V74" s="200" t="n"/>
      <c r="W74" s="198" t="n"/>
      <c r="X74" s="200" t="n"/>
      <c r="Z74" t="str">
        <f>IF(AND(R74="WON",ISNUMBER(I74)),AA74,"")</f>
        <v/>
      </c>
      <c r="AA74">
        <f>IFERROR(I74*1,0)</f>
        <v>0</v>
      </c>
      <c r="AB74">
        <f>N(AB73)+IF(AND(R74="WON",B74&lt;&gt;""),1,0)</f>
        <v>7</v>
      </c>
      <c r="AC74">
        <f>N(AC73)+IF(AND(OR(R74="offered",R74="to be offered",R74="on hold"),B74&lt;&gt;""),1,0)</f>
        <v>19</v>
      </c>
      <c r="AD74">
        <f>N(AD73)+IF(AND(OR(R74="follow-up",R74="Evaluation",R74="tbd",R74="In evaluation"),B74&lt;&gt;""),1,0)</f>
        <v>9</v>
      </c>
    </row>
    <row r="75" ht="15" customHeight="1">
      <c r="A75" s="198" t="n"/>
      <c r="B75" s="199" t="n"/>
      <c r="C75" s="198" t="n"/>
      <c r="D75" s="200" t="n"/>
      <c r="E75" s="200" t="n"/>
      <c r="F75" s="201" t="n"/>
      <c r="G75" s="198" t="n"/>
      <c r="H75" s="202" t="n"/>
      <c r="I75" s="201" t="n"/>
      <c r="J75" s="201" t="n"/>
      <c r="K75" s="201" t="n"/>
      <c r="L75" s="201" t="n"/>
      <c r="M75" s="201" t="n"/>
      <c r="N75" s="201" t="str">
        <f>IF(ISNUMBER(I75),ROUND(I75-I75/1.081,2),"")</f>
        <v/>
      </c>
      <c r="O75" s="201" t="str">
        <f>IF(ISNUMBER(I75),I75-SUM(J75:N75),"")</f>
        <v/>
      </c>
      <c r="P75" s="203" t="str">
        <f>IFERROR(IF(AND(ISNUMBER(O75),ISNUMBER(I75),I75&lt;&gt;0),O75/I75,""),"")</f>
        <v/>
      </c>
      <c r="Q75" s="201" t="str">
        <f>IF(AND(ISNUMBER(I75),ISNUMBER(S75)),I75*IF(S75&lt;=1,S75,S75/100),IF(OR(I75&lt;&gt;"",S75&lt;&gt;""),"tbd",""))</f>
        <v/>
      </c>
      <c r="R75" s="204" t="n"/>
      <c r="S75" s="205" t="n"/>
      <c r="T75" s="199" t="n"/>
      <c r="U75" s="200" t="n"/>
      <c r="V75" s="200" t="n"/>
      <c r="W75" s="198" t="n"/>
      <c r="X75" s="200" t="n"/>
      <c r="Z75" t="str">
        <f>IF(AND(R75="WON",ISNUMBER(I75)),AA75,"")</f>
        <v/>
      </c>
      <c r="AA75">
        <f>IFERROR(I75*1,0)</f>
        <v>0</v>
      </c>
      <c r="AB75">
        <f>N(AB74)+IF(AND(R75="WON",B75&lt;&gt;""),1,0)</f>
        <v>7</v>
      </c>
      <c r="AC75">
        <f>N(AC74)+IF(AND(OR(R75="offered",R75="to be offered",R75="on hold"),B75&lt;&gt;""),1,0)</f>
        <v>19</v>
      </c>
      <c r="AD75">
        <f>N(AD74)+IF(AND(OR(R75="follow-up",R75="Evaluation",R75="tbd",R75="In evaluation"),B75&lt;&gt;""),1,0)</f>
        <v>9</v>
      </c>
    </row>
    <row r="76" ht="15" customHeight="1">
      <c r="A76" s="198" t="n"/>
      <c r="B76" s="199" t="n"/>
      <c r="C76" s="198" t="n"/>
      <c r="D76" s="200" t="n"/>
      <c r="E76" s="200" t="n"/>
      <c r="F76" s="201" t="n"/>
      <c r="G76" s="198" t="n"/>
      <c r="H76" s="202" t="n"/>
      <c r="I76" s="201" t="n"/>
      <c r="J76" s="201" t="n"/>
      <c r="K76" s="201" t="n"/>
      <c r="L76" s="201" t="n"/>
      <c r="M76" s="201" t="n"/>
      <c r="N76" s="201" t="str">
        <f>IF(ISNUMBER(I76),ROUND(I76-I76/1.081,2),"")</f>
        <v/>
      </c>
      <c r="O76" s="201" t="str">
        <f>IF(ISNUMBER(I76),I76-SUM(J76:N76),"")</f>
        <v/>
      </c>
      <c r="P76" s="203" t="str">
        <f>IFERROR(IF(AND(ISNUMBER(O76),ISNUMBER(I76),I76&lt;&gt;0),O76/I76,""),"")</f>
        <v/>
      </c>
      <c r="Q76" s="201" t="str">
        <f>IF(AND(ISNUMBER(I76),ISNUMBER(S76)),I76*IF(S76&lt;=1,S76,S76/100),IF(OR(I76&lt;&gt;"",S76&lt;&gt;""),"tbd",""))</f>
        <v/>
      </c>
      <c r="R76" s="204" t="n"/>
      <c r="S76" s="205" t="n"/>
      <c r="T76" s="199" t="n"/>
      <c r="U76" s="200" t="n"/>
      <c r="V76" s="200" t="n"/>
      <c r="W76" s="198" t="n"/>
      <c r="X76" s="200" t="n"/>
      <c r="Z76" t="str">
        <f>IF(AND(R76="WON",ISNUMBER(I76)),AA76,"")</f>
        <v/>
      </c>
      <c r="AA76">
        <f>IFERROR(I76*1,0)</f>
        <v>0</v>
      </c>
      <c r="AB76">
        <f>N(AB75)+IF(AND(R76="WON",B76&lt;&gt;""),1,0)</f>
        <v>7</v>
      </c>
      <c r="AC76">
        <f>N(AC75)+IF(AND(OR(R76="offered",R76="to be offered",R76="on hold"),B76&lt;&gt;""),1,0)</f>
        <v>19</v>
      </c>
      <c r="AD76">
        <f>N(AD75)+IF(AND(OR(R76="follow-up",R76="Evaluation",R76="tbd",R76="In evaluation"),B76&lt;&gt;""),1,0)</f>
        <v>9</v>
      </c>
    </row>
    <row r="77" ht="15" customHeight="1">
      <c r="A77" s="198" t="n"/>
      <c r="B77" s="199" t="n"/>
      <c r="C77" s="198" t="n"/>
      <c r="D77" s="200" t="n"/>
      <c r="E77" s="200" t="n"/>
      <c r="F77" s="201" t="n"/>
      <c r="G77" s="198" t="n"/>
      <c r="H77" s="202" t="n"/>
      <c r="I77" s="201" t="n"/>
      <c r="J77" s="201" t="n"/>
      <c r="K77" s="201" t="n"/>
      <c r="L77" s="201" t="n"/>
      <c r="M77" s="201" t="n"/>
      <c r="N77" s="201" t="str">
        <f>IF(ISNUMBER(I77),ROUND(I77-I77/1.081,2),"")</f>
        <v/>
      </c>
      <c r="O77" s="201" t="str">
        <f>IF(ISNUMBER(I77),I77-SUM(J77:N77),"")</f>
        <v/>
      </c>
      <c r="P77" s="203" t="str">
        <f>IFERROR(IF(AND(ISNUMBER(O77),ISNUMBER(I77),I77&lt;&gt;0),O77/I77,""),"")</f>
        <v/>
      </c>
      <c r="Q77" s="201" t="str">
        <f>IF(AND(ISNUMBER(I77),ISNUMBER(S77)),I77*IF(S77&lt;=1,S77,S77/100),IF(OR(I77&lt;&gt;"",S77&lt;&gt;""),"tbd",""))</f>
        <v/>
      </c>
      <c r="R77" s="204" t="n"/>
      <c r="S77" s="205" t="n"/>
      <c r="T77" s="199" t="n"/>
      <c r="U77" s="200" t="n"/>
      <c r="V77" s="200" t="n"/>
      <c r="W77" s="198" t="n"/>
      <c r="X77" s="200" t="n"/>
      <c r="Z77" t="str">
        <f>IF(AND(R77="WON",ISNUMBER(I77)),AA77,"")</f>
        <v/>
      </c>
      <c r="AA77">
        <f>IFERROR(I77*1,0)</f>
        <v>0</v>
      </c>
      <c r="AB77">
        <f>N(AB76)+IF(AND(R77="WON",B77&lt;&gt;""),1,0)</f>
        <v>7</v>
      </c>
      <c r="AC77">
        <f>N(AC76)+IF(AND(OR(R77="offered",R77="to be offered",R77="on hold"),B77&lt;&gt;""),1,0)</f>
        <v>19</v>
      </c>
      <c r="AD77">
        <f>N(AD76)+IF(AND(OR(R77="follow-up",R77="Evaluation",R77="tbd",R77="In evaluation"),B77&lt;&gt;""),1,0)</f>
        <v>9</v>
      </c>
    </row>
    <row r="78" ht="15" customHeight="1">
      <c r="A78" s="198" t="n"/>
      <c r="B78" s="199" t="n"/>
      <c r="C78" s="198" t="n"/>
      <c r="D78" s="200" t="n"/>
      <c r="E78" s="200" t="n"/>
      <c r="F78" s="201" t="n"/>
      <c r="G78" s="198" t="n"/>
      <c r="H78" s="202" t="n"/>
      <c r="I78" s="201" t="n"/>
      <c r="J78" s="201" t="n"/>
      <c r="K78" s="201" t="n"/>
      <c r="L78" s="201" t="n"/>
      <c r="M78" s="201" t="n"/>
      <c r="N78" s="201" t="str">
        <f>IF(ISNUMBER(I78),ROUND(I78-I78/1.081,2),"")</f>
        <v/>
      </c>
      <c r="O78" s="201" t="str">
        <f>IF(ISNUMBER(I78),I78-SUM(J78:N78),"")</f>
        <v/>
      </c>
      <c r="P78" s="203" t="str">
        <f>IFERROR(IF(AND(ISNUMBER(O78),ISNUMBER(I78),I78&lt;&gt;0),O78/I78,""),"")</f>
        <v/>
      </c>
      <c r="Q78" s="201" t="str">
        <f>IF(AND(ISNUMBER(I78),ISNUMBER(S78)),I78*IF(S78&lt;=1,S78,S78/100),IF(OR(I78&lt;&gt;"",S78&lt;&gt;""),"tbd",""))</f>
        <v/>
      </c>
      <c r="R78" s="204" t="n"/>
      <c r="S78" s="205" t="n"/>
      <c r="T78" s="199" t="n"/>
      <c r="U78" s="200" t="n"/>
      <c r="V78" s="200" t="n"/>
      <c r="W78" s="198" t="n"/>
      <c r="X78" s="200" t="n"/>
      <c r="Z78" t="str">
        <f>IF(AND(R78="WON",ISNUMBER(I78)),AA78,"")</f>
        <v/>
      </c>
      <c r="AA78">
        <f>IFERROR(I78*1,0)</f>
        <v>0</v>
      </c>
      <c r="AB78">
        <f>N(AB77)+IF(AND(R78="WON",B78&lt;&gt;""),1,0)</f>
        <v>7</v>
      </c>
      <c r="AC78">
        <f>N(AC77)+IF(AND(OR(R78="offered",R78="to be offered",R78="on hold"),B78&lt;&gt;""),1,0)</f>
        <v>19</v>
      </c>
      <c r="AD78">
        <f>N(AD77)+IF(AND(OR(R78="follow-up",R78="Evaluation",R78="tbd",R78="In evaluation"),B78&lt;&gt;""),1,0)</f>
        <v>9</v>
      </c>
    </row>
    <row r="79" ht="15" customHeight="1">
      <c r="A79" s="198" t="n"/>
      <c r="B79" s="199" t="n"/>
      <c r="C79" s="198" t="n"/>
      <c r="D79" s="200" t="n"/>
      <c r="E79" s="200" t="n"/>
      <c r="F79" s="201" t="n"/>
      <c r="G79" s="198" t="n"/>
      <c r="H79" s="202" t="n"/>
      <c r="I79" s="201" t="n"/>
      <c r="J79" s="201" t="n"/>
      <c r="K79" s="201" t="n"/>
      <c r="L79" s="201" t="n"/>
      <c r="M79" s="201" t="n"/>
      <c r="N79" s="201" t="str">
        <f>IF(ISNUMBER(I79),ROUND(I79-I79/1.081,2),"")</f>
        <v/>
      </c>
      <c r="O79" s="201" t="str">
        <f>IF(ISNUMBER(I79),I79-SUM(J79:N79),"")</f>
        <v/>
      </c>
      <c r="P79" s="203" t="str">
        <f>IFERROR(IF(AND(ISNUMBER(O79),ISNUMBER(I79),I79&lt;&gt;0),O79/I79,""),"")</f>
        <v/>
      </c>
      <c r="Q79" s="201" t="str">
        <f>IF(AND(ISNUMBER(I79),ISNUMBER(S79)),I79*IF(S79&lt;=1,S79,S79/100),IF(OR(I79&lt;&gt;"",S79&lt;&gt;""),"tbd",""))</f>
        <v/>
      </c>
      <c r="R79" s="204" t="n"/>
      <c r="S79" s="205" t="n"/>
      <c r="T79" s="199" t="n"/>
      <c r="U79" s="200" t="n"/>
      <c r="V79" s="200" t="n"/>
      <c r="W79" s="198" t="n"/>
      <c r="X79" s="200" t="n"/>
      <c r="Z79" t="str">
        <f>IF(AND(R79="WON",ISNUMBER(I79)),AA79,"")</f>
        <v/>
      </c>
      <c r="AA79">
        <f>IFERROR(I79*1,0)</f>
        <v>0</v>
      </c>
      <c r="AB79">
        <f>N(AB78)+IF(AND(R79="WON",B79&lt;&gt;""),1,0)</f>
        <v>7</v>
      </c>
      <c r="AC79">
        <f>N(AC78)+IF(AND(OR(R79="offered",R79="to be offered",R79="on hold"),B79&lt;&gt;""),1,0)</f>
        <v>19</v>
      </c>
      <c r="AD79">
        <f>N(AD78)+IF(AND(OR(R79="follow-up",R79="Evaluation",R79="tbd",R79="In evaluation"),B79&lt;&gt;""),1,0)</f>
        <v>9</v>
      </c>
    </row>
    <row r="80" ht="15" customHeight="1">
      <c r="A80" s="198" t="n"/>
      <c r="B80" s="199" t="n"/>
      <c r="C80" s="198" t="n"/>
      <c r="D80" s="200" t="n"/>
      <c r="E80" s="200" t="n"/>
      <c r="F80" s="201" t="n"/>
      <c r="G80" s="198" t="n"/>
      <c r="H80" s="202" t="n"/>
      <c r="I80" s="201" t="n"/>
      <c r="J80" s="201" t="n"/>
      <c r="K80" s="201" t="n"/>
      <c r="L80" s="201" t="n"/>
      <c r="M80" s="201" t="n"/>
      <c r="N80" s="201" t="str">
        <f>IF(ISNUMBER(I80),ROUND(I80-I80/1.081,2),"")</f>
        <v/>
      </c>
      <c r="O80" s="201" t="str">
        <f>IF(ISNUMBER(I80),I80-SUM(J80:N80),"")</f>
        <v/>
      </c>
      <c r="P80" s="203" t="str">
        <f>IFERROR(IF(AND(ISNUMBER(O80),ISNUMBER(I80),I80&lt;&gt;0),O80/I80,""),"")</f>
        <v/>
      </c>
      <c r="Q80" s="201" t="str">
        <f>IF(AND(ISNUMBER(I80),ISNUMBER(S80)),I80*IF(S80&lt;=1,S80,S80/100),IF(OR(I80&lt;&gt;"",S80&lt;&gt;""),"tbd",""))</f>
        <v/>
      </c>
      <c r="R80" s="204" t="n"/>
      <c r="S80" s="205" t="n"/>
      <c r="T80" s="199" t="n"/>
      <c r="U80" s="200" t="n"/>
      <c r="V80" s="200" t="n"/>
      <c r="W80" s="198" t="n"/>
      <c r="X80" s="200" t="n"/>
      <c r="Z80" t="str">
        <f>IF(AND(R80="WON",ISNUMBER(I80)),AA80,"")</f>
        <v/>
      </c>
      <c r="AA80">
        <f>IFERROR(I80*1,0)</f>
        <v>0</v>
      </c>
      <c r="AB80">
        <f>N(AB79)+IF(AND(R80="WON",B80&lt;&gt;""),1,0)</f>
        <v>7</v>
      </c>
      <c r="AC80">
        <f>N(AC79)+IF(AND(OR(R80="offered",R80="to be offered",R80="on hold"),B80&lt;&gt;""),1,0)</f>
        <v>19</v>
      </c>
      <c r="AD80">
        <f>N(AD79)+IF(AND(OR(R80="follow-up",R80="Evaluation",R80="tbd",R80="In evaluation"),B80&lt;&gt;""),1,0)</f>
        <v>9</v>
      </c>
    </row>
    <row r="81" ht="15" customHeight="1">
      <c r="A81" s="198" t="n"/>
      <c r="B81" s="199" t="n"/>
      <c r="C81" s="198" t="n"/>
      <c r="D81" s="200" t="n"/>
      <c r="E81" s="200" t="n"/>
      <c r="F81" s="201" t="n"/>
      <c r="G81" s="198" t="n"/>
      <c r="H81" s="202" t="n"/>
      <c r="I81" s="201" t="n"/>
      <c r="J81" s="201" t="n"/>
      <c r="K81" s="201" t="n"/>
      <c r="L81" s="201" t="n"/>
      <c r="M81" s="201" t="n"/>
      <c r="N81" s="201" t="str">
        <f>IF(ISNUMBER(I81),ROUND(I81-I81/1.081,2),"")</f>
        <v/>
      </c>
      <c r="O81" s="201" t="str">
        <f>IF(ISNUMBER(I81),I81-SUM(J81:N81),"")</f>
        <v/>
      </c>
      <c r="P81" s="203" t="str">
        <f>IFERROR(IF(AND(ISNUMBER(O81),ISNUMBER(I81),I81&lt;&gt;0),O81/I81,""),"")</f>
        <v/>
      </c>
      <c r="Q81" s="201" t="str">
        <f>IF(AND(ISNUMBER(I81),ISNUMBER(S81)),I81*IF(S81&lt;=1,S81,S81/100),IF(OR(I81&lt;&gt;"",S81&lt;&gt;""),"tbd",""))</f>
        <v/>
      </c>
      <c r="R81" s="204" t="n"/>
      <c r="S81" s="205" t="n"/>
      <c r="T81" s="199" t="n"/>
      <c r="U81" s="200" t="n"/>
      <c r="V81" s="200" t="n"/>
      <c r="W81" s="198" t="n"/>
      <c r="X81" s="200" t="n"/>
      <c r="Z81" t="str">
        <f>IF(AND(R81="WON",ISNUMBER(I81)),AA81,"")</f>
        <v/>
      </c>
      <c r="AA81">
        <f>IFERROR(I81*1,0)</f>
        <v>0</v>
      </c>
      <c r="AB81">
        <f>N(AB80)+IF(AND(R81="WON",B81&lt;&gt;""),1,0)</f>
        <v>7</v>
      </c>
      <c r="AC81">
        <f>N(AC80)+IF(AND(OR(R81="offered",R81="to be offered",R81="on hold"),B81&lt;&gt;""),1,0)</f>
        <v>19</v>
      </c>
      <c r="AD81">
        <f>N(AD80)+IF(AND(OR(R81="follow-up",R81="Evaluation",R81="tbd",R81="In evaluation"),B81&lt;&gt;""),1,0)</f>
        <v>9</v>
      </c>
    </row>
    <row r="82" ht="15" customHeight="1">
      <c r="A82" s="198" t="n"/>
      <c r="B82" s="199" t="n"/>
      <c r="C82" s="198" t="n"/>
      <c r="D82" s="200" t="n"/>
      <c r="E82" s="200" t="n"/>
      <c r="F82" s="201" t="n"/>
      <c r="G82" s="198" t="n"/>
      <c r="H82" s="202" t="n"/>
      <c r="I82" s="201" t="n"/>
      <c r="J82" s="201" t="n"/>
      <c r="K82" s="201" t="n"/>
      <c r="L82" s="201" t="n"/>
      <c r="M82" s="201" t="n"/>
      <c r="N82" s="201" t="str">
        <f>IF(ISNUMBER(I82),ROUND(I82-I82/1.081,2),"")</f>
        <v/>
      </c>
      <c r="O82" s="201" t="str">
        <f>IF(ISNUMBER(I82),I82-SUM(J82:N82),"")</f>
        <v/>
      </c>
      <c r="P82" s="203" t="str">
        <f>IFERROR(IF(AND(ISNUMBER(O82),ISNUMBER(I82),I82&lt;&gt;0),O82/I82,""),"")</f>
        <v/>
      </c>
      <c r="Q82" s="201" t="str">
        <f>IF(AND(ISNUMBER(I82),ISNUMBER(S82)),I82*IF(S82&lt;=1,S82,S82/100),IF(OR(I82&lt;&gt;"",S82&lt;&gt;""),"tbd",""))</f>
        <v/>
      </c>
      <c r="R82" s="204" t="n"/>
      <c r="S82" s="205" t="n"/>
      <c r="T82" s="199" t="n"/>
      <c r="U82" s="200" t="n"/>
      <c r="V82" s="200" t="n"/>
      <c r="W82" s="198" t="n"/>
      <c r="X82" s="200" t="n"/>
      <c r="Z82" t="str">
        <f>IF(AND(R82="WON",ISNUMBER(I82)),AA82,"")</f>
        <v/>
      </c>
      <c r="AA82">
        <f>IFERROR(I82*1,0)</f>
        <v>0</v>
      </c>
      <c r="AB82">
        <f>N(AB81)+IF(AND(R82="WON",B82&lt;&gt;""),1,0)</f>
        <v>7</v>
      </c>
      <c r="AC82">
        <f>N(AC81)+IF(AND(OR(R82="offered",R82="to be offered",R82="on hold"),B82&lt;&gt;""),1,0)</f>
        <v>19</v>
      </c>
      <c r="AD82">
        <f>N(AD81)+IF(AND(OR(R82="follow-up",R82="Evaluation",R82="tbd",R82="In evaluation"),B82&lt;&gt;""),1,0)</f>
        <v>9</v>
      </c>
    </row>
    <row r="83" ht="15" customHeight="1">
      <c r="A83" s="198" t="n"/>
      <c r="B83" s="199" t="n"/>
      <c r="C83" s="198" t="n"/>
      <c r="D83" s="200" t="n"/>
      <c r="E83" s="200" t="n"/>
      <c r="F83" s="201" t="n"/>
      <c r="G83" s="198" t="n"/>
      <c r="H83" s="202" t="n"/>
      <c r="I83" s="201" t="n"/>
      <c r="J83" s="201" t="n"/>
      <c r="K83" s="201" t="n"/>
      <c r="L83" s="201" t="n"/>
      <c r="M83" s="201" t="n"/>
      <c r="N83" s="201" t="str">
        <f>IF(ISNUMBER(I83),ROUND(I83-I83/1.081,2),"")</f>
        <v/>
      </c>
      <c r="O83" s="201" t="str">
        <f>IF(ISNUMBER(I83),I83-SUM(J83:N83),"")</f>
        <v/>
      </c>
      <c r="P83" s="203" t="str">
        <f>IFERROR(IF(AND(ISNUMBER(O83),ISNUMBER(I83),I83&lt;&gt;0),O83/I83,""),"")</f>
        <v/>
      </c>
      <c r="Q83" s="201" t="str">
        <f>IF(AND(ISNUMBER(I83),ISNUMBER(S83)),I83*IF(S83&lt;=1,S83,S83/100),IF(OR(I83&lt;&gt;"",S83&lt;&gt;""),"tbd",""))</f>
        <v/>
      </c>
      <c r="R83" s="204" t="n"/>
      <c r="S83" s="205" t="n"/>
      <c r="T83" s="199" t="n"/>
      <c r="U83" s="200" t="n"/>
      <c r="V83" s="200" t="n"/>
      <c r="W83" s="198" t="n"/>
      <c r="X83" s="200" t="n"/>
      <c r="Z83" t="str">
        <f>IF(AND(R83="WON",ISNUMBER(I83)),AA83,"")</f>
        <v/>
      </c>
      <c r="AA83">
        <f>IFERROR(I83*1,0)</f>
        <v>0</v>
      </c>
      <c r="AB83">
        <f>N(AB82)+IF(AND(R83="WON",B83&lt;&gt;""),1,0)</f>
        <v>7</v>
      </c>
      <c r="AC83">
        <f>N(AC82)+IF(AND(OR(R83="offered",R83="to be offered",R83="on hold"),B83&lt;&gt;""),1,0)</f>
        <v>19</v>
      </c>
      <c r="AD83">
        <f>N(AD82)+IF(AND(OR(R83="follow-up",R83="Evaluation",R83="tbd",R83="In evaluation"),B83&lt;&gt;""),1,0)</f>
        <v>9</v>
      </c>
    </row>
    <row r="84" ht="15" customHeight="1">
      <c r="A84" s="198" t="n"/>
      <c r="B84" s="199" t="n"/>
      <c r="C84" s="198" t="n"/>
      <c r="D84" s="200" t="n"/>
      <c r="E84" s="200" t="n"/>
      <c r="F84" s="201" t="n"/>
      <c r="G84" s="198" t="n"/>
      <c r="H84" s="202" t="n"/>
      <c r="I84" s="201" t="n"/>
      <c r="J84" s="201" t="n"/>
      <c r="K84" s="201" t="n"/>
      <c r="L84" s="201" t="n"/>
      <c r="M84" s="201" t="n"/>
      <c r="N84" s="201" t="str">
        <f>IF(ISNUMBER(I84),ROUND(I84-I84/1.081,2),"")</f>
        <v/>
      </c>
      <c r="O84" s="201" t="str">
        <f>IF(ISNUMBER(I84),I84-SUM(J84:N84),"")</f>
        <v/>
      </c>
      <c r="P84" s="203" t="str">
        <f>IFERROR(IF(AND(ISNUMBER(O84),ISNUMBER(I84),I84&lt;&gt;0),O84/I84,""),"")</f>
        <v/>
      </c>
      <c r="Q84" s="201" t="str">
        <f>IF(AND(ISNUMBER(I84),ISNUMBER(S84)),I84*IF(S84&lt;=1,S84,S84/100),IF(OR(I84&lt;&gt;"",S84&lt;&gt;""),"tbd",""))</f>
        <v/>
      </c>
      <c r="R84" s="204" t="n"/>
      <c r="S84" s="205" t="n"/>
      <c r="T84" s="199" t="n"/>
      <c r="U84" s="200" t="n"/>
      <c r="V84" s="200" t="n"/>
      <c r="W84" s="198" t="n"/>
      <c r="X84" s="200" t="n"/>
      <c r="Z84" t="str">
        <f>IF(AND(R84="WON",ISNUMBER(I84)),AA84,"")</f>
        <v/>
      </c>
      <c r="AA84">
        <f>IFERROR(I84*1,0)</f>
        <v>0</v>
      </c>
      <c r="AB84">
        <f>N(AB83)+IF(AND(R84="WON",B84&lt;&gt;""),1,0)</f>
        <v>7</v>
      </c>
      <c r="AC84">
        <f>N(AC83)+IF(AND(OR(R84="offered",R84="to be offered",R84="on hold"),B84&lt;&gt;""),1,0)</f>
        <v>19</v>
      </c>
      <c r="AD84">
        <f>N(AD83)+IF(AND(OR(R84="follow-up",R84="Evaluation",R84="tbd",R84="In evaluation"),B84&lt;&gt;""),1,0)</f>
        <v>9</v>
      </c>
    </row>
    <row r="85" ht="15" customHeight="1">
      <c r="A85" s="198" t="n"/>
      <c r="B85" s="199" t="n"/>
      <c r="C85" s="198" t="n"/>
      <c r="D85" s="200" t="n"/>
      <c r="E85" s="200" t="n"/>
      <c r="F85" s="201" t="n"/>
      <c r="G85" s="198" t="n"/>
      <c r="H85" s="202" t="n"/>
      <c r="I85" s="201" t="n"/>
      <c r="J85" s="201" t="n"/>
      <c r="K85" s="201" t="n"/>
      <c r="L85" s="201" t="n"/>
      <c r="M85" s="201" t="n"/>
      <c r="N85" s="201" t="str">
        <f>IF(ISNUMBER(I85),ROUND(I85-I85/1.081,2),"")</f>
        <v/>
      </c>
      <c r="O85" s="201" t="str">
        <f>IF(ISNUMBER(I85),I85-SUM(J85:N85),"")</f>
        <v/>
      </c>
      <c r="P85" s="203" t="str">
        <f>IFERROR(IF(AND(ISNUMBER(O85),ISNUMBER(I85),I85&lt;&gt;0),O85/I85,""),"")</f>
        <v/>
      </c>
      <c r="Q85" s="201" t="str">
        <f>IF(AND(ISNUMBER(I85),ISNUMBER(S85)),I85*IF(S85&lt;=1,S85,S85/100),IF(OR(I85&lt;&gt;"",S85&lt;&gt;""),"tbd",""))</f>
        <v/>
      </c>
      <c r="R85" s="204" t="n"/>
      <c r="S85" s="205" t="n"/>
      <c r="T85" s="199" t="n"/>
      <c r="U85" s="200" t="n"/>
      <c r="V85" s="200" t="n"/>
      <c r="W85" s="198" t="n"/>
      <c r="X85" s="200" t="n"/>
      <c r="Z85" t="str">
        <f>IF(AND(R85="WON",ISNUMBER(I85)),AA85,"")</f>
        <v/>
      </c>
      <c r="AA85">
        <f>IFERROR(I85*1,0)</f>
        <v>0</v>
      </c>
      <c r="AB85">
        <f>N(AB84)+IF(AND(R85="WON",B85&lt;&gt;""),1,0)</f>
        <v>7</v>
      </c>
      <c r="AC85">
        <f>N(AC84)+IF(AND(OR(R85="offered",R85="to be offered",R85="on hold"),B85&lt;&gt;""),1,0)</f>
        <v>19</v>
      </c>
      <c r="AD85">
        <f>N(AD84)+IF(AND(OR(R85="follow-up",R85="Evaluation",R85="tbd",R85="In evaluation"),B85&lt;&gt;""),1,0)</f>
        <v>9</v>
      </c>
    </row>
    <row r="86" ht="15" customHeight="1">
      <c r="A86" s="198" t="n"/>
      <c r="B86" s="199" t="n"/>
      <c r="C86" s="198" t="n"/>
      <c r="D86" s="200" t="n"/>
      <c r="E86" s="200" t="n"/>
      <c r="F86" s="201" t="n"/>
      <c r="G86" s="198" t="n"/>
      <c r="H86" s="202" t="n"/>
      <c r="I86" s="201" t="n"/>
      <c r="J86" s="201" t="n"/>
      <c r="K86" s="201" t="n"/>
      <c r="L86" s="201" t="n"/>
      <c r="M86" s="201" t="n"/>
      <c r="N86" s="201" t="str">
        <f>IF(ISNUMBER(I86),ROUND(I86-I86/1.081,2),"")</f>
        <v/>
      </c>
      <c r="O86" s="201" t="str">
        <f>IF(ISNUMBER(I86),I86-SUM(J86:N86),"")</f>
        <v/>
      </c>
      <c r="P86" s="203" t="str">
        <f>IFERROR(IF(AND(ISNUMBER(O86),ISNUMBER(I86),I86&lt;&gt;0),O86/I86,""),"")</f>
        <v/>
      </c>
      <c r="Q86" s="201" t="str">
        <f>IF(AND(ISNUMBER(I86),ISNUMBER(S86)),I86*IF(S86&lt;=1,S86,S86/100),IF(OR(I86&lt;&gt;"",S86&lt;&gt;""),"tbd",""))</f>
        <v/>
      </c>
      <c r="R86" s="204" t="n"/>
      <c r="S86" s="205" t="n"/>
      <c r="T86" s="199" t="n"/>
      <c r="U86" s="200" t="n"/>
      <c r="V86" s="200" t="n"/>
      <c r="W86" s="198" t="n"/>
      <c r="X86" s="200" t="n"/>
      <c r="Z86" t="str">
        <f>IF(AND(R86="WON",ISNUMBER(I86)),AA86,"")</f>
        <v/>
      </c>
      <c r="AA86">
        <f>IFERROR(I86*1,0)</f>
        <v>0</v>
      </c>
      <c r="AB86">
        <f>N(AB85)+IF(AND(R86="WON",B86&lt;&gt;""),1,0)</f>
        <v>7</v>
      </c>
      <c r="AC86">
        <f>N(AC85)+IF(AND(OR(R86="offered",R86="to be offered",R86="on hold"),B86&lt;&gt;""),1,0)</f>
        <v>19</v>
      </c>
      <c r="AD86">
        <f>N(AD85)+IF(AND(OR(R86="follow-up",R86="Evaluation",R86="tbd",R86="In evaluation"),B86&lt;&gt;""),1,0)</f>
        <v>9</v>
      </c>
    </row>
    <row r="87" ht="15" customHeight="1">
      <c r="A87" s="198" t="n"/>
      <c r="B87" s="199" t="n"/>
      <c r="C87" s="198" t="n"/>
      <c r="D87" s="200" t="n"/>
      <c r="E87" s="200" t="n"/>
      <c r="F87" s="201" t="n"/>
      <c r="G87" s="198" t="n"/>
      <c r="H87" s="202" t="n"/>
      <c r="I87" s="201" t="n"/>
      <c r="J87" s="201" t="n"/>
      <c r="K87" s="201" t="n"/>
      <c r="L87" s="201" t="n"/>
      <c r="M87" s="201" t="n"/>
      <c r="N87" s="201" t="str">
        <f>IF(ISNUMBER(I87),ROUND(I87-I87/1.081,2),"")</f>
        <v/>
      </c>
      <c r="O87" s="201" t="str">
        <f>IF(ISNUMBER(I87),I87-SUM(J87:N87),"")</f>
        <v/>
      </c>
      <c r="P87" s="203" t="str">
        <f>IFERROR(IF(AND(ISNUMBER(O87),ISNUMBER(I87),I87&lt;&gt;0),O87/I87,""),"")</f>
        <v/>
      </c>
      <c r="Q87" s="201" t="str">
        <f>IF(AND(ISNUMBER(I87),ISNUMBER(S87)),I87*IF(S87&lt;=1,S87,S87/100),IF(OR(I87&lt;&gt;"",S87&lt;&gt;""),"tbd",""))</f>
        <v/>
      </c>
      <c r="R87" s="204" t="n"/>
      <c r="S87" s="205" t="n"/>
      <c r="T87" s="199" t="n"/>
      <c r="U87" s="200" t="n"/>
      <c r="V87" s="200" t="n"/>
      <c r="W87" s="198" t="n"/>
      <c r="X87" s="200" t="n"/>
      <c r="Z87" t="str">
        <f>IF(AND(R87="WON",ISNUMBER(I87)),AA87,"")</f>
        <v/>
      </c>
      <c r="AA87">
        <f>IFERROR(I87*1,0)</f>
        <v>0</v>
      </c>
      <c r="AB87">
        <f>N(AB86)+IF(AND(R87="WON",B87&lt;&gt;""),1,0)</f>
        <v>7</v>
      </c>
      <c r="AC87">
        <f>N(AC86)+IF(AND(OR(R87="offered",R87="to be offered",R87="on hold"),B87&lt;&gt;""),1,0)</f>
        <v>19</v>
      </c>
      <c r="AD87">
        <f>N(AD86)+IF(AND(OR(R87="follow-up",R87="Evaluation",R87="tbd",R87="In evaluation"),B87&lt;&gt;""),1,0)</f>
        <v>9</v>
      </c>
    </row>
    <row r="88" ht="15" customHeight="1">
      <c r="A88" s="198" t="n"/>
      <c r="B88" s="199" t="n"/>
      <c r="C88" s="198" t="n"/>
      <c r="D88" s="200" t="n"/>
      <c r="E88" s="200" t="n"/>
      <c r="F88" s="201" t="n"/>
      <c r="G88" s="198" t="n"/>
      <c r="H88" s="202" t="n"/>
      <c r="I88" s="201" t="n"/>
      <c r="J88" s="201" t="n"/>
      <c r="K88" s="201" t="n"/>
      <c r="L88" s="201" t="n"/>
      <c r="M88" s="201" t="n"/>
      <c r="N88" s="201" t="str">
        <f>IF(ISNUMBER(I88),ROUND(I88-I88/1.081,2),"")</f>
        <v/>
      </c>
      <c r="O88" s="201" t="str">
        <f>IF(ISNUMBER(I88),I88-SUM(J88:N88),"")</f>
        <v/>
      </c>
      <c r="P88" s="203" t="str">
        <f>IFERROR(IF(AND(ISNUMBER(O88),ISNUMBER(I88),I88&lt;&gt;0),O88/I88,""),"")</f>
        <v/>
      </c>
      <c r="Q88" s="201" t="str">
        <f>IF(AND(ISNUMBER(I88),ISNUMBER(S88)),I88*IF(S88&lt;=1,S88,S88/100),IF(OR(I88&lt;&gt;"",S88&lt;&gt;""),"tbd",""))</f>
        <v/>
      </c>
      <c r="R88" s="204" t="n"/>
      <c r="S88" s="205" t="n"/>
      <c r="T88" s="199" t="n"/>
      <c r="U88" s="200" t="n"/>
      <c r="V88" s="200" t="n"/>
      <c r="W88" s="198" t="n"/>
      <c r="X88" s="200" t="n"/>
      <c r="Z88" t="str">
        <f>IF(AND(R88="WON",ISNUMBER(I88)),AA88,"")</f>
        <v/>
      </c>
      <c r="AA88">
        <f>IFERROR(I88*1,0)</f>
        <v>0</v>
      </c>
      <c r="AB88">
        <f>N(AB87)+IF(AND(R88="WON",B88&lt;&gt;""),1,0)</f>
        <v>7</v>
      </c>
      <c r="AC88">
        <f>N(AC87)+IF(AND(OR(R88="offered",R88="to be offered",R88="on hold"),B88&lt;&gt;""),1,0)</f>
        <v>19</v>
      </c>
      <c r="AD88">
        <f>N(AD87)+IF(AND(OR(R88="follow-up",R88="Evaluation",R88="tbd",R88="In evaluation"),B88&lt;&gt;""),1,0)</f>
        <v>9</v>
      </c>
    </row>
    <row r="89" ht="15" customHeight="1">
      <c r="A89" s="198" t="n"/>
      <c r="B89" s="199" t="n"/>
      <c r="C89" s="198" t="n"/>
      <c r="D89" s="200" t="n"/>
      <c r="E89" s="200" t="n"/>
      <c r="F89" s="201" t="n"/>
      <c r="G89" s="198" t="n"/>
      <c r="H89" s="202" t="n"/>
      <c r="I89" s="201" t="n"/>
      <c r="J89" s="201" t="n"/>
      <c r="K89" s="201" t="n"/>
      <c r="L89" s="201" t="n"/>
      <c r="M89" s="201" t="n"/>
      <c r="N89" s="201" t="str">
        <f>IF(ISNUMBER(I89),ROUND(I89-I89/1.081,2),"")</f>
        <v/>
      </c>
      <c r="O89" s="201" t="str">
        <f>IF(ISNUMBER(I89),I89-SUM(J89:N89),"")</f>
        <v/>
      </c>
      <c r="P89" s="203" t="str">
        <f>IFERROR(IF(AND(ISNUMBER(O89),ISNUMBER(I89),I89&lt;&gt;0),O89/I89,""),"")</f>
        <v/>
      </c>
      <c r="Q89" s="201" t="str">
        <f>IF(AND(ISNUMBER(I89),ISNUMBER(S89)),I89*IF(S89&lt;=1,S89,S89/100),IF(OR(I89&lt;&gt;"",S89&lt;&gt;""),"tbd",""))</f>
        <v/>
      </c>
      <c r="R89" s="204" t="n"/>
      <c r="S89" s="205" t="n"/>
      <c r="T89" s="199" t="n"/>
      <c r="U89" s="200" t="n"/>
      <c r="V89" s="200" t="n"/>
      <c r="W89" s="198" t="n"/>
      <c r="X89" s="200" t="n"/>
      <c r="Z89" t="str">
        <f>IF(AND(R89="WON",ISNUMBER(I89)),AA89,"")</f>
        <v/>
      </c>
      <c r="AA89">
        <f>IFERROR(I89*1,0)</f>
        <v>0</v>
      </c>
      <c r="AB89">
        <f>N(AB88)+IF(AND(R89="WON",B89&lt;&gt;""),1,0)</f>
        <v>7</v>
      </c>
      <c r="AC89">
        <f>N(AC88)+IF(AND(OR(R89="offered",R89="to be offered",R89="on hold"),B89&lt;&gt;""),1,0)</f>
        <v>19</v>
      </c>
      <c r="AD89">
        <f>N(AD88)+IF(AND(OR(R89="follow-up",R89="Evaluation",R89="tbd",R89="In evaluation"),B89&lt;&gt;""),1,0)</f>
        <v>9</v>
      </c>
    </row>
    <row r="90" ht="15" customHeight="1">
      <c r="A90" s="198" t="n"/>
      <c r="B90" s="199" t="n"/>
      <c r="C90" s="198" t="n"/>
      <c r="D90" s="200" t="n"/>
      <c r="E90" s="200" t="n"/>
      <c r="F90" s="201" t="n"/>
      <c r="G90" s="198" t="n"/>
      <c r="H90" s="202" t="n"/>
      <c r="I90" s="201" t="n"/>
      <c r="J90" s="201" t="n"/>
      <c r="K90" s="201" t="n"/>
      <c r="L90" s="201" t="n"/>
      <c r="M90" s="201" t="n"/>
      <c r="N90" s="201" t="str">
        <f>IF(ISNUMBER(I90),ROUND(I90-I90/1.081,2),"")</f>
        <v/>
      </c>
      <c r="O90" s="201" t="str">
        <f>IF(ISNUMBER(I90),I90-SUM(J90:N90),"")</f>
        <v/>
      </c>
      <c r="P90" s="203" t="str">
        <f>IFERROR(IF(AND(ISNUMBER(O90),ISNUMBER(I90),I90&lt;&gt;0),O90/I90,""),"")</f>
        <v/>
      </c>
      <c r="Q90" s="201" t="str">
        <f>IF(AND(ISNUMBER(I90),ISNUMBER(S90)),I90*IF(S90&lt;=1,S90,S90/100),IF(OR(I90&lt;&gt;"",S90&lt;&gt;""),"tbd",""))</f>
        <v/>
      </c>
      <c r="R90" s="204" t="n"/>
      <c r="S90" s="205" t="n"/>
      <c r="T90" s="199" t="n"/>
      <c r="U90" s="200" t="n"/>
      <c r="V90" s="200" t="n"/>
      <c r="W90" s="198" t="n"/>
      <c r="X90" s="200" t="n"/>
      <c r="Z90" t="str">
        <f>IF(AND(R90="WON",ISNUMBER(I90)),AA90,"")</f>
        <v/>
      </c>
      <c r="AA90">
        <f>IFERROR(I90*1,0)</f>
        <v>0</v>
      </c>
      <c r="AB90">
        <f>N(AB89)+IF(AND(R90="WON",B90&lt;&gt;""),1,0)</f>
        <v>7</v>
      </c>
      <c r="AC90">
        <f>N(AC89)+IF(AND(OR(R90="offered",R90="to be offered",R90="on hold"),B90&lt;&gt;""),1,0)</f>
        <v>19</v>
      </c>
      <c r="AD90">
        <f>N(AD89)+IF(AND(OR(R90="follow-up",R90="Evaluation",R90="tbd",R90="In evaluation"),B90&lt;&gt;""),1,0)</f>
        <v>9</v>
      </c>
    </row>
    <row r="91" ht="15" customHeight="1">
      <c r="A91" s="198" t="n"/>
      <c r="B91" s="199" t="n"/>
      <c r="C91" s="198" t="n"/>
      <c r="D91" s="200" t="n"/>
      <c r="E91" s="200" t="n"/>
      <c r="F91" s="201" t="n"/>
      <c r="G91" s="198" t="n"/>
      <c r="H91" s="202" t="n"/>
      <c r="I91" s="201" t="n"/>
      <c r="J91" s="201" t="n"/>
      <c r="K91" s="201" t="n"/>
      <c r="L91" s="201" t="n"/>
      <c r="M91" s="201" t="n"/>
      <c r="N91" s="201" t="str">
        <f>IF(ISNUMBER(I91),ROUND(I91-I91/1.081,2),"")</f>
        <v/>
      </c>
      <c r="O91" s="201" t="str">
        <f>IF(ISNUMBER(I91),I91-SUM(J91:N91),"")</f>
        <v/>
      </c>
      <c r="P91" s="203" t="str">
        <f>IFERROR(IF(AND(ISNUMBER(O91),ISNUMBER(I91),I91&lt;&gt;0),O91/I91,""),"")</f>
        <v/>
      </c>
      <c r="Q91" s="201" t="str">
        <f>IF(AND(ISNUMBER(I91),ISNUMBER(S91)),I91*IF(S91&lt;=1,S91,S91/100),IF(OR(I91&lt;&gt;"",S91&lt;&gt;""),"tbd",""))</f>
        <v/>
      </c>
      <c r="R91" s="204" t="n"/>
      <c r="S91" s="205" t="n"/>
      <c r="T91" s="199" t="n"/>
      <c r="U91" s="200" t="n"/>
      <c r="V91" s="200" t="n"/>
      <c r="W91" s="198" t="n"/>
      <c r="X91" s="200" t="n"/>
      <c r="Z91" t="str">
        <f>IF(AND(R91="WON",ISNUMBER(I91)),AA91,"")</f>
        <v/>
      </c>
      <c r="AA91">
        <f>IFERROR(I91*1,0)</f>
        <v>0</v>
      </c>
      <c r="AB91">
        <f>N(AB90)+IF(AND(R91="WON",B91&lt;&gt;""),1,0)</f>
        <v>7</v>
      </c>
      <c r="AC91">
        <f>N(AC90)+IF(AND(OR(R91="offered",R91="to be offered",R91="on hold"),B91&lt;&gt;""),1,0)</f>
        <v>19</v>
      </c>
      <c r="AD91">
        <f>N(AD90)+IF(AND(OR(R91="follow-up",R91="Evaluation",R91="tbd",R91="In evaluation"),B91&lt;&gt;""),1,0)</f>
        <v>9</v>
      </c>
    </row>
    <row r="92" ht="15" customHeight="1">
      <c r="A92" s="198" t="n"/>
      <c r="B92" s="199" t="n"/>
      <c r="C92" s="198" t="n"/>
      <c r="D92" s="200" t="n"/>
      <c r="E92" s="200" t="n"/>
      <c r="F92" s="201" t="n"/>
      <c r="G92" s="198" t="n"/>
      <c r="H92" s="202" t="n"/>
      <c r="I92" s="201" t="n"/>
      <c r="J92" s="201" t="n"/>
      <c r="K92" s="201" t="n"/>
      <c r="L92" s="201" t="n"/>
      <c r="M92" s="201" t="n"/>
      <c r="N92" s="201" t="str">
        <f>IF(ISNUMBER(I92),ROUND(I92-I92/1.081,2),"")</f>
        <v/>
      </c>
      <c r="O92" s="201" t="str">
        <f>IF(ISNUMBER(I92),I92-SUM(J92:N92),"")</f>
        <v/>
      </c>
      <c r="P92" s="203" t="str">
        <f>IFERROR(IF(AND(ISNUMBER(O92),ISNUMBER(I92),I92&lt;&gt;0),O92/I92,""),"")</f>
        <v/>
      </c>
      <c r="Q92" s="201" t="str">
        <f>IF(AND(ISNUMBER(I92),ISNUMBER(S92)),I92*IF(S92&lt;=1,S92,S92/100),IF(OR(I92&lt;&gt;"",S92&lt;&gt;""),"tbd",""))</f>
        <v/>
      </c>
      <c r="R92" s="204" t="n"/>
      <c r="S92" s="205" t="n"/>
      <c r="T92" s="199" t="n"/>
      <c r="U92" s="200" t="n"/>
      <c r="V92" s="200" t="n"/>
      <c r="W92" s="198" t="n"/>
      <c r="X92" s="200" t="n"/>
      <c r="Z92" t="str">
        <f>IF(AND(R92="WON",ISNUMBER(I92)),AA92,"")</f>
        <v/>
      </c>
      <c r="AA92">
        <f>IFERROR(I92*1,0)</f>
        <v>0</v>
      </c>
      <c r="AB92">
        <f>N(AB91)+IF(AND(R92="WON",B92&lt;&gt;""),1,0)</f>
        <v>7</v>
      </c>
      <c r="AC92">
        <f>N(AC91)+IF(AND(OR(R92="offered",R92="to be offered",R92="on hold"),B92&lt;&gt;""),1,0)</f>
        <v>19</v>
      </c>
      <c r="AD92">
        <f>N(AD91)+IF(AND(OR(R92="follow-up",R92="Evaluation",R92="tbd",R92="In evaluation"),B92&lt;&gt;""),1,0)</f>
        <v>9</v>
      </c>
    </row>
    <row r="93" ht="15" customHeight="1">
      <c r="A93" s="198" t="n"/>
      <c r="B93" s="199" t="n"/>
      <c r="C93" s="198" t="n"/>
      <c r="D93" s="200" t="n"/>
      <c r="E93" s="200" t="n"/>
      <c r="F93" s="201" t="n"/>
      <c r="G93" s="198" t="n"/>
      <c r="H93" s="202" t="n"/>
      <c r="I93" s="201" t="n"/>
      <c r="J93" s="201" t="n"/>
      <c r="K93" s="201" t="n"/>
      <c r="L93" s="201" t="n"/>
      <c r="M93" s="201" t="n"/>
      <c r="N93" s="201" t="str">
        <f>IF(ISNUMBER(I93),ROUND(I93-I93/1.081,2),"")</f>
        <v/>
      </c>
      <c r="O93" s="201" t="str">
        <f>IF(ISNUMBER(I93),I93-SUM(J93:N93),"")</f>
        <v/>
      </c>
      <c r="P93" s="203" t="str">
        <f>IFERROR(IF(AND(ISNUMBER(O93),ISNUMBER(I93),I93&lt;&gt;0),O93/I93,""),"")</f>
        <v/>
      </c>
      <c r="Q93" s="201" t="str">
        <f>IF(AND(ISNUMBER(I93),ISNUMBER(S93)),I93*IF(S93&lt;=1,S93,S93/100),IF(OR(I93&lt;&gt;"",S93&lt;&gt;""),"tbd",""))</f>
        <v/>
      </c>
      <c r="R93" s="204" t="n"/>
      <c r="S93" s="205" t="n"/>
      <c r="T93" s="199" t="n"/>
      <c r="U93" s="200" t="n"/>
      <c r="V93" s="200" t="n"/>
      <c r="W93" s="198" t="n"/>
      <c r="X93" s="200" t="n"/>
      <c r="Z93" t="str">
        <f>IF(AND(R93="WON",ISNUMBER(I93)),AA93,"")</f>
        <v/>
      </c>
      <c r="AA93">
        <f>IFERROR(I93*1,0)</f>
        <v>0</v>
      </c>
      <c r="AB93">
        <f>N(AB92)+IF(AND(R93="WON",B93&lt;&gt;""),1,0)</f>
        <v>7</v>
      </c>
      <c r="AC93">
        <f>N(AC92)+IF(AND(OR(R93="offered",R93="to be offered",R93="on hold"),B93&lt;&gt;""),1,0)</f>
        <v>19</v>
      </c>
      <c r="AD93">
        <f>N(AD92)+IF(AND(OR(R93="follow-up",R93="Evaluation",R93="tbd",R93="In evaluation"),B93&lt;&gt;""),1,0)</f>
        <v>9</v>
      </c>
    </row>
    <row r="94" ht="15" customHeight="1">
      <c r="A94" s="198" t="n"/>
      <c r="B94" s="199" t="n"/>
      <c r="C94" s="198" t="n"/>
      <c r="D94" s="200" t="n"/>
      <c r="E94" s="200" t="n"/>
      <c r="F94" s="201" t="n"/>
      <c r="G94" s="198" t="n"/>
      <c r="H94" s="202" t="n"/>
      <c r="I94" s="201" t="n"/>
      <c r="J94" s="201" t="n"/>
      <c r="K94" s="201" t="n"/>
      <c r="L94" s="201" t="n"/>
      <c r="M94" s="201" t="n"/>
      <c r="N94" s="201" t="str">
        <f>IF(ISNUMBER(I94),ROUND(I94-I94/1.081,2),"")</f>
        <v/>
      </c>
      <c r="O94" s="201" t="str">
        <f>IF(ISNUMBER(I94),I94-SUM(J94:N94),"")</f>
        <v/>
      </c>
      <c r="P94" s="203" t="str">
        <f>IFERROR(IF(AND(ISNUMBER(O94),ISNUMBER(I94),I94&lt;&gt;0),O94/I94,""),"")</f>
        <v/>
      </c>
      <c r="Q94" s="201" t="str">
        <f>IF(AND(ISNUMBER(I94),ISNUMBER(S94)),I94*IF(S94&lt;=1,S94,S94/100),IF(OR(I94&lt;&gt;"",S94&lt;&gt;""),"tbd",""))</f>
        <v/>
      </c>
      <c r="R94" s="204" t="n"/>
      <c r="S94" s="205" t="n"/>
      <c r="T94" s="199" t="n"/>
      <c r="U94" s="200" t="n"/>
      <c r="V94" s="200" t="n"/>
      <c r="W94" s="198" t="n"/>
      <c r="X94" s="200" t="n"/>
      <c r="Z94" t="str">
        <f>IF(AND(R94="WON",ISNUMBER(I94)),AA94,"")</f>
        <v/>
      </c>
      <c r="AA94">
        <f>IFERROR(I94*1,0)</f>
        <v>0</v>
      </c>
      <c r="AB94">
        <f>N(AB93)+IF(AND(R94="WON",B94&lt;&gt;""),1,0)</f>
        <v>7</v>
      </c>
      <c r="AC94">
        <f>N(AC93)+IF(AND(OR(R94="offered",R94="to be offered",R94="on hold"),B94&lt;&gt;""),1,0)</f>
        <v>19</v>
      </c>
      <c r="AD94">
        <f>N(AD93)+IF(AND(OR(R94="follow-up",R94="Evaluation",R94="tbd",R94="In evaluation"),B94&lt;&gt;""),1,0)</f>
        <v>9</v>
      </c>
    </row>
    <row r="95" ht="15" customHeight="1">
      <c r="A95" s="198" t="n"/>
      <c r="B95" s="199" t="n"/>
      <c r="C95" s="198" t="n"/>
      <c r="D95" s="200" t="n"/>
      <c r="E95" s="200" t="n"/>
      <c r="F95" s="201" t="n"/>
      <c r="G95" s="198" t="n"/>
      <c r="H95" s="202" t="n"/>
      <c r="I95" s="201" t="n"/>
      <c r="J95" s="201" t="n"/>
      <c r="K95" s="201" t="n"/>
      <c r="L95" s="201" t="n"/>
      <c r="M95" s="201" t="n"/>
      <c r="N95" s="201" t="str">
        <f>IF(ISNUMBER(I95),ROUND(I95-I95/1.081,2),"")</f>
        <v/>
      </c>
      <c r="O95" s="201" t="str">
        <f>IF(ISNUMBER(I95),I95-SUM(J95:N95),"")</f>
        <v/>
      </c>
      <c r="P95" s="203" t="str">
        <f>IFERROR(IF(AND(ISNUMBER(O95),ISNUMBER(I95),I95&lt;&gt;0),O95/I95,""),"")</f>
        <v/>
      </c>
      <c r="Q95" s="201" t="str">
        <f>IF(AND(ISNUMBER(I95),ISNUMBER(S95)),I95*IF(S95&lt;=1,S95,S95/100),IF(OR(I95&lt;&gt;"",S95&lt;&gt;""),"tbd",""))</f>
        <v/>
      </c>
      <c r="R95" s="204" t="n"/>
      <c r="S95" s="205" t="n"/>
      <c r="T95" s="199" t="n"/>
      <c r="U95" s="200" t="n"/>
      <c r="V95" s="200" t="n"/>
      <c r="W95" s="198" t="n"/>
      <c r="X95" s="200" t="n"/>
      <c r="Z95" t="str">
        <f>IF(AND(R95="WON",ISNUMBER(I95)),AA95,"")</f>
        <v/>
      </c>
      <c r="AA95">
        <f>IFERROR(I95*1,0)</f>
        <v>0</v>
      </c>
      <c r="AB95">
        <f>N(AB94)+IF(AND(R95="WON",B95&lt;&gt;""),1,0)</f>
        <v>7</v>
      </c>
      <c r="AC95">
        <f>N(AC94)+IF(AND(OR(R95="offered",R95="to be offered",R95="on hold"),B95&lt;&gt;""),1,0)</f>
        <v>19</v>
      </c>
      <c r="AD95">
        <f>N(AD94)+IF(AND(OR(R95="follow-up",R95="Evaluation",R95="tbd",R95="In evaluation"),B95&lt;&gt;""),1,0)</f>
        <v>9</v>
      </c>
    </row>
    <row r="96" ht="15" customHeight="1">
      <c r="A96" s="198" t="n"/>
      <c r="B96" s="199" t="n"/>
      <c r="C96" s="198" t="n"/>
      <c r="D96" s="200" t="n"/>
      <c r="E96" s="200" t="n"/>
      <c r="F96" s="201" t="n"/>
      <c r="G96" s="198" t="n"/>
      <c r="H96" s="202" t="n"/>
      <c r="I96" s="201" t="n"/>
      <c r="J96" s="201" t="n"/>
      <c r="K96" s="201" t="n"/>
      <c r="L96" s="201" t="n"/>
      <c r="M96" s="201" t="n"/>
      <c r="N96" s="201" t="str">
        <f>IF(ISNUMBER(I96),ROUND(I96-I96/1.081,2),"")</f>
        <v/>
      </c>
      <c r="O96" s="201" t="str">
        <f>IF(ISNUMBER(I96),I96-SUM(J96:N96),"")</f>
        <v/>
      </c>
      <c r="P96" s="203" t="str">
        <f>IFERROR(IF(AND(ISNUMBER(O96),ISNUMBER(I96),I96&lt;&gt;0),O96/I96,""),"")</f>
        <v/>
      </c>
      <c r="Q96" s="201" t="str">
        <f>IF(AND(ISNUMBER(I96),ISNUMBER(S96)),I96*IF(S96&lt;=1,S96,S96/100),IF(OR(I96&lt;&gt;"",S96&lt;&gt;""),"tbd",""))</f>
        <v/>
      </c>
      <c r="R96" s="204" t="n"/>
      <c r="S96" s="205" t="n"/>
      <c r="T96" s="199" t="n"/>
      <c r="U96" s="200" t="n"/>
      <c r="V96" s="200" t="n"/>
      <c r="W96" s="198" t="n"/>
      <c r="X96" s="200" t="n"/>
      <c r="Z96" t="str">
        <f>IF(AND(R96="WON",ISNUMBER(I96)),AA96,"")</f>
        <v/>
      </c>
      <c r="AA96">
        <f>IFERROR(I96*1,0)</f>
        <v>0</v>
      </c>
      <c r="AB96">
        <f>N(AB95)+IF(AND(R96="WON",B96&lt;&gt;""),1,0)</f>
        <v>7</v>
      </c>
      <c r="AC96">
        <f>N(AC95)+IF(AND(OR(R96="offered",R96="to be offered",R96="on hold"),B96&lt;&gt;""),1,0)</f>
        <v>19</v>
      </c>
      <c r="AD96">
        <f>N(AD95)+IF(AND(OR(R96="follow-up",R96="Evaluation",R96="tbd",R96="In evaluation"),B96&lt;&gt;""),1,0)</f>
        <v>9</v>
      </c>
    </row>
    <row r="97" ht="15" customHeight="1">
      <c r="A97" s="198" t="n"/>
      <c r="B97" s="199" t="n"/>
      <c r="C97" s="198" t="n"/>
      <c r="D97" s="200" t="n"/>
      <c r="E97" s="200" t="n"/>
      <c r="F97" s="201" t="n"/>
      <c r="G97" s="198" t="n"/>
      <c r="H97" s="202" t="n"/>
      <c r="I97" s="201" t="n"/>
      <c r="J97" s="201" t="n"/>
      <c r="K97" s="201" t="n"/>
      <c r="L97" s="201" t="n"/>
      <c r="M97" s="201" t="n"/>
      <c r="N97" s="201" t="str">
        <f>IF(ISNUMBER(I97),ROUND(I97-I97/1.081,2),"")</f>
        <v/>
      </c>
      <c r="O97" s="201" t="str">
        <f>IF(ISNUMBER(I97),I97-SUM(J97:N97),"")</f>
        <v/>
      </c>
      <c r="P97" s="203" t="str">
        <f>IFERROR(IF(AND(ISNUMBER(O97),ISNUMBER(I97),I97&lt;&gt;0),O97/I97,""),"")</f>
        <v/>
      </c>
      <c r="Q97" s="201" t="str">
        <f>IF(AND(ISNUMBER(I97),ISNUMBER(S97)),I97*IF(S97&lt;=1,S97,S97/100),IF(OR(I97&lt;&gt;"",S97&lt;&gt;""),"tbd",""))</f>
        <v/>
      </c>
      <c r="R97" s="204" t="n"/>
      <c r="S97" s="205" t="n"/>
      <c r="T97" s="199" t="n"/>
      <c r="U97" s="200" t="n"/>
      <c r="V97" s="200" t="n"/>
      <c r="W97" s="198" t="n"/>
      <c r="X97" s="200" t="n"/>
      <c r="Z97" t="str">
        <f>IF(AND(R97="WON",ISNUMBER(I97)),AA97,"")</f>
        <v/>
      </c>
      <c r="AA97">
        <f>IFERROR(I97*1,0)</f>
        <v>0</v>
      </c>
      <c r="AB97">
        <f>N(AB96)+IF(AND(R97="WON",B97&lt;&gt;""),1,0)</f>
        <v>7</v>
      </c>
      <c r="AC97">
        <f>N(AC96)+IF(AND(OR(R97="offered",R97="to be offered",R97="on hold"),B97&lt;&gt;""),1,0)</f>
        <v>19</v>
      </c>
      <c r="AD97">
        <f>N(AD96)+IF(AND(OR(R97="follow-up",R97="Evaluation",R97="tbd",R97="In evaluation"),B97&lt;&gt;""),1,0)</f>
        <v>9</v>
      </c>
    </row>
    <row r="98" ht="15" customHeight="1">
      <c r="A98" s="198" t="n"/>
      <c r="B98" s="199" t="n"/>
      <c r="C98" s="198" t="n"/>
      <c r="D98" s="200" t="n"/>
      <c r="E98" s="200" t="n"/>
      <c r="F98" s="201" t="n"/>
      <c r="G98" s="198" t="n"/>
      <c r="H98" s="202" t="n"/>
      <c r="I98" s="201" t="n"/>
      <c r="J98" s="201" t="n"/>
      <c r="K98" s="201" t="n"/>
      <c r="L98" s="201" t="n"/>
      <c r="M98" s="201" t="n"/>
      <c r="N98" s="201" t="str">
        <f>IF(ISNUMBER(I98),ROUND(I98-I98/1.081,2),"")</f>
        <v/>
      </c>
      <c r="O98" s="201" t="str">
        <f>IF(ISNUMBER(I98),I98-SUM(J98:N98),"")</f>
        <v/>
      </c>
      <c r="P98" s="203" t="str">
        <f>IFERROR(IF(AND(ISNUMBER(O98),ISNUMBER(I98),I98&lt;&gt;0),O98/I98,""),"")</f>
        <v/>
      </c>
      <c r="Q98" s="201" t="str">
        <f>IF(AND(ISNUMBER(I98),ISNUMBER(S98)),I98*IF(S98&lt;=1,S98,S98/100),IF(OR(I98&lt;&gt;"",S98&lt;&gt;""),"tbd",""))</f>
        <v/>
      </c>
      <c r="R98" s="204" t="n"/>
      <c r="S98" s="205" t="n"/>
      <c r="T98" s="199" t="n"/>
      <c r="U98" s="200" t="n"/>
      <c r="V98" s="200" t="n"/>
      <c r="W98" s="198" t="n"/>
      <c r="X98" s="200" t="n"/>
      <c r="Z98" t="str">
        <f>IF(AND(R98="WON",ISNUMBER(I98)),AA98,"")</f>
        <v/>
      </c>
      <c r="AA98">
        <f>IFERROR(I98*1,0)</f>
        <v>0</v>
      </c>
      <c r="AB98">
        <f>N(AB97)+IF(AND(R98="WON",B98&lt;&gt;""),1,0)</f>
        <v>7</v>
      </c>
      <c r="AC98">
        <f>N(AC97)+IF(AND(OR(R98="offered",R98="to be offered",R98="on hold"),B98&lt;&gt;""),1,0)</f>
        <v>19</v>
      </c>
      <c r="AD98">
        <f>N(AD97)+IF(AND(OR(R98="follow-up",R98="Evaluation",R98="tbd",R98="In evaluation"),B98&lt;&gt;""),1,0)</f>
        <v>9</v>
      </c>
    </row>
    <row r="99" ht="15" customHeight="1">
      <c r="A99" s="198" t="n"/>
      <c r="B99" s="199" t="n"/>
      <c r="C99" s="198" t="n"/>
      <c r="D99" s="200" t="n"/>
      <c r="E99" s="200" t="n"/>
      <c r="F99" s="201" t="n"/>
      <c r="G99" s="198" t="n"/>
      <c r="H99" s="202" t="n"/>
      <c r="I99" s="201" t="n"/>
      <c r="J99" s="201" t="n"/>
      <c r="K99" s="201" t="n"/>
      <c r="L99" s="201" t="n"/>
      <c r="M99" s="201" t="n"/>
      <c r="N99" s="201" t="str">
        <f>IF(ISNUMBER(I99),ROUND(I99-I99/1.081,2),"")</f>
        <v/>
      </c>
      <c r="O99" s="201" t="str">
        <f>IF(ISNUMBER(I99),I99-SUM(J99:N99),"")</f>
        <v/>
      </c>
      <c r="P99" s="203" t="str">
        <f>IFERROR(IF(AND(ISNUMBER(O99),ISNUMBER(I99),I99&lt;&gt;0),O99/I99,""),"")</f>
        <v/>
      </c>
      <c r="Q99" s="201" t="str">
        <f>IF(AND(ISNUMBER(I99),ISNUMBER(S99)),I99*IF(S99&lt;=1,S99,S99/100),IF(OR(I99&lt;&gt;"",S99&lt;&gt;""),"tbd",""))</f>
        <v/>
      </c>
      <c r="R99" s="204" t="n"/>
      <c r="S99" s="205" t="n"/>
      <c r="T99" s="199" t="n"/>
      <c r="U99" s="200" t="n"/>
      <c r="V99" s="200" t="n"/>
      <c r="W99" s="198" t="n"/>
      <c r="X99" s="200" t="n"/>
      <c r="Z99" t="str">
        <f>IF(AND(R99="WON",ISNUMBER(I99)),AA99,"")</f>
        <v/>
      </c>
      <c r="AA99">
        <f>IFERROR(I99*1,0)</f>
        <v>0</v>
      </c>
      <c r="AB99">
        <f>N(AB98)+IF(AND(R99="WON",B99&lt;&gt;""),1,0)</f>
        <v>7</v>
      </c>
      <c r="AC99">
        <f>N(AC98)+IF(AND(OR(R99="offered",R99="to be offered",R99="on hold"),B99&lt;&gt;""),1,0)</f>
        <v>19</v>
      </c>
      <c r="AD99">
        <f>N(AD98)+IF(AND(OR(R99="follow-up",R99="Evaluation",R99="tbd",R99="In evaluation"),B99&lt;&gt;""),1,0)</f>
        <v>9</v>
      </c>
    </row>
    <row r="100" ht="15" customHeight="1">
      <c r="A100" s="198" t="n"/>
      <c r="B100" s="199" t="n"/>
      <c r="C100" s="198" t="n"/>
      <c r="D100" s="200" t="n"/>
      <c r="E100" s="200" t="n"/>
      <c r="F100" s="201" t="n"/>
      <c r="G100" s="198" t="n"/>
      <c r="H100" s="202" t="n"/>
      <c r="I100" s="201" t="n"/>
      <c r="J100" s="201" t="n"/>
      <c r="K100" s="201" t="n"/>
      <c r="L100" s="201" t="n"/>
      <c r="M100" s="201" t="n"/>
      <c r="N100" s="201" t="str">
        <f>IF(ISNUMBER(I100),ROUND(I100-I100/1.081,2),"")</f>
        <v/>
      </c>
      <c r="O100" s="201" t="str">
        <f>IF(ISNUMBER(I100),I100-SUM(J100:N100),"")</f>
        <v/>
      </c>
      <c r="P100" s="203" t="str">
        <f>IFERROR(IF(AND(ISNUMBER(O100),ISNUMBER(I100),I100&lt;&gt;0),O100/I100,""),"")</f>
        <v/>
      </c>
      <c r="Q100" s="201" t="str">
        <f>IF(AND(ISNUMBER(I100),ISNUMBER(S100)),I100*IF(S100&lt;=1,S100,S100/100),IF(OR(I100&lt;&gt;"",S100&lt;&gt;""),"tbd",""))</f>
        <v/>
      </c>
      <c r="R100" s="204" t="n"/>
      <c r="S100" s="205" t="n"/>
      <c r="T100" s="199" t="n"/>
      <c r="U100" s="200" t="n"/>
      <c r="V100" s="200" t="n"/>
      <c r="W100" s="198" t="n"/>
      <c r="X100" s="200" t="n"/>
      <c r="Z100" t="str">
        <f>IF(AND(R100="WON",ISNUMBER(I100)),AA100,"")</f>
        <v/>
      </c>
      <c r="AA100">
        <f>IFERROR(I100*1,0)</f>
        <v>0</v>
      </c>
      <c r="AB100">
        <f>N(AB99)+IF(AND(R100="WON",B100&lt;&gt;""),1,0)</f>
        <v>7</v>
      </c>
      <c r="AC100">
        <f>N(AC99)+IF(AND(OR(R100="offered",R100="to be offered",R100="on hold"),B100&lt;&gt;""),1,0)</f>
        <v>19</v>
      </c>
      <c r="AD100">
        <f>N(AD99)+IF(AND(OR(R100="follow-up",R100="Evaluation",R100="tbd",R100="In evaluation"),B100&lt;&gt;""),1,0)</f>
        <v>9</v>
      </c>
    </row>
    <row r="101" ht="15" customHeight="1">
      <c r="A101" s="198" t="n"/>
      <c r="B101" s="199" t="n"/>
      <c r="C101" s="198" t="n"/>
      <c r="D101" s="200" t="n"/>
      <c r="E101" s="200" t="n"/>
      <c r="F101" s="201" t="n"/>
      <c r="G101" s="198" t="n"/>
      <c r="H101" s="202" t="n"/>
      <c r="I101" s="201" t="n"/>
      <c r="J101" s="201" t="n"/>
      <c r="K101" s="201" t="n"/>
      <c r="L101" s="201" t="n"/>
      <c r="M101" s="201" t="n"/>
      <c r="N101" s="201" t="str">
        <f>IF(ISNUMBER(I101),ROUND(I101-I101/1.081,2),"")</f>
        <v/>
      </c>
      <c r="O101" s="201" t="str">
        <f>IF(ISNUMBER(I101),I101-SUM(J101:N101),"")</f>
        <v/>
      </c>
      <c r="P101" s="203" t="str">
        <f>IFERROR(IF(AND(ISNUMBER(O101),ISNUMBER(I101),I101&lt;&gt;0),O101/I101,""),"")</f>
        <v/>
      </c>
      <c r="Q101" s="201" t="str">
        <f>IF(AND(ISNUMBER(I101),ISNUMBER(S101)),I101*IF(S101&lt;=1,S101,S101/100),IF(OR(I101&lt;&gt;"",S101&lt;&gt;""),"tbd",""))</f>
        <v/>
      </c>
      <c r="R101" s="204" t="n"/>
      <c r="S101" s="205" t="n"/>
      <c r="T101" s="199" t="n"/>
      <c r="U101" s="200" t="n"/>
      <c r="V101" s="200" t="n"/>
      <c r="W101" s="198" t="n"/>
      <c r="X101" s="200" t="n"/>
      <c r="Z101" t="str">
        <f>IF(AND(R101="WON",ISNUMBER(I101)),AA101,"")</f>
        <v/>
      </c>
      <c r="AA101">
        <f>IFERROR(I101*1,0)</f>
        <v>0</v>
      </c>
      <c r="AB101">
        <f>N(AB100)+IF(AND(R101="WON",B101&lt;&gt;""),1,0)</f>
        <v>7</v>
      </c>
      <c r="AC101">
        <f>N(AC100)+IF(AND(OR(R101="offered",R101="to be offered",R101="on hold"),B101&lt;&gt;""),1,0)</f>
        <v>19</v>
      </c>
      <c r="AD101">
        <f>N(AD100)+IF(AND(OR(R101="follow-up",R101="Evaluation",R101="tbd",R101="In evaluation"),B101&lt;&gt;""),1,0)</f>
        <v>9</v>
      </c>
    </row>
    <row r="102" ht="15" customHeight="1">
      <c r="A102" s="198" t="n"/>
      <c r="B102" s="199" t="n"/>
      <c r="C102" s="198" t="n"/>
      <c r="D102" s="200" t="n"/>
      <c r="E102" s="200" t="n"/>
      <c r="F102" s="201" t="n"/>
      <c r="G102" s="198" t="n"/>
      <c r="H102" s="202" t="n"/>
      <c r="I102" s="201" t="n"/>
      <c r="J102" s="201" t="n"/>
      <c r="K102" s="201" t="n"/>
      <c r="L102" s="201" t="n"/>
      <c r="M102" s="201" t="n"/>
      <c r="N102" s="201" t="str">
        <f>IF(ISNUMBER(I102),ROUND(I102-I102/1.081,2),"")</f>
        <v/>
      </c>
      <c r="O102" s="201" t="str">
        <f>IF(ISNUMBER(I102),I102-SUM(J102:N102),"")</f>
        <v/>
      </c>
      <c r="P102" s="203" t="str">
        <f>IFERROR(IF(AND(ISNUMBER(O102),ISNUMBER(I102),I102&lt;&gt;0),O102/I102,""),"")</f>
        <v/>
      </c>
      <c r="Q102" s="201" t="str">
        <f>IF(AND(ISNUMBER(I102),ISNUMBER(S102)),I102*IF(S102&lt;=1,S102,S102/100),IF(OR(I102&lt;&gt;"",S102&lt;&gt;""),"tbd",""))</f>
        <v/>
      </c>
      <c r="R102" s="204" t="n"/>
      <c r="S102" s="205" t="n"/>
      <c r="T102" s="199" t="n"/>
      <c r="U102" s="200" t="n"/>
      <c r="V102" s="200" t="n"/>
      <c r="W102" s="198" t="n"/>
      <c r="X102" s="200" t="n"/>
      <c r="Z102" t="str">
        <f>IF(AND(R102="WON",ISNUMBER(I102)),AA102,"")</f>
        <v/>
      </c>
      <c r="AA102">
        <f>IFERROR(I102*1,0)</f>
        <v>0</v>
      </c>
      <c r="AB102">
        <f>N(AB101)+IF(AND(R102="WON",B102&lt;&gt;""),1,0)</f>
        <v>7</v>
      </c>
      <c r="AC102">
        <f>N(AC101)+IF(AND(OR(R102="offered",R102="to be offered",R102="on hold"),B102&lt;&gt;""),1,0)</f>
        <v>19</v>
      </c>
      <c r="AD102">
        <f>N(AD101)+IF(AND(OR(R102="follow-up",R102="Evaluation",R102="tbd",R102="In evaluation"),B102&lt;&gt;""),1,0)</f>
        <v>9</v>
      </c>
    </row>
    <row r="103" ht="15" customHeight="1">
      <c r="A103" s="198" t="n"/>
      <c r="B103" s="199" t="n"/>
      <c r="C103" s="198" t="n"/>
      <c r="D103" s="200" t="n"/>
      <c r="E103" s="200" t="n"/>
      <c r="F103" s="201" t="n"/>
      <c r="G103" s="198" t="n"/>
      <c r="H103" s="202" t="n"/>
      <c r="I103" s="201" t="n"/>
      <c r="J103" s="201" t="n"/>
      <c r="K103" s="201" t="n"/>
      <c r="L103" s="201" t="n"/>
      <c r="M103" s="201" t="n"/>
      <c r="N103" s="201" t="str">
        <f>IF(ISNUMBER(I103),ROUND(I103-I103/1.081,2),"")</f>
        <v/>
      </c>
      <c r="O103" s="201" t="str">
        <f>IF(ISNUMBER(I103),I103-SUM(J103:N103),"")</f>
        <v/>
      </c>
      <c r="P103" s="203" t="str">
        <f>IFERROR(IF(AND(ISNUMBER(O103),ISNUMBER(I103),I103&lt;&gt;0),O103/I103,""),"")</f>
        <v/>
      </c>
      <c r="Q103" s="201" t="str">
        <f>IF(AND(ISNUMBER(I103),ISNUMBER(S103)),I103*IF(S103&lt;=1,S103,S103/100),IF(OR(I103&lt;&gt;"",S103&lt;&gt;""),"tbd",""))</f>
        <v/>
      </c>
      <c r="R103" s="204" t="n"/>
      <c r="S103" s="205" t="n"/>
      <c r="T103" s="199" t="n"/>
      <c r="U103" s="200" t="n"/>
      <c r="V103" s="200" t="n"/>
      <c r="W103" s="198" t="n"/>
      <c r="X103" s="200" t="n"/>
      <c r="Z103" t="str">
        <f>IF(AND(R103="WON",ISNUMBER(I103)),AA103,"")</f>
        <v/>
      </c>
      <c r="AA103">
        <f>IFERROR(I103*1,0)</f>
        <v>0</v>
      </c>
      <c r="AB103">
        <f>N(AB102)+IF(AND(R103="WON",B103&lt;&gt;""),1,0)</f>
        <v>7</v>
      </c>
      <c r="AC103">
        <f>N(AC102)+IF(AND(OR(R103="offered",R103="to be offered",R103="on hold"),B103&lt;&gt;""),1,0)</f>
        <v>19</v>
      </c>
      <c r="AD103">
        <f>N(AD102)+IF(AND(OR(R103="follow-up",R103="Evaluation",R103="tbd",R103="In evaluation"),B103&lt;&gt;""),1,0)</f>
        <v>9</v>
      </c>
    </row>
    <row r="104" ht="15" customHeight="1">
      <c r="A104" s="198" t="n"/>
      <c r="B104" s="199" t="n"/>
      <c r="C104" s="198" t="n"/>
      <c r="D104" s="200" t="n"/>
      <c r="E104" s="200" t="n"/>
      <c r="F104" s="201" t="n"/>
      <c r="G104" s="198" t="n"/>
      <c r="H104" s="202" t="n"/>
      <c r="I104" s="201" t="n"/>
      <c r="J104" s="201" t="n"/>
      <c r="K104" s="201" t="n"/>
      <c r="L104" s="201" t="n"/>
      <c r="M104" s="201" t="n"/>
      <c r="N104" s="201" t="str">
        <f>IF(ISNUMBER(I104),ROUND(I104-I104/1.081,2),"")</f>
        <v/>
      </c>
      <c r="O104" s="201" t="str">
        <f>IF(ISNUMBER(I104),I104-SUM(J104:N104),"")</f>
        <v/>
      </c>
      <c r="P104" s="203" t="str">
        <f>IFERROR(IF(AND(ISNUMBER(O104),ISNUMBER(I104),I104&lt;&gt;0),O104/I104,""),"")</f>
        <v/>
      </c>
      <c r="Q104" s="201" t="str">
        <f>IF(AND(ISNUMBER(I104),ISNUMBER(S104)),I104*IF(S104&lt;=1,S104,S104/100),IF(OR(I104&lt;&gt;"",S104&lt;&gt;""),"tbd",""))</f>
        <v/>
      </c>
      <c r="R104" s="204" t="n"/>
      <c r="S104" s="205" t="n"/>
      <c r="T104" s="199" t="n"/>
      <c r="U104" s="200" t="n"/>
      <c r="V104" s="200" t="n"/>
      <c r="W104" s="198" t="n"/>
      <c r="X104" s="200" t="n"/>
      <c r="Z104" t="str">
        <f>IF(AND(R104="WON",ISNUMBER(I104)),AA104,"")</f>
        <v/>
      </c>
      <c r="AA104">
        <f>IFERROR(I104*1,0)</f>
        <v>0</v>
      </c>
      <c r="AB104">
        <f>N(AB103)+IF(AND(R104="WON",B104&lt;&gt;""),1,0)</f>
        <v>7</v>
      </c>
      <c r="AC104">
        <f>N(AC103)+IF(AND(OR(R104="offered",R104="to be offered",R104="on hold"),B104&lt;&gt;""),1,0)</f>
        <v>19</v>
      </c>
      <c r="AD104">
        <f>N(AD103)+IF(AND(OR(R104="follow-up",R104="Evaluation",R104="tbd",R104="In evaluation"),B104&lt;&gt;""),1,0)</f>
        <v>9</v>
      </c>
    </row>
    <row r="105" ht="15" customHeight="1">
      <c r="A105" s="198" t="n"/>
      <c r="B105" s="199" t="n"/>
      <c r="C105" s="198" t="n"/>
      <c r="D105" s="200" t="n"/>
      <c r="E105" s="200" t="n"/>
      <c r="F105" s="201" t="n"/>
      <c r="G105" s="198" t="n"/>
      <c r="H105" s="202" t="n"/>
      <c r="I105" s="201" t="n"/>
      <c r="J105" s="201" t="n"/>
      <c r="K105" s="201" t="n"/>
      <c r="L105" s="201" t="n"/>
      <c r="M105" s="201" t="n"/>
      <c r="N105" s="201" t="str">
        <f>IF(ISNUMBER(I105),ROUND(I105-I105/1.081,2),"")</f>
        <v/>
      </c>
      <c r="O105" s="201" t="str">
        <f>IF(ISNUMBER(I105),I105-SUM(J105:N105),"")</f>
        <v/>
      </c>
      <c r="P105" s="203" t="str">
        <f>IFERROR(IF(AND(ISNUMBER(O105),ISNUMBER(I105),I105&lt;&gt;0),O105/I105,""),"")</f>
        <v/>
      </c>
      <c r="Q105" s="201" t="str">
        <f>IF(AND(ISNUMBER(I105),ISNUMBER(S105)),I105*IF(S105&lt;=1,S105,S105/100),IF(OR(I105&lt;&gt;"",S105&lt;&gt;""),"tbd",""))</f>
        <v/>
      </c>
      <c r="R105" s="204" t="n"/>
      <c r="S105" s="205" t="n"/>
      <c r="T105" s="199" t="n"/>
      <c r="U105" s="200" t="n"/>
      <c r="V105" s="200" t="n"/>
      <c r="W105" s="198" t="n"/>
      <c r="X105" s="200" t="n"/>
      <c r="Z105" t="str">
        <f>IF(AND(R105="WON",ISNUMBER(I105)),AA105,"")</f>
        <v/>
      </c>
      <c r="AA105">
        <f>IFERROR(I105*1,0)</f>
        <v>0</v>
      </c>
      <c r="AB105">
        <f>N(AB104)+IF(AND(R105="WON",B105&lt;&gt;""),1,0)</f>
        <v>7</v>
      </c>
      <c r="AC105">
        <f>N(AC104)+IF(AND(OR(R105="offered",R105="to be offered",R105="on hold"),B105&lt;&gt;""),1,0)</f>
        <v>19</v>
      </c>
      <c r="AD105">
        <f>N(AD104)+IF(AND(OR(R105="follow-up",R105="Evaluation",R105="tbd",R105="In evaluation"),B105&lt;&gt;""),1,0)</f>
        <v>9</v>
      </c>
    </row>
    <row r="106" ht="15" customHeight="1">
      <c r="A106" s="198" t="n"/>
      <c r="B106" s="199" t="n"/>
      <c r="C106" s="198" t="n"/>
      <c r="D106" s="200" t="n"/>
      <c r="E106" s="200" t="n"/>
      <c r="F106" s="201" t="n"/>
      <c r="G106" s="198" t="n"/>
      <c r="H106" s="202" t="n"/>
      <c r="I106" s="201" t="n"/>
      <c r="J106" s="201" t="n"/>
      <c r="K106" s="201" t="n"/>
      <c r="L106" s="201" t="n"/>
      <c r="M106" s="201" t="n"/>
      <c r="N106" s="201" t="str">
        <f>IF(ISNUMBER(I106),ROUND(I106-I106/1.081,2),"")</f>
        <v/>
      </c>
      <c r="O106" s="201" t="str">
        <f>IF(ISNUMBER(I106),I106-SUM(J106:N106),"")</f>
        <v/>
      </c>
      <c r="P106" s="203" t="str">
        <f>IFERROR(IF(AND(ISNUMBER(O106),ISNUMBER(I106),I106&lt;&gt;0),O106/I106,""),"")</f>
        <v/>
      </c>
      <c r="Q106" s="201" t="str">
        <f>IF(AND(ISNUMBER(I106),ISNUMBER(S106)),I106*IF(S106&lt;=1,S106,S106/100),IF(OR(I106&lt;&gt;"",S106&lt;&gt;""),"tbd",""))</f>
        <v/>
      </c>
      <c r="R106" s="204" t="n"/>
      <c r="S106" s="205" t="n"/>
      <c r="T106" s="199" t="n"/>
      <c r="U106" s="200" t="n"/>
      <c r="V106" s="200" t="n"/>
      <c r="W106" s="198" t="n"/>
      <c r="X106" s="200" t="n"/>
      <c r="Z106" t="str">
        <f>IF(AND(R106="WON",ISNUMBER(I106)),AA106,"")</f>
        <v/>
      </c>
      <c r="AA106">
        <f>IFERROR(I106*1,0)</f>
        <v>0</v>
      </c>
      <c r="AB106">
        <f>N(AB105)+IF(AND(R106="WON",B106&lt;&gt;""),1,0)</f>
        <v>7</v>
      </c>
      <c r="AC106">
        <f>N(AC105)+IF(AND(OR(R106="offered",R106="to be offered",R106="on hold"),B106&lt;&gt;""),1,0)</f>
        <v>19</v>
      </c>
      <c r="AD106">
        <f>N(AD105)+IF(AND(OR(R106="follow-up",R106="Evaluation",R106="tbd",R106="In evaluation"),B106&lt;&gt;""),1,0)</f>
        <v>9</v>
      </c>
    </row>
    <row r="107" ht="15" customHeight="1">
      <c r="A107" s="198" t="n"/>
      <c r="B107" s="199" t="n"/>
      <c r="C107" s="198" t="n"/>
      <c r="D107" s="200" t="n"/>
      <c r="E107" s="200" t="n"/>
      <c r="F107" s="201" t="n"/>
      <c r="G107" s="198" t="n"/>
      <c r="H107" s="202" t="n"/>
      <c r="I107" s="201" t="n"/>
      <c r="J107" s="201" t="n"/>
      <c r="K107" s="201" t="n"/>
      <c r="L107" s="201" t="n"/>
      <c r="M107" s="201" t="n"/>
      <c r="N107" s="201" t="str">
        <f>IF(ISNUMBER(I107),ROUND(I107-I107/1.081,2),"")</f>
        <v/>
      </c>
      <c r="O107" s="201" t="str">
        <f>IF(ISNUMBER(I107),I107-SUM(J107:N107),"")</f>
        <v/>
      </c>
      <c r="P107" s="203" t="str">
        <f>IFERROR(IF(AND(ISNUMBER(O107),ISNUMBER(I107),I107&lt;&gt;0),O107/I107,""),"")</f>
        <v/>
      </c>
      <c r="Q107" s="201" t="str">
        <f>IF(AND(ISNUMBER(I107),ISNUMBER(S107)),I107*IF(S107&lt;=1,S107,S107/100),IF(OR(I107&lt;&gt;"",S107&lt;&gt;""),"tbd",""))</f>
        <v/>
      </c>
      <c r="R107" s="204" t="n"/>
      <c r="S107" s="205" t="n"/>
      <c r="T107" s="199" t="n"/>
      <c r="U107" s="200" t="n"/>
      <c r="V107" s="200" t="n"/>
      <c r="W107" s="198" t="n"/>
      <c r="X107" s="200" t="n"/>
      <c r="Z107" t="str">
        <f>IF(AND(R107="WON",ISNUMBER(I107)),AA107,"")</f>
        <v/>
      </c>
      <c r="AA107">
        <f>IFERROR(I107*1,0)</f>
        <v>0</v>
      </c>
      <c r="AB107">
        <f>N(AB106)+IF(AND(R107="WON",B107&lt;&gt;""),1,0)</f>
        <v>7</v>
      </c>
      <c r="AC107">
        <f>N(AC106)+IF(AND(OR(R107="offered",R107="to be offered",R107="on hold"),B107&lt;&gt;""),1,0)</f>
        <v>19</v>
      </c>
      <c r="AD107">
        <f>N(AD106)+IF(AND(OR(R107="follow-up",R107="Evaluation",R107="tbd",R107="In evaluation"),B107&lt;&gt;""),1,0)</f>
        <v>9</v>
      </c>
    </row>
    <row r="108" ht="15" customHeight="1">
      <c r="A108" s="198" t="n"/>
      <c r="B108" s="199" t="n"/>
      <c r="C108" s="198" t="n"/>
      <c r="D108" s="200" t="n"/>
      <c r="E108" s="200" t="n"/>
      <c r="F108" s="201" t="n"/>
      <c r="G108" s="198" t="n"/>
      <c r="H108" s="202" t="n"/>
      <c r="I108" s="201" t="n"/>
      <c r="J108" s="201" t="n"/>
      <c r="K108" s="201" t="n"/>
      <c r="L108" s="201" t="n"/>
      <c r="M108" s="201" t="n"/>
      <c r="N108" s="201" t="str">
        <f>IF(ISNUMBER(I108),ROUND(I108-I108/1.081,2),"")</f>
        <v/>
      </c>
      <c r="O108" s="201" t="str">
        <f>IF(ISNUMBER(I108),I108-SUM(J108:N108),"")</f>
        <v/>
      </c>
      <c r="P108" s="203" t="str">
        <f>IFERROR(IF(AND(ISNUMBER(O108),ISNUMBER(I108),I108&lt;&gt;0),O108/I108,""),"")</f>
        <v/>
      </c>
      <c r="Q108" s="201" t="str">
        <f>IF(AND(ISNUMBER(I108),ISNUMBER(S108)),I108*IF(S108&lt;=1,S108,S108/100),IF(OR(I108&lt;&gt;"",S108&lt;&gt;""),"tbd",""))</f>
        <v/>
      </c>
      <c r="R108" s="204" t="n"/>
      <c r="S108" s="205" t="n"/>
      <c r="T108" s="199" t="n"/>
      <c r="U108" s="200" t="n"/>
      <c r="V108" s="200" t="n"/>
      <c r="W108" s="198" t="n"/>
      <c r="X108" s="200" t="n"/>
      <c r="Z108" t="str">
        <f>IF(AND(R108="WON",ISNUMBER(I108)),AA108,"")</f>
        <v/>
      </c>
      <c r="AA108">
        <f>IFERROR(I108*1,0)</f>
        <v>0</v>
      </c>
      <c r="AB108">
        <f>N(AB107)+IF(AND(R108="WON",B108&lt;&gt;""),1,0)</f>
        <v>7</v>
      </c>
      <c r="AC108">
        <f>N(AC107)+IF(AND(OR(R108="offered",R108="to be offered",R108="on hold"),B108&lt;&gt;""),1,0)</f>
        <v>19</v>
      </c>
      <c r="AD108">
        <f>N(AD107)+IF(AND(OR(R108="follow-up",R108="Evaluation",R108="tbd",R108="In evaluation"),B108&lt;&gt;""),1,0)</f>
        <v>9</v>
      </c>
    </row>
    <row r="109" ht="15" customHeight="1">
      <c r="A109" s="198" t="n"/>
      <c r="B109" s="199" t="n"/>
      <c r="C109" s="198" t="n"/>
      <c r="D109" s="200" t="n"/>
      <c r="E109" s="200" t="n"/>
      <c r="F109" s="201" t="n"/>
      <c r="G109" s="198" t="n"/>
      <c r="H109" s="202" t="n"/>
      <c r="I109" s="201" t="n"/>
      <c r="J109" s="201" t="n"/>
      <c r="K109" s="201" t="n"/>
      <c r="L109" s="201" t="n"/>
      <c r="M109" s="201" t="n"/>
      <c r="N109" s="201" t="str">
        <f>IF(ISNUMBER(I109),ROUND(I109-I109/1.081,2),"")</f>
        <v/>
      </c>
      <c r="O109" s="201" t="str">
        <f>IF(ISNUMBER(I109),I109-SUM(J109:N109),"")</f>
        <v/>
      </c>
      <c r="P109" s="203" t="str">
        <f>IFERROR(IF(AND(ISNUMBER(O109),ISNUMBER(I109),I109&lt;&gt;0),O109/I109,""),"")</f>
        <v/>
      </c>
      <c r="Q109" s="201" t="str">
        <f>IF(AND(ISNUMBER(I109),ISNUMBER(S109)),I109*IF(S109&lt;=1,S109,S109/100),IF(OR(I109&lt;&gt;"",S109&lt;&gt;""),"tbd",""))</f>
        <v/>
      </c>
      <c r="R109" s="204" t="n"/>
      <c r="S109" s="205" t="n"/>
      <c r="T109" s="199" t="n"/>
      <c r="U109" s="200" t="n"/>
      <c r="V109" s="200" t="n"/>
      <c r="W109" s="198" t="n"/>
      <c r="X109" s="200" t="n"/>
      <c r="Z109" t="str">
        <f>IF(AND(R109="WON",ISNUMBER(I109)),AA109,"")</f>
        <v/>
      </c>
      <c r="AA109">
        <f>IFERROR(I109*1,0)</f>
        <v>0</v>
      </c>
      <c r="AB109">
        <f>N(AB108)+IF(AND(R109="WON",B109&lt;&gt;""),1,0)</f>
        <v>7</v>
      </c>
      <c r="AC109">
        <f>N(AC108)+IF(AND(OR(R109="offered",R109="to be offered",R109="on hold"),B109&lt;&gt;""),1,0)</f>
        <v>19</v>
      </c>
      <c r="AD109">
        <f>N(AD108)+IF(AND(OR(R109="follow-up",R109="Evaluation",R109="tbd",R109="In evaluation"),B109&lt;&gt;""),1,0)</f>
        <v>9</v>
      </c>
    </row>
    <row r="110" ht="15" customHeight="1">
      <c r="A110" s="198" t="n"/>
      <c r="B110" s="199" t="n"/>
      <c r="C110" s="198" t="n"/>
      <c r="D110" s="200" t="n"/>
      <c r="E110" s="200" t="n"/>
      <c r="F110" s="201" t="n"/>
      <c r="G110" s="198" t="n"/>
      <c r="H110" s="202" t="n"/>
      <c r="I110" s="201" t="n"/>
      <c r="J110" s="201" t="n"/>
      <c r="K110" s="201" t="n"/>
      <c r="L110" s="201" t="n"/>
      <c r="M110" s="201" t="n"/>
      <c r="N110" s="201" t="str">
        <f>IF(ISNUMBER(I110),ROUND(I110-I110/1.081,2),"")</f>
        <v/>
      </c>
      <c r="O110" s="201" t="str">
        <f>IF(ISNUMBER(I110),I110-SUM(J110:N110),"")</f>
        <v/>
      </c>
      <c r="P110" s="203" t="str">
        <f>IFERROR(IF(AND(ISNUMBER(O110),ISNUMBER(I110),I110&lt;&gt;0),O110/I110,""),"")</f>
        <v/>
      </c>
      <c r="Q110" s="201" t="str">
        <f>IF(AND(ISNUMBER(I110),ISNUMBER(S110)),I110*IF(S110&lt;=1,S110,S110/100),IF(OR(I110&lt;&gt;"",S110&lt;&gt;""),"tbd",""))</f>
        <v/>
      </c>
      <c r="R110" s="204" t="n"/>
      <c r="S110" s="205" t="n"/>
      <c r="T110" s="199" t="n"/>
      <c r="U110" s="200" t="n"/>
      <c r="V110" s="200" t="n"/>
      <c r="W110" s="198" t="n"/>
      <c r="X110" s="200" t="n"/>
      <c r="Z110" t="str">
        <f>IF(AND(R110="WON",ISNUMBER(I110)),AA110,"")</f>
        <v/>
      </c>
      <c r="AA110">
        <f>IFERROR(I110*1,0)</f>
        <v>0</v>
      </c>
      <c r="AB110">
        <f>N(AB109)+IF(AND(R110="WON",B110&lt;&gt;""),1,0)</f>
        <v>7</v>
      </c>
      <c r="AC110">
        <f>N(AC109)+IF(AND(OR(R110="offered",R110="to be offered",R110="on hold"),B110&lt;&gt;""),1,0)</f>
        <v>19</v>
      </c>
      <c r="AD110">
        <f>N(AD109)+IF(AND(OR(R110="follow-up",R110="Evaluation",R110="tbd",R110="In evaluation"),B110&lt;&gt;""),1,0)</f>
        <v>9</v>
      </c>
    </row>
    <row r="111" ht="15" customHeight="1">
      <c r="A111" s="198" t="n"/>
      <c r="B111" s="199" t="n"/>
      <c r="C111" s="198" t="n"/>
      <c r="D111" s="200" t="n"/>
      <c r="E111" s="200" t="n"/>
      <c r="F111" s="201" t="n"/>
      <c r="G111" s="198" t="n"/>
      <c r="H111" s="202" t="n"/>
      <c r="I111" s="201" t="n"/>
      <c r="J111" s="201" t="n"/>
      <c r="K111" s="201" t="n"/>
      <c r="L111" s="201" t="n"/>
      <c r="M111" s="201" t="n"/>
      <c r="N111" s="201" t="str">
        <f>IF(ISNUMBER(I111),ROUND(I111-I111/1.081,2),"")</f>
        <v/>
      </c>
      <c r="O111" s="201" t="str">
        <f>IF(ISNUMBER(I111),I111-SUM(J111:N111),"")</f>
        <v/>
      </c>
      <c r="P111" s="203" t="str">
        <f>IFERROR(IF(AND(ISNUMBER(O111),ISNUMBER(I111),I111&lt;&gt;0),O111/I111,""),"")</f>
        <v/>
      </c>
      <c r="Q111" s="201" t="str">
        <f>IF(AND(ISNUMBER(I111),ISNUMBER(S111)),I111*IF(S111&lt;=1,S111,S111/100),IF(OR(I111&lt;&gt;"",S111&lt;&gt;""),"tbd",""))</f>
        <v/>
      </c>
      <c r="R111" s="204" t="n"/>
      <c r="S111" s="205" t="n"/>
      <c r="T111" s="199" t="n"/>
      <c r="U111" s="200" t="n"/>
      <c r="V111" s="200" t="n"/>
      <c r="W111" s="198" t="n"/>
      <c r="X111" s="200" t="n"/>
      <c r="Z111" t="str">
        <f>IF(AND(R111="WON",ISNUMBER(I111)),AA111,"")</f>
        <v/>
      </c>
      <c r="AA111">
        <f>IFERROR(I111*1,0)</f>
        <v>0</v>
      </c>
      <c r="AB111">
        <f>N(AB110)+IF(AND(R111="WON",B111&lt;&gt;""),1,0)</f>
        <v>7</v>
      </c>
      <c r="AC111">
        <f>N(AC110)+IF(AND(OR(R111="offered",R111="to be offered",R111="on hold"),B111&lt;&gt;""),1,0)</f>
        <v>19</v>
      </c>
      <c r="AD111">
        <f>N(AD110)+IF(AND(OR(R111="follow-up",R111="Evaluation",R111="tbd",R111="In evaluation"),B111&lt;&gt;""),1,0)</f>
        <v>9</v>
      </c>
    </row>
    <row r="112" ht="15" customHeight="1">
      <c r="A112" s="198" t="n"/>
      <c r="B112" s="199" t="n"/>
      <c r="C112" s="198" t="n"/>
      <c r="D112" s="200" t="n"/>
      <c r="E112" s="200" t="n"/>
      <c r="F112" s="201" t="n"/>
      <c r="G112" s="198" t="n"/>
      <c r="H112" s="202" t="n"/>
      <c r="I112" s="201" t="n"/>
      <c r="J112" s="201" t="n"/>
      <c r="K112" s="201" t="n"/>
      <c r="L112" s="201" t="n"/>
      <c r="M112" s="201" t="n"/>
      <c r="N112" s="201" t="str">
        <f>IF(ISNUMBER(I112),ROUND(I112-I112/1.081,2),"")</f>
        <v/>
      </c>
      <c r="O112" s="201" t="str">
        <f>IF(ISNUMBER(I112),I112-SUM(J112:N112),"")</f>
        <v/>
      </c>
      <c r="P112" s="203" t="str">
        <f>IFERROR(IF(AND(ISNUMBER(O112),ISNUMBER(I112),I112&lt;&gt;0),O112/I112,""),"")</f>
        <v/>
      </c>
      <c r="Q112" s="201" t="str">
        <f>IF(AND(ISNUMBER(I112),ISNUMBER(S112)),I112*IF(S112&lt;=1,S112,S112/100),IF(OR(I112&lt;&gt;"",S112&lt;&gt;""),"tbd",""))</f>
        <v/>
      </c>
      <c r="R112" s="204" t="n"/>
      <c r="S112" s="205" t="n"/>
      <c r="T112" s="199" t="n"/>
      <c r="U112" s="200" t="n"/>
      <c r="V112" s="200" t="n"/>
      <c r="W112" s="198" t="n"/>
      <c r="X112" s="200" t="n"/>
      <c r="Z112" t="str">
        <f>IF(AND(R112="WON",ISNUMBER(I112)),AA112,"")</f>
        <v/>
      </c>
      <c r="AA112">
        <f>IFERROR(I112*1,0)</f>
        <v>0</v>
      </c>
      <c r="AB112">
        <f>N(AB111)+IF(AND(R112="WON",B112&lt;&gt;""),1,0)</f>
        <v>7</v>
      </c>
      <c r="AC112">
        <f>N(AC111)+IF(AND(OR(R112="offered",R112="to be offered",R112="on hold"),B112&lt;&gt;""),1,0)</f>
        <v>19</v>
      </c>
      <c r="AD112">
        <f>N(AD111)+IF(AND(OR(R112="follow-up",R112="Evaluation",R112="tbd",R112="In evaluation"),B112&lt;&gt;""),1,0)</f>
        <v>9</v>
      </c>
    </row>
    <row r="113" ht="15" customHeight="1">
      <c r="A113" s="198" t="n"/>
      <c r="B113" s="199" t="n"/>
      <c r="C113" s="198" t="n"/>
      <c r="D113" s="200" t="n"/>
      <c r="E113" s="200" t="n"/>
      <c r="F113" s="201" t="n"/>
      <c r="G113" s="198" t="n"/>
      <c r="H113" s="202" t="n"/>
      <c r="I113" s="201" t="n"/>
      <c r="J113" s="201" t="n"/>
      <c r="K113" s="201" t="n"/>
      <c r="L113" s="201" t="n"/>
      <c r="M113" s="201" t="n"/>
      <c r="N113" s="201" t="str">
        <f>IF(ISNUMBER(I113),ROUND(I113-I113/1.081,2),"")</f>
        <v/>
      </c>
      <c r="O113" s="201" t="str">
        <f>IF(ISNUMBER(I113),I113-SUM(J113:N113),"")</f>
        <v/>
      </c>
      <c r="P113" s="203" t="str">
        <f>IFERROR(IF(AND(ISNUMBER(O113),ISNUMBER(I113),I113&lt;&gt;0),O113/I113,""),"")</f>
        <v/>
      </c>
      <c r="Q113" s="201" t="str">
        <f>IF(AND(ISNUMBER(I113),ISNUMBER(S113)),I113*IF(S113&lt;=1,S113,S113/100),IF(OR(I113&lt;&gt;"",S113&lt;&gt;""),"tbd",""))</f>
        <v/>
      </c>
      <c r="R113" s="204" t="n"/>
      <c r="S113" s="205" t="n"/>
      <c r="T113" s="199" t="n"/>
      <c r="U113" s="200" t="n"/>
      <c r="V113" s="200" t="n"/>
      <c r="W113" s="198" t="n"/>
      <c r="X113" s="200" t="n"/>
      <c r="Z113" t="str">
        <f>IF(AND(R113="WON",ISNUMBER(I113)),AA113,"")</f>
        <v/>
      </c>
      <c r="AA113">
        <f>IFERROR(I113*1,0)</f>
        <v>0</v>
      </c>
      <c r="AB113">
        <f>N(AB112)+IF(AND(R113="WON",B113&lt;&gt;""),1,0)</f>
        <v>7</v>
      </c>
      <c r="AC113">
        <f>N(AC112)+IF(AND(OR(R113="offered",R113="to be offered",R113="on hold"),B113&lt;&gt;""),1,0)</f>
        <v>19</v>
      </c>
      <c r="AD113">
        <f>N(AD112)+IF(AND(OR(R113="follow-up",R113="Evaluation",R113="tbd",R113="In evaluation"),B113&lt;&gt;""),1,0)</f>
        <v>9</v>
      </c>
    </row>
    <row r="114" ht="15" customHeight="1">
      <c r="A114" s="198" t="n"/>
      <c r="B114" s="199" t="n"/>
      <c r="C114" s="198" t="n"/>
      <c r="D114" s="200" t="n"/>
      <c r="E114" s="200" t="n"/>
      <c r="F114" s="201" t="n"/>
      <c r="G114" s="198" t="n"/>
      <c r="H114" s="202" t="n"/>
      <c r="I114" s="201" t="n"/>
      <c r="J114" s="201" t="n"/>
      <c r="K114" s="201" t="n"/>
      <c r="L114" s="201" t="n"/>
      <c r="M114" s="201" t="n"/>
      <c r="N114" s="201" t="str">
        <f>IF(ISNUMBER(I114),ROUND(I114-I114/1.081,2),"")</f>
        <v/>
      </c>
      <c r="O114" s="201" t="str">
        <f>IF(ISNUMBER(I114),I114-SUM(J114:N114),"")</f>
        <v/>
      </c>
      <c r="P114" s="203" t="str">
        <f>IFERROR(IF(AND(ISNUMBER(O114),ISNUMBER(I114),I114&lt;&gt;0),O114/I114,""),"")</f>
        <v/>
      </c>
      <c r="Q114" s="201" t="str">
        <f>IF(AND(ISNUMBER(I114),ISNUMBER(S114)),I114*IF(S114&lt;=1,S114,S114/100),IF(OR(I114&lt;&gt;"",S114&lt;&gt;""),"tbd",""))</f>
        <v/>
      </c>
      <c r="R114" s="204" t="n"/>
      <c r="S114" s="205" t="n"/>
      <c r="T114" s="199" t="n"/>
      <c r="U114" s="200" t="n"/>
      <c r="V114" s="200" t="n"/>
      <c r="W114" s="198" t="n"/>
      <c r="X114" s="200" t="n"/>
      <c r="Z114" t="str">
        <f>IF(AND(R114="WON",ISNUMBER(I114)),AA114,"")</f>
        <v/>
      </c>
      <c r="AA114">
        <f>IFERROR(I114*1,0)</f>
        <v>0</v>
      </c>
      <c r="AB114">
        <f>N(AB113)+IF(AND(R114="WON",B114&lt;&gt;""),1,0)</f>
        <v>7</v>
      </c>
      <c r="AC114">
        <f>N(AC113)+IF(AND(OR(R114="offered",R114="to be offered",R114="on hold"),B114&lt;&gt;""),1,0)</f>
        <v>19</v>
      </c>
      <c r="AD114">
        <f>N(AD113)+IF(AND(OR(R114="follow-up",R114="Evaluation",R114="tbd",R114="In evaluation"),B114&lt;&gt;""),1,0)</f>
        <v>9</v>
      </c>
    </row>
    <row r="115" ht="15" customHeight="1">
      <c r="A115" s="198" t="n"/>
      <c r="B115" s="199" t="n"/>
      <c r="C115" s="198" t="n"/>
      <c r="D115" s="200" t="n"/>
      <c r="E115" s="200" t="n"/>
      <c r="F115" s="201" t="n"/>
      <c r="G115" s="198" t="n"/>
      <c r="H115" s="202" t="n"/>
      <c r="I115" s="201" t="n"/>
      <c r="J115" s="201" t="n"/>
      <c r="K115" s="201" t="n"/>
      <c r="L115" s="201" t="n"/>
      <c r="M115" s="201" t="n"/>
      <c r="N115" s="201" t="str">
        <f>IF(ISNUMBER(I115),ROUND(I115-I115/1.081,2),"")</f>
        <v/>
      </c>
      <c r="O115" s="201" t="str">
        <f>IF(ISNUMBER(I115),I115-SUM(J115:N115),"")</f>
        <v/>
      </c>
      <c r="P115" s="203" t="str">
        <f>IFERROR(IF(AND(ISNUMBER(O115),ISNUMBER(I115),I115&lt;&gt;0),O115/I115,""),"")</f>
        <v/>
      </c>
      <c r="Q115" s="201" t="str">
        <f>IF(AND(ISNUMBER(I115),ISNUMBER(S115)),I115*IF(S115&lt;=1,S115,S115/100),IF(OR(I115&lt;&gt;"",S115&lt;&gt;""),"tbd",""))</f>
        <v/>
      </c>
      <c r="R115" s="204" t="n"/>
      <c r="S115" s="205" t="n"/>
      <c r="T115" s="199" t="n"/>
      <c r="U115" s="200" t="n"/>
      <c r="V115" s="200" t="n"/>
      <c r="W115" s="198" t="n"/>
      <c r="X115" s="200" t="n"/>
      <c r="Z115" t="str">
        <f>IF(AND(R115="WON",ISNUMBER(I115)),AA115,"")</f>
        <v/>
      </c>
      <c r="AA115">
        <f>IFERROR(I115*1,0)</f>
        <v>0</v>
      </c>
      <c r="AB115">
        <f>N(AB114)+IF(AND(R115="WON",B115&lt;&gt;""),1,0)</f>
        <v>7</v>
      </c>
      <c r="AC115">
        <f>N(AC114)+IF(AND(OR(R115="offered",R115="to be offered",R115="on hold"),B115&lt;&gt;""),1,0)</f>
        <v>19</v>
      </c>
      <c r="AD115">
        <f>N(AD114)+IF(AND(OR(R115="follow-up",R115="Evaluation",R115="tbd",R115="In evaluation"),B115&lt;&gt;""),1,0)</f>
        <v>9</v>
      </c>
    </row>
    <row r="116" ht="15" customHeight="1">
      <c r="A116" s="198" t="n"/>
      <c r="B116" s="199" t="n"/>
      <c r="C116" s="198" t="n"/>
      <c r="D116" s="200" t="n"/>
      <c r="E116" s="200" t="n"/>
      <c r="F116" s="201" t="n"/>
      <c r="G116" s="198" t="n"/>
      <c r="H116" s="202" t="n"/>
      <c r="I116" s="201" t="n"/>
      <c r="J116" s="201" t="n"/>
      <c r="K116" s="201" t="n"/>
      <c r="L116" s="201" t="n"/>
      <c r="M116" s="201" t="n"/>
      <c r="N116" s="201" t="str">
        <f>IF(ISNUMBER(I116),ROUND(I116-I116/1.081,2),"")</f>
        <v/>
      </c>
      <c r="O116" s="201" t="str">
        <f>IF(ISNUMBER(I116),I116-SUM(J116:N116),"")</f>
        <v/>
      </c>
      <c r="P116" s="203" t="str">
        <f>IFERROR(IF(AND(ISNUMBER(O116),ISNUMBER(I116),I116&lt;&gt;0),O116/I116,""),"")</f>
        <v/>
      </c>
      <c r="Q116" s="201" t="str">
        <f>IF(AND(ISNUMBER(I116),ISNUMBER(S116)),I116*IF(S116&lt;=1,S116,S116/100),IF(OR(I116&lt;&gt;"",S116&lt;&gt;""),"tbd",""))</f>
        <v/>
      </c>
      <c r="R116" s="204" t="n"/>
      <c r="S116" s="205" t="n"/>
      <c r="T116" s="199" t="n"/>
      <c r="U116" s="200" t="n"/>
      <c r="V116" s="200" t="n"/>
      <c r="W116" s="198" t="n"/>
      <c r="X116" s="200" t="n"/>
      <c r="Z116" t="str">
        <f>IF(AND(R116="WON",ISNUMBER(I116)),AA116,"")</f>
        <v/>
      </c>
      <c r="AA116">
        <f>IFERROR(I116*1,0)</f>
        <v>0</v>
      </c>
      <c r="AB116">
        <f>N(AB115)+IF(AND(R116="WON",B116&lt;&gt;""),1,0)</f>
        <v>7</v>
      </c>
      <c r="AC116">
        <f>N(AC115)+IF(AND(OR(R116="offered",R116="to be offered",R116="on hold"),B116&lt;&gt;""),1,0)</f>
        <v>19</v>
      </c>
      <c r="AD116">
        <f>N(AD115)+IF(AND(OR(R116="follow-up",R116="Evaluation",R116="tbd",R116="In evaluation"),B116&lt;&gt;""),1,0)</f>
        <v>9</v>
      </c>
    </row>
    <row r="117" ht="15" customHeight="1">
      <c r="A117" s="198" t="n"/>
      <c r="B117" s="199" t="n"/>
      <c r="C117" s="198" t="n"/>
      <c r="D117" s="200" t="n"/>
      <c r="E117" s="200" t="n"/>
      <c r="F117" s="201" t="n"/>
      <c r="G117" s="198" t="n"/>
      <c r="H117" s="202" t="n"/>
      <c r="I117" s="201" t="n"/>
      <c r="J117" s="201" t="n"/>
      <c r="K117" s="201" t="n"/>
      <c r="L117" s="201" t="n"/>
      <c r="M117" s="201" t="n"/>
      <c r="N117" s="201" t="str">
        <f>IF(ISNUMBER(I117),ROUND(I117-I117/1.081,2),"")</f>
        <v/>
      </c>
      <c r="O117" s="201" t="str">
        <f>IF(ISNUMBER(I117),I117-SUM(J117:N117),"")</f>
        <v/>
      </c>
      <c r="P117" s="203" t="str">
        <f>IFERROR(IF(AND(ISNUMBER(O117),ISNUMBER(I117),I117&lt;&gt;0),O117/I117,""),"")</f>
        <v/>
      </c>
      <c r="Q117" s="201" t="str">
        <f>IF(AND(ISNUMBER(I117),ISNUMBER(S117)),I117*IF(S117&lt;=1,S117,S117/100),IF(OR(I117&lt;&gt;"",S117&lt;&gt;""),"tbd",""))</f>
        <v/>
      </c>
      <c r="R117" s="204" t="n"/>
      <c r="S117" s="205" t="n"/>
      <c r="T117" s="199" t="n"/>
      <c r="U117" s="200" t="n"/>
      <c r="V117" s="200" t="n"/>
      <c r="W117" s="198" t="n"/>
      <c r="X117" s="200" t="n"/>
      <c r="Z117" t="str">
        <f>IF(AND(R117="WON",ISNUMBER(I117)),AA117,"")</f>
        <v/>
      </c>
      <c r="AA117">
        <f>IFERROR(I117*1,0)</f>
        <v>0</v>
      </c>
      <c r="AB117">
        <f>N(AB116)+IF(AND(R117="WON",B117&lt;&gt;""),1,0)</f>
        <v>7</v>
      </c>
      <c r="AC117">
        <f>N(AC116)+IF(AND(OR(R117="offered",R117="to be offered",R117="on hold"),B117&lt;&gt;""),1,0)</f>
        <v>19</v>
      </c>
      <c r="AD117">
        <f>N(AD116)+IF(AND(OR(R117="follow-up",R117="Evaluation",R117="tbd",R117="In evaluation"),B117&lt;&gt;""),1,0)</f>
        <v>9</v>
      </c>
    </row>
    <row r="118" ht="15" customHeight="1">
      <c r="A118" s="198" t="n"/>
      <c r="B118" s="199" t="n"/>
      <c r="C118" s="198" t="n"/>
      <c r="D118" s="200" t="n"/>
      <c r="E118" s="200" t="n"/>
      <c r="F118" s="201" t="n"/>
      <c r="G118" s="198" t="n"/>
      <c r="H118" s="202" t="n"/>
      <c r="I118" s="201" t="n"/>
      <c r="J118" s="201" t="n"/>
      <c r="K118" s="201" t="n"/>
      <c r="L118" s="201" t="n"/>
      <c r="M118" s="201" t="n"/>
      <c r="N118" s="201" t="str">
        <f>IF(ISNUMBER(I118),ROUND(I118-I118/1.081,2),"")</f>
        <v/>
      </c>
      <c r="O118" s="201" t="str">
        <f>IF(ISNUMBER(I118),I118-SUM(J118:N118),"")</f>
        <v/>
      </c>
      <c r="P118" s="203" t="str">
        <f>IFERROR(IF(AND(ISNUMBER(O118),ISNUMBER(I118),I118&lt;&gt;0),O118/I118,""),"")</f>
        <v/>
      </c>
      <c r="Q118" s="201" t="str">
        <f>IF(AND(ISNUMBER(I118),ISNUMBER(S118)),I118*IF(S118&lt;=1,S118,S118/100),IF(OR(I118&lt;&gt;"",S118&lt;&gt;""),"tbd",""))</f>
        <v/>
      </c>
      <c r="R118" s="204" t="n"/>
      <c r="S118" s="205" t="n"/>
      <c r="T118" s="199" t="n"/>
      <c r="U118" s="200" t="n"/>
      <c r="V118" s="200" t="n"/>
      <c r="W118" s="198" t="n"/>
      <c r="X118" s="200" t="n"/>
      <c r="Z118" t="str">
        <f>IF(AND(R118="WON",ISNUMBER(I118)),AA118,"")</f>
        <v/>
      </c>
      <c r="AA118">
        <f>IFERROR(I118*1,0)</f>
        <v>0</v>
      </c>
      <c r="AB118">
        <f>N(AB117)+IF(AND(R118="WON",B118&lt;&gt;""),1,0)</f>
        <v>7</v>
      </c>
      <c r="AC118">
        <f>N(AC117)+IF(AND(OR(R118="offered",R118="to be offered",R118="on hold"),B118&lt;&gt;""),1,0)</f>
        <v>19</v>
      </c>
      <c r="AD118">
        <f>N(AD117)+IF(AND(OR(R118="follow-up",R118="Evaluation",R118="tbd",R118="In evaluation"),B118&lt;&gt;""),1,0)</f>
        <v>9</v>
      </c>
    </row>
    <row r="119" ht="15" customHeight="1">
      <c r="A119" s="198" t="n"/>
      <c r="B119" s="199" t="n"/>
      <c r="C119" s="198" t="n"/>
      <c r="D119" s="200" t="n"/>
      <c r="E119" s="200" t="n"/>
      <c r="F119" s="201" t="n"/>
      <c r="G119" s="198" t="n"/>
      <c r="H119" s="202" t="n"/>
      <c r="I119" s="201" t="n"/>
      <c r="J119" s="201" t="n"/>
      <c r="K119" s="201" t="n"/>
      <c r="L119" s="201" t="n"/>
      <c r="M119" s="201" t="n"/>
      <c r="N119" s="201" t="str">
        <f>IF(ISNUMBER(I119),ROUND(I119-I119/1.081,2),"")</f>
        <v/>
      </c>
      <c r="O119" s="201" t="str">
        <f>IF(ISNUMBER(I119),I119-SUM(J119:N119),"")</f>
        <v/>
      </c>
      <c r="P119" s="203" t="str">
        <f>IFERROR(IF(AND(ISNUMBER(O119),ISNUMBER(I119),I119&lt;&gt;0),O119/I119,""),"")</f>
        <v/>
      </c>
      <c r="Q119" s="201" t="str">
        <f>IF(AND(ISNUMBER(I119),ISNUMBER(S119)),I119*IF(S119&lt;=1,S119,S119/100),IF(OR(I119&lt;&gt;"",S119&lt;&gt;""),"tbd",""))</f>
        <v/>
      </c>
      <c r="R119" s="204" t="n"/>
      <c r="S119" s="205" t="n"/>
      <c r="T119" s="199" t="n"/>
      <c r="U119" s="200" t="n"/>
      <c r="V119" s="200" t="n"/>
      <c r="W119" s="198" t="n"/>
      <c r="X119" s="200" t="n"/>
      <c r="Z119" t="str">
        <f>IF(AND(R119="WON",ISNUMBER(I119)),AA119,"")</f>
        <v/>
      </c>
      <c r="AA119">
        <f>IFERROR(I119*1,0)</f>
        <v>0</v>
      </c>
      <c r="AB119">
        <f>N(AB118)+IF(AND(R119="WON",B119&lt;&gt;""),1,0)</f>
        <v>7</v>
      </c>
      <c r="AC119">
        <f>N(AC118)+IF(AND(OR(R119="offered",R119="to be offered",R119="on hold"),B119&lt;&gt;""),1,0)</f>
        <v>19</v>
      </c>
      <c r="AD119">
        <f>N(AD118)+IF(AND(OR(R119="follow-up",R119="Evaluation",R119="tbd",R119="In evaluation"),B119&lt;&gt;""),1,0)</f>
        <v>9</v>
      </c>
    </row>
    <row r="120" ht="15" customHeight="1">
      <c r="A120" s="198" t="n"/>
      <c r="B120" s="199" t="n"/>
      <c r="C120" s="198" t="n"/>
      <c r="D120" s="200" t="n"/>
      <c r="E120" s="200" t="n"/>
      <c r="F120" s="201" t="n"/>
      <c r="G120" s="198" t="n"/>
      <c r="H120" s="202" t="n"/>
      <c r="I120" s="201" t="n"/>
      <c r="J120" s="201" t="n"/>
      <c r="K120" s="201" t="n"/>
      <c r="L120" s="201" t="n"/>
      <c r="M120" s="201" t="n"/>
      <c r="N120" s="201" t="str">
        <f>IF(ISNUMBER(I120),ROUND(I120-I120/1.081,2),"")</f>
        <v/>
      </c>
      <c r="O120" s="201" t="str">
        <f>IF(ISNUMBER(I120),I120-SUM(J120:N120),"")</f>
        <v/>
      </c>
      <c r="P120" s="203" t="str">
        <f>IFERROR(IF(AND(ISNUMBER(O120),ISNUMBER(I120),I120&lt;&gt;0),O120/I120,""),"")</f>
        <v/>
      </c>
      <c r="Q120" s="201" t="str">
        <f>IF(AND(ISNUMBER(I120),ISNUMBER(S120)),I120*IF(S120&lt;=1,S120,S120/100),IF(OR(I120&lt;&gt;"",S120&lt;&gt;""),"tbd",""))</f>
        <v/>
      </c>
      <c r="R120" s="204" t="n"/>
      <c r="S120" s="205" t="n"/>
      <c r="T120" s="199" t="n"/>
      <c r="U120" s="200" t="n"/>
      <c r="V120" s="200" t="n"/>
      <c r="W120" s="198" t="n"/>
      <c r="X120" s="200" t="n"/>
      <c r="Z120" t="str">
        <f>IF(AND(R120="WON",ISNUMBER(I120)),AA120,"")</f>
        <v/>
      </c>
      <c r="AA120">
        <f>IFERROR(I120*1,0)</f>
        <v>0</v>
      </c>
      <c r="AB120">
        <f>N(AB119)+IF(AND(R120="WON",B120&lt;&gt;""),1,0)</f>
        <v>7</v>
      </c>
      <c r="AC120">
        <f>N(AC119)+IF(AND(OR(R120="offered",R120="to be offered",R120="on hold"),B120&lt;&gt;""),1,0)</f>
        <v>19</v>
      </c>
      <c r="AD120">
        <f>N(AD119)+IF(AND(OR(R120="follow-up",R120="Evaluation",R120="tbd",R120="In evaluation"),B120&lt;&gt;""),1,0)</f>
        <v>9</v>
      </c>
    </row>
    <row r="121" ht="15" customHeight="1">
      <c r="I121" s="215" t="n"/>
      <c r="J121" s="215" t="n"/>
      <c r="K121" s="215" t="n"/>
      <c r="L121" s="215" t="n"/>
      <c r="M121" s="215" t="n"/>
      <c r="N121" s="215" t="str">
        <f>IF(ISNUMBER(I121),ROUND(I121-I121/1.081,2),"")</f>
        <v/>
      </c>
      <c r="O121" s="215" t="str">
        <f>IF(ISNUMBER(I121),I121-SUM(J121:N121),"")</f>
        <v/>
      </c>
      <c r="P121" s="216" t="str">
        <f>IFERROR(IF(AND(ISNUMBER(O121),ISNUMBER(I121),I121&lt;&gt;0),O121/I121,""),"")</f>
        <v/>
      </c>
      <c r="Q121" s="215" t="str">
        <f>IF(AND(ISNUMBER(I121),ISNUMBER(S121)),I121*IF(S121&lt;=1,S121,S121/100),IF(OR(I121&lt;&gt;"",S121&lt;&gt;""),"tbd",""))</f>
        <v/>
      </c>
      <c r="S121" s="217" t="n"/>
      <c r="Z121" t="str">
        <f>IF(AND(R121="WON",ISNUMBER(I121)),AA121,"")</f>
        <v/>
      </c>
      <c r="AA121">
        <f>IFERROR(I121*1,0)</f>
        <v>0</v>
      </c>
      <c r="AB121">
        <f>N(AB120)+IF(AND(R121="WON",B121&lt;&gt;""),1,0)</f>
        <v>7</v>
      </c>
      <c r="AC121">
        <f>N(AC120)+IF(AND(OR(R121="offered",R121="to be offered",R121="on hold"),B121&lt;&gt;""),1,0)</f>
        <v>19</v>
      </c>
      <c r="AD121">
        <f>N(AD120)+IF(AND(OR(R121="follow-up",R121="Evaluation",R121="tbd",R121="In evaluation"),B121&lt;&gt;""),1,0)</f>
        <v>9</v>
      </c>
    </row>
    <row r="122" ht="15" customHeight="1">
      <c r="I122" s="215" t="n"/>
      <c r="J122" s="215" t="n"/>
      <c r="K122" s="215" t="n"/>
      <c r="L122" s="215" t="n"/>
      <c r="M122" s="215" t="n"/>
      <c r="N122" s="215" t="str">
        <f>IF(ISNUMBER(I122),ROUND(I122-I122/1.081,2),"")</f>
        <v/>
      </c>
      <c r="O122" s="215" t="str">
        <f>IF(ISNUMBER(I122),I122-SUM(J122:N122),"")</f>
        <v/>
      </c>
      <c r="P122" s="216" t="str">
        <f>IFERROR(IF(AND(ISNUMBER(O122),ISNUMBER(I122),I122&lt;&gt;0),O122/I122,""),"")</f>
        <v/>
      </c>
      <c r="Q122" s="215" t="str">
        <f>IF(AND(ISNUMBER(I122),ISNUMBER(S122)),I122*IF(S122&lt;=1,S122,S122/100),IF(OR(I122&lt;&gt;"",S122&lt;&gt;""),"tbd",""))</f>
        <v/>
      </c>
      <c r="S122" s="217" t="n"/>
      <c r="Z122" t="str">
        <f>IF(AND(R122="WON",ISNUMBER(I122)),AA122,"")</f>
        <v/>
      </c>
      <c r="AA122">
        <f>IFERROR(I122*1,0)</f>
        <v>0</v>
      </c>
      <c r="AB122">
        <f>N(AB121)+IF(AND(R122="WON",B122&lt;&gt;""),1,0)</f>
        <v>7</v>
      </c>
      <c r="AC122">
        <f>N(AC121)+IF(AND(OR(R122="offered",R122="to be offered",R122="on hold"),B122&lt;&gt;""),1,0)</f>
        <v>19</v>
      </c>
      <c r="AD122">
        <f>N(AD121)+IF(AND(OR(R122="follow-up",R122="Evaluation",R122="tbd",R122="In evaluation"),B122&lt;&gt;""),1,0)</f>
        <v>9</v>
      </c>
    </row>
    <row r="123" ht="15" customHeight="1">
      <c r="I123" s="215" t="n"/>
      <c r="J123" s="215" t="n"/>
      <c r="K123" s="215" t="n"/>
      <c r="L123" s="215" t="n"/>
      <c r="M123" s="215" t="n"/>
      <c r="N123" s="215" t="str">
        <f>IF(ISNUMBER(I123),ROUND(I123-I123/1.081,2),"")</f>
        <v/>
      </c>
      <c r="O123" s="215" t="str">
        <f>IF(ISNUMBER(I123),I123-SUM(J123:N123),"")</f>
        <v/>
      </c>
      <c r="P123" s="216" t="str">
        <f>IFERROR(IF(AND(ISNUMBER(O123),ISNUMBER(I123),I123&lt;&gt;0),O123/I123,""),"")</f>
        <v/>
      </c>
      <c r="Q123" s="215" t="str">
        <f>IF(AND(ISNUMBER(I123),ISNUMBER(S123)),I123*IF(S123&lt;=1,S123,S123/100),IF(OR(I123&lt;&gt;"",S123&lt;&gt;""),"tbd",""))</f>
        <v/>
      </c>
      <c r="S123" s="217" t="n"/>
      <c r="Z123" t="str">
        <f>IF(AND(R123="WON",ISNUMBER(I123)),AA123,"")</f>
        <v/>
      </c>
      <c r="AA123">
        <f>IFERROR(I123*1,0)</f>
        <v>0</v>
      </c>
      <c r="AB123">
        <f>N(AB122)+IF(AND(R123="WON",B123&lt;&gt;""),1,0)</f>
        <v>7</v>
      </c>
      <c r="AC123">
        <f>N(AC122)+IF(AND(OR(R123="offered",R123="to be offered",R123="on hold"),B123&lt;&gt;""),1,0)</f>
        <v>19</v>
      </c>
      <c r="AD123">
        <f>N(AD122)+IF(AND(OR(R123="follow-up",R123="Evaluation",R123="tbd",R123="In evaluation"),B123&lt;&gt;""),1,0)</f>
        <v>9</v>
      </c>
    </row>
    <row r="124" ht="15" customHeight="1">
      <c r="I124" s="215" t="n"/>
      <c r="J124" s="215" t="n"/>
      <c r="K124" s="215" t="n"/>
      <c r="L124" s="215" t="n"/>
      <c r="M124" s="215" t="n"/>
      <c r="N124" s="215" t="str">
        <f>IF(ISNUMBER(I124),ROUND(I124-I124/1.081,2),"")</f>
        <v/>
      </c>
      <c r="O124" s="215" t="str">
        <f>IF(ISNUMBER(I124),I124-SUM(J124:N124),"")</f>
        <v/>
      </c>
      <c r="P124" s="216" t="str">
        <f>IFERROR(IF(AND(ISNUMBER(O124),ISNUMBER(I124),I124&lt;&gt;0),O124/I124,""),"")</f>
        <v/>
      </c>
      <c r="Q124" s="215" t="str">
        <f>IF(AND(ISNUMBER(I124),ISNUMBER(S124)),I124*IF(S124&lt;=1,S124,S124/100),IF(OR(I124&lt;&gt;"",S124&lt;&gt;""),"tbd",""))</f>
        <v/>
      </c>
      <c r="S124" s="217" t="n"/>
      <c r="Z124" t="str">
        <f>IF(AND(R124="WON",ISNUMBER(I124)),AA124,"")</f>
        <v/>
      </c>
      <c r="AA124">
        <f>IFERROR(I124*1,0)</f>
        <v>0</v>
      </c>
      <c r="AB124">
        <f>N(AB123)+IF(AND(R124="WON",B124&lt;&gt;""),1,0)</f>
        <v>7</v>
      </c>
      <c r="AC124">
        <f>N(AC123)+IF(AND(OR(R124="offered",R124="to be offered",R124="on hold"),B124&lt;&gt;""),1,0)</f>
        <v>19</v>
      </c>
      <c r="AD124">
        <f>N(AD123)+IF(AND(OR(R124="follow-up",R124="Evaluation",R124="tbd",R124="In evaluation"),B124&lt;&gt;""),1,0)</f>
        <v>9</v>
      </c>
    </row>
    <row r="125" ht="15" customHeight="1">
      <c r="I125" s="215" t="n"/>
      <c r="J125" s="215" t="n"/>
      <c r="K125" s="215" t="n"/>
      <c r="L125" s="215" t="n"/>
      <c r="M125" s="215" t="n"/>
      <c r="N125" s="215" t="str">
        <f>IF(ISNUMBER(I125),ROUND(I125-I125/1.081,2),"")</f>
        <v/>
      </c>
      <c r="O125" s="215" t="str">
        <f>IF(ISNUMBER(I125),I125-SUM(J125:N125),"")</f>
        <v/>
      </c>
      <c r="P125" s="216" t="str">
        <f>IFERROR(IF(AND(ISNUMBER(O125),ISNUMBER(I125),I125&lt;&gt;0),O125/I125,""),"")</f>
        <v/>
      </c>
      <c r="Q125" s="215" t="str">
        <f>IF(AND(ISNUMBER(I125),ISNUMBER(S125)),I125*IF(S125&lt;=1,S125,S125/100),IF(OR(I125&lt;&gt;"",S125&lt;&gt;""),"tbd",""))</f>
        <v/>
      </c>
      <c r="S125" s="217" t="n"/>
      <c r="Z125" t="str">
        <f>IF(AND(R125="WON",ISNUMBER(I125)),AA125,"")</f>
        <v/>
      </c>
      <c r="AA125">
        <f>IFERROR(I125*1,0)</f>
        <v>0</v>
      </c>
      <c r="AB125">
        <f>N(AB124)+IF(AND(R125="WON",B125&lt;&gt;""),1,0)</f>
        <v>7</v>
      </c>
      <c r="AC125">
        <f>N(AC124)+IF(AND(OR(R125="offered",R125="to be offered",R125="on hold"),B125&lt;&gt;""),1,0)</f>
        <v>19</v>
      </c>
      <c r="AD125">
        <f>N(AD124)+IF(AND(OR(R125="follow-up",R125="Evaluation",R125="tbd",R125="In evaluation"),B125&lt;&gt;""),1,0)</f>
        <v>9</v>
      </c>
    </row>
    <row r="126" ht="15" customHeight="1">
      <c r="I126" s="215" t="n"/>
      <c r="J126" s="215" t="n"/>
      <c r="K126" s="215" t="n"/>
      <c r="L126" s="215" t="n"/>
      <c r="M126" s="215" t="n"/>
      <c r="N126" s="215" t="str">
        <f>IF(ISNUMBER(I126),ROUND(I126-I126/1.081,2),"")</f>
        <v/>
      </c>
      <c r="O126" s="215" t="str">
        <f>IF(ISNUMBER(I126),I126-SUM(J126:N126),"")</f>
        <v/>
      </c>
      <c r="P126" s="216" t="str">
        <f>IFERROR(IF(AND(ISNUMBER(O126),ISNUMBER(I126),I126&lt;&gt;0),O126/I126,""),"")</f>
        <v/>
      </c>
      <c r="Q126" s="215" t="str">
        <f>IF(AND(ISNUMBER(I126),ISNUMBER(S126)),I126*IF(S126&lt;=1,S126,S126/100),IF(OR(I126&lt;&gt;"",S126&lt;&gt;""),"tbd",""))</f>
        <v/>
      </c>
      <c r="S126" s="217" t="n"/>
      <c r="Z126" t="str">
        <f>IF(AND(R126="WON",ISNUMBER(I126)),AA126,"")</f>
        <v/>
      </c>
      <c r="AA126">
        <f>IFERROR(I126*1,0)</f>
        <v>0</v>
      </c>
      <c r="AB126">
        <f>N(AB125)+IF(AND(R126="WON",B126&lt;&gt;""),1,0)</f>
        <v>7</v>
      </c>
      <c r="AC126">
        <f>N(AC125)+IF(AND(OR(R126="offered",R126="to be offered",R126="on hold"),B126&lt;&gt;""),1,0)</f>
        <v>19</v>
      </c>
      <c r="AD126">
        <f>N(AD125)+IF(AND(OR(R126="follow-up",R126="Evaluation",R126="tbd",R126="In evaluation"),B126&lt;&gt;""),1,0)</f>
        <v>9</v>
      </c>
    </row>
    <row r="127" ht="15" customHeight="1">
      <c r="I127" s="215" t="n"/>
      <c r="J127" s="215" t="n"/>
      <c r="K127" s="215" t="n"/>
      <c r="L127" s="215" t="n"/>
      <c r="M127" s="215" t="n"/>
      <c r="N127" s="215" t="str">
        <f>IF(ISNUMBER(I127),ROUND(I127-I127/1.081,2),"")</f>
        <v/>
      </c>
      <c r="O127" s="215" t="str">
        <f>IF(ISNUMBER(I127),I127-SUM(J127:N127),"")</f>
        <v/>
      </c>
      <c r="P127" s="216" t="str">
        <f>IFERROR(IF(AND(ISNUMBER(O127),ISNUMBER(I127),I127&lt;&gt;0),O127/I127,""),"")</f>
        <v/>
      </c>
      <c r="Q127" s="215" t="str">
        <f>IF(AND(ISNUMBER(I127),ISNUMBER(S127)),I127*IF(S127&lt;=1,S127,S127/100),IF(OR(I127&lt;&gt;"",S127&lt;&gt;""),"tbd",""))</f>
        <v/>
      </c>
      <c r="S127" s="217" t="n"/>
      <c r="Z127" t="str">
        <f>IF(AND(R127="WON",ISNUMBER(I127)),AA127,"")</f>
        <v/>
      </c>
      <c r="AA127">
        <f>IFERROR(I127*1,0)</f>
        <v>0</v>
      </c>
      <c r="AB127">
        <f>N(AB126)+IF(AND(R127="WON",B127&lt;&gt;""),1,0)</f>
        <v>7</v>
      </c>
      <c r="AC127">
        <f>N(AC126)+IF(AND(OR(R127="offered",R127="to be offered",R127="on hold"),B127&lt;&gt;""),1,0)</f>
        <v>19</v>
      </c>
      <c r="AD127">
        <f>N(AD126)+IF(AND(OR(R127="follow-up",R127="Evaluation",R127="tbd",R127="In evaluation"),B127&lt;&gt;""),1,0)</f>
        <v>9</v>
      </c>
    </row>
    <row r="128" ht="15" customHeight="1">
      <c r="I128" s="215" t="n"/>
      <c r="J128" s="215" t="n"/>
      <c r="K128" s="215" t="n"/>
      <c r="L128" s="215" t="n"/>
      <c r="M128" s="215" t="n"/>
      <c r="N128" s="215" t="str">
        <f>IF(ISNUMBER(I128),ROUND(I128-I128/1.081,2),"")</f>
        <v/>
      </c>
      <c r="O128" s="215" t="str">
        <f>IF(ISNUMBER(I128),I128-SUM(J128:N128),"")</f>
        <v/>
      </c>
      <c r="P128" s="216" t="str">
        <f>IFERROR(IF(AND(ISNUMBER(O128),ISNUMBER(I128),I128&lt;&gt;0),O128/I128,""),"")</f>
        <v/>
      </c>
      <c r="Q128" s="215" t="str">
        <f>IF(AND(ISNUMBER(I128),ISNUMBER(S128)),I128*IF(S128&lt;=1,S128,S128/100),IF(OR(I128&lt;&gt;"",S128&lt;&gt;""),"tbd",""))</f>
        <v/>
      </c>
      <c r="S128" s="217" t="n"/>
      <c r="Z128" t="str">
        <f>IF(AND(R128="WON",ISNUMBER(I128)),AA128,"")</f>
        <v/>
      </c>
      <c r="AA128">
        <f>IFERROR(I128*1,0)</f>
        <v>0</v>
      </c>
      <c r="AB128">
        <f>N(AB127)+IF(AND(R128="WON",B128&lt;&gt;""),1,0)</f>
        <v>7</v>
      </c>
      <c r="AC128">
        <f>N(AC127)+IF(AND(OR(R128="offered",R128="to be offered",R128="on hold"),B128&lt;&gt;""),1,0)</f>
        <v>19</v>
      </c>
      <c r="AD128">
        <f>N(AD127)+IF(AND(OR(R128="follow-up",R128="Evaluation",R128="tbd",R128="In evaluation"),B128&lt;&gt;""),1,0)</f>
        <v>9</v>
      </c>
    </row>
    <row r="129" ht="15" customHeight="1">
      <c r="I129" s="215" t="n"/>
      <c r="J129" s="215" t="n"/>
      <c r="K129" s="215" t="n"/>
      <c r="L129" s="215" t="n"/>
      <c r="M129" s="215" t="n"/>
      <c r="N129" s="215" t="str">
        <f>IF(ISNUMBER(I129),ROUND(I129-I129/1.081,2),"")</f>
        <v/>
      </c>
      <c r="O129" s="215" t="str">
        <f>IF(ISNUMBER(I129),I129-SUM(J129:N129),"")</f>
        <v/>
      </c>
      <c r="P129" s="216" t="str">
        <f>IFERROR(IF(AND(ISNUMBER(O129),ISNUMBER(I129),I129&lt;&gt;0),O129/I129,""),"")</f>
        <v/>
      </c>
      <c r="Q129" s="215" t="str">
        <f>IF(AND(ISNUMBER(I129),ISNUMBER(S129)),I129*IF(S129&lt;=1,S129,S129/100),IF(OR(I129&lt;&gt;"",S129&lt;&gt;""),"tbd",""))</f>
        <v/>
      </c>
      <c r="S129" s="217" t="n"/>
      <c r="Z129" t="str">
        <f>IF(AND(R129="WON",ISNUMBER(I129)),AA129,"")</f>
        <v/>
      </c>
      <c r="AA129">
        <f>IFERROR(I129*1,0)</f>
        <v>0</v>
      </c>
      <c r="AB129">
        <f>N(AB128)+IF(AND(R129="WON",B129&lt;&gt;""),1,0)</f>
        <v>7</v>
      </c>
      <c r="AC129">
        <f>N(AC128)+IF(AND(OR(R129="offered",R129="to be offered",R129="on hold"),B129&lt;&gt;""),1,0)</f>
        <v>19</v>
      </c>
      <c r="AD129">
        <f>N(AD128)+IF(AND(OR(R129="follow-up",R129="Evaluation",R129="tbd",R129="In evaluation"),B129&lt;&gt;""),1,0)</f>
        <v>9</v>
      </c>
    </row>
    <row r="130" ht="15" customHeight="1">
      <c r="I130" s="215" t="n"/>
      <c r="J130" s="215" t="n"/>
      <c r="K130" s="215" t="n"/>
      <c r="L130" s="215" t="n"/>
      <c r="M130" s="215" t="n"/>
      <c r="N130" s="215" t="str">
        <f>IF(ISNUMBER(I130),ROUND(I130-I130/1.081,2),"")</f>
        <v/>
      </c>
      <c r="O130" s="215" t="str">
        <f>IF(ISNUMBER(I130),I130-SUM(J130:N130),"")</f>
        <v/>
      </c>
      <c r="P130" s="216" t="str">
        <f>IFERROR(IF(AND(ISNUMBER(O130),ISNUMBER(I130),I130&lt;&gt;0),O130/I130,""),"")</f>
        <v/>
      </c>
      <c r="Q130" s="215" t="str">
        <f>IF(AND(ISNUMBER(I130),ISNUMBER(S130)),I130*IF(S130&lt;=1,S130,S130/100),IF(OR(I130&lt;&gt;"",S130&lt;&gt;""),"tbd",""))</f>
        <v/>
      </c>
      <c r="S130" s="217" t="n"/>
      <c r="Z130" t="str">
        <f>IF(AND(R130="WON",ISNUMBER(I130)),AA130,"")</f>
        <v/>
      </c>
      <c r="AA130">
        <f>IFERROR(I130*1,0)</f>
        <v>0</v>
      </c>
      <c r="AB130">
        <f>N(AB129)+IF(AND(R130="WON",B130&lt;&gt;""),1,0)</f>
        <v>7</v>
      </c>
      <c r="AC130">
        <f>N(AC129)+IF(AND(OR(R130="offered",R130="to be offered",R130="on hold"),B130&lt;&gt;""),1,0)</f>
        <v>19</v>
      </c>
      <c r="AD130">
        <f>N(AD129)+IF(AND(OR(R130="follow-up",R130="Evaluation",R130="tbd",R130="In evaluation"),B130&lt;&gt;""),1,0)</f>
        <v>9</v>
      </c>
    </row>
    <row r="131" ht="15" customHeight="1">
      <c r="I131" s="215" t="n"/>
      <c r="J131" s="215" t="n"/>
      <c r="K131" s="215" t="n"/>
      <c r="L131" s="215" t="n"/>
      <c r="M131" s="215" t="n"/>
      <c r="N131" s="215" t="str">
        <f>IF(ISNUMBER(I131),ROUND(I131-I131/1.081,2),"")</f>
        <v/>
      </c>
      <c r="O131" s="215" t="str">
        <f>IF(ISNUMBER(I131),I131-SUM(J131:N131),"")</f>
        <v/>
      </c>
      <c r="P131" s="216" t="str">
        <f>IFERROR(IF(AND(ISNUMBER(O131),ISNUMBER(I131),I131&lt;&gt;0),O131/I131,""),"")</f>
        <v/>
      </c>
      <c r="Q131" s="215" t="str">
        <f>IF(AND(ISNUMBER(I131),ISNUMBER(S131)),I131*IF(S131&lt;=1,S131,S131/100),IF(OR(I131&lt;&gt;"",S131&lt;&gt;""),"tbd",""))</f>
        <v/>
      </c>
      <c r="S131" s="217" t="n"/>
      <c r="Z131" t="str">
        <f>IF(AND(R131="WON",ISNUMBER(I131)),AA131,"")</f>
        <v/>
      </c>
      <c r="AA131">
        <f>IFERROR(I131*1,0)</f>
        <v>0</v>
      </c>
      <c r="AB131">
        <f>N(AB130)+IF(AND(R131="WON",B131&lt;&gt;""),1,0)</f>
        <v>7</v>
      </c>
      <c r="AC131">
        <f>N(AC130)+IF(AND(OR(R131="offered",R131="to be offered",R131="on hold"),B131&lt;&gt;""),1,0)</f>
        <v>19</v>
      </c>
      <c r="AD131">
        <f>N(AD130)+IF(AND(OR(R131="follow-up",R131="Evaluation",R131="tbd",R131="In evaluation"),B131&lt;&gt;""),1,0)</f>
        <v>9</v>
      </c>
    </row>
    <row r="132" ht="15" customHeight="1">
      <c r="I132" s="215" t="n"/>
      <c r="J132" s="215" t="n"/>
      <c r="K132" s="215" t="n"/>
      <c r="L132" s="215" t="n"/>
      <c r="M132" s="215" t="n"/>
      <c r="N132" s="215" t="str">
        <f>IF(ISNUMBER(I132),ROUND(I132-I132/1.081,2),"")</f>
        <v/>
      </c>
      <c r="O132" s="215" t="str">
        <f>IF(ISNUMBER(I132),I132-SUM(J132:N132),"")</f>
        <v/>
      </c>
      <c r="P132" s="216" t="str">
        <f>IFERROR(IF(AND(ISNUMBER(O132),ISNUMBER(I132),I132&lt;&gt;0),O132/I132,""),"")</f>
        <v/>
      </c>
      <c r="Q132" s="215" t="str">
        <f>IF(AND(ISNUMBER(I132),ISNUMBER(S132)),I132*IF(S132&lt;=1,S132,S132/100),IF(OR(I132&lt;&gt;"",S132&lt;&gt;""),"tbd",""))</f>
        <v/>
      </c>
      <c r="S132" s="217" t="n"/>
      <c r="Z132" t="str">
        <f>IF(AND(R132="WON",ISNUMBER(I132)),AA132,"")</f>
        <v/>
      </c>
      <c r="AA132">
        <f>IFERROR(I132*1,0)</f>
        <v>0</v>
      </c>
      <c r="AB132">
        <f>N(AB131)+IF(AND(R132="WON",B132&lt;&gt;""),1,0)</f>
        <v>7</v>
      </c>
      <c r="AC132">
        <f>N(AC131)+IF(AND(OR(R132="offered",R132="to be offered",R132="on hold"),B132&lt;&gt;""),1,0)</f>
        <v>19</v>
      </c>
      <c r="AD132">
        <f>N(AD131)+IF(AND(OR(R132="follow-up",R132="Evaluation",R132="tbd",R132="In evaluation"),B132&lt;&gt;""),1,0)</f>
        <v>9</v>
      </c>
    </row>
    <row r="133" ht="15" customHeight="1">
      <c r="I133" s="215" t="n"/>
      <c r="J133" s="215" t="n"/>
      <c r="K133" s="215" t="n"/>
      <c r="L133" s="215" t="n"/>
      <c r="M133" s="215" t="n"/>
      <c r="N133" s="215" t="str">
        <f>IF(ISNUMBER(I133),ROUND(I133-I133/1.081,2),"")</f>
        <v/>
      </c>
      <c r="O133" s="215" t="str">
        <f>IF(ISNUMBER(I133),I133-SUM(J133:N133),"")</f>
        <v/>
      </c>
      <c r="P133" s="216" t="str">
        <f>IFERROR(IF(AND(ISNUMBER(O133),ISNUMBER(I133),I133&lt;&gt;0),O133/I133,""),"")</f>
        <v/>
      </c>
      <c r="Q133" s="215" t="str">
        <f>IF(AND(ISNUMBER(I133),ISNUMBER(S133)),I133*IF(S133&lt;=1,S133,S133/100),IF(OR(I133&lt;&gt;"",S133&lt;&gt;""),"tbd",""))</f>
        <v/>
      </c>
      <c r="S133" s="217" t="n"/>
      <c r="Z133" t="str">
        <f>IF(AND(R133="WON",ISNUMBER(I133)),AA133,"")</f>
        <v/>
      </c>
      <c r="AA133">
        <f>IFERROR(I133*1,0)</f>
        <v>0</v>
      </c>
      <c r="AB133">
        <f>N(AB132)+IF(AND(R133="WON",B133&lt;&gt;""),1,0)</f>
        <v>7</v>
      </c>
      <c r="AC133">
        <f>N(AC132)+IF(AND(OR(R133="offered",R133="to be offered",R133="on hold"),B133&lt;&gt;""),1,0)</f>
        <v>19</v>
      </c>
      <c r="AD133">
        <f>N(AD132)+IF(AND(OR(R133="follow-up",R133="Evaluation",R133="tbd",R133="In evaluation"),B133&lt;&gt;""),1,0)</f>
        <v>9</v>
      </c>
    </row>
    <row r="134" ht="15" customHeight="1">
      <c r="I134" s="215" t="n"/>
      <c r="J134" s="215" t="n"/>
      <c r="K134" s="215" t="n"/>
      <c r="L134" s="215" t="n"/>
      <c r="M134" s="215" t="n"/>
      <c r="N134" s="215" t="str">
        <f>IF(ISNUMBER(I134),ROUND(I134-I134/1.081,2),"")</f>
        <v/>
      </c>
      <c r="O134" s="215" t="str">
        <f>IF(ISNUMBER(I134),I134-SUM(J134:N134),"")</f>
        <v/>
      </c>
      <c r="P134" s="216" t="str">
        <f>IFERROR(IF(AND(ISNUMBER(O134),ISNUMBER(I134),I134&lt;&gt;0),O134/I134,""),"")</f>
        <v/>
      </c>
      <c r="Q134" s="215" t="str">
        <f>IF(AND(ISNUMBER(I134),ISNUMBER(S134)),I134*IF(S134&lt;=1,S134,S134/100),IF(OR(I134&lt;&gt;"",S134&lt;&gt;""),"tbd",""))</f>
        <v/>
      </c>
      <c r="S134" s="217" t="n"/>
      <c r="Z134" t="str">
        <f>IF(AND(R134="WON",ISNUMBER(I134)),AA134,"")</f>
        <v/>
      </c>
      <c r="AA134">
        <f>IFERROR(I134*1,0)</f>
        <v>0</v>
      </c>
      <c r="AB134">
        <f>N(AB133)+IF(AND(R134="WON",B134&lt;&gt;""),1,0)</f>
        <v>7</v>
      </c>
      <c r="AC134">
        <f>N(AC133)+IF(AND(OR(R134="offered",R134="to be offered",R134="on hold"),B134&lt;&gt;""),1,0)</f>
        <v>19</v>
      </c>
      <c r="AD134">
        <f>N(AD133)+IF(AND(OR(R134="follow-up",R134="Evaluation",R134="tbd",R134="In evaluation"),B134&lt;&gt;""),1,0)</f>
        <v>9</v>
      </c>
    </row>
    <row r="135" ht="15" customHeight="1">
      <c r="I135" s="215" t="n"/>
      <c r="J135" s="215" t="n"/>
      <c r="K135" s="215" t="n"/>
      <c r="L135" s="215" t="n"/>
      <c r="M135" s="215" t="n"/>
      <c r="N135" s="215" t="str">
        <f>IF(ISNUMBER(I135),ROUND(I135-I135/1.081,2),"")</f>
        <v/>
      </c>
      <c r="O135" s="215" t="str">
        <f>IF(ISNUMBER(I135),I135-SUM(J135:N135),"")</f>
        <v/>
      </c>
      <c r="P135" s="216" t="str">
        <f>IFERROR(IF(AND(ISNUMBER(O135),ISNUMBER(I135),I135&lt;&gt;0),O135/I135,""),"")</f>
        <v/>
      </c>
      <c r="Q135" s="215" t="str">
        <f>IF(AND(ISNUMBER(I135),ISNUMBER(S135)),I135*IF(S135&lt;=1,S135,S135/100),IF(OR(I135&lt;&gt;"",S135&lt;&gt;""),"tbd",""))</f>
        <v/>
      </c>
      <c r="S135" s="217" t="n"/>
      <c r="Z135" t="str">
        <f>IF(AND(R135="WON",ISNUMBER(I135)),AA135,"")</f>
        <v/>
      </c>
      <c r="AA135">
        <f>IFERROR(I135*1,0)</f>
        <v>0</v>
      </c>
      <c r="AB135">
        <f>N(AB134)+IF(AND(R135="WON",B135&lt;&gt;""),1,0)</f>
        <v>7</v>
      </c>
      <c r="AC135">
        <f>N(AC134)+IF(AND(OR(R135="offered",R135="to be offered",R135="on hold"),B135&lt;&gt;""),1,0)</f>
        <v>19</v>
      </c>
      <c r="AD135">
        <f>N(AD134)+IF(AND(OR(R135="follow-up",R135="Evaluation",R135="tbd",R135="In evaluation"),B135&lt;&gt;""),1,0)</f>
        <v>9</v>
      </c>
    </row>
    <row r="136" ht="15" customHeight="1">
      <c r="I136" s="215" t="n"/>
      <c r="J136" s="215" t="n"/>
      <c r="K136" s="215" t="n"/>
      <c r="L136" s="215" t="n"/>
      <c r="M136" s="215" t="n"/>
      <c r="N136" s="215" t="str">
        <f>IF(ISNUMBER(I136),ROUND(I136-I136/1.081,2),"")</f>
        <v/>
      </c>
      <c r="O136" s="215" t="str">
        <f>IF(ISNUMBER(I136),I136-SUM(J136:N136),"")</f>
        <v/>
      </c>
      <c r="P136" s="216" t="str">
        <f>IFERROR(IF(AND(ISNUMBER(O136),ISNUMBER(I136),I136&lt;&gt;0),O136/I136,""),"")</f>
        <v/>
      </c>
      <c r="Q136" s="215" t="str">
        <f>IF(AND(ISNUMBER(I136),ISNUMBER(S136)),I136*IF(S136&lt;=1,S136,S136/100),IF(OR(I136&lt;&gt;"",S136&lt;&gt;""),"tbd",""))</f>
        <v/>
      </c>
      <c r="S136" s="217" t="n"/>
      <c r="Z136" t="str">
        <f>IF(AND(R136="WON",ISNUMBER(I136)),AA136,"")</f>
        <v/>
      </c>
      <c r="AA136">
        <f>IFERROR(I136*1,0)</f>
        <v>0</v>
      </c>
      <c r="AB136">
        <f>N(AB135)+IF(AND(R136="WON",B136&lt;&gt;""),1,0)</f>
        <v>7</v>
      </c>
      <c r="AC136">
        <f>N(AC135)+IF(AND(OR(R136="offered",R136="to be offered",R136="on hold"),B136&lt;&gt;""),1,0)</f>
        <v>19</v>
      </c>
      <c r="AD136">
        <f>N(AD135)+IF(AND(OR(R136="follow-up",R136="Evaluation",R136="tbd",R136="In evaluation"),B136&lt;&gt;""),1,0)</f>
        <v>9</v>
      </c>
    </row>
    <row r="137" ht="15" customHeight="1">
      <c r="I137" s="215" t="n"/>
      <c r="J137" s="215" t="n"/>
      <c r="K137" s="215" t="n"/>
      <c r="L137" s="215" t="n"/>
      <c r="M137" s="215" t="n"/>
      <c r="N137" s="215" t="str">
        <f>IF(ISNUMBER(I137),ROUND(I137-I137/1.081,2),"")</f>
        <v/>
      </c>
      <c r="O137" s="215" t="str">
        <f>IF(ISNUMBER(I137),I137-SUM(J137:N137),"")</f>
        <v/>
      </c>
      <c r="P137" s="216" t="str">
        <f>IFERROR(IF(AND(ISNUMBER(O137),ISNUMBER(I137),I137&lt;&gt;0),O137/I137,""),"")</f>
        <v/>
      </c>
      <c r="Q137" s="215" t="str">
        <f>IF(AND(ISNUMBER(I137),ISNUMBER(S137)),I137*IF(S137&lt;=1,S137,S137/100),IF(OR(I137&lt;&gt;"",S137&lt;&gt;""),"tbd",""))</f>
        <v/>
      </c>
      <c r="S137" s="217" t="n"/>
      <c r="Z137" t="str">
        <f>IF(AND(R137="WON",ISNUMBER(I137)),AA137,"")</f>
        <v/>
      </c>
      <c r="AA137">
        <f>IFERROR(I137*1,0)</f>
        <v>0</v>
      </c>
      <c r="AB137">
        <f>N(AB136)+IF(AND(R137="WON",B137&lt;&gt;""),1,0)</f>
        <v>7</v>
      </c>
      <c r="AC137">
        <f>N(AC136)+IF(AND(OR(R137="offered",R137="to be offered",R137="on hold"),B137&lt;&gt;""),1,0)</f>
        <v>19</v>
      </c>
      <c r="AD137">
        <f>N(AD136)+IF(AND(OR(R137="follow-up",R137="Evaluation",R137="tbd",R137="In evaluation"),B137&lt;&gt;""),1,0)</f>
        <v>9</v>
      </c>
    </row>
    <row r="138" ht="15" customHeight="1">
      <c r="I138" s="215" t="n"/>
      <c r="J138" s="215" t="n"/>
      <c r="K138" s="215" t="n"/>
      <c r="L138" s="215" t="n"/>
      <c r="M138" s="215" t="n"/>
      <c r="N138" s="215" t="str">
        <f>IF(ISNUMBER(I138),ROUND(I138-I138/1.081,2),"")</f>
        <v/>
      </c>
      <c r="O138" s="215" t="str">
        <f>IF(ISNUMBER(I138),I138-SUM(J138:N138),"")</f>
        <v/>
      </c>
      <c r="P138" s="216" t="str">
        <f>IFERROR(IF(AND(ISNUMBER(O138),ISNUMBER(I138),I138&lt;&gt;0),O138/I138,""),"")</f>
        <v/>
      </c>
      <c r="Q138" s="215" t="str">
        <f>IF(AND(ISNUMBER(I138),ISNUMBER(S138)),I138*IF(S138&lt;=1,S138,S138/100),IF(OR(I138&lt;&gt;"",S138&lt;&gt;""),"tbd",""))</f>
        <v/>
      </c>
      <c r="S138" s="217" t="n"/>
      <c r="Z138" t="str">
        <f>IF(AND(R138="WON",ISNUMBER(I138)),AA138,"")</f>
        <v/>
      </c>
      <c r="AA138">
        <f>IFERROR(I138*1,0)</f>
        <v>0</v>
      </c>
      <c r="AB138">
        <f>N(AB137)+IF(AND(R138="WON",B138&lt;&gt;""),1,0)</f>
        <v>7</v>
      </c>
      <c r="AC138">
        <f>N(AC137)+IF(AND(OR(R138="offered",R138="to be offered",R138="on hold"),B138&lt;&gt;""),1,0)</f>
        <v>19</v>
      </c>
      <c r="AD138">
        <f>N(AD137)+IF(AND(OR(R138="follow-up",R138="Evaluation",R138="tbd",R138="In evaluation"),B138&lt;&gt;""),1,0)</f>
        <v>9</v>
      </c>
    </row>
    <row r="139" ht="15" customHeight="1">
      <c r="I139" s="215" t="n"/>
      <c r="J139" s="215" t="n"/>
      <c r="K139" s="215" t="n"/>
      <c r="L139" s="215" t="n"/>
      <c r="M139" s="215" t="n"/>
      <c r="N139" s="215" t="str">
        <f>IF(ISNUMBER(I139),ROUND(I139-I139/1.081,2),"")</f>
        <v/>
      </c>
      <c r="O139" s="215" t="str">
        <f>IF(ISNUMBER(I139),I139-SUM(J139:N139),"")</f>
        <v/>
      </c>
      <c r="P139" s="216" t="str">
        <f>IFERROR(IF(AND(ISNUMBER(O139),ISNUMBER(I139),I139&lt;&gt;0),O139/I139,""),"")</f>
        <v/>
      </c>
      <c r="Q139" s="215" t="str">
        <f>IF(AND(ISNUMBER(I139),ISNUMBER(S139)),I139*IF(S139&lt;=1,S139,S139/100),IF(OR(I139&lt;&gt;"",S139&lt;&gt;""),"tbd",""))</f>
        <v/>
      </c>
      <c r="S139" s="217" t="n"/>
      <c r="Z139" t="str">
        <f>IF(AND(R139="WON",ISNUMBER(I139)),AA139,"")</f>
        <v/>
      </c>
      <c r="AA139">
        <f>IFERROR(I139*1,0)</f>
        <v>0</v>
      </c>
      <c r="AB139">
        <f>N(AB138)+IF(AND(R139="WON",B139&lt;&gt;""),1,0)</f>
        <v>7</v>
      </c>
      <c r="AC139">
        <f>N(AC138)+IF(AND(OR(R139="offered",R139="to be offered",R139="on hold"),B139&lt;&gt;""),1,0)</f>
        <v>19</v>
      </c>
      <c r="AD139">
        <f>N(AD138)+IF(AND(OR(R139="follow-up",R139="Evaluation",R139="tbd",R139="In evaluation"),B139&lt;&gt;""),1,0)</f>
        <v>9</v>
      </c>
    </row>
    <row r="140" ht="15" customHeight="1">
      <c r="I140" s="215" t="n"/>
      <c r="J140" s="215" t="n"/>
      <c r="K140" s="215" t="n"/>
      <c r="L140" s="215" t="n"/>
      <c r="M140" s="215" t="n"/>
      <c r="N140" s="215" t="str">
        <f>IF(ISNUMBER(I140),ROUND(I140-I140/1.081,2),"")</f>
        <v/>
      </c>
      <c r="O140" s="215" t="str">
        <f>IF(ISNUMBER(I140),I140-SUM(J140:N140),"")</f>
        <v/>
      </c>
      <c r="P140" s="216" t="str">
        <f>IFERROR(IF(AND(ISNUMBER(O140),ISNUMBER(I140),I140&lt;&gt;0),O140/I140,""),"")</f>
        <v/>
      </c>
      <c r="Q140" s="215" t="str">
        <f>IF(AND(ISNUMBER(I140),ISNUMBER(S140)),I140*IF(S140&lt;=1,S140,S140/100),IF(OR(I140&lt;&gt;"",S140&lt;&gt;""),"tbd",""))</f>
        <v/>
      </c>
      <c r="S140" s="217" t="n"/>
      <c r="Z140" t="str">
        <f>IF(AND(R140="WON",ISNUMBER(I140)),AA140,"")</f>
        <v/>
      </c>
      <c r="AA140">
        <f>IFERROR(I140*1,0)</f>
        <v>0</v>
      </c>
      <c r="AB140">
        <f>N(AB139)+IF(AND(R140="WON",B140&lt;&gt;""),1,0)</f>
        <v>7</v>
      </c>
      <c r="AC140">
        <f>N(AC139)+IF(AND(OR(R140="offered",R140="to be offered",R140="on hold"),B140&lt;&gt;""),1,0)</f>
        <v>19</v>
      </c>
      <c r="AD140">
        <f>N(AD139)+IF(AND(OR(R140="follow-up",R140="Evaluation",R140="tbd",R140="In evaluation"),B140&lt;&gt;""),1,0)</f>
        <v>9</v>
      </c>
    </row>
    <row r="141" ht="15" customHeight="1">
      <c r="I141" s="215" t="n"/>
      <c r="J141" s="215" t="n"/>
      <c r="K141" s="215" t="n"/>
      <c r="L141" s="215" t="n"/>
      <c r="M141" s="215" t="n"/>
      <c r="N141" s="215" t="str">
        <f>IF(ISNUMBER(I141),ROUND(I141-I141/1.081,2),"")</f>
        <v/>
      </c>
      <c r="O141" s="215" t="str">
        <f>IF(ISNUMBER(I141),I141-SUM(J141:N141),"")</f>
        <v/>
      </c>
      <c r="P141" s="216" t="str">
        <f>IFERROR(IF(AND(ISNUMBER(O141),ISNUMBER(I141),I141&lt;&gt;0),O141/I141,""),"")</f>
        <v/>
      </c>
      <c r="Q141" s="215" t="str">
        <f>IF(AND(ISNUMBER(I141),ISNUMBER(S141)),I141*IF(S141&lt;=1,S141,S141/100),IF(OR(I141&lt;&gt;"",S141&lt;&gt;""),"tbd",""))</f>
        <v/>
      </c>
      <c r="S141" s="217" t="n"/>
      <c r="Z141" t="str">
        <f>IF(AND(R141="WON",ISNUMBER(I141)),AA141,"")</f>
        <v/>
      </c>
      <c r="AA141">
        <f>IFERROR(I141*1,0)</f>
        <v>0</v>
      </c>
      <c r="AB141">
        <f>N(AB140)+IF(AND(R141="WON",B141&lt;&gt;""),1,0)</f>
        <v>7</v>
      </c>
      <c r="AC141">
        <f>N(AC140)+IF(AND(OR(R141="offered",R141="to be offered",R141="on hold"),B141&lt;&gt;""),1,0)</f>
        <v>19</v>
      </c>
      <c r="AD141">
        <f>N(AD140)+IF(AND(OR(R141="follow-up",R141="Evaluation",R141="tbd",R141="In evaluation"),B141&lt;&gt;""),1,0)</f>
        <v>9</v>
      </c>
    </row>
    <row r="142" ht="15" customHeight="1">
      <c r="I142" s="215" t="n"/>
      <c r="J142" s="215" t="n"/>
      <c r="K142" s="215" t="n"/>
      <c r="L142" s="215" t="n"/>
      <c r="M142" s="215" t="n"/>
      <c r="N142" s="215" t="str">
        <f>IF(ISNUMBER(I142),ROUND(I142-I142/1.081,2),"")</f>
        <v/>
      </c>
      <c r="O142" s="215" t="str">
        <f>IF(ISNUMBER(I142),I142-SUM(J142:N142),"")</f>
        <v/>
      </c>
      <c r="P142" s="216" t="str">
        <f>IFERROR(IF(AND(ISNUMBER(O142),ISNUMBER(I142),I142&lt;&gt;0),O142/I142,""),"")</f>
        <v/>
      </c>
      <c r="Q142" s="215" t="str">
        <f>IF(AND(ISNUMBER(I142),ISNUMBER(S142)),I142*IF(S142&lt;=1,S142,S142/100),IF(OR(I142&lt;&gt;"",S142&lt;&gt;""),"tbd",""))</f>
        <v/>
      </c>
      <c r="S142" s="217" t="n"/>
      <c r="Z142" t="str">
        <f>IF(AND(R142="WON",ISNUMBER(I142)),AA142,"")</f>
        <v/>
      </c>
      <c r="AA142">
        <f>IFERROR(I142*1,0)</f>
        <v>0</v>
      </c>
      <c r="AB142">
        <f>N(AB141)+IF(AND(R142="WON",B142&lt;&gt;""),1,0)</f>
        <v>7</v>
      </c>
      <c r="AC142">
        <f>N(AC141)+IF(AND(OR(R142="offered",R142="to be offered",R142="on hold"),B142&lt;&gt;""),1,0)</f>
        <v>19</v>
      </c>
      <c r="AD142">
        <f>N(AD141)+IF(AND(OR(R142="follow-up",R142="Evaluation",R142="tbd",R142="In evaluation"),B142&lt;&gt;""),1,0)</f>
        <v>9</v>
      </c>
    </row>
    <row r="143" ht="15" customHeight="1">
      <c r="I143" s="215" t="n"/>
      <c r="J143" s="215" t="n"/>
      <c r="K143" s="215" t="n"/>
      <c r="L143" s="215" t="n"/>
      <c r="M143" s="215" t="n"/>
      <c r="N143" s="215" t="str">
        <f>IF(ISNUMBER(I143),ROUND(I143-I143/1.081,2),"")</f>
        <v/>
      </c>
      <c r="O143" s="215" t="str">
        <f>IF(ISNUMBER(I143),I143-SUM(J143:N143),"")</f>
        <v/>
      </c>
      <c r="P143" s="216" t="str">
        <f>IFERROR(IF(AND(ISNUMBER(O143),ISNUMBER(I143),I143&lt;&gt;0),O143/I143,""),"")</f>
        <v/>
      </c>
      <c r="Q143" s="215" t="str">
        <f>IF(AND(ISNUMBER(I143),ISNUMBER(S143)),I143*IF(S143&lt;=1,S143,S143/100),IF(OR(I143&lt;&gt;"",S143&lt;&gt;""),"tbd",""))</f>
        <v/>
      </c>
      <c r="S143" s="217" t="n"/>
      <c r="Z143" t="str">
        <f>IF(AND(R143="WON",ISNUMBER(I143)),AA143,"")</f>
        <v/>
      </c>
      <c r="AA143">
        <f>IFERROR(I143*1,0)</f>
        <v>0</v>
      </c>
      <c r="AB143">
        <f>N(AB142)+IF(AND(R143="WON",B143&lt;&gt;""),1,0)</f>
        <v>7</v>
      </c>
      <c r="AC143">
        <f>N(AC142)+IF(AND(OR(R143="offered",R143="to be offered",R143="on hold"),B143&lt;&gt;""),1,0)</f>
        <v>19</v>
      </c>
      <c r="AD143">
        <f>N(AD142)+IF(AND(OR(R143="follow-up",R143="Evaluation",R143="tbd",R143="In evaluation"),B143&lt;&gt;""),1,0)</f>
        <v>9</v>
      </c>
    </row>
    <row r="144" ht="15" customHeight="1">
      <c r="I144" s="215" t="n"/>
      <c r="J144" s="215" t="n"/>
      <c r="K144" s="215" t="n"/>
      <c r="L144" s="215" t="n"/>
      <c r="M144" s="215" t="n"/>
      <c r="N144" s="215" t="str">
        <f>IF(ISNUMBER(I144),ROUND(I144-I144/1.081,2),"")</f>
        <v/>
      </c>
      <c r="O144" s="215" t="str">
        <f>IF(ISNUMBER(I144),I144-SUM(J144:N144),"")</f>
        <v/>
      </c>
      <c r="P144" s="216" t="str">
        <f>IFERROR(IF(AND(ISNUMBER(O144),ISNUMBER(I144),I144&lt;&gt;0),O144/I144,""),"")</f>
        <v/>
      </c>
      <c r="Q144" s="215" t="str">
        <f>IF(AND(ISNUMBER(I144),ISNUMBER(S144)),I144*IF(S144&lt;=1,S144,S144/100),IF(OR(I144&lt;&gt;"",S144&lt;&gt;""),"tbd",""))</f>
        <v/>
      </c>
      <c r="S144" s="217" t="n"/>
      <c r="Z144" t="str">
        <f>IF(AND(R144="WON",ISNUMBER(I144)),AA144,"")</f>
        <v/>
      </c>
      <c r="AA144">
        <f>IFERROR(I144*1,0)</f>
        <v>0</v>
      </c>
      <c r="AB144">
        <f>N(AB143)+IF(AND(R144="WON",B144&lt;&gt;""),1,0)</f>
        <v>7</v>
      </c>
      <c r="AC144">
        <f>N(AC143)+IF(AND(OR(R144="offered",R144="to be offered",R144="on hold"),B144&lt;&gt;""),1,0)</f>
        <v>19</v>
      </c>
      <c r="AD144">
        <f>N(AD143)+IF(AND(OR(R144="follow-up",R144="Evaluation",R144="tbd",R144="In evaluation"),B144&lt;&gt;""),1,0)</f>
        <v>9</v>
      </c>
    </row>
    <row r="145" ht="15" customHeight="1">
      <c r="I145" s="215" t="n"/>
      <c r="J145" s="215" t="n"/>
      <c r="K145" s="215" t="n"/>
      <c r="L145" s="215" t="n"/>
      <c r="M145" s="215" t="n"/>
      <c r="N145" s="215" t="str">
        <f>IF(ISNUMBER(I145),ROUND(I145-I145/1.081,2),"")</f>
        <v/>
      </c>
      <c r="O145" s="215" t="str">
        <f>IF(ISNUMBER(I145),I145-SUM(J145:N145),"")</f>
        <v/>
      </c>
      <c r="P145" s="216" t="str">
        <f>IFERROR(IF(AND(ISNUMBER(O145),ISNUMBER(I145),I145&lt;&gt;0),O145/I145,""),"")</f>
        <v/>
      </c>
      <c r="Q145" s="215" t="str">
        <f>IF(AND(ISNUMBER(I145),ISNUMBER(S145)),I145*IF(S145&lt;=1,S145,S145/100),IF(OR(I145&lt;&gt;"",S145&lt;&gt;""),"tbd",""))</f>
        <v/>
      </c>
      <c r="S145" s="217" t="n"/>
      <c r="Z145" t="str">
        <f>IF(AND(R145="WON",ISNUMBER(I145)),AA145,"")</f>
        <v/>
      </c>
      <c r="AA145">
        <f>IFERROR(I145*1,0)</f>
        <v>0</v>
      </c>
      <c r="AB145">
        <f>N(AB144)+IF(AND(R145="WON",B145&lt;&gt;""),1,0)</f>
        <v>7</v>
      </c>
      <c r="AC145">
        <f>N(AC144)+IF(AND(OR(R145="offered",R145="to be offered",R145="on hold"),B145&lt;&gt;""),1,0)</f>
        <v>19</v>
      </c>
      <c r="AD145">
        <f>N(AD144)+IF(AND(OR(R145="follow-up",R145="Evaluation",R145="tbd",R145="In evaluation"),B145&lt;&gt;""),1,0)</f>
        <v>9</v>
      </c>
    </row>
    <row r="146" ht="15" customHeight="1">
      <c r="I146" s="215" t="n"/>
      <c r="J146" s="215" t="n"/>
      <c r="K146" s="215" t="n"/>
      <c r="L146" s="215" t="n"/>
      <c r="M146" s="215" t="n"/>
      <c r="N146" s="215" t="str">
        <f>IF(ISNUMBER(I146),ROUND(I146-I146/1.081,2),"")</f>
        <v/>
      </c>
      <c r="O146" s="215" t="str">
        <f>IF(ISNUMBER(I146),I146-SUM(J146:N146),"")</f>
        <v/>
      </c>
      <c r="P146" s="216" t="str">
        <f>IFERROR(IF(AND(ISNUMBER(O146),ISNUMBER(I146),I146&lt;&gt;0),O146/I146,""),"")</f>
        <v/>
      </c>
      <c r="Q146" s="215" t="str">
        <f>IF(AND(ISNUMBER(I146),ISNUMBER(S146)),I146*IF(S146&lt;=1,S146,S146/100),IF(OR(I146&lt;&gt;"",S146&lt;&gt;""),"tbd",""))</f>
        <v/>
      </c>
      <c r="S146" s="217" t="n"/>
      <c r="Z146" t="str">
        <f>IF(AND(R146="WON",ISNUMBER(I146)),AA146,"")</f>
        <v/>
      </c>
      <c r="AA146">
        <f>IFERROR(I146*1,0)</f>
        <v>0</v>
      </c>
      <c r="AB146">
        <f>N(AB145)+IF(AND(R146="WON",B146&lt;&gt;""),1,0)</f>
        <v>7</v>
      </c>
      <c r="AC146">
        <f>N(AC145)+IF(AND(OR(R146="offered",R146="to be offered",R146="on hold"),B146&lt;&gt;""),1,0)</f>
        <v>19</v>
      </c>
      <c r="AD146">
        <f>N(AD145)+IF(AND(OR(R146="follow-up",R146="Evaluation",R146="tbd",R146="In evaluation"),B146&lt;&gt;""),1,0)</f>
        <v>9</v>
      </c>
    </row>
    <row r="147" ht="15" customHeight="1">
      <c r="I147" s="215" t="n"/>
      <c r="J147" s="215" t="n"/>
      <c r="K147" s="215" t="n"/>
      <c r="L147" s="215" t="n"/>
      <c r="M147" s="215" t="n"/>
      <c r="N147" s="215" t="str">
        <f>IF(ISNUMBER(I147),ROUND(I147-I147/1.081,2),"")</f>
        <v/>
      </c>
      <c r="O147" s="215" t="str">
        <f>IF(ISNUMBER(I147),I147-SUM(J147:N147),"")</f>
        <v/>
      </c>
      <c r="P147" s="216" t="str">
        <f>IFERROR(IF(AND(ISNUMBER(O147),ISNUMBER(I147),I147&lt;&gt;0),O147/I147,""),"")</f>
        <v/>
      </c>
      <c r="Q147" s="215" t="str">
        <f>IF(AND(ISNUMBER(I147),ISNUMBER(S147)),I147*IF(S147&lt;=1,S147,S147/100),IF(OR(I147&lt;&gt;"",S147&lt;&gt;""),"tbd",""))</f>
        <v/>
      </c>
      <c r="S147" s="217" t="n"/>
      <c r="Z147" t="str">
        <f>IF(AND(R147="WON",ISNUMBER(I147)),AA147,"")</f>
        <v/>
      </c>
      <c r="AA147">
        <f>IFERROR(I147*1,0)</f>
        <v>0</v>
      </c>
      <c r="AB147">
        <f>N(AB146)+IF(AND(R147="WON",B147&lt;&gt;""),1,0)</f>
        <v>7</v>
      </c>
      <c r="AC147">
        <f>N(AC146)+IF(AND(OR(R147="offered",R147="to be offered",R147="on hold"),B147&lt;&gt;""),1,0)</f>
        <v>19</v>
      </c>
      <c r="AD147">
        <f>N(AD146)+IF(AND(OR(R147="follow-up",R147="Evaluation",R147="tbd",R147="In evaluation"),B147&lt;&gt;""),1,0)</f>
        <v>9</v>
      </c>
    </row>
    <row r="148" ht="15" customHeight="1">
      <c r="I148" s="215" t="n"/>
      <c r="J148" s="215" t="n"/>
      <c r="K148" s="215" t="n"/>
      <c r="L148" s="215" t="n"/>
      <c r="M148" s="215" t="n"/>
      <c r="N148" s="215" t="str">
        <f>IF(ISNUMBER(I148),ROUND(I148-I148/1.081,2),"")</f>
        <v/>
      </c>
      <c r="O148" s="215" t="str">
        <f>IF(ISNUMBER(I148),I148-SUM(J148:N148),"")</f>
        <v/>
      </c>
      <c r="P148" s="216" t="str">
        <f>IFERROR(IF(AND(ISNUMBER(O148),ISNUMBER(I148),I148&lt;&gt;0),O148/I148,""),"")</f>
        <v/>
      </c>
      <c r="Q148" s="215" t="str">
        <f>IF(AND(ISNUMBER(I148),ISNUMBER(S148)),I148*IF(S148&lt;=1,S148,S148/100),IF(OR(I148&lt;&gt;"",S148&lt;&gt;""),"tbd",""))</f>
        <v/>
      </c>
      <c r="S148" s="217" t="n"/>
      <c r="Z148" t="str">
        <f>IF(AND(R148="WON",ISNUMBER(I148)),AA148,"")</f>
        <v/>
      </c>
      <c r="AA148">
        <f>IFERROR(I148*1,0)</f>
        <v>0</v>
      </c>
      <c r="AB148">
        <f>N(AB147)+IF(AND(R148="WON",B148&lt;&gt;""),1,0)</f>
        <v>7</v>
      </c>
      <c r="AC148">
        <f>N(AC147)+IF(AND(OR(R148="offered",R148="to be offered",R148="on hold"),B148&lt;&gt;""),1,0)</f>
        <v>19</v>
      </c>
      <c r="AD148">
        <f>N(AD147)+IF(AND(OR(R148="follow-up",R148="Evaluation",R148="tbd",R148="In evaluation"),B148&lt;&gt;""),1,0)</f>
        <v>9</v>
      </c>
    </row>
    <row r="149" ht="15" customHeight="1">
      <c r="I149" s="215" t="n"/>
      <c r="J149" s="215" t="n"/>
      <c r="K149" s="215" t="n"/>
      <c r="L149" s="215" t="n"/>
      <c r="M149" s="215" t="n"/>
      <c r="N149" s="215" t="str">
        <f>IF(ISNUMBER(I149),ROUND(I149-I149/1.081,2),"")</f>
        <v/>
      </c>
      <c r="O149" s="215" t="str">
        <f>IF(ISNUMBER(I149),I149-SUM(J149:N149),"")</f>
        <v/>
      </c>
      <c r="P149" s="216" t="str">
        <f>IFERROR(IF(AND(ISNUMBER(O149),ISNUMBER(I149),I149&lt;&gt;0),O149/I149,""),"")</f>
        <v/>
      </c>
      <c r="Q149" s="215" t="str">
        <f>IF(AND(ISNUMBER(I149),ISNUMBER(S149)),I149*IF(S149&lt;=1,S149,S149/100),IF(OR(I149&lt;&gt;"",S149&lt;&gt;""),"tbd",""))</f>
        <v/>
      </c>
      <c r="S149" s="217" t="n"/>
      <c r="Z149" t="str">
        <f>IF(AND(R149="WON",ISNUMBER(I149)),AA149,"")</f>
        <v/>
      </c>
      <c r="AA149">
        <f>IFERROR(I149*1,0)</f>
        <v>0</v>
      </c>
      <c r="AB149">
        <f>N(AB148)+IF(AND(R149="WON",B149&lt;&gt;""),1,0)</f>
        <v>7</v>
      </c>
      <c r="AC149">
        <f>N(AC148)+IF(AND(OR(R149="offered",R149="to be offered",R149="on hold"),B149&lt;&gt;""),1,0)</f>
        <v>19</v>
      </c>
      <c r="AD149">
        <f>N(AD148)+IF(AND(OR(R149="follow-up",R149="Evaluation",R149="tbd",R149="In evaluation"),B149&lt;&gt;""),1,0)</f>
        <v>9</v>
      </c>
    </row>
    <row r="150" ht="15" customHeight="1">
      <c r="I150" s="215" t="n"/>
      <c r="J150" s="215" t="n"/>
      <c r="K150" s="215" t="n"/>
      <c r="L150" s="215" t="n"/>
      <c r="M150" s="215" t="n"/>
      <c r="N150" s="215" t="str">
        <f>IF(ISNUMBER(I150),ROUND(I150-I150/1.081,2),"")</f>
        <v/>
      </c>
      <c r="O150" s="215" t="str">
        <f>IF(ISNUMBER(I150),I150-SUM(J150:N150),"")</f>
        <v/>
      </c>
      <c r="P150" s="216" t="str">
        <f>IFERROR(IF(AND(ISNUMBER(O150),ISNUMBER(I150),I150&lt;&gt;0),O150/I150,""),"")</f>
        <v/>
      </c>
      <c r="Q150" s="215" t="str">
        <f>IF(AND(ISNUMBER(I150),ISNUMBER(S150)),I150*IF(S150&lt;=1,S150,S150/100),IF(OR(I150&lt;&gt;"",S150&lt;&gt;""),"tbd",""))</f>
        <v/>
      </c>
      <c r="S150" s="217" t="n"/>
      <c r="Z150" t="str">
        <f>IF(AND(R150="WON",ISNUMBER(I150)),AA150,"")</f>
        <v/>
      </c>
      <c r="AA150">
        <f>IFERROR(I150*1,0)</f>
        <v>0</v>
      </c>
      <c r="AB150">
        <f>N(AB149)+IF(AND(R150="WON",B150&lt;&gt;""),1,0)</f>
        <v>7</v>
      </c>
      <c r="AC150">
        <f>N(AC149)+IF(AND(OR(R150="offered",R150="to be offered",R150="on hold"),B150&lt;&gt;""),1,0)</f>
        <v>19</v>
      </c>
      <c r="AD150">
        <f>N(AD149)+IF(AND(OR(R150="follow-up",R150="Evaluation",R150="tbd",R150="In evaluation"),B150&lt;&gt;""),1,0)</f>
        <v>9</v>
      </c>
    </row>
    <row r="151" ht="15" customHeight="1">
      <c r="I151" s="215" t="n"/>
      <c r="J151" s="215" t="n"/>
      <c r="K151" s="215" t="n"/>
      <c r="L151" s="215" t="n"/>
      <c r="M151" s="215" t="n"/>
      <c r="N151" s="215" t="str">
        <f>IF(ISNUMBER(I151),ROUND(I151-I151/1.081,2),"")</f>
        <v/>
      </c>
      <c r="O151" s="215" t="str">
        <f>IF(ISNUMBER(I151),I151-SUM(J151:N151),"")</f>
        <v/>
      </c>
      <c r="P151" s="216" t="str">
        <f>IFERROR(IF(AND(ISNUMBER(O151),ISNUMBER(I151),I151&lt;&gt;0),O151/I151,""),"")</f>
        <v/>
      </c>
      <c r="Q151" s="215" t="str">
        <f>IF(AND(ISNUMBER(I151),ISNUMBER(S151)),I151*IF(S151&lt;=1,S151,S151/100),IF(OR(I151&lt;&gt;"",S151&lt;&gt;""),"tbd",""))</f>
        <v/>
      </c>
      <c r="S151" s="217" t="n"/>
      <c r="Z151" t="str">
        <f>IF(AND(R151="WON",ISNUMBER(I151)),AA151,"")</f>
        <v/>
      </c>
      <c r="AA151">
        <f>IFERROR(I151*1,0)</f>
        <v>0</v>
      </c>
      <c r="AB151">
        <f>N(AB150)+IF(AND(R151="WON",B151&lt;&gt;""),1,0)</f>
        <v>7</v>
      </c>
      <c r="AC151">
        <f>N(AC150)+IF(AND(OR(R151="offered",R151="to be offered",R151="on hold"),B151&lt;&gt;""),1,0)</f>
        <v>19</v>
      </c>
      <c r="AD151">
        <f>N(AD150)+IF(AND(OR(R151="follow-up",R151="Evaluation",R151="tbd",R151="In evaluation"),B151&lt;&gt;""),1,0)</f>
        <v>9</v>
      </c>
    </row>
    <row r="152" ht="15" customHeight="1">
      <c r="I152" s="215" t="n"/>
      <c r="J152" s="215" t="n"/>
      <c r="K152" s="215" t="n"/>
      <c r="L152" s="215" t="n"/>
      <c r="M152" s="215" t="n"/>
      <c r="N152" s="215" t="str">
        <f>IF(ISNUMBER(I152),ROUND(I152-I152/1.081,2),"")</f>
        <v/>
      </c>
      <c r="O152" s="215" t="str">
        <f>IF(ISNUMBER(I152),I152-SUM(J152:N152),"")</f>
        <v/>
      </c>
      <c r="P152" s="216" t="str">
        <f>IFERROR(IF(AND(ISNUMBER(O152),ISNUMBER(I152),I152&lt;&gt;0),O152/I152,""),"")</f>
        <v/>
      </c>
      <c r="Q152" s="215" t="str">
        <f>IF(AND(ISNUMBER(I152),ISNUMBER(S152)),I152*IF(S152&lt;=1,S152,S152/100),IF(OR(I152&lt;&gt;"",S152&lt;&gt;""),"tbd",""))</f>
        <v/>
      </c>
      <c r="S152" s="217" t="n"/>
      <c r="Z152" t="str">
        <f>IF(AND(R152="WON",ISNUMBER(I152)),AA152,"")</f>
        <v/>
      </c>
      <c r="AA152">
        <f>IFERROR(I152*1,0)</f>
        <v>0</v>
      </c>
      <c r="AB152">
        <f>N(AB151)+IF(AND(R152="WON",B152&lt;&gt;""),1,0)</f>
        <v>7</v>
      </c>
      <c r="AC152">
        <f>N(AC151)+IF(AND(OR(R152="offered",R152="to be offered",R152="on hold"),B152&lt;&gt;""),1,0)</f>
        <v>19</v>
      </c>
      <c r="AD152">
        <f>N(AD151)+IF(AND(OR(R152="follow-up",R152="Evaluation",R152="tbd",R152="In evaluation"),B152&lt;&gt;""),1,0)</f>
        <v>9</v>
      </c>
    </row>
    <row r="153" ht="15" customHeight="1">
      <c r="I153" s="215" t="n"/>
      <c r="J153" s="215" t="n"/>
      <c r="K153" s="215" t="n"/>
      <c r="L153" s="215" t="n"/>
      <c r="M153" s="215" t="n"/>
      <c r="N153" s="215" t="str">
        <f>IF(ISNUMBER(I153),ROUND(I153-I153/1.081,2),"")</f>
        <v/>
      </c>
      <c r="O153" s="215" t="str">
        <f>IF(ISNUMBER(I153),I153-SUM(J153:N153),"")</f>
        <v/>
      </c>
      <c r="P153" s="216" t="str">
        <f>IFERROR(IF(AND(ISNUMBER(O153),ISNUMBER(I153),I153&lt;&gt;0),O153/I153,""),"")</f>
        <v/>
      </c>
      <c r="Q153" s="215" t="str">
        <f>IF(AND(ISNUMBER(I153),ISNUMBER(S153)),I153*IF(S153&lt;=1,S153,S153/100),IF(OR(I153&lt;&gt;"",S153&lt;&gt;""),"tbd",""))</f>
        <v/>
      </c>
      <c r="S153" s="217" t="n"/>
      <c r="Z153" t="str">
        <f>IF(AND(R153="WON",ISNUMBER(I153)),AA153,"")</f>
        <v/>
      </c>
      <c r="AA153">
        <f>IFERROR(I153*1,0)</f>
        <v>0</v>
      </c>
      <c r="AB153">
        <f>N(AB152)+IF(AND(R153="WON",B153&lt;&gt;""),1,0)</f>
        <v>7</v>
      </c>
      <c r="AC153">
        <f>N(AC152)+IF(AND(OR(R153="offered",R153="to be offered",R153="on hold"),B153&lt;&gt;""),1,0)</f>
        <v>19</v>
      </c>
      <c r="AD153">
        <f>N(AD152)+IF(AND(OR(R153="follow-up",R153="Evaluation",R153="tbd",R153="In evaluation"),B153&lt;&gt;""),1,0)</f>
        <v>9</v>
      </c>
    </row>
    <row r="154" ht="15" customHeight="1">
      <c r="I154" s="215" t="n"/>
      <c r="J154" s="215" t="n"/>
      <c r="K154" s="215" t="n"/>
      <c r="L154" s="215" t="n"/>
      <c r="M154" s="215" t="n"/>
      <c r="N154" s="215" t="str">
        <f>IF(ISNUMBER(I154),ROUND(I154-I154/1.081,2),"")</f>
        <v/>
      </c>
      <c r="O154" s="215" t="str">
        <f>IF(ISNUMBER(I154),I154-SUM(J154:N154),"")</f>
        <v/>
      </c>
      <c r="P154" s="216" t="str">
        <f>IFERROR(IF(AND(ISNUMBER(O154),ISNUMBER(I154),I154&lt;&gt;0),O154/I154,""),"")</f>
        <v/>
      </c>
      <c r="Q154" s="215" t="str">
        <f>IF(AND(ISNUMBER(I154),ISNUMBER(S154)),I154*IF(S154&lt;=1,S154,S154/100),IF(OR(I154&lt;&gt;"",S154&lt;&gt;""),"tbd",""))</f>
        <v/>
      </c>
      <c r="S154" s="217" t="n"/>
      <c r="Z154" t="str">
        <f>IF(AND(R154="WON",ISNUMBER(I154)),AA154,"")</f>
        <v/>
      </c>
      <c r="AA154">
        <f>IFERROR(I154*1,0)</f>
        <v>0</v>
      </c>
      <c r="AB154">
        <f>N(AB153)+IF(AND(R154="WON",B154&lt;&gt;""),1,0)</f>
        <v>7</v>
      </c>
      <c r="AC154">
        <f>N(AC153)+IF(AND(OR(R154="offered",R154="to be offered",R154="on hold"),B154&lt;&gt;""),1,0)</f>
        <v>19</v>
      </c>
      <c r="AD154">
        <f>N(AD153)+IF(AND(OR(R154="follow-up",R154="Evaluation",R154="tbd",R154="In evaluation"),B154&lt;&gt;""),1,0)</f>
        <v>9</v>
      </c>
    </row>
    <row r="155" ht="15" customHeight="1">
      <c r="I155" s="215" t="n"/>
      <c r="J155" s="215" t="n"/>
      <c r="K155" s="215" t="n"/>
      <c r="L155" s="215" t="n"/>
      <c r="M155" s="215" t="n"/>
      <c r="N155" s="215" t="str">
        <f>IF(ISNUMBER(I155),ROUND(I155-I155/1.081,2),"")</f>
        <v/>
      </c>
      <c r="O155" s="215" t="str">
        <f>IF(ISNUMBER(I155),I155-SUM(J155:N155),"")</f>
        <v/>
      </c>
      <c r="P155" s="216" t="str">
        <f>IFERROR(IF(AND(ISNUMBER(O155),ISNUMBER(I155),I155&lt;&gt;0),O155/I155,""),"")</f>
        <v/>
      </c>
      <c r="Q155" s="215" t="str">
        <f>IF(AND(ISNUMBER(I155),ISNUMBER(S155)),I155*IF(S155&lt;=1,S155,S155/100),IF(OR(I155&lt;&gt;"",S155&lt;&gt;""),"tbd",""))</f>
        <v/>
      </c>
      <c r="S155" s="217" t="n"/>
      <c r="Z155" t="str">
        <f>IF(AND(R155="WON",ISNUMBER(I155)),AA155,"")</f>
        <v/>
      </c>
      <c r="AA155">
        <f>IFERROR(I155*1,0)</f>
        <v>0</v>
      </c>
      <c r="AB155">
        <f>N(AB154)+IF(AND(R155="WON",B155&lt;&gt;""),1,0)</f>
        <v>7</v>
      </c>
      <c r="AC155">
        <f>N(AC154)+IF(AND(OR(R155="offered",R155="to be offered",R155="on hold"),B155&lt;&gt;""),1,0)</f>
        <v>19</v>
      </c>
      <c r="AD155">
        <f>N(AD154)+IF(AND(OR(R155="follow-up",R155="Evaluation",R155="tbd",R155="In evaluation"),B155&lt;&gt;""),1,0)</f>
        <v>9</v>
      </c>
    </row>
    <row r="156" ht="15" customHeight="1">
      <c r="I156" s="215" t="n"/>
      <c r="J156" s="215" t="n"/>
      <c r="K156" s="215" t="n"/>
      <c r="L156" s="215" t="n"/>
      <c r="M156" s="215" t="n"/>
      <c r="N156" s="215" t="str">
        <f>IF(ISNUMBER(I156),ROUND(I156-I156/1.081,2),"")</f>
        <v/>
      </c>
      <c r="O156" s="215" t="str">
        <f>IF(ISNUMBER(I156),I156-SUM(J156:N156),"")</f>
        <v/>
      </c>
      <c r="P156" s="216" t="str">
        <f>IFERROR(IF(AND(ISNUMBER(O156),ISNUMBER(I156),I156&lt;&gt;0),O156/I156,""),"")</f>
        <v/>
      </c>
      <c r="Q156" s="215" t="str">
        <f>IF(AND(ISNUMBER(I156),ISNUMBER(S156)),I156*IF(S156&lt;=1,S156,S156/100),IF(OR(I156&lt;&gt;"",S156&lt;&gt;""),"tbd",""))</f>
        <v/>
      </c>
      <c r="S156" s="217" t="n"/>
      <c r="Z156" t="str">
        <f>IF(AND(R156="WON",ISNUMBER(I156)),AA156,"")</f>
        <v/>
      </c>
      <c r="AA156">
        <f>IFERROR(I156*1,0)</f>
        <v>0</v>
      </c>
      <c r="AB156">
        <f>N(AB155)+IF(AND(R156="WON",B156&lt;&gt;""),1,0)</f>
        <v>7</v>
      </c>
      <c r="AC156">
        <f>N(AC155)+IF(AND(OR(R156="offered",R156="to be offered",R156="on hold"),B156&lt;&gt;""),1,0)</f>
        <v>19</v>
      </c>
      <c r="AD156">
        <f>N(AD155)+IF(AND(OR(R156="follow-up",R156="Evaluation",R156="tbd",R156="In evaluation"),B156&lt;&gt;""),1,0)</f>
        <v>9</v>
      </c>
    </row>
    <row r="157" ht="15" customHeight="1">
      <c r="I157" s="215" t="n"/>
      <c r="J157" s="215" t="n"/>
      <c r="K157" s="215" t="n"/>
      <c r="L157" s="215" t="n"/>
      <c r="M157" s="215" t="n"/>
      <c r="N157" s="215" t="str">
        <f>IF(ISNUMBER(I157),ROUND(I157-I157/1.081,2),"")</f>
        <v/>
      </c>
      <c r="O157" s="215" t="str">
        <f>IF(ISNUMBER(I157),I157-SUM(J157:N157),"")</f>
        <v/>
      </c>
      <c r="P157" s="216" t="str">
        <f>IFERROR(IF(AND(ISNUMBER(O157),ISNUMBER(I157),I157&lt;&gt;0),O157/I157,""),"")</f>
        <v/>
      </c>
      <c r="Q157" s="215" t="str">
        <f>IF(AND(ISNUMBER(I157),ISNUMBER(S157)),I157*IF(S157&lt;=1,S157,S157/100),IF(OR(I157&lt;&gt;"",S157&lt;&gt;""),"tbd",""))</f>
        <v/>
      </c>
      <c r="S157" s="217" t="n"/>
      <c r="Z157" t="str">
        <f>IF(AND(R157="WON",ISNUMBER(I157)),AA157,"")</f>
        <v/>
      </c>
      <c r="AA157">
        <f>IFERROR(I157*1,0)</f>
        <v>0</v>
      </c>
      <c r="AB157">
        <f>N(AB156)+IF(AND(R157="WON",B157&lt;&gt;""),1,0)</f>
        <v>7</v>
      </c>
      <c r="AC157">
        <f>N(AC156)+IF(AND(OR(R157="offered",R157="to be offered",R157="on hold"),B157&lt;&gt;""),1,0)</f>
        <v>19</v>
      </c>
      <c r="AD157">
        <f>N(AD156)+IF(AND(OR(R157="follow-up",R157="Evaluation",R157="tbd",R157="In evaluation"),B157&lt;&gt;""),1,0)</f>
        <v>9</v>
      </c>
    </row>
    <row r="158" ht="15" customHeight="1">
      <c r="I158" s="215" t="n"/>
      <c r="J158" s="215" t="n"/>
      <c r="K158" s="215" t="n"/>
      <c r="L158" s="215" t="n"/>
      <c r="M158" s="215" t="n"/>
      <c r="N158" s="215" t="str">
        <f>IF(ISNUMBER(I158),ROUND(I158-I158/1.081,2),"")</f>
        <v/>
      </c>
      <c r="O158" s="215" t="str">
        <f>IF(ISNUMBER(I158),I158-SUM(J158:N158),"")</f>
        <v/>
      </c>
      <c r="P158" s="216" t="str">
        <f>IFERROR(IF(AND(ISNUMBER(O158),ISNUMBER(I158),I158&lt;&gt;0),O158/I158,""),"")</f>
        <v/>
      </c>
      <c r="Q158" s="215" t="str">
        <f>IF(AND(ISNUMBER(I158),ISNUMBER(S158)),I158*IF(S158&lt;=1,S158,S158/100),IF(OR(I158&lt;&gt;"",S158&lt;&gt;""),"tbd",""))</f>
        <v/>
      </c>
      <c r="S158" s="217" t="n"/>
      <c r="Z158" t="str">
        <f>IF(AND(R158="WON",ISNUMBER(I158)),AA158,"")</f>
        <v/>
      </c>
      <c r="AA158">
        <f>IFERROR(I158*1,0)</f>
        <v>0</v>
      </c>
      <c r="AB158">
        <f>N(AB157)+IF(AND(R158="WON",B158&lt;&gt;""),1,0)</f>
        <v>7</v>
      </c>
      <c r="AC158">
        <f>N(AC157)+IF(AND(OR(R158="offered",R158="to be offered",R158="on hold"),B158&lt;&gt;""),1,0)</f>
        <v>19</v>
      </c>
      <c r="AD158">
        <f>N(AD157)+IF(AND(OR(R158="follow-up",R158="Evaluation",R158="tbd",R158="In evaluation"),B158&lt;&gt;""),1,0)</f>
        <v>9</v>
      </c>
    </row>
    <row r="159" ht="15" customHeight="1">
      <c r="I159" s="215" t="n"/>
      <c r="J159" s="215" t="n"/>
      <c r="K159" s="215" t="n"/>
      <c r="L159" s="215" t="n"/>
      <c r="M159" s="215" t="n"/>
      <c r="N159" s="215" t="str">
        <f>IF(ISNUMBER(I159),ROUND(I159-I159/1.081,2),"")</f>
        <v/>
      </c>
      <c r="O159" s="215" t="str">
        <f>IF(ISNUMBER(I159),I159-SUM(J159:N159),"")</f>
        <v/>
      </c>
      <c r="P159" s="216" t="str">
        <f>IFERROR(IF(AND(ISNUMBER(O159),ISNUMBER(I159),I159&lt;&gt;0),O159/I159,""),"")</f>
        <v/>
      </c>
      <c r="Q159" s="215" t="str">
        <f>IF(AND(ISNUMBER(I159),ISNUMBER(S159)),I159*IF(S159&lt;=1,S159,S159/100),IF(OR(I159&lt;&gt;"",S159&lt;&gt;""),"tbd",""))</f>
        <v/>
      </c>
      <c r="S159" s="217" t="n"/>
      <c r="Z159" t="str">
        <f>IF(AND(R159="WON",ISNUMBER(I159)),AA159,"")</f>
        <v/>
      </c>
      <c r="AA159">
        <f>IFERROR(I159*1,0)</f>
        <v>0</v>
      </c>
      <c r="AB159">
        <f>N(AB158)+IF(AND(R159="WON",B159&lt;&gt;""),1,0)</f>
        <v>7</v>
      </c>
      <c r="AC159">
        <f>N(AC158)+IF(AND(OR(R159="offered",R159="to be offered",R159="on hold"),B159&lt;&gt;""),1,0)</f>
        <v>19</v>
      </c>
      <c r="AD159">
        <f>N(AD158)+IF(AND(OR(R159="follow-up",R159="Evaluation",R159="tbd",R159="In evaluation"),B159&lt;&gt;""),1,0)</f>
        <v>9</v>
      </c>
    </row>
    <row r="160" ht="15" customHeight="1">
      <c r="I160" s="215" t="n"/>
      <c r="J160" s="215" t="n"/>
      <c r="K160" s="215" t="n"/>
      <c r="L160" s="215" t="n"/>
      <c r="M160" s="215" t="n"/>
      <c r="N160" s="215" t="str">
        <f>IF(ISNUMBER(I160),ROUND(I160-I160/1.081,2),"")</f>
        <v/>
      </c>
      <c r="O160" s="215" t="str">
        <f>IF(ISNUMBER(I160),I160-SUM(J160:N160),"")</f>
        <v/>
      </c>
      <c r="P160" s="216" t="str">
        <f>IFERROR(IF(AND(ISNUMBER(O160),ISNUMBER(I160),I160&lt;&gt;0),O160/I160,""),"")</f>
        <v/>
      </c>
      <c r="Q160" s="215" t="str">
        <f>IF(AND(ISNUMBER(I160),ISNUMBER(S160)),I160*IF(S160&lt;=1,S160,S160/100),IF(OR(I160&lt;&gt;"",S160&lt;&gt;""),"tbd",""))</f>
        <v/>
      </c>
      <c r="S160" s="217" t="n"/>
      <c r="Z160" t="str">
        <f>IF(AND(R160="WON",ISNUMBER(I160)),AA160,"")</f>
        <v/>
      </c>
      <c r="AA160">
        <f>IFERROR(I160*1,0)</f>
        <v>0</v>
      </c>
      <c r="AB160">
        <f>N(AB159)+IF(AND(R160="WON",B160&lt;&gt;""),1,0)</f>
        <v>7</v>
      </c>
      <c r="AC160">
        <f>N(AC159)+IF(AND(OR(R160="offered",R160="to be offered",R160="on hold"),B160&lt;&gt;""),1,0)</f>
        <v>19</v>
      </c>
      <c r="AD160">
        <f>N(AD159)+IF(AND(OR(R160="follow-up",R160="Evaluation",R160="tbd",R160="In evaluation"),B160&lt;&gt;""),1,0)</f>
        <v>9</v>
      </c>
    </row>
    <row r="161" ht="15" customHeight="1">
      <c r="I161" s="215" t="n"/>
      <c r="J161" s="215" t="n"/>
      <c r="K161" s="215" t="n"/>
      <c r="L161" s="215" t="n"/>
      <c r="M161" s="215" t="n"/>
      <c r="N161" s="215" t="str">
        <f>IF(ISNUMBER(I161),ROUND(I161-I161/1.081,2),"")</f>
        <v/>
      </c>
      <c r="O161" s="215" t="str">
        <f>IF(ISNUMBER(I161),I161-SUM(J161:N161),"")</f>
        <v/>
      </c>
      <c r="P161" s="216" t="str">
        <f>IFERROR(IF(AND(ISNUMBER(O161),ISNUMBER(I161),I161&lt;&gt;0),O161/I161,""),"")</f>
        <v/>
      </c>
      <c r="Q161" s="215" t="str">
        <f>IF(AND(ISNUMBER(I161),ISNUMBER(S161)),I161*IF(S161&lt;=1,S161,S161/100),IF(OR(I161&lt;&gt;"",S161&lt;&gt;""),"tbd",""))</f>
        <v/>
      </c>
      <c r="S161" s="217" t="n"/>
      <c r="Z161" t="str">
        <f>IF(AND(R161="WON",ISNUMBER(I161)),AA161,"")</f>
        <v/>
      </c>
      <c r="AA161">
        <f>IFERROR(I161*1,0)</f>
        <v>0</v>
      </c>
      <c r="AB161">
        <f>N(AB160)+IF(AND(R161="WON",B161&lt;&gt;""),1,0)</f>
        <v>7</v>
      </c>
      <c r="AC161">
        <f>N(AC160)+IF(AND(OR(R161="offered",R161="to be offered",R161="on hold"),B161&lt;&gt;""),1,0)</f>
        <v>19</v>
      </c>
      <c r="AD161">
        <f>N(AD160)+IF(AND(OR(R161="follow-up",R161="Evaluation",R161="tbd",R161="In evaluation"),B161&lt;&gt;""),1,0)</f>
        <v>9</v>
      </c>
    </row>
    <row r="162" ht="15" customHeight="1">
      <c r="I162" s="215" t="n"/>
      <c r="J162" s="215" t="n"/>
      <c r="K162" s="215" t="n"/>
      <c r="L162" s="215" t="n"/>
      <c r="M162" s="215" t="n"/>
      <c r="N162" s="215" t="str">
        <f>IF(ISNUMBER(I162),ROUND(I162-I162/1.081,2),"")</f>
        <v/>
      </c>
      <c r="O162" s="215" t="str">
        <f>IF(ISNUMBER(I162),I162-SUM(J162:N162),"")</f>
        <v/>
      </c>
      <c r="P162" s="216" t="str">
        <f>IFERROR(IF(AND(ISNUMBER(O162),ISNUMBER(I162),I162&lt;&gt;0),O162/I162,""),"")</f>
        <v/>
      </c>
      <c r="Q162" s="215" t="str">
        <f>IF(AND(ISNUMBER(I162),ISNUMBER(S162)),I162*IF(S162&lt;=1,S162,S162/100),IF(OR(I162&lt;&gt;"",S162&lt;&gt;""),"tbd",""))</f>
        <v/>
      </c>
      <c r="S162" s="217" t="n"/>
      <c r="Z162" t="str">
        <f>IF(AND(R162="WON",ISNUMBER(I162)),AA162,"")</f>
        <v/>
      </c>
      <c r="AA162">
        <f>IFERROR(I162*1,0)</f>
        <v>0</v>
      </c>
      <c r="AB162">
        <f>N(AB161)+IF(AND(R162="WON",B162&lt;&gt;""),1,0)</f>
        <v>7</v>
      </c>
      <c r="AC162">
        <f>N(AC161)+IF(AND(OR(R162="offered",R162="to be offered",R162="on hold"),B162&lt;&gt;""),1,0)</f>
        <v>19</v>
      </c>
      <c r="AD162">
        <f>N(AD161)+IF(AND(OR(R162="follow-up",R162="Evaluation",R162="tbd",R162="In evaluation"),B162&lt;&gt;""),1,0)</f>
        <v>9</v>
      </c>
    </row>
    <row r="163" ht="15" customHeight="1">
      <c r="I163" s="215" t="n"/>
      <c r="J163" s="215" t="n"/>
      <c r="K163" s="215" t="n"/>
      <c r="L163" s="215" t="n"/>
      <c r="M163" s="215" t="n"/>
      <c r="N163" s="215" t="str">
        <f>IF(ISNUMBER(I163),ROUND(I163-I163/1.081,2),"")</f>
        <v/>
      </c>
      <c r="O163" s="215" t="str">
        <f>IF(ISNUMBER(I163),I163-SUM(J163:N163),"")</f>
        <v/>
      </c>
      <c r="P163" s="216" t="str">
        <f>IFERROR(IF(AND(ISNUMBER(O163),ISNUMBER(I163),I163&lt;&gt;0),O163/I163,""),"")</f>
        <v/>
      </c>
      <c r="Q163" s="215" t="str">
        <f>IF(AND(ISNUMBER(I163),ISNUMBER(S163)),I163*IF(S163&lt;=1,S163,S163/100),IF(OR(I163&lt;&gt;"",S163&lt;&gt;""),"tbd",""))</f>
        <v/>
      </c>
      <c r="S163" s="217" t="n"/>
      <c r="Z163" t="str">
        <f>IF(AND(R163="WON",ISNUMBER(I163)),AA163,"")</f>
        <v/>
      </c>
      <c r="AA163">
        <f>IFERROR(I163*1,0)</f>
        <v>0</v>
      </c>
      <c r="AB163">
        <f>N(AB162)+IF(AND(R163="WON",B163&lt;&gt;""),1,0)</f>
        <v>7</v>
      </c>
      <c r="AC163">
        <f>N(AC162)+IF(AND(OR(R163="offered",R163="to be offered",R163="on hold"),B163&lt;&gt;""),1,0)</f>
        <v>19</v>
      </c>
      <c r="AD163">
        <f>N(AD162)+IF(AND(OR(R163="follow-up",R163="Evaluation",R163="tbd",R163="In evaluation"),B163&lt;&gt;""),1,0)</f>
        <v>9</v>
      </c>
    </row>
    <row r="164" ht="15" customHeight="1">
      <c r="I164" s="215" t="n"/>
      <c r="J164" s="215" t="n"/>
      <c r="K164" s="215" t="n"/>
      <c r="L164" s="215" t="n"/>
      <c r="M164" s="215" t="n"/>
      <c r="N164" s="215" t="str">
        <f>IF(ISNUMBER(I164),ROUND(I164-I164/1.081,2),"")</f>
        <v/>
      </c>
      <c r="O164" s="215" t="str">
        <f>IF(ISNUMBER(I164),I164-SUM(J164:N164),"")</f>
        <v/>
      </c>
      <c r="P164" s="216" t="str">
        <f>IFERROR(IF(AND(ISNUMBER(O164),ISNUMBER(I164),I164&lt;&gt;0),O164/I164,""),"")</f>
        <v/>
      </c>
      <c r="Q164" s="215" t="str">
        <f>IF(AND(ISNUMBER(I164),ISNUMBER(S164)),I164*IF(S164&lt;=1,S164,S164/100),IF(OR(I164&lt;&gt;"",S164&lt;&gt;""),"tbd",""))</f>
        <v/>
      </c>
      <c r="S164" s="217" t="n"/>
      <c r="Z164" t="str">
        <f>IF(AND(R164="WON",ISNUMBER(I164)),AA164,"")</f>
        <v/>
      </c>
      <c r="AA164">
        <f>IFERROR(I164*1,0)</f>
        <v>0</v>
      </c>
      <c r="AB164">
        <f>N(AB163)+IF(AND(R164="WON",B164&lt;&gt;""),1,0)</f>
        <v>7</v>
      </c>
      <c r="AC164">
        <f>N(AC163)+IF(AND(OR(R164="offered",R164="to be offered",R164="on hold"),B164&lt;&gt;""),1,0)</f>
        <v>19</v>
      </c>
      <c r="AD164">
        <f>N(AD163)+IF(AND(OR(R164="follow-up",R164="Evaluation",R164="tbd",R164="In evaluation"),B164&lt;&gt;""),1,0)</f>
        <v>9</v>
      </c>
    </row>
    <row r="165" ht="15" customHeight="1">
      <c r="I165" s="215" t="n"/>
      <c r="J165" s="215" t="n"/>
      <c r="K165" s="215" t="n"/>
      <c r="L165" s="215" t="n"/>
      <c r="M165" s="215" t="n"/>
      <c r="N165" s="215" t="str">
        <f>IF(ISNUMBER(I165),ROUND(I165-I165/1.081,2),"")</f>
        <v/>
      </c>
      <c r="O165" s="215" t="str">
        <f>IF(ISNUMBER(I165),I165-SUM(J165:N165),"")</f>
        <v/>
      </c>
      <c r="P165" s="216" t="str">
        <f>IFERROR(IF(AND(ISNUMBER(O165),ISNUMBER(I165),I165&lt;&gt;0),O165/I165,""),"")</f>
        <v/>
      </c>
      <c r="Q165" s="215" t="str">
        <f>IF(AND(ISNUMBER(I165),ISNUMBER(S165)),I165*IF(S165&lt;=1,S165,S165/100),IF(OR(I165&lt;&gt;"",S165&lt;&gt;""),"tbd",""))</f>
        <v/>
      </c>
      <c r="S165" s="217" t="n"/>
      <c r="Z165" t="str">
        <f>IF(AND(R165="WON",ISNUMBER(I165)),AA165,"")</f>
        <v/>
      </c>
      <c r="AA165">
        <f>IFERROR(I165*1,0)</f>
        <v>0</v>
      </c>
      <c r="AB165">
        <f>N(AB164)+IF(AND(R165="WON",B165&lt;&gt;""),1,0)</f>
        <v>7</v>
      </c>
      <c r="AC165">
        <f>N(AC164)+IF(AND(OR(R165="offered",R165="to be offered",R165="on hold"),B165&lt;&gt;""),1,0)</f>
        <v>19</v>
      </c>
      <c r="AD165">
        <f>N(AD164)+IF(AND(OR(R165="follow-up",R165="Evaluation",R165="tbd",R165="In evaluation"),B165&lt;&gt;""),1,0)</f>
        <v>9</v>
      </c>
    </row>
    <row r="166" ht="15" customHeight="1">
      <c r="I166" s="215" t="n"/>
      <c r="J166" s="215" t="n"/>
      <c r="K166" s="215" t="n"/>
      <c r="L166" s="215" t="n"/>
      <c r="M166" s="215" t="n"/>
      <c r="N166" s="215" t="str">
        <f>IF(ISNUMBER(I166),ROUND(I166-I166/1.081,2),"")</f>
        <v/>
      </c>
      <c r="O166" s="215" t="str">
        <f>IF(ISNUMBER(I166),I166-SUM(J166:N166),"")</f>
        <v/>
      </c>
      <c r="P166" s="216" t="str">
        <f>IFERROR(IF(AND(ISNUMBER(O166),ISNUMBER(I166),I166&lt;&gt;0),O166/I166,""),"")</f>
        <v/>
      </c>
      <c r="Q166" s="215" t="str">
        <f>IF(AND(ISNUMBER(I166),ISNUMBER(S166)),I166*IF(S166&lt;=1,S166,S166/100),IF(OR(I166&lt;&gt;"",S166&lt;&gt;""),"tbd",""))</f>
        <v/>
      </c>
      <c r="S166" s="217" t="n"/>
      <c r="Z166" t="str">
        <f>IF(AND(R166="WON",ISNUMBER(I166)),AA166,"")</f>
        <v/>
      </c>
      <c r="AA166">
        <f>IFERROR(I166*1,0)</f>
        <v>0</v>
      </c>
      <c r="AB166">
        <f>N(AB165)+IF(AND(R166="WON",B166&lt;&gt;""),1,0)</f>
        <v>7</v>
      </c>
      <c r="AC166">
        <f>N(AC165)+IF(AND(OR(R166="offered",R166="to be offered",R166="on hold"),B166&lt;&gt;""),1,0)</f>
        <v>19</v>
      </c>
      <c r="AD166">
        <f>N(AD165)+IF(AND(OR(R166="follow-up",R166="Evaluation",R166="tbd",R166="In evaluation"),B166&lt;&gt;""),1,0)</f>
        <v>9</v>
      </c>
    </row>
    <row r="167" ht="15" customHeight="1">
      <c r="I167" s="215" t="n"/>
      <c r="J167" s="215" t="n"/>
      <c r="K167" s="215" t="n"/>
      <c r="L167" s="215" t="n"/>
      <c r="M167" s="215" t="n"/>
      <c r="N167" s="215" t="str">
        <f>IF(ISNUMBER(I167),ROUND(I167-I167/1.081,2),"")</f>
        <v/>
      </c>
      <c r="O167" s="215" t="str">
        <f>IF(ISNUMBER(I167),I167-SUM(J167:N167),"")</f>
        <v/>
      </c>
      <c r="P167" s="216" t="str">
        <f>IFERROR(IF(AND(ISNUMBER(O167),ISNUMBER(I167),I167&lt;&gt;0),O167/I167,""),"")</f>
        <v/>
      </c>
      <c r="Q167" s="215" t="str">
        <f>IF(AND(ISNUMBER(I167),ISNUMBER(S167)),I167*IF(S167&lt;=1,S167,S167/100),IF(OR(I167&lt;&gt;"",S167&lt;&gt;""),"tbd",""))</f>
        <v/>
      </c>
      <c r="S167" s="217" t="n"/>
      <c r="Z167" t="str">
        <f>IF(AND(R167="WON",ISNUMBER(I167)),AA167,"")</f>
        <v/>
      </c>
      <c r="AA167">
        <f>IFERROR(I167*1,0)</f>
        <v>0</v>
      </c>
      <c r="AB167">
        <f>N(AB166)+IF(AND(R167="WON",B167&lt;&gt;""),1,0)</f>
        <v>7</v>
      </c>
      <c r="AC167">
        <f>N(AC166)+IF(AND(OR(R167="offered",R167="to be offered",R167="on hold"),B167&lt;&gt;""),1,0)</f>
        <v>19</v>
      </c>
      <c r="AD167">
        <f>N(AD166)+IF(AND(OR(R167="follow-up",R167="Evaluation",R167="tbd",R167="In evaluation"),B167&lt;&gt;""),1,0)</f>
        <v>9</v>
      </c>
    </row>
    <row r="168" ht="15" customHeight="1">
      <c r="I168" s="215" t="n"/>
      <c r="J168" s="215" t="n"/>
      <c r="K168" s="215" t="n"/>
      <c r="L168" s="215" t="n"/>
      <c r="M168" s="215" t="n"/>
      <c r="N168" s="215" t="str">
        <f>IF(ISNUMBER(I168),ROUND(I168-I168/1.081,2),"")</f>
        <v/>
      </c>
      <c r="O168" s="215" t="str">
        <f>IF(ISNUMBER(I168),I168-SUM(J168:N168),"")</f>
        <v/>
      </c>
      <c r="P168" s="216" t="str">
        <f>IFERROR(IF(AND(ISNUMBER(O168),ISNUMBER(I168),I168&lt;&gt;0),O168/I168,""),"")</f>
        <v/>
      </c>
      <c r="Q168" s="215" t="str">
        <f>IF(AND(ISNUMBER(I168),ISNUMBER(S168)),I168*IF(S168&lt;=1,S168,S168/100),IF(OR(I168&lt;&gt;"",S168&lt;&gt;""),"tbd",""))</f>
        <v/>
      </c>
      <c r="S168" s="217" t="n"/>
      <c r="Z168" t="str">
        <f>IF(AND(R168="WON",ISNUMBER(I168)),AA168,"")</f>
        <v/>
      </c>
      <c r="AA168">
        <f>IFERROR(I168*1,0)</f>
        <v>0</v>
      </c>
      <c r="AB168">
        <f>N(AB167)+IF(AND(R168="WON",B168&lt;&gt;""),1,0)</f>
        <v>7</v>
      </c>
      <c r="AC168">
        <f>N(AC167)+IF(AND(OR(R168="offered",R168="to be offered",R168="on hold"),B168&lt;&gt;""),1,0)</f>
        <v>19</v>
      </c>
      <c r="AD168">
        <f>N(AD167)+IF(AND(OR(R168="follow-up",R168="Evaluation",R168="tbd",R168="In evaluation"),B168&lt;&gt;""),1,0)</f>
        <v>9</v>
      </c>
    </row>
    <row r="169" ht="15" customHeight="1">
      <c r="I169" s="215" t="n"/>
      <c r="J169" s="215" t="n"/>
      <c r="K169" s="215" t="n"/>
      <c r="L169" s="215" t="n"/>
      <c r="M169" s="215" t="n"/>
      <c r="N169" s="215" t="str">
        <f>IF(ISNUMBER(I169),ROUND(I169-I169/1.081,2),"")</f>
        <v/>
      </c>
      <c r="O169" s="215" t="str">
        <f>IF(ISNUMBER(I169),I169-SUM(J169:N169),"")</f>
        <v/>
      </c>
      <c r="P169" s="216" t="str">
        <f>IFERROR(IF(AND(ISNUMBER(O169),ISNUMBER(I169),I169&lt;&gt;0),O169/I169,""),"")</f>
        <v/>
      </c>
      <c r="Q169" s="215" t="str">
        <f>IF(AND(ISNUMBER(I169),ISNUMBER(S169)),I169*IF(S169&lt;=1,S169,S169/100),IF(OR(I169&lt;&gt;"",S169&lt;&gt;""),"tbd",""))</f>
        <v/>
      </c>
      <c r="S169" s="217" t="n"/>
      <c r="Z169" t="str">
        <f>IF(AND(R169="WON",ISNUMBER(I169)),AA169,"")</f>
        <v/>
      </c>
      <c r="AA169">
        <f>IFERROR(I169*1,0)</f>
        <v>0</v>
      </c>
      <c r="AB169">
        <f>N(AB168)+IF(AND(R169="WON",B169&lt;&gt;""),1,0)</f>
        <v>7</v>
      </c>
      <c r="AC169">
        <f>N(AC168)+IF(AND(OR(R169="offered",R169="to be offered",R169="on hold"),B169&lt;&gt;""),1,0)</f>
        <v>19</v>
      </c>
      <c r="AD169">
        <f>N(AD168)+IF(AND(OR(R169="follow-up",R169="Evaluation",R169="tbd",R169="In evaluation"),B169&lt;&gt;""),1,0)</f>
        <v>9</v>
      </c>
    </row>
    <row r="170" ht="15" customHeight="1">
      <c r="I170" s="215" t="n"/>
      <c r="J170" s="215" t="n"/>
      <c r="K170" s="215" t="n"/>
      <c r="L170" s="215" t="n"/>
      <c r="M170" s="215" t="n"/>
      <c r="N170" s="215" t="str">
        <f>IF(ISNUMBER(I170),ROUND(I170-I170/1.081,2),"")</f>
        <v/>
      </c>
      <c r="O170" s="215" t="str">
        <f>IF(ISNUMBER(I170),I170-SUM(J170:N170),"")</f>
        <v/>
      </c>
      <c r="P170" s="216" t="str">
        <f>IFERROR(IF(AND(ISNUMBER(O170),ISNUMBER(I170),I170&lt;&gt;0),O170/I170,""),"")</f>
        <v/>
      </c>
      <c r="Q170" s="215" t="str">
        <f>IF(AND(ISNUMBER(I170),ISNUMBER(S170)),I170*IF(S170&lt;=1,S170,S170/100),IF(OR(I170&lt;&gt;"",S170&lt;&gt;""),"tbd",""))</f>
        <v/>
      </c>
      <c r="S170" s="217" t="n"/>
      <c r="Z170" t="str">
        <f>IF(AND(R170="WON",ISNUMBER(I170)),AA170,"")</f>
        <v/>
      </c>
      <c r="AA170">
        <f>IFERROR(I170*1,0)</f>
        <v>0</v>
      </c>
      <c r="AB170">
        <f>N(AB169)+IF(AND(R170="WON",B170&lt;&gt;""),1,0)</f>
        <v>7</v>
      </c>
      <c r="AC170">
        <f>N(AC169)+IF(AND(OR(R170="offered",R170="to be offered",R170="on hold"),B170&lt;&gt;""),1,0)</f>
        <v>19</v>
      </c>
      <c r="AD170">
        <f>N(AD169)+IF(AND(OR(R170="follow-up",R170="Evaluation",R170="tbd",R170="In evaluation"),B170&lt;&gt;""),1,0)</f>
        <v>9</v>
      </c>
    </row>
    <row r="171" ht="15" customHeight="1">
      <c r="I171" s="215" t="n"/>
      <c r="J171" s="215" t="n"/>
      <c r="K171" s="215" t="n"/>
      <c r="L171" s="215" t="n"/>
      <c r="M171" s="215" t="n"/>
      <c r="N171" s="215" t="str">
        <f>IF(ISNUMBER(I171),ROUND(I171-I171/1.081,2),"")</f>
        <v/>
      </c>
      <c r="O171" s="215" t="str">
        <f>IF(ISNUMBER(I171),I171-SUM(J171:N171),"")</f>
        <v/>
      </c>
      <c r="P171" s="216" t="str">
        <f>IFERROR(IF(AND(ISNUMBER(O171),ISNUMBER(I171),I171&lt;&gt;0),O171/I171,""),"")</f>
        <v/>
      </c>
      <c r="Q171" s="215" t="str">
        <f>IF(AND(ISNUMBER(I171),ISNUMBER(S171)),I171*IF(S171&lt;=1,S171,S171/100),IF(OR(I171&lt;&gt;"",S171&lt;&gt;""),"tbd",""))</f>
        <v/>
      </c>
      <c r="S171" s="217" t="n"/>
      <c r="Z171" t="str">
        <f>IF(AND(R171="WON",ISNUMBER(I171)),AA171,"")</f>
        <v/>
      </c>
      <c r="AA171">
        <f>IFERROR(I171*1,0)</f>
        <v>0</v>
      </c>
      <c r="AB171">
        <f>N(AB170)+IF(AND(R171="WON",B171&lt;&gt;""),1,0)</f>
        <v>7</v>
      </c>
      <c r="AC171">
        <f>N(AC170)+IF(AND(OR(R171="offered",R171="to be offered",R171="on hold"),B171&lt;&gt;""),1,0)</f>
        <v>19</v>
      </c>
      <c r="AD171">
        <f>N(AD170)+IF(AND(OR(R171="follow-up",R171="Evaluation",R171="tbd",R171="In evaluation"),B171&lt;&gt;""),1,0)</f>
        <v>9</v>
      </c>
    </row>
    <row r="172" ht="15" customHeight="1">
      <c r="I172" s="215" t="n"/>
      <c r="J172" s="215" t="n"/>
      <c r="K172" s="215" t="n"/>
      <c r="L172" s="215" t="n"/>
      <c r="M172" s="215" t="n"/>
      <c r="N172" s="215" t="str">
        <f>IF(ISNUMBER(I172),ROUND(I172-I172/1.081,2),"")</f>
        <v/>
      </c>
      <c r="O172" s="215" t="str">
        <f>IF(ISNUMBER(I172),I172-SUM(J172:N172),"")</f>
        <v/>
      </c>
      <c r="P172" s="216" t="str">
        <f>IFERROR(IF(AND(ISNUMBER(O172),ISNUMBER(I172),I172&lt;&gt;0),O172/I172,""),"")</f>
        <v/>
      </c>
      <c r="Q172" s="215" t="str">
        <f>IF(AND(ISNUMBER(I172),ISNUMBER(S172)),I172*IF(S172&lt;=1,S172,S172/100),IF(OR(I172&lt;&gt;"",S172&lt;&gt;""),"tbd",""))</f>
        <v/>
      </c>
      <c r="S172" s="217" t="n"/>
      <c r="Z172" t="str">
        <f>IF(AND(R172="WON",ISNUMBER(I172)),AA172,"")</f>
        <v/>
      </c>
      <c r="AA172">
        <f>IFERROR(I172*1,0)</f>
        <v>0</v>
      </c>
      <c r="AB172">
        <f>N(AB171)+IF(AND(R172="WON",B172&lt;&gt;""),1,0)</f>
        <v>7</v>
      </c>
      <c r="AC172">
        <f>N(AC171)+IF(AND(OR(R172="offered",R172="to be offered",R172="on hold"),B172&lt;&gt;""),1,0)</f>
        <v>19</v>
      </c>
      <c r="AD172">
        <f>N(AD171)+IF(AND(OR(R172="follow-up",R172="Evaluation",R172="tbd",R172="In evaluation"),B172&lt;&gt;""),1,0)</f>
        <v>9</v>
      </c>
    </row>
    <row r="173" ht="15" customHeight="1">
      <c r="I173" s="215" t="n"/>
      <c r="J173" s="215" t="n"/>
      <c r="K173" s="215" t="n"/>
      <c r="L173" s="215" t="n"/>
      <c r="M173" s="215" t="n"/>
      <c r="N173" s="215" t="str">
        <f>IF(ISNUMBER(I173),ROUND(I173-I173/1.081,2),"")</f>
        <v/>
      </c>
      <c r="O173" s="215" t="str">
        <f>IF(ISNUMBER(I173),I173-SUM(J173:N173),"")</f>
        <v/>
      </c>
      <c r="P173" s="216" t="str">
        <f>IFERROR(IF(AND(ISNUMBER(O173),ISNUMBER(I173),I173&lt;&gt;0),O173/I173,""),"")</f>
        <v/>
      </c>
      <c r="Q173" s="215" t="str">
        <f>IF(AND(ISNUMBER(I173),ISNUMBER(S173)),I173*IF(S173&lt;=1,S173,S173/100),IF(OR(I173&lt;&gt;"",S173&lt;&gt;""),"tbd",""))</f>
        <v/>
      </c>
      <c r="S173" s="217" t="n"/>
      <c r="Z173" t="str">
        <f>IF(AND(R173="WON",ISNUMBER(I173)),AA173,"")</f>
        <v/>
      </c>
      <c r="AA173">
        <f>IFERROR(I173*1,0)</f>
        <v>0</v>
      </c>
      <c r="AB173">
        <f>N(AB172)+IF(AND(R173="WON",B173&lt;&gt;""),1,0)</f>
        <v>7</v>
      </c>
      <c r="AC173">
        <f>N(AC172)+IF(AND(OR(R173="offered",R173="to be offered",R173="on hold"),B173&lt;&gt;""),1,0)</f>
        <v>19</v>
      </c>
      <c r="AD173">
        <f>N(AD172)+IF(AND(OR(R173="follow-up",R173="Evaluation",R173="tbd",R173="In evaluation"),B173&lt;&gt;""),1,0)</f>
        <v>9</v>
      </c>
    </row>
    <row r="174" ht="15" customHeight="1">
      <c r="I174" s="215" t="n"/>
      <c r="J174" s="215" t="n"/>
      <c r="K174" s="215" t="n"/>
      <c r="L174" s="215" t="n"/>
      <c r="M174" s="215" t="n"/>
      <c r="N174" s="215" t="str">
        <f>IF(ISNUMBER(I174),ROUND(I174-I174/1.081,2),"")</f>
        <v/>
      </c>
      <c r="O174" s="215" t="str">
        <f>IF(ISNUMBER(I174),I174-SUM(J174:N174),"")</f>
        <v/>
      </c>
      <c r="P174" s="216" t="str">
        <f>IFERROR(IF(AND(ISNUMBER(O174),ISNUMBER(I174),I174&lt;&gt;0),O174/I174,""),"")</f>
        <v/>
      </c>
      <c r="Q174" s="215" t="str">
        <f>IF(AND(ISNUMBER(I174),ISNUMBER(S174)),I174*IF(S174&lt;=1,S174,S174/100),IF(OR(I174&lt;&gt;"",S174&lt;&gt;""),"tbd",""))</f>
        <v/>
      </c>
      <c r="S174" s="217" t="n"/>
      <c r="Z174" t="str">
        <f>IF(AND(R174="WON",ISNUMBER(I174)),AA174,"")</f>
        <v/>
      </c>
      <c r="AA174">
        <f>IFERROR(I174*1,0)</f>
        <v>0</v>
      </c>
      <c r="AB174">
        <f>N(AB173)+IF(AND(R174="WON",B174&lt;&gt;""),1,0)</f>
        <v>7</v>
      </c>
      <c r="AC174">
        <f>N(AC173)+IF(AND(OR(R174="offered",R174="to be offered",R174="on hold"),B174&lt;&gt;""),1,0)</f>
        <v>19</v>
      </c>
      <c r="AD174">
        <f>N(AD173)+IF(AND(OR(R174="follow-up",R174="Evaluation",R174="tbd",R174="In evaluation"),B174&lt;&gt;""),1,0)</f>
        <v>9</v>
      </c>
    </row>
    <row r="175" ht="15" customHeight="1">
      <c r="I175" s="215" t="n"/>
      <c r="J175" s="215" t="n"/>
      <c r="K175" s="215" t="n"/>
      <c r="L175" s="215" t="n"/>
      <c r="M175" s="215" t="n"/>
      <c r="N175" s="215" t="str">
        <f>IF(ISNUMBER(I175),ROUND(I175-I175/1.081,2),"")</f>
        <v/>
      </c>
      <c r="O175" s="215" t="str">
        <f>IF(ISNUMBER(I175),I175-SUM(J175:N175),"")</f>
        <v/>
      </c>
      <c r="P175" s="216" t="str">
        <f>IFERROR(IF(AND(ISNUMBER(O175),ISNUMBER(I175),I175&lt;&gt;0),O175/I175,""),"")</f>
        <v/>
      </c>
      <c r="Q175" s="215" t="str">
        <f>IF(AND(ISNUMBER(I175),ISNUMBER(S175)),I175*IF(S175&lt;=1,S175,S175/100),IF(OR(I175&lt;&gt;"",S175&lt;&gt;""),"tbd",""))</f>
        <v/>
      </c>
      <c r="S175" s="217" t="n"/>
      <c r="Z175" t="str">
        <f>IF(AND(R175="WON",ISNUMBER(I175)),AA175,"")</f>
        <v/>
      </c>
      <c r="AA175">
        <f>IFERROR(I175*1,0)</f>
        <v>0</v>
      </c>
      <c r="AB175">
        <f>N(AB174)+IF(AND(R175="WON",B175&lt;&gt;""),1,0)</f>
        <v>7</v>
      </c>
      <c r="AC175">
        <f>N(AC174)+IF(AND(OR(R175="offered",R175="to be offered",R175="on hold"),B175&lt;&gt;""),1,0)</f>
        <v>19</v>
      </c>
      <c r="AD175">
        <f>N(AD174)+IF(AND(OR(R175="follow-up",R175="Evaluation",R175="tbd",R175="In evaluation"),B175&lt;&gt;""),1,0)</f>
        <v>9</v>
      </c>
    </row>
    <row r="176" ht="15" customHeight="1">
      <c r="I176" s="215" t="n"/>
      <c r="J176" s="215" t="n"/>
      <c r="K176" s="215" t="n"/>
      <c r="L176" s="215" t="n"/>
      <c r="M176" s="215" t="n"/>
      <c r="N176" s="215" t="str">
        <f>IF(ISNUMBER(I176),ROUND(I176-I176/1.081,2),"")</f>
        <v/>
      </c>
      <c r="O176" s="215" t="str">
        <f>IF(ISNUMBER(I176),I176-SUM(J176:N176),"")</f>
        <v/>
      </c>
      <c r="P176" s="216" t="str">
        <f>IFERROR(IF(AND(ISNUMBER(O176),ISNUMBER(I176),I176&lt;&gt;0),O176/I176,""),"")</f>
        <v/>
      </c>
      <c r="Q176" s="215" t="str">
        <f>IF(AND(ISNUMBER(I176),ISNUMBER(S176)),I176*IF(S176&lt;=1,S176,S176/100),IF(OR(I176&lt;&gt;"",S176&lt;&gt;""),"tbd",""))</f>
        <v/>
      </c>
      <c r="S176" s="217" t="n"/>
      <c r="Z176" t="str">
        <f>IF(AND(R176="WON",ISNUMBER(I176)),AA176,"")</f>
        <v/>
      </c>
      <c r="AA176">
        <f>IFERROR(I176*1,0)</f>
        <v>0</v>
      </c>
      <c r="AB176">
        <f>N(AB175)+IF(AND(R176="WON",B176&lt;&gt;""),1,0)</f>
        <v>7</v>
      </c>
      <c r="AC176">
        <f>N(AC175)+IF(AND(OR(R176="offered",R176="to be offered",R176="on hold"),B176&lt;&gt;""),1,0)</f>
        <v>19</v>
      </c>
      <c r="AD176">
        <f>N(AD175)+IF(AND(OR(R176="follow-up",R176="Evaluation",R176="tbd",R176="In evaluation"),B176&lt;&gt;""),1,0)</f>
        <v>9</v>
      </c>
    </row>
    <row r="177" ht="15" customHeight="1">
      <c r="I177" s="215" t="n"/>
      <c r="J177" s="215" t="n"/>
      <c r="K177" s="215" t="n"/>
      <c r="L177" s="215" t="n"/>
      <c r="M177" s="215" t="n"/>
      <c r="N177" s="215" t="str">
        <f>IF(ISNUMBER(I177),ROUND(I177-I177/1.081,2),"")</f>
        <v/>
      </c>
      <c r="O177" s="215" t="str">
        <f>IF(ISNUMBER(I177),I177-SUM(J177:N177),"")</f>
        <v/>
      </c>
      <c r="P177" s="216" t="str">
        <f>IFERROR(IF(AND(ISNUMBER(O177),ISNUMBER(I177),I177&lt;&gt;0),O177/I177,""),"")</f>
        <v/>
      </c>
      <c r="Q177" s="215" t="str">
        <f>IF(AND(ISNUMBER(I177),ISNUMBER(S177)),I177*IF(S177&lt;=1,S177,S177/100),IF(OR(I177&lt;&gt;"",S177&lt;&gt;""),"tbd",""))</f>
        <v/>
      </c>
      <c r="S177" s="217" t="n"/>
      <c r="Z177" t="str">
        <f>IF(AND(R177="WON",ISNUMBER(I177)),AA177,"")</f>
        <v/>
      </c>
      <c r="AA177">
        <f>IFERROR(I177*1,0)</f>
        <v>0</v>
      </c>
      <c r="AB177">
        <f>N(AB176)+IF(AND(R177="WON",B177&lt;&gt;""),1,0)</f>
        <v>7</v>
      </c>
      <c r="AC177">
        <f>N(AC176)+IF(AND(OR(R177="offered",R177="to be offered",R177="on hold"),B177&lt;&gt;""),1,0)</f>
        <v>19</v>
      </c>
      <c r="AD177">
        <f>N(AD176)+IF(AND(OR(R177="follow-up",R177="Evaluation",R177="tbd",R177="In evaluation"),B177&lt;&gt;""),1,0)</f>
        <v>9</v>
      </c>
    </row>
    <row r="178" ht="15" customHeight="1">
      <c r="I178" s="215" t="n"/>
      <c r="J178" s="215" t="n"/>
      <c r="K178" s="215" t="n"/>
      <c r="L178" s="215" t="n"/>
      <c r="M178" s="215" t="n"/>
      <c r="N178" s="215" t="str">
        <f>IF(ISNUMBER(I178),ROUND(I178-I178/1.081,2),"")</f>
        <v/>
      </c>
      <c r="O178" s="215" t="str">
        <f>IF(ISNUMBER(I178),I178-SUM(J178:N178),"")</f>
        <v/>
      </c>
      <c r="P178" s="216" t="str">
        <f>IFERROR(IF(AND(ISNUMBER(O178),ISNUMBER(I178),I178&lt;&gt;0),O178/I178,""),"")</f>
        <v/>
      </c>
      <c r="Q178" s="215" t="str">
        <f>IF(AND(ISNUMBER(I178),ISNUMBER(S178)),I178*IF(S178&lt;=1,S178,S178/100),IF(OR(I178&lt;&gt;"",S178&lt;&gt;""),"tbd",""))</f>
        <v/>
      </c>
      <c r="S178" s="217" t="n"/>
      <c r="Z178" t="str">
        <f>IF(AND(R178="WON",ISNUMBER(I178)),AA178,"")</f>
        <v/>
      </c>
      <c r="AA178">
        <f>IFERROR(I178*1,0)</f>
        <v>0</v>
      </c>
      <c r="AB178">
        <f>N(AB177)+IF(AND(R178="WON",B178&lt;&gt;""),1,0)</f>
        <v>7</v>
      </c>
      <c r="AC178">
        <f>N(AC177)+IF(AND(OR(R178="offered",R178="to be offered",R178="on hold"),B178&lt;&gt;""),1,0)</f>
        <v>19</v>
      </c>
      <c r="AD178">
        <f>N(AD177)+IF(AND(OR(R178="follow-up",R178="Evaluation",R178="tbd",R178="In evaluation"),B178&lt;&gt;""),1,0)</f>
        <v>9</v>
      </c>
    </row>
    <row r="179" ht="15" customHeight="1">
      <c r="I179" s="215" t="n"/>
      <c r="J179" s="215" t="n"/>
      <c r="K179" s="215" t="n"/>
      <c r="L179" s="215" t="n"/>
      <c r="M179" s="215" t="n"/>
      <c r="N179" s="215" t="str">
        <f>IF(ISNUMBER(I179),ROUND(I179-I179/1.081,2),"")</f>
        <v/>
      </c>
      <c r="O179" s="215" t="str">
        <f>IF(ISNUMBER(I179),I179-SUM(J179:N179),"")</f>
        <v/>
      </c>
      <c r="P179" s="216" t="str">
        <f>IFERROR(IF(AND(ISNUMBER(O179),ISNUMBER(I179),I179&lt;&gt;0),O179/I179,""),"")</f>
        <v/>
      </c>
      <c r="Q179" s="215" t="str">
        <f>IF(AND(ISNUMBER(I179),ISNUMBER(S179)),I179*IF(S179&lt;=1,S179,S179/100),IF(OR(I179&lt;&gt;"",S179&lt;&gt;""),"tbd",""))</f>
        <v/>
      </c>
      <c r="S179" s="217" t="n"/>
      <c r="Z179" t="str">
        <f>IF(AND(R179="WON",ISNUMBER(I179)),AA179,"")</f>
        <v/>
      </c>
      <c r="AA179">
        <f>IFERROR(I179*1,0)</f>
        <v>0</v>
      </c>
      <c r="AB179">
        <f>N(AB178)+IF(AND(R179="WON",B179&lt;&gt;""),1,0)</f>
        <v>7</v>
      </c>
      <c r="AC179">
        <f>N(AC178)+IF(AND(OR(R179="offered",R179="to be offered",R179="on hold"),B179&lt;&gt;""),1,0)</f>
        <v>19</v>
      </c>
      <c r="AD179">
        <f>N(AD178)+IF(AND(OR(R179="follow-up",R179="Evaluation",R179="tbd",R179="In evaluation"),B179&lt;&gt;""),1,0)</f>
        <v>9</v>
      </c>
    </row>
    <row r="180" ht="15" customHeight="1">
      <c r="I180" s="215" t="n"/>
      <c r="J180" s="215" t="n"/>
      <c r="K180" s="215" t="n"/>
      <c r="L180" s="215" t="n"/>
      <c r="M180" s="215" t="n"/>
      <c r="N180" s="215" t="str">
        <f>IF(ISNUMBER(I180),ROUND(I180-I180/1.081,2),"")</f>
        <v/>
      </c>
      <c r="O180" s="215" t="str">
        <f>IF(ISNUMBER(I180),I180-SUM(J180:N180),"")</f>
        <v/>
      </c>
      <c r="P180" s="216" t="str">
        <f>IFERROR(IF(AND(ISNUMBER(O180),ISNUMBER(I180),I180&lt;&gt;0),O180/I180,""),"")</f>
        <v/>
      </c>
      <c r="Q180" s="215" t="str">
        <f>IF(AND(ISNUMBER(I180),ISNUMBER(S180)),I180*IF(S180&lt;=1,S180,S180/100),IF(OR(I180&lt;&gt;"",S180&lt;&gt;""),"tbd",""))</f>
        <v/>
      </c>
      <c r="S180" s="217" t="n"/>
      <c r="Z180" t="str">
        <f>IF(AND(R180="WON",ISNUMBER(I180)),AA180,"")</f>
        <v/>
      </c>
      <c r="AA180">
        <f>IFERROR(I180*1,0)</f>
        <v>0</v>
      </c>
      <c r="AB180">
        <f>N(AB179)+IF(AND(R180="WON",B180&lt;&gt;""),1,0)</f>
        <v>7</v>
      </c>
      <c r="AC180">
        <f>N(AC179)+IF(AND(OR(R180="offered",R180="to be offered",R180="on hold"),B180&lt;&gt;""),1,0)</f>
        <v>19</v>
      </c>
      <c r="AD180">
        <f>N(AD179)+IF(AND(OR(R180="follow-up",R180="Evaluation",R180="tbd",R180="In evaluation"),B180&lt;&gt;""),1,0)</f>
        <v>9</v>
      </c>
    </row>
    <row r="181" ht="15" customHeight="1">
      <c r="I181" s="215" t="n"/>
      <c r="J181" s="215" t="n"/>
      <c r="K181" s="215" t="n"/>
      <c r="L181" s="215" t="n"/>
      <c r="M181" s="215" t="n"/>
      <c r="N181" s="215" t="str">
        <f>IF(ISNUMBER(I181),ROUND(I181-I181/1.081,2),"")</f>
        <v/>
      </c>
      <c r="O181" s="215" t="str">
        <f>IF(ISNUMBER(I181),I181-SUM(J181:N181),"")</f>
        <v/>
      </c>
      <c r="P181" s="216" t="str">
        <f>IFERROR(IF(AND(ISNUMBER(O181),ISNUMBER(I181),I181&lt;&gt;0),O181/I181,""),"")</f>
        <v/>
      </c>
      <c r="Q181" s="215" t="str">
        <f>IF(AND(ISNUMBER(I181),ISNUMBER(S181)),I181*IF(S181&lt;=1,S181,S181/100),IF(OR(I181&lt;&gt;"",S181&lt;&gt;""),"tbd",""))</f>
        <v/>
      </c>
      <c r="S181" s="217" t="n"/>
      <c r="Z181" t="str">
        <f>IF(AND(R181="WON",ISNUMBER(I181)),AA181,"")</f>
        <v/>
      </c>
      <c r="AA181">
        <f>IFERROR(I181*1,0)</f>
        <v>0</v>
      </c>
      <c r="AB181">
        <f>N(AB180)+IF(AND(R181="WON",B181&lt;&gt;""),1,0)</f>
        <v>7</v>
      </c>
      <c r="AC181">
        <f>N(AC180)+IF(AND(OR(R181="offered",R181="to be offered",R181="on hold"),B181&lt;&gt;""),1,0)</f>
        <v>19</v>
      </c>
      <c r="AD181">
        <f>N(AD180)+IF(AND(OR(R181="follow-up",R181="Evaluation",R181="tbd",R181="In evaluation"),B181&lt;&gt;""),1,0)</f>
        <v>9</v>
      </c>
    </row>
    <row r="182" ht="15" customHeight="1">
      <c r="I182" s="215" t="n"/>
      <c r="J182" s="215" t="n"/>
      <c r="K182" s="215" t="n"/>
      <c r="L182" s="215" t="n"/>
      <c r="M182" s="215" t="n"/>
      <c r="N182" s="215" t="str">
        <f>IF(ISNUMBER(I182),ROUND(I182-I182/1.081,2),"")</f>
        <v/>
      </c>
      <c r="O182" s="215" t="str">
        <f>IF(ISNUMBER(I182),I182-SUM(J182:N182),"")</f>
        <v/>
      </c>
      <c r="P182" s="216" t="str">
        <f>IFERROR(IF(AND(ISNUMBER(O182),ISNUMBER(I182),I182&lt;&gt;0),O182/I182,""),"")</f>
        <v/>
      </c>
      <c r="Q182" s="215" t="str">
        <f>IF(AND(ISNUMBER(I182),ISNUMBER(S182)),I182*IF(S182&lt;=1,S182,S182/100),IF(OR(I182&lt;&gt;"",S182&lt;&gt;""),"tbd",""))</f>
        <v/>
      </c>
      <c r="S182" s="217" t="n"/>
      <c r="Z182" t="str">
        <f>IF(AND(R182="WON",ISNUMBER(I182)),AA182,"")</f>
        <v/>
      </c>
      <c r="AA182">
        <f>IFERROR(I182*1,0)</f>
        <v>0</v>
      </c>
      <c r="AB182">
        <f>N(AB181)+IF(AND(R182="WON",B182&lt;&gt;""),1,0)</f>
        <v>7</v>
      </c>
      <c r="AC182">
        <f>N(AC181)+IF(AND(OR(R182="offered",R182="to be offered",R182="on hold"),B182&lt;&gt;""),1,0)</f>
        <v>19</v>
      </c>
      <c r="AD182">
        <f>N(AD181)+IF(AND(OR(R182="follow-up",R182="Evaluation",R182="tbd",R182="In evaluation"),B182&lt;&gt;""),1,0)</f>
        <v>9</v>
      </c>
    </row>
    <row r="183" ht="15" customHeight="1">
      <c r="I183" s="215" t="n"/>
      <c r="J183" s="215" t="n"/>
      <c r="K183" s="215" t="n"/>
      <c r="L183" s="215" t="n"/>
      <c r="M183" s="215" t="n"/>
      <c r="N183" s="215" t="str">
        <f>IF(ISNUMBER(I183),ROUND(I183-I183/1.081,2),"")</f>
        <v/>
      </c>
      <c r="O183" s="215" t="str">
        <f>IF(ISNUMBER(I183),I183-SUM(J183:N183),"")</f>
        <v/>
      </c>
      <c r="P183" s="216" t="str">
        <f>IFERROR(IF(AND(ISNUMBER(O183),ISNUMBER(I183),I183&lt;&gt;0),O183/I183,""),"")</f>
        <v/>
      </c>
      <c r="Q183" s="215" t="str">
        <f>IF(AND(ISNUMBER(I183),ISNUMBER(S183)),I183*IF(S183&lt;=1,S183,S183/100),IF(OR(I183&lt;&gt;"",S183&lt;&gt;""),"tbd",""))</f>
        <v/>
      </c>
      <c r="S183" s="217" t="n"/>
      <c r="Z183" t="str">
        <f>IF(AND(R183="WON",ISNUMBER(I183)),AA183,"")</f>
        <v/>
      </c>
      <c r="AA183">
        <f>IFERROR(I183*1,0)</f>
        <v>0</v>
      </c>
      <c r="AB183">
        <f>N(AB182)+IF(AND(R183="WON",B183&lt;&gt;""),1,0)</f>
        <v>7</v>
      </c>
      <c r="AC183">
        <f>N(AC182)+IF(AND(OR(R183="offered",R183="to be offered",R183="on hold"),B183&lt;&gt;""),1,0)</f>
        <v>19</v>
      </c>
      <c r="AD183">
        <f>N(AD182)+IF(AND(OR(R183="follow-up",R183="Evaluation",R183="tbd",R183="In evaluation"),B183&lt;&gt;""),1,0)</f>
        <v>9</v>
      </c>
    </row>
    <row r="184" ht="15" customHeight="1">
      <c r="I184" s="215" t="n"/>
      <c r="J184" s="215" t="n"/>
      <c r="K184" s="215" t="n"/>
      <c r="L184" s="215" t="n"/>
      <c r="M184" s="215" t="n"/>
      <c r="N184" s="215" t="str">
        <f>IF(ISNUMBER(I184),ROUND(I184-I184/1.081,2),"")</f>
        <v/>
      </c>
      <c r="O184" s="215" t="str">
        <f>IF(ISNUMBER(I184),I184-SUM(J184:N184),"")</f>
        <v/>
      </c>
      <c r="P184" s="216" t="str">
        <f>IFERROR(IF(AND(ISNUMBER(O184),ISNUMBER(I184),I184&lt;&gt;0),O184/I184,""),"")</f>
        <v/>
      </c>
      <c r="Q184" s="215" t="str">
        <f>IF(AND(ISNUMBER(I184),ISNUMBER(S184)),I184*IF(S184&lt;=1,S184,S184/100),IF(OR(I184&lt;&gt;"",S184&lt;&gt;""),"tbd",""))</f>
        <v/>
      </c>
      <c r="S184" s="217" t="n"/>
      <c r="Z184" t="str">
        <f>IF(AND(R184="WON",ISNUMBER(I184)),AA184,"")</f>
        <v/>
      </c>
      <c r="AA184">
        <f>IFERROR(I184*1,0)</f>
        <v>0</v>
      </c>
      <c r="AB184">
        <f>N(AB183)+IF(AND(R184="WON",B184&lt;&gt;""),1,0)</f>
        <v>7</v>
      </c>
      <c r="AC184">
        <f>N(AC183)+IF(AND(OR(R184="offered",R184="to be offered",R184="on hold"),B184&lt;&gt;""),1,0)</f>
        <v>19</v>
      </c>
      <c r="AD184">
        <f>N(AD183)+IF(AND(OR(R184="follow-up",R184="Evaluation",R184="tbd",R184="In evaluation"),B184&lt;&gt;""),1,0)</f>
        <v>9</v>
      </c>
    </row>
    <row r="185" ht="15" customHeight="1">
      <c r="I185" s="215" t="n"/>
      <c r="J185" s="215" t="n"/>
      <c r="K185" s="215" t="n"/>
      <c r="L185" s="215" t="n"/>
      <c r="M185" s="215" t="n"/>
      <c r="N185" s="215" t="str">
        <f>IF(ISNUMBER(I185),ROUND(I185-I185/1.081,2),"")</f>
        <v/>
      </c>
      <c r="O185" s="215" t="str">
        <f>IF(ISNUMBER(I185),I185-SUM(J185:N185),"")</f>
        <v/>
      </c>
      <c r="P185" s="216" t="str">
        <f>IFERROR(IF(AND(ISNUMBER(O185),ISNUMBER(I185),I185&lt;&gt;0),O185/I185,""),"")</f>
        <v/>
      </c>
      <c r="Q185" s="215" t="str">
        <f>IF(AND(ISNUMBER(I185),ISNUMBER(S185)),I185*IF(S185&lt;=1,S185,S185/100),IF(OR(I185&lt;&gt;"",S185&lt;&gt;""),"tbd",""))</f>
        <v/>
      </c>
      <c r="S185" s="217" t="n"/>
      <c r="Z185" t="str">
        <f>IF(AND(R185="WON",ISNUMBER(I185)),AA185,"")</f>
        <v/>
      </c>
      <c r="AA185">
        <f>IFERROR(I185*1,0)</f>
        <v>0</v>
      </c>
      <c r="AB185">
        <f>N(AB184)+IF(AND(R185="WON",B185&lt;&gt;""),1,0)</f>
        <v>7</v>
      </c>
      <c r="AC185">
        <f>N(AC184)+IF(AND(OR(R185="offered",R185="to be offered",R185="on hold"),B185&lt;&gt;""),1,0)</f>
        <v>19</v>
      </c>
      <c r="AD185">
        <f>N(AD184)+IF(AND(OR(R185="follow-up",R185="Evaluation",R185="tbd",R185="In evaluation"),B185&lt;&gt;""),1,0)</f>
        <v>9</v>
      </c>
    </row>
    <row r="186" ht="15" customHeight="1">
      <c r="I186" s="215" t="n"/>
      <c r="J186" s="215" t="n"/>
      <c r="K186" s="215" t="n"/>
      <c r="L186" s="215" t="n"/>
      <c r="M186" s="215" t="n"/>
      <c r="N186" s="215" t="str">
        <f>IF(ISNUMBER(I186),ROUND(I186-I186/1.081,2),"")</f>
        <v/>
      </c>
      <c r="O186" s="215" t="str">
        <f>IF(ISNUMBER(I186),I186-SUM(J186:N186),"")</f>
        <v/>
      </c>
      <c r="P186" s="216" t="str">
        <f>IFERROR(IF(AND(ISNUMBER(O186),ISNUMBER(I186),I186&lt;&gt;0),O186/I186,""),"")</f>
        <v/>
      </c>
      <c r="Q186" s="215" t="str">
        <f>IF(AND(ISNUMBER(I186),ISNUMBER(S186)),I186*IF(S186&lt;=1,S186,S186/100),IF(OR(I186&lt;&gt;"",S186&lt;&gt;""),"tbd",""))</f>
        <v/>
      </c>
      <c r="S186" s="217" t="n"/>
      <c r="Z186" t="str">
        <f>IF(AND(R186="WON",ISNUMBER(I186)),AA186,"")</f>
        <v/>
      </c>
      <c r="AA186">
        <f>IFERROR(I186*1,0)</f>
        <v>0</v>
      </c>
      <c r="AB186">
        <f>N(AB185)+IF(AND(R186="WON",B186&lt;&gt;""),1,0)</f>
        <v>7</v>
      </c>
      <c r="AC186">
        <f>N(AC185)+IF(AND(OR(R186="offered",R186="to be offered",R186="on hold"),B186&lt;&gt;""),1,0)</f>
        <v>19</v>
      </c>
      <c r="AD186">
        <f>N(AD185)+IF(AND(OR(R186="follow-up",R186="Evaluation",R186="tbd",R186="In evaluation"),B186&lt;&gt;""),1,0)</f>
        <v>9</v>
      </c>
    </row>
    <row r="187" ht="15" customHeight="1">
      <c r="I187" s="215" t="n"/>
      <c r="J187" s="215" t="n"/>
      <c r="K187" s="215" t="n"/>
      <c r="L187" s="215" t="n"/>
      <c r="M187" s="215" t="n"/>
      <c r="N187" s="215" t="str">
        <f>IF(ISNUMBER(I187),ROUND(I187-I187/1.081,2),"")</f>
        <v/>
      </c>
      <c r="O187" s="215" t="str">
        <f>IF(ISNUMBER(I187),I187-SUM(J187:N187),"")</f>
        <v/>
      </c>
      <c r="P187" s="216" t="str">
        <f>IFERROR(IF(AND(ISNUMBER(O187),ISNUMBER(I187),I187&lt;&gt;0),O187/I187,""),"")</f>
        <v/>
      </c>
      <c r="Q187" s="215" t="str">
        <f>IF(AND(ISNUMBER(I187),ISNUMBER(S187)),I187*IF(S187&lt;=1,S187,S187/100),IF(OR(I187&lt;&gt;"",S187&lt;&gt;""),"tbd",""))</f>
        <v/>
      </c>
      <c r="S187" s="217" t="n"/>
      <c r="Z187" t="str">
        <f>IF(AND(R187="WON",ISNUMBER(I187)),AA187,"")</f>
        <v/>
      </c>
      <c r="AA187">
        <f>IFERROR(I187*1,0)</f>
        <v>0</v>
      </c>
      <c r="AB187">
        <f>N(AB186)+IF(AND(R187="WON",B187&lt;&gt;""),1,0)</f>
        <v>7</v>
      </c>
      <c r="AC187">
        <f>N(AC186)+IF(AND(OR(R187="offered",R187="to be offered",R187="on hold"),B187&lt;&gt;""),1,0)</f>
        <v>19</v>
      </c>
      <c r="AD187">
        <f>N(AD186)+IF(AND(OR(R187="follow-up",R187="Evaluation",R187="tbd",R187="In evaluation"),B187&lt;&gt;""),1,0)</f>
        <v>9</v>
      </c>
    </row>
    <row r="188" ht="15" customHeight="1">
      <c r="I188" s="215" t="n"/>
      <c r="J188" s="215" t="n"/>
      <c r="K188" s="215" t="n"/>
      <c r="L188" s="215" t="n"/>
      <c r="M188" s="215" t="n"/>
      <c r="N188" s="215" t="str">
        <f>IF(ISNUMBER(I188),ROUND(I188-I188/1.081,2),"")</f>
        <v/>
      </c>
      <c r="O188" s="215" t="str">
        <f>IF(ISNUMBER(I188),I188-SUM(J188:N188),"")</f>
        <v/>
      </c>
      <c r="P188" s="216" t="str">
        <f>IFERROR(IF(AND(ISNUMBER(O188),ISNUMBER(I188),I188&lt;&gt;0),O188/I188,""),"")</f>
        <v/>
      </c>
      <c r="Q188" s="215" t="str">
        <f>IF(AND(ISNUMBER(I188),ISNUMBER(S188)),I188*IF(S188&lt;=1,S188,S188/100),IF(OR(I188&lt;&gt;"",S188&lt;&gt;""),"tbd",""))</f>
        <v/>
      </c>
      <c r="S188" s="217" t="n"/>
      <c r="Z188" t="str">
        <f>IF(AND(R188="WON",ISNUMBER(I188)),AA188,"")</f>
        <v/>
      </c>
      <c r="AA188">
        <f>IFERROR(I188*1,0)</f>
        <v>0</v>
      </c>
      <c r="AB188">
        <f>N(AB187)+IF(AND(R188="WON",B188&lt;&gt;""),1,0)</f>
        <v>7</v>
      </c>
      <c r="AC188">
        <f>N(AC187)+IF(AND(OR(R188="offered",R188="to be offered",R188="on hold"),B188&lt;&gt;""),1,0)</f>
        <v>19</v>
      </c>
      <c r="AD188">
        <f>N(AD187)+IF(AND(OR(R188="follow-up",R188="Evaluation",R188="tbd",R188="In evaluation"),B188&lt;&gt;""),1,0)</f>
        <v>9</v>
      </c>
    </row>
    <row r="189" ht="15" customHeight="1">
      <c r="I189" s="215" t="n"/>
      <c r="J189" s="215" t="n"/>
      <c r="K189" s="215" t="n"/>
      <c r="L189" s="215" t="n"/>
      <c r="M189" s="215" t="n"/>
      <c r="N189" s="215" t="str">
        <f>IF(ISNUMBER(I189),ROUND(I189-I189/1.081,2),"")</f>
        <v/>
      </c>
      <c r="O189" s="215" t="str">
        <f>IF(ISNUMBER(I189),I189-SUM(J189:N189),"")</f>
        <v/>
      </c>
      <c r="P189" s="216" t="str">
        <f>IFERROR(IF(AND(ISNUMBER(O189),ISNUMBER(I189),I189&lt;&gt;0),O189/I189,""),"")</f>
        <v/>
      </c>
      <c r="Q189" s="215" t="str">
        <f>IF(AND(ISNUMBER(I189),ISNUMBER(S189)),I189*IF(S189&lt;=1,S189,S189/100),IF(OR(I189&lt;&gt;"",S189&lt;&gt;""),"tbd",""))</f>
        <v/>
      </c>
      <c r="S189" s="217" t="n"/>
      <c r="Z189" t="str">
        <f>IF(AND(R189="WON",ISNUMBER(I189)),AA189,"")</f>
        <v/>
      </c>
      <c r="AA189">
        <f>IFERROR(I189*1,0)</f>
        <v>0</v>
      </c>
      <c r="AB189">
        <f>N(AB188)+IF(AND(R189="WON",B189&lt;&gt;""),1,0)</f>
        <v>7</v>
      </c>
      <c r="AC189">
        <f>N(AC188)+IF(AND(OR(R189="offered",R189="to be offered",R189="on hold"),B189&lt;&gt;""),1,0)</f>
        <v>19</v>
      </c>
      <c r="AD189">
        <f>N(AD188)+IF(AND(OR(R189="follow-up",R189="Evaluation",R189="tbd",R189="In evaluation"),B189&lt;&gt;""),1,0)</f>
        <v>9</v>
      </c>
    </row>
    <row r="190" ht="15" customHeight="1">
      <c r="I190" s="215" t="n"/>
      <c r="J190" s="215" t="n"/>
      <c r="K190" s="215" t="n"/>
      <c r="L190" s="215" t="n"/>
      <c r="M190" s="215" t="n"/>
      <c r="N190" s="215" t="str">
        <f>IF(ISNUMBER(I190),ROUND(I190-I190/1.081,2),"")</f>
        <v/>
      </c>
      <c r="O190" s="215" t="str">
        <f>IF(ISNUMBER(I190),I190-SUM(J190:N190),"")</f>
        <v/>
      </c>
      <c r="P190" s="216" t="str">
        <f>IFERROR(IF(AND(ISNUMBER(O190),ISNUMBER(I190),I190&lt;&gt;0),O190/I190,""),"")</f>
        <v/>
      </c>
      <c r="Q190" s="215" t="str">
        <f>IF(AND(ISNUMBER(I190),ISNUMBER(S190)),I190*IF(S190&lt;=1,S190,S190/100),IF(OR(I190&lt;&gt;"",S190&lt;&gt;""),"tbd",""))</f>
        <v/>
      </c>
      <c r="S190" s="217" t="n"/>
      <c r="Z190" t="str">
        <f>IF(AND(R190="WON",ISNUMBER(I190)),AA190,"")</f>
        <v/>
      </c>
      <c r="AA190">
        <f>IFERROR(I190*1,0)</f>
        <v>0</v>
      </c>
      <c r="AB190">
        <f>N(AB189)+IF(AND(R190="WON",B190&lt;&gt;""),1,0)</f>
        <v>7</v>
      </c>
      <c r="AC190">
        <f>N(AC189)+IF(AND(OR(R190="offered",R190="to be offered",R190="on hold"),B190&lt;&gt;""),1,0)</f>
        <v>19</v>
      </c>
      <c r="AD190">
        <f>N(AD189)+IF(AND(OR(R190="follow-up",R190="Evaluation",R190="tbd",R190="In evaluation"),B190&lt;&gt;""),1,0)</f>
        <v>9</v>
      </c>
    </row>
    <row r="191" ht="15" customHeight="1">
      <c r="I191" s="215" t="n"/>
      <c r="J191" s="215" t="n"/>
      <c r="K191" s="215" t="n"/>
      <c r="L191" s="215" t="n"/>
      <c r="M191" s="215" t="n"/>
      <c r="N191" s="215" t="str">
        <f>IF(ISNUMBER(I191),ROUND(I191-I191/1.081,2),"")</f>
        <v/>
      </c>
      <c r="O191" s="215" t="str">
        <f>IF(ISNUMBER(I191),I191-SUM(J191:N191),"")</f>
        <v/>
      </c>
      <c r="P191" s="216" t="str">
        <f>IFERROR(IF(AND(ISNUMBER(O191),ISNUMBER(I191),I191&lt;&gt;0),O191/I191,""),"")</f>
        <v/>
      </c>
      <c r="Q191" s="215" t="str">
        <f>IF(AND(ISNUMBER(I191),ISNUMBER(S191)),I191*IF(S191&lt;=1,S191,S191/100),IF(OR(I191&lt;&gt;"",S191&lt;&gt;""),"tbd",""))</f>
        <v/>
      </c>
      <c r="S191" s="217" t="n"/>
      <c r="Z191" t="str">
        <f>IF(AND(R191="WON",ISNUMBER(I191)),AA191,"")</f>
        <v/>
      </c>
      <c r="AA191">
        <f>IFERROR(I191*1,0)</f>
        <v>0</v>
      </c>
      <c r="AB191">
        <f>N(AB190)+IF(AND(R191="WON",B191&lt;&gt;""),1,0)</f>
        <v>7</v>
      </c>
      <c r="AC191">
        <f>N(AC190)+IF(AND(OR(R191="offered",R191="to be offered",R191="on hold"),B191&lt;&gt;""),1,0)</f>
        <v>19</v>
      </c>
      <c r="AD191">
        <f>N(AD190)+IF(AND(OR(R191="follow-up",R191="Evaluation",R191="tbd",R191="In evaluation"),B191&lt;&gt;""),1,0)</f>
        <v>9</v>
      </c>
    </row>
    <row r="192" ht="15" customHeight="1">
      <c r="I192" s="215" t="n"/>
      <c r="J192" s="215" t="n"/>
      <c r="K192" s="215" t="n"/>
      <c r="L192" s="215" t="n"/>
      <c r="M192" s="215" t="n"/>
      <c r="N192" s="215" t="str">
        <f>IF(ISNUMBER(I192),ROUND(I192-I192/1.081,2),"")</f>
        <v/>
      </c>
      <c r="O192" s="215" t="str">
        <f>IF(ISNUMBER(I192),I192-SUM(J192:N192),"")</f>
        <v/>
      </c>
      <c r="P192" s="216" t="str">
        <f>IFERROR(IF(AND(ISNUMBER(O192),ISNUMBER(I192),I192&lt;&gt;0),O192/I192,""),"")</f>
        <v/>
      </c>
      <c r="Q192" s="215" t="str">
        <f>IF(AND(ISNUMBER(I192),ISNUMBER(S192)),I192*IF(S192&lt;=1,S192,S192/100),IF(OR(I192&lt;&gt;"",S192&lt;&gt;""),"tbd",""))</f>
        <v/>
      </c>
      <c r="S192" s="217" t="n"/>
      <c r="Z192" t="str">
        <f>IF(AND(R192="WON",ISNUMBER(I192)),AA192,"")</f>
        <v/>
      </c>
      <c r="AA192">
        <f>IFERROR(I192*1,0)</f>
        <v>0</v>
      </c>
      <c r="AB192">
        <f>N(AB191)+IF(AND(R192="WON",B192&lt;&gt;""),1,0)</f>
        <v>7</v>
      </c>
      <c r="AC192">
        <f>N(AC191)+IF(AND(OR(R192="offered",R192="to be offered",R192="on hold"),B192&lt;&gt;""),1,0)</f>
        <v>19</v>
      </c>
      <c r="AD192">
        <f>N(AD191)+IF(AND(OR(R192="follow-up",R192="Evaluation",R192="tbd",R192="In evaluation"),B192&lt;&gt;""),1,0)</f>
        <v>9</v>
      </c>
    </row>
    <row r="193" ht="15" customHeight="1">
      <c r="I193" s="215" t="n"/>
      <c r="J193" s="215" t="n"/>
      <c r="K193" s="215" t="n"/>
      <c r="L193" s="215" t="n"/>
      <c r="M193" s="215" t="n"/>
      <c r="N193" s="215" t="str">
        <f>IF(ISNUMBER(I193),ROUND(I193-I193/1.081,2),"")</f>
        <v/>
      </c>
      <c r="O193" s="215" t="str">
        <f>IF(ISNUMBER(I193),I193-SUM(J193:N193),"")</f>
        <v/>
      </c>
      <c r="P193" s="216" t="str">
        <f>IFERROR(IF(AND(ISNUMBER(O193),ISNUMBER(I193),I193&lt;&gt;0),O193/I193,""),"")</f>
        <v/>
      </c>
      <c r="Q193" s="215" t="str">
        <f>IF(AND(ISNUMBER(I193),ISNUMBER(S193)),I193*IF(S193&lt;=1,S193,S193/100),IF(OR(I193&lt;&gt;"",S193&lt;&gt;""),"tbd",""))</f>
        <v/>
      </c>
      <c r="S193" s="217" t="n"/>
      <c r="Z193" t="str">
        <f>IF(AND(R193="WON",ISNUMBER(I193)),AA193,"")</f>
        <v/>
      </c>
      <c r="AA193">
        <f>IFERROR(I193*1,0)</f>
        <v>0</v>
      </c>
      <c r="AB193">
        <f>N(AB192)+IF(AND(R193="WON",B193&lt;&gt;""),1,0)</f>
        <v>7</v>
      </c>
      <c r="AC193">
        <f>N(AC192)+IF(AND(OR(R193="offered",R193="to be offered",R193="on hold"),B193&lt;&gt;""),1,0)</f>
        <v>19</v>
      </c>
      <c r="AD193">
        <f>N(AD192)+IF(AND(OR(R193="follow-up",R193="Evaluation",R193="tbd",R193="In evaluation"),B193&lt;&gt;""),1,0)</f>
        <v>9</v>
      </c>
    </row>
    <row r="194" ht="15" customHeight="1">
      <c r="I194" s="215" t="n"/>
      <c r="J194" s="215" t="n"/>
      <c r="K194" s="215" t="n"/>
      <c r="L194" s="215" t="n"/>
      <c r="M194" s="215" t="n"/>
      <c r="N194" s="215" t="str">
        <f>IF(ISNUMBER(I194),ROUND(I194-I194/1.081,2),"")</f>
        <v/>
      </c>
      <c r="O194" s="215" t="str">
        <f>IF(ISNUMBER(I194),I194-SUM(J194:N194),"")</f>
        <v/>
      </c>
      <c r="P194" s="216" t="str">
        <f>IFERROR(IF(AND(ISNUMBER(O194),ISNUMBER(I194),I194&lt;&gt;0),O194/I194,""),"")</f>
        <v/>
      </c>
      <c r="Q194" s="215" t="str">
        <f>IF(AND(ISNUMBER(I194),ISNUMBER(S194)),I194*IF(S194&lt;=1,S194,S194/100),IF(OR(I194&lt;&gt;"",S194&lt;&gt;""),"tbd",""))</f>
        <v/>
      </c>
      <c r="S194" s="217" t="n"/>
      <c r="Z194" t="str">
        <f>IF(AND(R194="WON",ISNUMBER(I194)),AA194,"")</f>
        <v/>
      </c>
      <c r="AA194">
        <f>IFERROR(I194*1,0)</f>
        <v>0</v>
      </c>
      <c r="AB194">
        <f>N(AB193)+IF(AND(R194="WON",B194&lt;&gt;""),1,0)</f>
        <v>7</v>
      </c>
      <c r="AC194">
        <f>N(AC193)+IF(AND(OR(R194="offered",R194="to be offered",R194="on hold"),B194&lt;&gt;""),1,0)</f>
        <v>19</v>
      </c>
      <c r="AD194">
        <f>N(AD193)+IF(AND(OR(R194="follow-up",R194="Evaluation",R194="tbd",R194="In evaluation"),B194&lt;&gt;""),1,0)</f>
        <v>9</v>
      </c>
    </row>
    <row r="195" ht="15" customHeight="1">
      <c r="I195" s="215" t="n"/>
      <c r="J195" s="215" t="n"/>
      <c r="K195" s="215" t="n"/>
      <c r="L195" s="215" t="n"/>
      <c r="M195" s="215" t="n"/>
      <c r="N195" s="215" t="str">
        <f>IF(ISNUMBER(I195),ROUND(I195-I195/1.081,2),"")</f>
        <v/>
      </c>
      <c r="O195" s="215" t="str">
        <f>IF(ISNUMBER(I195),I195-SUM(J195:N195),"")</f>
        <v/>
      </c>
      <c r="P195" s="216" t="str">
        <f>IFERROR(IF(AND(ISNUMBER(O195),ISNUMBER(I195),I195&lt;&gt;0),O195/I195,""),"")</f>
        <v/>
      </c>
      <c r="Q195" s="215" t="str">
        <f>IF(AND(ISNUMBER(I195),ISNUMBER(S195)),I195*IF(S195&lt;=1,S195,S195/100),IF(OR(I195&lt;&gt;"",S195&lt;&gt;""),"tbd",""))</f>
        <v/>
      </c>
      <c r="S195" s="217" t="n"/>
      <c r="Z195" t="str">
        <f>IF(AND(R195="WON",ISNUMBER(I195)),AA195,"")</f>
        <v/>
      </c>
      <c r="AA195">
        <f>IFERROR(I195*1,0)</f>
        <v>0</v>
      </c>
      <c r="AB195">
        <f>N(AB194)+IF(AND(R195="WON",B195&lt;&gt;""),1,0)</f>
        <v>7</v>
      </c>
      <c r="AC195">
        <f>N(AC194)+IF(AND(OR(R195="offered",R195="to be offered",R195="on hold"),B195&lt;&gt;""),1,0)</f>
        <v>19</v>
      </c>
      <c r="AD195">
        <f>N(AD194)+IF(AND(OR(R195="follow-up",R195="Evaluation",R195="tbd",R195="In evaluation"),B195&lt;&gt;""),1,0)</f>
        <v>9</v>
      </c>
    </row>
    <row r="196" ht="15" customHeight="1">
      <c r="I196" s="215" t="n"/>
      <c r="J196" s="215" t="n"/>
      <c r="K196" s="215" t="n"/>
      <c r="L196" s="215" t="n"/>
      <c r="M196" s="215" t="n"/>
      <c r="N196" s="215" t="str">
        <f>IF(ISNUMBER(I196),ROUND(I196-I196/1.081,2),"")</f>
        <v/>
      </c>
      <c r="O196" s="215" t="str">
        <f>IF(ISNUMBER(I196),I196-SUM(J196:N196),"")</f>
        <v/>
      </c>
      <c r="P196" s="216" t="str">
        <f>IFERROR(IF(AND(ISNUMBER(O196),ISNUMBER(I196),I196&lt;&gt;0),O196/I196,""),"")</f>
        <v/>
      </c>
      <c r="Q196" s="215" t="str">
        <f>IF(AND(ISNUMBER(I196),ISNUMBER(S196)),I196*IF(S196&lt;=1,S196,S196/100),IF(OR(I196&lt;&gt;"",S196&lt;&gt;""),"tbd",""))</f>
        <v/>
      </c>
      <c r="S196" s="217" t="n"/>
      <c r="Z196" t="str">
        <f>IF(AND(R196="WON",ISNUMBER(I196)),AA196,"")</f>
        <v/>
      </c>
      <c r="AA196">
        <f>IFERROR(I196*1,0)</f>
        <v>0</v>
      </c>
      <c r="AB196">
        <f>N(AB195)+IF(AND(R196="WON",B196&lt;&gt;""),1,0)</f>
        <v>7</v>
      </c>
      <c r="AC196">
        <f>N(AC195)+IF(AND(OR(R196="offered",R196="to be offered",R196="on hold"),B196&lt;&gt;""),1,0)</f>
        <v>19</v>
      </c>
      <c r="AD196">
        <f>N(AD195)+IF(AND(OR(R196="follow-up",R196="Evaluation",R196="tbd",R196="In evaluation"),B196&lt;&gt;""),1,0)</f>
        <v>9</v>
      </c>
    </row>
    <row r="197" ht="15" customHeight="1">
      <c r="I197" s="215" t="n"/>
      <c r="J197" s="215" t="n"/>
      <c r="K197" s="215" t="n"/>
      <c r="L197" s="215" t="n"/>
      <c r="M197" s="215" t="n"/>
      <c r="N197" s="215" t="str">
        <f>IF(ISNUMBER(I197),ROUND(I197-I197/1.081,2),"")</f>
        <v/>
      </c>
      <c r="O197" s="215" t="str">
        <f>IF(ISNUMBER(I197),I197-SUM(J197:N197),"")</f>
        <v/>
      </c>
      <c r="P197" s="216" t="str">
        <f>IFERROR(IF(AND(ISNUMBER(O197),ISNUMBER(I197),I197&lt;&gt;0),O197/I197,""),"")</f>
        <v/>
      </c>
      <c r="Q197" s="215" t="str">
        <f>IF(AND(ISNUMBER(I197),ISNUMBER(S197)),I197*IF(S197&lt;=1,S197,S197/100),IF(OR(I197&lt;&gt;"",S197&lt;&gt;""),"tbd",""))</f>
        <v/>
      </c>
      <c r="S197" s="217" t="n"/>
      <c r="Z197" t="str">
        <f>IF(AND(R197="WON",ISNUMBER(I197)),AA197,"")</f>
        <v/>
      </c>
      <c r="AA197">
        <f>IFERROR(I197*1,0)</f>
        <v>0</v>
      </c>
      <c r="AB197">
        <f>N(AB196)+IF(AND(R197="WON",B197&lt;&gt;""),1,0)</f>
        <v>7</v>
      </c>
      <c r="AC197">
        <f>N(AC196)+IF(AND(OR(R197="offered",R197="to be offered",R197="on hold"),B197&lt;&gt;""),1,0)</f>
        <v>19</v>
      </c>
      <c r="AD197">
        <f>N(AD196)+IF(AND(OR(R197="follow-up",R197="Evaluation",R197="tbd",R197="In evaluation"),B197&lt;&gt;""),1,0)</f>
        <v>9</v>
      </c>
    </row>
    <row r="198" ht="15" customHeight="1">
      <c r="I198" s="215" t="n"/>
      <c r="J198" s="215" t="n"/>
      <c r="K198" s="215" t="n"/>
      <c r="L198" s="215" t="n"/>
      <c r="M198" s="215" t="n"/>
      <c r="N198" s="215" t="str">
        <f>IF(ISNUMBER(I198),ROUND(I198-I198/1.081,2),"")</f>
        <v/>
      </c>
      <c r="O198" s="215" t="str">
        <f>IF(ISNUMBER(I198),I198-SUM(J198:N198),"")</f>
        <v/>
      </c>
      <c r="P198" s="216" t="str">
        <f>IFERROR(IF(AND(ISNUMBER(O198),ISNUMBER(I198),I198&lt;&gt;0),O198/I198,""),"")</f>
        <v/>
      </c>
      <c r="Q198" s="215" t="str">
        <f>IF(AND(ISNUMBER(I198),ISNUMBER(S198)),I198*IF(S198&lt;=1,S198,S198/100),IF(OR(I198&lt;&gt;"",S198&lt;&gt;""),"tbd",""))</f>
        <v/>
      </c>
      <c r="S198" s="217" t="n"/>
      <c r="Z198" t="str">
        <f>IF(AND(R198="WON",ISNUMBER(I198)),AA198,"")</f>
        <v/>
      </c>
      <c r="AA198">
        <f>IFERROR(I198*1,0)</f>
        <v>0</v>
      </c>
      <c r="AB198">
        <f>N(AB197)+IF(AND(R198="WON",B198&lt;&gt;""),1,0)</f>
        <v>7</v>
      </c>
      <c r="AC198">
        <f>N(AC197)+IF(AND(OR(R198="offered",R198="to be offered",R198="on hold"),B198&lt;&gt;""),1,0)</f>
        <v>19</v>
      </c>
      <c r="AD198">
        <f>N(AD197)+IF(AND(OR(R198="follow-up",R198="Evaluation",R198="tbd",R198="In evaluation"),B198&lt;&gt;""),1,0)</f>
        <v>9</v>
      </c>
    </row>
    <row r="199" ht="15" customHeight="1">
      <c r="I199" s="215" t="n"/>
      <c r="J199" s="215" t="n"/>
      <c r="K199" s="215" t="n"/>
      <c r="L199" s="215" t="n"/>
      <c r="M199" s="215" t="n"/>
      <c r="N199" s="215" t="str">
        <f>IF(ISNUMBER(I199),ROUND(I199-I199/1.081,2),"")</f>
        <v/>
      </c>
      <c r="O199" s="215" t="str">
        <f>IF(ISNUMBER(I199),I199-SUM(J199:N199),"")</f>
        <v/>
      </c>
      <c r="P199" s="216" t="str">
        <f>IFERROR(IF(AND(ISNUMBER(O199),ISNUMBER(I199),I199&lt;&gt;0),O199/I199,""),"")</f>
        <v/>
      </c>
      <c r="Q199" s="215" t="str">
        <f>IF(AND(ISNUMBER(I199),ISNUMBER(S199)),I199*IF(S199&lt;=1,S199,S199/100),IF(OR(I199&lt;&gt;"",S199&lt;&gt;""),"tbd",""))</f>
        <v/>
      </c>
      <c r="S199" s="217" t="n"/>
      <c r="Z199" t="str">
        <f>IF(AND(R199="WON",ISNUMBER(I199)),AA199,"")</f>
        <v/>
      </c>
      <c r="AA199">
        <f>IFERROR(I199*1,0)</f>
        <v>0</v>
      </c>
      <c r="AB199">
        <f>N(AB198)+IF(AND(R199="WON",B199&lt;&gt;""),1,0)</f>
        <v>7</v>
      </c>
      <c r="AC199">
        <f>N(AC198)+IF(AND(OR(R199="offered",R199="to be offered",R199="on hold"),B199&lt;&gt;""),1,0)</f>
        <v>19</v>
      </c>
      <c r="AD199">
        <f>N(AD198)+IF(AND(OR(R199="follow-up",R199="Evaluation",R199="tbd",R199="In evaluation"),B199&lt;&gt;""),1,0)</f>
        <v>9</v>
      </c>
    </row>
    <row r="200" ht="15" customHeight="1">
      <c r="I200" s="215" t="n"/>
      <c r="J200" s="215" t="n"/>
      <c r="K200" s="215" t="n"/>
      <c r="L200" s="215" t="n"/>
      <c r="M200" s="215" t="n"/>
      <c r="N200" s="215" t="str">
        <f>IF(ISNUMBER(I200),ROUND(I200-I200/1.081,2),"")</f>
        <v/>
      </c>
      <c r="O200" s="215" t="str">
        <f>IF(ISNUMBER(I200),I200-SUM(J200:N200),"")</f>
        <v/>
      </c>
      <c r="P200" s="216" t="str">
        <f>IFERROR(IF(AND(ISNUMBER(O200),ISNUMBER(I200),I200&lt;&gt;0),O200/I200,""),"")</f>
        <v/>
      </c>
      <c r="Q200" s="215" t="str">
        <f>IF(AND(ISNUMBER(I200),ISNUMBER(S200)),I200*IF(S200&lt;=1,S200,S200/100),IF(OR(I200&lt;&gt;"",S200&lt;&gt;""),"tbd",""))</f>
        <v/>
      </c>
      <c r="S200" s="217" t="n"/>
      <c r="Z200" t="str">
        <f>IF(AND(R200="WON",ISNUMBER(I200)),AA200,"")</f>
        <v/>
      </c>
      <c r="AA200">
        <f>IFERROR(I200*1,0)</f>
        <v>0</v>
      </c>
      <c r="AB200">
        <f>N(AB199)+IF(AND(R200="WON",B200&lt;&gt;""),1,0)</f>
        <v>7</v>
      </c>
      <c r="AC200">
        <f>N(AC199)+IF(AND(OR(R200="offered",R200="to be offered",R200="on hold"),B200&lt;&gt;""),1,0)</f>
        <v>19</v>
      </c>
      <c r="AD200">
        <f>N(AD199)+IF(AND(OR(R200="follow-up",R200="Evaluation",R200="tbd",R200="In evaluation"),B200&lt;&gt;""),1,0)</f>
        <v>9</v>
      </c>
    </row>
    <row r="201" ht="15" customHeight="1">
      <c r="I201" s="215" t="n"/>
      <c r="J201" s="215" t="n"/>
      <c r="K201" s="215" t="n"/>
      <c r="L201" s="215" t="n"/>
      <c r="M201" s="215" t="n"/>
      <c r="N201" s="215" t="str">
        <f>IF(ISNUMBER(I201),ROUND(I201-I201/1.081,2),"")</f>
        <v/>
      </c>
      <c r="O201" s="215" t="str">
        <f>IF(ISNUMBER(I201),I201-SUM(J201:N201),"")</f>
        <v/>
      </c>
      <c r="P201" s="216" t="str">
        <f>IFERROR(IF(AND(ISNUMBER(O201),ISNUMBER(I201),I201&lt;&gt;0),O201/I201,""),"")</f>
        <v/>
      </c>
      <c r="Q201" s="215" t="str">
        <f>IF(AND(ISNUMBER(I201),ISNUMBER(S201)),I201*IF(S201&lt;=1,S201,S201/100),IF(OR(I201&lt;&gt;"",S201&lt;&gt;""),"tbd",""))</f>
        <v/>
      </c>
      <c r="S201" s="217" t="n"/>
      <c r="Z201" t="str">
        <f>IF(AND(R201="WON",ISNUMBER(I201)),AA201,"")</f>
        <v/>
      </c>
      <c r="AA201">
        <f>IFERROR(I201*1,0)</f>
        <v>0</v>
      </c>
      <c r="AB201">
        <f>N(AB200)+IF(AND(R201="WON",B201&lt;&gt;""),1,0)</f>
        <v>7</v>
      </c>
      <c r="AC201">
        <f>N(AC200)+IF(AND(OR(R201="offered",R201="to be offered",R201="on hold"),B201&lt;&gt;""),1,0)</f>
        <v>19</v>
      </c>
      <c r="AD201">
        <f>N(AD200)+IF(AND(OR(R201="follow-up",R201="Evaluation",R201="tbd",R201="In evaluation"),B201&lt;&gt;""),1,0)</f>
        <v>9</v>
      </c>
    </row>
    <row r="202" ht="15" customHeight="1">
      <c r="I202" s="215" t="n"/>
      <c r="J202" s="215" t="n"/>
      <c r="K202" s="215" t="n"/>
      <c r="L202" s="215" t="n"/>
      <c r="M202" s="215" t="n"/>
      <c r="N202" s="215" t="str">
        <f>IF(ISNUMBER(I202),ROUND(I202-I202/1.081,2),"")</f>
        <v/>
      </c>
      <c r="O202" s="215" t="str">
        <f>IF(ISNUMBER(I202),I202-SUM(J202:N202),"")</f>
        <v/>
      </c>
      <c r="P202" s="216" t="str">
        <f>IFERROR(IF(AND(ISNUMBER(O202),ISNUMBER(I202),I202&lt;&gt;0),O202/I202,""),"")</f>
        <v/>
      </c>
      <c r="Q202" s="215" t="str">
        <f>IF(AND(ISNUMBER(I202),ISNUMBER(S202)),I202*IF(S202&lt;=1,S202,S202/100),IF(OR(I202&lt;&gt;"",S202&lt;&gt;""),"tbd",""))</f>
        <v/>
      </c>
      <c r="S202" s="217" t="n"/>
      <c r="Z202" t="str">
        <f>IF(AND(R202="WON",ISNUMBER(I202)),AA202,"")</f>
        <v/>
      </c>
      <c r="AA202">
        <f>IFERROR(I202*1,0)</f>
        <v>0</v>
      </c>
      <c r="AB202">
        <f>N(AB201)+IF(AND(R202="WON",B202&lt;&gt;""),1,0)</f>
        <v>7</v>
      </c>
      <c r="AC202">
        <f>N(AC201)+IF(AND(OR(R202="offered",R202="to be offered",R202="on hold"),B202&lt;&gt;""),1,0)</f>
        <v>19</v>
      </c>
      <c r="AD202">
        <f>N(AD201)+IF(AND(OR(R202="follow-up",R202="Evaluation",R202="tbd",R202="In evaluation"),B202&lt;&gt;""),1,0)</f>
        <v>9</v>
      </c>
    </row>
    <row r="203" ht="15" customHeight="1">
      <c r="I203" s="215" t="n"/>
      <c r="J203" s="215" t="n"/>
      <c r="K203" s="215" t="n"/>
      <c r="L203" s="215" t="n"/>
      <c r="M203" s="215" t="n"/>
      <c r="N203" s="215" t="str">
        <f>IF(ISNUMBER(I203),ROUND(I203-I203/1.081,2),"")</f>
        <v/>
      </c>
      <c r="O203" s="215" t="str">
        <f>IF(ISNUMBER(I203),I203-SUM(J203:N203),"")</f>
        <v/>
      </c>
      <c r="P203" s="216" t="str">
        <f>IFERROR(IF(AND(ISNUMBER(O203),ISNUMBER(I203),I203&lt;&gt;0),O203/I203,""),"")</f>
        <v/>
      </c>
      <c r="Q203" s="215" t="str">
        <f>IF(AND(ISNUMBER(I203),ISNUMBER(S203)),I203*IF(S203&lt;=1,S203,S203/100),IF(OR(I203&lt;&gt;"",S203&lt;&gt;""),"tbd",""))</f>
        <v/>
      </c>
      <c r="S203" s="217" t="n"/>
      <c r="Z203" t="str">
        <f>IF(AND(R203="WON",ISNUMBER(I203)),AA203,"")</f>
        <v/>
      </c>
      <c r="AA203">
        <f>IFERROR(I203*1,0)</f>
        <v>0</v>
      </c>
      <c r="AB203">
        <f>N(AB202)+IF(AND(R203="WON",B203&lt;&gt;""),1,0)</f>
        <v>7</v>
      </c>
      <c r="AC203">
        <f>N(AC202)+IF(AND(OR(R203="offered",R203="to be offered",R203="on hold"),B203&lt;&gt;""),1,0)</f>
        <v>19</v>
      </c>
      <c r="AD203">
        <f>N(AD202)+IF(AND(OR(R203="follow-up",R203="Evaluation",R203="tbd",R203="In evaluation"),B203&lt;&gt;""),1,0)</f>
        <v>9</v>
      </c>
    </row>
    <row r="204" ht="15" customHeight="1">
      <c r="I204" s="215" t="n"/>
      <c r="J204" s="215" t="n"/>
      <c r="K204" s="215" t="n"/>
      <c r="L204" s="215" t="n"/>
      <c r="M204" s="215" t="n"/>
      <c r="N204" s="215" t="str">
        <f>IF(ISNUMBER(I204),ROUND(I204-I204/1.081,2),"")</f>
        <v/>
      </c>
      <c r="O204" s="215" t="str">
        <f>IF(ISNUMBER(I204),I204-SUM(J204:N204),"")</f>
        <v/>
      </c>
      <c r="P204" s="216" t="str">
        <f>IFERROR(IF(AND(ISNUMBER(O204),ISNUMBER(I204),I204&lt;&gt;0),O204/I204,""),"")</f>
        <v/>
      </c>
      <c r="Q204" s="215" t="str">
        <f>IF(AND(ISNUMBER(I204),ISNUMBER(S204)),I204*IF(S204&lt;=1,S204,S204/100),IF(OR(I204&lt;&gt;"",S204&lt;&gt;""),"tbd",""))</f>
        <v/>
      </c>
      <c r="S204" s="217" t="n"/>
      <c r="Z204" t="str">
        <f>IF(AND(R204="WON",ISNUMBER(I204)),AA204,"")</f>
        <v/>
      </c>
      <c r="AA204">
        <f>IFERROR(I204*1,0)</f>
        <v>0</v>
      </c>
      <c r="AB204">
        <f>N(AB203)+IF(AND(R204="WON",B204&lt;&gt;""),1,0)</f>
        <v>7</v>
      </c>
      <c r="AC204">
        <f>N(AC203)+IF(AND(OR(R204="offered",R204="to be offered",R204="on hold"),B204&lt;&gt;""),1,0)</f>
        <v>19</v>
      </c>
      <c r="AD204">
        <f>N(AD203)+IF(AND(OR(R204="follow-up",R204="Evaluation",R204="tbd",R204="In evaluation"),B204&lt;&gt;""),1,0)</f>
        <v>9</v>
      </c>
    </row>
    <row r="205" ht="15" customHeight="1">
      <c r="I205" s="215" t="n"/>
      <c r="J205" s="215" t="n"/>
      <c r="K205" s="215" t="n"/>
      <c r="L205" s="215" t="n"/>
      <c r="M205" s="215" t="n"/>
      <c r="N205" s="215" t="str">
        <f>IF(ISNUMBER(I205),ROUND(I205-I205/1.081,2),"")</f>
        <v/>
      </c>
      <c r="O205" s="215" t="str">
        <f>IF(ISNUMBER(I205),I205-SUM(J205:N205),"")</f>
        <v/>
      </c>
      <c r="P205" s="216" t="str">
        <f>IFERROR(IF(AND(ISNUMBER(O205),ISNUMBER(I205),I205&lt;&gt;0),O205/I205,""),"")</f>
        <v/>
      </c>
      <c r="Q205" s="215" t="str">
        <f>IF(AND(ISNUMBER(I205),ISNUMBER(S205)),I205*IF(S205&lt;=1,S205,S205/100),IF(OR(I205&lt;&gt;"",S205&lt;&gt;""),"tbd",""))</f>
        <v/>
      </c>
      <c r="S205" s="217" t="n"/>
      <c r="Z205" t="str">
        <f>IF(AND(R205="WON",ISNUMBER(I205)),AA205,"")</f>
        <v/>
      </c>
      <c r="AA205">
        <f>IFERROR(I205*1,0)</f>
        <v>0</v>
      </c>
      <c r="AB205">
        <f>N(AB204)+IF(AND(R205="WON",B205&lt;&gt;""),1,0)</f>
        <v>7</v>
      </c>
      <c r="AC205">
        <f>N(AC204)+IF(AND(OR(R205="offered",R205="to be offered",R205="on hold"),B205&lt;&gt;""),1,0)</f>
        <v>19</v>
      </c>
      <c r="AD205">
        <f>N(AD204)+IF(AND(OR(R205="follow-up",R205="Evaluation",R205="tbd",R205="In evaluation"),B205&lt;&gt;""),1,0)</f>
        <v>9</v>
      </c>
    </row>
    <row r="206" ht="15" customHeight="1">
      <c r="I206" s="215" t="n"/>
      <c r="J206" s="215" t="n"/>
      <c r="K206" s="215" t="n"/>
      <c r="L206" s="215" t="n"/>
      <c r="M206" s="215" t="n"/>
      <c r="N206" s="215" t="str">
        <f>IF(ISNUMBER(I206),ROUND(I206-I206/1.081,2),"")</f>
        <v/>
      </c>
      <c r="O206" s="215" t="str">
        <f>IF(ISNUMBER(I206),I206-SUM(J206:N206),"")</f>
        <v/>
      </c>
      <c r="P206" s="216" t="str">
        <f>IFERROR(IF(AND(ISNUMBER(O206),ISNUMBER(I206),I206&lt;&gt;0),O206/I206,""),"")</f>
        <v/>
      </c>
      <c r="Q206" s="215" t="str">
        <f>IF(AND(ISNUMBER(I206),ISNUMBER(S206)),I206*IF(S206&lt;=1,S206,S206/100),IF(OR(I206&lt;&gt;"",S206&lt;&gt;""),"tbd",""))</f>
        <v/>
      </c>
      <c r="S206" s="217" t="n"/>
      <c r="Z206" t="str">
        <f>IF(AND(R206="WON",ISNUMBER(I206)),AA206,"")</f>
        <v/>
      </c>
      <c r="AA206">
        <f>IFERROR(I206*1,0)</f>
        <v>0</v>
      </c>
      <c r="AB206">
        <f>N(AB205)+IF(AND(R206="WON",B206&lt;&gt;""),1,0)</f>
        <v>7</v>
      </c>
      <c r="AC206">
        <f>N(AC205)+IF(AND(OR(R206="offered",R206="to be offered",R206="on hold"),B206&lt;&gt;""),1,0)</f>
        <v>19</v>
      </c>
      <c r="AD206">
        <f>N(AD205)+IF(AND(OR(R206="follow-up",R206="Evaluation",R206="tbd",R206="In evaluation"),B206&lt;&gt;""),1,0)</f>
        <v>9</v>
      </c>
    </row>
    <row r="207" ht="15" customHeight="1">
      <c r="I207" s="215" t="n"/>
      <c r="J207" s="215" t="n"/>
      <c r="K207" s="215" t="n"/>
      <c r="L207" s="215" t="n"/>
      <c r="M207" s="215" t="n"/>
      <c r="N207" s="215" t="str">
        <f>IF(ISNUMBER(I207),ROUND(I207-I207/1.081,2),"")</f>
        <v/>
      </c>
      <c r="O207" s="215" t="str">
        <f>IF(ISNUMBER(I207),I207-SUM(J207:N207),"")</f>
        <v/>
      </c>
      <c r="P207" s="216" t="str">
        <f>IFERROR(IF(AND(ISNUMBER(O207),ISNUMBER(I207),I207&lt;&gt;0),O207/I207,""),"")</f>
        <v/>
      </c>
      <c r="Q207" s="215" t="str">
        <f>IF(AND(ISNUMBER(I207),ISNUMBER(S207)),I207*IF(S207&lt;=1,S207,S207/100),IF(OR(I207&lt;&gt;"",S207&lt;&gt;""),"tbd",""))</f>
        <v/>
      </c>
      <c r="S207" s="217" t="n"/>
      <c r="Z207" t="str">
        <f>IF(AND(R207="WON",ISNUMBER(I207)),AA207,"")</f>
        <v/>
      </c>
      <c r="AA207">
        <f>IFERROR(I207*1,0)</f>
        <v>0</v>
      </c>
      <c r="AB207">
        <f>N(AB206)+IF(AND(R207="WON",B207&lt;&gt;""),1,0)</f>
        <v>7</v>
      </c>
      <c r="AC207">
        <f>N(AC206)+IF(AND(OR(R207="offered",R207="to be offered",R207="on hold"),B207&lt;&gt;""),1,0)</f>
        <v>19</v>
      </c>
      <c r="AD207">
        <f>N(AD206)+IF(AND(OR(R207="follow-up",R207="Evaluation",R207="tbd",R207="In evaluation"),B207&lt;&gt;""),1,0)</f>
        <v>9</v>
      </c>
    </row>
    <row r="208" ht="15" customHeight="1">
      <c r="I208" s="215" t="n"/>
      <c r="J208" s="215" t="n"/>
      <c r="K208" s="215" t="n"/>
      <c r="L208" s="215" t="n"/>
      <c r="M208" s="215" t="n"/>
      <c r="N208" s="215" t="str">
        <f>IF(ISNUMBER(I208),ROUND(I208-I208/1.081,2),"")</f>
        <v/>
      </c>
      <c r="O208" s="215" t="str">
        <f>IF(ISNUMBER(I208),I208-SUM(J208:N208),"")</f>
        <v/>
      </c>
      <c r="P208" s="216" t="str">
        <f>IFERROR(IF(AND(ISNUMBER(O208),ISNUMBER(I208),I208&lt;&gt;0),O208/I208,""),"")</f>
        <v/>
      </c>
      <c r="Q208" s="215" t="str">
        <f>IF(AND(ISNUMBER(I208),ISNUMBER(S208)),I208*IF(S208&lt;=1,S208,S208/100),IF(OR(I208&lt;&gt;"",S208&lt;&gt;""),"tbd",""))</f>
        <v/>
      </c>
      <c r="S208" s="217" t="n"/>
      <c r="Z208" t="str">
        <f>IF(AND(R208="WON",ISNUMBER(I208)),AA208,"")</f>
        <v/>
      </c>
      <c r="AA208">
        <f>IFERROR(I208*1,0)</f>
        <v>0</v>
      </c>
      <c r="AB208">
        <f>N(AB207)+IF(AND(R208="WON",B208&lt;&gt;""),1,0)</f>
        <v>7</v>
      </c>
      <c r="AC208">
        <f>N(AC207)+IF(AND(OR(R208="offered",R208="to be offered",R208="on hold"),B208&lt;&gt;""),1,0)</f>
        <v>19</v>
      </c>
      <c r="AD208">
        <f>N(AD207)+IF(AND(OR(R208="follow-up",R208="Evaluation",R208="tbd",R208="In evaluation"),B208&lt;&gt;""),1,0)</f>
        <v>9</v>
      </c>
    </row>
    <row r="209" ht="15" customHeight="1">
      <c r="I209" s="215" t="n"/>
      <c r="J209" s="215" t="n"/>
      <c r="K209" s="215" t="n"/>
      <c r="L209" s="215" t="n"/>
      <c r="M209" s="215" t="n"/>
      <c r="N209" s="215" t="str">
        <f>IF(ISNUMBER(I209),ROUND(I209-I209/1.081,2),"")</f>
        <v/>
      </c>
      <c r="O209" s="215" t="str">
        <f>IF(ISNUMBER(I209),I209-SUM(J209:N209),"")</f>
        <v/>
      </c>
      <c r="P209" s="216" t="str">
        <f>IFERROR(IF(AND(ISNUMBER(O209),ISNUMBER(I209),I209&lt;&gt;0),O209/I209,""),"")</f>
        <v/>
      </c>
      <c r="Q209" s="215" t="str">
        <f>IF(AND(ISNUMBER(I209),ISNUMBER(S209)),I209*IF(S209&lt;=1,S209,S209/100),IF(OR(I209&lt;&gt;"",S209&lt;&gt;""),"tbd",""))</f>
        <v/>
      </c>
      <c r="S209" s="217" t="n"/>
      <c r="Z209" t="str">
        <f>IF(AND(R209="WON",ISNUMBER(I209)),AA209,"")</f>
        <v/>
      </c>
      <c r="AA209">
        <f>IFERROR(I209*1,0)</f>
        <v>0</v>
      </c>
      <c r="AB209">
        <f>N(AB208)+IF(AND(R209="WON",B209&lt;&gt;""),1,0)</f>
        <v>7</v>
      </c>
      <c r="AC209">
        <f>N(AC208)+IF(AND(OR(R209="offered",R209="to be offered",R209="on hold"),B209&lt;&gt;""),1,0)</f>
        <v>19</v>
      </c>
      <c r="AD209">
        <f>N(AD208)+IF(AND(OR(R209="follow-up",R209="Evaluation",R209="tbd",R209="In evaluation"),B209&lt;&gt;""),1,0)</f>
        <v>9</v>
      </c>
    </row>
    <row r="210" ht="15" customHeight="1">
      <c r="I210" s="215" t="n"/>
      <c r="J210" s="215" t="n"/>
      <c r="K210" s="215" t="n"/>
      <c r="L210" s="215" t="n"/>
      <c r="M210" s="215" t="n"/>
      <c r="N210" s="215" t="str">
        <f>IF(ISNUMBER(I210),ROUND(I210-I210/1.081,2),"")</f>
        <v/>
      </c>
      <c r="O210" s="215" t="str">
        <f>IF(ISNUMBER(I210),I210-SUM(J210:N210),"")</f>
        <v/>
      </c>
      <c r="P210" s="216" t="str">
        <f>IFERROR(IF(AND(ISNUMBER(O210),ISNUMBER(I210),I210&lt;&gt;0),O210/I210,""),"")</f>
        <v/>
      </c>
      <c r="Q210" s="215" t="str">
        <f>IF(AND(ISNUMBER(I210),ISNUMBER(S210)),I210*IF(S210&lt;=1,S210,S210/100),IF(OR(I210&lt;&gt;"",S210&lt;&gt;""),"tbd",""))</f>
        <v/>
      </c>
      <c r="S210" s="217" t="n"/>
      <c r="Z210" t="str">
        <f>IF(AND(R210="WON",ISNUMBER(I210)),AA210,"")</f>
        <v/>
      </c>
      <c r="AA210">
        <f>IFERROR(I210*1,0)</f>
        <v>0</v>
      </c>
      <c r="AB210">
        <f>N(AB209)+IF(AND(R210="WON",B210&lt;&gt;""),1,0)</f>
        <v>7</v>
      </c>
      <c r="AC210">
        <f>N(AC209)+IF(AND(OR(R210="offered",R210="to be offered",R210="on hold"),B210&lt;&gt;""),1,0)</f>
        <v>19</v>
      </c>
      <c r="AD210">
        <f>N(AD209)+IF(AND(OR(R210="follow-up",R210="Evaluation",R210="tbd",R210="In evaluation"),B210&lt;&gt;""),1,0)</f>
        <v>9</v>
      </c>
    </row>
    <row r="211" ht="15" customHeight="1">
      <c r="I211" s="215" t="n"/>
      <c r="J211" s="215" t="n"/>
      <c r="K211" s="215" t="n"/>
      <c r="L211" s="215" t="n"/>
      <c r="M211" s="215" t="n"/>
      <c r="N211" s="215" t="str">
        <f>IF(ISNUMBER(I211),ROUND(I211-I211/1.081,2),"")</f>
        <v/>
      </c>
      <c r="O211" s="215" t="str">
        <f>IF(ISNUMBER(I211),I211-SUM(J211:N211),"")</f>
        <v/>
      </c>
      <c r="P211" s="216" t="str">
        <f>IFERROR(IF(AND(ISNUMBER(O211),ISNUMBER(I211),I211&lt;&gt;0),O211/I211,""),"")</f>
        <v/>
      </c>
      <c r="Q211" s="215" t="str">
        <f>IF(AND(ISNUMBER(I211),ISNUMBER(S211)),I211*IF(S211&lt;=1,S211,S211/100),IF(OR(I211&lt;&gt;"",S211&lt;&gt;""),"tbd",""))</f>
        <v/>
      </c>
      <c r="S211" s="217" t="n"/>
      <c r="Z211" t="str">
        <f>IF(AND(R211="WON",ISNUMBER(I211)),AA211,"")</f>
        <v/>
      </c>
      <c r="AA211">
        <f>IFERROR(I211*1,0)</f>
        <v>0</v>
      </c>
      <c r="AB211">
        <f>N(AB210)+IF(AND(R211="WON",B211&lt;&gt;""),1,0)</f>
        <v>7</v>
      </c>
      <c r="AC211">
        <f>N(AC210)+IF(AND(OR(R211="offered",R211="to be offered",R211="on hold"),B211&lt;&gt;""),1,0)</f>
        <v>19</v>
      </c>
      <c r="AD211">
        <f>N(AD210)+IF(AND(OR(R211="follow-up",R211="Evaluation",R211="tbd",R211="In evaluation"),B211&lt;&gt;""),1,0)</f>
        <v>9</v>
      </c>
    </row>
    <row r="212" ht="15" customHeight="1">
      <c r="I212" s="215" t="n"/>
      <c r="J212" s="215" t="n"/>
      <c r="K212" s="215" t="n"/>
      <c r="L212" s="215" t="n"/>
      <c r="M212" s="215" t="n"/>
      <c r="N212" s="215" t="str">
        <f>IF(ISNUMBER(I212),ROUND(I212-I212/1.081,2),"")</f>
        <v/>
      </c>
      <c r="O212" s="215" t="str">
        <f>IF(ISNUMBER(I212),I212-SUM(J212:N212),"")</f>
        <v/>
      </c>
      <c r="P212" s="216" t="str">
        <f>IFERROR(IF(AND(ISNUMBER(O212),ISNUMBER(I212),I212&lt;&gt;0),O212/I212,""),"")</f>
        <v/>
      </c>
      <c r="Q212" s="215" t="str">
        <f>IF(AND(ISNUMBER(I212),ISNUMBER(S212)),I212*IF(S212&lt;=1,S212,S212/100),IF(OR(I212&lt;&gt;"",S212&lt;&gt;""),"tbd",""))</f>
        <v/>
      </c>
      <c r="S212" s="217" t="n"/>
      <c r="Z212" t="str">
        <f>IF(AND(R212="WON",ISNUMBER(I212)),AA212,"")</f>
        <v/>
      </c>
      <c r="AA212">
        <f>IFERROR(I212*1,0)</f>
        <v>0</v>
      </c>
      <c r="AB212">
        <f>N(AB211)+IF(AND(R212="WON",B212&lt;&gt;""),1,0)</f>
        <v>7</v>
      </c>
      <c r="AC212">
        <f>N(AC211)+IF(AND(OR(R212="offered",R212="to be offered",R212="on hold"),B212&lt;&gt;""),1,0)</f>
        <v>19</v>
      </c>
      <c r="AD212">
        <f>N(AD211)+IF(AND(OR(R212="follow-up",R212="Evaluation",R212="tbd",R212="In evaluation"),B212&lt;&gt;""),1,0)</f>
        <v>9</v>
      </c>
    </row>
    <row r="213" ht="15" customHeight="1">
      <c r="I213" s="215" t="n"/>
      <c r="J213" s="215" t="n"/>
      <c r="K213" s="215" t="n"/>
      <c r="L213" s="215" t="n"/>
      <c r="M213" s="215" t="n"/>
      <c r="N213" s="215" t="str">
        <f>IF(ISNUMBER(I213),ROUND(I213-I213/1.081,2),"")</f>
        <v/>
      </c>
      <c r="O213" s="215" t="str">
        <f>IF(ISNUMBER(I213),I213-SUM(J213:N213),"")</f>
        <v/>
      </c>
      <c r="P213" s="216" t="str">
        <f>IFERROR(IF(AND(ISNUMBER(O213),ISNUMBER(I213),I213&lt;&gt;0),O213/I213,""),"")</f>
        <v/>
      </c>
      <c r="Q213" s="215" t="str">
        <f>IF(AND(ISNUMBER(I213),ISNUMBER(S213)),I213*IF(S213&lt;=1,S213,S213/100),IF(OR(I213&lt;&gt;"",S213&lt;&gt;""),"tbd",""))</f>
        <v/>
      </c>
      <c r="S213" s="217" t="n"/>
      <c r="Z213" t="str">
        <f>IF(AND(R213="WON",ISNUMBER(I213)),AA213,"")</f>
        <v/>
      </c>
      <c r="AA213">
        <f>IFERROR(I213*1,0)</f>
        <v>0</v>
      </c>
      <c r="AB213">
        <f>N(AB212)+IF(AND(R213="WON",B213&lt;&gt;""),1,0)</f>
        <v>7</v>
      </c>
      <c r="AC213">
        <f>N(AC212)+IF(AND(OR(R213="offered",R213="to be offered",R213="on hold"),B213&lt;&gt;""),1,0)</f>
        <v>19</v>
      </c>
      <c r="AD213">
        <f>N(AD212)+IF(AND(OR(R213="follow-up",R213="Evaluation",R213="tbd",R213="In evaluation"),B213&lt;&gt;""),1,0)</f>
        <v>9</v>
      </c>
    </row>
    <row r="214" ht="15" customHeight="1">
      <c r="I214" s="215" t="n"/>
      <c r="J214" s="215" t="n"/>
      <c r="K214" s="215" t="n"/>
      <c r="L214" s="215" t="n"/>
      <c r="M214" s="215" t="n"/>
      <c r="N214" s="215" t="str">
        <f>IF(ISNUMBER(I214),ROUND(I214-I214/1.081,2),"")</f>
        <v/>
      </c>
      <c r="O214" s="215" t="str">
        <f>IF(ISNUMBER(I214),I214-SUM(J214:N214),"")</f>
        <v/>
      </c>
      <c r="P214" s="216" t="str">
        <f>IFERROR(IF(AND(ISNUMBER(O214),ISNUMBER(I214),I214&lt;&gt;0),O214/I214,""),"")</f>
        <v/>
      </c>
      <c r="Q214" s="215" t="str">
        <f>IF(AND(ISNUMBER(I214),ISNUMBER(S214)),I214*IF(S214&lt;=1,S214,S214/100),IF(OR(I214&lt;&gt;"",S214&lt;&gt;""),"tbd",""))</f>
        <v/>
      </c>
      <c r="S214" s="217" t="n"/>
      <c r="Z214" t="str">
        <f>IF(AND(R214="WON",ISNUMBER(I214)),AA214,"")</f>
        <v/>
      </c>
      <c r="AA214">
        <f>IFERROR(I214*1,0)</f>
        <v>0</v>
      </c>
      <c r="AB214">
        <f>N(AB213)+IF(AND(R214="WON",B214&lt;&gt;""),1,0)</f>
        <v>7</v>
      </c>
      <c r="AC214">
        <f>N(AC213)+IF(AND(OR(R214="offered",R214="to be offered",R214="on hold"),B214&lt;&gt;""),1,0)</f>
        <v>19</v>
      </c>
      <c r="AD214">
        <f>N(AD213)+IF(AND(OR(R214="follow-up",R214="Evaluation",R214="tbd",R214="In evaluation"),B214&lt;&gt;""),1,0)</f>
        <v>9</v>
      </c>
    </row>
    <row r="215" ht="15" customHeight="1">
      <c r="I215" s="215" t="n"/>
      <c r="J215" s="215" t="n"/>
      <c r="K215" s="215" t="n"/>
      <c r="L215" s="215" t="n"/>
      <c r="M215" s="215" t="n"/>
      <c r="N215" s="215" t="str">
        <f>IF(ISNUMBER(I215),ROUND(I215-I215/1.081,2),"")</f>
        <v/>
      </c>
      <c r="O215" s="215" t="str">
        <f>IF(ISNUMBER(I215),I215-SUM(J215:N215),"")</f>
        <v/>
      </c>
      <c r="P215" s="216" t="str">
        <f>IFERROR(IF(AND(ISNUMBER(O215),ISNUMBER(I215),I215&lt;&gt;0),O215/I215,""),"")</f>
        <v/>
      </c>
      <c r="Q215" s="215" t="str">
        <f>IF(AND(ISNUMBER(I215),ISNUMBER(S215)),I215*IF(S215&lt;=1,S215,S215/100),IF(OR(I215&lt;&gt;"",S215&lt;&gt;""),"tbd",""))</f>
        <v/>
      </c>
      <c r="S215" s="217" t="n"/>
      <c r="Z215" t="str">
        <f>IF(AND(R215="WON",ISNUMBER(I215)),AA215,"")</f>
        <v/>
      </c>
      <c r="AA215">
        <f>IFERROR(I215*1,0)</f>
        <v>0</v>
      </c>
      <c r="AB215">
        <f>N(AB214)+IF(AND(R215="WON",B215&lt;&gt;""),1,0)</f>
        <v>7</v>
      </c>
      <c r="AC215">
        <f>N(AC214)+IF(AND(OR(R215="offered",R215="to be offered",R215="on hold"),B215&lt;&gt;""),1,0)</f>
        <v>19</v>
      </c>
      <c r="AD215">
        <f>N(AD214)+IF(AND(OR(R215="follow-up",R215="Evaluation",R215="tbd",R215="In evaluation"),B215&lt;&gt;""),1,0)</f>
        <v>9</v>
      </c>
    </row>
    <row r="216" ht="15" customHeight="1">
      <c r="I216" s="215" t="n"/>
      <c r="J216" s="215" t="n"/>
      <c r="K216" s="215" t="n"/>
      <c r="L216" s="215" t="n"/>
      <c r="M216" s="215" t="n"/>
      <c r="N216" s="215" t="str">
        <f>IF(ISNUMBER(I216),ROUND(I216-I216/1.081,2),"")</f>
        <v/>
      </c>
      <c r="O216" s="215" t="str">
        <f>IF(ISNUMBER(I216),I216-SUM(J216:N216),"")</f>
        <v/>
      </c>
      <c r="P216" s="216" t="str">
        <f>IFERROR(IF(AND(ISNUMBER(O216),ISNUMBER(I216),I216&lt;&gt;0),O216/I216,""),"")</f>
        <v/>
      </c>
      <c r="Q216" s="215" t="str">
        <f>IF(AND(ISNUMBER(I216),ISNUMBER(S216)),I216*IF(S216&lt;=1,S216,S216/100),IF(OR(I216&lt;&gt;"",S216&lt;&gt;""),"tbd",""))</f>
        <v/>
      </c>
      <c r="S216" s="217" t="n"/>
      <c r="Z216" t="str">
        <f>IF(AND(R216="WON",ISNUMBER(I216)),AA216,"")</f>
        <v/>
      </c>
      <c r="AA216">
        <f>IFERROR(I216*1,0)</f>
        <v>0</v>
      </c>
      <c r="AB216">
        <f>N(AB215)+IF(AND(R216="WON",B216&lt;&gt;""),1,0)</f>
        <v>7</v>
      </c>
      <c r="AC216">
        <f>N(AC215)+IF(AND(OR(R216="offered",R216="to be offered",R216="on hold"),B216&lt;&gt;""),1,0)</f>
        <v>19</v>
      </c>
      <c r="AD216">
        <f>N(AD215)+IF(AND(OR(R216="follow-up",R216="Evaluation",R216="tbd",R216="In evaluation"),B216&lt;&gt;""),1,0)</f>
        <v>9</v>
      </c>
    </row>
    <row r="217" ht="15" customHeight="1">
      <c r="I217" s="215" t="n"/>
      <c r="J217" s="215" t="n"/>
      <c r="K217" s="215" t="n"/>
      <c r="L217" s="215" t="n"/>
      <c r="M217" s="215" t="n"/>
      <c r="N217" s="215" t="str">
        <f>IF(ISNUMBER(I217),ROUND(I217-I217/1.081,2),"")</f>
        <v/>
      </c>
      <c r="O217" s="215" t="str">
        <f>IF(ISNUMBER(I217),I217-SUM(J217:N217),"")</f>
        <v/>
      </c>
      <c r="P217" s="216" t="str">
        <f>IFERROR(IF(AND(ISNUMBER(O217),ISNUMBER(I217),I217&lt;&gt;0),O217/I217,""),"")</f>
        <v/>
      </c>
      <c r="Q217" s="215" t="str">
        <f>IF(AND(ISNUMBER(I217),ISNUMBER(S217)),I217*IF(S217&lt;=1,S217,S217/100),IF(OR(I217&lt;&gt;"",S217&lt;&gt;""),"tbd",""))</f>
        <v/>
      </c>
      <c r="S217" s="217" t="n"/>
      <c r="Z217" t="str">
        <f>IF(AND(R217="WON",ISNUMBER(I217)),AA217,"")</f>
        <v/>
      </c>
      <c r="AA217">
        <f>IFERROR(I217*1,0)</f>
        <v>0</v>
      </c>
      <c r="AB217">
        <f>N(AB216)+IF(AND(R217="WON",B217&lt;&gt;""),1,0)</f>
        <v>7</v>
      </c>
      <c r="AC217">
        <f>N(AC216)+IF(AND(OR(R217="offered",R217="to be offered",R217="on hold"),B217&lt;&gt;""),1,0)</f>
        <v>19</v>
      </c>
      <c r="AD217">
        <f>N(AD216)+IF(AND(OR(R217="follow-up",R217="Evaluation",R217="tbd",R217="In evaluation"),B217&lt;&gt;""),1,0)</f>
        <v>9</v>
      </c>
    </row>
    <row r="218" ht="15" customHeight="1">
      <c r="I218" s="215" t="n"/>
      <c r="J218" s="215" t="n"/>
      <c r="K218" s="215" t="n"/>
      <c r="L218" s="215" t="n"/>
      <c r="M218" s="215" t="n"/>
      <c r="N218" s="215" t="str">
        <f>IF(ISNUMBER(I218),ROUND(I218-I218/1.081,2),"")</f>
        <v/>
      </c>
      <c r="O218" s="215" t="str">
        <f>IF(ISNUMBER(I218),I218-SUM(J218:N218),"")</f>
        <v/>
      </c>
      <c r="P218" s="216" t="str">
        <f>IFERROR(IF(AND(ISNUMBER(O218),ISNUMBER(I218),I218&lt;&gt;0),O218/I218,""),"")</f>
        <v/>
      </c>
      <c r="Q218" s="215" t="str">
        <f>IF(AND(ISNUMBER(I218),ISNUMBER(S218)),I218*IF(S218&lt;=1,S218,S218/100),IF(OR(I218&lt;&gt;"",S218&lt;&gt;""),"tbd",""))</f>
        <v/>
      </c>
      <c r="S218" s="217" t="n"/>
      <c r="Z218" t="str">
        <f>IF(AND(R218="WON",ISNUMBER(I218)),AA218,"")</f>
        <v/>
      </c>
      <c r="AA218">
        <f>IFERROR(I218*1,0)</f>
        <v>0</v>
      </c>
      <c r="AB218">
        <f>N(AB217)+IF(AND(R218="WON",B218&lt;&gt;""),1,0)</f>
        <v>7</v>
      </c>
      <c r="AC218">
        <f>N(AC217)+IF(AND(OR(R218="offered",R218="to be offered",R218="on hold"),B218&lt;&gt;""),1,0)</f>
        <v>19</v>
      </c>
      <c r="AD218">
        <f>N(AD217)+IF(AND(OR(R218="follow-up",R218="Evaluation",R218="tbd",R218="In evaluation"),B218&lt;&gt;""),1,0)</f>
        <v>9</v>
      </c>
    </row>
    <row r="219" ht="15" customHeight="1">
      <c r="I219" s="215" t="n"/>
      <c r="J219" s="215" t="n"/>
      <c r="K219" s="215" t="n"/>
      <c r="L219" s="215" t="n"/>
      <c r="M219" s="215" t="n"/>
      <c r="N219" s="215" t="str">
        <f>IF(ISNUMBER(I219),ROUND(I219-I219/1.081,2),"")</f>
        <v/>
      </c>
      <c r="O219" s="215" t="str">
        <f>IF(ISNUMBER(I219),I219-SUM(J219:N219),"")</f>
        <v/>
      </c>
      <c r="P219" s="216" t="str">
        <f>IFERROR(IF(AND(ISNUMBER(O219),ISNUMBER(I219),I219&lt;&gt;0),O219/I219,""),"")</f>
        <v/>
      </c>
      <c r="Q219" s="215" t="str">
        <f>IF(AND(ISNUMBER(I219),ISNUMBER(S219)),I219*IF(S219&lt;=1,S219,S219/100),IF(OR(I219&lt;&gt;"",S219&lt;&gt;""),"tbd",""))</f>
        <v/>
      </c>
      <c r="S219" s="217" t="n"/>
      <c r="Z219" t="str">
        <f>IF(AND(R219="WON",ISNUMBER(I219)),AA219,"")</f>
        <v/>
      </c>
      <c r="AA219">
        <f>IFERROR(I219*1,0)</f>
        <v>0</v>
      </c>
      <c r="AB219">
        <f>N(AB218)+IF(AND(R219="WON",B219&lt;&gt;""),1,0)</f>
        <v>7</v>
      </c>
      <c r="AC219">
        <f>N(AC218)+IF(AND(OR(R219="offered",R219="to be offered",R219="on hold"),B219&lt;&gt;""),1,0)</f>
        <v>19</v>
      </c>
      <c r="AD219">
        <f>N(AD218)+IF(AND(OR(R219="follow-up",R219="Evaluation",R219="tbd",R219="In evaluation"),B219&lt;&gt;""),1,0)</f>
        <v>9</v>
      </c>
    </row>
    <row r="220" ht="15" customHeight="1">
      <c r="I220" s="215" t="n"/>
      <c r="J220" s="215" t="n"/>
      <c r="K220" s="215" t="n"/>
      <c r="L220" s="215" t="n"/>
      <c r="M220" s="215" t="n"/>
      <c r="N220" s="215" t="str">
        <f>IF(ISNUMBER(I220),ROUND(I220-I220/1.081,2),"")</f>
        <v/>
      </c>
      <c r="O220" s="215" t="str">
        <f>IF(ISNUMBER(I220),I220-SUM(J220:N220),"")</f>
        <v/>
      </c>
      <c r="P220" s="216" t="str">
        <f>IFERROR(IF(AND(ISNUMBER(O220),ISNUMBER(I220),I220&lt;&gt;0),O220/I220,""),"")</f>
        <v/>
      </c>
      <c r="Q220" s="215" t="str">
        <f>IF(AND(ISNUMBER(I220),ISNUMBER(S220)),I220*IF(S220&lt;=1,S220,S220/100),IF(OR(I220&lt;&gt;"",S220&lt;&gt;""),"tbd",""))</f>
        <v/>
      </c>
      <c r="S220" s="217" t="n"/>
      <c r="Z220" t="str">
        <f>IF(AND(R220="WON",ISNUMBER(I220)),AA220,"")</f>
        <v/>
      </c>
      <c r="AA220">
        <f>IFERROR(I220*1,0)</f>
        <v>0</v>
      </c>
      <c r="AB220">
        <f>N(AB219)+IF(AND(R220="WON",B220&lt;&gt;""),1,0)</f>
        <v>7</v>
      </c>
      <c r="AC220">
        <f>N(AC219)+IF(AND(OR(R220="offered",R220="to be offered",R220="on hold"),B220&lt;&gt;""),1,0)</f>
        <v>19</v>
      </c>
      <c r="AD220">
        <f>N(AD219)+IF(AND(OR(R220="follow-up",R220="Evaluation",R220="tbd",R220="In evaluation"),B220&lt;&gt;""),1,0)</f>
        <v>9</v>
      </c>
    </row>
    <row r="221" ht="15" customHeight="1">
      <c r="I221" s="215" t="n"/>
      <c r="J221" s="215" t="n"/>
      <c r="K221" s="215" t="n"/>
      <c r="L221" s="215" t="n"/>
      <c r="M221" s="215" t="n"/>
      <c r="N221" s="215" t="str">
        <f>IF(ISNUMBER(I221),ROUND(I221-I221/1.081,2),"")</f>
        <v/>
      </c>
      <c r="O221" s="215" t="str">
        <f>IF(ISNUMBER(I221),I221-SUM(J221:N221),"")</f>
        <v/>
      </c>
      <c r="P221" s="216" t="str">
        <f>IFERROR(IF(AND(ISNUMBER(O221),ISNUMBER(I221),I221&lt;&gt;0),O221/I221,""),"")</f>
        <v/>
      </c>
      <c r="Q221" s="215" t="str">
        <f>IF(AND(ISNUMBER(I221),ISNUMBER(S221)),I221*IF(S221&lt;=1,S221,S221/100),IF(OR(I221&lt;&gt;"",S221&lt;&gt;""),"tbd",""))</f>
        <v/>
      </c>
      <c r="S221" s="217" t="n"/>
      <c r="Z221" t="str">
        <f>IF(AND(R221="WON",ISNUMBER(I221)),AA221,"")</f>
        <v/>
      </c>
      <c r="AA221">
        <f>IFERROR(I221*1,0)</f>
        <v>0</v>
      </c>
      <c r="AB221">
        <f>N(AB220)+IF(AND(R221="WON",B221&lt;&gt;""),1,0)</f>
        <v>7</v>
      </c>
      <c r="AC221">
        <f>N(AC220)+IF(AND(OR(R221="offered",R221="to be offered",R221="on hold"),B221&lt;&gt;""),1,0)</f>
        <v>19</v>
      </c>
      <c r="AD221">
        <f>N(AD220)+IF(AND(OR(R221="follow-up",R221="Evaluation",R221="tbd",R221="In evaluation"),B221&lt;&gt;""),1,0)</f>
        <v>9</v>
      </c>
    </row>
    <row r="222" ht="15" customHeight="1">
      <c r="I222" s="215" t="n"/>
      <c r="J222" s="215" t="n"/>
      <c r="K222" s="215" t="n"/>
      <c r="L222" s="215" t="n"/>
      <c r="M222" s="215" t="n"/>
      <c r="N222" s="215" t="str">
        <f>IF(ISNUMBER(I222),ROUND(I222-I222/1.081,2),"")</f>
        <v/>
      </c>
      <c r="O222" s="215" t="str">
        <f>IF(ISNUMBER(I222),I222-SUM(J222:N222),"")</f>
        <v/>
      </c>
      <c r="P222" s="216" t="str">
        <f>IFERROR(IF(AND(ISNUMBER(O222),ISNUMBER(I222),I222&lt;&gt;0),O222/I222,""),"")</f>
        <v/>
      </c>
      <c r="Q222" s="215" t="str">
        <f>IF(AND(ISNUMBER(I222),ISNUMBER(S222)),I222*IF(S222&lt;=1,S222,S222/100),IF(OR(I222&lt;&gt;"",S222&lt;&gt;""),"tbd",""))</f>
        <v/>
      </c>
      <c r="S222" s="217" t="n"/>
      <c r="Z222" t="str">
        <f>IF(AND(R222="WON",ISNUMBER(I222)),AA222,"")</f>
        <v/>
      </c>
      <c r="AA222">
        <f>IFERROR(I222*1,0)</f>
        <v>0</v>
      </c>
      <c r="AB222">
        <f>N(AB221)+IF(AND(R222="WON",B222&lt;&gt;""),1,0)</f>
        <v>7</v>
      </c>
      <c r="AC222">
        <f>N(AC221)+IF(AND(OR(R222="offered",R222="to be offered",R222="on hold"),B222&lt;&gt;""),1,0)</f>
        <v>19</v>
      </c>
      <c r="AD222">
        <f>N(AD221)+IF(AND(OR(R222="follow-up",R222="Evaluation",R222="tbd",R222="In evaluation"),B222&lt;&gt;""),1,0)</f>
        <v>9</v>
      </c>
    </row>
    <row r="223" ht="15" customHeight="1">
      <c r="I223" s="215" t="n"/>
      <c r="J223" s="215" t="n"/>
      <c r="K223" s="215" t="n"/>
      <c r="L223" s="215" t="n"/>
      <c r="M223" s="215" t="n"/>
      <c r="N223" s="215" t="str">
        <f>IF(ISNUMBER(I223),ROUND(I223-I223/1.081,2),"")</f>
        <v/>
      </c>
      <c r="O223" s="215" t="str">
        <f>IF(ISNUMBER(I223),I223-SUM(J223:N223),"")</f>
        <v/>
      </c>
      <c r="P223" s="216" t="str">
        <f>IFERROR(IF(AND(ISNUMBER(O223),ISNUMBER(I223),I223&lt;&gt;0),O223/I223,""),"")</f>
        <v/>
      </c>
      <c r="Q223" s="215" t="str">
        <f>IF(AND(ISNUMBER(I223),ISNUMBER(S223)),I223*IF(S223&lt;=1,S223,S223/100),IF(OR(I223&lt;&gt;"",S223&lt;&gt;""),"tbd",""))</f>
        <v/>
      </c>
      <c r="S223" s="217" t="n"/>
      <c r="Z223" t="str">
        <f>IF(AND(R223="WON",ISNUMBER(I223)),AA223,"")</f>
        <v/>
      </c>
      <c r="AA223">
        <f>IFERROR(I223*1,0)</f>
        <v>0</v>
      </c>
      <c r="AB223">
        <f>N(AB222)+IF(AND(R223="WON",B223&lt;&gt;""),1,0)</f>
        <v>7</v>
      </c>
      <c r="AC223">
        <f>N(AC222)+IF(AND(OR(R223="offered",R223="to be offered",R223="on hold"),B223&lt;&gt;""),1,0)</f>
        <v>19</v>
      </c>
      <c r="AD223">
        <f>N(AD222)+IF(AND(OR(R223="follow-up",R223="Evaluation",R223="tbd",R223="In evaluation"),B223&lt;&gt;""),1,0)</f>
        <v>9</v>
      </c>
    </row>
    <row r="224" ht="15" customHeight="1">
      <c r="I224" s="215" t="n"/>
      <c r="J224" s="215" t="n"/>
      <c r="K224" s="215" t="n"/>
      <c r="L224" s="215" t="n"/>
      <c r="M224" s="215" t="n"/>
      <c r="N224" s="215" t="str">
        <f>IF(ISNUMBER(I224),ROUND(I224-I224/1.081,2),"")</f>
        <v/>
      </c>
      <c r="O224" s="215" t="str">
        <f>IF(ISNUMBER(I224),I224-SUM(J224:N224),"")</f>
        <v/>
      </c>
      <c r="P224" s="216" t="str">
        <f>IFERROR(IF(AND(ISNUMBER(O224),ISNUMBER(I224),I224&lt;&gt;0),O224/I224,""),"")</f>
        <v/>
      </c>
      <c r="Q224" s="215" t="str">
        <f>IF(AND(ISNUMBER(I224),ISNUMBER(S224)),I224*IF(S224&lt;=1,S224,S224/100),IF(OR(I224&lt;&gt;"",S224&lt;&gt;""),"tbd",""))</f>
        <v/>
      </c>
      <c r="S224" s="217" t="n"/>
      <c r="Z224" t="str">
        <f>IF(AND(R224="WON",ISNUMBER(I224)),AA224,"")</f>
        <v/>
      </c>
      <c r="AA224">
        <f>IFERROR(I224*1,0)</f>
        <v>0</v>
      </c>
      <c r="AB224">
        <f>N(AB223)+IF(AND(R224="WON",B224&lt;&gt;""),1,0)</f>
        <v>7</v>
      </c>
      <c r="AC224">
        <f>N(AC223)+IF(AND(OR(R224="offered",R224="to be offered",R224="on hold"),B224&lt;&gt;""),1,0)</f>
        <v>19</v>
      </c>
      <c r="AD224">
        <f>N(AD223)+IF(AND(OR(R224="follow-up",R224="Evaluation",R224="tbd",R224="In evaluation"),B224&lt;&gt;""),1,0)</f>
        <v>9</v>
      </c>
    </row>
    <row r="225" ht="15" customHeight="1">
      <c r="I225" s="215" t="n"/>
      <c r="J225" s="215" t="n"/>
      <c r="K225" s="215" t="n"/>
      <c r="L225" s="215" t="n"/>
      <c r="M225" s="215" t="n"/>
      <c r="N225" s="215" t="str">
        <f>IF(ISNUMBER(I225),ROUND(I225-I225/1.081,2),"")</f>
        <v/>
      </c>
      <c r="O225" s="215" t="str">
        <f>IF(ISNUMBER(I225),I225-SUM(J225:N225),"")</f>
        <v/>
      </c>
      <c r="P225" s="216" t="str">
        <f>IFERROR(IF(AND(ISNUMBER(O225),ISNUMBER(I225),I225&lt;&gt;0),O225/I225,""),"")</f>
        <v/>
      </c>
      <c r="Q225" s="215" t="str">
        <f>IF(AND(ISNUMBER(I225),ISNUMBER(S225)),I225*IF(S225&lt;=1,S225,S225/100),IF(OR(I225&lt;&gt;"",S225&lt;&gt;""),"tbd",""))</f>
        <v/>
      </c>
      <c r="S225" s="217" t="n"/>
      <c r="Z225" t="str">
        <f>IF(AND(R225="WON",ISNUMBER(I225)),AA225,"")</f>
        <v/>
      </c>
      <c r="AA225">
        <f>IFERROR(I225*1,0)</f>
        <v>0</v>
      </c>
      <c r="AB225">
        <f>N(AB224)+IF(AND(R225="WON",B225&lt;&gt;""),1,0)</f>
        <v>7</v>
      </c>
      <c r="AC225">
        <f>N(AC224)+IF(AND(OR(R225="offered",R225="to be offered",R225="on hold"),B225&lt;&gt;""),1,0)</f>
        <v>19</v>
      </c>
      <c r="AD225">
        <f>N(AD224)+IF(AND(OR(R225="follow-up",R225="Evaluation",R225="tbd",R225="In evaluation"),B225&lt;&gt;""),1,0)</f>
        <v>9</v>
      </c>
    </row>
    <row r="226" ht="15" customHeight="1">
      <c r="I226" s="215" t="n"/>
      <c r="J226" s="215" t="n"/>
      <c r="K226" s="215" t="n"/>
      <c r="L226" s="215" t="n"/>
      <c r="M226" s="215" t="n"/>
      <c r="N226" s="215" t="str">
        <f>IF(ISNUMBER(I226),ROUND(I226-I226/1.081,2),"")</f>
        <v/>
      </c>
      <c r="O226" s="215" t="str">
        <f>IF(ISNUMBER(I226),I226-SUM(J226:N226),"")</f>
        <v/>
      </c>
      <c r="P226" s="216" t="str">
        <f>IFERROR(IF(AND(ISNUMBER(O226),ISNUMBER(I226),I226&lt;&gt;0),O226/I226,""),"")</f>
        <v/>
      </c>
      <c r="Q226" s="215" t="str">
        <f>IF(AND(ISNUMBER(I226),ISNUMBER(S226)),I226*IF(S226&lt;=1,S226,S226/100),IF(OR(I226&lt;&gt;"",S226&lt;&gt;""),"tbd",""))</f>
        <v/>
      </c>
      <c r="S226" s="217" t="n"/>
      <c r="Z226" t="str">
        <f>IF(AND(R226="WON",ISNUMBER(I226)),AA226,"")</f>
        <v/>
      </c>
      <c r="AA226">
        <f>IFERROR(I226*1,0)</f>
        <v>0</v>
      </c>
      <c r="AB226">
        <f>N(AB225)+IF(AND(R226="WON",B226&lt;&gt;""),1,0)</f>
        <v>7</v>
      </c>
      <c r="AC226">
        <f>N(AC225)+IF(AND(OR(R226="offered",R226="to be offered",R226="on hold"),B226&lt;&gt;""),1,0)</f>
        <v>19</v>
      </c>
      <c r="AD226">
        <f>N(AD225)+IF(AND(OR(R226="follow-up",R226="Evaluation",R226="tbd",R226="In evaluation"),B226&lt;&gt;""),1,0)</f>
        <v>9</v>
      </c>
    </row>
    <row r="227" ht="15" customHeight="1">
      <c r="I227" s="215" t="n"/>
      <c r="J227" s="215" t="n"/>
      <c r="K227" s="215" t="n"/>
      <c r="L227" s="215" t="n"/>
      <c r="M227" s="215" t="n"/>
      <c r="N227" s="215" t="str">
        <f>IF(ISNUMBER(I227),ROUND(I227-I227/1.081,2),"")</f>
        <v/>
      </c>
      <c r="O227" s="215" t="str">
        <f>IF(ISNUMBER(I227),I227-SUM(J227:N227),"")</f>
        <v/>
      </c>
      <c r="P227" s="216" t="str">
        <f>IFERROR(IF(AND(ISNUMBER(O227),ISNUMBER(I227),I227&lt;&gt;0),O227/I227,""),"")</f>
        <v/>
      </c>
      <c r="Q227" s="215" t="str">
        <f>IF(AND(ISNUMBER(I227),ISNUMBER(S227)),I227*IF(S227&lt;=1,S227,S227/100),IF(OR(I227&lt;&gt;"",S227&lt;&gt;""),"tbd",""))</f>
        <v/>
      </c>
      <c r="S227" s="217" t="n"/>
      <c r="Z227" t="str">
        <f>IF(AND(R227="WON",ISNUMBER(I227)),AA227,"")</f>
        <v/>
      </c>
      <c r="AA227">
        <f>IFERROR(I227*1,0)</f>
        <v>0</v>
      </c>
      <c r="AB227">
        <f>N(AB226)+IF(AND(R227="WON",B227&lt;&gt;""),1,0)</f>
        <v>7</v>
      </c>
      <c r="AC227">
        <f>N(AC226)+IF(AND(OR(R227="offered",R227="to be offered",R227="on hold"),B227&lt;&gt;""),1,0)</f>
        <v>19</v>
      </c>
      <c r="AD227">
        <f>N(AD226)+IF(AND(OR(R227="follow-up",R227="Evaluation",R227="tbd",R227="In evaluation"),B227&lt;&gt;""),1,0)</f>
        <v>9</v>
      </c>
    </row>
    <row r="228" ht="15" customHeight="1">
      <c r="I228" s="215" t="n"/>
      <c r="J228" s="215" t="n"/>
      <c r="K228" s="215" t="n"/>
      <c r="L228" s="215" t="n"/>
      <c r="M228" s="215" t="n"/>
      <c r="N228" s="215" t="str">
        <f>IF(ISNUMBER(I228),ROUND(I228-I228/1.081,2),"")</f>
        <v/>
      </c>
      <c r="O228" s="215" t="str">
        <f>IF(ISNUMBER(I228),I228-SUM(J228:N228),"")</f>
        <v/>
      </c>
      <c r="P228" s="216" t="str">
        <f>IFERROR(IF(AND(ISNUMBER(O228),ISNUMBER(I228),I228&lt;&gt;0),O228/I228,""),"")</f>
        <v/>
      </c>
      <c r="Q228" s="215" t="str">
        <f>IF(AND(ISNUMBER(I228),ISNUMBER(S228)),I228*IF(S228&lt;=1,S228,S228/100),IF(OR(I228&lt;&gt;"",S228&lt;&gt;""),"tbd",""))</f>
        <v/>
      </c>
      <c r="S228" s="217" t="n"/>
      <c r="Z228" t="str">
        <f>IF(AND(R228="WON",ISNUMBER(I228)),AA228,"")</f>
        <v/>
      </c>
      <c r="AA228">
        <f>IFERROR(I228*1,0)</f>
        <v>0</v>
      </c>
      <c r="AB228">
        <f>N(AB227)+IF(AND(R228="WON",B228&lt;&gt;""),1,0)</f>
        <v>7</v>
      </c>
      <c r="AC228">
        <f>N(AC227)+IF(AND(OR(R228="offered",R228="to be offered",R228="on hold"),B228&lt;&gt;""),1,0)</f>
        <v>19</v>
      </c>
      <c r="AD228">
        <f>N(AD227)+IF(AND(OR(R228="follow-up",R228="Evaluation",R228="tbd",R228="In evaluation"),B228&lt;&gt;""),1,0)</f>
        <v>9</v>
      </c>
    </row>
    <row r="229" ht="15" customHeight="1">
      <c r="I229" s="215" t="n"/>
      <c r="J229" s="215" t="n"/>
      <c r="K229" s="215" t="n"/>
      <c r="L229" s="215" t="n"/>
      <c r="M229" s="215" t="n"/>
      <c r="N229" s="215" t="str">
        <f>IF(ISNUMBER(I229),ROUND(I229-I229/1.081,2),"")</f>
        <v/>
      </c>
      <c r="O229" s="215" t="str">
        <f>IF(ISNUMBER(I229),I229-SUM(J229:N229),"")</f>
        <v/>
      </c>
      <c r="P229" s="216" t="str">
        <f>IFERROR(IF(AND(ISNUMBER(O229),ISNUMBER(I229),I229&lt;&gt;0),O229/I229,""),"")</f>
        <v/>
      </c>
      <c r="Q229" s="215" t="str">
        <f>IF(AND(ISNUMBER(I229),ISNUMBER(S229)),I229*IF(S229&lt;=1,S229,S229/100),IF(OR(I229&lt;&gt;"",S229&lt;&gt;""),"tbd",""))</f>
        <v/>
      </c>
      <c r="S229" s="217" t="n"/>
      <c r="Z229" t="str">
        <f>IF(AND(R229="WON",ISNUMBER(I229)),AA229,"")</f>
        <v/>
      </c>
      <c r="AA229">
        <f>IFERROR(I229*1,0)</f>
        <v>0</v>
      </c>
      <c r="AB229">
        <f>N(AB228)+IF(AND(R229="WON",B229&lt;&gt;""),1,0)</f>
        <v>7</v>
      </c>
      <c r="AC229">
        <f>N(AC228)+IF(AND(OR(R229="offered",R229="to be offered",R229="on hold"),B229&lt;&gt;""),1,0)</f>
        <v>19</v>
      </c>
      <c r="AD229">
        <f>N(AD228)+IF(AND(OR(R229="follow-up",R229="Evaluation",R229="tbd",R229="In evaluation"),B229&lt;&gt;""),1,0)</f>
        <v>9</v>
      </c>
    </row>
    <row r="230" ht="15" customHeight="1">
      <c r="I230" s="215" t="n"/>
      <c r="J230" s="215" t="n"/>
      <c r="K230" s="215" t="n"/>
      <c r="L230" s="215" t="n"/>
      <c r="M230" s="215" t="n"/>
      <c r="N230" s="215" t="str">
        <f>IF(ISNUMBER(I230),ROUND(I230-I230/1.081,2),"")</f>
        <v/>
      </c>
      <c r="O230" s="215" t="str">
        <f>IF(ISNUMBER(I230),I230-SUM(J230:N230),"")</f>
        <v/>
      </c>
      <c r="P230" s="216" t="str">
        <f>IFERROR(IF(AND(ISNUMBER(O230),ISNUMBER(I230),I230&lt;&gt;0),O230/I230,""),"")</f>
        <v/>
      </c>
      <c r="Q230" s="215" t="str">
        <f>IF(AND(ISNUMBER(I230),ISNUMBER(S230)),I230*IF(S230&lt;=1,S230,S230/100),IF(OR(I230&lt;&gt;"",S230&lt;&gt;""),"tbd",""))</f>
        <v/>
      </c>
      <c r="S230" s="217" t="n"/>
      <c r="Z230" t="str">
        <f>IF(AND(R230="WON",ISNUMBER(I230)),AA230,"")</f>
        <v/>
      </c>
      <c r="AA230">
        <f>IFERROR(I230*1,0)</f>
        <v>0</v>
      </c>
      <c r="AB230">
        <f>N(AB229)+IF(AND(R230="WON",B230&lt;&gt;""),1,0)</f>
        <v>7</v>
      </c>
      <c r="AC230">
        <f>N(AC229)+IF(AND(OR(R230="offered",R230="to be offered",R230="on hold"),B230&lt;&gt;""),1,0)</f>
        <v>19</v>
      </c>
      <c r="AD230">
        <f>N(AD229)+IF(AND(OR(R230="follow-up",R230="Evaluation",R230="tbd",R230="In evaluation"),B230&lt;&gt;""),1,0)</f>
        <v>9</v>
      </c>
    </row>
    <row r="231" ht="15" customHeight="1">
      <c r="I231" s="215" t="n"/>
      <c r="J231" s="215" t="n"/>
      <c r="K231" s="215" t="n"/>
      <c r="L231" s="215" t="n"/>
      <c r="M231" s="215" t="n"/>
      <c r="N231" s="215" t="str">
        <f>IF(ISNUMBER(I231),ROUND(I231-I231/1.081,2),"")</f>
        <v/>
      </c>
      <c r="O231" s="215" t="str">
        <f>IF(ISNUMBER(I231),I231-SUM(J231:N231),"")</f>
        <v/>
      </c>
      <c r="P231" s="216" t="str">
        <f>IFERROR(IF(AND(ISNUMBER(O231),ISNUMBER(I231),I231&lt;&gt;0),O231/I231,""),"")</f>
        <v/>
      </c>
      <c r="Q231" s="215" t="str">
        <f>IF(AND(ISNUMBER(I231),ISNUMBER(S231)),I231*IF(S231&lt;=1,S231,S231/100),IF(OR(I231&lt;&gt;"",S231&lt;&gt;""),"tbd",""))</f>
        <v/>
      </c>
      <c r="S231" s="217" t="n"/>
      <c r="Z231" t="str">
        <f>IF(AND(R231="WON",ISNUMBER(I231)),AA231,"")</f>
        <v/>
      </c>
      <c r="AA231">
        <f>IFERROR(I231*1,0)</f>
        <v>0</v>
      </c>
      <c r="AB231">
        <f>N(AB230)+IF(AND(R231="WON",B231&lt;&gt;""),1,0)</f>
        <v>7</v>
      </c>
      <c r="AC231">
        <f>N(AC230)+IF(AND(OR(R231="offered",R231="to be offered",R231="on hold"),B231&lt;&gt;""),1,0)</f>
        <v>19</v>
      </c>
      <c r="AD231">
        <f>N(AD230)+IF(AND(OR(R231="follow-up",R231="Evaluation",R231="tbd",R231="In evaluation"),B231&lt;&gt;""),1,0)</f>
        <v>9</v>
      </c>
    </row>
    <row r="232" ht="15" customHeight="1">
      <c r="I232" s="215" t="n"/>
      <c r="J232" s="215" t="n"/>
      <c r="K232" s="215" t="n"/>
      <c r="L232" s="215" t="n"/>
      <c r="M232" s="215" t="n"/>
      <c r="N232" s="215" t="str">
        <f>IF(ISNUMBER(I232),ROUND(I232-I232/1.081,2),"")</f>
        <v/>
      </c>
      <c r="O232" s="215" t="str">
        <f>IF(ISNUMBER(I232),I232-SUM(J232:N232),"")</f>
        <v/>
      </c>
      <c r="P232" s="216" t="str">
        <f>IFERROR(IF(AND(ISNUMBER(O232),ISNUMBER(I232),I232&lt;&gt;0),O232/I232,""),"")</f>
        <v/>
      </c>
      <c r="Q232" s="215" t="str">
        <f>IF(AND(ISNUMBER(I232),ISNUMBER(S232)),I232*IF(S232&lt;=1,S232,S232/100),IF(OR(I232&lt;&gt;"",S232&lt;&gt;""),"tbd",""))</f>
        <v/>
      </c>
      <c r="S232" s="217" t="n"/>
      <c r="Z232" t="str">
        <f>IF(AND(R232="WON",ISNUMBER(I232)),AA232,"")</f>
        <v/>
      </c>
      <c r="AA232">
        <f>IFERROR(I232*1,0)</f>
        <v>0</v>
      </c>
      <c r="AB232">
        <f>N(AB231)+IF(AND(R232="WON",B232&lt;&gt;""),1,0)</f>
        <v>7</v>
      </c>
      <c r="AC232">
        <f>N(AC231)+IF(AND(OR(R232="offered",R232="to be offered",R232="on hold"),B232&lt;&gt;""),1,0)</f>
        <v>19</v>
      </c>
      <c r="AD232">
        <f>N(AD231)+IF(AND(OR(R232="follow-up",R232="Evaluation",R232="tbd",R232="In evaluation"),B232&lt;&gt;""),1,0)</f>
        <v>9</v>
      </c>
    </row>
    <row r="233" ht="15" customHeight="1">
      <c r="I233" s="215" t="n"/>
      <c r="J233" s="215" t="n"/>
      <c r="K233" s="215" t="n"/>
      <c r="L233" s="215" t="n"/>
      <c r="M233" s="215" t="n"/>
      <c r="N233" s="215" t="str">
        <f>IF(ISNUMBER(I233),ROUND(I233-I233/1.081,2),"")</f>
        <v/>
      </c>
      <c r="O233" s="215" t="str">
        <f>IF(ISNUMBER(I233),I233-SUM(J233:N233),"")</f>
        <v/>
      </c>
      <c r="P233" s="216" t="str">
        <f>IFERROR(IF(AND(ISNUMBER(O233),ISNUMBER(I233),I233&lt;&gt;0),O233/I233,""),"")</f>
        <v/>
      </c>
      <c r="Q233" s="215" t="str">
        <f>IF(AND(ISNUMBER(I233),ISNUMBER(S233)),I233*IF(S233&lt;=1,S233,S233/100),IF(OR(I233&lt;&gt;"",S233&lt;&gt;""),"tbd",""))</f>
        <v/>
      </c>
      <c r="S233" s="217" t="n"/>
      <c r="Z233" t="str">
        <f>IF(AND(R233="WON",ISNUMBER(I233)),AA233,"")</f>
        <v/>
      </c>
      <c r="AA233">
        <f>IFERROR(I233*1,0)</f>
        <v>0</v>
      </c>
      <c r="AB233">
        <f>N(AB232)+IF(AND(R233="WON",B233&lt;&gt;""),1,0)</f>
        <v>7</v>
      </c>
      <c r="AC233">
        <f>N(AC232)+IF(AND(OR(R233="offered",R233="to be offered",R233="on hold"),B233&lt;&gt;""),1,0)</f>
        <v>19</v>
      </c>
      <c r="AD233">
        <f>N(AD232)+IF(AND(OR(R233="follow-up",R233="Evaluation",R233="tbd",R233="In evaluation"),B233&lt;&gt;""),1,0)</f>
        <v>9</v>
      </c>
    </row>
    <row r="234" ht="15" customHeight="1">
      <c r="I234" s="215" t="n"/>
      <c r="J234" s="215" t="n"/>
      <c r="K234" s="215" t="n"/>
      <c r="L234" s="215" t="n"/>
      <c r="M234" s="215" t="n"/>
      <c r="N234" s="215" t="str">
        <f>IF(ISNUMBER(I234),ROUND(I234-I234/1.081,2),"")</f>
        <v/>
      </c>
      <c r="O234" s="215" t="str">
        <f>IF(ISNUMBER(I234),I234-SUM(J234:N234),"")</f>
        <v/>
      </c>
      <c r="P234" s="216" t="str">
        <f>IFERROR(IF(AND(ISNUMBER(O234),ISNUMBER(I234),I234&lt;&gt;0),O234/I234,""),"")</f>
        <v/>
      </c>
      <c r="Q234" s="215" t="str">
        <f>IF(AND(ISNUMBER(I234),ISNUMBER(S234)),I234*IF(S234&lt;=1,S234,S234/100),IF(OR(I234&lt;&gt;"",S234&lt;&gt;""),"tbd",""))</f>
        <v/>
      </c>
      <c r="S234" s="217" t="n"/>
      <c r="Z234" t="str">
        <f>IF(AND(R234="WON",ISNUMBER(I234)),AA234,"")</f>
        <v/>
      </c>
      <c r="AA234">
        <f>IFERROR(I234*1,0)</f>
        <v>0</v>
      </c>
      <c r="AB234">
        <f>N(AB233)+IF(AND(R234="WON",B234&lt;&gt;""),1,0)</f>
        <v>7</v>
      </c>
      <c r="AC234">
        <f>N(AC233)+IF(AND(OR(R234="offered",R234="to be offered",R234="on hold"),B234&lt;&gt;""),1,0)</f>
        <v>19</v>
      </c>
      <c r="AD234">
        <f>N(AD233)+IF(AND(OR(R234="follow-up",R234="Evaluation",R234="tbd",R234="In evaluation"),B234&lt;&gt;""),1,0)</f>
        <v>9</v>
      </c>
    </row>
    <row r="235" ht="15" customHeight="1">
      <c r="I235" s="215" t="n"/>
      <c r="J235" s="215" t="n"/>
      <c r="K235" s="215" t="n"/>
      <c r="L235" s="215" t="n"/>
      <c r="M235" s="215" t="n"/>
      <c r="N235" s="215" t="str">
        <f>IF(ISNUMBER(I235),ROUND(I235-I235/1.081,2),"")</f>
        <v/>
      </c>
      <c r="O235" s="215" t="str">
        <f>IF(ISNUMBER(I235),I235-SUM(J235:N235),"")</f>
        <v/>
      </c>
      <c r="P235" s="216" t="str">
        <f>IFERROR(IF(AND(ISNUMBER(O235),ISNUMBER(I235),I235&lt;&gt;0),O235/I235,""),"")</f>
        <v/>
      </c>
      <c r="Q235" s="215" t="str">
        <f>IF(AND(ISNUMBER(I235),ISNUMBER(S235)),I235*IF(S235&lt;=1,S235,S235/100),IF(OR(I235&lt;&gt;"",S235&lt;&gt;""),"tbd",""))</f>
        <v/>
      </c>
      <c r="S235" s="217" t="n"/>
      <c r="Z235" t="str">
        <f>IF(AND(R235="WON",ISNUMBER(I235)),AA235,"")</f>
        <v/>
      </c>
      <c r="AA235">
        <f>IFERROR(I235*1,0)</f>
        <v>0</v>
      </c>
      <c r="AB235">
        <f>N(AB234)+IF(AND(R235="WON",B235&lt;&gt;""),1,0)</f>
        <v>7</v>
      </c>
      <c r="AC235">
        <f>N(AC234)+IF(AND(OR(R235="offered",R235="to be offered",R235="on hold"),B235&lt;&gt;""),1,0)</f>
        <v>19</v>
      </c>
      <c r="AD235">
        <f>N(AD234)+IF(AND(OR(R235="follow-up",R235="Evaluation",R235="tbd",R235="In evaluation"),B235&lt;&gt;""),1,0)</f>
        <v>9</v>
      </c>
    </row>
    <row r="236" ht="15" customHeight="1">
      <c r="I236" s="215" t="n"/>
      <c r="J236" s="215" t="n"/>
      <c r="K236" s="215" t="n"/>
      <c r="L236" s="215" t="n"/>
      <c r="M236" s="215" t="n"/>
      <c r="N236" s="215" t="str">
        <f>IF(ISNUMBER(I236),ROUND(I236-I236/1.081,2),"")</f>
        <v/>
      </c>
      <c r="O236" s="215" t="str">
        <f>IF(ISNUMBER(I236),I236-SUM(J236:N236),"")</f>
        <v/>
      </c>
      <c r="P236" s="216" t="str">
        <f>IFERROR(IF(AND(ISNUMBER(O236),ISNUMBER(I236),I236&lt;&gt;0),O236/I236,""),"")</f>
        <v/>
      </c>
      <c r="Q236" s="215" t="str">
        <f>IF(AND(ISNUMBER(I236),ISNUMBER(S236)),I236*IF(S236&lt;=1,S236,S236/100),IF(OR(I236&lt;&gt;"",S236&lt;&gt;""),"tbd",""))</f>
        <v/>
      </c>
      <c r="S236" s="217" t="n"/>
      <c r="Z236" t="str">
        <f>IF(AND(R236="WON",ISNUMBER(I236)),AA236,"")</f>
        <v/>
      </c>
      <c r="AA236">
        <f>IFERROR(I236*1,0)</f>
        <v>0</v>
      </c>
      <c r="AB236">
        <f>N(AB235)+IF(AND(R236="WON",B236&lt;&gt;""),1,0)</f>
        <v>7</v>
      </c>
      <c r="AC236">
        <f>N(AC235)+IF(AND(OR(R236="offered",R236="to be offered",R236="on hold"),B236&lt;&gt;""),1,0)</f>
        <v>19</v>
      </c>
      <c r="AD236">
        <f>N(AD235)+IF(AND(OR(R236="follow-up",R236="Evaluation",R236="tbd",R236="In evaluation"),B236&lt;&gt;""),1,0)</f>
        <v>9</v>
      </c>
    </row>
    <row r="237" ht="15" customHeight="1">
      <c r="I237" s="215" t="n"/>
      <c r="J237" s="215" t="n"/>
      <c r="K237" s="215" t="n"/>
      <c r="L237" s="215" t="n"/>
      <c r="M237" s="215" t="n"/>
      <c r="N237" s="215" t="str">
        <f>IF(ISNUMBER(I237),ROUND(I237-I237/1.081,2),"")</f>
        <v/>
      </c>
      <c r="O237" s="215" t="str">
        <f>IF(ISNUMBER(I237),I237-SUM(J237:N237),"")</f>
        <v/>
      </c>
      <c r="P237" s="216" t="str">
        <f>IFERROR(IF(AND(ISNUMBER(O237),ISNUMBER(I237),I237&lt;&gt;0),O237/I237,""),"")</f>
        <v/>
      </c>
      <c r="Q237" s="215" t="str">
        <f>IF(AND(ISNUMBER(I237),ISNUMBER(S237)),I237*IF(S237&lt;=1,S237,S237/100),IF(OR(I237&lt;&gt;"",S237&lt;&gt;""),"tbd",""))</f>
        <v/>
      </c>
      <c r="S237" s="217" t="n"/>
      <c r="Z237" t="str">
        <f>IF(AND(R237="WON",ISNUMBER(I237)),AA237,"")</f>
        <v/>
      </c>
      <c r="AA237">
        <f>IFERROR(I237*1,0)</f>
        <v>0</v>
      </c>
      <c r="AB237">
        <f>N(AB236)+IF(AND(R237="WON",B237&lt;&gt;""),1,0)</f>
        <v>7</v>
      </c>
      <c r="AC237">
        <f>N(AC236)+IF(AND(OR(R237="offered",R237="to be offered",R237="on hold"),B237&lt;&gt;""),1,0)</f>
        <v>19</v>
      </c>
      <c r="AD237">
        <f>N(AD236)+IF(AND(OR(R237="follow-up",R237="Evaluation",R237="tbd",R237="In evaluation"),B237&lt;&gt;""),1,0)</f>
        <v>9</v>
      </c>
    </row>
    <row r="238" ht="15" customHeight="1">
      <c r="I238" s="215" t="n"/>
      <c r="J238" s="215" t="n"/>
      <c r="K238" s="215" t="n"/>
      <c r="L238" s="215" t="n"/>
      <c r="M238" s="215" t="n"/>
      <c r="N238" s="215" t="str">
        <f>IF(ISNUMBER(I238),ROUND(I238-I238/1.081,2),"")</f>
        <v/>
      </c>
      <c r="O238" s="215" t="str">
        <f>IF(ISNUMBER(I238),I238-SUM(J238:N238),"")</f>
        <v/>
      </c>
      <c r="P238" s="216" t="str">
        <f>IFERROR(IF(AND(ISNUMBER(O238),ISNUMBER(I238),I238&lt;&gt;0),O238/I238,""),"")</f>
        <v/>
      </c>
      <c r="Q238" s="215" t="str">
        <f>IF(AND(ISNUMBER(I238),ISNUMBER(S238)),I238*IF(S238&lt;=1,S238,S238/100),IF(OR(I238&lt;&gt;"",S238&lt;&gt;""),"tbd",""))</f>
        <v/>
      </c>
      <c r="S238" s="217" t="n"/>
      <c r="Z238" t="str">
        <f>IF(AND(R238="WON",ISNUMBER(I238)),AA238,"")</f>
        <v/>
      </c>
      <c r="AA238">
        <f>IFERROR(I238*1,0)</f>
        <v>0</v>
      </c>
      <c r="AB238">
        <f>N(AB237)+IF(AND(R238="WON",B238&lt;&gt;""),1,0)</f>
        <v>7</v>
      </c>
      <c r="AC238">
        <f>N(AC237)+IF(AND(OR(R238="offered",R238="to be offered",R238="on hold"),B238&lt;&gt;""),1,0)</f>
        <v>19</v>
      </c>
      <c r="AD238">
        <f>N(AD237)+IF(AND(OR(R238="follow-up",R238="Evaluation",R238="tbd",R238="In evaluation"),B238&lt;&gt;""),1,0)</f>
        <v>9</v>
      </c>
    </row>
    <row r="239" ht="15" customHeight="1">
      <c r="I239" s="215" t="n"/>
      <c r="J239" s="215" t="n"/>
      <c r="K239" s="215" t="n"/>
      <c r="L239" s="215" t="n"/>
      <c r="M239" s="215" t="n"/>
      <c r="N239" s="215" t="str">
        <f>IF(ISNUMBER(I239),ROUND(I239-I239/1.081,2),"")</f>
        <v/>
      </c>
      <c r="O239" s="215" t="str">
        <f>IF(ISNUMBER(I239),I239-SUM(J239:N239),"")</f>
        <v/>
      </c>
      <c r="P239" s="216" t="str">
        <f>IFERROR(IF(AND(ISNUMBER(O239),ISNUMBER(I239),I239&lt;&gt;0),O239/I239,""),"")</f>
        <v/>
      </c>
      <c r="Q239" s="215" t="str">
        <f>IF(AND(ISNUMBER(I239),ISNUMBER(S239)),I239*IF(S239&lt;=1,S239,S239/100),IF(OR(I239&lt;&gt;"",S239&lt;&gt;""),"tbd",""))</f>
        <v/>
      </c>
      <c r="S239" s="217" t="n"/>
      <c r="Z239" t="str">
        <f>IF(AND(R239="WON",ISNUMBER(I239)),AA239,"")</f>
        <v/>
      </c>
      <c r="AA239">
        <f>IFERROR(I239*1,0)</f>
        <v>0</v>
      </c>
      <c r="AB239">
        <f>N(AB238)+IF(AND(R239="WON",B239&lt;&gt;""),1,0)</f>
        <v>7</v>
      </c>
      <c r="AC239">
        <f>N(AC238)+IF(AND(OR(R239="offered",R239="to be offered",R239="on hold"),B239&lt;&gt;""),1,0)</f>
        <v>19</v>
      </c>
      <c r="AD239">
        <f>N(AD238)+IF(AND(OR(R239="follow-up",R239="Evaluation",R239="tbd",R239="In evaluation"),B239&lt;&gt;""),1,0)</f>
        <v>9</v>
      </c>
    </row>
    <row r="240" ht="15" customHeight="1">
      <c r="I240" s="215" t="n"/>
      <c r="J240" s="215" t="n"/>
      <c r="K240" s="215" t="n"/>
      <c r="L240" s="215" t="n"/>
      <c r="M240" s="215" t="n"/>
      <c r="N240" s="215" t="str">
        <f>IF(ISNUMBER(I240),ROUND(I240-I240/1.081,2),"")</f>
        <v/>
      </c>
      <c r="O240" s="215" t="str">
        <f>IF(ISNUMBER(I240),I240-SUM(J240:N240),"")</f>
        <v/>
      </c>
      <c r="P240" s="216" t="str">
        <f>IFERROR(IF(AND(ISNUMBER(O240),ISNUMBER(I240),I240&lt;&gt;0),O240/I240,""),"")</f>
        <v/>
      </c>
      <c r="Q240" s="215" t="str">
        <f>IF(AND(ISNUMBER(I240),ISNUMBER(S240)),I240*IF(S240&lt;=1,S240,S240/100),IF(OR(I240&lt;&gt;"",S240&lt;&gt;""),"tbd",""))</f>
        <v/>
      </c>
      <c r="S240" s="217" t="n"/>
      <c r="Z240" t="str">
        <f>IF(AND(R240="WON",ISNUMBER(I240)),AA240,"")</f>
        <v/>
      </c>
      <c r="AA240">
        <f>IFERROR(I240*1,0)</f>
        <v>0</v>
      </c>
      <c r="AB240">
        <f>N(AB239)+IF(AND(R240="WON",B240&lt;&gt;""),1,0)</f>
        <v>7</v>
      </c>
      <c r="AC240">
        <f>N(AC239)+IF(AND(OR(R240="offered",R240="to be offered",R240="on hold"),B240&lt;&gt;""),1,0)</f>
        <v>19</v>
      </c>
      <c r="AD240">
        <f>N(AD239)+IF(AND(OR(R240="follow-up",R240="Evaluation",R240="tbd",R240="In evaluation"),B240&lt;&gt;""),1,0)</f>
        <v>9</v>
      </c>
    </row>
    <row r="241" ht="15" customHeight="1">
      <c r="I241" s="215" t="n"/>
      <c r="J241" s="215" t="n"/>
      <c r="K241" s="215" t="n"/>
      <c r="L241" s="215" t="n"/>
      <c r="M241" s="215" t="n"/>
      <c r="N241" s="215" t="str">
        <f>IF(ISNUMBER(I241),ROUND(I241-I241/1.081,2),"")</f>
        <v/>
      </c>
      <c r="O241" s="215" t="str">
        <f>IF(ISNUMBER(I241),I241-SUM(J241:N241),"")</f>
        <v/>
      </c>
      <c r="P241" s="216" t="str">
        <f>IFERROR(IF(AND(ISNUMBER(O241),ISNUMBER(I241),I241&lt;&gt;0),O241/I241,""),"")</f>
        <v/>
      </c>
      <c r="Q241" s="215" t="str">
        <f>IF(AND(ISNUMBER(I241),ISNUMBER(S241)),I241*IF(S241&lt;=1,S241,S241/100),IF(OR(I241&lt;&gt;"",S241&lt;&gt;""),"tbd",""))</f>
        <v/>
      </c>
      <c r="S241" s="217" t="n"/>
      <c r="Z241" t="str">
        <f>IF(AND(R241="WON",ISNUMBER(I241)),AA241,"")</f>
        <v/>
      </c>
      <c r="AA241">
        <f>IFERROR(I241*1,0)</f>
        <v>0</v>
      </c>
      <c r="AB241">
        <f>N(AB240)+IF(AND(R241="WON",B241&lt;&gt;""),1,0)</f>
        <v>7</v>
      </c>
      <c r="AC241">
        <f>N(AC240)+IF(AND(OR(R241="offered",R241="to be offered",R241="on hold"),B241&lt;&gt;""),1,0)</f>
        <v>19</v>
      </c>
      <c r="AD241">
        <f>N(AD240)+IF(AND(OR(R241="follow-up",R241="Evaluation",R241="tbd",R241="In evaluation"),B241&lt;&gt;""),1,0)</f>
        <v>9</v>
      </c>
    </row>
    <row r="242" ht="15" customHeight="1">
      <c r="I242" s="215" t="n"/>
      <c r="J242" s="215" t="n"/>
      <c r="K242" s="215" t="n"/>
      <c r="L242" s="215" t="n"/>
      <c r="M242" s="215" t="n"/>
      <c r="N242" s="215" t="str">
        <f>IF(ISNUMBER(I242),ROUND(I242-I242/1.081,2),"")</f>
        <v/>
      </c>
      <c r="O242" s="215" t="str">
        <f>IF(ISNUMBER(I242),I242-SUM(J242:N242),"")</f>
        <v/>
      </c>
      <c r="P242" s="216" t="str">
        <f>IFERROR(IF(AND(ISNUMBER(O242),ISNUMBER(I242),I242&lt;&gt;0),O242/I242,""),"")</f>
        <v/>
      </c>
      <c r="Q242" s="215" t="str">
        <f>IF(AND(ISNUMBER(I242),ISNUMBER(S242)),I242*IF(S242&lt;=1,S242,S242/100),IF(OR(I242&lt;&gt;"",S242&lt;&gt;""),"tbd",""))</f>
        <v/>
      </c>
      <c r="S242" s="217" t="n"/>
      <c r="Z242" t="str">
        <f>IF(AND(R242="WON",ISNUMBER(I242)),AA242,"")</f>
        <v/>
      </c>
      <c r="AA242">
        <f>IFERROR(I242*1,0)</f>
        <v>0</v>
      </c>
      <c r="AB242">
        <f>N(AB241)+IF(AND(R242="WON",B242&lt;&gt;""),1,0)</f>
        <v>7</v>
      </c>
      <c r="AC242">
        <f>N(AC241)+IF(AND(OR(R242="offered",R242="to be offered",R242="on hold"),B242&lt;&gt;""),1,0)</f>
        <v>19</v>
      </c>
      <c r="AD242">
        <f>N(AD241)+IF(AND(OR(R242="follow-up",R242="Evaluation",R242="tbd",R242="In evaluation"),B242&lt;&gt;""),1,0)</f>
        <v>9</v>
      </c>
    </row>
    <row r="243" ht="15" customHeight="1">
      <c r="I243" s="215" t="n"/>
      <c r="J243" s="215" t="n"/>
      <c r="K243" s="215" t="n"/>
      <c r="L243" s="215" t="n"/>
      <c r="M243" s="215" t="n"/>
      <c r="N243" s="215" t="str">
        <f>IF(ISNUMBER(I243),ROUND(I243-I243/1.081,2),"")</f>
        <v/>
      </c>
      <c r="O243" s="215" t="str">
        <f>IF(ISNUMBER(I243),I243-SUM(J243:N243),"")</f>
        <v/>
      </c>
      <c r="P243" s="216" t="str">
        <f>IFERROR(IF(AND(ISNUMBER(O243),ISNUMBER(I243),I243&lt;&gt;0),O243/I243,""),"")</f>
        <v/>
      </c>
      <c r="Q243" s="215" t="str">
        <f>IF(AND(ISNUMBER(I243),ISNUMBER(S243)),I243*IF(S243&lt;=1,S243,S243/100),IF(OR(I243&lt;&gt;"",S243&lt;&gt;""),"tbd",""))</f>
        <v/>
      </c>
      <c r="S243" s="217" t="n"/>
      <c r="Z243" t="str">
        <f>IF(AND(R243="WON",ISNUMBER(I243)),AA243,"")</f>
        <v/>
      </c>
      <c r="AA243">
        <f>IFERROR(I243*1,0)</f>
        <v>0</v>
      </c>
      <c r="AB243">
        <f>N(AB242)+IF(AND(R243="WON",B243&lt;&gt;""),1,0)</f>
        <v>7</v>
      </c>
      <c r="AC243">
        <f>N(AC242)+IF(AND(OR(R243="offered",R243="to be offered",R243="on hold"),B243&lt;&gt;""),1,0)</f>
        <v>19</v>
      </c>
      <c r="AD243">
        <f>N(AD242)+IF(AND(OR(R243="follow-up",R243="Evaluation",R243="tbd",R243="In evaluation"),B243&lt;&gt;""),1,0)</f>
        <v>9</v>
      </c>
    </row>
    <row r="244" ht="15" customHeight="1">
      <c r="I244" s="215" t="n"/>
      <c r="J244" s="215" t="n"/>
      <c r="K244" s="215" t="n"/>
      <c r="L244" s="215" t="n"/>
      <c r="M244" s="215" t="n"/>
      <c r="N244" s="215" t="str">
        <f>IF(ISNUMBER(I244),ROUND(I244-I244/1.081,2),"")</f>
        <v/>
      </c>
      <c r="O244" s="215" t="str">
        <f>IF(ISNUMBER(I244),I244-SUM(J244:N244),"")</f>
        <v/>
      </c>
      <c r="P244" s="216" t="str">
        <f>IFERROR(IF(AND(ISNUMBER(O244),ISNUMBER(I244),I244&lt;&gt;0),O244/I244,""),"")</f>
        <v/>
      </c>
      <c r="Q244" s="215" t="str">
        <f>IF(AND(ISNUMBER(I244),ISNUMBER(S244)),I244*IF(S244&lt;=1,S244,S244/100),IF(OR(I244&lt;&gt;"",S244&lt;&gt;""),"tbd",""))</f>
        <v/>
      </c>
      <c r="S244" s="217" t="n"/>
      <c r="Z244" t="str">
        <f>IF(AND(R244="WON",ISNUMBER(I244)),AA244,"")</f>
        <v/>
      </c>
      <c r="AA244">
        <f>IFERROR(I244*1,0)</f>
        <v>0</v>
      </c>
      <c r="AB244">
        <f>N(AB243)+IF(AND(R244="WON",B244&lt;&gt;""),1,0)</f>
        <v>7</v>
      </c>
      <c r="AC244">
        <f>N(AC243)+IF(AND(OR(R244="offered",R244="to be offered",R244="on hold"),B244&lt;&gt;""),1,0)</f>
        <v>19</v>
      </c>
      <c r="AD244">
        <f>N(AD243)+IF(AND(OR(R244="follow-up",R244="Evaluation",R244="tbd",R244="In evaluation"),B244&lt;&gt;""),1,0)</f>
        <v>9</v>
      </c>
    </row>
    <row r="245" ht="15" customHeight="1">
      <c r="I245" s="215" t="n"/>
      <c r="J245" s="215" t="n"/>
      <c r="K245" s="215" t="n"/>
      <c r="L245" s="215" t="n"/>
      <c r="M245" s="215" t="n"/>
      <c r="N245" s="215" t="str">
        <f>IF(ISNUMBER(I245),ROUND(I245-I245/1.081,2),"")</f>
        <v/>
      </c>
      <c r="O245" s="215" t="str">
        <f>IF(ISNUMBER(I245),I245-SUM(J245:N245),"")</f>
        <v/>
      </c>
      <c r="P245" s="216" t="str">
        <f>IFERROR(IF(AND(ISNUMBER(O245),ISNUMBER(I245),I245&lt;&gt;0),O245/I245,""),"")</f>
        <v/>
      </c>
      <c r="Q245" s="215" t="str">
        <f>IF(AND(ISNUMBER(I245),ISNUMBER(S245)),I245*IF(S245&lt;=1,S245,S245/100),IF(OR(I245&lt;&gt;"",S245&lt;&gt;""),"tbd",""))</f>
        <v/>
      </c>
      <c r="S245" s="217" t="n"/>
      <c r="Z245" t="str">
        <f>IF(AND(R245="WON",ISNUMBER(I245)),AA245,"")</f>
        <v/>
      </c>
      <c r="AA245">
        <f>IFERROR(I245*1,0)</f>
        <v>0</v>
      </c>
      <c r="AB245">
        <f>N(AB244)+IF(AND(R245="WON",B245&lt;&gt;""),1,0)</f>
        <v>7</v>
      </c>
      <c r="AC245">
        <f>N(AC244)+IF(AND(OR(R245="offered",R245="to be offered",R245="on hold"),B245&lt;&gt;""),1,0)</f>
        <v>19</v>
      </c>
      <c r="AD245">
        <f>N(AD244)+IF(AND(OR(R245="follow-up",R245="Evaluation",R245="tbd",R245="In evaluation"),B245&lt;&gt;""),1,0)</f>
        <v>9</v>
      </c>
    </row>
    <row r="246" ht="15" customHeight="1">
      <c r="I246" s="215" t="n"/>
      <c r="J246" s="215" t="n"/>
      <c r="K246" s="215" t="n"/>
      <c r="L246" s="215" t="n"/>
      <c r="M246" s="215" t="n"/>
      <c r="N246" s="215" t="str">
        <f>IF(ISNUMBER(I246),ROUND(I246-I246/1.081,2),"")</f>
        <v/>
      </c>
      <c r="O246" s="215" t="str">
        <f>IF(ISNUMBER(I246),I246-SUM(J246:N246),"")</f>
        <v/>
      </c>
      <c r="P246" s="216" t="str">
        <f>IFERROR(IF(AND(ISNUMBER(O246),ISNUMBER(I246),I246&lt;&gt;0),O246/I246,""),"")</f>
        <v/>
      </c>
      <c r="Q246" s="215" t="str">
        <f>IF(AND(ISNUMBER(I246),ISNUMBER(S246)),I246*IF(S246&lt;=1,S246,S246/100),IF(OR(I246&lt;&gt;"",S246&lt;&gt;""),"tbd",""))</f>
        <v/>
      </c>
      <c r="S246" s="217" t="n"/>
      <c r="Z246" t="str">
        <f>IF(AND(R246="WON",ISNUMBER(I246)),AA246,"")</f>
        <v/>
      </c>
      <c r="AA246">
        <f>IFERROR(I246*1,0)</f>
        <v>0</v>
      </c>
      <c r="AB246">
        <f>N(AB245)+IF(AND(R246="WON",B246&lt;&gt;""),1,0)</f>
        <v>7</v>
      </c>
      <c r="AC246">
        <f>N(AC245)+IF(AND(OR(R246="offered",R246="to be offered",R246="on hold"),B246&lt;&gt;""),1,0)</f>
        <v>19</v>
      </c>
      <c r="AD246">
        <f>N(AD245)+IF(AND(OR(R246="follow-up",R246="Evaluation",R246="tbd",R246="In evaluation"),B246&lt;&gt;""),1,0)</f>
        <v>9</v>
      </c>
    </row>
    <row r="247" ht="15" customHeight="1">
      <c r="I247" s="215" t="n"/>
      <c r="J247" s="215" t="n"/>
      <c r="K247" s="215" t="n"/>
      <c r="L247" s="215" t="n"/>
      <c r="M247" s="215" t="n"/>
      <c r="N247" s="215" t="str">
        <f>IF(ISNUMBER(I247),ROUND(I247-I247/1.081,2),"")</f>
        <v/>
      </c>
      <c r="O247" s="215" t="str">
        <f>IF(ISNUMBER(I247),I247-SUM(J247:N247),"")</f>
        <v/>
      </c>
      <c r="P247" s="216" t="str">
        <f>IFERROR(IF(AND(ISNUMBER(O247),ISNUMBER(I247),I247&lt;&gt;0),O247/I247,""),"")</f>
        <v/>
      </c>
      <c r="Q247" s="215" t="str">
        <f>IF(AND(ISNUMBER(I247),ISNUMBER(S247)),I247*IF(S247&lt;=1,S247,S247/100),IF(OR(I247&lt;&gt;"",S247&lt;&gt;""),"tbd",""))</f>
        <v/>
      </c>
      <c r="S247" s="217" t="n"/>
      <c r="Z247" t="str">
        <f>IF(AND(R247="WON",ISNUMBER(I247)),AA247,"")</f>
        <v/>
      </c>
      <c r="AA247">
        <f>IFERROR(I247*1,0)</f>
        <v>0</v>
      </c>
      <c r="AB247">
        <f>N(AB246)+IF(AND(R247="WON",B247&lt;&gt;""),1,0)</f>
        <v>7</v>
      </c>
      <c r="AC247">
        <f>N(AC246)+IF(AND(OR(R247="offered",R247="to be offered",R247="on hold"),B247&lt;&gt;""),1,0)</f>
        <v>19</v>
      </c>
      <c r="AD247">
        <f>N(AD246)+IF(AND(OR(R247="follow-up",R247="Evaluation",R247="tbd",R247="In evaluation"),B247&lt;&gt;""),1,0)</f>
        <v>9</v>
      </c>
    </row>
    <row r="248" ht="15" customHeight="1">
      <c r="I248" s="215" t="n"/>
      <c r="J248" s="215" t="n"/>
      <c r="K248" s="215" t="n"/>
      <c r="L248" s="215" t="n"/>
      <c r="M248" s="215" t="n"/>
      <c r="N248" s="215" t="str">
        <f>IF(ISNUMBER(I248),ROUND(I248-I248/1.081,2),"")</f>
        <v/>
      </c>
      <c r="O248" s="215" t="str">
        <f>IF(ISNUMBER(I248),I248-SUM(J248:N248),"")</f>
        <v/>
      </c>
      <c r="P248" s="216" t="str">
        <f>IFERROR(IF(AND(ISNUMBER(O248),ISNUMBER(I248),I248&lt;&gt;0),O248/I248,""),"")</f>
        <v/>
      </c>
      <c r="Q248" s="215" t="str">
        <f>IF(AND(ISNUMBER(I248),ISNUMBER(S248)),I248*IF(S248&lt;=1,S248,S248/100),IF(OR(I248&lt;&gt;"",S248&lt;&gt;""),"tbd",""))</f>
        <v/>
      </c>
      <c r="S248" s="217" t="n"/>
      <c r="Z248" t="str">
        <f>IF(AND(R248="WON",ISNUMBER(I248)),AA248,"")</f>
        <v/>
      </c>
      <c r="AA248">
        <f>IFERROR(I248*1,0)</f>
        <v>0</v>
      </c>
      <c r="AB248">
        <f>N(AB247)+IF(AND(R248="WON",B248&lt;&gt;""),1,0)</f>
        <v>7</v>
      </c>
      <c r="AC248">
        <f>N(AC247)+IF(AND(OR(R248="offered",R248="to be offered",R248="on hold"),B248&lt;&gt;""),1,0)</f>
        <v>19</v>
      </c>
      <c r="AD248">
        <f>N(AD247)+IF(AND(OR(R248="follow-up",R248="Evaluation",R248="tbd",R248="In evaluation"),B248&lt;&gt;""),1,0)</f>
        <v>9</v>
      </c>
    </row>
    <row r="249" ht="15" customHeight="1">
      <c r="I249" s="215" t="n"/>
      <c r="J249" s="215" t="n"/>
      <c r="K249" s="215" t="n"/>
      <c r="L249" s="215" t="n"/>
      <c r="M249" s="215" t="n"/>
      <c r="N249" s="215" t="str">
        <f>IF(ISNUMBER(I249),ROUND(I249-I249/1.081,2),"")</f>
        <v/>
      </c>
      <c r="O249" s="215" t="str">
        <f>IF(ISNUMBER(I249),I249-SUM(J249:N249),"")</f>
        <v/>
      </c>
      <c r="P249" s="216" t="str">
        <f>IFERROR(IF(AND(ISNUMBER(O249),ISNUMBER(I249),I249&lt;&gt;0),O249/I249,""),"")</f>
        <v/>
      </c>
      <c r="Q249" s="215" t="str">
        <f>IF(AND(ISNUMBER(I249),ISNUMBER(S249)),I249*IF(S249&lt;=1,S249,S249/100),IF(OR(I249&lt;&gt;"",S249&lt;&gt;""),"tbd",""))</f>
        <v/>
      </c>
      <c r="S249" s="217" t="n"/>
      <c r="Z249" t="str">
        <f>IF(AND(R249="WON",ISNUMBER(I249)),AA249,"")</f>
        <v/>
      </c>
      <c r="AA249">
        <f>IFERROR(I249*1,0)</f>
        <v>0</v>
      </c>
      <c r="AB249">
        <f>N(AB248)+IF(AND(R249="WON",B249&lt;&gt;""),1,0)</f>
        <v>7</v>
      </c>
      <c r="AC249">
        <f>N(AC248)+IF(AND(OR(R249="offered",R249="to be offered",R249="on hold"),B249&lt;&gt;""),1,0)</f>
        <v>19</v>
      </c>
      <c r="AD249">
        <f>N(AD248)+IF(AND(OR(R249="follow-up",R249="Evaluation",R249="tbd",R249="In evaluation"),B249&lt;&gt;""),1,0)</f>
        <v>9</v>
      </c>
    </row>
    <row r="250" ht="15" customHeight="1">
      <c r="I250" s="215" t="n"/>
      <c r="J250" s="215" t="n"/>
      <c r="K250" s="215" t="n"/>
      <c r="L250" s="215" t="n"/>
      <c r="M250" s="215" t="n"/>
      <c r="N250" s="215" t="str">
        <f>IF(ISNUMBER(I250),ROUND(I250-I250/1.081,2),"")</f>
        <v/>
      </c>
      <c r="O250" s="215" t="str">
        <f>IF(ISNUMBER(I250),I250-SUM(J250:N250),"")</f>
        <v/>
      </c>
      <c r="P250" s="216" t="str">
        <f>IFERROR(IF(AND(ISNUMBER(O250),ISNUMBER(I250),I250&lt;&gt;0),O250/I250,""),"")</f>
        <v/>
      </c>
      <c r="Q250" s="215" t="str">
        <f>IF(AND(ISNUMBER(I250),ISNUMBER(S250)),I250*IF(S250&lt;=1,S250,S250/100),IF(OR(I250&lt;&gt;"",S250&lt;&gt;""),"tbd",""))</f>
        <v/>
      </c>
      <c r="S250" s="217" t="n"/>
      <c r="Z250" t="str">
        <f>IF(AND(R250="WON",ISNUMBER(I250)),AA250,"")</f>
        <v/>
      </c>
      <c r="AA250">
        <f>IFERROR(I250*1,0)</f>
        <v>0</v>
      </c>
      <c r="AB250">
        <f>N(AB249)+IF(AND(R250="WON",B250&lt;&gt;""),1,0)</f>
        <v>7</v>
      </c>
      <c r="AC250">
        <f>N(AC249)+IF(AND(OR(R250="offered",R250="to be offered",R250="on hold"),B250&lt;&gt;""),1,0)</f>
        <v>19</v>
      </c>
      <c r="AD250">
        <f>N(AD249)+IF(AND(OR(R250="follow-up",R250="Evaluation",R250="tbd",R250="In evaluation"),B250&lt;&gt;""),1,0)</f>
        <v>9</v>
      </c>
    </row>
    <row r="251" ht="15" customHeight="1">
      <c r="I251" s="215" t="n"/>
      <c r="J251" s="215" t="n"/>
      <c r="K251" s="215" t="n"/>
      <c r="L251" s="215" t="n"/>
      <c r="M251" s="215" t="n"/>
      <c r="N251" s="215" t="str">
        <f>IF(ISNUMBER(I251),ROUND(I251-I251/1.081,2),"")</f>
        <v/>
      </c>
      <c r="O251" s="215" t="str">
        <f>IF(ISNUMBER(I251),I251-SUM(J251:N251),"")</f>
        <v/>
      </c>
      <c r="P251" s="216" t="str">
        <f>IFERROR(IF(AND(ISNUMBER(O251),ISNUMBER(I251),I251&lt;&gt;0),O251/I251,""),"")</f>
        <v/>
      </c>
      <c r="Q251" s="215" t="str">
        <f>IF(AND(ISNUMBER(I251),ISNUMBER(S251)),I251*IF(S251&lt;=1,S251,S251/100),IF(OR(I251&lt;&gt;"",S251&lt;&gt;""),"tbd",""))</f>
        <v/>
      </c>
      <c r="S251" s="217" t="n"/>
      <c r="Z251" t="str">
        <f>IF(AND(R251="WON",ISNUMBER(I251)),AA251,"")</f>
        <v/>
      </c>
      <c r="AA251">
        <f>IFERROR(I251*1,0)</f>
        <v>0</v>
      </c>
      <c r="AB251">
        <f>N(AB250)+IF(AND(R251="WON",B251&lt;&gt;""),1,0)</f>
        <v>7</v>
      </c>
      <c r="AC251">
        <f>N(AC250)+IF(AND(OR(R251="offered",R251="to be offered",R251="on hold"),B251&lt;&gt;""),1,0)</f>
        <v>19</v>
      </c>
      <c r="AD251">
        <f>N(AD250)+IF(AND(OR(R251="follow-up",R251="Evaluation",R251="tbd",R251="In evaluation"),B251&lt;&gt;""),1,0)</f>
        <v>9</v>
      </c>
    </row>
    <row r="252" ht="15" customHeight="1">
      <c r="I252" s="215" t="n"/>
      <c r="J252" s="215" t="n"/>
      <c r="K252" s="215" t="n"/>
      <c r="L252" s="215" t="n"/>
      <c r="M252" s="215" t="n"/>
      <c r="N252" s="215" t="str">
        <f>IF(ISNUMBER(I252),ROUND(I252-I252/1.081,2),"")</f>
        <v/>
      </c>
      <c r="O252" s="215" t="str">
        <f>IF(ISNUMBER(I252),I252-SUM(J252:N252),"")</f>
        <v/>
      </c>
      <c r="P252" s="216" t="str">
        <f>IFERROR(IF(AND(ISNUMBER(O252),ISNUMBER(I252),I252&lt;&gt;0),O252/I252,""),"")</f>
        <v/>
      </c>
      <c r="Q252" s="215" t="str">
        <f>IF(AND(ISNUMBER(I252),ISNUMBER(S252)),I252*IF(S252&lt;=1,S252,S252/100),IF(OR(I252&lt;&gt;"",S252&lt;&gt;""),"tbd",""))</f>
        <v/>
      </c>
      <c r="S252" s="217" t="n"/>
      <c r="Z252" t="str">
        <f>IF(AND(R252="WON",ISNUMBER(I252)),AA252,"")</f>
        <v/>
      </c>
      <c r="AA252">
        <f>IFERROR(I252*1,0)</f>
        <v>0</v>
      </c>
      <c r="AB252">
        <f>N(AB251)+IF(AND(R252="WON",B252&lt;&gt;""),1,0)</f>
        <v>7</v>
      </c>
      <c r="AC252">
        <f>N(AC251)+IF(AND(OR(R252="offered",R252="to be offered",R252="on hold"),B252&lt;&gt;""),1,0)</f>
        <v>19</v>
      </c>
      <c r="AD252">
        <f>N(AD251)+IF(AND(OR(R252="follow-up",R252="Evaluation",R252="tbd",R252="In evaluation"),B252&lt;&gt;""),1,0)</f>
        <v>9</v>
      </c>
    </row>
    <row r="253" ht="15" customHeight="1">
      <c r="I253" s="215" t="n"/>
      <c r="J253" s="215" t="n"/>
      <c r="K253" s="215" t="n"/>
      <c r="L253" s="215" t="n"/>
      <c r="M253" s="215" t="n"/>
      <c r="N253" s="215" t="str">
        <f>IF(ISNUMBER(I253),ROUND(I253-I253/1.081,2),"")</f>
        <v/>
      </c>
      <c r="O253" s="215" t="str">
        <f>IF(ISNUMBER(I253),I253-SUM(J253:N253),"")</f>
        <v/>
      </c>
      <c r="P253" s="216" t="str">
        <f>IFERROR(IF(AND(ISNUMBER(O253),ISNUMBER(I253),I253&lt;&gt;0),O253/I253,""),"")</f>
        <v/>
      </c>
      <c r="Q253" s="215" t="str">
        <f>IF(AND(ISNUMBER(I253),ISNUMBER(S253)),I253*IF(S253&lt;=1,S253,S253/100),IF(OR(I253&lt;&gt;"",S253&lt;&gt;""),"tbd",""))</f>
        <v/>
      </c>
      <c r="S253" s="217" t="n"/>
      <c r="Z253" t="str">
        <f>IF(AND(R253="WON",ISNUMBER(I253)),AA253,"")</f>
        <v/>
      </c>
      <c r="AA253">
        <f>IFERROR(I253*1,0)</f>
        <v>0</v>
      </c>
      <c r="AB253">
        <f>N(AB252)+IF(AND(R253="WON",B253&lt;&gt;""),1,0)</f>
        <v>7</v>
      </c>
      <c r="AC253">
        <f>N(AC252)+IF(AND(OR(R253="offered",R253="to be offered",R253="on hold"),B253&lt;&gt;""),1,0)</f>
        <v>19</v>
      </c>
      <c r="AD253">
        <f>N(AD252)+IF(AND(OR(R253="follow-up",R253="Evaluation",R253="tbd",R253="In evaluation"),B253&lt;&gt;""),1,0)</f>
        <v>9</v>
      </c>
    </row>
    <row r="254" ht="15" customHeight="1">
      <c r="I254" s="215" t="n"/>
      <c r="J254" s="215" t="n"/>
      <c r="K254" s="215" t="n"/>
      <c r="L254" s="215" t="n"/>
      <c r="M254" s="215" t="n"/>
      <c r="N254" s="215" t="str">
        <f>IF(ISNUMBER(I254),ROUND(I254-I254/1.081,2),"")</f>
        <v/>
      </c>
      <c r="O254" s="215" t="str">
        <f>IF(ISNUMBER(I254),I254-SUM(J254:N254),"")</f>
        <v/>
      </c>
      <c r="P254" s="216" t="str">
        <f>IFERROR(IF(AND(ISNUMBER(O254),ISNUMBER(I254),I254&lt;&gt;0),O254/I254,""),"")</f>
        <v/>
      </c>
      <c r="Q254" s="215" t="str">
        <f>IF(AND(ISNUMBER(I254),ISNUMBER(S254)),I254*IF(S254&lt;=1,S254,S254/100),IF(OR(I254&lt;&gt;"",S254&lt;&gt;""),"tbd",""))</f>
        <v/>
      </c>
      <c r="S254" s="217" t="n"/>
      <c r="Z254" t="str">
        <f>IF(AND(R254="WON",ISNUMBER(I254)),AA254,"")</f>
        <v/>
      </c>
      <c r="AA254">
        <f>IFERROR(I254*1,0)</f>
        <v>0</v>
      </c>
      <c r="AB254">
        <f>N(AB253)+IF(AND(R254="WON",B254&lt;&gt;""),1,0)</f>
        <v>7</v>
      </c>
      <c r="AC254">
        <f>N(AC253)+IF(AND(OR(R254="offered",R254="to be offered",R254="on hold"),B254&lt;&gt;""),1,0)</f>
        <v>19</v>
      </c>
      <c r="AD254">
        <f>N(AD253)+IF(AND(OR(R254="follow-up",R254="Evaluation",R254="tbd",R254="In evaluation"),B254&lt;&gt;""),1,0)</f>
        <v>9</v>
      </c>
    </row>
    <row r="255" ht="15" customHeight="1">
      <c r="I255" s="215" t="n"/>
      <c r="J255" s="215" t="n"/>
      <c r="K255" s="215" t="n"/>
      <c r="L255" s="215" t="n"/>
      <c r="M255" s="215" t="n"/>
      <c r="N255" s="215" t="str">
        <f>IF(ISNUMBER(I255),ROUND(I255-I255/1.081,2),"")</f>
        <v/>
      </c>
      <c r="O255" s="215" t="str">
        <f>IF(ISNUMBER(I255),I255-SUM(J255:N255),"")</f>
        <v/>
      </c>
      <c r="P255" s="216" t="str">
        <f>IFERROR(IF(AND(ISNUMBER(O255),ISNUMBER(I255),I255&lt;&gt;0),O255/I255,""),"")</f>
        <v/>
      </c>
      <c r="Q255" s="215" t="str">
        <f>IF(AND(ISNUMBER(I255),ISNUMBER(S255)),I255*IF(S255&lt;=1,S255,S255/100),IF(OR(I255&lt;&gt;"",S255&lt;&gt;""),"tbd",""))</f>
        <v/>
      </c>
      <c r="S255" s="217" t="n"/>
      <c r="Z255" t="str">
        <f>IF(AND(R255="WON",ISNUMBER(I255)),AA255,"")</f>
        <v/>
      </c>
      <c r="AA255">
        <f>IFERROR(I255*1,0)</f>
        <v>0</v>
      </c>
      <c r="AB255">
        <f>N(AB254)+IF(AND(R255="WON",B255&lt;&gt;""),1,0)</f>
        <v>7</v>
      </c>
      <c r="AC255">
        <f>N(AC254)+IF(AND(OR(R255="offered",R255="to be offered",R255="on hold"),B255&lt;&gt;""),1,0)</f>
        <v>19</v>
      </c>
      <c r="AD255">
        <f>N(AD254)+IF(AND(OR(R255="follow-up",R255="Evaluation",R255="tbd",R255="In evaluation"),B255&lt;&gt;""),1,0)</f>
        <v>9</v>
      </c>
    </row>
    <row r="256" ht="15" customHeight="1">
      <c r="I256" s="215" t="n"/>
      <c r="J256" s="215" t="n"/>
      <c r="K256" s="215" t="n"/>
      <c r="L256" s="215" t="n"/>
      <c r="M256" s="215" t="n"/>
      <c r="N256" s="215" t="str">
        <f>IF(ISNUMBER(I256),ROUND(I256-I256/1.081,2),"")</f>
        <v/>
      </c>
      <c r="O256" s="215" t="str">
        <f>IF(ISNUMBER(I256),I256-SUM(J256:N256),"")</f>
        <v/>
      </c>
      <c r="P256" s="216" t="str">
        <f>IFERROR(IF(AND(ISNUMBER(O256),ISNUMBER(I256),I256&lt;&gt;0),O256/I256,""),"")</f>
        <v/>
      </c>
      <c r="Q256" s="215" t="str">
        <f>IF(AND(ISNUMBER(I256),ISNUMBER(S256)),I256*IF(S256&lt;=1,S256,S256/100),IF(OR(I256&lt;&gt;"",S256&lt;&gt;""),"tbd",""))</f>
        <v/>
      </c>
      <c r="S256" s="217" t="n"/>
      <c r="Z256" t="str">
        <f>IF(AND(R256="WON",ISNUMBER(I256)),AA256,"")</f>
        <v/>
      </c>
      <c r="AA256">
        <f>IFERROR(I256*1,0)</f>
        <v>0</v>
      </c>
      <c r="AB256">
        <f>N(AB255)+IF(AND(R256="WON",B256&lt;&gt;""),1,0)</f>
        <v>7</v>
      </c>
      <c r="AC256">
        <f>N(AC255)+IF(AND(OR(R256="offered",R256="to be offered",R256="on hold"),B256&lt;&gt;""),1,0)</f>
        <v>19</v>
      </c>
      <c r="AD256">
        <f>N(AD255)+IF(AND(OR(R256="follow-up",R256="Evaluation",R256="tbd",R256="In evaluation"),B256&lt;&gt;""),1,0)</f>
        <v>9</v>
      </c>
    </row>
    <row r="257" ht="15" customHeight="1">
      <c r="I257" s="215" t="n"/>
      <c r="J257" s="215" t="n"/>
      <c r="K257" s="215" t="n"/>
      <c r="L257" s="215" t="n"/>
      <c r="M257" s="215" t="n"/>
      <c r="N257" s="215" t="str">
        <f>IF(ISNUMBER(I257),ROUND(I257-I257/1.081,2),"")</f>
        <v/>
      </c>
      <c r="O257" s="215" t="str">
        <f>IF(ISNUMBER(I257),I257-SUM(J257:N257),"")</f>
        <v/>
      </c>
      <c r="P257" s="216" t="str">
        <f>IFERROR(IF(AND(ISNUMBER(O257),ISNUMBER(I257),I257&lt;&gt;0),O257/I257,""),"")</f>
        <v/>
      </c>
      <c r="Q257" s="215" t="str">
        <f>IF(AND(ISNUMBER(I257),ISNUMBER(S257)),I257*IF(S257&lt;=1,S257,S257/100),IF(OR(I257&lt;&gt;"",S257&lt;&gt;""),"tbd",""))</f>
        <v/>
      </c>
      <c r="S257" s="217" t="n"/>
      <c r="Z257" t="str">
        <f>IF(AND(R257="WON",ISNUMBER(I257)),AA257,"")</f>
        <v/>
      </c>
      <c r="AA257">
        <f>IFERROR(I257*1,0)</f>
        <v>0</v>
      </c>
      <c r="AB257">
        <f>N(AB256)+IF(AND(R257="WON",B257&lt;&gt;""),1,0)</f>
        <v>7</v>
      </c>
      <c r="AC257">
        <f>N(AC256)+IF(AND(OR(R257="offered",R257="to be offered",R257="on hold"),B257&lt;&gt;""),1,0)</f>
        <v>19</v>
      </c>
      <c r="AD257">
        <f>N(AD256)+IF(AND(OR(R257="follow-up",R257="Evaluation",R257="tbd",R257="In evaluation"),B257&lt;&gt;""),1,0)</f>
        <v>9</v>
      </c>
    </row>
    <row r="258" ht="15" customHeight="1">
      <c r="I258" s="215" t="n"/>
      <c r="J258" s="215" t="n"/>
      <c r="K258" s="215" t="n"/>
      <c r="L258" s="215" t="n"/>
      <c r="M258" s="215" t="n"/>
      <c r="N258" s="215" t="str">
        <f>IF(ISNUMBER(I258),ROUND(I258-I258/1.081,2),"")</f>
        <v/>
      </c>
      <c r="O258" s="215" t="str">
        <f>IF(ISNUMBER(I258),I258-SUM(J258:N258),"")</f>
        <v/>
      </c>
      <c r="P258" s="216" t="str">
        <f>IFERROR(IF(AND(ISNUMBER(O258),ISNUMBER(I258),I258&lt;&gt;0),O258/I258,""),"")</f>
        <v/>
      </c>
      <c r="Q258" s="215" t="str">
        <f>IF(AND(ISNUMBER(I258),ISNUMBER(S258)),I258*IF(S258&lt;=1,S258,S258/100),IF(OR(I258&lt;&gt;"",S258&lt;&gt;""),"tbd",""))</f>
        <v/>
      </c>
      <c r="S258" s="217" t="n"/>
      <c r="Z258" t="str">
        <f>IF(AND(R258="WON",ISNUMBER(I258)),AA258,"")</f>
        <v/>
      </c>
      <c r="AA258">
        <f>IFERROR(I258*1,0)</f>
        <v>0</v>
      </c>
      <c r="AB258">
        <f>N(AB257)+IF(AND(R258="WON",B258&lt;&gt;""),1,0)</f>
        <v>7</v>
      </c>
      <c r="AC258">
        <f>N(AC257)+IF(AND(OR(R258="offered",R258="to be offered",R258="on hold"),B258&lt;&gt;""),1,0)</f>
        <v>19</v>
      </c>
      <c r="AD258">
        <f>N(AD257)+IF(AND(OR(R258="follow-up",R258="Evaluation",R258="tbd",R258="In evaluation"),B258&lt;&gt;""),1,0)</f>
        <v>9</v>
      </c>
    </row>
    <row r="259" ht="15" customHeight="1">
      <c r="I259" s="215" t="n"/>
      <c r="J259" s="215" t="n"/>
      <c r="K259" s="215" t="n"/>
      <c r="L259" s="215" t="n"/>
      <c r="M259" s="215" t="n"/>
      <c r="N259" s="215" t="str">
        <f>IF(ISNUMBER(I259),ROUND(I259-I259/1.081,2),"")</f>
        <v/>
      </c>
      <c r="O259" s="215" t="str">
        <f>IF(ISNUMBER(I259),I259-SUM(J259:N259),"")</f>
        <v/>
      </c>
      <c r="P259" s="216" t="str">
        <f>IFERROR(IF(AND(ISNUMBER(O259),ISNUMBER(I259),I259&lt;&gt;0),O259/I259,""),"")</f>
        <v/>
      </c>
      <c r="Q259" s="215" t="str">
        <f>IF(AND(ISNUMBER(I259),ISNUMBER(S259)),I259*IF(S259&lt;=1,S259,S259/100),IF(OR(I259&lt;&gt;"",S259&lt;&gt;""),"tbd",""))</f>
        <v/>
      </c>
      <c r="S259" s="217" t="n"/>
      <c r="Z259" t="str">
        <f>IF(AND(R259="WON",ISNUMBER(I259)),AA259,"")</f>
        <v/>
      </c>
      <c r="AA259">
        <f>IFERROR(I259*1,0)</f>
        <v>0</v>
      </c>
      <c r="AB259">
        <f>N(AB258)+IF(AND(R259="WON",B259&lt;&gt;""),1,0)</f>
        <v>7</v>
      </c>
      <c r="AC259">
        <f>N(AC258)+IF(AND(OR(R259="offered",R259="to be offered",R259="on hold"),B259&lt;&gt;""),1,0)</f>
        <v>19</v>
      </c>
      <c r="AD259">
        <f>N(AD258)+IF(AND(OR(R259="follow-up",R259="Evaluation",R259="tbd",R259="In evaluation"),B259&lt;&gt;""),1,0)</f>
        <v>9</v>
      </c>
    </row>
    <row r="260" ht="15" customHeight="1">
      <c r="I260" s="215" t="n"/>
      <c r="J260" s="215" t="n"/>
      <c r="K260" s="215" t="n"/>
      <c r="L260" s="215" t="n"/>
      <c r="M260" s="215" t="n"/>
      <c r="N260" s="215" t="str">
        <f>IF(ISNUMBER(I260),ROUND(I260-I260/1.081,2),"")</f>
        <v/>
      </c>
      <c r="O260" s="215" t="str">
        <f>IF(ISNUMBER(I260),I260-SUM(J260:N260),"")</f>
        <v/>
      </c>
      <c r="P260" s="216" t="str">
        <f>IFERROR(IF(AND(ISNUMBER(O260),ISNUMBER(I260),I260&lt;&gt;0),O260/I260,""),"")</f>
        <v/>
      </c>
      <c r="Q260" s="215" t="str">
        <f>IF(AND(ISNUMBER(I260),ISNUMBER(S260)),I260*IF(S260&lt;=1,S260,S260/100),IF(OR(I260&lt;&gt;"",S260&lt;&gt;""),"tbd",""))</f>
        <v/>
      </c>
      <c r="S260" s="217" t="n"/>
      <c r="Z260" t="str">
        <f>IF(AND(R260="WON",ISNUMBER(I260)),AA260,"")</f>
        <v/>
      </c>
      <c r="AA260">
        <f>IFERROR(I260*1,0)</f>
        <v>0</v>
      </c>
      <c r="AB260">
        <f>N(AB259)+IF(AND(R260="WON",B260&lt;&gt;""),1,0)</f>
        <v>7</v>
      </c>
      <c r="AC260">
        <f>N(AC259)+IF(AND(OR(R260="offered",R260="to be offered",R260="on hold"),B260&lt;&gt;""),1,0)</f>
        <v>19</v>
      </c>
      <c r="AD260">
        <f>N(AD259)+IF(AND(OR(R260="follow-up",R260="Evaluation",R260="tbd",R260="In evaluation"),B260&lt;&gt;""),1,0)</f>
        <v>9</v>
      </c>
    </row>
    <row r="261" ht="15" customHeight="1">
      <c r="I261" s="215" t="n"/>
      <c r="J261" s="215" t="n"/>
      <c r="K261" s="215" t="n"/>
      <c r="L261" s="215" t="n"/>
      <c r="M261" s="215" t="n"/>
      <c r="N261" s="215" t="str">
        <f>IF(ISNUMBER(I261),ROUND(I261-I261/1.081,2),"")</f>
        <v/>
      </c>
      <c r="O261" s="215" t="str">
        <f>IF(ISNUMBER(I261),I261-SUM(J261:N261),"")</f>
        <v/>
      </c>
      <c r="P261" s="216" t="str">
        <f>IFERROR(IF(AND(ISNUMBER(O261),ISNUMBER(I261),I261&lt;&gt;0),O261/I261,""),"")</f>
        <v/>
      </c>
      <c r="Q261" s="215" t="str">
        <f>IF(AND(ISNUMBER(I261),ISNUMBER(S261)),I261*IF(S261&lt;=1,S261,S261/100),IF(OR(I261&lt;&gt;"",S261&lt;&gt;""),"tbd",""))</f>
        <v/>
      </c>
      <c r="S261" s="217" t="n"/>
      <c r="Z261" t="str">
        <f>IF(AND(R261="WON",ISNUMBER(I261)),AA261,"")</f>
        <v/>
      </c>
      <c r="AA261">
        <f>IFERROR(I261*1,0)</f>
        <v>0</v>
      </c>
      <c r="AB261">
        <f>N(AB260)+IF(AND(R261="WON",B261&lt;&gt;""),1,0)</f>
        <v>7</v>
      </c>
      <c r="AC261">
        <f>N(AC260)+IF(AND(OR(R261="offered",R261="to be offered",R261="on hold"),B261&lt;&gt;""),1,0)</f>
        <v>19</v>
      </c>
      <c r="AD261">
        <f>N(AD260)+IF(AND(OR(R261="follow-up",R261="Evaluation",R261="tbd",R261="In evaluation"),B261&lt;&gt;""),1,0)</f>
        <v>9</v>
      </c>
    </row>
    <row r="262" ht="15" customHeight="1">
      <c r="I262" s="215" t="n"/>
      <c r="J262" s="215" t="n"/>
      <c r="K262" s="215" t="n"/>
      <c r="L262" s="215" t="n"/>
      <c r="M262" s="215" t="n"/>
      <c r="N262" s="215" t="str">
        <f>IF(ISNUMBER(I262),ROUND(I262-I262/1.081,2),"")</f>
        <v/>
      </c>
      <c r="O262" s="215" t="str">
        <f>IF(ISNUMBER(I262),I262-SUM(J262:N262),"")</f>
        <v/>
      </c>
      <c r="P262" s="216" t="str">
        <f>IFERROR(IF(AND(ISNUMBER(O262),ISNUMBER(I262),I262&lt;&gt;0),O262/I262,""),"")</f>
        <v/>
      </c>
      <c r="Q262" s="215" t="str">
        <f>IF(AND(ISNUMBER(I262),ISNUMBER(S262)),I262*IF(S262&lt;=1,S262,S262/100),IF(OR(I262&lt;&gt;"",S262&lt;&gt;""),"tbd",""))</f>
        <v/>
      </c>
      <c r="S262" s="217" t="n"/>
      <c r="Z262" t="str">
        <f>IF(AND(R262="WON",ISNUMBER(I262)),AA262,"")</f>
        <v/>
      </c>
      <c r="AA262">
        <f>IFERROR(I262*1,0)</f>
        <v>0</v>
      </c>
      <c r="AB262">
        <f>N(AB261)+IF(AND(R262="WON",B262&lt;&gt;""),1,0)</f>
        <v>7</v>
      </c>
      <c r="AC262">
        <f>N(AC261)+IF(AND(OR(R262="offered",R262="to be offered",R262="on hold"),B262&lt;&gt;""),1,0)</f>
        <v>19</v>
      </c>
      <c r="AD262">
        <f>N(AD261)+IF(AND(OR(R262="follow-up",R262="Evaluation",R262="tbd",R262="In evaluation"),B262&lt;&gt;""),1,0)</f>
        <v>9</v>
      </c>
    </row>
    <row r="263" ht="15" customHeight="1">
      <c r="I263" s="215" t="n"/>
      <c r="J263" s="215" t="n"/>
      <c r="K263" s="215" t="n"/>
      <c r="L263" s="215" t="n"/>
      <c r="M263" s="215" t="n"/>
      <c r="N263" s="215" t="str">
        <f>IF(ISNUMBER(I263),ROUND(I263-I263/1.081,2),"")</f>
        <v/>
      </c>
      <c r="O263" s="215" t="str">
        <f>IF(ISNUMBER(I263),I263-SUM(J263:N263),"")</f>
        <v/>
      </c>
      <c r="P263" s="216" t="str">
        <f>IFERROR(IF(AND(ISNUMBER(O263),ISNUMBER(I263),I263&lt;&gt;0),O263/I263,""),"")</f>
        <v/>
      </c>
      <c r="Q263" s="215" t="str">
        <f>IF(AND(ISNUMBER(I263),ISNUMBER(S263)),I263*IF(S263&lt;=1,S263,S263/100),IF(OR(I263&lt;&gt;"",S263&lt;&gt;""),"tbd",""))</f>
        <v/>
      </c>
      <c r="S263" s="217" t="n"/>
      <c r="Z263" t="str">
        <f>IF(AND(R263="WON",ISNUMBER(I263)),AA263,"")</f>
        <v/>
      </c>
      <c r="AA263">
        <f>IFERROR(I263*1,0)</f>
        <v>0</v>
      </c>
      <c r="AB263">
        <f>N(AB262)+IF(AND(R263="WON",B263&lt;&gt;""),1,0)</f>
        <v>7</v>
      </c>
      <c r="AC263">
        <f>N(AC262)+IF(AND(OR(R263="offered",R263="to be offered",R263="on hold"),B263&lt;&gt;""),1,0)</f>
        <v>19</v>
      </c>
      <c r="AD263">
        <f>N(AD262)+IF(AND(OR(R263="follow-up",R263="Evaluation",R263="tbd",R263="In evaluation"),B263&lt;&gt;""),1,0)</f>
        <v>9</v>
      </c>
    </row>
    <row r="264" ht="15" customHeight="1">
      <c r="I264" s="215" t="n"/>
      <c r="J264" s="215" t="n"/>
      <c r="K264" s="215" t="n"/>
      <c r="L264" s="215" t="n"/>
      <c r="M264" s="215" t="n"/>
      <c r="N264" s="215" t="str">
        <f>IF(ISNUMBER(I264),ROUND(I264-I264/1.081,2),"")</f>
        <v/>
      </c>
      <c r="O264" s="215" t="str">
        <f>IF(ISNUMBER(I264),I264-SUM(J264:N264),"")</f>
        <v/>
      </c>
      <c r="P264" s="216" t="str">
        <f>IFERROR(IF(AND(ISNUMBER(O264),ISNUMBER(I264),I264&lt;&gt;0),O264/I264,""),"")</f>
        <v/>
      </c>
      <c r="Q264" s="215" t="str">
        <f>IF(AND(ISNUMBER(I264),ISNUMBER(S264)),I264*IF(S264&lt;=1,S264,S264/100),IF(OR(I264&lt;&gt;"",S264&lt;&gt;""),"tbd",""))</f>
        <v/>
      </c>
      <c r="S264" s="217" t="n"/>
      <c r="Z264" t="str">
        <f>IF(AND(R264="WON",ISNUMBER(I264)),AA264,"")</f>
        <v/>
      </c>
      <c r="AA264">
        <f>IFERROR(I264*1,0)</f>
        <v>0</v>
      </c>
      <c r="AB264">
        <f>N(AB263)+IF(AND(R264="WON",B264&lt;&gt;""),1,0)</f>
        <v>7</v>
      </c>
      <c r="AC264">
        <f>N(AC263)+IF(AND(OR(R264="offered",R264="to be offered",R264="on hold"),B264&lt;&gt;""),1,0)</f>
        <v>19</v>
      </c>
      <c r="AD264">
        <f>N(AD263)+IF(AND(OR(R264="follow-up",R264="Evaluation",R264="tbd",R264="In evaluation"),B264&lt;&gt;""),1,0)</f>
        <v>9</v>
      </c>
    </row>
    <row r="265" ht="15" customHeight="1">
      <c r="I265" s="215" t="n"/>
      <c r="J265" s="215" t="n"/>
      <c r="K265" s="215" t="n"/>
      <c r="L265" s="215" t="n"/>
      <c r="M265" s="215" t="n"/>
      <c r="N265" s="215" t="str">
        <f>IF(ISNUMBER(I265),ROUND(I265-I265/1.081,2),"")</f>
        <v/>
      </c>
      <c r="O265" s="215" t="str">
        <f>IF(ISNUMBER(I265),I265-SUM(J265:N265),"")</f>
        <v/>
      </c>
      <c r="P265" s="216" t="str">
        <f>IFERROR(IF(AND(ISNUMBER(O265),ISNUMBER(I265),I265&lt;&gt;0),O265/I265,""),"")</f>
        <v/>
      </c>
      <c r="Q265" s="215" t="str">
        <f>IF(AND(ISNUMBER(I265),ISNUMBER(S265)),I265*IF(S265&lt;=1,S265,S265/100),IF(OR(I265&lt;&gt;"",S265&lt;&gt;""),"tbd",""))</f>
        <v/>
      </c>
      <c r="S265" s="217" t="n"/>
      <c r="Z265" t="str">
        <f>IF(AND(R265="WON",ISNUMBER(I265)),AA265,"")</f>
        <v/>
      </c>
      <c r="AA265">
        <f>IFERROR(I265*1,0)</f>
        <v>0</v>
      </c>
      <c r="AB265">
        <f>N(AB264)+IF(AND(R265="WON",B265&lt;&gt;""),1,0)</f>
        <v>7</v>
      </c>
      <c r="AC265">
        <f>N(AC264)+IF(AND(OR(R265="offered",R265="to be offered",R265="on hold"),B265&lt;&gt;""),1,0)</f>
        <v>19</v>
      </c>
      <c r="AD265">
        <f>N(AD264)+IF(AND(OR(R265="follow-up",R265="Evaluation",R265="tbd",R265="In evaluation"),B265&lt;&gt;""),1,0)</f>
        <v>9</v>
      </c>
    </row>
    <row r="266" ht="15" customHeight="1">
      <c r="I266" s="215" t="n"/>
      <c r="J266" s="215" t="n"/>
      <c r="K266" s="215" t="n"/>
      <c r="L266" s="215" t="n"/>
      <c r="M266" s="215" t="n"/>
      <c r="N266" s="215" t="str">
        <f>IF(ISNUMBER(I266),ROUND(I266-I266/1.081,2),"")</f>
        <v/>
      </c>
      <c r="O266" s="215" t="str">
        <f>IF(ISNUMBER(I266),I266-SUM(J266:N266),"")</f>
        <v/>
      </c>
      <c r="P266" s="216" t="str">
        <f>IFERROR(IF(AND(ISNUMBER(O266),ISNUMBER(I266),I266&lt;&gt;0),O266/I266,""),"")</f>
        <v/>
      </c>
      <c r="Q266" s="215" t="str">
        <f>IF(AND(ISNUMBER(I266),ISNUMBER(S266)),I266*IF(S266&lt;=1,S266,S266/100),IF(OR(I266&lt;&gt;"",S266&lt;&gt;""),"tbd",""))</f>
        <v/>
      </c>
      <c r="S266" s="217" t="n"/>
      <c r="Z266" t="str">
        <f>IF(AND(R266="WON",ISNUMBER(I266)),AA266,"")</f>
        <v/>
      </c>
      <c r="AA266">
        <f>IFERROR(I266*1,0)</f>
        <v>0</v>
      </c>
      <c r="AB266">
        <f>N(AB265)+IF(AND(R266="WON",B266&lt;&gt;""),1,0)</f>
        <v>7</v>
      </c>
      <c r="AC266">
        <f>N(AC265)+IF(AND(OR(R266="offered",R266="to be offered",R266="on hold"),B266&lt;&gt;""),1,0)</f>
        <v>19</v>
      </c>
      <c r="AD266">
        <f>N(AD265)+IF(AND(OR(R266="follow-up",R266="Evaluation",R266="tbd",R266="In evaluation"),B266&lt;&gt;""),1,0)</f>
        <v>9</v>
      </c>
    </row>
    <row r="267" ht="15" customHeight="1">
      <c r="I267" s="215" t="n"/>
      <c r="J267" s="215" t="n"/>
      <c r="K267" s="215" t="n"/>
      <c r="L267" s="215" t="n"/>
      <c r="M267" s="215" t="n"/>
      <c r="N267" s="215" t="str">
        <f>IF(ISNUMBER(I267),ROUND(I267-I267/1.081,2),"")</f>
        <v/>
      </c>
      <c r="O267" s="215" t="str">
        <f>IF(ISNUMBER(I267),I267-SUM(J267:N267),"")</f>
        <v/>
      </c>
      <c r="P267" s="216" t="str">
        <f>IFERROR(IF(AND(ISNUMBER(O267),ISNUMBER(I267),I267&lt;&gt;0),O267/I267,""),"")</f>
        <v/>
      </c>
      <c r="Q267" s="215" t="str">
        <f>IF(AND(ISNUMBER(I267),ISNUMBER(S267)),I267*IF(S267&lt;=1,S267,S267/100),IF(OR(I267&lt;&gt;"",S267&lt;&gt;""),"tbd",""))</f>
        <v/>
      </c>
      <c r="S267" s="217" t="n"/>
      <c r="Z267" t="str">
        <f>IF(AND(R267="WON",ISNUMBER(I267)),AA267,"")</f>
        <v/>
      </c>
      <c r="AA267">
        <f>IFERROR(I267*1,0)</f>
        <v>0</v>
      </c>
      <c r="AB267">
        <f>N(AB266)+IF(AND(R267="WON",B267&lt;&gt;""),1,0)</f>
        <v>7</v>
      </c>
      <c r="AC267">
        <f>N(AC266)+IF(AND(OR(R267="offered",R267="to be offered",R267="on hold"),B267&lt;&gt;""),1,0)</f>
        <v>19</v>
      </c>
      <c r="AD267">
        <f>N(AD266)+IF(AND(OR(R267="follow-up",R267="Evaluation",R267="tbd",R267="In evaluation"),B267&lt;&gt;""),1,0)</f>
        <v>9</v>
      </c>
    </row>
    <row r="268" ht="15" customHeight="1">
      <c r="I268" s="215" t="n"/>
      <c r="J268" s="215" t="n"/>
      <c r="K268" s="215" t="n"/>
      <c r="L268" s="215" t="n"/>
      <c r="M268" s="215" t="n"/>
      <c r="N268" s="215" t="str">
        <f>IF(ISNUMBER(I268),ROUND(I268-I268/1.081,2),"")</f>
        <v/>
      </c>
      <c r="O268" s="215" t="str">
        <f>IF(ISNUMBER(I268),I268-SUM(J268:N268),"")</f>
        <v/>
      </c>
      <c r="P268" s="216" t="str">
        <f>IFERROR(IF(AND(ISNUMBER(O268),ISNUMBER(I268),I268&lt;&gt;0),O268/I268,""),"")</f>
        <v/>
      </c>
      <c r="Q268" s="215" t="str">
        <f>IF(AND(ISNUMBER(I268),ISNUMBER(S268)),I268*IF(S268&lt;=1,S268,S268/100),IF(OR(I268&lt;&gt;"",S268&lt;&gt;""),"tbd",""))</f>
        <v/>
      </c>
      <c r="S268" s="217" t="n"/>
      <c r="Z268" t="str">
        <f>IF(AND(R268="WON",ISNUMBER(I268)),AA268,"")</f>
        <v/>
      </c>
      <c r="AA268">
        <f>IFERROR(I268*1,0)</f>
        <v>0</v>
      </c>
      <c r="AB268">
        <f>N(AB267)+IF(AND(R268="WON",B268&lt;&gt;""),1,0)</f>
        <v>7</v>
      </c>
      <c r="AC268">
        <f>N(AC267)+IF(AND(OR(R268="offered",R268="to be offered",R268="on hold"),B268&lt;&gt;""),1,0)</f>
        <v>19</v>
      </c>
      <c r="AD268">
        <f>N(AD267)+IF(AND(OR(R268="follow-up",R268="Evaluation",R268="tbd",R268="In evaluation"),B268&lt;&gt;""),1,0)</f>
        <v>9</v>
      </c>
    </row>
    <row r="269" ht="15" customHeight="1">
      <c r="I269" s="215" t="n"/>
      <c r="J269" s="215" t="n"/>
      <c r="K269" s="215" t="n"/>
      <c r="L269" s="215" t="n"/>
      <c r="M269" s="215" t="n"/>
      <c r="N269" s="215" t="str">
        <f>IF(ISNUMBER(I269),ROUND(I269-I269/1.081,2),"")</f>
        <v/>
      </c>
      <c r="O269" s="215" t="str">
        <f>IF(ISNUMBER(I269),I269-SUM(J269:N269),"")</f>
        <v/>
      </c>
      <c r="P269" s="216" t="str">
        <f>IFERROR(IF(AND(ISNUMBER(O269),ISNUMBER(I269),I269&lt;&gt;0),O269/I269,""),"")</f>
        <v/>
      </c>
      <c r="Q269" s="215" t="str">
        <f>IF(AND(ISNUMBER(I269),ISNUMBER(S269)),I269*IF(S269&lt;=1,S269,S269/100),IF(OR(I269&lt;&gt;"",S269&lt;&gt;""),"tbd",""))</f>
        <v/>
      </c>
      <c r="S269" s="217" t="n"/>
      <c r="Z269" t="str">
        <f>IF(AND(R269="WON",ISNUMBER(I269)),AA269,"")</f>
        <v/>
      </c>
      <c r="AA269">
        <f>IFERROR(I269*1,0)</f>
        <v>0</v>
      </c>
      <c r="AB269">
        <f>N(AB268)+IF(AND(R269="WON",B269&lt;&gt;""),1,0)</f>
        <v>7</v>
      </c>
      <c r="AC269">
        <f>N(AC268)+IF(AND(OR(R269="offered",R269="to be offered",R269="on hold"),B269&lt;&gt;""),1,0)</f>
        <v>19</v>
      </c>
      <c r="AD269">
        <f>N(AD268)+IF(AND(OR(R269="follow-up",R269="Evaluation",R269="tbd",R269="In evaluation"),B269&lt;&gt;""),1,0)</f>
        <v>9</v>
      </c>
    </row>
    <row r="270" ht="15" customHeight="1">
      <c r="I270" s="215" t="n"/>
      <c r="J270" s="215" t="n"/>
      <c r="K270" s="215" t="n"/>
      <c r="L270" s="215" t="n"/>
      <c r="M270" s="215" t="n"/>
      <c r="N270" s="215" t="str">
        <f>IF(ISNUMBER(I270),ROUND(I270-I270/1.081,2),"")</f>
        <v/>
      </c>
      <c r="O270" s="215" t="str">
        <f>IF(ISNUMBER(I270),I270-SUM(J270:N270),"")</f>
        <v/>
      </c>
      <c r="P270" s="216" t="str">
        <f>IFERROR(IF(AND(ISNUMBER(O270),ISNUMBER(I270),I270&lt;&gt;0),O270/I270,""),"")</f>
        <v/>
      </c>
      <c r="Q270" s="215" t="str">
        <f>IF(AND(ISNUMBER(I270),ISNUMBER(S270)),I270*IF(S270&lt;=1,S270,S270/100),IF(OR(I270&lt;&gt;"",S270&lt;&gt;""),"tbd",""))</f>
        <v/>
      </c>
      <c r="S270" s="217" t="n"/>
      <c r="Z270" t="str">
        <f>IF(AND(R270="WON",ISNUMBER(I270)),AA270,"")</f>
        <v/>
      </c>
      <c r="AA270">
        <f>IFERROR(I270*1,0)</f>
        <v>0</v>
      </c>
      <c r="AB270">
        <f>N(AB269)+IF(AND(R270="WON",B270&lt;&gt;""),1,0)</f>
        <v>7</v>
      </c>
      <c r="AC270">
        <f>N(AC269)+IF(AND(OR(R270="offered",R270="to be offered",R270="on hold"),B270&lt;&gt;""),1,0)</f>
        <v>19</v>
      </c>
      <c r="AD270">
        <f>N(AD269)+IF(AND(OR(R270="follow-up",R270="Evaluation",R270="tbd",R270="In evaluation"),B270&lt;&gt;""),1,0)</f>
        <v>9</v>
      </c>
    </row>
    <row r="271" ht="15" customHeight="1">
      <c r="I271" s="215" t="n"/>
      <c r="J271" s="215" t="n"/>
      <c r="K271" s="215" t="n"/>
      <c r="L271" s="215" t="n"/>
      <c r="M271" s="215" t="n"/>
      <c r="N271" s="215" t="str">
        <f>IF(ISNUMBER(I271),ROUND(I271-I271/1.081,2),"")</f>
        <v/>
      </c>
      <c r="O271" s="215" t="str">
        <f>IF(ISNUMBER(I271),I271-SUM(J271:N271),"")</f>
        <v/>
      </c>
      <c r="P271" s="216" t="str">
        <f>IFERROR(IF(AND(ISNUMBER(O271),ISNUMBER(I271),I271&lt;&gt;0),O271/I271,""),"")</f>
        <v/>
      </c>
      <c r="Q271" s="215" t="str">
        <f>IF(AND(ISNUMBER(I271),ISNUMBER(S271)),I271*IF(S271&lt;=1,S271,S271/100),IF(OR(I271&lt;&gt;"",S271&lt;&gt;""),"tbd",""))</f>
        <v/>
      </c>
      <c r="S271" s="217" t="n"/>
      <c r="Z271" t="str">
        <f>IF(AND(R271="WON",ISNUMBER(I271)),AA271,"")</f>
        <v/>
      </c>
      <c r="AA271">
        <f>IFERROR(I271*1,0)</f>
        <v>0</v>
      </c>
      <c r="AB271">
        <f>N(AB270)+IF(AND(R271="WON",B271&lt;&gt;""),1,0)</f>
        <v>7</v>
      </c>
      <c r="AC271">
        <f>N(AC270)+IF(AND(OR(R271="offered",R271="to be offered",R271="on hold"),B271&lt;&gt;""),1,0)</f>
        <v>19</v>
      </c>
      <c r="AD271">
        <f>N(AD270)+IF(AND(OR(R271="follow-up",R271="Evaluation",R271="tbd",R271="In evaluation"),B271&lt;&gt;""),1,0)</f>
        <v>9</v>
      </c>
    </row>
    <row r="272" ht="15" customHeight="1">
      <c r="I272" s="215" t="n"/>
      <c r="J272" s="215" t="n"/>
      <c r="K272" s="215" t="n"/>
      <c r="L272" s="215" t="n"/>
      <c r="M272" s="215" t="n"/>
      <c r="N272" s="215" t="str">
        <f>IF(ISNUMBER(I272),ROUND(I272-I272/1.081,2),"")</f>
        <v/>
      </c>
      <c r="O272" s="215" t="str">
        <f>IF(ISNUMBER(I272),I272-SUM(J272:N272),"")</f>
        <v/>
      </c>
      <c r="P272" s="216" t="str">
        <f>IFERROR(IF(AND(ISNUMBER(O272),ISNUMBER(I272),I272&lt;&gt;0),O272/I272,""),"")</f>
        <v/>
      </c>
      <c r="Q272" s="215" t="str">
        <f>IF(AND(ISNUMBER(I272),ISNUMBER(S272)),I272*IF(S272&lt;=1,S272,S272/100),IF(OR(I272&lt;&gt;"",S272&lt;&gt;""),"tbd",""))</f>
        <v/>
      </c>
      <c r="S272" s="217" t="n"/>
      <c r="Z272" t="str">
        <f>IF(AND(R272="WON",ISNUMBER(I272)),AA272,"")</f>
        <v/>
      </c>
      <c r="AA272">
        <f>IFERROR(I272*1,0)</f>
        <v>0</v>
      </c>
      <c r="AB272">
        <f>N(AB271)+IF(AND(R272="WON",B272&lt;&gt;""),1,0)</f>
        <v>7</v>
      </c>
      <c r="AC272">
        <f>N(AC271)+IF(AND(OR(R272="offered",R272="to be offered",R272="on hold"),B272&lt;&gt;""),1,0)</f>
        <v>19</v>
      </c>
      <c r="AD272">
        <f>N(AD271)+IF(AND(OR(R272="follow-up",R272="Evaluation",R272="tbd",R272="In evaluation"),B272&lt;&gt;""),1,0)</f>
        <v>9</v>
      </c>
    </row>
    <row r="273" ht="15" customHeight="1">
      <c r="I273" s="215" t="n"/>
      <c r="J273" s="215" t="n"/>
      <c r="K273" s="215" t="n"/>
      <c r="L273" s="215" t="n"/>
      <c r="M273" s="215" t="n"/>
      <c r="N273" s="215" t="str">
        <f>IF(ISNUMBER(I273),ROUND(I273-I273/1.081,2),"")</f>
        <v/>
      </c>
      <c r="O273" s="215" t="str">
        <f>IF(ISNUMBER(I273),I273-SUM(J273:N273),"")</f>
        <v/>
      </c>
      <c r="P273" s="216" t="str">
        <f>IFERROR(IF(AND(ISNUMBER(O273),ISNUMBER(I273),I273&lt;&gt;0),O273/I273,""),"")</f>
        <v/>
      </c>
      <c r="Q273" s="215" t="str">
        <f>IF(AND(ISNUMBER(I273),ISNUMBER(S273)),I273*IF(S273&lt;=1,S273,S273/100),IF(OR(I273&lt;&gt;"",S273&lt;&gt;""),"tbd",""))</f>
        <v/>
      </c>
      <c r="S273" s="217" t="n"/>
      <c r="Z273" t="str">
        <f>IF(AND(R273="WON",ISNUMBER(I273)),AA273,"")</f>
        <v/>
      </c>
      <c r="AA273">
        <f>IFERROR(I273*1,0)</f>
        <v>0</v>
      </c>
      <c r="AB273">
        <f>N(AB272)+IF(AND(R273="WON",B273&lt;&gt;""),1,0)</f>
        <v>7</v>
      </c>
      <c r="AC273">
        <f>N(AC272)+IF(AND(OR(R273="offered",R273="to be offered",R273="on hold"),B273&lt;&gt;""),1,0)</f>
        <v>19</v>
      </c>
      <c r="AD273">
        <f>N(AD272)+IF(AND(OR(R273="follow-up",R273="Evaluation",R273="tbd",R273="In evaluation"),B273&lt;&gt;""),1,0)</f>
        <v>9</v>
      </c>
    </row>
    <row r="274" ht="15" customHeight="1">
      <c r="I274" s="215" t="n"/>
      <c r="J274" s="215" t="n"/>
      <c r="K274" s="215" t="n"/>
      <c r="L274" s="215" t="n"/>
      <c r="M274" s="215" t="n"/>
      <c r="N274" s="215" t="str">
        <f>IF(ISNUMBER(I274),ROUND(I274-I274/1.081,2),"")</f>
        <v/>
      </c>
      <c r="O274" s="215" t="str">
        <f>IF(ISNUMBER(I274),I274-SUM(J274:N274),"")</f>
        <v/>
      </c>
      <c r="P274" s="216" t="str">
        <f>IFERROR(IF(AND(ISNUMBER(O274),ISNUMBER(I274),I274&lt;&gt;0),O274/I274,""),"")</f>
        <v/>
      </c>
      <c r="Q274" s="215" t="str">
        <f>IF(AND(ISNUMBER(I274),ISNUMBER(S274)),I274*IF(S274&lt;=1,S274,S274/100),IF(OR(I274&lt;&gt;"",S274&lt;&gt;""),"tbd",""))</f>
        <v/>
      </c>
      <c r="S274" s="217" t="n"/>
      <c r="Z274" t="str">
        <f>IF(AND(R274="WON",ISNUMBER(I274)),AA274,"")</f>
        <v/>
      </c>
      <c r="AA274">
        <f>IFERROR(I274*1,0)</f>
        <v>0</v>
      </c>
      <c r="AB274">
        <f>N(AB273)+IF(AND(R274="WON",B274&lt;&gt;""),1,0)</f>
        <v>7</v>
      </c>
      <c r="AC274">
        <f>N(AC273)+IF(AND(OR(R274="offered",R274="to be offered",R274="on hold"),B274&lt;&gt;""),1,0)</f>
        <v>19</v>
      </c>
      <c r="AD274">
        <f>N(AD273)+IF(AND(OR(R274="follow-up",R274="Evaluation",R274="tbd",R274="In evaluation"),B274&lt;&gt;""),1,0)</f>
        <v>9</v>
      </c>
    </row>
    <row r="275" ht="15" customHeight="1">
      <c r="I275" s="215" t="n"/>
      <c r="J275" s="215" t="n"/>
      <c r="K275" s="215" t="n"/>
      <c r="L275" s="215" t="n"/>
      <c r="M275" s="215" t="n"/>
      <c r="N275" s="215" t="str">
        <f>IF(ISNUMBER(I275),ROUND(I275-I275/1.081,2),"")</f>
        <v/>
      </c>
      <c r="O275" s="215" t="str">
        <f>IF(ISNUMBER(I275),I275-SUM(J275:N275),"")</f>
        <v/>
      </c>
      <c r="P275" s="216" t="str">
        <f>IFERROR(IF(AND(ISNUMBER(O275),ISNUMBER(I275),I275&lt;&gt;0),O275/I275,""),"")</f>
        <v/>
      </c>
      <c r="Q275" s="215" t="str">
        <f>IF(AND(ISNUMBER(I275),ISNUMBER(S275)),I275*IF(S275&lt;=1,S275,S275/100),IF(OR(I275&lt;&gt;"",S275&lt;&gt;""),"tbd",""))</f>
        <v/>
      </c>
      <c r="S275" s="217" t="n"/>
      <c r="Z275" t="str">
        <f>IF(AND(R275="WON",ISNUMBER(I275)),AA275,"")</f>
        <v/>
      </c>
      <c r="AA275">
        <f>IFERROR(I275*1,0)</f>
        <v>0</v>
      </c>
      <c r="AB275">
        <f>N(AB274)+IF(AND(R275="WON",B275&lt;&gt;""),1,0)</f>
        <v>7</v>
      </c>
      <c r="AC275">
        <f>N(AC274)+IF(AND(OR(R275="offered",R275="to be offered",R275="on hold"),B275&lt;&gt;""),1,0)</f>
        <v>19</v>
      </c>
      <c r="AD275">
        <f>N(AD274)+IF(AND(OR(R275="follow-up",R275="Evaluation",R275="tbd",R275="In evaluation"),B275&lt;&gt;""),1,0)</f>
        <v>9</v>
      </c>
    </row>
    <row r="276" ht="15" customHeight="1">
      <c r="I276" s="215" t="n"/>
      <c r="J276" s="215" t="n"/>
      <c r="K276" s="215" t="n"/>
      <c r="L276" s="215" t="n"/>
      <c r="M276" s="215" t="n"/>
      <c r="N276" s="215" t="str">
        <f>IF(ISNUMBER(I276),ROUND(I276-I276/1.081,2),"")</f>
        <v/>
      </c>
      <c r="O276" s="215" t="str">
        <f>IF(ISNUMBER(I276),I276-SUM(J276:N276),"")</f>
        <v/>
      </c>
      <c r="P276" s="216" t="str">
        <f>IFERROR(IF(AND(ISNUMBER(O276),ISNUMBER(I276),I276&lt;&gt;0),O276/I276,""),"")</f>
        <v/>
      </c>
      <c r="Q276" s="215" t="str">
        <f>IF(AND(ISNUMBER(I276),ISNUMBER(S276)),I276*IF(S276&lt;=1,S276,S276/100),IF(OR(I276&lt;&gt;"",S276&lt;&gt;""),"tbd",""))</f>
        <v/>
      </c>
      <c r="S276" s="217" t="n"/>
      <c r="Z276" t="str">
        <f>IF(AND(R276="WON",ISNUMBER(I276)),AA276,"")</f>
        <v/>
      </c>
      <c r="AA276">
        <f>IFERROR(I276*1,0)</f>
        <v>0</v>
      </c>
      <c r="AB276">
        <f>N(AB275)+IF(AND(R276="WON",B276&lt;&gt;""),1,0)</f>
        <v>7</v>
      </c>
      <c r="AC276">
        <f>N(AC275)+IF(AND(OR(R276="offered",R276="to be offered",R276="on hold"),B276&lt;&gt;""),1,0)</f>
        <v>19</v>
      </c>
      <c r="AD276">
        <f>N(AD275)+IF(AND(OR(R276="follow-up",R276="Evaluation",R276="tbd",R276="In evaluation"),B276&lt;&gt;""),1,0)</f>
        <v>9</v>
      </c>
    </row>
    <row r="277" ht="15" customHeight="1">
      <c r="I277" s="215" t="n"/>
      <c r="J277" s="215" t="n"/>
      <c r="K277" s="215" t="n"/>
      <c r="L277" s="215" t="n"/>
      <c r="M277" s="215" t="n"/>
      <c r="N277" s="215" t="str">
        <f>IF(ISNUMBER(I277),ROUND(I277-I277/1.081,2),"")</f>
        <v/>
      </c>
      <c r="O277" s="215" t="str">
        <f>IF(ISNUMBER(I277),I277-SUM(J277:N277),"")</f>
        <v/>
      </c>
      <c r="P277" s="216" t="str">
        <f>IFERROR(IF(AND(ISNUMBER(O277),ISNUMBER(I277),I277&lt;&gt;0),O277/I277,""),"")</f>
        <v/>
      </c>
      <c r="Q277" s="215" t="str">
        <f>IF(AND(ISNUMBER(I277),ISNUMBER(S277)),I277*IF(S277&lt;=1,S277,S277/100),IF(OR(I277&lt;&gt;"",S277&lt;&gt;""),"tbd",""))</f>
        <v/>
      </c>
      <c r="S277" s="217" t="n"/>
      <c r="Z277" t="str">
        <f>IF(AND(R277="WON",ISNUMBER(I277)),AA277,"")</f>
        <v/>
      </c>
      <c r="AA277">
        <f>IFERROR(I277*1,0)</f>
        <v>0</v>
      </c>
      <c r="AB277">
        <f>N(AB276)+IF(AND(R277="WON",B277&lt;&gt;""),1,0)</f>
        <v>7</v>
      </c>
      <c r="AC277">
        <f>N(AC276)+IF(AND(OR(R277="offered",R277="to be offered",R277="on hold"),B277&lt;&gt;""),1,0)</f>
        <v>19</v>
      </c>
      <c r="AD277">
        <f>N(AD276)+IF(AND(OR(R277="follow-up",R277="Evaluation",R277="tbd",R277="In evaluation"),B277&lt;&gt;""),1,0)</f>
        <v>9</v>
      </c>
    </row>
    <row r="278" ht="15" customHeight="1">
      <c r="I278" s="215" t="n"/>
      <c r="J278" s="215" t="n"/>
      <c r="K278" s="215" t="n"/>
      <c r="L278" s="215" t="n"/>
      <c r="M278" s="215" t="n"/>
      <c r="N278" s="215" t="str">
        <f>IF(ISNUMBER(I278),ROUND(I278-I278/1.081,2),"")</f>
        <v/>
      </c>
      <c r="O278" s="215" t="str">
        <f>IF(ISNUMBER(I278),I278-SUM(J278:N278),"")</f>
        <v/>
      </c>
      <c r="P278" s="216" t="str">
        <f>IFERROR(IF(AND(ISNUMBER(O278),ISNUMBER(I278),I278&lt;&gt;0),O278/I278,""),"")</f>
        <v/>
      </c>
      <c r="Q278" s="215" t="str">
        <f>IF(AND(ISNUMBER(I278),ISNUMBER(S278)),I278*IF(S278&lt;=1,S278,S278/100),IF(OR(I278&lt;&gt;"",S278&lt;&gt;""),"tbd",""))</f>
        <v/>
      </c>
      <c r="S278" s="217" t="n"/>
      <c r="Z278" t="str">
        <f>IF(AND(R278="WON",ISNUMBER(I278)),AA278,"")</f>
        <v/>
      </c>
      <c r="AA278">
        <f>IFERROR(I278*1,0)</f>
        <v>0</v>
      </c>
      <c r="AB278">
        <f>N(AB277)+IF(AND(R278="WON",B278&lt;&gt;""),1,0)</f>
        <v>7</v>
      </c>
      <c r="AC278">
        <f>N(AC277)+IF(AND(OR(R278="offered",R278="to be offered",R278="on hold"),B278&lt;&gt;""),1,0)</f>
        <v>19</v>
      </c>
      <c r="AD278">
        <f>N(AD277)+IF(AND(OR(R278="follow-up",R278="Evaluation",R278="tbd",R278="In evaluation"),B278&lt;&gt;""),1,0)</f>
        <v>9</v>
      </c>
    </row>
    <row r="279" ht="15" customHeight="1">
      <c r="I279" s="215" t="n"/>
      <c r="J279" s="215" t="n"/>
      <c r="K279" s="215" t="n"/>
      <c r="L279" s="215" t="n"/>
      <c r="M279" s="215" t="n"/>
      <c r="N279" s="215" t="str">
        <f>IF(ISNUMBER(I279),ROUND(I279-I279/1.081,2),"")</f>
        <v/>
      </c>
      <c r="O279" s="215" t="str">
        <f>IF(ISNUMBER(I279),I279-SUM(J279:N279),"")</f>
        <v/>
      </c>
      <c r="P279" s="216" t="str">
        <f>IFERROR(IF(AND(ISNUMBER(O279),ISNUMBER(I279),I279&lt;&gt;0),O279/I279,""),"")</f>
        <v/>
      </c>
      <c r="Q279" s="215" t="str">
        <f>IF(AND(ISNUMBER(I279),ISNUMBER(S279)),I279*IF(S279&lt;=1,S279,S279/100),IF(OR(I279&lt;&gt;"",S279&lt;&gt;""),"tbd",""))</f>
        <v/>
      </c>
      <c r="S279" s="217" t="n"/>
      <c r="Z279" t="str">
        <f>IF(AND(R279="WON",ISNUMBER(I279)),AA279,"")</f>
        <v/>
      </c>
      <c r="AA279">
        <f>IFERROR(I279*1,0)</f>
        <v>0</v>
      </c>
      <c r="AB279">
        <f>N(AB278)+IF(AND(R279="WON",B279&lt;&gt;""),1,0)</f>
        <v>7</v>
      </c>
      <c r="AC279">
        <f>N(AC278)+IF(AND(OR(R279="offered",R279="to be offered",R279="on hold"),B279&lt;&gt;""),1,0)</f>
        <v>19</v>
      </c>
      <c r="AD279">
        <f>N(AD278)+IF(AND(OR(R279="follow-up",R279="Evaluation",R279="tbd",R279="In evaluation"),B279&lt;&gt;""),1,0)</f>
        <v>9</v>
      </c>
    </row>
    <row r="280" ht="15" customHeight="1">
      <c r="I280" s="215" t="n"/>
      <c r="J280" s="215" t="n"/>
      <c r="K280" s="215" t="n"/>
      <c r="L280" s="215" t="n"/>
      <c r="M280" s="215" t="n"/>
      <c r="N280" s="215" t="str">
        <f>IF(ISNUMBER(I280),ROUND(I280-I280/1.081,2),"")</f>
        <v/>
      </c>
      <c r="O280" s="215" t="str">
        <f>IF(ISNUMBER(I280),I280-SUM(J280:N280),"")</f>
        <v/>
      </c>
      <c r="P280" s="216" t="str">
        <f>IFERROR(IF(AND(ISNUMBER(O280),ISNUMBER(I280),I280&lt;&gt;0),O280/I280,""),"")</f>
        <v/>
      </c>
      <c r="Q280" s="215" t="str">
        <f>IF(AND(ISNUMBER(I280),ISNUMBER(S280)),I280*IF(S280&lt;=1,S280,S280/100),IF(OR(I280&lt;&gt;"",S280&lt;&gt;""),"tbd",""))</f>
        <v/>
      </c>
      <c r="S280" s="217" t="n"/>
      <c r="Z280" t="str">
        <f>IF(AND(R280="WON",ISNUMBER(I280)),AA280,"")</f>
        <v/>
      </c>
      <c r="AA280">
        <f>IFERROR(I280*1,0)</f>
        <v>0</v>
      </c>
      <c r="AB280">
        <f>N(AB279)+IF(AND(R280="WON",B280&lt;&gt;""),1,0)</f>
        <v>7</v>
      </c>
      <c r="AC280">
        <f>N(AC279)+IF(AND(OR(R280="offered",R280="to be offered",R280="on hold"),B280&lt;&gt;""),1,0)</f>
        <v>19</v>
      </c>
      <c r="AD280">
        <f>N(AD279)+IF(AND(OR(R280="follow-up",R280="Evaluation",R280="tbd",R280="In evaluation"),B280&lt;&gt;""),1,0)</f>
        <v>9</v>
      </c>
    </row>
    <row r="281" ht="15" customHeight="1">
      <c r="I281" s="215" t="n"/>
      <c r="J281" s="215" t="n"/>
      <c r="K281" s="215" t="n"/>
      <c r="L281" s="215" t="n"/>
      <c r="M281" s="215" t="n"/>
      <c r="N281" s="215" t="str">
        <f>IF(ISNUMBER(I281),ROUND(I281-I281/1.081,2),"")</f>
        <v/>
      </c>
      <c r="O281" s="215" t="str">
        <f>IF(ISNUMBER(I281),I281-SUM(J281:N281),"")</f>
        <v/>
      </c>
      <c r="P281" s="216" t="str">
        <f>IFERROR(IF(AND(ISNUMBER(O281),ISNUMBER(I281),I281&lt;&gt;0),O281/I281,""),"")</f>
        <v/>
      </c>
      <c r="Q281" s="215" t="str">
        <f>IF(AND(ISNUMBER(I281),ISNUMBER(S281)),I281*IF(S281&lt;=1,S281,S281/100),IF(OR(I281&lt;&gt;"",S281&lt;&gt;""),"tbd",""))</f>
        <v/>
      </c>
      <c r="S281" s="217" t="n"/>
      <c r="Z281" t="str">
        <f>IF(AND(R281="WON",ISNUMBER(I281)),AA281,"")</f>
        <v/>
      </c>
      <c r="AA281">
        <f>IFERROR(I281*1,0)</f>
        <v>0</v>
      </c>
      <c r="AB281">
        <f>N(AB280)+IF(AND(R281="WON",B281&lt;&gt;""),1,0)</f>
        <v>7</v>
      </c>
      <c r="AC281">
        <f>N(AC280)+IF(AND(OR(R281="offered",R281="to be offered",R281="on hold"),B281&lt;&gt;""),1,0)</f>
        <v>19</v>
      </c>
      <c r="AD281">
        <f>N(AD280)+IF(AND(OR(R281="follow-up",R281="Evaluation",R281="tbd",R281="In evaluation"),B281&lt;&gt;""),1,0)</f>
        <v>9</v>
      </c>
    </row>
    <row r="282" ht="15" customHeight="1">
      <c r="I282" s="215" t="n"/>
      <c r="J282" s="215" t="n"/>
      <c r="K282" s="215" t="n"/>
      <c r="L282" s="215" t="n"/>
      <c r="M282" s="215" t="n"/>
      <c r="N282" s="215" t="str">
        <f>IF(ISNUMBER(I282),ROUND(I282-I282/1.081,2),"")</f>
        <v/>
      </c>
      <c r="O282" s="215" t="str">
        <f>IF(ISNUMBER(I282),I282-SUM(J282:N282),"")</f>
        <v/>
      </c>
      <c r="P282" s="216" t="str">
        <f>IFERROR(IF(AND(ISNUMBER(O282),ISNUMBER(I282),I282&lt;&gt;0),O282/I282,""),"")</f>
        <v/>
      </c>
      <c r="Q282" s="215" t="str">
        <f>IF(AND(ISNUMBER(I282),ISNUMBER(S282)),I282*IF(S282&lt;=1,S282,S282/100),IF(OR(I282&lt;&gt;"",S282&lt;&gt;""),"tbd",""))</f>
        <v/>
      </c>
      <c r="S282" s="217" t="n"/>
      <c r="Z282" t="str">
        <f>IF(AND(R282="WON",ISNUMBER(I282)),AA282,"")</f>
        <v/>
      </c>
      <c r="AA282">
        <f>IFERROR(I282*1,0)</f>
        <v>0</v>
      </c>
      <c r="AB282">
        <f>N(AB281)+IF(AND(R282="WON",B282&lt;&gt;""),1,0)</f>
        <v>7</v>
      </c>
      <c r="AC282">
        <f>N(AC281)+IF(AND(OR(R282="offered",R282="to be offered",R282="on hold"),B282&lt;&gt;""),1,0)</f>
        <v>19</v>
      </c>
      <c r="AD282">
        <f>N(AD281)+IF(AND(OR(R282="follow-up",R282="Evaluation",R282="tbd",R282="In evaluation"),B282&lt;&gt;""),1,0)</f>
        <v>9</v>
      </c>
    </row>
    <row r="283" ht="15" customHeight="1">
      <c r="I283" s="215" t="n"/>
      <c r="J283" s="215" t="n"/>
      <c r="K283" s="215" t="n"/>
      <c r="L283" s="215" t="n"/>
      <c r="M283" s="215" t="n"/>
      <c r="N283" s="215" t="str">
        <f>IF(ISNUMBER(I283),ROUND(I283-I283/1.081,2),"")</f>
        <v/>
      </c>
      <c r="O283" s="215" t="str">
        <f>IF(ISNUMBER(I283),I283-SUM(J283:N283),"")</f>
        <v/>
      </c>
      <c r="P283" s="216" t="str">
        <f>IFERROR(IF(AND(ISNUMBER(O283),ISNUMBER(I283),I283&lt;&gt;0),O283/I283,""),"")</f>
        <v/>
      </c>
      <c r="Q283" s="215" t="str">
        <f>IF(AND(ISNUMBER(I283),ISNUMBER(S283)),I283*IF(S283&lt;=1,S283,S283/100),IF(OR(I283&lt;&gt;"",S283&lt;&gt;""),"tbd",""))</f>
        <v/>
      </c>
      <c r="S283" s="217" t="n"/>
      <c r="Z283" t="str">
        <f>IF(AND(R283="WON",ISNUMBER(I283)),AA283,"")</f>
        <v/>
      </c>
      <c r="AA283">
        <f>IFERROR(I283*1,0)</f>
        <v>0</v>
      </c>
      <c r="AB283">
        <f>N(AB282)+IF(AND(R283="WON",B283&lt;&gt;""),1,0)</f>
        <v>7</v>
      </c>
      <c r="AC283">
        <f>N(AC282)+IF(AND(OR(R283="offered",R283="to be offered",R283="on hold"),B283&lt;&gt;""),1,0)</f>
        <v>19</v>
      </c>
      <c r="AD283">
        <f>N(AD282)+IF(AND(OR(R283="follow-up",R283="Evaluation",R283="tbd",R283="In evaluation"),B283&lt;&gt;""),1,0)</f>
        <v>9</v>
      </c>
    </row>
    <row r="284" ht="15" customHeight="1">
      <c r="I284" s="215" t="n"/>
      <c r="J284" s="215" t="n"/>
      <c r="K284" s="215" t="n"/>
      <c r="L284" s="215" t="n"/>
      <c r="M284" s="215" t="n"/>
      <c r="N284" s="215" t="str">
        <f>IF(ISNUMBER(I284),ROUND(I284-I284/1.081,2),"")</f>
        <v/>
      </c>
      <c r="O284" s="215" t="str">
        <f>IF(ISNUMBER(I284),I284-SUM(J284:N284),"")</f>
        <v/>
      </c>
      <c r="P284" s="216" t="str">
        <f>IFERROR(IF(AND(ISNUMBER(O284),ISNUMBER(I284),I284&lt;&gt;0),O284/I284,""),"")</f>
        <v/>
      </c>
      <c r="Q284" s="215" t="str">
        <f>IF(AND(ISNUMBER(I284),ISNUMBER(S284)),I284*IF(S284&lt;=1,S284,S284/100),IF(OR(I284&lt;&gt;"",S284&lt;&gt;""),"tbd",""))</f>
        <v/>
      </c>
      <c r="S284" s="217" t="n"/>
      <c r="Z284" t="str">
        <f>IF(AND(R284="WON",ISNUMBER(I284)),AA284,"")</f>
        <v/>
      </c>
      <c r="AA284">
        <f>IFERROR(I284*1,0)</f>
        <v>0</v>
      </c>
      <c r="AB284">
        <f>N(AB283)+IF(AND(R284="WON",B284&lt;&gt;""),1,0)</f>
        <v>7</v>
      </c>
      <c r="AC284">
        <f>N(AC283)+IF(AND(OR(R284="offered",R284="to be offered",R284="on hold"),B284&lt;&gt;""),1,0)</f>
        <v>19</v>
      </c>
      <c r="AD284">
        <f>N(AD283)+IF(AND(OR(R284="follow-up",R284="Evaluation",R284="tbd",R284="In evaluation"),B284&lt;&gt;""),1,0)</f>
        <v>9</v>
      </c>
    </row>
    <row r="285" ht="15" customHeight="1">
      <c r="I285" s="215" t="n"/>
      <c r="J285" s="215" t="n"/>
      <c r="K285" s="215" t="n"/>
      <c r="L285" s="215" t="n"/>
      <c r="M285" s="215" t="n"/>
      <c r="N285" s="215" t="str">
        <f>IF(ISNUMBER(I285),ROUND(I285-I285/1.081,2),"")</f>
        <v/>
      </c>
      <c r="O285" s="215" t="str">
        <f>IF(ISNUMBER(I285),I285-SUM(J285:N285),"")</f>
        <v/>
      </c>
      <c r="P285" s="216" t="str">
        <f>IFERROR(IF(AND(ISNUMBER(O285),ISNUMBER(I285),I285&lt;&gt;0),O285/I285,""),"")</f>
        <v/>
      </c>
      <c r="Q285" s="215" t="str">
        <f>IF(AND(ISNUMBER(I285),ISNUMBER(S285)),I285*IF(S285&lt;=1,S285,S285/100),IF(OR(I285&lt;&gt;"",S285&lt;&gt;""),"tbd",""))</f>
        <v/>
      </c>
      <c r="S285" s="217" t="n"/>
      <c r="Z285" t="str">
        <f>IF(AND(R285="WON",ISNUMBER(I285)),AA285,"")</f>
        <v/>
      </c>
      <c r="AA285">
        <f>IFERROR(I285*1,0)</f>
        <v>0</v>
      </c>
      <c r="AB285">
        <f>N(AB284)+IF(AND(R285="WON",B285&lt;&gt;""),1,0)</f>
        <v>7</v>
      </c>
      <c r="AC285">
        <f>N(AC284)+IF(AND(OR(R285="offered",R285="to be offered",R285="on hold"),B285&lt;&gt;""),1,0)</f>
        <v>19</v>
      </c>
      <c r="AD285">
        <f>N(AD284)+IF(AND(OR(R285="follow-up",R285="Evaluation",R285="tbd",R285="In evaluation"),B285&lt;&gt;""),1,0)</f>
        <v>9</v>
      </c>
    </row>
    <row r="286" ht="15" customHeight="1">
      <c r="I286" s="215" t="n"/>
      <c r="J286" s="215" t="n"/>
      <c r="K286" s="215" t="n"/>
      <c r="L286" s="215" t="n"/>
      <c r="M286" s="215" t="n"/>
      <c r="N286" s="215" t="str">
        <f>IF(ISNUMBER(I286),ROUND(I286-I286/1.081,2),"")</f>
        <v/>
      </c>
      <c r="O286" s="215" t="str">
        <f>IF(ISNUMBER(I286),I286-SUM(J286:N286),"")</f>
        <v/>
      </c>
      <c r="P286" s="216" t="str">
        <f>IFERROR(IF(AND(ISNUMBER(O286),ISNUMBER(I286),I286&lt;&gt;0),O286/I286,""),"")</f>
        <v/>
      </c>
      <c r="Q286" s="215" t="str">
        <f>IF(AND(ISNUMBER(I286),ISNUMBER(S286)),I286*IF(S286&lt;=1,S286,S286/100),IF(OR(I286&lt;&gt;"",S286&lt;&gt;""),"tbd",""))</f>
        <v/>
      </c>
      <c r="S286" s="217" t="n"/>
      <c r="Z286" t="str">
        <f>IF(AND(R286="WON",ISNUMBER(I286)),AA286,"")</f>
        <v/>
      </c>
      <c r="AA286">
        <f>IFERROR(I286*1,0)</f>
        <v>0</v>
      </c>
      <c r="AB286">
        <f>N(AB285)+IF(AND(R286="WON",B286&lt;&gt;""),1,0)</f>
        <v>7</v>
      </c>
      <c r="AC286">
        <f>N(AC285)+IF(AND(OR(R286="offered",R286="to be offered",R286="on hold"),B286&lt;&gt;""),1,0)</f>
        <v>19</v>
      </c>
      <c r="AD286">
        <f>N(AD285)+IF(AND(OR(R286="follow-up",R286="Evaluation",R286="tbd",R286="In evaluation"),B286&lt;&gt;""),1,0)</f>
        <v>9</v>
      </c>
    </row>
    <row r="287" ht="15" customHeight="1">
      <c r="I287" s="215" t="n"/>
      <c r="J287" s="215" t="n"/>
      <c r="K287" s="215" t="n"/>
      <c r="L287" s="215" t="n"/>
      <c r="M287" s="215" t="n"/>
      <c r="N287" s="215" t="str">
        <f>IF(ISNUMBER(I287),ROUND(I287-I287/1.081,2),"")</f>
        <v/>
      </c>
      <c r="O287" s="215" t="str">
        <f>IF(ISNUMBER(I287),I287-SUM(J287:N287),"")</f>
        <v/>
      </c>
      <c r="P287" s="216" t="str">
        <f>IFERROR(IF(AND(ISNUMBER(O287),ISNUMBER(I287),I287&lt;&gt;0),O287/I287,""),"")</f>
        <v/>
      </c>
      <c r="Q287" s="215" t="str">
        <f>IF(AND(ISNUMBER(I287),ISNUMBER(S287)),I287*IF(S287&lt;=1,S287,S287/100),IF(OR(I287&lt;&gt;"",S287&lt;&gt;""),"tbd",""))</f>
        <v/>
      </c>
      <c r="S287" s="217" t="n"/>
      <c r="Z287" t="str">
        <f>IF(AND(R287="WON",ISNUMBER(I287)),AA287,"")</f>
        <v/>
      </c>
      <c r="AA287">
        <f>IFERROR(I287*1,0)</f>
        <v>0</v>
      </c>
      <c r="AB287">
        <f>N(AB286)+IF(AND(R287="WON",B287&lt;&gt;""),1,0)</f>
        <v>7</v>
      </c>
      <c r="AC287">
        <f>N(AC286)+IF(AND(OR(R287="offered",R287="to be offered",R287="on hold"),B287&lt;&gt;""),1,0)</f>
        <v>19</v>
      </c>
      <c r="AD287">
        <f>N(AD286)+IF(AND(OR(R287="follow-up",R287="Evaluation",R287="tbd",R287="In evaluation"),B287&lt;&gt;""),1,0)</f>
        <v>9</v>
      </c>
    </row>
    <row r="288" ht="15" customHeight="1">
      <c r="I288" s="215" t="n"/>
      <c r="J288" s="215" t="n"/>
      <c r="K288" s="215" t="n"/>
      <c r="L288" s="215" t="n"/>
      <c r="M288" s="215" t="n"/>
      <c r="N288" s="215" t="str">
        <f>IF(ISNUMBER(I288),ROUND(I288-I288/1.081,2),"")</f>
        <v/>
      </c>
      <c r="O288" s="215" t="str">
        <f>IF(ISNUMBER(I288),I288-SUM(J288:N288),"")</f>
        <v/>
      </c>
      <c r="P288" s="216" t="str">
        <f>IFERROR(IF(AND(ISNUMBER(O288),ISNUMBER(I288),I288&lt;&gt;0),O288/I288,""),"")</f>
        <v/>
      </c>
      <c r="Q288" s="215" t="str">
        <f>IF(AND(ISNUMBER(I288),ISNUMBER(S288)),I288*IF(S288&lt;=1,S288,S288/100),IF(OR(I288&lt;&gt;"",S288&lt;&gt;""),"tbd",""))</f>
        <v/>
      </c>
      <c r="S288" s="217" t="n"/>
      <c r="Z288" t="str">
        <f>IF(AND(R288="WON",ISNUMBER(I288)),AA288,"")</f>
        <v/>
      </c>
      <c r="AA288">
        <f>IFERROR(I288*1,0)</f>
        <v>0</v>
      </c>
      <c r="AB288">
        <f>N(AB287)+IF(AND(R288="WON",B288&lt;&gt;""),1,0)</f>
        <v>7</v>
      </c>
      <c r="AC288">
        <f>N(AC287)+IF(AND(OR(R288="offered",R288="to be offered",R288="on hold"),B288&lt;&gt;""),1,0)</f>
        <v>19</v>
      </c>
      <c r="AD288">
        <f>N(AD287)+IF(AND(OR(R288="follow-up",R288="Evaluation",R288="tbd",R288="In evaluation"),B288&lt;&gt;""),1,0)</f>
        <v>9</v>
      </c>
    </row>
    <row r="289" ht="15" customHeight="1">
      <c r="I289" s="215" t="n"/>
      <c r="J289" s="215" t="n"/>
      <c r="K289" s="215" t="n"/>
      <c r="L289" s="215" t="n"/>
      <c r="M289" s="215" t="n"/>
      <c r="N289" s="215" t="str">
        <f>IF(ISNUMBER(I289),ROUND(I289-I289/1.081,2),"")</f>
        <v/>
      </c>
      <c r="O289" s="215" t="str">
        <f>IF(ISNUMBER(I289),I289-SUM(J289:N289),"")</f>
        <v/>
      </c>
      <c r="P289" s="216" t="str">
        <f>IFERROR(IF(AND(ISNUMBER(O289),ISNUMBER(I289),I289&lt;&gt;0),O289/I289,""),"")</f>
        <v/>
      </c>
      <c r="Q289" s="215" t="str">
        <f>IF(AND(ISNUMBER(I289),ISNUMBER(S289)),I289*IF(S289&lt;=1,S289,S289/100),IF(OR(I289&lt;&gt;"",S289&lt;&gt;""),"tbd",""))</f>
        <v/>
      </c>
      <c r="S289" s="217" t="n"/>
      <c r="Z289" t="str">
        <f>IF(AND(R289="WON",ISNUMBER(I289)),AA289,"")</f>
        <v/>
      </c>
      <c r="AA289">
        <f>IFERROR(I289*1,0)</f>
        <v>0</v>
      </c>
      <c r="AB289">
        <f>N(AB288)+IF(AND(R289="WON",B289&lt;&gt;""),1,0)</f>
        <v>7</v>
      </c>
      <c r="AC289">
        <f>N(AC288)+IF(AND(OR(R289="offered",R289="to be offered",R289="on hold"),B289&lt;&gt;""),1,0)</f>
        <v>19</v>
      </c>
      <c r="AD289">
        <f>N(AD288)+IF(AND(OR(R289="follow-up",R289="Evaluation",R289="tbd",R289="In evaluation"),B289&lt;&gt;""),1,0)</f>
        <v>9</v>
      </c>
    </row>
    <row r="290" ht="15" customHeight="1">
      <c r="I290" s="215" t="n"/>
      <c r="J290" s="215" t="n"/>
      <c r="K290" s="215" t="n"/>
      <c r="L290" s="215" t="n"/>
      <c r="M290" s="215" t="n"/>
      <c r="N290" s="215" t="str">
        <f>IF(ISNUMBER(I290),ROUND(I290-I290/1.081,2),"")</f>
        <v/>
      </c>
      <c r="O290" s="215" t="str">
        <f>IF(ISNUMBER(I290),I290-SUM(J290:N290),"")</f>
        <v/>
      </c>
      <c r="P290" s="216" t="str">
        <f>IFERROR(IF(AND(ISNUMBER(O290),ISNUMBER(I290),I290&lt;&gt;0),O290/I290,""),"")</f>
        <v/>
      </c>
      <c r="Q290" s="215" t="str">
        <f>IF(AND(ISNUMBER(I290),ISNUMBER(S290)),I290*IF(S290&lt;=1,S290,S290/100),IF(OR(I290&lt;&gt;"",S290&lt;&gt;""),"tbd",""))</f>
        <v/>
      </c>
      <c r="S290" s="217" t="n"/>
      <c r="Z290" t="str">
        <f>IF(AND(R290="WON",ISNUMBER(I290)),AA290,"")</f>
        <v/>
      </c>
      <c r="AA290">
        <f>IFERROR(I290*1,0)</f>
        <v>0</v>
      </c>
      <c r="AB290">
        <f>N(AB289)+IF(AND(R290="WON",B290&lt;&gt;""),1,0)</f>
        <v>7</v>
      </c>
      <c r="AC290">
        <f>N(AC289)+IF(AND(OR(R290="offered",R290="to be offered",R290="on hold"),B290&lt;&gt;""),1,0)</f>
        <v>19</v>
      </c>
      <c r="AD290">
        <f>N(AD289)+IF(AND(OR(R290="follow-up",R290="Evaluation",R290="tbd",R290="In evaluation"),B290&lt;&gt;""),1,0)</f>
        <v>9</v>
      </c>
    </row>
    <row r="291" ht="15" customHeight="1">
      <c r="I291" s="215" t="n"/>
      <c r="J291" s="215" t="n"/>
      <c r="K291" s="215" t="n"/>
      <c r="L291" s="215" t="n"/>
      <c r="M291" s="215" t="n"/>
      <c r="N291" s="215" t="str">
        <f>IF(ISNUMBER(I291),ROUND(I291-I291/1.081,2),"")</f>
        <v/>
      </c>
      <c r="O291" s="215" t="str">
        <f>IF(ISNUMBER(I291),I291-SUM(J291:N291),"")</f>
        <v/>
      </c>
      <c r="P291" s="216" t="str">
        <f>IFERROR(IF(AND(ISNUMBER(O291),ISNUMBER(I291),I291&lt;&gt;0),O291/I291,""),"")</f>
        <v/>
      </c>
      <c r="Q291" s="215" t="str">
        <f>IF(AND(ISNUMBER(I291),ISNUMBER(S291)),I291*IF(S291&lt;=1,S291,S291/100),IF(OR(I291&lt;&gt;"",S291&lt;&gt;""),"tbd",""))</f>
        <v/>
      </c>
      <c r="S291" s="217" t="n"/>
      <c r="Z291" t="str">
        <f>IF(AND(R291="WON",ISNUMBER(I291)),AA291,"")</f>
        <v/>
      </c>
      <c r="AA291">
        <f>IFERROR(I291*1,0)</f>
        <v>0</v>
      </c>
      <c r="AB291">
        <f>N(AB290)+IF(AND(R291="WON",B291&lt;&gt;""),1,0)</f>
        <v>7</v>
      </c>
      <c r="AC291">
        <f>N(AC290)+IF(AND(OR(R291="offered",R291="to be offered",R291="on hold"),B291&lt;&gt;""),1,0)</f>
        <v>19</v>
      </c>
      <c r="AD291">
        <f>N(AD290)+IF(AND(OR(R291="follow-up",R291="Evaluation",R291="tbd",R291="In evaluation"),B291&lt;&gt;""),1,0)</f>
        <v>9</v>
      </c>
    </row>
    <row r="292" ht="15" customHeight="1">
      <c r="I292" s="215" t="n"/>
      <c r="J292" s="215" t="n"/>
      <c r="K292" s="215" t="n"/>
      <c r="L292" s="215" t="n"/>
      <c r="M292" s="215" t="n"/>
      <c r="N292" s="215" t="str">
        <f>IF(ISNUMBER(I292),ROUND(I292-I292/1.081,2),"")</f>
        <v/>
      </c>
      <c r="O292" s="215" t="str">
        <f>IF(ISNUMBER(I292),I292-SUM(J292:N292),"")</f>
        <v/>
      </c>
      <c r="P292" s="216" t="str">
        <f>IFERROR(IF(AND(ISNUMBER(O292),ISNUMBER(I292),I292&lt;&gt;0),O292/I292,""),"")</f>
        <v/>
      </c>
      <c r="Q292" s="215" t="str">
        <f>IF(AND(ISNUMBER(I292),ISNUMBER(S292)),I292*IF(S292&lt;=1,S292,S292/100),IF(OR(I292&lt;&gt;"",S292&lt;&gt;""),"tbd",""))</f>
        <v/>
      </c>
      <c r="S292" s="217" t="n"/>
      <c r="Z292" t="str">
        <f>IF(AND(R292="WON",ISNUMBER(I292)),AA292,"")</f>
        <v/>
      </c>
      <c r="AA292">
        <f>IFERROR(I292*1,0)</f>
        <v>0</v>
      </c>
      <c r="AB292">
        <f>N(AB291)+IF(AND(R292="WON",B292&lt;&gt;""),1,0)</f>
        <v>7</v>
      </c>
      <c r="AC292">
        <f>N(AC291)+IF(AND(OR(R292="offered",R292="to be offered",R292="on hold"),B292&lt;&gt;""),1,0)</f>
        <v>19</v>
      </c>
      <c r="AD292">
        <f>N(AD291)+IF(AND(OR(R292="follow-up",R292="Evaluation",R292="tbd",R292="In evaluation"),B292&lt;&gt;""),1,0)</f>
        <v>9</v>
      </c>
    </row>
    <row r="293" ht="15" customHeight="1">
      <c r="I293" s="215" t="n"/>
      <c r="J293" s="215" t="n"/>
      <c r="K293" s="215" t="n"/>
      <c r="L293" s="215" t="n"/>
      <c r="M293" s="215" t="n"/>
      <c r="N293" s="215" t="str">
        <f>IF(ISNUMBER(I293),ROUND(I293-I293/1.081,2),"")</f>
        <v/>
      </c>
      <c r="O293" s="215" t="str">
        <f>IF(ISNUMBER(I293),I293-SUM(J293:N293),"")</f>
        <v/>
      </c>
      <c r="P293" s="216" t="str">
        <f>IFERROR(IF(AND(ISNUMBER(O293),ISNUMBER(I293),I293&lt;&gt;0),O293/I293,""),"")</f>
        <v/>
      </c>
      <c r="Q293" s="215" t="str">
        <f>IF(AND(ISNUMBER(I293),ISNUMBER(S293)),I293*IF(S293&lt;=1,S293,S293/100),IF(OR(I293&lt;&gt;"",S293&lt;&gt;""),"tbd",""))</f>
        <v/>
      </c>
      <c r="S293" s="217" t="n"/>
      <c r="Z293" t="str">
        <f>IF(AND(R293="WON",ISNUMBER(I293)),AA293,"")</f>
        <v/>
      </c>
      <c r="AA293">
        <f>IFERROR(I293*1,0)</f>
        <v>0</v>
      </c>
      <c r="AB293">
        <f>N(AB292)+IF(AND(R293="WON",B293&lt;&gt;""),1,0)</f>
        <v>7</v>
      </c>
      <c r="AC293">
        <f>N(AC292)+IF(AND(OR(R293="offered",R293="to be offered",R293="on hold"),B293&lt;&gt;""),1,0)</f>
        <v>19</v>
      </c>
      <c r="AD293">
        <f>N(AD292)+IF(AND(OR(R293="follow-up",R293="Evaluation",R293="tbd",R293="In evaluation"),B293&lt;&gt;""),1,0)</f>
        <v>9</v>
      </c>
    </row>
    <row r="294" ht="15" customHeight="1">
      <c r="I294" s="215" t="n"/>
      <c r="J294" s="215" t="n"/>
      <c r="K294" s="215" t="n"/>
      <c r="L294" s="215" t="n"/>
      <c r="M294" s="215" t="n"/>
      <c r="N294" s="215" t="str">
        <f>IF(ISNUMBER(I294),ROUND(I294-I294/1.081,2),"")</f>
        <v/>
      </c>
      <c r="O294" s="215" t="str">
        <f>IF(ISNUMBER(I294),I294-SUM(J294:N294),"")</f>
        <v/>
      </c>
      <c r="P294" s="216" t="str">
        <f>IFERROR(IF(AND(ISNUMBER(O294),ISNUMBER(I294),I294&lt;&gt;0),O294/I294,""),"")</f>
        <v/>
      </c>
      <c r="Q294" s="215" t="str">
        <f>IF(AND(ISNUMBER(I294),ISNUMBER(S294)),I294*IF(S294&lt;=1,S294,S294/100),IF(OR(I294&lt;&gt;"",S294&lt;&gt;""),"tbd",""))</f>
        <v/>
      </c>
      <c r="S294" s="217" t="n"/>
      <c r="Z294" t="str">
        <f>IF(AND(R294="WON",ISNUMBER(I294)),AA294,"")</f>
        <v/>
      </c>
      <c r="AA294">
        <f>IFERROR(I294*1,0)</f>
        <v>0</v>
      </c>
      <c r="AB294">
        <f>N(AB293)+IF(AND(R294="WON",B294&lt;&gt;""),1,0)</f>
        <v>7</v>
      </c>
      <c r="AC294">
        <f>N(AC293)+IF(AND(OR(R294="offered",R294="to be offered",R294="on hold"),B294&lt;&gt;""),1,0)</f>
        <v>19</v>
      </c>
      <c r="AD294">
        <f>N(AD293)+IF(AND(OR(R294="follow-up",R294="Evaluation",R294="tbd",R294="In evaluation"),B294&lt;&gt;""),1,0)</f>
        <v>9</v>
      </c>
    </row>
    <row r="295" ht="15" customHeight="1">
      <c r="I295" s="215" t="n"/>
      <c r="J295" s="215" t="n"/>
      <c r="K295" s="215" t="n"/>
      <c r="L295" s="215" t="n"/>
      <c r="M295" s="215" t="n"/>
      <c r="N295" s="215" t="str">
        <f>IF(ISNUMBER(I295),ROUND(I295-I295/1.081,2),"")</f>
        <v/>
      </c>
      <c r="O295" s="215" t="str">
        <f>IF(ISNUMBER(I295),I295-SUM(J295:N295),"")</f>
        <v/>
      </c>
      <c r="P295" s="216" t="str">
        <f>IFERROR(IF(AND(ISNUMBER(O295),ISNUMBER(I295),I295&lt;&gt;0),O295/I295,""),"")</f>
        <v/>
      </c>
      <c r="Q295" s="215" t="str">
        <f>IF(AND(ISNUMBER(I295),ISNUMBER(S295)),I295*IF(S295&lt;=1,S295,S295/100),IF(OR(I295&lt;&gt;"",S295&lt;&gt;""),"tbd",""))</f>
        <v/>
      </c>
      <c r="S295" s="217" t="n"/>
      <c r="Z295" t="str">
        <f>IF(AND(R295="WON",ISNUMBER(I295)),AA295,"")</f>
        <v/>
      </c>
      <c r="AA295">
        <f>IFERROR(I295*1,0)</f>
        <v>0</v>
      </c>
      <c r="AB295">
        <f>N(AB294)+IF(AND(R295="WON",B295&lt;&gt;""),1,0)</f>
        <v>7</v>
      </c>
      <c r="AC295">
        <f>N(AC294)+IF(AND(OR(R295="offered",R295="to be offered",R295="on hold"),B295&lt;&gt;""),1,0)</f>
        <v>19</v>
      </c>
      <c r="AD295">
        <f>N(AD294)+IF(AND(OR(R295="follow-up",R295="Evaluation",R295="tbd",R295="In evaluation"),B295&lt;&gt;""),1,0)</f>
        <v>9</v>
      </c>
    </row>
    <row r="296" ht="15" customHeight="1">
      <c r="I296" s="215" t="n"/>
      <c r="J296" s="215" t="n"/>
      <c r="K296" s="215" t="n"/>
      <c r="L296" s="215" t="n"/>
      <c r="M296" s="215" t="n"/>
      <c r="N296" s="215" t="str">
        <f>IF(ISNUMBER(I296),ROUND(I296-I296/1.081,2),"")</f>
        <v/>
      </c>
      <c r="O296" s="215" t="str">
        <f>IF(ISNUMBER(I296),I296-SUM(J296:N296),"")</f>
        <v/>
      </c>
      <c r="P296" s="216" t="str">
        <f>IFERROR(IF(AND(ISNUMBER(O296),ISNUMBER(I296),I296&lt;&gt;0),O296/I296,""),"")</f>
        <v/>
      </c>
      <c r="Q296" s="215" t="str">
        <f>IF(AND(ISNUMBER(I296),ISNUMBER(S296)),I296*IF(S296&lt;=1,S296,S296/100),IF(OR(I296&lt;&gt;"",S296&lt;&gt;""),"tbd",""))</f>
        <v/>
      </c>
      <c r="S296" s="217" t="n"/>
      <c r="Z296" t="str">
        <f>IF(AND(R296="WON",ISNUMBER(I296)),AA296,"")</f>
        <v/>
      </c>
      <c r="AA296">
        <f>IFERROR(I296*1,0)</f>
        <v>0</v>
      </c>
      <c r="AB296">
        <f>N(AB295)+IF(AND(R296="WON",B296&lt;&gt;""),1,0)</f>
        <v>7</v>
      </c>
      <c r="AC296">
        <f>N(AC295)+IF(AND(OR(R296="offered",R296="to be offered",R296="on hold"),B296&lt;&gt;""),1,0)</f>
        <v>19</v>
      </c>
      <c r="AD296">
        <f>N(AD295)+IF(AND(OR(R296="follow-up",R296="Evaluation",R296="tbd",R296="In evaluation"),B296&lt;&gt;""),1,0)</f>
        <v>9</v>
      </c>
    </row>
    <row r="297" ht="15" customHeight="1">
      <c r="I297" s="215" t="n"/>
      <c r="J297" s="215" t="n"/>
      <c r="K297" s="215" t="n"/>
      <c r="L297" s="215" t="n"/>
      <c r="M297" s="215" t="n"/>
      <c r="N297" s="215" t="str">
        <f>IF(ISNUMBER(I297),ROUND(I297-I297/1.081,2),"")</f>
        <v/>
      </c>
      <c r="O297" s="215" t="str">
        <f>IF(ISNUMBER(I297),I297-SUM(J297:N297),"")</f>
        <v/>
      </c>
      <c r="P297" s="216" t="str">
        <f>IFERROR(IF(AND(ISNUMBER(O297),ISNUMBER(I297),I297&lt;&gt;0),O297/I297,""),"")</f>
        <v/>
      </c>
      <c r="Q297" s="215" t="str">
        <f>IF(AND(ISNUMBER(I297),ISNUMBER(S297)),I297*IF(S297&lt;=1,S297,S297/100),IF(OR(I297&lt;&gt;"",S297&lt;&gt;""),"tbd",""))</f>
        <v/>
      </c>
      <c r="S297" s="217" t="n"/>
      <c r="Z297" t="str">
        <f>IF(AND(R297="WON",ISNUMBER(I297)),AA297,"")</f>
        <v/>
      </c>
      <c r="AA297">
        <f>IFERROR(I297*1,0)</f>
        <v>0</v>
      </c>
      <c r="AB297">
        <f>N(AB296)+IF(AND(R297="WON",B297&lt;&gt;""),1,0)</f>
        <v>7</v>
      </c>
      <c r="AC297">
        <f>N(AC296)+IF(AND(OR(R297="offered",R297="to be offered",R297="on hold"),B297&lt;&gt;""),1,0)</f>
        <v>19</v>
      </c>
      <c r="AD297">
        <f>N(AD296)+IF(AND(OR(R297="follow-up",R297="Evaluation",R297="tbd",R297="In evaluation"),B297&lt;&gt;""),1,0)</f>
        <v>9</v>
      </c>
    </row>
    <row r="298" ht="15" customHeight="1">
      <c r="I298" s="215" t="n"/>
      <c r="J298" s="215" t="n"/>
      <c r="K298" s="215" t="n"/>
      <c r="L298" s="215" t="n"/>
      <c r="M298" s="215" t="n"/>
      <c r="N298" s="215" t="str">
        <f>IF(ISNUMBER(I298),ROUND(I298-I298/1.081,2),"")</f>
        <v/>
      </c>
      <c r="O298" s="215" t="str">
        <f>IF(ISNUMBER(I298),I298-SUM(J298:N298),"")</f>
        <v/>
      </c>
      <c r="P298" s="216" t="str">
        <f>IFERROR(IF(AND(ISNUMBER(O298),ISNUMBER(I298),I298&lt;&gt;0),O298/I298,""),"")</f>
        <v/>
      </c>
      <c r="Q298" s="215" t="str">
        <f>IF(AND(ISNUMBER(I298),ISNUMBER(S298)),I298*IF(S298&lt;=1,S298,S298/100),IF(OR(I298&lt;&gt;"",S298&lt;&gt;""),"tbd",""))</f>
        <v/>
      </c>
      <c r="S298" s="217" t="n"/>
      <c r="Z298" t="str">
        <f>IF(AND(R298="WON",ISNUMBER(I298)),AA298,"")</f>
        <v/>
      </c>
      <c r="AA298">
        <f>IFERROR(I298*1,0)</f>
        <v>0</v>
      </c>
      <c r="AB298">
        <f>N(AB297)+IF(AND(R298="WON",B298&lt;&gt;""),1,0)</f>
        <v>7</v>
      </c>
      <c r="AC298">
        <f>N(AC297)+IF(AND(OR(R298="offered",R298="to be offered",R298="on hold"),B298&lt;&gt;""),1,0)</f>
        <v>19</v>
      </c>
      <c r="AD298">
        <f>N(AD297)+IF(AND(OR(R298="follow-up",R298="Evaluation",R298="tbd",R298="In evaluation"),B298&lt;&gt;""),1,0)</f>
        <v>9</v>
      </c>
    </row>
    <row r="299" ht="15" customHeight="1">
      <c r="I299" s="215" t="n"/>
      <c r="J299" s="215" t="n"/>
      <c r="K299" s="215" t="n"/>
      <c r="L299" s="215" t="n"/>
      <c r="M299" s="215" t="n"/>
      <c r="N299" s="215" t="str">
        <f>IF(ISNUMBER(I299),ROUND(I299-I299/1.081,2),"")</f>
        <v/>
      </c>
      <c r="O299" s="215" t="str">
        <f>IF(ISNUMBER(I299),I299-SUM(J299:N299),"")</f>
        <v/>
      </c>
      <c r="P299" s="216" t="str">
        <f>IFERROR(IF(AND(ISNUMBER(O299),ISNUMBER(I299),I299&lt;&gt;0),O299/I299,""),"")</f>
        <v/>
      </c>
      <c r="Q299" s="215" t="str">
        <f>IF(AND(ISNUMBER(I299),ISNUMBER(S299)),I299*IF(S299&lt;=1,S299,S299/100),IF(OR(I299&lt;&gt;"",S299&lt;&gt;""),"tbd",""))</f>
        <v/>
      </c>
      <c r="S299" s="217" t="n"/>
      <c r="Z299" t="str">
        <f>IF(AND(R299="WON",ISNUMBER(I299)),AA299,"")</f>
        <v/>
      </c>
      <c r="AA299">
        <f>IFERROR(I299*1,0)</f>
        <v>0</v>
      </c>
      <c r="AB299">
        <f>N(AB298)+IF(AND(R299="WON",B299&lt;&gt;""),1,0)</f>
        <v>7</v>
      </c>
      <c r="AC299">
        <f>N(AC298)+IF(AND(OR(R299="offered",R299="to be offered",R299="on hold"),B299&lt;&gt;""),1,0)</f>
        <v>19</v>
      </c>
      <c r="AD299">
        <f>N(AD298)+IF(AND(OR(R299="follow-up",R299="Evaluation",R299="tbd",R299="In evaluation"),B299&lt;&gt;""),1,0)</f>
        <v>9</v>
      </c>
    </row>
    <row r="300" ht="15" customHeight="1">
      <c r="I300" s="215" t="n"/>
      <c r="J300" s="215" t="n"/>
      <c r="K300" s="215" t="n"/>
      <c r="L300" s="215" t="n"/>
      <c r="M300" s="215" t="n"/>
      <c r="N300" s="215" t="str">
        <f>IF(ISNUMBER(I300),ROUND(I300-I300/1.081,2),"")</f>
        <v/>
      </c>
      <c r="O300" s="215" t="str">
        <f>IF(ISNUMBER(I300),I300-SUM(J300:N300),"")</f>
        <v/>
      </c>
      <c r="P300" s="216" t="str">
        <f>IFERROR(IF(AND(ISNUMBER(O300),ISNUMBER(I300),I300&lt;&gt;0),O300/I300,""),"")</f>
        <v/>
      </c>
      <c r="Q300" s="215" t="str">
        <f>IF(AND(ISNUMBER(I300),ISNUMBER(S300)),I300*IF(S300&lt;=1,S300,S300/100),IF(OR(I300&lt;&gt;"",S300&lt;&gt;""),"tbd",""))</f>
        <v/>
      </c>
      <c r="S300" s="217" t="n"/>
      <c r="Z300" t="str">
        <f>IF(AND(R300="WON",ISNUMBER(I300)),AA300,"")</f>
        <v/>
      </c>
      <c r="AA300">
        <f>IFERROR(I300*1,0)</f>
        <v>0</v>
      </c>
      <c r="AB300">
        <f>N(AB299)+IF(AND(R300="WON",B300&lt;&gt;""),1,0)</f>
        <v>7</v>
      </c>
      <c r="AC300">
        <f>N(AC299)+IF(AND(OR(R300="offered",R300="to be offered",R300="on hold"),B300&lt;&gt;""),1,0)</f>
        <v>19</v>
      </c>
      <c r="AD300">
        <f>N(AD299)+IF(AND(OR(R300="follow-up",R300="Evaluation",R300="tbd",R300="In evaluation"),B300&lt;&gt;""),1,0)</f>
        <v>9</v>
      </c>
    </row>
    <row r="301" ht="15" customHeight="1">
      <c r="I301" s="215" t="n"/>
      <c r="J301" s="215" t="n"/>
      <c r="K301" s="215" t="n"/>
      <c r="L301" s="215" t="n"/>
      <c r="M301" s="215" t="n"/>
      <c r="N301" s="215" t="str">
        <f>IF(ISNUMBER(I301),ROUND(I301-I301/1.081,2),"")</f>
        <v/>
      </c>
      <c r="O301" s="215" t="str">
        <f>IF(ISNUMBER(I301),I301-SUM(J301:N301),"")</f>
        <v/>
      </c>
      <c r="P301" s="216" t="str">
        <f>IFERROR(IF(AND(ISNUMBER(O301),ISNUMBER(I301),I301&lt;&gt;0),O301/I301,""),"")</f>
        <v/>
      </c>
      <c r="Q301" s="215" t="str">
        <f>IF(AND(ISNUMBER(I301),ISNUMBER(S301)),I301*IF(S301&lt;=1,S301,S301/100),IF(OR(I301&lt;&gt;"",S301&lt;&gt;""),"tbd",""))</f>
        <v/>
      </c>
      <c r="S301" s="217" t="n"/>
      <c r="Z301" t="str">
        <f>IF(AND(R301="WON",ISNUMBER(I301)),AA301,"")</f>
        <v/>
      </c>
      <c r="AA301">
        <f>IFERROR(I301*1,0)</f>
        <v>0</v>
      </c>
      <c r="AB301">
        <f>N(AB300)+IF(AND(R301="WON",B301&lt;&gt;""),1,0)</f>
        <v>7</v>
      </c>
      <c r="AC301">
        <f>N(AC300)+IF(AND(OR(R301="offered",R301="to be offered",R301="on hold"),B301&lt;&gt;""),1,0)</f>
        <v>19</v>
      </c>
      <c r="AD301">
        <f>N(AD300)+IF(AND(OR(R301="follow-up",R301="Evaluation",R301="tbd",R301="In evaluation"),B301&lt;&gt;""),1,0)</f>
        <v>9</v>
      </c>
    </row>
    <row r="302" ht="15" customHeight="1">
      <c r="I302" s="215" t="n"/>
      <c r="J302" s="215" t="n"/>
      <c r="K302" s="215" t="n"/>
      <c r="L302" s="215" t="n"/>
      <c r="M302" s="215" t="n"/>
      <c r="N302" s="215" t="str">
        <f>IF(ISNUMBER(I302),ROUND(I302-I302/1.081,2),"")</f>
        <v/>
      </c>
      <c r="O302" s="215" t="str">
        <f>IF(ISNUMBER(I302),I302-SUM(J302:N302),"")</f>
        <v/>
      </c>
      <c r="P302" s="216" t="str">
        <f>IFERROR(IF(AND(ISNUMBER(O302),ISNUMBER(I302),I302&lt;&gt;0),O302/I302,""),"")</f>
        <v/>
      </c>
      <c r="Q302" s="215" t="str">
        <f>IF(AND(ISNUMBER(I302),ISNUMBER(S302)),I302*IF(S302&lt;=1,S302,S302/100),IF(OR(I302&lt;&gt;"",S302&lt;&gt;""),"tbd",""))</f>
        <v/>
      </c>
      <c r="S302" s="217" t="n"/>
      <c r="Z302" t="str">
        <f>IF(AND(R302="WON",ISNUMBER(I302)),AA302,"")</f>
        <v/>
      </c>
      <c r="AA302">
        <f>IFERROR(I302*1,0)</f>
        <v>0</v>
      </c>
      <c r="AB302">
        <f>N(AB301)+IF(AND(R302="WON",B302&lt;&gt;""),1,0)</f>
        <v>7</v>
      </c>
      <c r="AC302">
        <f>N(AC301)+IF(AND(OR(R302="offered",R302="to be offered",R302="on hold"),B302&lt;&gt;""),1,0)</f>
        <v>19</v>
      </c>
      <c r="AD302">
        <f>N(AD301)+IF(AND(OR(R302="follow-up",R302="Evaluation",R302="tbd",R302="In evaluation"),B302&lt;&gt;""),1,0)</f>
        <v>9</v>
      </c>
    </row>
    <row r="303" ht="15" customHeight="1">
      <c r="I303" s="215" t="n"/>
      <c r="J303" s="215" t="n"/>
      <c r="K303" s="215" t="n"/>
      <c r="L303" s="215" t="n"/>
      <c r="M303" s="215" t="n"/>
      <c r="N303" s="215" t="str">
        <f>IF(ISNUMBER(I303),ROUND(I303-I303/1.081,2),"")</f>
        <v/>
      </c>
      <c r="O303" s="215" t="str">
        <f>IF(ISNUMBER(I303),I303-SUM(J303:N303),"")</f>
        <v/>
      </c>
      <c r="P303" s="216" t="str">
        <f>IFERROR(IF(AND(ISNUMBER(O303),ISNUMBER(I303),I303&lt;&gt;0),O303/I303,""),"")</f>
        <v/>
      </c>
      <c r="Q303" s="215" t="str">
        <f>IF(AND(ISNUMBER(I303),ISNUMBER(S303)),I303*IF(S303&lt;=1,S303,S303/100),IF(OR(I303&lt;&gt;"",S303&lt;&gt;""),"tbd",""))</f>
        <v/>
      </c>
      <c r="S303" s="217" t="n"/>
      <c r="Z303" t="str">
        <f>IF(AND(R303="WON",ISNUMBER(I303)),AA303,"")</f>
        <v/>
      </c>
      <c r="AA303">
        <f>IFERROR(I303*1,0)</f>
        <v>0</v>
      </c>
      <c r="AB303">
        <f>N(AB302)+IF(AND(R303="WON",B303&lt;&gt;""),1,0)</f>
        <v>7</v>
      </c>
      <c r="AC303">
        <f>N(AC302)+IF(AND(OR(R303="offered",R303="to be offered",R303="on hold"),B303&lt;&gt;""),1,0)</f>
        <v>19</v>
      </c>
      <c r="AD303">
        <f>N(AD302)+IF(AND(OR(R303="follow-up",R303="Evaluation",R303="tbd",R303="In evaluation"),B303&lt;&gt;""),1,0)</f>
        <v>9</v>
      </c>
    </row>
    <row r="304" ht="15" customHeight="1">
      <c r="I304" s="215" t="n"/>
      <c r="J304" s="215" t="n"/>
      <c r="K304" s="215" t="n"/>
      <c r="L304" s="215" t="n"/>
      <c r="M304" s="215" t="n"/>
      <c r="N304" s="215" t="str">
        <f>IF(ISNUMBER(I304),ROUND(I304-I304/1.081,2),"")</f>
        <v/>
      </c>
      <c r="O304" s="215" t="str">
        <f>IF(ISNUMBER(I304),I304-SUM(J304:N304),"")</f>
        <v/>
      </c>
      <c r="P304" s="216" t="str">
        <f>IFERROR(IF(AND(ISNUMBER(O304),ISNUMBER(I304),I304&lt;&gt;0),O304/I304,""),"")</f>
        <v/>
      </c>
      <c r="Q304" s="215" t="str">
        <f>IF(AND(ISNUMBER(I304),ISNUMBER(S304)),I304*IF(S304&lt;=1,S304,S304/100),IF(OR(I304&lt;&gt;"",S304&lt;&gt;""),"tbd",""))</f>
        <v/>
      </c>
      <c r="S304" s="217" t="n"/>
      <c r="Z304" t="str">
        <f>IF(AND(R304="WON",ISNUMBER(I304)),AA304,"")</f>
        <v/>
      </c>
      <c r="AA304">
        <f>IFERROR(I304*1,0)</f>
        <v>0</v>
      </c>
      <c r="AB304">
        <f>N(AB303)+IF(AND(R304="WON",B304&lt;&gt;""),1,0)</f>
        <v>7</v>
      </c>
      <c r="AC304">
        <f>N(AC303)+IF(AND(OR(R304="offered",R304="to be offered",R304="on hold"),B304&lt;&gt;""),1,0)</f>
        <v>19</v>
      </c>
      <c r="AD304">
        <f>N(AD303)+IF(AND(OR(R304="follow-up",R304="Evaluation",R304="tbd",R304="In evaluation"),B304&lt;&gt;""),1,0)</f>
        <v>9</v>
      </c>
    </row>
    <row r="305" ht="15" customHeight="1">
      <c r="I305" s="215" t="n"/>
      <c r="J305" s="215" t="n"/>
      <c r="K305" s="215" t="n"/>
      <c r="L305" s="215" t="n"/>
      <c r="M305" s="215" t="n"/>
      <c r="N305" s="215" t="str">
        <f>IF(ISNUMBER(I305),ROUND(I305-I305/1.081,2),"")</f>
        <v/>
      </c>
      <c r="O305" s="215" t="str">
        <f>IF(ISNUMBER(I305),I305-SUM(J305:N305),"")</f>
        <v/>
      </c>
      <c r="P305" s="216" t="str">
        <f>IFERROR(IF(AND(ISNUMBER(O305),ISNUMBER(I305),I305&lt;&gt;0),O305/I305,""),"")</f>
        <v/>
      </c>
      <c r="Q305" s="215" t="str">
        <f>IF(AND(ISNUMBER(I305),ISNUMBER(S305)),I305*IF(S305&lt;=1,S305,S305/100),IF(OR(I305&lt;&gt;"",S305&lt;&gt;""),"tbd",""))</f>
        <v/>
      </c>
      <c r="S305" s="217" t="n"/>
      <c r="Z305" t="str">
        <f>IF(AND(R305="WON",ISNUMBER(I305)),AA305,"")</f>
        <v/>
      </c>
      <c r="AA305">
        <f>IFERROR(I305*1,0)</f>
        <v>0</v>
      </c>
      <c r="AB305">
        <f>N(AB304)+IF(AND(R305="WON",B305&lt;&gt;""),1,0)</f>
        <v>7</v>
      </c>
      <c r="AC305">
        <f>N(AC304)+IF(AND(OR(R305="offered",R305="to be offered",R305="on hold"),B305&lt;&gt;""),1,0)</f>
        <v>19</v>
      </c>
      <c r="AD305">
        <f>N(AD304)+IF(AND(OR(R305="follow-up",R305="Evaluation",R305="tbd",R305="In evaluation"),B305&lt;&gt;""),1,0)</f>
        <v>9</v>
      </c>
    </row>
    <row r="306" ht="15" customHeight="1">
      <c r="I306" s="215" t="n"/>
      <c r="J306" s="215" t="n"/>
      <c r="K306" s="215" t="n"/>
      <c r="L306" s="215" t="n"/>
      <c r="M306" s="215" t="n"/>
      <c r="N306" s="215" t="str">
        <f>IF(ISNUMBER(I306),ROUND(I306-I306/1.081,2),"")</f>
        <v/>
      </c>
      <c r="O306" s="215" t="str">
        <f>IF(ISNUMBER(I306),I306-SUM(J306:N306),"")</f>
        <v/>
      </c>
      <c r="P306" s="216" t="str">
        <f>IFERROR(IF(AND(ISNUMBER(O306),ISNUMBER(I306),I306&lt;&gt;0),O306/I306,""),"")</f>
        <v/>
      </c>
      <c r="Q306" s="215" t="str">
        <f>IF(AND(ISNUMBER(I306),ISNUMBER(S306)),I306*IF(S306&lt;=1,S306,S306/100),IF(OR(I306&lt;&gt;"",S306&lt;&gt;""),"tbd",""))</f>
        <v/>
      </c>
      <c r="S306" s="217" t="n"/>
      <c r="Z306" t="str">
        <f>IF(AND(R306="WON",ISNUMBER(I306)),AA306,"")</f>
        <v/>
      </c>
      <c r="AA306">
        <f>IFERROR(I306*1,0)</f>
        <v>0</v>
      </c>
      <c r="AB306">
        <f>N(AB305)+IF(AND(R306="WON",B306&lt;&gt;""),1,0)</f>
        <v>7</v>
      </c>
      <c r="AC306">
        <f>N(AC305)+IF(AND(OR(R306="offered",R306="to be offered",R306="on hold"),B306&lt;&gt;""),1,0)</f>
        <v>19</v>
      </c>
      <c r="AD306">
        <f>N(AD305)+IF(AND(OR(R306="follow-up",R306="Evaluation",R306="tbd",R306="In evaluation"),B306&lt;&gt;""),1,0)</f>
        <v>9</v>
      </c>
    </row>
    <row r="307" ht="15" customHeight="1">
      <c r="I307" s="215" t="n"/>
      <c r="J307" s="215" t="n"/>
      <c r="K307" s="215" t="n"/>
      <c r="L307" s="215" t="n"/>
      <c r="M307" s="215" t="n"/>
      <c r="N307" s="215" t="str">
        <f>IF(ISNUMBER(I307),ROUND(I307-I307/1.081,2),"")</f>
        <v/>
      </c>
      <c r="O307" s="215" t="str">
        <f>IF(ISNUMBER(I307),I307-SUM(J307:N307),"")</f>
        <v/>
      </c>
      <c r="P307" s="216" t="str">
        <f>IFERROR(IF(AND(ISNUMBER(O307),ISNUMBER(I307),I307&lt;&gt;0),O307/I307,""),"")</f>
        <v/>
      </c>
      <c r="Q307" s="215" t="str">
        <f>IF(AND(ISNUMBER(I307),ISNUMBER(S307)),I307*IF(S307&lt;=1,S307,S307/100),IF(OR(I307&lt;&gt;"",S307&lt;&gt;""),"tbd",""))</f>
        <v/>
      </c>
      <c r="S307" s="217" t="n"/>
      <c r="Z307" t="str">
        <f>IF(AND(R307="WON",ISNUMBER(I307)),AA307,"")</f>
        <v/>
      </c>
      <c r="AA307">
        <f>IFERROR(I307*1,0)</f>
        <v>0</v>
      </c>
      <c r="AB307">
        <f>N(AB306)+IF(AND(R307="WON",B307&lt;&gt;""),1,0)</f>
        <v>7</v>
      </c>
      <c r="AC307">
        <f>N(AC306)+IF(AND(OR(R307="offered",R307="to be offered",R307="on hold"),B307&lt;&gt;""),1,0)</f>
        <v>19</v>
      </c>
      <c r="AD307">
        <f>N(AD306)+IF(AND(OR(R307="follow-up",R307="Evaluation",R307="tbd",R307="In evaluation"),B307&lt;&gt;""),1,0)</f>
        <v>9</v>
      </c>
    </row>
    <row r="308" ht="15" customHeight="1">
      <c r="I308" s="215" t="n"/>
      <c r="J308" s="215" t="n"/>
      <c r="K308" s="215" t="n"/>
      <c r="L308" s="215" t="n"/>
      <c r="M308" s="215" t="n"/>
      <c r="N308" s="215" t="str">
        <f>IF(ISNUMBER(I308),ROUND(I308-I308/1.081,2),"")</f>
        <v/>
      </c>
      <c r="O308" s="215" t="str">
        <f>IF(ISNUMBER(I308),I308-SUM(J308:N308),"")</f>
        <v/>
      </c>
      <c r="P308" s="216" t="str">
        <f>IFERROR(IF(AND(ISNUMBER(O308),ISNUMBER(I308),I308&lt;&gt;0),O308/I308,""),"")</f>
        <v/>
      </c>
      <c r="Q308" s="215" t="str">
        <f>IF(AND(ISNUMBER(I308),ISNUMBER(S308)),I308*IF(S308&lt;=1,S308,S308/100),IF(OR(I308&lt;&gt;"",S308&lt;&gt;""),"tbd",""))</f>
        <v/>
      </c>
      <c r="S308" s="217" t="n"/>
      <c r="Z308" t="str">
        <f>IF(AND(R308="WON",ISNUMBER(I308)),AA308,"")</f>
        <v/>
      </c>
      <c r="AA308">
        <f>IFERROR(I308*1,0)</f>
        <v>0</v>
      </c>
      <c r="AB308">
        <f>N(AB307)+IF(AND(R308="WON",B308&lt;&gt;""),1,0)</f>
        <v>7</v>
      </c>
      <c r="AC308">
        <f>N(AC307)+IF(AND(OR(R308="offered",R308="to be offered",R308="on hold"),B308&lt;&gt;""),1,0)</f>
        <v>19</v>
      </c>
      <c r="AD308">
        <f>N(AD307)+IF(AND(OR(R308="follow-up",R308="Evaluation",R308="tbd",R308="In evaluation"),B308&lt;&gt;""),1,0)</f>
        <v>9</v>
      </c>
    </row>
    <row r="309" ht="15" customHeight="1">
      <c r="I309" s="215" t="n"/>
      <c r="J309" s="215" t="n"/>
      <c r="K309" s="215" t="n"/>
      <c r="L309" s="215" t="n"/>
      <c r="M309" s="215" t="n"/>
      <c r="N309" s="215" t="str">
        <f>IF(ISNUMBER(I309),ROUND(I309-I309/1.081,2),"")</f>
        <v/>
      </c>
      <c r="O309" s="215" t="str">
        <f>IF(ISNUMBER(I309),I309-SUM(J309:N309),"")</f>
        <v/>
      </c>
      <c r="P309" s="216" t="str">
        <f>IFERROR(IF(AND(ISNUMBER(O309),ISNUMBER(I309),I309&lt;&gt;0),O309/I309,""),"")</f>
        <v/>
      </c>
      <c r="Q309" s="215" t="str">
        <f>IF(AND(ISNUMBER(I309),ISNUMBER(S309)),I309*IF(S309&lt;=1,S309,S309/100),IF(OR(I309&lt;&gt;"",S309&lt;&gt;""),"tbd",""))</f>
        <v/>
      </c>
      <c r="S309" s="217" t="n"/>
      <c r="Z309" t="str">
        <f>IF(AND(R309="WON",ISNUMBER(I309)),AA309,"")</f>
        <v/>
      </c>
      <c r="AA309">
        <f>IFERROR(I309*1,0)</f>
        <v>0</v>
      </c>
      <c r="AB309">
        <f>N(AB308)+IF(AND(R309="WON",B309&lt;&gt;""),1,0)</f>
        <v>7</v>
      </c>
      <c r="AC309">
        <f>N(AC308)+IF(AND(OR(R309="offered",R309="to be offered",R309="on hold"),B309&lt;&gt;""),1,0)</f>
        <v>19</v>
      </c>
      <c r="AD309">
        <f>N(AD308)+IF(AND(OR(R309="follow-up",R309="Evaluation",R309="tbd",R309="In evaluation"),B309&lt;&gt;""),1,0)</f>
        <v>9</v>
      </c>
    </row>
    <row r="310" ht="15" customHeight="1">
      <c r="I310" s="215" t="n"/>
      <c r="J310" s="215" t="n"/>
      <c r="K310" s="215" t="n"/>
      <c r="L310" s="215" t="n"/>
      <c r="M310" s="215" t="n"/>
      <c r="N310" s="215" t="str">
        <f>IF(ISNUMBER(I310),ROUND(I310-I310/1.081,2),"")</f>
        <v/>
      </c>
      <c r="O310" s="215" t="str">
        <f>IF(ISNUMBER(I310),I310-SUM(J310:N310),"")</f>
        <v/>
      </c>
      <c r="P310" s="216" t="str">
        <f>IFERROR(IF(AND(ISNUMBER(O310),ISNUMBER(I310),I310&lt;&gt;0),O310/I310,""),"")</f>
        <v/>
      </c>
      <c r="Q310" s="215" t="str">
        <f>IF(AND(ISNUMBER(I310),ISNUMBER(S310)),I310*IF(S310&lt;=1,S310,S310/100),IF(OR(I310&lt;&gt;"",S310&lt;&gt;""),"tbd",""))</f>
        <v/>
      </c>
      <c r="S310" s="217" t="n"/>
      <c r="Z310" t="str">
        <f>IF(AND(R310="WON",ISNUMBER(I310)),AA310,"")</f>
        <v/>
      </c>
      <c r="AA310">
        <f>IFERROR(I310*1,0)</f>
        <v>0</v>
      </c>
      <c r="AB310">
        <f>N(AB309)+IF(AND(R310="WON",B310&lt;&gt;""),1,0)</f>
        <v>7</v>
      </c>
      <c r="AC310">
        <f>N(AC309)+IF(AND(OR(R310="offered",R310="to be offered",R310="on hold"),B310&lt;&gt;""),1,0)</f>
        <v>19</v>
      </c>
      <c r="AD310">
        <f>N(AD309)+IF(AND(OR(R310="follow-up",R310="Evaluation",R310="tbd",R310="In evaluation"),B310&lt;&gt;""),1,0)</f>
        <v>9</v>
      </c>
    </row>
    <row r="311" ht="15" customHeight="1">
      <c r="I311" s="215" t="n"/>
      <c r="J311" s="215" t="n"/>
      <c r="K311" s="215" t="n"/>
      <c r="L311" s="215" t="n"/>
      <c r="M311" s="215" t="n"/>
      <c r="N311" s="215" t="str">
        <f>IF(ISNUMBER(I311),ROUND(I311-I311/1.081,2),"")</f>
        <v/>
      </c>
      <c r="O311" s="215" t="str">
        <f>IF(ISNUMBER(I311),I311-SUM(J311:N311),"")</f>
        <v/>
      </c>
      <c r="P311" s="216" t="str">
        <f>IFERROR(IF(AND(ISNUMBER(O311),ISNUMBER(I311),I311&lt;&gt;0),O311/I311,""),"")</f>
        <v/>
      </c>
      <c r="Q311" s="215" t="str">
        <f>IF(AND(ISNUMBER(I311),ISNUMBER(S311)),I311*IF(S311&lt;=1,S311,S311/100),IF(OR(I311&lt;&gt;"",S311&lt;&gt;""),"tbd",""))</f>
        <v/>
      </c>
      <c r="S311" s="217" t="n"/>
      <c r="Z311" t="str">
        <f>IF(AND(R311="WON",ISNUMBER(I311)),AA311,"")</f>
        <v/>
      </c>
      <c r="AA311">
        <f>IFERROR(I311*1,0)</f>
        <v>0</v>
      </c>
      <c r="AB311">
        <f>N(AB310)+IF(AND(R311="WON",B311&lt;&gt;""),1,0)</f>
        <v>7</v>
      </c>
      <c r="AC311">
        <f>N(AC310)+IF(AND(OR(R311="offered",R311="to be offered",R311="on hold"),B311&lt;&gt;""),1,0)</f>
        <v>19</v>
      </c>
      <c r="AD311">
        <f>N(AD310)+IF(AND(OR(R311="follow-up",R311="Evaluation",R311="tbd",R311="In evaluation"),B311&lt;&gt;""),1,0)</f>
        <v>9</v>
      </c>
    </row>
    <row r="312" ht="15" customHeight="1">
      <c r="I312" s="215" t="n"/>
      <c r="J312" s="215" t="n"/>
      <c r="K312" s="215" t="n"/>
      <c r="L312" s="215" t="n"/>
      <c r="M312" s="215" t="n"/>
      <c r="N312" s="215" t="str">
        <f>IF(ISNUMBER(I312),ROUND(I312-I312/1.081,2),"")</f>
        <v/>
      </c>
      <c r="O312" s="215" t="str">
        <f>IF(ISNUMBER(I312),I312-SUM(J312:N312),"")</f>
        <v/>
      </c>
      <c r="P312" s="216" t="str">
        <f>IFERROR(IF(AND(ISNUMBER(O312),ISNUMBER(I312),I312&lt;&gt;0),O312/I312,""),"")</f>
        <v/>
      </c>
      <c r="Q312" s="215" t="str">
        <f>IF(AND(ISNUMBER(I312),ISNUMBER(S312)),I312*IF(S312&lt;=1,S312,S312/100),IF(OR(I312&lt;&gt;"",S312&lt;&gt;""),"tbd",""))</f>
        <v/>
      </c>
      <c r="S312" s="217" t="n"/>
      <c r="Z312" t="str">
        <f>IF(AND(R312="WON",ISNUMBER(I312)),AA312,"")</f>
        <v/>
      </c>
      <c r="AA312">
        <f>IFERROR(I312*1,0)</f>
        <v>0</v>
      </c>
      <c r="AB312">
        <f>N(AB311)+IF(AND(R312="WON",B312&lt;&gt;""),1,0)</f>
        <v>7</v>
      </c>
      <c r="AC312">
        <f>N(AC311)+IF(AND(OR(R312="offered",R312="to be offered",R312="on hold"),B312&lt;&gt;""),1,0)</f>
        <v>19</v>
      </c>
      <c r="AD312">
        <f>N(AD311)+IF(AND(OR(R312="follow-up",R312="Evaluation",R312="tbd",R312="In evaluation"),B312&lt;&gt;""),1,0)</f>
        <v>9</v>
      </c>
    </row>
    <row r="313" ht="15" customHeight="1">
      <c r="I313" s="215" t="n"/>
      <c r="J313" s="215" t="n"/>
      <c r="K313" s="215" t="n"/>
      <c r="L313" s="215" t="n"/>
      <c r="M313" s="215" t="n"/>
      <c r="N313" s="215" t="str">
        <f>IF(ISNUMBER(I313),ROUND(I313-I313/1.081,2),"")</f>
        <v/>
      </c>
      <c r="O313" s="215" t="str">
        <f>IF(ISNUMBER(I313),I313-SUM(J313:N313),"")</f>
        <v/>
      </c>
      <c r="P313" s="216" t="str">
        <f>IFERROR(IF(AND(ISNUMBER(O313),ISNUMBER(I313),I313&lt;&gt;0),O313/I313,""),"")</f>
        <v/>
      </c>
      <c r="Q313" s="215" t="str">
        <f>IF(AND(ISNUMBER(I313),ISNUMBER(S313)),I313*IF(S313&lt;=1,S313,S313/100),IF(OR(I313&lt;&gt;"",S313&lt;&gt;""),"tbd",""))</f>
        <v/>
      </c>
      <c r="S313" s="217" t="n"/>
      <c r="Z313" t="str">
        <f>IF(AND(R313="WON",ISNUMBER(I313)),AA313,"")</f>
        <v/>
      </c>
      <c r="AA313">
        <f>IFERROR(I313*1,0)</f>
        <v>0</v>
      </c>
      <c r="AB313">
        <f>N(AB312)+IF(AND(R313="WON",B313&lt;&gt;""),1,0)</f>
        <v>7</v>
      </c>
      <c r="AC313">
        <f>N(AC312)+IF(AND(OR(R313="offered",R313="to be offered",R313="on hold"),B313&lt;&gt;""),1,0)</f>
        <v>19</v>
      </c>
      <c r="AD313">
        <f>N(AD312)+IF(AND(OR(R313="follow-up",R313="Evaluation",R313="tbd",R313="In evaluation"),B313&lt;&gt;""),1,0)</f>
        <v>9</v>
      </c>
    </row>
    <row r="314" ht="15" customHeight="1">
      <c r="I314" s="215" t="n"/>
      <c r="J314" s="215" t="n"/>
      <c r="K314" s="215" t="n"/>
      <c r="L314" s="215" t="n"/>
      <c r="M314" s="215" t="n"/>
      <c r="N314" s="215" t="str">
        <f>IF(ISNUMBER(I314),ROUND(I314-I314/1.081,2),"")</f>
        <v/>
      </c>
      <c r="O314" s="215" t="str">
        <f>IF(ISNUMBER(I314),I314-SUM(J314:N314),"")</f>
        <v/>
      </c>
      <c r="P314" s="216" t="str">
        <f>IFERROR(IF(AND(ISNUMBER(O314),ISNUMBER(I314),I314&lt;&gt;0),O314/I314,""),"")</f>
        <v/>
      </c>
      <c r="Q314" s="215" t="str">
        <f>IF(AND(ISNUMBER(I314),ISNUMBER(S314)),I314*IF(S314&lt;=1,S314,S314/100),IF(OR(I314&lt;&gt;"",S314&lt;&gt;""),"tbd",""))</f>
        <v/>
      </c>
      <c r="S314" s="217" t="n"/>
      <c r="Z314" t="str">
        <f>IF(AND(R314="WON",ISNUMBER(I314)),AA314,"")</f>
        <v/>
      </c>
      <c r="AA314">
        <f>IFERROR(I314*1,0)</f>
        <v>0</v>
      </c>
      <c r="AB314">
        <f>N(AB313)+IF(AND(R314="WON",B314&lt;&gt;""),1,0)</f>
        <v>7</v>
      </c>
      <c r="AC314">
        <f>N(AC313)+IF(AND(OR(R314="offered",R314="to be offered",R314="on hold"),B314&lt;&gt;""),1,0)</f>
        <v>19</v>
      </c>
      <c r="AD314">
        <f>N(AD313)+IF(AND(OR(R314="follow-up",R314="Evaluation",R314="tbd",R314="In evaluation"),B314&lt;&gt;""),1,0)</f>
        <v>9</v>
      </c>
    </row>
    <row r="315" ht="15" customHeight="1">
      <c r="I315" s="215" t="n"/>
      <c r="J315" s="215" t="n"/>
      <c r="K315" s="215" t="n"/>
      <c r="L315" s="215" t="n"/>
      <c r="M315" s="215" t="n"/>
      <c r="N315" s="215" t="str">
        <f>IF(ISNUMBER(I315),ROUND(I315-I315/1.081,2),"")</f>
        <v/>
      </c>
      <c r="O315" s="215" t="str">
        <f>IF(ISNUMBER(I315),I315-SUM(J315:N315),"")</f>
        <v/>
      </c>
      <c r="P315" s="216" t="str">
        <f>IFERROR(IF(AND(ISNUMBER(O315),ISNUMBER(I315),I315&lt;&gt;0),O315/I315,""),"")</f>
        <v/>
      </c>
      <c r="Q315" s="215" t="str">
        <f>IF(AND(ISNUMBER(I315),ISNUMBER(S315)),I315*IF(S315&lt;=1,S315,S315/100),IF(OR(I315&lt;&gt;"",S315&lt;&gt;""),"tbd",""))</f>
        <v/>
      </c>
      <c r="S315" s="217" t="n"/>
      <c r="Z315" t="str">
        <f>IF(AND(R315="WON",ISNUMBER(I315)),AA315,"")</f>
        <v/>
      </c>
      <c r="AA315">
        <f>IFERROR(I315*1,0)</f>
        <v>0</v>
      </c>
      <c r="AB315">
        <f>N(AB314)+IF(AND(R315="WON",B315&lt;&gt;""),1,0)</f>
        <v>7</v>
      </c>
      <c r="AC315">
        <f>N(AC314)+IF(AND(OR(R315="offered",R315="to be offered",R315="on hold"),B315&lt;&gt;""),1,0)</f>
        <v>19</v>
      </c>
      <c r="AD315">
        <f>N(AD314)+IF(AND(OR(R315="follow-up",R315="Evaluation",R315="tbd",R315="In evaluation"),B315&lt;&gt;""),1,0)</f>
        <v>9</v>
      </c>
    </row>
    <row r="316" ht="15" customHeight="1">
      <c r="I316" s="215" t="n"/>
      <c r="J316" s="215" t="n"/>
      <c r="K316" s="215" t="n"/>
      <c r="L316" s="215" t="n"/>
      <c r="M316" s="215" t="n"/>
      <c r="N316" s="215" t="str">
        <f>IF(ISNUMBER(I316),ROUND(I316-I316/1.081,2),"")</f>
        <v/>
      </c>
      <c r="O316" s="215" t="str">
        <f>IF(ISNUMBER(I316),I316-SUM(J316:N316),"")</f>
        <v/>
      </c>
      <c r="P316" s="216" t="str">
        <f>IFERROR(IF(AND(ISNUMBER(O316),ISNUMBER(I316),I316&lt;&gt;0),O316/I316,""),"")</f>
        <v/>
      </c>
      <c r="Q316" s="215" t="str">
        <f>IF(AND(ISNUMBER(I316),ISNUMBER(S316)),I316*IF(S316&lt;=1,S316,S316/100),IF(OR(I316&lt;&gt;"",S316&lt;&gt;""),"tbd",""))</f>
        <v/>
      </c>
      <c r="S316" s="217" t="n"/>
      <c r="Z316" t="str">
        <f>IF(AND(R316="WON",ISNUMBER(I316)),AA316,"")</f>
        <v/>
      </c>
      <c r="AA316">
        <f>IFERROR(I316*1,0)</f>
        <v>0</v>
      </c>
      <c r="AB316">
        <f>N(AB315)+IF(AND(R316="WON",B316&lt;&gt;""),1,0)</f>
        <v>7</v>
      </c>
      <c r="AC316">
        <f>N(AC315)+IF(AND(OR(R316="offered",R316="to be offered",R316="on hold"),B316&lt;&gt;""),1,0)</f>
        <v>19</v>
      </c>
      <c r="AD316">
        <f>N(AD315)+IF(AND(OR(R316="follow-up",R316="Evaluation",R316="tbd",R316="In evaluation"),B316&lt;&gt;""),1,0)</f>
        <v>9</v>
      </c>
    </row>
    <row r="317" ht="15" customHeight="1">
      <c r="I317" s="215" t="n"/>
      <c r="J317" s="215" t="n"/>
      <c r="K317" s="215" t="n"/>
      <c r="L317" s="215" t="n"/>
      <c r="M317" s="215" t="n"/>
      <c r="N317" s="215" t="str">
        <f>IF(ISNUMBER(I317),ROUND(I317-I317/1.081,2),"")</f>
        <v/>
      </c>
      <c r="O317" s="215" t="str">
        <f>IF(ISNUMBER(I317),I317-SUM(J317:N317),"")</f>
        <v/>
      </c>
      <c r="P317" s="216" t="str">
        <f>IFERROR(IF(AND(ISNUMBER(O317),ISNUMBER(I317),I317&lt;&gt;0),O317/I317,""),"")</f>
        <v/>
      </c>
      <c r="Q317" s="215" t="str">
        <f>IF(AND(ISNUMBER(I317),ISNUMBER(S317)),I317*IF(S317&lt;=1,S317,S317/100),IF(OR(I317&lt;&gt;"",S317&lt;&gt;""),"tbd",""))</f>
        <v/>
      </c>
      <c r="S317" s="217" t="n"/>
      <c r="Z317" t="str">
        <f>IF(AND(R317="WON",ISNUMBER(I317)),AA317,"")</f>
        <v/>
      </c>
      <c r="AA317">
        <f>IFERROR(I317*1,0)</f>
        <v>0</v>
      </c>
      <c r="AB317">
        <f>N(AB316)+IF(AND(R317="WON",B317&lt;&gt;""),1,0)</f>
        <v>7</v>
      </c>
      <c r="AC317">
        <f>N(AC316)+IF(AND(OR(R317="offered",R317="to be offered",R317="on hold"),B317&lt;&gt;""),1,0)</f>
        <v>19</v>
      </c>
      <c r="AD317">
        <f>N(AD316)+IF(AND(OR(R317="follow-up",R317="Evaluation",R317="tbd",R317="In evaluation"),B317&lt;&gt;""),1,0)</f>
        <v>9</v>
      </c>
    </row>
    <row r="318" ht="15" customHeight="1">
      <c r="I318" s="215" t="n"/>
      <c r="J318" s="215" t="n"/>
      <c r="K318" s="215" t="n"/>
      <c r="L318" s="215" t="n"/>
      <c r="M318" s="215" t="n"/>
      <c r="N318" s="215" t="str">
        <f>IF(ISNUMBER(I318),ROUND(I318-I318/1.081,2),"")</f>
        <v/>
      </c>
      <c r="O318" s="215" t="str">
        <f>IF(ISNUMBER(I318),I318-SUM(J318:N318),"")</f>
        <v/>
      </c>
      <c r="P318" s="216" t="str">
        <f>IFERROR(IF(AND(ISNUMBER(O318),ISNUMBER(I318),I318&lt;&gt;0),O318/I318,""),"")</f>
        <v/>
      </c>
      <c r="Q318" s="215" t="str">
        <f>IF(AND(ISNUMBER(I318),ISNUMBER(S318)),I318*IF(S318&lt;=1,S318,S318/100),IF(OR(I318&lt;&gt;"",S318&lt;&gt;""),"tbd",""))</f>
        <v/>
      </c>
      <c r="S318" s="217" t="n"/>
      <c r="Z318" t="str">
        <f>IF(AND(R318="WON",ISNUMBER(I318)),AA318,"")</f>
        <v/>
      </c>
      <c r="AA318">
        <f>IFERROR(I318*1,0)</f>
        <v>0</v>
      </c>
      <c r="AB318">
        <f>N(AB317)+IF(AND(R318="WON",B318&lt;&gt;""),1,0)</f>
        <v>7</v>
      </c>
      <c r="AC318">
        <f>N(AC317)+IF(AND(OR(R318="offered",R318="to be offered",R318="on hold"),B318&lt;&gt;""),1,0)</f>
        <v>19</v>
      </c>
      <c r="AD318">
        <f>N(AD317)+IF(AND(OR(R318="follow-up",R318="Evaluation",R318="tbd",R318="In evaluation"),B318&lt;&gt;""),1,0)</f>
        <v>9</v>
      </c>
    </row>
    <row r="319" ht="15" customHeight="1">
      <c r="I319" s="215" t="n"/>
      <c r="J319" s="215" t="n"/>
      <c r="K319" s="215" t="n"/>
      <c r="L319" s="215" t="n"/>
      <c r="M319" s="215" t="n"/>
      <c r="N319" s="215" t="str">
        <f>IF(ISNUMBER(I319),ROUND(I319-I319/1.081,2),"")</f>
        <v/>
      </c>
      <c r="O319" s="215" t="str">
        <f>IF(ISNUMBER(I319),I319-SUM(J319:N319),"")</f>
        <v/>
      </c>
      <c r="P319" s="216" t="str">
        <f>IFERROR(IF(AND(ISNUMBER(O319),ISNUMBER(I319),I319&lt;&gt;0),O319/I319,""),"")</f>
        <v/>
      </c>
      <c r="Q319" s="215" t="str">
        <f>IF(AND(ISNUMBER(I319),ISNUMBER(S319)),I319*IF(S319&lt;=1,S319,S319/100),IF(OR(I319&lt;&gt;"",S319&lt;&gt;""),"tbd",""))</f>
        <v/>
      </c>
      <c r="S319" s="217" t="n"/>
      <c r="Z319" t="str">
        <f>IF(AND(R319="WON",ISNUMBER(I319)),AA319,"")</f>
        <v/>
      </c>
      <c r="AA319">
        <f>IFERROR(I319*1,0)</f>
        <v>0</v>
      </c>
      <c r="AB319">
        <f>N(AB318)+IF(AND(R319="WON",B319&lt;&gt;""),1,0)</f>
        <v>7</v>
      </c>
      <c r="AC319">
        <f>N(AC318)+IF(AND(OR(R319="offered",R319="to be offered",R319="on hold"),B319&lt;&gt;""),1,0)</f>
        <v>19</v>
      </c>
      <c r="AD319">
        <f>N(AD318)+IF(AND(OR(R319="follow-up",R319="Evaluation",R319="tbd",R319="In evaluation"),B319&lt;&gt;""),1,0)</f>
        <v>9</v>
      </c>
    </row>
    <row r="320" ht="15" customHeight="1">
      <c r="I320" s="215" t="n"/>
      <c r="J320" s="215" t="n"/>
      <c r="K320" s="215" t="n"/>
      <c r="L320" s="215" t="n"/>
      <c r="M320" s="215" t="n"/>
      <c r="N320" s="215" t="str">
        <f>IF(ISNUMBER(I320),ROUND(I320-I320/1.081,2),"")</f>
        <v/>
      </c>
      <c r="O320" s="215" t="str">
        <f>IF(ISNUMBER(I320),I320-SUM(J320:N320),"")</f>
        <v/>
      </c>
      <c r="P320" s="216" t="str">
        <f>IFERROR(IF(AND(ISNUMBER(O320),ISNUMBER(I320),I320&lt;&gt;0),O320/I320,""),"")</f>
        <v/>
      </c>
      <c r="Q320" s="215" t="str">
        <f>IF(AND(ISNUMBER(I320),ISNUMBER(S320)),I320*IF(S320&lt;=1,S320,S320/100),IF(OR(I320&lt;&gt;"",S320&lt;&gt;""),"tbd",""))</f>
        <v/>
      </c>
      <c r="S320" s="217" t="n"/>
      <c r="Z320" t="str">
        <f>IF(AND(R320="WON",ISNUMBER(I320)),AA320,"")</f>
        <v/>
      </c>
      <c r="AA320">
        <f>IFERROR(I320*1,0)</f>
        <v>0</v>
      </c>
      <c r="AB320">
        <f>N(AB319)+IF(AND(R320="WON",B320&lt;&gt;""),1,0)</f>
        <v>7</v>
      </c>
      <c r="AC320">
        <f>N(AC319)+IF(AND(OR(R320="offered",R320="to be offered",R320="on hold"),B320&lt;&gt;""),1,0)</f>
        <v>19</v>
      </c>
      <c r="AD320">
        <f>N(AD319)+IF(AND(OR(R320="follow-up",R320="Evaluation",R320="tbd",R320="In evaluation"),B320&lt;&gt;""),1,0)</f>
        <v>9</v>
      </c>
    </row>
    <row r="321" ht="15" customHeight="1">
      <c r="I321" s="215" t="n"/>
      <c r="J321" s="215" t="n"/>
      <c r="K321" s="215" t="n"/>
      <c r="L321" s="215" t="n"/>
      <c r="M321" s="215" t="n"/>
      <c r="N321" s="215" t="str">
        <f>IF(ISNUMBER(I321),ROUND(I321-I321/1.081,2),"")</f>
        <v/>
      </c>
      <c r="O321" s="215" t="str">
        <f>IF(ISNUMBER(I321),I321-SUM(J321:N321),"")</f>
        <v/>
      </c>
      <c r="P321" s="216" t="str">
        <f>IFERROR(IF(AND(ISNUMBER(O321),ISNUMBER(I321),I321&lt;&gt;0),O321/I321,""),"")</f>
        <v/>
      </c>
      <c r="Q321" s="215" t="str">
        <f>IF(AND(ISNUMBER(I321),ISNUMBER(S321)),I321*IF(S321&lt;=1,S321,S321/100),IF(OR(I321&lt;&gt;"",S321&lt;&gt;""),"tbd",""))</f>
        <v/>
      </c>
      <c r="S321" s="217" t="n"/>
      <c r="Z321" t="str">
        <f>IF(AND(R321="WON",ISNUMBER(I321)),AA321,"")</f>
        <v/>
      </c>
      <c r="AA321">
        <f>IFERROR(I321*1,0)</f>
        <v>0</v>
      </c>
      <c r="AB321">
        <f>N(AB320)+IF(AND(R321="WON",B321&lt;&gt;""),1,0)</f>
        <v>7</v>
      </c>
      <c r="AC321">
        <f>N(AC320)+IF(AND(OR(R321="offered",R321="to be offered",R321="on hold"),B321&lt;&gt;""),1,0)</f>
        <v>19</v>
      </c>
      <c r="AD321">
        <f>N(AD320)+IF(AND(OR(R321="follow-up",R321="Evaluation",R321="tbd",R321="In evaluation"),B321&lt;&gt;""),1,0)</f>
        <v>9</v>
      </c>
    </row>
    <row r="322" ht="15" customHeight="1">
      <c r="I322" s="215" t="n"/>
      <c r="J322" s="215" t="n"/>
      <c r="K322" s="215" t="n"/>
      <c r="L322" s="215" t="n"/>
      <c r="M322" s="215" t="n"/>
      <c r="N322" s="215" t="str">
        <f>IF(ISNUMBER(I322),ROUND(I322-I322/1.081,2),"")</f>
        <v/>
      </c>
      <c r="O322" s="215" t="str">
        <f>IF(ISNUMBER(I322),I322-SUM(J322:N322),"")</f>
        <v/>
      </c>
      <c r="P322" s="216" t="str">
        <f>IFERROR(IF(AND(ISNUMBER(O322),ISNUMBER(I322),I322&lt;&gt;0),O322/I322,""),"")</f>
        <v/>
      </c>
      <c r="Q322" s="215" t="str">
        <f>IF(AND(ISNUMBER(I322),ISNUMBER(S322)),I322*IF(S322&lt;=1,S322,S322/100),IF(OR(I322&lt;&gt;"",S322&lt;&gt;""),"tbd",""))</f>
        <v/>
      </c>
      <c r="S322" s="217" t="n"/>
      <c r="Z322" t="str">
        <f>IF(AND(R322="WON",ISNUMBER(I322)),AA322,"")</f>
        <v/>
      </c>
      <c r="AA322">
        <f>IFERROR(I322*1,0)</f>
        <v>0</v>
      </c>
      <c r="AB322">
        <f>N(AB321)+IF(AND(R322="WON",B322&lt;&gt;""),1,0)</f>
        <v>7</v>
      </c>
      <c r="AC322">
        <f>N(AC321)+IF(AND(OR(R322="offered",R322="to be offered",R322="on hold"),B322&lt;&gt;""),1,0)</f>
        <v>19</v>
      </c>
      <c r="AD322">
        <f>N(AD321)+IF(AND(OR(R322="follow-up",R322="Evaluation",R322="tbd",R322="In evaluation"),B322&lt;&gt;""),1,0)</f>
        <v>9</v>
      </c>
    </row>
    <row r="323" ht="15" customHeight="1">
      <c r="I323" s="215" t="n"/>
      <c r="J323" s="215" t="n"/>
      <c r="K323" s="215" t="n"/>
      <c r="L323" s="215" t="n"/>
      <c r="M323" s="215" t="n"/>
      <c r="N323" s="215" t="str">
        <f>IF(ISNUMBER(I323),ROUND(I323-I323/1.081,2),"")</f>
        <v/>
      </c>
      <c r="O323" s="215" t="str">
        <f>IF(ISNUMBER(I323),I323-SUM(J323:N323),"")</f>
        <v/>
      </c>
      <c r="P323" s="216" t="str">
        <f>IFERROR(IF(AND(ISNUMBER(O323),ISNUMBER(I323),I323&lt;&gt;0),O323/I323,""),"")</f>
        <v/>
      </c>
      <c r="Q323" s="215" t="str">
        <f>IF(AND(ISNUMBER(I323),ISNUMBER(S323)),I323*IF(S323&lt;=1,S323,S323/100),IF(OR(I323&lt;&gt;"",S323&lt;&gt;""),"tbd",""))</f>
        <v/>
      </c>
      <c r="S323" s="217" t="n"/>
      <c r="Z323" t="str">
        <f>IF(AND(R323="WON",ISNUMBER(I323)),AA323,"")</f>
        <v/>
      </c>
      <c r="AA323">
        <f>IFERROR(I323*1,0)</f>
        <v>0</v>
      </c>
      <c r="AB323">
        <f>N(AB322)+IF(AND(R323="WON",B323&lt;&gt;""),1,0)</f>
        <v>7</v>
      </c>
      <c r="AC323">
        <f>N(AC322)+IF(AND(OR(R323="offered",R323="to be offered",R323="on hold"),B323&lt;&gt;""),1,0)</f>
        <v>19</v>
      </c>
      <c r="AD323">
        <f>N(AD322)+IF(AND(OR(R323="follow-up",R323="Evaluation",R323="tbd",R323="In evaluation"),B323&lt;&gt;""),1,0)</f>
        <v>9</v>
      </c>
    </row>
    <row r="324" ht="15" customHeight="1">
      <c r="I324" s="215" t="n"/>
      <c r="J324" s="215" t="n"/>
      <c r="K324" s="215" t="n"/>
      <c r="L324" s="215" t="n"/>
      <c r="M324" s="215" t="n"/>
      <c r="N324" s="215" t="str">
        <f>IF(ISNUMBER(I324),ROUND(I324-I324/1.081,2),"")</f>
        <v/>
      </c>
      <c r="O324" s="215" t="str">
        <f>IF(ISNUMBER(I324),I324-SUM(J324:N324),"")</f>
        <v/>
      </c>
      <c r="P324" s="216" t="str">
        <f>IFERROR(IF(AND(ISNUMBER(O324),ISNUMBER(I324),I324&lt;&gt;0),O324/I324,""),"")</f>
        <v/>
      </c>
      <c r="Q324" s="215" t="str">
        <f>IF(AND(ISNUMBER(I324),ISNUMBER(S324)),I324*IF(S324&lt;=1,S324,S324/100),IF(OR(I324&lt;&gt;"",S324&lt;&gt;""),"tbd",""))</f>
        <v/>
      </c>
      <c r="S324" s="217" t="n"/>
      <c r="Z324" t="str">
        <f>IF(AND(R324="WON",ISNUMBER(I324)),AA324,"")</f>
        <v/>
      </c>
      <c r="AA324">
        <f>IFERROR(I324*1,0)</f>
        <v>0</v>
      </c>
      <c r="AB324">
        <f>N(AB323)+IF(AND(R324="WON",B324&lt;&gt;""),1,0)</f>
        <v>7</v>
      </c>
      <c r="AC324">
        <f>N(AC323)+IF(AND(OR(R324="offered",R324="to be offered",R324="on hold"),B324&lt;&gt;""),1,0)</f>
        <v>19</v>
      </c>
      <c r="AD324">
        <f>N(AD323)+IF(AND(OR(R324="follow-up",R324="Evaluation",R324="tbd",R324="In evaluation"),B324&lt;&gt;""),1,0)</f>
        <v>9</v>
      </c>
    </row>
    <row r="325" ht="15" customHeight="1">
      <c r="I325" s="215" t="n"/>
      <c r="J325" s="215" t="n"/>
      <c r="K325" s="215" t="n"/>
      <c r="L325" s="215" t="n"/>
      <c r="M325" s="215" t="n"/>
      <c r="N325" s="215" t="str">
        <f>IF(ISNUMBER(I325),ROUND(I325-I325/1.081,2),"")</f>
        <v/>
      </c>
      <c r="O325" s="215" t="str">
        <f>IF(ISNUMBER(I325),I325-SUM(J325:N325),"")</f>
        <v/>
      </c>
      <c r="P325" s="216" t="str">
        <f>IFERROR(IF(AND(ISNUMBER(O325),ISNUMBER(I325),I325&lt;&gt;0),O325/I325,""),"")</f>
        <v/>
      </c>
      <c r="Q325" s="215" t="str">
        <f>IF(AND(ISNUMBER(I325),ISNUMBER(S325)),I325*IF(S325&lt;=1,S325,S325/100),IF(OR(I325&lt;&gt;"",S325&lt;&gt;""),"tbd",""))</f>
        <v/>
      </c>
      <c r="S325" s="217" t="n"/>
      <c r="Z325" t="str">
        <f>IF(AND(R325="WON",ISNUMBER(I325)),AA325,"")</f>
        <v/>
      </c>
      <c r="AA325">
        <f>IFERROR(I325*1,0)</f>
        <v>0</v>
      </c>
      <c r="AB325">
        <f>N(AB324)+IF(AND(R325="WON",B325&lt;&gt;""),1,0)</f>
        <v>7</v>
      </c>
      <c r="AC325">
        <f>N(AC324)+IF(AND(OR(R325="offered",R325="to be offered",R325="on hold"),B325&lt;&gt;""),1,0)</f>
        <v>19</v>
      </c>
      <c r="AD325">
        <f>N(AD324)+IF(AND(OR(R325="follow-up",R325="Evaluation",R325="tbd",R325="In evaluation"),B325&lt;&gt;""),1,0)</f>
        <v>9</v>
      </c>
    </row>
    <row r="326" ht="15" customHeight="1">
      <c r="I326" s="215" t="n"/>
      <c r="J326" s="215" t="n"/>
      <c r="K326" s="215" t="n"/>
      <c r="L326" s="215" t="n"/>
      <c r="M326" s="215" t="n"/>
      <c r="N326" s="215" t="str">
        <f>IF(ISNUMBER(I326),ROUND(I326-I326/1.081,2),"")</f>
        <v/>
      </c>
      <c r="O326" s="215" t="str">
        <f>IF(ISNUMBER(I326),I326-SUM(J326:N326),"")</f>
        <v/>
      </c>
      <c r="P326" s="216" t="str">
        <f>IFERROR(IF(AND(ISNUMBER(O326),ISNUMBER(I326),I326&lt;&gt;0),O326/I326,""),"")</f>
        <v/>
      </c>
      <c r="Q326" s="215" t="str">
        <f>IF(AND(ISNUMBER(I326),ISNUMBER(S326)),I326*IF(S326&lt;=1,S326,S326/100),IF(OR(I326&lt;&gt;"",S326&lt;&gt;""),"tbd",""))</f>
        <v/>
      </c>
      <c r="S326" s="217" t="n"/>
      <c r="Z326" t="str">
        <f>IF(AND(R326="WON",ISNUMBER(I326)),AA326,"")</f>
        <v/>
      </c>
      <c r="AA326">
        <f>IFERROR(I326*1,0)</f>
        <v>0</v>
      </c>
      <c r="AB326">
        <f>N(AB325)+IF(AND(R326="WON",B326&lt;&gt;""),1,0)</f>
        <v>7</v>
      </c>
      <c r="AC326">
        <f>N(AC325)+IF(AND(OR(R326="offered",R326="to be offered",R326="on hold"),B326&lt;&gt;""),1,0)</f>
        <v>19</v>
      </c>
      <c r="AD326">
        <f>N(AD325)+IF(AND(OR(R326="follow-up",R326="Evaluation",R326="tbd",R326="In evaluation"),B326&lt;&gt;""),1,0)</f>
        <v>9</v>
      </c>
    </row>
    <row r="327" ht="15" customHeight="1">
      <c r="I327" s="215" t="n"/>
      <c r="J327" s="215" t="n"/>
      <c r="K327" s="215" t="n"/>
      <c r="L327" s="215" t="n"/>
      <c r="M327" s="215" t="n"/>
      <c r="N327" s="215" t="str">
        <f>IF(ISNUMBER(I327),ROUND(I327-I327/1.081,2),"")</f>
        <v/>
      </c>
      <c r="O327" s="215" t="str">
        <f>IF(ISNUMBER(I327),I327-SUM(J327:N327),"")</f>
        <v/>
      </c>
      <c r="P327" s="216" t="str">
        <f>IFERROR(IF(AND(ISNUMBER(O327),ISNUMBER(I327),I327&lt;&gt;0),O327/I327,""),"")</f>
        <v/>
      </c>
      <c r="Q327" s="215" t="str">
        <f>IF(AND(ISNUMBER(I327),ISNUMBER(S327)),I327*IF(S327&lt;=1,S327,S327/100),IF(OR(I327&lt;&gt;"",S327&lt;&gt;""),"tbd",""))</f>
        <v/>
      </c>
      <c r="S327" s="217" t="n"/>
      <c r="Z327" t="str">
        <f>IF(AND(R327="WON",ISNUMBER(I327)),AA327,"")</f>
        <v/>
      </c>
      <c r="AA327">
        <f>IFERROR(I327*1,0)</f>
        <v>0</v>
      </c>
      <c r="AB327">
        <f>N(AB326)+IF(AND(R327="WON",B327&lt;&gt;""),1,0)</f>
        <v>7</v>
      </c>
      <c r="AC327">
        <f>N(AC326)+IF(AND(OR(R327="offered",R327="to be offered",R327="on hold"),B327&lt;&gt;""),1,0)</f>
        <v>19</v>
      </c>
      <c r="AD327">
        <f>N(AD326)+IF(AND(OR(R327="follow-up",R327="Evaluation",R327="tbd",R327="In evaluation"),B327&lt;&gt;""),1,0)</f>
        <v>9</v>
      </c>
    </row>
    <row r="328" ht="15" customHeight="1">
      <c r="I328" s="215" t="n"/>
      <c r="J328" s="215" t="n"/>
      <c r="K328" s="215" t="n"/>
      <c r="L328" s="215" t="n"/>
      <c r="M328" s="215" t="n"/>
      <c r="N328" s="215" t="str">
        <f>IF(ISNUMBER(I328),ROUND(I328-I328/1.081,2),"")</f>
        <v/>
      </c>
      <c r="O328" s="215" t="str">
        <f>IF(ISNUMBER(I328),I328-SUM(J328:N328),"")</f>
        <v/>
      </c>
      <c r="P328" s="216" t="str">
        <f>IFERROR(IF(AND(ISNUMBER(O328),ISNUMBER(I328),I328&lt;&gt;0),O328/I328,""),"")</f>
        <v/>
      </c>
      <c r="Q328" s="215" t="str">
        <f>IF(AND(ISNUMBER(I328),ISNUMBER(S328)),I328*IF(S328&lt;=1,S328,S328/100),IF(OR(I328&lt;&gt;"",S328&lt;&gt;""),"tbd",""))</f>
        <v/>
      </c>
      <c r="S328" s="217" t="n"/>
      <c r="Z328" t="str">
        <f>IF(AND(R328="WON",ISNUMBER(I328)),AA328,"")</f>
        <v/>
      </c>
      <c r="AA328">
        <f>IFERROR(I328*1,0)</f>
        <v>0</v>
      </c>
      <c r="AB328">
        <f>N(AB327)+IF(AND(R328="WON",B328&lt;&gt;""),1,0)</f>
        <v>7</v>
      </c>
      <c r="AC328">
        <f>N(AC327)+IF(AND(OR(R328="offered",R328="to be offered",R328="on hold"),B328&lt;&gt;""),1,0)</f>
        <v>19</v>
      </c>
      <c r="AD328">
        <f>N(AD327)+IF(AND(OR(R328="follow-up",R328="Evaluation",R328="tbd",R328="In evaluation"),B328&lt;&gt;""),1,0)</f>
        <v>9</v>
      </c>
    </row>
    <row r="329" ht="15" customHeight="1">
      <c r="I329" s="215" t="n"/>
      <c r="J329" s="215" t="n"/>
      <c r="K329" s="215" t="n"/>
      <c r="L329" s="215" t="n"/>
      <c r="M329" s="215" t="n"/>
      <c r="N329" s="215" t="str">
        <f>IF(ISNUMBER(I329),ROUND(I329-I329/1.081,2),"")</f>
        <v/>
      </c>
      <c r="O329" s="215" t="str">
        <f>IF(ISNUMBER(I329),I329-SUM(J329:N329),"")</f>
        <v/>
      </c>
      <c r="P329" s="216" t="str">
        <f>IFERROR(IF(AND(ISNUMBER(O329),ISNUMBER(I329),I329&lt;&gt;0),O329/I329,""),"")</f>
        <v/>
      </c>
      <c r="Q329" s="215" t="str">
        <f>IF(AND(ISNUMBER(I329),ISNUMBER(S329)),I329*IF(S329&lt;=1,S329,S329/100),IF(OR(I329&lt;&gt;"",S329&lt;&gt;""),"tbd",""))</f>
        <v/>
      </c>
      <c r="S329" s="217" t="n"/>
      <c r="Z329" t="str">
        <f>IF(AND(R329="WON",ISNUMBER(I329)),AA329,"")</f>
        <v/>
      </c>
      <c r="AA329">
        <f>IFERROR(I329*1,0)</f>
        <v>0</v>
      </c>
      <c r="AB329">
        <f>N(AB328)+IF(AND(R329="WON",B329&lt;&gt;""),1,0)</f>
        <v>7</v>
      </c>
      <c r="AC329">
        <f>N(AC328)+IF(AND(OR(R329="offered",R329="to be offered",R329="on hold"),B329&lt;&gt;""),1,0)</f>
        <v>19</v>
      </c>
      <c r="AD329">
        <f>N(AD328)+IF(AND(OR(R329="follow-up",R329="Evaluation",R329="tbd",R329="In evaluation"),B329&lt;&gt;""),1,0)</f>
        <v>9</v>
      </c>
    </row>
    <row r="330" ht="15" customHeight="1">
      <c r="I330" s="215" t="n"/>
      <c r="J330" s="215" t="n"/>
      <c r="K330" s="215" t="n"/>
      <c r="L330" s="215" t="n"/>
      <c r="M330" s="215" t="n"/>
      <c r="N330" s="215" t="str">
        <f>IF(ISNUMBER(I330),ROUND(I330-I330/1.081,2),"")</f>
        <v/>
      </c>
      <c r="O330" s="215" t="str">
        <f>IF(ISNUMBER(I330),I330-SUM(J330:N330),"")</f>
        <v/>
      </c>
      <c r="P330" s="216" t="str">
        <f>IFERROR(IF(AND(ISNUMBER(O330),ISNUMBER(I330),I330&lt;&gt;0),O330/I330,""),"")</f>
        <v/>
      </c>
      <c r="Q330" s="215" t="str">
        <f>IF(AND(ISNUMBER(I330),ISNUMBER(S330)),I330*IF(S330&lt;=1,S330,S330/100),IF(OR(I330&lt;&gt;"",S330&lt;&gt;""),"tbd",""))</f>
        <v/>
      </c>
      <c r="S330" s="217" t="n"/>
      <c r="Z330" t="str">
        <f>IF(AND(R330="WON",ISNUMBER(I330)),AA330,"")</f>
        <v/>
      </c>
      <c r="AA330">
        <f>IFERROR(I330*1,0)</f>
        <v>0</v>
      </c>
      <c r="AB330">
        <f>N(AB329)+IF(AND(R330="WON",B330&lt;&gt;""),1,0)</f>
        <v>7</v>
      </c>
      <c r="AC330">
        <f>N(AC329)+IF(AND(OR(R330="offered",R330="to be offered",R330="on hold"),B330&lt;&gt;""),1,0)</f>
        <v>19</v>
      </c>
      <c r="AD330">
        <f>N(AD329)+IF(AND(OR(R330="follow-up",R330="Evaluation",R330="tbd",R330="In evaluation"),B330&lt;&gt;""),1,0)</f>
        <v>9</v>
      </c>
    </row>
    <row r="331" ht="15" customHeight="1">
      <c r="I331" s="215" t="n"/>
      <c r="J331" s="215" t="n"/>
      <c r="K331" s="215" t="n"/>
      <c r="L331" s="215" t="n"/>
      <c r="M331" s="215" t="n"/>
      <c r="N331" s="215" t="str">
        <f>IF(ISNUMBER(I331),ROUND(I331-I331/1.081,2),"")</f>
        <v/>
      </c>
      <c r="O331" s="215" t="str">
        <f>IF(ISNUMBER(I331),I331-SUM(J331:N331),"")</f>
        <v/>
      </c>
      <c r="P331" s="216" t="str">
        <f>IFERROR(IF(AND(ISNUMBER(O331),ISNUMBER(I331),I331&lt;&gt;0),O331/I331,""),"")</f>
        <v/>
      </c>
      <c r="Q331" s="215" t="str">
        <f>IF(AND(ISNUMBER(I331),ISNUMBER(S331)),I331*IF(S331&lt;=1,S331,S331/100),IF(OR(I331&lt;&gt;"",S331&lt;&gt;""),"tbd",""))</f>
        <v/>
      </c>
      <c r="S331" s="217" t="n"/>
      <c r="Z331" t="str">
        <f>IF(AND(R331="WON",ISNUMBER(I331)),AA331,"")</f>
        <v/>
      </c>
      <c r="AA331">
        <f>IFERROR(I331*1,0)</f>
        <v>0</v>
      </c>
      <c r="AB331">
        <f>N(AB330)+IF(AND(R331="WON",B331&lt;&gt;""),1,0)</f>
        <v>7</v>
      </c>
      <c r="AC331">
        <f>N(AC330)+IF(AND(OR(R331="offered",R331="to be offered",R331="on hold"),B331&lt;&gt;""),1,0)</f>
        <v>19</v>
      </c>
      <c r="AD331">
        <f>N(AD330)+IF(AND(OR(R331="follow-up",R331="Evaluation",R331="tbd",R331="In evaluation"),B331&lt;&gt;""),1,0)</f>
        <v>9</v>
      </c>
    </row>
    <row r="332" ht="15" customHeight="1">
      <c r="I332" s="215" t="n"/>
      <c r="J332" s="215" t="n"/>
      <c r="K332" s="215" t="n"/>
      <c r="L332" s="215" t="n"/>
      <c r="M332" s="215" t="n"/>
      <c r="N332" s="215" t="str">
        <f>IF(ISNUMBER(I332),ROUND(I332-I332/1.081,2),"")</f>
        <v/>
      </c>
      <c r="O332" s="215" t="str">
        <f>IF(ISNUMBER(I332),I332-SUM(J332:N332),"")</f>
        <v/>
      </c>
      <c r="P332" s="216" t="str">
        <f>IFERROR(IF(AND(ISNUMBER(O332),ISNUMBER(I332),I332&lt;&gt;0),O332/I332,""),"")</f>
        <v/>
      </c>
      <c r="Q332" s="215" t="str">
        <f>IF(AND(ISNUMBER(I332),ISNUMBER(S332)),I332*IF(S332&lt;=1,S332,S332/100),IF(OR(I332&lt;&gt;"",S332&lt;&gt;""),"tbd",""))</f>
        <v/>
      </c>
      <c r="S332" s="217" t="n"/>
      <c r="Z332" t="str">
        <f>IF(AND(R332="WON",ISNUMBER(I332)),AA332,"")</f>
        <v/>
      </c>
      <c r="AA332">
        <f>IFERROR(I332*1,0)</f>
        <v>0</v>
      </c>
      <c r="AB332">
        <f>N(AB331)+IF(AND(R332="WON",B332&lt;&gt;""),1,0)</f>
        <v>7</v>
      </c>
      <c r="AC332">
        <f>N(AC331)+IF(AND(OR(R332="offered",R332="to be offered",R332="on hold"),B332&lt;&gt;""),1,0)</f>
        <v>19</v>
      </c>
      <c r="AD332">
        <f>N(AD331)+IF(AND(OR(R332="follow-up",R332="Evaluation",R332="tbd",R332="In evaluation"),B332&lt;&gt;""),1,0)</f>
        <v>9</v>
      </c>
    </row>
    <row r="333" ht="15" customHeight="1">
      <c r="I333" s="215" t="n"/>
      <c r="J333" s="215" t="n"/>
      <c r="K333" s="215" t="n"/>
      <c r="L333" s="215" t="n"/>
      <c r="M333" s="215" t="n"/>
      <c r="N333" s="215" t="str">
        <f>IF(ISNUMBER(I333),ROUND(I333-I333/1.081,2),"")</f>
        <v/>
      </c>
      <c r="O333" s="215" t="str">
        <f>IF(ISNUMBER(I333),I333-SUM(J333:N333),"")</f>
        <v/>
      </c>
      <c r="P333" s="216" t="str">
        <f>IFERROR(IF(AND(ISNUMBER(O333),ISNUMBER(I333),I333&lt;&gt;0),O333/I333,""),"")</f>
        <v/>
      </c>
      <c r="Q333" s="215" t="str">
        <f>IF(AND(ISNUMBER(I333),ISNUMBER(S333)),I333*IF(S333&lt;=1,S333,S333/100),IF(OR(I333&lt;&gt;"",S333&lt;&gt;""),"tbd",""))</f>
        <v/>
      </c>
      <c r="S333" s="217" t="n"/>
      <c r="Z333" t="str">
        <f>IF(AND(R333="WON",ISNUMBER(I333)),AA333,"")</f>
        <v/>
      </c>
      <c r="AA333">
        <f>IFERROR(I333*1,0)</f>
        <v>0</v>
      </c>
      <c r="AB333">
        <f>N(AB332)+IF(AND(R333="WON",B333&lt;&gt;""),1,0)</f>
        <v>7</v>
      </c>
      <c r="AC333">
        <f>N(AC332)+IF(AND(OR(R333="offered",R333="to be offered",R333="on hold"),B333&lt;&gt;""),1,0)</f>
        <v>19</v>
      </c>
      <c r="AD333">
        <f>N(AD332)+IF(AND(OR(R333="follow-up",R333="Evaluation",R333="tbd",R333="In evaluation"),B333&lt;&gt;""),1,0)</f>
        <v>9</v>
      </c>
    </row>
    <row r="334" ht="15" customHeight="1">
      <c r="I334" s="215" t="n"/>
      <c r="J334" s="215" t="n"/>
      <c r="K334" s="215" t="n"/>
      <c r="L334" s="215" t="n"/>
      <c r="M334" s="215" t="n"/>
      <c r="N334" s="215" t="str">
        <f>IF(ISNUMBER(I334),ROUND(I334-I334/1.081,2),"")</f>
        <v/>
      </c>
      <c r="O334" s="215" t="str">
        <f>IF(ISNUMBER(I334),I334-SUM(J334:N334),"")</f>
        <v/>
      </c>
      <c r="P334" s="216" t="str">
        <f>IFERROR(IF(AND(ISNUMBER(O334),ISNUMBER(I334),I334&lt;&gt;0),O334/I334,""),"")</f>
        <v/>
      </c>
      <c r="Q334" s="215" t="str">
        <f>IF(AND(ISNUMBER(I334),ISNUMBER(S334)),I334*IF(S334&lt;=1,S334,S334/100),IF(OR(I334&lt;&gt;"",S334&lt;&gt;""),"tbd",""))</f>
        <v/>
      </c>
      <c r="S334" s="217" t="n"/>
      <c r="Z334" t="str">
        <f>IF(AND(R334="WON",ISNUMBER(I334)),AA334,"")</f>
        <v/>
      </c>
      <c r="AA334">
        <f>IFERROR(I334*1,0)</f>
        <v>0</v>
      </c>
      <c r="AB334">
        <f>N(AB333)+IF(AND(R334="WON",B334&lt;&gt;""),1,0)</f>
        <v>7</v>
      </c>
      <c r="AC334">
        <f>N(AC333)+IF(AND(OR(R334="offered",R334="to be offered",R334="on hold"),B334&lt;&gt;""),1,0)</f>
        <v>19</v>
      </c>
      <c r="AD334">
        <f>N(AD333)+IF(AND(OR(R334="follow-up",R334="Evaluation",R334="tbd",R334="In evaluation"),B334&lt;&gt;""),1,0)</f>
        <v>9</v>
      </c>
    </row>
    <row r="335" ht="15" customHeight="1">
      <c r="I335" s="215" t="n"/>
      <c r="J335" s="215" t="n"/>
      <c r="K335" s="215" t="n"/>
      <c r="L335" s="215" t="n"/>
      <c r="M335" s="215" t="n"/>
      <c r="N335" s="215" t="str">
        <f>IF(ISNUMBER(I335),ROUND(I335-I335/1.081,2),"")</f>
        <v/>
      </c>
      <c r="O335" s="215" t="str">
        <f>IF(ISNUMBER(I335),I335-SUM(J335:N335),"")</f>
        <v/>
      </c>
      <c r="P335" s="216" t="str">
        <f>IFERROR(IF(AND(ISNUMBER(O335),ISNUMBER(I335),I335&lt;&gt;0),O335/I335,""),"")</f>
        <v/>
      </c>
      <c r="Q335" s="215" t="str">
        <f>IF(AND(ISNUMBER(I335),ISNUMBER(S335)),I335*IF(S335&lt;=1,S335,S335/100),IF(OR(I335&lt;&gt;"",S335&lt;&gt;""),"tbd",""))</f>
        <v/>
      </c>
      <c r="S335" s="217" t="n"/>
      <c r="Z335" t="str">
        <f>IF(AND(R335="WON",ISNUMBER(I335)),AA335,"")</f>
        <v/>
      </c>
      <c r="AA335">
        <f>IFERROR(I335*1,0)</f>
        <v>0</v>
      </c>
      <c r="AB335">
        <f>N(AB334)+IF(AND(R335="WON",B335&lt;&gt;""),1,0)</f>
        <v>7</v>
      </c>
      <c r="AC335">
        <f>N(AC334)+IF(AND(OR(R335="offered",R335="to be offered",R335="on hold"),B335&lt;&gt;""),1,0)</f>
        <v>19</v>
      </c>
      <c r="AD335">
        <f>N(AD334)+IF(AND(OR(R335="follow-up",R335="Evaluation",R335="tbd",R335="In evaluation"),B335&lt;&gt;""),1,0)</f>
        <v>9</v>
      </c>
    </row>
    <row r="336" ht="15" customHeight="1">
      <c r="I336" s="215" t="n"/>
      <c r="J336" s="215" t="n"/>
      <c r="K336" s="215" t="n"/>
      <c r="L336" s="215" t="n"/>
      <c r="M336" s="215" t="n"/>
      <c r="N336" s="215" t="str">
        <f>IF(ISNUMBER(I336),ROUND(I336-I336/1.081,2),"")</f>
        <v/>
      </c>
      <c r="O336" s="215" t="str">
        <f>IF(ISNUMBER(I336),I336-SUM(J336:N336),"")</f>
        <v/>
      </c>
      <c r="P336" s="216" t="str">
        <f>IFERROR(IF(AND(ISNUMBER(O336),ISNUMBER(I336),I336&lt;&gt;0),O336/I336,""),"")</f>
        <v/>
      </c>
      <c r="Q336" s="215" t="str">
        <f>IF(AND(ISNUMBER(I336),ISNUMBER(S336)),I336*IF(S336&lt;=1,S336,S336/100),IF(OR(I336&lt;&gt;"",S336&lt;&gt;""),"tbd",""))</f>
        <v/>
      </c>
      <c r="S336" s="217" t="n"/>
      <c r="Z336" t="str">
        <f>IF(AND(R336="WON",ISNUMBER(I336)),AA336,"")</f>
        <v/>
      </c>
      <c r="AA336">
        <f>IFERROR(I336*1,0)</f>
        <v>0</v>
      </c>
      <c r="AB336">
        <f>N(AB335)+IF(AND(R336="WON",B336&lt;&gt;""),1,0)</f>
        <v>7</v>
      </c>
      <c r="AC336">
        <f>N(AC335)+IF(AND(OR(R336="offered",R336="to be offered",R336="on hold"),B336&lt;&gt;""),1,0)</f>
        <v>19</v>
      </c>
      <c r="AD336">
        <f>N(AD335)+IF(AND(OR(R336="follow-up",R336="Evaluation",R336="tbd",R336="In evaluation"),B336&lt;&gt;""),1,0)</f>
        <v>9</v>
      </c>
    </row>
    <row r="337" ht="15" customHeight="1">
      <c r="I337" s="215" t="n"/>
      <c r="J337" s="215" t="n"/>
      <c r="K337" s="215" t="n"/>
      <c r="L337" s="215" t="n"/>
      <c r="M337" s="215" t="n"/>
      <c r="N337" s="215" t="str">
        <f>IF(ISNUMBER(I337),ROUND(I337-I337/1.081,2),"")</f>
        <v/>
      </c>
      <c r="O337" s="215" t="str">
        <f>IF(ISNUMBER(I337),I337-SUM(J337:N337),"")</f>
        <v/>
      </c>
      <c r="P337" s="216" t="str">
        <f>IFERROR(IF(AND(ISNUMBER(O337),ISNUMBER(I337),I337&lt;&gt;0),O337/I337,""),"")</f>
        <v/>
      </c>
      <c r="Q337" s="215" t="str">
        <f>IF(AND(ISNUMBER(I337),ISNUMBER(S337)),I337*IF(S337&lt;=1,S337,S337/100),IF(OR(I337&lt;&gt;"",S337&lt;&gt;""),"tbd",""))</f>
        <v/>
      </c>
      <c r="S337" s="217" t="n"/>
      <c r="Z337" t="str">
        <f>IF(AND(R337="WON",ISNUMBER(I337)),AA337,"")</f>
        <v/>
      </c>
      <c r="AA337">
        <f>IFERROR(I337*1,0)</f>
        <v>0</v>
      </c>
      <c r="AB337">
        <f>N(AB336)+IF(AND(R337="WON",B337&lt;&gt;""),1,0)</f>
        <v>7</v>
      </c>
      <c r="AC337">
        <f>N(AC336)+IF(AND(OR(R337="offered",R337="to be offered",R337="on hold"),B337&lt;&gt;""),1,0)</f>
        <v>19</v>
      </c>
      <c r="AD337">
        <f>N(AD336)+IF(AND(OR(R337="follow-up",R337="Evaluation",R337="tbd",R337="In evaluation"),B337&lt;&gt;""),1,0)</f>
        <v>9</v>
      </c>
    </row>
    <row r="338" ht="15" customHeight="1">
      <c r="I338" s="215" t="n"/>
      <c r="J338" s="215" t="n"/>
      <c r="K338" s="215" t="n"/>
      <c r="L338" s="215" t="n"/>
      <c r="M338" s="215" t="n"/>
      <c r="N338" s="215" t="str">
        <f>IF(ISNUMBER(I338),ROUND(I338-I338/1.081,2),"")</f>
        <v/>
      </c>
      <c r="O338" s="215" t="str">
        <f>IF(ISNUMBER(I338),I338-SUM(J338:N338),"")</f>
        <v/>
      </c>
      <c r="P338" s="216" t="str">
        <f>IFERROR(IF(AND(ISNUMBER(O338),ISNUMBER(I338),I338&lt;&gt;0),O338/I338,""),"")</f>
        <v/>
      </c>
      <c r="Q338" s="215" t="str">
        <f>IF(AND(ISNUMBER(I338),ISNUMBER(S338)),I338*IF(S338&lt;=1,S338,S338/100),IF(OR(I338&lt;&gt;"",S338&lt;&gt;""),"tbd",""))</f>
        <v/>
      </c>
      <c r="S338" s="217" t="n"/>
      <c r="Z338" t="str">
        <f>IF(AND(R338="WON",ISNUMBER(I338)),AA338,"")</f>
        <v/>
      </c>
      <c r="AA338">
        <f>IFERROR(I338*1,0)</f>
        <v>0</v>
      </c>
      <c r="AB338">
        <f>N(AB337)+IF(AND(R338="WON",B338&lt;&gt;""),1,0)</f>
        <v>7</v>
      </c>
      <c r="AC338">
        <f>N(AC337)+IF(AND(OR(R338="offered",R338="to be offered",R338="on hold"),B338&lt;&gt;""),1,0)</f>
        <v>19</v>
      </c>
      <c r="AD338">
        <f>N(AD337)+IF(AND(OR(R338="follow-up",R338="Evaluation",R338="tbd",R338="In evaluation"),B338&lt;&gt;""),1,0)</f>
        <v>9</v>
      </c>
    </row>
    <row r="339" ht="15" customHeight="1">
      <c r="I339" s="215" t="n"/>
      <c r="J339" s="215" t="n"/>
      <c r="K339" s="215" t="n"/>
      <c r="L339" s="215" t="n"/>
      <c r="M339" s="215" t="n"/>
      <c r="N339" s="215" t="str">
        <f>IF(ISNUMBER(I339),ROUND(I339-I339/1.081,2),"")</f>
        <v/>
      </c>
      <c r="O339" s="215" t="str">
        <f>IF(ISNUMBER(I339),I339-SUM(J339:N339),"")</f>
        <v/>
      </c>
      <c r="P339" s="216" t="str">
        <f>IFERROR(IF(AND(ISNUMBER(O339),ISNUMBER(I339),I339&lt;&gt;0),O339/I339,""),"")</f>
        <v/>
      </c>
      <c r="Q339" s="215" t="str">
        <f>IF(AND(ISNUMBER(I339),ISNUMBER(S339)),I339*IF(S339&lt;=1,S339,S339/100),IF(OR(I339&lt;&gt;"",S339&lt;&gt;""),"tbd",""))</f>
        <v/>
      </c>
      <c r="S339" s="217" t="n"/>
      <c r="Z339" t="str">
        <f>IF(AND(R339="WON",ISNUMBER(I339)),AA339,"")</f>
        <v/>
      </c>
      <c r="AA339">
        <f>IFERROR(I339*1,0)</f>
        <v>0</v>
      </c>
      <c r="AB339">
        <f>N(AB338)+IF(AND(R339="WON",B339&lt;&gt;""),1,0)</f>
        <v>7</v>
      </c>
      <c r="AC339">
        <f>N(AC338)+IF(AND(OR(R339="offered",R339="to be offered",R339="on hold"),B339&lt;&gt;""),1,0)</f>
        <v>19</v>
      </c>
      <c r="AD339">
        <f>N(AD338)+IF(AND(OR(R339="follow-up",R339="Evaluation",R339="tbd",R339="In evaluation"),B339&lt;&gt;""),1,0)</f>
        <v>9</v>
      </c>
    </row>
    <row r="340" ht="15" customHeight="1">
      <c r="I340" s="215" t="n"/>
      <c r="J340" s="215" t="n"/>
      <c r="K340" s="215" t="n"/>
      <c r="L340" s="215" t="n"/>
      <c r="M340" s="215" t="n"/>
      <c r="N340" s="215" t="str">
        <f>IF(ISNUMBER(I340),ROUND(I340-I340/1.081,2),"")</f>
        <v/>
      </c>
      <c r="O340" s="215" t="str">
        <f>IF(ISNUMBER(I340),I340-SUM(J340:N340),"")</f>
        <v/>
      </c>
      <c r="P340" s="216" t="str">
        <f>IFERROR(IF(AND(ISNUMBER(O340),ISNUMBER(I340),I340&lt;&gt;0),O340/I340,""),"")</f>
        <v/>
      </c>
      <c r="Q340" s="215" t="str">
        <f>IF(AND(ISNUMBER(I340),ISNUMBER(S340)),I340*IF(S340&lt;=1,S340,S340/100),IF(OR(I340&lt;&gt;"",S340&lt;&gt;""),"tbd",""))</f>
        <v/>
      </c>
      <c r="S340" s="217" t="n"/>
      <c r="Z340" t="str">
        <f>IF(AND(R340="WON",ISNUMBER(I340)),AA340,"")</f>
        <v/>
      </c>
      <c r="AA340">
        <f>IFERROR(I340*1,0)</f>
        <v>0</v>
      </c>
      <c r="AB340">
        <f>N(AB339)+IF(AND(R340="WON",B340&lt;&gt;""),1,0)</f>
        <v>7</v>
      </c>
      <c r="AC340">
        <f>N(AC339)+IF(AND(OR(R340="offered",R340="to be offered",R340="on hold"),B340&lt;&gt;""),1,0)</f>
        <v>19</v>
      </c>
      <c r="AD340">
        <f>N(AD339)+IF(AND(OR(R340="follow-up",R340="Evaluation",R340="tbd",R340="In evaluation"),B340&lt;&gt;""),1,0)</f>
        <v>9</v>
      </c>
    </row>
    <row r="341" ht="15" customHeight="1">
      <c r="I341" s="215" t="n"/>
      <c r="J341" s="215" t="n"/>
      <c r="K341" s="215" t="n"/>
      <c r="L341" s="215" t="n"/>
      <c r="M341" s="215" t="n"/>
      <c r="N341" s="215" t="str">
        <f>IF(ISNUMBER(I341),ROUND(I341-I341/1.081,2),"")</f>
        <v/>
      </c>
      <c r="O341" s="215" t="str">
        <f>IF(ISNUMBER(I341),I341-SUM(J341:N341),"")</f>
        <v/>
      </c>
      <c r="P341" s="216" t="str">
        <f>IFERROR(IF(AND(ISNUMBER(O341),ISNUMBER(I341),I341&lt;&gt;0),O341/I341,""),"")</f>
        <v/>
      </c>
      <c r="Q341" s="215" t="str">
        <f>IF(AND(ISNUMBER(I341),ISNUMBER(S341)),I341*IF(S341&lt;=1,S341,S341/100),IF(OR(I341&lt;&gt;"",S341&lt;&gt;""),"tbd",""))</f>
        <v/>
      </c>
      <c r="S341" s="217" t="n"/>
      <c r="Z341" t="str">
        <f>IF(AND(R341="WON",ISNUMBER(I341)),AA341,"")</f>
        <v/>
      </c>
      <c r="AA341">
        <f>IFERROR(I341*1,0)</f>
        <v>0</v>
      </c>
      <c r="AB341">
        <f>N(AB340)+IF(AND(R341="WON",B341&lt;&gt;""),1,0)</f>
        <v>7</v>
      </c>
      <c r="AC341">
        <f>N(AC340)+IF(AND(OR(R341="offered",R341="to be offered",R341="on hold"),B341&lt;&gt;""),1,0)</f>
        <v>19</v>
      </c>
      <c r="AD341">
        <f>N(AD340)+IF(AND(OR(R341="follow-up",R341="Evaluation",R341="tbd",R341="In evaluation"),B341&lt;&gt;""),1,0)</f>
        <v>9</v>
      </c>
    </row>
    <row r="342" ht="15" customHeight="1">
      <c r="I342" s="215" t="n"/>
      <c r="J342" s="215" t="n"/>
      <c r="K342" s="215" t="n"/>
      <c r="L342" s="215" t="n"/>
      <c r="M342" s="215" t="n"/>
      <c r="N342" s="215" t="str">
        <f>IF(ISNUMBER(I342),ROUND(I342-I342/1.081,2),"")</f>
        <v/>
      </c>
      <c r="O342" s="215" t="str">
        <f>IF(ISNUMBER(I342),I342-SUM(J342:N342),"")</f>
        <v/>
      </c>
      <c r="P342" s="216" t="str">
        <f>IFERROR(IF(AND(ISNUMBER(O342),ISNUMBER(I342),I342&lt;&gt;0),O342/I342,""),"")</f>
        <v/>
      </c>
      <c r="Q342" s="215" t="str">
        <f>IF(AND(ISNUMBER(I342),ISNUMBER(S342)),I342*IF(S342&lt;=1,S342,S342/100),IF(OR(I342&lt;&gt;"",S342&lt;&gt;""),"tbd",""))</f>
        <v/>
      </c>
      <c r="S342" s="217" t="n"/>
      <c r="Z342" t="str">
        <f>IF(AND(R342="WON",ISNUMBER(I342)),AA342,"")</f>
        <v/>
      </c>
      <c r="AA342">
        <f>IFERROR(I342*1,0)</f>
        <v>0</v>
      </c>
      <c r="AB342">
        <f>N(AB341)+IF(AND(R342="WON",B342&lt;&gt;""),1,0)</f>
        <v>7</v>
      </c>
      <c r="AC342">
        <f>N(AC341)+IF(AND(OR(R342="offered",R342="to be offered",R342="on hold"),B342&lt;&gt;""),1,0)</f>
        <v>19</v>
      </c>
      <c r="AD342">
        <f>N(AD341)+IF(AND(OR(R342="follow-up",R342="Evaluation",R342="tbd",R342="In evaluation"),B342&lt;&gt;""),1,0)</f>
        <v>9</v>
      </c>
    </row>
    <row r="343" ht="15" customHeight="1">
      <c r="I343" s="215" t="n"/>
      <c r="J343" s="215" t="n"/>
      <c r="K343" s="215" t="n"/>
      <c r="L343" s="215" t="n"/>
      <c r="M343" s="215" t="n"/>
      <c r="N343" s="215" t="str">
        <f>IF(ISNUMBER(I343),ROUND(I343-I343/1.081,2),"")</f>
        <v/>
      </c>
      <c r="O343" s="215" t="str">
        <f>IF(ISNUMBER(I343),I343-SUM(J343:N343),"")</f>
        <v/>
      </c>
      <c r="P343" s="216" t="str">
        <f>IFERROR(IF(AND(ISNUMBER(O343),ISNUMBER(I343),I343&lt;&gt;0),O343/I343,""),"")</f>
        <v/>
      </c>
      <c r="Q343" s="215" t="str">
        <f>IF(AND(ISNUMBER(I343),ISNUMBER(S343)),I343*IF(S343&lt;=1,S343,S343/100),IF(OR(I343&lt;&gt;"",S343&lt;&gt;""),"tbd",""))</f>
        <v/>
      </c>
      <c r="S343" s="217" t="n"/>
      <c r="Z343" t="str">
        <f>IF(AND(R343="WON",ISNUMBER(I343)),AA343,"")</f>
        <v/>
      </c>
      <c r="AA343">
        <f>IFERROR(I343*1,0)</f>
        <v>0</v>
      </c>
      <c r="AB343">
        <f>N(AB342)+IF(AND(R343="WON",B343&lt;&gt;""),1,0)</f>
        <v>7</v>
      </c>
      <c r="AC343">
        <f>N(AC342)+IF(AND(OR(R343="offered",R343="to be offered",R343="on hold"),B343&lt;&gt;""),1,0)</f>
        <v>19</v>
      </c>
      <c r="AD343">
        <f>N(AD342)+IF(AND(OR(R343="follow-up",R343="Evaluation",R343="tbd",R343="In evaluation"),B343&lt;&gt;""),1,0)</f>
        <v>9</v>
      </c>
    </row>
    <row r="344" ht="15" customHeight="1">
      <c r="I344" s="215" t="n"/>
      <c r="J344" s="215" t="n"/>
      <c r="K344" s="215" t="n"/>
      <c r="L344" s="215" t="n"/>
      <c r="M344" s="215" t="n"/>
      <c r="N344" s="215" t="str">
        <f>IF(ISNUMBER(I344),ROUND(I344-I344/1.081,2),"")</f>
        <v/>
      </c>
      <c r="O344" s="215" t="str">
        <f>IF(ISNUMBER(I344),I344-SUM(J344:N344),"")</f>
        <v/>
      </c>
      <c r="P344" s="216" t="str">
        <f>IFERROR(IF(AND(ISNUMBER(O344),ISNUMBER(I344),I344&lt;&gt;0),O344/I344,""),"")</f>
        <v/>
      </c>
      <c r="Q344" s="215" t="str">
        <f>IF(AND(ISNUMBER(I344),ISNUMBER(S344)),I344*IF(S344&lt;=1,S344,S344/100),IF(OR(I344&lt;&gt;"",S344&lt;&gt;""),"tbd",""))</f>
        <v/>
      </c>
      <c r="S344" s="217" t="n"/>
      <c r="Z344" t="str">
        <f>IF(AND(R344="WON",ISNUMBER(I344)),AA344,"")</f>
        <v/>
      </c>
      <c r="AA344">
        <f>IFERROR(I344*1,0)</f>
        <v>0</v>
      </c>
      <c r="AB344">
        <f>N(AB343)+IF(AND(R344="WON",B344&lt;&gt;""),1,0)</f>
        <v>7</v>
      </c>
      <c r="AC344">
        <f>N(AC343)+IF(AND(OR(R344="offered",R344="to be offered",R344="on hold"),B344&lt;&gt;""),1,0)</f>
        <v>19</v>
      </c>
      <c r="AD344">
        <f>N(AD343)+IF(AND(OR(R344="follow-up",R344="Evaluation",R344="tbd",R344="In evaluation"),B344&lt;&gt;""),1,0)</f>
        <v>9</v>
      </c>
    </row>
    <row r="345" ht="15" customHeight="1">
      <c r="I345" s="215" t="n"/>
      <c r="J345" s="215" t="n"/>
      <c r="K345" s="215" t="n"/>
      <c r="L345" s="215" t="n"/>
      <c r="M345" s="215" t="n"/>
      <c r="N345" s="215" t="str">
        <f>IF(ISNUMBER(I345),ROUND(I345-I345/1.081,2),"")</f>
        <v/>
      </c>
      <c r="O345" s="215" t="str">
        <f>IF(ISNUMBER(I345),I345-SUM(J345:N345),"")</f>
        <v/>
      </c>
      <c r="P345" s="216" t="str">
        <f>IFERROR(IF(AND(ISNUMBER(O345),ISNUMBER(I345),I345&lt;&gt;0),O345/I345,""),"")</f>
        <v/>
      </c>
      <c r="Q345" s="215" t="str">
        <f>IF(AND(ISNUMBER(I345),ISNUMBER(S345)),I345*IF(S345&lt;=1,S345,S345/100),IF(OR(I345&lt;&gt;"",S345&lt;&gt;""),"tbd",""))</f>
        <v/>
      </c>
      <c r="S345" s="217" t="n"/>
      <c r="Z345" t="str">
        <f>IF(AND(R345="WON",ISNUMBER(I345)),AA345,"")</f>
        <v/>
      </c>
      <c r="AA345">
        <f>IFERROR(I345*1,0)</f>
        <v>0</v>
      </c>
      <c r="AB345">
        <f>N(AB344)+IF(AND(R345="WON",B345&lt;&gt;""),1,0)</f>
        <v>7</v>
      </c>
      <c r="AC345">
        <f>N(AC344)+IF(AND(OR(R345="offered",R345="to be offered",R345="on hold"),B345&lt;&gt;""),1,0)</f>
        <v>19</v>
      </c>
      <c r="AD345">
        <f>N(AD344)+IF(AND(OR(R345="follow-up",R345="Evaluation",R345="tbd",R345="In evaluation"),B345&lt;&gt;""),1,0)</f>
        <v>9</v>
      </c>
    </row>
    <row r="346" ht="15" customHeight="1">
      <c r="I346" s="215" t="n"/>
      <c r="J346" s="215" t="n"/>
      <c r="K346" s="215" t="n"/>
      <c r="L346" s="215" t="n"/>
      <c r="M346" s="215" t="n"/>
      <c r="N346" s="215" t="str">
        <f>IF(ISNUMBER(I346),ROUND(I346-I346/1.081,2),"")</f>
        <v/>
      </c>
      <c r="O346" s="215" t="str">
        <f>IF(ISNUMBER(I346),I346-SUM(J346:N346),"")</f>
        <v/>
      </c>
      <c r="P346" s="216" t="str">
        <f>IFERROR(IF(AND(ISNUMBER(O346),ISNUMBER(I346),I346&lt;&gt;0),O346/I346,""),"")</f>
        <v/>
      </c>
      <c r="Q346" s="215" t="str">
        <f>IF(AND(ISNUMBER(I346),ISNUMBER(S346)),I346*IF(S346&lt;=1,S346,S346/100),IF(OR(I346&lt;&gt;"",S346&lt;&gt;""),"tbd",""))</f>
        <v/>
      </c>
      <c r="S346" s="217" t="n"/>
      <c r="Z346" t="str">
        <f>IF(AND(R346="WON",ISNUMBER(I346)),AA346,"")</f>
        <v/>
      </c>
      <c r="AA346">
        <f>IFERROR(I346*1,0)</f>
        <v>0</v>
      </c>
      <c r="AB346">
        <f>N(AB345)+IF(AND(R346="WON",B346&lt;&gt;""),1,0)</f>
        <v>7</v>
      </c>
      <c r="AC346">
        <f>N(AC345)+IF(AND(OR(R346="offered",R346="to be offered",R346="on hold"),B346&lt;&gt;""),1,0)</f>
        <v>19</v>
      </c>
      <c r="AD346">
        <f>N(AD345)+IF(AND(OR(R346="follow-up",R346="Evaluation",R346="tbd",R346="In evaluation"),B346&lt;&gt;""),1,0)</f>
        <v>9</v>
      </c>
    </row>
    <row r="347" ht="15" customHeight="1">
      <c r="I347" s="215" t="n"/>
      <c r="J347" s="215" t="n"/>
      <c r="K347" s="215" t="n"/>
      <c r="L347" s="215" t="n"/>
      <c r="M347" s="215" t="n"/>
      <c r="N347" s="215" t="str">
        <f>IF(ISNUMBER(I347),ROUND(I347-I347/1.081,2),"")</f>
        <v/>
      </c>
      <c r="O347" s="215" t="str">
        <f>IF(ISNUMBER(I347),I347-SUM(J347:N347),"")</f>
        <v/>
      </c>
      <c r="P347" s="216" t="str">
        <f>IFERROR(IF(AND(ISNUMBER(O347),ISNUMBER(I347),I347&lt;&gt;0),O347/I347,""),"")</f>
        <v/>
      </c>
      <c r="Q347" s="215" t="str">
        <f>IF(AND(ISNUMBER(I347),ISNUMBER(S347)),I347*IF(S347&lt;=1,S347,S347/100),IF(OR(I347&lt;&gt;"",S347&lt;&gt;""),"tbd",""))</f>
        <v/>
      </c>
      <c r="S347" s="217" t="n"/>
      <c r="Z347" t="str">
        <f>IF(AND(R347="WON",ISNUMBER(I347)),AA347,"")</f>
        <v/>
      </c>
      <c r="AA347">
        <f>IFERROR(I347*1,0)</f>
        <v>0</v>
      </c>
      <c r="AB347">
        <f>N(AB346)+IF(AND(R347="WON",B347&lt;&gt;""),1,0)</f>
        <v>7</v>
      </c>
      <c r="AC347">
        <f>N(AC346)+IF(AND(OR(R347="offered",R347="to be offered",R347="on hold"),B347&lt;&gt;""),1,0)</f>
        <v>19</v>
      </c>
      <c r="AD347">
        <f>N(AD346)+IF(AND(OR(R347="follow-up",R347="Evaluation",R347="tbd",R347="In evaluation"),B347&lt;&gt;""),1,0)</f>
        <v>9</v>
      </c>
    </row>
    <row r="348" ht="15" customHeight="1">
      <c r="I348" s="215" t="n"/>
      <c r="J348" s="215" t="n"/>
      <c r="K348" s="215" t="n"/>
      <c r="L348" s="215" t="n"/>
      <c r="M348" s="215" t="n"/>
      <c r="N348" s="215" t="str">
        <f>IF(ISNUMBER(I348),ROUND(I348-I348/1.081,2),"")</f>
        <v/>
      </c>
      <c r="O348" s="215" t="str">
        <f>IF(ISNUMBER(I348),I348-SUM(J348:N348),"")</f>
        <v/>
      </c>
      <c r="P348" s="216" t="str">
        <f>IFERROR(IF(AND(ISNUMBER(O348),ISNUMBER(I348),I348&lt;&gt;0),O348/I348,""),"")</f>
        <v/>
      </c>
      <c r="Q348" s="215" t="str">
        <f>IF(AND(ISNUMBER(I348),ISNUMBER(S348)),I348*IF(S348&lt;=1,S348,S348/100),IF(OR(I348&lt;&gt;"",S348&lt;&gt;""),"tbd",""))</f>
        <v/>
      </c>
      <c r="S348" s="217" t="n"/>
      <c r="Z348" t="str">
        <f>IF(AND(R348="WON",ISNUMBER(I348)),AA348,"")</f>
        <v/>
      </c>
      <c r="AA348">
        <f>IFERROR(I348*1,0)</f>
        <v>0</v>
      </c>
      <c r="AB348">
        <f>N(AB347)+IF(AND(R348="WON",B348&lt;&gt;""),1,0)</f>
        <v>7</v>
      </c>
      <c r="AC348">
        <f>N(AC347)+IF(AND(OR(R348="offered",R348="to be offered",R348="on hold"),B348&lt;&gt;""),1,0)</f>
        <v>19</v>
      </c>
      <c r="AD348">
        <f>N(AD347)+IF(AND(OR(R348="follow-up",R348="Evaluation",R348="tbd",R348="In evaluation"),B348&lt;&gt;""),1,0)</f>
        <v>9</v>
      </c>
    </row>
    <row r="349" ht="15" customHeight="1">
      <c r="I349" s="215" t="n"/>
      <c r="J349" s="215" t="n"/>
      <c r="K349" s="215" t="n"/>
      <c r="L349" s="215" t="n"/>
      <c r="M349" s="215" t="n"/>
      <c r="N349" s="215" t="str">
        <f>IF(ISNUMBER(I349),ROUND(I349-I349/1.081,2),"")</f>
        <v/>
      </c>
      <c r="O349" s="215" t="str">
        <f>IF(ISNUMBER(I349),I349-SUM(J349:N349),"")</f>
        <v/>
      </c>
      <c r="P349" s="216" t="str">
        <f>IFERROR(IF(AND(ISNUMBER(O349),ISNUMBER(I349),I349&lt;&gt;0),O349/I349,""),"")</f>
        <v/>
      </c>
      <c r="Q349" s="215" t="str">
        <f>IF(AND(ISNUMBER(I349),ISNUMBER(S349)),I349*IF(S349&lt;=1,S349,S349/100),IF(OR(I349&lt;&gt;"",S349&lt;&gt;""),"tbd",""))</f>
        <v/>
      </c>
      <c r="S349" s="217" t="n"/>
      <c r="Z349" t="str">
        <f>IF(AND(R349="WON",ISNUMBER(I349)),AA349,"")</f>
        <v/>
      </c>
      <c r="AA349">
        <f>IFERROR(I349*1,0)</f>
        <v>0</v>
      </c>
      <c r="AB349">
        <f>N(AB348)+IF(AND(R349="WON",B349&lt;&gt;""),1,0)</f>
        <v>7</v>
      </c>
      <c r="AC349">
        <f>N(AC348)+IF(AND(OR(R349="offered",R349="to be offered",R349="on hold"),B349&lt;&gt;""),1,0)</f>
        <v>19</v>
      </c>
      <c r="AD349">
        <f>N(AD348)+IF(AND(OR(R349="follow-up",R349="Evaluation",R349="tbd",R349="In evaluation"),B349&lt;&gt;""),1,0)</f>
        <v>9</v>
      </c>
    </row>
    <row r="350" ht="15" customHeight="1">
      <c r="I350" s="215" t="n"/>
      <c r="J350" s="215" t="n"/>
      <c r="K350" s="215" t="n"/>
      <c r="L350" s="215" t="n"/>
      <c r="M350" s="215" t="n"/>
      <c r="N350" s="215" t="str">
        <f>IF(ISNUMBER(I350),ROUND(I350-I350/1.081,2),"")</f>
        <v/>
      </c>
      <c r="O350" s="215" t="str">
        <f>IF(ISNUMBER(I350),I350-SUM(J350:N350),"")</f>
        <v/>
      </c>
      <c r="P350" s="216" t="str">
        <f>IFERROR(IF(AND(ISNUMBER(O350),ISNUMBER(I350),I350&lt;&gt;0),O350/I350,""),"")</f>
        <v/>
      </c>
      <c r="Q350" s="215" t="str">
        <f>IF(AND(ISNUMBER(I350),ISNUMBER(S350)),I350*IF(S350&lt;=1,S350,S350/100),IF(OR(I350&lt;&gt;"",S350&lt;&gt;""),"tbd",""))</f>
        <v/>
      </c>
      <c r="S350" s="217" t="n"/>
      <c r="Z350" t="str">
        <f>IF(AND(R350="WON",ISNUMBER(I350)),AA350,"")</f>
        <v/>
      </c>
      <c r="AA350">
        <f>IFERROR(I350*1,0)</f>
        <v>0</v>
      </c>
      <c r="AB350">
        <f>N(AB349)+IF(AND(R350="WON",B350&lt;&gt;""),1,0)</f>
        <v>7</v>
      </c>
      <c r="AC350">
        <f>N(AC349)+IF(AND(OR(R350="offered",R350="to be offered",R350="on hold"),B350&lt;&gt;""),1,0)</f>
        <v>19</v>
      </c>
      <c r="AD350">
        <f>N(AD349)+IF(AND(OR(R350="follow-up",R350="Evaluation",R350="tbd",R350="In evaluation"),B350&lt;&gt;""),1,0)</f>
        <v>9</v>
      </c>
    </row>
    <row r="351" ht="15" customHeight="1">
      <c r="I351" s="215" t="n"/>
      <c r="J351" s="215" t="n"/>
      <c r="K351" s="215" t="n"/>
      <c r="L351" s="215" t="n"/>
      <c r="M351" s="215" t="n"/>
      <c r="N351" s="215" t="str">
        <f>IF(ISNUMBER(I351),ROUND(I351-I351/1.081,2),"")</f>
        <v/>
      </c>
      <c r="O351" s="215" t="str">
        <f>IF(ISNUMBER(I351),I351-SUM(J351:N351),"")</f>
        <v/>
      </c>
      <c r="P351" s="216" t="str">
        <f>IFERROR(IF(AND(ISNUMBER(O351),ISNUMBER(I351),I351&lt;&gt;0),O351/I351,""),"")</f>
        <v/>
      </c>
      <c r="Q351" s="215" t="str">
        <f>IF(AND(ISNUMBER(I351),ISNUMBER(S351)),I351*IF(S351&lt;=1,S351,S351/100),IF(OR(I351&lt;&gt;"",S351&lt;&gt;""),"tbd",""))</f>
        <v/>
      </c>
      <c r="S351" s="217" t="n"/>
      <c r="Z351" t="str">
        <f>IF(AND(R351="WON",ISNUMBER(I351)),AA351,"")</f>
        <v/>
      </c>
      <c r="AA351">
        <f>IFERROR(I351*1,0)</f>
        <v>0</v>
      </c>
      <c r="AB351">
        <f>N(AB350)+IF(AND(R351="WON",B351&lt;&gt;""),1,0)</f>
        <v>7</v>
      </c>
      <c r="AC351">
        <f>N(AC350)+IF(AND(OR(R351="offered",R351="to be offered",R351="on hold"),B351&lt;&gt;""),1,0)</f>
        <v>19</v>
      </c>
      <c r="AD351">
        <f>N(AD350)+IF(AND(OR(R351="follow-up",R351="Evaluation",R351="tbd",R351="In evaluation"),B351&lt;&gt;""),1,0)</f>
        <v>9</v>
      </c>
    </row>
    <row r="352" ht="15" customHeight="1">
      <c r="I352" s="215" t="n"/>
      <c r="J352" s="215" t="n"/>
      <c r="K352" s="215" t="n"/>
      <c r="L352" s="215" t="n"/>
      <c r="M352" s="215" t="n"/>
      <c r="N352" s="215" t="str">
        <f>IF(ISNUMBER(I352),ROUND(I352-I352/1.081,2),"")</f>
        <v/>
      </c>
      <c r="O352" s="215" t="str">
        <f>IF(ISNUMBER(I352),I352-SUM(J352:N352),"")</f>
        <v/>
      </c>
      <c r="P352" s="216" t="str">
        <f>IFERROR(IF(AND(ISNUMBER(O352),ISNUMBER(I352),I352&lt;&gt;0),O352/I352,""),"")</f>
        <v/>
      </c>
      <c r="Q352" s="215" t="str">
        <f>IF(AND(ISNUMBER(I352),ISNUMBER(S352)),I352*IF(S352&lt;=1,S352,S352/100),IF(OR(I352&lt;&gt;"",S352&lt;&gt;""),"tbd",""))</f>
        <v/>
      </c>
      <c r="S352" s="217" t="n"/>
      <c r="Z352" t="str">
        <f>IF(AND(R352="WON",ISNUMBER(I352)),AA352,"")</f>
        <v/>
      </c>
      <c r="AA352">
        <f>IFERROR(I352*1,0)</f>
        <v>0</v>
      </c>
      <c r="AB352">
        <f>N(AB351)+IF(AND(R352="WON",B352&lt;&gt;""),1,0)</f>
        <v>7</v>
      </c>
      <c r="AC352">
        <f>N(AC351)+IF(AND(OR(R352="offered",R352="to be offered",R352="on hold"),B352&lt;&gt;""),1,0)</f>
        <v>19</v>
      </c>
      <c r="AD352">
        <f>N(AD351)+IF(AND(OR(R352="follow-up",R352="Evaluation",R352="tbd",R352="In evaluation"),B352&lt;&gt;""),1,0)</f>
        <v>9</v>
      </c>
    </row>
    <row r="353" ht="15" customHeight="1">
      <c r="I353" s="215" t="n"/>
      <c r="J353" s="215" t="n"/>
      <c r="K353" s="215" t="n"/>
      <c r="L353" s="215" t="n"/>
      <c r="M353" s="215" t="n"/>
      <c r="N353" s="215" t="str">
        <f>IF(ISNUMBER(I353),ROUND(I353-I353/1.081,2),"")</f>
        <v/>
      </c>
      <c r="O353" s="215" t="str">
        <f>IF(ISNUMBER(I353),I353-SUM(J353:N353),"")</f>
        <v/>
      </c>
      <c r="P353" s="216" t="str">
        <f>IFERROR(IF(AND(ISNUMBER(O353),ISNUMBER(I353),I353&lt;&gt;0),O353/I353,""),"")</f>
        <v/>
      </c>
      <c r="Q353" s="215" t="str">
        <f>IF(AND(ISNUMBER(I353),ISNUMBER(S353)),I353*IF(S353&lt;=1,S353,S353/100),IF(OR(I353&lt;&gt;"",S353&lt;&gt;""),"tbd",""))</f>
        <v/>
      </c>
      <c r="S353" s="217" t="n"/>
      <c r="Z353" t="str">
        <f>IF(AND(R353="WON",ISNUMBER(I353)),AA353,"")</f>
        <v/>
      </c>
      <c r="AA353">
        <f>IFERROR(I353*1,0)</f>
        <v>0</v>
      </c>
      <c r="AB353">
        <f>N(AB352)+IF(AND(R353="WON",B353&lt;&gt;""),1,0)</f>
        <v>7</v>
      </c>
      <c r="AC353">
        <f>N(AC352)+IF(AND(OR(R353="offered",R353="to be offered",R353="on hold"),B353&lt;&gt;""),1,0)</f>
        <v>19</v>
      </c>
      <c r="AD353">
        <f>N(AD352)+IF(AND(OR(R353="follow-up",R353="Evaluation",R353="tbd",R353="In evaluation"),B353&lt;&gt;""),1,0)</f>
        <v>9</v>
      </c>
    </row>
    <row r="354" ht="15" customHeight="1">
      <c r="I354" s="215" t="n"/>
      <c r="J354" s="215" t="n"/>
      <c r="K354" s="215" t="n"/>
      <c r="L354" s="215" t="n"/>
      <c r="M354" s="215" t="n"/>
      <c r="N354" s="215" t="str">
        <f>IF(ISNUMBER(I354),ROUND(I354-I354/1.081,2),"")</f>
        <v/>
      </c>
      <c r="O354" s="215" t="str">
        <f>IF(ISNUMBER(I354),I354-SUM(J354:N354),"")</f>
        <v/>
      </c>
      <c r="P354" s="216" t="str">
        <f>IFERROR(IF(AND(ISNUMBER(O354),ISNUMBER(I354),I354&lt;&gt;0),O354/I354,""),"")</f>
        <v/>
      </c>
      <c r="Q354" s="215" t="str">
        <f>IF(AND(ISNUMBER(I354),ISNUMBER(S354)),I354*IF(S354&lt;=1,S354,S354/100),IF(OR(I354&lt;&gt;"",S354&lt;&gt;""),"tbd",""))</f>
        <v/>
      </c>
      <c r="S354" s="217" t="n"/>
      <c r="Z354" t="str">
        <f>IF(AND(R354="WON",ISNUMBER(I354)),AA354,"")</f>
        <v/>
      </c>
      <c r="AA354">
        <f>IFERROR(I354*1,0)</f>
        <v>0</v>
      </c>
      <c r="AB354">
        <f>N(AB353)+IF(AND(R354="WON",B354&lt;&gt;""),1,0)</f>
        <v>7</v>
      </c>
      <c r="AC354">
        <f>N(AC353)+IF(AND(OR(R354="offered",R354="to be offered",R354="on hold"),B354&lt;&gt;""),1,0)</f>
        <v>19</v>
      </c>
      <c r="AD354">
        <f>N(AD353)+IF(AND(OR(R354="follow-up",R354="Evaluation",R354="tbd",R354="In evaluation"),B354&lt;&gt;""),1,0)</f>
        <v>9</v>
      </c>
    </row>
    <row r="355" ht="15" customHeight="1">
      <c r="I355" s="215" t="n"/>
      <c r="J355" s="215" t="n"/>
      <c r="K355" s="215" t="n"/>
      <c r="L355" s="215" t="n"/>
      <c r="M355" s="215" t="n"/>
      <c r="N355" s="215" t="str">
        <f>IF(ISNUMBER(I355),ROUND(I355-I355/1.081,2),"")</f>
        <v/>
      </c>
      <c r="O355" s="215" t="str">
        <f>IF(ISNUMBER(I355),I355-SUM(J355:N355),"")</f>
        <v/>
      </c>
      <c r="P355" s="216" t="str">
        <f>IFERROR(IF(AND(ISNUMBER(O355),ISNUMBER(I355),I355&lt;&gt;0),O355/I355,""),"")</f>
        <v/>
      </c>
      <c r="Q355" s="215" t="str">
        <f>IF(AND(ISNUMBER(I355),ISNUMBER(S355)),I355*IF(S355&lt;=1,S355,S355/100),IF(OR(I355&lt;&gt;"",S355&lt;&gt;""),"tbd",""))</f>
        <v/>
      </c>
      <c r="S355" s="217" t="n"/>
      <c r="Z355" t="str">
        <f>IF(AND(R355="WON",ISNUMBER(I355)),AA355,"")</f>
        <v/>
      </c>
      <c r="AA355">
        <f>IFERROR(I355*1,0)</f>
        <v>0</v>
      </c>
      <c r="AB355">
        <f>N(AB354)+IF(AND(R355="WON",B355&lt;&gt;""),1,0)</f>
        <v>7</v>
      </c>
      <c r="AC355">
        <f>N(AC354)+IF(AND(OR(R355="offered",R355="to be offered",R355="on hold"),B355&lt;&gt;""),1,0)</f>
        <v>19</v>
      </c>
      <c r="AD355">
        <f>N(AD354)+IF(AND(OR(R355="follow-up",R355="Evaluation",R355="tbd",R355="In evaluation"),B355&lt;&gt;""),1,0)</f>
        <v>9</v>
      </c>
    </row>
    <row r="356" ht="15" customHeight="1">
      <c r="I356" s="215" t="n"/>
      <c r="J356" s="215" t="n"/>
      <c r="K356" s="215" t="n"/>
      <c r="L356" s="215" t="n"/>
      <c r="M356" s="215" t="n"/>
      <c r="N356" s="215" t="str">
        <f>IF(ISNUMBER(I356),ROUND(I356-I356/1.081,2),"")</f>
        <v/>
      </c>
      <c r="O356" s="215" t="str">
        <f>IF(ISNUMBER(I356),I356-SUM(J356:N356),"")</f>
        <v/>
      </c>
      <c r="P356" s="216" t="str">
        <f>IFERROR(IF(AND(ISNUMBER(O356),ISNUMBER(I356),I356&lt;&gt;0),O356/I356,""),"")</f>
        <v/>
      </c>
      <c r="Q356" s="215" t="str">
        <f>IF(AND(ISNUMBER(I356),ISNUMBER(S356)),I356*IF(S356&lt;=1,S356,S356/100),IF(OR(I356&lt;&gt;"",S356&lt;&gt;""),"tbd",""))</f>
        <v/>
      </c>
      <c r="S356" s="217" t="n"/>
      <c r="Z356" t="str">
        <f>IF(AND(R356="WON",ISNUMBER(I356)),AA356,"")</f>
        <v/>
      </c>
      <c r="AA356">
        <f>IFERROR(I356*1,0)</f>
        <v>0</v>
      </c>
      <c r="AB356">
        <f>N(AB355)+IF(AND(R356="WON",B356&lt;&gt;""),1,0)</f>
        <v>7</v>
      </c>
      <c r="AC356">
        <f>N(AC355)+IF(AND(OR(R356="offered",R356="to be offered",R356="on hold"),B356&lt;&gt;""),1,0)</f>
        <v>19</v>
      </c>
      <c r="AD356">
        <f>N(AD355)+IF(AND(OR(R356="follow-up",R356="Evaluation",R356="tbd",R356="In evaluation"),B356&lt;&gt;""),1,0)</f>
        <v>9</v>
      </c>
    </row>
    <row r="357" ht="15" customHeight="1">
      <c r="I357" s="215" t="n"/>
      <c r="J357" s="215" t="n"/>
      <c r="K357" s="215" t="n"/>
      <c r="L357" s="215" t="n"/>
      <c r="M357" s="215" t="n"/>
      <c r="N357" s="215" t="str">
        <f>IF(ISNUMBER(I357),ROUND(I357-I357/1.081,2),"")</f>
        <v/>
      </c>
      <c r="O357" s="215" t="str">
        <f>IF(ISNUMBER(I357),I357-SUM(J357:N357),"")</f>
        <v/>
      </c>
      <c r="P357" s="216" t="str">
        <f>IFERROR(IF(AND(ISNUMBER(O357),ISNUMBER(I357),I357&lt;&gt;0),O357/I357,""),"")</f>
        <v/>
      </c>
      <c r="Q357" s="215" t="str">
        <f>IF(AND(ISNUMBER(I357),ISNUMBER(S357)),I357*IF(S357&lt;=1,S357,S357/100),IF(OR(I357&lt;&gt;"",S357&lt;&gt;""),"tbd",""))</f>
        <v/>
      </c>
      <c r="S357" s="217" t="n"/>
      <c r="Z357" t="str">
        <f>IF(AND(R357="WON",ISNUMBER(I357)),AA357,"")</f>
        <v/>
      </c>
      <c r="AA357">
        <f>IFERROR(I357*1,0)</f>
        <v>0</v>
      </c>
      <c r="AB357">
        <f>N(AB356)+IF(AND(R357="WON",B357&lt;&gt;""),1,0)</f>
        <v>7</v>
      </c>
      <c r="AC357">
        <f>N(AC356)+IF(AND(OR(R357="offered",R357="to be offered",R357="on hold"),B357&lt;&gt;""),1,0)</f>
        <v>19</v>
      </c>
      <c r="AD357">
        <f>N(AD356)+IF(AND(OR(R357="follow-up",R357="Evaluation",R357="tbd",R357="In evaluation"),B357&lt;&gt;""),1,0)</f>
        <v>9</v>
      </c>
    </row>
    <row r="358" ht="15" customHeight="1">
      <c r="I358" s="215" t="n"/>
      <c r="J358" s="215" t="n"/>
      <c r="K358" s="215" t="n"/>
      <c r="L358" s="215" t="n"/>
      <c r="M358" s="215" t="n"/>
      <c r="N358" s="215" t="str">
        <f>IF(ISNUMBER(I358),ROUND(I358-I358/1.081,2),"")</f>
        <v/>
      </c>
      <c r="O358" s="215" t="str">
        <f>IF(ISNUMBER(I358),I358-SUM(J358:N358),"")</f>
        <v/>
      </c>
      <c r="P358" s="216" t="str">
        <f>IFERROR(IF(AND(ISNUMBER(O358),ISNUMBER(I358),I358&lt;&gt;0),O358/I358,""),"")</f>
        <v/>
      </c>
      <c r="Q358" s="215" t="str">
        <f>IF(AND(ISNUMBER(I358),ISNUMBER(S358)),I358*IF(S358&lt;=1,S358,S358/100),IF(OR(I358&lt;&gt;"",S358&lt;&gt;""),"tbd",""))</f>
        <v/>
      </c>
      <c r="S358" s="217" t="n"/>
      <c r="Z358" t="str">
        <f>IF(AND(R358="WON",ISNUMBER(I358)),AA358,"")</f>
        <v/>
      </c>
      <c r="AA358">
        <f>IFERROR(I358*1,0)</f>
        <v>0</v>
      </c>
      <c r="AB358">
        <f>N(AB357)+IF(AND(R358="WON",B358&lt;&gt;""),1,0)</f>
        <v>7</v>
      </c>
      <c r="AC358">
        <f>N(AC357)+IF(AND(OR(R358="offered",R358="to be offered",R358="on hold"),B358&lt;&gt;""),1,0)</f>
        <v>19</v>
      </c>
      <c r="AD358">
        <f>N(AD357)+IF(AND(OR(R358="follow-up",R358="Evaluation",R358="tbd",R358="In evaluation"),B358&lt;&gt;""),1,0)</f>
        <v>9</v>
      </c>
    </row>
    <row r="359" ht="15" customHeight="1">
      <c r="I359" s="215" t="n"/>
      <c r="J359" s="215" t="n"/>
      <c r="K359" s="215" t="n"/>
      <c r="L359" s="215" t="n"/>
      <c r="M359" s="215" t="n"/>
      <c r="N359" s="215" t="str">
        <f>IF(ISNUMBER(I359),ROUND(I359-I359/1.081,2),"")</f>
        <v/>
      </c>
      <c r="O359" s="215" t="str">
        <f>IF(ISNUMBER(I359),I359-SUM(J359:N359),"")</f>
        <v/>
      </c>
      <c r="P359" s="216" t="str">
        <f>IFERROR(IF(AND(ISNUMBER(O359),ISNUMBER(I359),I359&lt;&gt;0),O359/I359,""),"")</f>
        <v/>
      </c>
      <c r="Q359" s="215" t="str">
        <f>IF(AND(ISNUMBER(I359),ISNUMBER(S359)),I359*IF(S359&lt;=1,S359,S359/100),IF(OR(I359&lt;&gt;"",S359&lt;&gt;""),"tbd",""))</f>
        <v/>
      </c>
      <c r="S359" s="217" t="n"/>
      <c r="Z359" t="str">
        <f>IF(AND(R359="WON",ISNUMBER(I359)),AA359,"")</f>
        <v/>
      </c>
      <c r="AA359">
        <f>IFERROR(I359*1,0)</f>
        <v>0</v>
      </c>
      <c r="AB359">
        <f>N(AB358)+IF(AND(R359="WON",B359&lt;&gt;""),1,0)</f>
        <v>7</v>
      </c>
      <c r="AC359">
        <f>N(AC358)+IF(AND(OR(R359="offered",R359="to be offered",R359="on hold"),B359&lt;&gt;""),1,0)</f>
        <v>19</v>
      </c>
      <c r="AD359">
        <f>N(AD358)+IF(AND(OR(R359="follow-up",R359="Evaluation",R359="tbd",R359="In evaluation"),B359&lt;&gt;""),1,0)</f>
        <v>9</v>
      </c>
    </row>
    <row r="360" ht="15" customHeight="1">
      <c r="I360" s="215" t="n"/>
      <c r="J360" s="215" t="n"/>
      <c r="K360" s="215" t="n"/>
      <c r="L360" s="215" t="n"/>
      <c r="M360" s="215" t="n"/>
      <c r="N360" s="215" t="str">
        <f>IF(ISNUMBER(I360),ROUND(I360-I360/1.081,2),"")</f>
        <v/>
      </c>
      <c r="O360" s="215" t="str">
        <f>IF(ISNUMBER(I360),I360-SUM(J360:N360),"")</f>
        <v/>
      </c>
      <c r="P360" s="216" t="str">
        <f>IFERROR(IF(AND(ISNUMBER(O360),ISNUMBER(I360),I360&lt;&gt;0),O360/I360,""),"")</f>
        <v/>
      </c>
      <c r="Q360" s="215" t="str">
        <f>IF(AND(ISNUMBER(I360),ISNUMBER(S360)),I360*IF(S360&lt;=1,S360,S360/100),IF(OR(I360&lt;&gt;"",S360&lt;&gt;""),"tbd",""))</f>
        <v/>
      </c>
      <c r="S360" s="217" t="n"/>
      <c r="Z360" t="str">
        <f>IF(AND(R360="WON",ISNUMBER(I360)),AA360,"")</f>
        <v/>
      </c>
      <c r="AA360">
        <f>IFERROR(I360*1,0)</f>
        <v>0</v>
      </c>
      <c r="AB360">
        <f>N(AB359)+IF(AND(R360="WON",B360&lt;&gt;""),1,0)</f>
        <v>7</v>
      </c>
      <c r="AC360">
        <f>N(AC359)+IF(AND(OR(R360="offered",R360="to be offered",R360="on hold"),B360&lt;&gt;""),1,0)</f>
        <v>19</v>
      </c>
      <c r="AD360">
        <f>N(AD359)+IF(AND(OR(R360="follow-up",R360="Evaluation",R360="tbd",R360="In evaluation"),B360&lt;&gt;""),1,0)</f>
        <v>9</v>
      </c>
    </row>
    <row r="361" ht="15" customHeight="1">
      <c r="I361" s="215" t="n"/>
      <c r="J361" s="215" t="n"/>
      <c r="K361" s="215" t="n"/>
      <c r="L361" s="215" t="n"/>
      <c r="M361" s="215" t="n"/>
      <c r="N361" s="215" t="str">
        <f>IF(ISNUMBER(I361),ROUND(I361-I361/1.081,2),"")</f>
        <v/>
      </c>
      <c r="O361" s="215" t="str">
        <f>IF(ISNUMBER(I361),I361-SUM(J361:N361),"")</f>
        <v/>
      </c>
      <c r="P361" s="216" t="str">
        <f>IFERROR(IF(AND(ISNUMBER(O361),ISNUMBER(I361),I361&lt;&gt;0),O361/I361,""),"")</f>
        <v/>
      </c>
      <c r="Q361" s="215" t="str">
        <f>IF(AND(ISNUMBER(I361),ISNUMBER(S361)),I361*IF(S361&lt;=1,S361,S361/100),IF(OR(I361&lt;&gt;"",S361&lt;&gt;""),"tbd",""))</f>
        <v/>
      </c>
      <c r="S361" s="217" t="n"/>
      <c r="Z361" t="str">
        <f>IF(AND(R361="WON",ISNUMBER(I361)),AA361,"")</f>
        <v/>
      </c>
      <c r="AA361">
        <f>IFERROR(I361*1,0)</f>
        <v>0</v>
      </c>
      <c r="AB361">
        <f>N(AB360)+IF(AND(R361="WON",B361&lt;&gt;""),1,0)</f>
        <v>7</v>
      </c>
      <c r="AC361">
        <f>N(AC360)+IF(AND(OR(R361="offered",R361="to be offered",R361="on hold"),B361&lt;&gt;""),1,0)</f>
        <v>19</v>
      </c>
      <c r="AD361">
        <f>N(AD360)+IF(AND(OR(R361="follow-up",R361="Evaluation",R361="tbd",R361="In evaluation"),B361&lt;&gt;""),1,0)</f>
        <v>9</v>
      </c>
    </row>
    <row r="362" ht="15" customHeight="1">
      <c r="I362" s="215" t="n"/>
      <c r="J362" s="215" t="n"/>
      <c r="K362" s="215" t="n"/>
      <c r="L362" s="215" t="n"/>
      <c r="M362" s="215" t="n"/>
      <c r="N362" s="215" t="str">
        <f>IF(ISNUMBER(I362),ROUND(I362-I362/1.081,2),"")</f>
        <v/>
      </c>
      <c r="O362" s="215" t="str">
        <f>IF(ISNUMBER(I362),I362-SUM(J362:N362),"")</f>
        <v/>
      </c>
      <c r="P362" s="216" t="str">
        <f>IFERROR(IF(AND(ISNUMBER(O362),ISNUMBER(I362),I362&lt;&gt;0),O362/I362,""),"")</f>
        <v/>
      </c>
      <c r="Q362" s="215" t="str">
        <f>IF(AND(ISNUMBER(I362),ISNUMBER(S362)),I362*IF(S362&lt;=1,S362,S362/100),IF(OR(I362&lt;&gt;"",S362&lt;&gt;""),"tbd",""))</f>
        <v/>
      </c>
      <c r="S362" s="217" t="n"/>
      <c r="Z362" t="str">
        <f>IF(AND(R362="WON",ISNUMBER(I362)),AA362,"")</f>
        <v/>
      </c>
      <c r="AA362">
        <f>IFERROR(I362*1,0)</f>
        <v>0</v>
      </c>
      <c r="AB362">
        <f>N(AB361)+IF(AND(R362="WON",B362&lt;&gt;""),1,0)</f>
        <v>7</v>
      </c>
      <c r="AC362">
        <f>N(AC361)+IF(AND(OR(R362="offered",R362="to be offered",R362="on hold"),B362&lt;&gt;""),1,0)</f>
        <v>19</v>
      </c>
      <c r="AD362">
        <f>N(AD361)+IF(AND(OR(R362="follow-up",R362="Evaluation",R362="tbd",R362="In evaluation"),B362&lt;&gt;""),1,0)</f>
        <v>9</v>
      </c>
    </row>
    <row r="363" ht="15" customHeight="1">
      <c r="I363" s="215" t="n"/>
      <c r="J363" s="215" t="n"/>
      <c r="K363" s="215" t="n"/>
      <c r="L363" s="215" t="n"/>
      <c r="M363" s="215" t="n"/>
      <c r="N363" s="215" t="str">
        <f>IF(ISNUMBER(I363),ROUND(I363-I363/1.081,2),"")</f>
        <v/>
      </c>
      <c r="O363" s="215" t="str">
        <f>IF(ISNUMBER(I363),I363-SUM(J363:N363),"")</f>
        <v/>
      </c>
      <c r="P363" s="216" t="str">
        <f>IFERROR(IF(AND(ISNUMBER(O363),ISNUMBER(I363),I363&lt;&gt;0),O363/I363,""),"")</f>
        <v/>
      </c>
      <c r="Q363" s="215" t="str">
        <f>IF(AND(ISNUMBER(I363),ISNUMBER(S363)),I363*IF(S363&lt;=1,S363,S363/100),IF(OR(I363&lt;&gt;"",S363&lt;&gt;""),"tbd",""))</f>
        <v/>
      </c>
      <c r="S363" s="217" t="n"/>
      <c r="Z363" t="str">
        <f>IF(AND(R363="WON",ISNUMBER(I363)),AA363,"")</f>
        <v/>
      </c>
      <c r="AA363">
        <f>IFERROR(I363*1,0)</f>
        <v>0</v>
      </c>
      <c r="AB363">
        <f>N(AB362)+IF(AND(R363="WON",B363&lt;&gt;""),1,0)</f>
        <v>7</v>
      </c>
      <c r="AC363">
        <f>N(AC362)+IF(AND(OR(R363="offered",R363="to be offered",R363="on hold"),B363&lt;&gt;""),1,0)</f>
        <v>19</v>
      </c>
      <c r="AD363">
        <f>N(AD362)+IF(AND(OR(R363="follow-up",R363="Evaluation",R363="tbd",R363="In evaluation"),B363&lt;&gt;""),1,0)</f>
        <v>9</v>
      </c>
    </row>
    <row r="364" ht="15" customHeight="1">
      <c r="I364" s="215" t="n"/>
      <c r="J364" s="215" t="n"/>
      <c r="K364" s="215" t="n"/>
      <c r="L364" s="215" t="n"/>
      <c r="M364" s="215" t="n"/>
      <c r="N364" s="215" t="str">
        <f>IF(ISNUMBER(I364),ROUND(I364-I364/1.081,2),"")</f>
        <v/>
      </c>
      <c r="O364" s="215" t="str">
        <f>IF(ISNUMBER(I364),I364-SUM(J364:N364),"")</f>
        <v/>
      </c>
      <c r="P364" s="216" t="str">
        <f>IFERROR(IF(AND(ISNUMBER(O364),ISNUMBER(I364),I364&lt;&gt;0),O364/I364,""),"")</f>
        <v/>
      </c>
      <c r="Q364" s="215" t="str">
        <f>IF(AND(ISNUMBER(I364),ISNUMBER(S364)),I364*IF(S364&lt;=1,S364,S364/100),IF(OR(I364&lt;&gt;"",S364&lt;&gt;""),"tbd",""))</f>
        <v/>
      </c>
      <c r="S364" s="217" t="n"/>
      <c r="Z364" t="str">
        <f>IF(AND(R364="WON",ISNUMBER(I364)),AA364,"")</f>
        <v/>
      </c>
      <c r="AA364">
        <f>IFERROR(I364*1,0)</f>
        <v>0</v>
      </c>
      <c r="AB364">
        <f>N(AB363)+IF(AND(R364="WON",B364&lt;&gt;""),1,0)</f>
        <v>7</v>
      </c>
      <c r="AC364">
        <f>N(AC363)+IF(AND(OR(R364="offered",R364="to be offered",R364="on hold"),B364&lt;&gt;""),1,0)</f>
        <v>19</v>
      </c>
      <c r="AD364">
        <f>N(AD363)+IF(AND(OR(R364="follow-up",R364="Evaluation",R364="tbd",R364="In evaluation"),B364&lt;&gt;""),1,0)</f>
        <v>9</v>
      </c>
    </row>
    <row r="365" ht="15" customHeight="1">
      <c r="I365" s="215" t="n"/>
      <c r="J365" s="215" t="n"/>
      <c r="K365" s="215" t="n"/>
      <c r="L365" s="215" t="n"/>
      <c r="M365" s="215" t="n"/>
      <c r="N365" s="215" t="str">
        <f>IF(ISNUMBER(I365),ROUND(I365-I365/1.081,2),"")</f>
        <v/>
      </c>
      <c r="O365" s="215" t="str">
        <f>IF(ISNUMBER(I365),I365-SUM(J365:N365),"")</f>
        <v/>
      </c>
      <c r="P365" s="216" t="str">
        <f>IFERROR(IF(AND(ISNUMBER(O365),ISNUMBER(I365),I365&lt;&gt;0),O365/I365,""),"")</f>
        <v/>
      </c>
      <c r="Q365" s="215" t="str">
        <f>IF(AND(ISNUMBER(I365),ISNUMBER(S365)),I365*IF(S365&lt;=1,S365,S365/100),IF(OR(I365&lt;&gt;"",S365&lt;&gt;""),"tbd",""))</f>
        <v/>
      </c>
      <c r="S365" s="217" t="n"/>
      <c r="Z365" t="str">
        <f>IF(AND(R365="WON",ISNUMBER(I365)),AA365,"")</f>
        <v/>
      </c>
      <c r="AA365">
        <f>IFERROR(I365*1,0)</f>
        <v>0</v>
      </c>
      <c r="AB365">
        <f>N(AB364)+IF(AND(R365="WON",B365&lt;&gt;""),1,0)</f>
        <v>7</v>
      </c>
      <c r="AC365">
        <f>N(AC364)+IF(AND(OR(R365="offered",R365="to be offered",R365="on hold"),B365&lt;&gt;""),1,0)</f>
        <v>19</v>
      </c>
      <c r="AD365">
        <f>N(AD364)+IF(AND(OR(R365="follow-up",R365="Evaluation",R365="tbd",R365="In evaluation"),B365&lt;&gt;""),1,0)</f>
        <v>9</v>
      </c>
    </row>
    <row r="366" ht="15" customHeight="1">
      <c r="I366" s="215" t="n"/>
      <c r="J366" s="215" t="n"/>
      <c r="K366" s="215" t="n"/>
      <c r="L366" s="215" t="n"/>
      <c r="M366" s="215" t="n"/>
      <c r="N366" s="215" t="str">
        <f>IF(ISNUMBER(I366),ROUND(I366-I366/1.081,2),"")</f>
        <v/>
      </c>
      <c r="O366" s="215" t="str">
        <f>IF(ISNUMBER(I366),I366-SUM(J366:N366),"")</f>
        <v/>
      </c>
      <c r="P366" s="216" t="str">
        <f>IFERROR(IF(AND(ISNUMBER(O366),ISNUMBER(I366),I366&lt;&gt;0),O366/I366,""),"")</f>
        <v/>
      </c>
      <c r="Q366" s="215" t="str">
        <f>IF(AND(ISNUMBER(I366),ISNUMBER(S366)),I366*IF(S366&lt;=1,S366,S366/100),IF(OR(I366&lt;&gt;"",S366&lt;&gt;""),"tbd",""))</f>
        <v/>
      </c>
      <c r="S366" s="217" t="n"/>
      <c r="Z366" t="str">
        <f>IF(AND(R366="WON",ISNUMBER(I366)),AA366,"")</f>
        <v/>
      </c>
      <c r="AA366">
        <f>IFERROR(I366*1,0)</f>
        <v>0</v>
      </c>
      <c r="AB366">
        <f>N(AB365)+IF(AND(R366="WON",B366&lt;&gt;""),1,0)</f>
        <v>7</v>
      </c>
      <c r="AC366">
        <f>N(AC365)+IF(AND(OR(R366="offered",R366="to be offered",R366="on hold"),B366&lt;&gt;""),1,0)</f>
        <v>19</v>
      </c>
      <c r="AD366">
        <f>N(AD365)+IF(AND(OR(R366="follow-up",R366="Evaluation",R366="tbd",R366="In evaluation"),B366&lt;&gt;""),1,0)</f>
        <v>9</v>
      </c>
    </row>
    <row r="367" ht="15" customHeight="1">
      <c r="I367" s="215" t="n"/>
      <c r="J367" s="215" t="n"/>
      <c r="K367" s="215" t="n"/>
      <c r="L367" s="215" t="n"/>
      <c r="M367" s="215" t="n"/>
      <c r="N367" s="215" t="str">
        <f>IF(ISNUMBER(I367),ROUND(I367-I367/1.081,2),"")</f>
        <v/>
      </c>
      <c r="O367" s="215" t="str">
        <f>IF(ISNUMBER(I367),I367-SUM(J367:N367),"")</f>
        <v/>
      </c>
      <c r="P367" s="216" t="str">
        <f>IFERROR(IF(AND(ISNUMBER(O367),ISNUMBER(I367),I367&lt;&gt;0),O367/I367,""),"")</f>
        <v/>
      </c>
      <c r="Q367" s="215" t="str">
        <f>IF(AND(ISNUMBER(I367),ISNUMBER(S367)),I367*IF(S367&lt;=1,S367,S367/100),IF(OR(I367&lt;&gt;"",S367&lt;&gt;""),"tbd",""))</f>
        <v/>
      </c>
      <c r="S367" s="217" t="n"/>
      <c r="Z367" t="str">
        <f>IF(AND(R367="WON",ISNUMBER(I367)),AA367,"")</f>
        <v/>
      </c>
      <c r="AA367">
        <f>IFERROR(I367*1,0)</f>
        <v>0</v>
      </c>
      <c r="AB367">
        <f>N(AB366)+IF(AND(R367="WON",B367&lt;&gt;""),1,0)</f>
        <v>7</v>
      </c>
      <c r="AC367">
        <f>N(AC366)+IF(AND(OR(R367="offered",R367="to be offered",R367="on hold"),B367&lt;&gt;""),1,0)</f>
        <v>19</v>
      </c>
      <c r="AD367">
        <f>N(AD366)+IF(AND(OR(R367="follow-up",R367="Evaluation",R367="tbd",R367="In evaluation"),B367&lt;&gt;""),1,0)</f>
        <v>9</v>
      </c>
    </row>
    <row r="368" ht="15" customHeight="1">
      <c r="I368" s="215" t="n"/>
      <c r="J368" s="215" t="n"/>
      <c r="K368" s="215" t="n"/>
      <c r="L368" s="215" t="n"/>
      <c r="M368" s="215" t="n"/>
      <c r="N368" s="215" t="str">
        <f>IF(ISNUMBER(I368),ROUND(I368-I368/1.081,2),"")</f>
        <v/>
      </c>
      <c r="O368" s="215" t="str">
        <f>IF(ISNUMBER(I368),I368-SUM(J368:N368),"")</f>
        <v/>
      </c>
      <c r="P368" s="216" t="str">
        <f>IFERROR(IF(AND(ISNUMBER(O368),ISNUMBER(I368),I368&lt;&gt;0),O368/I368,""),"")</f>
        <v/>
      </c>
      <c r="Q368" s="215" t="str">
        <f>IF(AND(ISNUMBER(I368),ISNUMBER(S368)),I368*IF(S368&lt;=1,S368,S368/100),IF(OR(I368&lt;&gt;"",S368&lt;&gt;""),"tbd",""))</f>
        <v/>
      </c>
      <c r="S368" s="217" t="n"/>
      <c r="Z368" t="str">
        <f>IF(AND(R368="WON",ISNUMBER(I368)),AA368,"")</f>
        <v/>
      </c>
      <c r="AA368">
        <f>IFERROR(I368*1,0)</f>
        <v>0</v>
      </c>
      <c r="AB368">
        <f>N(AB367)+IF(AND(R368="WON",B368&lt;&gt;""),1,0)</f>
        <v>7</v>
      </c>
      <c r="AC368">
        <f>N(AC367)+IF(AND(OR(R368="offered",R368="to be offered",R368="on hold"),B368&lt;&gt;""),1,0)</f>
        <v>19</v>
      </c>
      <c r="AD368">
        <f>N(AD367)+IF(AND(OR(R368="follow-up",R368="Evaluation",R368="tbd",R368="In evaluation"),B368&lt;&gt;""),1,0)</f>
        <v>9</v>
      </c>
    </row>
    <row r="369" ht="15" customHeight="1">
      <c r="I369" s="215" t="n"/>
      <c r="J369" s="215" t="n"/>
      <c r="K369" s="215" t="n"/>
      <c r="L369" s="215" t="n"/>
      <c r="M369" s="215" t="n"/>
      <c r="N369" s="215" t="str">
        <f>IF(ISNUMBER(I369),ROUND(I369-I369/1.081,2),"")</f>
        <v/>
      </c>
      <c r="O369" s="215" t="str">
        <f>IF(ISNUMBER(I369),I369-SUM(J369:N369),"")</f>
        <v/>
      </c>
      <c r="P369" s="216" t="str">
        <f>IFERROR(IF(AND(ISNUMBER(O369),ISNUMBER(I369),I369&lt;&gt;0),O369/I369,""),"")</f>
        <v/>
      </c>
      <c r="Q369" s="215" t="str">
        <f>IF(AND(ISNUMBER(I369),ISNUMBER(S369)),I369*IF(S369&lt;=1,S369,S369/100),IF(OR(I369&lt;&gt;"",S369&lt;&gt;""),"tbd",""))</f>
        <v/>
      </c>
      <c r="S369" s="217" t="n"/>
      <c r="Z369" t="str">
        <f>IF(AND(R369="WON",ISNUMBER(I369)),AA369,"")</f>
        <v/>
      </c>
      <c r="AA369">
        <f>IFERROR(I369*1,0)</f>
        <v>0</v>
      </c>
      <c r="AB369">
        <f>N(AB368)+IF(AND(R369="WON",B369&lt;&gt;""),1,0)</f>
        <v>7</v>
      </c>
      <c r="AC369">
        <f>N(AC368)+IF(AND(OR(R369="offered",R369="to be offered",R369="on hold"),B369&lt;&gt;""),1,0)</f>
        <v>19</v>
      </c>
      <c r="AD369">
        <f>N(AD368)+IF(AND(OR(R369="follow-up",R369="Evaluation",R369="tbd",R369="In evaluation"),B369&lt;&gt;""),1,0)</f>
        <v>9</v>
      </c>
    </row>
    <row r="370" ht="15" customHeight="1">
      <c r="I370" s="215" t="n"/>
      <c r="J370" s="215" t="n"/>
      <c r="K370" s="215" t="n"/>
      <c r="L370" s="215" t="n"/>
      <c r="M370" s="215" t="n"/>
      <c r="N370" s="215" t="str">
        <f>IF(ISNUMBER(I370),ROUND(I370-I370/1.081,2),"")</f>
        <v/>
      </c>
      <c r="O370" s="215" t="str">
        <f>IF(ISNUMBER(I370),I370-SUM(J370:N370),"")</f>
        <v/>
      </c>
      <c r="P370" s="216" t="str">
        <f>IFERROR(IF(AND(ISNUMBER(O370),ISNUMBER(I370),I370&lt;&gt;0),O370/I370,""),"")</f>
        <v/>
      </c>
      <c r="Q370" s="215" t="str">
        <f>IF(AND(ISNUMBER(I370),ISNUMBER(S370)),I370*IF(S370&lt;=1,S370,S370/100),IF(OR(I370&lt;&gt;"",S370&lt;&gt;""),"tbd",""))</f>
        <v/>
      </c>
      <c r="S370" s="217" t="n"/>
      <c r="Z370" t="str">
        <f>IF(AND(R370="WON",ISNUMBER(I370)),AA370,"")</f>
        <v/>
      </c>
      <c r="AA370">
        <f>IFERROR(I370*1,0)</f>
        <v>0</v>
      </c>
      <c r="AB370">
        <f>N(AB369)+IF(AND(R370="WON",B370&lt;&gt;""),1,0)</f>
        <v>7</v>
      </c>
      <c r="AC370">
        <f>N(AC369)+IF(AND(OR(R370="offered",R370="to be offered",R370="on hold"),B370&lt;&gt;""),1,0)</f>
        <v>19</v>
      </c>
      <c r="AD370">
        <f>N(AD369)+IF(AND(OR(R370="follow-up",R370="Evaluation",R370="tbd",R370="In evaluation"),B370&lt;&gt;""),1,0)</f>
        <v>9</v>
      </c>
    </row>
    <row r="371" ht="15" customHeight="1">
      <c r="I371" s="215" t="n"/>
      <c r="J371" s="215" t="n"/>
      <c r="K371" s="215" t="n"/>
      <c r="L371" s="215" t="n"/>
      <c r="M371" s="215" t="n"/>
      <c r="N371" s="215" t="str">
        <f>IF(ISNUMBER(I371),ROUND(I371-I371/1.081,2),"")</f>
        <v/>
      </c>
      <c r="O371" s="215" t="str">
        <f>IF(ISNUMBER(I371),I371-SUM(J371:N371),"")</f>
        <v/>
      </c>
      <c r="P371" s="216" t="str">
        <f>IFERROR(IF(AND(ISNUMBER(O371),ISNUMBER(I371),I371&lt;&gt;0),O371/I371,""),"")</f>
        <v/>
      </c>
      <c r="Q371" s="215" t="str">
        <f>IF(AND(ISNUMBER(I371),ISNUMBER(S371)),I371*IF(S371&lt;=1,S371,S371/100),IF(OR(I371&lt;&gt;"",S371&lt;&gt;""),"tbd",""))</f>
        <v/>
      </c>
      <c r="S371" s="217" t="n"/>
      <c r="Z371" t="str">
        <f>IF(AND(R371="WON",ISNUMBER(I371)),AA371,"")</f>
        <v/>
      </c>
      <c r="AA371">
        <f>IFERROR(I371*1,0)</f>
        <v>0</v>
      </c>
      <c r="AB371">
        <f>N(AB370)+IF(AND(R371="WON",B371&lt;&gt;""),1,0)</f>
        <v>7</v>
      </c>
      <c r="AC371">
        <f>N(AC370)+IF(AND(OR(R371="offered",R371="to be offered",R371="on hold"),B371&lt;&gt;""),1,0)</f>
        <v>19</v>
      </c>
      <c r="AD371">
        <f>N(AD370)+IF(AND(OR(R371="follow-up",R371="Evaluation",R371="tbd",R371="In evaluation"),B371&lt;&gt;""),1,0)</f>
        <v>9</v>
      </c>
    </row>
    <row r="372" ht="15" customHeight="1">
      <c r="I372" s="215" t="n"/>
      <c r="J372" s="215" t="n"/>
      <c r="K372" s="215" t="n"/>
      <c r="L372" s="215" t="n"/>
      <c r="M372" s="215" t="n"/>
      <c r="N372" s="215" t="str">
        <f>IF(ISNUMBER(I372),ROUND(I372-I372/1.081,2),"")</f>
        <v/>
      </c>
      <c r="O372" s="215" t="str">
        <f>IF(ISNUMBER(I372),I372-SUM(J372:N372),"")</f>
        <v/>
      </c>
      <c r="P372" s="216" t="str">
        <f>IFERROR(IF(AND(ISNUMBER(O372),ISNUMBER(I372),I372&lt;&gt;0),O372/I372,""),"")</f>
        <v/>
      </c>
      <c r="Q372" s="215" t="str">
        <f>IF(AND(ISNUMBER(I372),ISNUMBER(S372)),I372*IF(S372&lt;=1,S372,S372/100),IF(OR(I372&lt;&gt;"",S372&lt;&gt;""),"tbd",""))</f>
        <v/>
      </c>
      <c r="S372" s="217" t="n"/>
      <c r="Z372" t="str">
        <f>IF(AND(R372="WON",ISNUMBER(I372)),AA372,"")</f>
        <v/>
      </c>
      <c r="AA372">
        <f>IFERROR(I372*1,0)</f>
        <v>0</v>
      </c>
      <c r="AB372">
        <f>N(AB371)+IF(AND(R372="WON",B372&lt;&gt;""),1,0)</f>
        <v>7</v>
      </c>
      <c r="AC372">
        <f>N(AC371)+IF(AND(OR(R372="offered",R372="to be offered",R372="on hold"),B372&lt;&gt;""),1,0)</f>
        <v>19</v>
      </c>
      <c r="AD372">
        <f>N(AD371)+IF(AND(OR(R372="follow-up",R372="Evaluation",R372="tbd",R372="In evaluation"),B372&lt;&gt;""),1,0)</f>
        <v>9</v>
      </c>
    </row>
    <row r="373" ht="15" customHeight="1">
      <c r="I373" s="215" t="n"/>
      <c r="J373" s="215" t="n"/>
      <c r="K373" s="215" t="n"/>
      <c r="L373" s="215" t="n"/>
      <c r="M373" s="215" t="n"/>
      <c r="N373" s="215" t="str">
        <f>IF(ISNUMBER(I373),ROUND(I373-I373/1.081,2),"")</f>
        <v/>
      </c>
      <c r="O373" s="215" t="str">
        <f>IF(ISNUMBER(I373),I373-SUM(J373:N373),"")</f>
        <v/>
      </c>
      <c r="P373" s="216" t="str">
        <f>IFERROR(IF(AND(ISNUMBER(O373),ISNUMBER(I373),I373&lt;&gt;0),O373/I373,""),"")</f>
        <v/>
      </c>
      <c r="Q373" s="215" t="str">
        <f>IF(AND(ISNUMBER(I373),ISNUMBER(S373)),I373*IF(S373&lt;=1,S373,S373/100),IF(OR(I373&lt;&gt;"",S373&lt;&gt;""),"tbd",""))</f>
        <v/>
      </c>
      <c r="S373" s="217" t="n"/>
      <c r="Z373" t="str">
        <f>IF(AND(R373="WON",ISNUMBER(I373)),AA373,"")</f>
        <v/>
      </c>
      <c r="AA373">
        <f>IFERROR(I373*1,0)</f>
        <v>0</v>
      </c>
      <c r="AB373">
        <f>N(AB372)+IF(AND(R373="WON",B373&lt;&gt;""),1,0)</f>
        <v>7</v>
      </c>
      <c r="AC373">
        <f>N(AC372)+IF(AND(OR(R373="offered",R373="to be offered",R373="on hold"),B373&lt;&gt;""),1,0)</f>
        <v>19</v>
      </c>
      <c r="AD373">
        <f>N(AD372)+IF(AND(OR(R373="follow-up",R373="Evaluation",R373="tbd",R373="In evaluation"),B373&lt;&gt;""),1,0)</f>
        <v>9</v>
      </c>
    </row>
    <row r="374" ht="15" customHeight="1">
      <c r="I374" s="215" t="n"/>
      <c r="J374" s="215" t="n"/>
      <c r="K374" s="215" t="n"/>
      <c r="L374" s="215" t="n"/>
      <c r="M374" s="215" t="n"/>
      <c r="N374" s="215" t="str">
        <f>IF(ISNUMBER(I374),ROUND(I374-I374/1.081,2),"")</f>
        <v/>
      </c>
      <c r="O374" s="215" t="str">
        <f>IF(ISNUMBER(I374),I374-SUM(J374:N374),"")</f>
        <v/>
      </c>
      <c r="P374" s="216" t="str">
        <f>IFERROR(IF(AND(ISNUMBER(O374),ISNUMBER(I374),I374&lt;&gt;0),O374/I374,""),"")</f>
        <v/>
      </c>
      <c r="Q374" s="215" t="str">
        <f>IF(AND(ISNUMBER(I374),ISNUMBER(S374)),I374*IF(S374&lt;=1,S374,S374/100),IF(OR(I374&lt;&gt;"",S374&lt;&gt;""),"tbd",""))</f>
        <v/>
      </c>
      <c r="S374" s="217" t="n"/>
      <c r="Z374" t="str">
        <f>IF(AND(R374="WON",ISNUMBER(I374)),AA374,"")</f>
        <v/>
      </c>
      <c r="AA374">
        <f>IFERROR(I374*1,0)</f>
        <v>0</v>
      </c>
      <c r="AB374">
        <f>N(AB373)+IF(AND(R374="WON",B374&lt;&gt;""),1,0)</f>
        <v>7</v>
      </c>
      <c r="AC374">
        <f>N(AC373)+IF(AND(OR(R374="offered",R374="to be offered",R374="on hold"),B374&lt;&gt;""),1,0)</f>
        <v>19</v>
      </c>
      <c r="AD374">
        <f>N(AD373)+IF(AND(OR(R374="follow-up",R374="Evaluation",R374="tbd",R374="In evaluation"),B374&lt;&gt;""),1,0)</f>
        <v>9</v>
      </c>
    </row>
    <row r="375" ht="15" customHeight="1">
      <c r="I375" s="215" t="n"/>
      <c r="J375" s="215" t="n"/>
      <c r="K375" s="215" t="n"/>
      <c r="L375" s="215" t="n"/>
      <c r="M375" s="215" t="n"/>
      <c r="N375" s="215" t="str">
        <f>IF(ISNUMBER(I375),ROUND(I375-I375/1.081,2),"")</f>
        <v/>
      </c>
      <c r="O375" s="215" t="str">
        <f>IF(ISNUMBER(I375),I375-SUM(J375:N375),"")</f>
        <v/>
      </c>
      <c r="P375" s="216" t="str">
        <f>IFERROR(IF(AND(ISNUMBER(O375),ISNUMBER(I375),I375&lt;&gt;0),O375/I375,""),"")</f>
        <v/>
      </c>
      <c r="Q375" s="215" t="str">
        <f>IF(AND(ISNUMBER(I375),ISNUMBER(S375)),I375*IF(S375&lt;=1,S375,S375/100),IF(OR(I375&lt;&gt;"",S375&lt;&gt;""),"tbd",""))</f>
        <v/>
      </c>
      <c r="S375" s="217" t="n"/>
      <c r="Z375" t="str">
        <f>IF(AND(R375="WON",ISNUMBER(I375)),AA375,"")</f>
        <v/>
      </c>
      <c r="AA375">
        <f>IFERROR(I375*1,0)</f>
        <v>0</v>
      </c>
      <c r="AB375">
        <f>N(AB374)+IF(AND(R375="WON",B375&lt;&gt;""),1,0)</f>
        <v>7</v>
      </c>
      <c r="AC375">
        <f>N(AC374)+IF(AND(OR(R375="offered",R375="to be offered",R375="on hold"),B375&lt;&gt;""),1,0)</f>
        <v>19</v>
      </c>
      <c r="AD375">
        <f>N(AD374)+IF(AND(OR(R375="follow-up",R375="Evaluation",R375="tbd",R375="In evaluation"),B375&lt;&gt;""),1,0)</f>
        <v>9</v>
      </c>
    </row>
    <row r="376" ht="15" customHeight="1">
      <c r="I376" s="215" t="n"/>
      <c r="J376" s="215" t="n"/>
      <c r="K376" s="215" t="n"/>
      <c r="L376" s="215" t="n"/>
      <c r="M376" s="215" t="n"/>
      <c r="N376" s="215" t="str">
        <f>IF(ISNUMBER(I376),ROUND(I376-I376/1.081,2),"")</f>
        <v/>
      </c>
      <c r="O376" s="215" t="str">
        <f>IF(ISNUMBER(I376),I376-SUM(J376:N376),"")</f>
        <v/>
      </c>
      <c r="P376" s="216" t="str">
        <f>IFERROR(IF(AND(ISNUMBER(O376),ISNUMBER(I376),I376&lt;&gt;0),O376/I376,""),"")</f>
        <v/>
      </c>
      <c r="Q376" s="215" t="str">
        <f>IF(AND(ISNUMBER(I376),ISNUMBER(S376)),I376*IF(S376&lt;=1,S376,S376/100),IF(OR(I376&lt;&gt;"",S376&lt;&gt;""),"tbd",""))</f>
        <v/>
      </c>
      <c r="S376" s="217" t="n"/>
      <c r="Z376" t="str">
        <f>IF(AND(R376="WON",ISNUMBER(I376)),AA376,"")</f>
        <v/>
      </c>
      <c r="AA376">
        <f>IFERROR(I376*1,0)</f>
        <v>0</v>
      </c>
      <c r="AB376">
        <f>N(AB375)+IF(AND(R376="WON",B376&lt;&gt;""),1,0)</f>
        <v>7</v>
      </c>
      <c r="AC376">
        <f>N(AC375)+IF(AND(OR(R376="offered",R376="to be offered",R376="on hold"),B376&lt;&gt;""),1,0)</f>
        <v>19</v>
      </c>
      <c r="AD376">
        <f>N(AD375)+IF(AND(OR(R376="follow-up",R376="Evaluation",R376="tbd",R376="In evaluation"),B376&lt;&gt;""),1,0)</f>
        <v>9</v>
      </c>
    </row>
    <row r="377" ht="15" customHeight="1">
      <c r="I377" s="215" t="n"/>
      <c r="J377" s="215" t="n"/>
      <c r="K377" s="215" t="n"/>
      <c r="L377" s="215" t="n"/>
      <c r="M377" s="215" t="n"/>
      <c r="N377" s="215" t="str">
        <f>IF(ISNUMBER(I377),ROUND(I377-I377/1.081,2),"")</f>
        <v/>
      </c>
      <c r="O377" s="215" t="str">
        <f>IF(ISNUMBER(I377),I377-SUM(J377:N377),"")</f>
        <v/>
      </c>
      <c r="P377" s="216" t="str">
        <f>IFERROR(IF(AND(ISNUMBER(O377),ISNUMBER(I377),I377&lt;&gt;0),O377/I377,""),"")</f>
        <v/>
      </c>
      <c r="Q377" s="215" t="str">
        <f>IF(AND(ISNUMBER(I377),ISNUMBER(S377)),I377*IF(S377&lt;=1,S377,S377/100),IF(OR(I377&lt;&gt;"",S377&lt;&gt;""),"tbd",""))</f>
        <v/>
      </c>
      <c r="S377" s="217" t="n"/>
      <c r="Z377" t="str">
        <f>IF(AND(R377="WON",ISNUMBER(I377)),AA377,"")</f>
        <v/>
      </c>
      <c r="AA377">
        <f>IFERROR(I377*1,0)</f>
        <v>0</v>
      </c>
      <c r="AB377">
        <f>N(AB376)+IF(AND(R377="WON",B377&lt;&gt;""),1,0)</f>
        <v>7</v>
      </c>
      <c r="AC377">
        <f>N(AC376)+IF(AND(OR(R377="offered",R377="to be offered",R377="on hold"),B377&lt;&gt;""),1,0)</f>
        <v>19</v>
      </c>
      <c r="AD377">
        <f>N(AD376)+IF(AND(OR(R377="follow-up",R377="Evaluation",R377="tbd",R377="In evaluation"),B377&lt;&gt;""),1,0)</f>
        <v>9</v>
      </c>
    </row>
    <row r="378" ht="15" customHeight="1">
      <c r="I378" s="215" t="n"/>
      <c r="J378" s="215" t="n"/>
      <c r="K378" s="215" t="n"/>
      <c r="L378" s="215" t="n"/>
      <c r="M378" s="215" t="n"/>
      <c r="N378" s="215" t="str">
        <f>IF(ISNUMBER(I378),ROUND(I378-I378/1.081,2),"")</f>
        <v/>
      </c>
      <c r="O378" s="215" t="str">
        <f>IF(ISNUMBER(I378),I378-SUM(J378:N378),"")</f>
        <v/>
      </c>
      <c r="P378" s="216" t="str">
        <f>IFERROR(IF(AND(ISNUMBER(O378),ISNUMBER(I378),I378&lt;&gt;0),O378/I378,""),"")</f>
        <v/>
      </c>
      <c r="Q378" s="215" t="str">
        <f>IF(AND(ISNUMBER(I378),ISNUMBER(S378)),I378*IF(S378&lt;=1,S378,S378/100),IF(OR(I378&lt;&gt;"",S378&lt;&gt;""),"tbd",""))</f>
        <v/>
      </c>
      <c r="S378" s="217" t="n"/>
      <c r="Z378" t="str">
        <f>IF(AND(R378="WON",ISNUMBER(I378)),AA378,"")</f>
        <v/>
      </c>
      <c r="AA378">
        <f>IFERROR(I378*1,0)</f>
        <v>0</v>
      </c>
      <c r="AB378">
        <f>N(AB377)+IF(AND(R378="WON",B378&lt;&gt;""),1,0)</f>
        <v>7</v>
      </c>
      <c r="AC378">
        <f>N(AC377)+IF(AND(OR(R378="offered",R378="to be offered",R378="on hold"),B378&lt;&gt;""),1,0)</f>
        <v>19</v>
      </c>
      <c r="AD378">
        <f>N(AD377)+IF(AND(OR(R378="follow-up",R378="Evaluation",R378="tbd",R378="In evaluation"),B378&lt;&gt;""),1,0)</f>
        <v>9</v>
      </c>
    </row>
    <row r="379" ht="15" customHeight="1">
      <c r="I379" s="215" t="n"/>
      <c r="J379" s="215" t="n"/>
      <c r="K379" s="215" t="n"/>
      <c r="L379" s="215" t="n"/>
      <c r="M379" s="215" t="n"/>
      <c r="N379" s="215" t="str">
        <f>IF(ISNUMBER(I379),ROUND(I379-I379/1.081,2),"")</f>
        <v/>
      </c>
      <c r="O379" s="215" t="str">
        <f>IF(ISNUMBER(I379),I379-SUM(J379:N379),"")</f>
        <v/>
      </c>
      <c r="P379" s="216" t="str">
        <f>IFERROR(IF(AND(ISNUMBER(O379),ISNUMBER(I379),I379&lt;&gt;0),O379/I379,""),"")</f>
        <v/>
      </c>
      <c r="Q379" s="215" t="str">
        <f>IF(AND(ISNUMBER(I379),ISNUMBER(S379)),I379*IF(S379&lt;=1,S379,S379/100),IF(OR(I379&lt;&gt;"",S379&lt;&gt;""),"tbd",""))</f>
        <v/>
      </c>
      <c r="S379" s="217" t="n"/>
      <c r="Z379" t="str">
        <f>IF(AND(R379="WON",ISNUMBER(I379)),AA379,"")</f>
        <v/>
      </c>
      <c r="AA379">
        <f>IFERROR(I379*1,0)</f>
        <v>0</v>
      </c>
      <c r="AB379">
        <f>N(AB378)+IF(AND(R379="WON",B379&lt;&gt;""),1,0)</f>
        <v>7</v>
      </c>
      <c r="AC379">
        <f>N(AC378)+IF(AND(OR(R379="offered",R379="to be offered",R379="on hold"),B379&lt;&gt;""),1,0)</f>
        <v>19</v>
      </c>
      <c r="AD379">
        <f>N(AD378)+IF(AND(OR(R379="follow-up",R379="Evaluation",R379="tbd",R379="In evaluation"),B379&lt;&gt;""),1,0)</f>
        <v>9</v>
      </c>
    </row>
    <row r="380" ht="15" customHeight="1">
      <c r="I380" s="215" t="n"/>
      <c r="J380" s="215" t="n"/>
      <c r="K380" s="215" t="n"/>
      <c r="L380" s="215" t="n"/>
      <c r="M380" s="215" t="n"/>
      <c r="N380" s="215" t="str">
        <f>IF(ISNUMBER(I380),ROUND(I380-I380/1.081,2),"")</f>
        <v/>
      </c>
      <c r="O380" s="215" t="str">
        <f>IF(ISNUMBER(I380),I380-SUM(J380:N380),"")</f>
        <v/>
      </c>
      <c r="P380" s="216" t="str">
        <f>IFERROR(IF(AND(ISNUMBER(O380),ISNUMBER(I380),I380&lt;&gt;0),O380/I380,""),"")</f>
        <v/>
      </c>
      <c r="Q380" s="215" t="str">
        <f>IF(AND(ISNUMBER(I380),ISNUMBER(S380)),I380*IF(S380&lt;=1,S380,S380/100),IF(OR(I380&lt;&gt;"",S380&lt;&gt;""),"tbd",""))</f>
        <v/>
      </c>
      <c r="S380" s="217" t="n"/>
      <c r="Z380" t="str">
        <f>IF(AND(R380="WON",ISNUMBER(I380)),AA380,"")</f>
        <v/>
      </c>
      <c r="AA380">
        <f>IFERROR(I380*1,0)</f>
        <v>0</v>
      </c>
      <c r="AB380">
        <f>N(AB379)+IF(AND(R380="WON",B380&lt;&gt;""),1,0)</f>
        <v>7</v>
      </c>
      <c r="AC380">
        <f>N(AC379)+IF(AND(OR(R380="offered",R380="to be offered",R380="on hold"),B380&lt;&gt;""),1,0)</f>
        <v>19</v>
      </c>
      <c r="AD380">
        <f>N(AD379)+IF(AND(OR(R380="follow-up",R380="Evaluation",R380="tbd",R380="In evaluation"),B380&lt;&gt;""),1,0)</f>
        <v>9</v>
      </c>
    </row>
    <row r="381" ht="15" customHeight="1">
      <c r="I381" s="215" t="n"/>
      <c r="J381" s="215" t="n"/>
      <c r="K381" s="215" t="n"/>
      <c r="L381" s="215" t="n"/>
      <c r="M381" s="215" t="n"/>
      <c r="N381" s="215" t="str">
        <f>IF(ISNUMBER(I381),ROUND(I381-I381/1.081,2),"")</f>
        <v/>
      </c>
      <c r="O381" s="215" t="str">
        <f>IF(ISNUMBER(I381),I381-SUM(J381:N381),"")</f>
        <v/>
      </c>
      <c r="P381" s="216" t="str">
        <f>IFERROR(IF(AND(ISNUMBER(O381),ISNUMBER(I381),I381&lt;&gt;0),O381/I381,""),"")</f>
        <v/>
      </c>
      <c r="Q381" s="215" t="str">
        <f>IF(AND(ISNUMBER(I381),ISNUMBER(S381)),I381*IF(S381&lt;=1,S381,S381/100),IF(OR(I381&lt;&gt;"",S381&lt;&gt;""),"tbd",""))</f>
        <v/>
      </c>
      <c r="S381" s="217" t="n"/>
      <c r="Z381" t="str">
        <f>IF(AND(R381="WON",ISNUMBER(I381)),AA381,"")</f>
        <v/>
      </c>
      <c r="AA381">
        <f>IFERROR(I381*1,0)</f>
        <v>0</v>
      </c>
      <c r="AB381">
        <f>N(AB380)+IF(AND(R381="WON",B381&lt;&gt;""),1,0)</f>
        <v>7</v>
      </c>
      <c r="AC381">
        <f>N(AC380)+IF(AND(OR(R381="offered",R381="to be offered",R381="on hold"),B381&lt;&gt;""),1,0)</f>
        <v>19</v>
      </c>
      <c r="AD381">
        <f>N(AD380)+IF(AND(OR(R381="follow-up",R381="Evaluation",R381="tbd",R381="In evaluation"),B381&lt;&gt;""),1,0)</f>
        <v>9</v>
      </c>
    </row>
    <row r="382" ht="15" customHeight="1">
      <c r="I382" s="215" t="n"/>
      <c r="J382" s="215" t="n"/>
      <c r="K382" s="215" t="n"/>
      <c r="L382" s="215" t="n"/>
      <c r="M382" s="215" t="n"/>
      <c r="N382" s="215" t="str">
        <f>IF(ISNUMBER(I382),ROUND(I382-I382/1.081,2),"")</f>
        <v/>
      </c>
      <c r="O382" s="215" t="str">
        <f>IF(ISNUMBER(I382),I382-SUM(J382:N382),"")</f>
        <v/>
      </c>
      <c r="P382" s="216" t="str">
        <f>IFERROR(IF(AND(ISNUMBER(O382),ISNUMBER(I382),I382&lt;&gt;0),O382/I382,""),"")</f>
        <v/>
      </c>
      <c r="Q382" s="215" t="str">
        <f>IF(AND(ISNUMBER(I382),ISNUMBER(S382)),I382*IF(S382&lt;=1,S382,S382/100),IF(OR(I382&lt;&gt;"",S382&lt;&gt;""),"tbd",""))</f>
        <v/>
      </c>
      <c r="S382" s="217" t="n"/>
      <c r="Z382" t="str">
        <f>IF(AND(R382="WON",ISNUMBER(I382)),AA382,"")</f>
        <v/>
      </c>
      <c r="AA382">
        <f>IFERROR(I382*1,0)</f>
        <v>0</v>
      </c>
      <c r="AB382">
        <f>N(AB381)+IF(AND(R382="WON",B382&lt;&gt;""),1,0)</f>
        <v>7</v>
      </c>
      <c r="AC382">
        <f>N(AC381)+IF(AND(OR(R382="offered",R382="to be offered",R382="on hold"),B382&lt;&gt;""),1,0)</f>
        <v>19</v>
      </c>
      <c r="AD382">
        <f>N(AD381)+IF(AND(OR(R382="follow-up",R382="Evaluation",R382="tbd",R382="In evaluation"),B382&lt;&gt;""),1,0)</f>
        <v>9</v>
      </c>
    </row>
    <row r="383" ht="15" customHeight="1">
      <c r="I383" s="215" t="n"/>
      <c r="J383" s="215" t="n"/>
      <c r="K383" s="215" t="n"/>
      <c r="L383" s="215" t="n"/>
      <c r="M383" s="215" t="n"/>
      <c r="N383" s="215" t="str">
        <f>IF(ISNUMBER(I383),ROUND(I383-I383/1.081,2),"")</f>
        <v/>
      </c>
      <c r="O383" s="215" t="str">
        <f>IF(ISNUMBER(I383),I383-SUM(J383:N383),"")</f>
        <v/>
      </c>
      <c r="P383" s="216" t="str">
        <f>IFERROR(IF(AND(ISNUMBER(O383),ISNUMBER(I383),I383&lt;&gt;0),O383/I383,""),"")</f>
        <v/>
      </c>
      <c r="Q383" s="215" t="str">
        <f>IF(AND(ISNUMBER(I383),ISNUMBER(S383)),I383*IF(S383&lt;=1,S383,S383/100),IF(OR(I383&lt;&gt;"",S383&lt;&gt;""),"tbd",""))</f>
        <v/>
      </c>
      <c r="S383" s="217" t="n"/>
      <c r="Z383" t="str">
        <f>IF(AND(R383="WON",ISNUMBER(I383)),AA383,"")</f>
        <v/>
      </c>
      <c r="AA383">
        <f>IFERROR(I383*1,0)</f>
        <v>0</v>
      </c>
      <c r="AB383">
        <f>N(AB382)+IF(AND(R383="WON",B383&lt;&gt;""),1,0)</f>
        <v>7</v>
      </c>
      <c r="AC383">
        <f>N(AC382)+IF(AND(OR(R383="offered",R383="to be offered",R383="on hold"),B383&lt;&gt;""),1,0)</f>
        <v>19</v>
      </c>
      <c r="AD383">
        <f>N(AD382)+IF(AND(OR(R383="follow-up",R383="Evaluation",R383="tbd",R383="In evaluation"),B383&lt;&gt;""),1,0)</f>
        <v>9</v>
      </c>
    </row>
    <row r="384" ht="15" customHeight="1">
      <c r="I384" s="215" t="n"/>
      <c r="J384" s="215" t="n"/>
      <c r="K384" s="215" t="n"/>
      <c r="L384" s="215" t="n"/>
      <c r="M384" s="215" t="n"/>
      <c r="N384" s="215" t="str">
        <f>IF(ISNUMBER(I384),ROUND(I384-I384/1.081,2),"")</f>
        <v/>
      </c>
      <c r="O384" s="215" t="str">
        <f>IF(ISNUMBER(I384),I384-SUM(J384:N384),"")</f>
        <v/>
      </c>
      <c r="P384" s="216" t="str">
        <f>IFERROR(IF(AND(ISNUMBER(O384),ISNUMBER(I384),I384&lt;&gt;0),O384/I384,""),"")</f>
        <v/>
      </c>
      <c r="Q384" s="215" t="str">
        <f>IF(AND(ISNUMBER(I384),ISNUMBER(S384)),I384*IF(S384&lt;=1,S384,S384/100),IF(OR(I384&lt;&gt;"",S384&lt;&gt;""),"tbd",""))</f>
        <v/>
      </c>
      <c r="S384" s="217" t="n"/>
      <c r="Z384" t="str">
        <f>IF(AND(R384="WON",ISNUMBER(I384)),AA384,"")</f>
        <v/>
      </c>
      <c r="AA384">
        <f>IFERROR(I384*1,0)</f>
        <v>0</v>
      </c>
      <c r="AB384">
        <f>N(AB383)+IF(AND(R384="WON",B384&lt;&gt;""),1,0)</f>
        <v>7</v>
      </c>
      <c r="AC384">
        <f>N(AC383)+IF(AND(OR(R384="offered",R384="to be offered",R384="on hold"),B384&lt;&gt;""),1,0)</f>
        <v>19</v>
      </c>
      <c r="AD384">
        <f>N(AD383)+IF(AND(OR(R384="follow-up",R384="Evaluation",R384="tbd",R384="In evaluation"),B384&lt;&gt;""),1,0)</f>
        <v>9</v>
      </c>
    </row>
    <row r="385" ht="15" customHeight="1">
      <c r="I385" s="215" t="n"/>
      <c r="J385" s="215" t="n"/>
      <c r="K385" s="215" t="n"/>
      <c r="L385" s="215" t="n"/>
      <c r="M385" s="215" t="n"/>
      <c r="N385" s="215" t="str">
        <f>IF(ISNUMBER(I385),ROUND(I385-I385/1.081,2),"")</f>
        <v/>
      </c>
      <c r="O385" s="215" t="str">
        <f>IF(ISNUMBER(I385),I385-SUM(J385:N385),"")</f>
        <v/>
      </c>
      <c r="P385" s="216" t="str">
        <f>IFERROR(IF(AND(ISNUMBER(O385),ISNUMBER(I385),I385&lt;&gt;0),O385/I385,""),"")</f>
        <v/>
      </c>
      <c r="Q385" s="215" t="str">
        <f>IF(AND(ISNUMBER(I385),ISNUMBER(S385)),I385*IF(S385&lt;=1,S385,S385/100),IF(OR(I385&lt;&gt;"",S385&lt;&gt;""),"tbd",""))</f>
        <v/>
      </c>
      <c r="S385" s="217" t="n"/>
      <c r="Z385" t="str">
        <f>IF(AND(R385="WON",ISNUMBER(I385)),AA385,"")</f>
        <v/>
      </c>
      <c r="AA385">
        <f>IFERROR(I385*1,0)</f>
        <v>0</v>
      </c>
      <c r="AB385">
        <f>N(AB384)+IF(AND(R385="WON",B385&lt;&gt;""),1,0)</f>
        <v>7</v>
      </c>
      <c r="AC385">
        <f>N(AC384)+IF(AND(OR(R385="offered",R385="to be offered",R385="on hold"),B385&lt;&gt;""),1,0)</f>
        <v>19</v>
      </c>
      <c r="AD385">
        <f>N(AD384)+IF(AND(OR(R385="follow-up",R385="Evaluation",R385="tbd",R385="In evaluation"),B385&lt;&gt;""),1,0)</f>
        <v>9</v>
      </c>
    </row>
    <row r="386" ht="15" customHeight="1">
      <c r="I386" s="215" t="n"/>
      <c r="J386" s="215" t="n"/>
      <c r="K386" s="215" t="n"/>
      <c r="L386" s="215" t="n"/>
      <c r="M386" s="215" t="n"/>
      <c r="N386" s="215" t="str">
        <f>IF(ISNUMBER(I386),ROUND(I386-I386/1.081,2),"")</f>
        <v/>
      </c>
      <c r="O386" s="215" t="str">
        <f>IF(ISNUMBER(I386),I386-SUM(J386:N386),"")</f>
        <v/>
      </c>
      <c r="P386" s="216" t="str">
        <f>IFERROR(IF(AND(ISNUMBER(O386),ISNUMBER(I386),I386&lt;&gt;0),O386/I386,""),"")</f>
        <v/>
      </c>
      <c r="Q386" s="215" t="str">
        <f>IF(AND(ISNUMBER(I386),ISNUMBER(S386)),I386*IF(S386&lt;=1,S386,S386/100),IF(OR(I386&lt;&gt;"",S386&lt;&gt;""),"tbd",""))</f>
        <v/>
      </c>
      <c r="S386" s="217" t="n"/>
      <c r="Z386" t="str">
        <f>IF(AND(R386="WON",ISNUMBER(I386)),AA386,"")</f>
        <v/>
      </c>
      <c r="AA386">
        <f>IFERROR(I386*1,0)</f>
        <v>0</v>
      </c>
      <c r="AB386">
        <f>N(AB385)+IF(AND(R386="WON",B386&lt;&gt;""),1,0)</f>
        <v>7</v>
      </c>
      <c r="AC386">
        <f>N(AC385)+IF(AND(OR(R386="offered",R386="to be offered",R386="on hold"),B386&lt;&gt;""),1,0)</f>
        <v>19</v>
      </c>
      <c r="AD386">
        <f>N(AD385)+IF(AND(OR(R386="follow-up",R386="Evaluation",R386="tbd",R386="In evaluation"),B386&lt;&gt;""),1,0)</f>
        <v>9</v>
      </c>
    </row>
    <row r="387" ht="15" customHeight="1">
      <c r="I387" s="215" t="n"/>
      <c r="J387" s="215" t="n"/>
      <c r="K387" s="215" t="n"/>
      <c r="L387" s="215" t="n"/>
      <c r="M387" s="215" t="n"/>
      <c r="N387" s="215" t="str">
        <f>IF(ISNUMBER(I387),ROUND(I387-I387/1.081,2),"")</f>
        <v/>
      </c>
      <c r="O387" s="215" t="str">
        <f>IF(ISNUMBER(I387),I387-SUM(J387:N387),"")</f>
        <v/>
      </c>
      <c r="P387" s="216" t="str">
        <f>IFERROR(IF(AND(ISNUMBER(O387),ISNUMBER(I387),I387&lt;&gt;0),O387/I387,""),"")</f>
        <v/>
      </c>
      <c r="Q387" s="215" t="str">
        <f>IF(AND(ISNUMBER(I387),ISNUMBER(S387)),I387*IF(S387&lt;=1,S387,S387/100),IF(OR(I387&lt;&gt;"",S387&lt;&gt;""),"tbd",""))</f>
        <v/>
      </c>
      <c r="S387" s="217" t="n"/>
      <c r="Z387" t="str">
        <f>IF(AND(R387="WON",ISNUMBER(I387)),AA387,"")</f>
        <v/>
      </c>
      <c r="AA387">
        <f>IFERROR(I387*1,0)</f>
        <v>0</v>
      </c>
      <c r="AB387">
        <f>N(AB386)+IF(AND(R387="WON",B387&lt;&gt;""),1,0)</f>
        <v>7</v>
      </c>
      <c r="AC387">
        <f>N(AC386)+IF(AND(OR(R387="offered",R387="to be offered",R387="on hold"),B387&lt;&gt;""),1,0)</f>
        <v>19</v>
      </c>
      <c r="AD387">
        <f>N(AD386)+IF(AND(OR(R387="follow-up",R387="Evaluation",R387="tbd",R387="In evaluation"),B387&lt;&gt;""),1,0)</f>
        <v>9</v>
      </c>
    </row>
    <row r="388" ht="15" customHeight="1">
      <c r="I388" s="215" t="n"/>
      <c r="J388" s="215" t="n"/>
      <c r="K388" s="215" t="n"/>
      <c r="L388" s="215" t="n"/>
      <c r="M388" s="215" t="n"/>
      <c r="N388" s="215" t="str">
        <f>IF(ISNUMBER(I388),ROUND(I388-I388/1.081,2),"")</f>
        <v/>
      </c>
      <c r="O388" s="215" t="str">
        <f>IF(ISNUMBER(I388),I388-SUM(J388:N388),"")</f>
        <v/>
      </c>
      <c r="P388" s="216" t="str">
        <f>IFERROR(IF(AND(ISNUMBER(O388),ISNUMBER(I388),I388&lt;&gt;0),O388/I388,""),"")</f>
        <v/>
      </c>
      <c r="Q388" s="215" t="str">
        <f>IF(AND(ISNUMBER(I388),ISNUMBER(S388)),I388*IF(S388&lt;=1,S388,S388/100),IF(OR(I388&lt;&gt;"",S388&lt;&gt;""),"tbd",""))</f>
        <v/>
      </c>
      <c r="S388" s="217" t="n"/>
      <c r="Z388" t="str">
        <f>IF(AND(R388="WON",ISNUMBER(I388)),AA388,"")</f>
        <v/>
      </c>
      <c r="AA388">
        <f>IFERROR(I388*1,0)</f>
        <v>0</v>
      </c>
      <c r="AB388">
        <f>N(AB387)+IF(AND(R388="WON",B388&lt;&gt;""),1,0)</f>
        <v>7</v>
      </c>
      <c r="AC388">
        <f>N(AC387)+IF(AND(OR(R388="offered",R388="to be offered",R388="on hold"),B388&lt;&gt;""),1,0)</f>
        <v>19</v>
      </c>
      <c r="AD388">
        <f>N(AD387)+IF(AND(OR(R388="follow-up",R388="Evaluation",R388="tbd",R388="In evaluation"),B388&lt;&gt;""),1,0)</f>
        <v>9</v>
      </c>
    </row>
    <row r="389" ht="15" customHeight="1">
      <c r="I389" s="215" t="n"/>
      <c r="J389" s="215" t="n"/>
      <c r="K389" s="215" t="n"/>
      <c r="L389" s="215" t="n"/>
      <c r="M389" s="215" t="n"/>
      <c r="N389" s="215" t="str">
        <f>IF(ISNUMBER(I389),ROUND(I389-I389/1.081,2),"")</f>
        <v/>
      </c>
      <c r="O389" s="215" t="str">
        <f>IF(ISNUMBER(I389),I389-SUM(J389:N389),"")</f>
        <v/>
      </c>
      <c r="P389" s="216" t="str">
        <f>IFERROR(IF(AND(ISNUMBER(O389),ISNUMBER(I389),I389&lt;&gt;0),O389/I389,""),"")</f>
        <v/>
      </c>
      <c r="Q389" s="215" t="str">
        <f>IF(AND(ISNUMBER(I389),ISNUMBER(S389)),I389*IF(S389&lt;=1,S389,S389/100),IF(OR(I389&lt;&gt;"",S389&lt;&gt;""),"tbd",""))</f>
        <v/>
      </c>
      <c r="S389" s="217" t="n"/>
      <c r="Z389" t="str">
        <f>IF(AND(R389="WON",ISNUMBER(I389)),AA389,"")</f>
        <v/>
      </c>
      <c r="AA389">
        <f>IFERROR(I389*1,0)</f>
        <v>0</v>
      </c>
      <c r="AB389">
        <f>N(AB388)+IF(AND(R389="WON",B389&lt;&gt;""),1,0)</f>
        <v>7</v>
      </c>
      <c r="AC389">
        <f>N(AC388)+IF(AND(OR(R389="offered",R389="to be offered",R389="on hold"),B389&lt;&gt;""),1,0)</f>
        <v>19</v>
      </c>
      <c r="AD389">
        <f>N(AD388)+IF(AND(OR(R389="follow-up",R389="Evaluation",R389="tbd",R389="In evaluation"),B389&lt;&gt;""),1,0)</f>
        <v>9</v>
      </c>
    </row>
    <row r="390" ht="15" customHeight="1">
      <c r="I390" s="215" t="n"/>
      <c r="J390" s="215" t="n"/>
      <c r="K390" s="215" t="n"/>
      <c r="L390" s="215" t="n"/>
      <c r="M390" s="215" t="n"/>
      <c r="N390" s="215" t="str">
        <f>IF(ISNUMBER(I390),ROUND(I390-I390/1.081,2),"")</f>
        <v/>
      </c>
      <c r="O390" s="215" t="str">
        <f>IF(ISNUMBER(I390),I390-SUM(J390:N390),"")</f>
        <v/>
      </c>
      <c r="P390" s="216" t="str">
        <f>IFERROR(IF(AND(ISNUMBER(O390),ISNUMBER(I390),I390&lt;&gt;0),O390/I390,""),"")</f>
        <v/>
      </c>
      <c r="Q390" s="215" t="str">
        <f>IF(AND(ISNUMBER(I390),ISNUMBER(S390)),I390*IF(S390&lt;=1,S390,S390/100),IF(OR(I390&lt;&gt;"",S390&lt;&gt;""),"tbd",""))</f>
        <v/>
      </c>
      <c r="S390" s="217" t="n"/>
      <c r="Z390" t="str">
        <f>IF(AND(R390="WON",ISNUMBER(I390)),AA390,"")</f>
        <v/>
      </c>
      <c r="AA390">
        <f>IFERROR(I390*1,0)</f>
        <v>0</v>
      </c>
      <c r="AB390">
        <f>N(AB389)+IF(AND(R390="WON",B390&lt;&gt;""),1,0)</f>
        <v>7</v>
      </c>
      <c r="AC390">
        <f>N(AC389)+IF(AND(OR(R390="offered",R390="to be offered",R390="on hold"),B390&lt;&gt;""),1,0)</f>
        <v>19</v>
      </c>
      <c r="AD390">
        <f>N(AD389)+IF(AND(OR(R390="follow-up",R390="Evaluation",R390="tbd",R390="In evaluation"),B390&lt;&gt;""),1,0)</f>
        <v>9</v>
      </c>
    </row>
    <row r="391" ht="15" customHeight="1">
      <c r="I391" s="215" t="n"/>
      <c r="J391" s="215" t="n"/>
      <c r="K391" s="215" t="n"/>
      <c r="L391" s="215" t="n"/>
      <c r="M391" s="215" t="n"/>
      <c r="N391" s="215" t="str">
        <f>IF(ISNUMBER(I391),ROUND(I391-I391/1.081,2),"")</f>
        <v/>
      </c>
      <c r="O391" s="215" t="str">
        <f>IF(ISNUMBER(I391),I391-SUM(J391:N391),"")</f>
        <v/>
      </c>
      <c r="P391" s="216" t="str">
        <f>IFERROR(IF(AND(ISNUMBER(O391),ISNUMBER(I391),I391&lt;&gt;0),O391/I391,""),"")</f>
        <v/>
      </c>
      <c r="Q391" s="215" t="str">
        <f>IF(AND(ISNUMBER(I391),ISNUMBER(S391)),I391*IF(S391&lt;=1,S391,S391/100),IF(OR(I391&lt;&gt;"",S391&lt;&gt;""),"tbd",""))</f>
        <v/>
      </c>
      <c r="S391" s="217" t="n"/>
      <c r="Z391" t="str">
        <f>IF(AND(R391="WON",ISNUMBER(I391)),AA391,"")</f>
        <v/>
      </c>
      <c r="AA391">
        <f>IFERROR(I391*1,0)</f>
        <v>0</v>
      </c>
      <c r="AB391">
        <f>N(AB390)+IF(AND(R391="WON",B391&lt;&gt;""),1,0)</f>
        <v>7</v>
      </c>
      <c r="AC391">
        <f>N(AC390)+IF(AND(OR(R391="offered",R391="to be offered",R391="on hold"),B391&lt;&gt;""),1,0)</f>
        <v>19</v>
      </c>
      <c r="AD391">
        <f>N(AD390)+IF(AND(OR(R391="follow-up",R391="Evaluation",R391="tbd",R391="In evaluation"),B391&lt;&gt;""),1,0)</f>
        <v>9</v>
      </c>
    </row>
    <row r="392" ht="15" customHeight="1">
      <c r="I392" s="215" t="n"/>
      <c r="J392" s="215" t="n"/>
      <c r="K392" s="215" t="n"/>
      <c r="L392" s="215" t="n"/>
      <c r="M392" s="215" t="n"/>
      <c r="N392" s="215" t="str">
        <f>IF(ISNUMBER(I392),ROUND(I392-I392/1.081,2),"")</f>
        <v/>
      </c>
      <c r="O392" s="215" t="str">
        <f>IF(ISNUMBER(I392),I392-SUM(J392:N392),"")</f>
        <v/>
      </c>
      <c r="P392" s="216" t="str">
        <f>IFERROR(IF(AND(ISNUMBER(O392),ISNUMBER(I392),I392&lt;&gt;0),O392/I392,""),"")</f>
        <v/>
      </c>
      <c r="Q392" s="215" t="str">
        <f>IF(AND(ISNUMBER(I392),ISNUMBER(S392)),I392*IF(S392&lt;=1,S392,S392/100),IF(OR(I392&lt;&gt;"",S392&lt;&gt;""),"tbd",""))</f>
        <v/>
      </c>
      <c r="S392" s="217" t="n"/>
      <c r="Z392" t="str">
        <f>IF(AND(R392="WON",ISNUMBER(I392)),AA392,"")</f>
        <v/>
      </c>
      <c r="AA392">
        <f>IFERROR(I392*1,0)</f>
        <v>0</v>
      </c>
      <c r="AB392">
        <f>N(AB391)+IF(AND(R392="WON",B392&lt;&gt;""),1,0)</f>
        <v>7</v>
      </c>
      <c r="AC392">
        <f>N(AC391)+IF(AND(OR(R392="offered",R392="to be offered",R392="on hold"),B392&lt;&gt;""),1,0)</f>
        <v>19</v>
      </c>
      <c r="AD392">
        <f>N(AD391)+IF(AND(OR(R392="follow-up",R392="Evaluation",R392="tbd",R392="In evaluation"),B392&lt;&gt;""),1,0)</f>
        <v>9</v>
      </c>
    </row>
    <row r="393" ht="15" customHeight="1">
      <c r="I393" s="215" t="n"/>
      <c r="J393" s="215" t="n"/>
      <c r="K393" s="215" t="n"/>
      <c r="L393" s="215" t="n"/>
      <c r="M393" s="215" t="n"/>
      <c r="N393" s="215" t="str">
        <f>IF(ISNUMBER(I393),ROUND(I393-I393/1.081,2),"")</f>
        <v/>
      </c>
      <c r="O393" s="215" t="str">
        <f>IF(ISNUMBER(I393),I393-SUM(J393:N393),"")</f>
        <v/>
      </c>
      <c r="P393" s="216" t="str">
        <f>IFERROR(IF(AND(ISNUMBER(O393),ISNUMBER(I393),I393&lt;&gt;0),O393/I393,""),"")</f>
        <v/>
      </c>
      <c r="Q393" s="215" t="str">
        <f>IF(AND(ISNUMBER(I393),ISNUMBER(S393)),I393*IF(S393&lt;=1,S393,S393/100),IF(OR(I393&lt;&gt;"",S393&lt;&gt;""),"tbd",""))</f>
        <v/>
      </c>
      <c r="S393" s="217" t="n"/>
      <c r="Z393" t="str">
        <f>IF(AND(R393="WON",ISNUMBER(I393)),AA393,"")</f>
        <v/>
      </c>
      <c r="AA393">
        <f>IFERROR(I393*1,0)</f>
        <v>0</v>
      </c>
      <c r="AB393">
        <f>N(AB392)+IF(AND(R393="WON",B393&lt;&gt;""),1,0)</f>
        <v>7</v>
      </c>
      <c r="AC393">
        <f>N(AC392)+IF(AND(OR(R393="offered",R393="to be offered",R393="on hold"),B393&lt;&gt;""),1,0)</f>
        <v>19</v>
      </c>
      <c r="AD393">
        <f>N(AD392)+IF(AND(OR(R393="follow-up",R393="Evaluation",R393="tbd",R393="In evaluation"),B393&lt;&gt;""),1,0)</f>
        <v>9</v>
      </c>
    </row>
    <row r="394" ht="15" customHeight="1">
      <c r="I394" s="215" t="n"/>
      <c r="J394" s="215" t="n"/>
      <c r="K394" s="215" t="n"/>
      <c r="L394" s="215" t="n"/>
      <c r="M394" s="215" t="n"/>
      <c r="N394" s="215" t="str">
        <f>IF(ISNUMBER(I394),ROUND(I394-I394/1.081,2),"")</f>
        <v/>
      </c>
      <c r="O394" s="215" t="str">
        <f>IF(ISNUMBER(I394),I394-SUM(J394:N394),"")</f>
        <v/>
      </c>
      <c r="P394" s="216" t="str">
        <f>IFERROR(IF(AND(ISNUMBER(O394),ISNUMBER(I394),I394&lt;&gt;0),O394/I394,""),"")</f>
        <v/>
      </c>
      <c r="Q394" s="215" t="str">
        <f>IF(AND(ISNUMBER(I394),ISNUMBER(S394)),I394*IF(S394&lt;=1,S394,S394/100),IF(OR(I394&lt;&gt;"",S394&lt;&gt;""),"tbd",""))</f>
        <v/>
      </c>
      <c r="S394" s="217" t="n"/>
      <c r="Z394" t="str">
        <f>IF(AND(R394="WON",ISNUMBER(I394)),AA394,"")</f>
        <v/>
      </c>
      <c r="AA394">
        <f>IFERROR(I394*1,0)</f>
        <v>0</v>
      </c>
      <c r="AB394">
        <f>N(AB393)+IF(AND(R394="WON",B394&lt;&gt;""),1,0)</f>
        <v>7</v>
      </c>
      <c r="AC394">
        <f>N(AC393)+IF(AND(OR(R394="offered",R394="to be offered",R394="on hold"),B394&lt;&gt;""),1,0)</f>
        <v>19</v>
      </c>
      <c r="AD394">
        <f>N(AD393)+IF(AND(OR(R394="follow-up",R394="Evaluation",R394="tbd",R394="In evaluation"),B394&lt;&gt;""),1,0)</f>
        <v>9</v>
      </c>
    </row>
    <row r="395" ht="15" customHeight="1">
      <c r="I395" s="215" t="n"/>
      <c r="J395" s="215" t="n"/>
      <c r="K395" s="215" t="n"/>
      <c r="L395" s="215" t="n"/>
      <c r="M395" s="215" t="n"/>
      <c r="N395" s="215" t="str">
        <f>IF(ISNUMBER(I395),ROUND(I395-I395/1.081,2),"")</f>
        <v/>
      </c>
      <c r="O395" s="215" t="str">
        <f>IF(ISNUMBER(I395),I395-SUM(J395:N395),"")</f>
        <v/>
      </c>
      <c r="P395" s="216" t="str">
        <f>IFERROR(IF(AND(ISNUMBER(O395),ISNUMBER(I395),I395&lt;&gt;0),O395/I395,""),"")</f>
        <v/>
      </c>
      <c r="Q395" s="215" t="str">
        <f>IF(AND(ISNUMBER(I395),ISNUMBER(S395)),I395*IF(S395&lt;=1,S395,S395/100),IF(OR(I395&lt;&gt;"",S395&lt;&gt;""),"tbd",""))</f>
        <v/>
      </c>
      <c r="S395" s="217" t="n"/>
      <c r="Z395" t="str">
        <f>IF(AND(R395="WON",ISNUMBER(I395)),AA395,"")</f>
        <v/>
      </c>
      <c r="AA395">
        <f>IFERROR(I395*1,0)</f>
        <v>0</v>
      </c>
      <c r="AB395">
        <f>N(AB394)+IF(AND(R395="WON",B395&lt;&gt;""),1,0)</f>
        <v>7</v>
      </c>
      <c r="AC395">
        <f>N(AC394)+IF(AND(OR(R395="offered",R395="to be offered",R395="on hold"),B395&lt;&gt;""),1,0)</f>
        <v>19</v>
      </c>
      <c r="AD395">
        <f>N(AD394)+IF(AND(OR(R395="follow-up",R395="Evaluation",R395="tbd",R395="In evaluation"),B395&lt;&gt;""),1,0)</f>
        <v>9</v>
      </c>
    </row>
    <row r="396" ht="15" customHeight="1">
      <c r="I396" s="215" t="n"/>
      <c r="J396" s="215" t="n"/>
      <c r="K396" s="215" t="n"/>
      <c r="L396" s="215" t="n"/>
      <c r="M396" s="215" t="n"/>
      <c r="N396" s="215" t="str">
        <f>IF(ISNUMBER(I396),ROUND(I396-I396/1.081,2),"")</f>
        <v/>
      </c>
      <c r="O396" s="215" t="str">
        <f>IF(ISNUMBER(I396),I396-SUM(J396:N396),"")</f>
        <v/>
      </c>
      <c r="P396" s="216" t="str">
        <f>IFERROR(IF(AND(ISNUMBER(O396),ISNUMBER(I396),I396&lt;&gt;0),O396/I396,""),"")</f>
        <v/>
      </c>
      <c r="Q396" s="215" t="str">
        <f>IF(AND(ISNUMBER(I396),ISNUMBER(S396)),I396*IF(S396&lt;=1,S396,S396/100),IF(OR(I396&lt;&gt;"",S396&lt;&gt;""),"tbd",""))</f>
        <v/>
      </c>
      <c r="S396" s="217" t="n"/>
      <c r="Z396" t="str">
        <f>IF(AND(R396="WON",ISNUMBER(I396)),AA396,"")</f>
        <v/>
      </c>
      <c r="AA396">
        <f>IFERROR(I396*1,0)</f>
        <v>0</v>
      </c>
      <c r="AB396">
        <f>N(AB395)+IF(AND(R396="WON",B396&lt;&gt;""),1,0)</f>
        <v>7</v>
      </c>
      <c r="AC396">
        <f>N(AC395)+IF(AND(OR(R396="offered",R396="to be offered",R396="on hold"),B396&lt;&gt;""),1,0)</f>
        <v>19</v>
      </c>
      <c r="AD396">
        <f>N(AD395)+IF(AND(OR(R396="follow-up",R396="Evaluation",R396="tbd",R396="In evaluation"),B396&lt;&gt;""),1,0)</f>
        <v>9</v>
      </c>
    </row>
    <row r="397" ht="15" customHeight="1">
      <c r="I397" s="215" t="n"/>
      <c r="J397" s="215" t="n"/>
      <c r="K397" s="215" t="n"/>
      <c r="L397" s="215" t="n"/>
      <c r="M397" s="215" t="n"/>
      <c r="N397" s="215" t="str">
        <f>IF(ISNUMBER(I397),ROUND(I397-I397/1.081,2),"")</f>
        <v/>
      </c>
      <c r="O397" s="215" t="str">
        <f>IF(ISNUMBER(I397),I397-SUM(J397:N397),"")</f>
        <v/>
      </c>
      <c r="P397" s="216" t="str">
        <f>IFERROR(IF(AND(ISNUMBER(O397),ISNUMBER(I397),I397&lt;&gt;0),O397/I397,""),"")</f>
        <v/>
      </c>
      <c r="Q397" s="215" t="str">
        <f>IF(AND(ISNUMBER(I397),ISNUMBER(S397)),I397*IF(S397&lt;=1,S397,S397/100),IF(OR(I397&lt;&gt;"",S397&lt;&gt;""),"tbd",""))</f>
        <v/>
      </c>
      <c r="S397" s="217" t="n"/>
      <c r="Z397" t="str">
        <f>IF(AND(R397="WON",ISNUMBER(I397)),AA397,"")</f>
        <v/>
      </c>
      <c r="AA397">
        <f>IFERROR(I397*1,0)</f>
        <v>0</v>
      </c>
      <c r="AB397">
        <f>N(AB396)+IF(AND(R397="WON",B397&lt;&gt;""),1,0)</f>
        <v>7</v>
      </c>
      <c r="AC397">
        <f>N(AC396)+IF(AND(OR(R397="offered",R397="to be offered",R397="on hold"),B397&lt;&gt;""),1,0)</f>
        <v>19</v>
      </c>
      <c r="AD397">
        <f>N(AD396)+IF(AND(OR(R397="follow-up",R397="Evaluation",R397="tbd",R397="In evaluation"),B397&lt;&gt;""),1,0)</f>
        <v>9</v>
      </c>
    </row>
    <row r="398" ht="15" customHeight="1">
      <c r="I398" s="215" t="n"/>
      <c r="J398" s="215" t="n"/>
      <c r="K398" s="215" t="n"/>
      <c r="L398" s="215" t="n"/>
      <c r="M398" s="215" t="n"/>
      <c r="N398" s="215" t="str">
        <f>IF(ISNUMBER(I398),ROUND(I398-I398/1.081,2),"")</f>
        <v/>
      </c>
      <c r="O398" s="215" t="str">
        <f>IF(ISNUMBER(I398),I398-SUM(J398:N398),"")</f>
        <v/>
      </c>
      <c r="P398" s="216" t="str">
        <f>IFERROR(IF(AND(ISNUMBER(O398),ISNUMBER(I398),I398&lt;&gt;0),O398/I398,""),"")</f>
        <v/>
      </c>
      <c r="Q398" s="215" t="str">
        <f>IF(AND(ISNUMBER(I398),ISNUMBER(S398)),I398*IF(S398&lt;=1,S398,S398/100),IF(OR(I398&lt;&gt;"",S398&lt;&gt;""),"tbd",""))</f>
        <v/>
      </c>
      <c r="S398" s="217" t="n"/>
      <c r="Z398" t="str">
        <f>IF(AND(R398="WON",ISNUMBER(I398)),AA398,"")</f>
        <v/>
      </c>
      <c r="AA398">
        <f>IFERROR(I398*1,0)</f>
        <v>0</v>
      </c>
      <c r="AB398">
        <f>N(AB397)+IF(AND(R398="WON",B398&lt;&gt;""),1,0)</f>
        <v>7</v>
      </c>
      <c r="AC398">
        <f>N(AC397)+IF(AND(OR(R398="offered",R398="to be offered",R398="on hold"),B398&lt;&gt;""),1,0)</f>
        <v>19</v>
      </c>
      <c r="AD398">
        <f>N(AD397)+IF(AND(OR(R398="follow-up",R398="Evaluation",R398="tbd",R398="In evaluation"),B398&lt;&gt;""),1,0)</f>
        <v>9</v>
      </c>
    </row>
    <row r="399" ht="15" customHeight="1">
      <c r="I399" s="215" t="n"/>
      <c r="J399" s="215" t="n"/>
      <c r="K399" s="215" t="n"/>
      <c r="L399" s="215" t="n"/>
      <c r="M399" s="215" t="n"/>
      <c r="N399" s="215" t="str">
        <f>IF(ISNUMBER(I399),ROUND(I399-I399/1.081,2),"")</f>
        <v/>
      </c>
      <c r="O399" s="215" t="str">
        <f>IF(ISNUMBER(I399),I399-SUM(J399:N399),"")</f>
        <v/>
      </c>
      <c r="P399" s="216" t="str">
        <f>IFERROR(IF(AND(ISNUMBER(O399),ISNUMBER(I399),I399&lt;&gt;0),O399/I399,""),"")</f>
        <v/>
      </c>
      <c r="Q399" s="215" t="str">
        <f>IF(AND(ISNUMBER(I399),ISNUMBER(S399)),I399*IF(S399&lt;=1,S399,S399/100),IF(OR(I399&lt;&gt;"",S399&lt;&gt;""),"tbd",""))</f>
        <v/>
      </c>
      <c r="S399" s="217" t="n"/>
      <c r="Z399" t="str">
        <f>IF(AND(R399="WON",ISNUMBER(I399)),AA399,"")</f>
        <v/>
      </c>
      <c r="AA399">
        <f>IFERROR(I399*1,0)</f>
        <v>0</v>
      </c>
      <c r="AB399">
        <f>N(AB398)+IF(AND(R399="WON",B399&lt;&gt;""),1,0)</f>
        <v>7</v>
      </c>
      <c r="AC399">
        <f>N(AC398)+IF(AND(OR(R399="offered",R399="to be offered",R399="on hold"),B399&lt;&gt;""),1,0)</f>
        <v>19</v>
      </c>
      <c r="AD399">
        <f>N(AD398)+IF(AND(OR(R399="follow-up",R399="Evaluation",R399="tbd",R399="In evaluation"),B399&lt;&gt;""),1,0)</f>
        <v>9</v>
      </c>
    </row>
    <row r="400" ht="15" customHeight="1">
      <c r="I400" s="215" t="n"/>
      <c r="J400" s="215" t="n"/>
      <c r="K400" s="215" t="n"/>
      <c r="L400" s="215" t="n"/>
      <c r="M400" s="215" t="n"/>
      <c r="N400" s="215" t="str">
        <f>IF(ISNUMBER(I400),ROUND(I400-I400/1.081,2),"")</f>
        <v/>
      </c>
      <c r="O400" s="215" t="str">
        <f>IF(ISNUMBER(I400),I400-SUM(J400:N400),"")</f>
        <v/>
      </c>
      <c r="P400" s="216" t="str">
        <f>IFERROR(IF(AND(ISNUMBER(O400),ISNUMBER(I400),I400&lt;&gt;0),O400/I400,""),"")</f>
        <v/>
      </c>
      <c r="Q400" s="215" t="str">
        <f>IF(AND(ISNUMBER(I400),ISNUMBER(S400)),I400*IF(S400&lt;=1,S400,S400/100),IF(OR(I400&lt;&gt;"",S400&lt;&gt;""),"tbd",""))</f>
        <v/>
      </c>
      <c r="S400" s="217" t="n"/>
      <c r="Z400" t="str">
        <f>IF(AND(R400="WON",ISNUMBER(I400)),AA400,"")</f>
        <v/>
      </c>
      <c r="AA400">
        <f>IFERROR(I400*1,0)</f>
        <v>0</v>
      </c>
      <c r="AB400">
        <f>N(AB399)+IF(AND(R400="WON",B400&lt;&gt;""),1,0)</f>
        <v>7</v>
      </c>
      <c r="AC400">
        <f>N(AC399)+IF(AND(OR(R400="offered",R400="to be offered",R400="on hold"),B400&lt;&gt;""),1,0)</f>
        <v>19</v>
      </c>
      <c r="AD400">
        <f>N(AD399)+IF(AND(OR(R400="follow-up",R400="Evaluation",R400="tbd",R400="In evaluation"),B400&lt;&gt;""),1,0)</f>
        <v>9</v>
      </c>
    </row>
    <row r="401" ht="15" customHeight="1">
      <c r="I401" s="215" t="n"/>
      <c r="J401" s="215" t="n"/>
      <c r="K401" s="215" t="n"/>
      <c r="L401" s="215" t="n"/>
      <c r="M401" s="215" t="n"/>
      <c r="N401" s="215" t="str">
        <f>IF(ISNUMBER(I401),ROUND(I401-I401/1.081,2),"")</f>
        <v/>
      </c>
      <c r="O401" s="215" t="str">
        <f>IF(ISNUMBER(I401),I401-SUM(J401:N401),"")</f>
        <v/>
      </c>
      <c r="P401" s="216" t="str">
        <f>IFERROR(IF(AND(ISNUMBER(O401),ISNUMBER(I401),I401&lt;&gt;0),O401/I401,""),"")</f>
        <v/>
      </c>
      <c r="Q401" s="215" t="str">
        <f>IF(AND(ISNUMBER(I401),ISNUMBER(S401)),I401*IF(S401&lt;=1,S401,S401/100),IF(OR(I401&lt;&gt;"",S401&lt;&gt;""),"tbd",""))</f>
        <v/>
      </c>
      <c r="S401" s="217" t="n"/>
      <c r="Z401" t="str">
        <f>IF(AND(R401="WON",ISNUMBER(I401)),AA401,"")</f>
        <v/>
      </c>
      <c r="AA401">
        <f>IFERROR(I401*1,0)</f>
        <v>0</v>
      </c>
      <c r="AB401">
        <f>N(AB400)+IF(AND(R401="WON",B401&lt;&gt;""),1,0)</f>
        <v>7</v>
      </c>
      <c r="AC401">
        <f>N(AC400)+IF(AND(OR(R401="offered",R401="to be offered",R401="on hold"),B401&lt;&gt;""),1,0)</f>
        <v>19</v>
      </c>
      <c r="AD401">
        <f>N(AD400)+IF(AND(OR(R401="follow-up",R401="Evaluation",R401="tbd",R401="In evaluation"),B401&lt;&gt;""),1,0)</f>
        <v>9</v>
      </c>
    </row>
    <row r="402" ht="15" customHeight="1">
      <c r="I402" s="215" t="n"/>
      <c r="J402" s="215" t="n"/>
      <c r="K402" s="215" t="n"/>
      <c r="L402" s="215" t="n"/>
      <c r="M402" s="215" t="n"/>
      <c r="N402" s="215" t="str">
        <f>IF(ISNUMBER(I402),ROUND(I402-I402/1.081,2),"")</f>
        <v/>
      </c>
      <c r="O402" s="215" t="str">
        <f>IF(ISNUMBER(I402),I402-SUM(J402:N402),"")</f>
        <v/>
      </c>
      <c r="P402" s="216" t="str">
        <f>IFERROR(IF(AND(ISNUMBER(O402),ISNUMBER(I402),I402&lt;&gt;0),O402/I402,""),"")</f>
        <v/>
      </c>
      <c r="Q402" s="215" t="str">
        <f>IF(AND(ISNUMBER(I402),ISNUMBER(S402)),I402*IF(S402&lt;=1,S402,S402/100),IF(OR(I402&lt;&gt;"",S402&lt;&gt;""),"tbd",""))</f>
        <v/>
      </c>
      <c r="S402" s="217" t="n"/>
      <c r="Z402" t="str">
        <f>IF(AND(R402="WON",ISNUMBER(I402)),AA402,"")</f>
        <v/>
      </c>
      <c r="AA402">
        <f>IFERROR(I402*1,0)</f>
        <v>0</v>
      </c>
      <c r="AB402">
        <f>N(AB401)+IF(AND(R402="WON",B402&lt;&gt;""),1,0)</f>
        <v>7</v>
      </c>
      <c r="AC402">
        <f>N(AC401)+IF(AND(OR(R402="offered",R402="to be offered",R402="on hold"),B402&lt;&gt;""),1,0)</f>
        <v>19</v>
      </c>
      <c r="AD402">
        <f>N(AD401)+IF(AND(OR(R402="follow-up",R402="Evaluation",R402="tbd",R402="In evaluation"),B402&lt;&gt;""),1,0)</f>
        <v>9</v>
      </c>
    </row>
    <row r="403" ht="15" customHeight="1">
      <c r="I403" s="215" t="n"/>
      <c r="J403" s="215" t="n"/>
      <c r="K403" s="215" t="n"/>
      <c r="L403" s="215" t="n"/>
      <c r="M403" s="215" t="n"/>
      <c r="N403" s="215" t="str">
        <f>IF(ISNUMBER(I403),ROUND(I403-I403/1.081,2),"")</f>
        <v/>
      </c>
      <c r="O403" s="215" t="str">
        <f>IF(ISNUMBER(I403),I403-SUM(J403:N403),"")</f>
        <v/>
      </c>
      <c r="P403" s="216" t="str">
        <f>IFERROR(IF(AND(ISNUMBER(O403),ISNUMBER(I403),I403&lt;&gt;0),O403/I403,""),"")</f>
        <v/>
      </c>
      <c r="Q403" s="215" t="str">
        <f>IF(AND(ISNUMBER(I403),ISNUMBER(S403)),I403*IF(S403&lt;=1,S403,S403/100),IF(OR(I403&lt;&gt;"",S403&lt;&gt;""),"tbd",""))</f>
        <v/>
      </c>
      <c r="S403" s="217" t="n"/>
      <c r="Z403" t="str">
        <f>IF(AND(R403="WON",ISNUMBER(I403)),AA403,"")</f>
        <v/>
      </c>
      <c r="AA403">
        <f>IFERROR(I403*1,0)</f>
        <v>0</v>
      </c>
      <c r="AB403">
        <f>N(AB402)+IF(AND(R403="WON",B403&lt;&gt;""),1,0)</f>
        <v>7</v>
      </c>
      <c r="AC403">
        <f>N(AC402)+IF(AND(OR(R403="offered",R403="to be offered",R403="on hold"),B403&lt;&gt;""),1,0)</f>
        <v>19</v>
      </c>
      <c r="AD403">
        <f>N(AD402)+IF(AND(OR(R403="follow-up",R403="Evaluation",R403="tbd",R403="In evaluation"),B403&lt;&gt;""),1,0)</f>
        <v>9</v>
      </c>
    </row>
    <row r="404" ht="15" customHeight="1">
      <c r="I404" s="215" t="n"/>
      <c r="J404" s="215" t="n"/>
      <c r="K404" s="215" t="n"/>
      <c r="L404" s="215" t="n"/>
      <c r="M404" s="215" t="n"/>
      <c r="N404" s="215" t="str">
        <f>IF(ISNUMBER(I404),ROUND(I404-I404/1.081,2),"")</f>
        <v/>
      </c>
      <c r="O404" s="215" t="str">
        <f>IF(ISNUMBER(I404),I404-SUM(J404:N404),"")</f>
        <v/>
      </c>
      <c r="P404" s="216" t="str">
        <f>IFERROR(IF(AND(ISNUMBER(O404),ISNUMBER(I404),I404&lt;&gt;0),O404/I404,""),"")</f>
        <v/>
      </c>
      <c r="Q404" s="215" t="str">
        <f>IF(AND(ISNUMBER(I404),ISNUMBER(S404)),I404*IF(S404&lt;=1,S404,S404/100),IF(OR(I404&lt;&gt;"",S404&lt;&gt;""),"tbd",""))</f>
        <v/>
      </c>
      <c r="S404" s="217" t="n"/>
      <c r="Z404" t="str">
        <f>IF(AND(R404="WON",ISNUMBER(I404)),AA404,"")</f>
        <v/>
      </c>
      <c r="AA404">
        <f>IFERROR(I404*1,0)</f>
        <v>0</v>
      </c>
      <c r="AB404">
        <f>N(AB403)+IF(AND(R404="WON",B404&lt;&gt;""),1,0)</f>
        <v>7</v>
      </c>
      <c r="AC404">
        <f>N(AC403)+IF(AND(OR(R404="offered",R404="to be offered",R404="on hold"),B404&lt;&gt;""),1,0)</f>
        <v>19</v>
      </c>
      <c r="AD404">
        <f>N(AD403)+IF(AND(OR(R404="follow-up",R404="Evaluation",R404="tbd",R404="In evaluation"),B404&lt;&gt;""),1,0)</f>
        <v>9</v>
      </c>
    </row>
    <row r="405" ht="15" customHeight="1">
      <c r="I405" s="215" t="n"/>
      <c r="J405" s="215" t="n"/>
      <c r="K405" s="215" t="n"/>
      <c r="L405" s="215" t="n"/>
      <c r="M405" s="215" t="n"/>
      <c r="N405" s="215" t="str">
        <f>IF(ISNUMBER(I405),ROUND(I405-I405/1.081,2),"")</f>
        <v/>
      </c>
      <c r="O405" s="215" t="str">
        <f>IF(ISNUMBER(I405),I405-SUM(J405:N405),"")</f>
        <v/>
      </c>
      <c r="P405" s="216" t="str">
        <f>IFERROR(IF(AND(ISNUMBER(O405),ISNUMBER(I405),I405&lt;&gt;0),O405/I405,""),"")</f>
        <v/>
      </c>
      <c r="Q405" s="215" t="str">
        <f>IF(AND(ISNUMBER(I405),ISNUMBER(S405)),I405*IF(S405&lt;=1,S405,S405/100),IF(OR(I405&lt;&gt;"",S405&lt;&gt;""),"tbd",""))</f>
        <v/>
      </c>
      <c r="S405" s="217" t="n"/>
      <c r="Z405" t="str">
        <f>IF(AND(R405="WON",ISNUMBER(I405)),AA405,"")</f>
        <v/>
      </c>
      <c r="AA405">
        <f>IFERROR(I405*1,0)</f>
        <v>0</v>
      </c>
      <c r="AB405">
        <f>N(AB404)+IF(AND(R405="WON",B405&lt;&gt;""),1,0)</f>
        <v>7</v>
      </c>
      <c r="AC405">
        <f>N(AC404)+IF(AND(OR(R405="offered",R405="to be offered",R405="on hold"),B405&lt;&gt;""),1,0)</f>
        <v>19</v>
      </c>
      <c r="AD405">
        <f>N(AD404)+IF(AND(OR(R405="follow-up",R405="Evaluation",R405="tbd",R405="In evaluation"),B405&lt;&gt;""),1,0)</f>
        <v>9</v>
      </c>
    </row>
    <row r="406" ht="15" customHeight="1">
      <c r="I406" s="215" t="n"/>
      <c r="J406" s="215" t="n"/>
      <c r="K406" s="215" t="n"/>
      <c r="L406" s="215" t="n"/>
      <c r="M406" s="215" t="n"/>
      <c r="N406" s="215" t="str">
        <f>IF(ISNUMBER(I406),ROUND(I406-I406/1.081,2),"")</f>
        <v/>
      </c>
      <c r="O406" s="215" t="str">
        <f>IF(ISNUMBER(I406),I406-SUM(J406:N406),"")</f>
        <v/>
      </c>
      <c r="P406" s="216" t="str">
        <f>IFERROR(IF(AND(ISNUMBER(O406),ISNUMBER(I406),I406&lt;&gt;0),O406/I406,""),"")</f>
        <v/>
      </c>
      <c r="Q406" s="215" t="str">
        <f>IF(AND(ISNUMBER(I406),ISNUMBER(S406)),I406*IF(S406&lt;=1,S406,S406/100),IF(OR(I406&lt;&gt;"",S406&lt;&gt;""),"tbd",""))</f>
        <v/>
      </c>
      <c r="S406" s="217" t="n"/>
      <c r="Z406" t="str">
        <f>IF(AND(R406="WON",ISNUMBER(I406)),AA406,"")</f>
        <v/>
      </c>
      <c r="AA406">
        <f>IFERROR(I406*1,0)</f>
        <v>0</v>
      </c>
      <c r="AB406">
        <f>N(AB405)+IF(AND(R406="WON",B406&lt;&gt;""),1,0)</f>
        <v>7</v>
      </c>
      <c r="AC406">
        <f>N(AC405)+IF(AND(OR(R406="offered",R406="to be offered",R406="on hold"),B406&lt;&gt;""),1,0)</f>
        <v>19</v>
      </c>
      <c r="AD406">
        <f>N(AD405)+IF(AND(OR(R406="follow-up",R406="Evaluation",R406="tbd",R406="In evaluation"),B406&lt;&gt;""),1,0)</f>
        <v>9</v>
      </c>
    </row>
    <row r="407" ht="15" customHeight="1">
      <c r="I407" s="215" t="n"/>
      <c r="J407" s="215" t="n"/>
      <c r="K407" s="215" t="n"/>
      <c r="L407" s="215" t="n"/>
      <c r="M407" s="215" t="n"/>
      <c r="N407" s="215" t="str">
        <f>IF(ISNUMBER(I407),ROUND(I407-I407/1.081,2),"")</f>
        <v/>
      </c>
      <c r="O407" s="215" t="str">
        <f>IF(ISNUMBER(I407),I407-SUM(J407:N407),"")</f>
        <v/>
      </c>
      <c r="P407" s="216" t="str">
        <f>IFERROR(IF(AND(ISNUMBER(O407),ISNUMBER(I407),I407&lt;&gt;0),O407/I407,""),"")</f>
        <v/>
      </c>
      <c r="Q407" s="215" t="str">
        <f>IF(AND(ISNUMBER(I407),ISNUMBER(S407)),I407*IF(S407&lt;=1,S407,S407/100),IF(OR(I407&lt;&gt;"",S407&lt;&gt;""),"tbd",""))</f>
        <v/>
      </c>
      <c r="S407" s="217" t="n"/>
      <c r="Z407" t="str">
        <f>IF(AND(R407="WON",ISNUMBER(I407)),AA407,"")</f>
        <v/>
      </c>
      <c r="AA407">
        <f>IFERROR(I407*1,0)</f>
        <v>0</v>
      </c>
      <c r="AB407">
        <f>N(AB406)+IF(AND(R407="WON",B407&lt;&gt;""),1,0)</f>
        <v>7</v>
      </c>
      <c r="AC407">
        <f>N(AC406)+IF(AND(OR(R407="offered",R407="to be offered",R407="on hold"),B407&lt;&gt;""),1,0)</f>
        <v>19</v>
      </c>
      <c r="AD407">
        <f>N(AD406)+IF(AND(OR(R407="follow-up",R407="Evaluation",R407="tbd",R407="In evaluation"),B407&lt;&gt;""),1,0)</f>
        <v>9</v>
      </c>
    </row>
    <row r="408" ht="15" customHeight="1">
      <c r="I408" s="215" t="n"/>
      <c r="J408" s="215" t="n"/>
      <c r="K408" s="215" t="n"/>
      <c r="L408" s="215" t="n"/>
      <c r="M408" s="215" t="n"/>
      <c r="N408" s="215" t="str">
        <f>IF(ISNUMBER(I408),ROUND(I408-I408/1.081,2),"")</f>
        <v/>
      </c>
      <c r="O408" s="215" t="str">
        <f>IF(ISNUMBER(I408),I408-SUM(J408:N408),"")</f>
        <v/>
      </c>
      <c r="P408" s="216" t="str">
        <f>IFERROR(IF(AND(ISNUMBER(O408),ISNUMBER(I408),I408&lt;&gt;0),O408/I408,""),"")</f>
        <v/>
      </c>
      <c r="Q408" s="215" t="str">
        <f>IF(AND(ISNUMBER(I408),ISNUMBER(S408)),I408*IF(S408&lt;=1,S408,S408/100),IF(OR(I408&lt;&gt;"",S408&lt;&gt;""),"tbd",""))</f>
        <v/>
      </c>
      <c r="S408" s="217" t="n"/>
      <c r="Z408" t="str">
        <f>IF(AND(R408="WON",ISNUMBER(I408)),AA408,"")</f>
        <v/>
      </c>
      <c r="AA408">
        <f>IFERROR(I408*1,0)</f>
        <v>0</v>
      </c>
      <c r="AB408">
        <f>N(AB407)+IF(AND(R408="WON",B408&lt;&gt;""),1,0)</f>
        <v>7</v>
      </c>
      <c r="AC408">
        <f>N(AC407)+IF(AND(OR(R408="offered",R408="to be offered",R408="on hold"),B408&lt;&gt;""),1,0)</f>
        <v>19</v>
      </c>
      <c r="AD408">
        <f>N(AD407)+IF(AND(OR(R408="follow-up",R408="Evaluation",R408="tbd",R408="In evaluation"),B408&lt;&gt;""),1,0)</f>
        <v>9</v>
      </c>
    </row>
    <row r="409" ht="15" customHeight="1">
      <c r="I409" s="215" t="n"/>
      <c r="J409" s="215" t="n"/>
      <c r="K409" s="215" t="n"/>
      <c r="L409" s="215" t="n"/>
      <c r="M409" s="215" t="n"/>
      <c r="N409" s="215" t="str">
        <f>IF(ISNUMBER(I409),ROUND(I409-I409/1.081,2),"")</f>
        <v/>
      </c>
      <c r="O409" s="215" t="str">
        <f>IF(ISNUMBER(I409),I409-SUM(J409:N409),"")</f>
        <v/>
      </c>
      <c r="P409" s="216" t="str">
        <f>IFERROR(IF(AND(ISNUMBER(O409),ISNUMBER(I409),I409&lt;&gt;0),O409/I409,""),"")</f>
        <v/>
      </c>
      <c r="Q409" s="215" t="str">
        <f>IF(AND(ISNUMBER(I409),ISNUMBER(S409)),I409*IF(S409&lt;=1,S409,S409/100),IF(OR(I409&lt;&gt;"",S409&lt;&gt;""),"tbd",""))</f>
        <v/>
      </c>
      <c r="S409" s="217" t="n"/>
      <c r="Z409" t="str">
        <f>IF(AND(R409="WON",ISNUMBER(I409)),AA409,"")</f>
        <v/>
      </c>
      <c r="AA409">
        <f>IFERROR(I409*1,0)</f>
        <v>0</v>
      </c>
      <c r="AB409">
        <f>N(AB408)+IF(AND(R409="WON",B409&lt;&gt;""),1,0)</f>
        <v>7</v>
      </c>
      <c r="AC409">
        <f>N(AC408)+IF(AND(OR(R409="offered",R409="to be offered",R409="on hold"),B409&lt;&gt;""),1,0)</f>
        <v>19</v>
      </c>
      <c r="AD409">
        <f>N(AD408)+IF(AND(OR(R409="follow-up",R409="Evaluation",R409="tbd",R409="In evaluation"),B409&lt;&gt;""),1,0)</f>
        <v>9</v>
      </c>
    </row>
    <row r="410" ht="15" customHeight="1">
      <c r="I410" s="215" t="n"/>
      <c r="J410" s="215" t="n"/>
      <c r="K410" s="215" t="n"/>
      <c r="L410" s="215" t="n"/>
      <c r="M410" s="215" t="n"/>
      <c r="N410" s="215" t="str">
        <f>IF(ISNUMBER(I410),ROUND(I410-I410/1.081,2),"")</f>
        <v/>
      </c>
      <c r="O410" s="215" t="str">
        <f>IF(ISNUMBER(I410),I410-SUM(J410:N410),"")</f>
        <v/>
      </c>
      <c r="P410" s="216" t="str">
        <f>IFERROR(IF(AND(ISNUMBER(O410),ISNUMBER(I410),I410&lt;&gt;0),O410/I410,""),"")</f>
        <v/>
      </c>
      <c r="Q410" s="215" t="str">
        <f>IF(AND(ISNUMBER(I410),ISNUMBER(S410)),I410*IF(S410&lt;=1,S410,S410/100),IF(OR(I410&lt;&gt;"",S410&lt;&gt;""),"tbd",""))</f>
        <v/>
      </c>
      <c r="S410" s="217" t="n"/>
      <c r="Z410" t="str">
        <f>IF(AND(R410="WON",ISNUMBER(I410)),AA410,"")</f>
        <v/>
      </c>
      <c r="AA410">
        <f>IFERROR(I410*1,0)</f>
        <v>0</v>
      </c>
      <c r="AB410">
        <f>N(AB409)+IF(AND(R410="WON",B410&lt;&gt;""),1,0)</f>
        <v>7</v>
      </c>
      <c r="AC410">
        <f>N(AC409)+IF(AND(OR(R410="offered",R410="to be offered",R410="on hold"),B410&lt;&gt;""),1,0)</f>
        <v>19</v>
      </c>
      <c r="AD410">
        <f>N(AD409)+IF(AND(OR(R410="follow-up",R410="Evaluation",R410="tbd",R410="In evaluation"),B410&lt;&gt;""),1,0)</f>
        <v>9</v>
      </c>
    </row>
    <row r="411" ht="15" customHeight="1">
      <c r="I411" s="215" t="n"/>
      <c r="J411" s="215" t="n"/>
      <c r="K411" s="215" t="n"/>
      <c r="L411" s="215" t="n"/>
      <c r="M411" s="215" t="n"/>
      <c r="N411" s="215" t="str">
        <f>IF(ISNUMBER(I411),ROUND(I411-I411/1.081,2),"")</f>
        <v/>
      </c>
      <c r="O411" s="215" t="str">
        <f>IF(ISNUMBER(I411),I411-SUM(J411:N411),"")</f>
        <v/>
      </c>
      <c r="P411" s="216" t="str">
        <f>IFERROR(IF(AND(ISNUMBER(O411),ISNUMBER(I411),I411&lt;&gt;0),O411/I411,""),"")</f>
        <v/>
      </c>
      <c r="Q411" s="215" t="str">
        <f>IF(AND(ISNUMBER(I411),ISNUMBER(S411)),I411*IF(S411&lt;=1,S411,S411/100),IF(OR(I411&lt;&gt;"",S411&lt;&gt;""),"tbd",""))</f>
        <v/>
      </c>
      <c r="S411" s="217" t="n"/>
      <c r="Z411" t="str">
        <f>IF(AND(R411="WON",ISNUMBER(I411)),AA411,"")</f>
        <v/>
      </c>
      <c r="AA411">
        <f>IFERROR(I411*1,0)</f>
        <v>0</v>
      </c>
      <c r="AB411">
        <f>N(AB410)+IF(AND(R411="WON",B411&lt;&gt;""),1,0)</f>
        <v>7</v>
      </c>
      <c r="AC411">
        <f>N(AC410)+IF(AND(OR(R411="offered",R411="to be offered",R411="on hold"),B411&lt;&gt;""),1,0)</f>
        <v>19</v>
      </c>
      <c r="AD411">
        <f>N(AD410)+IF(AND(OR(R411="follow-up",R411="Evaluation",R411="tbd",R411="In evaluation"),B411&lt;&gt;""),1,0)</f>
        <v>9</v>
      </c>
    </row>
    <row r="412" ht="15" customHeight="1">
      <c r="I412" s="215" t="n"/>
      <c r="J412" s="215" t="n"/>
      <c r="K412" s="215" t="n"/>
      <c r="L412" s="215" t="n"/>
      <c r="M412" s="215" t="n"/>
      <c r="N412" s="215" t="str">
        <f>IF(ISNUMBER(I412),ROUND(I412-I412/1.081,2),"")</f>
        <v/>
      </c>
      <c r="O412" s="215" t="str">
        <f>IF(ISNUMBER(I412),I412-SUM(J412:N412),"")</f>
        <v/>
      </c>
      <c r="P412" s="216" t="str">
        <f>IFERROR(IF(AND(ISNUMBER(O412),ISNUMBER(I412),I412&lt;&gt;0),O412/I412,""),"")</f>
        <v/>
      </c>
      <c r="Q412" s="215" t="str">
        <f>IF(AND(ISNUMBER(I412),ISNUMBER(S412)),I412*IF(S412&lt;=1,S412,S412/100),IF(OR(I412&lt;&gt;"",S412&lt;&gt;""),"tbd",""))</f>
        <v/>
      </c>
      <c r="S412" s="217" t="n"/>
      <c r="Z412" t="str">
        <f>IF(AND(R412="WON",ISNUMBER(I412)),AA412,"")</f>
        <v/>
      </c>
      <c r="AA412">
        <f>IFERROR(I412*1,0)</f>
        <v>0</v>
      </c>
      <c r="AB412">
        <f>N(AB411)+IF(AND(R412="WON",B412&lt;&gt;""),1,0)</f>
        <v>7</v>
      </c>
      <c r="AC412">
        <f>N(AC411)+IF(AND(OR(R412="offered",R412="to be offered",R412="on hold"),B412&lt;&gt;""),1,0)</f>
        <v>19</v>
      </c>
      <c r="AD412">
        <f>N(AD411)+IF(AND(OR(R412="follow-up",R412="Evaluation",R412="tbd",R412="In evaluation"),B412&lt;&gt;""),1,0)</f>
        <v>9</v>
      </c>
    </row>
    <row r="413" ht="15" customHeight="1">
      <c r="I413" s="215" t="n"/>
      <c r="J413" s="215" t="n"/>
      <c r="K413" s="215" t="n"/>
      <c r="L413" s="215" t="n"/>
      <c r="M413" s="215" t="n"/>
      <c r="N413" s="215" t="str">
        <f>IF(ISNUMBER(I413),ROUND(I413-I413/1.081,2),"")</f>
        <v/>
      </c>
      <c r="O413" s="215" t="str">
        <f>IF(ISNUMBER(I413),I413-SUM(J413:N413),"")</f>
        <v/>
      </c>
      <c r="P413" s="216" t="str">
        <f>IFERROR(IF(AND(ISNUMBER(O413),ISNUMBER(I413),I413&lt;&gt;0),O413/I413,""),"")</f>
        <v/>
      </c>
      <c r="Q413" s="215" t="str">
        <f>IF(AND(ISNUMBER(I413),ISNUMBER(S413)),I413*IF(S413&lt;=1,S413,S413/100),IF(OR(I413&lt;&gt;"",S413&lt;&gt;""),"tbd",""))</f>
        <v/>
      </c>
      <c r="S413" s="217" t="n"/>
      <c r="Z413" t="str">
        <f>IF(AND(R413="WON",ISNUMBER(I413)),AA413,"")</f>
        <v/>
      </c>
      <c r="AA413">
        <f>IFERROR(I413*1,0)</f>
        <v>0</v>
      </c>
      <c r="AB413">
        <f>N(AB412)+IF(AND(R413="WON",B413&lt;&gt;""),1,0)</f>
        <v>7</v>
      </c>
      <c r="AC413">
        <f>N(AC412)+IF(AND(OR(R413="offered",R413="to be offered",R413="on hold"),B413&lt;&gt;""),1,0)</f>
        <v>19</v>
      </c>
      <c r="AD413">
        <f>N(AD412)+IF(AND(OR(R413="follow-up",R413="Evaluation",R413="tbd",R413="In evaluation"),B413&lt;&gt;""),1,0)</f>
        <v>9</v>
      </c>
    </row>
    <row r="414" ht="15" customHeight="1">
      <c r="I414" s="215" t="n"/>
      <c r="J414" s="215" t="n"/>
      <c r="K414" s="215" t="n"/>
      <c r="L414" s="215" t="n"/>
      <c r="M414" s="215" t="n"/>
      <c r="N414" s="215" t="str">
        <f>IF(ISNUMBER(I414),ROUND(I414-I414/1.081,2),"")</f>
        <v/>
      </c>
      <c r="O414" s="215" t="str">
        <f>IF(ISNUMBER(I414),I414-SUM(J414:N414),"")</f>
        <v/>
      </c>
      <c r="P414" s="216" t="str">
        <f>IFERROR(IF(AND(ISNUMBER(O414),ISNUMBER(I414),I414&lt;&gt;0),O414/I414,""),"")</f>
        <v/>
      </c>
      <c r="Q414" s="215" t="str">
        <f>IF(AND(ISNUMBER(I414),ISNUMBER(S414)),I414*IF(S414&lt;=1,S414,S414/100),IF(OR(I414&lt;&gt;"",S414&lt;&gt;""),"tbd",""))</f>
        <v/>
      </c>
      <c r="S414" s="217" t="n"/>
      <c r="Z414" t="str">
        <f>IF(AND(R414="WON",ISNUMBER(I414)),AA414,"")</f>
        <v/>
      </c>
      <c r="AA414">
        <f>IFERROR(I414*1,0)</f>
        <v>0</v>
      </c>
      <c r="AB414">
        <f>N(AB413)+IF(AND(R414="WON",B414&lt;&gt;""),1,0)</f>
        <v>7</v>
      </c>
      <c r="AC414">
        <f>N(AC413)+IF(AND(OR(R414="offered",R414="to be offered",R414="on hold"),B414&lt;&gt;""),1,0)</f>
        <v>19</v>
      </c>
      <c r="AD414">
        <f>N(AD413)+IF(AND(OR(R414="follow-up",R414="Evaluation",R414="tbd",R414="In evaluation"),B414&lt;&gt;""),1,0)</f>
        <v>9</v>
      </c>
    </row>
    <row r="415" ht="15" customHeight="1">
      <c r="I415" s="215" t="n"/>
      <c r="J415" s="215" t="n"/>
      <c r="K415" s="215" t="n"/>
      <c r="L415" s="215" t="n"/>
      <c r="M415" s="215" t="n"/>
      <c r="N415" s="215" t="str">
        <f>IF(ISNUMBER(I415),ROUND(I415-I415/1.081,2),"")</f>
        <v/>
      </c>
      <c r="O415" s="215" t="str">
        <f>IF(ISNUMBER(I415),I415-SUM(J415:N415),"")</f>
        <v/>
      </c>
      <c r="P415" s="216" t="str">
        <f>IFERROR(IF(AND(ISNUMBER(O415),ISNUMBER(I415),I415&lt;&gt;0),O415/I415,""),"")</f>
        <v/>
      </c>
      <c r="Q415" s="215" t="str">
        <f>IF(AND(ISNUMBER(I415),ISNUMBER(S415)),I415*IF(S415&lt;=1,S415,S415/100),IF(OR(I415&lt;&gt;"",S415&lt;&gt;""),"tbd",""))</f>
        <v/>
      </c>
      <c r="S415" s="217" t="n"/>
      <c r="Z415" t="str">
        <f>IF(AND(R415="WON",ISNUMBER(I415)),AA415,"")</f>
        <v/>
      </c>
      <c r="AA415">
        <f>IFERROR(I415*1,0)</f>
        <v>0</v>
      </c>
      <c r="AB415">
        <f>N(AB414)+IF(AND(R415="WON",B415&lt;&gt;""),1,0)</f>
        <v>7</v>
      </c>
      <c r="AC415">
        <f>N(AC414)+IF(AND(OR(R415="offered",R415="to be offered",R415="on hold"),B415&lt;&gt;""),1,0)</f>
        <v>19</v>
      </c>
      <c r="AD415">
        <f>N(AD414)+IF(AND(OR(R415="follow-up",R415="Evaluation",R415="tbd",R415="In evaluation"),B415&lt;&gt;""),1,0)</f>
        <v>9</v>
      </c>
    </row>
    <row r="416" ht="15" customHeight="1">
      <c r="I416" s="215" t="n"/>
      <c r="J416" s="215" t="n"/>
      <c r="K416" s="215" t="n"/>
      <c r="L416" s="215" t="n"/>
      <c r="M416" s="215" t="n"/>
      <c r="N416" s="215" t="str">
        <f>IF(ISNUMBER(I416),ROUND(I416-I416/1.081,2),"")</f>
        <v/>
      </c>
      <c r="O416" s="215" t="str">
        <f>IF(ISNUMBER(I416),I416-SUM(J416:N416),"")</f>
        <v/>
      </c>
      <c r="P416" s="216" t="str">
        <f>IFERROR(IF(AND(ISNUMBER(O416),ISNUMBER(I416),I416&lt;&gt;0),O416/I416,""),"")</f>
        <v/>
      </c>
      <c r="Q416" s="215" t="str">
        <f>IF(AND(ISNUMBER(I416),ISNUMBER(S416)),I416*IF(S416&lt;=1,S416,S416/100),IF(OR(I416&lt;&gt;"",S416&lt;&gt;""),"tbd",""))</f>
        <v/>
      </c>
      <c r="S416" s="217" t="n"/>
      <c r="Z416" t="str">
        <f>IF(AND(R416="WON",ISNUMBER(I416)),AA416,"")</f>
        <v/>
      </c>
      <c r="AA416">
        <f>IFERROR(I416*1,0)</f>
        <v>0</v>
      </c>
      <c r="AB416">
        <f>N(AB415)+IF(AND(R416="WON",B416&lt;&gt;""),1,0)</f>
        <v>7</v>
      </c>
      <c r="AC416">
        <f>N(AC415)+IF(AND(OR(R416="offered",R416="to be offered",R416="on hold"),B416&lt;&gt;""),1,0)</f>
        <v>19</v>
      </c>
      <c r="AD416">
        <f>N(AD415)+IF(AND(OR(R416="follow-up",R416="Evaluation",R416="tbd",R416="In evaluation"),B416&lt;&gt;""),1,0)</f>
        <v>9</v>
      </c>
    </row>
    <row r="417" ht="15" customHeight="1">
      <c r="I417" s="215" t="n"/>
      <c r="J417" s="215" t="n"/>
      <c r="K417" s="215" t="n"/>
      <c r="L417" s="215" t="n"/>
      <c r="M417" s="215" t="n"/>
      <c r="N417" s="215" t="str">
        <f>IF(ISNUMBER(I417),ROUND(I417-I417/1.081,2),"")</f>
        <v/>
      </c>
      <c r="O417" s="215" t="str">
        <f>IF(ISNUMBER(I417),I417-SUM(J417:N417),"")</f>
        <v/>
      </c>
      <c r="P417" s="216" t="str">
        <f>IFERROR(IF(AND(ISNUMBER(O417),ISNUMBER(I417),I417&lt;&gt;0),O417/I417,""),"")</f>
        <v/>
      </c>
      <c r="Q417" s="215" t="str">
        <f>IF(AND(ISNUMBER(I417),ISNUMBER(S417)),I417*IF(S417&lt;=1,S417,S417/100),IF(OR(I417&lt;&gt;"",S417&lt;&gt;""),"tbd",""))</f>
        <v/>
      </c>
      <c r="S417" s="217" t="n"/>
      <c r="Z417" t="str">
        <f>IF(AND(R417="WON",ISNUMBER(I417)),AA417,"")</f>
        <v/>
      </c>
      <c r="AA417">
        <f>IFERROR(I417*1,0)</f>
        <v>0</v>
      </c>
      <c r="AB417">
        <f>N(AB416)+IF(AND(R417="WON",B417&lt;&gt;""),1,0)</f>
        <v>7</v>
      </c>
      <c r="AC417">
        <f>N(AC416)+IF(AND(OR(R417="offered",R417="to be offered",R417="on hold"),B417&lt;&gt;""),1,0)</f>
        <v>19</v>
      </c>
      <c r="AD417">
        <f>N(AD416)+IF(AND(OR(R417="follow-up",R417="Evaluation",R417="tbd",R417="In evaluation"),B417&lt;&gt;""),1,0)</f>
        <v>9</v>
      </c>
    </row>
    <row r="418" ht="15" customHeight="1">
      <c r="I418" s="215" t="n"/>
      <c r="J418" s="215" t="n"/>
      <c r="K418" s="215" t="n"/>
      <c r="L418" s="215" t="n"/>
      <c r="M418" s="215" t="n"/>
      <c r="N418" s="215" t="str">
        <f>IF(ISNUMBER(I418),ROUND(I418-I418/1.081,2),"")</f>
        <v/>
      </c>
      <c r="O418" s="215" t="str">
        <f>IF(ISNUMBER(I418),I418-SUM(J418:N418),"")</f>
        <v/>
      </c>
      <c r="P418" s="216" t="str">
        <f>IFERROR(IF(AND(ISNUMBER(O418),ISNUMBER(I418),I418&lt;&gt;0),O418/I418,""),"")</f>
        <v/>
      </c>
      <c r="Q418" s="215" t="str">
        <f>IF(AND(ISNUMBER(I418),ISNUMBER(S418)),I418*IF(S418&lt;=1,S418,S418/100),IF(OR(I418&lt;&gt;"",S418&lt;&gt;""),"tbd",""))</f>
        <v/>
      </c>
      <c r="S418" s="217" t="n"/>
      <c r="Z418" t="str">
        <f>IF(AND(R418="WON",ISNUMBER(I418)),AA418,"")</f>
        <v/>
      </c>
      <c r="AA418">
        <f>IFERROR(I418*1,0)</f>
        <v>0</v>
      </c>
      <c r="AB418">
        <f>N(AB417)+IF(AND(R418="WON",B418&lt;&gt;""),1,0)</f>
        <v>7</v>
      </c>
      <c r="AC418">
        <f>N(AC417)+IF(AND(OR(R418="offered",R418="to be offered",R418="on hold"),B418&lt;&gt;""),1,0)</f>
        <v>19</v>
      </c>
      <c r="AD418">
        <f>N(AD417)+IF(AND(OR(R418="follow-up",R418="Evaluation",R418="tbd",R418="In evaluation"),B418&lt;&gt;""),1,0)</f>
        <v>9</v>
      </c>
    </row>
    <row r="419" ht="15" customHeight="1">
      <c r="I419" s="215" t="n"/>
      <c r="J419" s="215" t="n"/>
      <c r="K419" s="215" t="n"/>
      <c r="L419" s="215" t="n"/>
      <c r="M419" s="215" t="n"/>
      <c r="N419" s="215" t="str">
        <f>IF(ISNUMBER(I419),ROUND(I419-I419/1.081,2),"")</f>
        <v/>
      </c>
      <c r="O419" s="215" t="str">
        <f>IF(ISNUMBER(I419),I419-SUM(J419:N419),"")</f>
        <v/>
      </c>
      <c r="P419" s="216" t="str">
        <f>IFERROR(IF(AND(ISNUMBER(O419),ISNUMBER(I419),I419&lt;&gt;0),O419/I419,""),"")</f>
        <v/>
      </c>
      <c r="Q419" s="215" t="str">
        <f>IF(AND(ISNUMBER(I419),ISNUMBER(S419)),I419*IF(S419&lt;=1,S419,S419/100),IF(OR(I419&lt;&gt;"",S419&lt;&gt;""),"tbd",""))</f>
        <v/>
      </c>
      <c r="S419" s="217" t="n"/>
      <c r="Z419" t="str">
        <f>IF(AND(R419="WON",ISNUMBER(I419)),AA419,"")</f>
        <v/>
      </c>
      <c r="AA419">
        <f>IFERROR(I419*1,0)</f>
        <v>0</v>
      </c>
      <c r="AB419">
        <f>N(AB418)+IF(AND(R419="WON",B419&lt;&gt;""),1,0)</f>
        <v>7</v>
      </c>
      <c r="AC419">
        <f>N(AC418)+IF(AND(OR(R419="offered",R419="to be offered",R419="on hold"),B419&lt;&gt;""),1,0)</f>
        <v>19</v>
      </c>
      <c r="AD419">
        <f>N(AD418)+IF(AND(OR(R419="follow-up",R419="Evaluation",R419="tbd",R419="In evaluation"),B419&lt;&gt;""),1,0)</f>
        <v>9</v>
      </c>
    </row>
    <row r="420" ht="15" customHeight="1">
      <c r="I420" s="215" t="n"/>
      <c r="J420" s="215" t="n"/>
      <c r="K420" s="215" t="n"/>
      <c r="L420" s="215" t="n"/>
      <c r="M420" s="215" t="n"/>
      <c r="N420" s="215" t="str">
        <f>IF(ISNUMBER(I420),ROUND(I420-I420/1.081,2),"")</f>
        <v/>
      </c>
      <c r="O420" s="215" t="str">
        <f>IF(ISNUMBER(I420),I420-SUM(J420:N420),"")</f>
        <v/>
      </c>
      <c r="P420" s="216" t="str">
        <f>IFERROR(IF(AND(ISNUMBER(O420),ISNUMBER(I420),I420&lt;&gt;0),O420/I420,""),"")</f>
        <v/>
      </c>
      <c r="Q420" s="215" t="str">
        <f>IF(AND(ISNUMBER(I420),ISNUMBER(S420)),I420*IF(S420&lt;=1,S420,S420/100),IF(OR(I420&lt;&gt;"",S420&lt;&gt;""),"tbd",""))</f>
        <v/>
      </c>
      <c r="S420" s="217" t="n"/>
      <c r="Z420" t="str">
        <f>IF(AND(R420="WON",ISNUMBER(I420)),AA420,"")</f>
        <v/>
      </c>
      <c r="AA420">
        <f>IFERROR(I420*1,0)</f>
        <v>0</v>
      </c>
      <c r="AB420">
        <f>N(AB419)+IF(AND(R420="WON",B420&lt;&gt;""),1,0)</f>
        <v>7</v>
      </c>
      <c r="AC420">
        <f>N(AC419)+IF(AND(OR(R420="offered",R420="to be offered",R420="on hold"),B420&lt;&gt;""),1,0)</f>
        <v>19</v>
      </c>
      <c r="AD420">
        <f>N(AD419)+IF(AND(OR(R420="follow-up",R420="Evaluation",R420="tbd",R420="In evaluation"),B420&lt;&gt;""),1,0)</f>
        <v>9</v>
      </c>
    </row>
    <row r="421" ht="15" customHeight="1">
      <c r="I421" s="215" t="n"/>
      <c r="J421" s="215" t="n"/>
      <c r="K421" s="215" t="n"/>
      <c r="L421" s="215" t="n"/>
      <c r="M421" s="215" t="n"/>
      <c r="N421" s="215" t="str">
        <f>IF(ISNUMBER(I421),ROUND(I421-I421/1.081,2),"")</f>
        <v/>
      </c>
      <c r="O421" s="215" t="str">
        <f>IF(ISNUMBER(I421),I421-SUM(J421:N421),"")</f>
        <v/>
      </c>
      <c r="P421" s="216" t="str">
        <f>IFERROR(IF(AND(ISNUMBER(O421),ISNUMBER(I421),I421&lt;&gt;0),O421/I421,""),"")</f>
        <v/>
      </c>
      <c r="Q421" s="215" t="str">
        <f>IF(AND(ISNUMBER(I421),ISNUMBER(S421)),I421*IF(S421&lt;=1,S421,S421/100),IF(OR(I421&lt;&gt;"",S421&lt;&gt;""),"tbd",""))</f>
        <v/>
      </c>
      <c r="S421" s="217" t="n"/>
      <c r="Z421" t="str">
        <f>IF(AND(R421="WON",ISNUMBER(I421)),AA421,"")</f>
        <v/>
      </c>
      <c r="AA421">
        <f>IFERROR(I421*1,0)</f>
        <v>0</v>
      </c>
      <c r="AB421">
        <f>N(AB420)+IF(AND(R421="WON",B421&lt;&gt;""),1,0)</f>
        <v>7</v>
      </c>
      <c r="AC421">
        <f>N(AC420)+IF(AND(OR(R421="offered",R421="to be offered",R421="on hold"),B421&lt;&gt;""),1,0)</f>
        <v>19</v>
      </c>
      <c r="AD421">
        <f>N(AD420)+IF(AND(OR(R421="follow-up",R421="Evaluation",R421="tbd",R421="In evaluation"),B421&lt;&gt;""),1,0)</f>
        <v>9</v>
      </c>
    </row>
    <row r="422" ht="15" customHeight="1">
      <c r="I422" s="215" t="n"/>
      <c r="J422" s="215" t="n"/>
      <c r="K422" s="215" t="n"/>
      <c r="L422" s="215" t="n"/>
      <c r="M422" s="215" t="n"/>
      <c r="N422" s="215" t="str">
        <f>IF(ISNUMBER(I422),ROUND(I422-I422/1.081,2),"")</f>
        <v/>
      </c>
      <c r="O422" s="215" t="str">
        <f>IF(ISNUMBER(I422),I422-SUM(J422:N422),"")</f>
        <v/>
      </c>
      <c r="P422" s="216" t="str">
        <f>IFERROR(IF(AND(ISNUMBER(O422),ISNUMBER(I422),I422&lt;&gt;0),O422/I422,""),"")</f>
        <v/>
      </c>
      <c r="Q422" s="215" t="str">
        <f>IF(AND(ISNUMBER(I422),ISNUMBER(S422)),I422*IF(S422&lt;=1,S422,S422/100),IF(OR(I422&lt;&gt;"",S422&lt;&gt;""),"tbd",""))</f>
        <v/>
      </c>
      <c r="S422" s="217" t="n"/>
      <c r="Z422" t="str">
        <f>IF(AND(R422="WON",ISNUMBER(I422)),AA422,"")</f>
        <v/>
      </c>
      <c r="AA422">
        <f>IFERROR(I422*1,0)</f>
        <v>0</v>
      </c>
      <c r="AB422">
        <f>N(AB421)+IF(AND(R422="WON",B422&lt;&gt;""),1,0)</f>
        <v>7</v>
      </c>
      <c r="AC422">
        <f>N(AC421)+IF(AND(OR(R422="offered",R422="to be offered",R422="on hold"),B422&lt;&gt;""),1,0)</f>
        <v>19</v>
      </c>
      <c r="AD422">
        <f>N(AD421)+IF(AND(OR(R422="follow-up",R422="Evaluation",R422="tbd",R422="In evaluation"),B422&lt;&gt;""),1,0)</f>
        <v>9</v>
      </c>
    </row>
    <row r="423" ht="15" customHeight="1">
      <c r="I423" s="215" t="n"/>
      <c r="J423" s="215" t="n"/>
      <c r="K423" s="215" t="n"/>
      <c r="L423" s="215" t="n"/>
      <c r="M423" s="215" t="n"/>
      <c r="N423" s="215" t="str">
        <f>IF(ISNUMBER(I423),ROUND(I423-I423/1.081,2),"")</f>
        <v/>
      </c>
      <c r="O423" s="215" t="str">
        <f>IF(ISNUMBER(I423),I423-SUM(J423:N423),"")</f>
        <v/>
      </c>
      <c r="P423" s="216" t="str">
        <f>IFERROR(IF(AND(ISNUMBER(O423),ISNUMBER(I423),I423&lt;&gt;0),O423/I423,""),"")</f>
        <v/>
      </c>
      <c r="Q423" s="215" t="str">
        <f>IF(AND(ISNUMBER(I423),ISNUMBER(S423)),I423*IF(S423&lt;=1,S423,S423/100),IF(OR(I423&lt;&gt;"",S423&lt;&gt;""),"tbd",""))</f>
        <v/>
      </c>
      <c r="S423" s="217" t="n"/>
      <c r="Z423" t="str">
        <f>IF(AND(R423="WON",ISNUMBER(I423)),AA423,"")</f>
        <v/>
      </c>
      <c r="AA423">
        <f>IFERROR(I423*1,0)</f>
        <v>0</v>
      </c>
      <c r="AB423">
        <f>N(AB422)+IF(AND(R423="WON",B423&lt;&gt;""),1,0)</f>
        <v>7</v>
      </c>
      <c r="AC423">
        <f>N(AC422)+IF(AND(OR(R423="offered",R423="to be offered",R423="on hold"),B423&lt;&gt;""),1,0)</f>
        <v>19</v>
      </c>
      <c r="AD423">
        <f>N(AD422)+IF(AND(OR(R423="follow-up",R423="Evaluation",R423="tbd",R423="In evaluation"),B423&lt;&gt;""),1,0)</f>
        <v>9</v>
      </c>
    </row>
    <row r="424" ht="15" customHeight="1">
      <c r="I424" s="215" t="n"/>
      <c r="J424" s="215" t="n"/>
      <c r="K424" s="215" t="n"/>
      <c r="L424" s="215" t="n"/>
      <c r="M424" s="215" t="n"/>
      <c r="N424" s="215" t="str">
        <f>IF(ISNUMBER(I424),ROUND(I424-I424/1.081,2),"")</f>
        <v/>
      </c>
      <c r="O424" s="215" t="str">
        <f>IF(ISNUMBER(I424),I424-SUM(J424:N424),"")</f>
        <v/>
      </c>
      <c r="P424" s="216" t="str">
        <f>IFERROR(IF(AND(ISNUMBER(O424),ISNUMBER(I424),I424&lt;&gt;0),O424/I424,""),"")</f>
        <v/>
      </c>
      <c r="Q424" s="215" t="str">
        <f>IF(AND(ISNUMBER(I424),ISNUMBER(S424)),I424*IF(S424&lt;=1,S424,S424/100),IF(OR(I424&lt;&gt;"",S424&lt;&gt;""),"tbd",""))</f>
        <v/>
      </c>
      <c r="S424" s="217" t="n"/>
      <c r="Z424" t="str">
        <f>IF(AND(R424="WON",ISNUMBER(I424)),AA424,"")</f>
        <v/>
      </c>
      <c r="AA424">
        <f>IFERROR(I424*1,0)</f>
        <v>0</v>
      </c>
      <c r="AB424">
        <f>N(AB423)+IF(AND(R424="WON",B424&lt;&gt;""),1,0)</f>
        <v>7</v>
      </c>
      <c r="AC424">
        <f>N(AC423)+IF(AND(OR(R424="offered",R424="to be offered",R424="on hold"),B424&lt;&gt;""),1,0)</f>
        <v>19</v>
      </c>
      <c r="AD424">
        <f>N(AD423)+IF(AND(OR(R424="follow-up",R424="Evaluation",R424="tbd",R424="In evaluation"),B424&lt;&gt;""),1,0)</f>
        <v>9</v>
      </c>
    </row>
    <row r="425" ht="15" customHeight="1">
      <c r="I425" s="215" t="n"/>
      <c r="J425" s="215" t="n"/>
      <c r="K425" s="215" t="n"/>
      <c r="L425" s="215" t="n"/>
      <c r="M425" s="215" t="n"/>
      <c r="N425" s="215" t="str">
        <f>IF(ISNUMBER(I425),ROUND(I425-I425/1.081,2),"")</f>
        <v/>
      </c>
      <c r="O425" s="215" t="str">
        <f>IF(ISNUMBER(I425),I425-SUM(J425:N425),"")</f>
        <v/>
      </c>
      <c r="P425" s="216" t="str">
        <f>IFERROR(IF(AND(ISNUMBER(O425),ISNUMBER(I425),I425&lt;&gt;0),O425/I425,""),"")</f>
        <v/>
      </c>
      <c r="Q425" s="215" t="str">
        <f>IF(AND(ISNUMBER(I425),ISNUMBER(S425)),I425*IF(S425&lt;=1,S425,S425/100),IF(OR(I425&lt;&gt;"",S425&lt;&gt;""),"tbd",""))</f>
        <v/>
      </c>
      <c r="S425" s="217" t="n"/>
      <c r="Z425" t="str">
        <f>IF(AND(R425="WON",ISNUMBER(I425)),AA425,"")</f>
        <v/>
      </c>
      <c r="AA425">
        <f>IFERROR(I425*1,0)</f>
        <v>0</v>
      </c>
      <c r="AB425">
        <f>N(AB424)+IF(AND(R425="WON",B425&lt;&gt;""),1,0)</f>
        <v>7</v>
      </c>
      <c r="AC425">
        <f>N(AC424)+IF(AND(OR(R425="offered",R425="to be offered",R425="on hold"),B425&lt;&gt;""),1,0)</f>
        <v>19</v>
      </c>
      <c r="AD425">
        <f>N(AD424)+IF(AND(OR(R425="follow-up",R425="Evaluation",R425="tbd",R425="In evaluation"),B425&lt;&gt;""),1,0)</f>
        <v>9</v>
      </c>
    </row>
    <row r="426" ht="15" customHeight="1">
      <c r="I426" s="215" t="n"/>
      <c r="J426" s="215" t="n"/>
      <c r="K426" s="215" t="n"/>
      <c r="L426" s="215" t="n"/>
      <c r="M426" s="215" t="n"/>
      <c r="N426" s="215" t="str">
        <f>IF(ISNUMBER(I426),ROUND(I426-I426/1.081,2),"")</f>
        <v/>
      </c>
      <c r="O426" s="215" t="str">
        <f>IF(ISNUMBER(I426),I426-SUM(J426:N426),"")</f>
        <v/>
      </c>
      <c r="P426" s="216" t="str">
        <f>IFERROR(IF(AND(ISNUMBER(O426),ISNUMBER(I426),I426&lt;&gt;0),O426/I426,""),"")</f>
        <v/>
      </c>
      <c r="Q426" s="215" t="str">
        <f>IF(AND(ISNUMBER(I426),ISNUMBER(S426)),I426*IF(S426&lt;=1,S426,S426/100),IF(OR(I426&lt;&gt;"",S426&lt;&gt;""),"tbd",""))</f>
        <v/>
      </c>
      <c r="S426" s="217" t="n"/>
      <c r="Z426" t="str">
        <f>IF(AND(R426="WON",ISNUMBER(I426)),AA426,"")</f>
        <v/>
      </c>
      <c r="AA426">
        <f>IFERROR(I426*1,0)</f>
        <v>0</v>
      </c>
      <c r="AB426">
        <f>N(AB425)+IF(AND(R426="WON",B426&lt;&gt;""),1,0)</f>
        <v>7</v>
      </c>
      <c r="AC426">
        <f>N(AC425)+IF(AND(OR(R426="offered",R426="to be offered",R426="on hold"),B426&lt;&gt;""),1,0)</f>
        <v>19</v>
      </c>
      <c r="AD426">
        <f>N(AD425)+IF(AND(OR(R426="follow-up",R426="Evaluation",R426="tbd",R426="In evaluation"),B426&lt;&gt;""),1,0)</f>
        <v>9</v>
      </c>
    </row>
    <row r="427" ht="15" customHeight="1">
      <c r="I427" s="215" t="n"/>
      <c r="J427" s="215" t="n"/>
      <c r="K427" s="215" t="n"/>
      <c r="L427" s="215" t="n"/>
      <c r="M427" s="215" t="n"/>
      <c r="N427" s="215" t="str">
        <f>IF(ISNUMBER(I427),ROUND(I427-I427/1.081,2),"")</f>
        <v/>
      </c>
      <c r="O427" s="215" t="str">
        <f>IF(ISNUMBER(I427),I427-SUM(J427:N427),"")</f>
        <v/>
      </c>
      <c r="P427" s="216" t="str">
        <f>IFERROR(IF(AND(ISNUMBER(O427),ISNUMBER(I427),I427&lt;&gt;0),O427/I427,""),"")</f>
        <v/>
      </c>
      <c r="Q427" s="215" t="str">
        <f>IF(AND(ISNUMBER(I427),ISNUMBER(S427)),I427*IF(S427&lt;=1,S427,S427/100),IF(OR(I427&lt;&gt;"",S427&lt;&gt;""),"tbd",""))</f>
        <v/>
      </c>
      <c r="S427" s="217" t="n"/>
      <c r="Z427" t="str">
        <f>IF(AND(R427="WON",ISNUMBER(I427)),AA427,"")</f>
        <v/>
      </c>
      <c r="AA427">
        <f>IFERROR(I427*1,0)</f>
        <v>0</v>
      </c>
      <c r="AB427">
        <f>N(AB426)+IF(AND(R427="WON",B427&lt;&gt;""),1,0)</f>
        <v>7</v>
      </c>
      <c r="AC427">
        <f>N(AC426)+IF(AND(OR(R427="offered",R427="to be offered",R427="on hold"),B427&lt;&gt;""),1,0)</f>
        <v>19</v>
      </c>
      <c r="AD427">
        <f>N(AD426)+IF(AND(OR(R427="follow-up",R427="Evaluation",R427="tbd",R427="In evaluation"),B427&lt;&gt;""),1,0)</f>
        <v>9</v>
      </c>
    </row>
    <row r="428" ht="15" customHeight="1">
      <c r="I428" s="215" t="n"/>
      <c r="J428" s="215" t="n"/>
      <c r="K428" s="215" t="n"/>
      <c r="L428" s="215" t="n"/>
      <c r="M428" s="215" t="n"/>
      <c r="N428" s="215" t="str">
        <f>IF(ISNUMBER(I428),ROUND(I428-I428/1.081,2),"")</f>
        <v/>
      </c>
      <c r="O428" s="215" t="str">
        <f>IF(ISNUMBER(I428),I428-SUM(J428:N428),"")</f>
        <v/>
      </c>
      <c r="P428" s="216" t="str">
        <f>IFERROR(IF(AND(ISNUMBER(O428),ISNUMBER(I428),I428&lt;&gt;0),O428/I428,""),"")</f>
        <v/>
      </c>
      <c r="Q428" s="215" t="str">
        <f>IF(AND(ISNUMBER(I428),ISNUMBER(S428)),I428*IF(S428&lt;=1,S428,S428/100),IF(OR(I428&lt;&gt;"",S428&lt;&gt;""),"tbd",""))</f>
        <v/>
      </c>
      <c r="S428" s="217" t="n"/>
      <c r="Z428" t="str">
        <f>IF(AND(R428="WON",ISNUMBER(I428)),AA428,"")</f>
        <v/>
      </c>
      <c r="AA428">
        <f>IFERROR(I428*1,0)</f>
        <v>0</v>
      </c>
      <c r="AB428">
        <f>N(AB427)+IF(AND(R428="WON",B428&lt;&gt;""),1,0)</f>
        <v>7</v>
      </c>
      <c r="AC428">
        <f>N(AC427)+IF(AND(OR(R428="offered",R428="to be offered",R428="on hold"),B428&lt;&gt;""),1,0)</f>
        <v>19</v>
      </c>
      <c r="AD428">
        <f>N(AD427)+IF(AND(OR(R428="follow-up",R428="Evaluation",R428="tbd",R428="In evaluation"),B428&lt;&gt;""),1,0)</f>
        <v>9</v>
      </c>
    </row>
    <row r="429" ht="15" customHeight="1">
      <c r="I429" s="215" t="n"/>
      <c r="J429" s="215" t="n"/>
      <c r="K429" s="215" t="n"/>
      <c r="L429" s="215" t="n"/>
      <c r="M429" s="215" t="n"/>
      <c r="N429" s="215" t="str">
        <f>IF(ISNUMBER(I429),ROUND(I429-I429/1.081,2),"")</f>
        <v/>
      </c>
      <c r="O429" s="215" t="str">
        <f>IF(ISNUMBER(I429),I429-SUM(J429:N429),"")</f>
        <v/>
      </c>
      <c r="P429" s="216" t="str">
        <f>IFERROR(IF(AND(ISNUMBER(O429),ISNUMBER(I429),I429&lt;&gt;0),O429/I429,""),"")</f>
        <v/>
      </c>
      <c r="Q429" s="215" t="str">
        <f>IF(AND(ISNUMBER(I429),ISNUMBER(S429)),I429*IF(S429&lt;=1,S429,S429/100),IF(OR(I429&lt;&gt;"",S429&lt;&gt;""),"tbd",""))</f>
        <v/>
      </c>
      <c r="S429" s="217" t="n"/>
      <c r="Z429" t="str">
        <f>IF(AND(R429="WON",ISNUMBER(I429)),AA429,"")</f>
        <v/>
      </c>
      <c r="AA429">
        <f>IFERROR(I429*1,0)</f>
        <v>0</v>
      </c>
      <c r="AB429">
        <f>N(AB428)+IF(AND(R429="WON",B429&lt;&gt;""),1,0)</f>
        <v>7</v>
      </c>
      <c r="AC429">
        <f>N(AC428)+IF(AND(OR(R429="offered",R429="to be offered",R429="on hold"),B429&lt;&gt;""),1,0)</f>
        <v>19</v>
      </c>
      <c r="AD429">
        <f>N(AD428)+IF(AND(OR(R429="follow-up",R429="Evaluation",R429="tbd",R429="In evaluation"),B429&lt;&gt;""),1,0)</f>
        <v>9</v>
      </c>
    </row>
    <row r="430" ht="15" customHeight="1">
      <c r="I430" s="215" t="n"/>
      <c r="J430" s="215" t="n"/>
      <c r="K430" s="215" t="n"/>
      <c r="L430" s="215" t="n"/>
      <c r="M430" s="215" t="n"/>
      <c r="N430" s="215" t="str">
        <f>IF(ISNUMBER(I430),ROUND(I430-I430/1.081,2),"")</f>
        <v/>
      </c>
      <c r="O430" s="215" t="str">
        <f>IF(ISNUMBER(I430),I430-SUM(J430:N430),"")</f>
        <v/>
      </c>
      <c r="P430" s="216" t="str">
        <f>IFERROR(IF(AND(ISNUMBER(O430),ISNUMBER(I430),I430&lt;&gt;0),O430/I430,""),"")</f>
        <v/>
      </c>
      <c r="Q430" s="215" t="str">
        <f>IF(AND(ISNUMBER(I430),ISNUMBER(S430)),I430*IF(S430&lt;=1,S430,S430/100),IF(OR(I430&lt;&gt;"",S430&lt;&gt;""),"tbd",""))</f>
        <v/>
      </c>
      <c r="S430" s="217" t="n"/>
      <c r="Z430" t="str">
        <f>IF(AND(R430="WON",ISNUMBER(I430)),AA430,"")</f>
        <v/>
      </c>
      <c r="AA430">
        <f>IFERROR(I430*1,0)</f>
        <v>0</v>
      </c>
      <c r="AB430">
        <f>N(AB429)+IF(AND(R430="WON",B430&lt;&gt;""),1,0)</f>
        <v>7</v>
      </c>
      <c r="AC430">
        <f>N(AC429)+IF(AND(OR(R430="offered",R430="to be offered",R430="on hold"),B430&lt;&gt;""),1,0)</f>
        <v>19</v>
      </c>
      <c r="AD430">
        <f>N(AD429)+IF(AND(OR(R430="follow-up",R430="Evaluation",R430="tbd",R430="In evaluation"),B430&lt;&gt;""),1,0)</f>
        <v>9</v>
      </c>
    </row>
    <row r="431" ht="15" customHeight="1">
      <c r="I431" s="215" t="n"/>
      <c r="J431" s="215" t="n"/>
      <c r="K431" s="215" t="n"/>
      <c r="L431" s="215" t="n"/>
      <c r="M431" s="215" t="n"/>
      <c r="N431" s="215" t="str">
        <f>IF(ISNUMBER(I431),ROUND(I431-I431/1.081,2),"")</f>
        <v/>
      </c>
      <c r="O431" s="215" t="str">
        <f>IF(ISNUMBER(I431),I431-SUM(J431:N431),"")</f>
        <v/>
      </c>
      <c r="P431" s="216" t="str">
        <f>IFERROR(IF(AND(ISNUMBER(O431),ISNUMBER(I431),I431&lt;&gt;0),O431/I431,""),"")</f>
        <v/>
      </c>
      <c r="Q431" s="215" t="str">
        <f>IF(AND(ISNUMBER(I431),ISNUMBER(S431)),I431*IF(S431&lt;=1,S431,S431/100),IF(OR(I431&lt;&gt;"",S431&lt;&gt;""),"tbd",""))</f>
        <v/>
      </c>
      <c r="S431" s="217" t="n"/>
      <c r="Z431" t="str">
        <f>IF(AND(R431="WON",ISNUMBER(I431)),AA431,"")</f>
        <v/>
      </c>
      <c r="AA431">
        <f>IFERROR(I431*1,0)</f>
        <v>0</v>
      </c>
      <c r="AB431">
        <f>N(AB430)+IF(AND(R431="WON",B431&lt;&gt;""),1,0)</f>
        <v>7</v>
      </c>
      <c r="AC431">
        <f>N(AC430)+IF(AND(OR(R431="offered",R431="to be offered",R431="on hold"),B431&lt;&gt;""),1,0)</f>
        <v>19</v>
      </c>
      <c r="AD431">
        <f>N(AD430)+IF(AND(OR(R431="follow-up",R431="Evaluation",R431="tbd",R431="In evaluation"),B431&lt;&gt;""),1,0)</f>
        <v>9</v>
      </c>
    </row>
    <row r="432" ht="15" customHeight="1">
      <c r="I432" s="215" t="n"/>
      <c r="J432" s="215" t="n"/>
      <c r="K432" s="215" t="n"/>
      <c r="L432" s="215" t="n"/>
      <c r="M432" s="215" t="n"/>
      <c r="N432" s="215" t="str">
        <f>IF(ISNUMBER(I432),ROUND(I432-I432/1.081,2),"")</f>
        <v/>
      </c>
      <c r="O432" s="215" t="str">
        <f>IF(ISNUMBER(I432),I432-SUM(J432:N432),"")</f>
        <v/>
      </c>
      <c r="P432" s="216" t="str">
        <f>IFERROR(IF(AND(ISNUMBER(O432),ISNUMBER(I432),I432&lt;&gt;0),O432/I432,""),"")</f>
        <v/>
      </c>
      <c r="Q432" s="215" t="str">
        <f>IF(AND(ISNUMBER(I432),ISNUMBER(S432)),I432*IF(S432&lt;=1,S432,S432/100),IF(OR(I432&lt;&gt;"",S432&lt;&gt;""),"tbd",""))</f>
        <v/>
      </c>
      <c r="S432" s="217" t="n"/>
      <c r="Z432" t="str">
        <f>IF(AND(R432="WON",ISNUMBER(I432)),AA432,"")</f>
        <v/>
      </c>
      <c r="AA432">
        <f>IFERROR(I432*1,0)</f>
        <v>0</v>
      </c>
      <c r="AB432">
        <f>N(AB431)+IF(AND(R432="WON",B432&lt;&gt;""),1,0)</f>
        <v>7</v>
      </c>
      <c r="AC432">
        <f>N(AC431)+IF(AND(OR(R432="offered",R432="to be offered",R432="on hold"),B432&lt;&gt;""),1,0)</f>
        <v>19</v>
      </c>
      <c r="AD432">
        <f>N(AD431)+IF(AND(OR(R432="follow-up",R432="Evaluation",R432="tbd",R432="In evaluation"),B432&lt;&gt;""),1,0)</f>
        <v>9</v>
      </c>
    </row>
    <row r="433" ht="15" customHeight="1">
      <c r="I433" s="215" t="n"/>
      <c r="J433" s="215" t="n"/>
      <c r="K433" s="215" t="n"/>
      <c r="L433" s="215" t="n"/>
      <c r="M433" s="215" t="n"/>
      <c r="N433" s="215" t="str">
        <f>IF(ISNUMBER(I433),ROUND(I433-I433/1.081,2),"")</f>
        <v/>
      </c>
      <c r="O433" s="215" t="str">
        <f>IF(ISNUMBER(I433),I433-SUM(J433:N433),"")</f>
        <v/>
      </c>
      <c r="P433" s="216" t="str">
        <f>IFERROR(IF(AND(ISNUMBER(O433),ISNUMBER(I433),I433&lt;&gt;0),O433/I433,""),"")</f>
        <v/>
      </c>
      <c r="Q433" s="215" t="str">
        <f>IF(AND(ISNUMBER(I433),ISNUMBER(S433)),I433*IF(S433&lt;=1,S433,S433/100),IF(OR(I433&lt;&gt;"",S433&lt;&gt;""),"tbd",""))</f>
        <v/>
      </c>
      <c r="S433" s="217" t="n"/>
      <c r="Z433" t="str">
        <f>IF(AND(R433="WON",ISNUMBER(I433)),AA433,"")</f>
        <v/>
      </c>
      <c r="AA433">
        <f>IFERROR(I433*1,0)</f>
        <v>0</v>
      </c>
      <c r="AB433">
        <f>N(AB432)+IF(AND(R433="WON",B433&lt;&gt;""),1,0)</f>
        <v>7</v>
      </c>
      <c r="AC433">
        <f>N(AC432)+IF(AND(OR(R433="offered",R433="to be offered",R433="on hold"),B433&lt;&gt;""),1,0)</f>
        <v>19</v>
      </c>
      <c r="AD433">
        <f>N(AD432)+IF(AND(OR(R433="follow-up",R433="Evaluation",R433="tbd",R433="In evaluation"),B433&lt;&gt;""),1,0)</f>
        <v>9</v>
      </c>
    </row>
    <row r="434" ht="15" customHeight="1">
      <c r="I434" s="215" t="n"/>
      <c r="J434" s="215" t="n"/>
      <c r="K434" s="215" t="n"/>
      <c r="L434" s="215" t="n"/>
      <c r="M434" s="215" t="n"/>
      <c r="N434" s="215" t="str">
        <f>IF(ISNUMBER(I434),ROUND(I434-I434/1.081,2),"")</f>
        <v/>
      </c>
      <c r="O434" s="215" t="str">
        <f>IF(ISNUMBER(I434),I434-SUM(J434:N434),"")</f>
        <v/>
      </c>
      <c r="P434" s="216" t="str">
        <f>IFERROR(IF(AND(ISNUMBER(O434),ISNUMBER(I434),I434&lt;&gt;0),O434/I434,""),"")</f>
        <v/>
      </c>
      <c r="Q434" s="215" t="str">
        <f>IF(AND(ISNUMBER(I434),ISNUMBER(S434)),I434*IF(S434&lt;=1,S434,S434/100),IF(OR(I434&lt;&gt;"",S434&lt;&gt;""),"tbd",""))</f>
        <v/>
      </c>
      <c r="S434" s="217" t="n"/>
      <c r="Z434" t="str">
        <f>IF(AND(R434="WON",ISNUMBER(I434)),AA434,"")</f>
        <v/>
      </c>
      <c r="AA434">
        <f>IFERROR(I434*1,0)</f>
        <v>0</v>
      </c>
      <c r="AB434">
        <f>N(AB433)+IF(AND(R434="WON",B434&lt;&gt;""),1,0)</f>
        <v>7</v>
      </c>
      <c r="AC434">
        <f>N(AC433)+IF(AND(OR(R434="offered",R434="to be offered",R434="on hold"),B434&lt;&gt;""),1,0)</f>
        <v>19</v>
      </c>
      <c r="AD434">
        <f>N(AD433)+IF(AND(OR(R434="follow-up",R434="Evaluation",R434="tbd",R434="In evaluation"),B434&lt;&gt;""),1,0)</f>
        <v>9</v>
      </c>
    </row>
    <row r="435" ht="15" customHeight="1">
      <c r="I435" s="215" t="n"/>
      <c r="J435" s="215" t="n"/>
      <c r="K435" s="215" t="n"/>
      <c r="L435" s="215" t="n"/>
      <c r="M435" s="215" t="n"/>
      <c r="N435" s="215" t="str">
        <f>IF(ISNUMBER(I435),ROUND(I435-I435/1.081,2),"")</f>
        <v/>
      </c>
      <c r="O435" s="215" t="str">
        <f>IF(ISNUMBER(I435),I435-SUM(J435:N435),"")</f>
        <v/>
      </c>
      <c r="P435" s="216" t="str">
        <f>IFERROR(IF(AND(ISNUMBER(O435),ISNUMBER(I435),I435&lt;&gt;0),O435/I435,""),"")</f>
        <v/>
      </c>
      <c r="Q435" s="215" t="str">
        <f>IF(AND(ISNUMBER(I435),ISNUMBER(S435)),I435*IF(S435&lt;=1,S435,S435/100),IF(OR(I435&lt;&gt;"",S435&lt;&gt;""),"tbd",""))</f>
        <v/>
      </c>
      <c r="S435" s="217" t="n"/>
      <c r="Z435" t="str">
        <f>IF(AND(R435="WON",ISNUMBER(I435)),AA435,"")</f>
        <v/>
      </c>
      <c r="AA435">
        <f>IFERROR(I435*1,0)</f>
        <v>0</v>
      </c>
      <c r="AB435">
        <f>N(AB434)+IF(AND(R435="WON",B435&lt;&gt;""),1,0)</f>
        <v>7</v>
      </c>
      <c r="AC435">
        <f>N(AC434)+IF(AND(OR(R435="offered",R435="to be offered",R435="on hold"),B435&lt;&gt;""),1,0)</f>
        <v>19</v>
      </c>
      <c r="AD435">
        <f>N(AD434)+IF(AND(OR(R435="follow-up",R435="Evaluation",R435="tbd",R435="In evaluation"),B435&lt;&gt;""),1,0)</f>
        <v>9</v>
      </c>
    </row>
    <row r="436" ht="15" customHeight="1">
      <c r="I436" s="215" t="n"/>
      <c r="J436" s="215" t="n"/>
      <c r="K436" s="215" t="n"/>
      <c r="L436" s="215" t="n"/>
      <c r="M436" s="215" t="n"/>
      <c r="N436" s="215" t="str">
        <f>IF(ISNUMBER(I436),ROUND(I436-I436/1.081,2),"")</f>
        <v/>
      </c>
      <c r="O436" s="215" t="str">
        <f>IF(ISNUMBER(I436),I436-SUM(J436:N436),"")</f>
        <v/>
      </c>
      <c r="P436" s="216" t="str">
        <f>IFERROR(IF(AND(ISNUMBER(O436),ISNUMBER(I436),I436&lt;&gt;0),O436/I436,""),"")</f>
        <v/>
      </c>
      <c r="Q436" s="215" t="str">
        <f>IF(AND(ISNUMBER(I436),ISNUMBER(S436)),I436*IF(S436&lt;=1,S436,S436/100),IF(OR(I436&lt;&gt;"",S436&lt;&gt;""),"tbd",""))</f>
        <v/>
      </c>
      <c r="S436" s="217" t="n"/>
      <c r="Z436" t="str">
        <f>IF(AND(R436="WON",ISNUMBER(I436)),AA436,"")</f>
        <v/>
      </c>
      <c r="AA436">
        <f>IFERROR(I436*1,0)</f>
        <v>0</v>
      </c>
      <c r="AB436">
        <f>N(AB435)+IF(AND(R436="WON",B436&lt;&gt;""),1,0)</f>
        <v>7</v>
      </c>
      <c r="AC436">
        <f>N(AC435)+IF(AND(OR(R436="offered",R436="to be offered",R436="on hold"),B436&lt;&gt;""),1,0)</f>
        <v>19</v>
      </c>
      <c r="AD436">
        <f>N(AD435)+IF(AND(OR(R436="follow-up",R436="Evaluation",R436="tbd",R436="In evaluation"),B436&lt;&gt;""),1,0)</f>
        <v>9</v>
      </c>
    </row>
    <row r="437" ht="15" customHeight="1">
      <c r="I437" s="215" t="n"/>
      <c r="J437" s="215" t="n"/>
      <c r="K437" s="215" t="n"/>
      <c r="L437" s="215" t="n"/>
      <c r="M437" s="215" t="n"/>
      <c r="N437" s="215" t="str">
        <f>IF(ISNUMBER(I437),ROUND(I437-I437/1.081,2),"")</f>
        <v/>
      </c>
      <c r="O437" s="215" t="str">
        <f>IF(ISNUMBER(I437),I437-SUM(J437:N437),"")</f>
        <v/>
      </c>
      <c r="P437" s="216" t="str">
        <f>IFERROR(IF(AND(ISNUMBER(O437),ISNUMBER(I437),I437&lt;&gt;0),O437/I437,""),"")</f>
        <v/>
      </c>
      <c r="Q437" s="215" t="str">
        <f>IF(AND(ISNUMBER(I437),ISNUMBER(S437)),I437*IF(S437&lt;=1,S437,S437/100),IF(OR(I437&lt;&gt;"",S437&lt;&gt;""),"tbd",""))</f>
        <v/>
      </c>
      <c r="S437" s="217" t="n"/>
      <c r="Z437" t="str">
        <f>IF(AND(R437="WON",ISNUMBER(I437)),AA437,"")</f>
        <v/>
      </c>
      <c r="AA437">
        <f>IFERROR(I437*1,0)</f>
        <v>0</v>
      </c>
      <c r="AB437">
        <f>N(AB436)+IF(AND(R437="WON",B437&lt;&gt;""),1,0)</f>
        <v>7</v>
      </c>
      <c r="AC437">
        <f>N(AC436)+IF(AND(OR(R437="offered",R437="to be offered",R437="on hold"),B437&lt;&gt;""),1,0)</f>
        <v>19</v>
      </c>
      <c r="AD437">
        <f>N(AD436)+IF(AND(OR(R437="follow-up",R437="Evaluation",R437="tbd",R437="In evaluation"),B437&lt;&gt;""),1,0)</f>
        <v>9</v>
      </c>
    </row>
    <row r="438" ht="15" customHeight="1">
      <c r="I438" s="215" t="n"/>
      <c r="J438" s="215" t="n"/>
      <c r="K438" s="215" t="n"/>
      <c r="L438" s="215" t="n"/>
      <c r="M438" s="215" t="n"/>
      <c r="N438" s="215" t="str">
        <f>IF(ISNUMBER(I438),ROUND(I438-I438/1.081,2),"")</f>
        <v/>
      </c>
      <c r="O438" s="215" t="str">
        <f>IF(ISNUMBER(I438),I438-SUM(J438:N438),"")</f>
        <v/>
      </c>
      <c r="P438" s="216" t="str">
        <f>IFERROR(IF(AND(ISNUMBER(O438),ISNUMBER(I438),I438&lt;&gt;0),O438/I438,""),"")</f>
        <v/>
      </c>
      <c r="Q438" s="215" t="str">
        <f>IF(AND(ISNUMBER(I438),ISNUMBER(S438)),I438*IF(S438&lt;=1,S438,S438/100),IF(OR(I438&lt;&gt;"",S438&lt;&gt;""),"tbd",""))</f>
        <v/>
      </c>
      <c r="S438" s="217" t="n"/>
      <c r="Z438" t="str">
        <f>IF(AND(R438="WON",ISNUMBER(I438)),AA438,"")</f>
        <v/>
      </c>
      <c r="AA438">
        <f>IFERROR(I438*1,0)</f>
        <v>0</v>
      </c>
      <c r="AB438">
        <f>N(AB437)+IF(AND(R438="WON",B438&lt;&gt;""),1,0)</f>
        <v>7</v>
      </c>
      <c r="AC438">
        <f>N(AC437)+IF(AND(OR(R438="offered",R438="to be offered",R438="on hold"),B438&lt;&gt;""),1,0)</f>
        <v>19</v>
      </c>
      <c r="AD438">
        <f>N(AD437)+IF(AND(OR(R438="follow-up",R438="Evaluation",R438="tbd",R438="In evaluation"),B438&lt;&gt;""),1,0)</f>
        <v>9</v>
      </c>
    </row>
    <row r="439" ht="15" customHeight="1">
      <c r="I439" s="215" t="n"/>
      <c r="J439" s="215" t="n"/>
      <c r="K439" s="215" t="n"/>
      <c r="L439" s="215" t="n"/>
      <c r="M439" s="215" t="n"/>
      <c r="N439" s="215" t="str">
        <f>IF(ISNUMBER(I439),ROUND(I439-I439/1.081,2),"")</f>
        <v/>
      </c>
      <c r="O439" s="215" t="str">
        <f>IF(ISNUMBER(I439),I439-SUM(J439:N439),"")</f>
        <v/>
      </c>
      <c r="P439" s="216" t="str">
        <f>IFERROR(IF(AND(ISNUMBER(O439),ISNUMBER(I439),I439&lt;&gt;0),O439/I439,""),"")</f>
        <v/>
      </c>
      <c r="Q439" s="215" t="str">
        <f>IF(AND(ISNUMBER(I439),ISNUMBER(S439)),I439*IF(S439&lt;=1,S439,S439/100),IF(OR(I439&lt;&gt;"",S439&lt;&gt;""),"tbd",""))</f>
        <v/>
      </c>
      <c r="S439" s="217" t="n"/>
      <c r="Z439" t="str">
        <f>IF(AND(R439="WON",ISNUMBER(I439)),AA439,"")</f>
        <v/>
      </c>
      <c r="AA439">
        <f>IFERROR(I439*1,0)</f>
        <v>0</v>
      </c>
      <c r="AB439">
        <f>N(AB438)+IF(AND(R439="WON",B439&lt;&gt;""),1,0)</f>
        <v>7</v>
      </c>
      <c r="AC439">
        <f>N(AC438)+IF(AND(OR(R439="offered",R439="to be offered",R439="on hold"),B439&lt;&gt;""),1,0)</f>
        <v>19</v>
      </c>
      <c r="AD439">
        <f>N(AD438)+IF(AND(OR(R439="follow-up",R439="Evaluation",R439="tbd",R439="In evaluation"),B439&lt;&gt;""),1,0)</f>
        <v>9</v>
      </c>
    </row>
    <row r="440" ht="15" customHeight="1">
      <c r="I440" s="215" t="n"/>
      <c r="J440" s="215" t="n"/>
      <c r="K440" s="215" t="n"/>
      <c r="L440" s="215" t="n"/>
      <c r="M440" s="215" t="n"/>
      <c r="N440" s="215" t="str">
        <f>IF(ISNUMBER(I440),ROUND(I440-I440/1.081,2),"")</f>
        <v/>
      </c>
      <c r="O440" s="215" t="str">
        <f>IF(ISNUMBER(I440),I440-SUM(J440:N440),"")</f>
        <v/>
      </c>
      <c r="P440" s="216" t="str">
        <f>IFERROR(IF(AND(ISNUMBER(O440),ISNUMBER(I440),I440&lt;&gt;0),O440/I440,""),"")</f>
        <v/>
      </c>
      <c r="Q440" s="215" t="str">
        <f>IF(AND(ISNUMBER(I440),ISNUMBER(S440)),I440*IF(S440&lt;=1,S440,S440/100),IF(OR(I440&lt;&gt;"",S440&lt;&gt;""),"tbd",""))</f>
        <v/>
      </c>
      <c r="S440" s="217" t="n"/>
      <c r="Z440" t="str">
        <f>IF(AND(R440="WON",ISNUMBER(I440)),AA440,"")</f>
        <v/>
      </c>
      <c r="AA440">
        <f>IFERROR(I440*1,0)</f>
        <v>0</v>
      </c>
      <c r="AB440">
        <f>N(AB439)+IF(AND(R440="WON",B440&lt;&gt;""),1,0)</f>
        <v>7</v>
      </c>
      <c r="AC440">
        <f>N(AC439)+IF(AND(OR(R440="offered",R440="to be offered",R440="on hold"),B440&lt;&gt;""),1,0)</f>
        <v>19</v>
      </c>
      <c r="AD440">
        <f>N(AD439)+IF(AND(OR(R440="follow-up",R440="Evaluation",R440="tbd",R440="In evaluation"),B440&lt;&gt;""),1,0)</f>
        <v>9</v>
      </c>
    </row>
    <row r="441" ht="15" customHeight="1">
      <c r="I441" s="215" t="n"/>
      <c r="J441" s="215" t="n"/>
      <c r="K441" s="215" t="n"/>
      <c r="L441" s="215" t="n"/>
      <c r="M441" s="215" t="n"/>
      <c r="N441" s="215" t="str">
        <f>IF(ISNUMBER(I441),ROUND(I441-I441/1.081,2),"")</f>
        <v/>
      </c>
      <c r="O441" s="215" t="str">
        <f>IF(ISNUMBER(I441),I441-SUM(J441:N441),"")</f>
        <v/>
      </c>
      <c r="P441" s="216" t="str">
        <f>IFERROR(IF(AND(ISNUMBER(O441),ISNUMBER(I441),I441&lt;&gt;0),O441/I441,""),"")</f>
        <v/>
      </c>
      <c r="Q441" s="215" t="str">
        <f>IF(AND(ISNUMBER(I441),ISNUMBER(S441)),I441*IF(S441&lt;=1,S441,S441/100),IF(OR(I441&lt;&gt;"",S441&lt;&gt;""),"tbd",""))</f>
        <v/>
      </c>
      <c r="S441" s="217" t="n"/>
      <c r="Z441" t="str">
        <f>IF(AND(R441="WON",ISNUMBER(I441)),AA441,"")</f>
        <v/>
      </c>
      <c r="AA441">
        <f>IFERROR(I441*1,0)</f>
        <v>0</v>
      </c>
      <c r="AB441">
        <f>N(AB440)+IF(AND(R441="WON",B441&lt;&gt;""),1,0)</f>
        <v>7</v>
      </c>
      <c r="AC441">
        <f>N(AC440)+IF(AND(OR(R441="offered",R441="to be offered",R441="on hold"),B441&lt;&gt;""),1,0)</f>
        <v>19</v>
      </c>
      <c r="AD441">
        <f>N(AD440)+IF(AND(OR(R441="follow-up",R441="Evaluation",R441="tbd",R441="In evaluation"),B441&lt;&gt;""),1,0)</f>
        <v>9</v>
      </c>
    </row>
    <row r="442" ht="15" customHeight="1">
      <c r="I442" s="215" t="n"/>
      <c r="J442" s="215" t="n"/>
      <c r="K442" s="215" t="n"/>
      <c r="L442" s="215" t="n"/>
      <c r="M442" s="215" t="n"/>
      <c r="N442" s="215" t="str">
        <f>IF(ISNUMBER(I442),ROUND(I442-I442/1.081,2),"")</f>
        <v/>
      </c>
      <c r="O442" s="215" t="str">
        <f>IF(ISNUMBER(I442),I442-SUM(J442:N442),"")</f>
        <v/>
      </c>
      <c r="P442" s="216" t="str">
        <f>IFERROR(IF(AND(ISNUMBER(O442),ISNUMBER(I442),I442&lt;&gt;0),O442/I442,""),"")</f>
        <v/>
      </c>
      <c r="Q442" s="215" t="str">
        <f>IF(AND(ISNUMBER(I442),ISNUMBER(S442)),I442*IF(S442&lt;=1,S442,S442/100),IF(OR(I442&lt;&gt;"",S442&lt;&gt;""),"tbd",""))</f>
        <v/>
      </c>
      <c r="S442" s="217" t="n"/>
      <c r="Z442" t="str">
        <f>IF(AND(R442="WON",ISNUMBER(I442)),AA442,"")</f>
        <v/>
      </c>
      <c r="AA442">
        <f>IFERROR(I442*1,0)</f>
        <v>0</v>
      </c>
      <c r="AB442">
        <f>N(AB441)+IF(AND(R442="WON",B442&lt;&gt;""),1,0)</f>
        <v>7</v>
      </c>
      <c r="AC442">
        <f>N(AC441)+IF(AND(OR(R442="offered",R442="to be offered",R442="on hold"),B442&lt;&gt;""),1,0)</f>
        <v>19</v>
      </c>
      <c r="AD442">
        <f>N(AD441)+IF(AND(OR(R442="follow-up",R442="Evaluation",R442="tbd",R442="In evaluation"),B442&lt;&gt;""),1,0)</f>
        <v>9</v>
      </c>
    </row>
    <row r="443" ht="15" customHeight="1">
      <c r="I443" s="215" t="n"/>
      <c r="J443" s="215" t="n"/>
      <c r="K443" s="215" t="n"/>
      <c r="L443" s="215" t="n"/>
      <c r="M443" s="215" t="n"/>
      <c r="N443" s="215" t="str">
        <f>IF(ISNUMBER(I443),ROUND(I443-I443/1.081,2),"")</f>
        <v/>
      </c>
      <c r="O443" s="215" t="str">
        <f>IF(ISNUMBER(I443),I443-SUM(J443:N443),"")</f>
        <v/>
      </c>
      <c r="P443" s="216" t="str">
        <f>IFERROR(IF(AND(ISNUMBER(O443),ISNUMBER(I443),I443&lt;&gt;0),O443/I443,""),"")</f>
        <v/>
      </c>
      <c r="Q443" s="215" t="str">
        <f>IF(AND(ISNUMBER(I443),ISNUMBER(S443)),I443*IF(S443&lt;=1,S443,S443/100),IF(OR(I443&lt;&gt;"",S443&lt;&gt;""),"tbd",""))</f>
        <v/>
      </c>
      <c r="S443" s="217" t="n"/>
      <c r="Z443" t="str">
        <f>IF(AND(R443="WON",ISNUMBER(I443)),AA443,"")</f>
        <v/>
      </c>
      <c r="AA443">
        <f>IFERROR(I443*1,0)</f>
        <v>0</v>
      </c>
      <c r="AB443">
        <f>N(AB442)+IF(AND(R443="WON",B443&lt;&gt;""),1,0)</f>
        <v>7</v>
      </c>
      <c r="AC443">
        <f>N(AC442)+IF(AND(OR(R443="offered",R443="to be offered",R443="on hold"),B443&lt;&gt;""),1,0)</f>
        <v>19</v>
      </c>
      <c r="AD443">
        <f>N(AD442)+IF(AND(OR(R443="follow-up",R443="Evaluation",R443="tbd",R443="In evaluation"),B443&lt;&gt;""),1,0)</f>
        <v>9</v>
      </c>
    </row>
    <row r="444" ht="15" customHeight="1">
      <c r="I444" s="215" t="n"/>
      <c r="J444" s="215" t="n"/>
      <c r="K444" s="215" t="n"/>
      <c r="L444" s="215" t="n"/>
      <c r="M444" s="215" t="n"/>
      <c r="N444" s="215" t="str">
        <f>IF(ISNUMBER(I444),ROUND(I444-I444/1.081,2),"")</f>
        <v/>
      </c>
      <c r="O444" s="215" t="str">
        <f>IF(ISNUMBER(I444),I444-SUM(J444:N444),"")</f>
        <v/>
      </c>
      <c r="P444" s="216" t="str">
        <f>IFERROR(IF(AND(ISNUMBER(O444),ISNUMBER(I444),I444&lt;&gt;0),O444/I444,""),"")</f>
        <v/>
      </c>
      <c r="Q444" s="215" t="str">
        <f>IF(AND(ISNUMBER(I444),ISNUMBER(S444)),I444*IF(S444&lt;=1,S444,S444/100),IF(OR(I444&lt;&gt;"",S444&lt;&gt;""),"tbd",""))</f>
        <v/>
      </c>
      <c r="S444" s="217" t="n"/>
      <c r="Z444" t="str">
        <f>IF(AND(R444="WON",ISNUMBER(I444)),AA444,"")</f>
        <v/>
      </c>
      <c r="AA444">
        <f>IFERROR(I444*1,0)</f>
        <v>0</v>
      </c>
      <c r="AB444">
        <f>N(AB443)+IF(AND(R444="WON",B444&lt;&gt;""),1,0)</f>
        <v>7</v>
      </c>
      <c r="AC444">
        <f>N(AC443)+IF(AND(OR(R444="offered",R444="to be offered",R444="on hold"),B444&lt;&gt;""),1,0)</f>
        <v>19</v>
      </c>
      <c r="AD444">
        <f>N(AD443)+IF(AND(OR(R444="follow-up",R444="Evaluation",R444="tbd",R444="In evaluation"),B444&lt;&gt;""),1,0)</f>
        <v>9</v>
      </c>
    </row>
    <row r="445" ht="15" customHeight="1">
      <c r="I445" s="215" t="n"/>
      <c r="J445" s="215" t="n"/>
      <c r="K445" s="215" t="n"/>
      <c r="L445" s="215" t="n"/>
      <c r="M445" s="215" t="n"/>
      <c r="N445" s="215" t="str">
        <f>IF(ISNUMBER(I445),ROUND(I445-I445/1.081,2),"")</f>
        <v/>
      </c>
      <c r="O445" s="215" t="str">
        <f>IF(ISNUMBER(I445),I445-SUM(J445:N445),"")</f>
        <v/>
      </c>
      <c r="P445" s="216" t="str">
        <f>IFERROR(IF(AND(ISNUMBER(O445),ISNUMBER(I445),I445&lt;&gt;0),O445/I445,""),"")</f>
        <v/>
      </c>
      <c r="Q445" s="215" t="str">
        <f>IF(AND(ISNUMBER(I445),ISNUMBER(S445)),I445*IF(S445&lt;=1,S445,S445/100),IF(OR(I445&lt;&gt;"",S445&lt;&gt;""),"tbd",""))</f>
        <v/>
      </c>
      <c r="S445" s="217" t="n"/>
      <c r="Z445" t="str">
        <f>IF(AND(R445="WON",ISNUMBER(I445)),AA445,"")</f>
        <v/>
      </c>
      <c r="AA445">
        <f>IFERROR(I445*1,0)</f>
        <v>0</v>
      </c>
      <c r="AB445">
        <f>N(AB444)+IF(AND(R445="WON",B445&lt;&gt;""),1,0)</f>
        <v>7</v>
      </c>
      <c r="AC445">
        <f>N(AC444)+IF(AND(OR(R445="offered",R445="to be offered",R445="on hold"),B445&lt;&gt;""),1,0)</f>
        <v>19</v>
      </c>
      <c r="AD445">
        <f>N(AD444)+IF(AND(OR(R445="follow-up",R445="Evaluation",R445="tbd",R445="In evaluation"),B445&lt;&gt;""),1,0)</f>
        <v>9</v>
      </c>
    </row>
    <row r="446" ht="15" customHeight="1">
      <c r="I446" s="215" t="n"/>
      <c r="J446" s="215" t="n"/>
      <c r="K446" s="215" t="n"/>
      <c r="L446" s="215" t="n"/>
      <c r="M446" s="215" t="n"/>
      <c r="N446" s="215" t="str">
        <f>IF(ISNUMBER(I446),ROUND(I446-I446/1.081,2),"")</f>
        <v/>
      </c>
      <c r="O446" s="215" t="str">
        <f>IF(ISNUMBER(I446),I446-SUM(J446:N446),"")</f>
        <v/>
      </c>
      <c r="P446" s="216" t="str">
        <f>IFERROR(IF(AND(ISNUMBER(O446),ISNUMBER(I446),I446&lt;&gt;0),O446/I446,""),"")</f>
        <v/>
      </c>
      <c r="Q446" s="215" t="str">
        <f>IF(AND(ISNUMBER(I446),ISNUMBER(S446)),I446*IF(S446&lt;=1,S446,S446/100),IF(OR(I446&lt;&gt;"",S446&lt;&gt;""),"tbd",""))</f>
        <v/>
      </c>
      <c r="S446" s="217" t="n"/>
      <c r="Z446" t="str">
        <f>IF(AND(R446="WON",ISNUMBER(I446)),AA446,"")</f>
        <v/>
      </c>
      <c r="AA446">
        <f>IFERROR(I446*1,0)</f>
        <v>0</v>
      </c>
      <c r="AB446">
        <f>N(AB445)+IF(AND(R446="WON",B446&lt;&gt;""),1,0)</f>
        <v>7</v>
      </c>
      <c r="AC446">
        <f>N(AC445)+IF(AND(OR(R446="offered",R446="to be offered",R446="on hold"),B446&lt;&gt;""),1,0)</f>
        <v>19</v>
      </c>
      <c r="AD446">
        <f>N(AD445)+IF(AND(OR(R446="follow-up",R446="Evaluation",R446="tbd",R446="In evaluation"),B446&lt;&gt;""),1,0)</f>
        <v>9</v>
      </c>
    </row>
    <row r="447" ht="15" customHeight="1">
      <c r="I447" s="215" t="n"/>
      <c r="J447" s="215" t="n"/>
      <c r="K447" s="215" t="n"/>
      <c r="L447" s="215" t="n"/>
      <c r="M447" s="215" t="n"/>
      <c r="N447" s="215" t="str">
        <f>IF(ISNUMBER(I447),ROUND(I447-I447/1.081,2),"")</f>
        <v/>
      </c>
      <c r="O447" s="215" t="str">
        <f>IF(ISNUMBER(I447),I447-SUM(J447:N447),"")</f>
        <v/>
      </c>
      <c r="P447" s="216" t="str">
        <f>IFERROR(IF(AND(ISNUMBER(O447),ISNUMBER(I447),I447&lt;&gt;0),O447/I447,""),"")</f>
        <v/>
      </c>
      <c r="Q447" s="215" t="str">
        <f>IF(AND(ISNUMBER(I447),ISNUMBER(S447)),I447*IF(S447&lt;=1,S447,S447/100),IF(OR(I447&lt;&gt;"",S447&lt;&gt;""),"tbd",""))</f>
        <v/>
      </c>
      <c r="S447" s="217" t="n"/>
      <c r="Z447" t="str">
        <f>IF(AND(R447="WON",ISNUMBER(I447)),AA447,"")</f>
        <v/>
      </c>
      <c r="AA447">
        <f>IFERROR(I447*1,0)</f>
        <v>0</v>
      </c>
      <c r="AB447">
        <f>N(AB446)+IF(AND(R447="WON",B447&lt;&gt;""),1,0)</f>
        <v>7</v>
      </c>
      <c r="AC447">
        <f>N(AC446)+IF(AND(OR(R447="offered",R447="to be offered",R447="on hold"),B447&lt;&gt;""),1,0)</f>
        <v>19</v>
      </c>
      <c r="AD447">
        <f>N(AD446)+IF(AND(OR(R447="follow-up",R447="Evaluation",R447="tbd",R447="In evaluation"),B447&lt;&gt;""),1,0)</f>
        <v>9</v>
      </c>
    </row>
    <row r="448" ht="15" customHeight="1">
      <c r="I448" s="215" t="n"/>
      <c r="J448" s="215" t="n"/>
      <c r="K448" s="215" t="n"/>
      <c r="L448" s="215" t="n"/>
      <c r="M448" s="215" t="n"/>
      <c r="N448" s="215" t="str">
        <f>IF(ISNUMBER(I448),ROUND(I448-I448/1.081,2),"")</f>
        <v/>
      </c>
      <c r="O448" s="215" t="str">
        <f>IF(ISNUMBER(I448),I448-SUM(J448:N448),"")</f>
        <v/>
      </c>
      <c r="P448" s="216" t="str">
        <f>IFERROR(IF(AND(ISNUMBER(O448),ISNUMBER(I448),I448&lt;&gt;0),O448/I448,""),"")</f>
        <v/>
      </c>
      <c r="Q448" s="215" t="str">
        <f>IF(AND(ISNUMBER(I448),ISNUMBER(S448)),I448*IF(S448&lt;=1,S448,S448/100),IF(OR(I448&lt;&gt;"",S448&lt;&gt;""),"tbd",""))</f>
        <v/>
      </c>
      <c r="S448" s="217" t="n"/>
      <c r="Z448" t="str">
        <f>IF(AND(R448="WON",ISNUMBER(I448)),AA448,"")</f>
        <v/>
      </c>
      <c r="AA448">
        <f>IFERROR(I448*1,0)</f>
        <v>0</v>
      </c>
      <c r="AB448">
        <f>N(AB447)+IF(AND(R448="WON",B448&lt;&gt;""),1,0)</f>
        <v>7</v>
      </c>
      <c r="AC448">
        <f>N(AC447)+IF(AND(OR(R448="offered",R448="to be offered",R448="on hold"),B448&lt;&gt;""),1,0)</f>
        <v>19</v>
      </c>
      <c r="AD448">
        <f>N(AD447)+IF(AND(OR(R448="follow-up",R448="Evaluation",R448="tbd",R448="In evaluation"),B448&lt;&gt;""),1,0)</f>
        <v>9</v>
      </c>
    </row>
    <row r="449" ht="15" customHeight="1">
      <c r="I449" s="215" t="n"/>
      <c r="J449" s="215" t="n"/>
      <c r="K449" s="215" t="n"/>
      <c r="L449" s="215" t="n"/>
      <c r="M449" s="215" t="n"/>
      <c r="N449" s="215" t="str">
        <f>IF(ISNUMBER(I449),ROUND(I449-I449/1.081,2),"")</f>
        <v/>
      </c>
      <c r="O449" s="215" t="str">
        <f>IF(ISNUMBER(I449),I449-SUM(J449:N449),"")</f>
        <v/>
      </c>
      <c r="P449" s="216" t="str">
        <f>IFERROR(IF(AND(ISNUMBER(O449),ISNUMBER(I449),I449&lt;&gt;0),O449/I449,""),"")</f>
        <v/>
      </c>
      <c r="Q449" s="215" t="str">
        <f>IF(AND(ISNUMBER(I449),ISNUMBER(S449)),I449*IF(S449&lt;=1,S449,S449/100),IF(OR(I449&lt;&gt;"",S449&lt;&gt;""),"tbd",""))</f>
        <v/>
      </c>
      <c r="S449" s="217" t="n"/>
      <c r="Z449" t="str">
        <f>IF(AND(R449="WON",ISNUMBER(I449)),AA449,"")</f>
        <v/>
      </c>
      <c r="AA449">
        <f>IFERROR(I449*1,0)</f>
        <v>0</v>
      </c>
      <c r="AB449">
        <f>N(AB448)+IF(AND(R449="WON",B449&lt;&gt;""),1,0)</f>
        <v>7</v>
      </c>
      <c r="AC449">
        <f>N(AC448)+IF(AND(OR(R449="offered",R449="to be offered",R449="on hold"),B449&lt;&gt;""),1,0)</f>
        <v>19</v>
      </c>
      <c r="AD449">
        <f>N(AD448)+IF(AND(OR(R449="follow-up",R449="Evaluation",R449="tbd",R449="In evaluation"),B449&lt;&gt;""),1,0)</f>
        <v>9</v>
      </c>
    </row>
    <row r="450" ht="15" customHeight="1">
      <c r="I450" s="215" t="n"/>
      <c r="J450" s="215" t="n"/>
      <c r="K450" s="215" t="n"/>
      <c r="L450" s="215" t="n"/>
      <c r="M450" s="215" t="n"/>
      <c r="N450" s="215" t="str">
        <f>IF(ISNUMBER(I450),ROUND(I450-I450/1.081,2),"")</f>
        <v/>
      </c>
      <c r="O450" s="215" t="str">
        <f>IF(ISNUMBER(I450),I450-SUM(J450:N450),"")</f>
        <v/>
      </c>
      <c r="P450" s="216" t="str">
        <f>IFERROR(IF(AND(ISNUMBER(O450),ISNUMBER(I450),I450&lt;&gt;0),O450/I450,""),"")</f>
        <v/>
      </c>
      <c r="Q450" s="215" t="str">
        <f>IF(AND(ISNUMBER(I450),ISNUMBER(S450)),I450*IF(S450&lt;=1,S450,S450/100),IF(OR(I450&lt;&gt;"",S450&lt;&gt;""),"tbd",""))</f>
        <v/>
      </c>
      <c r="S450" s="217" t="n"/>
      <c r="Z450" t="str">
        <f>IF(AND(R450="WON",ISNUMBER(I450)),AA450,"")</f>
        <v/>
      </c>
      <c r="AA450">
        <f>IFERROR(I450*1,0)</f>
        <v>0</v>
      </c>
      <c r="AB450">
        <f>N(AB449)+IF(AND(R450="WON",B450&lt;&gt;""),1,0)</f>
        <v>7</v>
      </c>
      <c r="AC450">
        <f>N(AC449)+IF(AND(OR(R450="offered",R450="to be offered",R450="on hold"),B450&lt;&gt;""),1,0)</f>
        <v>19</v>
      </c>
      <c r="AD450">
        <f>N(AD449)+IF(AND(OR(R450="follow-up",R450="Evaluation",R450="tbd",R450="In evaluation"),B450&lt;&gt;""),1,0)</f>
        <v>9</v>
      </c>
    </row>
    <row r="451" ht="15" customHeight="1">
      <c r="I451" s="215" t="n"/>
      <c r="J451" s="215" t="n"/>
      <c r="K451" s="215" t="n"/>
      <c r="L451" s="215" t="n"/>
      <c r="M451" s="215" t="n"/>
      <c r="N451" s="215" t="str">
        <f>IF(ISNUMBER(I451),ROUND(I451-I451/1.081,2),"")</f>
        <v/>
      </c>
      <c r="O451" s="215" t="str">
        <f>IF(ISNUMBER(I451),I451-SUM(J451:N451),"")</f>
        <v/>
      </c>
      <c r="P451" s="216" t="str">
        <f>IFERROR(IF(AND(ISNUMBER(O451),ISNUMBER(I451),I451&lt;&gt;0),O451/I451,""),"")</f>
        <v/>
      </c>
      <c r="Q451" s="215" t="str">
        <f>IF(AND(ISNUMBER(I451),ISNUMBER(S451)),I451*IF(S451&lt;=1,S451,S451/100),IF(OR(I451&lt;&gt;"",S451&lt;&gt;""),"tbd",""))</f>
        <v/>
      </c>
      <c r="S451" s="217" t="n"/>
      <c r="Z451" t="str">
        <f>IF(AND(R451="WON",ISNUMBER(I451)),AA451,"")</f>
        <v/>
      </c>
      <c r="AA451">
        <f>IFERROR(I451*1,0)</f>
        <v>0</v>
      </c>
      <c r="AB451">
        <f>N(AB450)+IF(AND(R451="WON",B451&lt;&gt;""),1,0)</f>
        <v>7</v>
      </c>
      <c r="AC451">
        <f>N(AC450)+IF(AND(OR(R451="offered",R451="to be offered",R451="on hold"),B451&lt;&gt;""),1,0)</f>
        <v>19</v>
      </c>
      <c r="AD451">
        <f>N(AD450)+IF(AND(OR(R451="follow-up",R451="Evaluation",R451="tbd",R451="In evaluation"),B451&lt;&gt;""),1,0)</f>
        <v>9</v>
      </c>
    </row>
    <row r="452" ht="15" customHeight="1">
      <c r="I452" s="215" t="n"/>
      <c r="J452" s="215" t="n"/>
      <c r="K452" s="215" t="n"/>
      <c r="L452" s="215" t="n"/>
      <c r="M452" s="215" t="n"/>
      <c r="N452" s="215" t="str">
        <f>IF(ISNUMBER(I452),ROUND(I452-I452/1.081,2),"")</f>
        <v/>
      </c>
      <c r="O452" s="215" t="str">
        <f>IF(ISNUMBER(I452),I452-SUM(J452:N452),"")</f>
        <v/>
      </c>
      <c r="P452" s="216" t="str">
        <f>IFERROR(IF(AND(ISNUMBER(O452),ISNUMBER(I452),I452&lt;&gt;0),O452/I452,""),"")</f>
        <v/>
      </c>
      <c r="Q452" s="215" t="str">
        <f>IF(AND(ISNUMBER(I452),ISNUMBER(S452)),I452*IF(S452&lt;=1,S452,S452/100),IF(OR(I452&lt;&gt;"",S452&lt;&gt;""),"tbd",""))</f>
        <v/>
      </c>
      <c r="S452" s="217" t="n"/>
      <c r="Z452" t="str">
        <f>IF(AND(R452="WON",ISNUMBER(I452)),AA452,"")</f>
        <v/>
      </c>
      <c r="AA452">
        <f>IFERROR(I452*1,0)</f>
        <v>0</v>
      </c>
      <c r="AB452">
        <f>N(AB451)+IF(AND(R452="WON",B452&lt;&gt;""),1,0)</f>
        <v>7</v>
      </c>
      <c r="AC452">
        <f>N(AC451)+IF(AND(OR(R452="offered",R452="to be offered",R452="on hold"),B452&lt;&gt;""),1,0)</f>
        <v>19</v>
      </c>
      <c r="AD452">
        <f>N(AD451)+IF(AND(OR(R452="follow-up",R452="Evaluation",R452="tbd",R452="In evaluation"),B452&lt;&gt;""),1,0)</f>
        <v>9</v>
      </c>
    </row>
    <row r="453" ht="15" customHeight="1">
      <c r="I453" s="215" t="n"/>
      <c r="J453" s="215" t="n"/>
      <c r="K453" s="215" t="n"/>
      <c r="L453" s="215" t="n"/>
      <c r="M453" s="215" t="n"/>
      <c r="N453" s="215" t="str">
        <f>IF(ISNUMBER(I453),ROUND(I453-I453/1.081,2),"")</f>
        <v/>
      </c>
      <c r="O453" s="215" t="str">
        <f>IF(ISNUMBER(I453),I453-SUM(J453:N453),"")</f>
        <v/>
      </c>
      <c r="P453" s="216" t="str">
        <f>IFERROR(IF(AND(ISNUMBER(O453),ISNUMBER(I453),I453&lt;&gt;0),O453/I453,""),"")</f>
        <v/>
      </c>
      <c r="Q453" s="215" t="str">
        <f>IF(AND(ISNUMBER(I453),ISNUMBER(S453)),I453*IF(S453&lt;=1,S453,S453/100),IF(OR(I453&lt;&gt;"",S453&lt;&gt;""),"tbd",""))</f>
        <v/>
      </c>
      <c r="S453" s="217" t="n"/>
      <c r="Z453" t="str">
        <f>IF(AND(R453="WON",ISNUMBER(I453)),AA453,"")</f>
        <v/>
      </c>
      <c r="AA453">
        <f>IFERROR(I453*1,0)</f>
        <v>0</v>
      </c>
      <c r="AB453">
        <f>N(AB452)+IF(AND(R453="WON",B453&lt;&gt;""),1,0)</f>
        <v>7</v>
      </c>
      <c r="AC453">
        <f>N(AC452)+IF(AND(OR(R453="offered",R453="to be offered",R453="on hold"),B453&lt;&gt;""),1,0)</f>
        <v>19</v>
      </c>
      <c r="AD453">
        <f>N(AD452)+IF(AND(OR(R453="follow-up",R453="Evaluation",R453="tbd",R453="In evaluation"),B453&lt;&gt;""),1,0)</f>
        <v>9</v>
      </c>
    </row>
    <row r="454" ht="15" customHeight="1">
      <c r="I454" s="215" t="n"/>
      <c r="J454" s="215" t="n"/>
      <c r="K454" s="215" t="n"/>
      <c r="L454" s="215" t="n"/>
      <c r="M454" s="215" t="n"/>
      <c r="N454" s="215" t="str">
        <f>IF(ISNUMBER(I454),ROUND(I454-I454/1.081,2),"")</f>
        <v/>
      </c>
      <c r="O454" s="215" t="str">
        <f>IF(ISNUMBER(I454),I454-SUM(J454:N454),"")</f>
        <v/>
      </c>
      <c r="P454" s="216" t="str">
        <f>IFERROR(IF(AND(ISNUMBER(O454),ISNUMBER(I454),I454&lt;&gt;0),O454/I454,""),"")</f>
        <v/>
      </c>
      <c r="Q454" s="215" t="str">
        <f>IF(AND(ISNUMBER(I454),ISNUMBER(S454)),I454*IF(S454&lt;=1,S454,S454/100),IF(OR(I454&lt;&gt;"",S454&lt;&gt;""),"tbd",""))</f>
        <v/>
      </c>
      <c r="S454" s="217" t="n"/>
      <c r="Z454" t="str">
        <f>IF(AND(R454="WON",ISNUMBER(I454)),AA454,"")</f>
        <v/>
      </c>
      <c r="AA454">
        <f>IFERROR(I454*1,0)</f>
        <v>0</v>
      </c>
      <c r="AB454">
        <f>N(AB453)+IF(AND(R454="WON",B454&lt;&gt;""),1,0)</f>
        <v>7</v>
      </c>
      <c r="AC454">
        <f>N(AC453)+IF(AND(OR(R454="offered",R454="to be offered",R454="on hold"),B454&lt;&gt;""),1,0)</f>
        <v>19</v>
      </c>
      <c r="AD454">
        <f>N(AD453)+IF(AND(OR(R454="follow-up",R454="Evaluation",R454="tbd",R454="In evaluation"),B454&lt;&gt;""),1,0)</f>
        <v>9</v>
      </c>
    </row>
    <row r="455" ht="15" customHeight="1">
      <c r="I455" s="215" t="n"/>
      <c r="J455" s="215" t="n"/>
      <c r="K455" s="215" t="n"/>
      <c r="L455" s="215" t="n"/>
      <c r="M455" s="215" t="n"/>
      <c r="N455" s="215" t="str">
        <f>IF(ISNUMBER(I455),ROUND(I455-I455/1.081,2),"")</f>
        <v/>
      </c>
      <c r="O455" s="215" t="str">
        <f>IF(ISNUMBER(I455),I455-SUM(J455:N455),"")</f>
        <v/>
      </c>
      <c r="P455" s="216" t="str">
        <f>IFERROR(IF(AND(ISNUMBER(O455),ISNUMBER(I455),I455&lt;&gt;0),O455/I455,""),"")</f>
        <v/>
      </c>
      <c r="Q455" s="215" t="str">
        <f>IF(AND(ISNUMBER(I455),ISNUMBER(S455)),I455*IF(S455&lt;=1,S455,S455/100),IF(OR(I455&lt;&gt;"",S455&lt;&gt;""),"tbd",""))</f>
        <v/>
      </c>
      <c r="S455" s="217" t="n"/>
      <c r="Z455" t="str">
        <f>IF(AND(R455="WON",ISNUMBER(I455)),AA455,"")</f>
        <v/>
      </c>
      <c r="AA455">
        <f>IFERROR(I455*1,0)</f>
        <v>0</v>
      </c>
      <c r="AB455">
        <f>N(AB454)+IF(AND(R455="WON",B455&lt;&gt;""),1,0)</f>
        <v>7</v>
      </c>
      <c r="AC455">
        <f>N(AC454)+IF(AND(OR(R455="offered",R455="to be offered",R455="on hold"),B455&lt;&gt;""),1,0)</f>
        <v>19</v>
      </c>
      <c r="AD455">
        <f>N(AD454)+IF(AND(OR(R455="follow-up",R455="Evaluation",R455="tbd",R455="In evaluation"),B455&lt;&gt;""),1,0)</f>
        <v>9</v>
      </c>
    </row>
    <row r="456" ht="15" customHeight="1">
      <c r="I456" s="215" t="n"/>
      <c r="J456" s="215" t="n"/>
      <c r="K456" s="215" t="n"/>
      <c r="L456" s="215" t="n"/>
      <c r="M456" s="215" t="n"/>
      <c r="N456" s="215" t="str">
        <f>IF(ISNUMBER(I456),ROUND(I456-I456/1.081,2),"")</f>
        <v/>
      </c>
      <c r="O456" s="215" t="str">
        <f>IF(ISNUMBER(I456),I456-SUM(J456:N456),"")</f>
        <v/>
      </c>
      <c r="P456" s="216" t="str">
        <f>IFERROR(IF(AND(ISNUMBER(O456),ISNUMBER(I456),I456&lt;&gt;0),O456/I456,""),"")</f>
        <v/>
      </c>
      <c r="Q456" s="215" t="str">
        <f>IF(AND(ISNUMBER(I456),ISNUMBER(S456)),I456*IF(S456&lt;=1,S456,S456/100),IF(OR(I456&lt;&gt;"",S456&lt;&gt;""),"tbd",""))</f>
        <v/>
      </c>
      <c r="S456" s="217" t="n"/>
      <c r="Z456" t="str">
        <f>IF(AND(R456="WON",ISNUMBER(I456)),AA456,"")</f>
        <v/>
      </c>
      <c r="AA456">
        <f>IFERROR(I456*1,0)</f>
        <v>0</v>
      </c>
      <c r="AB456">
        <f>N(AB455)+IF(AND(R456="WON",B456&lt;&gt;""),1,0)</f>
        <v>7</v>
      </c>
      <c r="AC456">
        <f>N(AC455)+IF(AND(OR(R456="offered",R456="to be offered",R456="on hold"),B456&lt;&gt;""),1,0)</f>
        <v>19</v>
      </c>
      <c r="AD456">
        <f>N(AD455)+IF(AND(OR(R456="follow-up",R456="Evaluation",R456="tbd",R456="In evaluation"),B456&lt;&gt;""),1,0)</f>
        <v>9</v>
      </c>
    </row>
    <row r="457" ht="15" customHeight="1">
      <c r="I457" s="215" t="n"/>
      <c r="J457" s="215" t="n"/>
      <c r="K457" s="215" t="n"/>
      <c r="L457" s="215" t="n"/>
      <c r="M457" s="215" t="n"/>
      <c r="N457" s="215" t="str">
        <f>IF(ISNUMBER(I457),ROUND(I457-I457/1.081,2),"")</f>
        <v/>
      </c>
      <c r="O457" s="215" t="str">
        <f>IF(ISNUMBER(I457),I457-SUM(J457:N457),"")</f>
        <v/>
      </c>
      <c r="P457" s="216" t="str">
        <f>IFERROR(IF(AND(ISNUMBER(O457),ISNUMBER(I457),I457&lt;&gt;0),O457/I457,""),"")</f>
        <v/>
      </c>
      <c r="Q457" s="215" t="str">
        <f>IF(AND(ISNUMBER(I457),ISNUMBER(S457)),I457*IF(S457&lt;=1,S457,S457/100),IF(OR(I457&lt;&gt;"",S457&lt;&gt;""),"tbd",""))</f>
        <v/>
      </c>
      <c r="S457" s="217" t="n"/>
      <c r="Z457" t="str">
        <f>IF(AND(R457="WON",ISNUMBER(I457)),AA457,"")</f>
        <v/>
      </c>
      <c r="AA457">
        <f>IFERROR(I457*1,0)</f>
        <v>0</v>
      </c>
      <c r="AB457">
        <f>N(AB456)+IF(AND(R457="WON",B457&lt;&gt;""),1,0)</f>
        <v>7</v>
      </c>
      <c r="AC457">
        <f>N(AC456)+IF(AND(OR(R457="offered",R457="to be offered",R457="on hold"),B457&lt;&gt;""),1,0)</f>
        <v>19</v>
      </c>
      <c r="AD457">
        <f>N(AD456)+IF(AND(OR(R457="follow-up",R457="Evaluation",R457="tbd",R457="In evaluation"),B457&lt;&gt;""),1,0)</f>
        <v>9</v>
      </c>
    </row>
    <row r="458" ht="15" customHeight="1">
      <c r="I458" s="215" t="n"/>
      <c r="J458" s="215" t="n"/>
      <c r="K458" s="215" t="n"/>
      <c r="L458" s="215" t="n"/>
      <c r="M458" s="215" t="n"/>
      <c r="N458" s="215" t="str">
        <f>IF(ISNUMBER(I458),ROUND(I458-I458/1.081,2),"")</f>
        <v/>
      </c>
      <c r="O458" s="215" t="str">
        <f>IF(ISNUMBER(I458),I458-SUM(J458:N458),"")</f>
        <v/>
      </c>
      <c r="P458" s="216" t="str">
        <f>IFERROR(IF(AND(ISNUMBER(O458),ISNUMBER(I458),I458&lt;&gt;0),O458/I458,""),"")</f>
        <v/>
      </c>
      <c r="Q458" s="215" t="str">
        <f>IF(AND(ISNUMBER(I458),ISNUMBER(S458)),I458*IF(S458&lt;=1,S458,S458/100),IF(OR(I458&lt;&gt;"",S458&lt;&gt;""),"tbd",""))</f>
        <v/>
      </c>
      <c r="S458" s="217" t="n"/>
      <c r="Z458" t="str">
        <f>IF(AND(R458="WON",ISNUMBER(I458)),AA458,"")</f>
        <v/>
      </c>
      <c r="AA458">
        <f>IFERROR(I458*1,0)</f>
        <v>0</v>
      </c>
      <c r="AB458">
        <f>N(AB457)+IF(AND(R458="WON",B458&lt;&gt;""),1,0)</f>
        <v>7</v>
      </c>
      <c r="AC458">
        <f>N(AC457)+IF(AND(OR(R458="offered",R458="to be offered",R458="on hold"),B458&lt;&gt;""),1,0)</f>
        <v>19</v>
      </c>
      <c r="AD458">
        <f>N(AD457)+IF(AND(OR(R458="follow-up",R458="Evaluation",R458="tbd",R458="In evaluation"),B458&lt;&gt;""),1,0)</f>
        <v>9</v>
      </c>
    </row>
    <row r="459" ht="15" customHeight="1">
      <c r="I459" s="215" t="n"/>
      <c r="J459" s="215" t="n"/>
      <c r="K459" s="215" t="n"/>
      <c r="L459" s="215" t="n"/>
      <c r="M459" s="215" t="n"/>
      <c r="N459" s="215" t="str">
        <f>IF(ISNUMBER(I459),ROUND(I459-I459/1.081,2),"")</f>
        <v/>
      </c>
      <c r="O459" s="215" t="str">
        <f>IF(ISNUMBER(I459),I459-SUM(J459:N459),"")</f>
        <v/>
      </c>
      <c r="P459" s="216" t="str">
        <f>IFERROR(IF(AND(ISNUMBER(O459),ISNUMBER(I459),I459&lt;&gt;0),O459/I459,""),"")</f>
        <v/>
      </c>
      <c r="Q459" s="215" t="str">
        <f>IF(AND(ISNUMBER(I459),ISNUMBER(S459)),I459*IF(S459&lt;=1,S459,S459/100),IF(OR(I459&lt;&gt;"",S459&lt;&gt;""),"tbd",""))</f>
        <v/>
      </c>
      <c r="S459" s="217" t="n"/>
      <c r="Z459" t="str">
        <f>IF(AND(R459="WON",ISNUMBER(I459)),AA459,"")</f>
        <v/>
      </c>
      <c r="AA459">
        <f>IFERROR(I459*1,0)</f>
        <v>0</v>
      </c>
      <c r="AB459">
        <f>N(AB458)+IF(AND(R459="WON",B459&lt;&gt;""),1,0)</f>
        <v>7</v>
      </c>
      <c r="AC459">
        <f>N(AC458)+IF(AND(OR(R459="offered",R459="to be offered",R459="on hold"),B459&lt;&gt;""),1,0)</f>
        <v>19</v>
      </c>
      <c r="AD459">
        <f>N(AD458)+IF(AND(OR(R459="follow-up",R459="Evaluation",R459="tbd",R459="In evaluation"),B459&lt;&gt;""),1,0)</f>
        <v>9</v>
      </c>
    </row>
    <row r="460" ht="15" customHeight="1">
      <c r="I460" s="215" t="n"/>
      <c r="J460" s="215" t="n"/>
      <c r="K460" s="215" t="n"/>
      <c r="L460" s="215" t="n"/>
      <c r="M460" s="215" t="n"/>
      <c r="N460" s="215" t="str">
        <f>IF(ISNUMBER(I460),ROUND(I460-I460/1.081,2),"")</f>
        <v/>
      </c>
      <c r="O460" s="215" t="str">
        <f>IF(ISNUMBER(I460),I460-SUM(J460:N460),"")</f>
        <v/>
      </c>
      <c r="P460" s="216" t="str">
        <f>IFERROR(IF(AND(ISNUMBER(O460),ISNUMBER(I460),I460&lt;&gt;0),O460/I460,""),"")</f>
        <v/>
      </c>
      <c r="Q460" s="215" t="str">
        <f>IF(AND(ISNUMBER(I460),ISNUMBER(S460)),I460*IF(S460&lt;=1,S460,S460/100),IF(OR(I460&lt;&gt;"",S460&lt;&gt;""),"tbd",""))</f>
        <v/>
      </c>
      <c r="S460" s="217" t="n"/>
      <c r="Z460" t="str">
        <f>IF(AND(R460="WON",ISNUMBER(I460)),AA460,"")</f>
        <v/>
      </c>
      <c r="AA460">
        <f>IFERROR(I460*1,0)</f>
        <v>0</v>
      </c>
      <c r="AB460">
        <f>N(AB459)+IF(AND(R460="WON",B460&lt;&gt;""),1,0)</f>
        <v>7</v>
      </c>
      <c r="AC460">
        <f>N(AC459)+IF(AND(OR(R460="offered",R460="to be offered",R460="on hold"),B460&lt;&gt;""),1,0)</f>
        <v>19</v>
      </c>
      <c r="AD460">
        <f>N(AD459)+IF(AND(OR(R460="follow-up",R460="Evaluation",R460="tbd",R460="In evaluation"),B460&lt;&gt;""),1,0)</f>
        <v>9</v>
      </c>
    </row>
    <row r="461" ht="15" customHeight="1">
      <c r="I461" s="215" t="n"/>
      <c r="J461" s="215" t="n"/>
      <c r="K461" s="215" t="n"/>
      <c r="L461" s="215" t="n"/>
      <c r="M461" s="215" t="n"/>
      <c r="N461" s="215" t="str">
        <f>IF(ISNUMBER(I461),ROUND(I461-I461/1.081,2),"")</f>
        <v/>
      </c>
      <c r="O461" s="215" t="str">
        <f>IF(ISNUMBER(I461),I461-SUM(J461:N461),"")</f>
        <v/>
      </c>
      <c r="P461" s="216" t="str">
        <f>IFERROR(IF(AND(ISNUMBER(O461),ISNUMBER(I461),I461&lt;&gt;0),O461/I461,""),"")</f>
        <v/>
      </c>
      <c r="Q461" s="215" t="str">
        <f>IF(AND(ISNUMBER(I461),ISNUMBER(S461)),I461*IF(S461&lt;=1,S461,S461/100),IF(OR(I461&lt;&gt;"",S461&lt;&gt;""),"tbd",""))</f>
        <v/>
      </c>
      <c r="S461" s="217" t="n"/>
      <c r="Z461" t="str">
        <f>IF(AND(R461="WON",ISNUMBER(I461)),AA461,"")</f>
        <v/>
      </c>
      <c r="AA461">
        <f>IFERROR(I461*1,0)</f>
        <v>0</v>
      </c>
      <c r="AB461">
        <f>N(AB460)+IF(AND(R461="WON",B461&lt;&gt;""),1,0)</f>
        <v>7</v>
      </c>
      <c r="AC461">
        <f>N(AC460)+IF(AND(OR(R461="offered",R461="to be offered",R461="on hold"),B461&lt;&gt;""),1,0)</f>
        <v>19</v>
      </c>
      <c r="AD461">
        <f>N(AD460)+IF(AND(OR(R461="follow-up",R461="Evaluation",R461="tbd",R461="In evaluation"),B461&lt;&gt;""),1,0)</f>
        <v>9</v>
      </c>
    </row>
    <row r="462" ht="15" customHeight="1">
      <c r="I462" s="215" t="n"/>
      <c r="J462" s="215" t="n"/>
      <c r="K462" s="215" t="n"/>
      <c r="L462" s="215" t="n"/>
      <c r="M462" s="215" t="n"/>
      <c r="N462" s="215" t="str">
        <f>IF(ISNUMBER(I462),ROUND(I462-I462/1.081,2),"")</f>
        <v/>
      </c>
      <c r="O462" s="215" t="str">
        <f>IF(ISNUMBER(I462),I462-SUM(J462:N462),"")</f>
        <v/>
      </c>
      <c r="P462" s="216" t="str">
        <f>IFERROR(IF(AND(ISNUMBER(O462),ISNUMBER(I462),I462&lt;&gt;0),O462/I462,""),"")</f>
        <v/>
      </c>
      <c r="Q462" s="215" t="str">
        <f>IF(AND(ISNUMBER(I462),ISNUMBER(S462)),I462*IF(S462&lt;=1,S462,S462/100),IF(OR(I462&lt;&gt;"",S462&lt;&gt;""),"tbd",""))</f>
        <v/>
      </c>
      <c r="S462" s="217" t="n"/>
      <c r="Z462" t="str">
        <f>IF(AND(R462="WON",ISNUMBER(I462)),AA462,"")</f>
        <v/>
      </c>
      <c r="AA462">
        <f>IFERROR(I462*1,0)</f>
        <v>0</v>
      </c>
      <c r="AB462">
        <f>N(AB461)+IF(AND(R462="WON",B462&lt;&gt;""),1,0)</f>
        <v>7</v>
      </c>
      <c r="AC462">
        <f>N(AC461)+IF(AND(OR(R462="offered",R462="to be offered",R462="on hold"),B462&lt;&gt;""),1,0)</f>
        <v>19</v>
      </c>
      <c r="AD462">
        <f>N(AD461)+IF(AND(OR(R462="follow-up",R462="Evaluation",R462="tbd",R462="In evaluation"),B462&lt;&gt;""),1,0)</f>
        <v>9</v>
      </c>
    </row>
    <row r="463" ht="15" customHeight="1">
      <c r="I463" s="215" t="n"/>
      <c r="J463" s="215" t="n"/>
      <c r="K463" s="215" t="n"/>
      <c r="L463" s="215" t="n"/>
      <c r="M463" s="215" t="n"/>
      <c r="N463" s="215" t="str">
        <f>IF(ISNUMBER(I463),ROUND(I463-I463/1.081,2),"")</f>
        <v/>
      </c>
      <c r="O463" s="215" t="str">
        <f>IF(ISNUMBER(I463),I463-SUM(J463:N463),"")</f>
        <v/>
      </c>
      <c r="P463" s="216" t="str">
        <f>IFERROR(IF(AND(ISNUMBER(O463),ISNUMBER(I463),I463&lt;&gt;0),O463/I463,""),"")</f>
        <v/>
      </c>
      <c r="Q463" s="215" t="str">
        <f>IF(AND(ISNUMBER(I463),ISNUMBER(S463)),I463*IF(S463&lt;=1,S463,S463/100),IF(OR(I463&lt;&gt;"",S463&lt;&gt;""),"tbd",""))</f>
        <v/>
      </c>
      <c r="S463" s="217" t="n"/>
      <c r="Z463" t="str">
        <f>IF(AND(R463="WON",ISNUMBER(I463)),AA463,"")</f>
        <v/>
      </c>
      <c r="AA463">
        <f>IFERROR(I463*1,0)</f>
        <v>0</v>
      </c>
      <c r="AB463">
        <f>N(AB462)+IF(AND(R463="WON",B463&lt;&gt;""),1,0)</f>
        <v>7</v>
      </c>
      <c r="AC463">
        <f>N(AC462)+IF(AND(OR(R463="offered",R463="to be offered",R463="on hold"),B463&lt;&gt;""),1,0)</f>
        <v>19</v>
      </c>
      <c r="AD463">
        <f>N(AD462)+IF(AND(OR(R463="follow-up",R463="Evaluation",R463="tbd",R463="In evaluation"),B463&lt;&gt;""),1,0)</f>
        <v>9</v>
      </c>
    </row>
    <row r="464" ht="15" customHeight="1">
      <c r="I464" s="215" t="n"/>
      <c r="J464" s="215" t="n"/>
      <c r="K464" s="215" t="n"/>
      <c r="L464" s="215" t="n"/>
      <c r="M464" s="215" t="n"/>
      <c r="N464" s="215" t="str">
        <f>IF(ISNUMBER(I464),ROUND(I464-I464/1.081,2),"")</f>
        <v/>
      </c>
      <c r="O464" s="215" t="str">
        <f>IF(ISNUMBER(I464),I464-SUM(J464:N464),"")</f>
        <v/>
      </c>
      <c r="P464" s="216" t="str">
        <f>IFERROR(IF(AND(ISNUMBER(O464),ISNUMBER(I464),I464&lt;&gt;0),O464/I464,""),"")</f>
        <v/>
      </c>
      <c r="Q464" s="215" t="str">
        <f>IF(AND(ISNUMBER(I464),ISNUMBER(S464)),I464*IF(S464&lt;=1,S464,S464/100),IF(OR(I464&lt;&gt;"",S464&lt;&gt;""),"tbd",""))</f>
        <v/>
      </c>
      <c r="S464" s="217" t="n"/>
      <c r="Z464" t="str">
        <f>IF(AND(R464="WON",ISNUMBER(I464)),AA464,"")</f>
        <v/>
      </c>
      <c r="AA464">
        <f>IFERROR(I464*1,0)</f>
        <v>0</v>
      </c>
      <c r="AB464">
        <f>N(AB463)+IF(AND(R464="WON",B464&lt;&gt;""),1,0)</f>
        <v>7</v>
      </c>
      <c r="AC464">
        <f>N(AC463)+IF(AND(OR(R464="offered",R464="to be offered",R464="on hold"),B464&lt;&gt;""),1,0)</f>
        <v>19</v>
      </c>
      <c r="AD464">
        <f>N(AD463)+IF(AND(OR(R464="follow-up",R464="Evaluation",R464="tbd",R464="In evaluation"),B464&lt;&gt;""),1,0)</f>
        <v>9</v>
      </c>
    </row>
    <row r="465" ht="15" customHeight="1">
      <c r="I465" s="215" t="n"/>
      <c r="J465" s="215" t="n"/>
      <c r="K465" s="215" t="n"/>
      <c r="L465" s="215" t="n"/>
      <c r="M465" s="215" t="n"/>
      <c r="N465" s="215" t="str">
        <f>IF(ISNUMBER(I465),ROUND(I465-I465/1.081,2),"")</f>
        <v/>
      </c>
      <c r="O465" s="215" t="str">
        <f>IF(ISNUMBER(I465),I465-SUM(J465:N465),"")</f>
        <v/>
      </c>
      <c r="P465" s="216" t="str">
        <f>IFERROR(IF(AND(ISNUMBER(O465),ISNUMBER(I465),I465&lt;&gt;0),O465/I465,""),"")</f>
        <v/>
      </c>
      <c r="Q465" s="215" t="str">
        <f>IF(AND(ISNUMBER(I465),ISNUMBER(S465)),I465*IF(S465&lt;=1,S465,S465/100),IF(OR(I465&lt;&gt;"",S465&lt;&gt;""),"tbd",""))</f>
        <v/>
      </c>
      <c r="S465" s="217" t="n"/>
      <c r="Z465" t="str">
        <f>IF(AND(R465="WON",ISNUMBER(I465)),AA465,"")</f>
        <v/>
      </c>
      <c r="AA465">
        <f>IFERROR(I465*1,0)</f>
        <v>0</v>
      </c>
      <c r="AB465">
        <f>N(AB464)+IF(AND(R465="WON",B465&lt;&gt;""),1,0)</f>
        <v>7</v>
      </c>
      <c r="AC465">
        <f>N(AC464)+IF(AND(OR(R465="offered",R465="to be offered",R465="on hold"),B465&lt;&gt;""),1,0)</f>
        <v>19</v>
      </c>
      <c r="AD465">
        <f>N(AD464)+IF(AND(OR(R465="follow-up",R465="Evaluation",R465="tbd",R465="In evaluation"),B465&lt;&gt;""),1,0)</f>
        <v>9</v>
      </c>
    </row>
    <row r="466" ht="15" customHeight="1">
      <c r="I466" s="215" t="n"/>
      <c r="J466" s="215" t="n"/>
      <c r="K466" s="215" t="n"/>
      <c r="L466" s="215" t="n"/>
      <c r="M466" s="215" t="n"/>
      <c r="N466" s="215" t="str">
        <f>IF(ISNUMBER(I466),ROUND(I466-I466/1.081,2),"")</f>
        <v/>
      </c>
      <c r="O466" s="215" t="str">
        <f>IF(ISNUMBER(I466),I466-SUM(J466:N466),"")</f>
        <v/>
      </c>
      <c r="P466" s="216" t="str">
        <f>IFERROR(IF(AND(ISNUMBER(O466),ISNUMBER(I466),I466&lt;&gt;0),O466/I466,""),"")</f>
        <v/>
      </c>
      <c r="Q466" s="215" t="str">
        <f>IF(AND(ISNUMBER(I466),ISNUMBER(S466)),I466*IF(S466&lt;=1,S466,S466/100),IF(OR(I466&lt;&gt;"",S466&lt;&gt;""),"tbd",""))</f>
        <v/>
      </c>
      <c r="S466" s="217" t="n"/>
      <c r="Z466" t="str">
        <f>IF(AND(R466="WON",ISNUMBER(I466)),AA466,"")</f>
        <v/>
      </c>
      <c r="AA466">
        <f>IFERROR(I466*1,0)</f>
        <v>0</v>
      </c>
      <c r="AB466">
        <f>N(AB465)+IF(AND(R466="WON",B466&lt;&gt;""),1,0)</f>
        <v>7</v>
      </c>
      <c r="AC466">
        <f>N(AC465)+IF(AND(OR(R466="offered",R466="to be offered",R466="on hold"),B466&lt;&gt;""),1,0)</f>
        <v>19</v>
      </c>
      <c r="AD466">
        <f>N(AD465)+IF(AND(OR(R466="follow-up",R466="Evaluation",R466="tbd",R466="In evaluation"),B466&lt;&gt;""),1,0)</f>
        <v>9</v>
      </c>
    </row>
    <row r="467" ht="15" customHeight="1">
      <c r="I467" s="215" t="n"/>
      <c r="J467" s="215" t="n"/>
      <c r="K467" s="215" t="n"/>
      <c r="L467" s="215" t="n"/>
      <c r="M467" s="215" t="n"/>
      <c r="N467" s="215" t="str">
        <f>IF(ISNUMBER(I467),ROUND(I467-I467/1.081,2),"")</f>
        <v/>
      </c>
      <c r="O467" s="215" t="str">
        <f>IF(ISNUMBER(I467),I467-SUM(J467:N467),"")</f>
        <v/>
      </c>
      <c r="P467" s="216" t="str">
        <f>IFERROR(IF(AND(ISNUMBER(O467),ISNUMBER(I467),I467&lt;&gt;0),O467/I467,""),"")</f>
        <v/>
      </c>
      <c r="Q467" s="215" t="str">
        <f>IF(AND(ISNUMBER(I467),ISNUMBER(S467)),I467*IF(S467&lt;=1,S467,S467/100),IF(OR(I467&lt;&gt;"",S467&lt;&gt;""),"tbd",""))</f>
        <v/>
      </c>
      <c r="S467" s="217" t="n"/>
      <c r="Z467" t="str">
        <f>IF(AND(R467="WON",ISNUMBER(I467)),AA467,"")</f>
        <v/>
      </c>
      <c r="AA467">
        <f>IFERROR(I467*1,0)</f>
        <v>0</v>
      </c>
      <c r="AB467">
        <f>N(AB466)+IF(AND(R467="WON",B467&lt;&gt;""),1,0)</f>
        <v>7</v>
      </c>
      <c r="AC467">
        <f>N(AC466)+IF(AND(OR(R467="offered",R467="to be offered",R467="on hold"),B467&lt;&gt;""),1,0)</f>
        <v>19</v>
      </c>
      <c r="AD467">
        <f>N(AD466)+IF(AND(OR(R467="follow-up",R467="Evaluation",R467="tbd",R467="In evaluation"),B467&lt;&gt;""),1,0)</f>
        <v>9</v>
      </c>
    </row>
    <row r="468" ht="15" customHeight="1">
      <c r="I468" s="215" t="n"/>
      <c r="J468" s="215" t="n"/>
      <c r="K468" s="215" t="n"/>
      <c r="L468" s="215" t="n"/>
      <c r="M468" s="215" t="n"/>
      <c r="N468" s="215" t="str">
        <f>IF(ISNUMBER(I468),ROUND(I468-I468/1.081,2),"")</f>
        <v/>
      </c>
      <c r="O468" s="215" t="str">
        <f>IF(ISNUMBER(I468),I468-SUM(J468:N468),"")</f>
        <v/>
      </c>
      <c r="P468" s="216" t="str">
        <f>IFERROR(IF(AND(ISNUMBER(O468),ISNUMBER(I468),I468&lt;&gt;0),O468/I468,""),"")</f>
        <v/>
      </c>
      <c r="Q468" s="215" t="str">
        <f>IF(AND(ISNUMBER(I468),ISNUMBER(S468)),I468*IF(S468&lt;=1,S468,S468/100),IF(OR(I468&lt;&gt;"",S468&lt;&gt;""),"tbd",""))</f>
        <v/>
      </c>
      <c r="S468" s="217" t="n"/>
      <c r="Z468" t="str">
        <f>IF(AND(R468="WON",ISNUMBER(I468)),AA468,"")</f>
        <v/>
      </c>
      <c r="AA468">
        <f>IFERROR(I468*1,0)</f>
        <v>0</v>
      </c>
      <c r="AB468">
        <f>N(AB467)+IF(AND(R468="WON",B468&lt;&gt;""),1,0)</f>
        <v>7</v>
      </c>
      <c r="AC468">
        <f>N(AC467)+IF(AND(OR(R468="offered",R468="to be offered",R468="on hold"),B468&lt;&gt;""),1,0)</f>
        <v>19</v>
      </c>
      <c r="AD468">
        <f>N(AD467)+IF(AND(OR(R468="follow-up",R468="Evaluation",R468="tbd",R468="In evaluation"),B468&lt;&gt;""),1,0)</f>
        <v>9</v>
      </c>
    </row>
    <row r="469" ht="15" customHeight="1">
      <c r="I469" s="215" t="n"/>
      <c r="J469" s="215" t="n"/>
      <c r="K469" s="215" t="n"/>
      <c r="L469" s="215" t="n"/>
      <c r="M469" s="215" t="n"/>
      <c r="N469" s="215" t="str">
        <f>IF(ISNUMBER(I469),ROUND(I469-I469/1.081,2),"")</f>
        <v/>
      </c>
      <c r="O469" s="215" t="str">
        <f>IF(ISNUMBER(I469),I469-SUM(J469:N469),"")</f>
        <v/>
      </c>
      <c r="P469" s="216" t="str">
        <f>IFERROR(IF(AND(ISNUMBER(O469),ISNUMBER(I469),I469&lt;&gt;0),O469/I469,""),"")</f>
        <v/>
      </c>
      <c r="Q469" s="215" t="str">
        <f>IF(AND(ISNUMBER(I469),ISNUMBER(S469)),I469*IF(S469&lt;=1,S469,S469/100),IF(OR(I469&lt;&gt;"",S469&lt;&gt;""),"tbd",""))</f>
        <v/>
      </c>
      <c r="S469" s="217" t="n"/>
      <c r="Z469" t="str">
        <f>IF(AND(R469="WON",ISNUMBER(I469)),AA469,"")</f>
        <v/>
      </c>
      <c r="AA469">
        <f>IFERROR(I469*1,0)</f>
        <v>0</v>
      </c>
      <c r="AB469">
        <f>N(AB468)+IF(AND(R469="WON",B469&lt;&gt;""),1,0)</f>
        <v>7</v>
      </c>
      <c r="AC469">
        <f>N(AC468)+IF(AND(OR(R469="offered",R469="to be offered",R469="on hold"),B469&lt;&gt;""),1,0)</f>
        <v>19</v>
      </c>
      <c r="AD469">
        <f>N(AD468)+IF(AND(OR(R469="follow-up",R469="Evaluation",R469="tbd",R469="In evaluation"),B469&lt;&gt;""),1,0)</f>
        <v>9</v>
      </c>
    </row>
    <row r="470" ht="15" customHeight="1">
      <c r="I470" s="215" t="n"/>
      <c r="J470" s="215" t="n"/>
      <c r="K470" s="215" t="n"/>
      <c r="L470" s="215" t="n"/>
      <c r="M470" s="215" t="n"/>
      <c r="N470" s="215" t="str">
        <f>IF(ISNUMBER(I470),ROUND(I470-I470/1.081,2),"")</f>
        <v/>
      </c>
      <c r="O470" s="215" t="str">
        <f>IF(ISNUMBER(I470),I470-SUM(J470:N470),"")</f>
        <v/>
      </c>
      <c r="P470" s="216" t="str">
        <f>IFERROR(IF(AND(ISNUMBER(O470),ISNUMBER(I470),I470&lt;&gt;0),O470/I470,""),"")</f>
        <v/>
      </c>
      <c r="Q470" s="215" t="str">
        <f>IF(AND(ISNUMBER(I470),ISNUMBER(S470)),I470*IF(S470&lt;=1,S470,S470/100),IF(OR(I470&lt;&gt;"",S470&lt;&gt;""),"tbd",""))</f>
        <v/>
      </c>
      <c r="S470" s="217" t="n"/>
      <c r="Z470" t="str">
        <f>IF(AND(R470="WON",ISNUMBER(I470)),AA470,"")</f>
        <v/>
      </c>
      <c r="AA470">
        <f>IFERROR(I470*1,0)</f>
        <v>0</v>
      </c>
      <c r="AB470">
        <f>N(AB469)+IF(AND(R470="WON",B470&lt;&gt;""),1,0)</f>
        <v>7</v>
      </c>
      <c r="AC470">
        <f>N(AC469)+IF(AND(OR(R470="offered",R470="to be offered",R470="on hold"),B470&lt;&gt;""),1,0)</f>
        <v>19</v>
      </c>
      <c r="AD470">
        <f>N(AD469)+IF(AND(OR(R470="follow-up",R470="Evaluation",R470="tbd",R470="In evaluation"),B470&lt;&gt;""),1,0)</f>
        <v>9</v>
      </c>
    </row>
    <row r="471" ht="15" customHeight="1">
      <c r="I471" s="215" t="n"/>
      <c r="J471" s="215" t="n"/>
      <c r="K471" s="215" t="n"/>
      <c r="L471" s="215" t="n"/>
      <c r="M471" s="215" t="n"/>
      <c r="N471" s="215" t="str">
        <f>IF(ISNUMBER(I471),ROUND(I471-I471/1.081,2),"")</f>
        <v/>
      </c>
      <c r="O471" s="215" t="str">
        <f>IF(ISNUMBER(I471),I471-SUM(J471:N471),"")</f>
        <v/>
      </c>
      <c r="P471" s="216" t="str">
        <f>IFERROR(IF(AND(ISNUMBER(O471),ISNUMBER(I471),I471&lt;&gt;0),O471/I471,""),"")</f>
        <v/>
      </c>
      <c r="Q471" s="215" t="str">
        <f>IF(AND(ISNUMBER(I471),ISNUMBER(S471)),I471*IF(S471&lt;=1,S471,S471/100),IF(OR(I471&lt;&gt;"",S471&lt;&gt;""),"tbd",""))</f>
        <v/>
      </c>
      <c r="S471" s="217" t="n"/>
      <c r="Z471" t="str">
        <f>IF(AND(R471="WON",ISNUMBER(I471)),AA471,"")</f>
        <v/>
      </c>
      <c r="AA471">
        <f>IFERROR(I471*1,0)</f>
        <v>0</v>
      </c>
      <c r="AB471">
        <f>N(AB470)+IF(AND(R471="WON",B471&lt;&gt;""),1,0)</f>
        <v>7</v>
      </c>
      <c r="AC471">
        <f>N(AC470)+IF(AND(OR(R471="offered",R471="to be offered",R471="on hold"),B471&lt;&gt;""),1,0)</f>
        <v>19</v>
      </c>
      <c r="AD471">
        <f>N(AD470)+IF(AND(OR(R471="follow-up",R471="Evaluation",R471="tbd",R471="In evaluation"),B471&lt;&gt;""),1,0)</f>
        <v>9</v>
      </c>
    </row>
    <row r="472" ht="15" customHeight="1">
      <c r="I472" s="215" t="n"/>
      <c r="J472" s="215" t="n"/>
      <c r="K472" s="215" t="n"/>
      <c r="L472" s="215" t="n"/>
      <c r="M472" s="215" t="n"/>
      <c r="N472" s="215" t="str">
        <f>IF(ISNUMBER(I472),ROUND(I472-I472/1.081,2),"")</f>
        <v/>
      </c>
      <c r="O472" s="215" t="str">
        <f>IF(ISNUMBER(I472),I472-SUM(J472:N472),"")</f>
        <v/>
      </c>
      <c r="P472" s="216" t="str">
        <f>IFERROR(IF(AND(ISNUMBER(O472),ISNUMBER(I472),I472&lt;&gt;0),O472/I472,""),"")</f>
        <v/>
      </c>
      <c r="Q472" s="215" t="str">
        <f>IF(AND(ISNUMBER(I472),ISNUMBER(S472)),I472*IF(S472&lt;=1,S472,S472/100),IF(OR(I472&lt;&gt;"",S472&lt;&gt;""),"tbd",""))</f>
        <v/>
      </c>
      <c r="S472" s="217" t="n"/>
      <c r="Z472" t="str">
        <f>IF(AND(R472="WON",ISNUMBER(I472)),AA472,"")</f>
        <v/>
      </c>
      <c r="AA472">
        <f>IFERROR(I472*1,0)</f>
        <v>0</v>
      </c>
      <c r="AB472">
        <f>N(AB471)+IF(AND(R472="WON",B472&lt;&gt;""),1,0)</f>
        <v>7</v>
      </c>
      <c r="AC472">
        <f>N(AC471)+IF(AND(OR(R472="offered",R472="to be offered",R472="on hold"),B472&lt;&gt;""),1,0)</f>
        <v>19</v>
      </c>
      <c r="AD472">
        <f>N(AD471)+IF(AND(OR(R472="follow-up",R472="Evaluation",R472="tbd",R472="In evaluation"),B472&lt;&gt;""),1,0)</f>
        <v>9</v>
      </c>
    </row>
    <row r="473" ht="15" customHeight="1">
      <c r="I473" s="215" t="n"/>
      <c r="J473" s="215" t="n"/>
      <c r="K473" s="215" t="n"/>
      <c r="L473" s="215" t="n"/>
      <c r="M473" s="215" t="n"/>
      <c r="N473" s="215" t="str">
        <f>IF(ISNUMBER(I473),ROUND(I473-I473/1.081,2),"")</f>
        <v/>
      </c>
      <c r="O473" s="215" t="str">
        <f>IF(ISNUMBER(I473),I473-SUM(J473:N473),"")</f>
        <v/>
      </c>
      <c r="P473" s="216" t="str">
        <f>IFERROR(IF(AND(ISNUMBER(O473),ISNUMBER(I473),I473&lt;&gt;0),O473/I473,""),"")</f>
        <v/>
      </c>
      <c r="Q473" s="215" t="str">
        <f>IF(AND(ISNUMBER(I473),ISNUMBER(S473)),I473*IF(S473&lt;=1,S473,S473/100),IF(OR(I473&lt;&gt;"",S473&lt;&gt;""),"tbd",""))</f>
        <v/>
      </c>
      <c r="S473" s="217" t="n"/>
      <c r="Z473" t="str">
        <f>IF(AND(R473="WON",ISNUMBER(I473)),AA473,"")</f>
        <v/>
      </c>
      <c r="AA473">
        <f>IFERROR(I473*1,0)</f>
        <v>0</v>
      </c>
      <c r="AB473">
        <f>N(AB472)+IF(AND(R473="WON",B473&lt;&gt;""),1,0)</f>
        <v>7</v>
      </c>
      <c r="AC473">
        <f>N(AC472)+IF(AND(OR(R473="offered",R473="to be offered",R473="on hold"),B473&lt;&gt;""),1,0)</f>
        <v>19</v>
      </c>
      <c r="AD473">
        <f>N(AD472)+IF(AND(OR(R473="follow-up",R473="Evaluation",R473="tbd",R473="In evaluation"),B473&lt;&gt;""),1,0)</f>
        <v>9</v>
      </c>
    </row>
    <row r="474" ht="15" customHeight="1">
      <c r="I474" s="215" t="n"/>
      <c r="J474" s="215" t="n"/>
      <c r="K474" s="215" t="n"/>
      <c r="L474" s="215" t="n"/>
      <c r="M474" s="215" t="n"/>
      <c r="N474" s="215" t="str">
        <f>IF(ISNUMBER(I474),ROUND(I474-I474/1.081,2),"")</f>
        <v/>
      </c>
      <c r="O474" s="215" t="str">
        <f>IF(ISNUMBER(I474),I474-SUM(J474:N474),"")</f>
        <v/>
      </c>
      <c r="P474" s="216" t="str">
        <f>IFERROR(IF(AND(ISNUMBER(O474),ISNUMBER(I474),I474&lt;&gt;0),O474/I474,""),"")</f>
        <v/>
      </c>
      <c r="Q474" s="215" t="str">
        <f>IF(AND(ISNUMBER(I474),ISNUMBER(S474)),I474*IF(S474&lt;=1,S474,S474/100),IF(OR(I474&lt;&gt;"",S474&lt;&gt;""),"tbd",""))</f>
        <v/>
      </c>
      <c r="S474" s="217" t="n"/>
      <c r="Z474" t="str">
        <f>IF(AND(R474="WON",ISNUMBER(I474)),AA474,"")</f>
        <v/>
      </c>
      <c r="AA474">
        <f>IFERROR(I474*1,0)</f>
        <v>0</v>
      </c>
      <c r="AB474">
        <f>N(AB473)+IF(AND(R474="WON",B474&lt;&gt;""),1,0)</f>
        <v>7</v>
      </c>
      <c r="AC474">
        <f>N(AC473)+IF(AND(OR(R474="offered",R474="to be offered",R474="on hold"),B474&lt;&gt;""),1,0)</f>
        <v>19</v>
      </c>
      <c r="AD474">
        <f>N(AD473)+IF(AND(OR(R474="follow-up",R474="Evaluation",R474="tbd",R474="In evaluation"),B474&lt;&gt;""),1,0)</f>
        <v>9</v>
      </c>
    </row>
    <row r="475" ht="15" customHeight="1">
      <c r="I475" s="215" t="n"/>
      <c r="J475" s="215" t="n"/>
      <c r="K475" s="215" t="n"/>
      <c r="L475" s="215" t="n"/>
      <c r="M475" s="215" t="n"/>
      <c r="N475" s="215" t="str">
        <f>IF(ISNUMBER(I475),ROUND(I475-I475/1.081,2),"")</f>
        <v/>
      </c>
      <c r="O475" s="215" t="str">
        <f>IF(ISNUMBER(I475),I475-SUM(J475:N475),"")</f>
        <v/>
      </c>
      <c r="P475" s="216" t="str">
        <f>IFERROR(IF(AND(ISNUMBER(O475),ISNUMBER(I475),I475&lt;&gt;0),O475/I475,""),"")</f>
        <v/>
      </c>
      <c r="Q475" s="215" t="str">
        <f>IF(AND(ISNUMBER(I475),ISNUMBER(S475)),I475*IF(S475&lt;=1,S475,S475/100),IF(OR(I475&lt;&gt;"",S475&lt;&gt;""),"tbd",""))</f>
        <v/>
      </c>
      <c r="S475" s="217" t="n"/>
      <c r="Z475" t="str">
        <f>IF(AND(R475="WON",ISNUMBER(I475)),AA475,"")</f>
        <v/>
      </c>
      <c r="AA475">
        <f>IFERROR(I475*1,0)</f>
        <v>0</v>
      </c>
      <c r="AB475">
        <f>N(AB474)+IF(AND(R475="WON",B475&lt;&gt;""),1,0)</f>
        <v>7</v>
      </c>
      <c r="AC475">
        <f>N(AC474)+IF(AND(OR(R475="offered",R475="to be offered",R475="on hold"),B475&lt;&gt;""),1,0)</f>
        <v>19</v>
      </c>
      <c r="AD475">
        <f>N(AD474)+IF(AND(OR(R475="follow-up",R475="Evaluation",R475="tbd",R475="In evaluation"),B475&lt;&gt;""),1,0)</f>
        <v>9</v>
      </c>
    </row>
    <row r="476" ht="15" customHeight="1">
      <c r="I476" s="215" t="n"/>
      <c r="J476" s="215" t="n"/>
      <c r="K476" s="215" t="n"/>
      <c r="L476" s="215" t="n"/>
      <c r="M476" s="215" t="n"/>
      <c r="N476" s="215" t="str">
        <f>IF(ISNUMBER(I476),ROUND(I476-I476/1.081,2),"")</f>
        <v/>
      </c>
      <c r="O476" s="215" t="str">
        <f>IF(ISNUMBER(I476),I476-SUM(J476:N476),"")</f>
        <v/>
      </c>
      <c r="P476" s="216" t="str">
        <f>IFERROR(IF(AND(ISNUMBER(O476),ISNUMBER(I476),I476&lt;&gt;0),O476/I476,""),"")</f>
        <v/>
      </c>
      <c r="Q476" s="215" t="str">
        <f>IF(AND(ISNUMBER(I476),ISNUMBER(S476)),I476*IF(S476&lt;=1,S476,S476/100),IF(OR(I476&lt;&gt;"",S476&lt;&gt;""),"tbd",""))</f>
        <v/>
      </c>
      <c r="S476" s="217" t="n"/>
      <c r="Z476" t="str">
        <f>IF(AND(R476="WON",ISNUMBER(I476)),AA476,"")</f>
        <v/>
      </c>
      <c r="AA476">
        <f>IFERROR(I476*1,0)</f>
        <v>0</v>
      </c>
      <c r="AB476">
        <f>N(AB475)+IF(AND(R476="WON",B476&lt;&gt;""),1,0)</f>
        <v>7</v>
      </c>
      <c r="AC476">
        <f>N(AC475)+IF(AND(OR(R476="offered",R476="to be offered",R476="on hold"),B476&lt;&gt;""),1,0)</f>
        <v>19</v>
      </c>
      <c r="AD476">
        <f>N(AD475)+IF(AND(OR(R476="follow-up",R476="Evaluation",R476="tbd",R476="In evaluation"),B476&lt;&gt;""),1,0)</f>
        <v>9</v>
      </c>
    </row>
    <row r="477" ht="15" customHeight="1">
      <c r="I477" s="215" t="n"/>
      <c r="J477" s="215" t="n"/>
      <c r="K477" s="215" t="n"/>
      <c r="L477" s="215" t="n"/>
      <c r="M477" s="215" t="n"/>
      <c r="N477" s="215" t="str">
        <f>IF(ISNUMBER(I477),ROUND(I477-I477/1.081,2),"")</f>
        <v/>
      </c>
      <c r="O477" s="215" t="str">
        <f>IF(ISNUMBER(I477),I477-SUM(J477:N477),"")</f>
        <v/>
      </c>
      <c r="P477" s="216" t="str">
        <f>IFERROR(IF(AND(ISNUMBER(O477),ISNUMBER(I477),I477&lt;&gt;0),O477/I477,""),"")</f>
        <v/>
      </c>
      <c r="Q477" s="215" t="str">
        <f>IF(AND(ISNUMBER(I477),ISNUMBER(S477)),I477*IF(S477&lt;=1,S477,S477/100),IF(OR(I477&lt;&gt;"",S477&lt;&gt;""),"tbd",""))</f>
        <v/>
      </c>
      <c r="S477" s="217" t="n"/>
      <c r="Z477" t="str">
        <f>IF(AND(R477="WON",ISNUMBER(I477)),AA477,"")</f>
        <v/>
      </c>
      <c r="AA477">
        <f>IFERROR(I477*1,0)</f>
        <v>0</v>
      </c>
      <c r="AB477">
        <f>N(AB476)+IF(AND(R477="WON",B477&lt;&gt;""),1,0)</f>
        <v>7</v>
      </c>
      <c r="AC477">
        <f>N(AC476)+IF(AND(OR(R477="offered",R477="to be offered",R477="on hold"),B477&lt;&gt;""),1,0)</f>
        <v>19</v>
      </c>
      <c r="AD477">
        <f>N(AD476)+IF(AND(OR(R477="follow-up",R477="Evaluation",R477="tbd",R477="In evaluation"),B477&lt;&gt;""),1,0)</f>
        <v>9</v>
      </c>
    </row>
    <row r="478" ht="15" customHeight="1">
      <c r="I478" s="215" t="n"/>
      <c r="J478" s="215" t="n"/>
      <c r="K478" s="215" t="n"/>
      <c r="L478" s="215" t="n"/>
      <c r="M478" s="215" t="n"/>
      <c r="N478" s="215" t="str">
        <f>IF(ISNUMBER(I478),ROUND(I478-I478/1.081,2),"")</f>
        <v/>
      </c>
      <c r="O478" s="215" t="str">
        <f>IF(ISNUMBER(I478),I478-SUM(J478:N478),"")</f>
        <v/>
      </c>
      <c r="P478" s="216" t="str">
        <f>IFERROR(IF(AND(ISNUMBER(O478),ISNUMBER(I478),I478&lt;&gt;0),O478/I478,""),"")</f>
        <v/>
      </c>
      <c r="Q478" s="215" t="str">
        <f>IF(AND(ISNUMBER(I478),ISNUMBER(S478)),I478*IF(S478&lt;=1,S478,S478/100),IF(OR(I478&lt;&gt;"",S478&lt;&gt;""),"tbd",""))</f>
        <v/>
      </c>
      <c r="S478" s="217" t="n"/>
      <c r="Z478" t="str">
        <f>IF(AND(R478="WON",ISNUMBER(I478)),AA478,"")</f>
        <v/>
      </c>
      <c r="AA478">
        <f>IFERROR(I478*1,0)</f>
        <v>0</v>
      </c>
      <c r="AB478">
        <f>N(AB477)+IF(AND(R478="WON",B478&lt;&gt;""),1,0)</f>
        <v>7</v>
      </c>
      <c r="AC478">
        <f>N(AC477)+IF(AND(OR(R478="offered",R478="to be offered",R478="on hold"),B478&lt;&gt;""),1,0)</f>
        <v>19</v>
      </c>
      <c r="AD478">
        <f>N(AD477)+IF(AND(OR(R478="follow-up",R478="Evaluation",R478="tbd",R478="In evaluation"),B478&lt;&gt;""),1,0)</f>
        <v>9</v>
      </c>
    </row>
    <row r="479" ht="15" customHeight="1">
      <c r="I479" s="215" t="n"/>
      <c r="J479" s="215" t="n"/>
      <c r="K479" s="215" t="n"/>
      <c r="L479" s="215" t="n"/>
      <c r="M479" s="215" t="n"/>
      <c r="N479" s="215" t="str">
        <f>IF(ISNUMBER(I479),ROUND(I479-I479/1.081,2),"")</f>
        <v/>
      </c>
      <c r="O479" s="215" t="str">
        <f>IF(ISNUMBER(I479),I479-SUM(J479:N479),"")</f>
        <v/>
      </c>
      <c r="P479" s="216" t="str">
        <f>IFERROR(IF(AND(ISNUMBER(O479),ISNUMBER(I479),I479&lt;&gt;0),O479/I479,""),"")</f>
        <v/>
      </c>
      <c r="Q479" s="215" t="str">
        <f>IF(AND(ISNUMBER(I479),ISNUMBER(S479)),I479*IF(S479&lt;=1,S479,S479/100),IF(OR(I479&lt;&gt;"",S479&lt;&gt;""),"tbd",""))</f>
        <v/>
      </c>
      <c r="S479" s="217" t="n"/>
      <c r="Z479" t="str">
        <f>IF(AND(R479="WON",ISNUMBER(I479)),AA479,"")</f>
        <v/>
      </c>
      <c r="AA479">
        <f>IFERROR(I479*1,0)</f>
        <v>0</v>
      </c>
      <c r="AB479">
        <f>N(AB478)+IF(AND(R479="WON",B479&lt;&gt;""),1,0)</f>
        <v>7</v>
      </c>
      <c r="AC479">
        <f>N(AC478)+IF(AND(OR(R479="offered",R479="to be offered",R479="on hold"),B479&lt;&gt;""),1,0)</f>
        <v>19</v>
      </c>
      <c r="AD479">
        <f>N(AD478)+IF(AND(OR(R479="follow-up",R479="Evaluation",R479="tbd",R479="In evaluation"),B479&lt;&gt;""),1,0)</f>
        <v>9</v>
      </c>
    </row>
    <row r="480" ht="15" customHeight="1">
      <c r="I480" s="215" t="n"/>
      <c r="J480" s="215" t="n"/>
      <c r="K480" s="215" t="n"/>
      <c r="L480" s="215" t="n"/>
      <c r="M480" s="215" t="n"/>
      <c r="N480" s="215" t="str">
        <f>IF(ISNUMBER(I480),ROUND(I480-I480/1.081,2),"")</f>
        <v/>
      </c>
      <c r="O480" s="215" t="str">
        <f>IF(ISNUMBER(I480),I480-SUM(J480:N480),"")</f>
        <v/>
      </c>
      <c r="P480" s="216" t="str">
        <f>IFERROR(IF(AND(ISNUMBER(O480),ISNUMBER(I480),I480&lt;&gt;0),O480/I480,""),"")</f>
        <v/>
      </c>
      <c r="Q480" s="215" t="str">
        <f>IF(AND(ISNUMBER(I480),ISNUMBER(S480)),I480*IF(S480&lt;=1,S480,S480/100),IF(OR(I480&lt;&gt;"",S480&lt;&gt;""),"tbd",""))</f>
        <v/>
      </c>
      <c r="S480" s="217" t="n"/>
      <c r="Z480" t="str">
        <f>IF(AND(R480="WON",ISNUMBER(I480)),AA480,"")</f>
        <v/>
      </c>
      <c r="AA480">
        <f>IFERROR(I480*1,0)</f>
        <v>0</v>
      </c>
      <c r="AB480">
        <f>N(AB479)+IF(AND(R480="WON",B480&lt;&gt;""),1,0)</f>
        <v>7</v>
      </c>
      <c r="AC480">
        <f>N(AC479)+IF(AND(OR(R480="offered",R480="to be offered",R480="on hold"),B480&lt;&gt;""),1,0)</f>
        <v>19</v>
      </c>
      <c r="AD480">
        <f>N(AD479)+IF(AND(OR(R480="follow-up",R480="Evaluation",R480="tbd",R480="In evaluation"),B480&lt;&gt;""),1,0)</f>
        <v>9</v>
      </c>
    </row>
    <row r="481" ht="15" customHeight="1">
      <c r="I481" s="215" t="n"/>
      <c r="J481" s="215" t="n"/>
      <c r="K481" s="215" t="n"/>
      <c r="L481" s="215" t="n"/>
      <c r="M481" s="215" t="n"/>
      <c r="N481" s="215" t="str">
        <f>IF(ISNUMBER(I481),ROUND(I481-I481/1.081,2),"")</f>
        <v/>
      </c>
      <c r="O481" s="215" t="str">
        <f>IF(ISNUMBER(I481),I481-SUM(J481:N481),"")</f>
        <v/>
      </c>
      <c r="P481" s="216" t="str">
        <f>IFERROR(IF(AND(ISNUMBER(O481),ISNUMBER(I481),I481&lt;&gt;0),O481/I481,""),"")</f>
        <v/>
      </c>
      <c r="Q481" s="215" t="str">
        <f>IF(AND(ISNUMBER(I481),ISNUMBER(S481)),I481*IF(S481&lt;=1,S481,S481/100),IF(OR(I481&lt;&gt;"",S481&lt;&gt;""),"tbd",""))</f>
        <v/>
      </c>
      <c r="S481" s="217" t="n"/>
      <c r="Z481" t="str">
        <f>IF(AND(R481="WON",ISNUMBER(I481)),AA481,"")</f>
        <v/>
      </c>
      <c r="AA481">
        <f>IFERROR(I481*1,0)</f>
        <v>0</v>
      </c>
      <c r="AB481">
        <f>N(AB480)+IF(AND(R481="WON",B481&lt;&gt;""),1,0)</f>
        <v>7</v>
      </c>
      <c r="AC481">
        <f>N(AC480)+IF(AND(OR(R481="offered",R481="to be offered",R481="on hold"),B481&lt;&gt;""),1,0)</f>
        <v>19</v>
      </c>
      <c r="AD481">
        <f>N(AD480)+IF(AND(OR(R481="follow-up",R481="Evaluation",R481="tbd",R481="In evaluation"),B481&lt;&gt;""),1,0)</f>
        <v>9</v>
      </c>
    </row>
    <row r="482" ht="15" customHeight="1">
      <c r="I482" s="215" t="n"/>
      <c r="J482" s="215" t="n"/>
      <c r="K482" s="215" t="n"/>
      <c r="L482" s="215" t="n"/>
      <c r="M482" s="215" t="n"/>
      <c r="N482" s="215" t="str">
        <f>IF(ISNUMBER(I482),ROUND(I482-I482/1.081,2),"")</f>
        <v/>
      </c>
      <c r="O482" s="215" t="str">
        <f>IF(ISNUMBER(I482),I482-SUM(J482:N482),"")</f>
        <v/>
      </c>
      <c r="P482" s="216" t="str">
        <f>IFERROR(IF(AND(ISNUMBER(O482),ISNUMBER(I482),I482&lt;&gt;0),O482/I482,""),"")</f>
        <v/>
      </c>
      <c r="Q482" s="215" t="str">
        <f>IF(AND(ISNUMBER(I482),ISNUMBER(S482)),I482*IF(S482&lt;=1,S482,S482/100),IF(OR(I482&lt;&gt;"",S482&lt;&gt;""),"tbd",""))</f>
        <v/>
      </c>
      <c r="S482" s="217" t="n"/>
      <c r="Z482" t="str">
        <f>IF(AND(R482="WON",ISNUMBER(I482)),AA482,"")</f>
        <v/>
      </c>
      <c r="AA482">
        <f>IFERROR(I482*1,0)</f>
        <v>0</v>
      </c>
      <c r="AB482">
        <f>N(AB481)+IF(AND(R482="WON",B482&lt;&gt;""),1,0)</f>
        <v>7</v>
      </c>
      <c r="AC482">
        <f>N(AC481)+IF(AND(OR(R482="offered",R482="to be offered",R482="on hold"),B482&lt;&gt;""),1,0)</f>
        <v>19</v>
      </c>
      <c r="AD482">
        <f>N(AD481)+IF(AND(OR(R482="follow-up",R482="Evaluation",R482="tbd",R482="In evaluation"),B482&lt;&gt;""),1,0)</f>
        <v>9</v>
      </c>
    </row>
    <row r="483" ht="15" customHeight="1">
      <c r="I483" s="215" t="n"/>
      <c r="J483" s="215" t="n"/>
      <c r="K483" s="215" t="n"/>
      <c r="L483" s="215" t="n"/>
      <c r="M483" s="215" t="n"/>
      <c r="N483" s="215" t="str">
        <f>IF(ISNUMBER(I483),ROUND(I483-I483/1.081,2),"")</f>
        <v/>
      </c>
      <c r="O483" s="215" t="str">
        <f>IF(ISNUMBER(I483),I483-SUM(J483:N483),"")</f>
        <v/>
      </c>
      <c r="P483" s="216" t="str">
        <f>IFERROR(IF(AND(ISNUMBER(O483),ISNUMBER(I483),I483&lt;&gt;0),O483/I483,""),"")</f>
        <v/>
      </c>
      <c r="Q483" s="215" t="str">
        <f>IF(AND(ISNUMBER(I483),ISNUMBER(S483)),I483*IF(S483&lt;=1,S483,S483/100),IF(OR(I483&lt;&gt;"",S483&lt;&gt;""),"tbd",""))</f>
        <v/>
      </c>
      <c r="S483" s="217" t="n"/>
      <c r="Z483" t="str">
        <f>IF(AND(R483="WON",ISNUMBER(I483)),AA483,"")</f>
        <v/>
      </c>
      <c r="AA483">
        <f>IFERROR(I483*1,0)</f>
        <v>0</v>
      </c>
      <c r="AB483">
        <f>N(AB482)+IF(AND(R483="WON",B483&lt;&gt;""),1,0)</f>
        <v>7</v>
      </c>
      <c r="AC483">
        <f>N(AC482)+IF(AND(OR(R483="offered",R483="to be offered",R483="on hold"),B483&lt;&gt;""),1,0)</f>
        <v>19</v>
      </c>
      <c r="AD483">
        <f>N(AD482)+IF(AND(OR(R483="follow-up",R483="Evaluation",R483="tbd",R483="In evaluation"),B483&lt;&gt;""),1,0)</f>
        <v>9</v>
      </c>
    </row>
    <row r="484" ht="15" customHeight="1">
      <c r="I484" s="215" t="n"/>
      <c r="J484" s="215" t="n"/>
      <c r="K484" s="215" t="n"/>
      <c r="L484" s="215" t="n"/>
      <c r="M484" s="215" t="n"/>
      <c r="N484" s="215" t="str">
        <f>IF(ISNUMBER(I484),ROUND(I484-I484/1.081,2),"")</f>
        <v/>
      </c>
      <c r="O484" s="215" t="str">
        <f>IF(ISNUMBER(I484),I484-SUM(J484:N484),"")</f>
        <v/>
      </c>
      <c r="P484" s="216" t="str">
        <f>IFERROR(IF(AND(ISNUMBER(O484),ISNUMBER(I484),I484&lt;&gt;0),O484/I484,""),"")</f>
        <v/>
      </c>
      <c r="Q484" s="215" t="str">
        <f>IF(AND(ISNUMBER(I484),ISNUMBER(S484)),I484*IF(S484&lt;=1,S484,S484/100),IF(OR(I484&lt;&gt;"",S484&lt;&gt;""),"tbd",""))</f>
        <v/>
      </c>
      <c r="S484" s="217" t="n"/>
      <c r="Z484" t="str">
        <f>IF(AND(R484="WON",ISNUMBER(I484)),AA484,"")</f>
        <v/>
      </c>
      <c r="AA484">
        <f>IFERROR(I484*1,0)</f>
        <v>0</v>
      </c>
      <c r="AB484">
        <f>N(AB483)+IF(AND(R484="WON",B484&lt;&gt;""),1,0)</f>
        <v>7</v>
      </c>
      <c r="AC484">
        <f>N(AC483)+IF(AND(OR(R484="offered",R484="to be offered",R484="on hold"),B484&lt;&gt;""),1,0)</f>
        <v>19</v>
      </c>
      <c r="AD484">
        <f>N(AD483)+IF(AND(OR(R484="follow-up",R484="Evaluation",R484="tbd",R484="In evaluation"),B484&lt;&gt;""),1,0)</f>
        <v>9</v>
      </c>
    </row>
    <row r="485" ht="15" customHeight="1">
      <c r="I485" s="215" t="n"/>
      <c r="J485" s="215" t="n"/>
      <c r="K485" s="215" t="n"/>
      <c r="L485" s="215" t="n"/>
      <c r="M485" s="215" t="n"/>
      <c r="N485" s="215" t="str">
        <f>IF(ISNUMBER(I485),ROUND(I485-I485/1.081,2),"")</f>
        <v/>
      </c>
      <c r="O485" s="215" t="str">
        <f>IF(ISNUMBER(I485),I485-SUM(J485:N485),"")</f>
        <v/>
      </c>
      <c r="P485" s="216" t="str">
        <f>IFERROR(IF(AND(ISNUMBER(O485),ISNUMBER(I485),I485&lt;&gt;0),O485/I485,""),"")</f>
        <v/>
      </c>
      <c r="Q485" s="215" t="str">
        <f>IF(AND(ISNUMBER(I485),ISNUMBER(S485)),I485*IF(S485&lt;=1,S485,S485/100),IF(OR(I485&lt;&gt;"",S485&lt;&gt;""),"tbd",""))</f>
        <v/>
      </c>
      <c r="S485" s="217" t="n"/>
      <c r="Z485" t="str">
        <f>IF(AND(R485="WON",ISNUMBER(I485)),AA485,"")</f>
        <v/>
      </c>
      <c r="AA485">
        <f>IFERROR(I485*1,0)</f>
        <v>0</v>
      </c>
      <c r="AB485">
        <f>N(AB484)+IF(AND(R485="WON",B485&lt;&gt;""),1,0)</f>
        <v>7</v>
      </c>
      <c r="AC485">
        <f>N(AC484)+IF(AND(OR(R485="offered",R485="to be offered",R485="on hold"),B485&lt;&gt;""),1,0)</f>
        <v>19</v>
      </c>
      <c r="AD485">
        <f>N(AD484)+IF(AND(OR(R485="follow-up",R485="Evaluation",R485="tbd",R485="In evaluation"),B485&lt;&gt;""),1,0)</f>
        <v>9</v>
      </c>
    </row>
    <row r="486" ht="15" customHeight="1">
      <c r="I486" s="215" t="n"/>
      <c r="J486" s="215" t="n"/>
      <c r="K486" s="215" t="n"/>
      <c r="L486" s="215" t="n"/>
      <c r="M486" s="215" t="n"/>
      <c r="N486" s="215" t="str">
        <f>IF(ISNUMBER(I486),ROUND(I486-I486/1.081,2),"")</f>
        <v/>
      </c>
      <c r="O486" s="215" t="str">
        <f>IF(ISNUMBER(I486),I486-SUM(J486:N486),"")</f>
        <v/>
      </c>
      <c r="P486" s="216" t="str">
        <f>IFERROR(IF(AND(ISNUMBER(O486),ISNUMBER(I486),I486&lt;&gt;0),O486/I486,""),"")</f>
        <v/>
      </c>
      <c r="Q486" s="215" t="str">
        <f>IF(AND(ISNUMBER(I486),ISNUMBER(S486)),I486*IF(S486&lt;=1,S486,S486/100),IF(OR(I486&lt;&gt;"",S486&lt;&gt;""),"tbd",""))</f>
        <v/>
      </c>
      <c r="S486" s="217" t="n"/>
      <c r="Z486" t="str">
        <f>IF(AND(R486="WON",ISNUMBER(I486)),AA486,"")</f>
        <v/>
      </c>
      <c r="AA486">
        <f>IFERROR(I486*1,0)</f>
        <v>0</v>
      </c>
      <c r="AB486">
        <f>N(AB485)+IF(AND(R486="WON",B486&lt;&gt;""),1,0)</f>
        <v>7</v>
      </c>
      <c r="AC486">
        <f>N(AC485)+IF(AND(OR(R486="offered",R486="to be offered",R486="on hold"),B486&lt;&gt;""),1,0)</f>
        <v>19</v>
      </c>
      <c r="AD486">
        <f>N(AD485)+IF(AND(OR(R486="follow-up",R486="Evaluation",R486="tbd",R486="In evaluation"),B486&lt;&gt;""),1,0)</f>
        <v>9</v>
      </c>
    </row>
    <row r="487" ht="15" customHeight="1">
      <c r="I487" s="215" t="n"/>
      <c r="J487" s="215" t="n"/>
      <c r="K487" s="215" t="n"/>
      <c r="L487" s="215" t="n"/>
      <c r="M487" s="215" t="n"/>
      <c r="N487" s="215" t="str">
        <f>IF(ISNUMBER(I487),ROUND(I487-I487/1.081,2),"")</f>
        <v/>
      </c>
      <c r="O487" s="215" t="str">
        <f>IF(ISNUMBER(I487),I487-SUM(J487:N487),"")</f>
        <v/>
      </c>
      <c r="P487" s="216" t="str">
        <f>IFERROR(IF(AND(ISNUMBER(O487),ISNUMBER(I487),I487&lt;&gt;0),O487/I487,""),"")</f>
        <v/>
      </c>
      <c r="Q487" s="215" t="str">
        <f>IF(AND(ISNUMBER(I487),ISNUMBER(S487)),I487*IF(S487&lt;=1,S487,S487/100),IF(OR(I487&lt;&gt;"",S487&lt;&gt;""),"tbd",""))</f>
        <v/>
      </c>
      <c r="S487" s="217" t="n"/>
      <c r="Z487" t="str">
        <f>IF(AND(R487="WON",ISNUMBER(I487)),AA487,"")</f>
        <v/>
      </c>
      <c r="AA487">
        <f>IFERROR(I487*1,0)</f>
        <v>0</v>
      </c>
      <c r="AB487">
        <f>N(AB486)+IF(AND(R487="WON",B487&lt;&gt;""),1,0)</f>
        <v>7</v>
      </c>
      <c r="AC487">
        <f>N(AC486)+IF(AND(OR(R487="offered",R487="to be offered",R487="on hold"),B487&lt;&gt;""),1,0)</f>
        <v>19</v>
      </c>
      <c r="AD487">
        <f>N(AD486)+IF(AND(OR(R487="follow-up",R487="Evaluation",R487="tbd",R487="In evaluation"),B487&lt;&gt;""),1,0)</f>
        <v>9</v>
      </c>
    </row>
    <row r="488" ht="15" customHeight="1">
      <c r="I488" s="215" t="n"/>
      <c r="J488" s="215" t="n"/>
      <c r="K488" s="215" t="n"/>
      <c r="L488" s="215" t="n"/>
      <c r="M488" s="215" t="n"/>
      <c r="N488" s="215" t="str">
        <f>IF(ISNUMBER(I488),ROUND(I488-I488/1.081,2),"")</f>
        <v/>
      </c>
      <c r="O488" s="215" t="str">
        <f>IF(ISNUMBER(I488),I488-SUM(J488:N488),"")</f>
        <v/>
      </c>
      <c r="P488" s="216" t="str">
        <f>IFERROR(IF(AND(ISNUMBER(O488),ISNUMBER(I488),I488&lt;&gt;0),O488/I488,""),"")</f>
        <v/>
      </c>
      <c r="Q488" s="215" t="str">
        <f>IF(AND(ISNUMBER(I488),ISNUMBER(S488)),I488*IF(S488&lt;=1,S488,S488/100),IF(OR(I488&lt;&gt;"",S488&lt;&gt;""),"tbd",""))</f>
        <v/>
      </c>
      <c r="S488" s="217" t="n"/>
      <c r="Z488" t="str">
        <f>IF(AND(R488="WON",ISNUMBER(I488)),AA488,"")</f>
        <v/>
      </c>
      <c r="AA488">
        <f>IFERROR(I488*1,0)</f>
        <v>0</v>
      </c>
      <c r="AB488">
        <f>N(AB487)+IF(AND(R488="WON",B488&lt;&gt;""),1,0)</f>
        <v>7</v>
      </c>
      <c r="AC488">
        <f>N(AC487)+IF(AND(OR(R488="offered",R488="to be offered",R488="on hold"),B488&lt;&gt;""),1,0)</f>
        <v>19</v>
      </c>
      <c r="AD488">
        <f>N(AD487)+IF(AND(OR(R488="follow-up",R488="Evaluation",R488="tbd",R488="In evaluation"),B488&lt;&gt;""),1,0)</f>
        <v>9</v>
      </c>
    </row>
    <row r="489" ht="15" customHeight="1">
      <c r="I489" s="215" t="n"/>
      <c r="J489" s="215" t="n"/>
      <c r="K489" s="215" t="n"/>
      <c r="L489" s="215" t="n"/>
      <c r="M489" s="215" t="n"/>
      <c r="N489" s="215" t="str">
        <f>IF(ISNUMBER(I489),ROUND(I489-I489/1.081,2),"")</f>
        <v/>
      </c>
      <c r="O489" s="215" t="str">
        <f>IF(ISNUMBER(I489),I489-SUM(J489:N489),"")</f>
        <v/>
      </c>
      <c r="P489" s="216" t="str">
        <f>IFERROR(IF(AND(ISNUMBER(O489),ISNUMBER(I489),I489&lt;&gt;0),O489/I489,""),"")</f>
        <v/>
      </c>
      <c r="Q489" s="215" t="str">
        <f>IF(AND(ISNUMBER(I489),ISNUMBER(S489)),I489*IF(S489&lt;=1,S489,S489/100),IF(OR(I489&lt;&gt;"",S489&lt;&gt;""),"tbd",""))</f>
        <v/>
      </c>
      <c r="S489" s="217" t="n"/>
      <c r="Z489" t="str">
        <f>IF(AND(R489="WON",ISNUMBER(I489)),AA489,"")</f>
        <v/>
      </c>
      <c r="AA489">
        <f>IFERROR(I489*1,0)</f>
        <v>0</v>
      </c>
      <c r="AB489">
        <f>N(AB488)+IF(AND(R489="WON",B489&lt;&gt;""),1,0)</f>
        <v>7</v>
      </c>
      <c r="AC489">
        <f>N(AC488)+IF(AND(OR(R489="offered",R489="to be offered",R489="on hold"),B489&lt;&gt;""),1,0)</f>
        <v>19</v>
      </c>
      <c r="AD489">
        <f>N(AD488)+IF(AND(OR(R489="follow-up",R489="Evaluation",R489="tbd",R489="In evaluation"),B489&lt;&gt;""),1,0)</f>
        <v>9</v>
      </c>
    </row>
    <row r="490" ht="15" customHeight="1">
      <c r="I490" s="215" t="n"/>
      <c r="J490" s="215" t="n"/>
      <c r="K490" s="215" t="n"/>
      <c r="L490" s="215" t="n"/>
      <c r="M490" s="215" t="n"/>
      <c r="N490" s="215" t="str">
        <f>IF(ISNUMBER(I490),ROUND(I490-I490/1.081,2),"")</f>
        <v/>
      </c>
      <c r="O490" s="215" t="str">
        <f>IF(ISNUMBER(I490),I490-SUM(J490:N490),"")</f>
        <v/>
      </c>
      <c r="P490" s="216" t="str">
        <f>IFERROR(IF(AND(ISNUMBER(O490),ISNUMBER(I490),I490&lt;&gt;0),O490/I490,""),"")</f>
        <v/>
      </c>
      <c r="Q490" s="215" t="str">
        <f>IF(AND(ISNUMBER(I490),ISNUMBER(S490)),I490*IF(S490&lt;=1,S490,S490/100),IF(OR(I490&lt;&gt;"",S490&lt;&gt;""),"tbd",""))</f>
        <v/>
      </c>
      <c r="S490" s="217" t="n"/>
      <c r="Z490" t="str">
        <f>IF(AND(R490="WON",ISNUMBER(I490)),AA490,"")</f>
        <v/>
      </c>
      <c r="AA490">
        <f>IFERROR(I490*1,0)</f>
        <v>0</v>
      </c>
      <c r="AB490">
        <f>N(AB489)+IF(AND(R490="WON",B490&lt;&gt;""),1,0)</f>
        <v>7</v>
      </c>
      <c r="AC490">
        <f>N(AC489)+IF(AND(OR(R490="offered",R490="to be offered",R490="on hold"),B490&lt;&gt;""),1,0)</f>
        <v>19</v>
      </c>
      <c r="AD490">
        <f>N(AD489)+IF(AND(OR(R490="follow-up",R490="Evaluation",R490="tbd",R490="In evaluation"),B490&lt;&gt;""),1,0)</f>
        <v>9</v>
      </c>
    </row>
    <row r="491" ht="15" customHeight="1">
      <c r="I491" s="215" t="n"/>
      <c r="J491" s="215" t="n"/>
      <c r="K491" s="215" t="n"/>
      <c r="L491" s="215" t="n"/>
      <c r="M491" s="215" t="n"/>
      <c r="N491" s="215" t="str">
        <f>IF(ISNUMBER(I491),ROUND(I491-I491/1.081,2),"")</f>
        <v/>
      </c>
      <c r="O491" s="215" t="str">
        <f>IF(ISNUMBER(I491),I491-SUM(J491:N491),"")</f>
        <v/>
      </c>
      <c r="P491" s="216" t="str">
        <f>IFERROR(IF(AND(ISNUMBER(O491),ISNUMBER(I491),I491&lt;&gt;0),O491/I491,""),"")</f>
        <v/>
      </c>
      <c r="Q491" s="215" t="str">
        <f>IF(AND(ISNUMBER(I491),ISNUMBER(S491)),I491*IF(S491&lt;=1,S491,S491/100),IF(OR(I491&lt;&gt;"",S491&lt;&gt;""),"tbd",""))</f>
        <v/>
      </c>
      <c r="S491" s="217" t="n"/>
      <c r="Z491" t="str">
        <f>IF(AND(R491="WON",ISNUMBER(I491)),AA491,"")</f>
        <v/>
      </c>
      <c r="AA491">
        <f>IFERROR(I491*1,0)</f>
        <v>0</v>
      </c>
      <c r="AB491">
        <f>N(AB490)+IF(AND(R491="WON",B491&lt;&gt;""),1,0)</f>
        <v>7</v>
      </c>
      <c r="AC491">
        <f>N(AC490)+IF(AND(OR(R491="offered",R491="to be offered",R491="on hold"),B491&lt;&gt;""),1,0)</f>
        <v>19</v>
      </c>
      <c r="AD491">
        <f>N(AD490)+IF(AND(OR(R491="follow-up",R491="Evaluation",R491="tbd",R491="In evaluation"),B491&lt;&gt;""),1,0)</f>
        <v>9</v>
      </c>
    </row>
    <row r="492" ht="15" customHeight="1">
      <c r="I492" s="215" t="n"/>
      <c r="J492" s="215" t="n"/>
      <c r="K492" s="215" t="n"/>
      <c r="L492" s="215" t="n"/>
      <c r="M492" s="215" t="n"/>
      <c r="N492" s="215" t="str">
        <f>IF(ISNUMBER(I492),ROUND(I492-I492/1.081,2),"")</f>
        <v/>
      </c>
      <c r="O492" s="215" t="str">
        <f>IF(ISNUMBER(I492),I492-SUM(J492:N492),"")</f>
        <v/>
      </c>
      <c r="P492" s="216" t="str">
        <f>IFERROR(IF(AND(ISNUMBER(O492),ISNUMBER(I492),I492&lt;&gt;0),O492/I492,""),"")</f>
        <v/>
      </c>
      <c r="Q492" s="215" t="str">
        <f>IF(AND(ISNUMBER(I492),ISNUMBER(S492)),I492*IF(S492&lt;=1,S492,S492/100),IF(OR(I492&lt;&gt;"",S492&lt;&gt;""),"tbd",""))</f>
        <v/>
      </c>
      <c r="S492" s="217" t="n"/>
      <c r="Z492" t="str">
        <f>IF(AND(R492="WON",ISNUMBER(I492)),AA492,"")</f>
        <v/>
      </c>
      <c r="AA492">
        <f>IFERROR(I492*1,0)</f>
        <v>0</v>
      </c>
      <c r="AB492">
        <f>N(AB491)+IF(AND(R492="WON",B492&lt;&gt;""),1,0)</f>
        <v>7</v>
      </c>
      <c r="AC492">
        <f>N(AC491)+IF(AND(OR(R492="offered",R492="to be offered",R492="on hold"),B492&lt;&gt;""),1,0)</f>
        <v>19</v>
      </c>
      <c r="AD492">
        <f>N(AD491)+IF(AND(OR(R492="follow-up",R492="Evaluation",R492="tbd",R492="In evaluation"),B492&lt;&gt;""),1,0)</f>
        <v>9</v>
      </c>
    </row>
    <row r="493" ht="15" customHeight="1">
      <c r="I493" s="215" t="n"/>
      <c r="J493" s="215" t="n"/>
      <c r="K493" s="215" t="n"/>
      <c r="L493" s="215" t="n"/>
      <c r="M493" s="215" t="n"/>
      <c r="N493" s="215" t="str">
        <f>IF(ISNUMBER(I493),ROUND(I493-I493/1.081,2),"")</f>
        <v/>
      </c>
      <c r="O493" s="215" t="str">
        <f>IF(ISNUMBER(I493),I493-SUM(J493:N493),"")</f>
        <v/>
      </c>
      <c r="P493" s="216" t="str">
        <f>IFERROR(IF(AND(ISNUMBER(O493),ISNUMBER(I493),I493&lt;&gt;0),O493/I493,""),"")</f>
        <v/>
      </c>
      <c r="Q493" s="215" t="str">
        <f>IF(AND(ISNUMBER(I493),ISNUMBER(S493)),I493*IF(S493&lt;=1,S493,S493/100),IF(OR(I493&lt;&gt;"",S493&lt;&gt;""),"tbd",""))</f>
        <v/>
      </c>
      <c r="S493" s="217" t="n"/>
      <c r="Z493" t="str">
        <f>IF(AND(R493="WON",ISNUMBER(I493)),AA493,"")</f>
        <v/>
      </c>
      <c r="AA493">
        <f>IFERROR(I493*1,0)</f>
        <v>0</v>
      </c>
      <c r="AB493">
        <f>N(AB492)+IF(AND(R493="WON",B493&lt;&gt;""),1,0)</f>
        <v>7</v>
      </c>
      <c r="AC493">
        <f>N(AC492)+IF(AND(OR(R493="offered",R493="to be offered",R493="on hold"),B493&lt;&gt;""),1,0)</f>
        <v>19</v>
      </c>
      <c r="AD493">
        <f>N(AD492)+IF(AND(OR(R493="follow-up",R493="Evaluation",R493="tbd",R493="In evaluation"),B493&lt;&gt;""),1,0)</f>
        <v>9</v>
      </c>
    </row>
    <row r="494" ht="15" customHeight="1">
      <c r="I494" s="215" t="n"/>
      <c r="J494" s="215" t="n"/>
      <c r="K494" s="215" t="n"/>
      <c r="L494" s="215" t="n"/>
      <c r="M494" s="215" t="n"/>
      <c r="N494" s="215" t="str">
        <f>IF(ISNUMBER(I494),ROUND(I494-I494/1.081,2),"")</f>
        <v/>
      </c>
      <c r="O494" s="215" t="str">
        <f>IF(ISNUMBER(I494),I494-SUM(J494:N494),"")</f>
        <v/>
      </c>
      <c r="P494" s="216" t="str">
        <f>IFERROR(IF(AND(ISNUMBER(O494),ISNUMBER(I494),I494&lt;&gt;0),O494/I494,""),"")</f>
        <v/>
      </c>
      <c r="Q494" s="215" t="str">
        <f>IF(AND(ISNUMBER(I494),ISNUMBER(S494)),I494*IF(S494&lt;=1,S494,S494/100),IF(OR(I494&lt;&gt;"",S494&lt;&gt;""),"tbd",""))</f>
        <v/>
      </c>
      <c r="S494" s="217" t="n"/>
      <c r="Z494" t="str">
        <f>IF(AND(R494="WON",ISNUMBER(I494)),AA494,"")</f>
        <v/>
      </c>
      <c r="AA494">
        <f>IFERROR(I494*1,0)</f>
        <v>0</v>
      </c>
      <c r="AB494">
        <f>N(AB493)+IF(AND(R494="WON",B494&lt;&gt;""),1,0)</f>
        <v>7</v>
      </c>
      <c r="AC494">
        <f>N(AC493)+IF(AND(OR(R494="offered",R494="to be offered",R494="on hold"),B494&lt;&gt;""),1,0)</f>
        <v>19</v>
      </c>
      <c r="AD494">
        <f>N(AD493)+IF(AND(OR(R494="follow-up",R494="Evaluation",R494="tbd",R494="In evaluation"),B494&lt;&gt;""),1,0)</f>
        <v>9</v>
      </c>
    </row>
    <row r="495" ht="15" customHeight="1">
      <c r="I495" s="215" t="n"/>
      <c r="J495" s="215" t="n"/>
      <c r="K495" s="215" t="n"/>
      <c r="L495" s="215" t="n"/>
      <c r="M495" s="215" t="n"/>
      <c r="N495" s="215" t="str">
        <f>IF(ISNUMBER(I495),ROUND(I495-I495/1.081,2),"")</f>
        <v/>
      </c>
      <c r="O495" s="215" t="str">
        <f>IF(ISNUMBER(I495),I495-SUM(J495:N495),"")</f>
        <v/>
      </c>
      <c r="P495" s="216" t="str">
        <f>IFERROR(IF(AND(ISNUMBER(O495),ISNUMBER(I495),I495&lt;&gt;0),O495/I495,""),"")</f>
        <v/>
      </c>
      <c r="Q495" s="215" t="str">
        <f>IF(AND(ISNUMBER(I495),ISNUMBER(S495)),I495*IF(S495&lt;=1,S495,S495/100),IF(OR(I495&lt;&gt;"",S495&lt;&gt;""),"tbd",""))</f>
        <v/>
      </c>
      <c r="S495" s="217" t="n"/>
      <c r="Z495" t="str">
        <f>IF(AND(R495="WON",ISNUMBER(I495)),AA495,"")</f>
        <v/>
      </c>
      <c r="AA495">
        <f>IFERROR(I495*1,0)</f>
        <v>0</v>
      </c>
      <c r="AB495">
        <f>N(AB494)+IF(AND(R495="WON",B495&lt;&gt;""),1,0)</f>
        <v>7</v>
      </c>
      <c r="AC495">
        <f>N(AC494)+IF(AND(OR(R495="offered",R495="to be offered",R495="on hold"),B495&lt;&gt;""),1,0)</f>
        <v>19</v>
      </c>
      <c r="AD495">
        <f>N(AD494)+IF(AND(OR(R495="follow-up",R495="Evaluation",R495="tbd",R495="In evaluation"),B495&lt;&gt;""),1,0)</f>
        <v>9</v>
      </c>
    </row>
    <row r="496" ht="15" customHeight="1">
      <c r="I496" s="215" t="n"/>
      <c r="J496" s="215" t="n"/>
      <c r="K496" s="215" t="n"/>
      <c r="L496" s="215" t="n"/>
      <c r="M496" s="215" t="n"/>
      <c r="N496" s="215" t="str">
        <f>IF(ISNUMBER(I496),ROUND(I496-I496/1.081,2),"")</f>
        <v/>
      </c>
      <c r="O496" s="215" t="str">
        <f>IF(ISNUMBER(I496),I496-SUM(J496:N496),"")</f>
        <v/>
      </c>
      <c r="P496" s="216" t="str">
        <f>IFERROR(IF(AND(ISNUMBER(O496),ISNUMBER(I496),I496&lt;&gt;0),O496/I496,""),"")</f>
        <v/>
      </c>
      <c r="Q496" s="215" t="str">
        <f>IF(AND(ISNUMBER(I496),ISNUMBER(S496)),I496*IF(S496&lt;=1,S496,S496/100),IF(OR(I496&lt;&gt;"",S496&lt;&gt;""),"tbd",""))</f>
        <v/>
      </c>
      <c r="S496" s="217" t="n"/>
      <c r="Z496" t="str">
        <f>IF(AND(R496="WON",ISNUMBER(I496)),AA496,"")</f>
        <v/>
      </c>
      <c r="AA496">
        <f>IFERROR(I496*1,0)</f>
        <v>0</v>
      </c>
      <c r="AB496">
        <f>N(AB495)+IF(AND(R496="WON",B496&lt;&gt;""),1,0)</f>
        <v>7</v>
      </c>
      <c r="AC496">
        <f>N(AC495)+IF(AND(OR(R496="offered",R496="to be offered",R496="on hold"),B496&lt;&gt;""),1,0)</f>
        <v>19</v>
      </c>
      <c r="AD496">
        <f>N(AD495)+IF(AND(OR(R496="follow-up",R496="Evaluation",R496="tbd",R496="In evaluation"),B496&lt;&gt;""),1,0)</f>
        <v>9</v>
      </c>
    </row>
    <row r="497" ht="15" customHeight="1">
      <c r="I497" s="215" t="n"/>
      <c r="J497" s="215" t="n"/>
      <c r="K497" s="215" t="n"/>
      <c r="L497" s="215" t="n"/>
      <c r="M497" s="215" t="n"/>
      <c r="N497" s="215" t="str">
        <f>IF(ISNUMBER(I497),ROUND(I497-I497/1.081,2),"")</f>
        <v/>
      </c>
      <c r="O497" s="215" t="str">
        <f>IF(ISNUMBER(I497),I497-SUM(J497:N497),"")</f>
        <v/>
      </c>
      <c r="P497" s="216" t="str">
        <f>IFERROR(IF(AND(ISNUMBER(O497),ISNUMBER(I497),I497&lt;&gt;0),O497/I497,""),"")</f>
        <v/>
      </c>
      <c r="Q497" s="215" t="str">
        <f>IF(AND(ISNUMBER(I497),ISNUMBER(S497)),I497*IF(S497&lt;=1,S497,S497/100),IF(OR(I497&lt;&gt;"",S497&lt;&gt;""),"tbd",""))</f>
        <v/>
      </c>
      <c r="S497" s="217" t="n"/>
      <c r="Z497" t="str">
        <f>IF(AND(R497="WON",ISNUMBER(I497)),AA497,"")</f>
        <v/>
      </c>
      <c r="AA497">
        <f>IFERROR(I497*1,0)</f>
        <v>0</v>
      </c>
      <c r="AB497">
        <f>N(AB496)+IF(AND(R497="WON",B497&lt;&gt;""),1,0)</f>
        <v>7</v>
      </c>
      <c r="AC497">
        <f>N(AC496)+IF(AND(OR(R497="offered",R497="to be offered",R497="on hold"),B497&lt;&gt;""),1,0)</f>
        <v>19</v>
      </c>
      <c r="AD497">
        <f>N(AD496)+IF(AND(OR(R497="follow-up",R497="Evaluation",R497="tbd",R497="In evaluation"),B497&lt;&gt;""),1,0)</f>
        <v>9</v>
      </c>
    </row>
    <row r="498" ht="15" customHeight="1">
      <c r="I498" s="215" t="n"/>
      <c r="J498" s="215" t="n"/>
      <c r="K498" s="215" t="n"/>
      <c r="L498" s="215" t="n"/>
      <c r="M498" s="215" t="n"/>
      <c r="N498" s="215" t="str">
        <f>IF(ISNUMBER(I498),ROUND(I498-I498/1.081,2),"")</f>
        <v/>
      </c>
      <c r="O498" s="215" t="str">
        <f>IF(ISNUMBER(I498),I498-SUM(J498:N498),"")</f>
        <v/>
      </c>
      <c r="P498" s="216" t="str">
        <f>IFERROR(IF(AND(ISNUMBER(O498),ISNUMBER(I498),I498&lt;&gt;0),O498/I498,""),"")</f>
        <v/>
      </c>
      <c r="Q498" s="215" t="str">
        <f>IF(AND(ISNUMBER(I498),ISNUMBER(S498)),I498*IF(S498&lt;=1,S498,S498/100),IF(OR(I498&lt;&gt;"",S498&lt;&gt;""),"tbd",""))</f>
        <v/>
      </c>
      <c r="S498" s="217" t="n"/>
      <c r="Z498" t="str">
        <f>IF(AND(R498="WON",ISNUMBER(I498)),AA498,"")</f>
        <v/>
      </c>
      <c r="AA498">
        <f>IFERROR(I498*1,0)</f>
        <v>0</v>
      </c>
      <c r="AB498">
        <f>N(AB497)+IF(AND(R498="WON",B498&lt;&gt;""),1,0)</f>
        <v>7</v>
      </c>
      <c r="AC498">
        <f>N(AC497)+IF(AND(OR(R498="offered",R498="to be offered",R498="on hold"),B498&lt;&gt;""),1,0)</f>
        <v>19</v>
      </c>
      <c r="AD498">
        <f>N(AD497)+IF(AND(OR(R498="follow-up",R498="Evaluation",R498="tbd",R498="In evaluation"),B498&lt;&gt;""),1,0)</f>
        <v>9</v>
      </c>
    </row>
    <row r="499" ht="15" customHeight="1">
      <c r="I499" s="215" t="n"/>
      <c r="J499" s="215" t="n"/>
      <c r="K499" s="215" t="n"/>
      <c r="L499" s="215" t="n"/>
      <c r="M499" s="215" t="n"/>
      <c r="N499" s="215" t="str">
        <f>IF(ISNUMBER(I499),ROUND(I499-I499/1.081,2),"")</f>
        <v/>
      </c>
      <c r="O499" s="215" t="str">
        <f>IF(ISNUMBER(I499),I499-SUM(J499:N499),"")</f>
        <v/>
      </c>
      <c r="P499" s="216" t="str">
        <f>IFERROR(IF(AND(ISNUMBER(O499),ISNUMBER(I499),I499&lt;&gt;0),O499/I499,""),"")</f>
        <v/>
      </c>
      <c r="Q499" s="215" t="str">
        <f>IF(AND(ISNUMBER(I499),ISNUMBER(S499)),I499*IF(S499&lt;=1,S499,S499/100),IF(OR(I499&lt;&gt;"",S499&lt;&gt;""),"tbd",""))</f>
        <v/>
      </c>
      <c r="S499" s="217" t="n"/>
      <c r="Z499" t="str">
        <f>IF(AND(R499="WON",ISNUMBER(I499)),AA499,"")</f>
        <v/>
      </c>
      <c r="AA499">
        <f>IFERROR(I499*1,0)</f>
        <v>0</v>
      </c>
      <c r="AB499">
        <f>N(AB498)+IF(AND(R499="WON",B499&lt;&gt;""),1,0)</f>
        <v>7</v>
      </c>
      <c r="AC499">
        <f>N(AC498)+IF(AND(OR(R499="offered",R499="to be offered",R499="on hold"),B499&lt;&gt;""),1,0)</f>
        <v>19</v>
      </c>
      <c r="AD499">
        <f>N(AD498)+IF(AND(OR(R499="follow-up",R499="Evaluation",R499="tbd",R499="In evaluation"),B499&lt;&gt;""),1,0)</f>
        <v>9</v>
      </c>
    </row>
    <row r="500" ht="15" customHeight="1">
      <c r="I500" s="215" t="n"/>
      <c r="J500" s="215" t="n"/>
      <c r="K500" s="215" t="n"/>
      <c r="L500" s="215" t="n"/>
      <c r="M500" s="215" t="n"/>
      <c r="N500" s="215" t="str">
        <f>IF(ISNUMBER(I500),ROUND(I500-I500/1.081,2),"")</f>
        <v/>
      </c>
      <c r="O500" s="215" t="str">
        <f>IF(ISNUMBER(I500),I500-SUM(J500:N500),"")</f>
        <v/>
      </c>
      <c r="P500" s="216" t="str">
        <f>IFERROR(IF(AND(ISNUMBER(O500),ISNUMBER(I500),I500&lt;&gt;0),O500/I500,""),"")</f>
        <v/>
      </c>
      <c r="Q500" s="215" t="str">
        <f>IF(AND(ISNUMBER(I500),ISNUMBER(S500)),I500*IF(S500&lt;=1,S500,S500/100),IF(OR(I500&lt;&gt;"",S500&lt;&gt;""),"tbd",""))</f>
        <v/>
      </c>
      <c r="S500" s="217" t="n"/>
      <c r="Z500" t="str">
        <f>IF(AND(R500="WON",ISNUMBER(I500)),AA500,"")</f>
        <v/>
      </c>
      <c r="AA500">
        <f>IFERROR(I500*1,0)</f>
        <v>0</v>
      </c>
      <c r="AB500">
        <f>N(AB499)+IF(AND(R500="WON",B500&lt;&gt;""),1,0)</f>
        <v>7</v>
      </c>
      <c r="AC500">
        <f>N(AC499)+IF(AND(OR(R500="offered",R500="to be offered",R500="on hold"),B500&lt;&gt;""),1,0)</f>
        <v>19</v>
      </c>
      <c r="AD500">
        <f>N(AD499)+IF(AND(OR(R500="follow-up",R500="Evaluation",R500="tbd",R500="In evaluation"),B500&lt;&gt;""),1,0)</f>
        <v>9</v>
      </c>
    </row>
    <row r="501" ht="15" customHeight="1">
      <c r="I501" s="215" t="n"/>
      <c r="J501" s="215" t="n"/>
      <c r="K501" s="215" t="n"/>
      <c r="L501" s="215" t="n"/>
      <c r="M501" s="215" t="n"/>
      <c r="N501" s="215" t="str">
        <f>IF(ISNUMBER(I501),ROUND(I501-I501/1.081,2),"")</f>
        <v/>
      </c>
      <c r="O501" s="215" t="str">
        <f>IF(ISNUMBER(I501),I501-SUM(J501:N501),"")</f>
        <v/>
      </c>
      <c r="P501" s="216" t="str">
        <f>IFERROR(IF(AND(ISNUMBER(O501),ISNUMBER(I501),I501&lt;&gt;0),O501/I501,""),"")</f>
        <v/>
      </c>
      <c r="Q501" s="215" t="str">
        <f>IF(AND(ISNUMBER(I501),ISNUMBER(S501)),I501*IF(S501&lt;=1,S501,S501/100),IF(OR(I501&lt;&gt;"",S501&lt;&gt;""),"tbd",""))</f>
        <v/>
      </c>
      <c r="S501" s="217" t="n"/>
      <c r="Z501" t="str">
        <f>IF(AND(R501="WON",ISNUMBER(I501)),AA501,"")</f>
        <v/>
      </c>
      <c r="AA501">
        <f>IFERROR(I501*1,0)</f>
        <v>0</v>
      </c>
      <c r="AB501">
        <f>N(AB500)+IF(AND(R501="WON",B501&lt;&gt;""),1,0)</f>
        <v>7</v>
      </c>
      <c r="AC501">
        <f>N(AC500)+IF(AND(OR(R501="offered",R501="to be offered",R501="on hold"),B501&lt;&gt;""),1,0)</f>
        <v>19</v>
      </c>
      <c r="AD501">
        <f>N(AD500)+IF(AND(OR(R501="follow-up",R501="Evaluation",R501="tbd",R501="In evaluation"),B501&lt;&gt;""),1,0)</f>
        <v>9</v>
      </c>
    </row>
    <row r="502" ht="15" customHeight="1">
      <c r="I502" s="215" t="n"/>
      <c r="J502" s="215" t="n"/>
      <c r="K502" s="215" t="n"/>
      <c r="L502" s="215" t="n"/>
      <c r="M502" s="215" t="n"/>
      <c r="N502" s="215" t="str">
        <f>IF(ISNUMBER(I502),ROUND(I502-I502/1.081,2),"")</f>
        <v/>
      </c>
      <c r="O502" s="215" t="str">
        <f>IF(ISNUMBER(I502),I502-SUM(J502:N502),"")</f>
        <v/>
      </c>
      <c r="P502" s="216" t="str">
        <f>IFERROR(IF(AND(ISNUMBER(O502),ISNUMBER(I502),I502&lt;&gt;0),O502/I502,""),"")</f>
        <v/>
      </c>
      <c r="Q502" s="215" t="str">
        <f>IF(AND(ISNUMBER(I502),ISNUMBER(S502)),I502*IF(S502&lt;=1,S502,S502/100),IF(OR(I502&lt;&gt;"",S502&lt;&gt;""),"tbd",""))</f>
        <v/>
      </c>
      <c r="S502" s="217" t="n"/>
      <c r="Z502" t="str">
        <f>IF(AND(R502="WON",ISNUMBER(I502)),AA502,"")</f>
        <v/>
      </c>
      <c r="AA502">
        <f>IFERROR(I502*1,0)</f>
        <v>0</v>
      </c>
      <c r="AB502">
        <f>N(AB501)+IF(AND(R502="WON",B502&lt;&gt;""),1,0)</f>
        <v>7</v>
      </c>
      <c r="AC502">
        <f>N(AC501)+IF(AND(OR(R502="offered",R502="to be offered",R502="on hold"),B502&lt;&gt;""),1,0)</f>
        <v>19</v>
      </c>
      <c r="AD502">
        <f>N(AD501)+IF(AND(OR(R502="follow-up",R502="Evaluation",R502="tbd",R502="In evaluation"),B502&lt;&gt;""),1,0)</f>
        <v>9</v>
      </c>
    </row>
    <row r="503" ht="15" customHeight="1">
      <c r="I503" s="215" t="n"/>
      <c r="J503" s="215" t="n"/>
      <c r="K503" s="215" t="n"/>
      <c r="L503" s="215" t="n"/>
      <c r="M503" s="215" t="n"/>
      <c r="N503" s="215" t="str">
        <f>IF(ISNUMBER(I503),ROUND(I503-I503/1.081,2),"")</f>
        <v/>
      </c>
      <c r="O503" s="215" t="str">
        <f>IF(ISNUMBER(I503),I503-SUM(J503:N503),"")</f>
        <v/>
      </c>
      <c r="P503" s="216" t="str">
        <f>IFERROR(IF(AND(ISNUMBER(O503),ISNUMBER(I503),I503&lt;&gt;0),O503/I503,""),"")</f>
        <v/>
      </c>
      <c r="Q503" s="215" t="str">
        <f>IF(AND(ISNUMBER(I503),ISNUMBER(S503)),I503*IF(S503&lt;=1,S503,S503/100),IF(OR(I503&lt;&gt;"",S503&lt;&gt;""),"tbd",""))</f>
        <v/>
      </c>
      <c r="S503" s="217" t="n"/>
      <c r="Z503" t="str">
        <f>IF(AND(R503="WON",ISNUMBER(I503)),AA503,"")</f>
        <v/>
      </c>
      <c r="AA503">
        <f>IFERROR(I503*1,0)</f>
        <v>0</v>
      </c>
      <c r="AB503">
        <f>N(AB502)+IF(AND(R503="WON",B503&lt;&gt;""),1,0)</f>
        <v>7</v>
      </c>
      <c r="AC503">
        <f>N(AC502)+IF(AND(OR(R503="offered",R503="to be offered",R503="on hold"),B503&lt;&gt;""),1,0)</f>
        <v>19</v>
      </c>
      <c r="AD503">
        <f>N(AD502)+IF(AND(OR(R503="follow-up",R503="Evaluation",R503="tbd",R503="In evaluation"),B503&lt;&gt;""),1,0)</f>
        <v>9</v>
      </c>
    </row>
    <row r="504" ht="15" customHeight="1">
      <c r="I504" s="215" t="n"/>
      <c r="J504" s="215" t="n"/>
      <c r="K504" s="215" t="n"/>
      <c r="L504" s="215" t="n"/>
      <c r="M504" s="215" t="n"/>
      <c r="N504" s="215" t="str">
        <f>IF(ISNUMBER(I504),ROUND(I504-I504/1.081,2),"")</f>
        <v/>
      </c>
      <c r="O504" s="215" t="str">
        <f>IF(ISNUMBER(I504),I504-SUM(J504:N504),"")</f>
        <v/>
      </c>
      <c r="P504" s="216" t="str">
        <f>IFERROR(IF(AND(ISNUMBER(O504),ISNUMBER(I504),I504&lt;&gt;0),O504/I504,""),"")</f>
        <v/>
      </c>
      <c r="Q504" s="215" t="str">
        <f>IF(AND(ISNUMBER(I504),ISNUMBER(S504)),I504*IF(S504&lt;=1,S504,S504/100),IF(OR(I504&lt;&gt;"",S504&lt;&gt;""),"tbd",""))</f>
        <v/>
      </c>
      <c r="S504" s="217" t="n"/>
      <c r="Z504" t="str">
        <f>IF(AND(R504="WON",ISNUMBER(I504)),AA504,"")</f>
        <v/>
      </c>
      <c r="AA504">
        <f>IFERROR(I504*1,0)</f>
        <v>0</v>
      </c>
      <c r="AB504">
        <f>N(AB503)+IF(AND(R504="WON",B504&lt;&gt;""),1,0)</f>
        <v>7</v>
      </c>
      <c r="AC504">
        <f>N(AC503)+IF(AND(OR(R504="offered",R504="to be offered",R504="on hold"),B504&lt;&gt;""),1,0)</f>
        <v>19</v>
      </c>
      <c r="AD504">
        <f>N(AD503)+IF(AND(OR(R504="follow-up",R504="Evaluation",R504="tbd",R504="In evaluation"),B504&lt;&gt;""),1,0)</f>
        <v>9</v>
      </c>
    </row>
    <row r="505" ht="15" customHeight="1">
      <c r="I505" s="215" t="n"/>
      <c r="J505" s="215" t="n"/>
      <c r="K505" s="215" t="n"/>
      <c r="L505" s="215" t="n"/>
      <c r="M505" s="215" t="n"/>
      <c r="N505" s="215" t="str">
        <f>IF(ISNUMBER(I505),ROUND(I505-I505/1.081,2),"")</f>
        <v/>
      </c>
      <c r="O505" s="215" t="str">
        <f>IF(ISNUMBER(I505),I505-SUM(J505:N505),"")</f>
        <v/>
      </c>
      <c r="P505" s="216" t="str">
        <f>IFERROR(IF(AND(ISNUMBER(O505),ISNUMBER(I505),I505&lt;&gt;0),O505/I505,""),"")</f>
        <v/>
      </c>
      <c r="Q505" s="215" t="str">
        <f>IF(AND(ISNUMBER(I505),ISNUMBER(S505)),I505*IF(S505&lt;=1,S505,S505/100),IF(OR(I505&lt;&gt;"",S505&lt;&gt;""),"tbd",""))</f>
        <v/>
      </c>
      <c r="S505" s="217" t="n"/>
      <c r="Z505" t="str">
        <f>IF(AND(R505="WON",ISNUMBER(I505)),AA505,"")</f>
        <v/>
      </c>
      <c r="AA505">
        <f>IFERROR(I505*1,0)</f>
        <v>0</v>
      </c>
      <c r="AB505">
        <f>N(AB504)+IF(AND(R505="WON",B505&lt;&gt;""),1,0)</f>
        <v>7</v>
      </c>
      <c r="AC505">
        <f>N(AC504)+IF(AND(OR(R505="offered",R505="to be offered",R505="on hold"),B505&lt;&gt;""),1,0)</f>
        <v>19</v>
      </c>
      <c r="AD505">
        <f>N(AD504)+IF(AND(OR(R505="follow-up",R505="Evaluation",R505="tbd",R505="In evaluation"),B505&lt;&gt;""),1,0)</f>
        <v>9</v>
      </c>
    </row>
    <row r="506" ht="15" customHeight="1">
      <c r="I506" s="215" t="n"/>
      <c r="J506" s="215" t="n"/>
      <c r="K506" s="215" t="n"/>
      <c r="L506" s="215" t="n"/>
      <c r="M506" s="215" t="n"/>
      <c r="N506" s="215" t="str">
        <f>IF(ISNUMBER(I506),ROUND(I506-I506/1.081,2),"")</f>
        <v/>
      </c>
      <c r="O506" s="215" t="str">
        <f>IF(ISNUMBER(I506),I506-SUM(J506:N506),"")</f>
        <v/>
      </c>
      <c r="P506" s="216" t="str">
        <f>IFERROR(IF(AND(ISNUMBER(O506),ISNUMBER(I506),I506&lt;&gt;0),O506/I506,""),"")</f>
        <v/>
      </c>
      <c r="Q506" s="215" t="str">
        <f>IF(AND(ISNUMBER(I506),ISNUMBER(S506)),I506*IF(S506&lt;=1,S506,S506/100),IF(OR(I506&lt;&gt;"",S506&lt;&gt;""),"tbd",""))</f>
        <v/>
      </c>
      <c r="S506" s="217" t="n"/>
      <c r="Z506" t="str">
        <f>IF(AND(R506="WON",ISNUMBER(I506)),AA506,"")</f>
        <v/>
      </c>
      <c r="AA506">
        <f>IFERROR(I506*1,0)</f>
        <v>0</v>
      </c>
      <c r="AB506">
        <f>N(AB505)+IF(AND(R506="WON",B506&lt;&gt;""),1,0)</f>
        <v>7</v>
      </c>
      <c r="AC506">
        <f>N(AC505)+IF(AND(OR(R506="offered",R506="to be offered",R506="on hold"),B506&lt;&gt;""),1,0)</f>
        <v>19</v>
      </c>
      <c r="AD506">
        <f>N(AD505)+IF(AND(OR(R506="follow-up",R506="Evaluation",R506="tbd",R506="In evaluation"),B506&lt;&gt;""),1,0)</f>
        <v>9</v>
      </c>
    </row>
    <row r="507" ht="15" customHeight="1">
      <c r="I507" s="215" t="n"/>
      <c r="J507" s="215" t="n"/>
      <c r="K507" s="215" t="n"/>
      <c r="L507" s="215" t="n"/>
      <c r="M507" s="215" t="n"/>
      <c r="N507" s="215" t="str">
        <f>IF(ISNUMBER(I507),ROUND(I507-I507/1.081,2),"")</f>
        <v/>
      </c>
      <c r="O507" s="215" t="str">
        <f>IF(ISNUMBER(I507),I507-SUM(J507:N507),"")</f>
        <v/>
      </c>
      <c r="P507" s="216" t="str">
        <f>IFERROR(IF(AND(ISNUMBER(O507),ISNUMBER(I507),I507&lt;&gt;0),O507/I507,""),"")</f>
        <v/>
      </c>
      <c r="Q507" s="215" t="str">
        <f>IF(AND(ISNUMBER(I507),ISNUMBER(S507)),I507*IF(S507&lt;=1,S507,S507/100),IF(OR(I507&lt;&gt;"",S507&lt;&gt;""),"tbd",""))</f>
        <v/>
      </c>
      <c r="S507" s="217" t="n"/>
      <c r="Z507" t="str">
        <f>IF(AND(R507="WON",ISNUMBER(I507)),AA507,"")</f>
        <v/>
      </c>
      <c r="AA507">
        <f>IFERROR(I507*1,0)</f>
        <v>0</v>
      </c>
      <c r="AB507">
        <f>N(AB506)+IF(AND(R507="WON",B507&lt;&gt;""),1,0)</f>
        <v>7</v>
      </c>
      <c r="AC507">
        <f>N(AC506)+IF(AND(OR(R507="offered",R507="to be offered",R507="on hold"),B507&lt;&gt;""),1,0)</f>
        <v>19</v>
      </c>
      <c r="AD507">
        <f>N(AD506)+IF(AND(OR(R507="follow-up",R507="Evaluation",R507="tbd",R507="In evaluation"),B507&lt;&gt;""),1,0)</f>
        <v>9</v>
      </c>
    </row>
    <row r="508" ht="15" customHeight="1">
      <c r="I508" s="215" t="n"/>
      <c r="J508" s="215" t="n"/>
      <c r="K508" s="215" t="n"/>
      <c r="L508" s="215" t="n"/>
      <c r="M508" s="215" t="n"/>
      <c r="N508" s="215" t="str">
        <f>IF(ISNUMBER(I508),ROUND(I508-I508/1.081,2),"")</f>
        <v/>
      </c>
      <c r="O508" s="215" t="str">
        <f>IF(ISNUMBER(I508),I508-SUM(J508:N508),"")</f>
        <v/>
      </c>
      <c r="P508" s="216" t="str">
        <f>IFERROR(IF(AND(ISNUMBER(O508),ISNUMBER(I508),I508&lt;&gt;0),O508/I508,""),"")</f>
        <v/>
      </c>
      <c r="Q508" s="215" t="str">
        <f>IF(AND(ISNUMBER(I508),ISNUMBER(S508)),I508*IF(S508&lt;=1,S508,S508/100),IF(OR(I508&lt;&gt;"",S508&lt;&gt;""),"tbd",""))</f>
        <v/>
      </c>
      <c r="S508" s="217" t="n"/>
      <c r="Z508" t="str">
        <f>IF(AND(R508="WON",ISNUMBER(I508)),AA508,"")</f>
        <v/>
      </c>
      <c r="AA508">
        <f>IFERROR(I508*1,0)</f>
        <v>0</v>
      </c>
      <c r="AB508">
        <f>N(AB507)+IF(AND(R508="WON",B508&lt;&gt;""),1,0)</f>
        <v>7</v>
      </c>
      <c r="AC508">
        <f>N(AC507)+IF(AND(OR(R508="offered",R508="to be offered",R508="on hold"),B508&lt;&gt;""),1,0)</f>
        <v>19</v>
      </c>
      <c r="AD508">
        <f>N(AD507)+IF(AND(OR(R508="follow-up",R508="Evaluation",R508="tbd",R508="In evaluation"),B508&lt;&gt;""),1,0)</f>
        <v>9</v>
      </c>
    </row>
    <row r="509" ht="15" customHeight="1">
      <c r="I509" s="215" t="n"/>
      <c r="J509" s="215" t="n"/>
      <c r="K509" s="215" t="n"/>
      <c r="L509" s="215" t="n"/>
      <c r="M509" s="215" t="n"/>
      <c r="N509" s="215" t="str">
        <f>IF(ISNUMBER(I509),ROUND(I509-I509/1.081,2),"")</f>
        <v/>
      </c>
      <c r="O509" s="215" t="str">
        <f>IF(ISNUMBER(I509),I509-SUM(J509:N509),"")</f>
        <v/>
      </c>
      <c r="P509" s="216" t="str">
        <f>IFERROR(IF(AND(ISNUMBER(O509),ISNUMBER(I509),I509&lt;&gt;0),O509/I509,""),"")</f>
        <v/>
      </c>
      <c r="Q509" s="215" t="str">
        <f>IF(AND(ISNUMBER(I509),ISNUMBER(S509)),I509*IF(S509&lt;=1,S509,S509/100),IF(OR(I509&lt;&gt;"",S509&lt;&gt;""),"tbd",""))</f>
        <v/>
      </c>
      <c r="S509" s="217" t="n"/>
      <c r="Z509" t="str">
        <f>IF(AND(R509="WON",ISNUMBER(I509)),AA509,"")</f>
        <v/>
      </c>
      <c r="AA509">
        <f>IFERROR(I509*1,0)</f>
        <v>0</v>
      </c>
      <c r="AB509">
        <f>N(AB508)+IF(AND(R509="WON",B509&lt;&gt;""),1,0)</f>
        <v>7</v>
      </c>
      <c r="AC509">
        <f>N(AC508)+IF(AND(OR(R509="offered",R509="to be offered",R509="on hold"),B509&lt;&gt;""),1,0)</f>
        <v>19</v>
      </c>
      <c r="AD509">
        <f>N(AD508)+IF(AND(OR(R509="follow-up",R509="Evaluation",R509="tbd",R509="In evaluation"),B509&lt;&gt;""),1,0)</f>
        <v>9</v>
      </c>
    </row>
    <row r="510" ht="15" customHeight="1">
      <c r="I510" s="215" t="n"/>
      <c r="J510" s="215" t="n"/>
      <c r="K510" s="215" t="n"/>
      <c r="L510" s="215" t="n"/>
      <c r="M510" s="215" t="n"/>
      <c r="N510" s="215" t="str">
        <f>IF(ISNUMBER(I510),ROUND(I510-I510/1.081,2),"")</f>
        <v/>
      </c>
      <c r="O510" s="215" t="str">
        <f>IF(ISNUMBER(I510),I510-SUM(J510:N510),"")</f>
        <v/>
      </c>
      <c r="P510" s="216" t="str">
        <f>IFERROR(IF(AND(ISNUMBER(O510),ISNUMBER(I510),I510&lt;&gt;0),O510/I510,""),"")</f>
        <v/>
      </c>
      <c r="Q510" s="215" t="str">
        <f>IF(AND(ISNUMBER(I510),ISNUMBER(S510)),I510*IF(S510&lt;=1,S510,S510/100),IF(OR(I510&lt;&gt;"",S510&lt;&gt;""),"tbd",""))</f>
        <v/>
      </c>
      <c r="S510" s="217" t="n"/>
      <c r="Z510" t="str">
        <f>IF(AND(R510="WON",ISNUMBER(I510)),AA510,"")</f>
        <v/>
      </c>
      <c r="AA510">
        <f>IFERROR(I510*1,0)</f>
        <v>0</v>
      </c>
      <c r="AB510">
        <f>N(AB509)+IF(AND(R510="WON",B510&lt;&gt;""),1,0)</f>
        <v>7</v>
      </c>
      <c r="AC510">
        <f>N(AC509)+IF(AND(OR(R510="offered",R510="to be offered",R510="on hold"),B510&lt;&gt;""),1,0)</f>
        <v>19</v>
      </c>
      <c r="AD510">
        <f>N(AD509)+IF(AND(OR(R510="follow-up",R510="Evaluation",R510="tbd",R510="In evaluation"),B510&lt;&gt;""),1,0)</f>
        <v>9</v>
      </c>
    </row>
    <row r="511" ht="15" customHeight="1">
      <c r="I511" s="215" t="n"/>
      <c r="J511" s="215" t="n"/>
      <c r="K511" s="215" t="n"/>
      <c r="L511" s="215" t="n"/>
      <c r="M511" s="215" t="n"/>
      <c r="N511" s="215" t="str">
        <f>IF(ISNUMBER(I511),ROUND(I511-I511/1.081,2),"")</f>
        <v/>
      </c>
      <c r="O511" s="215" t="str">
        <f>IF(ISNUMBER(I511),I511-SUM(J511:N511),"")</f>
        <v/>
      </c>
      <c r="P511" s="216" t="str">
        <f>IFERROR(IF(AND(ISNUMBER(O511),ISNUMBER(I511),I511&lt;&gt;0),O511/I511,""),"")</f>
        <v/>
      </c>
      <c r="Q511" s="215" t="str">
        <f>IF(AND(ISNUMBER(I511),ISNUMBER(S511)),I511*IF(S511&lt;=1,S511,S511/100),IF(OR(I511&lt;&gt;"",S511&lt;&gt;""),"tbd",""))</f>
        <v/>
      </c>
      <c r="S511" s="217" t="n"/>
      <c r="Z511" t="str">
        <f>IF(AND(R511="WON",ISNUMBER(I511)),AA511,"")</f>
        <v/>
      </c>
      <c r="AA511">
        <f>IFERROR(I511*1,0)</f>
        <v>0</v>
      </c>
      <c r="AB511">
        <f>N(AB510)+IF(AND(R511="WON",B511&lt;&gt;""),1,0)</f>
        <v>7</v>
      </c>
      <c r="AC511">
        <f>N(AC510)+IF(AND(OR(R511="offered",R511="to be offered",R511="on hold"),B511&lt;&gt;""),1,0)</f>
        <v>19</v>
      </c>
      <c r="AD511">
        <f>N(AD510)+IF(AND(OR(R511="follow-up",R511="Evaluation",R511="tbd",R511="In evaluation"),B511&lt;&gt;""),1,0)</f>
        <v>9</v>
      </c>
    </row>
    <row r="512" ht="15" customHeight="1">
      <c r="I512" s="215" t="n"/>
      <c r="J512" s="215" t="n"/>
      <c r="K512" s="215" t="n"/>
      <c r="L512" s="215" t="n"/>
      <c r="M512" s="215" t="n"/>
      <c r="N512" s="215" t="str">
        <f>IF(ISNUMBER(I512),ROUND(I512-I512/1.081,2),"")</f>
        <v/>
      </c>
      <c r="O512" s="215" t="str">
        <f>IF(ISNUMBER(I512),I512-SUM(J512:N512),"")</f>
        <v/>
      </c>
      <c r="P512" s="216" t="str">
        <f>IFERROR(IF(AND(ISNUMBER(O512),ISNUMBER(I512),I512&lt;&gt;0),O512/I512,""),"")</f>
        <v/>
      </c>
      <c r="Q512" s="215" t="str">
        <f>IF(AND(ISNUMBER(I512),ISNUMBER(S512)),I512*IF(S512&lt;=1,S512,S512/100),IF(OR(I512&lt;&gt;"",S512&lt;&gt;""),"tbd",""))</f>
        <v/>
      </c>
      <c r="S512" s="217" t="n"/>
      <c r="Z512" t="str">
        <f>IF(AND(R512="WON",ISNUMBER(I512)),AA512,"")</f>
        <v/>
      </c>
      <c r="AA512">
        <f>IFERROR(I512*1,0)</f>
        <v>0</v>
      </c>
      <c r="AB512">
        <f>N(AB511)+IF(AND(R512="WON",B512&lt;&gt;""),1,0)</f>
        <v>7</v>
      </c>
      <c r="AC512">
        <f>N(AC511)+IF(AND(OR(R512="offered",R512="to be offered",R512="on hold"),B512&lt;&gt;""),1,0)</f>
        <v>19</v>
      </c>
      <c r="AD512">
        <f>N(AD511)+IF(AND(OR(R512="follow-up",R512="Evaluation",R512="tbd",R512="In evaluation"),B512&lt;&gt;""),1,0)</f>
        <v>9</v>
      </c>
    </row>
    <row r="513" ht="15" customHeight="1">
      <c r="I513" s="215" t="n"/>
      <c r="J513" s="215" t="n"/>
      <c r="K513" s="215" t="n"/>
      <c r="L513" s="215" t="n"/>
      <c r="M513" s="215" t="n"/>
      <c r="N513" s="215" t="str">
        <f>IF(ISNUMBER(I513),ROUND(I513-I513/1.081,2),"")</f>
        <v/>
      </c>
      <c r="O513" s="215" t="str">
        <f>IF(ISNUMBER(I513),I513-SUM(J513:N513),"")</f>
        <v/>
      </c>
      <c r="P513" s="216" t="str">
        <f>IFERROR(IF(AND(ISNUMBER(O513),ISNUMBER(I513),I513&lt;&gt;0),O513/I513,""),"")</f>
        <v/>
      </c>
      <c r="Q513" s="215" t="str">
        <f>IF(AND(ISNUMBER(I513),ISNUMBER(S513)),I513*IF(S513&lt;=1,S513,S513/100),IF(OR(I513&lt;&gt;"",S513&lt;&gt;""),"tbd",""))</f>
        <v/>
      </c>
      <c r="S513" s="217" t="n"/>
      <c r="Z513" t="str">
        <f>IF(AND(R513="WON",ISNUMBER(I513)),AA513,"")</f>
        <v/>
      </c>
      <c r="AA513">
        <f>IFERROR(I513*1,0)</f>
        <v>0</v>
      </c>
      <c r="AB513">
        <f>N(AB512)+IF(AND(R513="WON",B513&lt;&gt;""),1,0)</f>
        <v>7</v>
      </c>
      <c r="AC513">
        <f>N(AC512)+IF(AND(OR(R513="offered",R513="to be offered",R513="on hold"),B513&lt;&gt;""),1,0)</f>
        <v>19</v>
      </c>
      <c r="AD513">
        <f>N(AD512)+IF(AND(OR(R513="follow-up",R513="Evaluation",R513="tbd",R513="In evaluation"),B513&lt;&gt;""),1,0)</f>
        <v>9</v>
      </c>
    </row>
    <row r="514" ht="15" customHeight="1">
      <c r="I514" s="215" t="n"/>
      <c r="J514" s="215" t="n"/>
      <c r="K514" s="215" t="n"/>
      <c r="L514" s="215" t="n"/>
      <c r="M514" s="215" t="n"/>
      <c r="N514" s="215" t="str">
        <f>IF(ISNUMBER(I514),ROUND(I514-I514/1.081,2),"")</f>
        <v/>
      </c>
      <c r="O514" s="215" t="str">
        <f>IF(ISNUMBER(I514),I514-SUM(J514:N514),"")</f>
        <v/>
      </c>
      <c r="P514" s="216" t="str">
        <f>IFERROR(IF(AND(ISNUMBER(O514),ISNUMBER(I514),I514&lt;&gt;0),O514/I514,""),"")</f>
        <v/>
      </c>
      <c r="Q514" s="215" t="str">
        <f>IF(AND(ISNUMBER(I514),ISNUMBER(S514)),I514*IF(S514&lt;=1,S514,S514/100),IF(OR(I514&lt;&gt;"",S514&lt;&gt;""),"tbd",""))</f>
        <v/>
      </c>
      <c r="S514" s="217" t="n"/>
      <c r="Z514" t="str">
        <f>IF(AND(R514="WON",ISNUMBER(I514)),AA514,"")</f>
        <v/>
      </c>
      <c r="AA514">
        <f>IFERROR(I514*1,0)</f>
        <v>0</v>
      </c>
      <c r="AB514">
        <f>N(AB513)+IF(AND(R514="WON",B514&lt;&gt;""),1,0)</f>
        <v>7</v>
      </c>
      <c r="AC514">
        <f>N(AC513)+IF(AND(OR(R514="offered",R514="to be offered",R514="on hold"),B514&lt;&gt;""),1,0)</f>
        <v>19</v>
      </c>
      <c r="AD514">
        <f>N(AD513)+IF(AND(OR(R514="follow-up",R514="Evaluation",R514="tbd",R514="In evaluation"),B514&lt;&gt;""),1,0)</f>
        <v>9</v>
      </c>
    </row>
    <row r="515" ht="15" customHeight="1">
      <c r="I515" s="215" t="n"/>
      <c r="J515" s="215" t="n"/>
      <c r="K515" s="215" t="n"/>
      <c r="L515" s="215" t="n"/>
      <c r="M515" s="215" t="n"/>
      <c r="N515" s="215" t="str">
        <f>IF(ISNUMBER(I515),ROUND(I515-I515/1.081,2),"")</f>
        <v/>
      </c>
      <c r="O515" s="215" t="str">
        <f>IF(ISNUMBER(I515),I515-SUM(J515:N515),"")</f>
        <v/>
      </c>
      <c r="P515" s="216" t="str">
        <f>IFERROR(IF(AND(ISNUMBER(O515),ISNUMBER(I515),I515&lt;&gt;0),O515/I515,""),"")</f>
        <v/>
      </c>
      <c r="Q515" s="215" t="str">
        <f>IF(AND(ISNUMBER(I515),ISNUMBER(S515)),I515*IF(S515&lt;=1,S515,S515/100),IF(OR(I515&lt;&gt;"",S515&lt;&gt;""),"tbd",""))</f>
        <v/>
      </c>
      <c r="S515" s="217" t="n"/>
      <c r="Z515" t="str">
        <f>IF(AND(R515="WON",ISNUMBER(I515)),AA515,"")</f>
        <v/>
      </c>
      <c r="AA515">
        <f>IFERROR(I515*1,0)</f>
        <v>0</v>
      </c>
      <c r="AB515">
        <f>N(AB514)+IF(AND(R515="WON",B515&lt;&gt;""),1,0)</f>
        <v>7</v>
      </c>
      <c r="AC515">
        <f>N(AC514)+IF(AND(OR(R515="offered",R515="to be offered",R515="on hold"),B515&lt;&gt;""),1,0)</f>
        <v>19</v>
      </c>
      <c r="AD515">
        <f>N(AD514)+IF(AND(OR(R515="follow-up",R515="Evaluation",R515="tbd",R515="In evaluation"),B515&lt;&gt;""),1,0)</f>
        <v>9</v>
      </c>
    </row>
    <row r="516" ht="15" customHeight="1">
      <c r="I516" s="215" t="n"/>
      <c r="J516" s="215" t="n"/>
      <c r="K516" s="215" t="n"/>
      <c r="L516" s="215" t="n"/>
      <c r="M516" s="215" t="n"/>
      <c r="N516" s="215" t="str">
        <f>IF(ISNUMBER(I516),ROUND(I516-I516/1.081,2),"")</f>
        <v/>
      </c>
      <c r="O516" s="215" t="str">
        <f>IF(ISNUMBER(I516),I516-SUM(J516:N516),"")</f>
        <v/>
      </c>
      <c r="P516" s="216" t="str">
        <f>IFERROR(IF(AND(ISNUMBER(O516),ISNUMBER(I516),I516&lt;&gt;0),O516/I516,""),"")</f>
        <v/>
      </c>
      <c r="Q516" s="215" t="str">
        <f>IF(AND(ISNUMBER(I516),ISNUMBER(S516)),I516*IF(S516&lt;=1,S516,S516/100),IF(OR(I516&lt;&gt;"",S516&lt;&gt;""),"tbd",""))</f>
        <v/>
      </c>
      <c r="S516" s="217" t="n"/>
      <c r="Z516" t="str">
        <f>IF(AND(R516="WON",ISNUMBER(I516)),AA516,"")</f>
        <v/>
      </c>
      <c r="AA516">
        <f>IFERROR(I516*1,0)</f>
        <v>0</v>
      </c>
      <c r="AB516">
        <f>N(AB515)+IF(AND(R516="WON",B516&lt;&gt;""),1,0)</f>
        <v>7</v>
      </c>
      <c r="AC516">
        <f>N(AC515)+IF(AND(OR(R516="offered",R516="to be offered",R516="on hold"),B516&lt;&gt;""),1,0)</f>
        <v>19</v>
      </c>
      <c r="AD516">
        <f>N(AD515)+IF(AND(OR(R516="follow-up",R516="Evaluation",R516="tbd",R516="In evaluation"),B516&lt;&gt;""),1,0)</f>
        <v>9</v>
      </c>
    </row>
    <row r="517" ht="15" customHeight="1">
      <c r="I517" s="215" t="n"/>
      <c r="J517" s="215" t="n"/>
      <c r="K517" s="215" t="n"/>
      <c r="L517" s="215" t="n"/>
      <c r="M517" s="215" t="n"/>
      <c r="N517" s="215" t="str">
        <f>IF(ISNUMBER(I517),ROUND(I517-I517/1.081,2),"")</f>
        <v/>
      </c>
      <c r="O517" s="215" t="str">
        <f>IF(ISNUMBER(I517),I517-SUM(J517:N517),"")</f>
        <v/>
      </c>
      <c r="P517" s="216" t="str">
        <f>IFERROR(IF(AND(ISNUMBER(O517),ISNUMBER(I517),I517&lt;&gt;0),O517/I517,""),"")</f>
        <v/>
      </c>
      <c r="Q517" s="215" t="str">
        <f>IF(AND(ISNUMBER(I517),ISNUMBER(S517)),I517*IF(S517&lt;=1,S517,S517/100),IF(OR(I517&lt;&gt;"",S517&lt;&gt;""),"tbd",""))</f>
        <v/>
      </c>
      <c r="S517" s="217" t="n"/>
      <c r="Z517" t="str">
        <f>IF(AND(R517="WON",ISNUMBER(I517)),AA517,"")</f>
        <v/>
      </c>
      <c r="AA517">
        <f>IFERROR(I517*1,0)</f>
        <v>0</v>
      </c>
      <c r="AB517">
        <f>N(AB516)+IF(AND(R517="WON",B517&lt;&gt;""),1,0)</f>
        <v>7</v>
      </c>
      <c r="AC517">
        <f>N(AC516)+IF(AND(OR(R517="offered",R517="to be offered",R517="on hold"),B517&lt;&gt;""),1,0)</f>
        <v>19</v>
      </c>
      <c r="AD517">
        <f>N(AD516)+IF(AND(OR(R517="follow-up",R517="Evaluation",R517="tbd",R517="In evaluation"),B517&lt;&gt;""),1,0)</f>
        <v>9</v>
      </c>
    </row>
    <row r="518" ht="15" customHeight="1">
      <c r="I518" s="215" t="n"/>
      <c r="J518" s="215" t="n"/>
      <c r="K518" s="215" t="n"/>
      <c r="L518" s="215" t="n"/>
      <c r="M518" s="215" t="n"/>
      <c r="N518" s="215" t="str">
        <f>IF(ISNUMBER(I518),ROUND(I518-I518/1.081,2),"")</f>
        <v/>
      </c>
      <c r="O518" s="215" t="str">
        <f>IF(ISNUMBER(I518),I518-SUM(J518:N518),"")</f>
        <v/>
      </c>
      <c r="P518" s="216" t="str">
        <f>IFERROR(IF(AND(ISNUMBER(O518),ISNUMBER(I518),I518&lt;&gt;0),O518/I518,""),"")</f>
        <v/>
      </c>
      <c r="Q518" s="215" t="str">
        <f>IF(AND(ISNUMBER(I518),ISNUMBER(S518)),I518*IF(S518&lt;=1,S518,S518/100),IF(OR(I518&lt;&gt;"",S518&lt;&gt;""),"tbd",""))</f>
        <v/>
      </c>
      <c r="S518" s="217" t="n"/>
      <c r="Z518" t="str">
        <f>IF(AND(R518="WON",ISNUMBER(I518)),AA518,"")</f>
        <v/>
      </c>
      <c r="AA518">
        <f>IFERROR(I518*1,0)</f>
        <v>0</v>
      </c>
      <c r="AB518">
        <f>N(AB517)+IF(AND(R518="WON",B518&lt;&gt;""),1,0)</f>
        <v>7</v>
      </c>
      <c r="AC518">
        <f>N(AC517)+IF(AND(OR(R518="offered",R518="to be offered",R518="on hold"),B518&lt;&gt;""),1,0)</f>
        <v>19</v>
      </c>
      <c r="AD518">
        <f>N(AD517)+IF(AND(OR(R518="follow-up",R518="Evaluation",R518="tbd",R518="In evaluation"),B518&lt;&gt;""),1,0)</f>
        <v>9</v>
      </c>
    </row>
    <row r="519" ht="15" customHeight="1">
      <c r="I519" s="215" t="n"/>
      <c r="J519" s="215" t="n"/>
      <c r="K519" s="215" t="n"/>
      <c r="L519" s="215" t="n"/>
      <c r="M519" s="215" t="n"/>
      <c r="N519" s="215" t="str">
        <f>IF(ISNUMBER(I519),ROUND(I519-I519/1.081,2),"")</f>
        <v/>
      </c>
      <c r="O519" s="215" t="str">
        <f>IF(ISNUMBER(I519),I519-SUM(J519:N519),"")</f>
        <v/>
      </c>
      <c r="P519" s="216" t="str">
        <f>IFERROR(IF(AND(ISNUMBER(O519),ISNUMBER(I519),I519&lt;&gt;0),O519/I519,""),"")</f>
        <v/>
      </c>
      <c r="Q519" s="215" t="str">
        <f>IF(AND(ISNUMBER(I519),ISNUMBER(S519)),I519*IF(S519&lt;=1,S519,S519/100),IF(OR(I519&lt;&gt;"",S519&lt;&gt;""),"tbd",""))</f>
        <v/>
      </c>
      <c r="S519" s="217" t="n"/>
      <c r="Z519" t="str">
        <f>IF(AND(R519="WON",ISNUMBER(I519)),AA519,"")</f>
        <v/>
      </c>
      <c r="AA519">
        <f>IFERROR(I519*1,0)</f>
        <v>0</v>
      </c>
      <c r="AB519">
        <f>N(AB518)+IF(AND(R519="WON",B519&lt;&gt;""),1,0)</f>
        <v>7</v>
      </c>
      <c r="AC519">
        <f>N(AC518)+IF(AND(OR(R519="offered",R519="to be offered",R519="on hold"),B519&lt;&gt;""),1,0)</f>
        <v>19</v>
      </c>
      <c r="AD519">
        <f>N(AD518)+IF(AND(OR(R519="follow-up",R519="Evaluation",R519="tbd",R519="In evaluation"),B519&lt;&gt;""),1,0)</f>
        <v>9</v>
      </c>
    </row>
    <row r="520" ht="15" customHeight="1">
      <c r="I520" s="215" t="n"/>
      <c r="J520" s="215" t="n"/>
      <c r="K520" s="215" t="n"/>
      <c r="L520" s="215" t="n"/>
      <c r="M520" s="215" t="n"/>
      <c r="N520" s="215" t="str">
        <f>IF(ISNUMBER(I520),ROUND(I520-I520/1.081,2),"")</f>
        <v/>
      </c>
      <c r="O520" s="215" t="str">
        <f>IF(ISNUMBER(I520),I520-SUM(J520:N520),"")</f>
        <v/>
      </c>
      <c r="P520" s="216" t="str">
        <f>IFERROR(IF(AND(ISNUMBER(O520),ISNUMBER(I520),I520&lt;&gt;0),O520/I520,""),"")</f>
        <v/>
      </c>
      <c r="Q520" s="215" t="str">
        <f>IF(AND(ISNUMBER(I520),ISNUMBER(S520)),I520*IF(S520&lt;=1,S520,S520/100),IF(OR(I520&lt;&gt;"",S520&lt;&gt;""),"tbd",""))</f>
        <v/>
      </c>
      <c r="S520" s="217" t="n"/>
      <c r="Z520" t="str">
        <f>IF(AND(R520="WON",ISNUMBER(I520)),AA520,"")</f>
        <v/>
      </c>
      <c r="AA520">
        <f>IFERROR(I520*1,0)</f>
        <v>0</v>
      </c>
      <c r="AB520">
        <f>N(AB519)+IF(AND(R520="WON",B520&lt;&gt;""),1,0)</f>
        <v>7</v>
      </c>
      <c r="AC520">
        <f>N(AC519)+IF(AND(OR(R520="offered",R520="to be offered",R520="on hold"),B520&lt;&gt;""),1,0)</f>
        <v>19</v>
      </c>
      <c r="AD520">
        <f>N(AD519)+IF(AND(OR(R520="follow-up",R520="Evaluation",R520="tbd",R520="In evaluation"),B520&lt;&gt;""),1,0)</f>
        <v>9</v>
      </c>
    </row>
    <row r="521" ht="15" customHeight="1">
      <c r="I521" s="215" t="n"/>
      <c r="J521" s="215" t="n"/>
      <c r="K521" s="215" t="n"/>
      <c r="L521" s="215" t="n"/>
      <c r="M521" s="215" t="n"/>
      <c r="N521" s="215" t="str">
        <f>IF(ISNUMBER(I521),ROUND(I521-I521/1.081,2),"")</f>
        <v/>
      </c>
      <c r="O521" s="215" t="str">
        <f>IF(ISNUMBER(I521),I521-SUM(J521:N521),"")</f>
        <v/>
      </c>
      <c r="P521" s="216" t="str">
        <f>IFERROR(IF(AND(ISNUMBER(O521),ISNUMBER(I521),I521&lt;&gt;0),O521/I521,""),"")</f>
        <v/>
      </c>
      <c r="Q521" s="215" t="str">
        <f>IF(AND(ISNUMBER(I521),ISNUMBER(S521)),I521*IF(S521&lt;=1,S521,S521/100),IF(OR(I521&lt;&gt;"",S521&lt;&gt;""),"tbd",""))</f>
        <v/>
      </c>
      <c r="S521" s="217" t="n"/>
      <c r="Z521" t="str">
        <f>IF(AND(R521="WON",ISNUMBER(I521)),AA521,"")</f>
        <v/>
      </c>
      <c r="AA521">
        <f>IFERROR(I521*1,0)</f>
        <v>0</v>
      </c>
      <c r="AB521">
        <f>N(AB520)+IF(AND(R521="WON",B521&lt;&gt;""),1,0)</f>
        <v>7</v>
      </c>
      <c r="AC521">
        <f>N(AC520)+IF(AND(OR(R521="offered",R521="to be offered",R521="on hold"),B521&lt;&gt;""),1,0)</f>
        <v>19</v>
      </c>
      <c r="AD521">
        <f>N(AD520)+IF(AND(OR(R521="follow-up",R521="Evaluation",R521="tbd",R521="In evaluation"),B521&lt;&gt;""),1,0)</f>
        <v>9</v>
      </c>
    </row>
    <row r="522" ht="15" customHeight="1">
      <c r="I522" s="215" t="n"/>
      <c r="J522" s="215" t="n"/>
      <c r="K522" s="215" t="n"/>
      <c r="L522" s="215" t="n"/>
      <c r="M522" s="215" t="n"/>
      <c r="N522" s="215" t="str">
        <f>IF(ISNUMBER(I522),ROUND(I522-I522/1.081,2),"")</f>
        <v/>
      </c>
      <c r="O522" s="215" t="str">
        <f>IF(ISNUMBER(I522),I522-SUM(J522:N522),"")</f>
        <v/>
      </c>
      <c r="P522" s="216" t="str">
        <f>IFERROR(IF(AND(ISNUMBER(O522),ISNUMBER(I522),I522&lt;&gt;0),O522/I522,""),"")</f>
        <v/>
      </c>
      <c r="Q522" s="215" t="str">
        <f>IF(AND(ISNUMBER(I522),ISNUMBER(S522)),I522*IF(S522&lt;=1,S522,S522/100),IF(OR(I522&lt;&gt;"",S522&lt;&gt;""),"tbd",""))</f>
        <v/>
      </c>
      <c r="S522" s="217" t="n"/>
      <c r="Z522" t="str">
        <f>IF(AND(R522="WON",ISNUMBER(I522)),AA522,"")</f>
        <v/>
      </c>
      <c r="AA522">
        <f>IFERROR(I522*1,0)</f>
        <v>0</v>
      </c>
      <c r="AB522">
        <f>N(AB521)+IF(AND(R522="WON",B522&lt;&gt;""),1,0)</f>
        <v>7</v>
      </c>
      <c r="AC522">
        <f>N(AC521)+IF(AND(OR(R522="offered",R522="to be offered",R522="on hold"),B522&lt;&gt;""),1,0)</f>
        <v>19</v>
      </c>
      <c r="AD522">
        <f>N(AD521)+IF(AND(OR(R522="follow-up",R522="Evaluation",R522="tbd",R522="In evaluation"),B522&lt;&gt;""),1,0)</f>
        <v>9</v>
      </c>
    </row>
    <row r="523" ht="15" customHeight="1">
      <c r="I523" s="215" t="n"/>
      <c r="J523" s="215" t="n"/>
      <c r="K523" s="215" t="n"/>
      <c r="L523" s="215" t="n"/>
      <c r="M523" s="215" t="n"/>
      <c r="N523" s="215" t="str">
        <f>IF(ISNUMBER(I523),ROUND(I523-I523/1.081,2),"")</f>
        <v/>
      </c>
      <c r="O523" s="215" t="str">
        <f>IF(ISNUMBER(I523),I523-SUM(J523:N523),"")</f>
        <v/>
      </c>
      <c r="P523" s="216" t="str">
        <f>IFERROR(IF(AND(ISNUMBER(O523),ISNUMBER(I523),I523&lt;&gt;0),O523/I523,""),"")</f>
        <v/>
      </c>
      <c r="Q523" s="215" t="str">
        <f>IF(AND(ISNUMBER(I523),ISNUMBER(S523)),I523*IF(S523&lt;=1,S523,S523/100),IF(OR(I523&lt;&gt;"",S523&lt;&gt;""),"tbd",""))</f>
        <v/>
      </c>
      <c r="S523" s="217" t="n"/>
      <c r="Z523" t="str">
        <f>IF(AND(R523="WON",ISNUMBER(I523)),AA523,"")</f>
        <v/>
      </c>
      <c r="AA523">
        <f>IFERROR(I523*1,0)</f>
        <v>0</v>
      </c>
      <c r="AB523">
        <f>N(AB522)+IF(AND(R523="WON",B523&lt;&gt;""),1,0)</f>
        <v>7</v>
      </c>
      <c r="AC523">
        <f>N(AC522)+IF(AND(OR(R523="offered",R523="to be offered",R523="on hold"),B523&lt;&gt;""),1,0)</f>
        <v>19</v>
      </c>
      <c r="AD523">
        <f>N(AD522)+IF(AND(OR(R523="follow-up",R523="Evaluation",R523="tbd",R523="In evaluation"),B523&lt;&gt;""),1,0)</f>
        <v>9</v>
      </c>
    </row>
    <row r="524" ht="15" customHeight="1">
      <c r="I524" s="215" t="n"/>
      <c r="J524" s="215" t="n"/>
      <c r="K524" s="215" t="n"/>
      <c r="L524" s="215" t="n"/>
      <c r="M524" s="215" t="n"/>
      <c r="N524" s="215" t="str">
        <f>IF(ISNUMBER(I524),ROUND(I524-I524/1.081,2),"")</f>
        <v/>
      </c>
      <c r="O524" s="215" t="str">
        <f>IF(ISNUMBER(I524),I524-SUM(J524:N524),"")</f>
        <v/>
      </c>
      <c r="P524" s="216" t="str">
        <f>IFERROR(IF(AND(ISNUMBER(O524),ISNUMBER(I524),I524&lt;&gt;0),O524/I524,""),"")</f>
        <v/>
      </c>
      <c r="Q524" s="215" t="str">
        <f>IF(AND(ISNUMBER(I524),ISNUMBER(S524)),I524*IF(S524&lt;=1,S524,S524/100),IF(OR(I524&lt;&gt;"",S524&lt;&gt;""),"tbd",""))</f>
        <v/>
      </c>
      <c r="S524" s="217" t="n"/>
      <c r="Z524" t="str">
        <f>IF(AND(R524="WON",ISNUMBER(I524)),AA524,"")</f>
        <v/>
      </c>
      <c r="AA524">
        <f>IFERROR(I524*1,0)</f>
        <v>0</v>
      </c>
      <c r="AB524">
        <f>N(AB523)+IF(AND(R524="WON",B524&lt;&gt;""),1,0)</f>
        <v>7</v>
      </c>
      <c r="AC524">
        <f>N(AC523)+IF(AND(OR(R524="offered",R524="to be offered",R524="on hold"),B524&lt;&gt;""),1,0)</f>
        <v>19</v>
      </c>
      <c r="AD524">
        <f>N(AD523)+IF(AND(OR(R524="follow-up",R524="Evaluation",R524="tbd",R524="In evaluation"),B524&lt;&gt;""),1,0)</f>
        <v>9</v>
      </c>
    </row>
    <row r="525" ht="15" customHeight="1">
      <c r="I525" s="215" t="n"/>
      <c r="J525" s="215" t="n"/>
      <c r="K525" s="215" t="n"/>
      <c r="L525" s="215" t="n"/>
      <c r="M525" s="215" t="n"/>
      <c r="N525" s="215" t="str">
        <f>IF(ISNUMBER(I525),ROUND(I525-I525/1.081,2),"")</f>
        <v/>
      </c>
      <c r="O525" s="215" t="str">
        <f>IF(ISNUMBER(I525),I525-SUM(J525:N525),"")</f>
        <v/>
      </c>
      <c r="P525" s="216" t="str">
        <f>IFERROR(IF(AND(ISNUMBER(O525),ISNUMBER(I525),I525&lt;&gt;0),O525/I525,""),"")</f>
        <v/>
      </c>
      <c r="Q525" s="215" t="str">
        <f>IF(AND(ISNUMBER(I525),ISNUMBER(S525)),I525*IF(S525&lt;=1,S525,S525/100),IF(OR(I525&lt;&gt;"",S525&lt;&gt;""),"tbd",""))</f>
        <v/>
      </c>
      <c r="S525" s="217" t="n"/>
      <c r="Z525" t="str">
        <f>IF(AND(R525="WON",ISNUMBER(I525)),AA525,"")</f>
        <v/>
      </c>
      <c r="AA525">
        <f>IFERROR(I525*1,0)</f>
        <v>0</v>
      </c>
      <c r="AB525">
        <f>N(AB524)+IF(AND(R525="WON",B525&lt;&gt;""),1,0)</f>
        <v>7</v>
      </c>
      <c r="AC525">
        <f>N(AC524)+IF(AND(OR(R525="offered",R525="to be offered",R525="on hold"),B525&lt;&gt;""),1,0)</f>
        <v>19</v>
      </c>
      <c r="AD525">
        <f>N(AD524)+IF(AND(OR(R525="follow-up",R525="Evaluation",R525="tbd",R525="In evaluation"),B525&lt;&gt;""),1,0)</f>
        <v>9</v>
      </c>
    </row>
    <row r="526" ht="15" customHeight="1">
      <c r="I526" s="215" t="n"/>
      <c r="J526" s="215" t="n"/>
      <c r="K526" s="215" t="n"/>
      <c r="L526" s="215" t="n"/>
      <c r="M526" s="215" t="n"/>
      <c r="N526" s="215" t="str">
        <f>IF(ISNUMBER(I526),ROUND(I526-I526/1.081,2),"")</f>
        <v/>
      </c>
      <c r="O526" s="215" t="str">
        <f>IF(ISNUMBER(I526),I526-SUM(J526:N526),"")</f>
        <v/>
      </c>
      <c r="P526" s="216" t="str">
        <f>IFERROR(IF(AND(ISNUMBER(O526),ISNUMBER(I526),I526&lt;&gt;0),O526/I526,""),"")</f>
        <v/>
      </c>
      <c r="Q526" s="215" t="str">
        <f>IF(AND(ISNUMBER(I526),ISNUMBER(S526)),I526*IF(S526&lt;=1,S526,S526/100),IF(OR(I526&lt;&gt;"",S526&lt;&gt;""),"tbd",""))</f>
        <v/>
      </c>
      <c r="S526" s="217" t="n"/>
      <c r="Z526" t="str">
        <f>IF(AND(R526="WON",ISNUMBER(I526)),AA526,"")</f>
        <v/>
      </c>
      <c r="AA526">
        <f>IFERROR(I526*1,0)</f>
        <v>0</v>
      </c>
      <c r="AB526">
        <f>N(AB525)+IF(AND(R526="WON",B526&lt;&gt;""),1,0)</f>
        <v>7</v>
      </c>
      <c r="AC526">
        <f>N(AC525)+IF(AND(OR(R526="offered",R526="to be offered",R526="on hold"),B526&lt;&gt;""),1,0)</f>
        <v>19</v>
      </c>
      <c r="AD526">
        <f>N(AD525)+IF(AND(OR(R526="follow-up",R526="Evaluation",R526="tbd",R526="In evaluation"),B526&lt;&gt;""),1,0)</f>
        <v>9</v>
      </c>
    </row>
    <row r="527" ht="15" customHeight="1">
      <c r="I527" s="215" t="n"/>
      <c r="J527" s="215" t="n"/>
      <c r="K527" s="215" t="n"/>
      <c r="L527" s="215" t="n"/>
      <c r="M527" s="215" t="n"/>
      <c r="N527" s="215" t="str">
        <f>IF(ISNUMBER(I527),ROUND(I527-I527/1.081,2),"")</f>
        <v/>
      </c>
      <c r="O527" s="215" t="str">
        <f>IF(ISNUMBER(I527),I527-SUM(J527:N527),"")</f>
        <v/>
      </c>
      <c r="P527" s="216" t="str">
        <f>IFERROR(IF(AND(ISNUMBER(O527),ISNUMBER(I527),I527&lt;&gt;0),O527/I527,""),"")</f>
        <v/>
      </c>
      <c r="Q527" s="215" t="str">
        <f>IF(AND(ISNUMBER(I527),ISNUMBER(S527)),I527*IF(S527&lt;=1,S527,S527/100),IF(OR(I527&lt;&gt;"",S527&lt;&gt;""),"tbd",""))</f>
        <v/>
      </c>
      <c r="S527" s="217" t="n"/>
      <c r="Z527" t="str">
        <f>IF(AND(R527="WON",ISNUMBER(I527)),AA527,"")</f>
        <v/>
      </c>
      <c r="AA527">
        <f>IFERROR(I527*1,0)</f>
        <v>0</v>
      </c>
      <c r="AB527">
        <f>N(AB526)+IF(AND(R527="WON",B527&lt;&gt;""),1,0)</f>
        <v>7</v>
      </c>
      <c r="AC527">
        <f>N(AC526)+IF(AND(OR(R527="offered",R527="to be offered",R527="on hold"),B527&lt;&gt;""),1,0)</f>
        <v>19</v>
      </c>
      <c r="AD527">
        <f>N(AD526)+IF(AND(OR(R527="follow-up",R527="Evaluation",R527="tbd",R527="In evaluation"),B527&lt;&gt;""),1,0)</f>
        <v>9</v>
      </c>
    </row>
    <row r="528" ht="15" customHeight="1">
      <c r="I528" s="215" t="n"/>
      <c r="J528" s="215" t="n"/>
      <c r="K528" s="215" t="n"/>
      <c r="L528" s="215" t="n"/>
      <c r="M528" s="215" t="n"/>
      <c r="N528" s="215" t="str">
        <f>IF(ISNUMBER(I528),ROUND(I528-I528/1.081,2),"")</f>
        <v/>
      </c>
      <c r="O528" s="215" t="str">
        <f>IF(ISNUMBER(I528),I528-SUM(J528:N528),"")</f>
        <v/>
      </c>
      <c r="P528" s="216" t="str">
        <f>IFERROR(IF(AND(ISNUMBER(O528),ISNUMBER(I528),I528&lt;&gt;0),O528/I528,""),"")</f>
        <v/>
      </c>
      <c r="Q528" s="215" t="str">
        <f>IF(AND(ISNUMBER(I528),ISNUMBER(S528)),I528*IF(S528&lt;=1,S528,S528/100),IF(OR(I528&lt;&gt;"",S528&lt;&gt;""),"tbd",""))</f>
        <v/>
      </c>
      <c r="S528" s="217" t="n"/>
      <c r="Z528" t="str">
        <f>IF(AND(R528="WON",ISNUMBER(I528)),AA528,"")</f>
        <v/>
      </c>
      <c r="AA528">
        <f>IFERROR(I528*1,0)</f>
        <v>0</v>
      </c>
      <c r="AB528">
        <f>N(AB527)+IF(AND(R528="WON",B528&lt;&gt;""),1,0)</f>
        <v>7</v>
      </c>
      <c r="AC528">
        <f>N(AC527)+IF(AND(OR(R528="offered",R528="to be offered",R528="on hold"),B528&lt;&gt;""),1,0)</f>
        <v>19</v>
      </c>
      <c r="AD528">
        <f>N(AD527)+IF(AND(OR(R528="follow-up",R528="Evaluation",R528="tbd",R528="In evaluation"),B528&lt;&gt;""),1,0)</f>
        <v>9</v>
      </c>
    </row>
    <row r="529" ht="15" customHeight="1">
      <c r="I529" s="215" t="n"/>
      <c r="J529" s="215" t="n"/>
      <c r="K529" s="215" t="n"/>
      <c r="L529" s="215" t="n"/>
      <c r="M529" s="215" t="n"/>
      <c r="N529" s="215" t="str">
        <f>IF(ISNUMBER(I529),ROUND(I529-I529/1.081,2),"")</f>
        <v/>
      </c>
      <c r="O529" s="215" t="str">
        <f>IF(ISNUMBER(I529),I529-SUM(J529:N529),"")</f>
        <v/>
      </c>
      <c r="P529" s="216" t="str">
        <f>IFERROR(IF(AND(ISNUMBER(O529),ISNUMBER(I529),I529&lt;&gt;0),O529/I529,""),"")</f>
        <v/>
      </c>
      <c r="Q529" s="215" t="str">
        <f>IF(AND(ISNUMBER(I529),ISNUMBER(S529)),I529*IF(S529&lt;=1,S529,S529/100),IF(OR(I529&lt;&gt;"",S529&lt;&gt;""),"tbd",""))</f>
        <v/>
      </c>
      <c r="S529" s="217" t="n"/>
      <c r="Z529" t="str">
        <f>IF(AND(R529="WON",ISNUMBER(I529)),AA529,"")</f>
        <v/>
      </c>
      <c r="AA529">
        <f>IFERROR(I529*1,0)</f>
        <v>0</v>
      </c>
      <c r="AB529">
        <f>N(AB528)+IF(AND(R529="WON",B529&lt;&gt;""),1,0)</f>
        <v>7</v>
      </c>
      <c r="AC529">
        <f>N(AC528)+IF(AND(OR(R529="offered",R529="to be offered",R529="on hold"),B529&lt;&gt;""),1,0)</f>
        <v>19</v>
      </c>
      <c r="AD529">
        <f>N(AD528)+IF(AND(OR(R529="follow-up",R529="Evaluation",R529="tbd",R529="In evaluation"),B529&lt;&gt;""),1,0)</f>
        <v>9</v>
      </c>
    </row>
    <row r="530" ht="15" customHeight="1">
      <c r="I530" s="215" t="n"/>
      <c r="J530" s="215" t="n"/>
      <c r="K530" s="215" t="n"/>
      <c r="L530" s="215" t="n"/>
      <c r="M530" s="215" t="n"/>
      <c r="N530" s="215" t="str">
        <f>IF(ISNUMBER(I530),ROUND(I530-I530/1.081,2),"")</f>
        <v/>
      </c>
      <c r="O530" s="215" t="str">
        <f>IF(ISNUMBER(I530),I530-SUM(J530:N530),"")</f>
        <v/>
      </c>
      <c r="P530" s="216" t="str">
        <f>IFERROR(IF(AND(ISNUMBER(O530),ISNUMBER(I530),I530&lt;&gt;0),O530/I530,""),"")</f>
        <v/>
      </c>
      <c r="Q530" s="215" t="str">
        <f>IF(AND(ISNUMBER(I530),ISNUMBER(S530)),I530*IF(S530&lt;=1,S530,S530/100),IF(OR(I530&lt;&gt;"",S530&lt;&gt;""),"tbd",""))</f>
        <v/>
      </c>
      <c r="S530" s="217" t="n"/>
      <c r="Z530" t="str">
        <f>IF(AND(R530="WON",ISNUMBER(I530)),AA530,"")</f>
        <v/>
      </c>
      <c r="AA530">
        <f>IFERROR(I530*1,0)</f>
        <v>0</v>
      </c>
      <c r="AB530">
        <f>N(AB529)+IF(AND(R530="WON",B530&lt;&gt;""),1,0)</f>
        <v>7</v>
      </c>
      <c r="AC530">
        <f>N(AC529)+IF(AND(OR(R530="offered",R530="to be offered",R530="on hold"),B530&lt;&gt;""),1,0)</f>
        <v>19</v>
      </c>
      <c r="AD530">
        <f>N(AD529)+IF(AND(OR(R530="follow-up",R530="Evaluation",R530="tbd",R530="In evaluation"),B530&lt;&gt;""),1,0)</f>
        <v>9</v>
      </c>
    </row>
    <row r="531" ht="15" customHeight="1">
      <c r="I531" s="215" t="n"/>
      <c r="J531" s="215" t="n"/>
      <c r="K531" s="215" t="n"/>
      <c r="L531" s="215" t="n"/>
      <c r="M531" s="215" t="n"/>
      <c r="N531" s="215" t="str">
        <f>IF(ISNUMBER(I531),ROUND(I531-I531/1.081,2),"")</f>
        <v/>
      </c>
      <c r="O531" s="215" t="str">
        <f>IF(ISNUMBER(I531),I531-SUM(J531:N531),"")</f>
        <v/>
      </c>
      <c r="P531" s="216" t="str">
        <f>IFERROR(IF(AND(ISNUMBER(O531),ISNUMBER(I531),I531&lt;&gt;0),O531/I531,""),"")</f>
        <v/>
      </c>
      <c r="Q531" s="215" t="str">
        <f>IF(AND(ISNUMBER(I531),ISNUMBER(S531)),I531*IF(S531&lt;=1,S531,S531/100),IF(OR(I531&lt;&gt;"",S531&lt;&gt;""),"tbd",""))</f>
        <v/>
      </c>
      <c r="S531" s="217" t="n"/>
      <c r="Z531" t="str">
        <f>IF(AND(R531="WON",ISNUMBER(I531)),AA531,"")</f>
        <v/>
      </c>
      <c r="AA531">
        <f>IFERROR(I531*1,0)</f>
        <v>0</v>
      </c>
      <c r="AB531">
        <f>N(AB530)+IF(AND(R531="WON",B531&lt;&gt;""),1,0)</f>
        <v>7</v>
      </c>
      <c r="AC531">
        <f>N(AC530)+IF(AND(OR(R531="offered",R531="to be offered",R531="on hold"),B531&lt;&gt;""),1,0)</f>
        <v>19</v>
      </c>
      <c r="AD531">
        <f>N(AD530)+IF(AND(OR(R531="follow-up",R531="Evaluation",R531="tbd",R531="In evaluation"),B531&lt;&gt;""),1,0)</f>
        <v>9</v>
      </c>
    </row>
    <row r="532" ht="15" customHeight="1">
      <c r="I532" s="215" t="n"/>
      <c r="J532" s="215" t="n"/>
      <c r="K532" s="215" t="n"/>
      <c r="L532" s="215" t="n"/>
      <c r="M532" s="215" t="n"/>
      <c r="N532" s="215" t="str">
        <f>IF(ISNUMBER(I532),ROUND(I532-I532/1.081,2),"")</f>
        <v/>
      </c>
      <c r="O532" s="215" t="str">
        <f>IF(ISNUMBER(I532),I532-SUM(J532:N532),"")</f>
        <v/>
      </c>
      <c r="P532" s="216" t="str">
        <f>IFERROR(IF(AND(ISNUMBER(O532),ISNUMBER(I532),I532&lt;&gt;0),O532/I532,""),"")</f>
        <v/>
      </c>
      <c r="Q532" s="215" t="str">
        <f>IF(AND(ISNUMBER(I532),ISNUMBER(S532)),I532*IF(S532&lt;=1,S532,S532/100),IF(OR(I532&lt;&gt;"",S532&lt;&gt;""),"tbd",""))</f>
        <v/>
      </c>
      <c r="S532" s="217" t="n"/>
      <c r="Z532" t="str">
        <f>IF(AND(R532="WON",ISNUMBER(I532)),AA532,"")</f>
        <v/>
      </c>
      <c r="AA532">
        <f>IFERROR(I532*1,0)</f>
        <v>0</v>
      </c>
      <c r="AB532">
        <f>N(AB531)+IF(AND(R532="WON",B532&lt;&gt;""),1,0)</f>
        <v>7</v>
      </c>
      <c r="AC532">
        <f>N(AC531)+IF(AND(OR(R532="offered",R532="to be offered",R532="on hold"),B532&lt;&gt;""),1,0)</f>
        <v>19</v>
      </c>
      <c r="AD532">
        <f>N(AD531)+IF(AND(OR(R532="follow-up",R532="Evaluation",R532="tbd",R532="In evaluation"),B532&lt;&gt;""),1,0)</f>
        <v>9</v>
      </c>
    </row>
    <row r="533" ht="15" customHeight="1">
      <c r="I533" s="215" t="n"/>
      <c r="J533" s="215" t="n"/>
      <c r="K533" s="215" t="n"/>
      <c r="L533" s="215" t="n"/>
      <c r="M533" s="215" t="n"/>
      <c r="N533" s="215" t="str">
        <f>IF(ISNUMBER(I533),ROUND(I533-I533/1.081,2),"")</f>
        <v/>
      </c>
      <c r="O533" s="215" t="str">
        <f>IF(ISNUMBER(I533),I533-SUM(J533:N533),"")</f>
        <v/>
      </c>
      <c r="P533" s="216" t="str">
        <f>IFERROR(IF(AND(ISNUMBER(O533),ISNUMBER(I533),I533&lt;&gt;0),O533/I533,""),"")</f>
        <v/>
      </c>
      <c r="Q533" s="215" t="str">
        <f>IF(AND(ISNUMBER(I533),ISNUMBER(S533)),I533*IF(S533&lt;=1,S533,S533/100),IF(OR(I533&lt;&gt;"",S533&lt;&gt;""),"tbd",""))</f>
        <v/>
      </c>
      <c r="S533" s="217" t="n"/>
      <c r="Z533" t="str">
        <f>IF(AND(R533="WON",ISNUMBER(I533)),AA533,"")</f>
        <v/>
      </c>
      <c r="AA533">
        <f>IFERROR(I533*1,0)</f>
        <v>0</v>
      </c>
      <c r="AB533">
        <f>N(AB532)+IF(AND(R533="WON",B533&lt;&gt;""),1,0)</f>
        <v>7</v>
      </c>
      <c r="AC533">
        <f>N(AC532)+IF(AND(OR(R533="offered",R533="to be offered",R533="on hold"),B533&lt;&gt;""),1,0)</f>
        <v>19</v>
      </c>
      <c r="AD533">
        <f>N(AD532)+IF(AND(OR(R533="follow-up",R533="Evaluation",R533="tbd",R533="In evaluation"),B533&lt;&gt;""),1,0)</f>
        <v>9</v>
      </c>
    </row>
    <row r="534" ht="15" customHeight="1">
      <c r="I534" s="215" t="n"/>
      <c r="J534" s="215" t="n"/>
      <c r="K534" s="215" t="n"/>
      <c r="L534" s="215" t="n"/>
      <c r="M534" s="215" t="n"/>
      <c r="N534" s="215" t="str">
        <f>IF(ISNUMBER(I534),ROUND(I534-I534/1.081,2),"")</f>
        <v/>
      </c>
      <c r="O534" s="215" t="str">
        <f>IF(ISNUMBER(I534),I534-SUM(J534:N534),"")</f>
        <v/>
      </c>
      <c r="P534" s="216" t="str">
        <f>IFERROR(IF(AND(ISNUMBER(O534),ISNUMBER(I534),I534&lt;&gt;0),O534/I534,""),"")</f>
        <v/>
      </c>
      <c r="Q534" s="215" t="str">
        <f>IF(AND(ISNUMBER(I534),ISNUMBER(S534)),I534*IF(S534&lt;=1,S534,S534/100),IF(OR(I534&lt;&gt;"",S534&lt;&gt;""),"tbd",""))</f>
        <v/>
      </c>
      <c r="S534" s="217" t="n"/>
      <c r="Z534" t="str">
        <f>IF(AND(R534="WON",ISNUMBER(I534)),AA534,"")</f>
        <v/>
      </c>
      <c r="AA534">
        <f>IFERROR(I534*1,0)</f>
        <v>0</v>
      </c>
      <c r="AB534">
        <f>N(AB533)+IF(AND(R534="WON",B534&lt;&gt;""),1,0)</f>
        <v>7</v>
      </c>
      <c r="AC534">
        <f>N(AC533)+IF(AND(OR(R534="offered",R534="to be offered",R534="on hold"),B534&lt;&gt;""),1,0)</f>
        <v>19</v>
      </c>
      <c r="AD534">
        <f>N(AD533)+IF(AND(OR(R534="follow-up",R534="Evaluation",R534="tbd",R534="In evaluation"),B534&lt;&gt;""),1,0)</f>
        <v>9</v>
      </c>
    </row>
    <row r="535" ht="15" customHeight="1">
      <c r="I535" s="215" t="n"/>
      <c r="J535" s="215" t="n"/>
      <c r="K535" s="215" t="n"/>
      <c r="L535" s="215" t="n"/>
      <c r="M535" s="215" t="n"/>
      <c r="N535" s="215" t="str">
        <f>IF(ISNUMBER(I535),ROUND(I535-I535/1.081,2),"")</f>
        <v/>
      </c>
      <c r="O535" s="215" t="str">
        <f>IF(ISNUMBER(I535),I535-SUM(J535:N535),"")</f>
        <v/>
      </c>
      <c r="P535" s="216" t="str">
        <f>IFERROR(IF(AND(ISNUMBER(O535),ISNUMBER(I535),I535&lt;&gt;0),O535/I535,""),"")</f>
        <v/>
      </c>
      <c r="Q535" s="215" t="str">
        <f>IF(AND(ISNUMBER(I535),ISNUMBER(S535)),I535*IF(S535&lt;=1,S535,S535/100),IF(OR(I535&lt;&gt;"",S535&lt;&gt;""),"tbd",""))</f>
        <v/>
      </c>
      <c r="S535" s="217" t="n"/>
      <c r="Z535" t="str">
        <f>IF(AND(R535="WON",ISNUMBER(I535)),AA535,"")</f>
        <v/>
      </c>
      <c r="AA535">
        <f>IFERROR(I535*1,0)</f>
        <v>0</v>
      </c>
      <c r="AB535">
        <f>N(AB534)+IF(AND(R535="WON",B535&lt;&gt;""),1,0)</f>
        <v>7</v>
      </c>
      <c r="AC535">
        <f>N(AC534)+IF(AND(OR(R535="offered",R535="to be offered",R535="on hold"),B535&lt;&gt;""),1,0)</f>
        <v>19</v>
      </c>
      <c r="AD535">
        <f>N(AD534)+IF(AND(OR(R535="follow-up",R535="Evaluation",R535="tbd",R535="In evaluation"),B535&lt;&gt;""),1,0)</f>
        <v>9</v>
      </c>
    </row>
    <row r="536" ht="15" customHeight="1">
      <c r="I536" s="215" t="n"/>
      <c r="J536" s="215" t="n"/>
      <c r="K536" s="215" t="n"/>
      <c r="L536" s="215" t="n"/>
      <c r="M536" s="215" t="n"/>
      <c r="N536" s="215" t="str">
        <f>IF(ISNUMBER(I536),ROUND(I536-I536/1.081,2),"")</f>
        <v/>
      </c>
      <c r="O536" s="215" t="str">
        <f>IF(ISNUMBER(I536),I536-SUM(J536:N536),"")</f>
        <v/>
      </c>
      <c r="P536" s="216" t="str">
        <f>IFERROR(IF(AND(ISNUMBER(O536),ISNUMBER(I536),I536&lt;&gt;0),O536/I536,""),"")</f>
        <v/>
      </c>
      <c r="Q536" s="215" t="str">
        <f>IF(AND(ISNUMBER(I536),ISNUMBER(S536)),I536*IF(S536&lt;=1,S536,S536/100),IF(OR(I536&lt;&gt;"",S536&lt;&gt;""),"tbd",""))</f>
        <v/>
      </c>
      <c r="S536" s="217" t="n"/>
      <c r="Z536" t="str">
        <f>IF(AND(R536="WON",ISNUMBER(I536)),AA536,"")</f>
        <v/>
      </c>
      <c r="AA536">
        <f>IFERROR(I536*1,0)</f>
        <v>0</v>
      </c>
      <c r="AB536">
        <f>N(AB535)+IF(AND(R536="WON",B536&lt;&gt;""),1,0)</f>
        <v>7</v>
      </c>
      <c r="AC536">
        <f>N(AC535)+IF(AND(OR(R536="offered",R536="to be offered",R536="on hold"),B536&lt;&gt;""),1,0)</f>
        <v>19</v>
      </c>
      <c r="AD536">
        <f>N(AD535)+IF(AND(OR(R536="follow-up",R536="Evaluation",R536="tbd",R536="In evaluation"),B536&lt;&gt;""),1,0)</f>
        <v>9</v>
      </c>
    </row>
    <row r="537" ht="15" customHeight="1">
      <c r="I537" s="215" t="n"/>
      <c r="J537" s="215" t="n"/>
      <c r="K537" s="215" t="n"/>
      <c r="L537" s="215" t="n"/>
      <c r="M537" s="215" t="n"/>
      <c r="N537" s="215" t="str">
        <f>IF(ISNUMBER(I537),ROUND(I537-I537/1.081,2),"")</f>
        <v/>
      </c>
      <c r="O537" s="215" t="str">
        <f>IF(ISNUMBER(I537),I537-SUM(J537:N537),"")</f>
        <v/>
      </c>
      <c r="P537" s="216" t="str">
        <f>IFERROR(IF(AND(ISNUMBER(O537),ISNUMBER(I537),I537&lt;&gt;0),O537/I537,""),"")</f>
        <v/>
      </c>
      <c r="Q537" s="215" t="str">
        <f>IF(AND(ISNUMBER(I537),ISNUMBER(S537)),I537*IF(S537&lt;=1,S537,S537/100),IF(OR(I537&lt;&gt;"",S537&lt;&gt;""),"tbd",""))</f>
        <v/>
      </c>
      <c r="S537" s="217" t="n"/>
      <c r="Z537" t="str">
        <f>IF(AND(R537="WON",ISNUMBER(I537)),AA537,"")</f>
        <v/>
      </c>
      <c r="AA537">
        <f>IFERROR(I537*1,0)</f>
        <v>0</v>
      </c>
      <c r="AB537">
        <f>N(AB536)+IF(AND(R537="WON",B537&lt;&gt;""),1,0)</f>
        <v>7</v>
      </c>
      <c r="AC537">
        <f>N(AC536)+IF(AND(OR(R537="offered",R537="to be offered",R537="on hold"),B537&lt;&gt;""),1,0)</f>
        <v>19</v>
      </c>
      <c r="AD537">
        <f>N(AD536)+IF(AND(OR(R537="follow-up",R537="Evaluation",R537="tbd",R537="In evaluation"),B537&lt;&gt;""),1,0)</f>
        <v>9</v>
      </c>
    </row>
    <row r="538" ht="15" customHeight="1">
      <c r="I538" s="215" t="n"/>
      <c r="J538" s="215" t="n"/>
      <c r="K538" s="215" t="n"/>
      <c r="L538" s="215" t="n"/>
      <c r="M538" s="215" t="n"/>
      <c r="N538" s="215" t="str">
        <f>IF(ISNUMBER(I538),ROUND(I538-I538/1.081,2),"")</f>
        <v/>
      </c>
      <c r="O538" s="215" t="str">
        <f>IF(ISNUMBER(I538),I538-SUM(J538:N538),"")</f>
        <v/>
      </c>
      <c r="P538" s="216" t="str">
        <f>IFERROR(IF(AND(ISNUMBER(O538),ISNUMBER(I538),I538&lt;&gt;0),O538/I538,""),"")</f>
        <v/>
      </c>
      <c r="Q538" s="215" t="str">
        <f>IF(AND(ISNUMBER(I538),ISNUMBER(S538)),I538*IF(S538&lt;=1,S538,S538/100),IF(OR(I538&lt;&gt;"",S538&lt;&gt;""),"tbd",""))</f>
        <v/>
      </c>
      <c r="S538" s="217" t="n"/>
      <c r="Z538" t="str">
        <f>IF(AND(R538="WON",ISNUMBER(I538)),AA538,"")</f>
        <v/>
      </c>
      <c r="AA538">
        <f>IFERROR(I538*1,0)</f>
        <v>0</v>
      </c>
      <c r="AB538">
        <f>N(AB537)+IF(AND(R538="WON",B538&lt;&gt;""),1,0)</f>
        <v>7</v>
      </c>
      <c r="AC538">
        <f>N(AC537)+IF(AND(OR(R538="offered",R538="to be offered",R538="on hold"),B538&lt;&gt;""),1,0)</f>
        <v>19</v>
      </c>
      <c r="AD538">
        <f>N(AD537)+IF(AND(OR(R538="follow-up",R538="Evaluation",R538="tbd",R538="In evaluation"),B538&lt;&gt;""),1,0)</f>
        <v>9</v>
      </c>
    </row>
    <row r="539" ht="15" customHeight="1">
      <c r="I539" s="215" t="n"/>
      <c r="J539" s="215" t="n"/>
      <c r="K539" s="215" t="n"/>
      <c r="L539" s="215" t="n"/>
      <c r="M539" s="215" t="n"/>
      <c r="N539" s="215" t="str">
        <f>IF(ISNUMBER(I539),ROUND(I539-I539/1.081,2),"")</f>
        <v/>
      </c>
      <c r="O539" s="215" t="str">
        <f>IF(ISNUMBER(I539),I539-SUM(J539:N539),"")</f>
        <v/>
      </c>
      <c r="P539" s="216" t="str">
        <f>IFERROR(IF(AND(ISNUMBER(O539),ISNUMBER(I539),I539&lt;&gt;0),O539/I539,""),"")</f>
        <v/>
      </c>
      <c r="Q539" s="215" t="str">
        <f>IF(AND(ISNUMBER(I539),ISNUMBER(S539)),I539*IF(S539&lt;=1,S539,S539/100),IF(OR(I539&lt;&gt;"",S539&lt;&gt;""),"tbd",""))</f>
        <v/>
      </c>
      <c r="S539" s="217" t="n"/>
      <c r="Z539" t="str">
        <f>IF(AND(R539="WON",ISNUMBER(I539)),AA539,"")</f>
        <v/>
      </c>
      <c r="AA539">
        <f>IFERROR(I539*1,0)</f>
        <v>0</v>
      </c>
      <c r="AB539">
        <f>N(AB538)+IF(AND(R539="WON",B539&lt;&gt;""),1,0)</f>
        <v>7</v>
      </c>
      <c r="AC539">
        <f>N(AC538)+IF(AND(OR(R539="offered",R539="to be offered",R539="on hold"),B539&lt;&gt;""),1,0)</f>
        <v>19</v>
      </c>
      <c r="AD539">
        <f>N(AD538)+IF(AND(OR(R539="follow-up",R539="Evaluation",R539="tbd",R539="In evaluation"),B539&lt;&gt;""),1,0)</f>
        <v>9</v>
      </c>
    </row>
    <row r="540" ht="15" customHeight="1">
      <c r="I540" s="215" t="n"/>
      <c r="J540" s="215" t="n"/>
      <c r="K540" s="215" t="n"/>
      <c r="L540" s="215" t="n"/>
      <c r="M540" s="215" t="n"/>
      <c r="N540" s="215" t="str">
        <f>IF(ISNUMBER(I540),ROUND(I540-I540/1.081,2),"")</f>
        <v/>
      </c>
      <c r="O540" s="215" t="str">
        <f>IF(ISNUMBER(I540),I540-SUM(J540:N540),"")</f>
        <v/>
      </c>
      <c r="P540" s="216" t="str">
        <f>IFERROR(IF(AND(ISNUMBER(O540),ISNUMBER(I540),I540&lt;&gt;0),O540/I540,""),"")</f>
        <v/>
      </c>
      <c r="Q540" s="215" t="str">
        <f>IF(AND(ISNUMBER(I540),ISNUMBER(S540)),I540*IF(S540&lt;=1,S540,S540/100),IF(OR(I540&lt;&gt;"",S540&lt;&gt;""),"tbd",""))</f>
        <v/>
      </c>
      <c r="S540" s="217" t="n"/>
      <c r="Z540" t="str">
        <f>IF(AND(R540="WON",ISNUMBER(I540)),AA540,"")</f>
        <v/>
      </c>
      <c r="AA540">
        <f>IFERROR(I540*1,0)</f>
        <v>0</v>
      </c>
      <c r="AB540">
        <f>N(AB539)+IF(AND(R540="WON",B540&lt;&gt;""),1,0)</f>
        <v>7</v>
      </c>
      <c r="AC540">
        <f>N(AC539)+IF(AND(OR(R540="offered",R540="to be offered",R540="on hold"),B540&lt;&gt;""),1,0)</f>
        <v>19</v>
      </c>
      <c r="AD540">
        <f>N(AD539)+IF(AND(OR(R540="follow-up",R540="Evaluation",R540="tbd",R540="In evaluation"),B540&lt;&gt;""),1,0)</f>
        <v>9</v>
      </c>
    </row>
    <row r="541" ht="15" customHeight="1">
      <c r="I541" s="215" t="n"/>
      <c r="J541" s="215" t="n"/>
      <c r="K541" s="215" t="n"/>
      <c r="L541" s="215" t="n"/>
      <c r="M541" s="215" t="n"/>
      <c r="N541" s="215" t="str">
        <f>IF(ISNUMBER(I541),ROUND(I541-I541/1.081,2),"")</f>
        <v/>
      </c>
      <c r="O541" s="215" t="str">
        <f>IF(ISNUMBER(I541),I541-SUM(J541:N541),"")</f>
        <v/>
      </c>
      <c r="P541" s="216" t="str">
        <f>IFERROR(IF(AND(ISNUMBER(O541),ISNUMBER(I541),I541&lt;&gt;0),O541/I541,""),"")</f>
        <v/>
      </c>
      <c r="Q541" s="215" t="str">
        <f>IF(AND(ISNUMBER(I541),ISNUMBER(S541)),I541*IF(S541&lt;=1,S541,S541/100),IF(OR(I541&lt;&gt;"",S541&lt;&gt;""),"tbd",""))</f>
        <v/>
      </c>
      <c r="S541" s="217" t="n"/>
      <c r="Z541" t="str">
        <f>IF(AND(R541="WON",ISNUMBER(I541)),AA541,"")</f>
        <v/>
      </c>
      <c r="AA541">
        <f>IFERROR(I541*1,0)</f>
        <v>0</v>
      </c>
      <c r="AB541">
        <f>N(AB540)+IF(AND(R541="WON",B541&lt;&gt;""),1,0)</f>
        <v>7</v>
      </c>
      <c r="AC541">
        <f>N(AC540)+IF(AND(OR(R541="offered",R541="to be offered",R541="on hold"),B541&lt;&gt;""),1,0)</f>
        <v>19</v>
      </c>
      <c r="AD541">
        <f>N(AD540)+IF(AND(OR(R541="follow-up",R541="Evaluation",R541="tbd",R541="In evaluation"),B541&lt;&gt;""),1,0)</f>
        <v>9</v>
      </c>
    </row>
    <row r="542" ht="15" customHeight="1">
      <c r="I542" s="215" t="n"/>
      <c r="J542" s="215" t="n"/>
      <c r="K542" s="215" t="n"/>
      <c r="L542" s="215" t="n"/>
      <c r="M542" s="215" t="n"/>
      <c r="N542" s="215" t="str">
        <f>IF(ISNUMBER(I542),ROUND(I542-I542/1.081,2),"")</f>
        <v/>
      </c>
      <c r="O542" s="215" t="str">
        <f>IF(ISNUMBER(I542),I542-SUM(J542:N542),"")</f>
        <v/>
      </c>
      <c r="P542" s="216" t="str">
        <f>IFERROR(IF(AND(ISNUMBER(O542),ISNUMBER(I542),I542&lt;&gt;0),O542/I542,""),"")</f>
        <v/>
      </c>
      <c r="Q542" s="215" t="str">
        <f>IF(AND(ISNUMBER(I542),ISNUMBER(S542)),I542*IF(S542&lt;=1,S542,S542/100),IF(OR(I542&lt;&gt;"",S542&lt;&gt;""),"tbd",""))</f>
        <v/>
      </c>
      <c r="S542" s="217" t="n"/>
      <c r="Z542" t="str">
        <f>IF(AND(R542="WON",ISNUMBER(I542)),AA542,"")</f>
        <v/>
      </c>
      <c r="AA542">
        <f>IFERROR(I542*1,0)</f>
        <v>0</v>
      </c>
      <c r="AB542">
        <f>N(AB541)+IF(AND(R542="WON",B542&lt;&gt;""),1,0)</f>
        <v>7</v>
      </c>
      <c r="AC542">
        <f>N(AC541)+IF(AND(OR(R542="offered",R542="to be offered",R542="on hold"),B542&lt;&gt;""),1,0)</f>
        <v>19</v>
      </c>
      <c r="AD542">
        <f>N(AD541)+IF(AND(OR(R542="follow-up",R542="Evaluation",R542="tbd",R542="In evaluation"),B542&lt;&gt;""),1,0)</f>
        <v>9</v>
      </c>
    </row>
    <row r="543" ht="15" customHeight="1">
      <c r="I543" s="215" t="n"/>
      <c r="J543" s="215" t="n"/>
      <c r="K543" s="215" t="n"/>
      <c r="L543" s="215" t="n"/>
      <c r="M543" s="215" t="n"/>
      <c r="N543" s="215" t="str">
        <f>IF(ISNUMBER(I543),ROUND(I543-I543/1.081,2),"")</f>
        <v/>
      </c>
      <c r="O543" s="215" t="str">
        <f>IF(ISNUMBER(I543),I543-SUM(J543:N543),"")</f>
        <v/>
      </c>
      <c r="P543" s="216" t="str">
        <f>IFERROR(IF(AND(ISNUMBER(O543),ISNUMBER(I543),I543&lt;&gt;0),O543/I543,""),"")</f>
        <v/>
      </c>
      <c r="Q543" s="215" t="str">
        <f>IF(AND(ISNUMBER(I543),ISNUMBER(S543)),I543*IF(S543&lt;=1,S543,S543/100),IF(OR(I543&lt;&gt;"",S543&lt;&gt;""),"tbd",""))</f>
        <v/>
      </c>
      <c r="S543" s="217" t="n"/>
      <c r="Z543" t="str">
        <f>IF(AND(R543="WON",ISNUMBER(I543)),AA543,"")</f>
        <v/>
      </c>
      <c r="AA543">
        <f>IFERROR(I543*1,0)</f>
        <v>0</v>
      </c>
      <c r="AB543">
        <f>N(AB542)+IF(AND(R543="WON",B543&lt;&gt;""),1,0)</f>
        <v>7</v>
      </c>
      <c r="AC543">
        <f>N(AC542)+IF(AND(OR(R543="offered",R543="to be offered",R543="on hold"),B543&lt;&gt;""),1,0)</f>
        <v>19</v>
      </c>
      <c r="AD543">
        <f>N(AD542)+IF(AND(OR(R543="follow-up",R543="Evaluation",R543="tbd",R543="In evaluation"),B543&lt;&gt;""),1,0)</f>
        <v>9</v>
      </c>
    </row>
    <row r="544" ht="15" customHeight="1">
      <c r="I544" s="215" t="n"/>
      <c r="J544" s="215" t="n"/>
      <c r="K544" s="215" t="n"/>
      <c r="L544" s="215" t="n"/>
      <c r="M544" s="215" t="n"/>
      <c r="N544" s="215" t="str">
        <f>IF(ISNUMBER(I544),ROUND(I544-I544/1.081,2),"")</f>
        <v/>
      </c>
      <c r="O544" s="215" t="str">
        <f>IF(ISNUMBER(I544),I544-SUM(J544:N544),"")</f>
        <v/>
      </c>
      <c r="P544" s="216" t="str">
        <f>IFERROR(IF(AND(ISNUMBER(O544),ISNUMBER(I544),I544&lt;&gt;0),O544/I544,""),"")</f>
        <v/>
      </c>
      <c r="Q544" s="215" t="str">
        <f>IF(AND(ISNUMBER(I544),ISNUMBER(S544)),I544*IF(S544&lt;=1,S544,S544/100),IF(OR(I544&lt;&gt;"",S544&lt;&gt;""),"tbd",""))</f>
        <v/>
      </c>
      <c r="S544" s="217" t="n"/>
      <c r="Z544" t="str">
        <f>IF(AND(R544="WON",ISNUMBER(I544)),AA544,"")</f>
        <v/>
      </c>
      <c r="AA544">
        <f>IFERROR(I544*1,0)</f>
        <v>0</v>
      </c>
      <c r="AB544">
        <f>N(AB543)+IF(AND(R544="WON",B544&lt;&gt;""),1,0)</f>
        <v>7</v>
      </c>
      <c r="AC544">
        <f>N(AC543)+IF(AND(OR(R544="offered",R544="to be offered",R544="on hold"),B544&lt;&gt;""),1,0)</f>
        <v>19</v>
      </c>
      <c r="AD544">
        <f>N(AD543)+IF(AND(OR(R544="follow-up",R544="Evaluation",R544="tbd",R544="In evaluation"),B544&lt;&gt;""),1,0)</f>
        <v>9</v>
      </c>
    </row>
    <row r="545" ht="15" customHeight="1">
      <c r="I545" s="215" t="n"/>
      <c r="J545" s="215" t="n"/>
      <c r="K545" s="215" t="n"/>
      <c r="L545" s="215" t="n"/>
      <c r="M545" s="215" t="n"/>
      <c r="N545" s="215" t="str">
        <f>IF(ISNUMBER(I545),ROUND(I545-I545/1.081,2),"")</f>
        <v/>
      </c>
      <c r="O545" s="215" t="str">
        <f>IF(ISNUMBER(I545),I545-SUM(J545:N545),"")</f>
        <v/>
      </c>
      <c r="P545" s="216" t="str">
        <f>IFERROR(IF(AND(ISNUMBER(O545),ISNUMBER(I545),I545&lt;&gt;0),O545/I545,""),"")</f>
        <v/>
      </c>
      <c r="Q545" s="215" t="str">
        <f>IF(AND(ISNUMBER(I545),ISNUMBER(S545)),I545*IF(S545&lt;=1,S545,S545/100),IF(OR(I545&lt;&gt;"",S545&lt;&gt;""),"tbd",""))</f>
        <v/>
      </c>
      <c r="S545" s="217" t="n"/>
      <c r="Z545" t="str">
        <f>IF(AND(R545="WON",ISNUMBER(I545)),AA545,"")</f>
        <v/>
      </c>
      <c r="AA545">
        <f>IFERROR(I545*1,0)</f>
        <v>0</v>
      </c>
      <c r="AB545">
        <f>N(AB544)+IF(AND(R545="WON",B545&lt;&gt;""),1,0)</f>
        <v>7</v>
      </c>
      <c r="AC545">
        <f>N(AC544)+IF(AND(OR(R545="offered",R545="to be offered",R545="on hold"),B545&lt;&gt;""),1,0)</f>
        <v>19</v>
      </c>
      <c r="AD545">
        <f>N(AD544)+IF(AND(OR(R545="follow-up",R545="Evaluation",R545="tbd",R545="In evaluation"),B545&lt;&gt;""),1,0)</f>
        <v>9</v>
      </c>
    </row>
    <row r="546" ht="15" customHeight="1">
      <c r="I546" s="215" t="n"/>
      <c r="J546" s="215" t="n"/>
      <c r="K546" s="215" t="n"/>
      <c r="L546" s="215" t="n"/>
      <c r="M546" s="215" t="n"/>
      <c r="N546" s="215" t="str">
        <f>IF(ISNUMBER(I546),ROUND(I546-I546/1.081,2),"")</f>
        <v/>
      </c>
      <c r="O546" s="215" t="str">
        <f>IF(ISNUMBER(I546),I546-SUM(J546:N546),"")</f>
        <v/>
      </c>
      <c r="P546" s="216" t="str">
        <f>IFERROR(IF(AND(ISNUMBER(O546),ISNUMBER(I546),I546&lt;&gt;0),O546/I546,""),"")</f>
        <v/>
      </c>
      <c r="Q546" s="215" t="str">
        <f>IF(AND(ISNUMBER(I546),ISNUMBER(S546)),I546*IF(S546&lt;=1,S546,S546/100),IF(OR(I546&lt;&gt;"",S546&lt;&gt;""),"tbd",""))</f>
        <v/>
      </c>
      <c r="S546" s="217" t="n"/>
      <c r="Z546" t="str">
        <f>IF(AND(R546="WON",ISNUMBER(I546)),AA546,"")</f>
        <v/>
      </c>
      <c r="AA546">
        <f>IFERROR(I546*1,0)</f>
        <v>0</v>
      </c>
      <c r="AB546">
        <f>N(AB545)+IF(AND(R546="WON",B546&lt;&gt;""),1,0)</f>
        <v>7</v>
      </c>
      <c r="AC546">
        <f>N(AC545)+IF(AND(OR(R546="offered",R546="to be offered",R546="on hold"),B546&lt;&gt;""),1,0)</f>
        <v>19</v>
      </c>
      <c r="AD546">
        <f>N(AD545)+IF(AND(OR(R546="follow-up",R546="Evaluation",R546="tbd",R546="In evaluation"),B546&lt;&gt;""),1,0)</f>
        <v>9</v>
      </c>
    </row>
    <row r="547" ht="15" customHeight="1">
      <c r="I547" s="215" t="n"/>
      <c r="J547" s="215" t="n"/>
      <c r="K547" s="215" t="n"/>
      <c r="L547" s="215" t="n"/>
      <c r="M547" s="215" t="n"/>
      <c r="N547" s="215" t="str">
        <f>IF(ISNUMBER(I547),ROUND(I547-I547/1.081,2),"")</f>
        <v/>
      </c>
      <c r="O547" s="215" t="str">
        <f>IF(ISNUMBER(I547),I547-SUM(J547:N547),"")</f>
        <v/>
      </c>
      <c r="P547" s="216" t="str">
        <f>IFERROR(IF(AND(ISNUMBER(O547),ISNUMBER(I547),I547&lt;&gt;0),O547/I547,""),"")</f>
        <v/>
      </c>
      <c r="Q547" s="215" t="str">
        <f>IF(AND(ISNUMBER(I547),ISNUMBER(S547)),I547*IF(S547&lt;=1,S547,S547/100),IF(OR(I547&lt;&gt;"",S547&lt;&gt;""),"tbd",""))</f>
        <v/>
      </c>
      <c r="S547" s="217" t="n"/>
      <c r="Z547" t="str">
        <f>IF(AND(R547="WON",ISNUMBER(I547)),AA547,"")</f>
        <v/>
      </c>
      <c r="AA547">
        <f>IFERROR(I547*1,0)</f>
        <v>0</v>
      </c>
      <c r="AB547">
        <f>N(AB546)+IF(AND(R547="WON",B547&lt;&gt;""),1,0)</f>
        <v>7</v>
      </c>
      <c r="AC547">
        <f>N(AC546)+IF(AND(OR(R547="offered",R547="to be offered",R547="on hold"),B547&lt;&gt;""),1,0)</f>
        <v>19</v>
      </c>
      <c r="AD547">
        <f>N(AD546)+IF(AND(OR(R547="follow-up",R547="Evaluation",R547="tbd",R547="In evaluation"),B547&lt;&gt;""),1,0)</f>
        <v>9</v>
      </c>
    </row>
    <row r="548" ht="15" customHeight="1">
      <c r="I548" s="215" t="n"/>
      <c r="J548" s="215" t="n"/>
      <c r="K548" s="215" t="n"/>
      <c r="L548" s="215" t="n"/>
      <c r="M548" s="215" t="n"/>
      <c r="N548" s="215" t="str">
        <f>IF(ISNUMBER(I548),ROUND(I548-I548/1.081,2),"")</f>
        <v/>
      </c>
      <c r="O548" s="215" t="str">
        <f>IF(ISNUMBER(I548),I548-SUM(J548:N548),"")</f>
        <v/>
      </c>
      <c r="P548" s="216" t="str">
        <f>IFERROR(IF(AND(ISNUMBER(O548),ISNUMBER(I548),I548&lt;&gt;0),O548/I548,""),"")</f>
        <v/>
      </c>
      <c r="Q548" s="215" t="str">
        <f>IF(AND(ISNUMBER(I548),ISNUMBER(S548)),I548*IF(S548&lt;=1,S548,S548/100),IF(OR(I548&lt;&gt;"",S548&lt;&gt;""),"tbd",""))</f>
        <v/>
      </c>
      <c r="S548" s="217" t="n"/>
      <c r="Z548" t="str">
        <f>IF(AND(R548="WON",ISNUMBER(I548)),AA548,"")</f>
        <v/>
      </c>
      <c r="AA548">
        <f>IFERROR(I548*1,0)</f>
        <v>0</v>
      </c>
      <c r="AB548">
        <f>N(AB547)+IF(AND(R548="WON",B548&lt;&gt;""),1,0)</f>
        <v>7</v>
      </c>
      <c r="AC548">
        <f>N(AC547)+IF(AND(OR(R548="offered",R548="to be offered",R548="on hold"),B548&lt;&gt;""),1,0)</f>
        <v>19</v>
      </c>
      <c r="AD548">
        <f>N(AD547)+IF(AND(OR(R548="follow-up",R548="Evaluation",R548="tbd",R548="In evaluation"),B548&lt;&gt;""),1,0)</f>
        <v>9</v>
      </c>
    </row>
    <row r="549" ht="15" customHeight="1">
      <c r="I549" s="215" t="n"/>
      <c r="J549" s="215" t="n"/>
      <c r="K549" s="215" t="n"/>
      <c r="L549" s="215" t="n"/>
      <c r="M549" s="215" t="n"/>
      <c r="N549" s="215" t="str">
        <f>IF(ISNUMBER(I549),ROUND(I549-I549/1.081,2),"")</f>
        <v/>
      </c>
      <c r="O549" s="215" t="str">
        <f>IF(ISNUMBER(I549),I549-SUM(J549:N549),"")</f>
        <v/>
      </c>
      <c r="P549" s="216" t="str">
        <f>IFERROR(IF(AND(ISNUMBER(O549),ISNUMBER(I549),I549&lt;&gt;0),O549/I549,""),"")</f>
        <v/>
      </c>
      <c r="Q549" s="215" t="str">
        <f>IF(AND(ISNUMBER(I549),ISNUMBER(S549)),I549*IF(S549&lt;=1,S549,S549/100),IF(OR(I549&lt;&gt;"",S549&lt;&gt;""),"tbd",""))</f>
        <v/>
      </c>
      <c r="S549" s="217" t="n"/>
      <c r="Z549" t="str">
        <f>IF(AND(R549="WON",ISNUMBER(I549)),AA549,"")</f>
        <v/>
      </c>
      <c r="AA549">
        <f>IFERROR(I549*1,0)</f>
        <v>0</v>
      </c>
      <c r="AB549">
        <f>N(AB548)+IF(AND(R549="WON",B549&lt;&gt;""),1,0)</f>
        <v>7</v>
      </c>
      <c r="AC549">
        <f>N(AC548)+IF(AND(OR(R549="offered",R549="to be offered",R549="on hold"),B549&lt;&gt;""),1,0)</f>
        <v>19</v>
      </c>
      <c r="AD549">
        <f>N(AD548)+IF(AND(OR(R549="follow-up",R549="Evaluation",R549="tbd",R549="In evaluation"),B549&lt;&gt;""),1,0)</f>
        <v>9</v>
      </c>
    </row>
    <row r="550" ht="15" customHeight="1">
      <c r="I550" s="215" t="n"/>
      <c r="J550" s="215" t="n"/>
      <c r="K550" s="215" t="n"/>
      <c r="L550" s="215" t="n"/>
      <c r="M550" s="215" t="n"/>
      <c r="N550" s="215" t="str">
        <f>IF(ISNUMBER(I550),ROUND(I550-I550/1.081,2),"")</f>
        <v/>
      </c>
      <c r="O550" s="215" t="str">
        <f>IF(ISNUMBER(I550),I550-SUM(J550:N550),"")</f>
        <v/>
      </c>
      <c r="P550" s="216" t="str">
        <f>IFERROR(IF(AND(ISNUMBER(O550),ISNUMBER(I550),I550&lt;&gt;0),O550/I550,""),"")</f>
        <v/>
      </c>
      <c r="Q550" s="215" t="str">
        <f>IF(AND(ISNUMBER(I550),ISNUMBER(S550)),I550*IF(S550&lt;=1,S550,S550/100),IF(OR(I550&lt;&gt;"",S550&lt;&gt;""),"tbd",""))</f>
        <v/>
      </c>
      <c r="S550" s="217" t="n"/>
      <c r="Z550" t="str">
        <f>IF(AND(R550="WON",ISNUMBER(I550)),AA550,"")</f>
        <v/>
      </c>
      <c r="AA550">
        <f>IFERROR(I550*1,0)</f>
        <v>0</v>
      </c>
      <c r="AB550">
        <f>N(AB549)+IF(AND(R550="WON",B550&lt;&gt;""),1,0)</f>
        <v>7</v>
      </c>
      <c r="AC550">
        <f>N(AC549)+IF(AND(OR(R550="offered",R550="to be offered",R550="on hold"),B550&lt;&gt;""),1,0)</f>
        <v>19</v>
      </c>
      <c r="AD550">
        <f>N(AD549)+IF(AND(OR(R550="follow-up",R550="Evaluation",R550="tbd",R550="In evaluation"),B550&lt;&gt;""),1,0)</f>
        <v>9</v>
      </c>
    </row>
    <row r="551" ht="15" customHeight="1">
      <c r="I551" s="215" t="n"/>
      <c r="J551" s="215" t="n"/>
      <c r="K551" s="215" t="n"/>
      <c r="L551" s="215" t="n"/>
      <c r="M551" s="215" t="n"/>
      <c r="N551" s="215" t="str">
        <f>IF(ISNUMBER(I551),ROUND(I551-I551/1.081,2),"")</f>
        <v/>
      </c>
      <c r="O551" s="215" t="str">
        <f>IF(ISNUMBER(I551),I551-SUM(J551:N551),"")</f>
        <v/>
      </c>
      <c r="P551" s="216" t="str">
        <f>IFERROR(IF(AND(ISNUMBER(O551),ISNUMBER(I551),I551&lt;&gt;0),O551/I551,""),"")</f>
        <v/>
      </c>
      <c r="Q551" s="215" t="str">
        <f>IF(AND(ISNUMBER(I551),ISNUMBER(S551)),I551*IF(S551&lt;=1,S551,S551/100),IF(OR(I551&lt;&gt;"",S551&lt;&gt;""),"tbd",""))</f>
        <v/>
      </c>
      <c r="S551" s="217" t="n"/>
      <c r="Z551" t="str">
        <f>IF(AND(R551="WON",ISNUMBER(I551)),AA551,"")</f>
        <v/>
      </c>
      <c r="AA551">
        <f>IFERROR(I551*1,0)</f>
        <v>0</v>
      </c>
      <c r="AB551">
        <f>N(AB550)+IF(AND(R551="WON",B551&lt;&gt;""),1,0)</f>
        <v>7</v>
      </c>
      <c r="AC551">
        <f>N(AC550)+IF(AND(OR(R551="offered",R551="to be offered",R551="on hold"),B551&lt;&gt;""),1,0)</f>
        <v>19</v>
      </c>
      <c r="AD551">
        <f>N(AD550)+IF(AND(OR(R551="follow-up",R551="Evaluation",R551="tbd",R551="In evaluation"),B551&lt;&gt;""),1,0)</f>
        <v>9</v>
      </c>
    </row>
    <row r="552" ht="15" customHeight="1">
      <c r="I552" s="215" t="n"/>
      <c r="J552" s="215" t="n"/>
      <c r="K552" s="215" t="n"/>
      <c r="L552" s="215" t="n"/>
      <c r="M552" s="215" t="n"/>
      <c r="N552" s="215" t="str">
        <f>IF(ISNUMBER(I552),ROUND(I552-I552/1.081,2),"")</f>
        <v/>
      </c>
      <c r="O552" s="215" t="str">
        <f>IF(ISNUMBER(I552),I552-SUM(J552:N552),"")</f>
        <v/>
      </c>
      <c r="P552" s="216" t="str">
        <f>IFERROR(IF(AND(ISNUMBER(O552),ISNUMBER(I552),I552&lt;&gt;0),O552/I552,""),"")</f>
        <v/>
      </c>
      <c r="Q552" s="215" t="str">
        <f>IF(AND(ISNUMBER(I552),ISNUMBER(S552)),I552*IF(S552&lt;=1,S552,S552/100),IF(OR(I552&lt;&gt;"",S552&lt;&gt;""),"tbd",""))</f>
        <v/>
      </c>
      <c r="S552" s="217" t="n"/>
      <c r="Z552" t="str">
        <f>IF(AND(R552="WON",ISNUMBER(I552)),AA552,"")</f>
        <v/>
      </c>
      <c r="AA552">
        <f>IFERROR(I552*1,0)</f>
        <v>0</v>
      </c>
      <c r="AB552">
        <f>N(AB551)+IF(AND(R552="WON",B552&lt;&gt;""),1,0)</f>
        <v>7</v>
      </c>
      <c r="AC552">
        <f>N(AC551)+IF(AND(OR(R552="offered",R552="to be offered",R552="on hold"),B552&lt;&gt;""),1,0)</f>
        <v>19</v>
      </c>
      <c r="AD552">
        <f>N(AD551)+IF(AND(OR(R552="follow-up",R552="Evaluation",R552="tbd",R552="In evaluation"),B552&lt;&gt;""),1,0)</f>
        <v>9</v>
      </c>
    </row>
    <row r="553" ht="15" customHeight="1">
      <c r="I553" s="215" t="n"/>
      <c r="J553" s="215" t="n"/>
      <c r="K553" s="215" t="n"/>
      <c r="L553" s="215" t="n"/>
      <c r="M553" s="215" t="n"/>
      <c r="N553" s="215" t="str">
        <f>IF(ISNUMBER(I553),ROUND(I553-I553/1.081,2),"")</f>
        <v/>
      </c>
      <c r="O553" s="215" t="str">
        <f>IF(ISNUMBER(I553),I553-SUM(J553:N553),"")</f>
        <v/>
      </c>
      <c r="P553" s="216" t="str">
        <f>IFERROR(IF(AND(ISNUMBER(O553),ISNUMBER(I553),I553&lt;&gt;0),O553/I553,""),"")</f>
        <v/>
      </c>
      <c r="Q553" s="215" t="str">
        <f>IF(AND(ISNUMBER(I553),ISNUMBER(S553)),I553*IF(S553&lt;=1,S553,S553/100),IF(OR(I553&lt;&gt;"",S553&lt;&gt;""),"tbd",""))</f>
        <v/>
      </c>
      <c r="S553" s="217" t="n"/>
      <c r="Z553" t="str">
        <f>IF(AND(R553="WON",ISNUMBER(I553)),AA553,"")</f>
        <v/>
      </c>
      <c r="AA553">
        <f>IFERROR(I553*1,0)</f>
        <v>0</v>
      </c>
      <c r="AB553">
        <f>N(AB552)+IF(AND(R553="WON",B553&lt;&gt;""),1,0)</f>
        <v>7</v>
      </c>
      <c r="AC553">
        <f>N(AC552)+IF(AND(OR(R553="offered",R553="to be offered",R553="on hold"),B553&lt;&gt;""),1,0)</f>
        <v>19</v>
      </c>
      <c r="AD553">
        <f>N(AD552)+IF(AND(OR(R553="follow-up",R553="Evaluation",R553="tbd",R553="In evaluation"),B553&lt;&gt;""),1,0)</f>
        <v>9</v>
      </c>
    </row>
    <row r="554" ht="15" customHeight="1">
      <c r="I554" s="215" t="n"/>
      <c r="J554" s="215" t="n"/>
      <c r="K554" s="215" t="n"/>
      <c r="L554" s="215" t="n"/>
      <c r="M554" s="215" t="n"/>
      <c r="N554" s="215" t="str">
        <f>IF(ISNUMBER(I554),ROUND(I554-I554/1.081,2),"")</f>
        <v/>
      </c>
      <c r="O554" s="215" t="str">
        <f>IF(ISNUMBER(I554),I554-SUM(J554:N554),"")</f>
        <v/>
      </c>
      <c r="P554" s="216" t="str">
        <f>IFERROR(IF(AND(ISNUMBER(O554),ISNUMBER(I554),I554&lt;&gt;0),O554/I554,""),"")</f>
        <v/>
      </c>
      <c r="Q554" s="215" t="str">
        <f>IF(AND(ISNUMBER(I554),ISNUMBER(S554)),I554*IF(S554&lt;=1,S554,S554/100),IF(OR(I554&lt;&gt;"",S554&lt;&gt;""),"tbd",""))</f>
        <v/>
      </c>
      <c r="S554" s="217" t="n"/>
      <c r="Z554" t="str">
        <f>IF(AND(R554="WON",ISNUMBER(I554)),AA554,"")</f>
        <v/>
      </c>
      <c r="AA554">
        <f>IFERROR(I554*1,0)</f>
        <v>0</v>
      </c>
      <c r="AB554">
        <f>N(AB553)+IF(AND(R554="WON",B554&lt;&gt;""),1,0)</f>
        <v>7</v>
      </c>
      <c r="AC554">
        <f>N(AC553)+IF(AND(OR(R554="offered",R554="to be offered",R554="on hold"),B554&lt;&gt;""),1,0)</f>
        <v>19</v>
      </c>
      <c r="AD554">
        <f>N(AD553)+IF(AND(OR(R554="follow-up",R554="Evaluation",R554="tbd",R554="In evaluation"),B554&lt;&gt;""),1,0)</f>
        <v>9</v>
      </c>
    </row>
    <row r="555" ht="15" customHeight="1">
      <c r="I555" s="215" t="n"/>
      <c r="J555" s="215" t="n"/>
      <c r="K555" s="215" t="n"/>
      <c r="L555" s="215" t="n"/>
      <c r="M555" s="215" t="n"/>
      <c r="N555" s="215" t="str">
        <f>IF(ISNUMBER(I555),ROUND(I555-I555/1.081,2),"")</f>
        <v/>
      </c>
      <c r="O555" s="215" t="str">
        <f>IF(ISNUMBER(I555),I555-SUM(J555:N555),"")</f>
        <v/>
      </c>
      <c r="P555" s="216" t="str">
        <f>IFERROR(IF(AND(ISNUMBER(O555),ISNUMBER(I555),I555&lt;&gt;0),O555/I555,""),"")</f>
        <v/>
      </c>
      <c r="Q555" s="215" t="str">
        <f>IF(AND(ISNUMBER(I555),ISNUMBER(S555)),I555*IF(S555&lt;=1,S555,S555/100),IF(OR(I555&lt;&gt;"",S555&lt;&gt;""),"tbd",""))</f>
        <v/>
      </c>
      <c r="S555" s="217" t="n"/>
      <c r="Z555" t="str">
        <f>IF(AND(R555="WON",ISNUMBER(I555)),AA555,"")</f>
        <v/>
      </c>
      <c r="AA555">
        <f>IFERROR(I555*1,0)</f>
        <v>0</v>
      </c>
      <c r="AB555">
        <f>N(AB554)+IF(AND(R555="WON",B555&lt;&gt;""),1,0)</f>
        <v>7</v>
      </c>
      <c r="AC555">
        <f>N(AC554)+IF(AND(OR(R555="offered",R555="to be offered",R555="on hold"),B555&lt;&gt;""),1,0)</f>
        <v>19</v>
      </c>
      <c r="AD555">
        <f>N(AD554)+IF(AND(OR(R555="follow-up",R555="Evaluation",R555="tbd",R555="In evaluation"),B555&lt;&gt;""),1,0)</f>
        <v>9</v>
      </c>
    </row>
    <row r="556" ht="15" customHeight="1">
      <c r="I556" s="215" t="n"/>
      <c r="J556" s="215" t="n"/>
      <c r="K556" s="215" t="n"/>
      <c r="L556" s="215" t="n"/>
      <c r="M556" s="215" t="n"/>
      <c r="N556" s="215" t="str">
        <f>IF(ISNUMBER(I556),ROUND(I556-I556/1.081,2),"")</f>
        <v/>
      </c>
      <c r="O556" s="215" t="str">
        <f>IF(ISNUMBER(I556),I556-SUM(J556:N556),"")</f>
        <v/>
      </c>
      <c r="P556" s="216" t="str">
        <f>IFERROR(IF(AND(ISNUMBER(O556),ISNUMBER(I556),I556&lt;&gt;0),O556/I556,""),"")</f>
        <v/>
      </c>
      <c r="Q556" s="215" t="str">
        <f>IF(AND(ISNUMBER(I556),ISNUMBER(S556)),I556*IF(S556&lt;=1,S556,S556/100),IF(OR(I556&lt;&gt;"",S556&lt;&gt;""),"tbd",""))</f>
        <v/>
      </c>
      <c r="S556" s="217" t="n"/>
      <c r="Z556" t="str">
        <f>IF(AND(R556="WON",ISNUMBER(I556)),AA556,"")</f>
        <v/>
      </c>
      <c r="AA556">
        <f>IFERROR(I556*1,0)</f>
        <v>0</v>
      </c>
      <c r="AB556">
        <f>N(AB555)+IF(AND(R556="WON",B556&lt;&gt;""),1,0)</f>
        <v>7</v>
      </c>
      <c r="AC556">
        <f>N(AC555)+IF(AND(OR(R556="offered",R556="to be offered",R556="on hold"),B556&lt;&gt;""),1,0)</f>
        <v>19</v>
      </c>
      <c r="AD556">
        <f>N(AD555)+IF(AND(OR(R556="follow-up",R556="Evaluation",R556="tbd",R556="In evaluation"),B556&lt;&gt;""),1,0)</f>
        <v>9</v>
      </c>
    </row>
    <row r="557" ht="15" customHeight="1">
      <c r="I557" s="215" t="n"/>
      <c r="J557" s="215" t="n"/>
      <c r="K557" s="215" t="n"/>
      <c r="L557" s="215" t="n"/>
      <c r="M557" s="215" t="n"/>
      <c r="N557" s="215" t="str">
        <f>IF(ISNUMBER(I557),ROUND(I557-I557/1.081,2),"")</f>
        <v/>
      </c>
      <c r="O557" s="215" t="str">
        <f>IF(ISNUMBER(I557),I557-SUM(J557:N557),"")</f>
        <v/>
      </c>
      <c r="P557" s="216" t="str">
        <f>IFERROR(IF(AND(ISNUMBER(O557),ISNUMBER(I557),I557&lt;&gt;0),O557/I557,""),"")</f>
        <v/>
      </c>
      <c r="Q557" s="215" t="str">
        <f>IF(AND(ISNUMBER(I557),ISNUMBER(S557)),I557*IF(S557&lt;=1,S557,S557/100),IF(OR(I557&lt;&gt;"",S557&lt;&gt;""),"tbd",""))</f>
        <v/>
      </c>
      <c r="S557" s="217" t="n"/>
      <c r="Z557" t="str">
        <f>IF(AND(R557="WON",ISNUMBER(I557)),AA557,"")</f>
        <v/>
      </c>
      <c r="AA557">
        <f>IFERROR(I557*1,0)</f>
        <v>0</v>
      </c>
      <c r="AB557">
        <f>N(AB556)+IF(AND(R557="WON",B557&lt;&gt;""),1,0)</f>
        <v>7</v>
      </c>
      <c r="AC557">
        <f>N(AC556)+IF(AND(OR(R557="offered",R557="to be offered",R557="on hold"),B557&lt;&gt;""),1,0)</f>
        <v>19</v>
      </c>
      <c r="AD557">
        <f>N(AD556)+IF(AND(OR(R557="follow-up",R557="Evaluation",R557="tbd",R557="In evaluation"),B557&lt;&gt;""),1,0)</f>
        <v>9</v>
      </c>
    </row>
    <row r="558" ht="15" customHeight="1">
      <c r="I558" s="215" t="n"/>
      <c r="J558" s="215" t="n"/>
      <c r="K558" s="215" t="n"/>
      <c r="L558" s="215" t="n"/>
      <c r="M558" s="215" t="n"/>
      <c r="N558" s="215" t="str">
        <f>IF(ISNUMBER(I558),ROUND(I558-I558/1.081,2),"")</f>
        <v/>
      </c>
      <c r="O558" s="215" t="str">
        <f>IF(ISNUMBER(I558),I558-SUM(J558:N558),"")</f>
        <v/>
      </c>
      <c r="P558" s="216" t="str">
        <f>IFERROR(IF(AND(ISNUMBER(O558),ISNUMBER(I558),I558&lt;&gt;0),O558/I558,""),"")</f>
        <v/>
      </c>
      <c r="Q558" s="215" t="str">
        <f>IF(AND(ISNUMBER(I558),ISNUMBER(S558)),I558*IF(S558&lt;=1,S558,S558/100),IF(OR(I558&lt;&gt;"",S558&lt;&gt;""),"tbd",""))</f>
        <v/>
      </c>
      <c r="S558" s="217" t="n"/>
      <c r="Z558" t="str">
        <f>IF(AND(R558="WON",ISNUMBER(I558)),AA558,"")</f>
        <v/>
      </c>
      <c r="AA558">
        <f>IFERROR(I558*1,0)</f>
        <v>0</v>
      </c>
      <c r="AB558">
        <f>N(AB557)+IF(AND(R558="WON",B558&lt;&gt;""),1,0)</f>
        <v>7</v>
      </c>
      <c r="AC558">
        <f>N(AC557)+IF(AND(OR(R558="offered",R558="to be offered",R558="on hold"),B558&lt;&gt;""),1,0)</f>
        <v>19</v>
      </c>
      <c r="AD558">
        <f>N(AD557)+IF(AND(OR(R558="follow-up",R558="Evaluation",R558="tbd",R558="In evaluation"),B558&lt;&gt;""),1,0)</f>
        <v>9</v>
      </c>
    </row>
    <row r="559" ht="15" customHeight="1">
      <c r="I559" s="215" t="n"/>
      <c r="J559" s="215" t="n"/>
      <c r="K559" s="215" t="n"/>
      <c r="L559" s="215" t="n"/>
      <c r="M559" s="215" t="n"/>
      <c r="N559" s="215" t="str">
        <f>IF(ISNUMBER(I559),ROUND(I559-I559/1.081,2),"")</f>
        <v/>
      </c>
      <c r="O559" s="215" t="str">
        <f>IF(ISNUMBER(I559),I559-SUM(J559:N559),"")</f>
        <v/>
      </c>
      <c r="P559" s="216" t="str">
        <f>IFERROR(IF(AND(ISNUMBER(O559),ISNUMBER(I559),I559&lt;&gt;0),O559/I559,""),"")</f>
        <v/>
      </c>
      <c r="Q559" s="215" t="str">
        <f>IF(AND(ISNUMBER(I559),ISNUMBER(S559)),I559*IF(S559&lt;=1,S559,S559/100),IF(OR(I559&lt;&gt;"",S559&lt;&gt;""),"tbd",""))</f>
        <v/>
      </c>
      <c r="S559" s="217" t="n"/>
      <c r="Z559" t="str">
        <f>IF(AND(R559="WON",ISNUMBER(I559)),AA559,"")</f>
        <v/>
      </c>
      <c r="AA559">
        <f>IFERROR(I559*1,0)</f>
        <v>0</v>
      </c>
      <c r="AB559">
        <f>N(AB558)+IF(AND(R559="WON",B559&lt;&gt;""),1,0)</f>
        <v>7</v>
      </c>
      <c r="AC559">
        <f>N(AC558)+IF(AND(OR(R559="offered",R559="to be offered",R559="on hold"),B559&lt;&gt;""),1,0)</f>
        <v>19</v>
      </c>
      <c r="AD559">
        <f>N(AD558)+IF(AND(OR(R559="follow-up",R559="Evaluation",R559="tbd",R559="In evaluation"),B559&lt;&gt;""),1,0)</f>
        <v>9</v>
      </c>
    </row>
    <row r="560" ht="15" customHeight="1">
      <c r="I560" s="215" t="n"/>
      <c r="J560" s="215" t="n"/>
      <c r="K560" s="215" t="n"/>
      <c r="L560" s="215" t="n"/>
      <c r="M560" s="215" t="n"/>
      <c r="N560" s="215" t="str">
        <f>IF(ISNUMBER(I560),ROUND(I560-I560/1.081,2),"")</f>
        <v/>
      </c>
      <c r="O560" s="215" t="str">
        <f>IF(ISNUMBER(I560),I560-SUM(J560:N560),"")</f>
        <v/>
      </c>
      <c r="P560" s="216" t="str">
        <f>IFERROR(IF(AND(ISNUMBER(O560),ISNUMBER(I560),I560&lt;&gt;0),O560/I560,""),"")</f>
        <v/>
      </c>
      <c r="Q560" s="215" t="str">
        <f>IF(AND(ISNUMBER(I560),ISNUMBER(S560)),I560*IF(S560&lt;=1,S560,S560/100),IF(OR(I560&lt;&gt;"",S560&lt;&gt;""),"tbd",""))</f>
        <v/>
      </c>
      <c r="S560" s="217" t="n"/>
      <c r="Z560" t="str">
        <f>IF(AND(R560="WON",ISNUMBER(I560)),AA560,"")</f>
        <v/>
      </c>
      <c r="AA560">
        <f>IFERROR(I560*1,0)</f>
        <v>0</v>
      </c>
      <c r="AB560">
        <f>N(AB559)+IF(AND(R560="WON",B560&lt;&gt;""),1,0)</f>
        <v>7</v>
      </c>
      <c r="AC560">
        <f>N(AC559)+IF(AND(OR(R560="offered",R560="to be offered",R560="on hold"),B560&lt;&gt;""),1,0)</f>
        <v>19</v>
      </c>
      <c r="AD560">
        <f>N(AD559)+IF(AND(OR(R560="follow-up",R560="Evaluation",R560="tbd",R560="In evaluation"),B560&lt;&gt;""),1,0)</f>
        <v>9</v>
      </c>
    </row>
    <row r="561" ht="15" customHeight="1">
      <c r="I561" s="215" t="n"/>
      <c r="J561" s="215" t="n"/>
      <c r="K561" s="215" t="n"/>
      <c r="L561" s="215" t="n"/>
      <c r="M561" s="215" t="n"/>
      <c r="N561" s="215" t="str">
        <f>IF(ISNUMBER(I561),ROUND(I561-I561/1.081,2),"")</f>
        <v/>
      </c>
      <c r="O561" s="215" t="str">
        <f>IF(ISNUMBER(I561),I561-SUM(J561:N561),"")</f>
        <v/>
      </c>
      <c r="P561" s="216" t="str">
        <f>IFERROR(IF(AND(ISNUMBER(O561),ISNUMBER(I561),I561&lt;&gt;0),O561/I561,""),"")</f>
        <v/>
      </c>
      <c r="Q561" s="215" t="str">
        <f>IF(AND(ISNUMBER(I561),ISNUMBER(S561)),I561*IF(S561&lt;=1,S561,S561/100),IF(OR(I561&lt;&gt;"",S561&lt;&gt;""),"tbd",""))</f>
        <v/>
      </c>
      <c r="S561" s="217" t="n"/>
      <c r="Z561" t="str">
        <f>IF(AND(R561="WON",ISNUMBER(I561)),AA561,"")</f>
        <v/>
      </c>
      <c r="AA561">
        <f>IFERROR(I561*1,0)</f>
        <v>0</v>
      </c>
      <c r="AB561">
        <f>N(AB560)+IF(AND(R561="WON",B561&lt;&gt;""),1,0)</f>
        <v>7</v>
      </c>
      <c r="AC561">
        <f>N(AC560)+IF(AND(OR(R561="offered",R561="to be offered",R561="on hold"),B561&lt;&gt;""),1,0)</f>
        <v>19</v>
      </c>
      <c r="AD561">
        <f>N(AD560)+IF(AND(OR(R561="follow-up",R561="Evaluation",R561="tbd",R561="In evaluation"),B561&lt;&gt;""),1,0)</f>
        <v>9</v>
      </c>
    </row>
    <row r="562" ht="15" customHeight="1">
      <c r="I562" s="215" t="n"/>
      <c r="J562" s="215" t="n"/>
      <c r="K562" s="215" t="n"/>
      <c r="L562" s="215" t="n"/>
      <c r="M562" s="215" t="n"/>
      <c r="N562" s="215" t="str">
        <f>IF(ISNUMBER(I562),ROUND(I562-I562/1.081,2),"")</f>
        <v/>
      </c>
      <c r="O562" s="215" t="str">
        <f>IF(ISNUMBER(I562),I562-SUM(J562:N562),"")</f>
        <v/>
      </c>
      <c r="P562" s="216" t="str">
        <f>IFERROR(IF(AND(ISNUMBER(O562),ISNUMBER(I562),I562&lt;&gt;0),O562/I562,""),"")</f>
        <v/>
      </c>
      <c r="Q562" s="215" t="str">
        <f>IF(AND(ISNUMBER(I562),ISNUMBER(S562)),I562*IF(S562&lt;=1,S562,S562/100),IF(OR(I562&lt;&gt;"",S562&lt;&gt;""),"tbd",""))</f>
        <v/>
      </c>
      <c r="S562" s="217" t="n"/>
      <c r="Z562" t="str">
        <f>IF(AND(R562="WON",ISNUMBER(I562)),AA562,"")</f>
        <v/>
      </c>
      <c r="AA562">
        <f>IFERROR(I562*1,0)</f>
        <v>0</v>
      </c>
      <c r="AB562">
        <f>N(AB561)+IF(AND(R562="WON",B562&lt;&gt;""),1,0)</f>
        <v>7</v>
      </c>
      <c r="AC562">
        <f>N(AC561)+IF(AND(OR(R562="offered",R562="to be offered",R562="on hold"),B562&lt;&gt;""),1,0)</f>
        <v>19</v>
      </c>
      <c r="AD562">
        <f>N(AD561)+IF(AND(OR(R562="follow-up",R562="Evaluation",R562="tbd",R562="In evaluation"),B562&lt;&gt;""),1,0)</f>
        <v>9</v>
      </c>
    </row>
    <row r="563" ht="15" customHeight="1">
      <c r="I563" s="215" t="n"/>
      <c r="J563" s="215" t="n"/>
      <c r="K563" s="215" t="n"/>
      <c r="L563" s="215" t="n"/>
      <c r="M563" s="215" t="n"/>
      <c r="N563" s="215" t="str">
        <f>IF(ISNUMBER(I563),ROUND(I563-I563/1.081,2),"")</f>
        <v/>
      </c>
      <c r="O563" s="215" t="str">
        <f>IF(ISNUMBER(I563),I563-SUM(J563:N563),"")</f>
        <v/>
      </c>
      <c r="P563" s="216" t="str">
        <f>IFERROR(IF(AND(ISNUMBER(O563),ISNUMBER(I563),I563&lt;&gt;0),O563/I563,""),"")</f>
        <v/>
      </c>
      <c r="Q563" s="215" t="str">
        <f>IF(AND(ISNUMBER(I563),ISNUMBER(S563)),I563*IF(S563&lt;=1,S563,S563/100),IF(OR(I563&lt;&gt;"",S563&lt;&gt;""),"tbd",""))</f>
        <v/>
      </c>
      <c r="S563" s="217" t="n"/>
      <c r="Z563" t="str">
        <f>IF(AND(R563="WON",ISNUMBER(I563)),AA563,"")</f>
        <v/>
      </c>
      <c r="AA563">
        <f>IFERROR(I563*1,0)</f>
        <v>0</v>
      </c>
      <c r="AB563">
        <f>N(AB562)+IF(AND(R563="WON",B563&lt;&gt;""),1,0)</f>
        <v>7</v>
      </c>
      <c r="AC563">
        <f>N(AC562)+IF(AND(OR(R563="offered",R563="to be offered",R563="on hold"),B563&lt;&gt;""),1,0)</f>
        <v>19</v>
      </c>
      <c r="AD563">
        <f>N(AD562)+IF(AND(OR(R563="follow-up",R563="Evaluation",R563="tbd",R563="In evaluation"),B563&lt;&gt;""),1,0)</f>
        <v>9</v>
      </c>
    </row>
    <row r="564" ht="15" customHeight="1">
      <c r="I564" s="215" t="n"/>
      <c r="J564" s="215" t="n"/>
      <c r="K564" s="215" t="n"/>
      <c r="L564" s="215" t="n"/>
      <c r="M564" s="215" t="n"/>
      <c r="N564" s="215" t="str">
        <f>IF(ISNUMBER(I564),ROUND(I564-I564/1.081,2),"")</f>
        <v/>
      </c>
      <c r="O564" s="215" t="str">
        <f>IF(ISNUMBER(I564),I564-SUM(J564:N564),"")</f>
        <v/>
      </c>
      <c r="P564" s="216" t="str">
        <f>IFERROR(IF(AND(ISNUMBER(O564),ISNUMBER(I564),I564&lt;&gt;0),O564/I564,""),"")</f>
        <v/>
      </c>
      <c r="Q564" s="215" t="str">
        <f>IF(AND(ISNUMBER(I564),ISNUMBER(S564)),I564*IF(S564&lt;=1,S564,S564/100),IF(OR(I564&lt;&gt;"",S564&lt;&gt;""),"tbd",""))</f>
        <v/>
      </c>
      <c r="S564" s="217" t="n"/>
      <c r="Z564" t="str">
        <f>IF(AND(R564="WON",ISNUMBER(I564)),AA564,"")</f>
        <v/>
      </c>
      <c r="AA564">
        <f>IFERROR(I564*1,0)</f>
        <v>0</v>
      </c>
      <c r="AB564">
        <f>N(AB563)+IF(AND(R564="WON",B564&lt;&gt;""),1,0)</f>
        <v>7</v>
      </c>
      <c r="AC564">
        <f>N(AC563)+IF(AND(OR(R564="offered",R564="to be offered",R564="on hold"),B564&lt;&gt;""),1,0)</f>
        <v>19</v>
      </c>
      <c r="AD564">
        <f>N(AD563)+IF(AND(OR(R564="follow-up",R564="Evaluation",R564="tbd",R564="In evaluation"),B564&lt;&gt;""),1,0)</f>
        <v>9</v>
      </c>
    </row>
    <row r="565" ht="15" customHeight="1">
      <c r="I565" s="215" t="n"/>
      <c r="J565" s="215" t="n"/>
      <c r="K565" s="215" t="n"/>
      <c r="L565" s="215" t="n"/>
      <c r="M565" s="215" t="n"/>
      <c r="N565" s="215" t="str">
        <f>IF(ISNUMBER(I565),ROUND(I565-I565/1.081,2),"")</f>
        <v/>
      </c>
      <c r="O565" s="215" t="str">
        <f>IF(ISNUMBER(I565),I565-SUM(J565:N565),"")</f>
        <v/>
      </c>
      <c r="P565" s="216" t="str">
        <f>IFERROR(IF(AND(ISNUMBER(O565),ISNUMBER(I565),I565&lt;&gt;0),O565/I565,""),"")</f>
        <v/>
      </c>
      <c r="Q565" s="215" t="str">
        <f>IF(AND(ISNUMBER(I565),ISNUMBER(S565)),I565*IF(S565&lt;=1,S565,S565/100),IF(OR(I565&lt;&gt;"",S565&lt;&gt;""),"tbd",""))</f>
        <v/>
      </c>
      <c r="S565" s="217" t="n"/>
      <c r="Z565" t="str">
        <f>IF(AND(R565="WON",ISNUMBER(I565)),AA565,"")</f>
        <v/>
      </c>
      <c r="AA565">
        <f>IFERROR(I565*1,0)</f>
        <v>0</v>
      </c>
      <c r="AB565">
        <f>N(AB564)+IF(AND(R565="WON",B565&lt;&gt;""),1,0)</f>
        <v>7</v>
      </c>
      <c r="AC565">
        <f>N(AC564)+IF(AND(OR(R565="offered",R565="to be offered",R565="on hold"),B565&lt;&gt;""),1,0)</f>
        <v>19</v>
      </c>
      <c r="AD565">
        <f>N(AD564)+IF(AND(OR(R565="follow-up",R565="Evaluation",R565="tbd",R565="In evaluation"),B565&lt;&gt;""),1,0)</f>
        <v>9</v>
      </c>
    </row>
    <row r="566" ht="15" customHeight="1">
      <c r="I566" s="215" t="n"/>
      <c r="J566" s="215" t="n"/>
      <c r="K566" s="215" t="n"/>
      <c r="L566" s="215" t="n"/>
      <c r="M566" s="215" t="n"/>
      <c r="N566" s="215" t="str">
        <f>IF(ISNUMBER(I566),ROUND(I566-I566/1.081,2),"")</f>
        <v/>
      </c>
      <c r="O566" s="215" t="str">
        <f>IF(ISNUMBER(I566),I566-SUM(J566:N566),"")</f>
        <v/>
      </c>
      <c r="P566" s="216" t="str">
        <f>IFERROR(IF(AND(ISNUMBER(O566),ISNUMBER(I566),I566&lt;&gt;0),O566/I566,""),"")</f>
        <v/>
      </c>
      <c r="Q566" s="215" t="str">
        <f>IF(AND(ISNUMBER(I566),ISNUMBER(S566)),I566*IF(S566&lt;=1,S566,S566/100),IF(OR(I566&lt;&gt;"",S566&lt;&gt;""),"tbd",""))</f>
        <v/>
      </c>
      <c r="S566" s="217" t="n"/>
      <c r="Z566" t="str">
        <f>IF(AND(R566="WON",ISNUMBER(I566)),AA566,"")</f>
        <v/>
      </c>
      <c r="AA566">
        <f>IFERROR(I566*1,0)</f>
        <v>0</v>
      </c>
      <c r="AB566">
        <f>N(AB565)+IF(AND(R566="WON",B566&lt;&gt;""),1,0)</f>
        <v>7</v>
      </c>
      <c r="AC566">
        <f>N(AC565)+IF(AND(OR(R566="offered",R566="to be offered",R566="on hold"),B566&lt;&gt;""),1,0)</f>
        <v>19</v>
      </c>
      <c r="AD566">
        <f>N(AD565)+IF(AND(OR(R566="follow-up",R566="Evaluation",R566="tbd",R566="In evaluation"),B566&lt;&gt;""),1,0)</f>
        <v>9</v>
      </c>
    </row>
    <row r="567" ht="15" customHeight="1">
      <c r="I567" s="215" t="n"/>
      <c r="J567" s="215" t="n"/>
      <c r="K567" s="215" t="n"/>
      <c r="L567" s="215" t="n"/>
      <c r="M567" s="215" t="n"/>
      <c r="N567" s="215" t="str">
        <f>IF(ISNUMBER(I567),ROUND(I567-I567/1.081,2),"")</f>
        <v/>
      </c>
      <c r="O567" s="215" t="str">
        <f>IF(ISNUMBER(I567),I567-SUM(J567:N567),"")</f>
        <v/>
      </c>
      <c r="P567" s="216" t="str">
        <f>IFERROR(IF(AND(ISNUMBER(O567),ISNUMBER(I567),I567&lt;&gt;0),O567/I567,""),"")</f>
        <v/>
      </c>
      <c r="Q567" s="215" t="str">
        <f>IF(AND(ISNUMBER(I567),ISNUMBER(S567)),I567*IF(S567&lt;=1,S567,S567/100),IF(OR(I567&lt;&gt;"",S567&lt;&gt;""),"tbd",""))</f>
        <v/>
      </c>
      <c r="S567" s="217" t="n"/>
      <c r="Z567" t="str">
        <f>IF(AND(R567="WON",ISNUMBER(I567)),AA567,"")</f>
        <v/>
      </c>
      <c r="AA567">
        <f>IFERROR(I567*1,0)</f>
        <v>0</v>
      </c>
      <c r="AB567">
        <f>N(AB566)+IF(AND(R567="WON",B567&lt;&gt;""),1,0)</f>
        <v>7</v>
      </c>
      <c r="AC567">
        <f>N(AC566)+IF(AND(OR(R567="offered",R567="to be offered",R567="on hold"),B567&lt;&gt;""),1,0)</f>
        <v>19</v>
      </c>
      <c r="AD567">
        <f>N(AD566)+IF(AND(OR(R567="follow-up",R567="Evaluation",R567="tbd",R567="In evaluation"),B567&lt;&gt;""),1,0)</f>
        <v>9</v>
      </c>
    </row>
    <row r="568" ht="15" customHeight="1">
      <c r="I568" s="215" t="n"/>
      <c r="J568" s="215" t="n"/>
      <c r="K568" s="215" t="n"/>
      <c r="L568" s="215" t="n"/>
      <c r="M568" s="215" t="n"/>
      <c r="N568" s="215" t="str">
        <f>IF(ISNUMBER(I568),ROUND(I568-I568/1.081,2),"")</f>
        <v/>
      </c>
      <c r="O568" s="215" t="str">
        <f>IF(ISNUMBER(I568),I568-SUM(J568:N568),"")</f>
        <v/>
      </c>
      <c r="P568" s="216" t="str">
        <f>IFERROR(IF(AND(ISNUMBER(O568),ISNUMBER(I568),I568&lt;&gt;0),O568/I568,""),"")</f>
        <v/>
      </c>
      <c r="Q568" s="215" t="str">
        <f>IF(AND(ISNUMBER(I568),ISNUMBER(S568)),I568*IF(S568&lt;=1,S568,S568/100),IF(OR(I568&lt;&gt;"",S568&lt;&gt;""),"tbd",""))</f>
        <v/>
      </c>
      <c r="S568" s="217" t="n"/>
      <c r="Z568" t="str">
        <f>IF(AND(R568="WON",ISNUMBER(I568)),AA568,"")</f>
        <v/>
      </c>
      <c r="AA568">
        <f>IFERROR(I568*1,0)</f>
        <v>0</v>
      </c>
      <c r="AB568">
        <f>N(AB567)+IF(AND(R568="WON",B568&lt;&gt;""),1,0)</f>
        <v>7</v>
      </c>
      <c r="AC568">
        <f>N(AC567)+IF(AND(OR(R568="offered",R568="to be offered",R568="on hold"),B568&lt;&gt;""),1,0)</f>
        <v>19</v>
      </c>
      <c r="AD568">
        <f>N(AD567)+IF(AND(OR(R568="follow-up",R568="Evaluation",R568="tbd",R568="In evaluation"),B568&lt;&gt;""),1,0)</f>
        <v>9</v>
      </c>
    </row>
    <row r="569" ht="15" customHeight="1">
      <c r="I569" s="215" t="n"/>
      <c r="J569" s="215" t="n"/>
      <c r="K569" s="215" t="n"/>
      <c r="L569" s="215" t="n"/>
      <c r="M569" s="215" t="n"/>
      <c r="N569" s="215" t="str">
        <f>IF(ISNUMBER(I569),ROUND(I569-I569/1.081,2),"")</f>
        <v/>
      </c>
      <c r="O569" s="215" t="str">
        <f>IF(ISNUMBER(I569),I569-SUM(J569:N569),"")</f>
        <v/>
      </c>
      <c r="P569" s="216" t="str">
        <f>IFERROR(IF(AND(ISNUMBER(O569),ISNUMBER(I569),I569&lt;&gt;0),O569/I569,""),"")</f>
        <v/>
      </c>
      <c r="Q569" s="215" t="str">
        <f>IF(AND(ISNUMBER(I569),ISNUMBER(S569)),I569*IF(S569&lt;=1,S569,S569/100),IF(OR(I569&lt;&gt;"",S569&lt;&gt;""),"tbd",""))</f>
        <v/>
      </c>
      <c r="S569" s="217" t="n"/>
      <c r="Z569" t="str">
        <f>IF(AND(R569="WON",ISNUMBER(I569)),AA569,"")</f>
        <v/>
      </c>
      <c r="AA569">
        <f>IFERROR(I569*1,0)</f>
        <v>0</v>
      </c>
      <c r="AB569">
        <f>N(AB568)+IF(AND(R569="WON",B569&lt;&gt;""),1,0)</f>
        <v>7</v>
      </c>
      <c r="AC569">
        <f>N(AC568)+IF(AND(OR(R569="offered",R569="to be offered",R569="on hold"),B569&lt;&gt;""),1,0)</f>
        <v>19</v>
      </c>
      <c r="AD569">
        <f>N(AD568)+IF(AND(OR(R569="follow-up",R569="Evaluation",R569="tbd",R569="In evaluation"),B569&lt;&gt;""),1,0)</f>
        <v>9</v>
      </c>
    </row>
    <row r="570" ht="15" customHeight="1">
      <c r="I570" s="215" t="n"/>
      <c r="J570" s="215" t="n"/>
      <c r="K570" s="215" t="n"/>
      <c r="L570" s="215" t="n"/>
      <c r="M570" s="215" t="n"/>
      <c r="N570" s="215" t="str">
        <f>IF(ISNUMBER(I570),ROUND(I570-I570/1.081,2),"")</f>
        <v/>
      </c>
      <c r="O570" s="215" t="str">
        <f>IF(ISNUMBER(I570),I570-SUM(J570:N570),"")</f>
        <v/>
      </c>
      <c r="P570" s="216" t="str">
        <f>IFERROR(IF(AND(ISNUMBER(O570),ISNUMBER(I570),I570&lt;&gt;0),O570/I570,""),"")</f>
        <v/>
      </c>
      <c r="Q570" s="215" t="str">
        <f>IF(AND(ISNUMBER(I570),ISNUMBER(S570)),I570*IF(S570&lt;=1,S570,S570/100),IF(OR(I570&lt;&gt;"",S570&lt;&gt;""),"tbd",""))</f>
        <v/>
      </c>
      <c r="S570" s="217" t="n"/>
      <c r="Z570" t="str">
        <f>IF(AND(R570="WON",ISNUMBER(I570)),AA570,"")</f>
        <v/>
      </c>
      <c r="AA570">
        <f>IFERROR(I570*1,0)</f>
        <v>0</v>
      </c>
      <c r="AB570">
        <f>N(AB569)+IF(AND(R570="WON",B570&lt;&gt;""),1,0)</f>
        <v>7</v>
      </c>
      <c r="AC570">
        <f>N(AC569)+IF(AND(OR(R570="offered",R570="to be offered",R570="on hold"),B570&lt;&gt;""),1,0)</f>
        <v>19</v>
      </c>
      <c r="AD570">
        <f>N(AD569)+IF(AND(OR(R570="follow-up",R570="Evaluation",R570="tbd",R570="In evaluation"),B570&lt;&gt;""),1,0)</f>
        <v>9</v>
      </c>
    </row>
    <row r="571" ht="15" customHeight="1">
      <c r="I571" s="215" t="n"/>
      <c r="J571" s="215" t="n"/>
      <c r="K571" s="215" t="n"/>
      <c r="L571" s="215" t="n"/>
      <c r="M571" s="215" t="n"/>
      <c r="N571" s="215" t="str">
        <f>IF(ISNUMBER(I571),ROUND(I571-I571/1.081,2),"")</f>
        <v/>
      </c>
      <c r="O571" s="215" t="str">
        <f>IF(ISNUMBER(I571),I571-SUM(J571:N571),"")</f>
        <v/>
      </c>
      <c r="P571" s="216" t="str">
        <f>IFERROR(IF(AND(ISNUMBER(O571),ISNUMBER(I571),I571&lt;&gt;0),O571/I571,""),"")</f>
        <v/>
      </c>
      <c r="Q571" s="215" t="str">
        <f>IF(AND(ISNUMBER(I571),ISNUMBER(S571)),I571*IF(S571&lt;=1,S571,S571/100),IF(OR(I571&lt;&gt;"",S571&lt;&gt;""),"tbd",""))</f>
        <v/>
      </c>
      <c r="S571" s="217" t="n"/>
      <c r="Z571" t="str">
        <f>IF(AND(R571="WON",ISNUMBER(I571)),AA571,"")</f>
        <v/>
      </c>
      <c r="AA571">
        <f>IFERROR(I571*1,0)</f>
        <v>0</v>
      </c>
      <c r="AB571">
        <f>N(AB570)+IF(AND(R571="WON",B571&lt;&gt;""),1,0)</f>
        <v>7</v>
      </c>
      <c r="AC571">
        <f>N(AC570)+IF(AND(OR(R571="offered",R571="to be offered",R571="on hold"),B571&lt;&gt;""),1,0)</f>
        <v>19</v>
      </c>
      <c r="AD571">
        <f>N(AD570)+IF(AND(OR(R571="follow-up",R571="Evaluation",R571="tbd",R571="In evaluation"),B571&lt;&gt;""),1,0)</f>
        <v>9</v>
      </c>
    </row>
    <row r="572" ht="15" customHeight="1">
      <c r="I572" s="215" t="n"/>
      <c r="J572" s="215" t="n"/>
      <c r="K572" s="215" t="n"/>
      <c r="L572" s="215" t="n"/>
      <c r="M572" s="215" t="n"/>
      <c r="N572" s="215" t="str">
        <f>IF(ISNUMBER(I572),ROUND(I572-I572/1.081,2),"")</f>
        <v/>
      </c>
      <c r="O572" s="215" t="str">
        <f>IF(ISNUMBER(I572),I572-SUM(J572:N572),"")</f>
        <v/>
      </c>
      <c r="P572" s="216" t="str">
        <f>IFERROR(IF(AND(ISNUMBER(O572),ISNUMBER(I572),I572&lt;&gt;0),O572/I572,""),"")</f>
        <v/>
      </c>
      <c r="Q572" s="215" t="str">
        <f>IF(AND(ISNUMBER(I572),ISNUMBER(S572)),I572*IF(S572&lt;=1,S572,S572/100),IF(OR(I572&lt;&gt;"",S572&lt;&gt;""),"tbd",""))</f>
        <v/>
      </c>
      <c r="S572" s="217" t="n"/>
      <c r="Z572" t="str">
        <f>IF(AND(R572="WON",ISNUMBER(I572)),AA572,"")</f>
        <v/>
      </c>
      <c r="AA572">
        <f>IFERROR(I572*1,0)</f>
        <v>0</v>
      </c>
      <c r="AB572">
        <f>N(AB571)+IF(AND(R572="WON",B572&lt;&gt;""),1,0)</f>
        <v>7</v>
      </c>
      <c r="AC572">
        <f>N(AC571)+IF(AND(OR(R572="offered",R572="to be offered",R572="on hold"),B572&lt;&gt;""),1,0)</f>
        <v>19</v>
      </c>
      <c r="AD572">
        <f>N(AD571)+IF(AND(OR(R572="follow-up",R572="Evaluation",R572="tbd",R572="In evaluation"),B572&lt;&gt;""),1,0)</f>
        <v>9</v>
      </c>
    </row>
    <row r="573" ht="15" customHeight="1">
      <c r="I573" s="215" t="n"/>
      <c r="J573" s="215" t="n"/>
      <c r="K573" s="215" t="n"/>
      <c r="L573" s="215" t="n"/>
      <c r="M573" s="215" t="n"/>
      <c r="N573" s="215" t="str">
        <f>IF(ISNUMBER(I573),ROUND(I573-I573/1.081,2),"")</f>
        <v/>
      </c>
      <c r="O573" s="215" t="str">
        <f>IF(ISNUMBER(I573),I573-SUM(J573:N573),"")</f>
        <v/>
      </c>
      <c r="P573" s="216" t="str">
        <f>IFERROR(IF(AND(ISNUMBER(O573),ISNUMBER(I573),I573&lt;&gt;0),O573/I573,""),"")</f>
        <v/>
      </c>
      <c r="Q573" s="215" t="str">
        <f>IF(AND(ISNUMBER(I573),ISNUMBER(S573)),I573*IF(S573&lt;=1,S573,S573/100),IF(OR(I573&lt;&gt;"",S573&lt;&gt;""),"tbd",""))</f>
        <v/>
      </c>
      <c r="S573" s="217" t="n"/>
      <c r="Z573" t="str">
        <f>IF(AND(R573="WON",ISNUMBER(I573)),AA573,"")</f>
        <v/>
      </c>
      <c r="AA573">
        <f>IFERROR(I573*1,0)</f>
        <v>0</v>
      </c>
      <c r="AB573">
        <f>N(AB572)+IF(AND(R573="WON",B573&lt;&gt;""),1,0)</f>
        <v>7</v>
      </c>
      <c r="AC573">
        <f>N(AC572)+IF(AND(OR(R573="offered",R573="to be offered",R573="on hold"),B573&lt;&gt;""),1,0)</f>
        <v>19</v>
      </c>
      <c r="AD573">
        <f>N(AD572)+IF(AND(OR(R573="follow-up",R573="Evaluation",R573="tbd",R573="In evaluation"),B573&lt;&gt;""),1,0)</f>
        <v>9</v>
      </c>
    </row>
    <row r="574" ht="15" customHeight="1">
      <c r="I574" s="215" t="n"/>
      <c r="J574" s="215" t="n"/>
      <c r="K574" s="215" t="n"/>
      <c r="L574" s="215" t="n"/>
      <c r="M574" s="215" t="n"/>
      <c r="N574" s="215" t="str">
        <f>IF(ISNUMBER(I574),ROUND(I574-I574/1.081,2),"")</f>
        <v/>
      </c>
      <c r="O574" s="215" t="str">
        <f>IF(ISNUMBER(I574),I574-SUM(J574:N574),"")</f>
        <v/>
      </c>
      <c r="P574" s="216" t="str">
        <f>IFERROR(IF(AND(ISNUMBER(O574),ISNUMBER(I574),I574&lt;&gt;0),O574/I574,""),"")</f>
        <v/>
      </c>
      <c r="Q574" s="215" t="str">
        <f>IF(AND(ISNUMBER(I574),ISNUMBER(S574)),I574*IF(S574&lt;=1,S574,S574/100),IF(OR(I574&lt;&gt;"",S574&lt;&gt;""),"tbd",""))</f>
        <v/>
      </c>
      <c r="S574" s="217" t="n"/>
      <c r="Z574" t="str">
        <f>IF(AND(R574="WON",ISNUMBER(I574)),AA574,"")</f>
        <v/>
      </c>
      <c r="AA574">
        <f>IFERROR(I574*1,0)</f>
        <v>0</v>
      </c>
      <c r="AB574">
        <f>N(AB573)+IF(AND(R574="WON",B574&lt;&gt;""),1,0)</f>
        <v>7</v>
      </c>
      <c r="AC574">
        <f>N(AC573)+IF(AND(OR(R574="offered",R574="to be offered",R574="on hold"),B574&lt;&gt;""),1,0)</f>
        <v>19</v>
      </c>
      <c r="AD574">
        <f>N(AD573)+IF(AND(OR(R574="follow-up",R574="Evaluation",R574="tbd",R574="In evaluation"),B574&lt;&gt;""),1,0)</f>
        <v>9</v>
      </c>
    </row>
    <row r="575" ht="15" customHeight="1">
      <c r="I575" s="215" t="n"/>
      <c r="J575" s="215" t="n"/>
      <c r="K575" s="215" t="n"/>
      <c r="L575" s="215" t="n"/>
      <c r="M575" s="215" t="n"/>
      <c r="N575" s="215" t="str">
        <f>IF(ISNUMBER(I575),ROUND(I575-I575/1.081,2),"")</f>
        <v/>
      </c>
      <c r="O575" s="215" t="str">
        <f>IF(ISNUMBER(I575),I575-SUM(J575:N575),"")</f>
        <v/>
      </c>
      <c r="P575" s="216" t="str">
        <f>IFERROR(IF(AND(ISNUMBER(O575),ISNUMBER(I575),I575&lt;&gt;0),O575/I575,""),"")</f>
        <v/>
      </c>
      <c r="Q575" s="215" t="str">
        <f>IF(AND(ISNUMBER(I575),ISNUMBER(S575)),I575*IF(S575&lt;=1,S575,S575/100),IF(OR(I575&lt;&gt;"",S575&lt;&gt;""),"tbd",""))</f>
        <v/>
      </c>
      <c r="S575" s="217" t="n"/>
      <c r="Z575" t="str">
        <f>IF(AND(R575="WON",ISNUMBER(I575)),AA575,"")</f>
        <v/>
      </c>
      <c r="AA575">
        <f>IFERROR(I575*1,0)</f>
        <v>0</v>
      </c>
      <c r="AB575">
        <f>N(AB574)+IF(AND(R575="WON",B575&lt;&gt;""),1,0)</f>
        <v>7</v>
      </c>
      <c r="AC575">
        <f>N(AC574)+IF(AND(OR(R575="offered",R575="to be offered",R575="on hold"),B575&lt;&gt;""),1,0)</f>
        <v>19</v>
      </c>
      <c r="AD575">
        <f>N(AD574)+IF(AND(OR(R575="follow-up",R575="Evaluation",R575="tbd",R575="In evaluation"),B575&lt;&gt;""),1,0)</f>
        <v>9</v>
      </c>
    </row>
    <row r="576" ht="15" customHeight="1">
      <c r="I576" s="215" t="n"/>
      <c r="J576" s="215" t="n"/>
      <c r="K576" s="215" t="n"/>
      <c r="L576" s="215" t="n"/>
      <c r="M576" s="215" t="n"/>
      <c r="N576" s="215" t="str">
        <f>IF(ISNUMBER(I576),ROUND(I576-I576/1.081,2),"")</f>
        <v/>
      </c>
      <c r="O576" s="215" t="str">
        <f>IF(ISNUMBER(I576),I576-SUM(J576:N576),"")</f>
        <v/>
      </c>
      <c r="P576" s="216" t="str">
        <f>IFERROR(IF(AND(ISNUMBER(O576),ISNUMBER(I576),I576&lt;&gt;0),O576/I576,""),"")</f>
        <v/>
      </c>
      <c r="Q576" s="215" t="str">
        <f>IF(AND(ISNUMBER(I576),ISNUMBER(S576)),I576*IF(S576&lt;=1,S576,S576/100),IF(OR(I576&lt;&gt;"",S576&lt;&gt;""),"tbd",""))</f>
        <v/>
      </c>
      <c r="S576" s="217" t="n"/>
      <c r="Z576" t="str">
        <f>IF(AND(R576="WON",ISNUMBER(I576)),AA576,"")</f>
        <v/>
      </c>
      <c r="AA576">
        <f>IFERROR(I576*1,0)</f>
        <v>0</v>
      </c>
      <c r="AB576">
        <f>N(AB575)+IF(AND(R576="WON",B576&lt;&gt;""),1,0)</f>
        <v>7</v>
      </c>
      <c r="AC576">
        <f>N(AC575)+IF(AND(OR(R576="offered",R576="to be offered",R576="on hold"),B576&lt;&gt;""),1,0)</f>
        <v>19</v>
      </c>
      <c r="AD576">
        <f>N(AD575)+IF(AND(OR(R576="follow-up",R576="Evaluation",R576="tbd",R576="In evaluation"),B576&lt;&gt;""),1,0)</f>
        <v>9</v>
      </c>
    </row>
    <row r="577" ht="15" customHeight="1">
      <c r="I577" s="215" t="n"/>
      <c r="J577" s="215" t="n"/>
      <c r="K577" s="215" t="n"/>
      <c r="L577" s="215" t="n"/>
      <c r="M577" s="215" t="n"/>
      <c r="N577" s="215" t="str">
        <f>IF(ISNUMBER(I577),ROUND(I577-I577/1.081,2),"")</f>
        <v/>
      </c>
      <c r="O577" s="215" t="str">
        <f>IF(ISNUMBER(I577),I577-SUM(J577:N577),"")</f>
        <v/>
      </c>
      <c r="P577" s="216" t="str">
        <f>IFERROR(IF(AND(ISNUMBER(O577),ISNUMBER(I577),I577&lt;&gt;0),O577/I577,""),"")</f>
        <v/>
      </c>
      <c r="Q577" s="215" t="str">
        <f>IF(AND(ISNUMBER(I577),ISNUMBER(S577)),I577*IF(S577&lt;=1,S577,S577/100),IF(OR(I577&lt;&gt;"",S577&lt;&gt;""),"tbd",""))</f>
        <v/>
      </c>
      <c r="S577" s="217" t="n"/>
      <c r="Z577" t="str">
        <f>IF(AND(R577="WON",ISNUMBER(I577)),AA577,"")</f>
        <v/>
      </c>
      <c r="AA577">
        <f>IFERROR(I577*1,0)</f>
        <v>0</v>
      </c>
      <c r="AB577">
        <f>N(AB576)+IF(AND(R577="WON",B577&lt;&gt;""),1,0)</f>
        <v>7</v>
      </c>
      <c r="AC577">
        <f>N(AC576)+IF(AND(OR(R577="offered",R577="to be offered",R577="on hold"),B577&lt;&gt;""),1,0)</f>
        <v>19</v>
      </c>
      <c r="AD577">
        <f>N(AD576)+IF(AND(OR(R577="follow-up",R577="Evaluation",R577="tbd",R577="In evaluation"),B577&lt;&gt;""),1,0)</f>
        <v>9</v>
      </c>
    </row>
    <row r="578" ht="15" customHeight="1">
      <c r="I578" s="215" t="n"/>
      <c r="J578" s="215" t="n"/>
      <c r="K578" s="215" t="n"/>
      <c r="L578" s="215" t="n"/>
      <c r="M578" s="215" t="n"/>
      <c r="N578" s="215" t="str">
        <f>IF(ISNUMBER(I578),ROUND(I578-I578/1.081,2),"")</f>
        <v/>
      </c>
      <c r="O578" s="215" t="str">
        <f>IF(ISNUMBER(I578),I578-SUM(J578:N578),"")</f>
        <v/>
      </c>
      <c r="P578" s="216" t="str">
        <f>IFERROR(IF(AND(ISNUMBER(O578),ISNUMBER(I578),I578&lt;&gt;0),O578/I578,""),"")</f>
        <v/>
      </c>
      <c r="Q578" s="215" t="str">
        <f>IF(AND(ISNUMBER(I578),ISNUMBER(S578)),I578*IF(S578&lt;=1,S578,S578/100),IF(OR(I578&lt;&gt;"",S578&lt;&gt;""),"tbd",""))</f>
        <v/>
      </c>
      <c r="S578" s="217" t="n"/>
      <c r="Z578" t="str">
        <f>IF(AND(R578="WON",ISNUMBER(I578)),AA578,"")</f>
        <v/>
      </c>
      <c r="AA578">
        <f>IFERROR(I578*1,0)</f>
        <v>0</v>
      </c>
      <c r="AB578">
        <f>N(AB577)+IF(AND(R578="WON",B578&lt;&gt;""),1,0)</f>
        <v>7</v>
      </c>
      <c r="AC578">
        <f>N(AC577)+IF(AND(OR(R578="offered",R578="to be offered",R578="on hold"),B578&lt;&gt;""),1,0)</f>
        <v>19</v>
      </c>
      <c r="AD578">
        <f>N(AD577)+IF(AND(OR(R578="follow-up",R578="Evaluation",R578="tbd",R578="In evaluation"),B578&lt;&gt;""),1,0)</f>
        <v>9</v>
      </c>
    </row>
    <row r="579" ht="15" customHeight="1">
      <c r="I579" s="215" t="n"/>
      <c r="J579" s="215" t="n"/>
      <c r="K579" s="215" t="n"/>
      <c r="L579" s="215" t="n"/>
      <c r="M579" s="215" t="n"/>
      <c r="N579" s="215" t="str">
        <f>IF(ISNUMBER(I579),ROUND(I579-I579/1.081,2),"")</f>
        <v/>
      </c>
      <c r="O579" s="215" t="str">
        <f>IF(ISNUMBER(I579),I579-SUM(J579:N579),"")</f>
        <v/>
      </c>
      <c r="P579" s="216" t="str">
        <f>IFERROR(IF(AND(ISNUMBER(O579),ISNUMBER(I579),I579&lt;&gt;0),O579/I579,""),"")</f>
        <v/>
      </c>
      <c r="Q579" s="215" t="str">
        <f>IF(AND(ISNUMBER(I579),ISNUMBER(S579)),I579*IF(S579&lt;=1,S579,S579/100),IF(OR(I579&lt;&gt;"",S579&lt;&gt;""),"tbd",""))</f>
        <v/>
      </c>
      <c r="S579" s="217" t="n"/>
      <c r="Z579" t="str">
        <f>IF(AND(R579="WON",ISNUMBER(I579)),AA579,"")</f>
        <v/>
      </c>
      <c r="AA579">
        <f>IFERROR(I579*1,0)</f>
        <v>0</v>
      </c>
      <c r="AB579">
        <f>N(AB578)+IF(AND(R579="WON",B579&lt;&gt;""),1,0)</f>
        <v>7</v>
      </c>
      <c r="AC579">
        <f>N(AC578)+IF(AND(OR(R579="offered",R579="to be offered",R579="on hold"),B579&lt;&gt;""),1,0)</f>
        <v>19</v>
      </c>
      <c r="AD579">
        <f>N(AD578)+IF(AND(OR(R579="follow-up",R579="Evaluation",R579="tbd",R579="In evaluation"),B579&lt;&gt;""),1,0)</f>
        <v>9</v>
      </c>
    </row>
    <row r="580" ht="15" customHeight="1">
      <c r="I580" s="215" t="n"/>
      <c r="J580" s="215" t="n"/>
      <c r="K580" s="215" t="n"/>
      <c r="L580" s="215" t="n"/>
      <c r="M580" s="215" t="n"/>
      <c r="N580" s="215" t="str">
        <f>IF(ISNUMBER(I580),ROUND(I580-I580/1.081,2),"")</f>
        <v/>
      </c>
      <c r="O580" s="215" t="str">
        <f>IF(ISNUMBER(I580),I580-SUM(J580:N580),"")</f>
        <v/>
      </c>
      <c r="P580" s="216" t="str">
        <f>IFERROR(IF(AND(ISNUMBER(O580),ISNUMBER(I580),I580&lt;&gt;0),O580/I580,""),"")</f>
        <v/>
      </c>
      <c r="Q580" s="215" t="str">
        <f>IF(AND(ISNUMBER(I580),ISNUMBER(S580)),I580*IF(S580&lt;=1,S580,S580/100),IF(OR(I580&lt;&gt;"",S580&lt;&gt;""),"tbd",""))</f>
        <v/>
      </c>
      <c r="S580" s="217" t="n"/>
      <c r="Z580" t="str">
        <f>IF(AND(R580="WON",ISNUMBER(I580)),AA580,"")</f>
        <v/>
      </c>
      <c r="AA580">
        <f>IFERROR(I580*1,0)</f>
        <v>0</v>
      </c>
      <c r="AB580">
        <f>N(AB579)+IF(AND(R580="WON",B580&lt;&gt;""),1,0)</f>
        <v>7</v>
      </c>
      <c r="AC580">
        <f>N(AC579)+IF(AND(OR(R580="offered",R580="to be offered",R580="on hold"),B580&lt;&gt;""),1,0)</f>
        <v>19</v>
      </c>
      <c r="AD580">
        <f>N(AD579)+IF(AND(OR(R580="follow-up",R580="Evaluation",R580="tbd",R580="In evaluation"),B580&lt;&gt;""),1,0)</f>
        <v>9</v>
      </c>
    </row>
    <row r="581" ht="15" customHeight="1">
      <c r="I581" s="215" t="n"/>
      <c r="J581" s="215" t="n"/>
      <c r="K581" s="215" t="n"/>
      <c r="L581" s="215" t="n"/>
      <c r="M581" s="215" t="n"/>
      <c r="N581" s="215" t="str">
        <f>IF(ISNUMBER(I581),ROUND(I581-I581/1.081,2),"")</f>
        <v/>
      </c>
      <c r="O581" s="215" t="str">
        <f>IF(ISNUMBER(I581),I581-SUM(J581:N581),"")</f>
        <v/>
      </c>
      <c r="P581" s="216" t="str">
        <f>IFERROR(IF(AND(ISNUMBER(O581),ISNUMBER(I581),I581&lt;&gt;0),O581/I581,""),"")</f>
        <v/>
      </c>
      <c r="Q581" s="215" t="str">
        <f>IF(AND(ISNUMBER(I581),ISNUMBER(S581)),I581*IF(S581&lt;=1,S581,S581/100),IF(OR(I581&lt;&gt;"",S581&lt;&gt;""),"tbd",""))</f>
        <v/>
      </c>
      <c r="S581" s="217" t="n"/>
      <c r="Z581" t="str">
        <f>IF(AND(R581="WON",ISNUMBER(I581)),AA581,"")</f>
        <v/>
      </c>
      <c r="AA581">
        <f>IFERROR(I581*1,0)</f>
        <v>0</v>
      </c>
      <c r="AB581">
        <f>N(AB580)+IF(AND(R581="WON",B581&lt;&gt;""),1,0)</f>
        <v>7</v>
      </c>
      <c r="AC581">
        <f>N(AC580)+IF(AND(OR(R581="offered",R581="to be offered",R581="on hold"),B581&lt;&gt;""),1,0)</f>
        <v>19</v>
      </c>
      <c r="AD581">
        <f>N(AD580)+IF(AND(OR(R581="follow-up",R581="Evaluation",R581="tbd",R581="In evaluation"),B581&lt;&gt;""),1,0)</f>
        <v>9</v>
      </c>
    </row>
    <row r="582" ht="15" customHeight="1">
      <c r="I582" s="215" t="n"/>
      <c r="J582" s="215" t="n"/>
      <c r="K582" s="215" t="n"/>
      <c r="L582" s="215" t="n"/>
      <c r="M582" s="215" t="n"/>
      <c r="N582" s="215" t="str">
        <f>IF(ISNUMBER(I582),ROUND(I582-I582/1.081,2),"")</f>
        <v/>
      </c>
      <c r="O582" s="215" t="str">
        <f>IF(ISNUMBER(I582),I582-SUM(J582:N582),"")</f>
        <v/>
      </c>
      <c r="P582" s="216" t="str">
        <f>IFERROR(IF(AND(ISNUMBER(O582),ISNUMBER(I582),I582&lt;&gt;0),O582/I582,""),"")</f>
        <v/>
      </c>
      <c r="Q582" s="215" t="str">
        <f>IF(AND(ISNUMBER(I582),ISNUMBER(S582)),I582*IF(S582&lt;=1,S582,S582/100),IF(OR(I582&lt;&gt;"",S582&lt;&gt;""),"tbd",""))</f>
        <v/>
      </c>
      <c r="S582" s="217" t="n"/>
      <c r="Z582" t="str">
        <f>IF(AND(R582="WON",ISNUMBER(I582)),AA582,"")</f>
        <v/>
      </c>
      <c r="AA582">
        <f>IFERROR(I582*1,0)</f>
        <v>0</v>
      </c>
      <c r="AB582">
        <f>N(AB581)+IF(AND(R582="WON",B582&lt;&gt;""),1,0)</f>
        <v>7</v>
      </c>
      <c r="AC582">
        <f>N(AC581)+IF(AND(OR(R582="offered",R582="to be offered",R582="on hold"),B582&lt;&gt;""),1,0)</f>
        <v>19</v>
      </c>
      <c r="AD582">
        <f>N(AD581)+IF(AND(OR(R582="follow-up",R582="Evaluation",R582="tbd",R582="In evaluation"),B582&lt;&gt;""),1,0)</f>
        <v>9</v>
      </c>
    </row>
    <row r="583" ht="15" customHeight="1">
      <c r="I583" s="215" t="n"/>
      <c r="J583" s="215" t="n"/>
      <c r="K583" s="215" t="n"/>
      <c r="L583" s="215" t="n"/>
      <c r="M583" s="215" t="n"/>
      <c r="N583" s="215" t="str">
        <f>IF(ISNUMBER(I583),ROUND(I583-I583/1.081,2),"")</f>
        <v/>
      </c>
      <c r="O583" s="215" t="str">
        <f>IF(ISNUMBER(I583),I583-SUM(J583:N583),"")</f>
        <v/>
      </c>
      <c r="P583" s="216" t="str">
        <f>IFERROR(IF(AND(ISNUMBER(O583),ISNUMBER(I583),I583&lt;&gt;0),O583/I583,""),"")</f>
        <v/>
      </c>
      <c r="Q583" s="215" t="str">
        <f>IF(AND(ISNUMBER(I583),ISNUMBER(S583)),I583*IF(S583&lt;=1,S583,S583/100),IF(OR(I583&lt;&gt;"",S583&lt;&gt;""),"tbd",""))</f>
        <v/>
      </c>
      <c r="S583" s="217" t="n"/>
      <c r="Z583" t="str">
        <f>IF(AND(R583="WON",ISNUMBER(I583)),AA583,"")</f>
        <v/>
      </c>
      <c r="AA583">
        <f>IFERROR(I583*1,0)</f>
        <v>0</v>
      </c>
      <c r="AB583">
        <f>N(AB582)+IF(AND(R583="WON",B583&lt;&gt;""),1,0)</f>
        <v>7</v>
      </c>
      <c r="AC583">
        <f>N(AC582)+IF(AND(OR(R583="offered",R583="to be offered",R583="on hold"),B583&lt;&gt;""),1,0)</f>
        <v>19</v>
      </c>
      <c r="AD583">
        <f>N(AD582)+IF(AND(OR(R583="follow-up",R583="Evaluation",R583="tbd",R583="In evaluation"),B583&lt;&gt;""),1,0)</f>
        <v>9</v>
      </c>
    </row>
    <row r="584" ht="15" customHeight="1">
      <c r="I584" s="215" t="n"/>
      <c r="J584" s="215" t="n"/>
      <c r="K584" s="215" t="n"/>
      <c r="L584" s="215" t="n"/>
      <c r="M584" s="215" t="n"/>
      <c r="N584" s="215" t="str">
        <f>IF(ISNUMBER(I584),ROUND(I584-I584/1.081,2),"")</f>
        <v/>
      </c>
      <c r="O584" s="215" t="str">
        <f>IF(ISNUMBER(I584),I584-SUM(J584:N584),"")</f>
        <v/>
      </c>
      <c r="P584" s="216" t="str">
        <f>IFERROR(IF(AND(ISNUMBER(O584),ISNUMBER(I584),I584&lt;&gt;0),O584/I584,""),"")</f>
        <v/>
      </c>
      <c r="Q584" s="215" t="str">
        <f>IF(AND(ISNUMBER(I584),ISNUMBER(S584)),I584*IF(S584&lt;=1,S584,S584/100),IF(OR(I584&lt;&gt;"",S584&lt;&gt;""),"tbd",""))</f>
        <v/>
      </c>
      <c r="S584" s="217" t="n"/>
      <c r="Z584" t="str">
        <f>IF(AND(R584="WON",ISNUMBER(I584)),AA584,"")</f>
        <v/>
      </c>
      <c r="AA584">
        <f>IFERROR(I584*1,0)</f>
        <v>0</v>
      </c>
      <c r="AB584">
        <f>N(AB583)+IF(AND(R584="WON",B584&lt;&gt;""),1,0)</f>
        <v>7</v>
      </c>
      <c r="AC584">
        <f>N(AC583)+IF(AND(OR(R584="offered",R584="to be offered",R584="on hold"),B584&lt;&gt;""),1,0)</f>
        <v>19</v>
      </c>
      <c r="AD584">
        <f>N(AD583)+IF(AND(OR(R584="follow-up",R584="Evaluation",R584="tbd",R584="In evaluation"),B584&lt;&gt;""),1,0)</f>
        <v>9</v>
      </c>
    </row>
    <row r="585" ht="15" customHeight="1">
      <c r="I585" s="215" t="n"/>
      <c r="J585" s="215" t="n"/>
      <c r="K585" s="215" t="n"/>
      <c r="L585" s="215" t="n"/>
      <c r="M585" s="215" t="n"/>
      <c r="N585" s="215" t="str">
        <f>IF(ISNUMBER(I585),ROUND(I585-I585/1.081,2),"")</f>
        <v/>
      </c>
      <c r="O585" s="215" t="str">
        <f>IF(ISNUMBER(I585),I585-SUM(J585:N585),"")</f>
        <v/>
      </c>
      <c r="P585" s="216" t="str">
        <f>IFERROR(IF(AND(ISNUMBER(O585),ISNUMBER(I585),I585&lt;&gt;0),O585/I585,""),"")</f>
        <v/>
      </c>
      <c r="Q585" s="215" t="str">
        <f>IF(AND(ISNUMBER(I585),ISNUMBER(S585)),I585*IF(S585&lt;=1,S585,S585/100),IF(OR(I585&lt;&gt;"",S585&lt;&gt;""),"tbd",""))</f>
        <v/>
      </c>
      <c r="S585" s="217" t="n"/>
      <c r="Z585" t="str">
        <f>IF(AND(R585="WON",ISNUMBER(I585)),AA585,"")</f>
        <v/>
      </c>
      <c r="AA585">
        <f>IFERROR(I585*1,0)</f>
        <v>0</v>
      </c>
      <c r="AB585">
        <f>N(AB584)+IF(AND(R585="WON",B585&lt;&gt;""),1,0)</f>
        <v>7</v>
      </c>
      <c r="AC585">
        <f>N(AC584)+IF(AND(OR(R585="offered",R585="to be offered",R585="on hold"),B585&lt;&gt;""),1,0)</f>
        <v>19</v>
      </c>
      <c r="AD585">
        <f>N(AD584)+IF(AND(OR(R585="follow-up",R585="Evaluation",R585="tbd",R585="In evaluation"),B585&lt;&gt;""),1,0)</f>
        <v>9</v>
      </c>
    </row>
    <row r="586" ht="15" customHeight="1">
      <c r="I586" s="215" t="n"/>
      <c r="J586" s="215" t="n"/>
      <c r="K586" s="215" t="n"/>
      <c r="L586" s="215" t="n"/>
      <c r="M586" s="215" t="n"/>
      <c r="N586" s="215" t="str">
        <f>IF(ISNUMBER(I586),ROUND(I586-I586/1.081,2),"")</f>
        <v/>
      </c>
      <c r="O586" s="215" t="str">
        <f>IF(ISNUMBER(I586),I586-SUM(J586:N586),"")</f>
        <v/>
      </c>
      <c r="P586" s="216" t="str">
        <f>IFERROR(IF(AND(ISNUMBER(O586),ISNUMBER(I586),I586&lt;&gt;0),O586/I586,""),"")</f>
        <v/>
      </c>
      <c r="Q586" s="215" t="str">
        <f>IF(AND(ISNUMBER(I586),ISNUMBER(S586)),I586*IF(S586&lt;=1,S586,S586/100),IF(OR(I586&lt;&gt;"",S586&lt;&gt;""),"tbd",""))</f>
        <v/>
      </c>
      <c r="S586" s="217" t="n"/>
      <c r="Z586" t="str">
        <f>IF(AND(R586="WON",ISNUMBER(I586)),AA586,"")</f>
        <v/>
      </c>
      <c r="AA586">
        <f>IFERROR(I586*1,0)</f>
        <v>0</v>
      </c>
      <c r="AB586">
        <f>N(AB585)+IF(AND(R586="WON",B586&lt;&gt;""),1,0)</f>
        <v>7</v>
      </c>
      <c r="AC586">
        <f>N(AC585)+IF(AND(OR(R586="offered",R586="to be offered",R586="on hold"),B586&lt;&gt;""),1,0)</f>
        <v>19</v>
      </c>
      <c r="AD586">
        <f>N(AD585)+IF(AND(OR(R586="follow-up",R586="Evaluation",R586="tbd",R586="In evaluation"),B586&lt;&gt;""),1,0)</f>
        <v>9</v>
      </c>
    </row>
    <row r="587" ht="15" customHeight="1">
      <c r="I587" s="215" t="n"/>
      <c r="J587" s="215" t="n"/>
      <c r="K587" s="215" t="n"/>
      <c r="L587" s="215" t="n"/>
      <c r="M587" s="215" t="n"/>
      <c r="N587" s="215" t="str">
        <f>IF(ISNUMBER(I587),ROUND(I587-I587/1.081,2),"")</f>
        <v/>
      </c>
      <c r="O587" s="215" t="str">
        <f>IF(ISNUMBER(I587),I587-SUM(J587:N587),"")</f>
        <v/>
      </c>
      <c r="P587" s="216" t="str">
        <f>IFERROR(IF(AND(ISNUMBER(O587),ISNUMBER(I587),I587&lt;&gt;0),O587/I587,""),"")</f>
        <v/>
      </c>
      <c r="Q587" s="215" t="str">
        <f>IF(AND(ISNUMBER(I587),ISNUMBER(S587)),I587*IF(S587&lt;=1,S587,S587/100),IF(OR(I587&lt;&gt;"",S587&lt;&gt;""),"tbd",""))</f>
        <v/>
      </c>
      <c r="S587" s="217" t="n"/>
      <c r="Z587" t="str">
        <f>IF(AND(R587="WON",ISNUMBER(I587)),AA587,"")</f>
        <v/>
      </c>
      <c r="AA587">
        <f>IFERROR(I587*1,0)</f>
        <v>0</v>
      </c>
      <c r="AB587">
        <f>N(AB586)+IF(AND(R587="WON",B587&lt;&gt;""),1,0)</f>
        <v>7</v>
      </c>
      <c r="AC587">
        <f>N(AC586)+IF(AND(OR(R587="offered",R587="to be offered",R587="on hold"),B587&lt;&gt;""),1,0)</f>
        <v>19</v>
      </c>
      <c r="AD587">
        <f>N(AD586)+IF(AND(OR(R587="follow-up",R587="Evaluation",R587="tbd",R587="In evaluation"),B587&lt;&gt;""),1,0)</f>
        <v>9</v>
      </c>
    </row>
    <row r="588" ht="15" customHeight="1">
      <c r="I588" s="215" t="n"/>
      <c r="J588" s="215" t="n"/>
      <c r="K588" s="215" t="n"/>
      <c r="L588" s="215" t="n"/>
      <c r="M588" s="215" t="n"/>
      <c r="N588" s="215" t="str">
        <f>IF(ISNUMBER(I588),ROUND(I588-I588/1.081,2),"")</f>
        <v/>
      </c>
      <c r="O588" s="215" t="str">
        <f>IF(ISNUMBER(I588),I588-SUM(J588:N588),"")</f>
        <v/>
      </c>
      <c r="P588" s="216" t="str">
        <f>IFERROR(IF(AND(ISNUMBER(O588),ISNUMBER(I588),I588&lt;&gt;0),O588/I588,""),"")</f>
        <v/>
      </c>
      <c r="Q588" s="215" t="str">
        <f>IF(AND(ISNUMBER(I588),ISNUMBER(S588)),I588*IF(S588&lt;=1,S588,S588/100),IF(OR(I588&lt;&gt;"",S588&lt;&gt;""),"tbd",""))</f>
        <v/>
      </c>
      <c r="S588" s="217" t="n"/>
      <c r="Z588" t="str">
        <f>IF(AND(R588="WON",ISNUMBER(I588)),AA588,"")</f>
        <v/>
      </c>
      <c r="AA588">
        <f>IFERROR(I588*1,0)</f>
        <v>0</v>
      </c>
      <c r="AB588">
        <f>N(AB587)+IF(AND(R588="WON",B588&lt;&gt;""),1,0)</f>
        <v>7</v>
      </c>
      <c r="AC588">
        <f>N(AC587)+IF(AND(OR(R588="offered",R588="to be offered",R588="on hold"),B588&lt;&gt;""),1,0)</f>
        <v>19</v>
      </c>
      <c r="AD588">
        <f>N(AD587)+IF(AND(OR(R588="follow-up",R588="Evaluation",R588="tbd",R588="In evaluation"),B588&lt;&gt;""),1,0)</f>
        <v>9</v>
      </c>
    </row>
    <row r="589" ht="15" customHeight="1">
      <c r="I589" s="215" t="n"/>
      <c r="J589" s="215" t="n"/>
      <c r="K589" s="215" t="n"/>
      <c r="L589" s="215" t="n"/>
      <c r="M589" s="215" t="n"/>
      <c r="N589" s="215" t="str">
        <f>IF(ISNUMBER(I589),ROUND(I589-I589/1.081,2),"")</f>
        <v/>
      </c>
      <c r="O589" s="215" t="str">
        <f>IF(ISNUMBER(I589),I589-SUM(J589:N589),"")</f>
        <v/>
      </c>
      <c r="P589" s="216" t="str">
        <f>IFERROR(IF(AND(ISNUMBER(O589),ISNUMBER(I589),I589&lt;&gt;0),O589/I589,""),"")</f>
        <v/>
      </c>
      <c r="Q589" s="215" t="str">
        <f>IF(AND(ISNUMBER(I589),ISNUMBER(S589)),I589*IF(S589&lt;=1,S589,S589/100),IF(OR(I589&lt;&gt;"",S589&lt;&gt;""),"tbd",""))</f>
        <v/>
      </c>
      <c r="S589" s="217" t="n"/>
      <c r="Z589" t="str">
        <f>IF(AND(R589="WON",ISNUMBER(I589)),AA589,"")</f>
        <v/>
      </c>
      <c r="AA589">
        <f>IFERROR(I589*1,0)</f>
        <v>0</v>
      </c>
      <c r="AB589">
        <f>N(AB588)+IF(AND(R589="WON",B589&lt;&gt;""),1,0)</f>
        <v>7</v>
      </c>
      <c r="AC589">
        <f>N(AC588)+IF(AND(OR(R589="offered",R589="to be offered",R589="on hold"),B589&lt;&gt;""),1,0)</f>
        <v>19</v>
      </c>
      <c r="AD589">
        <f>N(AD588)+IF(AND(OR(R589="follow-up",R589="Evaluation",R589="tbd",R589="In evaluation"),B589&lt;&gt;""),1,0)</f>
        <v>9</v>
      </c>
    </row>
    <row r="590" ht="15" customHeight="1">
      <c r="I590" s="215" t="n"/>
      <c r="J590" s="215" t="n"/>
      <c r="K590" s="215" t="n"/>
      <c r="L590" s="215" t="n"/>
      <c r="M590" s="215" t="n"/>
      <c r="N590" s="215" t="str">
        <f>IF(ISNUMBER(I590),ROUND(I590-I590/1.081,2),"")</f>
        <v/>
      </c>
      <c r="O590" s="215" t="str">
        <f>IF(ISNUMBER(I590),I590-SUM(J590:N590),"")</f>
        <v/>
      </c>
      <c r="P590" s="216" t="str">
        <f>IFERROR(IF(AND(ISNUMBER(O590),ISNUMBER(I590),I590&lt;&gt;0),O590/I590,""),"")</f>
        <v/>
      </c>
      <c r="Q590" s="215" t="str">
        <f>IF(AND(ISNUMBER(I590),ISNUMBER(S590)),I590*IF(S590&lt;=1,S590,S590/100),IF(OR(I590&lt;&gt;"",S590&lt;&gt;""),"tbd",""))</f>
        <v/>
      </c>
      <c r="S590" s="217" t="n"/>
      <c r="Z590" t="str">
        <f>IF(AND(R590="WON",ISNUMBER(I590)),AA590,"")</f>
        <v/>
      </c>
      <c r="AA590">
        <f>IFERROR(I590*1,0)</f>
        <v>0</v>
      </c>
      <c r="AB590">
        <f>N(AB589)+IF(AND(R590="WON",B590&lt;&gt;""),1,0)</f>
        <v>7</v>
      </c>
      <c r="AC590">
        <f>N(AC589)+IF(AND(OR(R590="offered",R590="to be offered",R590="on hold"),B590&lt;&gt;""),1,0)</f>
        <v>19</v>
      </c>
      <c r="AD590">
        <f>N(AD589)+IF(AND(OR(R590="follow-up",R590="Evaluation",R590="tbd",R590="In evaluation"),B590&lt;&gt;""),1,0)</f>
        <v>9</v>
      </c>
    </row>
    <row r="591" ht="15" customHeight="1">
      <c r="I591" s="215" t="n"/>
      <c r="J591" s="215" t="n"/>
      <c r="K591" s="215" t="n"/>
      <c r="L591" s="215" t="n"/>
      <c r="M591" s="215" t="n"/>
      <c r="N591" s="215" t="str">
        <f>IF(ISNUMBER(I591),ROUND(I591-I591/1.081,2),"")</f>
        <v/>
      </c>
      <c r="O591" s="215" t="str">
        <f>IF(ISNUMBER(I591),I591-SUM(J591:N591),"")</f>
        <v/>
      </c>
      <c r="P591" s="216" t="str">
        <f>IFERROR(IF(AND(ISNUMBER(O591),ISNUMBER(I591),I591&lt;&gt;0),O591/I591,""),"")</f>
        <v/>
      </c>
      <c r="Q591" s="215" t="str">
        <f>IF(AND(ISNUMBER(I591),ISNUMBER(S591)),I591*IF(S591&lt;=1,S591,S591/100),IF(OR(I591&lt;&gt;"",S591&lt;&gt;""),"tbd",""))</f>
        <v/>
      </c>
      <c r="S591" s="217" t="n"/>
      <c r="Z591" t="str">
        <f>IF(AND(R591="WON",ISNUMBER(I591)),AA591,"")</f>
        <v/>
      </c>
      <c r="AA591">
        <f>IFERROR(I591*1,0)</f>
        <v>0</v>
      </c>
      <c r="AB591">
        <f>N(AB590)+IF(AND(R591="WON",B591&lt;&gt;""),1,0)</f>
        <v>7</v>
      </c>
      <c r="AC591">
        <f>N(AC590)+IF(AND(OR(R591="offered",R591="to be offered",R591="on hold"),B591&lt;&gt;""),1,0)</f>
        <v>19</v>
      </c>
      <c r="AD591">
        <f>N(AD590)+IF(AND(OR(R591="follow-up",R591="Evaluation",R591="tbd",R591="In evaluation"),B591&lt;&gt;""),1,0)</f>
        <v>9</v>
      </c>
    </row>
    <row r="592" ht="15" customHeight="1">
      <c r="I592" s="215" t="n"/>
      <c r="J592" s="215" t="n"/>
      <c r="K592" s="215" t="n"/>
      <c r="L592" s="215" t="n"/>
      <c r="M592" s="215" t="n"/>
      <c r="N592" s="215" t="str">
        <f>IF(ISNUMBER(I592),ROUND(I592-I592/1.081,2),"")</f>
        <v/>
      </c>
      <c r="O592" s="215" t="str">
        <f>IF(ISNUMBER(I592),I592-SUM(J592:N592),"")</f>
        <v/>
      </c>
      <c r="P592" s="216" t="str">
        <f>IFERROR(IF(AND(ISNUMBER(O592),ISNUMBER(I592),I592&lt;&gt;0),O592/I592,""),"")</f>
        <v/>
      </c>
      <c r="Q592" s="215" t="str">
        <f>IF(AND(ISNUMBER(I592),ISNUMBER(S592)),I592*IF(S592&lt;=1,S592,S592/100),IF(OR(I592&lt;&gt;"",S592&lt;&gt;""),"tbd",""))</f>
        <v/>
      </c>
      <c r="S592" s="217" t="n"/>
      <c r="Z592" t="str">
        <f>IF(AND(R592="WON",ISNUMBER(I592)),AA592,"")</f>
        <v/>
      </c>
      <c r="AA592">
        <f>IFERROR(I592*1,0)</f>
        <v>0</v>
      </c>
      <c r="AB592">
        <f>N(AB591)+IF(AND(R592="WON",B592&lt;&gt;""),1,0)</f>
        <v>7</v>
      </c>
      <c r="AC592">
        <f>N(AC591)+IF(AND(OR(R592="offered",R592="to be offered",R592="on hold"),B592&lt;&gt;""),1,0)</f>
        <v>19</v>
      </c>
      <c r="AD592">
        <f>N(AD591)+IF(AND(OR(R592="follow-up",R592="Evaluation",R592="tbd",R592="In evaluation"),B592&lt;&gt;""),1,0)</f>
        <v>9</v>
      </c>
    </row>
    <row r="593" ht="15" customHeight="1">
      <c r="I593" s="215" t="n"/>
      <c r="J593" s="215" t="n"/>
      <c r="K593" s="215" t="n"/>
      <c r="L593" s="215" t="n"/>
      <c r="M593" s="215" t="n"/>
      <c r="N593" s="215" t="str">
        <f>IF(ISNUMBER(I593),ROUND(I593-I593/1.081,2),"")</f>
        <v/>
      </c>
      <c r="O593" s="215" t="str">
        <f>IF(ISNUMBER(I593),I593-SUM(J593:N593),"")</f>
        <v/>
      </c>
      <c r="P593" s="216" t="str">
        <f>IFERROR(IF(AND(ISNUMBER(O593),ISNUMBER(I593),I593&lt;&gt;0),O593/I593,""),"")</f>
        <v/>
      </c>
      <c r="Q593" s="215" t="str">
        <f>IF(AND(ISNUMBER(I593),ISNUMBER(S593)),I593*IF(S593&lt;=1,S593,S593/100),IF(OR(I593&lt;&gt;"",S593&lt;&gt;""),"tbd",""))</f>
        <v/>
      </c>
      <c r="S593" s="217" t="n"/>
      <c r="Z593" t="str">
        <f>IF(AND(R593="WON",ISNUMBER(I593)),AA593,"")</f>
        <v/>
      </c>
      <c r="AA593">
        <f>IFERROR(I593*1,0)</f>
        <v>0</v>
      </c>
      <c r="AB593">
        <f>N(AB592)+IF(AND(R593="WON",B593&lt;&gt;""),1,0)</f>
        <v>7</v>
      </c>
      <c r="AC593">
        <f>N(AC592)+IF(AND(OR(R593="offered",R593="to be offered",R593="on hold"),B593&lt;&gt;""),1,0)</f>
        <v>19</v>
      </c>
      <c r="AD593">
        <f>N(AD592)+IF(AND(OR(R593="follow-up",R593="Evaluation",R593="tbd",R593="In evaluation"),B593&lt;&gt;""),1,0)</f>
        <v>9</v>
      </c>
    </row>
    <row r="594" ht="15" customHeight="1">
      <c r="I594" s="215" t="n"/>
      <c r="J594" s="215" t="n"/>
      <c r="K594" s="215" t="n"/>
      <c r="L594" s="215" t="n"/>
      <c r="M594" s="215" t="n"/>
      <c r="N594" s="215" t="str">
        <f>IF(ISNUMBER(I594),ROUND(I594-I594/1.081,2),"")</f>
        <v/>
      </c>
      <c r="O594" s="215" t="str">
        <f>IF(ISNUMBER(I594),I594-SUM(J594:N594),"")</f>
        <v/>
      </c>
      <c r="P594" s="216" t="str">
        <f>IFERROR(IF(AND(ISNUMBER(O594),ISNUMBER(I594),I594&lt;&gt;0),O594/I594,""),"")</f>
        <v/>
      </c>
      <c r="Q594" s="215" t="str">
        <f>IF(AND(ISNUMBER(I594),ISNUMBER(S594)),I594*IF(S594&lt;=1,S594,S594/100),IF(OR(I594&lt;&gt;"",S594&lt;&gt;""),"tbd",""))</f>
        <v/>
      </c>
      <c r="S594" s="217" t="n"/>
      <c r="Z594" t="str">
        <f>IF(AND(R594="WON",ISNUMBER(I594)),AA594,"")</f>
        <v/>
      </c>
      <c r="AA594">
        <f>IFERROR(I594*1,0)</f>
        <v>0</v>
      </c>
      <c r="AB594">
        <f>N(AB593)+IF(AND(R594="WON",B594&lt;&gt;""),1,0)</f>
        <v>7</v>
      </c>
      <c r="AC594">
        <f>N(AC593)+IF(AND(OR(R594="offered",R594="to be offered",R594="on hold"),B594&lt;&gt;""),1,0)</f>
        <v>19</v>
      </c>
      <c r="AD594">
        <f>N(AD593)+IF(AND(OR(R594="follow-up",R594="Evaluation",R594="tbd",R594="In evaluation"),B594&lt;&gt;""),1,0)</f>
        <v>9</v>
      </c>
    </row>
    <row r="595" ht="15" customHeight="1">
      <c r="I595" s="215" t="n"/>
      <c r="J595" s="215" t="n"/>
      <c r="K595" s="215" t="n"/>
      <c r="L595" s="215" t="n"/>
      <c r="M595" s="215" t="n"/>
      <c r="N595" s="215" t="str">
        <f>IF(ISNUMBER(I595),ROUND(I595-I595/1.081,2),"")</f>
        <v/>
      </c>
      <c r="O595" s="215" t="str">
        <f>IF(ISNUMBER(I595),I595-SUM(J595:N595),"")</f>
        <v/>
      </c>
      <c r="P595" s="216" t="str">
        <f>IFERROR(IF(AND(ISNUMBER(O595),ISNUMBER(I595),I595&lt;&gt;0),O595/I595,""),"")</f>
        <v/>
      </c>
      <c r="Q595" s="215" t="str">
        <f>IF(AND(ISNUMBER(I595),ISNUMBER(S595)),I595*IF(S595&lt;=1,S595,S595/100),IF(OR(I595&lt;&gt;"",S595&lt;&gt;""),"tbd",""))</f>
        <v/>
      </c>
      <c r="S595" s="217" t="n"/>
      <c r="Z595" t="str">
        <f>IF(AND(R595="WON",ISNUMBER(I595)),AA595,"")</f>
        <v/>
      </c>
      <c r="AA595">
        <f>IFERROR(I595*1,0)</f>
        <v>0</v>
      </c>
      <c r="AB595">
        <f>N(AB594)+IF(AND(R595="WON",B595&lt;&gt;""),1,0)</f>
        <v>7</v>
      </c>
      <c r="AC595">
        <f>N(AC594)+IF(AND(OR(R595="offered",R595="to be offered",R595="on hold"),B595&lt;&gt;""),1,0)</f>
        <v>19</v>
      </c>
      <c r="AD595">
        <f>N(AD594)+IF(AND(OR(R595="follow-up",R595="Evaluation",R595="tbd",R595="In evaluation"),B595&lt;&gt;""),1,0)</f>
        <v>9</v>
      </c>
    </row>
    <row r="596" ht="15" customHeight="1">
      <c r="I596" s="215" t="n"/>
      <c r="J596" s="215" t="n"/>
      <c r="K596" s="215" t="n"/>
      <c r="L596" s="215" t="n"/>
      <c r="M596" s="215" t="n"/>
      <c r="N596" s="215" t="str">
        <f>IF(ISNUMBER(I596),ROUND(I596-I596/1.081,2),"")</f>
        <v/>
      </c>
      <c r="O596" s="215" t="str">
        <f>IF(ISNUMBER(I596),I596-SUM(J596:N596),"")</f>
        <v/>
      </c>
      <c r="P596" s="216" t="str">
        <f>IFERROR(IF(AND(ISNUMBER(O596),ISNUMBER(I596),I596&lt;&gt;0),O596/I596,""),"")</f>
        <v/>
      </c>
      <c r="Q596" s="215" t="str">
        <f>IF(AND(ISNUMBER(I596),ISNUMBER(S596)),I596*IF(S596&lt;=1,S596,S596/100),IF(OR(I596&lt;&gt;"",S596&lt;&gt;""),"tbd",""))</f>
        <v/>
      </c>
      <c r="S596" s="217" t="n"/>
      <c r="Z596" t="str">
        <f>IF(AND(R596="WON",ISNUMBER(I596)),AA596,"")</f>
        <v/>
      </c>
      <c r="AA596">
        <f>IFERROR(I596*1,0)</f>
        <v>0</v>
      </c>
      <c r="AB596">
        <f>N(AB595)+IF(AND(R596="WON",B596&lt;&gt;""),1,0)</f>
        <v>7</v>
      </c>
      <c r="AC596">
        <f>N(AC595)+IF(AND(OR(R596="offered",R596="to be offered",R596="on hold"),B596&lt;&gt;""),1,0)</f>
        <v>19</v>
      </c>
      <c r="AD596">
        <f>N(AD595)+IF(AND(OR(R596="follow-up",R596="Evaluation",R596="tbd",R596="In evaluation"),B596&lt;&gt;""),1,0)</f>
        <v>9</v>
      </c>
    </row>
    <row r="597" ht="15" customHeight="1">
      <c r="I597" s="215" t="n"/>
      <c r="J597" s="215" t="n"/>
      <c r="K597" s="215" t="n"/>
      <c r="L597" s="215" t="n"/>
      <c r="M597" s="215" t="n"/>
      <c r="N597" s="215" t="str">
        <f>IF(ISNUMBER(I597),ROUND(I597-I597/1.081,2),"")</f>
        <v/>
      </c>
      <c r="O597" s="215" t="str">
        <f>IF(ISNUMBER(I597),I597-SUM(J597:N597),"")</f>
        <v/>
      </c>
      <c r="P597" s="216" t="str">
        <f>IFERROR(IF(AND(ISNUMBER(O597),ISNUMBER(I597),I597&lt;&gt;0),O597/I597,""),"")</f>
        <v/>
      </c>
      <c r="Q597" s="215" t="str">
        <f>IF(AND(ISNUMBER(I597),ISNUMBER(S597)),I597*IF(S597&lt;=1,S597,S597/100),IF(OR(I597&lt;&gt;"",S597&lt;&gt;""),"tbd",""))</f>
        <v/>
      </c>
      <c r="S597" s="217" t="n"/>
      <c r="Z597" t="str">
        <f>IF(AND(R597="WON",ISNUMBER(I597)),AA597,"")</f>
        <v/>
      </c>
      <c r="AA597">
        <f>IFERROR(I597*1,0)</f>
        <v>0</v>
      </c>
      <c r="AB597">
        <f>N(AB596)+IF(AND(R597="WON",B597&lt;&gt;""),1,0)</f>
        <v>7</v>
      </c>
      <c r="AC597">
        <f>N(AC596)+IF(AND(OR(R597="offered",R597="to be offered",R597="on hold"),B597&lt;&gt;""),1,0)</f>
        <v>19</v>
      </c>
      <c r="AD597">
        <f>N(AD596)+IF(AND(OR(R597="follow-up",R597="Evaluation",R597="tbd",R597="In evaluation"),B597&lt;&gt;""),1,0)</f>
        <v>9</v>
      </c>
    </row>
    <row r="598" ht="15" customHeight="1">
      <c r="I598" s="215" t="n"/>
      <c r="J598" s="215" t="n"/>
      <c r="K598" s="215" t="n"/>
      <c r="L598" s="215" t="n"/>
      <c r="M598" s="215" t="n"/>
      <c r="N598" s="215" t="str">
        <f>IF(ISNUMBER(I598),ROUND(I598-I598/1.081,2),"")</f>
        <v/>
      </c>
      <c r="O598" s="215" t="str">
        <f>IF(ISNUMBER(I598),I598-SUM(J598:N598),"")</f>
        <v/>
      </c>
      <c r="P598" s="216" t="str">
        <f>IFERROR(IF(AND(ISNUMBER(O598),ISNUMBER(I598),I598&lt;&gt;0),O598/I598,""),"")</f>
        <v/>
      </c>
      <c r="Q598" s="215" t="str">
        <f>IF(AND(ISNUMBER(I598),ISNUMBER(S598)),I598*IF(S598&lt;=1,S598,S598/100),IF(OR(I598&lt;&gt;"",S598&lt;&gt;""),"tbd",""))</f>
        <v/>
      </c>
      <c r="S598" s="217" t="n"/>
      <c r="Z598" t="str">
        <f>IF(AND(R598="WON",ISNUMBER(I598)),AA598,"")</f>
        <v/>
      </c>
      <c r="AA598">
        <f>IFERROR(I598*1,0)</f>
        <v>0</v>
      </c>
      <c r="AB598">
        <f>N(AB597)+IF(AND(R598="WON",B598&lt;&gt;""),1,0)</f>
        <v>7</v>
      </c>
      <c r="AC598">
        <f>N(AC597)+IF(AND(OR(R598="offered",R598="to be offered",R598="on hold"),B598&lt;&gt;""),1,0)</f>
        <v>19</v>
      </c>
      <c r="AD598">
        <f>N(AD597)+IF(AND(OR(R598="follow-up",R598="Evaluation",R598="tbd",R598="In evaluation"),B598&lt;&gt;""),1,0)</f>
        <v>9</v>
      </c>
    </row>
    <row r="599" ht="15" customHeight="1">
      <c r="I599" s="215" t="n"/>
      <c r="J599" s="215" t="n"/>
      <c r="K599" s="215" t="n"/>
      <c r="L599" s="215" t="n"/>
      <c r="M599" s="215" t="n"/>
      <c r="N599" s="215" t="str">
        <f>IF(ISNUMBER(I599),ROUND(I599-I599/1.081,2),"")</f>
        <v/>
      </c>
      <c r="O599" s="215" t="str">
        <f>IF(ISNUMBER(I599),I599-SUM(J599:N599),"")</f>
        <v/>
      </c>
      <c r="P599" s="216" t="str">
        <f>IFERROR(IF(AND(ISNUMBER(O599),ISNUMBER(I599),I599&lt;&gt;0),O599/I599,""),"")</f>
        <v/>
      </c>
      <c r="Q599" s="215" t="str">
        <f>IF(AND(ISNUMBER(I599),ISNUMBER(S599)),I599*IF(S599&lt;=1,S599,S599/100),IF(OR(I599&lt;&gt;"",S599&lt;&gt;""),"tbd",""))</f>
        <v/>
      </c>
      <c r="S599" s="217" t="n"/>
      <c r="Z599" t="str">
        <f>IF(AND(R599="WON",ISNUMBER(I599)),AA599,"")</f>
        <v/>
      </c>
      <c r="AA599">
        <f>IFERROR(I599*1,0)</f>
        <v>0</v>
      </c>
      <c r="AB599">
        <f>N(AB598)+IF(AND(R599="WON",B599&lt;&gt;""),1,0)</f>
        <v>7</v>
      </c>
      <c r="AC599">
        <f>N(AC598)+IF(AND(OR(R599="offered",R599="to be offered",R599="on hold"),B599&lt;&gt;""),1,0)</f>
        <v>19</v>
      </c>
      <c r="AD599">
        <f>N(AD598)+IF(AND(OR(R599="follow-up",R599="Evaluation",R599="tbd",R599="In evaluation"),B599&lt;&gt;""),1,0)</f>
        <v>9</v>
      </c>
    </row>
    <row r="600" ht="15" customHeight="1">
      <c r="I600" s="215" t="n"/>
      <c r="J600" s="215" t="n"/>
      <c r="K600" s="215" t="n"/>
      <c r="L600" s="215" t="n"/>
      <c r="M600" s="215" t="n"/>
      <c r="N600" s="215" t="str">
        <f>IF(ISNUMBER(I600),ROUND(I600-I600/1.081,2),"")</f>
        <v/>
      </c>
      <c r="O600" s="215" t="str">
        <f>IF(ISNUMBER(I600),I600-SUM(J600:N600),"")</f>
        <v/>
      </c>
      <c r="P600" s="216" t="str">
        <f>IFERROR(IF(AND(ISNUMBER(O600),ISNUMBER(I600),I600&lt;&gt;0),O600/I600,""),"")</f>
        <v/>
      </c>
      <c r="Q600" s="215" t="str">
        <f>IF(AND(ISNUMBER(I600),ISNUMBER(S600)),I600*IF(S600&lt;=1,S600,S600/100),IF(OR(I600&lt;&gt;"",S600&lt;&gt;""),"tbd",""))</f>
        <v/>
      </c>
      <c r="S600" s="217" t="n"/>
      <c r="Z600" t="str">
        <f>IF(AND(R600="WON",ISNUMBER(I600)),AA600,"")</f>
        <v/>
      </c>
      <c r="AA600">
        <f>IFERROR(I600*1,0)</f>
        <v>0</v>
      </c>
      <c r="AB600">
        <f>N(AB599)+IF(AND(R600="WON",B600&lt;&gt;""),1,0)</f>
        <v>7</v>
      </c>
      <c r="AC600">
        <f>N(AC599)+IF(AND(OR(R600="offered",R600="to be offered",R600="on hold"),B600&lt;&gt;""),1,0)</f>
        <v>19</v>
      </c>
      <c r="AD600">
        <f>N(AD599)+IF(AND(OR(R600="follow-up",R600="Evaluation",R600="tbd",R600="In evaluation"),B600&lt;&gt;""),1,0)</f>
        <v>9</v>
      </c>
    </row>
    <row r="601" ht="15" customHeight="1">
      <c r="I601" s="215" t="n"/>
      <c r="J601" s="215" t="n"/>
      <c r="K601" s="215" t="n"/>
      <c r="L601" s="215" t="n"/>
      <c r="M601" s="215" t="n"/>
      <c r="N601" s="215" t="str">
        <f>IF(ISNUMBER(I601),ROUND(I601-I601/1.081,2),"")</f>
        <v/>
      </c>
      <c r="O601" s="215" t="str">
        <f>IF(ISNUMBER(I601),I601-SUM(J601:N601),"")</f>
        <v/>
      </c>
      <c r="P601" s="216" t="str">
        <f>IFERROR(IF(AND(ISNUMBER(O601),ISNUMBER(I601),I601&lt;&gt;0),O601/I601,""),"")</f>
        <v/>
      </c>
      <c r="Q601" s="215" t="str">
        <f>IF(AND(ISNUMBER(I601),ISNUMBER(S601)),I601*IF(S601&lt;=1,S601,S601/100),IF(OR(I601&lt;&gt;"",S601&lt;&gt;""),"tbd",""))</f>
        <v/>
      </c>
      <c r="S601" s="217" t="n"/>
      <c r="Z601" t="str">
        <f>IF(AND(R601="WON",ISNUMBER(I601)),AA601,"")</f>
        <v/>
      </c>
      <c r="AA601">
        <f>IFERROR(I601*1,0)</f>
        <v>0</v>
      </c>
      <c r="AB601">
        <f>N(AB600)+IF(AND(R601="WON",B601&lt;&gt;""),1,0)</f>
        <v>7</v>
      </c>
      <c r="AC601">
        <f>N(AC600)+IF(AND(OR(R601="offered",R601="to be offered",R601="on hold"),B601&lt;&gt;""),1,0)</f>
        <v>19</v>
      </c>
      <c r="AD601">
        <f>N(AD600)+IF(AND(OR(R601="follow-up",R601="Evaluation",R601="tbd",R601="In evaluation"),B601&lt;&gt;""),1,0)</f>
        <v>9</v>
      </c>
    </row>
    <row r="602" ht="15" customHeight="1">
      <c r="I602" s="215" t="n"/>
      <c r="J602" s="215" t="n"/>
      <c r="K602" s="215" t="n"/>
      <c r="L602" s="215" t="n"/>
      <c r="M602" s="215" t="n"/>
      <c r="N602" s="215" t="str">
        <f>IF(ISNUMBER(I602),ROUND(I602-I602/1.081,2),"")</f>
        <v/>
      </c>
      <c r="O602" s="215" t="str">
        <f>IF(ISNUMBER(I602),I602-SUM(J602:N602),"")</f>
        <v/>
      </c>
      <c r="P602" s="216" t="str">
        <f>IFERROR(IF(AND(ISNUMBER(O602),ISNUMBER(I602),I602&lt;&gt;0),O602/I602,""),"")</f>
        <v/>
      </c>
      <c r="Q602" s="215" t="str">
        <f>IF(AND(ISNUMBER(I602),ISNUMBER(S602)),I602*IF(S602&lt;=1,S602,S602/100),IF(OR(I602&lt;&gt;"",S602&lt;&gt;""),"tbd",""))</f>
        <v/>
      </c>
      <c r="S602" s="217" t="n"/>
      <c r="Z602" t="str">
        <f>IF(AND(R602="WON",ISNUMBER(I602)),AA602,"")</f>
        <v/>
      </c>
      <c r="AA602">
        <f>IFERROR(I602*1,0)</f>
        <v>0</v>
      </c>
      <c r="AB602">
        <f>N(AB601)+IF(AND(R602="WON",B602&lt;&gt;""),1,0)</f>
        <v>7</v>
      </c>
      <c r="AC602">
        <f>N(AC601)+IF(AND(OR(R602="offered",R602="to be offered",R602="on hold"),B602&lt;&gt;""),1,0)</f>
        <v>19</v>
      </c>
      <c r="AD602">
        <f>N(AD601)+IF(AND(OR(R602="follow-up",R602="Evaluation",R602="tbd",R602="In evaluation"),B602&lt;&gt;""),1,0)</f>
        <v>9</v>
      </c>
    </row>
    <row r="603" ht="15" customHeight="1">
      <c r="I603" s="215" t="n"/>
      <c r="J603" s="215" t="n"/>
      <c r="K603" s="215" t="n"/>
      <c r="L603" s="215" t="n"/>
      <c r="M603" s="215" t="n"/>
      <c r="N603" s="215" t="str">
        <f>IF(ISNUMBER(I603),ROUND(I603-I603/1.081,2),"")</f>
        <v/>
      </c>
      <c r="O603" s="215" t="str">
        <f>IF(ISNUMBER(I603),I603-SUM(J603:N603),"")</f>
        <v/>
      </c>
      <c r="P603" s="216" t="str">
        <f>IFERROR(IF(AND(ISNUMBER(O603),ISNUMBER(I603),I603&lt;&gt;0),O603/I603,""),"")</f>
        <v/>
      </c>
      <c r="Q603" s="215" t="str">
        <f>IF(AND(ISNUMBER(I603),ISNUMBER(S603)),I603*IF(S603&lt;=1,S603,S603/100),IF(OR(I603&lt;&gt;"",S603&lt;&gt;""),"tbd",""))</f>
        <v/>
      </c>
      <c r="S603" s="217" t="n"/>
      <c r="Z603" t="str">
        <f>IF(AND(R603="WON",ISNUMBER(I603)),AA603,"")</f>
        <v/>
      </c>
      <c r="AA603">
        <f>IFERROR(I603*1,0)</f>
        <v>0</v>
      </c>
      <c r="AB603">
        <f>N(AB602)+IF(AND(R603="WON",B603&lt;&gt;""),1,0)</f>
        <v>7</v>
      </c>
      <c r="AC603">
        <f>N(AC602)+IF(AND(OR(R603="offered",R603="to be offered",R603="on hold"),B603&lt;&gt;""),1,0)</f>
        <v>19</v>
      </c>
      <c r="AD603">
        <f>N(AD602)+IF(AND(OR(R603="follow-up",R603="Evaluation",R603="tbd",R603="In evaluation"),B603&lt;&gt;""),1,0)</f>
        <v>9</v>
      </c>
    </row>
    <row r="604" ht="15" customHeight="1">
      <c r="I604" s="215" t="n"/>
      <c r="J604" s="215" t="n"/>
      <c r="K604" s="215" t="n"/>
      <c r="L604" s="215" t="n"/>
      <c r="M604" s="215" t="n"/>
      <c r="N604" s="215" t="str">
        <f>IF(ISNUMBER(I604),ROUND(I604-I604/1.081,2),"")</f>
        <v/>
      </c>
      <c r="O604" s="215" t="str">
        <f>IF(ISNUMBER(I604),I604-SUM(J604:N604),"")</f>
        <v/>
      </c>
      <c r="P604" s="216" t="str">
        <f>IFERROR(IF(AND(ISNUMBER(O604),ISNUMBER(I604),I604&lt;&gt;0),O604/I604,""),"")</f>
        <v/>
      </c>
      <c r="Q604" s="215" t="str">
        <f>IF(AND(ISNUMBER(I604),ISNUMBER(S604)),I604*IF(S604&lt;=1,S604,S604/100),IF(OR(I604&lt;&gt;"",S604&lt;&gt;""),"tbd",""))</f>
        <v/>
      </c>
      <c r="S604" s="217" t="n"/>
      <c r="Z604" t="str">
        <f>IF(AND(R604="WON",ISNUMBER(I604)),AA604,"")</f>
        <v/>
      </c>
      <c r="AA604">
        <f>IFERROR(I604*1,0)</f>
        <v>0</v>
      </c>
      <c r="AB604">
        <f>N(AB603)+IF(AND(R604="WON",B604&lt;&gt;""),1,0)</f>
        <v>7</v>
      </c>
      <c r="AC604">
        <f>N(AC603)+IF(AND(OR(R604="offered",R604="to be offered",R604="on hold"),B604&lt;&gt;""),1,0)</f>
        <v>19</v>
      </c>
      <c r="AD604">
        <f>N(AD603)+IF(AND(OR(R604="follow-up",R604="Evaluation",R604="tbd",R604="In evaluation"),B604&lt;&gt;""),1,0)</f>
        <v>9</v>
      </c>
    </row>
    <row r="605" ht="15" customHeight="1">
      <c r="I605" s="215" t="n"/>
      <c r="J605" s="215" t="n"/>
      <c r="K605" s="215" t="n"/>
      <c r="L605" s="215" t="n"/>
      <c r="M605" s="215" t="n"/>
      <c r="N605" s="215" t="str">
        <f>IF(ISNUMBER(I605),ROUND(I605-I605/1.081,2),"")</f>
        <v/>
      </c>
      <c r="O605" s="215" t="str">
        <f>IF(ISNUMBER(I605),I605-SUM(J605:N605),"")</f>
        <v/>
      </c>
      <c r="P605" s="216" t="str">
        <f>IFERROR(IF(AND(ISNUMBER(O605),ISNUMBER(I605),I605&lt;&gt;0),O605/I605,""),"")</f>
        <v/>
      </c>
      <c r="Q605" s="215" t="str">
        <f>IF(AND(ISNUMBER(I605),ISNUMBER(S605)),I605*IF(S605&lt;=1,S605,S605/100),IF(OR(I605&lt;&gt;"",S605&lt;&gt;""),"tbd",""))</f>
        <v/>
      </c>
      <c r="S605" s="217" t="n"/>
      <c r="Z605" t="str">
        <f>IF(AND(R605="WON",ISNUMBER(I605)),AA605,"")</f>
        <v/>
      </c>
      <c r="AA605">
        <f>IFERROR(I605*1,0)</f>
        <v>0</v>
      </c>
      <c r="AB605">
        <f>N(AB604)+IF(AND(R605="WON",B605&lt;&gt;""),1,0)</f>
        <v>7</v>
      </c>
      <c r="AC605">
        <f>N(AC604)+IF(AND(OR(R605="offered",R605="to be offered",R605="on hold"),B605&lt;&gt;""),1,0)</f>
        <v>19</v>
      </c>
      <c r="AD605">
        <f>N(AD604)+IF(AND(OR(R605="follow-up",R605="Evaluation",R605="tbd",R605="In evaluation"),B605&lt;&gt;""),1,0)</f>
        <v>9</v>
      </c>
    </row>
    <row r="606" ht="15" customHeight="1">
      <c r="I606" s="215" t="n"/>
      <c r="J606" s="215" t="n"/>
      <c r="K606" s="215" t="n"/>
      <c r="L606" s="215" t="n"/>
      <c r="M606" s="215" t="n"/>
      <c r="N606" s="215" t="str">
        <f>IF(ISNUMBER(I606),ROUND(I606-I606/1.081,2),"")</f>
        <v/>
      </c>
      <c r="O606" s="215" t="str">
        <f>IF(ISNUMBER(I606),I606-SUM(J606:N606),"")</f>
        <v/>
      </c>
      <c r="P606" s="216" t="str">
        <f>IFERROR(IF(AND(ISNUMBER(O606),ISNUMBER(I606),I606&lt;&gt;0),O606/I606,""),"")</f>
        <v/>
      </c>
      <c r="Q606" s="215" t="str">
        <f>IF(AND(ISNUMBER(I606),ISNUMBER(S606)),I606*IF(S606&lt;=1,S606,S606/100),IF(OR(I606&lt;&gt;"",S606&lt;&gt;""),"tbd",""))</f>
        <v/>
      </c>
      <c r="S606" s="217" t="n"/>
      <c r="Z606" t="str">
        <f>IF(AND(R606="WON",ISNUMBER(I606)),AA606,"")</f>
        <v/>
      </c>
      <c r="AA606">
        <f>IFERROR(I606*1,0)</f>
        <v>0</v>
      </c>
      <c r="AB606">
        <f>N(AB605)+IF(AND(R606="WON",B606&lt;&gt;""),1,0)</f>
        <v>7</v>
      </c>
      <c r="AC606">
        <f>N(AC605)+IF(AND(OR(R606="offered",R606="to be offered",R606="on hold"),B606&lt;&gt;""),1,0)</f>
        <v>19</v>
      </c>
      <c r="AD606">
        <f>N(AD605)+IF(AND(OR(R606="follow-up",R606="Evaluation",R606="tbd",R606="In evaluation"),B606&lt;&gt;""),1,0)</f>
        <v>9</v>
      </c>
    </row>
    <row r="607" ht="15" customHeight="1">
      <c r="I607" s="215" t="n"/>
      <c r="J607" s="215" t="n"/>
      <c r="K607" s="215" t="n"/>
      <c r="L607" s="215" t="n"/>
      <c r="M607" s="215" t="n"/>
      <c r="N607" s="215" t="str">
        <f>IF(ISNUMBER(I607),ROUND(I607-I607/1.081,2),"")</f>
        <v/>
      </c>
      <c r="O607" s="215" t="str">
        <f>IF(ISNUMBER(I607),I607-SUM(J607:N607),"")</f>
        <v/>
      </c>
      <c r="P607" s="216" t="str">
        <f>IFERROR(IF(AND(ISNUMBER(O607),ISNUMBER(I607),I607&lt;&gt;0),O607/I607,""),"")</f>
        <v/>
      </c>
      <c r="Q607" s="215" t="str">
        <f>IF(AND(ISNUMBER(I607),ISNUMBER(S607)),I607*IF(S607&lt;=1,S607,S607/100),IF(OR(I607&lt;&gt;"",S607&lt;&gt;""),"tbd",""))</f>
        <v/>
      </c>
      <c r="S607" s="217" t="n"/>
      <c r="Z607" t="str">
        <f>IF(AND(R607="WON",ISNUMBER(I607)),AA607,"")</f>
        <v/>
      </c>
      <c r="AA607">
        <f>IFERROR(I607*1,0)</f>
        <v>0</v>
      </c>
      <c r="AB607">
        <f>N(AB606)+IF(AND(R607="WON",B607&lt;&gt;""),1,0)</f>
        <v>7</v>
      </c>
      <c r="AC607">
        <f>N(AC606)+IF(AND(OR(R607="offered",R607="to be offered",R607="on hold"),B607&lt;&gt;""),1,0)</f>
        <v>19</v>
      </c>
      <c r="AD607">
        <f>N(AD606)+IF(AND(OR(R607="follow-up",R607="Evaluation",R607="tbd",R607="In evaluation"),B607&lt;&gt;""),1,0)</f>
        <v>9</v>
      </c>
    </row>
    <row r="608" ht="15" customHeight="1">
      <c r="I608" s="215" t="n"/>
      <c r="J608" s="215" t="n"/>
      <c r="K608" s="215" t="n"/>
      <c r="L608" s="215" t="n"/>
      <c r="M608" s="215" t="n"/>
      <c r="N608" s="215" t="str">
        <f>IF(ISNUMBER(I608),ROUND(I608-I608/1.081,2),"")</f>
        <v/>
      </c>
      <c r="O608" s="215" t="str">
        <f>IF(ISNUMBER(I608),I608-SUM(J608:N608),"")</f>
        <v/>
      </c>
      <c r="P608" s="216" t="str">
        <f>IFERROR(IF(AND(ISNUMBER(O608),ISNUMBER(I608),I608&lt;&gt;0),O608/I608,""),"")</f>
        <v/>
      </c>
      <c r="Q608" s="215" t="str">
        <f>IF(AND(ISNUMBER(I608),ISNUMBER(S608)),I608*IF(S608&lt;=1,S608,S608/100),IF(OR(I608&lt;&gt;"",S608&lt;&gt;""),"tbd",""))</f>
        <v/>
      </c>
      <c r="S608" s="217" t="n"/>
      <c r="Z608" t="str">
        <f>IF(AND(R608="WON",ISNUMBER(I608)),AA608,"")</f>
        <v/>
      </c>
      <c r="AA608">
        <f>IFERROR(I608*1,0)</f>
        <v>0</v>
      </c>
      <c r="AB608">
        <f>N(AB607)+IF(AND(R608="WON",B608&lt;&gt;""),1,0)</f>
        <v>7</v>
      </c>
      <c r="AC608">
        <f>N(AC607)+IF(AND(OR(R608="offered",R608="to be offered",R608="on hold"),B608&lt;&gt;""),1,0)</f>
        <v>19</v>
      </c>
      <c r="AD608">
        <f>N(AD607)+IF(AND(OR(R608="follow-up",R608="Evaluation",R608="tbd",R608="In evaluation"),B608&lt;&gt;""),1,0)</f>
        <v>9</v>
      </c>
    </row>
    <row r="609" ht="15" customHeight="1">
      <c r="I609" s="215" t="n"/>
      <c r="J609" s="215" t="n"/>
      <c r="K609" s="215" t="n"/>
      <c r="L609" s="215" t="n"/>
      <c r="M609" s="215" t="n"/>
      <c r="N609" s="215" t="str">
        <f>IF(ISNUMBER(I609),ROUND(I609-I609/1.081,2),"")</f>
        <v/>
      </c>
      <c r="O609" s="215" t="str">
        <f>IF(ISNUMBER(I609),I609-SUM(J609:N609),"")</f>
        <v/>
      </c>
      <c r="P609" s="216" t="str">
        <f>IFERROR(IF(AND(ISNUMBER(O609),ISNUMBER(I609),I609&lt;&gt;0),O609/I609,""),"")</f>
        <v/>
      </c>
      <c r="Q609" s="215" t="str">
        <f>IF(AND(ISNUMBER(I609),ISNUMBER(S609)),I609*IF(S609&lt;=1,S609,S609/100),IF(OR(I609&lt;&gt;"",S609&lt;&gt;""),"tbd",""))</f>
        <v/>
      </c>
      <c r="S609" s="217" t="n"/>
      <c r="Z609" t="str">
        <f>IF(AND(R609="WON",ISNUMBER(I609)),AA609,"")</f>
        <v/>
      </c>
      <c r="AA609">
        <f>IFERROR(I609*1,0)</f>
        <v>0</v>
      </c>
      <c r="AB609">
        <f>N(AB608)+IF(AND(R609="WON",B609&lt;&gt;""),1,0)</f>
        <v>7</v>
      </c>
      <c r="AC609">
        <f>N(AC608)+IF(AND(OR(R609="offered",R609="to be offered",R609="on hold"),B609&lt;&gt;""),1,0)</f>
        <v>19</v>
      </c>
      <c r="AD609">
        <f>N(AD608)+IF(AND(OR(R609="follow-up",R609="Evaluation",R609="tbd",R609="In evaluation"),B609&lt;&gt;""),1,0)</f>
        <v>9</v>
      </c>
    </row>
    <row r="610" ht="15" customHeight="1">
      <c r="I610" s="215" t="n"/>
      <c r="J610" s="215" t="n"/>
      <c r="K610" s="215" t="n"/>
      <c r="L610" s="215" t="n"/>
      <c r="M610" s="215" t="n"/>
      <c r="N610" s="215" t="str">
        <f>IF(ISNUMBER(I610),ROUND(I610-I610/1.081,2),"")</f>
        <v/>
      </c>
      <c r="O610" s="215" t="str">
        <f>IF(ISNUMBER(I610),I610-SUM(J610:N610),"")</f>
        <v/>
      </c>
      <c r="P610" s="216" t="str">
        <f>IFERROR(IF(AND(ISNUMBER(O610),ISNUMBER(I610),I610&lt;&gt;0),O610/I610,""),"")</f>
        <v/>
      </c>
      <c r="Q610" s="215" t="str">
        <f>IF(AND(ISNUMBER(I610),ISNUMBER(S610)),I610*IF(S610&lt;=1,S610,S610/100),IF(OR(I610&lt;&gt;"",S610&lt;&gt;""),"tbd",""))</f>
        <v/>
      </c>
      <c r="S610" s="217" t="n"/>
      <c r="Z610" t="str">
        <f>IF(AND(R610="WON",ISNUMBER(I610)),AA610,"")</f>
        <v/>
      </c>
      <c r="AA610">
        <f>IFERROR(I610*1,0)</f>
        <v>0</v>
      </c>
      <c r="AB610">
        <f>N(AB609)+IF(AND(R610="WON",B610&lt;&gt;""),1,0)</f>
        <v>7</v>
      </c>
      <c r="AC610">
        <f>N(AC609)+IF(AND(OR(R610="offered",R610="to be offered",R610="on hold"),B610&lt;&gt;""),1,0)</f>
        <v>19</v>
      </c>
      <c r="AD610">
        <f>N(AD609)+IF(AND(OR(R610="follow-up",R610="Evaluation",R610="tbd",R610="In evaluation"),B610&lt;&gt;""),1,0)</f>
        <v>9</v>
      </c>
    </row>
    <row r="611" ht="15" customHeight="1">
      <c r="I611" s="215" t="n"/>
      <c r="J611" s="215" t="n"/>
      <c r="K611" s="215" t="n"/>
      <c r="L611" s="215" t="n"/>
      <c r="M611" s="215" t="n"/>
      <c r="N611" s="215" t="str">
        <f>IF(ISNUMBER(I611),ROUND(I611-I611/1.081,2),"")</f>
        <v/>
      </c>
      <c r="O611" s="215" t="str">
        <f>IF(ISNUMBER(I611),I611-SUM(J611:N611),"")</f>
        <v/>
      </c>
      <c r="P611" s="216" t="str">
        <f>IFERROR(IF(AND(ISNUMBER(O611),ISNUMBER(I611),I611&lt;&gt;0),O611/I611,""),"")</f>
        <v/>
      </c>
      <c r="Q611" s="215" t="str">
        <f>IF(AND(ISNUMBER(I611),ISNUMBER(S611)),I611*IF(S611&lt;=1,S611,S611/100),IF(OR(I611&lt;&gt;"",S611&lt;&gt;""),"tbd",""))</f>
        <v/>
      </c>
      <c r="S611" s="217" t="n"/>
      <c r="Z611" t="str">
        <f>IF(AND(R611="WON",ISNUMBER(I611)),AA611,"")</f>
        <v/>
      </c>
      <c r="AA611">
        <f>IFERROR(I611*1,0)</f>
        <v>0</v>
      </c>
      <c r="AB611">
        <f>N(AB610)+IF(AND(R611="WON",B611&lt;&gt;""),1,0)</f>
        <v>7</v>
      </c>
      <c r="AC611">
        <f>N(AC610)+IF(AND(OR(R611="offered",R611="to be offered",R611="on hold"),B611&lt;&gt;""),1,0)</f>
        <v>19</v>
      </c>
      <c r="AD611">
        <f>N(AD610)+IF(AND(OR(R611="follow-up",R611="Evaluation",R611="tbd",R611="In evaluation"),B611&lt;&gt;""),1,0)</f>
        <v>9</v>
      </c>
    </row>
    <row r="612" ht="15" customHeight="1">
      <c r="I612" s="215" t="n"/>
      <c r="J612" s="215" t="n"/>
      <c r="K612" s="215" t="n"/>
      <c r="L612" s="215" t="n"/>
      <c r="M612" s="215" t="n"/>
      <c r="N612" s="215" t="str">
        <f>IF(ISNUMBER(I612),ROUND(I612-I612/1.081,2),"")</f>
        <v/>
      </c>
      <c r="O612" s="215" t="str">
        <f>IF(ISNUMBER(I612),I612-SUM(J612:N612),"")</f>
        <v/>
      </c>
      <c r="P612" s="216" t="str">
        <f>IFERROR(IF(AND(ISNUMBER(O612),ISNUMBER(I612),I612&lt;&gt;0),O612/I612,""),"")</f>
        <v/>
      </c>
      <c r="Q612" s="215" t="str">
        <f>IF(AND(ISNUMBER(I612),ISNUMBER(S612)),I612*IF(S612&lt;=1,S612,S612/100),IF(OR(I612&lt;&gt;"",S612&lt;&gt;""),"tbd",""))</f>
        <v/>
      </c>
      <c r="S612" s="217" t="n"/>
      <c r="Z612" t="str">
        <f>IF(AND(R612="WON",ISNUMBER(I612)),AA612,"")</f>
        <v/>
      </c>
      <c r="AA612">
        <f>IFERROR(I612*1,0)</f>
        <v>0</v>
      </c>
      <c r="AB612">
        <f>N(AB611)+IF(AND(R612="WON",B612&lt;&gt;""),1,0)</f>
        <v>7</v>
      </c>
      <c r="AC612">
        <f>N(AC611)+IF(AND(OR(R612="offered",R612="to be offered",R612="on hold"),B612&lt;&gt;""),1,0)</f>
        <v>19</v>
      </c>
      <c r="AD612">
        <f>N(AD611)+IF(AND(OR(R612="follow-up",R612="Evaluation",R612="tbd",R612="In evaluation"),B612&lt;&gt;""),1,0)</f>
        <v>9</v>
      </c>
    </row>
    <row r="613" ht="15" customHeight="1">
      <c r="I613" s="215" t="n"/>
      <c r="J613" s="215" t="n"/>
      <c r="K613" s="215" t="n"/>
      <c r="L613" s="215" t="n"/>
      <c r="M613" s="215" t="n"/>
      <c r="N613" s="215" t="str">
        <f>IF(ISNUMBER(I613),ROUND(I613-I613/1.081,2),"")</f>
        <v/>
      </c>
      <c r="O613" s="215" t="str">
        <f>IF(ISNUMBER(I613),I613-SUM(J613:N613),"")</f>
        <v/>
      </c>
      <c r="P613" s="216" t="str">
        <f>IFERROR(IF(AND(ISNUMBER(O613),ISNUMBER(I613),I613&lt;&gt;0),O613/I613,""),"")</f>
        <v/>
      </c>
      <c r="Q613" s="215" t="str">
        <f>IF(AND(ISNUMBER(I613),ISNUMBER(S613)),I613*IF(S613&lt;=1,S613,S613/100),IF(OR(I613&lt;&gt;"",S613&lt;&gt;""),"tbd",""))</f>
        <v/>
      </c>
      <c r="S613" s="217" t="n"/>
      <c r="Z613" t="str">
        <f>IF(AND(R613="WON",ISNUMBER(I613)),AA613,"")</f>
        <v/>
      </c>
      <c r="AA613">
        <f>IFERROR(I613*1,0)</f>
        <v>0</v>
      </c>
      <c r="AB613">
        <f>N(AB612)+IF(AND(R613="WON",B613&lt;&gt;""),1,0)</f>
        <v>7</v>
      </c>
      <c r="AC613">
        <f>N(AC612)+IF(AND(OR(R613="offered",R613="to be offered",R613="on hold"),B613&lt;&gt;""),1,0)</f>
        <v>19</v>
      </c>
      <c r="AD613">
        <f>N(AD612)+IF(AND(OR(R613="follow-up",R613="Evaluation",R613="tbd",R613="In evaluation"),B613&lt;&gt;""),1,0)</f>
        <v>9</v>
      </c>
    </row>
    <row r="614" ht="15" customHeight="1">
      <c r="I614" s="215" t="n"/>
      <c r="J614" s="215" t="n"/>
      <c r="K614" s="215" t="n"/>
      <c r="L614" s="215" t="n"/>
      <c r="M614" s="215" t="n"/>
      <c r="N614" s="215" t="str">
        <f>IF(ISNUMBER(I614),ROUND(I614-I614/1.081,2),"")</f>
        <v/>
      </c>
      <c r="O614" s="215" t="str">
        <f>IF(ISNUMBER(I614),I614-SUM(J614:N614),"")</f>
        <v/>
      </c>
      <c r="P614" s="216" t="str">
        <f>IFERROR(IF(AND(ISNUMBER(O614),ISNUMBER(I614),I614&lt;&gt;0),O614/I614,""),"")</f>
        <v/>
      </c>
      <c r="Q614" s="215" t="str">
        <f>IF(AND(ISNUMBER(I614),ISNUMBER(S614)),I614*IF(S614&lt;=1,S614,S614/100),IF(OR(I614&lt;&gt;"",S614&lt;&gt;""),"tbd",""))</f>
        <v/>
      </c>
      <c r="S614" s="217" t="n"/>
      <c r="Z614" t="str">
        <f>IF(AND(R614="WON",ISNUMBER(I614)),AA614,"")</f>
        <v/>
      </c>
      <c r="AA614">
        <f>IFERROR(I614*1,0)</f>
        <v>0</v>
      </c>
      <c r="AB614">
        <f>N(AB613)+IF(AND(R614="WON",B614&lt;&gt;""),1,0)</f>
        <v>7</v>
      </c>
      <c r="AC614">
        <f>N(AC613)+IF(AND(OR(R614="offered",R614="to be offered",R614="on hold"),B614&lt;&gt;""),1,0)</f>
        <v>19</v>
      </c>
      <c r="AD614">
        <f>N(AD613)+IF(AND(OR(R614="follow-up",R614="Evaluation",R614="tbd",R614="In evaluation"),B614&lt;&gt;""),1,0)</f>
        <v>9</v>
      </c>
    </row>
    <row r="615" ht="15" customHeight="1">
      <c r="I615" s="215" t="n"/>
      <c r="J615" s="215" t="n"/>
      <c r="K615" s="215" t="n"/>
      <c r="L615" s="215" t="n"/>
      <c r="M615" s="215" t="n"/>
      <c r="N615" s="215" t="str">
        <f>IF(ISNUMBER(I615),ROUND(I615-I615/1.081,2),"")</f>
        <v/>
      </c>
      <c r="O615" s="215" t="str">
        <f>IF(ISNUMBER(I615),I615-SUM(J615:N615),"")</f>
        <v/>
      </c>
      <c r="P615" s="216" t="str">
        <f>IFERROR(IF(AND(ISNUMBER(O615),ISNUMBER(I615),I615&lt;&gt;0),O615/I615,""),"")</f>
        <v/>
      </c>
      <c r="Q615" s="215" t="str">
        <f>IF(AND(ISNUMBER(I615),ISNUMBER(S615)),I615*IF(S615&lt;=1,S615,S615/100),IF(OR(I615&lt;&gt;"",S615&lt;&gt;""),"tbd",""))</f>
        <v/>
      </c>
      <c r="S615" s="217" t="n"/>
      <c r="Z615" t="str">
        <f>IF(AND(R615="WON",ISNUMBER(I615)),AA615,"")</f>
        <v/>
      </c>
      <c r="AA615">
        <f>IFERROR(I615*1,0)</f>
        <v>0</v>
      </c>
      <c r="AB615">
        <f>N(AB614)+IF(AND(R615="WON",B615&lt;&gt;""),1,0)</f>
        <v>7</v>
      </c>
      <c r="AC615">
        <f>N(AC614)+IF(AND(OR(R615="offered",R615="to be offered",R615="on hold"),B615&lt;&gt;""),1,0)</f>
        <v>19</v>
      </c>
      <c r="AD615">
        <f>N(AD614)+IF(AND(OR(R615="follow-up",R615="Evaluation",R615="tbd",R615="In evaluation"),B615&lt;&gt;""),1,0)</f>
        <v>9</v>
      </c>
    </row>
    <row r="616" ht="15" customHeight="1">
      <c r="I616" s="215" t="n"/>
      <c r="J616" s="215" t="n"/>
      <c r="K616" s="215" t="n"/>
      <c r="L616" s="215" t="n"/>
      <c r="M616" s="215" t="n"/>
      <c r="N616" s="215" t="str">
        <f>IF(ISNUMBER(I616),ROUND(I616-I616/1.081,2),"")</f>
        <v/>
      </c>
      <c r="O616" s="215" t="str">
        <f>IF(ISNUMBER(I616),I616-SUM(J616:N616),"")</f>
        <v/>
      </c>
      <c r="P616" s="216" t="str">
        <f>IFERROR(IF(AND(ISNUMBER(O616),ISNUMBER(I616),I616&lt;&gt;0),O616/I616,""),"")</f>
        <v/>
      </c>
      <c r="Q616" s="215" t="str">
        <f>IF(AND(ISNUMBER(I616),ISNUMBER(S616)),I616*IF(S616&lt;=1,S616,S616/100),IF(OR(I616&lt;&gt;"",S616&lt;&gt;""),"tbd",""))</f>
        <v/>
      </c>
      <c r="S616" s="217" t="n"/>
      <c r="Z616" t="str">
        <f>IF(AND(R616="WON",ISNUMBER(I616)),AA616,"")</f>
        <v/>
      </c>
      <c r="AA616">
        <f>IFERROR(I616*1,0)</f>
        <v>0</v>
      </c>
      <c r="AB616">
        <f>N(AB615)+IF(AND(R616="WON",B616&lt;&gt;""),1,0)</f>
        <v>7</v>
      </c>
      <c r="AC616">
        <f>N(AC615)+IF(AND(OR(R616="offered",R616="to be offered",R616="on hold"),B616&lt;&gt;""),1,0)</f>
        <v>19</v>
      </c>
      <c r="AD616">
        <f>N(AD615)+IF(AND(OR(R616="follow-up",R616="Evaluation",R616="tbd",R616="In evaluation"),B616&lt;&gt;""),1,0)</f>
        <v>9</v>
      </c>
    </row>
    <row r="617" ht="15" customHeight="1">
      <c r="I617" s="215" t="n"/>
      <c r="J617" s="215" t="n"/>
      <c r="K617" s="215" t="n"/>
      <c r="L617" s="215" t="n"/>
      <c r="M617" s="215" t="n"/>
      <c r="N617" s="215" t="str">
        <f>IF(ISNUMBER(I617),ROUND(I617-I617/1.081,2),"")</f>
        <v/>
      </c>
      <c r="O617" s="215" t="str">
        <f>IF(ISNUMBER(I617),I617-SUM(J617:N617),"")</f>
        <v/>
      </c>
      <c r="P617" s="216" t="str">
        <f>IFERROR(IF(AND(ISNUMBER(O617),ISNUMBER(I617),I617&lt;&gt;0),O617/I617,""),"")</f>
        <v/>
      </c>
      <c r="Q617" s="215" t="str">
        <f>IF(AND(ISNUMBER(I617),ISNUMBER(S617)),I617*IF(S617&lt;=1,S617,S617/100),IF(OR(I617&lt;&gt;"",S617&lt;&gt;""),"tbd",""))</f>
        <v/>
      </c>
      <c r="S617" s="217" t="n"/>
      <c r="Z617" t="str">
        <f>IF(AND(R617="WON",ISNUMBER(I617)),AA617,"")</f>
        <v/>
      </c>
      <c r="AA617">
        <f>IFERROR(I617*1,0)</f>
        <v>0</v>
      </c>
      <c r="AB617">
        <f>N(AB616)+IF(AND(R617="WON",B617&lt;&gt;""),1,0)</f>
        <v>7</v>
      </c>
      <c r="AC617">
        <f>N(AC616)+IF(AND(OR(R617="offered",R617="to be offered",R617="on hold"),B617&lt;&gt;""),1,0)</f>
        <v>19</v>
      </c>
      <c r="AD617">
        <f>N(AD616)+IF(AND(OR(R617="follow-up",R617="Evaluation",R617="tbd",R617="In evaluation"),B617&lt;&gt;""),1,0)</f>
        <v>9</v>
      </c>
    </row>
    <row r="618" ht="15" customHeight="1">
      <c r="I618" s="215" t="n"/>
      <c r="J618" s="215" t="n"/>
      <c r="K618" s="215" t="n"/>
      <c r="L618" s="215" t="n"/>
      <c r="M618" s="215" t="n"/>
      <c r="N618" s="215" t="str">
        <f>IF(ISNUMBER(I618),ROUND(I618-I618/1.081,2),"")</f>
        <v/>
      </c>
      <c r="O618" s="215" t="str">
        <f>IF(ISNUMBER(I618),I618-SUM(J618:N618),"")</f>
        <v/>
      </c>
      <c r="P618" s="216" t="str">
        <f>IFERROR(IF(AND(ISNUMBER(O618),ISNUMBER(I618),I618&lt;&gt;0),O618/I618,""),"")</f>
        <v/>
      </c>
      <c r="Q618" s="215" t="str">
        <f>IF(AND(ISNUMBER(I618),ISNUMBER(S618)),I618*IF(S618&lt;=1,S618,S618/100),IF(OR(I618&lt;&gt;"",S618&lt;&gt;""),"tbd",""))</f>
        <v/>
      </c>
      <c r="S618" s="217" t="n"/>
      <c r="Z618" t="str">
        <f>IF(AND(R618="WON",ISNUMBER(I618)),AA618,"")</f>
        <v/>
      </c>
      <c r="AA618">
        <f>IFERROR(I618*1,0)</f>
        <v>0</v>
      </c>
      <c r="AB618">
        <f>N(AB617)+IF(AND(R618="WON",B618&lt;&gt;""),1,0)</f>
        <v>7</v>
      </c>
      <c r="AC618">
        <f>N(AC617)+IF(AND(OR(R618="offered",R618="to be offered",R618="on hold"),B618&lt;&gt;""),1,0)</f>
        <v>19</v>
      </c>
      <c r="AD618">
        <f>N(AD617)+IF(AND(OR(R618="follow-up",R618="Evaluation",R618="tbd",R618="In evaluation"),B618&lt;&gt;""),1,0)</f>
        <v>9</v>
      </c>
    </row>
    <row r="619" ht="15" customHeight="1">
      <c r="I619" s="215" t="n"/>
      <c r="J619" s="215" t="n"/>
      <c r="K619" s="215" t="n"/>
      <c r="L619" s="215" t="n"/>
      <c r="M619" s="215" t="n"/>
      <c r="N619" s="215" t="str">
        <f>IF(ISNUMBER(I619),ROUND(I619-I619/1.081,2),"")</f>
        <v/>
      </c>
      <c r="O619" s="215" t="str">
        <f>IF(ISNUMBER(I619),I619-SUM(J619:N619),"")</f>
        <v/>
      </c>
      <c r="P619" s="216" t="str">
        <f>IFERROR(IF(AND(ISNUMBER(O619),ISNUMBER(I619),I619&lt;&gt;0),O619/I619,""),"")</f>
        <v/>
      </c>
      <c r="Q619" s="215" t="str">
        <f>IF(AND(ISNUMBER(I619),ISNUMBER(S619)),I619*IF(S619&lt;=1,S619,S619/100),IF(OR(I619&lt;&gt;"",S619&lt;&gt;""),"tbd",""))</f>
        <v/>
      </c>
      <c r="S619" s="217" t="n"/>
      <c r="Z619" t="str">
        <f>IF(AND(R619="WON",ISNUMBER(I619)),AA619,"")</f>
        <v/>
      </c>
      <c r="AA619">
        <f>IFERROR(I619*1,0)</f>
        <v>0</v>
      </c>
      <c r="AB619">
        <f>N(AB618)+IF(AND(R619="WON",B619&lt;&gt;""),1,0)</f>
        <v>7</v>
      </c>
      <c r="AC619">
        <f>N(AC618)+IF(AND(OR(R619="offered",R619="to be offered",R619="on hold"),B619&lt;&gt;""),1,0)</f>
        <v>19</v>
      </c>
      <c r="AD619">
        <f>N(AD618)+IF(AND(OR(R619="follow-up",R619="Evaluation",R619="tbd",R619="In evaluation"),B619&lt;&gt;""),1,0)</f>
        <v>9</v>
      </c>
    </row>
    <row r="620" ht="15" customHeight="1">
      <c r="I620" s="215" t="n"/>
      <c r="J620" s="215" t="n"/>
      <c r="K620" s="215" t="n"/>
      <c r="L620" s="215" t="n"/>
      <c r="M620" s="215" t="n"/>
      <c r="N620" s="215" t="str">
        <f>IF(ISNUMBER(I620),ROUND(I620-I620/1.081,2),"")</f>
        <v/>
      </c>
      <c r="O620" s="215" t="str">
        <f>IF(ISNUMBER(I620),I620-SUM(J620:N620),"")</f>
        <v/>
      </c>
      <c r="P620" s="216" t="str">
        <f>IFERROR(IF(AND(ISNUMBER(O620),ISNUMBER(I620),I620&lt;&gt;0),O620/I620,""),"")</f>
        <v/>
      </c>
      <c r="Q620" s="215" t="str">
        <f>IF(AND(ISNUMBER(I620),ISNUMBER(S620)),I620*IF(S620&lt;=1,S620,S620/100),IF(OR(I620&lt;&gt;"",S620&lt;&gt;""),"tbd",""))</f>
        <v/>
      </c>
      <c r="S620" s="217" t="n"/>
      <c r="Z620" t="str">
        <f>IF(AND(R620="WON",ISNUMBER(I620)),AA620,"")</f>
        <v/>
      </c>
      <c r="AA620">
        <f>IFERROR(I620*1,0)</f>
        <v>0</v>
      </c>
      <c r="AB620">
        <f>N(AB619)+IF(AND(R620="WON",B620&lt;&gt;""),1,0)</f>
        <v>7</v>
      </c>
      <c r="AC620">
        <f>N(AC619)+IF(AND(OR(R620="offered",R620="to be offered",R620="on hold"),B620&lt;&gt;""),1,0)</f>
        <v>19</v>
      </c>
      <c r="AD620">
        <f>N(AD619)+IF(AND(OR(R620="follow-up",R620="Evaluation",R620="tbd",R620="In evaluation"),B620&lt;&gt;""),1,0)</f>
        <v>9</v>
      </c>
    </row>
    <row r="621" ht="15" customHeight="1">
      <c r="I621" s="215" t="n"/>
      <c r="J621" s="215" t="n"/>
      <c r="K621" s="215" t="n"/>
      <c r="L621" s="215" t="n"/>
      <c r="M621" s="215" t="n"/>
      <c r="N621" s="215" t="str">
        <f>IF(ISNUMBER(I621),ROUND(I621-I621/1.081,2),"")</f>
        <v/>
      </c>
      <c r="O621" s="215" t="str">
        <f>IF(ISNUMBER(I621),I621-SUM(J621:N621),"")</f>
        <v/>
      </c>
      <c r="P621" s="216" t="str">
        <f>IFERROR(IF(AND(ISNUMBER(O621),ISNUMBER(I621),I621&lt;&gt;0),O621/I621,""),"")</f>
        <v/>
      </c>
      <c r="Q621" s="215" t="str">
        <f>IF(AND(ISNUMBER(I621),ISNUMBER(S621)),I621*IF(S621&lt;=1,S621,S621/100),IF(OR(I621&lt;&gt;"",S621&lt;&gt;""),"tbd",""))</f>
        <v/>
      </c>
      <c r="S621" s="217" t="n"/>
      <c r="Z621" t="str">
        <f>IF(AND(R621="WON",ISNUMBER(I621)),AA621,"")</f>
        <v/>
      </c>
      <c r="AA621">
        <f>IFERROR(I621*1,0)</f>
        <v>0</v>
      </c>
      <c r="AB621">
        <f>N(AB620)+IF(AND(R621="WON",B621&lt;&gt;""),1,0)</f>
        <v>7</v>
      </c>
      <c r="AC621">
        <f>N(AC620)+IF(AND(OR(R621="offered",R621="to be offered",R621="on hold"),B621&lt;&gt;""),1,0)</f>
        <v>19</v>
      </c>
      <c r="AD621">
        <f>N(AD620)+IF(AND(OR(R621="follow-up",R621="Evaluation",R621="tbd",R621="In evaluation"),B621&lt;&gt;""),1,0)</f>
        <v>9</v>
      </c>
    </row>
    <row r="622" ht="15" customHeight="1">
      <c r="I622" s="215" t="n"/>
      <c r="J622" s="215" t="n"/>
      <c r="K622" s="215" t="n"/>
      <c r="L622" s="215" t="n"/>
      <c r="M622" s="215" t="n"/>
      <c r="N622" s="215" t="str">
        <f>IF(ISNUMBER(I622),ROUND(I622-I622/1.081,2),"")</f>
        <v/>
      </c>
      <c r="O622" s="215" t="str">
        <f>IF(ISNUMBER(I622),I622-SUM(J622:N622),"")</f>
        <v/>
      </c>
      <c r="P622" s="216" t="str">
        <f>IFERROR(IF(AND(ISNUMBER(O622),ISNUMBER(I622),I622&lt;&gt;0),O622/I622,""),"")</f>
        <v/>
      </c>
      <c r="Q622" s="215" t="str">
        <f>IF(AND(ISNUMBER(I622),ISNUMBER(S622)),I622*IF(S622&lt;=1,S622,S622/100),IF(OR(I622&lt;&gt;"",S622&lt;&gt;""),"tbd",""))</f>
        <v/>
      </c>
      <c r="S622" s="217" t="n"/>
      <c r="Z622" t="str">
        <f>IF(AND(R622="WON",ISNUMBER(I622)),AA622,"")</f>
        <v/>
      </c>
      <c r="AA622">
        <f>IFERROR(I622*1,0)</f>
        <v>0</v>
      </c>
      <c r="AB622">
        <f>N(AB621)+IF(AND(R622="WON",B622&lt;&gt;""),1,0)</f>
        <v>7</v>
      </c>
      <c r="AC622">
        <f>N(AC621)+IF(AND(OR(R622="offered",R622="to be offered",R622="on hold"),B622&lt;&gt;""),1,0)</f>
        <v>19</v>
      </c>
      <c r="AD622">
        <f>N(AD621)+IF(AND(OR(R622="follow-up",R622="Evaluation",R622="tbd",R622="In evaluation"),B622&lt;&gt;""),1,0)</f>
        <v>9</v>
      </c>
    </row>
    <row r="623" ht="15" customHeight="1">
      <c r="I623" s="215" t="n"/>
      <c r="J623" s="215" t="n"/>
      <c r="K623" s="215" t="n"/>
      <c r="L623" s="215" t="n"/>
      <c r="M623" s="215" t="n"/>
      <c r="N623" s="215" t="str">
        <f>IF(ISNUMBER(I623),ROUND(I623-I623/1.081,2),"")</f>
        <v/>
      </c>
      <c r="O623" s="215" t="str">
        <f>IF(ISNUMBER(I623),I623-SUM(J623:N623),"")</f>
        <v/>
      </c>
      <c r="P623" s="216" t="str">
        <f>IFERROR(IF(AND(ISNUMBER(O623),ISNUMBER(I623),I623&lt;&gt;0),O623/I623,""),"")</f>
        <v/>
      </c>
      <c r="Q623" s="215" t="str">
        <f>IF(AND(ISNUMBER(I623),ISNUMBER(S623)),I623*IF(S623&lt;=1,S623,S623/100),IF(OR(I623&lt;&gt;"",S623&lt;&gt;""),"tbd",""))</f>
        <v/>
      </c>
      <c r="S623" s="217" t="n"/>
      <c r="Z623" t="str">
        <f>IF(AND(R623="WON",ISNUMBER(I623)),AA623,"")</f>
        <v/>
      </c>
      <c r="AA623">
        <f>IFERROR(I623*1,0)</f>
        <v>0</v>
      </c>
      <c r="AB623">
        <f>N(AB622)+IF(AND(R623="WON",B623&lt;&gt;""),1,0)</f>
        <v>7</v>
      </c>
      <c r="AC623">
        <f>N(AC622)+IF(AND(OR(R623="offered",R623="to be offered",R623="on hold"),B623&lt;&gt;""),1,0)</f>
        <v>19</v>
      </c>
      <c r="AD623">
        <f>N(AD622)+IF(AND(OR(R623="follow-up",R623="Evaluation",R623="tbd",R623="In evaluation"),B623&lt;&gt;""),1,0)</f>
        <v>9</v>
      </c>
    </row>
    <row r="624" ht="15" customHeight="1">
      <c r="I624" s="215" t="n"/>
      <c r="J624" s="215" t="n"/>
      <c r="K624" s="215" t="n"/>
      <c r="L624" s="215" t="n"/>
      <c r="M624" s="215" t="n"/>
      <c r="N624" s="215" t="str">
        <f>IF(ISNUMBER(I624),ROUND(I624-I624/1.081,2),"")</f>
        <v/>
      </c>
      <c r="O624" s="215" t="str">
        <f>IF(ISNUMBER(I624),I624-SUM(J624:N624),"")</f>
        <v/>
      </c>
      <c r="P624" s="216" t="str">
        <f>IFERROR(IF(AND(ISNUMBER(O624),ISNUMBER(I624),I624&lt;&gt;0),O624/I624,""),"")</f>
        <v/>
      </c>
      <c r="Q624" s="215" t="str">
        <f>IF(AND(ISNUMBER(I624),ISNUMBER(S624)),I624*IF(S624&lt;=1,S624,S624/100),IF(OR(I624&lt;&gt;"",S624&lt;&gt;""),"tbd",""))</f>
        <v/>
      </c>
      <c r="S624" s="217" t="n"/>
      <c r="Z624" t="str">
        <f>IF(AND(R624="WON",ISNUMBER(I624)),AA624,"")</f>
        <v/>
      </c>
      <c r="AA624">
        <f>IFERROR(I624*1,0)</f>
        <v>0</v>
      </c>
      <c r="AB624">
        <f>N(AB623)+IF(AND(R624="WON",B624&lt;&gt;""),1,0)</f>
        <v>7</v>
      </c>
      <c r="AC624">
        <f>N(AC623)+IF(AND(OR(R624="offered",R624="to be offered",R624="on hold"),B624&lt;&gt;""),1,0)</f>
        <v>19</v>
      </c>
      <c r="AD624">
        <f>N(AD623)+IF(AND(OR(R624="follow-up",R624="Evaluation",R624="tbd",R624="In evaluation"),B624&lt;&gt;""),1,0)</f>
        <v>9</v>
      </c>
    </row>
    <row r="625" ht="15" customHeight="1">
      <c r="I625" s="215" t="n"/>
      <c r="J625" s="215" t="n"/>
      <c r="K625" s="215" t="n"/>
      <c r="L625" s="215" t="n"/>
      <c r="M625" s="215" t="n"/>
      <c r="N625" s="215" t="str">
        <f>IF(ISNUMBER(I625),ROUND(I625-I625/1.081,2),"")</f>
        <v/>
      </c>
      <c r="O625" s="215" t="str">
        <f>IF(ISNUMBER(I625),I625-SUM(J625:N625),"")</f>
        <v/>
      </c>
      <c r="P625" s="216" t="str">
        <f>IFERROR(IF(AND(ISNUMBER(O625),ISNUMBER(I625),I625&lt;&gt;0),O625/I625,""),"")</f>
        <v/>
      </c>
      <c r="Q625" s="215" t="str">
        <f>IF(AND(ISNUMBER(I625),ISNUMBER(S625)),I625*IF(S625&lt;=1,S625,S625/100),IF(OR(I625&lt;&gt;"",S625&lt;&gt;""),"tbd",""))</f>
        <v/>
      </c>
      <c r="S625" s="217" t="n"/>
      <c r="Z625" t="str">
        <f>IF(AND(R625="WON",ISNUMBER(I625)),AA625,"")</f>
        <v/>
      </c>
      <c r="AA625">
        <f>IFERROR(I625*1,0)</f>
        <v>0</v>
      </c>
      <c r="AB625">
        <f>N(AB624)+IF(AND(R625="WON",B625&lt;&gt;""),1,0)</f>
        <v>7</v>
      </c>
      <c r="AC625">
        <f>N(AC624)+IF(AND(OR(R625="offered",R625="to be offered",R625="on hold"),B625&lt;&gt;""),1,0)</f>
        <v>19</v>
      </c>
      <c r="AD625">
        <f>N(AD624)+IF(AND(OR(R625="follow-up",R625="Evaluation",R625="tbd",R625="In evaluation"),B625&lt;&gt;""),1,0)</f>
        <v>9</v>
      </c>
    </row>
    <row r="626" ht="15" customHeight="1">
      <c r="I626" s="215" t="n"/>
      <c r="J626" s="215" t="n"/>
      <c r="K626" s="215" t="n"/>
      <c r="L626" s="215" t="n"/>
      <c r="M626" s="215" t="n"/>
      <c r="N626" s="215" t="str">
        <f>IF(ISNUMBER(I626),ROUND(I626-I626/1.081,2),"")</f>
        <v/>
      </c>
      <c r="O626" s="215" t="str">
        <f>IF(ISNUMBER(I626),I626-SUM(J626:N626),"")</f>
        <v/>
      </c>
      <c r="P626" s="216" t="str">
        <f>IFERROR(IF(AND(ISNUMBER(O626),ISNUMBER(I626),I626&lt;&gt;0),O626/I626,""),"")</f>
        <v/>
      </c>
      <c r="Q626" s="215" t="str">
        <f>IF(AND(ISNUMBER(I626),ISNUMBER(S626)),I626*IF(S626&lt;=1,S626,S626/100),IF(OR(I626&lt;&gt;"",S626&lt;&gt;""),"tbd",""))</f>
        <v/>
      </c>
      <c r="S626" s="217" t="n"/>
      <c r="Z626" t="str">
        <f>IF(AND(R626="WON",ISNUMBER(I626)),AA626,"")</f>
        <v/>
      </c>
      <c r="AA626">
        <f>IFERROR(I626*1,0)</f>
        <v>0</v>
      </c>
      <c r="AB626">
        <f>N(AB625)+IF(AND(R626="WON",B626&lt;&gt;""),1,0)</f>
        <v>7</v>
      </c>
      <c r="AC626">
        <f>N(AC625)+IF(AND(OR(R626="offered",R626="to be offered",R626="on hold"),B626&lt;&gt;""),1,0)</f>
        <v>19</v>
      </c>
      <c r="AD626">
        <f>N(AD625)+IF(AND(OR(R626="follow-up",R626="Evaluation",R626="tbd",R626="In evaluation"),B626&lt;&gt;""),1,0)</f>
        <v>9</v>
      </c>
    </row>
    <row r="627" ht="15" customHeight="1">
      <c r="I627" s="215" t="n"/>
      <c r="J627" s="215" t="n"/>
      <c r="K627" s="215" t="n"/>
      <c r="L627" s="215" t="n"/>
      <c r="M627" s="215" t="n"/>
      <c r="N627" s="215" t="str">
        <f>IF(ISNUMBER(I627),ROUND(I627-I627/1.081,2),"")</f>
        <v/>
      </c>
      <c r="O627" s="215" t="str">
        <f>IF(ISNUMBER(I627),I627-SUM(J627:N627),"")</f>
        <v/>
      </c>
      <c r="P627" s="216" t="str">
        <f>IFERROR(IF(AND(ISNUMBER(O627),ISNUMBER(I627),I627&lt;&gt;0),O627/I627,""),"")</f>
        <v/>
      </c>
      <c r="Q627" s="215" t="str">
        <f>IF(AND(ISNUMBER(I627),ISNUMBER(S627)),I627*IF(S627&lt;=1,S627,S627/100),IF(OR(I627&lt;&gt;"",S627&lt;&gt;""),"tbd",""))</f>
        <v/>
      </c>
      <c r="S627" s="217" t="n"/>
      <c r="Z627" t="str">
        <f>IF(AND(R627="WON",ISNUMBER(I627)),AA627,"")</f>
        <v/>
      </c>
      <c r="AA627">
        <f>IFERROR(I627*1,0)</f>
        <v>0</v>
      </c>
      <c r="AB627">
        <f>N(AB626)+IF(AND(R627="WON",B627&lt;&gt;""),1,0)</f>
        <v>7</v>
      </c>
      <c r="AC627">
        <f>N(AC626)+IF(AND(OR(R627="offered",R627="to be offered",R627="on hold"),B627&lt;&gt;""),1,0)</f>
        <v>19</v>
      </c>
      <c r="AD627">
        <f>N(AD626)+IF(AND(OR(R627="follow-up",R627="Evaluation",R627="tbd",R627="In evaluation"),B627&lt;&gt;""),1,0)</f>
        <v>9</v>
      </c>
    </row>
    <row r="628" ht="15" customHeight="1">
      <c r="I628" s="215" t="n"/>
      <c r="J628" s="215" t="n"/>
      <c r="K628" s="215" t="n"/>
      <c r="L628" s="215" t="n"/>
      <c r="M628" s="215" t="n"/>
      <c r="N628" s="215" t="str">
        <f>IF(ISNUMBER(I628),ROUND(I628-I628/1.081,2),"")</f>
        <v/>
      </c>
      <c r="O628" s="215" t="str">
        <f>IF(ISNUMBER(I628),I628-SUM(J628:N628),"")</f>
        <v/>
      </c>
      <c r="P628" s="216" t="str">
        <f>IFERROR(IF(AND(ISNUMBER(O628),ISNUMBER(I628),I628&lt;&gt;0),O628/I628,""),"")</f>
        <v/>
      </c>
      <c r="Q628" s="215" t="str">
        <f>IF(AND(ISNUMBER(I628),ISNUMBER(S628)),I628*IF(S628&lt;=1,S628,S628/100),IF(OR(I628&lt;&gt;"",S628&lt;&gt;""),"tbd",""))</f>
        <v/>
      </c>
      <c r="S628" s="217" t="n"/>
      <c r="Z628" t="str">
        <f>IF(AND(R628="WON",ISNUMBER(I628)),AA628,"")</f>
        <v/>
      </c>
      <c r="AA628">
        <f>IFERROR(I628*1,0)</f>
        <v>0</v>
      </c>
      <c r="AB628">
        <f>N(AB627)+IF(AND(R628="WON",B628&lt;&gt;""),1,0)</f>
        <v>7</v>
      </c>
      <c r="AC628">
        <f>N(AC627)+IF(AND(OR(R628="offered",R628="to be offered",R628="on hold"),B628&lt;&gt;""),1,0)</f>
        <v>19</v>
      </c>
      <c r="AD628">
        <f>N(AD627)+IF(AND(OR(R628="follow-up",R628="Evaluation",R628="tbd",R628="In evaluation"),B628&lt;&gt;""),1,0)</f>
        <v>9</v>
      </c>
    </row>
    <row r="629" ht="15" customHeight="1">
      <c r="I629" s="215" t="n"/>
      <c r="J629" s="215" t="n"/>
      <c r="K629" s="215" t="n"/>
      <c r="L629" s="215" t="n"/>
      <c r="M629" s="215" t="n"/>
      <c r="N629" s="215" t="str">
        <f>IF(ISNUMBER(I629),ROUND(I629-I629/1.081,2),"")</f>
        <v/>
      </c>
      <c r="O629" s="215" t="str">
        <f>IF(ISNUMBER(I629),I629-SUM(J629:N629),"")</f>
        <v/>
      </c>
      <c r="P629" s="216" t="str">
        <f>IFERROR(IF(AND(ISNUMBER(O629),ISNUMBER(I629),I629&lt;&gt;0),O629/I629,""),"")</f>
        <v/>
      </c>
      <c r="Q629" s="215" t="str">
        <f>IF(AND(ISNUMBER(I629),ISNUMBER(S629)),I629*IF(S629&lt;=1,S629,S629/100),IF(OR(I629&lt;&gt;"",S629&lt;&gt;""),"tbd",""))</f>
        <v/>
      </c>
      <c r="S629" s="217" t="n"/>
      <c r="Z629" t="str">
        <f>IF(AND(R629="WON",ISNUMBER(I629)),AA629,"")</f>
        <v/>
      </c>
      <c r="AA629">
        <f>IFERROR(I629*1,0)</f>
        <v>0</v>
      </c>
      <c r="AB629">
        <f>N(AB628)+IF(AND(R629="WON",B629&lt;&gt;""),1,0)</f>
        <v>7</v>
      </c>
      <c r="AC629">
        <f>N(AC628)+IF(AND(OR(R629="offered",R629="to be offered",R629="on hold"),B629&lt;&gt;""),1,0)</f>
        <v>19</v>
      </c>
      <c r="AD629">
        <f>N(AD628)+IF(AND(OR(R629="follow-up",R629="Evaluation",R629="tbd",R629="In evaluation"),B629&lt;&gt;""),1,0)</f>
        <v>9</v>
      </c>
    </row>
    <row r="630" ht="15" customHeight="1">
      <c r="I630" s="215" t="n"/>
      <c r="J630" s="215" t="n"/>
      <c r="K630" s="215" t="n"/>
      <c r="L630" s="215" t="n"/>
      <c r="M630" s="215" t="n"/>
      <c r="N630" s="215" t="str">
        <f>IF(ISNUMBER(I630),ROUND(I630-I630/1.081,2),"")</f>
        <v/>
      </c>
      <c r="O630" s="215" t="str">
        <f>IF(ISNUMBER(I630),I630-SUM(J630:N630),"")</f>
        <v/>
      </c>
      <c r="P630" s="216" t="str">
        <f>IFERROR(IF(AND(ISNUMBER(O630),ISNUMBER(I630),I630&lt;&gt;0),O630/I630,""),"")</f>
        <v/>
      </c>
      <c r="Q630" s="215" t="str">
        <f>IF(AND(ISNUMBER(I630),ISNUMBER(S630)),I630*IF(S630&lt;=1,S630,S630/100),IF(OR(I630&lt;&gt;"",S630&lt;&gt;""),"tbd",""))</f>
        <v/>
      </c>
      <c r="S630" s="217" t="n"/>
      <c r="Z630" t="str">
        <f>IF(AND(R630="WON",ISNUMBER(I630)),AA630,"")</f>
        <v/>
      </c>
      <c r="AA630">
        <f>IFERROR(I630*1,0)</f>
        <v>0</v>
      </c>
      <c r="AB630">
        <f>N(AB629)+IF(AND(R630="WON",B630&lt;&gt;""),1,0)</f>
        <v>7</v>
      </c>
      <c r="AC630">
        <f>N(AC629)+IF(AND(OR(R630="offered",R630="to be offered",R630="on hold"),B630&lt;&gt;""),1,0)</f>
        <v>19</v>
      </c>
      <c r="AD630">
        <f>N(AD629)+IF(AND(OR(R630="follow-up",R630="Evaluation",R630="tbd",R630="In evaluation"),B630&lt;&gt;""),1,0)</f>
        <v>9</v>
      </c>
    </row>
    <row r="631" ht="15" customHeight="1">
      <c r="I631" s="215" t="n"/>
      <c r="J631" s="215" t="n"/>
      <c r="K631" s="215" t="n"/>
      <c r="L631" s="215" t="n"/>
      <c r="M631" s="215" t="n"/>
      <c r="N631" s="215" t="str">
        <f>IF(ISNUMBER(I631),ROUND(I631-I631/1.081,2),"")</f>
        <v/>
      </c>
      <c r="O631" s="215" t="str">
        <f>IF(ISNUMBER(I631),I631-SUM(J631:N631),"")</f>
        <v/>
      </c>
      <c r="P631" s="216" t="str">
        <f>IFERROR(IF(AND(ISNUMBER(O631),ISNUMBER(I631),I631&lt;&gt;0),O631/I631,""),"")</f>
        <v/>
      </c>
      <c r="Q631" s="215" t="str">
        <f>IF(AND(ISNUMBER(I631),ISNUMBER(S631)),I631*IF(S631&lt;=1,S631,S631/100),IF(OR(I631&lt;&gt;"",S631&lt;&gt;""),"tbd",""))</f>
        <v/>
      </c>
      <c r="S631" s="217" t="n"/>
      <c r="Z631" t="str">
        <f>IF(AND(R631="WON",ISNUMBER(I631)),AA631,"")</f>
        <v/>
      </c>
      <c r="AA631">
        <f>IFERROR(I631*1,0)</f>
        <v>0</v>
      </c>
      <c r="AB631">
        <f>N(AB630)+IF(AND(R631="WON",B631&lt;&gt;""),1,0)</f>
        <v>7</v>
      </c>
      <c r="AC631">
        <f>N(AC630)+IF(AND(OR(R631="offered",R631="to be offered",R631="on hold"),B631&lt;&gt;""),1,0)</f>
        <v>19</v>
      </c>
      <c r="AD631">
        <f>N(AD630)+IF(AND(OR(R631="follow-up",R631="Evaluation",R631="tbd",R631="In evaluation"),B631&lt;&gt;""),1,0)</f>
        <v>9</v>
      </c>
    </row>
    <row r="632" ht="15" customHeight="1">
      <c r="I632" s="215" t="n"/>
      <c r="J632" s="215" t="n"/>
      <c r="K632" s="215" t="n"/>
      <c r="L632" s="215" t="n"/>
      <c r="M632" s="215" t="n"/>
      <c r="N632" s="215" t="str">
        <f>IF(ISNUMBER(I632),ROUND(I632-I632/1.081,2),"")</f>
        <v/>
      </c>
      <c r="O632" s="215" t="str">
        <f>IF(ISNUMBER(I632),I632-SUM(J632:N632),"")</f>
        <v/>
      </c>
      <c r="P632" s="216" t="str">
        <f>IFERROR(IF(AND(ISNUMBER(O632),ISNUMBER(I632),I632&lt;&gt;0),O632/I632,""),"")</f>
        <v/>
      </c>
      <c r="Q632" s="215" t="str">
        <f>IF(AND(ISNUMBER(I632),ISNUMBER(S632)),I632*IF(S632&lt;=1,S632,S632/100),IF(OR(I632&lt;&gt;"",S632&lt;&gt;""),"tbd",""))</f>
        <v/>
      </c>
      <c r="S632" s="217" t="n"/>
      <c r="Z632" t="str">
        <f>IF(AND(R632="WON",ISNUMBER(I632)),AA632,"")</f>
        <v/>
      </c>
      <c r="AA632">
        <f>IFERROR(I632*1,0)</f>
        <v>0</v>
      </c>
      <c r="AB632">
        <f>N(AB631)+IF(AND(R632="WON",B632&lt;&gt;""),1,0)</f>
        <v>7</v>
      </c>
      <c r="AC632">
        <f>N(AC631)+IF(AND(OR(R632="offered",R632="to be offered",R632="on hold"),B632&lt;&gt;""),1,0)</f>
        <v>19</v>
      </c>
      <c r="AD632">
        <f>N(AD631)+IF(AND(OR(R632="follow-up",R632="Evaluation",R632="tbd",R632="In evaluation"),B632&lt;&gt;""),1,0)</f>
        <v>9</v>
      </c>
    </row>
    <row r="633" ht="15" customHeight="1">
      <c r="I633" s="215" t="n"/>
      <c r="J633" s="215" t="n"/>
      <c r="K633" s="215" t="n"/>
      <c r="L633" s="215" t="n"/>
      <c r="M633" s="215" t="n"/>
      <c r="N633" s="215" t="str">
        <f>IF(ISNUMBER(I633),ROUND(I633-I633/1.081,2),"")</f>
        <v/>
      </c>
      <c r="O633" s="215" t="str">
        <f>IF(ISNUMBER(I633),I633-SUM(J633:N633),"")</f>
        <v/>
      </c>
      <c r="P633" s="216" t="str">
        <f>IFERROR(IF(AND(ISNUMBER(O633),ISNUMBER(I633),I633&lt;&gt;0),O633/I633,""),"")</f>
        <v/>
      </c>
      <c r="Q633" s="215" t="str">
        <f>IF(AND(ISNUMBER(I633),ISNUMBER(S633)),I633*IF(S633&lt;=1,S633,S633/100),IF(OR(I633&lt;&gt;"",S633&lt;&gt;""),"tbd",""))</f>
        <v/>
      </c>
      <c r="S633" s="217" t="n"/>
      <c r="Z633" t="str">
        <f>IF(AND(R633="WON",ISNUMBER(I633)),AA633,"")</f>
        <v/>
      </c>
      <c r="AA633">
        <f>IFERROR(I633*1,0)</f>
        <v>0</v>
      </c>
      <c r="AB633">
        <f>N(AB632)+IF(AND(R633="WON",B633&lt;&gt;""),1,0)</f>
        <v>7</v>
      </c>
      <c r="AC633">
        <f>N(AC632)+IF(AND(OR(R633="offered",R633="to be offered",R633="on hold"),B633&lt;&gt;""),1,0)</f>
        <v>19</v>
      </c>
      <c r="AD633">
        <f>N(AD632)+IF(AND(OR(R633="follow-up",R633="Evaluation",R633="tbd",R633="In evaluation"),B633&lt;&gt;""),1,0)</f>
        <v>9</v>
      </c>
    </row>
    <row r="634" ht="15" customHeight="1">
      <c r="I634" s="215" t="n"/>
      <c r="J634" s="215" t="n"/>
      <c r="K634" s="215" t="n"/>
      <c r="L634" s="215" t="n"/>
      <c r="M634" s="215" t="n"/>
      <c r="N634" s="215" t="str">
        <f>IF(ISNUMBER(I634),ROUND(I634-I634/1.081,2),"")</f>
        <v/>
      </c>
      <c r="O634" s="215" t="str">
        <f>IF(ISNUMBER(I634),I634-SUM(J634:N634),"")</f>
        <v/>
      </c>
      <c r="P634" s="216" t="str">
        <f>IFERROR(IF(AND(ISNUMBER(O634),ISNUMBER(I634),I634&lt;&gt;0),O634/I634,""),"")</f>
        <v/>
      </c>
      <c r="Q634" s="215" t="str">
        <f>IF(AND(ISNUMBER(I634),ISNUMBER(S634)),I634*IF(S634&lt;=1,S634,S634/100),IF(OR(I634&lt;&gt;"",S634&lt;&gt;""),"tbd",""))</f>
        <v/>
      </c>
      <c r="S634" s="217" t="n"/>
      <c r="Z634" t="str">
        <f>IF(AND(R634="WON",ISNUMBER(I634)),AA634,"")</f>
        <v/>
      </c>
      <c r="AA634">
        <f>IFERROR(I634*1,0)</f>
        <v>0</v>
      </c>
      <c r="AB634">
        <f>N(AB633)+IF(AND(R634="WON",B634&lt;&gt;""),1,0)</f>
        <v>7</v>
      </c>
      <c r="AC634">
        <f>N(AC633)+IF(AND(OR(R634="offered",R634="to be offered",R634="on hold"),B634&lt;&gt;""),1,0)</f>
        <v>19</v>
      </c>
      <c r="AD634">
        <f>N(AD633)+IF(AND(OR(R634="follow-up",R634="Evaluation",R634="tbd",R634="In evaluation"),B634&lt;&gt;""),1,0)</f>
        <v>9</v>
      </c>
    </row>
    <row r="635" ht="15" customHeight="1">
      <c r="I635" s="215" t="n"/>
      <c r="J635" s="215" t="n"/>
      <c r="K635" s="215" t="n"/>
      <c r="L635" s="215" t="n"/>
      <c r="M635" s="215" t="n"/>
      <c r="N635" s="215" t="str">
        <f>IF(ISNUMBER(I635),ROUND(I635-I635/1.081,2),"")</f>
        <v/>
      </c>
      <c r="O635" s="215" t="str">
        <f>IF(ISNUMBER(I635),I635-SUM(J635:N635),"")</f>
        <v/>
      </c>
      <c r="P635" s="216" t="str">
        <f>IFERROR(IF(AND(ISNUMBER(O635),ISNUMBER(I635),I635&lt;&gt;0),O635/I635,""),"")</f>
        <v/>
      </c>
      <c r="Q635" s="215" t="str">
        <f>IF(AND(ISNUMBER(I635),ISNUMBER(S635)),I635*IF(S635&lt;=1,S635,S635/100),IF(OR(I635&lt;&gt;"",S635&lt;&gt;""),"tbd",""))</f>
        <v/>
      </c>
      <c r="S635" s="217" t="n"/>
      <c r="Z635" t="str">
        <f>IF(AND(R635="WON",ISNUMBER(I635)),AA635,"")</f>
        <v/>
      </c>
      <c r="AA635">
        <f>IFERROR(I635*1,0)</f>
        <v>0</v>
      </c>
      <c r="AB635">
        <f>N(AB634)+IF(AND(R635="WON",B635&lt;&gt;""),1,0)</f>
        <v>7</v>
      </c>
      <c r="AC635">
        <f>N(AC634)+IF(AND(OR(R635="offered",R635="to be offered",R635="on hold"),B635&lt;&gt;""),1,0)</f>
        <v>19</v>
      </c>
      <c r="AD635">
        <f>N(AD634)+IF(AND(OR(R635="follow-up",R635="Evaluation",R635="tbd",R635="In evaluation"),B635&lt;&gt;""),1,0)</f>
        <v>9</v>
      </c>
    </row>
    <row r="636" ht="15" customHeight="1">
      <c r="I636" s="215" t="n"/>
      <c r="J636" s="215" t="n"/>
      <c r="K636" s="215" t="n"/>
      <c r="L636" s="215" t="n"/>
      <c r="M636" s="215" t="n"/>
      <c r="N636" s="215" t="str">
        <f>IF(ISNUMBER(I636),ROUND(I636-I636/1.081,2),"")</f>
        <v/>
      </c>
      <c r="O636" s="215" t="str">
        <f>IF(ISNUMBER(I636),I636-SUM(J636:N636),"")</f>
        <v/>
      </c>
      <c r="P636" s="216" t="str">
        <f>IFERROR(IF(AND(ISNUMBER(O636),ISNUMBER(I636),I636&lt;&gt;0),O636/I636,""),"")</f>
        <v/>
      </c>
      <c r="Q636" s="215" t="str">
        <f>IF(AND(ISNUMBER(I636),ISNUMBER(S636)),I636*IF(S636&lt;=1,S636,S636/100),IF(OR(I636&lt;&gt;"",S636&lt;&gt;""),"tbd",""))</f>
        <v/>
      </c>
      <c r="S636" s="217" t="n"/>
      <c r="Z636" t="str">
        <f>IF(AND(R636="WON",ISNUMBER(I636)),AA636,"")</f>
        <v/>
      </c>
      <c r="AA636">
        <f>IFERROR(I636*1,0)</f>
        <v>0</v>
      </c>
      <c r="AB636">
        <f>N(AB635)+IF(AND(R636="WON",B636&lt;&gt;""),1,0)</f>
        <v>7</v>
      </c>
      <c r="AC636">
        <f>N(AC635)+IF(AND(OR(R636="offered",R636="to be offered",R636="on hold"),B636&lt;&gt;""),1,0)</f>
        <v>19</v>
      </c>
      <c r="AD636">
        <f>N(AD635)+IF(AND(OR(R636="follow-up",R636="Evaluation",R636="tbd",R636="In evaluation"),B636&lt;&gt;""),1,0)</f>
        <v>9</v>
      </c>
    </row>
    <row r="637" ht="15" customHeight="1">
      <c r="I637" s="215" t="n"/>
      <c r="J637" s="215" t="n"/>
      <c r="K637" s="215" t="n"/>
      <c r="L637" s="215" t="n"/>
      <c r="M637" s="215" t="n"/>
      <c r="N637" s="215" t="str">
        <f>IF(ISNUMBER(I637),ROUND(I637-I637/1.081,2),"")</f>
        <v/>
      </c>
      <c r="O637" s="215" t="str">
        <f>IF(ISNUMBER(I637),I637-SUM(J637:N637),"")</f>
        <v/>
      </c>
      <c r="P637" s="216" t="str">
        <f>IFERROR(IF(AND(ISNUMBER(O637),ISNUMBER(I637),I637&lt;&gt;0),O637/I637,""),"")</f>
        <v/>
      </c>
      <c r="Q637" s="215" t="str">
        <f>IF(AND(ISNUMBER(I637),ISNUMBER(S637)),I637*IF(S637&lt;=1,S637,S637/100),IF(OR(I637&lt;&gt;"",S637&lt;&gt;""),"tbd",""))</f>
        <v/>
      </c>
      <c r="S637" s="217" t="n"/>
      <c r="Z637" t="str">
        <f>IF(AND(R637="WON",ISNUMBER(I637)),AA637,"")</f>
        <v/>
      </c>
      <c r="AA637">
        <f>IFERROR(I637*1,0)</f>
        <v>0</v>
      </c>
      <c r="AB637">
        <f>N(AB636)+IF(AND(R637="WON",B637&lt;&gt;""),1,0)</f>
        <v>7</v>
      </c>
      <c r="AC637">
        <f>N(AC636)+IF(AND(OR(R637="offered",R637="to be offered",R637="on hold"),B637&lt;&gt;""),1,0)</f>
        <v>19</v>
      </c>
      <c r="AD637">
        <f>N(AD636)+IF(AND(OR(R637="follow-up",R637="Evaluation",R637="tbd",R637="In evaluation"),B637&lt;&gt;""),1,0)</f>
        <v>9</v>
      </c>
    </row>
    <row r="638" ht="15" customHeight="1">
      <c r="I638" s="215" t="n"/>
      <c r="J638" s="215" t="n"/>
      <c r="K638" s="215" t="n"/>
      <c r="L638" s="215" t="n"/>
      <c r="M638" s="215" t="n"/>
      <c r="N638" s="215" t="str">
        <f>IF(ISNUMBER(I638),ROUND(I638-I638/1.081,2),"")</f>
        <v/>
      </c>
      <c r="O638" s="215" t="str">
        <f>IF(ISNUMBER(I638),I638-SUM(J638:N638),"")</f>
        <v/>
      </c>
      <c r="P638" s="216" t="str">
        <f>IFERROR(IF(AND(ISNUMBER(O638),ISNUMBER(I638),I638&lt;&gt;0),O638/I638,""),"")</f>
        <v/>
      </c>
      <c r="Q638" s="215" t="str">
        <f>IF(AND(ISNUMBER(I638),ISNUMBER(S638)),I638*IF(S638&lt;=1,S638,S638/100),IF(OR(I638&lt;&gt;"",S638&lt;&gt;""),"tbd",""))</f>
        <v/>
      </c>
      <c r="S638" s="217" t="n"/>
      <c r="Z638" t="str">
        <f>IF(AND(R638="WON",ISNUMBER(I638)),AA638,"")</f>
        <v/>
      </c>
      <c r="AA638">
        <f>IFERROR(I638*1,0)</f>
        <v>0</v>
      </c>
      <c r="AB638">
        <f>N(AB637)+IF(AND(R638="WON",B638&lt;&gt;""),1,0)</f>
        <v>7</v>
      </c>
      <c r="AC638">
        <f>N(AC637)+IF(AND(OR(R638="offered",R638="to be offered",R638="on hold"),B638&lt;&gt;""),1,0)</f>
        <v>19</v>
      </c>
      <c r="AD638">
        <f>N(AD637)+IF(AND(OR(R638="follow-up",R638="Evaluation",R638="tbd",R638="In evaluation"),B638&lt;&gt;""),1,0)</f>
        <v>9</v>
      </c>
    </row>
    <row r="639" ht="15" customHeight="1">
      <c r="I639" s="215" t="n"/>
      <c r="J639" s="215" t="n"/>
      <c r="K639" s="215" t="n"/>
      <c r="L639" s="215" t="n"/>
      <c r="M639" s="215" t="n"/>
      <c r="N639" s="215" t="str">
        <f>IF(ISNUMBER(I639),ROUND(I639-I639/1.081,2),"")</f>
        <v/>
      </c>
      <c r="O639" s="215" t="str">
        <f>IF(ISNUMBER(I639),I639-SUM(J639:N639),"")</f>
        <v/>
      </c>
      <c r="P639" s="216" t="str">
        <f>IFERROR(IF(AND(ISNUMBER(O639),ISNUMBER(I639),I639&lt;&gt;0),O639/I639,""),"")</f>
        <v/>
      </c>
      <c r="Q639" s="215" t="str">
        <f>IF(AND(ISNUMBER(I639),ISNUMBER(S639)),I639*IF(S639&lt;=1,S639,S639/100),IF(OR(I639&lt;&gt;"",S639&lt;&gt;""),"tbd",""))</f>
        <v/>
      </c>
      <c r="S639" s="217" t="n"/>
      <c r="Z639" t="str">
        <f>IF(AND(R639="WON",ISNUMBER(I639)),AA639,"")</f>
        <v/>
      </c>
      <c r="AA639">
        <f>IFERROR(I639*1,0)</f>
        <v>0</v>
      </c>
      <c r="AB639">
        <f>N(AB638)+IF(AND(R639="WON",B639&lt;&gt;""),1,0)</f>
        <v>7</v>
      </c>
      <c r="AC639">
        <f>N(AC638)+IF(AND(OR(R639="offered",R639="to be offered",R639="on hold"),B639&lt;&gt;""),1,0)</f>
        <v>19</v>
      </c>
      <c r="AD639">
        <f>N(AD638)+IF(AND(OR(R639="follow-up",R639="Evaluation",R639="tbd",R639="In evaluation"),B639&lt;&gt;""),1,0)</f>
        <v>9</v>
      </c>
    </row>
    <row r="640" ht="15" customHeight="1">
      <c r="I640" s="215" t="n"/>
      <c r="J640" s="215" t="n"/>
      <c r="K640" s="215" t="n"/>
      <c r="L640" s="215" t="n"/>
      <c r="M640" s="215" t="n"/>
      <c r="N640" s="215" t="str">
        <f>IF(ISNUMBER(I640),ROUND(I640-I640/1.081,2),"")</f>
        <v/>
      </c>
      <c r="O640" s="215" t="str">
        <f>IF(ISNUMBER(I640),I640-SUM(J640:N640),"")</f>
        <v/>
      </c>
      <c r="P640" s="216" t="str">
        <f>IFERROR(IF(AND(ISNUMBER(O640),ISNUMBER(I640),I640&lt;&gt;0),O640/I640,""),"")</f>
        <v/>
      </c>
      <c r="Q640" s="215" t="str">
        <f>IF(AND(ISNUMBER(I640),ISNUMBER(S640)),I640*IF(S640&lt;=1,S640,S640/100),IF(OR(I640&lt;&gt;"",S640&lt;&gt;""),"tbd",""))</f>
        <v/>
      </c>
      <c r="S640" s="217" t="n"/>
      <c r="Z640" t="str">
        <f>IF(AND(R640="WON",ISNUMBER(I640)),AA640,"")</f>
        <v/>
      </c>
      <c r="AA640">
        <f>IFERROR(I640*1,0)</f>
        <v>0</v>
      </c>
      <c r="AB640">
        <f>N(AB639)+IF(AND(R640="WON",B640&lt;&gt;""),1,0)</f>
        <v>7</v>
      </c>
      <c r="AC640">
        <f>N(AC639)+IF(AND(OR(R640="offered",R640="to be offered",R640="on hold"),B640&lt;&gt;""),1,0)</f>
        <v>19</v>
      </c>
      <c r="AD640">
        <f>N(AD639)+IF(AND(OR(R640="follow-up",R640="Evaluation",R640="tbd",R640="In evaluation"),B640&lt;&gt;""),1,0)</f>
        <v>9</v>
      </c>
    </row>
    <row r="641" ht="15" customHeight="1">
      <c r="I641" s="215" t="n"/>
      <c r="J641" s="215" t="n"/>
      <c r="K641" s="215" t="n"/>
      <c r="L641" s="215" t="n"/>
      <c r="M641" s="215" t="n"/>
      <c r="N641" s="215" t="str">
        <f>IF(ISNUMBER(I641),ROUND(I641-I641/1.081,2),"")</f>
        <v/>
      </c>
      <c r="O641" s="215" t="str">
        <f>IF(ISNUMBER(I641),I641-SUM(J641:N641),"")</f>
        <v/>
      </c>
      <c r="P641" s="216" t="str">
        <f>IFERROR(IF(AND(ISNUMBER(O641),ISNUMBER(I641),I641&lt;&gt;0),O641/I641,""),"")</f>
        <v/>
      </c>
      <c r="Q641" s="215" t="str">
        <f>IF(AND(ISNUMBER(I641),ISNUMBER(S641)),I641*IF(S641&lt;=1,S641,S641/100),IF(OR(I641&lt;&gt;"",S641&lt;&gt;""),"tbd",""))</f>
        <v/>
      </c>
      <c r="S641" s="217" t="n"/>
      <c r="Z641" t="str">
        <f>IF(AND(R641="WON",ISNUMBER(I641)),AA641,"")</f>
        <v/>
      </c>
      <c r="AA641">
        <f>IFERROR(I641*1,0)</f>
        <v>0</v>
      </c>
      <c r="AB641">
        <f>N(AB640)+IF(AND(R641="WON",B641&lt;&gt;""),1,0)</f>
        <v>7</v>
      </c>
      <c r="AC641">
        <f>N(AC640)+IF(AND(OR(R641="offered",R641="to be offered",R641="on hold"),B641&lt;&gt;""),1,0)</f>
        <v>19</v>
      </c>
      <c r="AD641">
        <f>N(AD640)+IF(AND(OR(R641="follow-up",R641="Evaluation",R641="tbd",R641="In evaluation"),B641&lt;&gt;""),1,0)</f>
        <v>9</v>
      </c>
    </row>
    <row r="642" ht="15" customHeight="1">
      <c r="I642" s="215" t="n"/>
      <c r="J642" s="215" t="n"/>
      <c r="K642" s="215" t="n"/>
      <c r="L642" s="215" t="n"/>
      <c r="M642" s="215" t="n"/>
      <c r="N642" s="215" t="str">
        <f>IF(ISNUMBER(I642),ROUND(I642-I642/1.081,2),"")</f>
        <v/>
      </c>
      <c r="O642" s="215" t="str">
        <f>IF(ISNUMBER(I642),I642-SUM(J642:N642),"")</f>
        <v/>
      </c>
      <c r="P642" s="216" t="str">
        <f>IFERROR(IF(AND(ISNUMBER(O642),ISNUMBER(I642),I642&lt;&gt;0),O642/I642,""),"")</f>
        <v/>
      </c>
      <c r="Q642" s="215" t="str">
        <f>IF(AND(ISNUMBER(I642),ISNUMBER(S642)),I642*IF(S642&lt;=1,S642,S642/100),IF(OR(I642&lt;&gt;"",S642&lt;&gt;""),"tbd",""))</f>
        <v/>
      </c>
      <c r="S642" s="217" t="n"/>
      <c r="Z642" t="str">
        <f>IF(AND(R642="WON",ISNUMBER(I642)),AA642,"")</f>
        <v/>
      </c>
      <c r="AA642">
        <f>IFERROR(I642*1,0)</f>
        <v>0</v>
      </c>
      <c r="AB642">
        <f>N(AB641)+IF(AND(R642="WON",B642&lt;&gt;""),1,0)</f>
        <v>7</v>
      </c>
      <c r="AC642">
        <f>N(AC641)+IF(AND(OR(R642="offered",R642="to be offered",R642="on hold"),B642&lt;&gt;""),1,0)</f>
        <v>19</v>
      </c>
      <c r="AD642">
        <f>N(AD641)+IF(AND(OR(R642="follow-up",R642="Evaluation",R642="tbd",R642="In evaluation"),B642&lt;&gt;""),1,0)</f>
        <v>9</v>
      </c>
    </row>
    <row r="643" ht="15" customHeight="1">
      <c r="I643" s="215" t="n"/>
      <c r="J643" s="215" t="n"/>
      <c r="K643" s="215" t="n"/>
      <c r="L643" s="215" t="n"/>
      <c r="M643" s="215" t="n"/>
      <c r="N643" s="215" t="str">
        <f>IF(ISNUMBER(I643),ROUND(I643-I643/1.081,2),"")</f>
        <v/>
      </c>
      <c r="O643" s="215" t="str">
        <f>IF(ISNUMBER(I643),I643-SUM(J643:N643),"")</f>
        <v/>
      </c>
      <c r="P643" s="216" t="str">
        <f>IFERROR(IF(AND(ISNUMBER(O643),ISNUMBER(I643),I643&lt;&gt;0),O643/I643,""),"")</f>
        <v/>
      </c>
      <c r="Q643" s="215" t="str">
        <f>IF(AND(ISNUMBER(I643),ISNUMBER(S643)),I643*IF(S643&lt;=1,S643,S643/100),IF(OR(I643&lt;&gt;"",S643&lt;&gt;""),"tbd",""))</f>
        <v/>
      </c>
      <c r="S643" s="217" t="n"/>
      <c r="Z643" t="str">
        <f>IF(AND(R643="WON",ISNUMBER(I643)),AA643,"")</f>
        <v/>
      </c>
      <c r="AA643">
        <f>IFERROR(I643*1,0)</f>
        <v>0</v>
      </c>
      <c r="AB643">
        <f>N(AB642)+IF(AND(R643="WON",B643&lt;&gt;""),1,0)</f>
        <v>7</v>
      </c>
      <c r="AC643">
        <f>N(AC642)+IF(AND(OR(R643="offered",R643="to be offered",R643="on hold"),B643&lt;&gt;""),1,0)</f>
        <v>19</v>
      </c>
      <c r="AD643">
        <f>N(AD642)+IF(AND(OR(R643="follow-up",R643="Evaluation",R643="tbd",R643="In evaluation"),B643&lt;&gt;""),1,0)</f>
        <v>9</v>
      </c>
    </row>
    <row r="644" ht="15" customHeight="1">
      <c r="I644" s="215" t="n"/>
      <c r="J644" s="215" t="n"/>
      <c r="K644" s="215" t="n"/>
      <c r="L644" s="215" t="n"/>
      <c r="M644" s="215" t="n"/>
      <c r="N644" s="215" t="str">
        <f>IF(ISNUMBER(I644),ROUND(I644-I644/1.081,2),"")</f>
        <v/>
      </c>
      <c r="O644" s="215" t="str">
        <f>IF(ISNUMBER(I644),I644-SUM(J644:N644),"")</f>
        <v/>
      </c>
      <c r="P644" s="216" t="str">
        <f>IFERROR(IF(AND(ISNUMBER(O644),ISNUMBER(I644),I644&lt;&gt;0),O644/I644,""),"")</f>
        <v/>
      </c>
      <c r="Q644" s="215" t="str">
        <f>IF(AND(ISNUMBER(I644),ISNUMBER(S644)),I644*IF(S644&lt;=1,S644,S644/100),IF(OR(I644&lt;&gt;"",S644&lt;&gt;""),"tbd",""))</f>
        <v/>
      </c>
      <c r="S644" s="217" t="n"/>
      <c r="Z644" t="str">
        <f>IF(AND(R644="WON",ISNUMBER(I644)),AA644,"")</f>
        <v/>
      </c>
      <c r="AA644">
        <f>IFERROR(I644*1,0)</f>
        <v>0</v>
      </c>
      <c r="AB644">
        <f>N(AB643)+IF(AND(R644="WON",B644&lt;&gt;""),1,0)</f>
        <v>7</v>
      </c>
      <c r="AC644">
        <f>N(AC643)+IF(AND(OR(R644="offered",R644="to be offered",R644="on hold"),B644&lt;&gt;""),1,0)</f>
        <v>19</v>
      </c>
      <c r="AD644">
        <f>N(AD643)+IF(AND(OR(R644="follow-up",R644="Evaluation",R644="tbd",R644="In evaluation"),B644&lt;&gt;""),1,0)</f>
        <v>9</v>
      </c>
    </row>
    <row r="645" ht="15" customHeight="1">
      <c r="I645" s="215" t="n"/>
      <c r="J645" s="215" t="n"/>
      <c r="K645" s="215" t="n"/>
      <c r="L645" s="215" t="n"/>
      <c r="M645" s="215" t="n"/>
      <c r="N645" s="215" t="str">
        <f>IF(ISNUMBER(I645),ROUND(I645-I645/1.081,2),"")</f>
        <v/>
      </c>
      <c r="O645" s="215" t="str">
        <f>IF(ISNUMBER(I645),I645-SUM(J645:N645),"")</f>
        <v/>
      </c>
      <c r="P645" s="216" t="str">
        <f>IFERROR(IF(AND(ISNUMBER(O645),ISNUMBER(I645),I645&lt;&gt;0),O645/I645,""),"")</f>
        <v/>
      </c>
      <c r="Q645" s="215" t="str">
        <f>IF(AND(ISNUMBER(I645),ISNUMBER(S645)),I645*IF(S645&lt;=1,S645,S645/100),IF(OR(I645&lt;&gt;"",S645&lt;&gt;""),"tbd",""))</f>
        <v/>
      </c>
      <c r="S645" s="217" t="n"/>
      <c r="Z645" t="str">
        <f>IF(AND(R645="WON",ISNUMBER(I645)),AA645,"")</f>
        <v/>
      </c>
      <c r="AA645">
        <f>IFERROR(I645*1,0)</f>
        <v>0</v>
      </c>
      <c r="AB645">
        <f>N(AB644)+IF(AND(R645="WON",B645&lt;&gt;""),1,0)</f>
        <v>7</v>
      </c>
      <c r="AC645">
        <f>N(AC644)+IF(AND(OR(R645="offered",R645="to be offered",R645="on hold"),B645&lt;&gt;""),1,0)</f>
        <v>19</v>
      </c>
      <c r="AD645">
        <f>N(AD644)+IF(AND(OR(R645="follow-up",R645="Evaluation",R645="tbd",R645="In evaluation"),B645&lt;&gt;""),1,0)</f>
        <v>9</v>
      </c>
    </row>
    <row r="646" ht="15" customHeight="1">
      <c r="I646" s="215" t="n"/>
      <c r="J646" s="215" t="n"/>
      <c r="K646" s="215" t="n"/>
      <c r="L646" s="215" t="n"/>
      <c r="M646" s="215" t="n"/>
      <c r="N646" s="215" t="str">
        <f>IF(ISNUMBER(I646),ROUND(I646-I646/1.081,2),"")</f>
        <v/>
      </c>
      <c r="O646" s="215" t="str">
        <f>IF(ISNUMBER(I646),I646-SUM(J646:N646),"")</f>
        <v/>
      </c>
      <c r="P646" s="216" t="str">
        <f>IFERROR(IF(AND(ISNUMBER(O646),ISNUMBER(I646),I646&lt;&gt;0),O646/I646,""),"")</f>
        <v/>
      </c>
      <c r="Q646" s="215" t="str">
        <f>IF(AND(ISNUMBER(I646),ISNUMBER(S646)),I646*IF(S646&lt;=1,S646,S646/100),IF(OR(I646&lt;&gt;"",S646&lt;&gt;""),"tbd",""))</f>
        <v/>
      </c>
      <c r="S646" s="217" t="n"/>
      <c r="Z646" t="str">
        <f>IF(AND(R646="WON",ISNUMBER(I646)),AA646,"")</f>
        <v/>
      </c>
      <c r="AA646">
        <f>IFERROR(I646*1,0)</f>
        <v>0</v>
      </c>
      <c r="AB646">
        <f>N(AB645)+IF(AND(R646="WON",B646&lt;&gt;""),1,0)</f>
        <v>7</v>
      </c>
      <c r="AC646">
        <f>N(AC645)+IF(AND(OR(R646="offered",R646="to be offered",R646="on hold"),B646&lt;&gt;""),1,0)</f>
        <v>19</v>
      </c>
      <c r="AD646">
        <f>N(AD645)+IF(AND(OR(R646="follow-up",R646="Evaluation",R646="tbd",R646="In evaluation"),B646&lt;&gt;""),1,0)</f>
        <v>9</v>
      </c>
    </row>
    <row r="647" ht="15" customHeight="1">
      <c r="I647" s="215" t="n"/>
      <c r="J647" s="215" t="n"/>
      <c r="K647" s="215" t="n"/>
      <c r="L647" s="215" t="n"/>
      <c r="M647" s="215" t="n"/>
      <c r="N647" s="215" t="str">
        <f>IF(ISNUMBER(I647),ROUND(I647-I647/1.081,2),"")</f>
        <v/>
      </c>
      <c r="O647" s="215" t="str">
        <f>IF(ISNUMBER(I647),I647-SUM(J647:N647),"")</f>
        <v/>
      </c>
      <c r="P647" s="216" t="str">
        <f>IFERROR(IF(AND(ISNUMBER(O647),ISNUMBER(I647),I647&lt;&gt;0),O647/I647,""),"")</f>
        <v/>
      </c>
      <c r="Q647" s="215" t="str">
        <f>IF(AND(ISNUMBER(I647),ISNUMBER(S647)),I647*IF(S647&lt;=1,S647,S647/100),IF(OR(I647&lt;&gt;"",S647&lt;&gt;""),"tbd",""))</f>
        <v/>
      </c>
      <c r="S647" s="217" t="n"/>
      <c r="Z647" t="str">
        <f>IF(AND(R647="WON",ISNUMBER(I647)),AA647,"")</f>
        <v/>
      </c>
      <c r="AA647">
        <f>IFERROR(I647*1,0)</f>
        <v>0</v>
      </c>
      <c r="AB647">
        <f>N(AB646)+IF(AND(R647="WON",B647&lt;&gt;""),1,0)</f>
        <v>7</v>
      </c>
      <c r="AC647">
        <f>N(AC646)+IF(AND(OR(R647="offered",R647="to be offered",R647="on hold"),B647&lt;&gt;""),1,0)</f>
        <v>19</v>
      </c>
      <c r="AD647">
        <f>N(AD646)+IF(AND(OR(R647="follow-up",R647="Evaluation",R647="tbd",R647="In evaluation"),B647&lt;&gt;""),1,0)</f>
        <v>9</v>
      </c>
    </row>
    <row r="648" ht="15" customHeight="1">
      <c r="I648" s="215" t="n"/>
      <c r="J648" s="215" t="n"/>
      <c r="K648" s="215" t="n"/>
      <c r="L648" s="215" t="n"/>
      <c r="M648" s="215" t="n"/>
      <c r="N648" s="215" t="str">
        <f>IF(ISNUMBER(I648),ROUND(I648-I648/1.081,2),"")</f>
        <v/>
      </c>
      <c r="O648" s="215" t="str">
        <f>IF(ISNUMBER(I648),I648-SUM(J648:N648),"")</f>
        <v/>
      </c>
      <c r="P648" s="216" t="str">
        <f>IFERROR(IF(AND(ISNUMBER(O648),ISNUMBER(I648),I648&lt;&gt;0),O648/I648,""),"")</f>
        <v/>
      </c>
      <c r="Q648" s="215" t="str">
        <f>IF(AND(ISNUMBER(I648),ISNUMBER(S648)),I648*IF(S648&lt;=1,S648,S648/100),IF(OR(I648&lt;&gt;"",S648&lt;&gt;""),"tbd",""))</f>
        <v/>
      </c>
      <c r="S648" s="217" t="n"/>
      <c r="Z648" t="str">
        <f>IF(AND(R648="WON",ISNUMBER(I648)),AA648,"")</f>
        <v/>
      </c>
      <c r="AA648">
        <f>IFERROR(I648*1,0)</f>
        <v>0</v>
      </c>
      <c r="AB648">
        <f>N(AB647)+IF(AND(R648="WON",B648&lt;&gt;""),1,0)</f>
        <v>7</v>
      </c>
      <c r="AC648">
        <f>N(AC647)+IF(AND(OR(R648="offered",R648="to be offered",R648="on hold"),B648&lt;&gt;""),1,0)</f>
        <v>19</v>
      </c>
      <c r="AD648">
        <f>N(AD647)+IF(AND(OR(R648="follow-up",R648="Evaluation",R648="tbd",R648="In evaluation"),B648&lt;&gt;""),1,0)</f>
        <v>9</v>
      </c>
    </row>
    <row r="649" ht="15" customHeight="1">
      <c r="I649" s="215" t="n"/>
      <c r="J649" s="215" t="n"/>
      <c r="K649" s="215" t="n"/>
      <c r="L649" s="215" t="n"/>
      <c r="M649" s="215" t="n"/>
      <c r="N649" s="215" t="str">
        <f>IF(ISNUMBER(I649),ROUND(I649-I649/1.081,2),"")</f>
        <v/>
      </c>
      <c r="O649" s="215" t="str">
        <f>IF(ISNUMBER(I649),I649-SUM(J649:N649),"")</f>
        <v/>
      </c>
      <c r="P649" s="216" t="str">
        <f>IFERROR(IF(AND(ISNUMBER(O649),ISNUMBER(I649),I649&lt;&gt;0),O649/I649,""),"")</f>
        <v/>
      </c>
      <c r="Q649" s="215" t="str">
        <f>IF(AND(ISNUMBER(I649),ISNUMBER(S649)),I649*IF(S649&lt;=1,S649,S649/100),IF(OR(I649&lt;&gt;"",S649&lt;&gt;""),"tbd",""))</f>
        <v/>
      </c>
      <c r="S649" s="217" t="n"/>
      <c r="Z649" t="str">
        <f>IF(AND(R649="WON",ISNUMBER(I649)),AA649,"")</f>
        <v/>
      </c>
      <c r="AA649">
        <f>IFERROR(I649*1,0)</f>
        <v>0</v>
      </c>
      <c r="AB649">
        <f>N(AB648)+IF(AND(R649="WON",B649&lt;&gt;""),1,0)</f>
        <v>7</v>
      </c>
      <c r="AC649">
        <f>N(AC648)+IF(AND(OR(R649="offered",R649="to be offered",R649="on hold"),B649&lt;&gt;""),1,0)</f>
        <v>19</v>
      </c>
      <c r="AD649">
        <f>N(AD648)+IF(AND(OR(R649="follow-up",R649="Evaluation",R649="tbd",R649="In evaluation"),B649&lt;&gt;""),1,0)</f>
        <v>9</v>
      </c>
    </row>
    <row r="650" ht="15" customHeight="1">
      <c r="I650" s="215" t="n"/>
      <c r="J650" s="215" t="n"/>
      <c r="K650" s="215" t="n"/>
      <c r="L650" s="215" t="n"/>
      <c r="M650" s="215" t="n"/>
      <c r="N650" s="215" t="str">
        <f>IF(ISNUMBER(I650),ROUND(I650-I650/1.081,2),"")</f>
        <v/>
      </c>
      <c r="O650" s="215" t="str">
        <f>IF(ISNUMBER(I650),I650-SUM(J650:N650),"")</f>
        <v/>
      </c>
      <c r="P650" s="216" t="str">
        <f>IFERROR(IF(AND(ISNUMBER(O650),ISNUMBER(I650),I650&lt;&gt;0),O650/I650,""),"")</f>
        <v/>
      </c>
      <c r="Q650" s="215" t="str">
        <f>IF(AND(ISNUMBER(I650),ISNUMBER(S650)),I650*IF(S650&lt;=1,S650,S650/100),IF(OR(I650&lt;&gt;"",S650&lt;&gt;""),"tbd",""))</f>
        <v/>
      </c>
      <c r="S650" s="217" t="n"/>
      <c r="Z650" t="str">
        <f>IF(AND(R650="WON",ISNUMBER(I650)),AA650,"")</f>
        <v/>
      </c>
      <c r="AA650">
        <f>IFERROR(I650*1,0)</f>
        <v>0</v>
      </c>
      <c r="AB650">
        <f>N(AB649)+IF(AND(R650="WON",B650&lt;&gt;""),1,0)</f>
        <v>7</v>
      </c>
      <c r="AC650">
        <f>N(AC649)+IF(AND(OR(R650="offered",R650="to be offered",R650="on hold"),B650&lt;&gt;""),1,0)</f>
        <v>19</v>
      </c>
      <c r="AD650">
        <f>N(AD649)+IF(AND(OR(R650="follow-up",R650="Evaluation",R650="tbd",R650="In evaluation"),B650&lt;&gt;""),1,0)</f>
        <v>9</v>
      </c>
    </row>
    <row r="651" ht="15" customHeight="1">
      <c r="I651" s="215" t="n"/>
      <c r="J651" s="215" t="n"/>
      <c r="K651" s="215" t="n"/>
      <c r="L651" s="215" t="n"/>
      <c r="M651" s="215" t="n"/>
      <c r="N651" s="215" t="str">
        <f>IF(ISNUMBER(I651),ROUND(I651-I651/1.081,2),"")</f>
        <v/>
      </c>
      <c r="O651" s="215" t="str">
        <f>IF(ISNUMBER(I651),I651-SUM(J651:N651),"")</f>
        <v/>
      </c>
      <c r="P651" s="216" t="str">
        <f>IFERROR(IF(AND(ISNUMBER(O651),ISNUMBER(I651),I651&lt;&gt;0),O651/I651,""),"")</f>
        <v/>
      </c>
      <c r="Q651" s="215" t="str">
        <f>IF(AND(ISNUMBER(I651),ISNUMBER(S651)),I651*IF(S651&lt;=1,S651,S651/100),IF(OR(I651&lt;&gt;"",S651&lt;&gt;""),"tbd",""))</f>
        <v/>
      </c>
      <c r="S651" s="217" t="n"/>
      <c r="Z651" t="str">
        <f>IF(AND(R651="WON",ISNUMBER(I651)),AA651,"")</f>
        <v/>
      </c>
      <c r="AA651">
        <f>IFERROR(I651*1,0)</f>
        <v>0</v>
      </c>
      <c r="AB651">
        <f>N(AB650)+IF(AND(R651="WON",B651&lt;&gt;""),1,0)</f>
        <v>7</v>
      </c>
      <c r="AC651">
        <f>N(AC650)+IF(AND(OR(R651="offered",R651="to be offered",R651="on hold"),B651&lt;&gt;""),1,0)</f>
        <v>19</v>
      </c>
      <c r="AD651">
        <f>N(AD650)+IF(AND(OR(R651="follow-up",R651="Evaluation",R651="tbd",R651="In evaluation"),B651&lt;&gt;""),1,0)</f>
        <v>9</v>
      </c>
    </row>
    <row r="652" ht="15" customHeight="1">
      <c r="I652" s="215" t="n"/>
      <c r="J652" s="215" t="n"/>
      <c r="K652" s="215" t="n"/>
      <c r="L652" s="215" t="n"/>
      <c r="M652" s="215" t="n"/>
      <c r="N652" s="215" t="str">
        <f>IF(ISNUMBER(I652),ROUND(I652-I652/1.081,2),"")</f>
        <v/>
      </c>
      <c r="O652" s="215" t="str">
        <f>IF(ISNUMBER(I652),I652-SUM(J652:N652),"")</f>
        <v/>
      </c>
      <c r="P652" s="216" t="str">
        <f>IFERROR(IF(AND(ISNUMBER(O652),ISNUMBER(I652),I652&lt;&gt;0),O652/I652,""),"")</f>
        <v/>
      </c>
      <c r="Q652" s="215" t="str">
        <f>IF(AND(ISNUMBER(I652),ISNUMBER(S652)),I652*IF(S652&lt;=1,S652,S652/100),IF(OR(I652&lt;&gt;"",S652&lt;&gt;""),"tbd",""))</f>
        <v/>
      </c>
      <c r="S652" s="217" t="n"/>
      <c r="Z652" t="str">
        <f>IF(AND(R652="WON",ISNUMBER(I652)),AA652,"")</f>
        <v/>
      </c>
      <c r="AA652">
        <f>IFERROR(I652*1,0)</f>
        <v>0</v>
      </c>
      <c r="AB652">
        <f>N(AB651)+IF(AND(R652="WON",B652&lt;&gt;""),1,0)</f>
        <v>7</v>
      </c>
      <c r="AC652">
        <f>N(AC651)+IF(AND(OR(R652="offered",R652="to be offered",R652="on hold"),B652&lt;&gt;""),1,0)</f>
        <v>19</v>
      </c>
      <c r="AD652">
        <f>N(AD651)+IF(AND(OR(R652="follow-up",R652="Evaluation",R652="tbd",R652="In evaluation"),B652&lt;&gt;""),1,0)</f>
        <v>9</v>
      </c>
    </row>
    <row r="653" ht="15" customHeight="1">
      <c r="I653" s="215" t="n"/>
      <c r="J653" s="215" t="n"/>
      <c r="K653" s="215" t="n"/>
      <c r="L653" s="215" t="n"/>
      <c r="M653" s="215" t="n"/>
      <c r="N653" s="215" t="str">
        <f>IF(ISNUMBER(I653),ROUND(I653-I653/1.081,2),"")</f>
        <v/>
      </c>
      <c r="O653" s="215" t="str">
        <f>IF(ISNUMBER(I653),I653-SUM(J653:N653),"")</f>
        <v/>
      </c>
      <c r="P653" s="216" t="str">
        <f>IFERROR(IF(AND(ISNUMBER(O653),ISNUMBER(I653),I653&lt;&gt;0),O653/I653,""),"")</f>
        <v/>
      </c>
      <c r="Q653" s="215" t="str">
        <f>IF(AND(ISNUMBER(I653),ISNUMBER(S653)),I653*IF(S653&lt;=1,S653,S653/100),IF(OR(I653&lt;&gt;"",S653&lt;&gt;""),"tbd",""))</f>
        <v/>
      </c>
      <c r="S653" s="217" t="n"/>
      <c r="Z653" t="str">
        <f>IF(AND(R653="WON",ISNUMBER(I653)),AA653,"")</f>
        <v/>
      </c>
      <c r="AA653">
        <f>IFERROR(I653*1,0)</f>
        <v>0</v>
      </c>
      <c r="AB653">
        <f>N(AB652)+IF(AND(R653="WON",B653&lt;&gt;""),1,0)</f>
        <v>7</v>
      </c>
      <c r="AC653">
        <f>N(AC652)+IF(AND(OR(R653="offered",R653="to be offered",R653="on hold"),B653&lt;&gt;""),1,0)</f>
        <v>19</v>
      </c>
      <c r="AD653">
        <f>N(AD652)+IF(AND(OR(R653="follow-up",R653="Evaluation",R653="tbd",R653="In evaluation"),B653&lt;&gt;""),1,0)</f>
        <v>9</v>
      </c>
    </row>
    <row r="654" ht="15" customHeight="1">
      <c r="I654" s="215" t="n"/>
      <c r="J654" s="215" t="n"/>
      <c r="K654" s="215" t="n"/>
      <c r="L654" s="215" t="n"/>
      <c r="M654" s="215" t="n"/>
      <c r="N654" s="215" t="str">
        <f>IF(ISNUMBER(I654),ROUND(I654-I654/1.081,2),"")</f>
        <v/>
      </c>
      <c r="O654" s="215" t="str">
        <f>IF(ISNUMBER(I654),I654-SUM(J654:N654),"")</f>
        <v/>
      </c>
      <c r="P654" s="216" t="str">
        <f>IFERROR(IF(AND(ISNUMBER(O654),ISNUMBER(I654),I654&lt;&gt;0),O654/I654,""),"")</f>
        <v/>
      </c>
      <c r="Q654" s="215" t="str">
        <f>IF(AND(ISNUMBER(I654),ISNUMBER(S654)),I654*IF(S654&lt;=1,S654,S654/100),IF(OR(I654&lt;&gt;"",S654&lt;&gt;""),"tbd",""))</f>
        <v/>
      </c>
      <c r="S654" s="217" t="n"/>
      <c r="Z654" t="str">
        <f>IF(AND(R654="WON",ISNUMBER(I654)),AA654,"")</f>
        <v/>
      </c>
      <c r="AA654">
        <f>IFERROR(I654*1,0)</f>
        <v>0</v>
      </c>
      <c r="AB654">
        <f>N(AB653)+IF(AND(R654="WON",B654&lt;&gt;""),1,0)</f>
        <v>7</v>
      </c>
      <c r="AC654">
        <f>N(AC653)+IF(AND(OR(R654="offered",R654="to be offered",R654="on hold"),B654&lt;&gt;""),1,0)</f>
        <v>19</v>
      </c>
      <c r="AD654">
        <f>N(AD653)+IF(AND(OR(R654="follow-up",R654="Evaluation",R654="tbd",R654="In evaluation"),B654&lt;&gt;""),1,0)</f>
        <v>9</v>
      </c>
    </row>
    <row r="655" ht="15" customHeight="1">
      <c r="I655" s="215" t="n"/>
      <c r="J655" s="215" t="n"/>
      <c r="K655" s="215" t="n"/>
      <c r="L655" s="215" t="n"/>
      <c r="M655" s="215" t="n"/>
      <c r="N655" s="215" t="str">
        <f>IF(ISNUMBER(I655),ROUND(I655-I655/1.081,2),"")</f>
        <v/>
      </c>
      <c r="O655" s="215" t="str">
        <f>IF(ISNUMBER(I655),I655-SUM(J655:N655),"")</f>
        <v/>
      </c>
      <c r="P655" s="216" t="str">
        <f>IFERROR(IF(AND(ISNUMBER(O655),ISNUMBER(I655),I655&lt;&gt;0),O655/I655,""),"")</f>
        <v/>
      </c>
      <c r="Q655" s="215" t="str">
        <f>IF(AND(ISNUMBER(I655),ISNUMBER(S655)),I655*IF(S655&lt;=1,S655,S655/100),IF(OR(I655&lt;&gt;"",S655&lt;&gt;""),"tbd",""))</f>
        <v/>
      </c>
      <c r="S655" s="217" t="n"/>
      <c r="Z655" t="str">
        <f>IF(AND(R655="WON",ISNUMBER(I655)),AA655,"")</f>
        <v/>
      </c>
      <c r="AA655">
        <f>IFERROR(I655*1,0)</f>
        <v>0</v>
      </c>
      <c r="AB655">
        <f>N(AB654)+IF(AND(R655="WON",B655&lt;&gt;""),1,0)</f>
        <v>7</v>
      </c>
      <c r="AC655">
        <f>N(AC654)+IF(AND(OR(R655="offered",R655="to be offered",R655="on hold"),B655&lt;&gt;""),1,0)</f>
        <v>19</v>
      </c>
      <c r="AD655">
        <f>N(AD654)+IF(AND(OR(R655="follow-up",R655="Evaluation",R655="tbd",R655="In evaluation"),B655&lt;&gt;""),1,0)</f>
        <v>9</v>
      </c>
    </row>
    <row r="656" ht="15" customHeight="1">
      <c r="I656" s="215" t="n"/>
      <c r="J656" s="215" t="n"/>
      <c r="K656" s="215" t="n"/>
      <c r="L656" s="215" t="n"/>
      <c r="M656" s="215" t="n"/>
      <c r="N656" s="215" t="str">
        <f>IF(ISNUMBER(I656),ROUND(I656-I656/1.081,2),"")</f>
        <v/>
      </c>
      <c r="O656" s="215" t="str">
        <f>IF(ISNUMBER(I656),I656-SUM(J656:N656),"")</f>
        <v/>
      </c>
      <c r="P656" s="216" t="str">
        <f>IFERROR(IF(AND(ISNUMBER(O656),ISNUMBER(I656),I656&lt;&gt;0),O656/I656,""),"")</f>
        <v/>
      </c>
      <c r="Q656" s="215" t="str">
        <f>IF(AND(ISNUMBER(I656),ISNUMBER(S656)),I656*IF(S656&lt;=1,S656,S656/100),IF(OR(I656&lt;&gt;"",S656&lt;&gt;""),"tbd",""))</f>
        <v/>
      </c>
      <c r="S656" s="217" t="n"/>
      <c r="Z656" t="str">
        <f>IF(AND(R656="WON",ISNUMBER(I656)),AA656,"")</f>
        <v/>
      </c>
      <c r="AA656">
        <f>IFERROR(I656*1,0)</f>
        <v>0</v>
      </c>
      <c r="AB656">
        <f>N(AB655)+IF(AND(R656="WON",B656&lt;&gt;""),1,0)</f>
        <v>7</v>
      </c>
      <c r="AC656">
        <f>N(AC655)+IF(AND(OR(R656="offered",R656="to be offered",R656="on hold"),B656&lt;&gt;""),1,0)</f>
        <v>19</v>
      </c>
      <c r="AD656">
        <f>N(AD655)+IF(AND(OR(R656="follow-up",R656="Evaluation",R656="tbd",R656="In evaluation"),B656&lt;&gt;""),1,0)</f>
        <v>9</v>
      </c>
    </row>
    <row r="657" ht="15" customHeight="1">
      <c r="I657" s="215" t="n"/>
      <c r="J657" s="215" t="n"/>
      <c r="K657" s="215" t="n"/>
      <c r="L657" s="215" t="n"/>
      <c r="M657" s="215" t="n"/>
      <c r="N657" s="215" t="str">
        <f>IF(ISNUMBER(I657),ROUND(I657-I657/1.081,2),"")</f>
        <v/>
      </c>
      <c r="O657" s="215" t="str">
        <f>IF(ISNUMBER(I657),I657-SUM(J657:N657),"")</f>
        <v/>
      </c>
      <c r="P657" s="216" t="str">
        <f>IFERROR(IF(AND(ISNUMBER(O657),ISNUMBER(I657),I657&lt;&gt;0),O657/I657,""),"")</f>
        <v/>
      </c>
      <c r="Q657" s="215" t="str">
        <f>IF(AND(ISNUMBER(I657),ISNUMBER(S657)),I657*IF(S657&lt;=1,S657,S657/100),IF(OR(I657&lt;&gt;"",S657&lt;&gt;""),"tbd",""))</f>
        <v/>
      </c>
      <c r="S657" s="217" t="n"/>
      <c r="Z657" t="str">
        <f>IF(AND(R657="WON",ISNUMBER(I657)),AA657,"")</f>
        <v/>
      </c>
      <c r="AA657">
        <f>IFERROR(I657*1,0)</f>
        <v>0</v>
      </c>
      <c r="AB657">
        <f>N(AB656)+IF(AND(R657="WON",B657&lt;&gt;""),1,0)</f>
        <v>7</v>
      </c>
      <c r="AC657">
        <f>N(AC656)+IF(AND(OR(R657="offered",R657="to be offered",R657="on hold"),B657&lt;&gt;""),1,0)</f>
        <v>19</v>
      </c>
      <c r="AD657">
        <f>N(AD656)+IF(AND(OR(R657="follow-up",R657="Evaluation",R657="tbd",R657="In evaluation"),B657&lt;&gt;""),1,0)</f>
        <v>9</v>
      </c>
    </row>
    <row r="658" ht="15" customHeight="1">
      <c r="I658" s="215" t="n"/>
      <c r="J658" s="215" t="n"/>
      <c r="K658" s="215" t="n"/>
      <c r="L658" s="215" t="n"/>
      <c r="M658" s="215" t="n"/>
      <c r="N658" s="215" t="str">
        <f>IF(ISNUMBER(I658),ROUND(I658-I658/1.081,2),"")</f>
        <v/>
      </c>
      <c r="O658" s="215" t="str">
        <f>IF(ISNUMBER(I658),I658-SUM(J658:N658),"")</f>
        <v/>
      </c>
      <c r="P658" s="216" t="str">
        <f>IFERROR(IF(AND(ISNUMBER(O658),ISNUMBER(I658),I658&lt;&gt;0),O658/I658,""),"")</f>
        <v/>
      </c>
      <c r="Q658" s="215" t="str">
        <f>IF(AND(ISNUMBER(I658),ISNUMBER(S658)),I658*IF(S658&lt;=1,S658,S658/100),IF(OR(I658&lt;&gt;"",S658&lt;&gt;""),"tbd",""))</f>
        <v/>
      </c>
      <c r="S658" s="217" t="n"/>
      <c r="Z658" t="str">
        <f>IF(AND(R658="WON",ISNUMBER(I658)),AA658,"")</f>
        <v/>
      </c>
      <c r="AA658">
        <f>IFERROR(I658*1,0)</f>
        <v>0</v>
      </c>
      <c r="AB658">
        <f>N(AB657)+IF(AND(R658="WON",B658&lt;&gt;""),1,0)</f>
        <v>7</v>
      </c>
      <c r="AC658">
        <f>N(AC657)+IF(AND(OR(R658="offered",R658="to be offered",R658="on hold"),B658&lt;&gt;""),1,0)</f>
        <v>19</v>
      </c>
      <c r="AD658">
        <f>N(AD657)+IF(AND(OR(R658="follow-up",R658="Evaluation",R658="tbd",R658="In evaluation"),B658&lt;&gt;""),1,0)</f>
        <v>9</v>
      </c>
    </row>
    <row r="659" ht="15" customHeight="1">
      <c r="I659" s="215" t="n"/>
      <c r="J659" s="215" t="n"/>
      <c r="K659" s="215" t="n"/>
      <c r="L659" s="215" t="n"/>
      <c r="M659" s="215" t="n"/>
      <c r="N659" s="215" t="str">
        <f>IF(ISNUMBER(I659),ROUND(I659-I659/1.081,2),"")</f>
        <v/>
      </c>
      <c r="O659" s="215" t="str">
        <f>IF(ISNUMBER(I659),I659-SUM(J659:N659),"")</f>
        <v/>
      </c>
      <c r="P659" s="216" t="str">
        <f>IFERROR(IF(AND(ISNUMBER(O659),ISNUMBER(I659),I659&lt;&gt;0),O659/I659,""),"")</f>
        <v/>
      </c>
      <c r="Q659" s="215" t="str">
        <f>IF(AND(ISNUMBER(I659),ISNUMBER(S659)),I659*IF(S659&lt;=1,S659,S659/100),IF(OR(I659&lt;&gt;"",S659&lt;&gt;""),"tbd",""))</f>
        <v/>
      </c>
      <c r="S659" s="217" t="n"/>
      <c r="Z659" t="str">
        <f>IF(AND(R659="WON",ISNUMBER(I659)),AA659,"")</f>
        <v/>
      </c>
      <c r="AA659">
        <f>IFERROR(I659*1,0)</f>
        <v>0</v>
      </c>
      <c r="AB659">
        <f>N(AB658)+IF(AND(R659="WON",B659&lt;&gt;""),1,0)</f>
        <v>7</v>
      </c>
      <c r="AC659">
        <f>N(AC658)+IF(AND(OR(R659="offered",R659="to be offered",R659="on hold"),B659&lt;&gt;""),1,0)</f>
        <v>19</v>
      </c>
      <c r="AD659">
        <f>N(AD658)+IF(AND(OR(R659="follow-up",R659="Evaluation",R659="tbd",R659="In evaluation"),B659&lt;&gt;""),1,0)</f>
        <v>9</v>
      </c>
    </row>
    <row r="660" ht="15" customHeight="1">
      <c r="I660" s="215" t="n"/>
      <c r="J660" s="215" t="n"/>
      <c r="K660" s="215" t="n"/>
      <c r="L660" s="215" t="n"/>
      <c r="M660" s="215" t="n"/>
      <c r="N660" s="215" t="str">
        <f>IF(ISNUMBER(I660),ROUND(I660-I660/1.081,2),"")</f>
        <v/>
      </c>
      <c r="O660" s="215" t="str">
        <f>IF(ISNUMBER(I660),I660-SUM(J660:N660),"")</f>
        <v/>
      </c>
      <c r="P660" s="216" t="str">
        <f>IFERROR(IF(AND(ISNUMBER(O660),ISNUMBER(I660),I660&lt;&gt;0),O660/I660,""),"")</f>
        <v/>
      </c>
      <c r="Q660" s="215" t="str">
        <f>IF(AND(ISNUMBER(I660),ISNUMBER(S660)),I660*IF(S660&lt;=1,S660,S660/100),IF(OR(I660&lt;&gt;"",S660&lt;&gt;""),"tbd",""))</f>
        <v/>
      </c>
      <c r="S660" s="217" t="n"/>
      <c r="Z660" t="str">
        <f>IF(AND(R660="WON",ISNUMBER(I660)),AA660,"")</f>
        <v/>
      </c>
      <c r="AA660">
        <f>IFERROR(I660*1,0)</f>
        <v>0</v>
      </c>
      <c r="AB660">
        <f>N(AB659)+IF(AND(R660="WON",B660&lt;&gt;""),1,0)</f>
        <v>7</v>
      </c>
      <c r="AC660">
        <f>N(AC659)+IF(AND(OR(R660="offered",R660="to be offered",R660="on hold"),B660&lt;&gt;""),1,0)</f>
        <v>19</v>
      </c>
      <c r="AD660">
        <f>N(AD659)+IF(AND(OR(R660="follow-up",R660="Evaluation",R660="tbd",R660="In evaluation"),B660&lt;&gt;""),1,0)</f>
        <v>9</v>
      </c>
    </row>
    <row r="661" ht="15" customHeight="1">
      <c r="I661" s="215" t="n"/>
      <c r="J661" s="215" t="n"/>
      <c r="K661" s="215" t="n"/>
      <c r="L661" s="215" t="n"/>
      <c r="M661" s="215" t="n"/>
      <c r="N661" s="215" t="str">
        <f>IF(ISNUMBER(I661),ROUND(I661-I661/1.081,2),"")</f>
        <v/>
      </c>
      <c r="O661" s="215" t="str">
        <f>IF(ISNUMBER(I661),I661-SUM(J661:N661),"")</f>
        <v/>
      </c>
      <c r="P661" s="216" t="str">
        <f>IFERROR(IF(AND(ISNUMBER(O661),ISNUMBER(I661),I661&lt;&gt;0),O661/I661,""),"")</f>
        <v/>
      </c>
      <c r="Q661" s="215" t="str">
        <f>IF(AND(ISNUMBER(I661),ISNUMBER(S661)),I661*IF(S661&lt;=1,S661,S661/100),IF(OR(I661&lt;&gt;"",S661&lt;&gt;""),"tbd",""))</f>
        <v/>
      </c>
      <c r="S661" s="217" t="n"/>
      <c r="Z661" t="str">
        <f>IF(AND(R661="WON",ISNUMBER(I661)),AA661,"")</f>
        <v/>
      </c>
      <c r="AA661">
        <f>IFERROR(I661*1,0)</f>
        <v>0</v>
      </c>
      <c r="AB661">
        <f>N(AB660)+IF(AND(R661="WON",B661&lt;&gt;""),1,0)</f>
        <v>7</v>
      </c>
      <c r="AC661">
        <f>N(AC660)+IF(AND(OR(R661="offered",R661="to be offered",R661="on hold"),B661&lt;&gt;""),1,0)</f>
        <v>19</v>
      </c>
      <c r="AD661">
        <f>N(AD660)+IF(AND(OR(R661="follow-up",R661="Evaluation",R661="tbd",R661="In evaluation"),B661&lt;&gt;""),1,0)</f>
        <v>9</v>
      </c>
    </row>
    <row r="662" ht="15" customHeight="1">
      <c r="I662" s="215" t="n"/>
      <c r="J662" s="215" t="n"/>
      <c r="K662" s="215" t="n"/>
      <c r="L662" s="215" t="n"/>
      <c r="M662" s="215" t="n"/>
      <c r="N662" s="215" t="str">
        <f>IF(ISNUMBER(I662),ROUND(I662-I662/1.081,2),"")</f>
        <v/>
      </c>
      <c r="O662" s="215" t="str">
        <f>IF(ISNUMBER(I662),I662-SUM(J662:N662),"")</f>
        <v/>
      </c>
      <c r="P662" s="216" t="str">
        <f>IFERROR(IF(AND(ISNUMBER(O662),ISNUMBER(I662),I662&lt;&gt;0),O662/I662,""),"")</f>
        <v/>
      </c>
      <c r="Q662" s="215" t="str">
        <f>IF(AND(ISNUMBER(I662),ISNUMBER(S662)),I662*IF(S662&lt;=1,S662,S662/100),IF(OR(I662&lt;&gt;"",S662&lt;&gt;""),"tbd",""))</f>
        <v/>
      </c>
      <c r="S662" s="217" t="n"/>
      <c r="Z662" t="str">
        <f>IF(AND(R662="WON",ISNUMBER(I662)),AA662,"")</f>
        <v/>
      </c>
      <c r="AA662">
        <f>IFERROR(I662*1,0)</f>
        <v>0</v>
      </c>
      <c r="AB662">
        <f>N(AB661)+IF(AND(R662="WON",B662&lt;&gt;""),1,0)</f>
        <v>7</v>
      </c>
      <c r="AC662">
        <f>N(AC661)+IF(AND(OR(R662="offered",R662="to be offered",R662="on hold"),B662&lt;&gt;""),1,0)</f>
        <v>19</v>
      </c>
      <c r="AD662">
        <f>N(AD661)+IF(AND(OR(R662="follow-up",R662="Evaluation",R662="tbd",R662="In evaluation"),B662&lt;&gt;""),1,0)</f>
        <v>9</v>
      </c>
    </row>
    <row r="663" ht="15" customHeight="1">
      <c r="I663" s="215" t="n"/>
      <c r="J663" s="215" t="n"/>
      <c r="K663" s="215" t="n"/>
      <c r="L663" s="215" t="n"/>
      <c r="M663" s="215" t="n"/>
      <c r="N663" s="215" t="str">
        <f>IF(ISNUMBER(I663),ROUND(I663-I663/1.081,2),"")</f>
        <v/>
      </c>
      <c r="O663" s="215" t="str">
        <f>IF(ISNUMBER(I663),I663-SUM(J663:N663),"")</f>
        <v/>
      </c>
      <c r="P663" s="216" t="str">
        <f>IFERROR(IF(AND(ISNUMBER(O663),ISNUMBER(I663),I663&lt;&gt;0),O663/I663,""),"")</f>
        <v/>
      </c>
      <c r="Q663" s="215" t="str">
        <f>IF(AND(ISNUMBER(I663),ISNUMBER(S663)),I663*IF(S663&lt;=1,S663,S663/100),IF(OR(I663&lt;&gt;"",S663&lt;&gt;""),"tbd",""))</f>
        <v/>
      </c>
      <c r="S663" s="217" t="n"/>
      <c r="Z663" t="str">
        <f>IF(AND(R663="WON",ISNUMBER(I663)),AA663,"")</f>
        <v/>
      </c>
      <c r="AA663">
        <f>IFERROR(I663*1,0)</f>
        <v>0</v>
      </c>
      <c r="AB663">
        <f>N(AB662)+IF(AND(R663="WON",B663&lt;&gt;""),1,0)</f>
        <v>7</v>
      </c>
      <c r="AC663">
        <f>N(AC662)+IF(AND(OR(R663="offered",R663="to be offered",R663="on hold"),B663&lt;&gt;""),1,0)</f>
        <v>19</v>
      </c>
      <c r="AD663">
        <f>N(AD662)+IF(AND(OR(R663="follow-up",R663="Evaluation",R663="tbd",R663="In evaluation"),B663&lt;&gt;""),1,0)</f>
        <v>9</v>
      </c>
    </row>
    <row r="664" ht="15" customHeight="1">
      <c r="I664" s="215" t="n"/>
      <c r="J664" s="215" t="n"/>
      <c r="K664" s="215" t="n"/>
      <c r="L664" s="215" t="n"/>
      <c r="M664" s="215" t="n"/>
      <c r="N664" s="215" t="str">
        <f>IF(ISNUMBER(I664),ROUND(I664-I664/1.081,2),"")</f>
        <v/>
      </c>
      <c r="O664" s="215" t="str">
        <f>IF(ISNUMBER(I664),I664-SUM(J664:N664),"")</f>
        <v/>
      </c>
      <c r="P664" s="216" t="str">
        <f>IFERROR(IF(AND(ISNUMBER(O664),ISNUMBER(I664),I664&lt;&gt;0),O664/I664,""),"")</f>
        <v/>
      </c>
      <c r="Q664" s="215" t="str">
        <f>IF(AND(ISNUMBER(I664),ISNUMBER(S664)),I664*IF(S664&lt;=1,S664,S664/100),IF(OR(I664&lt;&gt;"",S664&lt;&gt;""),"tbd",""))</f>
        <v/>
      </c>
      <c r="S664" s="217" t="n"/>
      <c r="Z664" t="str">
        <f>IF(AND(R664="WON",ISNUMBER(I664)),AA664,"")</f>
        <v/>
      </c>
      <c r="AA664">
        <f>IFERROR(I664*1,0)</f>
        <v>0</v>
      </c>
      <c r="AB664">
        <f>N(AB663)+IF(AND(R664="WON",B664&lt;&gt;""),1,0)</f>
        <v>7</v>
      </c>
      <c r="AC664">
        <f>N(AC663)+IF(AND(OR(R664="offered",R664="to be offered",R664="on hold"),B664&lt;&gt;""),1,0)</f>
        <v>19</v>
      </c>
      <c r="AD664">
        <f>N(AD663)+IF(AND(OR(R664="follow-up",R664="Evaluation",R664="tbd",R664="In evaluation"),B664&lt;&gt;""),1,0)</f>
        <v>9</v>
      </c>
    </row>
    <row r="665" ht="15" customHeight="1">
      <c r="I665" s="215" t="n"/>
      <c r="J665" s="215" t="n"/>
      <c r="K665" s="215" t="n"/>
      <c r="L665" s="215" t="n"/>
      <c r="M665" s="215" t="n"/>
      <c r="N665" s="215" t="str">
        <f>IF(ISNUMBER(I665),ROUND(I665-I665/1.081,2),"")</f>
        <v/>
      </c>
      <c r="O665" s="215" t="str">
        <f>IF(ISNUMBER(I665),I665-SUM(J665:N665),"")</f>
        <v/>
      </c>
      <c r="P665" s="216" t="str">
        <f>IFERROR(IF(AND(ISNUMBER(O665),ISNUMBER(I665),I665&lt;&gt;0),O665/I665,""),"")</f>
        <v/>
      </c>
      <c r="Q665" s="215" t="str">
        <f>IF(AND(ISNUMBER(I665),ISNUMBER(S665)),I665*IF(S665&lt;=1,S665,S665/100),IF(OR(I665&lt;&gt;"",S665&lt;&gt;""),"tbd",""))</f>
        <v/>
      </c>
      <c r="S665" s="217" t="n"/>
      <c r="Z665" t="str">
        <f>IF(AND(R665="WON",ISNUMBER(I665)),AA665,"")</f>
        <v/>
      </c>
      <c r="AA665">
        <f>IFERROR(I665*1,0)</f>
        <v>0</v>
      </c>
      <c r="AB665">
        <f>N(AB664)+IF(AND(R665="WON",B665&lt;&gt;""),1,0)</f>
        <v>7</v>
      </c>
      <c r="AC665">
        <f>N(AC664)+IF(AND(OR(R665="offered",R665="to be offered",R665="on hold"),B665&lt;&gt;""),1,0)</f>
        <v>19</v>
      </c>
      <c r="AD665">
        <f>N(AD664)+IF(AND(OR(R665="follow-up",R665="Evaluation",R665="tbd",R665="In evaluation"),B665&lt;&gt;""),1,0)</f>
        <v>9</v>
      </c>
    </row>
    <row r="666" ht="15" customHeight="1">
      <c r="I666" s="215" t="n"/>
      <c r="J666" s="215" t="n"/>
      <c r="K666" s="215" t="n"/>
      <c r="L666" s="215" t="n"/>
      <c r="M666" s="215" t="n"/>
      <c r="N666" s="215" t="str">
        <f>IF(ISNUMBER(I666),ROUND(I666-I666/1.081,2),"")</f>
        <v/>
      </c>
      <c r="O666" s="215" t="str">
        <f>IF(ISNUMBER(I666),I666-SUM(J666:N666),"")</f>
        <v/>
      </c>
      <c r="P666" s="216" t="str">
        <f>IFERROR(IF(AND(ISNUMBER(O666),ISNUMBER(I666),I666&lt;&gt;0),O666/I666,""),"")</f>
        <v/>
      </c>
      <c r="Q666" s="215" t="str">
        <f>IF(AND(ISNUMBER(I666),ISNUMBER(S666)),I666*IF(S666&lt;=1,S666,S666/100),IF(OR(I666&lt;&gt;"",S666&lt;&gt;""),"tbd",""))</f>
        <v/>
      </c>
      <c r="S666" s="217" t="n"/>
      <c r="Z666" t="str">
        <f>IF(AND(R666="WON",ISNUMBER(I666)),AA666,"")</f>
        <v/>
      </c>
      <c r="AA666">
        <f>IFERROR(I666*1,0)</f>
        <v>0</v>
      </c>
      <c r="AB666">
        <f>N(AB665)+IF(AND(R666="WON",B666&lt;&gt;""),1,0)</f>
        <v>7</v>
      </c>
      <c r="AC666">
        <f>N(AC665)+IF(AND(OR(R666="offered",R666="to be offered",R666="on hold"),B666&lt;&gt;""),1,0)</f>
        <v>19</v>
      </c>
      <c r="AD666">
        <f>N(AD665)+IF(AND(OR(R666="follow-up",R666="Evaluation",R666="tbd",R666="In evaluation"),B666&lt;&gt;""),1,0)</f>
        <v>9</v>
      </c>
    </row>
    <row r="667" ht="15" customHeight="1">
      <c r="I667" s="215" t="n"/>
      <c r="J667" s="215" t="n"/>
      <c r="K667" s="215" t="n"/>
      <c r="L667" s="215" t="n"/>
      <c r="M667" s="215" t="n"/>
      <c r="N667" s="215" t="str">
        <f>IF(ISNUMBER(I667),ROUND(I667-I667/1.081,2),"")</f>
        <v/>
      </c>
      <c r="O667" s="215" t="str">
        <f>IF(ISNUMBER(I667),I667-SUM(J667:N667),"")</f>
        <v/>
      </c>
      <c r="P667" s="216" t="str">
        <f>IFERROR(IF(AND(ISNUMBER(O667),ISNUMBER(I667),I667&lt;&gt;0),O667/I667,""),"")</f>
        <v/>
      </c>
      <c r="Q667" s="215" t="str">
        <f>IF(AND(ISNUMBER(I667),ISNUMBER(S667)),I667*IF(S667&lt;=1,S667,S667/100),IF(OR(I667&lt;&gt;"",S667&lt;&gt;""),"tbd",""))</f>
        <v/>
      </c>
      <c r="S667" s="217" t="n"/>
      <c r="Z667" t="str">
        <f>IF(AND(R667="WON",ISNUMBER(I667)),AA667,"")</f>
        <v/>
      </c>
      <c r="AA667">
        <f>IFERROR(I667*1,0)</f>
        <v>0</v>
      </c>
      <c r="AB667">
        <f>N(AB666)+IF(AND(R667="WON",B667&lt;&gt;""),1,0)</f>
        <v>7</v>
      </c>
      <c r="AC667">
        <f>N(AC666)+IF(AND(OR(R667="offered",R667="to be offered",R667="on hold"),B667&lt;&gt;""),1,0)</f>
        <v>19</v>
      </c>
      <c r="AD667">
        <f>N(AD666)+IF(AND(OR(R667="follow-up",R667="Evaluation",R667="tbd",R667="In evaluation"),B667&lt;&gt;""),1,0)</f>
        <v>9</v>
      </c>
    </row>
    <row r="668" ht="15" customHeight="1">
      <c r="I668" s="215" t="n"/>
      <c r="J668" s="215" t="n"/>
      <c r="K668" s="215" t="n"/>
      <c r="L668" s="215" t="n"/>
      <c r="M668" s="215" t="n"/>
      <c r="N668" s="215" t="str">
        <f>IF(ISNUMBER(I668),ROUND(I668-I668/1.081,2),"")</f>
        <v/>
      </c>
      <c r="O668" s="215" t="str">
        <f>IF(ISNUMBER(I668),I668-SUM(J668:N668),"")</f>
        <v/>
      </c>
      <c r="P668" s="216" t="str">
        <f>IFERROR(IF(AND(ISNUMBER(O668),ISNUMBER(I668),I668&lt;&gt;0),O668/I668,""),"")</f>
        <v/>
      </c>
      <c r="Q668" s="215" t="str">
        <f>IF(AND(ISNUMBER(I668),ISNUMBER(S668)),I668*IF(S668&lt;=1,S668,S668/100),IF(OR(I668&lt;&gt;"",S668&lt;&gt;""),"tbd",""))</f>
        <v/>
      </c>
      <c r="S668" s="217" t="n"/>
      <c r="Z668" t="str">
        <f>IF(AND(R668="WON",ISNUMBER(I668)),AA668,"")</f>
        <v/>
      </c>
      <c r="AA668">
        <f>IFERROR(I668*1,0)</f>
        <v>0</v>
      </c>
      <c r="AB668">
        <f>N(AB667)+IF(AND(R668="WON",B668&lt;&gt;""),1,0)</f>
        <v>7</v>
      </c>
      <c r="AC668">
        <f>N(AC667)+IF(AND(OR(R668="offered",R668="to be offered",R668="on hold"),B668&lt;&gt;""),1,0)</f>
        <v>19</v>
      </c>
      <c r="AD668">
        <f>N(AD667)+IF(AND(OR(R668="follow-up",R668="Evaluation",R668="tbd",R668="In evaluation"),B668&lt;&gt;""),1,0)</f>
        <v>9</v>
      </c>
    </row>
    <row r="669" ht="15" customHeight="1">
      <c r="I669" s="215" t="n"/>
      <c r="J669" s="215" t="n"/>
      <c r="K669" s="215" t="n"/>
      <c r="L669" s="215" t="n"/>
      <c r="M669" s="215" t="n"/>
      <c r="N669" s="215" t="str">
        <f>IF(ISNUMBER(I669),ROUND(I669-I669/1.081,2),"")</f>
        <v/>
      </c>
      <c r="O669" s="215" t="str">
        <f>IF(ISNUMBER(I669),I669-SUM(J669:N669),"")</f>
        <v/>
      </c>
      <c r="P669" s="216" t="str">
        <f>IFERROR(IF(AND(ISNUMBER(O669),ISNUMBER(I669),I669&lt;&gt;0),O669/I669,""),"")</f>
        <v/>
      </c>
      <c r="Q669" s="215" t="str">
        <f>IF(AND(ISNUMBER(I669),ISNUMBER(S669)),I669*IF(S669&lt;=1,S669,S669/100),IF(OR(I669&lt;&gt;"",S669&lt;&gt;""),"tbd",""))</f>
        <v/>
      </c>
      <c r="S669" s="217" t="n"/>
      <c r="Z669" t="str">
        <f>IF(AND(R669="WON",ISNUMBER(I669)),AA669,"")</f>
        <v/>
      </c>
      <c r="AA669">
        <f>IFERROR(I669*1,0)</f>
        <v>0</v>
      </c>
      <c r="AB669">
        <f>N(AB668)+IF(AND(R669="WON",B669&lt;&gt;""),1,0)</f>
        <v>7</v>
      </c>
      <c r="AC669">
        <f>N(AC668)+IF(AND(OR(R669="offered",R669="to be offered",R669="on hold"),B669&lt;&gt;""),1,0)</f>
        <v>19</v>
      </c>
      <c r="AD669">
        <f>N(AD668)+IF(AND(OR(R669="follow-up",R669="Evaluation",R669="tbd",R669="In evaluation"),B669&lt;&gt;""),1,0)</f>
        <v>9</v>
      </c>
    </row>
    <row r="670" ht="15" customHeight="1">
      <c r="I670" s="215" t="n"/>
      <c r="J670" s="215" t="n"/>
      <c r="K670" s="215" t="n"/>
      <c r="L670" s="215" t="n"/>
      <c r="M670" s="215" t="n"/>
      <c r="N670" s="215" t="str">
        <f>IF(ISNUMBER(I670),ROUND(I670-I670/1.081,2),"")</f>
        <v/>
      </c>
      <c r="O670" s="215" t="str">
        <f>IF(ISNUMBER(I670),I670-SUM(J670:N670),"")</f>
        <v/>
      </c>
      <c r="P670" s="216" t="str">
        <f>IFERROR(IF(AND(ISNUMBER(O670),ISNUMBER(I670),I670&lt;&gt;0),O670/I670,""),"")</f>
        <v/>
      </c>
      <c r="Q670" s="215" t="str">
        <f>IF(AND(ISNUMBER(I670),ISNUMBER(S670)),I670*IF(S670&lt;=1,S670,S670/100),IF(OR(I670&lt;&gt;"",S670&lt;&gt;""),"tbd",""))</f>
        <v/>
      </c>
      <c r="S670" s="217" t="n"/>
      <c r="Z670" t="str">
        <f>IF(AND(R670="WON",ISNUMBER(I670)),AA670,"")</f>
        <v/>
      </c>
      <c r="AA670">
        <f>IFERROR(I670*1,0)</f>
        <v>0</v>
      </c>
      <c r="AB670">
        <f>N(AB669)+IF(AND(R670="WON",B670&lt;&gt;""),1,0)</f>
        <v>7</v>
      </c>
      <c r="AC670">
        <f>N(AC669)+IF(AND(OR(R670="offered",R670="to be offered",R670="on hold"),B670&lt;&gt;""),1,0)</f>
        <v>19</v>
      </c>
      <c r="AD670">
        <f>N(AD669)+IF(AND(OR(R670="follow-up",R670="Evaluation",R670="tbd",R670="In evaluation"),B670&lt;&gt;""),1,0)</f>
        <v>9</v>
      </c>
    </row>
    <row r="671" ht="15" customHeight="1">
      <c r="I671" s="215" t="n"/>
      <c r="J671" s="215" t="n"/>
      <c r="K671" s="215" t="n"/>
      <c r="L671" s="215" t="n"/>
      <c r="M671" s="215" t="n"/>
      <c r="N671" s="215" t="str">
        <f>IF(ISNUMBER(I671),ROUND(I671-I671/1.081,2),"")</f>
        <v/>
      </c>
      <c r="O671" s="215" t="str">
        <f>IF(ISNUMBER(I671),I671-SUM(J671:N671),"")</f>
        <v/>
      </c>
      <c r="P671" s="216" t="str">
        <f>IFERROR(IF(AND(ISNUMBER(O671),ISNUMBER(I671),I671&lt;&gt;0),O671/I671,""),"")</f>
        <v/>
      </c>
      <c r="Q671" s="215" t="str">
        <f>IF(AND(ISNUMBER(I671),ISNUMBER(S671)),I671*IF(S671&lt;=1,S671,S671/100),IF(OR(I671&lt;&gt;"",S671&lt;&gt;""),"tbd",""))</f>
        <v/>
      </c>
      <c r="S671" s="217" t="n"/>
      <c r="Z671" t="str">
        <f>IF(AND(R671="WON",ISNUMBER(I671)),AA671,"")</f>
        <v/>
      </c>
      <c r="AA671">
        <f>IFERROR(I671*1,0)</f>
        <v>0</v>
      </c>
      <c r="AB671">
        <f>N(AB670)+IF(AND(R671="WON",B671&lt;&gt;""),1,0)</f>
        <v>7</v>
      </c>
      <c r="AC671">
        <f>N(AC670)+IF(AND(OR(R671="offered",R671="to be offered",R671="on hold"),B671&lt;&gt;""),1,0)</f>
        <v>19</v>
      </c>
      <c r="AD671">
        <f>N(AD670)+IF(AND(OR(R671="follow-up",R671="Evaluation",R671="tbd",R671="In evaluation"),B671&lt;&gt;""),1,0)</f>
        <v>9</v>
      </c>
    </row>
    <row r="672" ht="15" customHeight="1">
      <c r="I672" s="215" t="n"/>
      <c r="J672" s="215" t="n"/>
      <c r="K672" s="215" t="n"/>
      <c r="L672" s="215" t="n"/>
      <c r="M672" s="215" t="n"/>
      <c r="N672" s="215" t="str">
        <f>IF(ISNUMBER(I672),ROUND(I672-I672/1.081,2),"")</f>
        <v/>
      </c>
      <c r="O672" s="215" t="str">
        <f>IF(ISNUMBER(I672),I672-SUM(J672:N672),"")</f>
        <v/>
      </c>
      <c r="P672" s="216" t="str">
        <f>IFERROR(IF(AND(ISNUMBER(O672),ISNUMBER(I672),I672&lt;&gt;0),O672/I672,""),"")</f>
        <v/>
      </c>
      <c r="Q672" s="215" t="str">
        <f>IF(AND(ISNUMBER(I672),ISNUMBER(S672)),I672*IF(S672&lt;=1,S672,S672/100),IF(OR(I672&lt;&gt;"",S672&lt;&gt;""),"tbd",""))</f>
        <v/>
      </c>
      <c r="S672" s="217" t="n"/>
      <c r="Z672" t="str">
        <f>IF(AND(R672="WON",ISNUMBER(I672)),AA672,"")</f>
        <v/>
      </c>
      <c r="AA672">
        <f>IFERROR(I672*1,0)</f>
        <v>0</v>
      </c>
      <c r="AB672">
        <f>N(AB671)+IF(AND(R672="WON",B672&lt;&gt;""),1,0)</f>
        <v>7</v>
      </c>
      <c r="AC672">
        <f>N(AC671)+IF(AND(OR(R672="offered",R672="to be offered",R672="on hold"),B672&lt;&gt;""),1,0)</f>
        <v>19</v>
      </c>
      <c r="AD672">
        <f>N(AD671)+IF(AND(OR(R672="follow-up",R672="Evaluation",R672="tbd",R672="In evaluation"),B672&lt;&gt;""),1,0)</f>
        <v>9</v>
      </c>
    </row>
    <row r="673" ht="15" customHeight="1">
      <c r="I673" s="215" t="n"/>
      <c r="J673" s="215" t="n"/>
      <c r="K673" s="215" t="n"/>
      <c r="L673" s="215" t="n"/>
      <c r="M673" s="215" t="n"/>
      <c r="N673" s="215" t="str">
        <f>IF(ISNUMBER(I673),ROUND(I673-I673/1.081,2),"")</f>
        <v/>
      </c>
      <c r="O673" s="215" t="str">
        <f>IF(ISNUMBER(I673),I673-SUM(J673:N673),"")</f>
        <v/>
      </c>
      <c r="P673" s="216" t="str">
        <f>IFERROR(IF(AND(ISNUMBER(O673),ISNUMBER(I673),I673&lt;&gt;0),O673/I673,""),"")</f>
        <v/>
      </c>
      <c r="Q673" s="215" t="str">
        <f>IF(AND(ISNUMBER(I673),ISNUMBER(S673)),I673*IF(S673&lt;=1,S673,S673/100),IF(OR(I673&lt;&gt;"",S673&lt;&gt;""),"tbd",""))</f>
        <v/>
      </c>
      <c r="S673" s="217" t="n"/>
      <c r="Z673" t="str">
        <f>IF(AND(R673="WON",ISNUMBER(I673)),AA673,"")</f>
        <v/>
      </c>
      <c r="AA673">
        <f>IFERROR(I673*1,0)</f>
        <v>0</v>
      </c>
      <c r="AB673">
        <f>N(AB672)+IF(AND(R673="WON",B673&lt;&gt;""),1,0)</f>
        <v>7</v>
      </c>
      <c r="AC673">
        <f>N(AC672)+IF(AND(OR(R673="offered",R673="to be offered",R673="on hold"),B673&lt;&gt;""),1,0)</f>
        <v>19</v>
      </c>
      <c r="AD673">
        <f>N(AD672)+IF(AND(OR(R673="follow-up",R673="Evaluation",R673="tbd",R673="In evaluation"),B673&lt;&gt;""),1,0)</f>
        <v>9</v>
      </c>
    </row>
    <row r="674" ht="15" customHeight="1">
      <c r="I674" s="215" t="n"/>
      <c r="J674" s="215" t="n"/>
      <c r="K674" s="215" t="n"/>
      <c r="L674" s="215" t="n"/>
      <c r="M674" s="215" t="n"/>
      <c r="N674" s="215" t="str">
        <f>IF(ISNUMBER(I674),ROUND(I674-I674/1.081,2),"")</f>
        <v/>
      </c>
      <c r="O674" s="215" t="str">
        <f>IF(ISNUMBER(I674),I674-SUM(J674:N674),"")</f>
        <v/>
      </c>
      <c r="P674" s="216" t="str">
        <f>IFERROR(IF(AND(ISNUMBER(O674),ISNUMBER(I674),I674&lt;&gt;0),O674/I674,""),"")</f>
        <v/>
      </c>
      <c r="Q674" s="215" t="str">
        <f>IF(AND(ISNUMBER(I674),ISNUMBER(S674)),I674*IF(S674&lt;=1,S674,S674/100),IF(OR(I674&lt;&gt;"",S674&lt;&gt;""),"tbd",""))</f>
        <v/>
      </c>
      <c r="S674" s="217" t="n"/>
      <c r="Z674" t="str">
        <f>IF(AND(R674="WON",ISNUMBER(I674)),AA674,"")</f>
        <v/>
      </c>
      <c r="AA674">
        <f>IFERROR(I674*1,0)</f>
        <v>0</v>
      </c>
      <c r="AB674">
        <f>N(AB673)+IF(AND(R674="WON",B674&lt;&gt;""),1,0)</f>
        <v>7</v>
      </c>
      <c r="AC674">
        <f>N(AC673)+IF(AND(OR(R674="offered",R674="to be offered",R674="on hold"),B674&lt;&gt;""),1,0)</f>
        <v>19</v>
      </c>
      <c r="AD674">
        <f>N(AD673)+IF(AND(OR(R674="follow-up",R674="Evaluation",R674="tbd",R674="In evaluation"),B674&lt;&gt;""),1,0)</f>
        <v>9</v>
      </c>
    </row>
    <row r="675" ht="15" customHeight="1">
      <c r="I675" s="215" t="n"/>
      <c r="J675" s="215" t="n"/>
      <c r="K675" s="215" t="n"/>
      <c r="L675" s="215" t="n"/>
      <c r="M675" s="215" t="n"/>
      <c r="N675" s="215" t="str">
        <f>IF(ISNUMBER(I675),ROUND(I675-I675/1.081,2),"")</f>
        <v/>
      </c>
      <c r="O675" s="215" t="str">
        <f>IF(ISNUMBER(I675),I675-SUM(J675:N675),"")</f>
        <v/>
      </c>
      <c r="P675" s="216" t="str">
        <f>IFERROR(IF(AND(ISNUMBER(O675),ISNUMBER(I675),I675&lt;&gt;0),O675/I675,""),"")</f>
        <v/>
      </c>
      <c r="Q675" s="215" t="str">
        <f>IF(AND(ISNUMBER(I675),ISNUMBER(S675)),I675*IF(S675&lt;=1,S675,S675/100),IF(OR(I675&lt;&gt;"",S675&lt;&gt;""),"tbd",""))</f>
        <v/>
      </c>
      <c r="S675" s="217" t="n"/>
      <c r="Z675" t="str">
        <f>IF(AND(R675="WON",ISNUMBER(I675)),AA675,"")</f>
        <v/>
      </c>
      <c r="AA675">
        <f>IFERROR(I675*1,0)</f>
        <v>0</v>
      </c>
      <c r="AB675">
        <f>N(AB674)+IF(AND(R675="WON",B675&lt;&gt;""),1,0)</f>
        <v>7</v>
      </c>
      <c r="AC675">
        <f>N(AC674)+IF(AND(OR(R675="offered",R675="to be offered",R675="on hold"),B675&lt;&gt;""),1,0)</f>
        <v>19</v>
      </c>
      <c r="AD675">
        <f>N(AD674)+IF(AND(OR(R675="follow-up",R675="Evaluation",R675="tbd",R675="In evaluation"),B675&lt;&gt;""),1,0)</f>
        <v>9</v>
      </c>
    </row>
    <row r="676" ht="15" customHeight="1">
      <c r="I676" s="215" t="n"/>
      <c r="J676" s="215" t="n"/>
      <c r="K676" s="215" t="n"/>
      <c r="L676" s="215" t="n"/>
      <c r="M676" s="215" t="n"/>
      <c r="N676" s="215" t="str">
        <f>IF(ISNUMBER(I676),ROUND(I676-I676/1.081,2),"")</f>
        <v/>
      </c>
      <c r="O676" s="215" t="str">
        <f>IF(ISNUMBER(I676),I676-SUM(J676:N676),"")</f>
        <v/>
      </c>
      <c r="P676" s="216" t="str">
        <f>IFERROR(IF(AND(ISNUMBER(O676),ISNUMBER(I676),I676&lt;&gt;0),O676/I676,""),"")</f>
        <v/>
      </c>
      <c r="Q676" s="215" t="str">
        <f>IF(AND(ISNUMBER(I676),ISNUMBER(S676)),I676*IF(S676&lt;=1,S676,S676/100),IF(OR(I676&lt;&gt;"",S676&lt;&gt;""),"tbd",""))</f>
        <v/>
      </c>
      <c r="S676" s="217" t="n"/>
      <c r="Z676" t="str">
        <f>IF(AND(R676="WON",ISNUMBER(I676)),AA676,"")</f>
        <v/>
      </c>
      <c r="AA676">
        <f>IFERROR(I676*1,0)</f>
        <v>0</v>
      </c>
      <c r="AB676">
        <f>N(AB675)+IF(AND(R676="WON",B676&lt;&gt;""),1,0)</f>
        <v>7</v>
      </c>
      <c r="AC676">
        <f>N(AC675)+IF(AND(OR(R676="offered",R676="to be offered",R676="on hold"),B676&lt;&gt;""),1,0)</f>
        <v>19</v>
      </c>
      <c r="AD676">
        <f>N(AD675)+IF(AND(OR(R676="follow-up",R676="Evaluation",R676="tbd",R676="In evaluation"),B676&lt;&gt;""),1,0)</f>
        <v>9</v>
      </c>
    </row>
    <row r="677" ht="15" customHeight="1">
      <c r="I677" s="215" t="n"/>
      <c r="J677" s="215" t="n"/>
      <c r="K677" s="215" t="n"/>
      <c r="L677" s="215" t="n"/>
      <c r="M677" s="215" t="n"/>
      <c r="N677" s="215" t="str">
        <f>IF(ISNUMBER(I677),ROUND(I677-I677/1.081,2),"")</f>
        <v/>
      </c>
      <c r="O677" s="215" t="str">
        <f>IF(ISNUMBER(I677),I677-SUM(J677:N677),"")</f>
        <v/>
      </c>
      <c r="P677" s="216" t="str">
        <f>IFERROR(IF(AND(ISNUMBER(O677),ISNUMBER(I677),I677&lt;&gt;0),O677/I677,""),"")</f>
        <v/>
      </c>
      <c r="Q677" s="215" t="str">
        <f>IF(AND(ISNUMBER(I677),ISNUMBER(S677)),I677*IF(S677&lt;=1,S677,S677/100),IF(OR(I677&lt;&gt;"",S677&lt;&gt;""),"tbd",""))</f>
        <v/>
      </c>
      <c r="S677" s="217" t="n"/>
      <c r="Z677" t="str">
        <f>IF(AND(R677="WON",ISNUMBER(I677)),AA677,"")</f>
        <v/>
      </c>
      <c r="AA677">
        <f>IFERROR(I677*1,0)</f>
        <v>0</v>
      </c>
      <c r="AB677">
        <f>N(AB676)+IF(AND(R677="WON",B677&lt;&gt;""),1,0)</f>
        <v>7</v>
      </c>
      <c r="AC677">
        <f>N(AC676)+IF(AND(OR(R677="offered",R677="to be offered",R677="on hold"),B677&lt;&gt;""),1,0)</f>
        <v>19</v>
      </c>
      <c r="AD677">
        <f>N(AD676)+IF(AND(OR(R677="follow-up",R677="Evaluation",R677="tbd",R677="In evaluation"),B677&lt;&gt;""),1,0)</f>
        <v>9</v>
      </c>
    </row>
    <row r="678" ht="15" customHeight="1">
      <c r="I678" s="215" t="n"/>
      <c r="J678" s="215" t="n"/>
      <c r="K678" s="215" t="n"/>
      <c r="L678" s="215" t="n"/>
      <c r="M678" s="215" t="n"/>
      <c r="N678" s="215" t="str">
        <f>IF(ISNUMBER(I678),ROUND(I678-I678/1.081,2),"")</f>
        <v/>
      </c>
      <c r="O678" s="215" t="str">
        <f>IF(ISNUMBER(I678),I678-SUM(J678:N678),"")</f>
        <v/>
      </c>
      <c r="P678" s="216" t="str">
        <f>IFERROR(IF(AND(ISNUMBER(O678),ISNUMBER(I678),I678&lt;&gt;0),O678/I678,""),"")</f>
        <v/>
      </c>
      <c r="Q678" s="215" t="str">
        <f>IF(AND(ISNUMBER(I678),ISNUMBER(S678)),I678*IF(S678&lt;=1,S678,S678/100),IF(OR(I678&lt;&gt;"",S678&lt;&gt;""),"tbd",""))</f>
        <v/>
      </c>
      <c r="S678" s="217" t="n"/>
      <c r="Z678" t="str">
        <f>IF(AND(R678="WON",ISNUMBER(I678)),AA678,"")</f>
        <v/>
      </c>
      <c r="AA678">
        <f>IFERROR(I678*1,0)</f>
        <v>0</v>
      </c>
      <c r="AB678">
        <f>N(AB677)+IF(AND(R678="WON",B678&lt;&gt;""),1,0)</f>
        <v>7</v>
      </c>
      <c r="AC678">
        <f>N(AC677)+IF(AND(OR(R678="offered",R678="to be offered",R678="on hold"),B678&lt;&gt;""),1,0)</f>
        <v>19</v>
      </c>
      <c r="AD678">
        <f>N(AD677)+IF(AND(OR(R678="follow-up",R678="Evaluation",R678="tbd",R678="In evaluation"),B678&lt;&gt;""),1,0)</f>
        <v>9</v>
      </c>
    </row>
    <row r="679" ht="15" customHeight="1">
      <c r="I679" s="215" t="n"/>
      <c r="J679" s="215" t="n"/>
      <c r="K679" s="215" t="n"/>
      <c r="L679" s="215" t="n"/>
      <c r="M679" s="215" t="n"/>
      <c r="N679" s="215" t="str">
        <f>IF(ISNUMBER(I679),ROUND(I679-I679/1.081,2),"")</f>
        <v/>
      </c>
      <c r="O679" s="215" t="str">
        <f>IF(ISNUMBER(I679),I679-SUM(J679:N679),"")</f>
        <v/>
      </c>
      <c r="P679" s="216" t="str">
        <f>IFERROR(IF(AND(ISNUMBER(O679),ISNUMBER(I679),I679&lt;&gt;0),O679/I679,""),"")</f>
        <v/>
      </c>
      <c r="Q679" s="215" t="str">
        <f>IF(AND(ISNUMBER(I679),ISNUMBER(S679)),I679*IF(S679&lt;=1,S679,S679/100),IF(OR(I679&lt;&gt;"",S679&lt;&gt;""),"tbd",""))</f>
        <v/>
      </c>
      <c r="S679" s="217" t="n"/>
      <c r="Z679" t="str">
        <f>IF(AND(R679="WON",ISNUMBER(I679)),AA679,"")</f>
        <v/>
      </c>
      <c r="AA679">
        <f>IFERROR(I679*1,0)</f>
        <v>0</v>
      </c>
      <c r="AB679">
        <f>N(AB678)+IF(AND(R679="WON",B679&lt;&gt;""),1,0)</f>
        <v>7</v>
      </c>
      <c r="AC679">
        <f>N(AC678)+IF(AND(OR(R679="offered",R679="to be offered",R679="on hold"),B679&lt;&gt;""),1,0)</f>
        <v>19</v>
      </c>
      <c r="AD679">
        <f>N(AD678)+IF(AND(OR(R679="follow-up",R679="Evaluation",R679="tbd",R679="In evaluation"),B679&lt;&gt;""),1,0)</f>
        <v>9</v>
      </c>
    </row>
    <row r="680" ht="15" customHeight="1">
      <c r="I680" s="215" t="n"/>
      <c r="J680" s="215" t="n"/>
      <c r="K680" s="215" t="n"/>
      <c r="L680" s="215" t="n"/>
      <c r="M680" s="215" t="n"/>
      <c r="N680" s="215" t="str">
        <f>IF(ISNUMBER(I680),ROUND(I680-I680/1.081,2),"")</f>
        <v/>
      </c>
      <c r="O680" s="215" t="str">
        <f>IF(ISNUMBER(I680),I680-SUM(J680:N680),"")</f>
        <v/>
      </c>
      <c r="P680" s="216" t="str">
        <f>IFERROR(IF(AND(ISNUMBER(O680),ISNUMBER(I680),I680&lt;&gt;0),O680/I680,""),"")</f>
        <v/>
      </c>
      <c r="Q680" s="215" t="str">
        <f>IF(AND(ISNUMBER(I680),ISNUMBER(S680)),I680*IF(S680&lt;=1,S680,S680/100),IF(OR(I680&lt;&gt;"",S680&lt;&gt;""),"tbd",""))</f>
        <v/>
      </c>
      <c r="S680" s="217" t="n"/>
      <c r="Z680" t="str">
        <f>IF(AND(R680="WON",ISNUMBER(I680)),AA680,"")</f>
        <v/>
      </c>
      <c r="AA680">
        <f>IFERROR(I680*1,0)</f>
        <v>0</v>
      </c>
      <c r="AB680">
        <f>N(AB679)+IF(AND(R680="WON",B680&lt;&gt;""),1,0)</f>
        <v>7</v>
      </c>
      <c r="AC680">
        <f>N(AC679)+IF(AND(OR(R680="offered",R680="to be offered",R680="on hold"),B680&lt;&gt;""),1,0)</f>
        <v>19</v>
      </c>
      <c r="AD680">
        <f>N(AD679)+IF(AND(OR(R680="follow-up",R680="Evaluation",R680="tbd",R680="In evaluation"),B680&lt;&gt;""),1,0)</f>
        <v>9</v>
      </c>
    </row>
    <row r="681" ht="15" customHeight="1">
      <c r="I681" s="215" t="n"/>
      <c r="J681" s="215" t="n"/>
      <c r="K681" s="215" t="n"/>
      <c r="L681" s="215" t="n"/>
      <c r="M681" s="215" t="n"/>
      <c r="N681" s="215" t="str">
        <f>IF(ISNUMBER(I681),ROUND(I681-I681/1.081,2),"")</f>
        <v/>
      </c>
      <c r="O681" s="215" t="str">
        <f>IF(ISNUMBER(I681),I681-SUM(J681:N681),"")</f>
        <v/>
      </c>
      <c r="P681" s="216" t="str">
        <f>IFERROR(IF(AND(ISNUMBER(O681),ISNUMBER(I681),I681&lt;&gt;0),O681/I681,""),"")</f>
        <v/>
      </c>
      <c r="Q681" s="215" t="str">
        <f>IF(AND(ISNUMBER(I681),ISNUMBER(S681)),I681*IF(S681&lt;=1,S681,S681/100),IF(OR(I681&lt;&gt;"",S681&lt;&gt;""),"tbd",""))</f>
        <v/>
      </c>
      <c r="S681" s="217" t="n"/>
      <c r="Z681" t="str">
        <f>IF(AND(R681="WON",ISNUMBER(I681)),AA681,"")</f>
        <v/>
      </c>
      <c r="AA681">
        <f>IFERROR(I681*1,0)</f>
        <v>0</v>
      </c>
      <c r="AB681">
        <f>N(AB680)+IF(AND(R681="WON",B681&lt;&gt;""),1,0)</f>
        <v>7</v>
      </c>
      <c r="AC681">
        <f>N(AC680)+IF(AND(OR(R681="offered",R681="to be offered",R681="on hold"),B681&lt;&gt;""),1,0)</f>
        <v>19</v>
      </c>
      <c r="AD681">
        <f>N(AD680)+IF(AND(OR(R681="follow-up",R681="Evaluation",R681="tbd",R681="In evaluation"),B681&lt;&gt;""),1,0)</f>
        <v>9</v>
      </c>
    </row>
    <row r="682" ht="15" customHeight="1">
      <c r="I682" s="215" t="n"/>
      <c r="J682" s="215" t="n"/>
      <c r="K682" s="215" t="n"/>
      <c r="L682" s="215" t="n"/>
      <c r="M682" s="215" t="n"/>
      <c r="N682" s="215" t="str">
        <f>IF(ISNUMBER(I682),ROUND(I682-I682/1.081,2),"")</f>
        <v/>
      </c>
      <c r="O682" s="215" t="str">
        <f>IF(ISNUMBER(I682),I682-SUM(J682:N682),"")</f>
        <v/>
      </c>
      <c r="P682" s="216" t="str">
        <f>IFERROR(IF(AND(ISNUMBER(O682),ISNUMBER(I682),I682&lt;&gt;0),O682/I682,""),"")</f>
        <v/>
      </c>
      <c r="Q682" s="215" t="str">
        <f>IF(AND(ISNUMBER(I682),ISNUMBER(S682)),I682*IF(S682&lt;=1,S682,S682/100),IF(OR(I682&lt;&gt;"",S682&lt;&gt;""),"tbd",""))</f>
        <v/>
      </c>
      <c r="S682" s="217" t="n"/>
      <c r="Z682" t="str">
        <f>IF(AND(R682="WON",ISNUMBER(I682)),AA682,"")</f>
        <v/>
      </c>
      <c r="AA682">
        <f>IFERROR(I682*1,0)</f>
        <v>0</v>
      </c>
      <c r="AB682">
        <f>N(AB681)+IF(AND(R682="WON",B682&lt;&gt;""),1,0)</f>
        <v>7</v>
      </c>
      <c r="AC682">
        <f>N(AC681)+IF(AND(OR(R682="offered",R682="to be offered",R682="on hold"),B682&lt;&gt;""),1,0)</f>
        <v>19</v>
      </c>
      <c r="AD682">
        <f>N(AD681)+IF(AND(OR(R682="follow-up",R682="Evaluation",R682="tbd",R682="In evaluation"),B682&lt;&gt;""),1,0)</f>
        <v>9</v>
      </c>
    </row>
    <row r="683" ht="15" customHeight="1">
      <c r="I683" s="215" t="n"/>
      <c r="J683" s="215" t="n"/>
      <c r="K683" s="215" t="n"/>
      <c r="L683" s="215" t="n"/>
      <c r="M683" s="215" t="n"/>
      <c r="N683" s="215" t="str">
        <f>IF(ISNUMBER(I683),ROUND(I683-I683/1.081,2),"")</f>
        <v/>
      </c>
      <c r="O683" s="215" t="str">
        <f>IF(ISNUMBER(I683),I683-SUM(J683:N683),"")</f>
        <v/>
      </c>
      <c r="P683" s="216" t="str">
        <f>IFERROR(IF(AND(ISNUMBER(O683),ISNUMBER(I683),I683&lt;&gt;0),O683/I683,""),"")</f>
        <v/>
      </c>
      <c r="Q683" s="215" t="str">
        <f>IF(AND(ISNUMBER(I683),ISNUMBER(S683)),I683*IF(S683&lt;=1,S683,S683/100),IF(OR(I683&lt;&gt;"",S683&lt;&gt;""),"tbd",""))</f>
        <v/>
      </c>
      <c r="S683" s="217" t="n"/>
      <c r="Z683" t="str">
        <f>IF(AND(R683="WON",ISNUMBER(I683)),AA683,"")</f>
        <v/>
      </c>
      <c r="AA683">
        <f>IFERROR(I683*1,0)</f>
        <v>0</v>
      </c>
      <c r="AB683">
        <f>N(AB682)+IF(AND(R683="WON",B683&lt;&gt;""),1,0)</f>
        <v>7</v>
      </c>
      <c r="AC683">
        <f>N(AC682)+IF(AND(OR(R683="offered",R683="to be offered",R683="on hold"),B683&lt;&gt;""),1,0)</f>
        <v>19</v>
      </c>
      <c r="AD683">
        <f>N(AD682)+IF(AND(OR(R683="follow-up",R683="Evaluation",R683="tbd",R683="In evaluation"),B683&lt;&gt;""),1,0)</f>
        <v>9</v>
      </c>
    </row>
    <row r="684" ht="15" customHeight="1">
      <c r="I684" s="215" t="n"/>
      <c r="J684" s="215" t="n"/>
      <c r="K684" s="215" t="n"/>
      <c r="L684" s="215" t="n"/>
      <c r="M684" s="215" t="n"/>
      <c r="N684" s="215" t="str">
        <f>IF(ISNUMBER(I684),ROUND(I684-I684/1.081,2),"")</f>
        <v/>
      </c>
      <c r="O684" s="215" t="str">
        <f>IF(ISNUMBER(I684),I684-SUM(J684:N684),"")</f>
        <v/>
      </c>
      <c r="P684" s="216" t="str">
        <f>IFERROR(IF(AND(ISNUMBER(O684),ISNUMBER(I684),I684&lt;&gt;0),O684/I684,""),"")</f>
        <v/>
      </c>
      <c r="Q684" s="215" t="str">
        <f>IF(AND(ISNUMBER(I684),ISNUMBER(S684)),I684*IF(S684&lt;=1,S684,S684/100),IF(OR(I684&lt;&gt;"",S684&lt;&gt;""),"tbd",""))</f>
        <v/>
      </c>
      <c r="S684" s="217" t="n"/>
      <c r="Z684" t="str">
        <f>IF(AND(R684="WON",ISNUMBER(I684)),AA684,"")</f>
        <v/>
      </c>
      <c r="AA684">
        <f>IFERROR(I684*1,0)</f>
        <v>0</v>
      </c>
      <c r="AB684">
        <f>N(AB683)+IF(AND(R684="WON",B684&lt;&gt;""),1,0)</f>
        <v>7</v>
      </c>
      <c r="AC684">
        <f>N(AC683)+IF(AND(OR(R684="offered",R684="to be offered",R684="on hold"),B684&lt;&gt;""),1,0)</f>
        <v>19</v>
      </c>
      <c r="AD684">
        <f>N(AD683)+IF(AND(OR(R684="follow-up",R684="Evaluation",R684="tbd",R684="In evaluation"),B684&lt;&gt;""),1,0)</f>
        <v>9</v>
      </c>
    </row>
    <row r="685" ht="15" customHeight="1">
      <c r="I685" s="215" t="n"/>
      <c r="J685" s="215" t="n"/>
      <c r="K685" s="215" t="n"/>
      <c r="L685" s="215" t="n"/>
      <c r="M685" s="215" t="n"/>
      <c r="N685" s="215" t="str">
        <f>IF(ISNUMBER(I685),ROUND(I685-I685/1.081,2),"")</f>
        <v/>
      </c>
      <c r="O685" s="215" t="str">
        <f>IF(ISNUMBER(I685),I685-SUM(J685:N685),"")</f>
        <v/>
      </c>
      <c r="P685" s="216" t="str">
        <f>IFERROR(IF(AND(ISNUMBER(O685),ISNUMBER(I685),I685&lt;&gt;0),O685/I685,""),"")</f>
        <v/>
      </c>
      <c r="Q685" s="215" t="str">
        <f>IF(AND(ISNUMBER(I685),ISNUMBER(S685)),I685*IF(S685&lt;=1,S685,S685/100),IF(OR(I685&lt;&gt;"",S685&lt;&gt;""),"tbd",""))</f>
        <v/>
      </c>
      <c r="S685" s="217" t="n"/>
      <c r="Z685" t="str">
        <f>IF(AND(R685="WON",ISNUMBER(I685)),AA685,"")</f>
        <v/>
      </c>
      <c r="AA685">
        <f>IFERROR(I685*1,0)</f>
        <v>0</v>
      </c>
      <c r="AB685">
        <f>N(AB684)+IF(AND(R685="WON",B685&lt;&gt;""),1,0)</f>
        <v>7</v>
      </c>
      <c r="AC685">
        <f>N(AC684)+IF(AND(OR(R685="offered",R685="to be offered",R685="on hold"),B685&lt;&gt;""),1,0)</f>
        <v>19</v>
      </c>
      <c r="AD685">
        <f>N(AD684)+IF(AND(OR(R685="follow-up",R685="Evaluation",R685="tbd",R685="In evaluation"),B685&lt;&gt;""),1,0)</f>
        <v>9</v>
      </c>
    </row>
    <row r="686" ht="15" customHeight="1">
      <c r="I686" s="215" t="n"/>
      <c r="J686" s="215" t="n"/>
      <c r="K686" s="215" t="n"/>
      <c r="L686" s="215" t="n"/>
      <c r="M686" s="215" t="n"/>
      <c r="N686" s="215" t="str">
        <f>IF(ISNUMBER(I686),ROUND(I686-I686/1.081,2),"")</f>
        <v/>
      </c>
      <c r="O686" s="215" t="str">
        <f>IF(ISNUMBER(I686),I686-SUM(J686:N686),"")</f>
        <v/>
      </c>
      <c r="P686" s="216" t="str">
        <f>IFERROR(IF(AND(ISNUMBER(O686),ISNUMBER(I686),I686&lt;&gt;0),O686/I686,""),"")</f>
        <v/>
      </c>
      <c r="Q686" s="215" t="str">
        <f>IF(AND(ISNUMBER(I686),ISNUMBER(S686)),I686*IF(S686&lt;=1,S686,S686/100),IF(OR(I686&lt;&gt;"",S686&lt;&gt;""),"tbd",""))</f>
        <v/>
      </c>
      <c r="S686" s="217" t="n"/>
      <c r="Z686" t="str">
        <f>IF(AND(R686="WON",ISNUMBER(I686)),AA686,"")</f>
        <v/>
      </c>
      <c r="AA686">
        <f>IFERROR(I686*1,0)</f>
        <v>0</v>
      </c>
      <c r="AB686">
        <f>N(AB685)+IF(AND(R686="WON",B686&lt;&gt;""),1,0)</f>
        <v>7</v>
      </c>
      <c r="AC686">
        <f>N(AC685)+IF(AND(OR(R686="offered",R686="to be offered",R686="on hold"),B686&lt;&gt;""),1,0)</f>
        <v>19</v>
      </c>
      <c r="AD686">
        <f>N(AD685)+IF(AND(OR(R686="follow-up",R686="Evaluation",R686="tbd",R686="In evaluation"),B686&lt;&gt;""),1,0)</f>
        <v>9</v>
      </c>
    </row>
    <row r="687" ht="15" customHeight="1">
      <c r="I687" s="215" t="n"/>
      <c r="J687" s="215" t="n"/>
      <c r="K687" s="215" t="n"/>
      <c r="L687" s="215" t="n"/>
      <c r="M687" s="215" t="n"/>
      <c r="N687" s="215" t="str">
        <f>IF(ISNUMBER(I687),ROUND(I687-I687/1.081,2),"")</f>
        <v/>
      </c>
      <c r="O687" s="215" t="str">
        <f>IF(ISNUMBER(I687),I687-SUM(J687:N687),"")</f>
        <v/>
      </c>
      <c r="P687" s="216" t="str">
        <f>IFERROR(IF(AND(ISNUMBER(O687),ISNUMBER(I687),I687&lt;&gt;0),O687/I687,""),"")</f>
        <v/>
      </c>
      <c r="Q687" s="215" t="str">
        <f>IF(AND(ISNUMBER(I687),ISNUMBER(S687)),I687*IF(S687&lt;=1,S687,S687/100),IF(OR(I687&lt;&gt;"",S687&lt;&gt;""),"tbd",""))</f>
        <v/>
      </c>
      <c r="S687" s="217" t="n"/>
      <c r="Z687" t="str">
        <f>IF(AND(R687="WON",ISNUMBER(I687)),AA687,"")</f>
        <v/>
      </c>
      <c r="AA687">
        <f>IFERROR(I687*1,0)</f>
        <v>0</v>
      </c>
      <c r="AB687">
        <f>N(AB686)+IF(AND(R687="WON",B687&lt;&gt;""),1,0)</f>
        <v>7</v>
      </c>
      <c r="AC687">
        <f>N(AC686)+IF(AND(OR(R687="offered",R687="to be offered",R687="on hold"),B687&lt;&gt;""),1,0)</f>
        <v>19</v>
      </c>
      <c r="AD687">
        <f>N(AD686)+IF(AND(OR(R687="follow-up",R687="Evaluation",R687="tbd",R687="In evaluation"),B687&lt;&gt;""),1,0)</f>
        <v>9</v>
      </c>
    </row>
    <row r="688" ht="15" customHeight="1">
      <c r="I688" s="215" t="n"/>
      <c r="J688" s="215" t="n"/>
      <c r="K688" s="215" t="n"/>
      <c r="L688" s="215" t="n"/>
      <c r="M688" s="215" t="n"/>
      <c r="N688" s="215" t="str">
        <f>IF(ISNUMBER(I688),ROUND(I688-I688/1.081,2),"")</f>
        <v/>
      </c>
      <c r="O688" s="215" t="str">
        <f>IF(ISNUMBER(I688),I688-SUM(J688:N688),"")</f>
        <v/>
      </c>
      <c r="P688" s="216" t="str">
        <f>IFERROR(IF(AND(ISNUMBER(O688),ISNUMBER(I688),I688&lt;&gt;0),O688/I688,""),"")</f>
        <v/>
      </c>
      <c r="Q688" s="215" t="str">
        <f>IF(AND(ISNUMBER(I688),ISNUMBER(S688)),I688*IF(S688&lt;=1,S688,S688/100),IF(OR(I688&lt;&gt;"",S688&lt;&gt;""),"tbd",""))</f>
        <v/>
      </c>
      <c r="S688" s="217" t="n"/>
      <c r="Z688" t="str">
        <f>IF(AND(R688="WON",ISNUMBER(I688)),AA688,"")</f>
        <v/>
      </c>
      <c r="AA688">
        <f>IFERROR(I688*1,0)</f>
        <v>0</v>
      </c>
      <c r="AB688">
        <f>N(AB687)+IF(AND(R688="WON",B688&lt;&gt;""),1,0)</f>
        <v>7</v>
      </c>
      <c r="AC688">
        <f>N(AC687)+IF(AND(OR(R688="offered",R688="to be offered",R688="on hold"),B688&lt;&gt;""),1,0)</f>
        <v>19</v>
      </c>
      <c r="AD688">
        <f>N(AD687)+IF(AND(OR(R688="follow-up",R688="Evaluation",R688="tbd",R688="In evaluation"),B688&lt;&gt;""),1,0)</f>
        <v>9</v>
      </c>
    </row>
    <row r="689" ht="15" customHeight="1">
      <c r="I689" s="215" t="n"/>
      <c r="J689" s="215" t="n"/>
      <c r="K689" s="215" t="n"/>
      <c r="L689" s="215" t="n"/>
      <c r="M689" s="215" t="n"/>
      <c r="N689" s="215" t="str">
        <f>IF(ISNUMBER(I689),ROUND(I689-I689/1.081,2),"")</f>
        <v/>
      </c>
      <c r="O689" s="215" t="str">
        <f>IF(ISNUMBER(I689),I689-SUM(J689:N689),"")</f>
        <v/>
      </c>
      <c r="P689" s="216" t="str">
        <f>IFERROR(IF(AND(ISNUMBER(O689),ISNUMBER(I689),I689&lt;&gt;0),O689/I689,""),"")</f>
        <v/>
      </c>
      <c r="Q689" s="215" t="str">
        <f>IF(AND(ISNUMBER(I689),ISNUMBER(S689)),I689*IF(S689&lt;=1,S689,S689/100),IF(OR(I689&lt;&gt;"",S689&lt;&gt;""),"tbd",""))</f>
        <v/>
      </c>
      <c r="S689" s="217" t="n"/>
      <c r="Z689" t="str">
        <f>IF(AND(R689="WON",ISNUMBER(I689)),AA689,"")</f>
        <v/>
      </c>
      <c r="AA689">
        <f>IFERROR(I689*1,0)</f>
        <v>0</v>
      </c>
      <c r="AB689">
        <f>N(AB688)+IF(AND(R689="WON",B689&lt;&gt;""),1,0)</f>
        <v>7</v>
      </c>
      <c r="AC689">
        <f>N(AC688)+IF(AND(OR(R689="offered",R689="to be offered",R689="on hold"),B689&lt;&gt;""),1,0)</f>
        <v>19</v>
      </c>
      <c r="AD689">
        <f>N(AD688)+IF(AND(OR(R689="follow-up",R689="Evaluation",R689="tbd",R689="In evaluation"),B689&lt;&gt;""),1,0)</f>
        <v>9</v>
      </c>
    </row>
    <row r="690" ht="15" customHeight="1">
      <c r="I690" s="215" t="n"/>
      <c r="J690" s="215" t="n"/>
      <c r="K690" s="215" t="n"/>
      <c r="L690" s="215" t="n"/>
      <c r="M690" s="215" t="n"/>
      <c r="N690" s="215" t="str">
        <f>IF(ISNUMBER(I690),ROUND(I690-I690/1.081,2),"")</f>
        <v/>
      </c>
      <c r="O690" s="215" t="str">
        <f>IF(ISNUMBER(I690),I690-SUM(J690:N690),"")</f>
        <v/>
      </c>
      <c r="P690" s="216" t="str">
        <f>IFERROR(IF(AND(ISNUMBER(O690),ISNUMBER(I690),I690&lt;&gt;0),O690/I690,""),"")</f>
        <v/>
      </c>
      <c r="Q690" s="215" t="str">
        <f>IF(AND(ISNUMBER(I690),ISNUMBER(S690)),I690*IF(S690&lt;=1,S690,S690/100),IF(OR(I690&lt;&gt;"",S690&lt;&gt;""),"tbd",""))</f>
        <v/>
      </c>
      <c r="S690" s="217" t="n"/>
      <c r="Z690" t="str">
        <f>IF(AND(R690="WON",ISNUMBER(I690)),AA690,"")</f>
        <v/>
      </c>
      <c r="AA690">
        <f>IFERROR(I690*1,0)</f>
        <v>0</v>
      </c>
      <c r="AB690">
        <f>N(AB689)+IF(AND(R690="WON",B690&lt;&gt;""),1,0)</f>
        <v>7</v>
      </c>
      <c r="AC690">
        <f>N(AC689)+IF(AND(OR(R690="offered",R690="to be offered",R690="on hold"),B690&lt;&gt;""),1,0)</f>
        <v>19</v>
      </c>
      <c r="AD690">
        <f>N(AD689)+IF(AND(OR(R690="follow-up",R690="Evaluation",R690="tbd",R690="In evaluation"),B690&lt;&gt;""),1,0)</f>
        <v>9</v>
      </c>
    </row>
    <row r="691" ht="15" customHeight="1">
      <c r="I691" s="215" t="n"/>
      <c r="J691" s="215" t="n"/>
      <c r="K691" s="215" t="n"/>
      <c r="L691" s="215" t="n"/>
      <c r="M691" s="215" t="n"/>
      <c r="N691" s="215" t="str">
        <f>IF(ISNUMBER(I691),ROUND(I691-I691/1.081,2),"")</f>
        <v/>
      </c>
      <c r="O691" s="215" t="str">
        <f>IF(ISNUMBER(I691),I691-SUM(J691:N691),"")</f>
        <v/>
      </c>
      <c r="P691" s="216" t="str">
        <f>IFERROR(IF(AND(ISNUMBER(O691),ISNUMBER(I691),I691&lt;&gt;0),O691/I691,""),"")</f>
        <v/>
      </c>
      <c r="Q691" s="215" t="str">
        <f>IF(AND(ISNUMBER(I691),ISNUMBER(S691)),I691*IF(S691&lt;=1,S691,S691/100),IF(OR(I691&lt;&gt;"",S691&lt;&gt;""),"tbd",""))</f>
        <v/>
      </c>
      <c r="S691" s="217" t="n"/>
      <c r="Z691" t="str">
        <f>IF(AND(R691="WON",ISNUMBER(I691)),AA691,"")</f>
        <v/>
      </c>
      <c r="AA691">
        <f>IFERROR(I691*1,0)</f>
        <v>0</v>
      </c>
      <c r="AB691">
        <f>N(AB690)+IF(AND(R691="WON",B691&lt;&gt;""),1,0)</f>
        <v>7</v>
      </c>
      <c r="AC691">
        <f>N(AC690)+IF(AND(OR(R691="offered",R691="to be offered",R691="on hold"),B691&lt;&gt;""),1,0)</f>
        <v>19</v>
      </c>
      <c r="AD691">
        <f>N(AD690)+IF(AND(OR(R691="follow-up",R691="Evaluation",R691="tbd",R691="In evaluation"),B691&lt;&gt;""),1,0)</f>
        <v>9</v>
      </c>
    </row>
    <row r="692" ht="15" customHeight="1">
      <c r="I692" s="215" t="n"/>
      <c r="J692" s="215" t="n"/>
      <c r="K692" s="215" t="n"/>
      <c r="L692" s="215" t="n"/>
      <c r="M692" s="215" t="n"/>
      <c r="N692" s="215" t="str">
        <f>IF(ISNUMBER(I692),ROUND(I692-I692/1.081,2),"")</f>
        <v/>
      </c>
      <c r="O692" s="215" t="str">
        <f>IF(ISNUMBER(I692),I692-SUM(J692:N692),"")</f>
        <v/>
      </c>
      <c r="P692" s="216" t="str">
        <f>IFERROR(IF(AND(ISNUMBER(O692),ISNUMBER(I692),I692&lt;&gt;0),O692/I692,""),"")</f>
        <v/>
      </c>
      <c r="Q692" s="215" t="str">
        <f>IF(AND(ISNUMBER(I692),ISNUMBER(S692)),I692*IF(S692&lt;=1,S692,S692/100),IF(OR(I692&lt;&gt;"",S692&lt;&gt;""),"tbd",""))</f>
        <v/>
      </c>
      <c r="S692" s="217" t="n"/>
      <c r="Z692" t="str">
        <f>IF(AND(R692="WON",ISNUMBER(I692)),AA692,"")</f>
        <v/>
      </c>
      <c r="AA692">
        <f>IFERROR(I692*1,0)</f>
        <v>0</v>
      </c>
      <c r="AB692">
        <f>N(AB691)+IF(AND(R692="WON",B692&lt;&gt;""),1,0)</f>
        <v>7</v>
      </c>
      <c r="AC692">
        <f>N(AC691)+IF(AND(OR(R692="offered",R692="to be offered",R692="on hold"),B692&lt;&gt;""),1,0)</f>
        <v>19</v>
      </c>
      <c r="AD692">
        <f>N(AD691)+IF(AND(OR(R692="follow-up",R692="Evaluation",R692="tbd",R692="In evaluation"),B692&lt;&gt;""),1,0)</f>
        <v>9</v>
      </c>
    </row>
    <row r="693" ht="15" customHeight="1">
      <c r="I693" s="215" t="n"/>
      <c r="J693" s="215" t="n"/>
      <c r="K693" s="215" t="n"/>
      <c r="L693" s="215" t="n"/>
      <c r="M693" s="215" t="n"/>
      <c r="N693" s="215" t="str">
        <f>IF(ISNUMBER(I693),ROUND(I693-I693/1.081,2),"")</f>
        <v/>
      </c>
      <c r="O693" s="215" t="str">
        <f>IF(ISNUMBER(I693),I693-SUM(J693:N693),"")</f>
        <v/>
      </c>
      <c r="P693" s="216" t="str">
        <f>IFERROR(IF(AND(ISNUMBER(O693),ISNUMBER(I693),I693&lt;&gt;0),O693/I693,""),"")</f>
        <v/>
      </c>
      <c r="Q693" s="215" t="str">
        <f>IF(AND(ISNUMBER(I693),ISNUMBER(S693)),I693*IF(S693&lt;=1,S693,S693/100),IF(OR(I693&lt;&gt;"",S693&lt;&gt;""),"tbd",""))</f>
        <v/>
      </c>
      <c r="S693" s="217" t="n"/>
      <c r="Z693" t="str">
        <f>IF(AND(R693="WON",ISNUMBER(I693)),AA693,"")</f>
        <v/>
      </c>
      <c r="AA693">
        <f>IFERROR(I693*1,0)</f>
        <v>0</v>
      </c>
      <c r="AB693">
        <f>N(AB692)+IF(AND(R693="WON",B693&lt;&gt;""),1,0)</f>
        <v>7</v>
      </c>
      <c r="AC693">
        <f>N(AC692)+IF(AND(OR(R693="offered",R693="to be offered",R693="on hold"),B693&lt;&gt;""),1,0)</f>
        <v>19</v>
      </c>
      <c r="AD693">
        <f>N(AD692)+IF(AND(OR(R693="follow-up",R693="Evaluation",R693="tbd",R693="In evaluation"),B693&lt;&gt;""),1,0)</f>
        <v>9</v>
      </c>
    </row>
    <row r="694" ht="15" customHeight="1">
      <c r="I694" s="215" t="n"/>
      <c r="J694" s="215" t="n"/>
      <c r="K694" s="215" t="n"/>
      <c r="L694" s="215" t="n"/>
      <c r="M694" s="215" t="n"/>
      <c r="N694" s="215" t="str">
        <f>IF(ISNUMBER(I694),ROUND(I694-I694/1.081,2),"")</f>
        <v/>
      </c>
      <c r="O694" s="215" t="str">
        <f>IF(ISNUMBER(I694),I694-SUM(J694:N694),"")</f>
        <v/>
      </c>
      <c r="P694" s="216" t="str">
        <f>IFERROR(IF(AND(ISNUMBER(O694),ISNUMBER(I694),I694&lt;&gt;0),O694/I694,""),"")</f>
        <v/>
      </c>
      <c r="Q694" s="215" t="str">
        <f>IF(AND(ISNUMBER(I694),ISNUMBER(S694)),I694*IF(S694&lt;=1,S694,S694/100),IF(OR(I694&lt;&gt;"",S694&lt;&gt;""),"tbd",""))</f>
        <v/>
      </c>
      <c r="S694" s="217" t="n"/>
      <c r="Z694" t="str">
        <f>IF(AND(R694="WON",ISNUMBER(I694)),AA694,"")</f>
        <v/>
      </c>
      <c r="AA694">
        <f>IFERROR(I694*1,0)</f>
        <v>0</v>
      </c>
      <c r="AB694">
        <f>N(AB693)+IF(AND(R694="WON",B694&lt;&gt;""),1,0)</f>
        <v>7</v>
      </c>
      <c r="AC694">
        <f>N(AC693)+IF(AND(OR(R694="offered",R694="to be offered",R694="on hold"),B694&lt;&gt;""),1,0)</f>
        <v>19</v>
      </c>
      <c r="AD694">
        <f>N(AD693)+IF(AND(OR(R694="follow-up",R694="Evaluation",R694="tbd",R694="In evaluation"),B694&lt;&gt;""),1,0)</f>
        <v>9</v>
      </c>
    </row>
    <row r="695" ht="15" customHeight="1">
      <c r="I695" s="215" t="n"/>
      <c r="J695" s="215" t="n"/>
      <c r="K695" s="215" t="n"/>
      <c r="L695" s="215" t="n"/>
      <c r="M695" s="215" t="n"/>
      <c r="N695" s="215" t="str">
        <f>IF(ISNUMBER(I695),ROUND(I695-I695/1.081,2),"")</f>
        <v/>
      </c>
      <c r="O695" s="215" t="str">
        <f>IF(ISNUMBER(I695),I695-SUM(J695:N695),"")</f>
        <v/>
      </c>
      <c r="P695" s="216" t="str">
        <f>IFERROR(IF(AND(ISNUMBER(O695),ISNUMBER(I695),I695&lt;&gt;0),O695/I695,""),"")</f>
        <v/>
      </c>
      <c r="Q695" s="215" t="str">
        <f>IF(AND(ISNUMBER(I695),ISNUMBER(S695)),I695*IF(S695&lt;=1,S695,S695/100),IF(OR(I695&lt;&gt;"",S695&lt;&gt;""),"tbd",""))</f>
        <v/>
      </c>
      <c r="S695" s="217" t="n"/>
      <c r="Z695" t="str">
        <f>IF(AND(R695="WON",ISNUMBER(I695)),AA695,"")</f>
        <v/>
      </c>
      <c r="AA695">
        <f>IFERROR(I695*1,0)</f>
        <v>0</v>
      </c>
      <c r="AB695">
        <f>N(AB694)+IF(AND(R695="WON",B695&lt;&gt;""),1,0)</f>
        <v>7</v>
      </c>
      <c r="AC695">
        <f>N(AC694)+IF(AND(OR(R695="offered",R695="to be offered",R695="on hold"),B695&lt;&gt;""),1,0)</f>
        <v>19</v>
      </c>
      <c r="AD695">
        <f>N(AD694)+IF(AND(OR(R695="follow-up",R695="Evaluation",R695="tbd",R695="In evaluation"),B695&lt;&gt;""),1,0)</f>
        <v>9</v>
      </c>
    </row>
    <row r="696" ht="15" customHeight="1">
      <c r="I696" s="215" t="n"/>
      <c r="J696" s="215" t="n"/>
      <c r="K696" s="215" t="n"/>
      <c r="L696" s="215" t="n"/>
      <c r="M696" s="215" t="n"/>
      <c r="N696" s="215" t="str">
        <f>IF(ISNUMBER(I696),ROUND(I696-I696/1.081,2),"")</f>
        <v/>
      </c>
      <c r="O696" s="215" t="str">
        <f>IF(ISNUMBER(I696),I696-SUM(J696:N696),"")</f>
        <v/>
      </c>
      <c r="P696" s="216" t="str">
        <f>IFERROR(IF(AND(ISNUMBER(O696),ISNUMBER(I696),I696&lt;&gt;0),O696/I696,""),"")</f>
        <v/>
      </c>
      <c r="Q696" s="215" t="str">
        <f>IF(AND(ISNUMBER(I696),ISNUMBER(S696)),I696*IF(S696&lt;=1,S696,S696/100),IF(OR(I696&lt;&gt;"",S696&lt;&gt;""),"tbd",""))</f>
        <v/>
      </c>
      <c r="S696" s="217" t="n"/>
      <c r="Z696" t="str">
        <f>IF(AND(R696="WON",ISNUMBER(I696)),AA696,"")</f>
        <v/>
      </c>
      <c r="AA696">
        <f>IFERROR(I696*1,0)</f>
        <v>0</v>
      </c>
      <c r="AB696">
        <f>N(AB695)+IF(AND(R696="WON",B696&lt;&gt;""),1,0)</f>
        <v>7</v>
      </c>
      <c r="AC696">
        <f>N(AC695)+IF(AND(OR(R696="offered",R696="to be offered",R696="on hold"),B696&lt;&gt;""),1,0)</f>
        <v>19</v>
      </c>
      <c r="AD696">
        <f>N(AD695)+IF(AND(OR(R696="follow-up",R696="Evaluation",R696="tbd",R696="In evaluation"),B696&lt;&gt;""),1,0)</f>
        <v>9</v>
      </c>
    </row>
    <row r="697" ht="15" customHeight="1">
      <c r="I697" s="215" t="n"/>
      <c r="J697" s="215" t="n"/>
      <c r="K697" s="215" t="n"/>
      <c r="L697" s="215" t="n"/>
      <c r="M697" s="215" t="n"/>
      <c r="N697" s="215" t="str">
        <f>IF(ISNUMBER(I697),ROUND(I697-I697/1.081,2),"")</f>
        <v/>
      </c>
      <c r="O697" s="215" t="str">
        <f>IF(ISNUMBER(I697),I697-SUM(J697:N697),"")</f>
        <v/>
      </c>
      <c r="P697" s="216" t="str">
        <f>IFERROR(IF(AND(ISNUMBER(O697),ISNUMBER(I697),I697&lt;&gt;0),O697/I697,""),"")</f>
        <v/>
      </c>
      <c r="Q697" s="215" t="str">
        <f>IF(AND(ISNUMBER(I697),ISNUMBER(S697)),I697*IF(S697&lt;=1,S697,S697/100),IF(OR(I697&lt;&gt;"",S697&lt;&gt;""),"tbd",""))</f>
        <v/>
      </c>
      <c r="S697" s="217" t="n"/>
      <c r="Z697" t="str">
        <f>IF(AND(R697="WON",ISNUMBER(I697)),AA697,"")</f>
        <v/>
      </c>
      <c r="AA697">
        <f>IFERROR(I697*1,0)</f>
        <v>0</v>
      </c>
      <c r="AB697">
        <f>N(AB696)+IF(AND(R697="WON",B697&lt;&gt;""),1,0)</f>
        <v>7</v>
      </c>
      <c r="AC697">
        <f>N(AC696)+IF(AND(OR(R697="offered",R697="to be offered",R697="on hold"),B697&lt;&gt;""),1,0)</f>
        <v>19</v>
      </c>
      <c r="AD697">
        <f>N(AD696)+IF(AND(OR(R697="follow-up",R697="Evaluation",R697="tbd",R697="In evaluation"),B697&lt;&gt;""),1,0)</f>
        <v>9</v>
      </c>
    </row>
    <row r="698" ht="15" customHeight="1">
      <c r="I698" s="215" t="n"/>
      <c r="J698" s="215" t="n"/>
      <c r="K698" s="215" t="n"/>
      <c r="L698" s="215" t="n"/>
      <c r="M698" s="215" t="n"/>
      <c r="N698" s="215" t="str">
        <f>IF(ISNUMBER(I698),ROUND(I698-I698/1.081,2),"")</f>
        <v/>
      </c>
      <c r="O698" s="215" t="str">
        <f>IF(ISNUMBER(I698),I698-SUM(J698:N698),"")</f>
        <v/>
      </c>
      <c r="P698" s="216" t="str">
        <f>IFERROR(IF(AND(ISNUMBER(O698),ISNUMBER(I698),I698&lt;&gt;0),O698/I698,""),"")</f>
        <v/>
      </c>
      <c r="Q698" s="215" t="str">
        <f>IF(AND(ISNUMBER(I698),ISNUMBER(S698)),I698*IF(S698&lt;=1,S698,S698/100),IF(OR(I698&lt;&gt;"",S698&lt;&gt;""),"tbd",""))</f>
        <v/>
      </c>
      <c r="S698" s="217" t="n"/>
      <c r="Z698" t="str">
        <f>IF(AND(R698="WON",ISNUMBER(I698)),AA698,"")</f>
        <v/>
      </c>
      <c r="AA698">
        <f>IFERROR(I698*1,0)</f>
        <v>0</v>
      </c>
      <c r="AB698">
        <f>N(AB697)+IF(AND(R698="WON",B698&lt;&gt;""),1,0)</f>
        <v>7</v>
      </c>
      <c r="AC698">
        <f>N(AC697)+IF(AND(OR(R698="offered",R698="to be offered",R698="on hold"),B698&lt;&gt;""),1,0)</f>
        <v>19</v>
      </c>
      <c r="AD698">
        <f>N(AD697)+IF(AND(OR(R698="follow-up",R698="Evaluation",R698="tbd",R698="In evaluation"),B698&lt;&gt;""),1,0)</f>
        <v>9</v>
      </c>
    </row>
    <row r="699" ht="15" customHeight="1">
      <c r="I699" s="215" t="n"/>
      <c r="J699" s="215" t="n"/>
      <c r="K699" s="215" t="n"/>
      <c r="L699" s="215" t="n"/>
      <c r="M699" s="215" t="n"/>
      <c r="N699" s="215" t="str">
        <f>IF(ISNUMBER(I699),ROUND(I699-I699/1.081,2),"")</f>
        <v/>
      </c>
      <c r="O699" s="215" t="str">
        <f>IF(ISNUMBER(I699),I699-SUM(J699:N699),"")</f>
        <v/>
      </c>
      <c r="P699" s="216" t="str">
        <f>IFERROR(IF(AND(ISNUMBER(O699),ISNUMBER(I699),I699&lt;&gt;0),O699/I699,""),"")</f>
        <v/>
      </c>
      <c r="Q699" s="215" t="str">
        <f>IF(AND(ISNUMBER(I699),ISNUMBER(S699)),I699*IF(S699&lt;=1,S699,S699/100),IF(OR(I699&lt;&gt;"",S699&lt;&gt;""),"tbd",""))</f>
        <v/>
      </c>
      <c r="S699" s="217" t="n"/>
      <c r="Z699" t="str">
        <f>IF(AND(R699="WON",ISNUMBER(I699)),AA699,"")</f>
        <v/>
      </c>
      <c r="AA699">
        <f>IFERROR(I699*1,0)</f>
        <v>0</v>
      </c>
      <c r="AB699">
        <f>N(AB698)+IF(AND(R699="WON",B699&lt;&gt;""),1,0)</f>
        <v>7</v>
      </c>
      <c r="AC699">
        <f>N(AC698)+IF(AND(OR(R699="offered",R699="to be offered",R699="on hold"),B699&lt;&gt;""),1,0)</f>
        <v>19</v>
      </c>
      <c r="AD699">
        <f>N(AD698)+IF(AND(OR(R699="follow-up",R699="Evaluation",R699="tbd",R699="In evaluation"),B699&lt;&gt;""),1,0)</f>
        <v>9</v>
      </c>
    </row>
    <row r="700" ht="15" customHeight="1">
      <c r="I700" s="215" t="n"/>
      <c r="J700" s="215" t="n"/>
      <c r="K700" s="215" t="n"/>
      <c r="L700" s="215" t="n"/>
      <c r="M700" s="215" t="n"/>
      <c r="N700" s="215" t="str">
        <f>IF(ISNUMBER(I700),ROUND(I700-I700/1.081,2),"")</f>
        <v/>
      </c>
      <c r="O700" s="215" t="str">
        <f>IF(ISNUMBER(I700),I700-SUM(J700:N700),"")</f>
        <v/>
      </c>
      <c r="P700" s="216" t="str">
        <f>IFERROR(IF(AND(ISNUMBER(O700),ISNUMBER(I700),I700&lt;&gt;0),O700/I700,""),"")</f>
        <v/>
      </c>
      <c r="Q700" s="215" t="str">
        <f>IF(AND(ISNUMBER(I700),ISNUMBER(S700)),I700*IF(S700&lt;=1,S700,S700/100),IF(OR(I700&lt;&gt;"",S700&lt;&gt;""),"tbd",""))</f>
        <v/>
      </c>
      <c r="S700" s="217" t="n"/>
      <c r="Z700" t="str">
        <f>IF(AND(R700="WON",ISNUMBER(I700)),AA700,"")</f>
        <v/>
      </c>
      <c r="AA700">
        <f>IFERROR(I700*1,0)</f>
        <v>0</v>
      </c>
      <c r="AB700">
        <f>N(AB699)+IF(AND(R700="WON",B700&lt;&gt;""),1,0)</f>
        <v>7</v>
      </c>
      <c r="AC700">
        <f>N(AC699)+IF(AND(OR(R700="offered",R700="to be offered",R700="on hold"),B700&lt;&gt;""),1,0)</f>
        <v>19</v>
      </c>
      <c r="AD700">
        <f>N(AD699)+IF(AND(OR(R700="follow-up",R700="Evaluation",R700="tbd",R700="In evaluation"),B700&lt;&gt;""),1,0)</f>
        <v>9</v>
      </c>
    </row>
    <row r="701" ht="15" customHeight="1">
      <c r="I701" s="215" t="n"/>
      <c r="J701" s="215" t="n"/>
      <c r="K701" s="215" t="n"/>
      <c r="L701" s="215" t="n"/>
      <c r="M701" s="215" t="n"/>
      <c r="N701" s="215" t="str">
        <f>IF(ISNUMBER(I701),ROUND(I701-I701/1.081,2),"")</f>
        <v/>
      </c>
      <c r="O701" s="215" t="str">
        <f>IF(ISNUMBER(I701),I701-SUM(J701:N701),"")</f>
        <v/>
      </c>
      <c r="P701" s="216" t="str">
        <f>IFERROR(IF(AND(ISNUMBER(O701),ISNUMBER(I701),I701&lt;&gt;0),O701/I701,""),"")</f>
        <v/>
      </c>
      <c r="Q701" s="215" t="str">
        <f>IF(AND(ISNUMBER(I701),ISNUMBER(S701)),I701*IF(S701&lt;=1,S701,S701/100),IF(OR(I701&lt;&gt;"",S701&lt;&gt;""),"tbd",""))</f>
        <v/>
      </c>
      <c r="S701" s="217" t="n"/>
      <c r="Z701" t="str">
        <f>IF(AND(R701="WON",ISNUMBER(I701)),AA701,"")</f>
        <v/>
      </c>
      <c r="AA701">
        <f>IFERROR(I701*1,0)</f>
        <v>0</v>
      </c>
      <c r="AB701">
        <f>N(AB700)+IF(AND(R701="WON",B701&lt;&gt;""),1,0)</f>
        <v>7</v>
      </c>
      <c r="AC701">
        <f>N(AC700)+IF(AND(OR(R701="offered",R701="to be offered",R701="on hold"),B701&lt;&gt;""),1,0)</f>
        <v>19</v>
      </c>
      <c r="AD701">
        <f>N(AD700)+IF(AND(OR(R701="follow-up",R701="Evaluation",R701="tbd",R701="In evaluation"),B701&lt;&gt;""),1,0)</f>
        <v>9</v>
      </c>
    </row>
    <row r="702" ht="15" customHeight="1">
      <c r="I702" s="215" t="n"/>
      <c r="J702" s="215" t="n"/>
      <c r="K702" s="215" t="n"/>
      <c r="L702" s="215" t="n"/>
      <c r="M702" s="215" t="n"/>
      <c r="N702" s="215" t="str">
        <f>IF(ISNUMBER(I702),ROUND(I702-I702/1.081,2),"")</f>
        <v/>
      </c>
      <c r="O702" s="215" t="str">
        <f>IF(ISNUMBER(I702),I702-SUM(J702:N702),"")</f>
        <v/>
      </c>
      <c r="P702" s="216" t="str">
        <f>IFERROR(IF(AND(ISNUMBER(O702),ISNUMBER(I702),I702&lt;&gt;0),O702/I702,""),"")</f>
        <v/>
      </c>
      <c r="Q702" s="215" t="str">
        <f>IF(AND(ISNUMBER(I702),ISNUMBER(S702)),I702*IF(S702&lt;=1,S702,S702/100),IF(OR(I702&lt;&gt;"",S702&lt;&gt;""),"tbd",""))</f>
        <v/>
      </c>
      <c r="S702" s="217" t="n"/>
      <c r="Z702" t="str">
        <f>IF(AND(R702="WON",ISNUMBER(I702)),AA702,"")</f>
        <v/>
      </c>
      <c r="AA702">
        <f>IFERROR(I702*1,0)</f>
        <v>0</v>
      </c>
      <c r="AB702">
        <f>N(AB701)+IF(AND(R702="WON",B702&lt;&gt;""),1,0)</f>
        <v>7</v>
      </c>
      <c r="AC702">
        <f>N(AC701)+IF(AND(OR(R702="offered",R702="to be offered",R702="on hold"),B702&lt;&gt;""),1,0)</f>
        <v>19</v>
      </c>
      <c r="AD702">
        <f>N(AD701)+IF(AND(OR(R702="follow-up",R702="Evaluation",R702="tbd",R702="In evaluation"),B702&lt;&gt;""),1,0)</f>
        <v>9</v>
      </c>
    </row>
    <row r="703" ht="15" customHeight="1">
      <c r="I703" s="215" t="n"/>
      <c r="J703" s="215" t="n"/>
      <c r="K703" s="215" t="n"/>
      <c r="L703" s="215" t="n"/>
      <c r="M703" s="215" t="n"/>
      <c r="N703" s="215" t="str">
        <f>IF(ISNUMBER(I703),ROUND(I703-I703/1.081,2),"")</f>
        <v/>
      </c>
      <c r="O703" s="215" t="str">
        <f>IF(ISNUMBER(I703),I703-SUM(J703:N703),"")</f>
        <v/>
      </c>
      <c r="P703" s="216" t="str">
        <f>IFERROR(IF(AND(ISNUMBER(O703),ISNUMBER(I703),I703&lt;&gt;0),O703/I703,""),"")</f>
        <v/>
      </c>
      <c r="Q703" s="215" t="str">
        <f>IF(AND(ISNUMBER(I703),ISNUMBER(S703)),I703*IF(S703&lt;=1,S703,S703/100),IF(OR(I703&lt;&gt;"",S703&lt;&gt;""),"tbd",""))</f>
        <v/>
      </c>
      <c r="S703" s="217" t="n"/>
      <c r="Z703" t="str">
        <f>IF(AND(R703="WON",ISNUMBER(I703)),AA703,"")</f>
        <v/>
      </c>
      <c r="AA703">
        <f>IFERROR(I703*1,0)</f>
        <v>0</v>
      </c>
      <c r="AB703">
        <f>N(AB702)+IF(AND(R703="WON",B703&lt;&gt;""),1,0)</f>
        <v>7</v>
      </c>
      <c r="AC703">
        <f>N(AC702)+IF(AND(OR(R703="offered",R703="to be offered",R703="on hold"),B703&lt;&gt;""),1,0)</f>
        <v>19</v>
      </c>
      <c r="AD703">
        <f>N(AD702)+IF(AND(OR(R703="follow-up",R703="Evaluation",R703="tbd",R703="In evaluation"),B703&lt;&gt;""),1,0)</f>
        <v>9</v>
      </c>
    </row>
    <row r="704" ht="15" customHeight="1">
      <c r="I704" s="215" t="n"/>
      <c r="J704" s="215" t="n"/>
      <c r="K704" s="215" t="n"/>
      <c r="L704" s="215" t="n"/>
      <c r="M704" s="215" t="n"/>
      <c r="N704" s="215" t="str">
        <f>IF(ISNUMBER(I704),ROUND(I704-I704/1.081,2),"")</f>
        <v/>
      </c>
      <c r="O704" s="215" t="str">
        <f>IF(ISNUMBER(I704),I704-SUM(J704:N704),"")</f>
        <v/>
      </c>
      <c r="P704" s="216" t="str">
        <f>IFERROR(IF(AND(ISNUMBER(O704),ISNUMBER(I704),I704&lt;&gt;0),O704/I704,""),"")</f>
        <v/>
      </c>
      <c r="Q704" s="215" t="str">
        <f>IF(AND(ISNUMBER(I704),ISNUMBER(S704)),I704*IF(S704&lt;=1,S704,S704/100),IF(OR(I704&lt;&gt;"",S704&lt;&gt;""),"tbd",""))</f>
        <v/>
      </c>
      <c r="S704" s="217" t="n"/>
      <c r="Z704" t="str">
        <f>IF(AND(R704="WON",ISNUMBER(I704)),AA704,"")</f>
        <v/>
      </c>
      <c r="AA704">
        <f>IFERROR(I704*1,0)</f>
        <v>0</v>
      </c>
      <c r="AB704">
        <f>N(AB703)+IF(AND(R704="WON",B704&lt;&gt;""),1,0)</f>
        <v>7</v>
      </c>
      <c r="AC704">
        <f>N(AC703)+IF(AND(OR(R704="offered",R704="to be offered",R704="on hold"),B704&lt;&gt;""),1,0)</f>
        <v>19</v>
      </c>
      <c r="AD704">
        <f>N(AD703)+IF(AND(OR(R704="follow-up",R704="Evaluation",R704="tbd",R704="In evaluation"),B704&lt;&gt;""),1,0)</f>
        <v>9</v>
      </c>
    </row>
    <row r="705" ht="15" customHeight="1">
      <c r="I705" s="215" t="n"/>
      <c r="J705" s="215" t="n"/>
      <c r="K705" s="215" t="n"/>
      <c r="L705" s="215" t="n"/>
      <c r="M705" s="215" t="n"/>
      <c r="N705" s="215" t="str">
        <f>IF(ISNUMBER(I705),ROUND(I705-I705/1.081,2),"")</f>
        <v/>
      </c>
      <c r="O705" s="215" t="str">
        <f>IF(ISNUMBER(I705),I705-SUM(J705:N705),"")</f>
        <v/>
      </c>
      <c r="P705" s="216" t="str">
        <f>IFERROR(IF(AND(ISNUMBER(O705),ISNUMBER(I705),I705&lt;&gt;0),O705/I705,""),"")</f>
        <v/>
      </c>
      <c r="Q705" s="215" t="str">
        <f>IF(AND(ISNUMBER(I705),ISNUMBER(S705)),I705*IF(S705&lt;=1,S705,S705/100),IF(OR(I705&lt;&gt;"",S705&lt;&gt;""),"tbd",""))</f>
        <v/>
      </c>
      <c r="S705" s="217" t="n"/>
      <c r="Z705" t="str">
        <f>IF(AND(R705="WON",ISNUMBER(I705)),AA705,"")</f>
        <v/>
      </c>
      <c r="AA705">
        <f>IFERROR(I705*1,0)</f>
        <v>0</v>
      </c>
      <c r="AB705">
        <f>N(AB704)+IF(AND(R705="WON",B705&lt;&gt;""),1,0)</f>
        <v>7</v>
      </c>
      <c r="AC705">
        <f>N(AC704)+IF(AND(OR(R705="offered",R705="to be offered",R705="on hold"),B705&lt;&gt;""),1,0)</f>
        <v>19</v>
      </c>
      <c r="AD705">
        <f>N(AD704)+IF(AND(OR(R705="follow-up",R705="Evaluation",R705="tbd",R705="In evaluation"),B705&lt;&gt;""),1,0)</f>
        <v>9</v>
      </c>
    </row>
    <row r="706" ht="15" customHeight="1">
      <c r="I706" s="215" t="n"/>
      <c r="J706" s="215" t="n"/>
      <c r="K706" s="215" t="n"/>
      <c r="L706" s="215" t="n"/>
      <c r="M706" s="215" t="n"/>
      <c r="N706" s="215" t="str">
        <f>IF(ISNUMBER(I706),ROUND(I706-I706/1.081,2),"")</f>
        <v/>
      </c>
      <c r="O706" s="215" t="str">
        <f>IF(ISNUMBER(I706),I706-SUM(J706:N706),"")</f>
        <v/>
      </c>
      <c r="P706" s="216" t="str">
        <f>IFERROR(IF(AND(ISNUMBER(O706),ISNUMBER(I706),I706&lt;&gt;0),O706/I706,""),"")</f>
        <v/>
      </c>
      <c r="Q706" s="215" t="str">
        <f>IF(AND(ISNUMBER(I706),ISNUMBER(S706)),I706*IF(S706&lt;=1,S706,S706/100),IF(OR(I706&lt;&gt;"",S706&lt;&gt;""),"tbd",""))</f>
        <v/>
      </c>
      <c r="S706" s="217" t="n"/>
      <c r="Z706" t="str">
        <f>IF(AND(R706="WON",ISNUMBER(I706)),AA706,"")</f>
        <v/>
      </c>
      <c r="AA706">
        <f>IFERROR(I706*1,0)</f>
        <v>0</v>
      </c>
      <c r="AB706">
        <f>N(AB705)+IF(AND(R706="WON",B706&lt;&gt;""),1,0)</f>
        <v>7</v>
      </c>
      <c r="AC706">
        <f>N(AC705)+IF(AND(OR(R706="offered",R706="to be offered",R706="on hold"),B706&lt;&gt;""),1,0)</f>
        <v>19</v>
      </c>
      <c r="AD706">
        <f>N(AD705)+IF(AND(OR(R706="follow-up",R706="Evaluation",R706="tbd",R706="In evaluation"),B706&lt;&gt;""),1,0)</f>
        <v>9</v>
      </c>
    </row>
    <row r="707" ht="15" customHeight="1">
      <c r="I707" s="215" t="n"/>
      <c r="J707" s="215" t="n"/>
      <c r="K707" s="215" t="n"/>
      <c r="L707" s="215" t="n"/>
      <c r="M707" s="215" t="n"/>
      <c r="N707" s="215" t="str">
        <f>IF(ISNUMBER(I707),ROUND(I707-I707/1.081,2),"")</f>
        <v/>
      </c>
      <c r="O707" s="215" t="str">
        <f>IF(ISNUMBER(I707),I707-SUM(J707:N707),"")</f>
        <v/>
      </c>
      <c r="P707" s="216" t="str">
        <f>IFERROR(IF(AND(ISNUMBER(O707),ISNUMBER(I707),I707&lt;&gt;0),O707/I707,""),"")</f>
        <v/>
      </c>
      <c r="Q707" s="215" t="str">
        <f>IF(AND(ISNUMBER(I707),ISNUMBER(S707)),I707*IF(S707&lt;=1,S707,S707/100),IF(OR(I707&lt;&gt;"",S707&lt;&gt;""),"tbd",""))</f>
        <v/>
      </c>
      <c r="S707" s="217" t="n"/>
      <c r="Z707" t="str">
        <f>IF(AND(R707="WON",ISNUMBER(I707)),AA707,"")</f>
        <v/>
      </c>
      <c r="AA707">
        <f>IFERROR(I707*1,0)</f>
        <v>0</v>
      </c>
      <c r="AB707">
        <f>N(AB706)+IF(AND(R707="WON",B707&lt;&gt;""),1,0)</f>
        <v>7</v>
      </c>
      <c r="AC707">
        <f>N(AC706)+IF(AND(OR(R707="offered",R707="to be offered",R707="on hold"),B707&lt;&gt;""),1,0)</f>
        <v>19</v>
      </c>
      <c r="AD707">
        <f>N(AD706)+IF(AND(OR(R707="follow-up",R707="Evaluation",R707="tbd",R707="In evaluation"),B707&lt;&gt;""),1,0)</f>
        <v>9</v>
      </c>
    </row>
    <row r="708" ht="15" customHeight="1">
      <c r="I708" s="215" t="n"/>
      <c r="J708" s="215" t="n"/>
      <c r="K708" s="215" t="n"/>
      <c r="L708" s="215" t="n"/>
      <c r="M708" s="215" t="n"/>
      <c r="N708" s="215" t="str">
        <f>IF(ISNUMBER(I708),ROUND(I708-I708/1.081,2),"")</f>
        <v/>
      </c>
      <c r="O708" s="215" t="str">
        <f>IF(ISNUMBER(I708),I708-SUM(J708:N708),"")</f>
        <v/>
      </c>
      <c r="P708" s="216" t="str">
        <f>IFERROR(IF(AND(ISNUMBER(O708),ISNUMBER(I708),I708&lt;&gt;0),O708/I708,""),"")</f>
        <v/>
      </c>
      <c r="Q708" s="215" t="str">
        <f>IF(AND(ISNUMBER(I708),ISNUMBER(S708)),I708*IF(S708&lt;=1,S708,S708/100),IF(OR(I708&lt;&gt;"",S708&lt;&gt;""),"tbd",""))</f>
        <v/>
      </c>
      <c r="S708" s="217" t="n"/>
      <c r="Z708" t="str">
        <f>IF(AND(R708="WON",ISNUMBER(I708)),AA708,"")</f>
        <v/>
      </c>
      <c r="AA708">
        <f>IFERROR(I708*1,0)</f>
        <v>0</v>
      </c>
      <c r="AB708">
        <f>N(AB707)+IF(AND(R708="WON",B708&lt;&gt;""),1,0)</f>
        <v>7</v>
      </c>
      <c r="AC708">
        <f>N(AC707)+IF(AND(OR(R708="offered",R708="to be offered",R708="on hold"),B708&lt;&gt;""),1,0)</f>
        <v>19</v>
      </c>
      <c r="AD708">
        <f>N(AD707)+IF(AND(OR(R708="follow-up",R708="Evaluation",R708="tbd",R708="In evaluation"),B708&lt;&gt;""),1,0)</f>
        <v>9</v>
      </c>
    </row>
    <row r="709" ht="15" customHeight="1">
      <c r="I709" s="215" t="n"/>
      <c r="J709" s="215" t="n"/>
      <c r="K709" s="215" t="n"/>
      <c r="L709" s="215" t="n"/>
      <c r="M709" s="215" t="n"/>
      <c r="N709" s="215" t="str">
        <f>IF(ISNUMBER(I709),ROUND(I709-I709/1.081,2),"")</f>
        <v/>
      </c>
      <c r="O709" s="215" t="str">
        <f>IF(ISNUMBER(I709),I709-SUM(J709:N709),"")</f>
        <v/>
      </c>
      <c r="P709" s="216" t="str">
        <f>IFERROR(IF(AND(ISNUMBER(O709),ISNUMBER(I709),I709&lt;&gt;0),O709/I709,""),"")</f>
        <v/>
      </c>
      <c r="Q709" s="215" t="str">
        <f>IF(AND(ISNUMBER(I709),ISNUMBER(S709)),I709*IF(S709&lt;=1,S709,S709/100),IF(OR(I709&lt;&gt;"",S709&lt;&gt;""),"tbd",""))</f>
        <v/>
      </c>
      <c r="S709" s="217" t="n"/>
      <c r="Z709" t="str">
        <f>IF(AND(R709="WON",ISNUMBER(I709)),AA709,"")</f>
        <v/>
      </c>
      <c r="AA709">
        <f>IFERROR(I709*1,0)</f>
        <v>0</v>
      </c>
      <c r="AB709">
        <f>N(AB708)+IF(AND(R709="WON",B709&lt;&gt;""),1,0)</f>
        <v>7</v>
      </c>
      <c r="AC709">
        <f>N(AC708)+IF(AND(OR(R709="offered",R709="to be offered",R709="on hold"),B709&lt;&gt;""),1,0)</f>
        <v>19</v>
      </c>
      <c r="AD709">
        <f>N(AD708)+IF(AND(OR(R709="follow-up",R709="Evaluation",R709="tbd",R709="In evaluation"),B709&lt;&gt;""),1,0)</f>
        <v>9</v>
      </c>
    </row>
    <row r="710" ht="15" customHeight="1">
      <c r="I710" s="215" t="n"/>
      <c r="J710" s="215" t="n"/>
      <c r="K710" s="215" t="n"/>
      <c r="L710" s="215" t="n"/>
      <c r="M710" s="215" t="n"/>
      <c r="N710" s="215" t="str">
        <f>IF(ISNUMBER(I710),ROUND(I710-I710/1.081,2),"")</f>
        <v/>
      </c>
      <c r="O710" s="215" t="str">
        <f>IF(ISNUMBER(I710),I710-SUM(J710:N710),"")</f>
        <v/>
      </c>
      <c r="P710" s="216" t="str">
        <f>IFERROR(IF(AND(ISNUMBER(O710),ISNUMBER(I710),I710&lt;&gt;0),O710/I710,""),"")</f>
        <v/>
      </c>
      <c r="Q710" s="215" t="str">
        <f>IF(AND(ISNUMBER(I710),ISNUMBER(S710)),I710*IF(S710&lt;=1,S710,S710/100),IF(OR(I710&lt;&gt;"",S710&lt;&gt;""),"tbd",""))</f>
        <v/>
      </c>
      <c r="S710" s="217" t="n"/>
      <c r="Z710" t="str">
        <f>IF(AND(R710="WON",ISNUMBER(I710)),AA710,"")</f>
        <v/>
      </c>
      <c r="AA710">
        <f>IFERROR(I710*1,0)</f>
        <v>0</v>
      </c>
      <c r="AB710">
        <f>N(AB709)+IF(AND(R710="WON",B710&lt;&gt;""),1,0)</f>
        <v>7</v>
      </c>
      <c r="AC710">
        <f>N(AC709)+IF(AND(OR(R710="offered",R710="to be offered",R710="on hold"),B710&lt;&gt;""),1,0)</f>
        <v>19</v>
      </c>
      <c r="AD710">
        <f>N(AD709)+IF(AND(OR(R710="follow-up",R710="Evaluation",R710="tbd",R710="In evaluation"),B710&lt;&gt;""),1,0)</f>
        <v>9</v>
      </c>
    </row>
    <row r="711" ht="15" customHeight="1">
      <c r="I711" s="215" t="n"/>
      <c r="J711" s="215" t="n"/>
      <c r="K711" s="215" t="n"/>
      <c r="L711" s="215" t="n"/>
      <c r="M711" s="215" t="n"/>
      <c r="N711" s="215" t="str">
        <f>IF(ISNUMBER(I711),ROUND(I711-I711/1.081,2),"")</f>
        <v/>
      </c>
      <c r="O711" s="215" t="str">
        <f>IF(ISNUMBER(I711),I711-SUM(J711:N711),"")</f>
        <v/>
      </c>
      <c r="P711" s="216" t="str">
        <f>IFERROR(IF(AND(ISNUMBER(O711),ISNUMBER(I711),I711&lt;&gt;0),O711/I711,""),"")</f>
        <v/>
      </c>
      <c r="Q711" s="215" t="str">
        <f>IF(AND(ISNUMBER(I711),ISNUMBER(S711)),I711*IF(S711&lt;=1,S711,S711/100),IF(OR(I711&lt;&gt;"",S711&lt;&gt;""),"tbd",""))</f>
        <v/>
      </c>
      <c r="S711" s="217" t="n"/>
      <c r="Z711" t="str">
        <f>IF(AND(R711="WON",ISNUMBER(I711)),AA711,"")</f>
        <v/>
      </c>
      <c r="AA711">
        <f>IFERROR(I711*1,0)</f>
        <v>0</v>
      </c>
      <c r="AB711">
        <f>N(AB710)+IF(AND(R711="WON",B711&lt;&gt;""),1,0)</f>
        <v>7</v>
      </c>
      <c r="AC711">
        <f>N(AC710)+IF(AND(OR(R711="offered",R711="to be offered",R711="on hold"),B711&lt;&gt;""),1,0)</f>
        <v>19</v>
      </c>
      <c r="AD711">
        <f>N(AD710)+IF(AND(OR(R711="follow-up",R711="Evaluation",R711="tbd",R711="In evaluation"),B711&lt;&gt;""),1,0)</f>
        <v>9</v>
      </c>
    </row>
    <row r="712" ht="15" customHeight="1">
      <c r="I712" s="215" t="n"/>
      <c r="J712" s="215" t="n"/>
      <c r="K712" s="215" t="n"/>
      <c r="L712" s="215" t="n"/>
      <c r="M712" s="215" t="n"/>
      <c r="N712" s="215" t="str">
        <f>IF(ISNUMBER(I712),ROUND(I712-I712/1.081,2),"")</f>
        <v/>
      </c>
      <c r="O712" s="215" t="str">
        <f>IF(ISNUMBER(I712),I712-SUM(J712:N712),"")</f>
        <v/>
      </c>
      <c r="P712" s="216" t="str">
        <f>IFERROR(IF(AND(ISNUMBER(O712),ISNUMBER(I712),I712&lt;&gt;0),O712/I712,""),"")</f>
        <v/>
      </c>
      <c r="Q712" s="215" t="str">
        <f>IF(AND(ISNUMBER(I712),ISNUMBER(S712)),I712*IF(S712&lt;=1,S712,S712/100),IF(OR(I712&lt;&gt;"",S712&lt;&gt;""),"tbd",""))</f>
        <v/>
      </c>
      <c r="S712" s="217" t="n"/>
      <c r="Z712" t="str">
        <f>IF(AND(R712="WON",ISNUMBER(I712)),AA712,"")</f>
        <v/>
      </c>
      <c r="AA712">
        <f>IFERROR(I712*1,0)</f>
        <v>0</v>
      </c>
      <c r="AB712">
        <f>N(AB711)+IF(AND(R712="WON",B712&lt;&gt;""),1,0)</f>
        <v>7</v>
      </c>
      <c r="AC712">
        <f>N(AC711)+IF(AND(OR(R712="offered",R712="to be offered",R712="on hold"),B712&lt;&gt;""),1,0)</f>
        <v>19</v>
      </c>
      <c r="AD712">
        <f>N(AD711)+IF(AND(OR(R712="follow-up",R712="Evaluation",R712="tbd",R712="In evaluation"),B712&lt;&gt;""),1,0)</f>
        <v>9</v>
      </c>
    </row>
    <row r="713" ht="15" customHeight="1">
      <c r="I713" s="215" t="n"/>
      <c r="J713" s="215" t="n"/>
      <c r="K713" s="215" t="n"/>
      <c r="L713" s="215" t="n"/>
      <c r="M713" s="215" t="n"/>
      <c r="N713" s="215" t="str">
        <f>IF(ISNUMBER(I713),ROUND(I713-I713/1.081,2),"")</f>
        <v/>
      </c>
      <c r="O713" s="215" t="str">
        <f>IF(ISNUMBER(I713),I713-SUM(J713:N713),"")</f>
        <v/>
      </c>
      <c r="P713" s="216" t="str">
        <f>IFERROR(IF(AND(ISNUMBER(O713),ISNUMBER(I713),I713&lt;&gt;0),O713/I713,""),"")</f>
        <v/>
      </c>
      <c r="Q713" s="215" t="str">
        <f>IF(AND(ISNUMBER(I713),ISNUMBER(S713)),I713*IF(S713&lt;=1,S713,S713/100),IF(OR(I713&lt;&gt;"",S713&lt;&gt;""),"tbd",""))</f>
        <v/>
      </c>
      <c r="S713" s="217" t="n"/>
      <c r="Z713" t="str">
        <f>IF(AND(R713="WON",ISNUMBER(I713)),AA713,"")</f>
        <v/>
      </c>
      <c r="AA713">
        <f>IFERROR(I713*1,0)</f>
        <v>0</v>
      </c>
      <c r="AB713">
        <f>N(AB712)+IF(AND(R713="WON",B713&lt;&gt;""),1,0)</f>
        <v>7</v>
      </c>
      <c r="AC713">
        <f>N(AC712)+IF(AND(OR(R713="offered",R713="to be offered",R713="on hold"),B713&lt;&gt;""),1,0)</f>
        <v>19</v>
      </c>
      <c r="AD713">
        <f>N(AD712)+IF(AND(OR(R713="follow-up",R713="Evaluation",R713="tbd",R713="In evaluation"),B713&lt;&gt;""),1,0)</f>
        <v>9</v>
      </c>
    </row>
    <row r="714" ht="15" customHeight="1">
      <c r="I714" s="215" t="n"/>
      <c r="J714" s="215" t="n"/>
      <c r="K714" s="215" t="n"/>
      <c r="L714" s="215" t="n"/>
      <c r="M714" s="215" t="n"/>
      <c r="N714" s="215" t="str">
        <f>IF(ISNUMBER(I714),ROUND(I714-I714/1.081,2),"")</f>
        <v/>
      </c>
      <c r="O714" s="215" t="str">
        <f>IF(ISNUMBER(I714),I714-SUM(J714:N714),"")</f>
        <v/>
      </c>
      <c r="P714" s="216" t="str">
        <f>IFERROR(IF(AND(ISNUMBER(O714),ISNUMBER(I714),I714&lt;&gt;0),O714/I714,""),"")</f>
        <v/>
      </c>
      <c r="Q714" s="215" t="str">
        <f>IF(AND(ISNUMBER(I714),ISNUMBER(S714)),I714*IF(S714&lt;=1,S714,S714/100),IF(OR(I714&lt;&gt;"",S714&lt;&gt;""),"tbd",""))</f>
        <v/>
      </c>
      <c r="S714" s="217" t="n"/>
      <c r="Z714" t="str">
        <f>IF(AND(R714="WON",ISNUMBER(I714)),AA714,"")</f>
        <v/>
      </c>
      <c r="AA714">
        <f>IFERROR(I714*1,0)</f>
        <v>0</v>
      </c>
      <c r="AB714">
        <f>N(AB713)+IF(AND(R714="WON",B714&lt;&gt;""),1,0)</f>
        <v>7</v>
      </c>
      <c r="AC714">
        <f>N(AC713)+IF(AND(OR(R714="offered",R714="to be offered",R714="on hold"),B714&lt;&gt;""),1,0)</f>
        <v>19</v>
      </c>
      <c r="AD714">
        <f>N(AD713)+IF(AND(OR(R714="follow-up",R714="Evaluation",R714="tbd",R714="In evaluation"),B714&lt;&gt;""),1,0)</f>
        <v>9</v>
      </c>
    </row>
    <row r="715" ht="15" customHeight="1">
      <c r="I715" s="215" t="n"/>
      <c r="J715" s="215" t="n"/>
      <c r="K715" s="215" t="n"/>
      <c r="L715" s="215" t="n"/>
      <c r="M715" s="215" t="n"/>
      <c r="N715" s="215" t="str">
        <f>IF(ISNUMBER(I715),ROUND(I715-I715/1.081,2),"")</f>
        <v/>
      </c>
      <c r="O715" s="215" t="str">
        <f>IF(ISNUMBER(I715),I715-SUM(J715:N715),"")</f>
        <v/>
      </c>
      <c r="P715" s="216" t="str">
        <f>IFERROR(IF(AND(ISNUMBER(O715),ISNUMBER(I715),I715&lt;&gt;0),O715/I715,""),"")</f>
        <v/>
      </c>
      <c r="Q715" s="215" t="str">
        <f>IF(AND(ISNUMBER(I715),ISNUMBER(S715)),I715*IF(S715&lt;=1,S715,S715/100),IF(OR(I715&lt;&gt;"",S715&lt;&gt;""),"tbd",""))</f>
        <v/>
      </c>
      <c r="S715" s="217" t="n"/>
      <c r="Z715" t="str">
        <f>IF(AND(R715="WON",ISNUMBER(I715)),AA715,"")</f>
        <v/>
      </c>
      <c r="AA715">
        <f>IFERROR(I715*1,0)</f>
        <v>0</v>
      </c>
      <c r="AB715">
        <f>N(AB714)+IF(AND(R715="WON",B715&lt;&gt;""),1,0)</f>
        <v>7</v>
      </c>
      <c r="AC715">
        <f>N(AC714)+IF(AND(OR(R715="offered",R715="to be offered",R715="on hold"),B715&lt;&gt;""),1,0)</f>
        <v>19</v>
      </c>
      <c r="AD715">
        <f>N(AD714)+IF(AND(OR(R715="follow-up",R715="Evaluation",R715="tbd",R715="In evaluation"),B715&lt;&gt;""),1,0)</f>
        <v>9</v>
      </c>
    </row>
    <row r="716" ht="15" customHeight="1">
      <c r="I716" s="215" t="n"/>
      <c r="J716" s="215" t="n"/>
      <c r="K716" s="215" t="n"/>
      <c r="L716" s="215" t="n"/>
      <c r="M716" s="215" t="n"/>
      <c r="N716" s="215" t="str">
        <f>IF(ISNUMBER(I716),ROUND(I716-I716/1.081,2),"")</f>
        <v/>
      </c>
      <c r="O716" s="215" t="str">
        <f>IF(ISNUMBER(I716),I716-SUM(J716:N716),"")</f>
        <v/>
      </c>
      <c r="P716" s="216" t="str">
        <f>IFERROR(IF(AND(ISNUMBER(O716),ISNUMBER(I716),I716&lt;&gt;0),O716/I716,""),"")</f>
        <v/>
      </c>
      <c r="Q716" s="215" t="str">
        <f>IF(AND(ISNUMBER(I716),ISNUMBER(S716)),I716*IF(S716&lt;=1,S716,S716/100),IF(OR(I716&lt;&gt;"",S716&lt;&gt;""),"tbd",""))</f>
        <v/>
      </c>
      <c r="S716" s="217" t="n"/>
      <c r="Z716" t="str">
        <f>IF(AND(R716="WON",ISNUMBER(I716)),AA716,"")</f>
        <v/>
      </c>
      <c r="AA716">
        <f>IFERROR(I716*1,0)</f>
        <v>0</v>
      </c>
      <c r="AB716">
        <f>N(AB715)+IF(AND(R716="WON",B716&lt;&gt;""),1,0)</f>
        <v>7</v>
      </c>
      <c r="AC716">
        <f>N(AC715)+IF(AND(OR(R716="offered",R716="to be offered",R716="on hold"),B716&lt;&gt;""),1,0)</f>
        <v>19</v>
      </c>
      <c r="AD716">
        <f>N(AD715)+IF(AND(OR(R716="follow-up",R716="Evaluation",R716="tbd",R716="In evaluation"),B716&lt;&gt;""),1,0)</f>
        <v>9</v>
      </c>
    </row>
    <row r="717" ht="15" customHeight="1">
      <c r="I717" s="215" t="n"/>
      <c r="J717" s="215" t="n"/>
      <c r="K717" s="215" t="n"/>
      <c r="L717" s="215" t="n"/>
      <c r="M717" s="215" t="n"/>
      <c r="N717" s="215" t="str">
        <f>IF(ISNUMBER(I717),ROUND(I717-I717/1.081,2),"")</f>
        <v/>
      </c>
      <c r="O717" s="215" t="str">
        <f>IF(ISNUMBER(I717),I717-SUM(J717:N717),"")</f>
        <v/>
      </c>
      <c r="P717" s="216" t="str">
        <f>IFERROR(IF(AND(ISNUMBER(O717),ISNUMBER(I717),I717&lt;&gt;0),O717/I717,""),"")</f>
        <v/>
      </c>
      <c r="Q717" s="215" t="str">
        <f>IF(AND(ISNUMBER(I717),ISNUMBER(S717)),I717*IF(S717&lt;=1,S717,S717/100),IF(OR(I717&lt;&gt;"",S717&lt;&gt;""),"tbd",""))</f>
        <v/>
      </c>
      <c r="S717" s="217" t="n"/>
      <c r="Z717" t="str">
        <f>IF(AND(R717="WON",ISNUMBER(I717)),AA717,"")</f>
        <v/>
      </c>
      <c r="AA717">
        <f>IFERROR(I717*1,0)</f>
        <v>0</v>
      </c>
      <c r="AB717">
        <f>N(AB716)+IF(AND(R717="WON",B717&lt;&gt;""),1,0)</f>
        <v>7</v>
      </c>
      <c r="AC717">
        <f>N(AC716)+IF(AND(OR(R717="offered",R717="to be offered",R717="on hold"),B717&lt;&gt;""),1,0)</f>
        <v>19</v>
      </c>
      <c r="AD717">
        <f>N(AD716)+IF(AND(OR(R717="follow-up",R717="Evaluation",R717="tbd",R717="In evaluation"),B717&lt;&gt;""),1,0)</f>
        <v>9</v>
      </c>
    </row>
    <row r="718" ht="15" customHeight="1">
      <c r="I718" s="215" t="n"/>
      <c r="J718" s="215" t="n"/>
      <c r="K718" s="215" t="n"/>
      <c r="L718" s="215" t="n"/>
      <c r="M718" s="215" t="n"/>
      <c r="N718" s="215" t="str">
        <f>IF(ISNUMBER(I718),ROUND(I718-I718/1.081,2),"")</f>
        <v/>
      </c>
      <c r="O718" s="215" t="str">
        <f>IF(ISNUMBER(I718),I718-SUM(J718:N718),"")</f>
        <v/>
      </c>
      <c r="P718" s="216" t="str">
        <f>IFERROR(IF(AND(ISNUMBER(O718),ISNUMBER(I718),I718&lt;&gt;0),O718/I718,""),"")</f>
        <v/>
      </c>
      <c r="Q718" s="215" t="str">
        <f>IF(AND(ISNUMBER(I718),ISNUMBER(S718)),I718*IF(S718&lt;=1,S718,S718/100),IF(OR(I718&lt;&gt;"",S718&lt;&gt;""),"tbd",""))</f>
        <v/>
      </c>
      <c r="S718" s="217" t="n"/>
      <c r="Z718" t="str">
        <f>IF(AND(R718="WON",ISNUMBER(I718)),AA718,"")</f>
        <v/>
      </c>
      <c r="AA718">
        <f>IFERROR(I718*1,0)</f>
        <v>0</v>
      </c>
      <c r="AB718">
        <f>N(AB717)+IF(AND(R718="WON",B718&lt;&gt;""),1,0)</f>
        <v>7</v>
      </c>
      <c r="AC718">
        <f>N(AC717)+IF(AND(OR(R718="offered",R718="to be offered",R718="on hold"),B718&lt;&gt;""),1,0)</f>
        <v>19</v>
      </c>
      <c r="AD718">
        <f>N(AD717)+IF(AND(OR(R718="follow-up",R718="Evaluation",R718="tbd",R718="In evaluation"),B718&lt;&gt;""),1,0)</f>
        <v>9</v>
      </c>
    </row>
    <row r="719" ht="15" customHeight="1">
      <c r="I719" s="215" t="n"/>
      <c r="J719" s="215" t="n"/>
      <c r="K719" s="215" t="n"/>
      <c r="L719" s="215" t="n"/>
      <c r="M719" s="215" t="n"/>
      <c r="N719" s="215" t="str">
        <f>IF(ISNUMBER(I719),ROUND(I719-I719/1.081,2),"")</f>
        <v/>
      </c>
      <c r="O719" s="215" t="str">
        <f>IF(ISNUMBER(I719),I719-SUM(J719:N719),"")</f>
        <v/>
      </c>
      <c r="P719" s="216" t="str">
        <f>IFERROR(IF(AND(ISNUMBER(O719),ISNUMBER(I719),I719&lt;&gt;0),O719/I719,""),"")</f>
        <v/>
      </c>
      <c r="Q719" s="215" t="str">
        <f>IF(AND(ISNUMBER(I719),ISNUMBER(S719)),I719*IF(S719&lt;=1,S719,S719/100),IF(OR(I719&lt;&gt;"",S719&lt;&gt;""),"tbd",""))</f>
        <v/>
      </c>
      <c r="S719" s="217" t="n"/>
      <c r="Z719" t="str">
        <f>IF(AND(R719="WON",ISNUMBER(I719)),AA719,"")</f>
        <v/>
      </c>
      <c r="AA719">
        <f>IFERROR(I719*1,0)</f>
        <v>0</v>
      </c>
      <c r="AB719">
        <f>N(AB718)+IF(AND(R719="WON",B719&lt;&gt;""),1,0)</f>
        <v>7</v>
      </c>
      <c r="AC719">
        <f>N(AC718)+IF(AND(OR(R719="offered",R719="to be offered",R719="on hold"),B719&lt;&gt;""),1,0)</f>
        <v>19</v>
      </c>
      <c r="AD719">
        <f>N(AD718)+IF(AND(OR(R719="follow-up",R719="Evaluation",R719="tbd",R719="In evaluation"),B719&lt;&gt;""),1,0)</f>
        <v>9</v>
      </c>
    </row>
    <row r="720" ht="15" customHeight="1">
      <c r="I720" s="215" t="n"/>
      <c r="J720" s="215" t="n"/>
      <c r="K720" s="215" t="n"/>
      <c r="L720" s="215" t="n"/>
      <c r="M720" s="215" t="n"/>
      <c r="N720" s="215" t="str">
        <f>IF(ISNUMBER(I720),ROUND(I720-I720/1.081,2),"")</f>
        <v/>
      </c>
      <c r="O720" s="215" t="str">
        <f>IF(ISNUMBER(I720),I720-SUM(J720:N720),"")</f>
        <v/>
      </c>
      <c r="P720" s="216" t="str">
        <f>IFERROR(IF(AND(ISNUMBER(O720),ISNUMBER(I720),I720&lt;&gt;0),O720/I720,""),"")</f>
        <v/>
      </c>
      <c r="Q720" s="215" t="str">
        <f>IF(AND(ISNUMBER(I720),ISNUMBER(S720)),I720*IF(S720&lt;=1,S720,S720/100),IF(OR(I720&lt;&gt;"",S720&lt;&gt;""),"tbd",""))</f>
        <v/>
      </c>
      <c r="S720" s="217" t="n"/>
      <c r="Z720" t="str">
        <f>IF(AND(R720="WON",ISNUMBER(I720)),AA720,"")</f>
        <v/>
      </c>
      <c r="AA720">
        <f>IFERROR(I720*1,0)</f>
        <v>0</v>
      </c>
      <c r="AB720">
        <f>N(AB719)+IF(AND(R720="WON",B720&lt;&gt;""),1,0)</f>
        <v>7</v>
      </c>
      <c r="AC720">
        <f>N(AC719)+IF(AND(OR(R720="offered",R720="to be offered",R720="on hold"),B720&lt;&gt;""),1,0)</f>
        <v>19</v>
      </c>
      <c r="AD720">
        <f>N(AD719)+IF(AND(OR(R720="follow-up",R720="Evaluation",R720="tbd",R720="In evaluation"),B720&lt;&gt;""),1,0)</f>
        <v>9</v>
      </c>
    </row>
    <row r="721" ht="15" customHeight="1">
      <c r="I721" s="215" t="n"/>
      <c r="J721" s="215" t="n"/>
      <c r="K721" s="215" t="n"/>
      <c r="L721" s="215" t="n"/>
      <c r="M721" s="215" t="n"/>
      <c r="N721" s="215" t="str">
        <f>IF(ISNUMBER(I721),ROUND(I721-I721/1.081,2),"")</f>
        <v/>
      </c>
      <c r="O721" s="215" t="str">
        <f>IF(ISNUMBER(I721),I721-SUM(J721:N721),"")</f>
        <v/>
      </c>
      <c r="P721" s="216" t="str">
        <f>IFERROR(IF(AND(ISNUMBER(O721),ISNUMBER(I721),I721&lt;&gt;0),O721/I721,""),"")</f>
        <v/>
      </c>
      <c r="Q721" s="215" t="str">
        <f>IF(AND(ISNUMBER(I721),ISNUMBER(S721)),I721*IF(S721&lt;=1,S721,S721/100),IF(OR(I721&lt;&gt;"",S721&lt;&gt;""),"tbd",""))</f>
        <v/>
      </c>
      <c r="S721" s="217" t="n"/>
      <c r="Z721" t="str">
        <f>IF(AND(R721="WON",ISNUMBER(I721)),AA721,"")</f>
        <v/>
      </c>
      <c r="AA721">
        <f>IFERROR(I721*1,0)</f>
        <v>0</v>
      </c>
      <c r="AB721">
        <f>N(AB720)+IF(AND(R721="WON",B721&lt;&gt;""),1,0)</f>
        <v>7</v>
      </c>
      <c r="AC721">
        <f>N(AC720)+IF(AND(OR(R721="offered",R721="to be offered",R721="on hold"),B721&lt;&gt;""),1,0)</f>
        <v>19</v>
      </c>
      <c r="AD721">
        <f>N(AD720)+IF(AND(OR(R721="follow-up",R721="Evaluation",R721="tbd",R721="In evaluation"),B721&lt;&gt;""),1,0)</f>
        <v>9</v>
      </c>
    </row>
    <row r="722" ht="15" customHeight="1">
      <c r="I722" s="215" t="n"/>
      <c r="J722" s="215" t="n"/>
      <c r="K722" s="215" t="n"/>
      <c r="L722" s="215" t="n"/>
      <c r="M722" s="215" t="n"/>
      <c r="N722" s="215" t="str">
        <f>IF(ISNUMBER(I722),ROUND(I722-I722/1.081,2),"")</f>
        <v/>
      </c>
      <c r="O722" s="215" t="str">
        <f>IF(ISNUMBER(I722),I722-SUM(J722:N722),"")</f>
        <v/>
      </c>
      <c r="P722" s="216" t="str">
        <f>IFERROR(IF(AND(ISNUMBER(O722),ISNUMBER(I722),I722&lt;&gt;0),O722/I722,""),"")</f>
        <v/>
      </c>
      <c r="Q722" s="215" t="str">
        <f>IF(AND(ISNUMBER(I722),ISNUMBER(S722)),I722*IF(S722&lt;=1,S722,S722/100),IF(OR(I722&lt;&gt;"",S722&lt;&gt;""),"tbd",""))</f>
        <v/>
      </c>
      <c r="S722" s="217" t="n"/>
      <c r="Z722" t="str">
        <f>IF(AND(R722="WON",ISNUMBER(I722)),AA722,"")</f>
        <v/>
      </c>
      <c r="AA722">
        <f>IFERROR(I722*1,0)</f>
        <v>0</v>
      </c>
      <c r="AB722">
        <f>N(AB721)+IF(AND(R722="WON",B722&lt;&gt;""),1,0)</f>
        <v>7</v>
      </c>
      <c r="AC722">
        <f>N(AC721)+IF(AND(OR(R722="offered",R722="to be offered",R722="on hold"),B722&lt;&gt;""),1,0)</f>
        <v>19</v>
      </c>
      <c r="AD722">
        <f>N(AD721)+IF(AND(OR(R722="follow-up",R722="Evaluation",R722="tbd",R722="In evaluation"),B722&lt;&gt;""),1,0)</f>
        <v>9</v>
      </c>
    </row>
    <row r="723" ht="15" customHeight="1">
      <c r="I723" s="215" t="n"/>
      <c r="J723" s="215" t="n"/>
      <c r="K723" s="215" t="n"/>
      <c r="L723" s="215" t="n"/>
      <c r="M723" s="215" t="n"/>
      <c r="N723" s="215" t="str">
        <f>IF(ISNUMBER(I723),ROUND(I723-I723/1.081,2),"")</f>
        <v/>
      </c>
      <c r="O723" s="215" t="str">
        <f>IF(ISNUMBER(I723),I723-SUM(J723:N723),"")</f>
        <v/>
      </c>
      <c r="P723" s="216" t="str">
        <f>IFERROR(IF(AND(ISNUMBER(O723),ISNUMBER(I723),I723&lt;&gt;0),O723/I723,""),"")</f>
        <v/>
      </c>
      <c r="Q723" s="215" t="str">
        <f>IF(AND(ISNUMBER(I723),ISNUMBER(S723)),I723*IF(S723&lt;=1,S723,S723/100),IF(OR(I723&lt;&gt;"",S723&lt;&gt;""),"tbd",""))</f>
        <v/>
      </c>
      <c r="S723" s="217" t="n"/>
      <c r="Z723" t="str">
        <f>IF(AND(R723="WON",ISNUMBER(I723)),AA723,"")</f>
        <v/>
      </c>
      <c r="AA723">
        <f>IFERROR(I723*1,0)</f>
        <v>0</v>
      </c>
      <c r="AB723">
        <f>N(AB722)+IF(AND(R723="WON",B723&lt;&gt;""),1,0)</f>
        <v>7</v>
      </c>
      <c r="AC723">
        <f>N(AC722)+IF(AND(OR(R723="offered",R723="to be offered",R723="on hold"),B723&lt;&gt;""),1,0)</f>
        <v>19</v>
      </c>
      <c r="AD723">
        <f>N(AD722)+IF(AND(OR(R723="follow-up",R723="Evaluation",R723="tbd",R723="In evaluation"),B723&lt;&gt;""),1,0)</f>
        <v>9</v>
      </c>
    </row>
    <row r="724" ht="15" customHeight="1">
      <c r="I724" s="215" t="n"/>
      <c r="J724" s="215" t="n"/>
      <c r="K724" s="215" t="n"/>
      <c r="L724" s="215" t="n"/>
      <c r="M724" s="215" t="n"/>
      <c r="N724" s="215" t="str">
        <f>IF(ISNUMBER(I724),ROUND(I724-I724/1.081,2),"")</f>
        <v/>
      </c>
      <c r="O724" s="215" t="str">
        <f>IF(ISNUMBER(I724),I724-SUM(J724:N724),"")</f>
        <v/>
      </c>
      <c r="P724" s="216" t="str">
        <f>IFERROR(IF(AND(ISNUMBER(O724),ISNUMBER(I724),I724&lt;&gt;0),O724/I724,""),"")</f>
        <v/>
      </c>
      <c r="Q724" s="215" t="str">
        <f>IF(AND(ISNUMBER(I724),ISNUMBER(S724)),I724*IF(S724&lt;=1,S724,S724/100),IF(OR(I724&lt;&gt;"",S724&lt;&gt;""),"tbd",""))</f>
        <v/>
      </c>
      <c r="S724" s="217" t="n"/>
      <c r="Z724" t="str">
        <f>IF(AND(R724="WON",ISNUMBER(I724)),AA724,"")</f>
        <v/>
      </c>
      <c r="AA724">
        <f>IFERROR(I724*1,0)</f>
        <v>0</v>
      </c>
      <c r="AB724">
        <f>N(AB723)+IF(AND(R724="WON",B724&lt;&gt;""),1,0)</f>
        <v>7</v>
      </c>
      <c r="AC724">
        <f>N(AC723)+IF(AND(OR(R724="offered",R724="to be offered",R724="on hold"),B724&lt;&gt;""),1,0)</f>
        <v>19</v>
      </c>
      <c r="AD724">
        <f>N(AD723)+IF(AND(OR(R724="follow-up",R724="Evaluation",R724="tbd",R724="In evaluation"),B724&lt;&gt;""),1,0)</f>
        <v>9</v>
      </c>
    </row>
    <row r="725" ht="15" customHeight="1">
      <c r="I725" s="215" t="n"/>
      <c r="J725" s="215" t="n"/>
      <c r="K725" s="215" t="n"/>
      <c r="L725" s="215" t="n"/>
      <c r="M725" s="215" t="n"/>
      <c r="N725" s="215" t="str">
        <f>IF(ISNUMBER(I725),ROUND(I725-I725/1.081,2),"")</f>
        <v/>
      </c>
      <c r="O725" s="215" t="str">
        <f>IF(ISNUMBER(I725),I725-SUM(J725:N725),"")</f>
        <v/>
      </c>
      <c r="P725" s="216" t="str">
        <f>IFERROR(IF(AND(ISNUMBER(O725),ISNUMBER(I725),I725&lt;&gt;0),O725/I725,""),"")</f>
        <v/>
      </c>
      <c r="Q725" s="215" t="str">
        <f>IF(AND(ISNUMBER(I725),ISNUMBER(S725)),I725*IF(S725&lt;=1,S725,S725/100),IF(OR(I725&lt;&gt;"",S725&lt;&gt;""),"tbd",""))</f>
        <v/>
      </c>
      <c r="S725" s="217" t="n"/>
      <c r="Z725" t="str">
        <f>IF(AND(R725="WON",ISNUMBER(I725)),AA725,"")</f>
        <v/>
      </c>
      <c r="AA725">
        <f>IFERROR(I725*1,0)</f>
        <v>0</v>
      </c>
      <c r="AB725">
        <f>N(AB724)+IF(AND(R725="WON",B725&lt;&gt;""),1,0)</f>
        <v>7</v>
      </c>
      <c r="AC725">
        <f>N(AC724)+IF(AND(OR(R725="offered",R725="to be offered",R725="on hold"),B725&lt;&gt;""),1,0)</f>
        <v>19</v>
      </c>
      <c r="AD725">
        <f>N(AD724)+IF(AND(OR(R725="follow-up",R725="Evaluation",R725="tbd",R725="In evaluation"),B725&lt;&gt;""),1,0)</f>
        <v>9</v>
      </c>
    </row>
    <row r="726" ht="15" customHeight="1">
      <c r="I726" s="215" t="n"/>
      <c r="J726" s="215" t="n"/>
      <c r="K726" s="215" t="n"/>
      <c r="L726" s="215" t="n"/>
      <c r="M726" s="215" t="n"/>
      <c r="N726" s="215" t="str">
        <f>IF(ISNUMBER(I726),ROUND(I726-I726/1.081,2),"")</f>
        <v/>
      </c>
      <c r="O726" s="215" t="str">
        <f>IF(ISNUMBER(I726),I726-SUM(J726:N726),"")</f>
        <v/>
      </c>
      <c r="P726" s="216" t="str">
        <f>IFERROR(IF(AND(ISNUMBER(O726),ISNUMBER(I726),I726&lt;&gt;0),O726/I726,""),"")</f>
        <v/>
      </c>
      <c r="Q726" s="215" t="str">
        <f>IF(AND(ISNUMBER(I726),ISNUMBER(S726)),I726*IF(S726&lt;=1,S726,S726/100),IF(OR(I726&lt;&gt;"",S726&lt;&gt;""),"tbd",""))</f>
        <v/>
      </c>
      <c r="S726" s="217" t="n"/>
      <c r="Z726" t="str">
        <f>IF(AND(R726="WON",ISNUMBER(I726)),AA726,"")</f>
        <v/>
      </c>
      <c r="AA726">
        <f>IFERROR(I726*1,0)</f>
        <v>0</v>
      </c>
      <c r="AB726">
        <f>N(AB725)+IF(AND(R726="WON",B726&lt;&gt;""),1,0)</f>
        <v>7</v>
      </c>
      <c r="AC726">
        <f>N(AC725)+IF(AND(OR(R726="offered",R726="to be offered",R726="on hold"),B726&lt;&gt;""),1,0)</f>
        <v>19</v>
      </c>
      <c r="AD726">
        <f>N(AD725)+IF(AND(OR(R726="follow-up",R726="Evaluation",R726="tbd",R726="In evaluation"),B726&lt;&gt;""),1,0)</f>
        <v>9</v>
      </c>
    </row>
    <row r="727" ht="15" customHeight="1">
      <c r="I727" s="215" t="n"/>
      <c r="J727" s="215" t="n"/>
      <c r="K727" s="215" t="n"/>
      <c r="L727" s="215" t="n"/>
      <c r="M727" s="215" t="n"/>
      <c r="N727" s="215" t="str">
        <f>IF(ISNUMBER(I727),ROUND(I727-I727/1.081,2),"")</f>
        <v/>
      </c>
      <c r="O727" s="215" t="str">
        <f>IF(ISNUMBER(I727),I727-SUM(J727:N727),"")</f>
        <v/>
      </c>
      <c r="P727" s="216" t="str">
        <f>IFERROR(IF(AND(ISNUMBER(O727),ISNUMBER(I727),I727&lt;&gt;0),O727/I727,""),"")</f>
        <v/>
      </c>
      <c r="Q727" s="215" t="str">
        <f>IF(AND(ISNUMBER(I727),ISNUMBER(S727)),I727*IF(S727&lt;=1,S727,S727/100),IF(OR(I727&lt;&gt;"",S727&lt;&gt;""),"tbd",""))</f>
        <v/>
      </c>
      <c r="S727" s="217" t="n"/>
      <c r="Z727" t="str">
        <f>IF(AND(R727="WON",ISNUMBER(I727)),AA727,"")</f>
        <v/>
      </c>
      <c r="AA727">
        <f>IFERROR(I727*1,0)</f>
        <v>0</v>
      </c>
      <c r="AB727">
        <f>N(AB726)+IF(AND(R727="WON",B727&lt;&gt;""),1,0)</f>
        <v>7</v>
      </c>
      <c r="AC727">
        <f>N(AC726)+IF(AND(OR(R727="offered",R727="to be offered",R727="on hold"),B727&lt;&gt;""),1,0)</f>
        <v>19</v>
      </c>
      <c r="AD727">
        <f>N(AD726)+IF(AND(OR(R727="follow-up",R727="Evaluation",R727="tbd",R727="In evaluation"),B727&lt;&gt;""),1,0)</f>
        <v>9</v>
      </c>
    </row>
    <row r="728" ht="15" customHeight="1">
      <c r="I728" s="215" t="n"/>
      <c r="J728" s="215" t="n"/>
      <c r="K728" s="215" t="n"/>
      <c r="L728" s="215" t="n"/>
      <c r="M728" s="215" t="n"/>
      <c r="N728" s="215" t="str">
        <f>IF(ISNUMBER(I728),ROUND(I728-I728/1.081,2),"")</f>
        <v/>
      </c>
      <c r="O728" s="215" t="str">
        <f>IF(ISNUMBER(I728),I728-SUM(J728:N728),"")</f>
        <v/>
      </c>
      <c r="P728" s="216" t="str">
        <f>IFERROR(IF(AND(ISNUMBER(O728),ISNUMBER(I728),I728&lt;&gt;0),O728/I728,""),"")</f>
        <v/>
      </c>
      <c r="Q728" s="215" t="str">
        <f>IF(AND(ISNUMBER(I728),ISNUMBER(S728)),I728*IF(S728&lt;=1,S728,S728/100),IF(OR(I728&lt;&gt;"",S728&lt;&gt;""),"tbd",""))</f>
        <v/>
      </c>
      <c r="S728" s="217" t="n"/>
      <c r="Z728" t="str">
        <f>IF(AND(R728="WON",ISNUMBER(I728)),AA728,"")</f>
        <v/>
      </c>
      <c r="AA728">
        <f>IFERROR(I728*1,0)</f>
        <v>0</v>
      </c>
      <c r="AB728">
        <f>N(AB727)+IF(AND(R728="WON",B728&lt;&gt;""),1,0)</f>
        <v>7</v>
      </c>
      <c r="AC728">
        <f>N(AC727)+IF(AND(OR(R728="offered",R728="to be offered",R728="on hold"),B728&lt;&gt;""),1,0)</f>
        <v>19</v>
      </c>
      <c r="AD728">
        <f>N(AD727)+IF(AND(OR(R728="follow-up",R728="Evaluation",R728="tbd",R728="In evaluation"),B728&lt;&gt;""),1,0)</f>
        <v>9</v>
      </c>
    </row>
    <row r="729" ht="15" customHeight="1">
      <c r="I729" s="215" t="n"/>
      <c r="J729" s="215" t="n"/>
      <c r="K729" s="215" t="n"/>
      <c r="L729" s="215" t="n"/>
      <c r="M729" s="215" t="n"/>
      <c r="N729" s="215" t="str">
        <f>IF(ISNUMBER(I729),ROUND(I729-I729/1.081,2),"")</f>
        <v/>
      </c>
      <c r="O729" s="215" t="str">
        <f>IF(ISNUMBER(I729),I729-SUM(J729:N729),"")</f>
        <v/>
      </c>
      <c r="P729" s="216" t="str">
        <f>IFERROR(IF(AND(ISNUMBER(O729),ISNUMBER(I729),I729&lt;&gt;0),O729/I729,""),"")</f>
        <v/>
      </c>
      <c r="Q729" s="215" t="str">
        <f>IF(AND(ISNUMBER(I729),ISNUMBER(S729)),I729*IF(S729&lt;=1,S729,S729/100),IF(OR(I729&lt;&gt;"",S729&lt;&gt;""),"tbd",""))</f>
        <v/>
      </c>
      <c r="S729" s="217" t="n"/>
      <c r="Z729" t="str">
        <f>IF(AND(R729="WON",ISNUMBER(I729)),AA729,"")</f>
        <v/>
      </c>
      <c r="AA729">
        <f>IFERROR(I729*1,0)</f>
        <v>0</v>
      </c>
      <c r="AB729">
        <f>N(AB728)+IF(AND(R729="WON",B729&lt;&gt;""),1,0)</f>
        <v>7</v>
      </c>
      <c r="AC729">
        <f>N(AC728)+IF(AND(OR(R729="offered",R729="to be offered",R729="on hold"),B729&lt;&gt;""),1,0)</f>
        <v>19</v>
      </c>
      <c r="AD729">
        <f>N(AD728)+IF(AND(OR(R729="follow-up",R729="Evaluation",R729="tbd",R729="In evaluation"),B729&lt;&gt;""),1,0)</f>
        <v>9</v>
      </c>
    </row>
    <row r="730" ht="15" customHeight="1">
      <c r="I730" s="215" t="n"/>
      <c r="J730" s="215" t="n"/>
      <c r="K730" s="215" t="n"/>
      <c r="L730" s="215" t="n"/>
      <c r="M730" s="215" t="n"/>
      <c r="N730" s="215" t="str">
        <f>IF(ISNUMBER(I730),ROUND(I730-I730/1.081,2),"")</f>
        <v/>
      </c>
      <c r="O730" s="215" t="str">
        <f>IF(ISNUMBER(I730),I730-SUM(J730:N730),"")</f>
        <v/>
      </c>
      <c r="P730" s="216" t="str">
        <f>IFERROR(IF(AND(ISNUMBER(O730),ISNUMBER(I730),I730&lt;&gt;0),O730/I730,""),"")</f>
        <v/>
      </c>
      <c r="Q730" s="215" t="str">
        <f>IF(AND(ISNUMBER(I730),ISNUMBER(S730)),I730*IF(S730&lt;=1,S730,S730/100),IF(OR(I730&lt;&gt;"",S730&lt;&gt;""),"tbd",""))</f>
        <v/>
      </c>
      <c r="S730" s="217" t="n"/>
      <c r="Z730" t="str">
        <f>IF(AND(R730="WON",ISNUMBER(I730)),AA730,"")</f>
        <v/>
      </c>
      <c r="AA730">
        <f>IFERROR(I730*1,0)</f>
        <v>0</v>
      </c>
      <c r="AB730">
        <f>N(AB729)+IF(AND(R730="WON",B730&lt;&gt;""),1,0)</f>
        <v>7</v>
      </c>
      <c r="AC730">
        <f>N(AC729)+IF(AND(OR(R730="offered",R730="to be offered",R730="on hold"),B730&lt;&gt;""),1,0)</f>
        <v>19</v>
      </c>
      <c r="AD730">
        <f>N(AD729)+IF(AND(OR(R730="follow-up",R730="Evaluation",R730="tbd",R730="In evaluation"),B730&lt;&gt;""),1,0)</f>
        <v>9</v>
      </c>
    </row>
    <row r="731" ht="15" customHeight="1">
      <c r="I731" s="215" t="n"/>
      <c r="J731" s="215" t="n"/>
      <c r="K731" s="215" t="n"/>
      <c r="L731" s="215" t="n"/>
      <c r="M731" s="215" t="n"/>
      <c r="N731" s="215" t="str">
        <f>IF(ISNUMBER(I731),ROUND(I731-I731/1.081,2),"")</f>
        <v/>
      </c>
      <c r="O731" s="215" t="str">
        <f>IF(ISNUMBER(I731),I731-SUM(J731:N731),"")</f>
        <v/>
      </c>
      <c r="P731" s="216" t="str">
        <f>IFERROR(IF(AND(ISNUMBER(O731),ISNUMBER(I731),I731&lt;&gt;0),O731/I731,""),"")</f>
        <v/>
      </c>
      <c r="Q731" s="215" t="str">
        <f>IF(AND(ISNUMBER(I731),ISNUMBER(S731)),I731*IF(S731&lt;=1,S731,S731/100),IF(OR(I731&lt;&gt;"",S731&lt;&gt;""),"tbd",""))</f>
        <v/>
      </c>
      <c r="S731" s="217" t="n"/>
      <c r="Z731" t="str">
        <f>IF(AND(R731="WON",ISNUMBER(I731)),AA731,"")</f>
        <v/>
      </c>
      <c r="AA731">
        <f>IFERROR(I731*1,0)</f>
        <v>0</v>
      </c>
      <c r="AB731">
        <f>N(AB730)+IF(AND(R731="WON",B731&lt;&gt;""),1,0)</f>
        <v>7</v>
      </c>
      <c r="AC731">
        <f>N(AC730)+IF(AND(OR(R731="offered",R731="to be offered",R731="on hold"),B731&lt;&gt;""),1,0)</f>
        <v>19</v>
      </c>
      <c r="AD731">
        <f>N(AD730)+IF(AND(OR(R731="follow-up",R731="Evaluation",R731="tbd",R731="In evaluation"),B731&lt;&gt;""),1,0)</f>
        <v>9</v>
      </c>
    </row>
    <row r="732" ht="15" customHeight="1">
      <c r="I732" s="215" t="n"/>
      <c r="J732" s="215" t="n"/>
      <c r="K732" s="215" t="n"/>
      <c r="L732" s="215" t="n"/>
      <c r="M732" s="215" t="n"/>
      <c r="N732" s="215" t="str">
        <f>IF(ISNUMBER(I732),ROUND(I732-I732/1.081,2),"")</f>
        <v/>
      </c>
      <c r="O732" s="215" t="str">
        <f>IF(ISNUMBER(I732),I732-SUM(J732:N732),"")</f>
        <v/>
      </c>
      <c r="P732" s="216" t="str">
        <f>IFERROR(IF(AND(ISNUMBER(O732),ISNUMBER(I732),I732&lt;&gt;0),O732/I732,""),"")</f>
        <v/>
      </c>
      <c r="Q732" s="215" t="str">
        <f>IF(AND(ISNUMBER(I732),ISNUMBER(S732)),I732*IF(S732&lt;=1,S732,S732/100),IF(OR(I732&lt;&gt;"",S732&lt;&gt;""),"tbd",""))</f>
        <v/>
      </c>
      <c r="S732" s="217" t="n"/>
      <c r="Z732" t="str">
        <f>IF(AND(R732="WON",ISNUMBER(I732)),AA732,"")</f>
        <v/>
      </c>
      <c r="AA732">
        <f>IFERROR(I732*1,0)</f>
        <v>0</v>
      </c>
      <c r="AB732">
        <f>N(AB731)+IF(AND(R732="WON",B732&lt;&gt;""),1,0)</f>
        <v>7</v>
      </c>
      <c r="AC732">
        <f>N(AC731)+IF(AND(OR(R732="offered",R732="to be offered",R732="on hold"),B732&lt;&gt;""),1,0)</f>
        <v>19</v>
      </c>
      <c r="AD732">
        <f>N(AD731)+IF(AND(OR(R732="follow-up",R732="Evaluation",R732="tbd",R732="In evaluation"),B732&lt;&gt;""),1,0)</f>
        <v>9</v>
      </c>
    </row>
    <row r="733" ht="15" customHeight="1">
      <c r="I733" s="215" t="n"/>
      <c r="J733" s="215" t="n"/>
      <c r="K733" s="215" t="n"/>
      <c r="L733" s="215" t="n"/>
      <c r="M733" s="215" t="n"/>
      <c r="N733" s="215" t="str">
        <f>IF(ISNUMBER(I733),ROUND(I733-I733/1.081,2),"")</f>
        <v/>
      </c>
      <c r="O733" s="215" t="str">
        <f>IF(ISNUMBER(I733),I733-SUM(J733:N733),"")</f>
        <v/>
      </c>
      <c r="P733" s="216" t="str">
        <f>IFERROR(IF(AND(ISNUMBER(O733),ISNUMBER(I733),I733&lt;&gt;0),O733/I733,""),"")</f>
        <v/>
      </c>
      <c r="Q733" s="215" t="str">
        <f>IF(AND(ISNUMBER(I733),ISNUMBER(S733)),I733*IF(S733&lt;=1,S733,S733/100),IF(OR(I733&lt;&gt;"",S733&lt;&gt;""),"tbd",""))</f>
        <v/>
      </c>
      <c r="S733" s="217" t="n"/>
      <c r="Z733" t="str">
        <f>IF(AND(R733="WON",ISNUMBER(I733)),AA733,"")</f>
        <v/>
      </c>
      <c r="AA733">
        <f>IFERROR(I733*1,0)</f>
        <v>0</v>
      </c>
      <c r="AB733">
        <f>N(AB732)+IF(AND(R733="WON",B733&lt;&gt;""),1,0)</f>
        <v>7</v>
      </c>
      <c r="AC733">
        <f>N(AC732)+IF(AND(OR(R733="offered",R733="to be offered",R733="on hold"),B733&lt;&gt;""),1,0)</f>
        <v>19</v>
      </c>
      <c r="AD733">
        <f>N(AD732)+IF(AND(OR(R733="follow-up",R733="Evaluation",R733="tbd",R733="In evaluation"),B733&lt;&gt;""),1,0)</f>
        <v>9</v>
      </c>
    </row>
    <row r="734" ht="15" customHeight="1">
      <c r="I734" s="215" t="n"/>
      <c r="J734" s="215" t="n"/>
      <c r="K734" s="215" t="n"/>
      <c r="L734" s="215" t="n"/>
      <c r="M734" s="215" t="n"/>
      <c r="N734" s="215" t="str">
        <f>IF(ISNUMBER(I734),ROUND(I734-I734/1.081,2),"")</f>
        <v/>
      </c>
      <c r="O734" s="215" t="str">
        <f>IF(ISNUMBER(I734),I734-SUM(J734:N734),"")</f>
        <v/>
      </c>
      <c r="P734" s="216" t="str">
        <f>IFERROR(IF(AND(ISNUMBER(O734),ISNUMBER(I734),I734&lt;&gt;0),O734/I734,""),"")</f>
        <v/>
      </c>
      <c r="Q734" s="215" t="str">
        <f>IF(AND(ISNUMBER(I734),ISNUMBER(S734)),I734*IF(S734&lt;=1,S734,S734/100),IF(OR(I734&lt;&gt;"",S734&lt;&gt;""),"tbd",""))</f>
        <v/>
      </c>
      <c r="S734" s="217" t="n"/>
      <c r="Z734" t="str">
        <f>IF(AND(R734="WON",ISNUMBER(I734)),AA734,"")</f>
        <v/>
      </c>
      <c r="AA734">
        <f>IFERROR(I734*1,0)</f>
        <v>0</v>
      </c>
      <c r="AB734">
        <f>N(AB733)+IF(AND(R734="WON",B734&lt;&gt;""),1,0)</f>
        <v>7</v>
      </c>
      <c r="AC734">
        <f>N(AC733)+IF(AND(OR(R734="offered",R734="to be offered",R734="on hold"),B734&lt;&gt;""),1,0)</f>
        <v>19</v>
      </c>
      <c r="AD734">
        <f>N(AD733)+IF(AND(OR(R734="follow-up",R734="Evaluation",R734="tbd",R734="In evaluation"),B734&lt;&gt;""),1,0)</f>
        <v>9</v>
      </c>
    </row>
    <row r="735" ht="15" customHeight="1">
      <c r="I735" s="215" t="n"/>
      <c r="J735" s="215" t="n"/>
      <c r="K735" s="215" t="n"/>
      <c r="L735" s="215" t="n"/>
      <c r="M735" s="215" t="n"/>
      <c r="N735" s="215" t="str">
        <f>IF(ISNUMBER(I735),ROUND(I735-I735/1.081,2),"")</f>
        <v/>
      </c>
      <c r="O735" s="215" t="str">
        <f>IF(ISNUMBER(I735),I735-SUM(J735:N735),"")</f>
        <v/>
      </c>
      <c r="P735" s="216" t="str">
        <f>IFERROR(IF(AND(ISNUMBER(O735),ISNUMBER(I735),I735&lt;&gt;0),O735/I735,""),"")</f>
        <v/>
      </c>
      <c r="Q735" s="215" t="str">
        <f>IF(AND(ISNUMBER(I735),ISNUMBER(S735)),I735*IF(S735&lt;=1,S735,S735/100),IF(OR(I735&lt;&gt;"",S735&lt;&gt;""),"tbd",""))</f>
        <v/>
      </c>
      <c r="S735" s="217" t="n"/>
      <c r="Z735" t="str">
        <f>IF(AND(R735="WON",ISNUMBER(I735)),AA735,"")</f>
        <v/>
      </c>
      <c r="AA735">
        <f>IFERROR(I735*1,0)</f>
        <v>0</v>
      </c>
      <c r="AB735">
        <f>N(AB734)+IF(AND(R735="WON",B735&lt;&gt;""),1,0)</f>
        <v>7</v>
      </c>
      <c r="AC735">
        <f>N(AC734)+IF(AND(OR(R735="offered",R735="to be offered",R735="on hold"),B735&lt;&gt;""),1,0)</f>
        <v>19</v>
      </c>
      <c r="AD735">
        <f>N(AD734)+IF(AND(OR(R735="follow-up",R735="Evaluation",R735="tbd",R735="In evaluation"),B735&lt;&gt;""),1,0)</f>
        <v>9</v>
      </c>
    </row>
    <row r="736" ht="15" customHeight="1">
      <c r="I736" s="215" t="n"/>
      <c r="J736" s="215" t="n"/>
      <c r="K736" s="215" t="n"/>
      <c r="L736" s="215" t="n"/>
      <c r="M736" s="215" t="n"/>
      <c r="N736" s="215" t="str">
        <f>IF(ISNUMBER(I736),ROUND(I736-I736/1.081,2),"")</f>
        <v/>
      </c>
      <c r="O736" s="215" t="str">
        <f>IF(ISNUMBER(I736),I736-SUM(J736:N736),"")</f>
        <v/>
      </c>
      <c r="P736" s="216" t="str">
        <f>IFERROR(IF(AND(ISNUMBER(O736),ISNUMBER(I736),I736&lt;&gt;0),O736/I736,""),"")</f>
        <v/>
      </c>
      <c r="Q736" s="215" t="str">
        <f>IF(AND(ISNUMBER(I736),ISNUMBER(S736)),I736*IF(S736&lt;=1,S736,S736/100),IF(OR(I736&lt;&gt;"",S736&lt;&gt;""),"tbd",""))</f>
        <v/>
      </c>
      <c r="S736" s="217" t="n"/>
      <c r="Z736" t="str">
        <f>IF(AND(R736="WON",ISNUMBER(I736)),AA736,"")</f>
        <v/>
      </c>
      <c r="AA736">
        <f>IFERROR(I736*1,0)</f>
        <v>0</v>
      </c>
      <c r="AB736">
        <f>N(AB735)+IF(AND(R736="WON",B736&lt;&gt;""),1,0)</f>
        <v>7</v>
      </c>
      <c r="AC736">
        <f>N(AC735)+IF(AND(OR(R736="offered",R736="to be offered",R736="on hold"),B736&lt;&gt;""),1,0)</f>
        <v>19</v>
      </c>
      <c r="AD736">
        <f>N(AD735)+IF(AND(OR(R736="follow-up",R736="Evaluation",R736="tbd",R736="In evaluation"),B736&lt;&gt;""),1,0)</f>
        <v>9</v>
      </c>
    </row>
    <row r="737" ht="15" customHeight="1">
      <c r="I737" s="215" t="n"/>
      <c r="J737" s="215" t="n"/>
      <c r="K737" s="215" t="n"/>
      <c r="L737" s="215" t="n"/>
      <c r="M737" s="215" t="n"/>
      <c r="N737" s="215" t="str">
        <f>IF(ISNUMBER(I737),ROUND(I737-I737/1.081,2),"")</f>
        <v/>
      </c>
      <c r="O737" s="215" t="str">
        <f>IF(ISNUMBER(I737),I737-SUM(J737:N737),"")</f>
        <v/>
      </c>
      <c r="P737" s="216" t="str">
        <f>IFERROR(IF(AND(ISNUMBER(O737),ISNUMBER(I737),I737&lt;&gt;0),O737/I737,""),"")</f>
        <v/>
      </c>
      <c r="Q737" s="215" t="str">
        <f>IF(AND(ISNUMBER(I737),ISNUMBER(S737)),I737*IF(S737&lt;=1,S737,S737/100),IF(OR(I737&lt;&gt;"",S737&lt;&gt;""),"tbd",""))</f>
        <v/>
      </c>
      <c r="S737" s="217" t="n"/>
      <c r="Z737" t="str">
        <f>IF(AND(R737="WON",ISNUMBER(I737)),AA737,"")</f>
        <v/>
      </c>
      <c r="AA737">
        <f>IFERROR(I737*1,0)</f>
        <v>0</v>
      </c>
      <c r="AB737">
        <f>N(AB736)+IF(AND(R737="WON",B737&lt;&gt;""),1,0)</f>
        <v>7</v>
      </c>
      <c r="AC737">
        <f>N(AC736)+IF(AND(OR(R737="offered",R737="to be offered",R737="on hold"),B737&lt;&gt;""),1,0)</f>
        <v>19</v>
      </c>
      <c r="AD737">
        <f>N(AD736)+IF(AND(OR(R737="follow-up",R737="Evaluation",R737="tbd",R737="In evaluation"),B737&lt;&gt;""),1,0)</f>
        <v>9</v>
      </c>
    </row>
    <row r="738" ht="15" customHeight="1">
      <c r="I738" s="215" t="n"/>
      <c r="J738" s="215" t="n"/>
      <c r="K738" s="215" t="n"/>
      <c r="L738" s="215" t="n"/>
      <c r="M738" s="215" t="n"/>
      <c r="N738" s="215" t="str">
        <f>IF(ISNUMBER(I738),ROUND(I738-I738/1.081,2),"")</f>
        <v/>
      </c>
      <c r="O738" s="215" t="str">
        <f>IF(ISNUMBER(I738),I738-SUM(J738:N738),"")</f>
        <v/>
      </c>
      <c r="P738" s="216" t="str">
        <f>IFERROR(IF(AND(ISNUMBER(O738),ISNUMBER(I738),I738&lt;&gt;0),O738/I738,""),"")</f>
        <v/>
      </c>
      <c r="Q738" s="215" t="str">
        <f>IF(AND(ISNUMBER(I738),ISNUMBER(S738)),I738*IF(S738&lt;=1,S738,S738/100),IF(OR(I738&lt;&gt;"",S738&lt;&gt;""),"tbd",""))</f>
        <v/>
      </c>
      <c r="S738" s="217" t="n"/>
      <c r="Z738" t="str">
        <f>IF(AND(R738="WON",ISNUMBER(I738)),AA738,"")</f>
        <v/>
      </c>
      <c r="AA738">
        <f>IFERROR(I738*1,0)</f>
        <v>0</v>
      </c>
      <c r="AB738">
        <f>N(AB737)+IF(AND(R738="WON",B738&lt;&gt;""),1,0)</f>
        <v>7</v>
      </c>
      <c r="AC738">
        <f>N(AC737)+IF(AND(OR(R738="offered",R738="to be offered",R738="on hold"),B738&lt;&gt;""),1,0)</f>
        <v>19</v>
      </c>
      <c r="AD738">
        <f>N(AD737)+IF(AND(OR(R738="follow-up",R738="Evaluation",R738="tbd",R738="In evaluation"),B738&lt;&gt;""),1,0)</f>
        <v>9</v>
      </c>
    </row>
    <row r="739" ht="15" customHeight="1">
      <c r="I739" s="215" t="n"/>
      <c r="J739" s="215" t="n"/>
      <c r="K739" s="215" t="n"/>
      <c r="L739" s="215" t="n"/>
      <c r="M739" s="215" t="n"/>
      <c r="N739" s="215" t="str">
        <f>IF(ISNUMBER(I739),ROUND(I739-I739/1.081,2),"")</f>
        <v/>
      </c>
      <c r="O739" s="215" t="str">
        <f>IF(ISNUMBER(I739),I739-SUM(J739:N739),"")</f>
        <v/>
      </c>
      <c r="P739" s="216" t="str">
        <f>IFERROR(IF(AND(ISNUMBER(O739),ISNUMBER(I739),I739&lt;&gt;0),O739/I739,""),"")</f>
        <v/>
      </c>
      <c r="Q739" s="215" t="str">
        <f>IF(AND(ISNUMBER(I739),ISNUMBER(S739)),I739*IF(S739&lt;=1,S739,S739/100),IF(OR(I739&lt;&gt;"",S739&lt;&gt;""),"tbd",""))</f>
        <v/>
      </c>
      <c r="S739" s="217" t="n"/>
      <c r="Z739" t="str">
        <f>IF(AND(R739="WON",ISNUMBER(I739)),AA739,"")</f>
        <v/>
      </c>
      <c r="AA739">
        <f>IFERROR(I739*1,0)</f>
        <v>0</v>
      </c>
      <c r="AB739">
        <f>N(AB738)+IF(AND(R739="WON",B739&lt;&gt;""),1,0)</f>
        <v>7</v>
      </c>
      <c r="AC739">
        <f>N(AC738)+IF(AND(OR(R739="offered",R739="to be offered",R739="on hold"),B739&lt;&gt;""),1,0)</f>
        <v>19</v>
      </c>
      <c r="AD739">
        <f>N(AD738)+IF(AND(OR(R739="follow-up",R739="Evaluation",R739="tbd",R739="In evaluation"),B739&lt;&gt;""),1,0)</f>
        <v>9</v>
      </c>
    </row>
    <row r="740" ht="15" customHeight="1">
      <c r="I740" s="215" t="n"/>
      <c r="J740" s="215" t="n"/>
      <c r="K740" s="215" t="n"/>
      <c r="L740" s="215" t="n"/>
      <c r="M740" s="215" t="n"/>
      <c r="N740" s="215" t="str">
        <f>IF(ISNUMBER(I740),ROUND(I740-I740/1.081,2),"")</f>
        <v/>
      </c>
      <c r="O740" s="215" t="str">
        <f>IF(ISNUMBER(I740),I740-SUM(J740:N740),"")</f>
        <v/>
      </c>
      <c r="P740" s="216" t="str">
        <f>IFERROR(IF(AND(ISNUMBER(O740),ISNUMBER(I740),I740&lt;&gt;0),O740/I740,""),"")</f>
        <v/>
      </c>
      <c r="Q740" s="215" t="str">
        <f>IF(AND(ISNUMBER(I740),ISNUMBER(S740)),I740*IF(S740&lt;=1,S740,S740/100),IF(OR(I740&lt;&gt;"",S740&lt;&gt;""),"tbd",""))</f>
        <v/>
      </c>
      <c r="S740" s="217" t="n"/>
      <c r="Z740" t="str">
        <f>IF(AND(R740="WON",ISNUMBER(I740)),AA740,"")</f>
        <v/>
      </c>
      <c r="AA740">
        <f>IFERROR(I740*1,0)</f>
        <v>0</v>
      </c>
      <c r="AB740">
        <f>N(AB739)+IF(AND(R740="WON",B740&lt;&gt;""),1,0)</f>
        <v>7</v>
      </c>
      <c r="AC740">
        <f>N(AC739)+IF(AND(OR(R740="offered",R740="to be offered",R740="on hold"),B740&lt;&gt;""),1,0)</f>
        <v>19</v>
      </c>
      <c r="AD740">
        <f>N(AD739)+IF(AND(OR(R740="follow-up",R740="Evaluation",R740="tbd",R740="In evaluation"),B740&lt;&gt;""),1,0)</f>
        <v>9</v>
      </c>
    </row>
    <row r="741" ht="15" customHeight="1">
      <c r="I741" s="215" t="n"/>
      <c r="J741" s="215" t="n"/>
      <c r="K741" s="215" t="n"/>
      <c r="L741" s="215" t="n"/>
      <c r="M741" s="215" t="n"/>
      <c r="N741" s="215" t="str">
        <f>IF(ISNUMBER(I741),ROUND(I741-I741/1.081,2),"")</f>
        <v/>
      </c>
      <c r="O741" s="215" t="str">
        <f>IF(ISNUMBER(I741),I741-SUM(J741:N741),"")</f>
        <v/>
      </c>
      <c r="P741" s="216" t="str">
        <f>IFERROR(IF(AND(ISNUMBER(O741),ISNUMBER(I741),I741&lt;&gt;0),O741/I741,""),"")</f>
        <v/>
      </c>
      <c r="Q741" s="215" t="str">
        <f>IF(AND(ISNUMBER(I741),ISNUMBER(S741)),I741*IF(S741&lt;=1,S741,S741/100),IF(OR(I741&lt;&gt;"",S741&lt;&gt;""),"tbd",""))</f>
        <v/>
      </c>
      <c r="S741" s="217" t="n"/>
      <c r="Z741" t="str">
        <f>IF(AND(R741="WON",ISNUMBER(I741)),AA741,"")</f>
        <v/>
      </c>
      <c r="AA741">
        <f>IFERROR(I741*1,0)</f>
        <v>0</v>
      </c>
      <c r="AB741">
        <f>N(AB740)+IF(AND(R741="WON",B741&lt;&gt;""),1,0)</f>
        <v>7</v>
      </c>
      <c r="AC741">
        <f>N(AC740)+IF(AND(OR(R741="offered",R741="to be offered",R741="on hold"),B741&lt;&gt;""),1,0)</f>
        <v>19</v>
      </c>
      <c r="AD741">
        <f>N(AD740)+IF(AND(OR(R741="follow-up",R741="Evaluation",R741="tbd",R741="In evaluation"),B741&lt;&gt;""),1,0)</f>
        <v>9</v>
      </c>
    </row>
    <row r="742" ht="15" customHeight="1">
      <c r="I742" s="215" t="n"/>
      <c r="J742" s="215" t="n"/>
      <c r="K742" s="215" t="n"/>
      <c r="L742" s="215" t="n"/>
      <c r="M742" s="215" t="n"/>
      <c r="N742" s="215" t="str">
        <f>IF(ISNUMBER(I742),ROUND(I742-I742/1.081,2),"")</f>
        <v/>
      </c>
      <c r="O742" s="215" t="str">
        <f>IF(ISNUMBER(I742),I742-SUM(J742:N742),"")</f>
        <v/>
      </c>
      <c r="P742" s="216" t="str">
        <f>IFERROR(IF(AND(ISNUMBER(O742),ISNUMBER(I742),I742&lt;&gt;0),O742/I742,""),"")</f>
        <v/>
      </c>
      <c r="Q742" s="215" t="str">
        <f>IF(AND(ISNUMBER(I742),ISNUMBER(S742)),I742*IF(S742&lt;=1,S742,S742/100),IF(OR(I742&lt;&gt;"",S742&lt;&gt;""),"tbd",""))</f>
        <v/>
      </c>
      <c r="S742" s="217" t="n"/>
      <c r="Z742" t="str">
        <f>IF(AND(R742="WON",ISNUMBER(I742)),AA742,"")</f>
        <v/>
      </c>
      <c r="AA742">
        <f>IFERROR(I742*1,0)</f>
        <v>0</v>
      </c>
      <c r="AB742">
        <f>N(AB741)+IF(AND(R742="WON",B742&lt;&gt;""),1,0)</f>
        <v>7</v>
      </c>
      <c r="AC742">
        <f>N(AC741)+IF(AND(OR(R742="offered",R742="to be offered",R742="on hold"),B742&lt;&gt;""),1,0)</f>
        <v>19</v>
      </c>
      <c r="AD742">
        <f>N(AD741)+IF(AND(OR(R742="follow-up",R742="Evaluation",R742="tbd",R742="In evaluation"),B742&lt;&gt;""),1,0)</f>
        <v>9</v>
      </c>
    </row>
    <row r="743" ht="15" customHeight="1">
      <c r="I743" s="215" t="n"/>
      <c r="J743" s="215" t="n"/>
      <c r="K743" s="215" t="n"/>
      <c r="L743" s="215" t="n"/>
      <c r="M743" s="215" t="n"/>
      <c r="N743" s="215" t="str">
        <f>IF(ISNUMBER(I743),ROUND(I743-I743/1.081,2),"")</f>
        <v/>
      </c>
      <c r="O743" s="215" t="str">
        <f>IF(ISNUMBER(I743),I743-SUM(J743:N743),"")</f>
        <v/>
      </c>
      <c r="P743" s="216" t="str">
        <f>IFERROR(IF(AND(ISNUMBER(O743),ISNUMBER(I743),I743&lt;&gt;0),O743/I743,""),"")</f>
        <v/>
      </c>
      <c r="Q743" s="215" t="str">
        <f>IF(AND(ISNUMBER(I743),ISNUMBER(S743)),I743*IF(S743&lt;=1,S743,S743/100),IF(OR(I743&lt;&gt;"",S743&lt;&gt;""),"tbd",""))</f>
        <v/>
      </c>
      <c r="S743" s="217" t="n"/>
      <c r="Z743" t="str">
        <f>IF(AND(R743="WON",ISNUMBER(I743)),AA743,"")</f>
        <v/>
      </c>
      <c r="AA743">
        <f>IFERROR(I743*1,0)</f>
        <v>0</v>
      </c>
      <c r="AB743">
        <f>N(AB742)+IF(AND(R743="WON",B743&lt;&gt;""),1,0)</f>
        <v>7</v>
      </c>
      <c r="AC743">
        <f>N(AC742)+IF(AND(OR(R743="offered",R743="to be offered",R743="on hold"),B743&lt;&gt;""),1,0)</f>
        <v>19</v>
      </c>
      <c r="AD743">
        <f>N(AD742)+IF(AND(OR(R743="follow-up",R743="Evaluation",R743="tbd",R743="In evaluation"),B743&lt;&gt;""),1,0)</f>
        <v>9</v>
      </c>
    </row>
    <row r="744" ht="15" customHeight="1">
      <c r="I744" s="215" t="n"/>
      <c r="J744" s="215" t="n"/>
      <c r="K744" s="215" t="n"/>
      <c r="L744" s="215" t="n"/>
      <c r="M744" s="215" t="n"/>
      <c r="N744" s="215" t="str">
        <f>IF(ISNUMBER(I744),ROUND(I744-I744/1.081,2),"")</f>
        <v/>
      </c>
      <c r="O744" s="215" t="str">
        <f>IF(ISNUMBER(I744),I744-SUM(J744:N744),"")</f>
        <v/>
      </c>
      <c r="P744" s="216" t="str">
        <f>IFERROR(IF(AND(ISNUMBER(O744),ISNUMBER(I744),I744&lt;&gt;0),O744/I744,""),"")</f>
        <v/>
      </c>
      <c r="Q744" s="215" t="str">
        <f>IF(AND(ISNUMBER(I744),ISNUMBER(S744)),I744*IF(S744&lt;=1,S744,S744/100),IF(OR(I744&lt;&gt;"",S744&lt;&gt;""),"tbd",""))</f>
        <v/>
      </c>
      <c r="S744" s="217" t="n"/>
      <c r="Z744" t="str">
        <f>IF(AND(R744="WON",ISNUMBER(I744)),AA744,"")</f>
        <v/>
      </c>
      <c r="AA744">
        <f>IFERROR(I744*1,0)</f>
        <v>0</v>
      </c>
      <c r="AB744">
        <f>N(AB743)+IF(AND(R744="WON",B744&lt;&gt;""),1,0)</f>
        <v>7</v>
      </c>
      <c r="AC744">
        <f>N(AC743)+IF(AND(OR(R744="offered",R744="to be offered",R744="on hold"),B744&lt;&gt;""),1,0)</f>
        <v>19</v>
      </c>
      <c r="AD744">
        <f>N(AD743)+IF(AND(OR(R744="follow-up",R744="Evaluation",R744="tbd",R744="In evaluation"),B744&lt;&gt;""),1,0)</f>
        <v>9</v>
      </c>
    </row>
    <row r="745" ht="15" customHeight="1">
      <c r="I745" s="215" t="n"/>
      <c r="J745" s="215" t="n"/>
      <c r="K745" s="215" t="n"/>
      <c r="L745" s="215" t="n"/>
      <c r="M745" s="215" t="n"/>
      <c r="N745" s="215" t="str">
        <f>IF(ISNUMBER(I745),ROUND(I745-I745/1.081,2),"")</f>
        <v/>
      </c>
      <c r="O745" s="215" t="str">
        <f>IF(ISNUMBER(I745),I745-SUM(J745:N745),"")</f>
        <v/>
      </c>
      <c r="P745" s="216" t="str">
        <f>IFERROR(IF(AND(ISNUMBER(O745),ISNUMBER(I745),I745&lt;&gt;0),O745/I745,""),"")</f>
        <v/>
      </c>
      <c r="Q745" s="215" t="str">
        <f>IF(AND(ISNUMBER(I745),ISNUMBER(S745)),I745*IF(S745&lt;=1,S745,S745/100),IF(OR(I745&lt;&gt;"",S745&lt;&gt;""),"tbd",""))</f>
        <v/>
      </c>
      <c r="S745" s="217" t="n"/>
      <c r="Z745" t="str">
        <f>IF(AND(R745="WON",ISNUMBER(I745)),AA745,"")</f>
        <v/>
      </c>
      <c r="AA745">
        <f>IFERROR(I745*1,0)</f>
        <v>0</v>
      </c>
      <c r="AB745">
        <f>N(AB744)+IF(AND(R745="WON",B745&lt;&gt;""),1,0)</f>
        <v>7</v>
      </c>
      <c r="AC745">
        <f>N(AC744)+IF(AND(OR(R745="offered",R745="to be offered",R745="on hold"),B745&lt;&gt;""),1,0)</f>
        <v>19</v>
      </c>
      <c r="AD745">
        <f>N(AD744)+IF(AND(OR(R745="follow-up",R745="Evaluation",R745="tbd",R745="In evaluation"),B745&lt;&gt;""),1,0)</f>
        <v>9</v>
      </c>
    </row>
    <row r="746" ht="15" customHeight="1">
      <c r="I746" s="215" t="n"/>
      <c r="J746" s="215" t="n"/>
      <c r="K746" s="215" t="n"/>
      <c r="L746" s="215" t="n"/>
      <c r="M746" s="215" t="n"/>
      <c r="N746" s="215" t="str">
        <f>IF(ISNUMBER(I746),ROUND(I746-I746/1.081,2),"")</f>
        <v/>
      </c>
      <c r="O746" s="215" t="str">
        <f>IF(ISNUMBER(I746),I746-SUM(J746:N746),"")</f>
        <v/>
      </c>
      <c r="P746" s="216" t="str">
        <f>IFERROR(IF(AND(ISNUMBER(O746),ISNUMBER(I746),I746&lt;&gt;0),O746/I746,""),"")</f>
        <v/>
      </c>
      <c r="Q746" s="215" t="str">
        <f>IF(AND(ISNUMBER(I746),ISNUMBER(S746)),I746*IF(S746&lt;=1,S746,S746/100),IF(OR(I746&lt;&gt;"",S746&lt;&gt;""),"tbd",""))</f>
        <v/>
      </c>
      <c r="S746" s="217" t="n"/>
      <c r="Z746" t="str">
        <f>IF(AND(R746="WON",ISNUMBER(I746)),AA746,"")</f>
        <v/>
      </c>
      <c r="AA746">
        <f>IFERROR(I746*1,0)</f>
        <v>0</v>
      </c>
      <c r="AB746">
        <f>N(AB745)+IF(AND(R746="WON",B746&lt;&gt;""),1,0)</f>
        <v>7</v>
      </c>
      <c r="AC746">
        <f>N(AC745)+IF(AND(OR(R746="offered",R746="to be offered",R746="on hold"),B746&lt;&gt;""),1,0)</f>
        <v>19</v>
      </c>
      <c r="AD746">
        <f>N(AD745)+IF(AND(OR(R746="follow-up",R746="Evaluation",R746="tbd",R746="In evaluation"),B746&lt;&gt;""),1,0)</f>
        <v>9</v>
      </c>
    </row>
    <row r="747" ht="15" customHeight="1">
      <c r="I747" s="215" t="n"/>
      <c r="J747" s="215" t="n"/>
      <c r="K747" s="215" t="n"/>
      <c r="L747" s="215" t="n"/>
      <c r="M747" s="215" t="n"/>
      <c r="N747" s="215" t="str">
        <f>IF(ISNUMBER(I747),ROUND(I747-I747/1.081,2),"")</f>
        <v/>
      </c>
      <c r="O747" s="215" t="str">
        <f>IF(ISNUMBER(I747),I747-SUM(J747:N747),"")</f>
        <v/>
      </c>
      <c r="P747" s="216" t="str">
        <f>IFERROR(IF(AND(ISNUMBER(O747),ISNUMBER(I747),I747&lt;&gt;0),O747/I747,""),"")</f>
        <v/>
      </c>
      <c r="Q747" s="215" t="str">
        <f>IF(AND(ISNUMBER(I747),ISNUMBER(S747)),I747*IF(S747&lt;=1,S747,S747/100),IF(OR(I747&lt;&gt;"",S747&lt;&gt;""),"tbd",""))</f>
        <v/>
      </c>
      <c r="S747" s="217" t="n"/>
      <c r="Z747" t="str">
        <f>IF(AND(R747="WON",ISNUMBER(I747)),AA747,"")</f>
        <v/>
      </c>
      <c r="AA747">
        <f>IFERROR(I747*1,0)</f>
        <v>0</v>
      </c>
      <c r="AB747">
        <f>N(AB746)+IF(AND(R747="WON",B747&lt;&gt;""),1,0)</f>
        <v>7</v>
      </c>
      <c r="AC747">
        <f>N(AC746)+IF(AND(OR(R747="offered",R747="to be offered",R747="on hold"),B747&lt;&gt;""),1,0)</f>
        <v>19</v>
      </c>
      <c r="AD747">
        <f>N(AD746)+IF(AND(OR(R747="follow-up",R747="Evaluation",R747="tbd",R747="In evaluation"),B747&lt;&gt;""),1,0)</f>
        <v>9</v>
      </c>
    </row>
    <row r="748" ht="15" customHeight="1">
      <c r="I748" s="215" t="n"/>
      <c r="J748" s="215" t="n"/>
      <c r="K748" s="215" t="n"/>
      <c r="L748" s="215" t="n"/>
      <c r="M748" s="215" t="n"/>
      <c r="N748" s="215" t="str">
        <f>IF(ISNUMBER(I748),ROUND(I748-I748/1.081,2),"")</f>
        <v/>
      </c>
      <c r="O748" s="215" t="str">
        <f>IF(ISNUMBER(I748),I748-SUM(J748:N748),"")</f>
        <v/>
      </c>
      <c r="P748" s="216" t="str">
        <f>IFERROR(IF(AND(ISNUMBER(O748),ISNUMBER(I748),I748&lt;&gt;0),O748/I748,""),"")</f>
        <v/>
      </c>
      <c r="Q748" s="215" t="str">
        <f>IF(AND(ISNUMBER(I748),ISNUMBER(S748)),I748*IF(S748&lt;=1,S748,S748/100),IF(OR(I748&lt;&gt;"",S748&lt;&gt;""),"tbd",""))</f>
        <v/>
      </c>
      <c r="S748" s="217" t="n"/>
      <c r="Z748" t="str">
        <f>IF(AND(R748="WON",ISNUMBER(I748)),AA748,"")</f>
        <v/>
      </c>
      <c r="AA748">
        <f>IFERROR(I748*1,0)</f>
        <v>0</v>
      </c>
      <c r="AB748">
        <f>N(AB747)+IF(AND(R748="WON",B748&lt;&gt;""),1,0)</f>
        <v>7</v>
      </c>
      <c r="AC748">
        <f>N(AC747)+IF(AND(OR(R748="offered",R748="to be offered",R748="on hold"),B748&lt;&gt;""),1,0)</f>
        <v>19</v>
      </c>
      <c r="AD748">
        <f>N(AD747)+IF(AND(OR(R748="follow-up",R748="Evaluation",R748="tbd",R748="In evaluation"),B748&lt;&gt;""),1,0)</f>
        <v>9</v>
      </c>
    </row>
    <row r="749" ht="15" customHeight="1">
      <c r="I749" s="215" t="n"/>
      <c r="J749" s="215" t="n"/>
      <c r="K749" s="215" t="n"/>
      <c r="L749" s="215" t="n"/>
      <c r="M749" s="215" t="n"/>
      <c r="N749" s="215" t="str">
        <f>IF(ISNUMBER(I749),ROUND(I749-I749/1.081,2),"")</f>
        <v/>
      </c>
      <c r="O749" s="215" t="str">
        <f>IF(ISNUMBER(I749),I749-SUM(J749:N749),"")</f>
        <v/>
      </c>
      <c r="P749" s="216" t="str">
        <f>IFERROR(IF(AND(ISNUMBER(O749),ISNUMBER(I749),I749&lt;&gt;0),O749/I749,""),"")</f>
        <v/>
      </c>
      <c r="Q749" s="215" t="str">
        <f>IF(AND(ISNUMBER(I749),ISNUMBER(S749)),I749*IF(S749&lt;=1,S749,S749/100),IF(OR(I749&lt;&gt;"",S749&lt;&gt;""),"tbd",""))</f>
        <v/>
      </c>
      <c r="S749" s="217" t="n"/>
      <c r="Z749" t="str">
        <f>IF(AND(R749="WON",ISNUMBER(I749)),AA749,"")</f>
        <v/>
      </c>
      <c r="AA749">
        <f>IFERROR(I749*1,0)</f>
        <v>0</v>
      </c>
      <c r="AB749">
        <f>N(AB748)+IF(AND(R749="WON",B749&lt;&gt;""),1,0)</f>
        <v>7</v>
      </c>
      <c r="AC749">
        <f>N(AC748)+IF(AND(OR(R749="offered",R749="to be offered",R749="on hold"),B749&lt;&gt;""),1,0)</f>
        <v>19</v>
      </c>
      <c r="AD749">
        <f>N(AD748)+IF(AND(OR(R749="follow-up",R749="Evaluation",R749="tbd",R749="In evaluation"),B749&lt;&gt;""),1,0)</f>
        <v>9</v>
      </c>
    </row>
    <row r="750" ht="15" customHeight="1">
      <c r="I750" s="215" t="n"/>
      <c r="J750" s="215" t="n"/>
      <c r="K750" s="215" t="n"/>
      <c r="L750" s="215" t="n"/>
      <c r="M750" s="215" t="n"/>
      <c r="N750" s="215" t="str">
        <f>IF(ISNUMBER(I750),ROUND(I750-I750/1.081,2),"")</f>
        <v/>
      </c>
      <c r="O750" s="215" t="str">
        <f>IF(ISNUMBER(I750),I750-SUM(J750:N750),"")</f>
        <v/>
      </c>
      <c r="P750" s="216" t="str">
        <f>IFERROR(IF(AND(ISNUMBER(O750),ISNUMBER(I750),I750&lt;&gt;0),O750/I750,""),"")</f>
        <v/>
      </c>
      <c r="Q750" s="215" t="str">
        <f>IF(AND(ISNUMBER(I750),ISNUMBER(S750)),I750*IF(S750&lt;=1,S750,S750/100),IF(OR(I750&lt;&gt;"",S750&lt;&gt;""),"tbd",""))</f>
        <v/>
      </c>
      <c r="S750" s="217" t="n"/>
      <c r="Z750" t="str">
        <f>IF(AND(R750="WON",ISNUMBER(I750)),AA750,"")</f>
        <v/>
      </c>
      <c r="AA750">
        <f>IFERROR(I750*1,0)</f>
        <v>0</v>
      </c>
      <c r="AB750">
        <f>N(AB749)+IF(AND(R750="WON",B750&lt;&gt;""),1,0)</f>
        <v>7</v>
      </c>
      <c r="AC750">
        <f>N(AC749)+IF(AND(OR(R750="offered",R750="to be offered",R750="on hold"),B750&lt;&gt;""),1,0)</f>
        <v>19</v>
      </c>
      <c r="AD750">
        <f>N(AD749)+IF(AND(OR(R750="follow-up",R750="Evaluation",R750="tbd",R750="In evaluation"),B750&lt;&gt;""),1,0)</f>
        <v>9</v>
      </c>
    </row>
    <row r="751" ht="15" customHeight="1">
      <c r="I751" s="215" t="n"/>
      <c r="J751" s="215" t="n"/>
      <c r="K751" s="215" t="n"/>
      <c r="L751" s="215" t="n"/>
      <c r="M751" s="215" t="n"/>
      <c r="N751" s="215" t="str">
        <f>IF(ISNUMBER(I751),ROUND(I751-I751/1.081,2),"")</f>
        <v/>
      </c>
      <c r="O751" s="215" t="str">
        <f>IF(ISNUMBER(I751),I751-SUM(J751:N751),"")</f>
        <v/>
      </c>
      <c r="P751" s="216" t="str">
        <f>IFERROR(IF(AND(ISNUMBER(O751),ISNUMBER(I751),I751&lt;&gt;0),O751/I751,""),"")</f>
        <v/>
      </c>
      <c r="Q751" s="215" t="str">
        <f>IF(AND(ISNUMBER(I751),ISNUMBER(S751)),I751*IF(S751&lt;=1,S751,S751/100),IF(OR(I751&lt;&gt;"",S751&lt;&gt;""),"tbd",""))</f>
        <v/>
      </c>
      <c r="S751" s="217" t="n"/>
      <c r="Z751" t="str">
        <f>IF(AND(R751="WON",ISNUMBER(I751)),AA751,"")</f>
        <v/>
      </c>
      <c r="AA751">
        <f>IFERROR(I751*1,0)</f>
        <v>0</v>
      </c>
      <c r="AB751">
        <f>N(AB750)+IF(AND(R751="WON",B751&lt;&gt;""),1,0)</f>
        <v>7</v>
      </c>
      <c r="AC751">
        <f>N(AC750)+IF(AND(OR(R751="offered",R751="to be offered",R751="on hold"),B751&lt;&gt;""),1,0)</f>
        <v>19</v>
      </c>
      <c r="AD751">
        <f>N(AD750)+IF(AND(OR(R751="follow-up",R751="Evaluation",R751="tbd",R751="In evaluation"),B751&lt;&gt;""),1,0)</f>
        <v>9</v>
      </c>
    </row>
    <row r="752" ht="15" customHeight="1">
      <c r="I752" s="215" t="n"/>
      <c r="J752" s="215" t="n"/>
      <c r="K752" s="215" t="n"/>
      <c r="L752" s="215" t="n"/>
      <c r="M752" s="215" t="n"/>
      <c r="N752" s="215" t="str">
        <f>IF(ISNUMBER(I752),ROUND(I752-I752/1.081,2),"")</f>
        <v/>
      </c>
      <c r="O752" s="215" t="str">
        <f>IF(ISNUMBER(I752),I752-SUM(J752:N752),"")</f>
        <v/>
      </c>
      <c r="P752" s="216" t="str">
        <f>IFERROR(IF(AND(ISNUMBER(O752),ISNUMBER(I752),I752&lt;&gt;0),O752/I752,""),"")</f>
        <v/>
      </c>
      <c r="Q752" s="215" t="str">
        <f>IF(AND(ISNUMBER(I752),ISNUMBER(S752)),I752*IF(S752&lt;=1,S752,S752/100),IF(OR(I752&lt;&gt;"",S752&lt;&gt;""),"tbd",""))</f>
        <v/>
      </c>
      <c r="S752" s="217" t="n"/>
      <c r="Z752" t="str">
        <f>IF(AND(R752="WON",ISNUMBER(I752)),AA752,"")</f>
        <v/>
      </c>
      <c r="AA752">
        <f>IFERROR(I752*1,0)</f>
        <v>0</v>
      </c>
      <c r="AB752">
        <f>N(AB751)+IF(AND(R752="WON",B752&lt;&gt;""),1,0)</f>
        <v>7</v>
      </c>
      <c r="AC752">
        <f>N(AC751)+IF(AND(OR(R752="offered",R752="to be offered",R752="on hold"),B752&lt;&gt;""),1,0)</f>
        <v>19</v>
      </c>
      <c r="AD752">
        <f>N(AD751)+IF(AND(OR(R752="follow-up",R752="Evaluation",R752="tbd",R752="In evaluation"),B752&lt;&gt;""),1,0)</f>
        <v>9</v>
      </c>
    </row>
    <row r="753" ht="15" customHeight="1">
      <c r="I753" s="215" t="n"/>
      <c r="J753" s="215" t="n"/>
      <c r="K753" s="215" t="n"/>
      <c r="L753" s="215" t="n"/>
      <c r="M753" s="215" t="n"/>
      <c r="N753" s="215" t="str">
        <f>IF(ISNUMBER(I753),ROUND(I753-I753/1.081,2),"")</f>
        <v/>
      </c>
      <c r="O753" s="215" t="str">
        <f>IF(ISNUMBER(I753),I753-SUM(J753:N753),"")</f>
        <v/>
      </c>
      <c r="P753" s="216" t="str">
        <f>IFERROR(IF(AND(ISNUMBER(O753),ISNUMBER(I753),I753&lt;&gt;0),O753/I753,""),"")</f>
        <v/>
      </c>
      <c r="Q753" s="215" t="str">
        <f>IF(AND(ISNUMBER(I753),ISNUMBER(S753)),I753*IF(S753&lt;=1,S753,S753/100),IF(OR(I753&lt;&gt;"",S753&lt;&gt;""),"tbd",""))</f>
        <v/>
      </c>
      <c r="S753" s="217" t="n"/>
      <c r="Z753" t="str">
        <f>IF(AND(R753="WON",ISNUMBER(I753)),AA753,"")</f>
        <v/>
      </c>
      <c r="AA753">
        <f>IFERROR(I753*1,0)</f>
        <v>0</v>
      </c>
      <c r="AB753">
        <f>N(AB752)+IF(AND(R753="WON",B753&lt;&gt;""),1,0)</f>
        <v>7</v>
      </c>
      <c r="AC753">
        <f>N(AC752)+IF(AND(OR(R753="offered",R753="to be offered",R753="on hold"),B753&lt;&gt;""),1,0)</f>
        <v>19</v>
      </c>
      <c r="AD753">
        <f>N(AD752)+IF(AND(OR(R753="follow-up",R753="Evaluation",R753="tbd",R753="In evaluation"),B753&lt;&gt;""),1,0)</f>
        <v>9</v>
      </c>
    </row>
    <row r="754" ht="15" customHeight="1">
      <c r="I754" s="215" t="n"/>
      <c r="J754" s="215" t="n"/>
      <c r="K754" s="215" t="n"/>
      <c r="L754" s="215" t="n"/>
      <c r="M754" s="215" t="n"/>
      <c r="N754" s="215" t="str">
        <f>IF(ISNUMBER(I754),ROUND(I754-I754/1.081,2),"")</f>
        <v/>
      </c>
      <c r="O754" s="215" t="str">
        <f>IF(ISNUMBER(I754),I754-SUM(J754:N754),"")</f>
        <v/>
      </c>
      <c r="P754" s="216" t="str">
        <f>IFERROR(IF(AND(ISNUMBER(O754),ISNUMBER(I754),I754&lt;&gt;0),O754/I754,""),"")</f>
        <v/>
      </c>
      <c r="Q754" s="215" t="str">
        <f>IF(AND(ISNUMBER(I754),ISNUMBER(S754)),I754*IF(S754&lt;=1,S754,S754/100),IF(OR(I754&lt;&gt;"",S754&lt;&gt;""),"tbd",""))</f>
        <v/>
      </c>
      <c r="S754" s="217" t="n"/>
      <c r="Z754" t="str">
        <f>IF(AND(R754="WON",ISNUMBER(I754)),AA754,"")</f>
        <v/>
      </c>
      <c r="AA754">
        <f>IFERROR(I754*1,0)</f>
        <v>0</v>
      </c>
      <c r="AB754">
        <f>N(AB753)+IF(AND(R754="WON",B754&lt;&gt;""),1,0)</f>
        <v>7</v>
      </c>
      <c r="AC754">
        <f>N(AC753)+IF(AND(OR(R754="offered",R754="to be offered",R754="on hold"),B754&lt;&gt;""),1,0)</f>
        <v>19</v>
      </c>
      <c r="AD754">
        <f>N(AD753)+IF(AND(OR(R754="follow-up",R754="Evaluation",R754="tbd",R754="In evaluation"),B754&lt;&gt;""),1,0)</f>
        <v>9</v>
      </c>
    </row>
    <row r="755" ht="15" customHeight="1">
      <c r="I755" s="215" t="n"/>
      <c r="J755" s="215" t="n"/>
      <c r="K755" s="215" t="n"/>
      <c r="L755" s="215" t="n"/>
      <c r="M755" s="215" t="n"/>
      <c r="N755" s="215" t="str">
        <f>IF(ISNUMBER(I755),ROUND(I755-I755/1.081,2),"")</f>
        <v/>
      </c>
      <c r="O755" s="215" t="str">
        <f>IF(ISNUMBER(I755),I755-SUM(J755:N755),"")</f>
        <v/>
      </c>
      <c r="P755" s="216" t="str">
        <f>IFERROR(IF(AND(ISNUMBER(O755),ISNUMBER(I755),I755&lt;&gt;0),O755/I755,""),"")</f>
        <v/>
      </c>
      <c r="Q755" s="215" t="str">
        <f>IF(AND(ISNUMBER(I755),ISNUMBER(S755)),I755*IF(S755&lt;=1,S755,S755/100),IF(OR(I755&lt;&gt;"",S755&lt;&gt;""),"tbd",""))</f>
        <v/>
      </c>
      <c r="S755" s="217" t="n"/>
      <c r="Z755" t="str">
        <f>IF(AND(R755="WON",ISNUMBER(I755)),AA755,"")</f>
        <v/>
      </c>
      <c r="AA755">
        <f>IFERROR(I755*1,0)</f>
        <v>0</v>
      </c>
      <c r="AB755">
        <f>N(AB754)+IF(AND(R755="WON",B755&lt;&gt;""),1,0)</f>
        <v>7</v>
      </c>
      <c r="AC755">
        <f>N(AC754)+IF(AND(OR(R755="offered",R755="to be offered",R755="on hold"),B755&lt;&gt;""),1,0)</f>
        <v>19</v>
      </c>
      <c r="AD755">
        <f>N(AD754)+IF(AND(OR(R755="follow-up",R755="Evaluation",R755="tbd",R755="In evaluation"),B755&lt;&gt;""),1,0)</f>
        <v>9</v>
      </c>
    </row>
    <row r="756" ht="15" customHeight="1">
      <c r="I756" s="215" t="n"/>
      <c r="J756" s="215" t="n"/>
      <c r="K756" s="215" t="n"/>
      <c r="L756" s="215" t="n"/>
      <c r="M756" s="215" t="n"/>
      <c r="N756" s="215" t="str">
        <f>IF(ISNUMBER(I756),ROUND(I756-I756/1.081,2),"")</f>
        <v/>
      </c>
      <c r="O756" s="215" t="str">
        <f>IF(ISNUMBER(I756),I756-SUM(J756:N756),"")</f>
        <v/>
      </c>
      <c r="P756" s="216" t="str">
        <f>IFERROR(IF(AND(ISNUMBER(O756),ISNUMBER(I756),I756&lt;&gt;0),O756/I756,""),"")</f>
        <v/>
      </c>
      <c r="Q756" s="215" t="str">
        <f>IF(AND(ISNUMBER(I756),ISNUMBER(S756)),I756*IF(S756&lt;=1,S756,S756/100),IF(OR(I756&lt;&gt;"",S756&lt;&gt;""),"tbd",""))</f>
        <v/>
      </c>
      <c r="S756" s="217" t="n"/>
      <c r="Z756" t="str">
        <f>IF(AND(R756="WON",ISNUMBER(I756)),AA756,"")</f>
        <v/>
      </c>
      <c r="AA756">
        <f>IFERROR(I756*1,0)</f>
        <v>0</v>
      </c>
      <c r="AB756">
        <f>N(AB755)+IF(AND(R756="WON",B756&lt;&gt;""),1,0)</f>
        <v>7</v>
      </c>
      <c r="AC756">
        <f>N(AC755)+IF(AND(OR(R756="offered",R756="to be offered",R756="on hold"),B756&lt;&gt;""),1,0)</f>
        <v>19</v>
      </c>
      <c r="AD756">
        <f>N(AD755)+IF(AND(OR(R756="follow-up",R756="Evaluation",R756="tbd",R756="In evaluation"),B756&lt;&gt;""),1,0)</f>
        <v>9</v>
      </c>
    </row>
    <row r="757" ht="15" customHeight="1">
      <c r="I757" s="215" t="n"/>
      <c r="J757" s="215" t="n"/>
      <c r="K757" s="215" t="n"/>
      <c r="L757" s="215" t="n"/>
      <c r="M757" s="215" t="n"/>
      <c r="N757" s="215" t="str">
        <f>IF(ISNUMBER(I757),ROUND(I757-I757/1.081,2),"")</f>
        <v/>
      </c>
      <c r="O757" s="215" t="str">
        <f>IF(ISNUMBER(I757),I757-SUM(J757:N757),"")</f>
        <v/>
      </c>
      <c r="P757" s="216" t="str">
        <f>IFERROR(IF(AND(ISNUMBER(O757),ISNUMBER(I757),I757&lt;&gt;0),O757/I757,""),"")</f>
        <v/>
      </c>
      <c r="Q757" s="215" t="str">
        <f>IF(AND(ISNUMBER(I757),ISNUMBER(S757)),I757*IF(S757&lt;=1,S757,S757/100),IF(OR(I757&lt;&gt;"",S757&lt;&gt;""),"tbd",""))</f>
        <v/>
      </c>
      <c r="S757" s="217" t="n"/>
      <c r="Z757" t="str">
        <f>IF(AND(R757="WON",ISNUMBER(I757)),AA757,"")</f>
        <v/>
      </c>
      <c r="AA757">
        <f>IFERROR(I757*1,0)</f>
        <v>0</v>
      </c>
      <c r="AB757">
        <f>N(AB756)+IF(AND(R757="WON",B757&lt;&gt;""),1,0)</f>
        <v>7</v>
      </c>
      <c r="AC757">
        <f>N(AC756)+IF(AND(OR(R757="offered",R757="to be offered",R757="on hold"),B757&lt;&gt;""),1,0)</f>
        <v>19</v>
      </c>
      <c r="AD757">
        <f>N(AD756)+IF(AND(OR(R757="follow-up",R757="Evaluation",R757="tbd",R757="In evaluation"),B757&lt;&gt;""),1,0)</f>
        <v>9</v>
      </c>
    </row>
    <row r="758" ht="15" customHeight="1">
      <c r="I758" s="215" t="n"/>
      <c r="J758" s="215" t="n"/>
      <c r="K758" s="215" t="n"/>
      <c r="L758" s="215" t="n"/>
      <c r="M758" s="215" t="n"/>
      <c r="N758" s="215" t="str">
        <f>IF(ISNUMBER(I758),ROUND(I758-I758/1.081,2),"")</f>
        <v/>
      </c>
      <c r="O758" s="215" t="str">
        <f>IF(ISNUMBER(I758),I758-SUM(J758:N758),"")</f>
        <v/>
      </c>
      <c r="P758" s="216" t="str">
        <f>IFERROR(IF(AND(ISNUMBER(O758),ISNUMBER(I758),I758&lt;&gt;0),O758/I758,""),"")</f>
        <v/>
      </c>
      <c r="Q758" s="215" t="str">
        <f>IF(AND(ISNUMBER(I758),ISNUMBER(S758)),I758*IF(S758&lt;=1,S758,S758/100),IF(OR(I758&lt;&gt;"",S758&lt;&gt;""),"tbd",""))</f>
        <v/>
      </c>
      <c r="S758" s="217" t="n"/>
      <c r="Z758" t="str">
        <f>IF(AND(R758="WON",ISNUMBER(I758)),AA758,"")</f>
        <v/>
      </c>
      <c r="AA758">
        <f>IFERROR(I758*1,0)</f>
        <v>0</v>
      </c>
      <c r="AB758">
        <f>N(AB757)+IF(AND(R758="WON",B758&lt;&gt;""),1,0)</f>
        <v>7</v>
      </c>
      <c r="AC758">
        <f>N(AC757)+IF(AND(OR(R758="offered",R758="to be offered",R758="on hold"),B758&lt;&gt;""),1,0)</f>
        <v>19</v>
      </c>
      <c r="AD758">
        <f>N(AD757)+IF(AND(OR(R758="follow-up",R758="Evaluation",R758="tbd",R758="In evaluation"),B758&lt;&gt;""),1,0)</f>
        <v>9</v>
      </c>
    </row>
    <row r="759" ht="15" customHeight="1">
      <c r="I759" s="215" t="n"/>
      <c r="J759" s="215" t="n"/>
      <c r="K759" s="215" t="n"/>
      <c r="L759" s="215" t="n"/>
      <c r="M759" s="215" t="n"/>
      <c r="N759" s="215" t="str">
        <f>IF(ISNUMBER(I759),ROUND(I759-I759/1.081,2),"")</f>
        <v/>
      </c>
      <c r="O759" s="215" t="str">
        <f>IF(ISNUMBER(I759),I759-SUM(J759:N759),"")</f>
        <v/>
      </c>
      <c r="P759" s="216" t="str">
        <f>IFERROR(IF(AND(ISNUMBER(O759),ISNUMBER(I759),I759&lt;&gt;0),O759/I759,""),"")</f>
        <v/>
      </c>
      <c r="Q759" s="215" t="str">
        <f>IF(AND(ISNUMBER(I759),ISNUMBER(S759)),I759*IF(S759&lt;=1,S759,S759/100),IF(OR(I759&lt;&gt;"",S759&lt;&gt;""),"tbd",""))</f>
        <v/>
      </c>
      <c r="S759" s="217" t="n"/>
      <c r="Z759" t="str">
        <f>IF(AND(R759="WON",ISNUMBER(I759)),AA759,"")</f>
        <v/>
      </c>
      <c r="AA759">
        <f>IFERROR(I759*1,0)</f>
        <v>0</v>
      </c>
      <c r="AB759">
        <f>N(AB758)+IF(AND(R759="WON",B759&lt;&gt;""),1,0)</f>
        <v>7</v>
      </c>
      <c r="AC759">
        <f>N(AC758)+IF(AND(OR(R759="offered",R759="to be offered",R759="on hold"),B759&lt;&gt;""),1,0)</f>
        <v>19</v>
      </c>
      <c r="AD759">
        <f>N(AD758)+IF(AND(OR(R759="follow-up",R759="Evaluation",R759="tbd",R759="In evaluation"),B759&lt;&gt;""),1,0)</f>
        <v>9</v>
      </c>
    </row>
    <row r="760" ht="15" customHeight="1">
      <c r="I760" s="215" t="n"/>
      <c r="J760" s="215" t="n"/>
      <c r="K760" s="215" t="n"/>
      <c r="L760" s="215" t="n"/>
      <c r="M760" s="215" t="n"/>
      <c r="N760" s="215" t="str">
        <f>IF(ISNUMBER(I760),ROUND(I760-I760/1.081,2),"")</f>
        <v/>
      </c>
      <c r="O760" s="215" t="str">
        <f>IF(ISNUMBER(I760),I760-SUM(J760:N760),"")</f>
        <v/>
      </c>
      <c r="P760" s="216" t="str">
        <f>IFERROR(IF(AND(ISNUMBER(O760),ISNUMBER(I760),I760&lt;&gt;0),O760/I760,""),"")</f>
        <v/>
      </c>
      <c r="Q760" s="215" t="str">
        <f>IF(AND(ISNUMBER(I760),ISNUMBER(S760)),I760*IF(S760&lt;=1,S760,S760/100),IF(OR(I760&lt;&gt;"",S760&lt;&gt;""),"tbd",""))</f>
        <v/>
      </c>
      <c r="S760" s="217" t="n"/>
      <c r="Z760" t="str">
        <f>IF(AND(R760="WON",ISNUMBER(I760)),AA760,"")</f>
        <v/>
      </c>
      <c r="AA760">
        <f>IFERROR(I760*1,0)</f>
        <v>0</v>
      </c>
      <c r="AB760">
        <f>N(AB759)+IF(AND(R760="WON",B760&lt;&gt;""),1,0)</f>
        <v>7</v>
      </c>
      <c r="AC760">
        <f>N(AC759)+IF(AND(OR(R760="offered",R760="to be offered",R760="on hold"),B760&lt;&gt;""),1,0)</f>
        <v>19</v>
      </c>
      <c r="AD760">
        <f>N(AD759)+IF(AND(OR(R760="follow-up",R760="Evaluation",R760="tbd",R760="In evaluation"),B760&lt;&gt;""),1,0)</f>
        <v>9</v>
      </c>
    </row>
    <row r="761" ht="15" customHeight="1">
      <c r="I761" s="215" t="n"/>
      <c r="J761" s="215" t="n"/>
      <c r="K761" s="215" t="n"/>
      <c r="L761" s="215" t="n"/>
      <c r="M761" s="215" t="n"/>
      <c r="N761" s="215" t="str">
        <f>IF(ISNUMBER(I761),ROUND(I761-I761/1.081,2),"")</f>
        <v/>
      </c>
      <c r="O761" s="215" t="str">
        <f>IF(ISNUMBER(I761),I761-SUM(J761:N761),"")</f>
        <v/>
      </c>
      <c r="P761" s="216" t="str">
        <f>IFERROR(IF(AND(ISNUMBER(O761),ISNUMBER(I761),I761&lt;&gt;0),O761/I761,""),"")</f>
        <v/>
      </c>
      <c r="Q761" s="215" t="str">
        <f>IF(AND(ISNUMBER(I761),ISNUMBER(S761)),I761*IF(S761&lt;=1,S761,S761/100),IF(OR(I761&lt;&gt;"",S761&lt;&gt;""),"tbd",""))</f>
        <v/>
      </c>
      <c r="S761" s="217" t="n"/>
      <c r="Z761" t="str">
        <f>IF(AND(R761="WON",ISNUMBER(I761)),AA761,"")</f>
        <v/>
      </c>
      <c r="AA761">
        <f>IFERROR(I761*1,0)</f>
        <v>0</v>
      </c>
      <c r="AB761">
        <f>N(AB760)+IF(AND(R761="WON",B761&lt;&gt;""),1,0)</f>
        <v>7</v>
      </c>
      <c r="AC761">
        <f>N(AC760)+IF(AND(OR(R761="offered",R761="to be offered",R761="on hold"),B761&lt;&gt;""),1,0)</f>
        <v>19</v>
      </c>
      <c r="AD761">
        <f>N(AD760)+IF(AND(OR(R761="follow-up",R761="Evaluation",R761="tbd",R761="In evaluation"),B761&lt;&gt;""),1,0)</f>
        <v>9</v>
      </c>
    </row>
    <row r="762" ht="15" customHeight="1">
      <c r="I762" s="215" t="n"/>
      <c r="J762" s="215" t="n"/>
      <c r="K762" s="215" t="n"/>
      <c r="L762" s="215" t="n"/>
      <c r="M762" s="215" t="n"/>
      <c r="N762" s="215" t="str">
        <f>IF(ISNUMBER(I762),ROUND(I762-I762/1.081,2),"")</f>
        <v/>
      </c>
      <c r="O762" s="215" t="str">
        <f>IF(ISNUMBER(I762),I762-SUM(J762:N762),"")</f>
        <v/>
      </c>
      <c r="P762" s="216" t="str">
        <f>IFERROR(IF(AND(ISNUMBER(O762),ISNUMBER(I762),I762&lt;&gt;0),O762/I762,""),"")</f>
        <v/>
      </c>
      <c r="Q762" s="215" t="str">
        <f>IF(AND(ISNUMBER(I762),ISNUMBER(S762)),I762*IF(S762&lt;=1,S762,S762/100),IF(OR(I762&lt;&gt;"",S762&lt;&gt;""),"tbd",""))</f>
        <v/>
      </c>
      <c r="S762" s="217" t="n"/>
      <c r="Z762" t="str">
        <f>IF(AND(R762="WON",ISNUMBER(I762)),AA762,"")</f>
        <v/>
      </c>
      <c r="AA762">
        <f>IFERROR(I762*1,0)</f>
        <v>0</v>
      </c>
      <c r="AB762">
        <f>N(AB761)+IF(AND(R762="WON",B762&lt;&gt;""),1,0)</f>
        <v>7</v>
      </c>
      <c r="AC762">
        <f>N(AC761)+IF(AND(OR(R762="offered",R762="to be offered",R762="on hold"),B762&lt;&gt;""),1,0)</f>
        <v>19</v>
      </c>
      <c r="AD762">
        <f>N(AD761)+IF(AND(OR(R762="follow-up",R762="Evaluation",R762="tbd",R762="In evaluation"),B762&lt;&gt;""),1,0)</f>
        <v>9</v>
      </c>
    </row>
    <row r="763" ht="15" customHeight="1">
      <c r="I763" s="215" t="n"/>
      <c r="J763" s="215" t="n"/>
      <c r="K763" s="215" t="n"/>
      <c r="L763" s="215" t="n"/>
      <c r="M763" s="215" t="n"/>
      <c r="N763" s="215" t="str">
        <f>IF(ISNUMBER(I763),ROUND(I763-I763/1.081,2),"")</f>
        <v/>
      </c>
      <c r="O763" s="215" t="str">
        <f>IF(ISNUMBER(I763),I763-SUM(J763:N763),"")</f>
        <v/>
      </c>
      <c r="P763" s="216" t="str">
        <f>IFERROR(IF(AND(ISNUMBER(O763),ISNUMBER(I763),I763&lt;&gt;0),O763/I763,""),"")</f>
        <v/>
      </c>
      <c r="Q763" s="215" t="str">
        <f>IF(AND(ISNUMBER(I763),ISNUMBER(S763)),I763*IF(S763&lt;=1,S763,S763/100),IF(OR(I763&lt;&gt;"",S763&lt;&gt;""),"tbd",""))</f>
        <v/>
      </c>
      <c r="S763" s="217" t="n"/>
      <c r="Z763" t="str">
        <f>IF(AND(R763="WON",ISNUMBER(I763)),AA763,"")</f>
        <v/>
      </c>
      <c r="AA763">
        <f>IFERROR(I763*1,0)</f>
        <v>0</v>
      </c>
      <c r="AB763">
        <f>N(AB762)+IF(AND(R763="WON",B763&lt;&gt;""),1,0)</f>
        <v>7</v>
      </c>
      <c r="AC763">
        <f>N(AC762)+IF(AND(OR(R763="offered",R763="to be offered",R763="on hold"),B763&lt;&gt;""),1,0)</f>
        <v>19</v>
      </c>
      <c r="AD763">
        <f>N(AD762)+IF(AND(OR(R763="follow-up",R763="Evaluation",R763="tbd",R763="In evaluation"),B763&lt;&gt;""),1,0)</f>
        <v>9</v>
      </c>
    </row>
    <row r="764" ht="15" customHeight="1">
      <c r="I764" s="215" t="n"/>
      <c r="J764" s="215" t="n"/>
      <c r="K764" s="215" t="n"/>
      <c r="L764" s="215" t="n"/>
      <c r="M764" s="215" t="n"/>
      <c r="N764" s="215" t="str">
        <f>IF(ISNUMBER(I764),ROUND(I764-I764/1.081,2),"")</f>
        <v/>
      </c>
      <c r="O764" s="215" t="str">
        <f>IF(ISNUMBER(I764),I764-SUM(J764:N764),"")</f>
        <v/>
      </c>
      <c r="P764" s="216" t="str">
        <f>IFERROR(IF(AND(ISNUMBER(O764),ISNUMBER(I764),I764&lt;&gt;0),O764/I764,""),"")</f>
        <v/>
      </c>
      <c r="Q764" s="215" t="str">
        <f>IF(AND(ISNUMBER(I764),ISNUMBER(S764)),I764*IF(S764&lt;=1,S764,S764/100),IF(OR(I764&lt;&gt;"",S764&lt;&gt;""),"tbd",""))</f>
        <v/>
      </c>
      <c r="S764" s="217" t="n"/>
      <c r="Z764" t="str">
        <f>IF(AND(R764="WON",ISNUMBER(I764)),AA764,"")</f>
        <v/>
      </c>
      <c r="AA764">
        <f>IFERROR(I764*1,0)</f>
        <v>0</v>
      </c>
      <c r="AB764">
        <f>N(AB763)+IF(AND(R764="WON",B764&lt;&gt;""),1,0)</f>
        <v>7</v>
      </c>
      <c r="AC764">
        <f>N(AC763)+IF(AND(OR(R764="offered",R764="to be offered",R764="on hold"),B764&lt;&gt;""),1,0)</f>
        <v>19</v>
      </c>
      <c r="AD764">
        <f>N(AD763)+IF(AND(OR(R764="follow-up",R764="Evaluation",R764="tbd",R764="In evaluation"),B764&lt;&gt;""),1,0)</f>
        <v>9</v>
      </c>
    </row>
    <row r="765" ht="15" customHeight="1">
      <c r="I765" s="215" t="n"/>
      <c r="J765" s="215" t="n"/>
      <c r="K765" s="215" t="n"/>
      <c r="L765" s="215" t="n"/>
      <c r="M765" s="215" t="n"/>
      <c r="N765" s="215" t="str">
        <f>IF(ISNUMBER(I765),ROUND(I765-I765/1.081,2),"")</f>
        <v/>
      </c>
      <c r="O765" s="215" t="str">
        <f>IF(ISNUMBER(I765),I765-SUM(J765:N765),"")</f>
        <v/>
      </c>
      <c r="P765" s="216" t="str">
        <f>IFERROR(IF(AND(ISNUMBER(O765),ISNUMBER(I765),I765&lt;&gt;0),O765/I765,""),"")</f>
        <v/>
      </c>
      <c r="Q765" s="215" t="str">
        <f>IF(AND(ISNUMBER(I765),ISNUMBER(S765)),I765*IF(S765&lt;=1,S765,S765/100),IF(OR(I765&lt;&gt;"",S765&lt;&gt;""),"tbd",""))</f>
        <v/>
      </c>
      <c r="S765" s="217" t="n"/>
      <c r="Z765" t="str">
        <f>IF(AND(R765="WON",ISNUMBER(I765)),AA765,"")</f>
        <v/>
      </c>
      <c r="AA765">
        <f>IFERROR(I765*1,0)</f>
        <v>0</v>
      </c>
      <c r="AB765">
        <f>N(AB764)+IF(AND(R765="WON",B765&lt;&gt;""),1,0)</f>
        <v>7</v>
      </c>
      <c r="AC765">
        <f>N(AC764)+IF(AND(OR(R765="offered",R765="to be offered",R765="on hold"),B765&lt;&gt;""),1,0)</f>
        <v>19</v>
      </c>
      <c r="AD765">
        <f>N(AD764)+IF(AND(OR(R765="follow-up",R765="Evaluation",R765="tbd",R765="In evaluation"),B765&lt;&gt;""),1,0)</f>
        <v>9</v>
      </c>
    </row>
    <row r="766" ht="15" customHeight="1">
      <c r="I766" s="215" t="n"/>
      <c r="J766" s="215" t="n"/>
      <c r="K766" s="215" t="n"/>
      <c r="L766" s="215" t="n"/>
      <c r="M766" s="215" t="n"/>
      <c r="N766" s="215" t="str">
        <f>IF(ISNUMBER(I766),ROUND(I766-I766/1.081,2),"")</f>
        <v/>
      </c>
      <c r="O766" s="215" t="str">
        <f>IF(ISNUMBER(I766),I766-SUM(J766:N766),"")</f>
        <v/>
      </c>
      <c r="P766" s="216" t="str">
        <f>IFERROR(IF(AND(ISNUMBER(O766),ISNUMBER(I766),I766&lt;&gt;0),O766/I766,""),"")</f>
        <v/>
      </c>
      <c r="Q766" s="215" t="str">
        <f>IF(AND(ISNUMBER(I766),ISNUMBER(S766)),I766*IF(S766&lt;=1,S766,S766/100),IF(OR(I766&lt;&gt;"",S766&lt;&gt;""),"tbd",""))</f>
        <v/>
      </c>
      <c r="S766" s="217" t="n"/>
      <c r="Z766" t="str">
        <f>IF(AND(R766="WON",ISNUMBER(I766)),AA766,"")</f>
        <v/>
      </c>
      <c r="AA766">
        <f>IFERROR(I766*1,0)</f>
        <v>0</v>
      </c>
      <c r="AB766">
        <f>N(AB765)+IF(AND(R766="WON",B766&lt;&gt;""),1,0)</f>
        <v>7</v>
      </c>
      <c r="AC766">
        <f>N(AC765)+IF(AND(OR(R766="offered",R766="to be offered",R766="on hold"),B766&lt;&gt;""),1,0)</f>
        <v>19</v>
      </c>
      <c r="AD766">
        <f>N(AD765)+IF(AND(OR(R766="follow-up",R766="Evaluation",R766="tbd",R766="In evaluation"),B766&lt;&gt;""),1,0)</f>
        <v>9</v>
      </c>
    </row>
    <row r="767" ht="15" customHeight="1">
      <c r="I767" s="215" t="n"/>
      <c r="J767" s="215" t="n"/>
      <c r="K767" s="215" t="n"/>
      <c r="L767" s="215" t="n"/>
      <c r="M767" s="215" t="n"/>
      <c r="N767" s="215" t="str">
        <f>IF(ISNUMBER(I767),ROUND(I767-I767/1.081,2),"")</f>
        <v/>
      </c>
      <c r="O767" s="215" t="str">
        <f>IF(ISNUMBER(I767),I767-SUM(J767:N767),"")</f>
        <v/>
      </c>
      <c r="P767" s="216" t="str">
        <f>IFERROR(IF(AND(ISNUMBER(O767),ISNUMBER(I767),I767&lt;&gt;0),O767/I767,""),"")</f>
        <v/>
      </c>
      <c r="Q767" s="215" t="str">
        <f>IF(AND(ISNUMBER(I767),ISNUMBER(S767)),I767*IF(S767&lt;=1,S767,S767/100),IF(OR(I767&lt;&gt;"",S767&lt;&gt;""),"tbd",""))</f>
        <v/>
      </c>
      <c r="S767" s="217" t="n"/>
      <c r="Z767" t="str">
        <f>IF(AND(R767="WON",ISNUMBER(I767)),AA767,"")</f>
        <v/>
      </c>
      <c r="AA767">
        <f>IFERROR(I767*1,0)</f>
        <v>0</v>
      </c>
      <c r="AB767">
        <f>N(AB766)+IF(AND(R767="WON",B767&lt;&gt;""),1,0)</f>
        <v>7</v>
      </c>
      <c r="AC767">
        <f>N(AC766)+IF(AND(OR(R767="offered",R767="to be offered",R767="on hold"),B767&lt;&gt;""),1,0)</f>
        <v>19</v>
      </c>
      <c r="AD767">
        <f>N(AD766)+IF(AND(OR(R767="follow-up",R767="Evaluation",R767="tbd",R767="In evaluation"),B767&lt;&gt;""),1,0)</f>
        <v>9</v>
      </c>
    </row>
    <row r="768" ht="15" customHeight="1">
      <c r="I768" s="215" t="n"/>
      <c r="J768" s="215" t="n"/>
      <c r="K768" s="215" t="n"/>
      <c r="L768" s="215" t="n"/>
      <c r="M768" s="215" t="n"/>
      <c r="N768" s="215" t="str">
        <f>IF(ISNUMBER(I768),ROUND(I768-I768/1.081,2),"")</f>
        <v/>
      </c>
      <c r="O768" s="215" t="str">
        <f>IF(ISNUMBER(I768),I768-SUM(J768:N768),"")</f>
        <v/>
      </c>
      <c r="P768" s="216" t="str">
        <f>IFERROR(IF(AND(ISNUMBER(O768),ISNUMBER(I768),I768&lt;&gt;0),O768/I768,""),"")</f>
        <v/>
      </c>
      <c r="Q768" s="215" t="str">
        <f>IF(AND(ISNUMBER(I768),ISNUMBER(S768)),I768*IF(S768&lt;=1,S768,S768/100),IF(OR(I768&lt;&gt;"",S768&lt;&gt;""),"tbd",""))</f>
        <v/>
      </c>
      <c r="S768" s="217" t="n"/>
      <c r="Z768" t="str">
        <f>IF(AND(R768="WON",ISNUMBER(I768)),AA768,"")</f>
        <v/>
      </c>
      <c r="AA768">
        <f>IFERROR(I768*1,0)</f>
        <v>0</v>
      </c>
      <c r="AB768">
        <f>N(AB767)+IF(AND(R768="WON",B768&lt;&gt;""),1,0)</f>
        <v>7</v>
      </c>
      <c r="AC768">
        <f>N(AC767)+IF(AND(OR(R768="offered",R768="to be offered",R768="on hold"),B768&lt;&gt;""),1,0)</f>
        <v>19</v>
      </c>
      <c r="AD768">
        <f>N(AD767)+IF(AND(OR(R768="follow-up",R768="Evaluation",R768="tbd",R768="In evaluation"),B768&lt;&gt;""),1,0)</f>
        <v>9</v>
      </c>
    </row>
    <row r="769" ht="15" customHeight="1">
      <c r="I769" s="215" t="n"/>
      <c r="J769" s="215" t="n"/>
      <c r="K769" s="215" t="n"/>
      <c r="L769" s="215" t="n"/>
      <c r="M769" s="215" t="n"/>
      <c r="N769" s="215" t="str">
        <f>IF(ISNUMBER(I769),ROUND(I769-I769/1.081,2),"")</f>
        <v/>
      </c>
      <c r="O769" s="215" t="str">
        <f>IF(ISNUMBER(I769),I769-SUM(J769:N769),"")</f>
        <v/>
      </c>
      <c r="P769" s="216" t="str">
        <f>IFERROR(IF(AND(ISNUMBER(O769),ISNUMBER(I769),I769&lt;&gt;0),O769/I769,""),"")</f>
        <v/>
      </c>
      <c r="Q769" s="215" t="str">
        <f>IF(AND(ISNUMBER(I769),ISNUMBER(S769)),I769*IF(S769&lt;=1,S769,S769/100),IF(OR(I769&lt;&gt;"",S769&lt;&gt;""),"tbd",""))</f>
        <v/>
      </c>
      <c r="S769" s="217" t="n"/>
      <c r="Z769" t="str">
        <f>IF(AND(R769="WON",ISNUMBER(I769)),AA769,"")</f>
        <v/>
      </c>
      <c r="AA769">
        <f>IFERROR(I769*1,0)</f>
        <v>0</v>
      </c>
      <c r="AB769">
        <f>N(AB768)+IF(AND(R769="WON",B769&lt;&gt;""),1,0)</f>
        <v>7</v>
      </c>
      <c r="AC769">
        <f>N(AC768)+IF(AND(OR(R769="offered",R769="to be offered",R769="on hold"),B769&lt;&gt;""),1,0)</f>
        <v>19</v>
      </c>
      <c r="AD769">
        <f>N(AD768)+IF(AND(OR(R769="follow-up",R769="Evaluation",R769="tbd",R769="In evaluation"),B769&lt;&gt;""),1,0)</f>
        <v>9</v>
      </c>
    </row>
    <row r="770" ht="15" customHeight="1">
      <c r="I770" s="215" t="n"/>
      <c r="J770" s="215" t="n"/>
      <c r="K770" s="215" t="n"/>
      <c r="L770" s="215" t="n"/>
      <c r="M770" s="215" t="n"/>
      <c r="N770" s="215" t="str">
        <f>IF(ISNUMBER(I770),ROUND(I770-I770/1.081,2),"")</f>
        <v/>
      </c>
      <c r="O770" s="215" t="str">
        <f>IF(ISNUMBER(I770),I770-SUM(J770:N770),"")</f>
        <v/>
      </c>
      <c r="P770" s="216" t="str">
        <f>IFERROR(IF(AND(ISNUMBER(O770),ISNUMBER(I770),I770&lt;&gt;0),O770/I770,""),"")</f>
        <v/>
      </c>
      <c r="Q770" s="215" t="str">
        <f>IF(AND(ISNUMBER(I770),ISNUMBER(S770)),I770*IF(S770&lt;=1,S770,S770/100),IF(OR(I770&lt;&gt;"",S770&lt;&gt;""),"tbd",""))</f>
        <v/>
      </c>
      <c r="S770" s="217" t="n"/>
      <c r="Z770" t="str">
        <f>IF(AND(R770="WON",ISNUMBER(I770)),AA770,"")</f>
        <v/>
      </c>
      <c r="AA770">
        <f>IFERROR(I770*1,0)</f>
        <v>0</v>
      </c>
      <c r="AB770">
        <f>N(AB769)+IF(AND(R770="WON",B770&lt;&gt;""),1,0)</f>
        <v>7</v>
      </c>
      <c r="AC770">
        <f>N(AC769)+IF(AND(OR(R770="offered",R770="to be offered",R770="on hold"),B770&lt;&gt;""),1,0)</f>
        <v>19</v>
      </c>
      <c r="AD770">
        <f>N(AD769)+IF(AND(OR(R770="follow-up",R770="Evaluation",R770="tbd",R770="In evaluation"),B770&lt;&gt;""),1,0)</f>
        <v>9</v>
      </c>
    </row>
    <row r="771" ht="15" customHeight="1">
      <c r="I771" s="215" t="n"/>
      <c r="J771" s="215" t="n"/>
      <c r="K771" s="215" t="n"/>
      <c r="L771" s="215" t="n"/>
      <c r="M771" s="215" t="n"/>
      <c r="N771" s="215" t="str">
        <f>IF(ISNUMBER(I771),ROUND(I771-I771/1.081,2),"")</f>
        <v/>
      </c>
      <c r="O771" s="215" t="str">
        <f>IF(ISNUMBER(I771),I771-SUM(J771:N771),"")</f>
        <v/>
      </c>
      <c r="P771" s="216" t="str">
        <f>IFERROR(IF(AND(ISNUMBER(O771),ISNUMBER(I771),I771&lt;&gt;0),O771/I771,""),"")</f>
        <v/>
      </c>
      <c r="Q771" s="215" t="str">
        <f>IF(AND(ISNUMBER(I771),ISNUMBER(S771)),I771*IF(S771&lt;=1,S771,S771/100),IF(OR(I771&lt;&gt;"",S771&lt;&gt;""),"tbd",""))</f>
        <v/>
      </c>
      <c r="S771" s="217" t="n"/>
      <c r="Z771" t="str">
        <f>IF(AND(R771="WON",ISNUMBER(I771)),AA771,"")</f>
        <v/>
      </c>
      <c r="AA771">
        <f>IFERROR(I771*1,0)</f>
        <v>0</v>
      </c>
      <c r="AB771">
        <f>N(AB770)+IF(AND(R771="WON",B771&lt;&gt;""),1,0)</f>
        <v>7</v>
      </c>
      <c r="AC771">
        <f>N(AC770)+IF(AND(OR(R771="offered",R771="to be offered",R771="on hold"),B771&lt;&gt;""),1,0)</f>
        <v>19</v>
      </c>
      <c r="AD771">
        <f>N(AD770)+IF(AND(OR(R771="follow-up",R771="Evaluation",R771="tbd",R771="In evaluation"),B771&lt;&gt;""),1,0)</f>
        <v>9</v>
      </c>
    </row>
    <row r="772" ht="15" customHeight="1">
      <c r="I772" s="215" t="n"/>
      <c r="J772" s="215" t="n"/>
      <c r="K772" s="215" t="n"/>
      <c r="L772" s="215" t="n"/>
      <c r="M772" s="215" t="n"/>
      <c r="N772" s="215" t="str">
        <f>IF(ISNUMBER(I772),ROUND(I772-I772/1.081,2),"")</f>
        <v/>
      </c>
      <c r="O772" s="215" t="str">
        <f>IF(ISNUMBER(I772),I772-SUM(J772:N772),"")</f>
        <v/>
      </c>
      <c r="P772" s="216" t="str">
        <f>IFERROR(IF(AND(ISNUMBER(O772),ISNUMBER(I772),I772&lt;&gt;0),O772/I772,""),"")</f>
        <v/>
      </c>
      <c r="Q772" s="215" t="str">
        <f>IF(AND(ISNUMBER(I772),ISNUMBER(S772)),I772*IF(S772&lt;=1,S772,S772/100),IF(OR(I772&lt;&gt;"",S772&lt;&gt;""),"tbd",""))</f>
        <v/>
      </c>
      <c r="S772" s="217" t="n"/>
      <c r="Z772" t="str">
        <f>IF(AND(R772="WON",ISNUMBER(I772)),AA772,"")</f>
        <v/>
      </c>
      <c r="AA772">
        <f>IFERROR(I772*1,0)</f>
        <v>0</v>
      </c>
      <c r="AB772">
        <f>N(AB771)+IF(AND(R772="WON",B772&lt;&gt;""),1,0)</f>
        <v>7</v>
      </c>
      <c r="AC772">
        <f>N(AC771)+IF(AND(OR(R772="offered",R772="to be offered",R772="on hold"),B772&lt;&gt;""),1,0)</f>
        <v>19</v>
      </c>
      <c r="AD772">
        <f>N(AD771)+IF(AND(OR(R772="follow-up",R772="Evaluation",R772="tbd",R772="In evaluation"),B772&lt;&gt;""),1,0)</f>
        <v>9</v>
      </c>
    </row>
    <row r="773" ht="15" customHeight="1">
      <c r="I773" s="215" t="n"/>
      <c r="J773" s="215" t="n"/>
      <c r="K773" s="215" t="n"/>
      <c r="L773" s="215" t="n"/>
      <c r="M773" s="215" t="n"/>
      <c r="N773" s="215" t="str">
        <f>IF(ISNUMBER(I773),ROUND(I773-I773/1.081,2),"")</f>
        <v/>
      </c>
      <c r="O773" s="215" t="str">
        <f>IF(ISNUMBER(I773),I773-SUM(J773:N773),"")</f>
        <v/>
      </c>
      <c r="P773" s="216" t="str">
        <f>IFERROR(IF(AND(ISNUMBER(O773),ISNUMBER(I773),I773&lt;&gt;0),O773/I773,""),"")</f>
        <v/>
      </c>
      <c r="Q773" s="215" t="str">
        <f>IF(AND(ISNUMBER(I773),ISNUMBER(S773)),I773*IF(S773&lt;=1,S773,S773/100),IF(OR(I773&lt;&gt;"",S773&lt;&gt;""),"tbd",""))</f>
        <v/>
      </c>
      <c r="S773" s="217" t="n"/>
      <c r="Z773" t="str">
        <f>IF(AND(R773="WON",ISNUMBER(I773)),AA773,"")</f>
        <v/>
      </c>
      <c r="AA773">
        <f>IFERROR(I773*1,0)</f>
        <v>0</v>
      </c>
      <c r="AB773">
        <f>N(AB772)+IF(AND(R773="WON",B773&lt;&gt;""),1,0)</f>
        <v>7</v>
      </c>
      <c r="AC773">
        <f>N(AC772)+IF(AND(OR(R773="offered",R773="to be offered",R773="on hold"),B773&lt;&gt;""),1,0)</f>
        <v>19</v>
      </c>
      <c r="AD773">
        <f>N(AD772)+IF(AND(OR(R773="follow-up",R773="Evaluation",R773="tbd",R773="In evaluation"),B773&lt;&gt;""),1,0)</f>
        <v>9</v>
      </c>
    </row>
    <row r="774" ht="15" customHeight="1">
      <c r="I774" s="215" t="n"/>
      <c r="J774" s="215" t="n"/>
      <c r="K774" s="215" t="n"/>
      <c r="L774" s="215" t="n"/>
      <c r="M774" s="215" t="n"/>
      <c r="N774" s="215" t="str">
        <f>IF(ISNUMBER(I774),ROUND(I774-I774/1.081,2),"")</f>
        <v/>
      </c>
      <c r="O774" s="215" t="str">
        <f>IF(ISNUMBER(I774),I774-SUM(J774:N774),"")</f>
        <v/>
      </c>
      <c r="P774" s="216" t="str">
        <f>IFERROR(IF(AND(ISNUMBER(O774),ISNUMBER(I774),I774&lt;&gt;0),O774/I774,""),"")</f>
        <v/>
      </c>
      <c r="Q774" s="215" t="str">
        <f>IF(AND(ISNUMBER(I774),ISNUMBER(S774)),I774*IF(S774&lt;=1,S774,S774/100),IF(OR(I774&lt;&gt;"",S774&lt;&gt;""),"tbd",""))</f>
        <v/>
      </c>
      <c r="S774" s="217" t="n"/>
      <c r="Z774" t="str">
        <f>IF(AND(R774="WON",ISNUMBER(I774)),AA774,"")</f>
        <v/>
      </c>
      <c r="AA774">
        <f>IFERROR(I774*1,0)</f>
        <v>0</v>
      </c>
      <c r="AB774">
        <f>N(AB773)+IF(AND(R774="WON",B774&lt;&gt;""),1,0)</f>
        <v>7</v>
      </c>
      <c r="AC774">
        <f>N(AC773)+IF(AND(OR(R774="offered",R774="to be offered",R774="on hold"),B774&lt;&gt;""),1,0)</f>
        <v>19</v>
      </c>
      <c r="AD774">
        <f>N(AD773)+IF(AND(OR(R774="follow-up",R774="Evaluation",R774="tbd",R774="In evaluation"),B774&lt;&gt;""),1,0)</f>
        <v>9</v>
      </c>
    </row>
    <row r="775" ht="15" customHeight="1">
      <c r="I775" s="215" t="n"/>
      <c r="J775" s="215" t="n"/>
      <c r="K775" s="215" t="n"/>
      <c r="L775" s="215" t="n"/>
      <c r="M775" s="215" t="n"/>
      <c r="N775" s="215" t="str">
        <f>IF(ISNUMBER(I775),ROUND(I775-I775/1.081,2),"")</f>
        <v/>
      </c>
      <c r="O775" s="215" t="str">
        <f>IF(ISNUMBER(I775),I775-SUM(J775:N775),"")</f>
        <v/>
      </c>
      <c r="P775" s="216" t="str">
        <f>IFERROR(IF(AND(ISNUMBER(O775),ISNUMBER(I775),I775&lt;&gt;0),O775/I775,""),"")</f>
        <v/>
      </c>
      <c r="Q775" s="215" t="str">
        <f>IF(AND(ISNUMBER(I775),ISNUMBER(S775)),I775*IF(S775&lt;=1,S775,S775/100),IF(OR(I775&lt;&gt;"",S775&lt;&gt;""),"tbd",""))</f>
        <v/>
      </c>
      <c r="S775" s="217" t="n"/>
      <c r="Z775" t="str">
        <f>IF(AND(R775="WON",ISNUMBER(I775)),AA775,"")</f>
        <v/>
      </c>
      <c r="AA775">
        <f>IFERROR(I775*1,0)</f>
        <v>0</v>
      </c>
      <c r="AB775">
        <f>N(AB774)+IF(AND(R775="WON",B775&lt;&gt;""),1,0)</f>
        <v>7</v>
      </c>
      <c r="AC775">
        <f>N(AC774)+IF(AND(OR(R775="offered",R775="to be offered",R775="on hold"),B775&lt;&gt;""),1,0)</f>
        <v>19</v>
      </c>
      <c r="AD775">
        <f>N(AD774)+IF(AND(OR(R775="follow-up",R775="Evaluation",R775="tbd",R775="In evaluation"),B775&lt;&gt;""),1,0)</f>
        <v>9</v>
      </c>
    </row>
    <row r="776" ht="15" customHeight="1">
      <c r="I776" s="215" t="n"/>
      <c r="J776" s="215" t="n"/>
      <c r="K776" s="215" t="n"/>
      <c r="L776" s="215" t="n"/>
      <c r="M776" s="215" t="n"/>
      <c r="N776" s="215" t="str">
        <f>IF(ISNUMBER(I776),ROUND(I776-I776/1.081,2),"")</f>
        <v/>
      </c>
      <c r="O776" s="215" t="str">
        <f>IF(ISNUMBER(I776),I776-SUM(J776:N776),"")</f>
        <v/>
      </c>
      <c r="P776" s="216" t="str">
        <f>IFERROR(IF(AND(ISNUMBER(O776),ISNUMBER(I776),I776&lt;&gt;0),O776/I776,""),"")</f>
        <v/>
      </c>
      <c r="Q776" s="215" t="str">
        <f>IF(AND(ISNUMBER(I776),ISNUMBER(S776)),I776*IF(S776&lt;=1,S776,S776/100),IF(OR(I776&lt;&gt;"",S776&lt;&gt;""),"tbd",""))</f>
        <v/>
      </c>
      <c r="S776" s="217" t="n"/>
      <c r="Z776" t="str">
        <f>IF(AND(R776="WON",ISNUMBER(I776)),AA776,"")</f>
        <v/>
      </c>
      <c r="AA776">
        <f>IFERROR(I776*1,0)</f>
        <v>0</v>
      </c>
      <c r="AB776">
        <f>N(AB775)+IF(AND(R776="WON",B776&lt;&gt;""),1,0)</f>
        <v>7</v>
      </c>
      <c r="AC776">
        <f>N(AC775)+IF(AND(OR(R776="offered",R776="to be offered",R776="on hold"),B776&lt;&gt;""),1,0)</f>
        <v>19</v>
      </c>
      <c r="AD776">
        <f>N(AD775)+IF(AND(OR(R776="follow-up",R776="Evaluation",R776="tbd",R776="In evaluation"),B776&lt;&gt;""),1,0)</f>
        <v>9</v>
      </c>
    </row>
    <row r="777" ht="15" customHeight="1">
      <c r="I777" s="215" t="n"/>
      <c r="J777" s="215" t="n"/>
      <c r="K777" s="215" t="n"/>
      <c r="L777" s="215" t="n"/>
      <c r="M777" s="215" t="n"/>
      <c r="N777" s="215" t="str">
        <f>IF(ISNUMBER(I777),ROUND(I777-I777/1.081,2),"")</f>
        <v/>
      </c>
      <c r="O777" s="215" t="str">
        <f>IF(ISNUMBER(I777),I777-SUM(J777:N777),"")</f>
        <v/>
      </c>
      <c r="P777" s="216" t="str">
        <f>IFERROR(IF(AND(ISNUMBER(O777),ISNUMBER(I777),I777&lt;&gt;0),O777/I777,""),"")</f>
        <v/>
      </c>
      <c r="Q777" s="215" t="str">
        <f>IF(AND(ISNUMBER(I777),ISNUMBER(S777)),I777*IF(S777&lt;=1,S777,S777/100),IF(OR(I777&lt;&gt;"",S777&lt;&gt;""),"tbd",""))</f>
        <v/>
      </c>
      <c r="S777" s="217" t="n"/>
      <c r="Z777" t="str">
        <f>IF(AND(R777="WON",ISNUMBER(I777)),AA777,"")</f>
        <v/>
      </c>
      <c r="AA777">
        <f>IFERROR(I777*1,0)</f>
        <v>0</v>
      </c>
      <c r="AB777">
        <f>N(AB776)+IF(AND(R777="WON",B777&lt;&gt;""),1,0)</f>
        <v>7</v>
      </c>
      <c r="AC777">
        <f>N(AC776)+IF(AND(OR(R777="offered",R777="to be offered",R777="on hold"),B777&lt;&gt;""),1,0)</f>
        <v>19</v>
      </c>
      <c r="AD777">
        <f>N(AD776)+IF(AND(OR(R777="follow-up",R777="Evaluation",R777="tbd",R777="In evaluation"),B777&lt;&gt;""),1,0)</f>
        <v>9</v>
      </c>
    </row>
    <row r="778" ht="15" customHeight="1">
      <c r="I778" s="215" t="n"/>
      <c r="J778" s="215" t="n"/>
      <c r="K778" s="215" t="n"/>
      <c r="L778" s="215" t="n"/>
      <c r="M778" s="215" t="n"/>
      <c r="N778" s="215" t="str">
        <f>IF(ISNUMBER(I778),ROUND(I778-I778/1.081,2),"")</f>
        <v/>
      </c>
      <c r="O778" s="215" t="str">
        <f>IF(ISNUMBER(I778),I778-SUM(J778:N778),"")</f>
        <v/>
      </c>
      <c r="P778" s="216" t="str">
        <f>IFERROR(IF(AND(ISNUMBER(O778),ISNUMBER(I778),I778&lt;&gt;0),O778/I778,""),"")</f>
        <v/>
      </c>
      <c r="Q778" s="215" t="str">
        <f>IF(AND(ISNUMBER(I778),ISNUMBER(S778)),I778*IF(S778&lt;=1,S778,S778/100),IF(OR(I778&lt;&gt;"",S778&lt;&gt;""),"tbd",""))</f>
        <v/>
      </c>
      <c r="S778" s="217" t="n"/>
      <c r="Z778" t="str">
        <f>IF(AND(R778="WON",ISNUMBER(I778)),AA778,"")</f>
        <v/>
      </c>
      <c r="AA778">
        <f>IFERROR(I778*1,0)</f>
        <v>0</v>
      </c>
      <c r="AB778">
        <f>N(AB777)+IF(AND(R778="WON",B778&lt;&gt;""),1,0)</f>
        <v>7</v>
      </c>
      <c r="AC778">
        <f>N(AC777)+IF(AND(OR(R778="offered",R778="to be offered",R778="on hold"),B778&lt;&gt;""),1,0)</f>
        <v>19</v>
      </c>
      <c r="AD778">
        <f>N(AD777)+IF(AND(OR(R778="follow-up",R778="Evaluation",R778="tbd",R778="In evaluation"),B778&lt;&gt;""),1,0)</f>
        <v>9</v>
      </c>
    </row>
    <row r="779" ht="15" customHeight="1">
      <c r="I779" s="215" t="n"/>
      <c r="J779" s="215" t="n"/>
      <c r="K779" s="215" t="n"/>
      <c r="L779" s="215" t="n"/>
      <c r="M779" s="215" t="n"/>
      <c r="N779" s="215" t="str">
        <f>IF(ISNUMBER(I779),ROUND(I779-I779/1.081,2),"")</f>
        <v/>
      </c>
      <c r="O779" s="215" t="str">
        <f>IF(ISNUMBER(I779),I779-SUM(J779:N779),"")</f>
        <v/>
      </c>
      <c r="P779" s="216" t="str">
        <f>IFERROR(IF(AND(ISNUMBER(O779),ISNUMBER(I779),I779&lt;&gt;0),O779/I779,""),"")</f>
        <v/>
      </c>
      <c r="Q779" s="215" t="str">
        <f>IF(AND(ISNUMBER(I779),ISNUMBER(S779)),I779*IF(S779&lt;=1,S779,S779/100),IF(OR(I779&lt;&gt;"",S779&lt;&gt;""),"tbd",""))</f>
        <v/>
      </c>
      <c r="S779" s="217" t="n"/>
      <c r="Z779" t="str">
        <f>IF(AND(R779="WON",ISNUMBER(I779)),AA779,"")</f>
        <v/>
      </c>
      <c r="AA779">
        <f>IFERROR(I779*1,0)</f>
        <v>0</v>
      </c>
      <c r="AB779">
        <f>N(AB778)+IF(AND(R779="WON",B779&lt;&gt;""),1,0)</f>
        <v>7</v>
      </c>
      <c r="AC779">
        <f>N(AC778)+IF(AND(OR(R779="offered",R779="to be offered",R779="on hold"),B779&lt;&gt;""),1,0)</f>
        <v>19</v>
      </c>
      <c r="AD779">
        <f>N(AD778)+IF(AND(OR(R779="follow-up",R779="Evaluation",R779="tbd",R779="In evaluation"),B779&lt;&gt;""),1,0)</f>
        <v>9</v>
      </c>
    </row>
    <row r="780" ht="15" customHeight="1">
      <c r="I780" s="215" t="n"/>
      <c r="J780" s="215" t="n"/>
      <c r="K780" s="215" t="n"/>
      <c r="L780" s="215" t="n"/>
      <c r="M780" s="215" t="n"/>
      <c r="N780" s="215" t="str">
        <f>IF(ISNUMBER(I780),ROUND(I780-I780/1.081,2),"")</f>
        <v/>
      </c>
      <c r="O780" s="215" t="str">
        <f>IF(ISNUMBER(I780),I780-SUM(J780:N780),"")</f>
        <v/>
      </c>
      <c r="P780" s="216" t="str">
        <f>IFERROR(IF(AND(ISNUMBER(O780),ISNUMBER(I780),I780&lt;&gt;0),O780/I780,""),"")</f>
        <v/>
      </c>
      <c r="Q780" s="215" t="str">
        <f>IF(AND(ISNUMBER(I780),ISNUMBER(S780)),I780*IF(S780&lt;=1,S780,S780/100),IF(OR(I780&lt;&gt;"",S780&lt;&gt;""),"tbd",""))</f>
        <v/>
      </c>
      <c r="S780" s="217" t="n"/>
      <c r="Z780" t="str">
        <f>IF(AND(R780="WON",ISNUMBER(I780)),AA780,"")</f>
        <v/>
      </c>
      <c r="AA780">
        <f>IFERROR(I780*1,0)</f>
        <v>0</v>
      </c>
      <c r="AB780">
        <f>N(AB779)+IF(AND(R780="WON",B780&lt;&gt;""),1,0)</f>
        <v>7</v>
      </c>
      <c r="AC780">
        <f>N(AC779)+IF(AND(OR(R780="offered",R780="to be offered",R780="on hold"),B780&lt;&gt;""),1,0)</f>
        <v>19</v>
      </c>
      <c r="AD780">
        <f>N(AD779)+IF(AND(OR(R780="follow-up",R780="Evaluation",R780="tbd",R780="In evaluation"),B780&lt;&gt;""),1,0)</f>
        <v>9</v>
      </c>
    </row>
    <row r="781" ht="15" customHeight="1">
      <c r="I781" s="215" t="n"/>
      <c r="J781" s="215" t="n"/>
      <c r="K781" s="215" t="n"/>
      <c r="L781" s="215" t="n"/>
      <c r="M781" s="215" t="n"/>
      <c r="N781" s="215" t="str">
        <f>IF(ISNUMBER(I781),ROUND(I781-I781/1.081,2),"")</f>
        <v/>
      </c>
      <c r="O781" s="215" t="str">
        <f>IF(ISNUMBER(I781),I781-SUM(J781:N781),"")</f>
        <v/>
      </c>
      <c r="P781" s="216" t="str">
        <f>IFERROR(IF(AND(ISNUMBER(O781),ISNUMBER(I781),I781&lt;&gt;0),O781/I781,""),"")</f>
        <v/>
      </c>
      <c r="Q781" s="215" t="str">
        <f>IF(AND(ISNUMBER(I781),ISNUMBER(S781)),I781*IF(S781&lt;=1,S781,S781/100),IF(OR(I781&lt;&gt;"",S781&lt;&gt;""),"tbd",""))</f>
        <v/>
      </c>
      <c r="S781" s="217" t="n"/>
      <c r="Z781" t="str">
        <f>IF(AND(R781="WON",ISNUMBER(I781)),AA781,"")</f>
        <v/>
      </c>
      <c r="AA781">
        <f>IFERROR(I781*1,0)</f>
        <v>0</v>
      </c>
      <c r="AB781">
        <f>N(AB780)+IF(AND(R781="WON",B781&lt;&gt;""),1,0)</f>
        <v>7</v>
      </c>
      <c r="AC781">
        <f>N(AC780)+IF(AND(OR(R781="offered",R781="to be offered",R781="on hold"),B781&lt;&gt;""),1,0)</f>
        <v>19</v>
      </c>
      <c r="AD781">
        <f>N(AD780)+IF(AND(OR(R781="follow-up",R781="Evaluation",R781="tbd",R781="In evaluation"),B781&lt;&gt;""),1,0)</f>
        <v>9</v>
      </c>
    </row>
    <row r="782" ht="15" customHeight="1">
      <c r="I782" s="215" t="n"/>
      <c r="J782" s="215" t="n"/>
      <c r="K782" s="215" t="n"/>
      <c r="L782" s="215" t="n"/>
      <c r="M782" s="215" t="n"/>
      <c r="N782" s="215" t="str">
        <f>IF(ISNUMBER(I782),ROUND(I782-I782/1.081,2),"")</f>
        <v/>
      </c>
      <c r="O782" s="215" t="str">
        <f>IF(ISNUMBER(I782),I782-SUM(J782:N782),"")</f>
        <v/>
      </c>
      <c r="P782" s="216" t="str">
        <f>IFERROR(IF(AND(ISNUMBER(O782),ISNUMBER(I782),I782&lt;&gt;0),O782/I782,""),"")</f>
        <v/>
      </c>
      <c r="Q782" s="215" t="str">
        <f>IF(AND(ISNUMBER(I782),ISNUMBER(S782)),I782*IF(S782&lt;=1,S782,S782/100),IF(OR(I782&lt;&gt;"",S782&lt;&gt;""),"tbd",""))</f>
        <v/>
      </c>
      <c r="S782" s="217" t="n"/>
      <c r="Z782" t="str">
        <f>IF(AND(R782="WON",ISNUMBER(I782)),AA782,"")</f>
        <v/>
      </c>
      <c r="AA782">
        <f>IFERROR(I782*1,0)</f>
        <v>0</v>
      </c>
      <c r="AB782">
        <f>N(AB781)+IF(AND(R782="WON",B782&lt;&gt;""),1,0)</f>
        <v>7</v>
      </c>
      <c r="AC782">
        <f>N(AC781)+IF(AND(OR(R782="offered",R782="to be offered",R782="on hold"),B782&lt;&gt;""),1,0)</f>
        <v>19</v>
      </c>
      <c r="AD782">
        <f>N(AD781)+IF(AND(OR(R782="follow-up",R782="Evaluation",R782="tbd",R782="In evaluation"),B782&lt;&gt;""),1,0)</f>
        <v>9</v>
      </c>
    </row>
    <row r="783" ht="15" customHeight="1">
      <c r="I783" s="215" t="n"/>
      <c r="J783" s="215" t="n"/>
      <c r="K783" s="215" t="n"/>
      <c r="L783" s="215" t="n"/>
      <c r="M783" s="215" t="n"/>
      <c r="N783" s="215" t="str">
        <f>IF(ISNUMBER(I783),ROUND(I783-I783/1.081,2),"")</f>
        <v/>
      </c>
      <c r="O783" s="215" t="str">
        <f>IF(ISNUMBER(I783),I783-SUM(J783:N783),"")</f>
        <v/>
      </c>
      <c r="P783" s="216" t="str">
        <f>IFERROR(IF(AND(ISNUMBER(O783),ISNUMBER(I783),I783&lt;&gt;0),O783/I783,""),"")</f>
        <v/>
      </c>
      <c r="Q783" s="215" t="str">
        <f>IF(AND(ISNUMBER(I783),ISNUMBER(S783)),I783*IF(S783&lt;=1,S783,S783/100),IF(OR(I783&lt;&gt;"",S783&lt;&gt;""),"tbd",""))</f>
        <v/>
      </c>
      <c r="S783" s="217" t="n"/>
      <c r="Z783" t="str">
        <f>IF(AND(R783="WON",ISNUMBER(I783)),AA783,"")</f>
        <v/>
      </c>
      <c r="AA783">
        <f>IFERROR(I783*1,0)</f>
        <v>0</v>
      </c>
      <c r="AB783">
        <f>N(AB782)+IF(AND(R783="WON",B783&lt;&gt;""),1,0)</f>
        <v>7</v>
      </c>
      <c r="AC783">
        <f>N(AC782)+IF(AND(OR(R783="offered",R783="to be offered",R783="on hold"),B783&lt;&gt;""),1,0)</f>
        <v>19</v>
      </c>
      <c r="AD783">
        <f>N(AD782)+IF(AND(OR(R783="follow-up",R783="Evaluation",R783="tbd",R783="In evaluation"),B783&lt;&gt;""),1,0)</f>
        <v>9</v>
      </c>
    </row>
    <row r="784" ht="15" customHeight="1">
      <c r="I784" s="215" t="n"/>
      <c r="J784" s="215" t="n"/>
      <c r="K784" s="215" t="n"/>
      <c r="L784" s="215" t="n"/>
      <c r="M784" s="215" t="n"/>
      <c r="N784" s="215" t="str">
        <f>IF(ISNUMBER(I784),ROUND(I784-I784/1.081,2),"")</f>
        <v/>
      </c>
      <c r="O784" s="215" t="str">
        <f>IF(ISNUMBER(I784),I784-SUM(J784:N784),"")</f>
        <v/>
      </c>
      <c r="P784" s="216" t="str">
        <f>IFERROR(IF(AND(ISNUMBER(O784),ISNUMBER(I784),I784&lt;&gt;0),O784/I784,""),"")</f>
        <v/>
      </c>
      <c r="Q784" s="215" t="str">
        <f>IF(AND(ISNUMBER(I784),ISNUMBER(S784)),I784*IF(S784&lt;=1,S784,S784/100),IF(OR(I784&lt;&gt;"",S784&lt;&gt;""),"tbd",""))</f>
        <v/>
      </c>
      <c r="S784" s="217" t="n"/>
      <c r="Z784" t="str">
        <f>IF(AND(R784="WON",ISNUMBER(I784)),AA784,"")</f>
        <v/>
      </c>
      <c r="AA784">
        <f>IFERROR(I784*1,0)</f>
        <v>0</v>
      </c>
      <c r="AB784">
        <f>N(AB783)+IF(AND(R784="WON",B784&lt;&gt;""),1,0)</f>
        <v>7</v>
      </c>
      <c r="AC784">
        <f>N(AC783)+IF(AND(OR(R784="offered",R784="to be offered",R784="on hold"),B784&lt;&gt;""),1,0)</f>
        <v>19</v>
      </c>
      <c r="AD784">
        <f>N(AD783)+IF(AND(OR(R784="follow-up",R784="Evaluation",R784="tbd",R784="In evaluation"),B784&lt;&gt;""),1,0)</f>
        <v>9</v>
      </c>
    </row>
    <row r="785" ht="15" customHeight="1">
      <c r="I785" s="215" t="n"/>
      <c r="J785" s="215" t="n"/>
      <c r="K785" s="215" t="n"/>
      <c r="L785" s="215" t="n"/>
      <c r="M785" s="215" t="n"/>
      <c r="N785" s="215" t="str">
        <f>IF(ISNUMBER(I785),ROUND(I785-I785/1.081,2),"")</f>
        <v/>
      </c>
      <c r="O785" s="215" t="str">
        <f>IF(ISNUMBER(I785),I785-SUM(J785:N785),"")</f>
        <v/>
      </c>
      <c r="P785" s="216" t="str">
        <f>IFERROR(IF(AND(ISNUMBER(O785),ISNUMBER(I785),I785&lt;&gt;0),O785/I785,""),"")</f>
        <v/>
      </c>
      <c r="Q785" s="215" t="str">
        <f>IF(AND(ISNUMBER(I785),ISNUMBER(S785)),I785*IF(S785&lt;=1,S785,S785/100),IF(OR(I785&lt;&gt;"",S785&lt;&gt;""),"tbd",""))</f>
        <v/>
      </c>
      <c r="S785" s="217" t="n"/>
      <c r="Z785" t="str">
        <f>IF(AND(R785="WON",ISNUMBER(I785)),AA785,"")</f>
        <v/>
      </c>
      <c r="AA785">
        <f>IFERROR(I785*1,0)</f>
        <v>0</v>
      </c>
      <c r="AB785">
        <f>N(AB784)+IF(AND(R785="WON",B785&lt;&gt;""),1,0)</f>
        <v>7</v>
      </c>
      <c r="AC785">
        <f>N(AC784)+IF(AND(OR(R785="offered",R785="to be offered",R785="on hold"),B785&lt;&gt;""),1,0)</f>
        <v>19</v>
      </c>
      <c r="AD785">
        <f>N(AD784)+IF(AND(OR(R785="follow-up",R785="Evaluation",R785="tbd",R785="In evaluation"),B785&lt;&gt;""),1,0)</f>
        <v>9</v>
      </c>
    </row>
    <row r="786" ht="15" customHeight="1">
      <c r="I786" s="215" t="n"/>
      <c r="J786" s="215" t="n"/>
      <c r="K786" s="215" t="n"/>
      <c r="L786" s="215" t="n"/>
      <c r="M786" s="215" t="n"/>
      <c r="N786" s="215" t="str">
        <f>IF(ISNUMBER(I786),ROUND(I786-I786/1.081,2),"")</f>
        <v/>
      </c>
      <c r="O786" s="215" t="str">
        <f>IF(ISNUMBER(I786),I786-SUM(J786:N786),"")</f>
        <v/>
      </c>
      <c r="P786" s="216" t="str">
        <f>IFERROR(IF(AND(ISNUMBER(O786),ISNUMBER(I786),I786&lt;&gt;0),O786/I786,""),"")</f>
        <v/>
      </c>
      <c r="Q786" s="215" t="str">
        <f>IF(AND(ISNUMBER(I786),ISNUMBER(S786)),I786*IF(S786&lt;=1,S786,S786/100),IF(OR(I786&lt;&gt;"",S786&lt;&gt;""),"tbd",""))</f>
        <v/>
      </c>
      <c r="S786" s="217" t="n"/>
      <c r="Z786" t="str">
        <f>IF(AND(R786="WON",ISNUMBER(I786)),AA786,"")</f>
        <v/>
      </c>
      <c r="AA786">
        <f>IFERROR(I786*1,0)</f>
        <v>0</v>
      </c>
      <c r="AB786">
        <f>N(AB785)+IF(AND(R786="WON",B786&lt;&gt;""),1,0)</f>
        <v>7</v>
      </c>
      <c r="AC786">
        <f>N(AC785)+IF(AND(OR(R786="offered",R786="to be offered",R786="on hold"),B786&lt;&gt;""),1,0)</f>
        <v>19</v>
      </c>
      <c r="AD786">
        <f>N(AD785)+IF(AND(OR(R786="follow-up",R786="Evaluation",R786="tbd",R786="In evaluation"),B786&lt;&gt;""),1,0)</f>
        <v>9</v>
      </c>
    </row>
    <row r="787" ht="15" customHeight="1">
      <c r="I787" s="215" t="n"/>
      <c r="J787" s="215" t="n"/>
      <c r="K787" s="215" t="n"/>
      <c r="L787" s="215" t="n"/>
      <c r="M787" s="215" t="n"/>
      <c r="N787" s="215" t="str">
        <f>IF(ISNUMBER(I787),ROUND(I787-I787/1.081,2),"")</f>
        <v/>
      </c>
      <c r="O787" s="215" t="str">
        <f>IF(ISNUMBER(I787),I787-SUM(J787:N787),"")</f>
        <v/>
      </c>
      <c r="P787" s="216" t="str">
        <f>IFERROR(IF(AND(ISNUMBER(O787),ISNUMBER(I787),I787&lt;&gt;0),O787/I787,""),"")</f>
        <v/>
      </c>
      <c r="Q787" s="215" t="str">
        <f>IF(AND(ISNUMBER(I787),ISNUMBER(S787)),I787*IF(S787&lt;=1,S787,S787/100),IF(OR(I787&lt;&gt;"",S787&lt;&gt;""),"tbd",""))</f>
        <v/>
      </c>
      <c r="S787" s="217" t="n"/>
      <c r="Z787" t="str">
        <f>IF(AND(R787="WON",ISNUMBER(I787)),AA787,"")</f>
        <v/>
      </c>
      <c r="AA787">
        <f>IFERROR(I787*1,0)</f>
        <v>0</v>
      </c>
      <c r="AB787">
        <f>N(AB786)+IF(AND(R787="WON",B787&lt;&gt;""),1,0)</f>
        <v>7</v>
      </c>
      <c r="AC787">
        <f>N(AC786)+IF(AND(OR(R787="offered",R787="to be offered",R787="on hold"),B787&lt;&gt;""),1,0)</f>
        <v>19</v>
      </c>
      <c r="AD787">
        <f>N(AD786)+IF(AND(OR(R787="follow-up",R787="Evaluation",R787="tbd",R787="In evaluation"),B787&lt;&gt;""),1,0)</f>
        <v>9</v>
      </c>
    </row>
    <row r="788" ht="15" customHeight="1">
      <c r="I788" s="215" t="n"/>
      <c r="J788" s="215" t="n"/>
      <c r="K788" s="215" t="n"/>
      <c r="L788" s="215" t="n"/>
      <c r="M788" s="215" t="n"/>
      <c r="N788" s="215" t="str">
        <f>IF(ISNUMBER(I788),ROUND(I788-I788/1.081,2),"")</f>
        <v/>
      </c>
      <c r="O788" s="215" t="str">
        <f>IF(ISNUMBER(I788),I788-SUM(J788:N788),"")</f>
        <v/>
      </c>
      <c r="P788" s="216" t="str">
        <f>IFERROR(IF(AND(ISNUMBER(O788),ISNUMBER(I788),I788&lt;&gt;0),O788/I788,""),"")</f>
        <v/>
      </c>
      <c r="Q788" s="215" t="str">
        <f>IF(AND(ISNUMBER(I788),ISNUMBER(S788)),I788*IF(S788&lt;=1,S788,S788/100),IF(OR(I788&lt;&gt;"",S788&lt;&gt;""),"tbd",""))</f>
        <v/>
      </c>
      <c r="S788" s="217" t="n"/>
      <c r="Z788" t="str">
        <f>IF(AND(R788="WON",ISNUMBER(I788)),AA788,"")</f>
        <v/>
      </c>
      <c r="AA788">
        <f>IFERROR(I788*1,0)</f>
        <v>0</v>
      </c>
      <c r="AB788">
        <f>N(AB787)+IF(AND(R788="WON",B788&lt;&gt;""),1,0)</f>
        <v>7</v>
      </c>
      <c r="AC788">
        <f>N(AC787)+IF(AND(OR(R788="offered",R788="to be offered",R788="on hold"),B788&lt;&gt;""),1,0)</f>
        <v>19</v>
      </c>
      <c r="AD788">
        <f>N(AD787)+IF(AND(OR(R788="follow-up",R788="Evaluation",R788="tbd",R788="In evaluation"),B788&lt;&gt;""),1,0)</f>
        <v>9</v>
      </c>
    </row>
    <row r="789" ht="15" customHeight="1">
      <c r="I789" s="215" t="n"/>
      <c r="J789" s="215" t="n"/>
      <c r="K789" s="215" t="n"/>
      <c r="L789" s="215" t="n"/>
      <c r="M789" s="215" t="n"/>
      <c r="N789" s="215" t="str">
        <f>IF(ISNUMBER(I789),ROUND(I789-I789/1.081,2),"")</f>
        <v/>
      </c>
      <c r="O789" s="215" t="str">
        <f>IF(ISNUMBER(I789),I789-SUM(J789:N789),"")</f>
        <v/>
      </c>
      <c r="P789" s="216" t="str">
        <f>IFERROR(IF(AND(ISNUMBER(O789),ISNUMBER(I789),I789&lt;&gt;0),O789/I789,""),"")</f>
        <v/>
      </c>
      <c r="Q789" s="215" t="str">
        <f>IF(AND(ISNUMBER(I789),ISNUMBER(S789)),I789*IF(S789&lt;=1,S789,S789/100),IF(OR(I789&lt;&gt;"",S789&lt;&gt;""),"tbd",""))</f>
        <v/>
      </c>
      <c r="S789" s="217" t="n"/>
      <c r="Z789" t="str">
        <f>IF(AND(R789="WON",ISNUMBER(I789)),AA789,"")</f>
        <v/>
      </c>
      <c r="AA789">
        <f>IFERROR(I789*1,0)</f>
        <v>0</v>
      </c>
      <c r="AB789">
        <f>N(AB788)+IF(AND(R789="WON",B789&lt;&gt;""),1,0)</f>
        <v>7</v>
      </c>
      <c r="AC789">
        <f>N(AC788)+IF(AND(OR(R789="offered",R789="to be offered",R789="on hold"),B789&lt;&gt;""),1,0)</f>
        <v>19</v>
      </c>
      <c r="AD789">
        <f>N(AD788)+IF(AND(OR(R789="follow-up",R789="Evaluation",R789="tbd",R789="In evaluation"),B789&lt;&gt;""),1,0)</f>
        <v>9</v>
      </c>
    </row>
    <row r="790" ht="15" customHeight="1">
      <c r="I790" s="215" t="n"/>
      <c r="J790" s="215" t="n"/>
      <c r="K790" s="215" t="n"/>
      <c r="L790" s="215" t="n"/>
      <c r="M790" s="215" t="n"/>
      <c r="N790" s="215" t="str">
        <f>IF(ISNUMBER(I790),ROUND(I790-I790/1.081,2),"")</f>
        <v/>
      </c>
      <c r="O790" s="215" t="str">
        <f>IF(ISNUMBER(I790),I790-SUM(J790:N790),"")</f>
        <v/>
      </c>
      <c r="P790" s="216" t="str">
        <f>IFERROR(IF(AND(ISNUMBER(O790),ISNUMBER(I790),I790&lt;&gt;0),O790/I790,""),"")</f>
        <v/>
      </c>
      <c r="Q790" s="215" t="str">
        <f>IF(AND(ISNUMBER(I790),ISNUMBER(S790)),I790*IF(S790&lt;=1,S790,S790/100),IF(OR(I790&lt;&gt;"",S790&lt;&gt;""),"tbd",""))</f>
        <v/>
      </c>
      <c r="S790" s="217" t="n"/>
      <c r="Z790" t="str">
        <f>IF(AND(R790="WON",ISNUMBER(I790)),AA790,"")</f>
        <v/>
      </c>
      <c r="AA790">
        <f>IFERROR(I790*1,0)</f>
        <v>0</v>
      </c>
      <c r="AB790">
        <f>N(AB789)+IF(AND(R790="WON",B790&lt;&gt;""),1,0)</f>
        <v>7</v>
      </c>
      <c r="AC790">
        <f>N(AC789)+IF(AND(OR(R790="offered",R790="to be offered",R790="on hold"),B790&lt;&gt;""),1,0)</f>
        <v>19</v>
      </c>
      <c r="AD790">
        <f>N(AD789)+IF(AND(OR(R790="follow-up",R790="Evaluation",R790="tbd",R790="In evaluation"),B790&lt;&gt;""),1,0)</f>
        <v>9</v>
      </c>
    </row>
    <row r="791" ht="15" customHeight="1">
      <c r="I791" s="215" t="n"/>
      <c r="J791" s="215" t="n"/>
      <c r="K791" s="215" t="n"/>
      <c r="L791" s="215" t="n"/>
      <c r="M791" s="215" t="n"/>
      <c r="N791" s="215" t="str">
        <f>IF(ISNUMBER(I791),ROUND(I791-I791/1.081,2),"")</f>
        <v/>
      </c>
      <c r="O791" s="215" t="str">
        <f>IF(ISNUMBER(I791),I791-SUM(J791:N791),"")</f>
        <v/>
      </c>
      <c r="P791" s="216" t="str">
        <f>IFERROR(IF(AND(ISNUMBER(O791),ISNUMBER(I791),I791&lt;&gt;0),O791/I791,""),"")</f>
        <v/>
      </c>
      <c r="Q791" s="215" t="str">
        <f>IF(AND(ISNUMBER(I791),ISNUMBER(S791)),I791*IF(S791&lt;=1,S791,S791/100),IF(OR(I791&lt;&gt;"",S791&lt;&gt;""),"tbd",""))</f>
        <v/>
      </c>
      <c r="S791" s="217" t="n"/>
      <c r="Z791" t="str">
        <f>IF(AND(R791="WON",ISNUMBER(I791)),AA791,"")</f>
        <v/>
      </c>
      <c r="AA791">
        <f>IFERROR(I791*1,0)</f>
        <v>0</v>
      </c>
      <c r="AB791">
        <f>N(AB790)+IF(AND(R791="WON",B791&lt;&gt;""),1,0)</f>
        <v>7</v>
      </c>
      <c r="AC791">
        <f>N(AC790)+IF(AND(OR(R791="offered",R791="to be offered",R791="on hold"),B791&lt;&gt;""),1,0)</f>
        <v>19</v>
      </c>
      <c r="AD791">
        <f>N(AD790)+IF(AND(OR(R791="follow-up",R791="Evaluation",R791="tbd",R791="In evaluation"),B791&lt;&gt;""),1,0)</f>
        <v>9</v>
      </c>
    </row>
    <row r="792" ht="15" customHeight="1">
      <c r="I792" s="215" t="n"/>
      <c r="J792" s="215" t="n"/>
      <c r="K792" s="215" t="n"/>
      <c r="L792" s="215" t="n"/>
      <c r="M792" s="215" t="n"/>
      <c r="N792" s="215" t="str">
        <f>IF(ISNUMBER(I792),ROUND(I792-I792/1.081,2),"")</f>
        <v/>
      </c>
      <c r="O792" s="215" t="str">
        <f>IF(ISNUMBER(I792),I792-SUM(J792:N792),"")</f>
        <v/>
      </c>
      <c r="P792" s="216" t="str">
        <f>IFERROR(IF(AND(ISNUMBER(O792),ISNUMBER(I792),I792&lt;&gt;0),O792/I792,""),"")</f>
        <v/>
      </c>
      <c r="Q792" s="215" t="str">
        <f>IF(AND(ISNUMBER(I792),ISNUMBER(S792)),I792*IF(S792&lt;=1,S792,S792/100),IF(OR(I792&lt;&gt;"",S792&lt;&gt;""),"tbd",""))</f>
        <v/>
      </c>
      <c r="S792" s="217" t="n"/>
      <c r="Z792" t="str">
        <f>IF(AND(R792="WON",ISNUMBER(I792)),AA792,"")</f>
        <v/>
      </c>
      <c r="AA792">
        <f>IFERROR(I792*1,0)</f>
        <v>0</v>
      </c>
      <c r="AB792">
        <f>N(AB791)+IF(AND(R792="WON",B792&lt;&gt;""),1,0)</f>
        <v>7</v>
      </c>
      <c r="AC792">
        <f>N(AC791)+IF(AND(OR(R792="offered",R792="to be offered",R792="on hold"),B792&lt;&gt;""),1,0)</f>
        <v>19</v>
      </c>
      <c r="AD792">
        <f>N(AD791)+IF(AND(OR(R792="follow-up",R792="Evaluation",R792="tbd",R792="In evaluation"),B792&lt;&gt;""),1,0)</f>
        <v>9</v>
      </c>
    </row>
    <row r="793" ht="15" customHeight="1">
      <c r="I793" s="215" t="n"/>
      <c r="J793" s="215" t="n"/>
      <c r="K793" s="215" t="n"/>
      <c r="L793" s="215" t="n"/>
      <c r="M793" s="215" t="n"/>
      <c r="N793" s="215" t="str">
        <f>IF(ISNUMBER(I793),ROUND(I793-I793/1.081,2),"")</f>
        <v/>
      </c>
      <c r="O793" s="215" t="str">
        <f>IF(ISNUMBER(I793),I793-SUM(J793:N793),"")</f>
        <v/>
      </c>
      <c r="P793" s="216" t="str">
        <f>IFERROR(IF(AND(ISNUMBER(O793),ISNUMBER(I793),I793&lt;&gt;0),O793/I793,""),"")</f>
        <v/>
      </c>
      <c r="Q793" s="215" t="str">
        <f>IF(AND(ISNUMBER(I793),ISNUMBER(S793)),I793*IF(S793&lt;=1,S793,S793/100),IF(OR(I793&lt;&gt;"",S793&lt;&gt;""),"tbd",""))</f>
        <v/>
      </c>
      <c r="S793" s="217" t="n"/>
      <c r="Z793" t="str">
        <f>IF(AND(R793="WON",ISNUMBER(I793)),AA793,"")</f>
        <v/>
      </c>
      <c r="AA793">
        <f>IFERROR(I793*1,0)</f>
        <v>0</v>
      </c>
      <c r="AB793">
        <f>N(AB792)+IF(AND(R793="WON",B793&lt;&gt;""),1,0)</f>
        <v>7</v>
      </c>
      <c r="AC793">
        <f>N(AC792)+IF(AND(OR(R793="offered",R793="to be offered",R793="on hold"),B793&lt;&gt;""),1,0)</f>
        <v>19</v>
      </c>
      <c r="AD793">
        <f>N(AD792)+IF(AND(OR(R793="follow-up",R793="Evaluation",R793="tbd",R793="In evaluation"),B793&lt;&gt;""),1,0)</f>
        <v>9</v>
      </c>
    </row>
    <row r="794" ht="15" customHeight="1">
      <c r="I794" s="215" t="n"/>
      <c r="J794" s="215" t="n"/>
      <c r="K794" s="215" t="n"/>
      <c r="L794" s="215" t="n"/>
      <c r="M794" s="215" t="n"/>
      <c r="N794" s="215" t="str">
        <f>IF(ISNUMBER(I794),ROUND(I794-I794/1.081,2),"")</f>
        <v/>
      </c>
      <c r="O794" s="215" t="str">
        <f>IF(ISNUMBER(I794),I794-SUM(J794:N794),"")</f>
        <v/>
      </c>
      <c r="P794" s="216" t="str">
        <f>IFERROR(IF(AND(ISNUMBER(O794),ISNUMBER(I794),I794&lt;&gt;0),O794/I794,""),"")</f>
        <v/>
      </c>
      <c r="Q794" s="215" t="str">
        <f>IF(AND(ISNUMBER(I794),ISNUMBER(S794)),I794*IF(S794&lt;=1,S794,S794/100),IF(OR(I794&lt;&gt;"",S794&lt;&gt;""),"tbd",""))</f>
        <v/>
      </c>
      <c r="S794" s="217" t="n"/>
      <c r="Z794" t="str">
        <f>IF(AND(R794="WON",ISNUMBER(I794)),AA794,"")</f>
        <v/>
      </c>
      <c r="AA794">
        <f>IFERROR(I794*1,0)</f>
        <v>0</v>
      </c>
      <c r="AB794">
        <f>N(AB793)+IF(AND(R794="WON",B794&lt;&gt;""),1,0)</f>
        <v>7</v>
      </c>
      <c r="AC794">
        <f>N(AC793)+IF(AND(OR(R794="offered",R794="to be offered",R794="on hold"),B794&lt;&gt;""),1,0)</f>
        <v>19</v>
      </c>
      <c r="AD794">
        <f>N(AD793)+IF(AND(OR(R794="follow-up",R794="Evaluation",R794="tbd",R794="In evaluation"),B794&lt;&gt;""),1,0)</f>
        <v>9</v>
      </c>
    </row>
    <row r="795" ht="15" customHeight="1">
      <c r="I795" s="215" t="n"/>
      <c r="J795" s="215" t="n"/>
      <c r="K795" s="215" t="n"/>
      <c r="L795" s="215" t="n"/>
      <c r="M795" s="215" t="n"/>
      <c r="N795" s="215" t="str">
        <f>IF(ISNUMBER(I795),ROUND(I795-I795/1.081,2),"")</f>
        <v/>
      </c>
      <c r="O795" s="215" t="str">
        <f>IF(ISNUMBER(I795),I795-SUM(J795:N795),"")</f>
        <v/>
      </c>
      <c r="P795" s="216" t="str">
        <f>IFERROR(IF(AND(ISNUMBER(O795),ISNUMBER(I795),I795&lt;&gt;0),O795/I795,""),"")</f>
        <v/>
      </c>
      <c r="Q795" s="215" t="str">
        <f>IF(AND(ISNUMBER(I795),ISNUMBER(S795)),I795*IF(S795&lt;=1,S795,S795/100),IF(OR(I795&lt;&gt;"",S795&lt;&gt;""),"tbd",""))</f>
        <v/>
      </c>
      <c r="S795" s="217" t="n"/>
      <c r="Z795" t="str">
        <f>IF(AND(R795="WON",ISNUMBER(I795)),AA795,"")</f>
        <v/>
      </c>
      <c r="AA795">
        <f>IFERROR(I795*1,0)</f>
        <v>0</v>
      </c>
      <c r="AB795">
        <f>N(AB794)+IF(AND(R795="WON",B795&lt;&gt;""),1,0)</f>
        <v>7</v>
      </c>
      <c r="AC795">
        <f>N(AC794)+IF(AND(OR(R795="offered",R795="to be offered",R795="on hold"),B795&lt;&gt;""),1,0)</f>
        <v>19</v>
      </c>
      <c r="AD795">
        <f>N(AD794)+IF(AND(OR(R795="follow-up",R795="Evaluation",R795="tbd",R795="In evaluation"),B795&lt;&gt;""),1,0)</f>
        <v>9</v>
      </c>
    </row>
    <row r="796" ht="15" customHeight="1">
      <c r="I796" s="215" t="n"/>
      <c r="J796" s="215" t="n"/>
      <c r="K796" s="215" t="n"/>
      <c r="L796" s="215" t="n"/>
      <c r="M796" s="215" t="n"/>
      <c r="N796" s="215" t="str">
        <f>IF(ISNUMBER(I796),ROUND(I796-I796/1.081,2),"")</f>
        <v/>
      </c>
      <c r="O796" s="215" t="str">
        <f>IF(ISNUMBER(I796),I796-SUM(J796:N796),"")</f>
        <v/>
      </c>
      <c r="P796" s="216" t="str">
        <f>IFERROR(IF(AND(ISNUMBER(O796),ISNUMBER(I796),I796&lt;&gt;0),O796/I796,""),"")</f>
        <v/>
      </c>
      <c r="Q796" s="215" t="str">
        <f>IF(AND(ISNUMBER(I796),ISNUMBER(S796)),I796*IF(S796&lt;=1,S796,S796/100),IF(OR(I796&lt;&gt;"",S796&lt;&gt;""),"tbd",""))</f>
        <v/>
      </c>
      <c r="S796" s="217" t="n"/>
      <c r="Z796" t="str">
        <f>IF(AND(R796="WON",ISNUMBER(I796)),AA796,"")</f>
        <v/>
      </c>
      <c r="AA796">
        <f>IFERROR(I796*1,0)</f>
        <v>0</v>
      </c>
      <c r="AB796">
        <f>N(AB795)+IF(AND(R796="WON",B796&lt;&gt;""),1,0)</f>
        <v>7</v>
      </c>
      <c r="AC796">
        <f>N(AC795)+IF(AND(OR(R796="offered",R796="to be offered",R796="on hold"),B796&lt;&gt;""),1,0)</f>
        <v>19</v>
      </c>
      <c r="AD796">
        <f>N(AD795)+IF(AND(OR(R796="follow-up",R796="Evaluation",R796="tbd",R796="In evaluation"),B796&lt;&gt;""),1,0)</f>
        <v>9</v>
      </c>
    </row>
    <row r="797" ht="15" customHeight="1">
      <c r="I797" s="215" t="n"/>
      <c r="J797" s="215" t="n"/>
      <c r="K797" s="215" t="n"/>
      <c r="L797" s="215" t="n"/>
      <c r="M797" s="215" t="n"/>
      <c r="N797" s="215" t="str">
        <f>IF(ISNUMBER(I797),ROUND(I797-I797/1.081,2),"")</f>
        <v/>
      </c>
      <c r="O797" s="215" t="str">
        <f>IF(ISNUMBER(I797),I797-SUM(J797:N797),"")</f>
        <v/>
      </c>
      <c r="P797" s="216" t="str">
        <f>IFERROR(IF(AND(ISNUMBER(O797),ISNUMBER(I797),I797&lt;&gt;0),O797/I797,""),"")</f>
        <v/>
      </c>
      <c r="Q797" s="215" t="str">
        <f>IF(AND(ISNUMBER(I797),ISNUMBER(S797)),I797*IF(S797&lt;=1,S797,S797/100),IF(OR(I797&lt;&gt;"",S797&lt;&gt;""),"tbd",""))</f>
        <v/>
      </c>
      <c r="S797" s="217" t="n"/>
      <c r="Z797" t="str">
        <f>IF(AND(R797="WON",ISNUMBER(I797)),AA797,"")</f>
        <v/>
      </c>
      <c r="AA797">
        <f>IFERROR(I797*1,0)</f>
        <v>0</v>
      </c>
      <c r="AB797">
        <f>N(AB796)+IF(AND(R797="WON",B797&lt;&gt;""),1,0)</f>
        <v>7</v>
      </c>
      <c r="AC797">
        <f>N(AC796)+IF(AND(OR(R797="offered",R797="to be offered",R797="on hold"),B797&lt;&gt;""),1,0)</f>
        <v>19</v>
      </c>
      <c r="AD797">
        <f>N(AD796)+IF(AND(OR(R797="follow-up",R797="Evaluation",R797="tbd",R797="In evaluation"),B797&lt;&gt;""),1,0)</f>
        <v>9</v>
      </c>
    </row>
    <row r="798" ht="15" customHeight="1">
      <c r="I798" s="215" t="n"/>
      <c r="J798" s="215" t="n"/>
      <c r="K798" s="215" t="n"/>
      <c r="L798" s="215" t="n"/>
      <c r="M798" s="215" t="n"/>
      <c r="N798" s="215" t="str">
        <f>IF(ISNUMBER(I798),ROUND(I798-I798/1.081,2),"")</f>
        <v/>
      </c>
      <c r="O798" s="215" t="str">
        <f>IF(ISNUMBER(I798),I798-SUM(J798:N798),"")</f>
        <v/>
      </c>
      <c r="P798" s="216" t="str">
        <f>IFERROR(IF(AND(ISNUMBER(O798),ISNUMBER(I798),I798&lt;&gt;0),O798/I798,""),"")</f>
        <v/>
      </c>
      <c r="Q798" s="215" t="str">
        <f>IF(AND(ISNUMBER(I798),ISNUMBER(S798)),I798*IF(S798&lt;=1,S798,S798/100),IF(OR(I798&lt;&gt;"",S798&lt;&gt;""),"tbd",""))</f>
        <v/>
      </c>
      <c r="S798" s="217" t="n"/>
      <c r="Z798" t="str">
        <f>IF(AND(R798="WON",ISNUMBER(I798)),AA798,"")</f>
        <v/>
      </c>
      <c r="AA798">
        <f>IFERROR(I798*1,0)</f>
        <v>0</v>
      </c>
      <c r="AB798">
        <f>N(AB797)+IF(AND(R798="WON",B798&lt;&gt;""),1,0)</f>
        <v>7</v>
      </c>
      <c r="AC798">
        <f>N(AC797)+IF(AND(OR(R798="offered",R798="to be offered",R798="on hold"),B798&lt;&gt;""),1,0)</f>
        <v>19</v>
      </c>
      <c r="AD798">
        <f>N(AD797)+IF(AND(OR(R798="follow-up",R798="Evaluation",R798="tbd",R798="In evaluation"),B798&lt;&gt;""),1,0)</f>
        <v>9</v>
      </c>
    </row>
    <row r="799" ht="15" customHeight="1">
      <c r="I799" s="215" t="n"/>
      <c r="J799" s="215" t="n"/>
      <c r="K799" s="215" t="n"/>
      <c r="L799" s="215" t="n"/>
      <c r="M799" s="215" t="n"/>
      <c r="N799" s="215" t="str">
        <f>IF(ISNUMBER(I799),ROUND(I799-I799/1.081,2),"")</f>
        <v/>
      </c>
      <c r="O799" s="215" t="str">
        <f>IF(ISNUMBER(I799),I799-SUM(J799:N799),"")</f>
        <v/>
      </c>
      <c r="P799" s="216" t="str">
        <f>IFERROR(IF(AND(ISNUMBER(O799),ISNUMBER(I799),I799&lt;&gt;0),O799/I799,""),"")</f>
        <v/>
      </c>
      <c r="Q799" s="215" t="str">
        <f>IF(AND(ISNUMBER(I799),ISNUMBER(S799)),I799*IF(S799&lt;=1,S799,S799/100),IF(OR(I799&lt;&gt;"",S799&lt;&gt;""),"tbd",""))</f>
        <v/>
      </c>
      <c r="S799" s="217" t="n"/>
      <c r="Z799" t="str">
        <f>IF(AND(R799="WON",ISNUMBER(I799)),AA799,"")</f>
        <v/>
      </c>
      <c r="AA799">
        <f>IFERROR(I799*1,0)</f>
        <v>0</v>
      </c>
      <c r="AB799">
        <f>N(AB798)+IF(AND(R799="WON",B799&lt;&gt;""),1,0)</f>
        <v>7</v>
      </c>
      <c r="AC799">
        <f>N(AC798)+IF(AND(OR(R799="offered",R799="to be offered",R799="on hold"),B799&lt;&gt;""),1,0)</f>
        <v>19</v>
      </c>
      <c r="AD799">
        <f>N(AD798)+IF(AND(OR(R799="follow-up",R799="Evaluation",R799="tbd",R799="In evaluation"),B799&lt;&gt;""),1,0)</f>
        <v>9</v>
      </c>
    </row>
    <row r="800" ht="15" customHeight="1">
      <c r="I800" s="215" t="n"/>
      <c r="J800" s="215" t="n"/>
      <c r="K800" s="215" t="n"/>
      <c r="L800" s="215" t="n"/>
      <c r="M800" s="215" t="n"/>
      <c r="N800" s="215" t="str">
        <f>IF(ISNUMBER(I800),ROUND(I800-I800/1.081,2),"")</f>
        <v/>
      </c>
      <c r="O800" s="215" t="str">
        <f>IF(ISNUMBER(I800),I800-SUM(J800:N800),"")</f>
        <v/>
      </c>
      <c r="P800" s="216" t="str">
        <f>IFERROR(IF(AND(ISNUMBER(O800),ISNUMBER(I800),I800&lt;&gt;0),O800/I800,""),"")</f>
        <v/>
      </c>
      <c r="Q800" s="215" t="str">
        <f>IF(AND(ISNUMBER(I800),ISNUMBER(S800)),I800*IF(S800&lt;=1,S800,S800/100),IF(OR(I800&lt;&gt;"",S800&lt;&gt;""),"tbd",""))</f>
        <v/>
      </c>
      <c r="S800" s="217" t="n"/>
      <c r="Z800" t="str">
        <f>IF(AND(R800="WON",ISNUMBER(I800)),AA800,"")</f>
        <v/>
      </c>
      <c r="AA800">
        <f>IFERROR(I800*1,0)</f>
        <v>0</v>
      </c>
      <c r="AB800">
        <f>N(AB799)+IF(AND(R800="WON",B800&lt;&gt;""),1,0)</f>
        <v>7</v>
      </c>
      <c r="AC800">
        <f>N(AC799)+IF(AND(OR(R800="offered",R800="to be offered",R800="on hold"),B800&lt;&gt;""),1,0)</f>
        <v>19</v>
      </c>
      <c r="AD800">
        <f>N(AD799)+IF(AND(OR(R800="follow-up",R800="Evaluation",R800="tbd",R800="In evaluation"),B800&lt;&gt;""),1,0)</f>
        <v>9</v>
      </c>
    </row>
    <row r="801" ht="15" customHeight="1">
      <c r="I801" s="215" t="n"/>
      <c r="J801" s="215" t="n"/>
      <c r="K801" s="215" t="n"/>
      <c r="L801" s="215" t="n"/>
      <c r="M801" s="215" t="n"/>
      <c r="N801" s="215" t="str">
        <f>IF(ISNUMBER(I801),ROUND(I801-I801/1.081,2),"")</f>
        <v/>
      </c>
      <c r="O801" s="215" t="str">
        <f>IF(ISNUMBER(I801),I801-SUM(J801:N801),"")</f>
        <v/>
      </c>
      <c r="P801" s="216" t="str">
        <f>IFERROR(IF(AND(ISNUMBER(O801),ISNUMBER(I801),I801&lt;&gt;0),O801/I801,""),"")</f>
        <v/>
      </c>
      <c r="Q801" s="215" t="str">
        <f>IF(AND(ISNUMBER(I801),ISNUMBER(S801)),I801*IF(S801&lt;=1,S801,S801/100),IF(OR(I801&lt;&gt;"",S801&lt;&gt;""),"tbd",""))</f>
        <v/>
      </c>
      <c r="S801" s="217" t="n"/>
      <c r="Z801" t="str">
        <f>IF(AND(R801="WON",ISNUMBER(I801)),AA801,"")</f>
        <v/>
      </c>
      <c r="AA801">
        <f>IFERROR(I801*1,0)</f>
        <v>0</v>
      </c>
      <c r="AB801">
        <f>N(AB800)+IF(AND(R801="WON",B801&lt;&gt;""),1,0)</f>
        <v>7</v>
      </c>
      <c r="AC801">
        <f>N(AC800)+IF(AND(OR(R801="offered",R801="to be offered",R801="on hold"),B801&lt;&gt;""),1,0)</f>
        <v>19</v>
      </c>
      <c r="AD801">
        <f>N(AD800)+IF(AND(OR(R801="follow-up",R801="Evaluation",R801="tbd",R801="In evaluation"),B801&lt;&gt;""),1,0)</f>
        <v>9</v>
      </c>
    </row>
    <row r="802" ht="15" customHeight="1">
      <c r="I802" s="215" t="n"/>
      <c r="J802" s="215" t="n"/>
      <c r="K802" s="215" t="n"/>
      <c r="L802" s="215" t="n"/>
      <c r="M802" s="215" t="n"/>
      <c r="N802" s="215" t="str">
        <f>IF(ISNUMBER(I802),ROUND(I802-I802/1.081,2),"")</f>
        <v/>
      </c>
      <c r="O802" s="215" t="str">
        <f>IF(ISNUMBER(I802),I802-SUM(J802:N802),"")</f>
        <v/>
      </c>
      <c r="P802" s="216" t="str">
        <f>IFERROR(IF(AND(ISNUMBER(O802),ISNUMBER(I802),I802&lt;&gt;0),O802/I802,""),"")</f>
        <v/>
      </c>
      <c r="Q802" s="215" t="str">
        <f>IF(AND(ISNUMBER(I802),ISNUMBER(S802)),I802*IF(S802&lt;=1,S802,S802/100),IF(OR(I802&lt;&gt;"",S802&lt;&gt;""),"tbd",""))</f>
        <v/>
      </c>
      <c r="S802" s="217" t="n"/>
      <c r="Z802" t="str">
        <f>IF(AND(R802="WON",ISNUMBER(I802)),AA802,"")</f>
        <v/>
      </c>
      <c r="AA802">
        <f>IFERROR(I802*1,0)</f>
        <v>0</v>
      </c>
      <c r="AB802">
        <f>N(AB801)+IF(AND(R802="WON",B802&lt;&gt;""),1,0)</f>
        <v>7</v>
      </c>
      <c r="AC802">
        <f>N(AC801)+IF(AND(OR(R802="offered",R802="to be offered",R802="on hold"),B802&lt;&gt;""),1,0)</f>
        <v>19</v>
      </c>
      <c r="AD802">
        <f>N(AD801)+IF(AND(OR(R802="follow-up",R802="Evaluation",R802="tbd",R802="In evaluation"),B802&lt;&gt;""),1,0)</f>
        <v>9</v>
      </c>
    </row>
    <row r="803" ht="15" customHeight="1">
      <c r="I803" s="215" t="n"/>
      <c r="J803" s="215" t="n"/>
      <c r="K803" s="215" t="n"/>
      <c r="L803" s="215" t="n"/>
      <c r="M803" s="215" t="n"/>
      <c r="N803" s="215" t="str">
        <f>IF(ISNUMBER(I803),ROUND(I803-I803/1.081,2),"")</f>
        <v/>
      </c>
      <c r="O803" s="215" t="str">
        <f>IF(ISNUMBER(I803),I803-SUM(J803:N803),"")</f>
        <v/>
      </c>
      <c r="P803" s="216" t="str">
        <f>IFERROR(IF(AND(ISNUMBER(O803),ISNUMBER(I803),I803&lt;&gt;0),O803/I803,""),"")</f>
        <v/>
      </c>
      <c r="Q803" s="215" t="str">
        <f>IF(AND(ISNUMBER(I803),ISNUMBER(S803)),I803*IF(S803&lt;=1,S803,S803/100),IF(OR(I803&lt;&gt;"",S803&lt;&gt;""),"tbd",""))</f>
        <v/>
      </c>
      <c r="S803" s="217" t="n"/>
      <c r="Z803" t="str">
        <f>IF(AND(R803="WON",ISNUMBER(I803)),AA803,"")</f>
        <v/>
      </c>
      <c r="AA803">
        <f>IFERROR(I803*1,0)</f>
        <v>0</v>
      </c>
      <c r="AB803">
        <f>N(AB802)+IF(AND(R803="WON",B803&lt;&gt;""),1,0)</f>
        <v>7</v>
      </c>
      <c r="AC803">
        <f>N(AC802)+IF(AND(OR(R803="offered",R803="to be offered",R803="on hold"),B803&lt;&gt;""),1,0)</f>
        <v>19</v>
      </c>
      <c r="AD803">
        <f>N(AD802)+IF(AND(OR(R803="follow-up",R803="Evaluation",R803="tbd",R803="In evaluation"),B803&lt;&gt;""),1,0)</f>
        <v>9</v>
      </c>
    </row>
    <row r="804" ht="15" customHeight="1">
      <c r="I804" s="215" t="n"/>
      <c r="J804" s="215" t="n"/>
      <c r="K804" s="215" t="n"/>
      <c r="L804" s="215" t="n"/>
      <c r="M804" s="215" t="n"/>
      <c r="N804" s="215" t="str">
        <f>IF(ISNUMBER(I804),ROUND(I804-I804/1.081,2),"")</f>
        <v/>
      </c>
      <c r="O804" s="215" t="str">
        <f>IF(ISNUMBER(I804),I804-SUM(J804:N804),"")</f>
        <v/>
      </c>
      <c r="P804" s="216" t="str">
        <f>IFERROR(IF(AND(ISNUMBER(O804),ISNUMBER(I804),I804&lt;&gt;0),O804/I804,""),"")</f>
        <v/>
      </c>
      <c r="Q804" s="215" t="str">
        <f>IF(AND(ISNUMBER(I804),ISNUMBER(S804)),I804*IF(S804&lt;=1,S804,S804/100),IF(OR(I804&lt;&gt;"",S804&lt;&gt;""),"tbd",""))</f>
        <v/>
      </c>
      <c r="S804" s="217" t="n"/>
      <c r="Z804" t="str">
        <f>IF(AND(R804="WON",ISNUMBER(I804)),AA804,"")</f>
        <v/>
      </c>
      <c r="AA804">
        <f>IFERROR(I804*1,0)</f>
        <v>0</v>
      </c>
      <c r="AB804">
        <f>N(AB803)+IF(AND(R804="WON",B804&lt;&gt;""),1,0)</f>
        <v>7</v>
      </c>
      <c r="AC804">
        <f>N(AC803)+IF(AND(OR(R804="offered",R804="to be offered",R804="on hold"),B804&lt;&gt;""),1,0)</f>
        <v>19</v>
      </c>
      <c r="AD804">
        <f>N(AD803)+IF(AND(OR(R804="follow-up",R804="Evaluation",R804="tbd",R804="In evaluation"),B804&lt;&gt;""),1,0)</f>
        <v>9</v>
      </c>
    </row>
    <row r="805" ht="15" customHeight="1">
      <c r="I805" s="215" t="n"/>
      <c r="J805" s="215" t="n"/>
      <c r="K805" s="215" t="n"/>
      <c r="L805" s="215" t="n"/>
      <c r="M805" s="215" t="n"/>
      <c r="N805" s="215" t="str">
        <f>IF(ISNUMBER(I805),ROUND(I805-I805/1.081,2),"")</f>
        <v/>
      </c>
      <c r="O805" s="215" t="str">
        <f>IF(ISNUMBER(I805),I805-SUM(J805:N805),"")</f>
        <v/>
      </c>
      <c r="P805" s="216" t="str">
        <f>IFERROR(IF(AND(ISNUMBER(O805),ISNUMBER(I805),I805&lt;&gt;0),O805/I805,""),"")</f>
        <v/>
      </c>
      <c r="Q805" s="215" t="str">
        <f>IF(AND(ISNUMBER(I805),ISNUMBER(S805)),I805*IF(S805&lt;=1,S805,S805/100),IF(OR(I805&lt;&gt;"",S805&lt;&gt;""),"tbd",""))</f>
        <v/>
      </c>
      <c r="S805" s="217" t="n"/>
      <c r="Z805" t="str">
        <f>IF(AND(R805="WON",ISNUMBER(I805)),AA805,"")</f>
        <v/>
      </c>
      <c r="AA805">
        <f>IFERROR(I805*1,0)</f>
        <v>0</v>
      </c>
      <c r="AB805">
        <f>N(AB804)+IF(AND(R805="WON",B805&lt;&gt;""),1,0)</f>
        <v>7</v>
      </c>
      <c r="AC805">
        <f>N(AC804)+IF(AND(OR(R805="offered",R805="to be offered",R805="on hold"),B805&lt;&gt;""),1,0)</f>
        <v>19</v>
      </c>
      <c r="AD805">
        <f>N(AD804)+IF(AND(OR(R805="follow-up",R805="Evaluation",R805="tbd",R805="In evaluation"),B805&lt;&gt;""),1,0)</f>
        <v>9</v>
      </c>
    </row>
    <row r="806" ht="15" customHeight="1">
      <c r="I806" s="215" t="n"/>
      <c r="J806" s="215" t="n"/>
      <c r="K806" s="215" t="n"/>
      <c r="L806" s="215" t="n"/>
      <c r="M806" s="215" t="n"/>
      <c r="N806" s="215" t="str">
        <f>IF(ISNUMBER(I806),ROUND(I806-I806/1.081,2),"")</f>
        <v/>
      </c>
      <c r="O806" s="215" t="str">
        <f>IF(ISNUMBER(I806),I806-SUM(J806:N806),"")</f>
        <v/>
      </c>
      <c r="P806" s="216" t="str">
        <f>IFERROR(IF(AND(ISNUMBER(O806),ISNUMBER(I806),I806&lt;&gt;0),O806/I806,""),"")</f>
        <v/>
      </c>
      <c r="Q806" s="215" t="str">
        <f>IF(AND(ISNUMBER(I806),ISNUMBER(S806)),I806*IF(S806&lt;=1,S806,S806/100),IF(OR(I806&lt;&gt;"",S806&lt;&gt;""),"tbd",""))</f>
        <v/>
      </c>
      <c r="S806" s="217" t="n"/>
      <c r="Z806" t="str">
        <f>IF(AND(R806="WON",ISNUMBER(I806)),AA806,"")</f>
        <v/>
      </c>
      <c r="AA806">
        <f>IFERROR(I806*1,0)</f>
        <v>0</v>
      </c>
      <c r="AB806">
        <f>N(AB805)+IF(AND(R806="WON",B806&lt;&gt;""),1,0)</f>
        <v>7</v>
      </c>
      <c r="AC806">
        <f>N(AC805)+IF(AND(OR(R806="offered",R806="to be offered",R806="on hold"),B806&lt;&gt;""),1,0)</f>
        <v>19</v>
      </c>
      <c r="AD806">
        <f>N(AD805)+IF(AND(OR(R806="follow-up",R806="Evaluation",R806="tbd",R806="In evaluation"),B806&lt;&gt;""),1,0)</f>
        <v>9</v>
      </c>
    </row>
    <row r="807" ht="15" customHeight="1">
      <c r="I807" s="215" t="n"/>
      <c r="J807" s="215" t="n"/>
      <c r="K807" s="215" t="n"/>
      <c r="L807" s="215" t="n"/>
      <c r="M807" s="215" t="n"/>
      <c r="N807" s="215" t="str">
        <f>IF(ISNUMBER(I807),ROUND(I807-I807/1.081,2),"")</f>
        <v/>
      </c>
      <c r="O807" s="215" t="str">
        <f>IF(ISNUMBER(I807),I807-SUM(J807:N807),"")</f>
        <v/>
      </c>
      <c r="P807" s="216" t="str">
        <f>IFERROR(IF(AND(ISNUMBER(O807),ISNUMBER(I807),I807&lt;&gt;0),O807/I807,""),"")</f>
        <v/>
      </c>
      <c r="Q807" s="215" t="str">
        <f>IF(AND(ISNUMBER(I807),ISNUMBER(S807)),I807*IF(S807&lt;=1,S807,S807/100),IF(OR(I807&lt;&gt;"",S807&lt;&gt;""),"tbd",""))</f>
        <v/>
      </c>
      <c r="S807" s="217" t="n"/>
      <c r="Z807" t="str">
        <f>IF(AND(R807="WON",ISNUMBER(I807)),AA807,"")</f>
        <v/>
      </c>
      <c r="AA807">
        <f>IFERROR(I807*1,0)</f>
        <v>0</v>
      </c>
      <c r="AB807">
        <f>N(AB806)+IF(AND(R807="WON",B807&lt;&gt;""),1,0)</f>
        <v>7</v>
      </c>
      <c r="AC807">
        <f>N(AC806)+IF(AND(OR(R807="offered",R807="to be offered",R807="on hold"),B807&lt;&gt;""),1,0)</f>
        <v>19</v>
      </c>
      <c r="AD807">
        <f>N(AD806)+IF(AND(OR(R807="follow-up",R807="Evaluation",R807="tbd",R807="In evaluation"),B807&lt;&gt;""),1,0)</f>
        <v>9</v>
      </c>
    </row>
    <row r="808" ht="15" customHeight="1">
      <c r="I808" s="215" t="n"/>
      <c r="J808" s="215" t="n"/>
      <c r="K808" s="215" t="n"/>
      <c r="L808" s="215" t="n"/>
      <c r="M808" s="215" t="n"/>
      <c r="N808" s="215" t="str">
        <f>IF(ISNUMBER(I808),ROUND(I808-I808/1.081,2),"")</f>
        <v/>
      </c>
      <c r="O808" s="215" t="str">
        <f>IF(ISNUMBER(I808),I808-SUM(J808:N808),"")</f>
        <v/>
      </c>
      <c r="P808" s="216" t="str">
        <f>IFERROR(IF(AND(ISNUMBER(O808),ISNUMBER(I808),I808&lt;&gt;0),O808/I808,""),"")</f>
        <v/>
      </c>
      <c r="Q808" s="215" t="str">
        <f>IF(AND(ISNUMBER(I808),ISNUMBER(S808)),I808*IF(S808&lt;=1,S808,S808/100),IF(OR(I808&lt;&gt;"",S808&lt;&gt;""),"tbd",""))</f>
        <v/>
      </c>
      <c r="S808" s="217" t="n"/>
      <c r="Z808" t="str">
        <f>IF(AND(R808="WON",ISNUMBER(I808)),AA808,"")</f>
        <v/>
      </c>
      <c r="AA808">
        <f>IFERROR(I808*1,0)</f>
        <v>0</v>
      </c>
      <c r="AB808">
        <f>N(AB807)+IF(AND(R808="WON",B808&lt;&gt;""),1,0)</f>
        <v>7</v>
      </c>
      <c r="AC808">
        <f>N(AC807)+IF(AND(OR(R808="offered",R808="to be offered",R808="on hold"),B808&lt;&gt;""),1,0)</f>
        <v>19</v>
      </c>
      <c r="AD808">
        <f>N(AD807)+IF(AND(OR(R808="follow-up",R808="Evaluation",R808="tbd",R808="In evaluation"),B808&lt;&gt;""),1,0)</f>
        <v>9</v>
      </c>
    </row>
    <row r="809" ht="15" customHeight="1">
      <c r="I809" s="215" t="n"/>
      <c r="J809" s="215" t="n"/>
      <c r="K809" s="215" t="n"/>
      <c r="L809" s="215" t="n"/>
      <c r="M809" s="215" t="n"/>
      <c r="N809" s="215" t="str">
        <f>IF(ISNUMBER(I809),ROUND(I809-I809/1.081,2),"")</f>
        <v/>
      </c>
      <c r="O809" s="215" t="str">
        <f>IF(ISNUMBER(I809),I809-SUM(J809:N809),"")</f>
        <v/>
      </c>
      <c r="P809" s="216" t="str">
        <f>IFERROR(IF(AND(ISNUMBER(O809),ISNUMBER(I809),I809&lt;&gt;0),O809/I809,""),"")</f>
        <v/>
      </c>
      <c r="Q809" s="215" t="str">
        <f>IF(AND(ISNUMBER(I809),ISNUMBER(S809)),I809*IF(S809&lt;=1,S809,S809/100),IF(OR(I809&lt;&gt;"",S809&lt;&gt;""),"tbd",""))</f>
        <v/>
      </c>
      <c r="S809" s="217" t="n"/>
      <c r="Z809" t="str">
        <f>IF(AND(R809="WON",ISNUMBER(I809)),AA809,"")</f>
        <v/>
      </c>
      <c r="AA809">
        <f>IFERROR(I809*1,0)</f>
        <v>0</v>
      </c>
      <c r="AB809">
        <f>N(AB808)+IF(AND(R809="WON",B809&lt;&gt;""),1,0)</f>
        <v>7</v>
      </c>
      <c r="AC809">
        <f>N(AC808)+IF(AND(OR(R809="offered",R809="to be offered",R809="on hold"),B809&lt;&gt;""),1,0)</f>
        <v>19</v>
      </c>
      <c r="AD809">
        <f>N(AD808)+IF(AND(OR(R809="follow-up",R809="Evaluation",R809="tbd",R809="In evaluation"),B809&lt;&gt;""),1,0)</f>
        <v>9</v>
      </c>
    </row>
    <row r="810" ht="15" customHeight="1">
      <c r="I810" s="215" t="n"/>
      <c r="J810" s="215" t="n"/>
      <c r="K810" s="215" t="n"/>
      <c r="L810" s="215" t="n"/>
      <c r="M810" s="215" t="n"/>
      <c r="N810" s="215" t="str">
        <f>IF(ISNUMBER(I810),ROUND(I810-I810/1.081,2),"")</f>
        <v/>
      </c>
      <c r="O810" s="215" t="str">
        <f>IF(ISNUMBER(I810),I810-SUM(J810:N810),"")</f>
        <v/>
      </c>
      <c r="P810" s="216" t="str">
        <f>IFERROR(IF(AND(ISNUMBER(O810),ISNUMBER(I810),I810&lt;&gt;0),O810/I810,""),"")</f>
        <v/>
      </c>
      <c r="Q810" s="215" t="str">
        <f>IF(AND(ISNUMBER(I810),ISNUMBER(S810)),I810*IF(S810&lt;=1,S810,S810/100),IF(OR(I810&lt;&gt;"",S810&lt;&gt;""),"tbd",""))</f>
        <v/>
      </c>
      <c r="S810" s="217" t="n"/>
      <c r="Z810" t="str">
        <f>IF(AND(R810="WON",ISNUMBER(I810)),AA810,"")</f>
        <v/>
      </c>
      <c r="AA810">
        <f>IFERROR(I810*1,0)</f>
        <v>0</v>
      </c>
      <c r="AB810">
        <f>N(AB809)+IF(AND(R810="WON",B810&lt;&gt;""),1,0)</f>
        <v>7</v>
      </c>
      <c r="AC810">
        <f>N(AC809)+IF(AND(OR(R810="offered",R810="to be offered",R810="on hold"),B810&lt;&gt;""),1,0)</f>
        <v>19</v>
      </c>
      <c r="AD810">
        <f>N(AD809)+IF(AND(OR(R810="follow-up",R810="Evaluation",R810="tbd",R810="In evaluation"),B810&lt;&gt;""),1,0)</f>
        <v>9</v>
      </c>
    </row>
    <row r="811" ht="15" customHeight="1">
      <c r="I811" s="215" t="n"/>
      <c r="J811" s="215" t="n"/>
      <c r="K811" s="215" t="n"/>
      <c r="L811" s="215" t="n"/>
      <c r="M811" s="215" t="n"/>
      <c r="N811" s="215" t="str">
        <f>IF(ISNUMBER(I811),ROUND(I811-I811/1.081,2),"")</f>
        <v/>
      </c>
      <c r="O811" s="215" t="str">
        <f>IF(ISNUMBER(I811),I811-SUM(J811:N811),"")</f>
        <v/>
      </c>
      <c r="P811" s="216" t="str">
        <f>IFERROR(IF(AND(ISNUMBER(O811),ISNUMBER(I811),I811&lt;&gt;0),O811/I811,""),"")</f>
        <v/>
      </c>
      <c r="Q811" s="215" t="str">
        <f>IF(AND(ISNUMBER(I811),ISNUMBER(S811)),I811*IF(S811&lt;=1,S811,S811/100),IF(OR(I811&lt;&gt;"",S811&lt;&gt;""),"tbd",""))</f>
        <v/>
      </c>
      <c r="S811" s="217" t="n"/>
      <c r="Z811" t="str">
        <f>IF(AND(R811="WON",ISNUMBER(I811)),AA811,"")</f>
        <v/>
      </c>
      <c r="AA811">
        <f>IFERROR(I811*1,0)</f>
        <v>0</v>
      </c>
      <c r="AB811">
        <f>N(AB810)+IF(AND(R811="WON",B811&lt;&gt;""),1,0)</f>
        <v>7</v>
      </c>
      <c r="AC811">
        <f>N(AC810)+IF(AND(OR(R811="offered",R811="to be offered",R811="on hold"),B811&lt;&gt;""),1,0)</f>
        <v>19</v>
      </c>
      <c r="AD811">
        <f>N(AD810)+IF(AND(OR(R811="follow-up",R811="Evaluation",R811="tbd",R811="In evaluation"),B811&lt;&gt;""),1,0)</f>
        <v>9</v>
      </c>
    </row>
    <row r="812" ht="15" customHeight="1">
      <c r="I812" s="215" t="n"/>
      <c r="J812" s="215" t="n"/>
      <c r="K812" s="215" t="n"/>
      <c r="L812" s="215" t="n"/>
      <c r="M812" s="215" t="n"/>
      <c r="N812" s="215" t="str">
        <f>IF(ISNUMBER(I812),ROUND(I812-I812/1.081,2),"")</f>
        <v/>
      </c>
      <c r="O812" s="215" t="str">
        <f>IF(ISNUMBER(I812),I812-SUM(J812:N812),"")</f>
        <v/>
      </c>
      <c r="P812" s="216" t="str">
        <f>IFERROR(IF(AND(ISNUMBER(O812),ISNUMBER(I812),I812&lt;&gt;0),O812/I812,""),"")</f>
        <v/>
      </c>
      <c r="Q812" s="215" t="str">
        <f>IF(AND(ISNUMBER(I812),ISNUMBER(S812)),I812*IF(S812&lt;=1,S812,S812/100),IF(OR(I812&lt;&gt;"",S812&lt;&gt;""),"tbd",""))</f>
        <v/>
      </c>
      <c r="S812" s="217" t="n"/>
      <c r="Z812" t="str">
        <f>IF(AND(R812="WON",ISNUMBER(I812)),AA812,"")</f>
        <v/>
      </c>
      <c r="AA812">
        <f>IFERROR(I812*1,0)</f>
        <v>0</v>
      </c>
      <c r="AB812">
        <f>N(AB811)+IF(AND(R812="WON",B812&lt;&gt;""),1,0)</f>
        <v>7</v>
      </c>
      <c r="AC812">
        <f>N(AC811)+IF(AND(OR(R812="offered",R812="to be offered",R812="on hold"),B812&lt;&gt;""),1,0)</f>
        <v>19</v>
      </c>
      <c r="AD812">
        <f>N(AD811)+IF(AND(OR(R812="follow-up",R812="Evaluation",R812="tbd",R812="In evaluation"),B812&lt;&gt;""),1,0)</f>
        <v>9</v>
      </c>
    </row>
    <row r="813" ht="15" customHeight="1">
      <c r="I813" s="215" t="n"/>
      <c r="J813" s="215" t="n"/>
      <c r="K813" s="215" t="n"/>
      <c r="L813" s="215" t="n"/>
      <c r="M813" s="215" t="n"/>
      <c r="N813" s="215" t="str">
        <f>IF(ISNUMBER(I813),ROUND(I813-I813/1.081,2),"")</f>
        <v/>
      </c>
      <c r="O813" s="215" t="str">
        <f>IF(ISNUMBER(I813),I813-SUM(J813:N813),"")</f>
        <v/>
      </c>
      <c r="P813" s="216" t="str">
        <f>IFERROR(IF(AND(ISNUMBER(O813),ISNUMBER(I813),I813&lt;&gt;0),O813/I813,""),"")</f>
        <v/>
      </c>
      <c r="Q813" s="215" t="str">
        <f>IF(AND(ISNUMBER(I813),ISNUMBER(S813)),I813*IF(S813&lt;=1,S813,S813/100),IF(OR(I813&lt;&gt;"",S813&lt;&gt;""),"tbd",""))</f>
        <v/>
      </c>
      <c r="S813" s="217" t="n"/>
      <c r="Z813" t="str">
        <f>IF(AND(R813="WON",ISNUMBER(I813)),AA813,"")</f>
        <v/>
      </c>
      <c r="AA813">
        <f>IFERROR(I813*1,0)</f>
        <v>0</v>
      </c>
      <c r="AB813">
        <f>N(AB812)+IF(AND(R813="WON",B813&lt;&gt;""),1,0)</f>
        <v>7</v>
      </c>
      <c r="AC813">
        <f>N(AC812)+IF(AND(OR(R813="offered",R813="to be offered",R813="on hold"),B813&lt;&gt;""),1,0)</f>
        <v>19</v>
      </c>
      <c r="AD813">
        <f>N(AD812)+IF(AND(OR(R813="follow-up",R813="Evaluation",R813="tbd",R813="In evaluation"),B813&lt;&gt;""),1,0)</f>
        <v>9</v>
      </c>
    </row>
    <row r="814" ht="15" customHeight="1">
      <c r="I814" s="215" t="n"/>
      <c r="J814" s="215" t="n"/>
      <c r="K814" s="215" t="n"/>
      <c r="L814" s="215" t="n"/>
      <c r="M814" s="215" t="n"/>
      <c r="N814" s="215" t="str">
        <f>IF(ISNUMBER(I814),ROUND(I814-I814/1.081,2),"")</f>
        <v/>
      </c>
      <c r="O814" s="215" t="str">
        <f>IF(ISNUMBER(I814),I814-SUM(J814:N814),"")</f>
        <v/>
      </c>
      <c r="P814" s="216" t="str">
        <f>IFERROR(IF(AND(ISNUMBER(O814),ISNUMBER(I814),I814&lt;&gt;0),O814/I814,""),"")</f>
        <v/>
      </c>
      <c r="Q814" s="215" t="str">
        <f>IF(AND(ISNUMBER(I814),ISNUMBER(S814)),I814*IF(S814&lt;=1,S814,S814/100),IF(OR(I814&lt;&gt;"",S814&lt;&gt;""),"tbd",""))</f>
        <v/>
      </c>
      <c r="S814" s="217" t="n"/>
      <c r="Z814" t="str">
        <f>IF(AND(R814="WON",ISNUMBER(I814)),AA814,"")</f>
        <v/>
      </c>
      <c r="AA814">
        <f>IFERROR(I814*1,0)</f>
        <v>0</v>
      </c>
      <c r="AB814">
        <f>N(AB813)+IF(AND(R814="WON",B814&lt;&gt;""),1,0)</f>
        <v>7</v>
      </c>
      <c r="AC814">
        <f>N(AC813)+IF(AND(OR(R814="offered",R814="to be offered",R814="on hold"),B814&lt;&gt;""),1,0)</f>
        <v>19</v>
      </c>
      <c r="AD814">
        <f>N(AD813)+IF(AND(OR(R814="follow-up",R814="Evaluation",R814="tbd",R814="In evaluation"),B814&lt;&gt;""),1,0)</f>
        <v>9</v>
      </c>
    </row>
    <row r="815" ht="15" customHeight="1">
      <c r="I815" s="215" t="n"/>
      <c r="J815" s="215" t="n"/>
      <c r="K815" s="215" t="n"/>
      <c r="L815" s="215" t="n"/>
      <c r="M815" s="215" t="n"/>
      <c r="N815" s="215" t="str">
        <f>IF(ISNUMBER(I815),ROUND(I815-I815/1.081,2),"")</f>
        <v/>
      </c>
      <c r="O815" s="215" t="str">
        <f>IF(ISNUMBER(I815),I815-SUM(J815:N815),"")</f>
        <v/>
      </c>
      <c r="P815" s="216" t="str">
        <f>IFERROR(IF(AND(ISNUMBER(O815),ISNUMBER(I815),I815&lt;&gt;0),O815/I815,""),"")</f>
        <v/>
      </c>
      <c r="Q815" s="215" t="str">
        <f>IF(AND(ISNUMBER(I815),ISNUMBER(S815)),I815*IF(S815&lt;=1,S815,S815/100),IF(OR(I815&lt;&gt;"",S815&lt;&gt;""),"tbd",""))</f>
        <v/>
      </c>
      <c r="S815" s="217" t="n"/>
      <c r="Z815" t="str">
        <f>IF(AND(R815="WON",ISNUMBER(I815)),AA815,"")</f>
        <v/>
      </c>
      <c r="AA815">
        <f>IFERROR(I815*1,0)</f>
        <v>0</v>
      </c>
      <c r="AB815">
        <f>N(AB814)+IF(AND(R815="WON",B815&lt;&gt;""),1,0)</f>
        <v>7</v>
      </c>
      <c r="AC815">
        <f>N(AC814)+IF(AND(OR(R815="offered",R815="to be offered",R815="on hold"),B815&lt;&gt;""),1,0)</f>
        <v>19</v>
      </c>
      <c r="AD815">
        <f>N(AD814)+IF(AND(OR(R815="follow-up",R815="Evaluation",R815="tbd",R815="In evaluation"),B815&lt;&gt;""),1,0)</f>
        <v>9</v>
      </c>
    </row>
    <row r="816" ht="15" customHeight="1">
      <c r="I816" s="215" t="n"/>
      <c r="J816" s="215" t="n"/>
      <c r="K816" s="215" t="n"/>
      <c r="L816" s="215" t="n"/>
      <c r="M816" s="215" t="n"/>
      <c r="N816" s="215" t="str">
        <f>IF(ISNUMBER(I816),ROUND(I816-I816/1.081,2),"")</f>
        <v/>
      </c>
      <c r="O816" s="215" t="str">
        <f>IF(ISNUMBER(I816),I816-SUM(J816:N816),"")</f>
        <v/>
      </c>
      <c r="P816" s="216" t="str">
        <f>IFERROR(IF(AND(ISNUMBER(O816),ISNUMBER(I816),I816&lt;&gt;0),O816/I816,""),"")</f>
        <v/>
      </c>
      <c r="Q816" s="215" t="str">
        <f>IF(AND(ISNUMBER(I816),ISNUMBER(S816)),I816*IF(S816&lt;=1,S816,S816/100),IF(OR(I816&lt;&gt;"",S816&lt;&gt;""),"tbd",""))</f>
        <v/>
      </c>
      <c r="S816" s="217" t="n"/>
      <c r="Z816" t="str">
        <f>IF(AND(R816="WON",ISNUMBER(I816)),AA816,"")</f>
        <v/>
      </c>
      <c r="AA816">
        <f>IFERROR(I816*1,0)</f>
        <v>0</v>
      </c>
      <c r="AB816">
        <f>N(AB815)+IF(AND(R816="WON",B816&lt;&gt;""),1,0)</f>
        <v>7</v>
      </c>
      <c r="AC816">
        <f>N(AC815)+IF(AND(OR(R816="offered",R816="to be offered",R816="on hold"),B816&lt;&gt;""),1,0)</f>
        <v>19</v>
      </c>
      <c r="AD816">
        <f>N(AD815)+IF(AND(OR(R816="follow-up",R816="Evaluation",R816="tbd",R816="In evaluation"),B816&lt;&gt;""),1,0)</f>
        <v>9</v>
      </c>
    </row>
    <row r="817" ht="15" customHeight="1">
      <c r="I817" s="215" t="n"/>
      <c r="J817" s="215" t="n"/>
      <c r="K817" s="215" t="n"/>
      <c r="L817" s="215" t="n"/>
      <c r="M817" s="215" t="n"/>
      <c r="N817" s="215" t="str">
        <f>IF(ISNUMBER(I817),ROUND(I817-I817/1.081,2),"")</f>
        <v/>
      </c>
      <c r="O817" s="215" t="str">
        <f>IF(ISNUMBER(I817),I817-SUM(J817:N817),"")</f>
        <v/>
      </c>
      <c r="P817" s="216" t="str">
        <f>IFERROR(IF(AND(ISNUMBER(O817),ISNUMBER(I817),I817&lt;&gt;0),O817/I817,""),"")</f>
        <v/>
      </c>
      <c r="Q817" s="215" t="str">
        <f>IF(AND(ISNUMBER(I817),ISNUMBER(S817)),I817*IF(S817&lt;=1,S817,S817/100),IF(OR(I817&lt;&gt;"",S817&lt;&gt;""),"tbd",""))</f>
        <v/>
      </c>
      <c r="S817" s="217" t="n"/>
      <c r="Z817" t="str">
        <f>IF(AND(R817="WON",ISNUMBER(I817)),AA817,"")</f>
        <v/>
      </c>
      <c r="AA817">
        <f>IFERROR(I817*1,0)</f>
        <v>0</v>
      </c>
      <c r="AB817">
        <f>N(AB816)+IF(AND(R817="WON",B817&lt;&gt;""),1,0)</f>
        <v>7</v>
      </c>
      <c r="AC817">
        <f>N(AC816)+IF(AND(OR(R817="offered",R817="to be offered",R817="on hold"),B817&lt;&gt;""),1,0)</f>
        <v>19</v>
      </c>
      <c r="AD817">
        <f>N(AD816)+IF(AND(OR(R817="follow-up",R817="Evaluation",R817="tbd",R817="In evaluation"),B817&lt;&gt;""),1,0)</f>
        <v>9</v>
      </c>
    </row>
    <row r="818" ht="15" customHeight="1">
      <c r="I818" s="215" t="n"/>
      <c r="J818" s="215" t="n"/>
      <c r="K818" s="215" t="n"/>
      <c r="L818" s="215" t="n"/>
      <c r="M818" s="215" t="n"/>
      <c r="N818" s="215" t="str">
        <f>IF(ISNUMBER(I818),ROUND(I818-I818/1.081,2),"")</f>
        <v/>
      </c>
      <c r="O818" s="215" t="str">
        <f>IF(ISNUMBER(I818),I818-SUM(J818:N818),"")</f>
        <v/>
      </c>
      <c r="P818" s="216" t="str">
        <f>IFERROR(IF(AND(ISNUMBER(O818),ISNUMBER(I818),I818&lt;&gt;0),O818/I818,""),"")</f>
        <v/>
      </c>
      <c r="Q818" s="215" t="str">
        <f>IF(AND(ISNUMBER(I818),ISNUMBER(S818)),I818*IF(S818&lt;=1,S818,S818/100),IF(OR(I818&lt;&gt;"",S818&lt;&gt;""),"tbd",""))</f>
        <v/>
      </c>
      <c r="S818" s="217" t="n"/>
      <c r="Z818" t="str">
        <f>IF(AND(R818="WON",ISNUMBER(I818)),AA818,"")</f>
        <v/>
      </c>
      <c r="AA818">
        <f>IFERROR(I818*1,0)</f>
        <v>0</v>
      </c>
      <c r="AB818">
        <f>N(AB817)+IF(AND(R818="WON",B818&lt;&gt;""),1,0)</f>
        <v>7</v>
      </c>
      <c r="AC818">
        <f>N(AC817)+IF(AND(OR(R818="offered",R818="to be offered",R818="on hold"),B818&lt;&gt;""),1,0)</f>
        <v>19</v>
      </c>
      <c r="AD818">
        <f>N(AD817)+IF(AND(OR(R818="follow-up",R818="Evaluation",R818="tbd",R818="In evaluation"),B818&lt;&gt;""),1,0)</f>
        <v>9</v>
      </c>
    </row>
    <row r="819" ht="15" customHeight="1">
      <c r="I819" s="215" t="n"/>
      <c r="J819" s="215" t="n"/>
      <c r="K819" s="215" t="n"/>
      <c r="L819" s="215" t="n"/>
      <c r="M819" s="215" t="n"/>
      <c r="N819" s="215" t="str">
        <f>IF(ISNUMBER(I819),ROUND(I819-I819/1.081,2),"")</f>
        <v/>
      </c>
      <c r="O819" s="215" t="str">
        <f>IF(ISNUMBER(I819),I819-SUM(J819:N819),"")</f>
        <v/>
      </c>
      <c r="P819" s="216" t="str">
        <f>IFERROR(IF(AND(ISNUMBER(O819),ISNUMBER(I819),I819&lt;&gt;0),O819/I819,""),"")</f>
        <v/>
      </c>
      <c r="Q819" s="215" t="str">
        <f>IF(AND(ISNUMBER(I819),ISNUMBER(S819)),I819*IF(S819&lt;=1,S819,S819/100),IF(OR(I819&lt;&gt;"",S819&lt;&gt;""),"tbd",""))</f>
        <v/>
      </c>
      <c r="S819" s="217" t="n"/>
      <c r="Z819" t="str">
        <f>IF(AND(R819="WON",ISNUMBER(I819)),AA819,"")</f>
        <v/>
      </c>
      <c r="AA819">
        <f>IFERROR(I819*1,0)</f>
        <v>0</v>
      </c>
      <c r="AB819">
        <f>N(AB818)+IF(AND(R819="WON",B819&lt;&gt;""),1,0)</f>
        <v>7</v>
      </c>
      <c r="AC819">
        <f>N(AC818)+IF(AND(OR(R819="offered",R819="to be offered",R819="on hold"),B819&lt;&gt;""),1,0)</f>
        <v>19</v>
      </c>
      <c r="AD819">
        <f>N(AD818)+IF(AND(OR(R819="follow-up",R819="Evaluation",R819="tbd",R819="In evaluation"),B819&lt;&gt;""),1,0)</f>
        <v>9</v>
      </c>
    </row>
    <row r="820" ht="15" customHeight="1">
      <c r="I820" s="215" t="n"/>
      <c r="J820" s="215" t="n"/>
      <c r="K820" s="215" t="n"/>
      <c r="L820" s="215" t="n"/>
      <c r="M820" s="215" t="n"/>
      <c r="N820" s="215" t="str">
        <f>IF(ISNUMBER(I820),ROUND(I820-I820/1.081,2),"")</f>
        <v/>
      </c>
      <c r="O820" s="215" t="str">
        <f>IF(ISNUMBER(I820),I820-SUM(J820:N820),"")</f>
        <v/>
      </c>
      <c r="P820" s="216" t="str">
        <f>IFERROR(IF(AND(ISNUMBER(O820),ISNUMBER(I820),I820&lt;&gt;0),O820/I820,""),"")</f>
        <v/>
      </c>
      <c r="Q820" s="215" t="str">
        <f>IF(AND(ISNUMBER(I820),ISNUMBER(S820)),I820*IF(S820&lt;=1,S820,S820/100),IF(OR(I820&lt;&gt;"",S820&lt;&gt;""),"tbd",""))</f>
        <v/>
      </c>
      <c r="S820" s="217" t="n"/>
      <c r="Z820" t="str">
        <f>IF(AND(R820="WON",ISNUMBER(I820)),AA820,"")</f>
        <v/>
      </c>
      <c r="AA820">
        <f>IFERROR(I820*1,0)</f>
        <v>0</v>
      </c>
      <c r="AB820">
        <f>N(AB819)+IF(AND(R820="WON",B820&lt;&gt;""),1,0)</f>
        <v>7</v>
      </c>
      <c r="AC820">
        <f>N(AC819)+IF(AND(OR(R820="offered",R820="to be offered",R820="on hold"),B820&lt;&gt;""),1,0)</f>
        <v>19</v>
      </c>
      <c r="AD820">
        <f>N(AD819)+IF(AND(OR(R820="follow-up",R820="Evaluation",R820="tbd",R820="In evaluation"),B820&lt;&gt;""),1,0)</f>
        <v>9</v>
      </c>
    </row>
    <row r="821" ht="15" customHeight="1">
      <c r="I821" s="215" t="n"/>
      <c r="J821" s="215" t="n"/>
      <c r="K821" s="215" t="n"/>
      <c r="L821" s="215" t="n"/>
      <c r="M821" s="215" t="n"/>
      <c r="N821" s="215" t="str">
        <f>IF(ISNUMBER(I821),ROUND(I821-I821/1.081,2),"")</f>
        <v/>
      </c>
      <c r="O821" s="215" t="str">
        <f>IF(ISNUMBER(I821),I821-SUM(J821:N821),"")</f>
        <v/>
      </c>
      <c r="P821" s="216" t="str">
        <f>IFERROR(IF(AND(ISNUMBER(O821),ISNUMBER(I821),I821&lt;&gt;0),O821/I821,""),"")</f>
        <v/>
      </c>
      <c r="Q821" s="215" t="str">
        <f>IF(AND(ISNUMBER(I821),ISNUMBER(S821)),I821*IF(S821&lt;=1,S821,S821/100),IF(OR(I821&lt;&gt;"",S821&lt;&gt;""),"tbd",""))</f>
        <v/>
      </c>
      <c r="S821" s="217" t="n"/>
      <c r="Z821" t="str">
        <f>IF(AND(R821="WON",ISNUMBER(I821)),AA821,"")</f>
        <v/>
      </c>
      <c r="AA821">
        <f>IFERROR(I821*1,0)</f>
        <v>0</v>
      </c>
      <c r="AB821">
        <f>N(AB820)+IF(AND(R821="WON",B821&lt;&gt;""),1,0)</f>
        <v>7</v>
      </c>
      <c r="AC821">
        <f>N(AC820)+IF(AND(OR(R821="offered",R821="to be offered",R821="on hold"),B821&lt;&gt;""),1,0)</f>
        <v>19</v>
      </c>
      <c r="AD821">
        <f>N(AD820)+IF(AND(OR(R821="follow-up",R821="Evaluation",R821="tbd",R821="In evaluation"),B821&lt;&gt;""),1,0)</f>
        <v>9</v>
      </c>
    </row>
    <row r="822" ht="15" customHeight="1">
      <c r="I822" s="215" t="n"/>
      <c r="J822" s="215" t="n"/>
      <c r="K822" s="215" t="n"/>
      <c r="L822" s="215" t="n"/>
      <c r="M822" s="215" t="n"/>
      <c r="N822" s="215" t="str">
        <f>IF(ISNUMBER(I822),ROUND(I822-I822/1.081,2),"")</f>
        <v/>
      </c>
      <c r="O822" s="215" t="str">
        <f>IF(ISNUMBER(I822),I822-SUM(J822:N822),"")</f>
        <v/>
      </c>
      <c r="P822" s="216" t="str">
        <f>IFERROR(IF(AND(ISNUMBER(O822),ISNUMBER(I822),I822&lt;&gt;0),O822/I822,""),"")</f>
        <v/>
      </c>
      <c r="Q822" s="215" t="str">
        <f>IF(AND(ISNUMBER(I822),ISNUMBER(S822)),I822*IF(S822&lt;=1,S822,S822/100),IF(OR(I822&lt;&gt;"",S822&lt;&gt;""),"tbd",""))</f>
        <v/>
      </c>
      <c r="S822" s="217" t="n"/>
      <c r="Z822" t="str">
        <f>IF(AND(R822="WON",ISNUMBER(I822)),AA822,"")</f>
        <v/>
      </c>
      <c r="AA822">
        <f>IFERROR(I822*1,0)</f>
        <v>0</v>
      </c>
      <c r="AB822">
        <f>N(AB821)+IF(AND(R822="WON",B822&lt;&gt;""),1,0)</f>
        <v>7</v>
      </c>
      <c r="AC822">
        <f>N(AC821)+IF(AND(OR(R822="offered",R822="to be offered",R822="on hold"),B822&lt;&gt;""),1,0)</f>
        <v>19</v>
      </c>
      <c r="AD822">
        <f>N(AD821)+IF(AND(OR(R822="follow-up",R822="Evaluation",R822="tbd",R822="In evaluation"),B822&lt;&gt;""),1,0)</f>
        <v>9</v>
      </c>
    </row>
    <row r="823" ht="15" customHeight="1">
      <c r="I823" s="215" t="n"/>
      <c r="J823" s="215" t="n"/>
      <c r="K823" s="215" t="n"/>
      <c r="L823" s="215" t="n"/>
      <c r="M823" s="215" t="n"/>
      <c r="N823" s="215" t="str">
        <f>IF(ISNUMBER(I823),ROUND(I823-I823/1.081,2),"")</f>
        <v/>
      </c>
      <c r="O823" s="215" t="str">
        <f>IF(ISNUMBER(I823),I823-SUM(J823:N823),"")</f>
        <v/>
      </c>
      <c r="P823" s="216" t="str">
        <f>IFERROR(IF(AND(ISNUMBER(O823),ISNUMBER(I823),I823&lt;&gt;0),O823/I823,""),"")</f>
        <v/>
      </c>
      <c r="Q823" s="215" t="str">
        <f>IF(AND(ISNUMBER(I823),ISNUMBER(S823)),I823*IF(S823&lt;=1,S823,S823/100),IF(OR(I823&lt;&gt;"",S823&lt;&gt;""),"tbd",""))</f>
        <v/>
      </c>
      <c r="S823" s="217" t="n"/>
      <c r="Z823" t="str">
        <f>IF(AND(R823="WON",ISNUMBER(I823)),AA823,"")</f>
        <v/>
      </c>
      <c r="AA823">
        <f>IFERROR(I823*1,0)</f>
        <v>0</v>
      </c>
      <c r="AB823">
        <f>N(AB822)+IF(AND(R823="WON",B823&lt;&gt;""),1,0)</f>
        <v>7</v>
      </c>
      <c r="AC823">
        <f>N(AC822)+IF(AND(OR(R823="offered",R823="to be offered",R823="on hold"),B823&lt;&gt;""),1,0)</f>
        <v>19</v>
      </c>
      <c r="AD823">
        <f>N(AD822)+IF(AND(OR(R823="follow-up",R823="Evaluation",R823="tbd",R823="In evaluation"),B823&lt;&gt;""),1,0)</f>
        <v>9</v>
      </c>
    </row>
    <row r="824" ht="15" customHeight="1">
      <c r="I824" s="215" t="n"/>
      <c r="J824" s="215" t="n"/>
      <c r="K824" s="215" t="n"/>
      <c r="L824" s="215" t="n"/>
      <c r="M824" s="215" t="n"/>
      <c r="N824" s="215" t="str">
        <f>IF(ISNUMBER(I824),ROUND(I824-I824/1.081,2),"")</f>
        <v/>
      </c>
      <c r="O824" s="215" t="str">
        <f>IF(ISNUMBER(I824),I824-SUM(J824:N824),"")</f>
        <v/>
      </c>
      <c r="P824" s="216" t="str">
        <f>IFERROR(IF(AND(ISNUMBER(O824),ISNUMBER(I824),I824&lt;&gt;0),O824/I824,""),"")</f>
        <v/>
      </c>
      <c r="Q824" s="215" t="str">
        <f>IF(AND(ISNUMBER(I824),ISNUMBER(S824)),I824*IF(S824&lt;=1,S824,S824/100),IF(OR(I824&lt;&gt;"",S824&lt;&gt;""),"tbd",""))</f>
        <v/>
      </c>
      <c r="S824" s="217" t="n"/>
      <c r="Z824" t="str">
        <f>IF(AND(R824="WON",ISNUMBER(I824)),AA824,"")</f>
        <v/>
      </c>
      <c r="AA824">
        <f>IFERROR(I824*1,0)</f>
        <v>0</v>
      </c>
      <c r="AB824">
        <f>N(AB823)+IF(AND(R824="WON",B824&lt;&gt;""),1,0)</f>
        <v>7</v>
      </c>
      <c r="AC824">
        <f>N(AC823)+IF(AND(OR(R824="offered",R824="to be offered",R824="on hold"),B824&lt;&gt;""),1,0)</f>
        <v>19</v>
      </c>
      <c r="AD824">
        <f>N(AD823)+IF(AND(OR(R824="follow-up",R824="Evaluation",R824="tbd",R824="In evaluation"),B824&lt;&gt;""),1,0)</f>
        <v>9</v>
      </c>
    </row>
    <row r="825" ht="15" customHeight="1">
      <c r="I825" s="215" t="n"/>
      <c r="J825" s="215" t="n"/>
      <c r="K825" s="215" t="n"/>
      <c r="L825" s="215" t="n"/>
      <c r="M825" s="215" t="n"/>
      <c r="N825" s="215" t="str">
        <f>IF(ISNUMBER(I825),ROUND(I825-I825/1.081,2),"")</f>
        <v/>
      </c>
      <c r="O825" s="215" t="str">
        <f>IF(ISNUMBER(I825),I825-SUM(J825:N825),"")</f>
        <v/>
      </c>
      <c r="P825" s="216" t="str">
        <f>IFERROR(IF(AND(ISNUMBER(O825),ISNUMBER(I825),I825&lt;&gt;0),O825/I825,""),"")</f>
        <v/>
      </c>
      <c r="Q825" s="215" t="str">
        <f>IF(AND(ISNUMBER(I825),ISNUMBER(S825)),I825*IF(S825&lt;=1,S825,S825/100),IF(OR(I825&lt;&gt;"",S825&lt;&gt;""),"tbd",""))</f>
        <v/>
      </c>
      <c r="S825" s="217" t="n"/>
      <c r="Z825" t="str">
        <f>IF(AND(R825="WON",ISNUMBER(I825)),AA825,"")</f>
        <v/>
      </c>
      <c r="AA825">
        <f>IFERROR(I825*1,0)</f>
        <v>0</v>
      </c>
      <c r="AB825">
        <f>N(AB824)+IF(AND(R825="WON",B825&lt;&gt;""),1,0)</f>
        <v>7</v>
      </c>
      <c r="AC825">
        <f>N(AC824)+IF(AND(OR(R825="offered",R825="to be offered",R825="on hold"),B825&lt;&gt;""),1,0)</f>
        <v>19</v>
      </c>
      <c r="AD825">
        <f>N(AD824)+IF(AND(OR(R825="follow-up",R825="Evaluation",R825="tbd",R825="In evaluation"),B825&lt;&gt;""),1,0)</f>
        <v>9</v>
      </c>
    </row>
    <row r="826" ht="15" customHeight="1">
      <c r="I826" s="215" t="n"/>
      <c r="J826" s="215" t="n"/>
      <c r="K826" s="215" t="n"/>
      <c r="L826" s="215" t="n"/>
      <c r="M826" s="215" t="n"/>
      <c r="N826" s="215" t="str">
        <f>IF(ISNUMBER(I826),ROUND(I826-I826/1.081,2),"")</f>
        <v/>
      </c>
      <c r="O826" s="215" t="str">
        <f>IF(ISNUMBER(I826),I826-SUM(J826:N826),"")</f>
        <v/>
      </c>
      <c r="P826" s="216" t="str">
        <f>IFERROR(IF(AND(ISNUMBER(O826),ISNUMBER(I826),I826&lt;&gt;0),O826/I826,""),"")</f>
        <v/>
      </c>
      <c r="Q826" s="215" t="str">
        <f>IF(AND(ISNUMBER(I826),ISNUMBER(S826)),I826*IF(S826&lt;=1,S826,S826/100),IF(OR(I826&lt;&gt;"",S826&lt;&gt;""),"tbd",""))</f>
        <v/>
      </c>
      <c r="S826" s="217" t="n"/>
      <c r="Z826" t="str">
        <f>IF(AND(R826="WON",ISNUMBER(I826)),AA826,"")</f>
        <v/>
      </c>
      <c r="AA826">
        <f>IFERROR(I826*1,0)</f>
        <v>0</v>
      </c>
      <c r="AB826">
        <f>N(AB825)+IF(AND(R826="WON",B826&lt;&gt;""),1,0)</f>
        <v>7</v>
      </c>
      <c r="AC826">
        <f>N(AC825)+IF(AND(OR(R826="offered",R826="to be offered",R826="on hold"),B826&lt;&gt;""),1,0)</f>
        <v>19</v>
      </c>
      <c r="AD826">
        <f>N(AD825)+IF(AND(OR(R826="follow-up",R826="Evaluation",R826="tbd",R826="In evaluation"),B826&lt;&gt;""),1,0)</f>
        <v>9</v>
      </c>
    </row>
    <row r="827" ht="15" customHeight="1">
      <c r="I827" s="215" t="n"/>
      <c r="J827" s="215" t="n"/>
      <c r="K827" s="215" t="n"/>
      <c r="L827" s="215" t="n"/>
      <c r="M827" s="215" t="n"/>
      <c r="N827" s="215" t="str">
        <f>IF(ISNUMBER(I827),ROUND(I827-I827/1.081,2),"")</f>
        <v/>
      </c>
      <c r="O827" s="215" t="str">
        <f>IF(ISNUMBER(I827),I827-SUM(J827:N827),"")</f>
        <v/>
      </c>
      <c r="P827" s="216" t="str">
        <f>IFERROR(IF(AND(ISNUMBER(O827),ISNUMBER(I827),I827&lt;&gt;0),O827/I827,""),"")</f>
        <v/>
      </c>
      <c r="Q827" s="215" t="str">
        <f>IF(AND(ISNUMBER(I827),ISNUMBER(S827)),I827*IF(S827&lt;=1,S827,S827/100),IF(OR(I827&lt;&gt;"",S827&lt;&gt;""),"tbd",""))</f>
        <v/>
      </c>
      <c r="S827" s="217" t="n"/>
      <c r="Z827" t="str">
        <f>IF(AND(R827="WON",ISNUMBER(I827)),AA827,"")</f>
        <v/>
      </c>
      <c r="AA827">
        <f>IFERROR(I827*1,0)</f>
        <v>0</v>
      </c>
      <c r="AB827">
        <f>N(AB826)+IF(AND(R827="WON",B827&lt;&gt;""),1,0)</f>
        <v>7</v>
      </c>
      <c r="AC827">
        <f>N(AC826)+IF(AND(OR(R827="offered",R827="to be offered",R827="on hold"),B827&lt;&gt;""),1,0)</f>
        <v>19</v>
      </c>
      <c r="AD827">
        <f>N(AD826)+IF(AND(OR(R827="follow-up",R827="Evaluation",R827="tbd",R827="In evaluation"),B827&lt;&gt;""),1,0)</f>
        <v>9</v>
      </c>
    </row>
    <row r="828" ht="15" customHeight="1">
      <c r="I828" s="215" t="n"/>
      <c r="J828" s="215" t="n"/>
      <c r="K828" s="215" t="n"/>
      <c r="L828" s="215" t="n"/>
      <c r="M828" s="215" t="n"/>
      <c r="N828" s="215" t="str">
        <f>IF(ISNUMBER(I828),ROUND(I828-I828/1.081,2),"")</f>
        <v/>
      </c>
      <c r="O828" s="215" t="str">
        <f>IF(ISNUMBER(I828),I828-SUM(J828:N828),"")</f>
        <v/>
      </c>
      <c r="P828" s="216" t="str">
        <f>IFERROR(IF(AND(ISNUMBER(O828),ISNUMBER(I828),I828&lt;&gt;0),O828/I828,""),"")</f>
        <v/>
      </c>
      <c r="Q828" s="215" t="str">
        <f>IF(AND(ISNUMBER(I828),ISNUMBER(S828)),I828*IF(S828&lt;=1,S828,S828/100),IF(OR(I828&lt;&gt;"",S828&lt;&gt;""),"tbd",""))</f>
        <v/>
      </c>
      <c r="S828" s="217" t="n"/>
      <c r="Z828" t="str">
        <f>IF(AND(R828="WON",ISNUMBER(I828)),AA828,"")</f>
        <v/>
      </c>
      <c r="AA828">
        <f>IFERROR(I828*1,0)</f>
        <v>0</v>
      </c>
      <c r="AB828">
        <f>N(AB827)+IF(AND(R828="WON",B828&lt;&gt;""),1,0)</f>
        <v>7</v>
      </c>
      <c r="AC828">
        <f>N(AC827)+IF(AND(OR(R828="offered",R828="to be offered",R828="on hold"),B828&lt;&gt;""),1,0)</f>
        <v>19</v>
      </c>
      <c r="AD828">
        <f>N(AD827)+IF(AND(OR(R828="follow-up",R828="Evaluation",R828="tbd",R828="In evaluation"),B828&lt;&gt;""),1,0)</f>
        <v>9</v>
      </c>
    </row>
    <row r="829" ht="15" customHeight="1">
      <c r="I829" s="215" t="n"/>
      <c r="J829" s="215" t="n"/>
      <c r="K829" s="215" t="n"/>
      <c r="L829" s="215" t="n"/>
      <c r="M829" s="215" t="n"/>
      <c r="N829" s="215" t="str">
        <f>IF(ISNUMBER(I829),ROUND(I829-I829/1.081,2),"")</f>
        <v/>
      </c>
      <c r="O829" s="215" t="str">
        <f>IF(ISNUMBER(I829),I829-SUM(J829:N829),"")</f>
        <v/>
      </c>
      <c r="P829" s="216" t="str">
        <f>IFERROR(IF(AND(ISNUMBER(O829),ISNUMBER(I829),I829&lt;&gt;0),O829/I829,""),"")</f>
        <v/>
      </c>
      <c r="Q829" s="215" t="str">
        <f>IF(AND(ISNUMBER(I829),ISNUMBER(S829)),I829*IF(S829&lt;=1,S829,S829/100),IF(OR(I829&lt;&gt;"",S829&lt;&gt;""),"tbd",""))</f>
        <v/>
      </c>
      <c r="S829" s="217" t="n"/>
      <c r="Z829" t="str">
        <f>IF(AND(R829="WON",ISNUMBER(I829)),AA829,"")</f>
        <v/>
      </c>
      <c r="AA829">
        <f>IFERROR(I829*1,0)</f>
        <v>0</v>
      </c>
      <c r="AB829">
        <f>N(AB828)+IF(AND(R829="WON",B829&lt;&gt;""),1,0)</f>
        <v>7</v>
      </c>
      <c r="AC829">
        <f>N(AC828)+IF(AND(OR(R829="offered",R829="to be offered",R829="on hold"),B829&lt;&gt;""),1,0)</f>
        <v>19</v>
      </c>
      <c r="AD829">
        <f>N(AD828)+IF(AND(OR(R829="follow-up",R829="Evaluation",R829="tbd",R829="In evaluation"),B829&lt;&gt;""),1,0)</f>
        <v>9</v>
      </c>
    </row>
    <row r="830" ht="15" customHeight="1">
      <c r="I830" s="215" t="n"/>
      <c r="J830" s="215" t="n"/>
      <c r="K830" s="215" t="n"/>
      <c r="L830" s="215" t="n"/>
      <c r="M830" s="215" t="n"/>
      <c r="N830" s="215" t="str">
        <f>IF(ISNUMBER(I830),ROUND(I830-I830/1.081,2),"")</f>
        <v/>
      </c>
      <c r="O830" s="215" t="str">
        <f>IF(ISNUMBER(I830),I830-SUM(J830:N830),"")</f>
        <v/>
      </c>
      <c r="P830" s="216" t="str">
        <f>IFERROR(IF(AND(ISNUMBER(O830),ISNUMBER(I830),I830&lt;&gt;0),O830/I830,""),"")</f>
        <v/>
      </c>
      <c r="Q830" s="215" t="str">
        <f>IF(AND(ISNUMBER(I830),ISNUMBER(S830)),I830*IF(S830&lt;=1,S830,S830/100),IF(OR(I830&lt;&gt;"",S830&lt;&gt;""),"tbd",""))</f>
        <v/>
      </c>
      <c r="S830" s="217" t="n"/>
      <c r="Z830" t="str">
        <f>IF(AND(R830="WON",ISNUMBER(I830)),AA830,"")</f>
        <v/>
      </c>
      <c r="AA830">
        <f>IFERROR(I830*1,0)</f>
        <v>0</v>
      </c>
      <c r="AB830">
        <f>N(AB829)+IF(AND(R830="WON",B830&lt;&gt;""),1,0)</f>
        <v>7</v>
      </c>
      <c r="AC830">
        <f>N(AC829)+IF(AND(OR(R830="offered",R830="to be offered",R830="on hold"),B830&lt;&gt;""),1,0)</f>
        <v>19</v>
      </c>
      <c r="AD830">
        <f>N(AD829)+IF(AND(OR(R830="follow-up",R830="Evaluation",R830="tbd",R830="In evaluation"),B830&lt;&gt;""),1,0)</f>
        <v>9</v>
      </c>
    </row>
    <row r="831" ht="15" customHeight="1">
      <c r="I831" s="215" t="n"/>
      <c r="J831" s="215" t="n"/>
      <c r="K831" s="215" t="n"/>
      <c r="L831" s="215" t="n"/>
      <c r="M831" s="215" t="n"/>
      <c r="N831" s="215" t="str">
        <f>IF(ISNUMBER(I831),ROUND(I831-I831/1.081,2),"")</f>
        <v/>
      </c>
      <c r="O831" s="215" t="str">
        <f>IF(ISNUMBER(I831),I831-SUM(J831:N831),"")</f>
        <v/>
      </c>
      <c r="P831" s="216" t="str">
        <f>IFERROR(IF(AND(ISNUMBER(O831),ISNUMBER(I831),I831&lt;&gt;0),O831/I831,""),"")</f>
        <v/>
      </c>
      <c r="Q831" s="215" t="str">
        <f>IF(AND(ISNUMBER(I831),ISNUMBER(S831)),I831*IF(S831&lt;=1,S831,S831/100),IF(OR(I831&lt;&gt;"",S831&lt;&gt;""),"tbd",""))</f>
        <v/>
      </c>
      <c r="S831" s="217" t="n"/>
      <c r="Z831" t="str">
        <f>IF(AND(R831="WON",ISNUMBER(I831)),AA831,"")</f>
        <v/>
      </c>
      <c r="AA831">
        <f>IFERROR(I831*1,0)</f>
        <v>0</v>
      </c>
      <c r="AB831">
        <f>N(AB830)+IF(AND(R831="WON",B831&lt;&gt;""),1,0)</f>
        <v>7</v>
      </c>
      <c r="AC831">
        <f>N(AC830)+IF(AND(OR(R831="offered",R831="to be offered",R831="on hold"),B831&lt;&gt;""),1,0)</f>
        <v>19</v>
      </c>
      <c r="AD831">
        <f>N(AD830)+IF(AND(OR(R831="follow-up",R831="Evaluation",R831="tbd",R831="In evaluation"),B831&lt;&gt;""),1,0)</f>
        <v>9</v>
      </c>
    </row>
    <row r="832" ht="15" customHeight="1">
      <c r="I832" s="215" t="n"/>
      <c r="J832" s="215" t="n"/>
      <c r="K832" s="215" t="n"/>
      <c r="L832" s="215" t="n"/>
      <c r="M832" s="215" t="n"/>
      <c r="N832" s="215" t="str">
        <f>IF(ISNUMBER(I832),ROUND(I832-I832/1.081,2),"")</f>
        <v/>
      </c>
      <c r="O832" s="215" t="str">
        <f>IF(ISNUMBER(I832),I832-SUM(J832:N832),"")</f>
        <v/>
      </c>
      <c r="P832" s="216" t="str">
        <f>IFERROR(IF(AND(ISNUMBER(O832),ISNUMBER(I832),I832&lt;&gt;0),O832/I832,""),"")</f>
        <v/>
      </c>
      <c r="Q832" s="215" t="str">
        <f>IF(AND(ISNUMBER(I832),ISNUMBER(S832)),I832*IF(S832&lt;=1,S832,S832/100),IF(OR(I832&lt;&gt;"",S832&lt;&gt;""),"tbd",""))</f>
        <v/>
      </c>
      <c r="S832" s="217" t="n"/>
      <c r="Z832" t="str">
        <f>IF(AND(R832="WON",ISNUMBER(I832)),AA832,"")</f>
        <v/>
      </c>
      <c r="AA832">
        <f>IFERROR(I832*1,0)</f>
        <v>0</v>
      </c>
      <c r="AB832">
        <f>N(AB831)+IF(AND(R832="WON",B832&lt;&gt;""),1,0)</f>
        <v>7</v>
      </c>
      <c r="AC832">
        <f>N(AC831)+IF(AND(OR(R832="offered",R832="to be offered",R832="on hold"),B832&lt;&gt;""),1,0)</f>
        <v>19</v>
      </c>
      <c r="AD832">
        <f>N(AD831)+IF(AND(OR(R832="follow-up",R832="Evaluation",R832="tbd",R832="In evaluation"),B832&lt;&gt;""),1,0)</f>
        <v>9</v>
      </c>
    </row>
    <row r="833" ht="15" customHeight="1">
      <c r="I833" s="215" t="n"/>
      <c r="J833" s="215" t="n"/>
      <c r="K833" s="215" t="n"/>
      <c r="L833" s="215" t="n"/>
      <c r="M833" s="215" t="n"/>
      <c r="N833" s="215" t="str">
        <f>IF(ISNUMBER(I833),ROUND(I833-I833/1.081,2),"")</f>
        <v/>
      </c>
      <c r="O833" s="215" t="str">
        <f>IF(ISNUMBER(I833),I833-SUM(J833:N833),"")</f>
        <v/>
      </c>
      <c r="P833" s="216" t="str">
        <f>IFERROR(IF(AND(ISNUMBER(O833),ISNUMBER(I833),I833&lt;&gt;0),O833/I833,""),"")</f>
        <v/>
      </c>
      <c r="Q833" s="215" t="str">
        <f>IF(AND(ISNUMBER(I833),ISNUMBER(S833)),I833*IF(S833&lt;=1,S833,S833/100),IF(OR(I833&lt;&gt;"",S833&lt;&gt;""),"tbd",""))</f>
        <v/>
      </c>
      <c r="S833" s="217" t="n"/>
      <c r="Z833" t="str">
        <f>IF(AND(R833="WON",ISNUMBER(I833)),AA833,"")</f>
        <v/>
      </c>
      <c r="AA833">
        <f>IFERROR(I833*1,0)</f>
        <v>0</v>
      </c>
      <c r="AB833">
        <f>N(AB832)+IF(AND(R833="WON",B833&lt;&gt;""),1,0)</f>
        <v>7</v>
      </c>
      <c r="AC833">
        <f>N(AC832)+IF(AND(OR(R833="offered",R833="to be offered",R833="on hold"),B833&lt;&gt;""),1,0)</f>
        <v>19</v>
      </c>
      <c r="AD833">
        <f>N(AD832)+IF(AND(OR(R833="follow-up",R833="Evaluation",R833="tbd",R833="In evaluation"),B833&lt;&gt;""),1,0)</f>
        <v>9</v>
      </c>
    </row>
    <row r="834" ht="15" customHeight="1">
      <c r="I834" s="215" t="n"/>
      <c r="J834" s="215" t="n"/>
      <c r="K834" s="215" t="n"/>
      <c r="L834" s="215" t="n"/>
      <c r="M834" s="215" t="n"/>
      <c r="N834" s="215" t="str">
        <f>IF(ISNUMBER(I834),ROUND(I834-I834/1.081,2),"")</f>
        <v/>
      </c>
      <c r="O834" s="215" t="str">
        <f>IF(ISNUMBER(I834),I834-SUM(J834:N834),"")</f>
        <v/>
      </c>
      <c r="P834" s="216" t="str">
        <f>IFERROR(IF(AND(ISNUMBER(O834),ISNUMBER(I834),I834&lt;&gt;0),O834/I834,""),"")</f>
        <v/>
      </c>
      <c r="Q834" s="215" t="str">
        <f>IF(AND(ISNUMBER(I834),ISNUMBER(S834)),I834*IF(S834&lt;=1,S834,S834/100),IF(OR(I834&lt;&gt;"",S834&lt;&gt;""),"tbd",""))</f>
        <v/>
      </c>
      <c r="S834" s="217" t="n"/>
      <c r="Z834" t="str">
        <f>IF(AND(R834="WON",ISNUMBER(I834)),AA834,"")</f>
        <v/>
      </c>
      <c r="AA834">
        <f>IFERROR(I834*1,0)</f>
        <v>0</v>
      </c>
      <c r="AB834">
        <f>N(AB833)+IF(AND(R834="WON",B834&lt;&gt;""),1,0)</f>
        <v>7</v>
      </c>
      <c r="AC834">
        <f>N(AC833)+IF(AND(OR(R834="offered",R834="to be offered",R834="on hold"),B834&lt;&gt;""),1,0)</f>
        <v>19</v>
      </c>
      <c r="AD834">
        <f>N(AD833)+IF(AND(OR(R834="follow-up",R834="Evaluation",R834="tbd",R834="In evaluation"),B834&lt;&gt;""),1,0)</f>
        <v>9</v>
      </c>
    </row>
    <row r="835" ht="15" customHeight="1">
      <c r="I835" s="215" t="n"/>
      <c r="J835" s="215" t="n"/>
      <c r="K835" s="215" t="n"/>
      <c r="L835" s="215" t="n"/>
      <c r="M835" s="215" t="n"/>
      <c r="N835" s="215" t="str">
        <f>IF(ISNUMBER(I835),ROUND(I835-I835/1.081,2),"")</f>
        <v/>
      </c>
      <c r="O835" s="215" t="str">
        <f>IF(ISNUMBER(I835),I835-SUM(J835:N835),"")</f>
        <v/>
      </c>
      <c r="P835" s="216" t="str">
        <f>IFERROR(IF(AND(ISNUMBER(O835),ISNUMBER(I835),I835&lt;&gt;0),O835/I835,""),"")</f>
        <v/>
      </c>
      <c r="Q835" s="215" t="str">
        <f>IF(AND(ISNUMBER(I835),ISNUMBER(S835)),I835*IF(S835&lt;=1,S835,S835/100),IF(OR(I835&lt;&gt;"",S835&lt;&gt;""),"tbd",""))</f>
        <v/>
      </c>
      <c r="S835" s="217" t="n"/>
      <c r="Z835" t="str">
        <f>IF(AND(R835="WON",ISNUMBER(I835)),AA835,"")</f>
        <v/>
      </c>
      <c r="AA835">
        <f>IFERROR(I835*1,0)</f>
        <v>0</v>
      </c>
      <c r="AB835">
        <f>N(AB834)+IF(AND(R835="WON",B835&lt;&gt;""),1,0)</f>
        <v>7</v>
      </c>
      <c r="AC835">
        <f>N(AC834)+IF(AND(OR(R835="offered",R835="to be offered",R835="on hold"),B835&lt;&gt;""),1,0)</f>
        <v>19</v>
      </c>
      <c r="AD835">
        <f>N(AD834)+IF(AND(OR(R835="follow-up",R835="Evaluation",R835="tbd",R835="In evaluation"),B835&lt;&gt;""),1,0)</f>
        <v>9</v>
      </c>
    </row>
    <row r="836" ht="15" customHeight="1">
      <c r="I836" s="215" t="n"/>
      <c r="J836" s="215" t="n"/>
      <c r="K836" s="215" t="n"/>
      <c r="L836" s="215" t="n"/>
      <c r="M836" s="215" t="n"/>
      <c r="N836" s="215" t="str">
        <f>IF(ISNUMBER(I836),ROUND(I836-I836/1.081,2),"")</f>
        <v/>
      </c>
      <c r="O836" s="215" t="str">
        <f>IF(ISNUMBER(I836),I836-SUM(J836:N836),"")</f>
        <v/>
      </c>
      <c r="P836" s="216" t="str">
        <f>IFERROR(IF(AND(ISNUMBER(O836),ISNUMBER(I836),I836&lt;&gt;0),O836/I836,""),"")</f>
        <v/>
      </c>
      <c r="Q836" s="215" t="str">
        <f>IF(AND(ISNUMBER(I836),ISNUMBER(S836)),I836*IF(S836&lt;=1,S836,S836/100),IF(OR(I836&lt;&gt;"",S836&lt;&gt;""),"tbd",""))</f>
        <v/>
      </c>
      <c r="S836" s="217" t="n"/>
      <c r="Z836" t="str">
        <f>IF(AND(R836="WON",ISNUMBER(I836)),AA836,"")</f>
        <v/>
      </c>
      <c r="AA836">
        <f>IFERROR(I836*1,0)</f>
        <v>0</v>
      </c>
      <c r="AB836">
        <f>N(AB835)+IF(AND(R836="WON",B836&lt;&gt;""),1,0)</f>
        <v>7</v>
      </c>
      <c r="AC836">
        <f>N(AC835)+IF(AND(OR(R836="offered",R836="to be offered",R836="on hold"),B836&lt;&gt;""),1,0)</f>
        <v>19</v>
      </c>
      <c r="AD836">
        <f>N(AD835)+IF(AND(OR(R836="follow-up",R836="Evaluation",R836="tbd",R836="In evaluation"),B836&lt;&gt;""),1,0)</f>
        <v>9</v>
      </c>
    </row>
    <row r="837" ht="15" customHeight="1">
      <c r="I837" s="215" t="n"/>
      <c r="J837" s="215" t="n"/>
      <c r="K837" s="215" t="n"/>
      <c r="L837" s="215" t="n"/>
      <c r="M837" s="215" t="n"/>
      <c r="N837" s="215" t="str">
        <f>IF(ISNUMBER(I837),ROUND(I837-I837/1.081,2),"")</f>
        <v/>
      </c>
      <c r="O837" s="215" t="str">
        <f>IF(ISNUMBER(I837),I837-SUM(J837:N837),"")</f>
        <v/>
      </c>
      <c r="P837" s="216" t="str">
        <f>IFERROR(IF(AND(ISNUMBER(O837),ISNUMBER(I837),I837&lt;&gt;0),O837/I837,""),"")</f>
        <v/>
      </c>
      <c r="Q837" s="215" t="str">
        <f>IF(AND(ISNUMBER(I837),ISNUMBER(S837)),I837*IF(S837&lt;=1,S837,S837/100),IF(OR(I837&lt;&gt;"",S837&lt;&gt;""),"tbd",""))</f>
        <v/>
      </c>
      <c r="S837" s="217" t="n"/>
      <c r="Z837" t="str">
        <f>IF(AND(R837="WON",ISNUMBER(I837)),AA837,"")</f>
        <v/>
      </c>
      <c r="AA837">
        <f>IFERROR(I837*1,0)</f>
        <v>0</v>
      </c>
      <c r="AB837">
        <f>N(AB836)+IF(AND(R837="WON",B837&lt;&gt;""),1,0)</f>
        <v>7</v>
      </c>
      <c r="AC837">
        <f>N(AC836)+IF(AND(OR(R837="offered",R837="to be offered",R837="on hold"),B837&lt;&gt;""),1,0)</f>
        <v>19</v>
      </c>
      <c r="AD837">
        <f>N(AD836)+IF(AND(OR(R837="follow-up",R837="Evaluation",R837="tbd",R837="In evaluation"),B837&lt;&gt;""),1,0)</f>
        <v>9</v>
      </c>
    </row>
    <row r="838" ht="15" customHeight="1">
      <c r="I838" s="215" t="n"/>
      <c r="J838" s="215" t="n"/>
      <c r="K838" s="215" t="n"/>
      <c r="L838" s="215" t="n"/>
      <c r="M838" s="215" t="n"/>
      <c r="N838" s="215" t="str">
        <f>IF(ISNUMBER(I838),ROUND(I838-I838/1.081,2),"")</f>
        <v/>
      </c>
      <c r="O838" s="215" t="str">
        <f>IF(ISNUMBER(I838),I838-SUM(J838:N838),"")</f>
        <v/>
      </c>
      <c r="P838" s="216" t="str">
        <f>IFERROR(IF(AND(ISNUMBER(O838),ISNUMBER(I838),I838&lt;&gt;0),O838/I838,""),"")</f>
        <v/>
      </c>
      <c r="Q838" s="215" t="str">
        <f>IF(AND(ISNUMBER(I838),ISNUMBER(S838)),I838*IF(S838&lt;=1,S838,S838/100),IF(OR(I838&lt;&gt;"",S838&lt;&gt;""),"tbd",""))</f>
        <v/>
      </c>
      <c r="S838" s="217" t="n"/>
      <c r="Z838" t="str">
        <f>IF(AND(R838="WON",ISNUMBER(I838)),AA838,"")</f>
        <v/>
      </c>
      <c r="AA838">
        <f>IFERROR(I838*1,0)</f>
        <v>0</v>
      </c>
      <c r="AB838">
        <f>N(AB837)+IF(AND(R838="WON",B838&lt;&gt;""),1,0)</f>
        <v>7</v>
      </c>
      <c r="AC838">
        <f>N(AC837)+IF(AND(OR(R838="offered",R838="to be offered",R838="on hold"),B838&lt;&gt;""),1,0)</f>
        <v>19</v>
      </c>
      <c r="AD838">
        <f>N(AD837)+IF(AND(OR(R838="follow-up",R838="Evaluation",R838="tbd",R838="In evaluation"),B838&lt;&gt;""),1,0)</f>
        <v>9</v>
      </c>
    </row>
    <row r="839" ht="15" customHeight="1">
      <c r="I839" s="215" t="n"/>
      <c r="J839" s="215" t="n"/>
      <c r="K839" s="215" t="n"/>
      <c r="L839" s="215" t="n"/>
      <c r="M839" s="215" t="n"/>
      <c r="N839" s="215" t="str">
        <f>IF(ISNUMBER(I839),ROUND(I839-I839/1.081,2),"")</f>
        <v/>
      </c>
      <c r="O839" s="215" t="str">
        <f>IF(ISNUMBER(I839),I839-SUM(J839:N839),"")</f>
        <v/>
      </c>
      <c r="P839" s="216" t="str">
        <f>IFERROR(IF(AND(ISNUMBER(O839),ISNUMBER(I839),I839&lt;&gt;0),O839/I839,""),"")</f>
        <v/>
      </c>
      <c r="Q839" s="215" t="str">
        <f>IF(AND(ISNUMBER(I839),ISNUMBER(S839)),I839*IF(S839&lt;=1,S839,S839/100),IF(OR(I839&lt;&gt;"",S839&lt;&gt;""),"tbd",""))</f>
        <v/>
      </c>
      <c r="S839" s="217" t="n"/>
      <c r="Z839" t="str">
        <f>IF(AND(R839="WON",ISNUMBER(I839)),AA839,"")</f>
        <v/>
      </c>
      <c r="AA839">
        <f>IFERROR(I839*1,0)</f>
        <v>0</v>
      </c>
      <c r="AB839">
        <f>N(AB838)+IF(AND(R839="WON",B839&lt;&gt;""),1,0)</f>
        <v>7</v>
      </c>
      <c r="AC839">
        <f>N(AC838)+IF(AND(OR(R839="offered",R839="to be offered",R839="on hold"),B839&lt;&gt;""),1,0)</f>
        <v>19</v>
      </c>
      <c r="AD839">
        <f>N(AD838)+IF(AND(OR(R839="follow-up",R839="Evaluation",R839="tbd",R839="In evaluation"),B839&lt;&gt;""),1,0)</f>
        <v>9</v>
      </c>
    </row>
    <row r="840" ht="15" customHeight="1">
      <c r="I840" s="215" t="n"/>
      <c r="J840" s="215" t="n"/>
      <c r="K840" s="215" t="n"/>
      <c r="L840" s="215" t="n"/>
      <c r="M840" s="215" t="n"/>
      <c r="N840" s="215" t="str">
        <f>IF(ISNUMBER(I840),ROUND(I840-I840/1.081,2),"")</f>
        <v/>
      </c>
      <c r="O840" s="215" t="str">
        <f>IF(ISNUMBER(I840),I840-SUM(J840:N840),"")</f>
        <v/>
      </c>
      <c r="P840" s="216" t="str">
        <f>IFERROR(IF(AND(ISNUMBER(O840),ISNUMBER(I840),I840&lt;&gt;0),O840/I840,""),"")</f>
        <v/>
      </c>
      <c r="Q840" s="215" t="str">
        <f>IF(AND(ISNUMBER(I840),ISNUMBER(S840)),I840*IF(S840&lt;=1,S840,S840/100),IF(OR(I840&lt;&gt;"",S840&lt;&gt;""),"tbd",""))</f>
        <v/>
      </c>
      <c r="S840" s="217" t="n"/>
      <c r="Z840" t="str">
        <f>IF(AND(R840="WON",ISNUMBER(I840)),AA840,"")</f>
        <v/>
      </c>
      <c r="AA840">
        <f>IFERROR(I840*1,0)</f>
        <v>0</v>
      </c>
      <c r="AB840">
        <f>N(AB839)+IF(AND(R840="WON",B840&lt;&gt;""),1,0)</f>
        <v>7</v>
      </c>
      <c r="AC840">
        <f>N(AC839)+IF(AND(OR(R840="offered",R840="to be offered",R840="on hold"),B840&lt;&gt;""),1,0)</f>
        <v>19</v>
      </c>
      <c r="AD840">
        <f>N(AD839)+IF(AND(OR(R840="follow-up",R840="Evaluation",R840="tbd",R840="In evaluation"),B840&lt;&gt;""),1,0)</f>
        <v>9</v>
      </c>
    </row>
    <row r="841" ht="15" customHeight="1">
      <c r="I841" s="215" t="n"/>
      <c r="J841" s="215" t="n"/>
      <c r="K841" s="215" t="n"/>
      <c r="L841" s="215" t="n"/>
      <c r="M841" s="215" t="n"/>
      <c r="N841" s="215" t="str">
        <f>IF(ISNUMBER(I841),ROUND(I841-I841/1.081,2),"")</f>
        <v/>
      </c>
      <c r="O841" s="215" t="str">
        <f>IF(ISNUMBER(I841),I841-SUM(J841:N841),"")</f>
        <v/>
      </c>
      <c r="P841" s="216" t="str">
        <f>IFERROR(IF(AND(ISNUMBER(O841),ISNUMBER(I841),I841&lt;&gt;0),O841/I841,""),"")</f>
        <v/>
      </c>
      <c r="Q841" s="215" t="str">
        <f>IF(AND(ISNUMBER(I841),ISNUMBER(S841)),I841*IF(S841&lt;=1,S841,S841/100),IF(OR(I841&lt;&gt;"",S841&lt;&gt;""),"tbd",""))</f>
        <v/>
      </c>
      <c r="S841" s="217" t="n"/>
      <c r="Z841" t="str">
        <f>IF(AND(R841="WON",ISNUMBER(I841)),AA841,"")</f>
        <v/>
      </c>
      <c r="AA841">
        <f>IFERROR(I841*1,0)</f>
        <v>0</v>
      </c>
      <c r="AB841">
        <f>N(AB840)+IF(AND(R841="WON",B841&lt;&gt;""),1,0)</f>
        <v>7</v>
      </c>
      <c r="AC841">
        <f>N(AC840)+IF(AND(OR(R841="offered",R841="to be offered",R841="on hold"),B841&lt;&gt;""),1,0)</f>
        <v>19</v>
      </c>
      <c r="AD841">
        <f>N(AD840)+IF(AND(OR(R841="follow-up",R841="Evaluation",R841="tbd",R841="In evaluation"),B841&lt;&gt;""),1,0)</f>
        <v>9</v>
      </c>
    </row>
    <row r="842" ht="15" customHeight="1">
      <c r="I842" s="215" t="n"/>
      <c r="J842" s="215" t="n"/>
      <c r="K842" s="215" t="n"/>
      <c r="L842" s="215" t="n"/>
      <c r="M842" s="215" t="n"/>
      <c r="N842" s="215" t="str">
        <f>IF(ISNUMBER(I842),ROUND(I842-I842/1.081,2),"")</f>
        <v/>
      </c>
      <c r="O842" s="215" t="str">
        <f>IF(ISNUMBER(I842),I842-SUM(J842:N842),"")</f>
        <v/>
      </c>
      <c r="P842" s="216" t="str">
        <f>IFERROR(IF(AND(ISNUMBER(O842),ISNUMBER(I842),I842&lt;&gt;0),O842/I842,""),"")</f>
        <v/>
      </c>
      <c r="Q842" s="215" t="str">
        <f>IF(AND(ISNUMBER(I842),ISNUMBER(S842)),I842*IF(S842&lt;=1,S842,S842/100),IF(OR(I842&lt;&gt;"",S842&lt;&gt;""),"tbd",""))</f>
        <v/>
      </c>
      <c r="S842" s="217" t="n"/>
      <c r="Z842" t="str">
        <f>IF(AND(R842="WON",ISNUMBER(I842)),AA842,"")</f>
        <v/>
      </c>
      <c r="AA842">
        <f>IFERROR(I842*1,0)</f>
        <v>0</v>
      </c>
      <c r="AB842">
        <f>N(AB841)+IF(AND(R842="WON",B842&lt;&gt;""),1,0)</f>
        <v>7</v>
      </c>
      <c r="AC842">
        <f>N(AC841)+IF(AND(OR(R842="offered",R842="to be offered",R842="on hold"),B842&lt;&gt;""),1,0)</f>
        <v>19</v>
      </c>
      <c r="AD842">
        <f>N(AD841)+IF(AND(OR(R842="follow-up",R842="Evaluation",R842="tbd",R842="In evaluation"),B842&lt;&gt;""),1,0)</f>
        <v>9</v>
      </c>
    </row>
    <row r="843" ht="15" customHeight="1">
      <c r="I843" s="215" t="n"/>
      <c r="J843" s="215" t="n"/>
      <c r="K843" s="215" t="n"/>
      <c r="L843" s="215" t="n"/>
      <c r="M843" s="215" t="n"/>
      <c r="N843" s="215" t="str">
        <f>IF(ISNUMBER(I843),ROUND(I843-I843/1.081,2),"")</f>
        <v/>
      </c>
      <c r="O843" s="215" t="str">
        <f>IF(ISNUMBER(I843),I843-SUM(J843:N843),"")</f>
        <v/>
      </c>
      <c r="P843" s="216" t="str">
        <f>IFERROR(IF(AND(ISNUMBER(O843),ISNUMBER(I843),I843&lt;&gt;0),O843/I843,""),"")</f>
        <v/>
      </c>
      <c r="Q843" s="215" t="str">
        <f>IF(AND(ISNUMBER(I843),ISNUMBER(S843)),I843*IF(S843&lt;=1,S843,S843/100),IF(OR(I843&lt;&gt;"",S843&lt;&gt;""),"tbd",""))</f>
        <v/>
      </c>
      <c r="S843" s="217" t="n"/>
      <c r="Z843" t="str">
        <f>IF(AND(R843="WON",ISNUMBER(I843)),AA843,"")</f>
        <v/>
      </c>
      <c r="AA843">
        <f>IFERROR(I843*1,0)</f>
        <v>0</v>
      </c>
      <c r="AB843">
        <f>N(AB842)+IF(AND(R843="WON",B843&lt;&gt;""),1,0)</f>
        <v>7</v>
      </c>
      <c r="AC843">
        <f>N(AC842)+IF(AND(OR(R843="offered",R843="to be offered",R843="on hold"),B843&lt;&gt;""),1,0)</f>
        <v>19</v>
      </c>
      <c r="AD843">
        <f>N(AD842)+IF(AND(OR(R843="follow-up",R843="Evaluation",R843="tbd",R843="In evaluation"),B843&lt;&gt;""),1,0)</f>
        <v>9</v>
      </c>
    </row>
    <row r="844" ht="15" customHeight="1">
      <c r="I844" s="215" t="n"/>
      <c r="J844" s="215" t="n"/>
      <c r="K844" s="215" t="n"/>
      <c r="L844" s="215" t="n"/>
      <c r="M844" s="215" t="n"/>
      <c r="N844" s="215" t="str">
        <f>IF(ISNUMBER(I844),ROUND(I844-I844/1.081,2),"")</f>
        <v/>
      </c>
      <c r="O844" s="215" t="str">
        <f>IF(ISNUMBER(I844),I844-SUM(J844:N844),"")</f>
        <v/>
      </c>
      <c r="P844" s="216" t="str">
        <f>IFERROR(IF(AND(ISNUMBER(O844),ISNUMBER(I844),I844&lt;&gt;0),O844/I844,""),"")</f>
        <v/>
      </c>
      <c r="Q844" s="215" t="str">
        <f>IF(AND(ISNUMBER(I844),ISNUMBER(S844)),I844*IF(S844&lt;=1,S844,S844/100),IF(OR(I844&lt;&gt;"",S844&lt;&gt;""),"tbd",""))</f>
        <v/>
      </c>
      <c r="S844" s="217" t="n"/>
      <c r="Z844" t="str">
        <f>IF(AND(R844="WON",ISNUMBER(I844)),AA844,"")</f>
        <v/>
      </c>
      <c r="AA844">
        <f>IFERROR(I844*1,0)</f>
        <v>0</v>
      </c>
      <c r="AB844">
        <f>N(AB843)+IF(AND(R844="WON",B844&lt;&gt;""),1,0)</f>
        <v>7</v>
      </c>
      <c r="AC844">
        <f>N(AC843)+IF(AND(OR(R844="offered",R844="to be offered",R844="on hold"),B844&lt;&gt;""),1,0)</f>
        <v>19</v>
      </c>
      <c r="AD844">
        <f>N(AD843)+IF(AND(OR(R844="follow-up",R844="Evaluation",R844="tbd",R844="In evaluation"),B844&lt;&gt;""),1,0)</f>
        <v>9</v>
      </c>
    </row>
    <row r="845" ht="15" customHeight="1">
      <c r="I845" s="215" t="n"/>
      <c r="J845" s="215" t="n"/>
      <c r="K845" s="215" t="n"/>
      <c r="L845" s="215" t="n"/>
      <c r="M845" s="215" t="n"/>
      <c r="N845" s="215" t="str">
        <f>IF(ISNUMBER(I845),ROUND(I845-I845/1.081,2),"")</f>
        <v/>
      </c>
      <c r="O845" s="215" t="str">
        <f>IF(ISNUMBER(I845),I845-SUM(J845:N845),"")</f>
        <v/>
      </c>
      <c r="P845" s="216" t="str">
        <f>IFERROR(IF(AND(ISNUMBER(O845),ISNUMBER(I845),I845&lt;&gt;0),O845/I845,""),"")</f>
        <v/>
      </c>
      <c r="Q845" s="215" t="str">
        <f>IF(AND(ISNUMBER(I845),ISNUMBER(S845)),I845*IF(S845&lt;=1,S845,S845/100),IF(OR(I845&lt;&gt;"",S845&lt;&gt;""),"tbd",""))</f>
        <v/>
      </c>
      <c r="S845" s="217" t="n"/>
      <c r="Z845" t="str">
        <f>IF(AND(R845="WON",ISNUMBER(I845)),AA845,"")</f>
        <v/>
      </c>
      <c r="AA845">
        <f>IFERROR(I845*1,0)</f>
        <v>0</v>
      </c>
      <c r="AB845">
        <f>N(AB844)+IF(AND(R845="WON",B845&lt;&gt;""),1,0)</f>
        <v>7</v>
      </c>
      <c r="AC845">
        <f>N(AC844)+IF(AND(OR(R845="offered",R845="to be offered",R845="on hold"),B845&lt;&gt;""),1,0)</f>
        <v>19</v>
      </c>
      <c r="AD845">
        <f>N(AD844)+IF(AND(OR(R845="follow-up",R845="Evaluation",R845="tbd",R845="In evaluation"),B845&lt;&gt;""),1,0)</f>
        <v>9</v>
      </c>
    </row>
    <row r="846" ht="15" customHeight="1">
      <c r="I846" s="215" t="n"/>
      <c r="J846" s="215" t="n"/>
      <c r="K846" s="215" t="n"/>
      <c r="L846" s="215" t="n"/>
      <c r="M846" s="215" t="n"/>
      <c r="N846" s="215" t="str">
        <f>IF(ISNUMBER(I846),ROUND(I846-I846/1.081,2),"")</f>
        <v/>
      </c>
      <c r="O846" s="215" t="str">
        <f>IF(ISNUMBER(I846),I846-SUM(J846:N846),"")</f>
        <v/>
      </c>
      <c r="P846" s="216" t="str">
        <f>IFERROR(IF(AND(ISNUMBER(O846),ISNUMBER(I846),I846&lt;&gt;0),O846/I846,""),"")</f>
        <v/>
      </c>
      <c r="Q846" s="215" t="str">
        <f>IF(AND(ISNUMBER(I846),ISNUMBER(S846)),I846*IF(S846&lt;=1,S846,S846/100),IF(OR(I846&lt;&gt;"",S846&lt;&gt;""),"tbd",""))</f>
        <v/>
      </c>
      <c r="S846" s="217" t="n"/>
      <c r="Z846" t="str">
        <f>IF(AND(R846="WON",ISNUMBER(I846)),AA846,"")</f>
        <v/>
      </c>
      <c r="AA846">
        <f>IFERROR(I846*1,0)</f>
        <v>0</v>
      </c>
      <c r="AB846">
        <f>N(AB845)+IF(AND(R846="WON",B846&lt;&gt;""),1,0)</f>
        <v>7</v>
      </c>
      <c r="AC846">
        <f>N(AC845)+IF(AND(OR(R846="offered",R846="to be offered",R846="on hold"),B846&lt;&gt;""),1,0)</f>
        <v>19</v>
      </c>
      <c r="AD846">
        <f>N(AD845)+IF(AND(OR(R846="follow-up",R846="Evaluation",R846="tbd",R846="In evaluation"),B846&lt;&gt;""),1,0)</f>
        <v>9</v>
      </c>
    </row>
    <row r="847" ht="15" customHeight="1">
      <c r="I847" s="215" t="n"/>
      <c r="J847" s="215" t="n"/>
      <c r="K847" s="215" t="n"/>
      <c r="L847" s="215" t="n"/>
      <c r="M847" s="215" t="n"/>
      <c r="N847" s="215" t="str">
        <f>IF(ISNUMBER(I847),ROUND(I847-I847/1.081,2),"")</f>
        <v/>
      </c>
      <c r="O847" s="215" t="str">
        <f>IF(ISNUMBER(I847),I847-SUM(J847:N847),"")</f>
        <v/>
      </c>
      <c r="P847" s="216" t="str">
        <f>IFERROR(IF(AND(ISNUMBER(O847),ISNUMBER(I847),I847&lt;&gt;0),O847/I847,""),"")</f>
        <v/>
      </c>
      <c r="Q847" s="215" t="str">
        <f>IF(AND(ISNUMBER(I847),ISNUMBER(S847)),I847*IF(S847&lt;=1,S847,S847/100),IF(OR(I847&lt;&gt;"",S847&lt;&gt;""),"tbd",""))</f>
        <v/>
      </c>
      <c r="S847" s="217" t="n"/>
      <c r="Z847" t="str">
        <f>IF(AND(R847="WON",ISNUMBER(I847)),AA847,"")</f>
        <v/>
      </c>
      <c r="AA847">
        <f>IFERROR(I847*1,0)</f>
        <v>0</v>
      </c>
      <c r="AB847">
        <f>N(AB846)+IF(AND(R847="WON",B847&lt;&gt;""),1,0)</f>
        <v>7</v>
      </c>
      <c r="AC847">
        <f>N(AC846)+IF(AND(OR(R847="offered",R847="to be offered",R847="on hold"),B847&lt;&gt;""),1,0)</f>
        <v>19</v>
      </c>
      <c r="AD847">
        <f>N(AD846)+IF(AND(OR(R847="follow-up",R847="Evaluation",R847="tbd",R847="In evaluation"),B847&lt;&gt;""),1,0)</f>
        <v>9</v>
      </c>
    </row>
    <row r="848" ht="15" customHeight="1">
      <c r="I848" s="215" t="n"/>
      <c r="J848" s="215" t="n"/>
      <c r="K848" s="215" t="n"/>
      <c r="L848" s="215" t="n"/>
      <c r="M848" s="215" t="n"/>
      <c r="N848" s="215" t="str">
        <f>IF(ISNUMBER(I848),ROUND(I848-I848/1.081,2),"")</f>
        <v/>
      </c>
      <c r="O848" s="215" t="str">
        <f>IF(ISNUMBER(I848),I848-SUM(J848:N848),"")</f>
        <v/>
      </c>
      <c r="P848" s="216" t="str">
        <f>IFERROR(IF(AND(ISNUMBER(O848),ISNUMBER(I848),I848&lt;&gt;0),O848/I848,""),"")</f>
        <v/>
      </c>
      <c r="Q848" s="215" t="str">
        <f>IF(AND(ISNUMBER(I848),ISNUMBER(S848)),I848*IF(S848&lt;=1,S848,S848/100),IF(OR(I848&lt;&gt;"",S848&lt;&gt;""),"tbd",""))</f>
        <v/>
      </c>
      <c r="S848" s="217" t="n"/>
      <c r="Z848" t="str">
        <f>IF(AND(R848="WON",ISNUMBER(I848)),AA848,"")</f>
        <v/>
      </c>
      <c r="AA848">
        <f>IFERROR(I848*1,0)</f>
        <v>0</v>
      </c>
      <c r="AB848">
        <f>N(AB847)+IF(AND(R848="WON",B848&lt;&gt;""),1,0)</f>
        <v>7</v>
      </c>
      <c r="AC848">
        <f>N(AC847)+IF(AND(OR(R848="offered",R848="to be offered",R848="on hold"),B848&lt;&gt;""),1,0)</f>
        <v>19</v>
      </c>
      <c r="AD848">
        <f>N(AD847)+IF(AND(OR(R848="follow-up",R848="Evaluation",R848="tbd",R848="In evaluation"),B848&lt;&gt;""),1,0)</f>
        <v>9</v>
      </c>
    </row>
    <row r="849" ht="15" customHeight="1">
      <c r="I849" s="215" t="n"/>
      <c r="J849" s="215" t="n"/>
      <c r="K849" s="215" t="n"/>
      <c r="L849" s="215" t="n"/>
      <c r="M849" s="215" t="n"/>
      <c r="N849" s="215" t="str">
        <f>IF(ISNUMBER(I849),ROUND(I849-I849/1.081,2),"")</f>
        <v/>
      </c>
      <c r="O849" s="215" t="str">
        <f>IF(ISNUMBER(I849),I849-SUM(J849:N849),"")</f>
        <v/>
      </c>
      <c r="P849" s="216" t="str">
        <f>IFERROR(IF(AND(ISNUMBER(O849),ISNUMBER(I849),I849&lt;&gt;0),O849/I849,""),"")</f>
        <v/>
      </c>
      <c r="Q849" s="215" t="str">
        <f>IF(AND(ISNUMBER(I849),ISNUMBER(S849)),I849*IF(S849&lt;=1,S849,S849/100),IF(OR(I849&lt;&gt;"",S849&lt;&gt;""),"tbd",""))</f>
        <v/>
      </c>
      <c r="S849" s="217" t="n"/>
      <c r="Z849" t="str">
        <f>IF(AND(R849="WON",ISNUMBER(I849)),AA849,"")</f>
        <v/>
      </c>
      <c r="AA849">
        <f>IFERROR(I849*1,0)</f>
        <v>0</v>
      </c>
      <c r="AB849">
        <f>N(AB848)+IF(AND(R849="WON",B849&lt;&gt;""),1,0)</f>
        <v>7</v>
      </c>
      <c r="AC849">
        <f>N(AC848)+IF(AND(OR(R849="offered",R849="to be offered",R849="on hold"),B849&lt;&gt;""),1,0)</f>
        <v>19</v>
      </c>
      <c r="AD849">
        <f>N(AD848)+IF(AND(OR(R849="follow-up",R849="Evaluation",R849="tbd",R849="In evaluation"),B849&lt;&gt;""),1,0)</f>
        <v>9</v>
      </c>
    </row>
    <row r="850" ht="15" customHeight="1">
      <c r="I850" s="215" t="n"/>
      <c r="J850" s="215" t="n"/>
      <c r="K850" s="215" t="n"/>
      <c r="L850" s="215" t="n"/>
      <c r="M850" s="215" t="n"/>
      <c r="N850" s="215" t="str">
        <f>IF(ISNUMBER(I850),ROUND(I850-I850/1.081,2),"")</f>
        <v/>
      </c>
      <c r="O850" s="215" t="str">
        <f>IF(ISNUMBER(I850),I850-SUM(J850:N850),"")</f>
        <v/>
      </c>
      <c r="P850" s="216" t="str">
        <f>IFERROR(IF(AND(ISNUMBER(O850),ISNUMBER(I850),I850&lt;&gt;0),O850/I850,""),"")</f>
        <v/>
      </c>
      <c r="Q850" s="215" t="str">
        <f>IF(AND(ISNUMBER(I850),ISNUMBER(S850)),I850*IF(S850&lt;=1,S850,S850/100),IF(OR(I850&lt;&gt;"",S850&lt;&gt;""),"tbd",""))</f>
        <v/>
      </c>
      <c r="S850" s="217" t="n"/>
      <c r="Z850" t="str">
        <f>IF(AND(R850="WON",ISNUMBER(I850)),AA850,"")</f>
        <v/>
      </c>
      <c r="AA850">
        <f>IFERROR(I850*1,0)</f>
        <v>0</v>
      </c>
      <c r="AB850">
        <f>N(AB849)+IF(AND(R850="WON",B850&lt;&gt;""),1,0)</f>
        <v>7</v>
      </c>
      <c r="AC850">
        <f>N(AC849)+IF(AND(OR(R850="offered",R850="to be offered",R850="on hold"),B850&lt;&gt;""),1,0)</f>
        <v>19</v>
      </c>
      <c r="AD850">
        <f>N(AD849)+IF(AND(OR(R850="follow-up",R850="Evaluation",R850="tbd",R850="In evaluation"),B850&lt;&gt;""),1,0)</f>
        <v>9</v>
      </c>
    </row>
    <row r="851" ht="15" customHeight="1">
      <c r="I851" s="215" t="n"/>
      <c r="J851" s="215" t="n"/>
      <c r="K851" s="215" t="n"/>
      <c r="L851" s="215" t="n"/>
      <c r="M851" s="215" t="n"/>
      <c r="N851" s="215" t="str">
        <f>IF(ISNUMBER(I851),ROUND(I851-I851/1.081,2),"")</f>
        <v/>
      </c>
      <c r="O851" s="215" t="str">
        <f>IF(ISNUMBER(I851),I851-SUM(J851:N851),"")</f>
        <v/>
      </c>
      <c r="P851" s="216" t="str">
        <f>IFERROR(IF(AND(ISNUMBER(O851),ISNUMBER(I851),I851&lt;&gt;0),O851/I851,""),"")</f>
        <v/>
      </c>
      <c r="Q851" s="215" t="str">
        <f>IF(AND(ISNUMBER(I851),ISNUMBER(S851)),I851*IF(S851&lt;=1,S851,S851/100),IF(OR(I851&lt;&gt;"",S851&lt;&gt;""),"tbd",""))</f>
        <v/>
      </c>
      <c r="S851" s="217" t="n"/>
      <c r="Z851" t="str">
        <f>IF(AND(R851="WON",ISNUMBER(I851)),AA851,"")</f>
        <v/>
      </c>
      <c r="AA851">
        <f>IFERROR(I851*1,0)</f>
        <v>0</v>
      </c>
      <c r="AB851">
        <f>N(AB850)+IF(AND(R851="WON",B851&lt;&gt;""),1,0)</f>
        <v>7</v>
      </c>
      <c r="AC851">
        <f>N(AC850)+IF(AND(OR(R851="offered",R851="to be offered",R851="on hold"),B851&lt;&gt;""),1,0)</f>
        <v>19</v>
      </c>
      <c r="AD851">
        <f>N(AD850)+IF(AND(OR(R851="follow-up",R851="Evaluation",R851="tbd",R851="In evaluation"),B851&lt;&gt;""),1,0)</f>
        <v>9</v>
      </c>
    </row>
    <row r="852" ht="15" customHeight="1">
      <c r="I852" s="215" t="n"/>
      <c r="J852" s="215" t="n"/>
      <c r="K852" s="215" t="n"/>
      <c r="L852" s="215" t="n"/>
      <c r="M852" s="215" t="n"/>
      <c r="N852" s="215" t="str">
        <f>IF(ISNUMBER(I852),ROUND(I852-I852/1.081,2),"")</f>
        <v/>
      </c>
      <c r="O852" s="215" t="str">
        <f>IF(ISNUMBER(I852),I852-SUM(J852:N852),"")</f>
        <v/>
      </c>
      <c r="P852" s="216" t="str">
        <f>IFERROR(IF(AND(ISNUMBER(O852),ISNUMBER(I852),I852&lt;&gt;0),O852/I852,""),"")</f>
        <v/>
      </c>
      <c r="Q852" s="215" t="str">
        <f>IF(AND(ISNUMBER(I852),ISNUMBER(S852)),I852*IF(S852&lt;=1,S852,S852/100),IF(OR(I852&lt;&gt;"",S852&lt;&gt;""),"tbd",""))</f>
        <v/>
      </c>
      <c r="S852" s="217" t="n"/>
      <c r="Z852" t="str">
        <f>IF(AND(R852="WON",ISNUMBER(I852)),AA852,"")</f>
        <v/>
      </c>
      <c r="AA852">
        <f>IFERROR(I852*1,0)</f>
        <v>0</v>
      </c>
      <c r="AB852">
        <f>N(AB851)+IF(AND(R852="WON",B852&lt;&gt;""),1,0)</f>
        <v>7</v>
      </c>
      <c r="AC852">
        <f>N(AC851)+IF(AND(OR(R852="offered",R852="to be offered",R852="on hold"),B852&lt;&gt;""),1,0)</f>
        <v>19</v>
      </c>
      <c r="AD852">
        <f>N(AD851)+IF(AND(OR(R852="follow-up",R852="Evaluation",R852="tbd",R852="In evaluation"),B852&lt;&gt;""),1,0)</f>
        <v>9</v>
      </c>
    </row>
    <row r="853" ht="15" customHeight="1">
      <c r="I853" s="215" t="n"/>
      <c r="J853" s="215" t="n"/>
      <c r="K853" s="215" t="n"/>
      <c r="L853" s="215" t="n"/>
      <c r="M853" s="215" t="n"/>
      <c r="N853" s="215" t="str">
        <f>IF(ISNUMBER(I853),ROUND(I853-I853/1.081,2),"")</f>
        <v/>
      </c>
      <c r="O853" s="215" t="str">
        <f>IF(ISNUMBER(I853),I853-SUM(J853:N853),"")</f>
        <v/>
      </c>
      <c r="P853" s="216" t="str">
        <f>IFERROR(IF(AND(ISNUMBER(O853),ISNUMBER(I853),I853&lt;&gt;0),O853/I853,""),"")</f>
        <v/>
      </c>
      <c r="Q853" s="215" t="str">
        <f>IF(AND(ISNUMBER(I853),ISNUMBER(S853)),I853*IF(S853&lt;=1,S853,S853/100),IF(OR(I853&lt;&gt;"",S853&lt;&gt;""),"tbd",""))</f>
        <v/>
      </c>
      <c r="S853" s="217" t="n"/>
      <c r="Z853" t="str">
        <f>IF(AND(R853="WON",ISNUMBER(I853)),AA853,"")</f>
        <v/>
      </c>
      <c r="AA853">
        <f>IFERROR(I853*1,0)</f>
        <v>0</v>
      </c>
      <c r="AB853">
        <f>N(AB852)+IF(AND(R853="WON",B853&lt;&gt;""),1,0)</f>
        <v>7</v>
      </c>
      <c r="AC853">
        <f>N(AC852)+IF(AND(OR(R853="offered",R853="to be offered",R853="on hold"),B853&lt;&gt;""),1,0)</f>
        <v>19</v>
      </c>
      <c r="AD853">
        <f>N(AD852)+IF(AND(OR(R853="follow-up",R853="Evaluation",R853="tbd",R853="In evaluation"),B853&lt;&gt;""),1,0)</f>
        <v>9</v>
      </c>
    </row>
    <row r="854" ht="15" customHeight="1">
      <c r="I854" s="215" t="n"/>
      <c r="J854" s="215" t="n"/>
      <c r="K854" s="215" t="n"/>
      <c r="L854" s="215" t="n"/>
      <c r="M854" s="215" t="n"/>
      <c r="N854" s="215" t="str">
        <f>IF(ISNUMBER(I854),ROUND(I854-I854/1.081,2),"")</f>
        <v/>
      </c>
      <c r="O854" s="215" t="str">
        <f>IF(ISNUMBER(I854),I854-SUM(J854:N854),"")</f>
        <v/>
      </c>
      <c r="P854" s="216" t="str">
        <f>IFERROR(IF(AND(ISNUMBER(O854),ISNUMBER(I854),I854&lt;&gt;0),O854/I854,""),"")</f>
        <v/>
      </c>
      <c r="Q854" s="215" t="str">
        <f>IF(AND(ISNUMBER(I854),ISNUMBER(S854)),I854*IF(S854&lt;=1,S854,S854/100),IF(OR(I854&lt;&gt;"",S854&lt;&gt;""),"tbd",""))</f>
        <v/>
      </c>
      <c r="S854" s="217" t="n"/>
      <c r="Z854" t="str">
        <f>IF(AND(R854="WON",ISNUMBER(I854)),AA854,"")</f>
        <v/>
      </c>
      <c r="AA854">
        <f>IFERROR(I854*1,0)</f>
        <v>0</v>
      </c>
      <c r="AB854">
        <f>N(AB853)+IF(AND(R854="WON",B854&lt;&gt;""),1,0)</f>
        <v>7</v>
      </c>
      <c r="AC854">
        <f>N(AC853)+IF(AND(OR(R854="offered",R854="to be offered",R854="on hold"),B854&lt;&gt;""),1,0)</f>
        <v>19</v>
      </c>
      <c r="AD854">
        <f>N(AD853)+IF(AND(OR(R854="follow-up",R854="Evaluation",R854="tbd",R854="In evaluation"),B854&lt;&gt;""),1,0)</f>
        <v>9</v>
      </c>
    </row>
    <row r="855" ht="15" customHeight="1">
      <c r="I855" s="215" t="n"/>
      <c r="J855" s="215" t="n"/>
      <c r="K855" s="215" t="n"/>
      <c r="L855" s="215" t="n"/>
      <c r="M855" s="215" t="n"/>
      <c r="N855" s="215" t="str">
        <f>IF(ISNUMBER(I855),ROUND(I855-I855/1.081,2),"")</f>
        <v/>
      </c>
      <c r="O855" s="215" t="str">
        <f>IF(ISNUMBER(I855),I855-SUM(J855:N855),"")</f>
        <v/>
      </c>
      <c r="P855" s="216" t="str">
        <f>IFERROR(IF(AND(ISNUMBER(O855),ISNUMBER(I855),I855&lt;&gt;0),O855/I855,""),"")</f>
        <v/>
      </c>
      <c r="Q855" s="215" t="str">
        <f>IF(AND(ISNUMBER(I855),ISNUMBER(S855)),I855*IF(S855&lt;=1,S855,S855/100),IF(OR(I855&lt;&gt;"",S855&lt;&gt;""),"tbd",""))</f>
        <v/>
      </c>
      <c r="S855" s="217" t="n"/>
      <c r="Z855" t="str">
        <f>IF(AND(R855="WON",ISNUMBER(I855)),AA855,"")</f>
        <v/>
      </c>
      <c r="AA855">
        <f>IFERROR(I855*1,0)</f>
        <v>0</v>
      </c>
      <c r="AB855">
        <f>N(AB854)+IF(AND(R855="WON",B855&lt;&gt;""),1,0)</f>
        <v>7</v>
      </c>
      <c r="AC855">
        <f>N(AC854)+IF(AND(OR(R855="offered",R855="to be offered",R855="on hold"),B855&lt;&gt;""),1,0)</f>
        <v>19</v>
      </c>
      <c r="AD855">
        <f>N(AD854)+IF(AND(OR(R855="follow-up",R855="Evaluation",R855="tbd",R855="In evaluation"),B855&lt;&gt;""),1,0)</f>
        <v>9</v>
      </c>
    </row>
    <row r="856" ht="15" customHeight="1">
      <c r="I856" s="215" t="n"/>
      <c r="J856" s="215" t="n"/>
      <c r="K856" s="215" t="n"/>
      <c r="L856" s="215" t="n"/>
      <c r="M856" s="215" t="n"/>
      <c r="N856" s="215" t="str">
        <f>IF(ISNUMBER(I856),ROUND(I856-I856/1.081,2),"")</f>
        <v/>
      </c>
      <c r="O856" s="215" t="str">
        <f>IF(ISNUMBER(I856),I856-SUM(J856:N856),"")</f>
        <v/>
      </c>
      <c r="P856" s="216" t="str">
        <f>IFERROR(IF(AND(ISNUMBER(O856),ISNUMBER(I856),I856&lt;&gt;0),O856/I856,""),"")</f>
        <v/>
      </c>
      <c r="Q856" s="215" t="str">
        <f>IF(AND(ISNUMBER(I856),ISNUMBER(S856)),I856*IF(S856&lt;=1,S856,S856/100),IF(OR(I856&lt;&gt;"",S856&lt;&gt;""),"tbd",""))</f>
        <v/>
      </c>
      <c r="S856" s="217" t="n"/>
      <c r="Z856" t="str">
        <f>IF(AND(R856="WON",ISNUMBER(I856)),AA856,"")</f>
        <v/>
      </c>
      <c r="AA856">
        <f>IFERROR(I856*1,0)</f>
        <v>0</v>
      </c>
      <c r="AB856">
        <f>N(AB855)+IF(AND(R856="WON",B856&lt;&gt;""),1,0)</f>
        <v>7</v>
      </c>
      <c r="AC856">
        <f>N(AC855)+IF(AND(OR(R856="offered",R856="to be offered",R856="on hold"),B856&lt;&gt;""),1,0)</f>
        <v>19</v>
      </c>
      <c r="AD856">
        <f>N(AD855)+IF(AND(OR(R856="follow-up",R856="Evaluation",R856="tbd",R856="In evaluation"),B856&lt;&gt;""),1,0)</f>
        <v>9</v>
      </c>
    </row>
    <row r="857" ht="15" customHeight="1">
      <c r="I857" s="215" t="n"/>
      <c r="J857" s="215" t="n"/>
      <c r="K857" s="215" t="n"/>
      <c r="L857" s="215" t="n"/>
      <c r="M857" s="215" t="n"/>
      <c r="N857" s="215" t="str">
        <f>IF(ISNUMBER(I857),ROUND(I857-I857/1.081,2),"")</f>
        <v/>
      </c>
      <c r="O857" s="215" t="str">
        <f>IF(ISNUMBER(I857),I857-SUM(J857:N857),"")</f>
        <v/>
      </c>
      <c r="P857" s="216" t="str">
        <f>IFERROR(IF(AND(ISNUMBER(O857),ISNUMBER(I857),I857&lt;&gt;0),O857/I857,""),"")</f>
        <v/>
      </c>
      <c r="Q857" s="215" t="str">
        <f>IF(AND(ISNUMBER(I857),ISNUMBER(S857)),I857*IF(S857&lt;=1,S857,S857/100),IF(OR(I857&lt;&gt;"",S857&lt;&gt;""),"tbd",""))</f>
        <v/>
      </c>
      <c r="S857" s="217" t="n"/>
      <c r="Z857" t="str">
        <f>IF(AND(R857="WON",ISNUMBER(I857)),AA857,"")</f>
        <v/>
      </c>
      <c r="AA857">
        <f>IFERROR(I857*1,0)</f>
        <v>0</v>
      </c>
      <c r="AB857">
        <f>N(AB856)+IF(AND(R857="WON",B857&lt;&gt;""),1,0)</f>
        <v>7</v>
      </c>
      <c r="AC857">
        <f>N(AC856)+IF(AND(OR(R857="offered",R857="to be offered",R857="on hold"),B857&lt;&gt;""),1,0)</f>
        <v>19</v>
      </c>
      <c r="AD857">
        <f>N(AD856)+IF(AND(OR(R857="follow-up",R857="Evaluation",R857="tbd",R857="In evaluation"),B857&lt;&gt;""),1,0)</f>
        <v>9</v>
      </c>
    </row>
    <row r="858" ht="15" customHeight="1">
      <c r="I858" s="215" t="n"/>
      <c r="J858" s="215" t="n"/>
      <c r="K858" s="215" t="n"/>
      <c r="L858" s="215" t="n"/>
      <c r="M858" s="215" t="n"/>
      <c r="N858" s="215" t="str">
        <f>IF(ISNUMBER(I858),ROUND(I858-I858/1.081,2),"")</f>
        <v/>
      </c>
      <c r="O858" s="215" t="str">
        <f>IF(ISNUMBER(I858),I858-SUM(J858:N858),"")</f>
        <v/>
      </c>
      <c r="P858" s="216" t="str">
        <f>IFERROR(IF(AND(ISNUMBER(O858),ISNUMBER(I858),I858&lt;&gt;0),O858/I858,""),"")</f>
        <v/>
      </c>
      <c r="Q858" s="215" t="str">
        <f>IF(AND(ISNUMBER(I858),ISNUMBER(S858)),I858*IF(S858&lt;=1,S858,S858/100),IF(OR(I858&lt;&gt;"",S858&lt;&gt;""),"tbd",""))</f>
        <v/>
      </c>
      <c r="S858" s="217" t="n"/>
      <c r="Z858" t="str">
        <f>IF(AND(R858="WON",ISNUMBER(I858)),AA858,"")</f>
        <v/>
      </c>
      <c r="AA858">
        <f>IFERROR(I858*1,0)</f>
        <v>0</v>
      </c>
      <c r="AB858">
        <f>N(AB857)+IF(AND(R858="WON",B858&lt;&gt;""),1,0)</f>
        <v>7</v>
      </c>
      <c r="AC858">
        <f>N(AC857)+IF(AND(OR(R858="offered",R858="to be offered",R858="on hold"),B858&lt;&gt;""),1,0)</f>
        <v>19</v>
      </c>
      <c r="AD858">
        <f>N(AD857)+IF(AND(OR(R858="follow-up",R858="Evaluation",R858="tbd",R858="In evaluation"),B858&lt;&gt;""),1,0)</f>
        <v>9</v>
      </c>
    </row>
    <row r="859" ht="15" customHeight="1">
      <c r="I859" s="215" t="n"/>
      <c r="J859" s="215" t="n"/>
      <c r="K859" s="215" t="n"/>
      <c r="L859" s="215" t="n"/>
      <c r="M859" s="215" t="n"/>
      <c r="N859" s="215" t="str">
        <f>IF(ISNUMBER(I859),ROUND(I859-I859/1.081,2),"")</f>
        <v/>
      </c>
      <c r="O859" s="215" t="str">
        <f>IF(ISNUMBER(I859),I859-SUM(J859:N859),"")</f>
        <v/>
      </c>
      <c r="P859" s="216" t="str">
        <f>IFERROR(IF(AND(ISNUMBER(O859),ISNUMBER(I859),I859&lt;&gt;0),O859/I859,""),"")</f>
        <v/>
      </c>
      <c r="Q859" s="215" t="str">
        <f>IF(AND(ISNUMBER(I859),ISNUMBER(S859)),I859*IF(S859&lt;=1,S859,S859/100),IF(OR(I859&lt;&gt;"",S859&lt;&gt;""),"tbd",""))</f>
        <v/>
      </c>
      <c r="S859" s="217" t="n"/>
      <c r="Z859" t="str">
        <f>IF(AND(R859="WON",ISNUMBER(I859)),AA859,"")</f>
        <v/>
      </c>
      <c r="AA859">
        <f>IFERROR(I859*1,0)</f>
        <v>0</v>
      </c>
      <c r="AB859">
        <f>N(AB858)+IF(AND(R859="WON",B859&lt;&gt;""),1,0)</f>
        <v>7</v>
      </c>
      <c r="AC859">
        <f>N(AC858)+IF(AND(OR(R859="offered",R859="to be offered",R859="on hold"),B859&lt;&gt;""),1,0)</f>
        <v>19</v>
      </c>
      <c r="AD859">
        <f>N(AD858)+IF(AND(OR(R859="follow-up",R859="Evaluation",R859="tbd",R859="In evaluation"),B859&lt;&gt;""),1,0)</f>
        <v>9</v>
      </c>
    </row>
    <row r="860" ht="15" customHeight="1">
      <c r="I860" s="215" t="n"/>
      <c r="J860" s="215" t="n"/>
      <c r="K860" s="215" t="n"/>
      <c r="L860" s="215" t="n"/>
      <c r="M860" s="215" t="n"/>
      <c r="N860" s="215" t="str">
        <f>IF(ISNUMBER(I860),ROUND(I860-I860/1.081,2),"")</f>
        <v/>
      </c>
      <c r="O860" s="215" t="str">
        <f>IF(ISNUMBER(I860),I860-SUM(J860:N860),"")</f>
        <v/>
      </c>
      <c r="P860" s="216" t="str">
        <f>IFERROR(IF(AND(ISNUMBER(O860),ISNUMBER(I860),I860&lt;&gt;0),O860/I860,""),"")</f>
        <v/>
      </c>
      <c r="Q860" s="215" t="str">
        <f>IF(AND(ISNUMBER(I860),ISNUMBER(S860)),I860*IF(S860&lt;=1,S860,S860/100),IF(OR(I860&lt;&gt;"",S860&lt;&gt;""),"tbd",""))</f>
        <v/>
      </c>
      <c r="S860" s="217" t="n"/>
      <c r="Z860" t="str">
        <f>IF(AND(R860="WON",ISNUMBER(I860)),AA860,"")</f>
        <v/>
      </c>
      <c r="AA860">
        <f>IFERROR(I860*1,0)</f>
        <v>0</v>
      </c>
      <c r="AB860">
        <f>N(AB859)+IF(AND(R860="WON",B860&lt;&gt;""),1,0)</f>
        <v>7</v>
      </c>
      <c r="AC860">
        <f>N(AC859)+IF(AND(OR(R860="offered",R860="to be offered",R860="on hold"),B860&lt;&gt;""),1,0)</f>
        <v>19</v>
      </c>
      <c r="AD860">
        <f>N(AD859)+IF(AND(OR(R860="follow-up",R860="Evaluation",R860="tbd",R860="In evaluation"),B860&lt;&gt;""),1,0)</f>
        <v>9</v>
      </c>
    </row>
    <row r="861" ht="15" customHeight="1"/>
  </sheetData>
  <autoFilter ref="A5:X860">
    <sortState ref="A6:Y63">
      <sortCondition descending="1" ref="T5:T63"/>
    </sortState>
  </autoFilter>
  <mergeCells count="11">
    <mergeCell ref="G4:H4"/>
    <mergeCell ref="A4:B4"/>
    <mergeCell ref="A3:X3"/>
    <mergeCell ref="O4:R4"/>
    <mergeCell ref="C4:F4"/>
    <mergeCell ref="A2:X2"/>
    <mergeCell ref="U4:X4"/>
    <mergeCell ref="I4:L4"/>
    <mergeCell ref="A1:X1"/>
    <mergeCell ref="M4:N4"/>
    <mergeCell ref="S4:T4"/>
  </mergeCells>
  <conditionalFormatting sqref="R6:R860">
    <cfRule type="cellIs" priority="1" operator="equal" dxfId="9" stopIfTrue="1">
      <formula>"WON"</formula>
    </cfRule>
    <cfRule type="cellIs" priority="2" operator="equal" dxfId="8" stopIfTrue="1">
      <formula>"offered"</formula>
    </cfRule>
    <cfRule type="cellIs" priority="3" operator="equal" dxfId="7" stopIfTrue="1">
      <formula>"to be offered"</formula>
    </cfRule>
    <cfRule type="cellIs" priority="4" operator="equal" dxfId="6" stopIfTrue="1">
      <formula>"follow-up"</formula>
    </cfRule>
    <cfRule type="cellIs" priority="5" operator="equal" dxfId="4" stopIfTrue="1">
      <formula>"Evaluation"</formula>
    </cfRule>
    <cfRule type="cellIs" priority="6" operator="equal" dxfId="4" stopIfTrue="1">
      <formula>"In evaluation"</formula>
    </cfRule>
    <cfRule type="cellIs" priority="7" operator="equal" dxfId="3" stopIfTrue="1">
      <formula>"on hold"</formula>
    </cfRule>
    <cfRule type="cellIs" priority="8" operator="equal" dxfId="2" stopIfTrue="1">
      <formula>"tbd"</formula>
    </cfRule>
    <cfRule type="cellIs" priority="9" operator="equal" dxfId="1" stopIfTrue="1">
      <formula>"LOST"</formula>
    </cfRule>
    <cfRule type="cellIs" priority="10" operator="equal" dxfId="0" stopIfTrue="1">
      <formula>"Declined"</formula>
    </cfRule>
  </conditionalFormatting>
  <conditionalFormatting sqref="P6:P860">
    <cfRule type="colorScale" priority="11">
      <colorScale>
        <cfvo type="num" val="0"/>
        <cfvo type="num" val="0.3"/>
        <cfvo type="num" val="0.7"/>
        <color rgb="FFF8696B"/>
        <color rgb="FFFFEB84"/>
        <color rgb="FF63BE7B"/>
      </colorScale>
    </cfRule>
  </conditionalFormatting>
  <conditionalFormatting sqref="I6:I860">
    <cfRule type="dataBar" priority="12">
      <dataBar>
        <cfvo type="min"/>
        <cfvo type="max"/>
        <color rgb="FF63A6FF"/>
      </dataBar>
    </cfRule>
  </conditionalFormatting>
  <dataValidations count="3">
    <dataValidation sqref="R6:R860" showDropDown="0" showInputMessage="0" showErrorMessage="0" allowBlank="1" type="list">
      <formula1>"WON,offered,to be offered,follow-up,Evaluation,In evaluation,on hold,tbd,LOST,Declined"</formula1>
    </dataValidation>
    <dataValidation sqref="C6:C860" showDropDown="0" showInputMessage="0" showErrorMessage="0" allowBlank="1" type="list">
      <formula1>"AG,AI,AR,BE,BL,BS,FR,GE,GL,GR,JU,LU,NE,NW,OW,SG,SH,SO,SZ,TG,TI,UR,VD,VS,ZG,ZH,tbd"</formula1>
    </dataValidation>
    <dataValidation sqref="T6:T860" showDropDown="0" showInputMessage="0" showErrorMessage="0" allowBlank="1" type="list">
      <formula1>"Kalt,Kalt (Burak),Kalt (Mauro),Warm,Warm – Aggreko,Warm – CBM,Warm – Netzwerk,Inbound"</formula1>
    </dataValidation>
  </dataValidations>
  <printOptions horizontalCentered="1"/>
  <pageMargins left="0.3" right="0.3" top="0.5" bottom="0.5" header="0.511811023622047" footer="0.511811023622047"/>
  <pageSetup orientation="landscape" paperSize="9" fitToHeight="0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9"/>
  <sheetViews>
    <sheetView zoomScaleNormal="100" workbookViewId="0">
      <selection activeCell="A1" sqref="A1"/>
    </sheetView>
  </sheetViews>
  <sheetFormatPr baseColWidth="8" defaultColWidth="8.5703125" defaultRowHeight="15"/>
  <sheetData>
    <row r="1" ht="15" customHeight="1">
      <c r="A1" t="inlineStr">
        <is>
          <t>Status_Key</t>
        </is>
      </c>
      <c r="B1" t="inlineStr">
        <is>
          <t>Status</t>
        </is>
      </c>
      <c r="C1" t="inlineStr">
        <is>
          <t>Anzahl</t>
        </is>
      </c>
      <c r="D1" t="inlineStr">
        <is>
          <t>Volumen</t>
        </is>
      </c>
      <c r="G1" t="inlineStr">
        <is>
          <t>Segment</t>
        </is>
      </c>
      <c r="H1" t="inlineStr">
        <is>
          <t>Volumen</t>
        </is>
      </c>
      <c r="I1" t="inlineStr">
        <is>
          <t>Deals</t>
        </is>
      </c>
    </row>
    <row r="2" ht="15" customHeight="1">
      <c r="A2" t="inlineStr">
        <is>
          <t>WON</t>
        </is>
      </c>
      <c r="B2" t="inlineStr">
        <is>
          <t>✅ WON</t>
        </is>
      </c>
      <c r="C2">
        <f>COUNTIF('MiT Strom Pipeline'!R$6:R$860,A2)</f>
        <v>7</v>
      </c>
      <c r="D2">
        <f>SUMIFS('MiT Strom Pipeline'!I$6:I$860,'MiT Strom Pipeline'!R$6:R$860,A2)</f>
        <v>694803.69</v>
      </c>
      <c r="G2" t="inlineStr">
        <is>
          <t>Events &amp; Sport</t>
        </is>
      </c>
      <c r="H2">
        <f>SUMIF('MiT Strom Pipeline'!$D$6:$D$860,G2,'MiT Strom Pipeline'!$I$6:$I$860)</f>
        <v>310000</v>
      </c>
      <c r="I2">
        <f>COUNTIF('MiT Strom Pipeline'!$D$6:$D$860,G2)</f>
        <v>1</v>
      </c>
    </row>
    <row r="3" ht="15" customHeight="1">
      <c r="A3" t="inlineStr">
        <is>
          <t>offered</t>
        </is>
      </c>
      <c r="B3" t="inlineStr">
        <is>
          <t>📄 Offerte</t>
        </is>
      </c>
      <c r="C3">
        <f>COUNTIF('MiT Strom Pipeline'!R$6:R$860,A3)</f>
        <v>18</v>
      </c>
      <c r="D3">
        <f>SUMIFS('MiT Strom Pipeline'!I$6:I$860,'MiT Strom Pipeline'!R$6:R$860,A3)</f>
        <v>3559557.95</v>
      </c>
      <c r="G3" t="inlineStr">
        <is>
          <t>Industrie / Oberfläche</t>
        </is>
      </c>
      <c r="H3">
        <f>SUMIF('MiT Strom Pipeline'!$D$6:$D$860,G3,'MiT Strom Pipeline'!$I$6:$I$860)</f>
        <v>13100</v>
      </c>
      <c r="I3">
        <f>COUNTIF('MiT Strom Pipeline'!$D$6:$D$860,G3)</f>
        <v>1</v>
      </c>
    </row>
    <row r="4" ht="15" customHeight="1">
      <c r="A4" t="inlineStr">
        <is>
          <t>to be offered</t>
        </is>
      </c>
      <c r="B4" t="inlineStr">
        <is>
          <t>📝 To Offer</t>
        </is>
      </c>
      <c r="C4">
        <f>COUNTIF('MiT Strom Pipeline'!R$6:R$860,A4)</f>
        <v>0</v>
      </c>
      <c r="D4">
        <f>SUMIFS('MiT Strom Pipeline'!I$6:I$860,'MiT Strom Pipeline'!R$6:R$860,A4)</f>
        <v>0</v>
      </c>
      <c r="G4" t="inlineStr">
        <is>
          <t>Industrie / Elektro</t>
        </is>
      </c>
      <c r="H4">
        <f>SUMIF('MiT Strom Pipeline'!$D$6:$D$860,G4,'MiT Strom Pipeline'!$I$6:$I$860)</f>
        <v>10000</v>
      </c>
      <c r="I4">
        <f>COUNTIF('MiT Strom Pipeline'!$D$6:$D$860,G4)</f>
        <v>1</v>
      </c>
    </row>
    <row r="5" ht="15" customHeight="1">
      <c r="A5" t="inlineStr">
        <is>
          <t>follow-up</t>
        </is>
      </c>
      <c r="B5" t="inlineStr">
        <is>
          <t>🎯 Follow-Up</t>
        </is>
      </c>
      <c r="C5">
        <f>COUNTIF('MiT Strom Pipeline'!R$6:R$860,A5)</f>
        <v>4</v>
      </c>
      <c r="D5">
        <f>SUMIFS('MiT Strom Pipeline'!I$6:I$860,'MiT Strom Pipeline'!R$6:R$860,A5)</f>
        <v>1293888</v>
      </c>
      <c r="G5" t="inlineStr">
        <is>
          <t>Events &amp; Kultur</t>
        </is>
      </c>
      <c r="H5">
        <f>SUMIF('MiT Strom Pipeline'!$D$6:$D$860,G5,'MiT Strom Pipeline'!$I$6:$I$860)</f>
        <v>150000</v>
      </c>
      <c r="I5">
        <f>COUNTIF('MiT Strom Pipeline'!$D$6:$D$860,G5)</f>
        <v>1</v>
      </c>
    </row>
    <row r="6" ht="15" customHeight="1">
      <c r="A6" t="inlineStr">
        <is>
          <t>Evaluation</t>
        </is>
      </c>
      <c r="B6" t="inlineStr">
        <is>
          <t>🔍 Evaluation</t>
        </is>
      </c>
      <c r="C6">
        <f>COUNTIF('MiT Strom Pipeline'!R$6:R$860,A6)</f>
        <v>3</v>
      </c>
      <c r="D6">
        <f>SUMIFS('MiT Strom Pipeline'!I$6:I$860,'MiT Strom Pipeline'!R$6:R$860,A6)</f>
        <v>79686.52</v>
      </c>
      <c r="G6" t="inlineStr">
        <is>
          <t>Immobilien / FM</t>
        </is>
      </c>
      <c r="H6">
        <f>SUMIF('MiT Strom Pipeline'!$D$6:$D$860,G6,'MiT Strom Pipeline'!$I$6:$I$860)</f>
        <v>390000</v>
      </c>
      <c r="I6">
        <f>COUNTIF('MiT Strom Pipeline'!$D$6:$D$860,G6)</f>
        <v>1</v>
      </c>
    </row>
    <row r="7" ht="15" customHeight="1">
      <c r="A7" t="inlineStr">
        <is>
          <t>In evaluation</t>
        </is>
      </c>
      <c r="B7" t="inlineStr">
        <is>
          <t>🔍 In Eval</t>
        </is>
      </c>
      <c r="C7">
        <f>COUNTIF('MiT Strom Pipeline'!R$6:R$860,A7)</f>
        <v>1</v>
      </c>
      <c r="D7">
        <f>SUMIFS('MiT Strom Pipeline'!I$6:I$860,'MiT Strom Pipeline'!R$6:R$860,A7)</f>
        <v>3760.04</v>
      </c>
      <c r="G7" t="inlineStr">
        <is>
          <t>EVU / Energie</t>
        </is>
      </c>
      <c r="H7">
        <f>SUMIF('MiT Strom Pipeline'!$D$6:$D$860,G7,'MiT Strom Pipeline'!$I$6:$I$860)</f>
        <v>137658.69</v>
      </c>
      <c r="I7">
        <f>COUNTIF('MiT Strom Pipeline'!$D$6:$D$860,G7)</f>
        <v>2</v>
      </c>
    </row>
    <row r="8" ht="15" customHeight="1">
      <c r="A8" t="inlineStr">
        <is>
          <t>on hold</t>
        </is>
      </c>
      <c r="B8" t="inlineStr">
        <is>
          <t>⏸ On Hold</t>
        </is>
      </c>
      <c r="C8">
        <f>COUNTIF('MiT Strom Pipeline'!R$6:R$860,A8)</f>
        <v>1</v>
      </c>
      <c r="D8">
        <f>SUMIFS('MiT Strom Pipeline'!I$6:I$860,'MiT Strom Pipeline'!R$6:R$860,A8)</f>
        <v>0</v>
      </c>
      <c r="G8" t="inlineStr">
        <is>
          <t>Infrastruktur / Bau</t>
        </is>
      </c>
      <c r="H8">
        <f>SUMIF('MiT Strom Pipeline'!$D$6:$D$860,G8,'MiT Strom Pipeline'!$I$6:$I$860)</f>
        <v>57897.12</v>
      </c>
      <c r="I8">
        <f>COUNTIF('MiT Strom Pipeline'!$D$6:$D$860,G8)</f>
        <v>4</v>
      </c>
    </row>
    <row r="9" ht="15" customHeight="1">
      <c r="A9" t="inlineStr">
        <is>
          <t>tbd</t>
        </is>
      </c>
      <c r="B9" t="inlineStr">
        <is>
          <t>❓ TBD</t>
        </is>
      </c>
      <c r="C9">
        <f>COUNTIF('MiT Strom Pipeline'!R$6:R$860,A9)</f>
        <v>1</v>
      </c>
      <c r="D9">
        <f>SUMIFS('MiT Strom Pipeline'!I$6:I$860,'MiT Strom Pipeline'!R$6:R$860,A9)</f>
        <v>0</v>
      </c>
      <c r="G9" t="inlineStr">
        <is>
          <t>Industrie / Metall</t>
        </is>
      </c>
      <c r="H9">
        <f>SUMIF('MiT Strom Pipeline'!$D$6:$D$860,G9,'MiT Strom Pipeline'!$I$6:$I$860)</f>
        <v>500000</v>
      </c>
      <c r="I9">
        <f>COUNTIF('MiT Strom Pipeline'!$D$6:$D$860,G9)</f>
        <v>1</v>
      </c>
    </row>
    <row r="10" ht="15" customHeight="1">
      <c r="A10" t="inlineStr">
        <is>
          <t>LOST</t>
        </is>
      </c>
      <c r="B10" t="inlineStr">
        <is>
          <t>❌ LOST</t>
        </is>
      </c>
      <c r="C10">
        <f>COUNTIF('MiT Strom Pipeline'!R$6:R$860,A10)</f>
        <v>7</v>
      </c>
      <c r="D10">
        <f>SUMIFS('MiT Strom Pipeline'!I$6:I$860,'MiT Strom Pipeline'!R$6:R$860,A10)</f>
        <v>78251.62</v>
      </c>
      <c r="G10" t="inlineStr">
        <is>
          <t>Elektroinstallation</t>
        </is>
      </c>
      <c r="H10">
        <f>SUMIF('MiT Strom Pipeline'!$D$6:$D$860,G10,'MiT Strom Pipeline'!$I$6:$I$860)</f>
        <v>97679.21</v>
      </c>
      <c r="I10">
        <f>COUNTIF('MiT Strom Pipeline'!$D$6:$D$860,G10)</f>
        <v>8</v>
      </c>
    </row>
    <row r="11" ht="15" customHeight="1">
      <c r="A11" t="inlineStr">
        <is>
          <t>Declined</t>
        </is>
      </c>
      <c r="B11" t="inlineStr">
        <is>
          <t>🚫 Declined</t>
        </is>
      </c>
      <c r="C11">
        <f>COUNTIF('MiT Strom Pipeline'!R$6:R$860,A11)</f>
        <v>13</v>
      </c>
      <c r="D11">
        <f>SUMIFS('MiT Strom Pipeline'!I$6:I$860,'MiT Strom Pipeline'!R$6:R$860,A11)</f>
        <v>96029.01</v>
      </c>
      <c r="G11" t="inlineStr">
        <is>
          <t>Events / Medien</t>
        </is>
      </c>
      <c r="H11">
        <f>SUMIF('MiT Strom Pipeline'!$D$6:$D$860,G11,'MiT Strom Pipeline'!$I$6:$I$860)</f>
        <v>0</v>
      </c>
      <c r="I11">
        <f>COUNTIF('MiT Strom Pipeline'!$D$6:$D$860,G11)</f>
        <v>2</v>
      </c>
    </row>
    <row r="12" ht="15" customHeight="1">
      <c r="G12" t="inlineStr">
        <is>
          <t>Forschung / Hightech</t>
        </is>
      </c>
      <c r="H12">
        <f>SUMIF('MiT Strom Pipeline'!$D$6:$D$860,G12,'MiT Strom Pipeline'!$I$6:$I$860)</f>
        <v>365003</v>
      </c>
      <c r="I12">
        <f>COUNTIF('MiT Strom Pipeline'!$D$6:$D$860,G12)</f>
        <v>1</v>
      </c>
    </row>
    <row r="13" ht="15" customHeight="1">
      <c r="A13" t="inlineStr">
        <is>
          <t>Kanton</t>
        </is>
      </c>
      <c r="B13" t="inlineStr">
        <is>
          <t>Volumen</t>
        </is>
      </c>
      <c r="C13" t="inlineStr">
        <is>
          <t>Deals</t>
        </is>
      </c>
      <c r="D13" t="inlineStr">
        <is>
          <t>WON</t>
        </is>
      </c>
      <c r="E13" t="inlineStr">
        <is>
          <t>RankKey</t>
        </is>
      </c>
      <c r="G13" t="inlineStr">
        <is>
          <t>Industrie / Messtechnik</t>
        </is>
      </c>
      <c r="H13">
        <f>SUMIF('MiT Strom Pipeline'!$D$6:$D$860,G13,'MiT Strom Pipeline'!$I$6:$I$860)</f>
        <v>75769</v>
      </c>
      <c r="I13">
        <f>COUNTIF('MiT Strom Pipeline'!$D$6:$D$860,G13)</f>
        <v>3</v>
      </c>
    </row>
    <row r="14" ht="15" customHeight="1">
      <c r="A14" t="inlineStr">
        <is>
          <t>AG</t>
        </is>
      </c>
      <c r="B14">
        <f>SUMIF('MiT Strom Pipeline'!$C$6:$C$860,A14,'MiT Strom Pipeline'!$I$6:$I$860)</f>
        <v>403463.95</v>
      </c>
      <c r="C14">
        <f>COUNTIF('MiT Strom Pipeline'!$C$6:$C$860,A14)</f>
        <v>6</v>
      </c>
      <c r="D14">
        <f>COUNTIFS('MiT Strom Pipeline'!$C$6:$C$860,A14,'MiT Strom Pipeline'!$R$6:$R$860,"WON")</f>
        <v>1</v>
      </c>
      <c r="E14">
        <f>B14+(26-ROW())*0.0001</f>
        <v>403463.9512</v>
      </c>
      <c r="G14" t="inlineStr">
        <is>
          <t>Infrastruktur / Bahn</t>
        </is>
      </c>
      <c r="H14">
        <f>SUMIF('MiT Strom Pipeline'!$D$6:$D$860,G14,'MiT Strom Pipeline'!$I$6:$I$860)</f>
        <v>0</v>
      </c>
      <c r="I14">
        <f>COUNTIF('MiT Strom Pipeline'!$D$6:$D$860,G14)</f>
        <v>1</v>
      </c>
    </row>
    <row r="15" ht="15" customHeight="1">
      <c r="A15" t="inlineStr">
        <is>
          <t>AI</t>
        </is>
      </c>
      <c r="B15">
        <f>SUMIF('MiT Strom Pipeline'!$C$6:$C$860,A15,'MiT Strom Pipeline'!$I$6:$I$860)</f>
        <v>0</v>
      </c>
      <c r="C15">
        <f>COUNTIF('MiT Strom Pipeline'!$C$6:$C$860,A15)</f>
        <v>0</v>
      </c>
      <c r="D15">
        <f>COUNTIFS('MiT Strom Pipeline'!$C$6:$C$860,A15,'MiT Strom Pipeline'!$R$6:$R$860,"WON")</f>
        <v>0</v>
      </c>
      <c r="E15">
        <f>B15+(26-ROW())*0.0001</f>
        <v>0.0011</v>
      </c>
      <c r="G15" t="inlineStr">
        <is>
          <t>Bildung / Forschung</t>
        </is>
      </c>
      <c r="H15">
        <f>SUMIF('MiT Strom Pipeline'!$D$6:$D$860,G15,'MiT Strom Pipeline'!$I$6:$I$860)</f>
        <v>0</v>
      </c>
      <c r="I15">
        <f>COUNTIF('MiT Strom Pipeline'!$D$6:$D$860,G15)</f>
        <v>1</v>
      </c>
    </row>
    <row r="16" ht="15" customHeight="1">
      <c r="A16" t="inlineStr">
        <is>
          <t>AR</t>
        </is>
      </c>
      <c r="B16">
        <f>SUMIF('MiT Strom Pipeline'!$C$6:$C$860,A16,'MiT Strom Pipeline'!$I$6:$I$860)</f>
        <v>0</v>
      </c>
      <c r="C16">
        <f>COUNTIF('MiT Strom Pipeline'!$C$6:$C$860,A16)</f>
        <v>0</v>
      </c>
      <c r="D16">
        <f>COUNTIFS('MiT Strom Pipeline'!$C$6:$C$860,A16,'MiT Strom Pipeline'!$R$6:$R$860,"WON")</f>
        <v>0</v>
      </c>
      <c r="E16">
        <f>B16+(26-ROW())*0.0001</f>
        <v>0.001</v>
      </c>
      <c r="G16" t="inlineStr">
        <is>
          <t>tbd</t>
        </is>
      </c>
      <c r="H16">
        <f>SUMIF('MiT Strom Pipeline'!$D$6:$D$860,G16,'MiT Strom Pipeline'!$I$6:$I$860)</f>
        <v>0</v>
      </c>
      <c r="I16">
        <f>COUNTIF('MiT Strom Pipeline'!$D$6:$D$860,G16)</f>
        <v>1</v>
      </c>
    </row>
    <row r="17" ht="15" customHeight="1">
      <c r="A17" t="inlineStr">
        <is>
          <t>BE</t>
        </is>
      </c>
      <c r="B17">
        <f>SUMIF('MiT Strom Pipeline'!$C$6:$C$860,A17,'MiT Strom Pipeline'!$I$6:$I$860)</f>
        <v>58012.12</v>
      </c>
      <c r="C17">
        <f>COUNTIF('MiT Strom Pipeline'!$C$6:$C$860,A17)</f>
        <v>5</v>
      </c>
      <c r="D17">
        <f>COUNTIFS('MiT Strom Pipeline'!$C$6:$C$860,A17,'MiT Strom Pipeline'!$R$6:$R$860,"WON")</f>
        <v>0</v>
      </c>
      <c r="E17">
        <f>B17+(26-ROW())*0.0001</f>
        <v>58012.1209</v>
      </c>
      <c r="G17" t="inlineStr">
        <is>
          <t>Industrie / Generatoren</t>
        </is>
      </c>
      <c r="H17">
        <f>SUMIF('MiT Strom Pipeline'!$D$6:$D$860,G17,'MiT Strom Pipeline'!$I$6:$I$860)</f>
        <v>48950</v>
      </c>
      <c r="I17">
        <f>COUNTIF('MiT Strom Pipeline'!$D$6:$D$860,G17)</f>
        <v>1</v>
      </c>
    </row>
    <row r="18" ht="15" customHeight="1">
      <c r="A18" t="inlineStr">
        <is>
          <t>BL</t>
        </is>
      </c>
      <c r="B18">
        <f>SUMIF('MiT Strom Pipeline'!$C$6:$C$860,A18,'MiT Strom Pipeline'!$I$6:$I$860)</f>
        <v>0</v>
      </c>
      <c r="C18">
        <f>COUNTIF('MiT Strom Pipeline'!$C$6:$C$860,A18)</f>
        <v>0</v>
      </c>
      <c r="D18">
        <f>COUNTIFS('MiT Strom Pipeline'!$C$6:$C$860,A18,'MiT Strom Pipeline'!$R$6:$R$860,"WON")</f>
        <v>0</v>
      </c>
      <c r="E18">
        <f>B18+(26-ROW())*0.0001</f>
        <v>0.0008</v>
      </c>
      <c r="G18" t="inlineStr">
        <is>
          <t>Ingenieure / Planung</t>
        </is>
      </c>
      <c r="H18">
        <f>SUMIF('MiT Strom Pipeline'!$D$6:$D$860,G18,'MiT Strom Pipeline'!$I$6:$I$860)</f>
        <v>39000</v>
      </c>
      <c r="I18">
        <f>COUNTIF('MiT Strom Pipeline'!$D$6:$D$860,G18)</f>
        <v>1</v>
      </c>
    </row>
    <row r="19" ht="15" customHeight="1">
      <c r="A19" t="inlineStr">
        <is>
          <t>BS</t>
        </is>
      </c>
      <c r="B19">
        <f>SUMIF('MiT Strom Pipeline'!$C$6:$C$860,A19,'MiT Strom Pipeline'!$I$6:$I$860)</f>
        <v>13866.21</v>
      </c>
      <c r="C19">
        <f>COUNTIF('MiT Strom Pipeline'!$C$6:$C$860,A19)</f>
        <v>1</v>
      </c>
      <c r="D19">
        <f>COUNTIFS('MiT Strom Pipeline'!$C$6:$C$860,A19,'MiT Strom Pipeline'!$R$6:$R$860,"WON")</f>
        <v>0</v>
      </c>
      <c r="E19">
        <f>B19+(26-ROW())*0.0001</f>
        <v>13866.2107</v>
      </c>
      <c r="G19" t="inlineStr">
        <is>
          <t>Kühlung / Konkurrenz</t>
        </is>
      </c>
      <c r="H19">
        <f>SUMIF('MiT Strom Pipeline'!$D$6:$D$860,G19,'MiT Strom Pipeline'!$I$6:$I$860)</f>
        <v>12572.63</v>
      </c>
      <c r="I19">
        <f>COUNTIF('MiT Strom Pipeline'!$D$6:$D$860,G19)</f>
        <v>1</v>
      </c>
    </row>
    <row r="20" ht="15" customHeight="1">
      <c r="A20" t="inlineStr">
        <is>
          <t>FR</t>
        </is>
      </c>
      <c r="B20">
        <f>SUMIF('MiT Strom Pipeline'!$C$6:$C$860,A20,'MiT Strom Pipeline'!$I$6:$I$860)</f>
        <v>0</v>
      </c>
      <c r="C20">
        <f>COUNTIF('MiT Strom Pipeline'!$C$6:$C$860,A20)</f>
        <v>0</v>
      </c>
      <c r="D20">
        <f>COUNTIFS('MiT Strom Pipeline'!$C$6:$C$860,A20,'MiT Strom Pipeline'!$R$6:$R$860,"WON")</f>
        <v>0</v>
      </c>
      <c r="E20">
        <f>B20+(26-ROW())*0.0001</f>
        <v>0.0006</v>
      </c>
      <c r="G20" t="inlineStr">
        <is>
          <t>Gemeinde</t>
        </is>
      </c>
      <c r="H20">
        <f>SUMIF('MiT Strom Pipeline'!$D$6:$D$860,G20,'MiT Strom Pipeline'!$I$6:$I$860)</f>
        <v>0</v>
      </c>
      <c r="I20">
        <f>COUNTIF('MiT Strom Pipeline'!$D$6:$D$860,G20)</f>
        <v>1</v>
      </c>
    </row>
    <row r="21" ht="15" customHeight="1">
      <c r="A21" t="inlineStr">
        <is>
          <t>GE</t>
        </is>
      </c>
      <c r="B21">
        <f>SUMIF('MiT Strom Pipeline'!$C$6:$C$860,A21,'MiT Strom Pipeline'!$I$6:$I$860)</f>
        <v>38885</v>
      </c>
      <c r="C21">
        <f>COUNTIF('MiT Strom Pipeline'!$C$6:$C$860,A21)</f>
        <v>1</v>
      </c>
      <c r="D21">
        <f>COUNTIFS('MiT Strom Pipeline'!$C$6:$C$860,A21,'MiT Strom Pipeline'!$R$6:$R$860,"WON")</f>
        <v>0</v>
      </c>
      <c r="E21">
        <f>B21+(26-ROW())*0.0001</f>
        <v>38885.0005</v>
      </c>
      <c r="G21" t="inlineStr">
        <is>
          <t>Hochschule</t>
        </is>
      </c>
      <c r="H21">
        <f>SUMIF('MiT Strom Pipeline'!$D$6:$D$860,G21,'MiT Strom Pipeline'!$I$6:$I$860)</f>
        <v>0</v>
      </c>
      <c r="I21">
        <f>COUNTIF('MiT Strom Pipeline'!$D$6:$D$860,G21)</f>
        <v>1</v>
      </c>
    </row>
    <row r="22" ht="15" customHeight="1">
      <c r="A22" t="inlineStr">
        <is>
          <t>GL</t>
        </is>
      </c>
      <c r="B22">
        <f>SUMIF('MiT Strom Pipeline'!$C$6:$C$860,A22,'MiT Strom Pipeline'!$I$6:$I$860)</f>
        <v>0</v>
      </c>
      <c r="C22">
        <f>COUNTIF('MiT Strom Pipeline'!$C$6:$C$860,A22)</f>
        <v>0</v>
      </c>
      <c r="D22">
        <f>COUNTIFS('MiT Strom Pipeline'!$C$6:$C$860,A22,'MiT Strom Pipeline'!$R$6:$R$860,"WON")</f>
        <v>0</v>
      </c>
      <c r="E22">
        <f>B22+(26-ROW())*0.0001</f>
        <v>0.0004</v>
      </c>
      <c r="G22" t="inlineStr">
        <is>
          <t>Industrie</t>
        </is>
      </c>
      <c r="H22">
        <f>SUMIF('MiT Strom Pipeline'!$D$6:$D$860,G22,'MiT Strom Pipeline'!$I$6:$I$860)</f>
        <v>3167711.08</v>
      </c>
      <c r="I22">
        <f>COUNTIF('MiT Strom Pipeline'!$D$6:$D$860,G22)</f>
        <v>13</v>
      </c>
    </row>
    <row r="23" ht="15" customHeight="1">
      <c r="A23" t="inlineStr">
        <is>
          <t>GR</t>
        </is>
      </c>
      <c r="B23">
        <f>SUMIF('MiT Strom Pipeline'!$C$6:$C$860,A23,'MiT Strom Pipeline'!$I$6:$I$860)</f>
        <v>77325.62</v>
      </c>
      <c r="C23">
        <f>COUNTIF('MiT Strom Pipeline'!$C$6:$C$860,A23)</f>
        <v>2</v>
      </c>
      <c r="D23">
        <f>COUNTIFS('MiT Strom Pipeline'!$C$6:$C$860,A23,'MiT Strom Pipeline'!$R$6:$R$860,"WON")</f>
        <v>0</v>
      </c>
      <c r="E23">
        <f>B23+(26-ROW())*0.0001</f>
        <v>77325.6203</v>
      </c>
      <c r="G23" t="inlineStr">
        <is>
          <t>Event</t>
        </is>
      </c>
      <c r="H23">
        <f>SUMIF('MiT Strom Pipeline'!$D$6:$D$860,G23,'MiT Strom Pipeline'!$I$6:$I$860)</f>
        <v>196130.66</v>
      </c>
      <c r="I23">
        <f>COUNTIF('MiT Strom Pipeline'!$D$6:$D$860,G23)</f>
        <v>3</v>
      </c>
    </row>
    <row r="24" ht="15" customHeight="1">
      <c r="A24" t="inlineStr">
        <is>
          <t>JU</t>
        </is>
      </c>
      <c r="B24">
        <f>SUMIF('MiT Strom Pipeline'!$C$6:$C$860,A24,'MiT Strom Pipeline'!$I$6:$I$860)</f>
        <v>0</v>
      </c>
      <c r="C24">
        <f>COUNTIF('MiT Strom Pipeline'!$C$6:$C$860,A24)</f>
        <v>0</v>
      </c>
      <c r="D24">
        <f>COUNTIFS('MiT Strom Pipeline'!$C$6:$C$860,A24,'MiT Strom Pipeline'!$R$6:$R$860,"WON")</f>
        <v>0</v>
      </c>
      <c r="E24">
        <f>B24+(26-ROW())*0.0001</f>
        <v>0.0002</v>
      </c>
      <c r="G24" t="inlineStr">
        <is>
          <t>Festival</t>
        </is>
      </c>
      <c r="H24">
        <f>SUMIF('MiT Strom Pipeline'!$D$6:$D$860,G24,'MiT Strom Pipeline'!$I$6:$I$860)</f>
        <v>750.65</v>
      </c>
      <c r="I24">
        <f>COUNTIF('MiT Strom Pipeline'!$D$6:$D$860,G24)</f>
        <v>1</v>
      </c>
    </row>
    <row r="25" ht="15" customHeight="1">
      <c r="A25" t="inlineStr">
        <is>
          <t>LU</t>
        </is>
      </c>
      <c r="B25">
        <f>SUMIF('MiT Strom Pipeline'!$C$6:$C$860,A25,'MiT Strom Pipeline'!$I$6:$I$860)</f>
        <v>12409.01</v>
      </c>
      <c r="C25">
        <f>COUNTIF('MiT Strom Pipeline'!$C$6:$C$860,A25)</f>
        <v>2</v>
      </c>
      <c r="D25">
        <f>COUNTIFS('MiT Strom Pipeline'!$C$6:$C$860,A25,'MiT Strom Pipeline'!$R$6:$R$860,"WON")</f>
        <v>0</v>
      </c>
      <c r="E25">
        <f>B25+(26-ROW())*0.0001</f>
        <v>12409.0101</v>
      </c>
      <c r="G25" t="inlineStr">
        <is>
          <t>Veranstaltung</t>
        </is>
      </c>
      <c r="H25">
        <f>SUMIF('MiT Strom Pipeline'!$D$6:$D$860,G25,'MiT Strom Pipeline'!$I$6:$I$860)</f>
        <v>5328.36</v>
      </c>
      <c r="I25">
        <f>COUNTIF('MiT Strom Pipeline'!$D$6:$D$860,G25)</f>
        <v>1</v>
      </c>
    </row>
    <row r="26" ht="15" customHeight="1">
      <c r="A26" t="inlineStr">
        <is>
          <t>NE</t>
        </is>
      </c>
      <c r="B26">
        <f>SUMIF('MiT Strom Pipeline'!$C$6:$C$860,A26,'MiT Strom Pipeline'!$I$6:$I$860)</f>
        <v>0</v>
      </c>
      <c r="C26">
        <f>COUNTIF('MiT Strom Pipeline'!$C$6:$C$860,A26)</f>
        <v>0</v>
      </c>
      <c r="D26">
        <f>COUNTIFS('MiT Strom Pipeline'!$C$6:$C$860,A26,'MiT Strom Pipeline'!$R$6:$R$860,"WON")</f>
        <v>0</v>
      </c>
      <c r="E26">
        <f>B26+(26-ROW())*0.0001</f>
        <v>0</v>
      </c>
      <c r="G26" t="inlineStr">
        <is>
          <t>EVU</t>
        </is>
      </c>
      <c r="H26">
        <f>SUMIF('MiT Strom Pipeline'!$D$6:$D$860,G26,'MiT Strom Pipeline'!$I$6:$I$860)</f>
        <v>223168.99</v>
      </c>
      <c r="I26">
        <f>COUNTIF('MiT Strom Pipeline'!$D$6:$D$860,G26)</f>
        <v>2</v>
      </c>
    </row>
    <row r="27" ht="15" customHeight="1">
      <c r="A27" t="inlineStr">
        <is>
          <t>NW</t>
        </is>
      </c>
      <c r="B27">
        <f>SUMIF('MiT Strom Pipeline'!$C$6:$C$860,A27,'MiT Strom Pipeline'!$I$6:$I$860)</f>
        <v>0</v>
      </c>
      <c r="C27">
        <f>COUNTIF('MiT Strom Pipeline'!$C$6:$C$860,A27)</f>
        <v>0</v>
      </c>
      <c r="D27">
        <f>COUNTIFS('MiT Strom Pipeline'!$C$6:$C$860,A27,'MiT Strom Pipeline'!$R$6:$R$860,"WON")</f>
        <v>0</v>
      </c>
      <c r="E27">
        <f>B27+(26-ROW())*0.0001</f>
        <v>-0.0001</v>
      </c>
      <c r="G27" t="inlineStr">
        <is>
          <t>Forschung</t>
        </is>
      </c>
      <c r="H27">
        <f>SUMIF('MiT Strom Pipeline'!$D$6:$D$860,G27,'MiT Strom Pipeline'!$I$6:$I$860)</f>
        <v>5257.44</v>
      </c>
      <c r="I27">
        <f>COUNTIF('MiT Strom Pipeline'!$D$6:$D$860,G27)</f>
        <v>1</v>
      </c>
    </row>
    <row r="28" ht="15" customHeight="1">
      <c r="A28" t="inlineStr">
        <is>
          <t>OW</t>
        </is>
      </c>
      <c r="B28">
        <f>SUMIF('MiT Strom Pipeline'!$C$6:$C$860,A28,'MiT Strom Pipeline'!$I$6:$I$860)</f>
        <v>0</v>
      </c>
      <c r="C28">
        <f>COUNTIF('MiT Strom Pipeline'!$C$6:$C$860,A28)</f>
        <v>0</v>
      </c>
      <c r="D28">
        <f>COUNTIFS('MiT Strom Pipeline'!$C$6:$C$860,A28,'MiT Strom Pipeline'!$R$6:$R$860,"WON")</f>
        <v>0</v>
      </c>
      <c r="E28">
        <f>B28+(26-ROW())*0.0001</f>
        <v>-0.0002</v>
      </c>
    </row>
    <row r="29" ht="15" customHeight="1">
      <c r="A29" t="inlineStr">
        <is>
          <t>SG</t>
        </is>
      </c>
      <c r="B29">
        <f>SUMIF('MiT Strom Pipeline'!$C$6:$C$860,A29,'MiT Strom Pipeline'!$I$6:$I$860)</f>
        <v>101192.62</v>
      </c>
      <c r="C29">
        <f>COUNTIF('MiT Strom Pipeline'!$C$6:$C$860,A29)</f>
        <v>3</v>
      </c>
      <c r="D29">
        <f>COUNTIFS('MiT Strom Pipeline'!$C$6:$C$860,A29,'MiT Strom Pipeline'!$R$6:$R$860,"WON")</f>
        <v>1</v>
      </c>
      <c r="E29">
        <f>B29+(26-ROW())*0.0001</f>
        <v>101192.6197</v>
      </c>
    </row>
    <row r="30" ht="15" customHeight="1">
      <c r="A30" t="inlineStr">
        <is>
          <t>SH</t>
        </is>
      </c>
      <c r="B30">
        <f>SUMIF('MiT Strom Pipeline'!$C$6:$C$860,A30,'MiT Strom Pipeline'!$I$6:$I$860)</f>
        <v>2637287.63</v>
      </c>
      <c r="C30">
        <f>COUNTIF('MiT Strom Pipeline'!$C$6:$C$860,A30)</f>
        <v>5</v>
      </c>
      <c r="D30">
        <f>COUNTIFS('MiT Strom Pipeline'!$C$6:$C$860,A30,'MiT Strom Pipeline'!$R$6:$R$860,"WON")</f>
        <v>1</v>
      </c>
      <c r="E30">
        <f>B30+(26-ROW())*0.0001</f>
        <v>2637287.6296</v>
      </c>
    </row>
    <row r="31" ht="15" customHeight="1">
      <c r="A31" t="inlineStr">
        <is>
          <t>SO</t>
        </is>
      </c>
      <c r="B31">
        <f>SUMIF('MiT Strom Pipeline'!$C$6:$C$860,A31,'MiT Strom Pipeline'!$I$6:$I$860)</f>
        <v>390750.65</v>
      </c>
      <c r="C31">
        <f>COUNTIF('MiT Strom Pipeline'!$C$6:$C$860,A31)</f>
        <v>2</v>
      </c>
      <c r="D31">
        <f>COUNTIFS('MiT Strom Pipeline'!$C$6:$C$860,A31,'MiT Strom Pipeline'!$R$6:$R$860,"WON")</f>
        <v>0</v>
      </c>
      <c r="E31">
        <f>B31+(26-ROW())*0.0001</f>
        <v>390750.6495</v>
      </c>
    </row>
    <row r="32" ht="15" customHeight="1">
      <c r="A32" t="inlineStr">
        <is>
          <t>SZ</t>
        </is>
      </c>
      <c r="B32">
        <f>SUMIF('MiT Strom Pipeline'!$C$6:$C$860,A32,'MiT Strom Pipeline'!$I$6:$I$860)</f>
        <v>0</v>
      </c>
      <c r="C32">
        <f>COUNTIF('MiT Strom Pipeline'!$C$6:$C$860,A32)</f>
        <v>0</v>
      </c>
      <c r="D32">
        <f>COUNTIFS('MiT Strom Pipeline'!$C$6:$C$860,A32,'MiT Strom Pipeline'!$R$6:$R$860,"WON")</f>
        <v>0</v>
      </c>
      <c r="E32">
        <f>B32+(26-ROW())*0.0001</f>
        <v>-0.0006</v>
      </c>
    </row>
    <row r="33" ht="15" customHeight="1">
      <c r="A33" t="inlineStr">
        <is>
          <t>TG</t>
        </is>
      </c>
      <c r="B33">
        <f>SUMIF('MiT Strom Pipeline'!$C$6:$C$860,A33,'MiT Strom Pipeline'!$I$6:$I$860)</f>
        <v>155328.36</v>
      </c>
      <c r="C33">
        <f>COUNTIF('MiT Strom Pipeline'!$C$6:$C$860,A33)</f>
        <v>2</v>
      </c>
      <c r="D33">
        <f>COUNTIFS('MiT Strom Pipeline'!$C$6:$C$860,A33,'MiT Strom Pipeline'!$R$6:$R$860,"WON")</f>
        <v>1</v>
      </c>
      <c r="E33">
        <f>B33+(26-ROW())*0.0001</f>
        <v>155328.3593</v>
      </c>
    </row>
    <row r="34" ht="15" customHeight="1">
      <c r="A34" t="inlineStr">
        <is>
          <t>TI</t>
        </is>
      </c>
      <c r="B34">
        <f>SUMIF('MiT Strom Pipeline'!$C$6:$C$860,A34,'MiT Strom Pipeline'!$I$6:$I$860)</f>
        <v>0</v>
      </c>
      <c r="C34">
        <f>COUNTIF('MiT Strom Pipeline'!$C$6:$C$860,A34)</f>
        <v>0</v>
      </c>
      <c r="D34">
        <f>COUNTIFS('MiT Strom Pipeline'!$C$6:$C$860,A34,'MiT Strom Pipeline'!$R$6:$R$860,"WON")</f>
        <v>0</v>
      </c>
      <c r="E34">
        <f>B34+(26-ROW())*0.0001</f>
        <v>-0.0008</v>
      </c>
    </row>
    <row r="35" ht="15" customHeight="1">
      <c r="A35" t="inlineStr">
        <is>
          <t>UR</t>
        </is>
      </c>
      <c r="B35">
        <f>SUMIF('MiT Strom Pipeline'!$C$6:$C$860,A35,'MiT Strom Pipeline'!$I$6:$I$860)</f>
        <v>0</v>
      </c>
      <c r="C35">
        <f>COUNTIF('MiT Strom Pipeline'!$C$6:$C$860,A35)</f>
        <v>1</v>
      </c>
      <c r="D35">
        <f>COUNTIFS('MiT Strom Pipeline'!$C$6:$C$860,A35,'MiT Strom Pipeline'!$R$6:$R$860,"WON")</f>
        <v>0</v>
      </c>
      <c r="E35">
        <f>B35+(26-ROW())*0.0001</f>
        <v>-0.0009</v>
      </c>
    </row>
    <row r="36" ht="15" customHeight="1">
      <c r="A36" t="inlineStr">
        <is>
          <t>VD</t>
        </is>
      </c>
      <c r="B36">
        <f>SUMIF('MiT Strom Pipeline'!$C$6:$C$860,A36,'MiT Strom Pipeline'!$I$6:$I$860)</f>
        <v>0</v>
      </c>
      <c r="C36">
        <f>COUNTIF('MiT Strom Pipeline'!$C$6:$C$860,A36)</f>
        <v>2</v>
      </c>
      <c r="D36">
        <f>COUNTIFS('MiT Strom Pipeline'!$C$6:$C$860,A36,'MiT Strom Pipeline'!$R$6:$R$860,"WON")</f>
        <v>0</v>
      </c>
      <c r="E36">
        <f>B36+(26-ROW())*0.0001</f>
        <v>-0.001</v>
      </c>
    </row>
    <row r="37" ht="15" customHeight="1">
      <c r="A37" t="inlineStr">
        <is>
          <t>VS</t>
        </is>
      </c>
      <c r="B37">
        <f>SUMIF('MiT Strom Pipeline'!$C$6:$C$860,A37,'MiT Strom Pipeline'!$I$6:$I$860)</f>
        <v>338213.99</v>
      </c>
      <c r="C37">
        <f>COUNTIF('MiT Strom Pipeline'!$C$6:$C$860,A37)</f>
        <v>3</v>
      </c>
      <c r="D37">
        <f>COUNTIFS('MiT Strom Pipeline'!$C$6:$C$860,A37,'MiT Strom Pipeline'!$R$6:$R$860,"WON")</f>
        <v>1</v>
      </c>
      <c r="E37">
        <f>B37+(26-ROW())*0.0001</f>
        <v>338213.9889</v>
      </c>
    </row>
    <row r="38" ht="15" customHeight="1">
      <c r="A38" t="inlineStr">
        <is>
          <t>ZG</t>
        </is>
      </c>
      <c r="B38">
        <f>SUMIF('MiT Strom Pipeline'!$C$6:$C$860,A38,'MiT Strom Pipeline'!$I$6:$I$860)</f>
        <v>0</v>
      </c>
      <c r="C38">
        <f>COUNTIF('MiT Strom Pipeline'!$C$6:$C$860,A38)</f>
        <v>0</v>
      </c>
      <c r="D38">
        <f>COUNTIFS('MiT Strom Pipeline'!$C$6:$C$860,A38,'MiT Strom Pipeline'!$R$6:$R$860,"WON")</f>
        <v>0</v>
      </c>
      <c r="E38">
        <f>B38+(26-ROW())*0.0001</f>
        <v>-0.0012</v>
      </c>
    </row>
    <row r="39" ht="15" customHeight="1">
      <c r="A39" t="inlineStr">
        <is>
          <t>ZH</t>
        </is>
      </c>
      <c r="B39">
        <f>SUMIF('MiT Strom Pipeline'!$C$6:$C$860,A39,'MiT Strom Pipeline'!$I$6:$I$860)</f>
        <v>1579241.67</v>
      </c>
      <c r="C39">
        <f>COUNTIF('MiT Strom Pipeline'!$C$6:$C$860,A39)</f>
        <v>19</v>
      </c>
      <c r="D39">
        <f>COUNTIFS('MiT Strom Pipeline'!$C$6:$C$860,A39,'MiT Strom Pipeline'!$R$6:$R$860,"WON")</f>
        <v>2</v>
      </c>
      <c r="E39">
        <f>B39+(26-ROW())*0.0001</f>
        <v>1579241.6687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2026-06-05T08:48:06Z</dcterms:created>
  <dcterms:modified xmlns:dcterms="http://purl.org/dc/terms/" xmlns:xsi="http://www.w3.org/2001/XMLSchema-instance" xsi:type="dcterms:W3CDTF">2026-07-13T14:27:26Z</dcterms:modified>
</cp:coreProperties>
</file>