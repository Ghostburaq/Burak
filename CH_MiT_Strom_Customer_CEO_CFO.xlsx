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725" windowWidth="29040" windowHeight="15720" tabRatio="500" firstSheet="5" activeTab="5" autoFilterDateGrouping="1"/>
  </bookViews>
  <sheets>
    <sheet xmlns:r="http://schemas.openxmlformats.org/officeDocument/2006/relationships" name="📑 Executive PDF" sheetId="1" state="visible" r:id="rId1"/>
    <sheet xmlns:r="http://schemas.openxmlformats.org/officeDocument/2006/relationships" name="📄 Report" sheetId="2" state="visible" r:id="rId2"/>
    <sheet xmlns:r="http://schemas.openxmlformats.org/officeDocument/2006/relationships" name="CEO Report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📊 Diagramme" sheetId="5" state="visible" r:id="rId5"/>
    <sheet xmlns:r="http://schemas.openxmlformats.org/officeDocument/2006/relationships" name="MiT Strom Pipeline" sheetId="6" state="visible" r:id="rId6"/>
    <sheet xmlns:r="http://schemas.openxmlformats.org/officeDocument/2006/relationships" name="_data" sheetId="7" state="hidden" r:id="rId7"/>
  </sheets>
  <definedNames>
    <definedName name="_xlnm.Print_Area" localSheetId="0">'📑 Executive PDF'!$A$1:$H$35</definedName>
    <definedName name="_xlnm.Print_Area" localSheetId="1">'📄 Report'!$A$1:$G$41</definedName>
    <definedName name="_xlnm._FilterDatabase" localSheetId="2" hidden="1">'CEO Report'!$A$10:$L$72</definedName>
    <definedName name="_xlnm.Print_Titles" localSheetId="2">'CEO Report'!$1:$3</definedName>
    <definedName name="_xlnm.Print_Area" localSheetId="2">'CEO Report'!$A$1:$L$206</definedName>
    <definedName name="_xlnm._FilterDatabase" localSheetId="3" hidden="1">'Dashboard'!$A$10:$K$72</definedName>
    <definedName name="_xlnm.Print_Titles" localSheetId="3">'Dashboard'!$1:$3</definedName>
    <definedName name="_xlnm.Print_Area" localSheetId="3">'Dashboard'!$A$1:$K$206</definedName>
    <definedName name="_xlnm.Print_Area" localSheetId="4">'📊 Diagramme'!$A$1:$R$44</definedName>
    <definedName name="_xlnm._FilterDatabase" localSheetId="5" hidden="1">'MiT Strom Pipeline'!$A$5:$X$860</definedName>
    <definedName name="_xlnm.Print_Titles" localSheetId="5">'MiT Strom Pipeline'!$1:$5</definedName>
    <definedName name="_xlnm.Print_Area" localSheetId="5">'MiT Strom Pipeline'!$A$1:$Y$48</definedName>
  </definedNames>
  <calcPr calcId="191028" calcMode="auto" fullCalcOnLoad="1" iterateDelta="0.0001" calcCompleted="0" forceFullCalc="1"/>
</workbook>
</file>

<file path=xl/styles.xml><?xml version="1.0" encoding="utf-8"?>
<styleSheet xmlns="http://schemas.openxmlformats.org/spreadsheetml/2006/main">
  <numFmts count="7">
    <numFmt numFmtId="164" formatCode="#,##0&quot; CHF&quot;"/>
    <numFmt numFmtId="165" formatCode="0.0%"/>
    <numFmt numFmtId="166" formatCode="0&quot; Deals&quot;"/>
    <numFmt numFmtId="167" formatCode="dd\.mm\.yyyy"/>
    <numFmt numFmtId="168" formatCode="m/d/yyyy"/>
    <numFmt numFmtId="169" formatCode="[$-407]d/\ mmm/;@"/>
    <numFmt numFmtId="170" formatCode="0&quot; Positionen&quot;"/>
  </numFmts>
  <fonts count="43">
    <font>
      <name val="Calibri"/>
      <charset val="1"/>
      <family val="2"/>
      <color theme="1"/>
      <sz val="11"/>
    </font>
    <font>
      <name val="Calibri"/>
      <charset val="1"/>
      <b val="1"/>
      <color rgb="FFFFFFFF"/>
      <sz val="20"/>
    </font>
    <font>
      <name val="Calibri"/>
      <charset val="1"/>
      <i val="1"/>
      <color rgb="FF555555"/>
      <sz val="11"/>
    </font>
    <font>
      <name val="Calibri"/>
      <charset val="1"/>
      <color rgb="FF888888"/>
      <sz val="10"/>
    </font>
    <font>
      <name val="Cambria"/>
      <charset val="1"/>
      <b val="1"/>
      <color rgb="FFFFFFFF"/>
      <sz val="11"/>
    </font>
    <font>
      <name val="Cambria"/>
      <charset val="1"/>
      <b val="1"/>
      <color rgb="FF1F3864"/>
      <sz val="14"/>
    </font>
    <font>
      <name val="Cambria"/>
      <charset val="1"/>
      <i val="1"/>
      <color rgb="FF666666"/>
      <sz val="10"/>
    </font>
    <font>
      <name val="Calibri"/>
      <charset val="1"/>
      <b val="1"/>
      <color rgb="FFFFFFFF"/>
      <sz val="14"/>
    </font>
    <font>
      <name val="Calibri"/>
      <charset val="1"/>
      <b val="1"/>
      <color rgb="FF1F3864"/>
      <sz val="13"/>
    </font>
    <font>
      <name val="Cambria"/>
      <charset val="1"/>
      <b val="1"/>
      <color rgb="FFFFFFFF"/>
      <sz val="10"/>
    </font>
    <font>
      <name val="Cambria"/>
      <charset val="1"/>
      <sz val="10"/>
    </font>
    <font>
      <name val="Cambria"/>
      <charset val="1"/>
      <b val="1"/>
      <sz val="10"/>
    </font>
    <font>
      <name val="Cambria"/>
      <charset val="1"/>
      <i val="1"/>
      <color rgb="FF888888"/>
      <sz val="10"/>
    </font>
    <font>
      <name val="Calibri"/>
      <charset val="1"/>
      <b val="1"/>
      <color rgb="FF1F3864"/>
      <sz val="22"/>
    </font>
    <font>
      <name val="Calibri"/>
      <charset val="1"/>
      <b val="1"/>
      <color rgb="FF1F3864"/>
      <sz val="14"/>
    </font>
    <font>
      <name val="Cambria"/>
      <charset val="1"/>
      <b val="1"/>
      <sz val="11"/>
    </font>
    <font>
      <name val="Cambria"/>
      <charset val="1"/>
      <b val="1"/>
      <color rgb="FF1F3864"/>
      <sz val="12"/>
    </font>
    <font>
      <name val="Arial"/>
      <charset val="1"/>
      <b val="1"/>
      <color rgb="FFFFFFFF"/>
      <sz val="15"/>
    </font>
    <font>
      <name val="Cambria"/>
      <charset val="1"/>
      <sz val="11"/>
    </font>
    <font>
      <name val="Arial"/>
      <charset val="1"/>
      <i val="1"/>
      <color rgb="FFAAAAAA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22"/>
    </font>
    <font>
      <name val="Arial"/>
      <charset val="1"/>
      <b val="1"/>
      <color rgb="FFBBFFCC"/>
      <sz val="11"/>
    </font>
    <font>
      <name val="Arial"/>
      <charset val="1"/>
      <b val="1"/>
      <color rgb="FFBBDDFF"/>
      <sz val="11"/>
    </font>
    <font>
      <name val="Arial"/>
      <charset val="1"/>
      <b val="1"/>
      <color rgb="FFFFDDAA"/>
      <sz val="11"/>
    </font>
    <font>
      <name val="Arial"/>
      <charset val="1"/>
      <b val="1"/>
      <color rgb="FFFFFFFF"/>
      <sz val="9"/>
    </font>
    <font>
      <name val="Arial"/>
      <charset val="1"/>
      <color rgb="FF111111"/>
      <sz val="10"/>
    </font>
    <font>
      <name val="Arial"/>
      <charset val="1"/>
      <b val="1"/>
      <color rgb="FFD4A017"/>
      <sz val="15"/>
    </font>
    <font>
      <name val="Arial"/>
      <charset val="1"/>
      <color rgb="FF333333"/>
      <sz val="10"/>
    </font>
    <font>
      <name val="Arial"/>
      <charset val="1"/>
      <b val="1"/>
      <color rgb="FF166534"/>
      <sz val="11"/>
    </font>
    <font>
      <name val="Arial"/>
      <charset val="1"/>
      <b val="1"/>
      <color rgb="FF1E3A5F"/>
      <sz val="11"/>
    </font>
    <font>
      <name val="Arial"/>
      <charset val="1"/>
      <b val="1"/>
      <color rgb="FF7C2D12"/>
      <sz val="11"/>
    </font>
    <font>
      <name val="Arial"/>
      <charset val="1"/>
      <i val="1"/>
      <color rgb="FF888888"/>
      <sz val="8"/>
    </font>
    <font>
      <name val="Arial"/>
      <charset val="1"/>
      <b val="1"/>
      <color rgb="FFFFFFFF"/>
      <sz val="16"/>
    </font>
    <font>
      <name val="Arial"/>
      <charset val="1"/>
      <b val="1"/>
      <color rgb="FFFFFFFF"/>
      <sz val="10"/>
    </font>
    <font>
      <name val="Arial"/>
      <charset val="1"/>
      <b val="1"/>
      <color rgb="FFFFFFFF"/>
      <sz val="20"/>
    </font>
    <font>
      <name val="Arial"/>
      <charset val="1"/>
      <b val="1"/>
      <color rgb="FFDDBBFF"/>
      <sz val="11"/>
    </font>
    <font>
      <name val="Calibri"/>
      <charset val="1"/>
      <b val="1"/>
      <color rgb="FFFFFFFF"/>
      <sz val="18"/>
    </font>
    <font>
      <name val="Calibri"/>
      <charset val="1"/>
      <b val="1"/>
      <color rgb="FF1F3864"/>
      <sz val="12"/>
    </font>
    <font>
      <name val="Arial"/>
      <charset val="1"/>
      <b val="1"/>
      <color rgb="FFFFFFFF"/>
      <sz val="12"/>
    </font>
    <font>
      <name val="Arial"/>
      <charset val="1"/>
      <b val="1"/>
      <color rgb="FFD4A017"/>
      <sz val="12"/>
    </font>
    <font>
      <name val="Cambria"/>
      <charset val="1"/>
      <color rgb="FFFFFFFF"/>
      <sz val="8"/>
    </font>
    <font>
      <name val="Arial"/>
      <charset val="1"/>
      <family val="2"/>
      <color rgb="FF111111"/>
      <sz val="10"/>
    </font>
  </fonts>
  <fills count="38">
    <fill>
      <patternFill/>
    </fill>
    <fill>
      <patternFill patternType="gray125"/>
    </fill>
    <fill>
      <patternFill patternType="solid">
        <fgColor rgb="FF1F3864"/>
        <bgColor rgb="FF1E3A5F"/>
      </patternFill>
    </fill>
    <fill>
      <patternFill patternType="solid">
        <fgColor rgb="FF2E7D32"/>
        <bgColor rgb="FF166534"/>
      </patternFill>
    </fill>
    <fill>
      <patternFill patternType="solid">
        <fgColor rgb="FF1565C0"/>
        <bgColor rgb="FF1976D2"/>
      </patternFill>
    </fill>
    <fill>
      <patternFill patternType="solid">
        <fgColor rgb="FFF57C00"/>
        <bgColor rgb="FFDB7C0C"/>
      </patternFill>
    </fill>
    <fill>
      <patternFill patternType="solid">
        <fgColor rgb="FFF5F5F5"/>
        <bgColor rgb="FFF8FAFC"/>
      </patternFill>
    </fill>
    <fill>
      <patternFill patternType="solid">
        <fgColor rgb="FF7D3230"/>
        <bgColor rgb="FF7C2D12"/>
      </patternFill>
    </fill>
    <fill>
      <patternFill patternType="solid">
        <fgColor rgb="FF65C030"/>
        <bgColor rgb="FF97A136"/>
      </patternFill>
    </fill>
    <fill>
      <patternFill patternType="solid">
        <fgColor rgb="FF7C0030"/>
        <bgColor rgb="FF7C2D12"/>
      </patternFill>
    </fill>
    <fill>
      <patternFill patternType="solid">
        <fgColor rgb="FFD60030"/>
        <bgColor rgb="FFC8102E"/>
      </patternFill>
    </fill>
    <fill>
      <patternFill patternType="solid">
        <fgColor rgb="FF97A136"/>
        <bgColor rgb="FFBDBD30"/>
      </patternFill>
    </fill>
    <fill>
      <patternFill patternType="solid">
        <fgColor rgb="FFBDBD30"/>
        <bgColor rgb="FFD4A017"/>
      </patternFill>
    </fill>
    <fill>
      <patternFill patternType="darkGray">
        <fgColor rgb="FF2A2A31"/>
        <bgColor rgb="FF1E293B"/>
      </patternFill>
    </fill>
    <fill>
      <patternFill patternType="solid">
        <fgColor rgb="FF1C1C30"/>
        <bgColor rgb="FF1E293B"/>
      </patternFill>
    </fill>
    <fill>
      <patternFill patternType="solid">
        <fgColor rgb="FFE8EDF4"/>
        <bgColor rgb="FFF5F5F5"/>
      </patternFill>
    </fill>
    <fill>
      <patternFill patternType="solid">
        <fgColor rgb="FF0D1117"/>
        <bgColor rgb="FF111111"/>
      </patternFill>
    </fill>
    <fill>
      <patternFill patternType="solid">
        <fgColor rgb="FFC8102E"/>
        <bgColor rgb="FFB71C1C"/>
      </patternFill>
    </fill>
    <fill>
      <patternFill patternType="solid">
        <fgColor rgb="FF166534"/>
        <bgColor rgb="FF2E7D32"/>
      </patternFill>
    </fill>
    <fill>
      <patternFill patternType="solid">
        <fgColor rgb="FF1E3A5F"/>
        <bgColor rgb="FF1F3864"/>
      </patternFill>
    </fill>
    <fill>
      <patternFill patternType="solid">
        <fgColor rgb="FF7C2D12"/>
        <bgColor rgb="FF7D3230"/>
      </patternFill>
    </fill>
    <fill>
      <patternFill patternType="solid">
        <fgColor rgb="FFFFFFFF"/>
        <bgColor rgb="FFF8FAFC"/>
      </patternFill>
    </fill>
    <fill>
      <patternFill patternType="solid">
        <fgColor rgb="FF1E293B"/>
        <bgColor rgb="FF2A2A31"/>
      </patternFill>
    </fill>
    <fill>
      <patternFill patternType="solid">
        <fgColor rgb="FFDCFCE7"/>
        <bgColor rgb="FFF0FDF4"/>
      </patternFill>
    </fill>
    <fill>
      <patternFill patternType="solid">
        <fgColor rgb="FFF8FAFC"/>
        <bgColor rgb="FFF5F5F5"/>
      </patternFill>
    </fill>
    <fill>
      <patternFill patternType="solid">
        <fgColor rgb="FF4C1D95"/>
        <bgColor rgb="FF1F3864"/>
      </patternFill>
    </fill>
    <fill>
      <patternFill patternType="solid">
        <fgColor rgb="FFF0FDF4"/>
        <bgColor rgb="FFF8FAFC"/>
      </patternFill>
    </fill>
    <fill>
      <patternFill patternType="solid">
        <fgColor rgb="FF16A34A"/>
        <bgColor rgb="FF2E7D32"/>
      </patternFill>
    </fill>
    <fill>
      <patternFill patternType="solid">
        <fgColor rgb="FFDB7C0C"/>
        <bgColor rgb="FFF57C00"/>
      </patternFill>
    </fill>
    <fill>
      <patternFill patternType="solid">
        <fgColor rgb="FFFEF2F2"/>
        <bgColor rgb="FFF5F5F5"/>
      </patternFill>
    </fill>
    <fill>
      <patternFill patternType="solid">
        <fgColor rgb="FFDC2626"/>
        <bgColor rgb="FFC42B2B"/>
      </patternFill>
    </fill>
    <fill>
      <patternFill patternType="solid">
        <fgColor rgb="FF7C3AED"/>
        <bgColor rgb="FF4C1D95"/>
      </patternFill>
    </fill>
    <fill>
      <patternFill patternType="solid">
        <fgColor rgb="FF0891B2"/>
        <bgColor rgb="FF1976D2"/>
      </patternFill>
    </fill>
    <fill>
      <patternFill patternType="solid">
        <fgColor rgb="FF2563EB"/>
        <bgColor rgb="FF1565C0"/>
      </patternFill>
    </fill>
    <fill>
      <patternFill patternType="solid">
        <fgColor rgb="FFC00000"/>
        <bgColor rgb="FFD60030"/>
      </patternFill>
    </fill>
    <fill>
      <patternFill patternType="solid">
        <fgColor rgb="FF6C7081"/>
        <bgColor rgb="FF696272"/>
      </patternFill>
    </fill>
    <fill>
      <patternFill patternType="solid">
        <fgColor rgb="FFF8FAFC"/>
        <bgColor rgb="FFF8FAFC"/>
      </patternFill>
    </fill>
    <fill>
      <patternFill patternType="solid">
        <fgColor rgb="FFF0FDF4"/>
        <bgColor rgb="FFF0FDF4"/>
      </patternFill>
    </fill>
  </fills>
  <borders count="18">
    <border>
      <left/>
      <right/>
      <top/>
      <bottom/>
      <diagonal/>
    </border>
    <border>
      <left style="thin">
        <color rgb="FFBDBEBB"/>
      </left>
      <right style="thin">
        <color rgb="FFBDBEBB"/>
      </right>
      <top style="thin">
        <color rgb="FFBDBEBB"/>
      </top>
      <bottom style="thin">
        <color rgb="FFBDBEBB"/>
      </bottom>
      <diagonal/>
    </border>
    <border>
      <left/>
      <right/>
      <top/>
      <bottom style="medium">
        <color rgb="FF1F3864"/>
      </bottom>
      <diagonal/>
    </border>
    <border>
      <left style="thin">
        <color rgb="FFAFA7A9"/>
      </left>
      <right style="thin">
        <color rgb="FFAFA7A9"/>
      </right>
      <top style="thin">
        <color rgb="FFAFA7A9"/>
      </top>
      <bottom style="thin">
        <color rgb="FFAFA7A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DBEBB"/>
      </top>
      <bottom/>
      <diagonal/>
    </border>
    <border>
      <left/>
      <right style="thin">
        <color rgb="FFBDBEBB"/>
      </right>
      <top style="thin">
        <color rgb="FFBDBEBB"/>
      </top>
      <bottom/>
      <diagonal/>
    </border>
    <border>
      <left/>
      <right style="thin">
        <color rgb="FFBDBEBB"/>
      </right>
      <top style="thin">
        <color rgb="FFBDBEBB"/>
      </top>
      <bottom style="thin">
        <color rgb="FFBDBEBB"/>
      </bottom>
      <diagonal/>
    </border>
    <border>
      <left style="thin">
        <color rgb="FFBDBEBB"/>
      </left>
      <right/>
      <top/>
      <bottom/>
      <diagonal/>
    </border>
    <border>
      <left/>
      <right style="thin">
        <color rgb="FFBDBEBB"/>
      </right>
      <top/>
      <bottom/>
      <diagonal/>
    </border>
    <border>
      <left style="thin">
        <color rgb="FFBDBEBB"/>
      </left>
      <right/>
      <top/>
      <bottom style="thin">
        <color rgb="FFBDBEBB"/>
      </bottom>
      <diagonal/>
    </border>
    <border>
      <left/>
      <right/>
      <top/>
      <bottom style="thin">
        <color rgb="FFBDBEBB"/>
      </bottom>
      <diagonal/>
    </border>
    <border>
      <left/>
      <right style="thin">
        <color rgb="FFBDBEBB"/>
      </right>
      <top/>
      <bottom style="thin">
        <color rgb="FFBDBEBB"/>
      </bottom>
      <diagonal/>
    </border>
    <border>
      <left/>
      <right/>
      <top style="thin">
        <color rgb="FFBDBEBB"/>
      </top>
      <bottom style="thin">
        <color rgb="FFBDBEBB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8">
    <xf numFmtId="0" fontId="0" fillId="0" borderId="0" pivotButton="0" quotePrefix="0" xfId="0"/>
    <xf numFmtId="0" fontId="9" fillId="2" borderId="0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left"/>
    </xf>
    <xf numFmtId="164" fontId="1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0" fontId="4" fillId="2" borderId="3" applyAlignment="1" pivotButton="0" quotePrefix="0" xfId="0">
      <alignment horizontal="center"/>
    </xf>
    <xf numFmtId="0" fontId="15" fillId="0" borderId="3" applyAlignment="1" pivotButton="0" quotePrefix="0" xfId="0">
      <alignment horizontal="left" vertical="center"/>
    </xf>
    <xf numFmtId="164" fontId="0" fillId="0" borderId="3" applyAlignment="1" pivotButton="0" quotePrefix="0" xfId="0">
      <alignment horizontal="center" vertical="center"/>
    </xf>
    <xf numFmtId="166" fontId="0" fillId="0" borderId="3" applyAlignment="1" pivotButton="0" quotePrefix="0" xfId="0">
      <alignment horizontal="center" vertical="center"/>
    </xf>
    <xf numFmtId="165" fontId="0" fillId="0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left" vertical="center"/>
    </xf>
    <xf numFmtId="164" fontId="16" fillId="15" borderId="3" applyAlignment="1" pivotButton="0" quotePrefix="0" xfId="0">
      <alignment horizontal="center" vertical="center"/>
    </xf>
    <xf numFmtId="166" fontId="16" fillId="15" borderId="3" applyAlignment="1" pivotButton="0" quotePrefix="0" xfId="0">
      <alignment horizontal="center" vertical="center"/>
    </xf>
    <xf numFmtId="165" fontId="16" fillId="15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/>
    </xf>
    <xf numFmtId="0" fontId="0" fillId="0" borderId="3" pivotButton="0" quotePrefix="0" xfId="0"/>
    <xf numFmtId="164" fontId="0" fillId="0" borderId="3" pivotButton="0" quotePrefix="0" xfId="0"/>
    <xf numFmtId="1" fontId="0" fillId="0" borderId="3" applyAlignment="1" pivotButton="0" quotePrefix="0" xfId="0">
      <alignment horizontal="center"/>
    </xf>
    <xf numFmtId="9" fontId="0" fillId="0" borderId="3" applyAlignment="1" pivotButton="0" quotePrefix="0" xfId="0">
      <alignment horizontal="center"/>
    </xf>
    <xf numFmtId="0" fontId="18" fillId="0" borderId="0" pivotButton="0" quotePrefix="0" xfId="0"/>
    <xf numFmtId="164" fontId="18" fillId="0" borderId="0" pivotButton="0" quotePrefix="0" xfId="0"/>
    <xf numFmtId="0" fontId="0" fillId="21" borderId="0" pivotButton="0" quotePrefix="0" xfId="0"/>
    <xf numFmtId="0" fontId="25" fillId="22" borderId="4" applyAlignment="1" pivotButton="0" quotePrefix="0" xfId="0">
      <alignment horizontal="center" vertical="center"/>
    </xf>
    <xf numFmtId="0" fontId="26" fillId="23" borderId="4" applyAlignment="1" pivotButton="0" quotePrefix="0" xfId="0">
      <alignment horizontal="center" vertical="center"/>
    </xf>
    <xf numFmtId="0" fontId="26" fillId="23" borderId="4" applyAlignment="1" pivotButton="0" quotePrefix="0" xfId="0">
      <alignment horizontal="left" vertical="center"/>
    </xf>
    <xf numFmtId="3" fontId="26" fillId="23" borderId="4" applyAlignment="1" pivotButton="0" quotePrefix="0" xfId="0">
      <alignment horizontal="left" vertical="center"/>
    </xf>
    <xf numFmtId="9" fontId="26" fillId="23" borderId="4" applyAlignment="1" pivotButton="0" quotePrefix="0" xfId="0">
      <alignment horizontal="left" vertical="center"/>
    </xf>
    <xf numFmtId="167" fontId="26" fillId="23" borderId="4" applyAlignment="1" pivotButton="0" quotePrefix="0" xfId="0">
      <alignment horizontal="left" vertical="center"/>
    </xf>
    <xf numFmtId="0" fontId="26" fillId="23" borderId="4" applyAlignment="1" pivotButton="0" quotePrefix="0" xfId="0">
      <alignment horizontal="left" vertical="center" wrapText="1"/>
    </xf>
    <xf numFmtId="168" fontId="26" fillId="23" borderId="4" applyAlignment="1" pivotButton="0" quotePrefix="0" xfId="0">
      <alignment horizontal="left" vertical="center"/>
    </xf>
    <xf numFmtId="3" fontId="27" fillId="16" borderId="4" applyAlignment="1" pivotButton="0" quotePrefix="0" xfId="0">
      <alignment horizontal="right" vertical="center"/>
    </xf>
    <xf numFmtId="0" fontId="0" fillId="16" borderId="4" pivotButton="0" quotePrefix="0" xfId="0"/>
    <xf numFmtId="0" fontId="0" fillId="16" borderId="4" applyAlignment="1" pivotButton="0" quotePrefix="0" xfId="0">
      <alignment vertical="top" wrapText="1"/>
    </xf>
    <xf numFmtId="3" fontId="29" fillId="24" borderId="0" applyAlignment="1" pivotButton="0" quotePrefix="0" xfId="0">
      <alignment horizontal="right" vertical="center"/>
    </xf>
    <xf numFmtId="0" fontId="0" fillId="24" borderId="0" pivotButton="0" quotePrefix="0" xfId="0"/>
    <xf numFmtId="0" fontId="0" fillId="24" borderId="0" applyAlignment="1" pivotButton="0" quotePrefix="0" xfId="0">
      <alignment vertical="top" wrapText="1"/>
    </xf>
    <xf numFmtId="3" fontId="30" fillId="24" borderId="0" applyAlignment="1" pivotButton="0" quotePrefix="0" xfId="0">
      <alignment horizontal="right" vertical="center"/>
    </xf>
    <xf numFmtId="3" fontId="31" fillId="24" borderId="0" applyAlignment="1" pivotButton="0" quotePrefix="0" xfId="0">
      <alignment horizontal="right" vertical="center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  <xf numFmtId="2" fontId="0" fillId="21" borderId="0" pivotButton="0" quotePrefix="0" xfId="0"/>
    <xf numFmtId="2" fontId="27" fillId="16" borderId="4" applyAlignment="1" pivotButton="0" quotePrefix="0" xfId="0">
      <alignment horizontal="right" vertical="center"/>
    </xf>
    <xf numFmtId="2" fontId="0" fillId="16" borderId="4" pivotButton="0" quotePrefix="0" xfId="0"/>
    <xf numFmtId="2" fontId="29" fillId="24" borderId="0" applyAlignment="1" pivotButton="0" quotePrefix="0" xfId="0">
      <alignment horizontal="right" vertical="center"/>
    </xf>
    <xf numFmtId="2" fontId="0" fillId="24" borderId="0" pivotButton="0" quotePrefix="0" xfId="0"/>
    <xf numFmtId="2" fontId="30" fillId="24" borderId="0" applyAlignment="1" pivotButton="0" quotePrefix="0" xfId="0">
      <alignment horizontal="right" vertical="center"/>
    </xf>
    <xf numFmtId="2" fontId="31" fillId="24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/>
    </xf>
    <xf numFmtId="164" fontId="38" fillId="0" borderId="0" applyAlignment="1" pivotButton="0" quotePrefix="0" xfId="0">
      <alignment horizontal="left"/>
    </xf>
    <xf numFmtId="0" fontId="25" fillId="22" borderId="4" applyAlignment="1" pivotButton="0" quotePrefix="0" xfId="0">
      <alignment horizontal="center" vertical="center" wrapText="1"/>
    </xf>
    <xf numFmtId="2" fontId="25" fillId="22" borderId="4" applyAlignment="1" pivotButton="0" quotePrefix="0" xfId="0">
      <alignment horizontal="center" vertical="center" wrapText="1"/>
    </xf>
    <xf numFmtId="0" fontId="41" fillId="0" borderId="0" pivotButton="0" quotePrefix="0" xfId="0"/>
    <xf numFmtId="0" fontId="26" fillId="26" borderId="4" applyAlignment="1" pivotButton="0" quotePrefix="0" xfId="0">
      <alignment horizontal="center" vertical="center"/>
    </xf>
    <xf numFmtId="0" fontId="26" fillId="26" borderId="4" applyAlignment="1" pivotButton="0" quotePrefix="0" xfId="0">
      <alignment horizontal="left" vertical="center"/>
    </xf>
    <xf numFmtId="3" fontId="26" fillId="26" borderId="4" applyAlignment="1" pivotButton="0" quotePrefix="0" xfId="0">
      <alignment horizontal="right" vertical="center"/>
    </xf>
    <xf numFmtId="0" fontId="26" fillId="26" borderId="4" applyAlignment="1" pivotButton="0" quotePrefix="0" xfId="0">
      <alignment horizontal="right" vertical="center"/>
    </xf>
    <xf numFmtId="0" fontId="25" fillId="27" borderId="4" applyAlignment="1" pivotButton="0" quotePrefix="0" xfId="0">
      <alignment horizontal="center" vertical="center"/>
    </xf>
    <xf numFmtId="0" fontId="26" fillId="21" borderId="4" applyAlignment="1" pivotButton="0" quotePrefix="0" xfId="0">
      <alignment horizontal="center" vertical="center"/>
    </xf>
    <xf numFmtId="0" fontId="26" fillId="21" borderId="4" applyAlignment="1" pivotButton="0" quotePrefix="0" xfId="0">
      <alignment horizontal="left" vertical="center"/>
    </xf>
    <xf numFmtId="3" fontId="26" fillId="21" borderId="4" applyAlignment="1" pivotButton="0" quotePrefix="0" xfId="0">
      <alignment horizontal="right" vertical="center"/>
    </xf>
    <xf numFmtId="2" fontId="26" fillId="21" borderId="4" applyAlignment="1" pivotButton="0" quotePrefix="0" xfId="0">
      <alignment horizontal="right" vertical="center"/>
    </xf>
    <xf numFmtId="0" fontId="26" fillId="21" borderId="4" applyAlignment="1" pivotButton="0" quotePrefix="0" xfId="0">
      <alignment horizontal="right" vertical="center"/>
    </xf>
    <xf numFmtId="0" fontId="26" fillId="24" borderId="4" applyAlignment="1" pivotButton="0" quotePrefix="0" xfId="0">
      <alignment horizontal="center" vertical="center"/>
    </xf>
    <xf numFmtId="0" fontId="26" fillId="24" borderId="4" applyAlignment="1" pivotButton="0" quotePrefix="0" xfId="0">
      <alignment horizontal="left" vertical="center"/>
    </xf>
    <xf numFmtId="3" fontId="26" fillId="24" borderId="4" applyAlignment="1" pivotButton="0" quotePrefix="0" xfId="0">
      <alignment horizontal="right" vertical="center"/>
    </xf>
    <xf numFmtId="167" fontId="26" fillId="24" borderId="4" applyAlignment="1" pivotButton="0" quotePrefix="0" xfId="0">
      <alignment horizontal="center" vertical="center"/>
    </xf>
    <xf numFmtId="2" fontId="26" fillId="24" borderId="4" applyAlignment="1" pivotButton="0" quotePrefix="0" xfId="0">
      <alignment horizontal="right" vertical="center"/>
    </xf>
    <xf numFmtId="0" fontId="26" fillId="24" borderId="4" applyAlignment="1" pivotButton="0" quotePrefix="0" xfId="0">
      <alignment horizontal="right" vertical="center"/>
    </xf>
    <xf numFmtId="0" fontId="25" fillId="28" borderId="4" applyAlignment="1" pivotButton="0" quotePrefix="0" xfId="0">
      <alignment horizontal="center" vertical="center"/>
    </xf>
    <xf numFmtId="0" fontId="26" fillId="29" borderId="4" applyAlignment="1" pivotButton="0" quotePrefix="0" xfId="0">
      <alignment horizontal="center" vertical="center"/>
    </xf>
    <xf numFmtId="0" fontId="26" fillId="29" borderId="4" applyAlignment="1" pivotButton="0" quotePrefix="0" xfId="0">
      <alignment horizontal="left" vertical="center"/>
    </xf>
    <xf numFmtId="3" fontId="26" fillId="29" borderId="4" applyAlignment="1" pivotButton="0" quotePrefix="0" xfId="0">
      <alignment horizontal="right" vertical="center"/>
    </xf>
    <xf numFmtId="167" fontId="26" fillId="29" borderId="4" applyAlignment="1" pivotButton="0" quotePrefix="0" xfId="0">
      <alignment horizontal="center" vertical="center"/>
    </xf>
    <xf numFmtId="0" fontId="26" fillId="29" borderId="4" applyAlignment="1" pivotButton="0" quotePrefix="0" xfId="0">
      <alignment horizontal="right" vertical="center"/>
    </xf>
    <xf numFmtId="0" fontId="25" fillId="30" borderId="4" applyAlignment="1" pivotButton="0" quotePrefix="0" xfId="0">
      <alignment horizontal="center" vertical="center"/>
    </xf>
    <xf numFmtId="0" fontId="25" fillId="31" borderId="4" applyAlignment="1" pivotButton="0" quotePrefix="0" xfId="0">
      <alignment horizontal="center" vertical="center"/>
    </xf>
    <xf numFmtId="9" fontId="26" fillId="24" borderId="4" applyAlignment="1" pivotButton="0" quotePrefix="0" xfId="0">
      <alignment horizontal="center" vertical="center"/>
    </xf>
    <xf numFmtId="9" fontId="26" fillId="21" borderId="4" applyAlignment="1" pivotButton="0" quotePrefix="0" xfId="0">
      <alignment horizontal="center" vertical="center"/>
    </xf>
    <xf numFmtId="0" fontId="25" fillId="32" borderId="4" applyAlignment="1" pivotButton="0" quotePrefix="0" xfId="0">
      <alignment horizontal="center" vertical="center"/>
    </xf>
    <xf numFmtId="0" fontId="25" fillId="33" borderId="4" applyAlignment="1" pivotButton="0" quotePrefix="0" xfId="0">
      <alignment horizontal="center" vertical="center"/>
    </xf>
    <xf numFmtId="0" fontId="25" fillId="34" borderId="4" applyAlignment="1" pivotButton="0" quotePrefix="0" xfId="0">
      <alignment horizontal="center" vertical="center"/>
    </xf>
    <xf numFmtId="0" fontId="42" fillId="21" borderId="4" applyAlignment="1" pivotButton="0" quotePrefix="0" xfId="0">
      <alignment horizontal="center" vertical="center"/>
    </xf>
    <xf numFmtId="0" fontId="25" fillId="35" borderId="4" applyAlignment="1" pivotButton="0" quotePrefix="0" xfId="0">
      <alignment horizontal="center" vertical="center"/>
    </xf>
    <xf numFmtId="0" fontId="42" fillId="24" borderId="4" applyAlignment="1" pivotButton="0" quotePrefix="0" xfId="0">
      <alignment horizontal="left" vertical="center"/>
    </xf>
    <xf numFmtId="0" fontId="42" fillId="24" borderId="4" applyAlignment="1" pivotButton="0" quotePrefix="0" xfId="0">
      <alignment horizontal="center" vertical="center"/>
    </xf>
    <xf numFmtId="3" fontId="42" fillId="24" borderId="4" applyAlignment="1" pivotButton="0" quotePrefix="0" xfId="0">
      <alignment horizontal="right" vertical="center"/>
    </xf>
    <xf numFmtId="0" fontId="26" fillId="26" borderId="4" applyAlignment="1" pivotButton="0" quotePrefix="0" xfId="0">
      <alignment horizontal="left" vertical="center" wrapText="1"/>
    </xf>
    <xf numFmtId="0" fontId="26" fillId="21" borderId="4" applyAlignment="1" pivotButton="0" quotePrefix="0" xfId="0">
      <alignment horizontal="left" vertical="center" wrapText="1"/>
    </xf>
    <xf numFmtId="0" fontId="26" fillId="24" borderId="4" applyAlignment="1" pivotButton="0" quotePrefix="0" xfId="0">
      <alignment horizontal="left" vertical="center" wrapText="1"/>
    </xf>
    <xf numFmtId="0" fontId="26" fillId="29" borderId="4" applyAlignment="1" pivotButton="0" quotePrefix="0" xfId="0">
      <alignment horizontal="left" vertical="center" wrapText="1"/>
    </xf>
    <xf numFmtId="0" fontId="42" fillId="24" borderId="4" applyAlignment="1" pivotButton="0" quotePrefix="0" xfId="0">
      <alignment horizontal="left" vertical="center" wrapText="1"/>
    </xf>
    <xf numFmtId="0" fontId="42" fillId="21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vertical="center" wrapText="1"/>
    </xf>
    <xf numFmtId="0" fontId="26" fillId="24" borderId="0" applyAlignment="1" pivotButton="0" quotePrefix="0" xfId="0">
      <alignment horizontal="left" vertical="center" wrapText="1"/>
    </xf>
    <xf numFmtId="169" fontId="25" fillId="22" borderId="4" applyAlignment="1" pivotButton="0" quotePrefix="0" xfId="0">
      <alignment horizontal="center" vertical="center" wrapText="1"/>
    </xf>
    <xf numFmtId="169" fontId="26" fillId="24" borderId="4" applyAlignment="1" pivotButton="0" quotePrefix="0" xfId="0">
      <alignment horizontal="center" vertical="center"/>
    </xf>
    <xf numFmtId="169" fontId="26" fillId="21" borderId="4" applyAlignment="1" pivotButton="0" quotePrefix="0" xfId="0">
      <alignment horizontal="center" vertical="center"/>
    </xf>
    <xf numFmtId="169" fontId="26" fillId="26" borderId="4" applyAlignment="1" pivotButton="0" quotePrefix="0" xfId="0">
      <alignment horizontal="center" vertical="center"/>
    </xf>
    <xf numFmtId="169" fontId="42" fillId="24" borderId="4" applyAlignment="1" pivotButton="0" quotePrefix="0" xfId="0">
      <alignment horizontal="center" vertical="center"/>
    </xf>
    <xf numFmtId="169" fontId="0" fillId="0" borderId="0" pivotButton="0" quotePrefix="0" xfId="0"/>
    <xf numFmtId="0" fontId="39" fillId="16" borderId="0" applyAlignment="1" pivotButton="0" quotePrefix="0" xfId="0">
      <alignment horizontal="center" vertical="center"/>
    </xf>
    <xf numFmtId="169" fontId="39" fillId="16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left" vertical="center"/>
    </xf>
    <xf numFmtId="169" fontId="19" fillId="16" borderId="0" applyAlignment="1" pivotButton="0" quotePrefix="0" xfId="0">
      <alignment horizontal="left" vertical="center"/>
    </xf>
    <xf numFmtId="0" fontId="25" fillId="18" borderId="0" applyAlignment="1" pivotButton="0" quotePrefix="0" xfId="0">
      <alignment horizontal="left" vertical="center" indent="1"/>
    </xf>
    <xf numFmtId="2" fontId="40" fillId="18" borderId="0" applyAlignment="1" pivotButton="0" quotePrefix="0" xfId="0">
      <alignment horizontal="right" vertical="center"/>
    </xf>
    <xf numFmtId="0" fontId="25" fillId="19" borderId="0" applyAlignment="1" pivotButton="0" quotePrefix="0" xfId="0">
      <alignment horizontal="left" vertical="center" indent="1"/>
    </xf>
    <xf numFmtId="169" fontId="25" fillId="19" borderId="0" applyAlignment="1" pivotButton="0" quotePrefix="0" xfId="0">
      <alignment horizontal="left" vertical="center" indent="1"/>
    </xf>
    <xf numFmtId="2" fontId="40" fillId="19" borderId="0" applyAlignment="1" pivotButton="0" quotePrefix="0" xfId="0">
      <alignment horizontal="right" vertical="center"/>
    </xf>
    <xf numFmtId="2" fontId="25" fillId="19" borderId="0" applyAlignment="1" pivotButton="0" quotePrefix="0" xfId="0">
      <alignment horizontal="left" vertical="center" indent="1"/>
    </xf>
    <xf numFmtId="0" fontId="25" fillId="20" borderId="0" applyAlignment="1" pivotButton="0" quotePrefix="0" xfId="0">
      <alignment horizontal="left" vertical="center" indent="1"/>
    </xf>
    <xf numFmtId="3" fontId="40" fillId="20" borderId="0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17" fillId="16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8" borderId="0" applyAlignment="1" pivotButton="0" quotePrefix="0" xfId="0">
      <alignment horizontal="center" vertical="center"/>
    </xf>
    <xf numFmtId="0" fontId="20" fillId="19" borderId="0" applyAlignment="1" pivotButton="0" quotePrefix="0" xfId="0">
      <alignment horizontal="center" vertical="center"/>
    </xf>
    <xf numFmtId="0" fontId="20" fillId="20" borderId="0" applyAlignment="1" pivotButton="0" quotePrefix="0" xfId="0">
      <alignment horizontal="center" vertical="center"/>
    </xf>
    <xf numFmtId="3" fontId="21" fillId="18" borderId="0" applyAlignment="1" pivotButton="0" quotePrefix="0" xfId="0">
      <alignment horizontal="center" vertical="center"/>
    </xf>
    <xf numFmtId="3" fontId="21" fillId="19" borderId="0" applyAlignment="1" pivotButton="0" quotePrefix="0" xfId="0">
      <alignment horizontal="center" vertical="center"/>
    </xf>
    <xf numFmtId="3" fontId="21" fillId="20" borderId="0" applyAlignment="1" pivotButton="0" quotePrefix="0" xfId="0">
      <alignment horizontal="center" vertical="center"/>
    </xf>
    <xf numFmtId="170" fontId="22" fillId="18" borderId="0" applyAlignment="1" pivotButton="0" quotePrefix="0" xfId="0">
      <alignment horizontal="center" vertical="center"/>
    </xf>
    <xf numFmtId="170" fontId="23" fillId="19" borderId="0" applyAlignment="1" pivotButton="0" quotePrefix="0" xfId="0">
      <alignment horizontal="center" vertical="center"/>
    </xf>
    <xf numFmtId="170" fontId="24" fillId="20" borderId="0" applyAlignment="1" pivotButton="0" quotePrefix="0" xfId="0">
      <alignment horizontal="center" vertical="center"/>
    </xf>
    <xf numFmtId="0" fontId="28" fillId="24" borderId="0" applyAlignment="1" pivotButton="0" quotePrefix="0" xfId="0">
      <alignment horizontal="left" vertical="center" indent="2"/>
    </xf>
    <xf numFmtId="0" fontId="32" fillId="0" borderId="0" applyAlignment="1" pivotButton="0" quotePrefix="0" xfId="0">
      <alignment horizontal="center" vertical="center"/>
    </xf>
    <xf numFmtId="0" fontId="20" fillId="18" borderId="4" applyAlignment="1" pivotButton="0" quotePrefix="0" xfId="0">
      <alignment horizontal="left" vertical="center" indent="1"/>
    </xf>
    <xf numFmtId="0" fontId="20" fillId="19" borderId="4" applyAlignment="1" pivotButton="0" quotePrefix="0" xfId="0">
      <alignment horizontal="left" vertical="center" indent="1"/>
    </xf>
    <xf numFmtId="0" fontId="20" fillId="20" borderId="4" applyAlignment="1" pivotButton="0" quotePrefix="0" xfId="0">
      <alignment horizontal="left" vertical="center" indent="1"/>
    </xf>
    <xf numFmtId="0" fontId="20" fillId="16" borderId="4" applyAlignment="1" pivotButton="0" quotePrefix="0" xfId="0">
      <alignment horizontal="left" vertical="center" indent="1"/>
    </xf>
    <xf numFmtId="0" fontId="33" fillId="16" borderId="0" applyAlignment="1" pivotButton="0" quotePrefix="0" xfId="0">
      <alignment horizontal="center" vertical="center"/>
    </xf>
    <xf numFmtId="0" fontId="34" fillId="18" borderId="0" applyAlignment="1" pivotButton="0" quotePrefix="0" xfId="0">
      <alignment horizontal="center" vertical="center"/>
    </xf>
    <xf numFmtId="0" fontId="34" fillId="19" borderId="0" applyAlignment="1" pivotButton="0" quotePrefix="0" xfId="0">
      <alignment horizontal="center" vertical="center"/>
    </xf>
    <xf numFmtId="0" fontId="34" fillId="20" borderId="0" applyAlignment="1" pivotButton="0" quotePrefix="0" xfId="0">
      <alignment horizontal="center" vertical="center"/>
    </xf>
    <xf numFmtId="0" fontId="34" fillId="25" borderId="0" applyAlignment="1" pivotButton="0" quotePrefix="0" xfId="0">
      <alignment horizontal="center" vertical="center"/>
    </xf>
    <xf numFmtId="3" fontId="35" fillId="18" borderId="0" applyAlignment="1" pivotButton="0" quotePrefix="0" xfId="0">
      <alignment horizontal="center" vertical="center"/>
    </xf>
    <xf numFmtId="3" fontId="35" fillId="19" borderId="0" applyAlignment="1" pivotButton="0" quotePrefix="0" xfId="0">
      <alignment horizontal="center" vertical="center"/>
    </xf>
    <xf numFmtId="3" fontId="35" fillId="20" borderId="0" applyAlignment="1" pivotButton="0" quotePrefix="0" xfId="0">
      <alignment horizontal="center" vertical="center"/>
    </xf>
    <xf numFmtId="3" fontId="35" fillId="25" borderId="0" applyAlignment="1" pivotButton="0" quotePrefix="0" xfId="0">
      <alignment horizontal="center" vertical="center"/>
    </xf>
    <xf numFmtId="166" fontId="22" fillId="18" borderId="0" applyAlignment="1" pivotButton="0" quotePrefix="0" xfId="0">
      <alignment horizontal="center" vertical="center"/>
    </xf>
    <xf numFmtId="166" fontId="23" fillId="19" borderId="0" applyAlignment="1" pivotButton="0" quotePrefix="0" xfId="0">
      <alignment horizontal="center" vertical="center"/>
    </xf>
    <xf numFmtId="166" fontId="24" fillId="20" borderId="0" applyAlignment="1" pivotButton="0" quotePrefix="0" xfId="0">
      <alignment horizontal="center" vertical="center"/>
    </xf>
    <xf numFmtId="166" fontId="36" fillId="25" borderId="0" applyAlignment="1" pivotButton="0" quotePrefix="0" xfId="0">
      <alignment horizontal="center" vertical="center"/>
    </xf>
    <xf numFmtId="0" fontId="37" fillId="2" borderId="0" applyAlignment="1" pivotButton="0" quotePrefix="0" xfId="0">
      <alignment horizontal="center" vertical="center"/>
    </xf>
    <xf numFmtId="0" fontId="8" fillId="0" borderId="2" pivotButton="0" quotePrefix="0" xfId="0"/>
    <xf numFmtId="0" fontId="11" fillId="7" borderId="1" pivotButton="0" quotePrefix="0" xfId="0"/>
    <xf numFmtId="0" fontId="11" fillId="8" borderId="1" pivotButton="0" quotePrefix="0" xfId="0"/>
    <xf numFmtId="0" fontId="11" fillId="9" borderId="1" pivotButton="0" quotePrefix="0" xfId="0"/>
    <xf numFmtId="0" fontId="11" fillId="10" borderId="1" pivotButton="0" quotePrefix="0" xfId="0"/>
    <xf numFmtId="0" fontId="11" fillId="11" borderId="1" pivotButton="0" quotePrefix="0" xfId="0"/>
    <xf numFmtId="0" fontId="11" fillId="12" borderId="1" pivotButton="0" quotePrefix="0" xfId="0"/>
    <xf numFmtId="0" fontId="11" fillId="13" borderId="1" pivotButton="0" quotePrefix="0" xfId="0"/>
    <xf numFmtId="0" fontId="11" fillId="14" borderId="1" pivotButton="0" quotePrefix="0" xfId="0"/>
    <xf numFmtId="0" fontId="13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4" fillId="0" borderId="2" pivotButton="0" quotePrefix="0" xfId="0"/>
    <xf numFmtId="0" fontId="12" fillId="0" borderId="0" pivotButton="0" quotePrefix="0" xfId="0"/>
    <xf numFmtId="0" fontId="0" fillId="17" borderId="0" pivotButton="0" quotePrefix="0" xfId="0"/>
    <xf numFmtId="169" fontId="0" fillId="17" borderId="0" pivotButton="0" quotePrefix="0" xfId="0"/>
    <xf numFmtId="0" fontId="0" fillId="0" borderId="13" pivotButton="0" quotePrefix="0" xfId="0"/>
    <xf numFmtId="0" fontId="0" fillId="0" borderId="7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pivotButton="0" quotePrefix="0" xfId="0"/>
    <xf numFmtId="3" fontId="10" fillId="0" borderId="1" applyAlignment="1" pivotButton="0" quotePrefix="0" xfId="0">
      <alignment horizontal="right"/>
    </xf>
    <xf numFmtId="1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right"/>
    </xf>
    <xf numFmtId="9" fontId="0" fillId="0" borderId="1" applyAlignment="1" pivotButton="0" quotePrefix="0" xfId="0">
      <alignment horizontal="center"/>
    </xf>
    <xf numFmtId="1" fontId="22" fillId="18" borderId="0" applyAlignment="1" pivotButton="0" quotePrefix="0" xfId="0">
      <alignment horizontal="center" vertical="center"/>
    </xf>
    <xf numFmtId="1" fontId="23" fillId="19" borderId="0" applyAlignment="1" pivotButton="0" quotePrefix="0" xfId="0">
      <alignment horizontal="center" vertical="center"/>
    </xf>
    <xf numFmtId="1" fontId="24" fillId="20" borderId="0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167" fontId="26" fillId="23" borderId="4" applyAlignment="1" pivotButton="0" quotePrefix="0" xfId="0">
      <alignment horizontal="left" vertical="center"/>
    </xf>
    <xf numFmtId="168" fontId="26" fillId="23" borderId="4" applyAlignment="1" pivotButton="0" quotePrefix="0" xfId="0">
      <alignment horizontal="left" vertical="center"/>
    </xf>
    <xf numFmtId="1" fontId="36" fillId="25" borderId="0" applyAlignment="1" pivotButton="0" quotePrefix="0" xfId="0">
      <alignment horizontal="center" vertical="center"/>
    </xf>
    <xf numFmtId="3" fontId="40" fillId="18" borderId="0" applyAlignment="1" pivotButton="0" quotePrefix="0" xfId="0">
      <alignment horizontal="right" vertical="center"/>
    </xf>
    <xf numFmtId="1" fontId="40" fillId="19" borderId="0" applyAlignment="1" pivotButton="0" quotePrefix="0" xfId="0">
      <alignment horizontal="right" vertical="center"/>
    </xf>
    <xf numFmtId="3" fontId="40" fillId="19" borderId="0" applyAlignment="1" pivotButton="0" quotePrefix="0" xfId="0">
      <alignment horizontal="right" vertical="center"/>
    </xf>
    <xf numFmtId="169" fontId="25" fillId="22" borderId="4" applyAlignment="1" pivotButton="0" quotePrefix="0" xfId="0">
      <alignment horizontal="center" vertical="center" wrapText="1"/>
    </xf>
    <xf numFmtId="0" fontId="26" fillId="36" borderId="4" applyAlignment="1" pivotButton="0" quotePrefix="0" xfId="0">
      <alignment horizontal="center" vertical="center"/>
    </xf>
    <xf numFmtId="0" fontId="26" fillId="36" borderId="4" applyAlignment="1" pivotButton="0" quotePrefix="0" xfId="0">
      <alignment horizontal="left" vertical="center"/>
    </xf>
    <xf numFmtId="0" fontId="26" fillId="36" borderId="4" applyAlignment="1" pivotButton="0" quotePrefix="0" xfId="0">
      <alignment horizontal="left" vertical="center" wrapText="1"/>
    </xf>
    <xf numFmtId="3" fontId="26" fillId="36" borderId="4" applyAlignment="1" pivotButton="0" quotePrefix="0" xfId="0">
      <alignment horizontal="right" vertical="center"/>
    </xf>
    <xf numFmtId="169" fontId="26" fillId="36" borderId="4" applyAlignment="1" pivotButton="0" quotePrefix="0" xfId="0">
      <alignment horizontal="center" vertical="center"/>
    </xf>
    <xf numFmtId="165" fontId="26" fillId="37" borderId="4" applyAlignment="1" pivotButton="0" quotePrefix="0" xfId="0">
      <alignment horizontal="right" vertical="center"/>
    </xf>
    <xf numFmtId="0" fontId="25" fillId="36" borderId="4" applyAlignment="1" pivotButton="0" quotePrefix="0" xfId="0">
      <alignment horizontal="center" vertical="center"/>
    </xf>
    <xf numFmtId="9" fontId="26" fillId="36" borderId="4" applyAlignment="1" pivotButton="0" quotePrefix="0" xfId="0">
      <alignment horizontal="center" vertical="center"/>
    </xf>
    <xf numFmtId="0" fontId="26" fillId="36" borderId="4" applyAlignment="1" pivotButton="0" quotePrefix="0" xfId="0">
      <alignment horizontal="right" vertical="center"/>
    </xf>
    <xf numFmtId="167" fontId="26" fillId="36" borderId="4" applyAlignment="1" pivotButton="0" quotePrefix="0" xfId="0">
      <alignment horizontal="center" vertical="center"/>
    </xf>
    <xf numFmtId="0" fontId="42" fillId="36" borderId="4" applyAlignment="1" pivotButton="0" quotePrefix="0" xfId="0">
      <alignment horizontal="left" vertical="center" wrapText="1"/>
    </xf>
    <xf numFmtId="0" fontId="42" fillId="36" borderId="4" applyAlignment="1" pivotButton="0" quotePrefix="0" xfId="0">
      <alignment horizontal="center" vertical="center"/>
    </xf>
    <xf numFmtId="0" fontId="42" fillId="36" borderId="4" applyAlignment="1" pivotButton="0" quotePrefix="0" xfId="0">
      <alignment horizontal="left" vertical="center"/>
    </xf>
    <xf numFmtId="3" fontId="42" fillId="36" borderId="4" applyAlignment="1" pivotButton="0" quotePrefix="0" xfId="0">
      <alignment horizontal="right" vertical="center"/>
    </xf>
    <xf numFmtId="169" fontId="42" fillId="36" borderId="4" applyAlignment="1" pivotButton="0" quotePrefix="0" xfId="0">
      <alignment horizontal="center" vertical="center"/>
    </xf>
    <xf numFmtId="0" fontId="0" fillId="36" borderId="4" applyAlignment="1" pivotButton="0" quotePrefix="0" xfId="0">
      <alignment vertical="center" wrapText="1"/>
    </xf>
    <xf numFmtId="0" fontId="26" fillId="36" borderId="0" applyAlignment="1" pivotButton="0" quotePrefix="0" xfId="0">
      <alignment horizontal="left" vertical="center" wrapText="1"/>
    </xf>
    <xf numFmtId="3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</cellXfs>
  <cellStyles count="1">
    <cellStyle name="Standard" xfId="0" builtinId="0"/>
  </cellStyles>
  <dxfs count="10">
    <dxf>
      <font>
        <b val="1"/>
        <color rgb="FFFFFFFF"/>
      </font>
      <fill>
        <patternFill>
          <bgColor rgb="FFB71C1C"/>
        </patternFill>
      </fill>
    </dxf>
    <dxf>
      <font>
        <b val="1"/>
        <color rgb="FFFFFFFF"/>
      </font>
      <fill>
        <patternFill>
          <bgColor rgb="FFC62828"/>
        </patternFill>
      </fill>
    </dxf>
    <dxf>
      <font>
        <b val="1"/>
        <color rgb="FFFFFFFF"/>
      </font>
      <fill>
        <patternFill>
          <bgColor rgb="FFBDBDBD"/>
        </patternFill>
      </fill>
    </dxf>
    <dxf>
      <font>
        <b val="1"/>
        <color rgb="FFFFFFFF"/>
      </font>
      <fill>
        <patternFill>
          <bgColor rgb="FF9E9E9E"/>
        </patternFill>
      </fill>
    </dxf>
    <dxf>
      <font>
        <b val="1"/>
        <color rgb="FF000000"/>
      </font>
      <fill>
        <patternFill>
          <bgColor rgb="FFFFD600"/>
        </patternFill>
      </fill>
    </dxf>
    <dxf>
      <font>
        <b val="1"/>
        <color rgb="FF000000"/>
      </font>
      <fill>
        <patternFill>
          <bgColor rgb="FFFFD600"/>
        </patternFill>
      </fill>
    </dxf>
    <dxf>
      <font>
        <b val="1"/>
        <color rgb="FFFFFFFF"/>
      </font>
      <fill>
        <patternFill>
          <bgColor rgb="FFF57C00"/>
        </patternFill>
      </fill>
    </dxf>
    <dxf>
      <font>
        <b val="1"/>
        <color rgb="FFFFFFFF"/>
      </font>
      <fill>
        <patternFill>
          <bgColor rgb="FF1976D2"/>
        </patternFill>
      </fill>
    </dxf>
    <dxf>
      <font>
        <b val="1"/>
        <color rgb="FFFFFFFF"/>
      </font>
      <fill>
        <patternFill>
          <bgColor rgb="FF1565C0"/>
        </patternFill>
      </fill>
    </dxf>
    <dxf>
      <font>
        <b val="1"/>
        <color rgb="FFFFFFFF"/>
      </font>
      <fill>
        <patternFill>
          <bgColor rgb="FF2E7D3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60030"/>
      <rgbColor rgb="FF65C030"/>
      <rgbColor rgb="FF2E5496"/>
      <rgbColor rgb="FFF5F5F5"/>
      <rgbColor rgb="FFDC2626"/>
      <rgbColor rgb="FFB3B3B3"/>
      <rgbColor rgb="FF7C0030"/>
      <rgbColor rgb="FF166534"/>
      <rgbColor rgb="FF1C1C30"/>
      <rgbColor rgb="FF97A136"/>
      <rgbColor rgb="FFC8102E"/>
      <rgbColor rgb="FF0891B2"/>
      <rgbColor rgb="FFBDBEBB"/>
      <rgbColor rgb="FF888888"/>
      <rgbColor rgb="FFA5A6BC"/>
      <rgbColor rgb="FF7D3230"/>
      <rgbColor rgb="FFF0FDF4"/>
      <rgbColor rgb="FFDCFCE7"/>
      <rgbColor rgb="FF1E3A5F"/>
      <rgbColor rgb="FFDB7C0C"/>
      <rgbColor rgb="FF1565C0"/>
      <rgbColor rgb="FFBBDDFF"/>
      <rgbColor rgb="FF111111"/>
      <rgbColor rgb="FF696272"/>
      <rgbColor rgb="FFF8FAFC"/>
      <rgbColor rgb="FF555555"/>
      <rgbColor rgb="FFB71C1C"/>
      <rgbColor rgb="FFC00000"/>
      <rgbColor rgb="FF1976D2"/>
      <rgbColor rgb="FF7C3AED"/>
      <rgbColor rgb="FF2E7D32"/>
      <rgbColor rgb="FFE8EDF4"/>
      <rgbColor rgb="FFBBFFCC"/>
      <rgbColor rgb="FFFEF2F2"/>
      <rgbColor rgb="FFBDBDBD"/>
      <rgbColor rgb="FFAFA7A9"/>
      <rgbColor rgb="FFDDBBFF"/>
      <rgbColor rgb="FFFFDDAA"/>
      <rgbColor rgb="FF2563EB"/>
      <rgbColor rgb="FF4B83B6"/>
      <rgbColor rgb="FFBDBD30"/>
      <rgbColor rgb="FFFFD600"/>
      <rgbColor rgb="FFD4A017"/>
      <rgbColor rgb="FFF57C00"/>
      <rgbColor rgb="FF6C7081"/>
      <rgbColor rgb="FF9E9E9E"/>
      <rgbColor rgb="FF1F3864"/>
      <rgbColor rgb="FF16A34A"/>
      <rgbColor rgb="FF0D1117"/>
      <rgbColor rgb="FF1E293B"/>
      <rgbColor rgb="FF7C2D12"/>
      <rgbColor rgb="FFC42B2B"/>
      <rgbColor rgb="FF4C1D95"/>
      <rgbColor rgb="FF2A2A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de-CH" sz="1800" b="1" strike="noStrike" spc="-1">
                <a:solidFill>
                  <a:srgbClr val="000000"/>
                </a:solidFill>
                <a:latin typeface="Calibri"/>
              </a:rPr>
              <a:t>Pipeline — Status (Anzahl)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_data!$C$1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565C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976D2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57C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E9E9E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BDBDBD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71C1C"/>
              </a:solidFill>
              <a:ln xmlns:a="http://schemas.openxmlformats.org/drawingml/2006/main"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9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/>
                </a:r>
                <a:endParaRPr lang="de-DE"/>
              </a:p>
            </txPr>
            <showLegendKey val="1"/>
            <showVal val="0"/>
            <showCatName val="1"/>
            <showSerName val="1"/>
            <showPercent val="1"/>
            <showBubbleSize val="1"/>
            <showLeaderLines val="1"/>
          </dLbls>
          <cat>
            <strRef>
              <f>_data!$B$2:$B$11</f>
              <strCache>
                <ptCount val="10"/>
                <pt idx="0">
                  <v>✅ WON</v>
                </pt>
                <pt idx="1">
                  <v>📄 Offerte</v>
                </pt>
                <pt idx="2">
                  <v>📝 To Offer</v>
                </pt>
                <pt idx="3">
                  <v>🎯 Follow-Up</v>
                </pt>
                <pt idx="4">
                  <v>🔍 Evaluation</v>
                </pt>
                <pt idx="5">
                  <v>🔍 In Eval</v>
                </pt>
                <pt idx="6">
                  <v>⏸ On Hold</v>
                </pt>
                <pt idx="7">
                  <v>❓ TBD</v>
                </pt>
                <pt idx="8">
                  <v>❌ LOST</v>
                </pt>
                <pt idx="9">
                  <v>🚫 Declined</v>
                </pt>
              </strCache>
            </strRef>
          </cat>
          <val>
            <numRef>
              <f>_data!$C$2:$C$11</f>
              <numCache>
                <formatCode>General</formatCode>
                <ptCount val="10"/>
                <pt idx="0">
                  <v>7</v>
                </pt>
                <pt idx="1">
                  <v>18</v>
                </pt>
                <pt idx="2">
                  <v>0</v>
                </pt>
                <pt idx="3">
                  <v>4</v>
                </pt>
                <pt idx="4">
                  <v>3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7</v>
                </pt>
                <pt idx="9">
                  <v>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de-CH" sz="1800" b="1" strike="noStrike" spc="-1">
                <a:solidFill>
                  <a:srgbClr val="000000"/>
                </a:solidFill>
                <a:latin typeface="Calibri"/>
              </a:rPr>
              <a:t>Pipeline — Status nach Volumen CHF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_data!$D$1</f>
              <strCache>
                <ptCount val="1"/>
                <pt idx="0">
                  <v>Volumen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565C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976D2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57C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E9E9E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BDBDBD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71C1C"/>
              </a:solidFill>
              <a:ln xmlns:a="http://schemas.openxmlformats.org/drawingml/2006/main"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de-DE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_data!$B$2:$B$11</f>
              <strCache>
                <ptCount val="10"/>
                <pt idx="0">
                  <v>✅ WON</v>
                </pt>
                <pt idx="1">
                  <v>📄 Offerte</v>
                </pt>
                <pt idx="2">
                  <v>📝 To Offer</v>
                </pt>
                <pt idx="3">
                  <v>🎯 Follow-Up</v>
                </pt>
                <pt idx="4">
                  <v>🔍 Evaluation</v>
                </pt>
                <pt idx="5">
                  <v>🔍 In Eval</v>
                </pt>
                <pt idx="6">
                  <v>⏸ On Hold</v>
                </pt>
                <pt idx="7">
                  <v>❓ TBD</v>
                </pt>
                <pt idx="8">
                  <v>❌ LOST</v>
                </pt>
                <pt idx="9">
                  <v>🚫 Declined</v>
                </pt>
              </strCache>
            </strRef>
          </cat>
          <val>
            <numRef>
              <f>_data!$D$2:$D$11</f>
              <numCache>
                <formatCode>General</formatCode>
                <ptCount val="10"/>
                <pt idx="0">
                  <v>694803.6899999999</v>
                </pt>
                <pt idx="1">
                  <v>3559557.950000001</v>
                </pt>
                <pt idx="2">
                  <v>0</v>
                </pt>
                <pt idx="3">
                  <v>1293888</v>
                </pt>
                <pt idx="4">
                  <v>6772.8</v>
                </pt>
                <pt idx="5">
                  <v>3760.04</v>
                </pt>
                <pt idx="6">
                  <v>0</v>
                </pt>
                <pt idx="7">
                  <v>0</v>
                </pt>
                <pt idx="8">
                  <v>78251.62</v>
                </pt>
                <pt idx="9">
                  <v>96029.00999999999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4075192"/>
        <axId val="27447151"/>
      </barChart>
      <catAx>
        <axId val="84075192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27447151"/>
        <crosses val="autoZero"/>
        <auto val="1"/>
        <lblAlgn val="ctr"/>
        <lblOffset val="100"/>
        <noMultiLvlLbl val="0"/>
      </catAx>
      <valAx>
        <axId val="27447151"/>
        <scaling>
          <orientation val="minMax"/>
        </scaling>
        <delete val="0"/>
        <axPos val="b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8407519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/>
      <doughnutChart>
        <varyColors val="1"/>
        <ser>
          <idx val="0"/>
          <order val="0"/>
          <tx>
            <strRef>
              <f>_data!$C$1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565C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976D2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57C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E9E9E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BDBDBD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71C1C"/>
              </a:solidFill>
              <a:ln xmlns:a="http://schemas.openxmlformats.org/drawingml/2006/main"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9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/>
                </a:r>
                <a:endParaRPr lang="de-DE"/>
              </a:p>
            </txPr>
            <showLegendKey val="1"/>
            <showVal val="1"/>
            <showCatName val="0"/>
            <showSerName val="1"/>
            <showPercent val="1"/>
            <showBubbleSize val="1"/>
            <showLeaderLines val="1"/>
          </dLbls>
          <cat>
            <strRef>
              <f>_data!$B$2:$B$11</f>
              <strCache>
                <ptCount val="10"/>
                <pt idx="0">
                  <v>✅ WON</v>
                </pt>
                <pt idx="1">
                  <v>📄 Offerte</v>
                </pt>
                <pt idx="2">
                  <v>📝 To Offer</v>
                </pt>
                <pt idx="3">
                  <v>🎯 Follow-Up</v>
                </pt>
                <pt idx="4">
                  <v>🔍 Evaluation</v>
                </pt>
                <pt idx="5">
                  <v>🔍 In Eval</v>
                </pt>
                <pt idx="6">
                  <v>⏸ On Hold</v>
                </pt>
                <pt idx="7">
                  <v>❓ TBD</v>
                </pt>
                <pt idx="8">
                  <v>❌ LOST</v>
                </pt>
                <pt idx="9">
                  <v>🚫 Declined</v>
                </pt>
              </strCache>
            </strRef>
          </cat>
          <val>
            <numRef>
              <f>_data!$C$2:$C$11</f>
              <numCache>
                <formatCode>General</formatCode>
                <ptCount val="10"/>
                <pt idx="0">
                  <v>7</v>
                </pt>
                <pt idx="1">
                  <v>18</v>
                </pt>
                <pt idx="2">
                  <v>0</v>
                </pt>
                <pt idx="3">
                  <v>4</v>
                </pt>
                <pt idx="4">
                  <v>3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7</v>
                </pt>
                <pt idx="9">
                  <v>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_data!$D$1</f>
              <strCache>
                <ptCount val="1"/>
                <pt idx="0">
                  <v>Volumen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565C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976D2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57C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E9E9E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BDBDBD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71C1C"/>
              </a:solidFill>
              <a:ln xmlns:a="http://schemas.openxmlformats.org/drawingml/2006/main"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de-DE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_data!$B$2:$B$11</f>
              <strCache>
                <ptCount val="10"/>
                <pt idx="0">
                  <v>✅ WON</v>
                </pt>
                <pt idx="1">
                  <v>📄 Offerte</v>
                </pt>
                <pt idx="2">
                  <v>📝 To Offer</v>
                </pt>
                <pt idx="3">
                  <v>🎯 Follow-Up</v>
                </pt>
                <pt idx="4">
                  <v>🔍 Evaluation</v>
                </pt>
                <pt idx="5">
                  <v>🔍 In Eval</v>
                </pt>
                <pt idx="6">
                  <v>⏸ On Hold</v>
                </pt>
                <pt idx="7">
                  <v>❓ TBD</v>
                </pt>
                <pt idx="8">
                  <v>❌ LOST</v>
                </pt>
                <pt idx="9">
                  <v>🚫 Declined</v>
                </pt>
              </strCache>
            </strRef>
          </cat>
          <val>
            <numRef>
              <f>_data!$D$2:$D$11</f>
              <numCache>
                <formatCode>General</formatCode>
                <ptCount val="10"/>
                <pt idx="0">
                  <v>694803.6899999999</v>
                </pt>
                <pt idx="1">
                  <v>3559557.950000001</v>
                </pt>
                <pt idx="2">
                  <v>0</v>
                </pt>
                <pt idx="3">
                  <v>1293888</v>
                </pt>
                <pt idx="4">
                  <v>6772.8</v>
                </pt>
                <pt idx="5">
                  <v>3760.04</v>
                </pt>
                <pt idx="6">
                  <v>0</v>
                </pt>
                <pt idx="7">
                  <v>0</v>
                </pt>
                <pt idx="8">
                  <v>78251.62</v>
                </pt>
                <pt idx="9">
                  <v>96029.00999999999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6321874"/>
        <axId val="15179763"/>
      </barChart>
      <catAx>
        <axId val="96321874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15179763"/>
        <crosses val="autoZero"/>
        <auto val="1"/>
        <lblAlgn val="ctr"/>
        <lblOffset val="100"/>
        <noMultiLvlLbl val="0"/>
      </catAx>
      <valAx>
        <axId val="15179763"/>
        <scaling>
          <orientation val="minMax"/>
        </scaling>
        <delete val="0"/>
        <axPos val="b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9632187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_data!$B$13</f>
              <strCache>
                <ptCount val="1"/>
                <pt idx="0">
                  <v>Volumen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de-DE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_data!$A$14:$A$39</f>
              <strCache>
                <ptCount val="26"/>
                <pt idx="0">
                  <v>AG</v>
                </pt>
                <pt idx="1">
                  <v>AI</v>
                </pt>
                <pt idx="2">
                  <v>AR</v>
                </pt>
                <pt idx="3">
                  <v>BE</v>
                </pt>
                <pt idx="4">
                  <v>BL</v>
                </pt>
                <pt idx="5">
                  <v>BS</v>
                </pt>
                <pt idx="6">
                  <v>FR</v>
                </pt>
                <pt idx="7">
                  <v>GE</v>
                </pt>
                <pt idx="8">
                  <v>GL</v>
                </pt>
                <pt idx="9">
                  <v>GR</v>
                </pt>
                <pt idx="10">
                  <v>JU</v>
                </pt>
                <pt idx="11">
                  <v>LU</v>
                </pt>
                <pt idx="12">
                  <v>NE</v>
                </pt>
                <pt idx="13">
                  <v>NW</v>
                </pt>
                <pt idx="14">
                  <v>OW</v>
                </pt>
                <pt idx="15">
                  <v>SG</v>
                </pt>
                <pt idx="16">
                  <v>SH</v>
                </pt>
                <pt idx="17">
                  <v>SO</v>
                </pt>
                <pt idx="18">
                  <v>SZ</v>
                </pt>
                <pt idx="19">
                  <v>TG</v>
                </pt>
                <pt idx="20">
                  <v>TI</v>
                </pt>
                <pt idx="21">
                  <v>UR</v>
                </pt>
                <pt idx="22">
                  <v>VD</v>
                </pt>
                <pt idx="23">
                  <v>VS</v>
                </pt>
                <pt idx="24">
                  <v>ZG</v>
                </pt>
                <pt idx="25">
                  <v>ZH</v>
                </pt>
              </strCache>
            </strRef>
          </cat>
          <val>
            <numRef>
              <f>_data!$B$14:$B$39</f>
              <numCache>
                <formatCode>General</formatCode>
                <ptCount val="26"/>
                <pt idx="0">
                  <v>330550.23</v>
                </pt>
                <pt idx="1">
                  <v>0</v>
                </pt>
                <pt idx="2">
                  <v>0</v>
                </pt>
                <pt idx="3">
                  <v>58012.12</v>
                </pt>
                <pt idx="4">
                  <v>0</v>
                </pt>
                <pt idx="5">
                  <v>13866.21</v>
                </pt>
                <pt idx="6">
                  <v>0</v>
                </pt>
                <pt idx="7">
                  <v>38885</v>
                </pt>
                <pt idx="8">
                  <v>0</v>
                </pt>
                <pt idx="9">
                  <v>77325.62</v>
                </pt>
                <pt idx="10">
                  <v>0</v>
                </pt>
                <pt idx="11">
                  <v>12409.01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101192.62</v>
                </pt>
                <pt idx="16">
                  <v>2637287.63</v>
                </pt>
                <pt idx="17">
                  <v>390750.65</v>
                </pt>
                <pt idx="18">
                  <v>0</v>
                </pt>
                <pt idx="19">
                  <v>155328.36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338213.99</v>
                </pt>
                <pt idx="24">
                  <v>0</v>
                </pt>
                <pt idx="25">
                  <v>1579241.67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67303973"/>
        <axId val="69243823"/>
      </barChart>
      <catAx>
        <axId val="67303973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69243823"/>
        <crosses val="autoZero"/>
        <auto val="1"/>
        <lblAlgn val="ctr"/>
        <lblOffset val="100"/>
        <noMultiLvlLbl val="0"/>
      </catAx>
      <valAx>
        <axId val="69243823"/>
        <scaling>
          <orientation val="minMax"/>
        </scaling>
        <delete val="0"/>
        <axPos val="b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6730397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_data!$H$1</f>
              <strCache>
                <ptCount val="1"/>
                <pt idx="0">
                  <v>Volumen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de-DE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_data!$G$2:$G$27</f>
              <strCache>
                <ptCount val="22"/>
                <pt idx="0">
                  <v>Events &amp; Sport</v>
                </pt>
                <pt idx="1">
                  <v>Industrie / Oberfläche</v>
                </pt>
                <pt idx="2">
                  <v>Industrie / Elektro</v>
                </pt>
                <pt idx="3">
                  <v>Events &amp; Kultur</v>
                </pt>
                <pt idx="4">
                  <v>Immobilien / FM</v>
                </pt>
                <pt idx="5">
                  <v>EVU / Energie</v>
                </pt>
                <pt idx="6">
                  <v>Infrastruktur / Bau</v>
                </pt>
                <pt idx="7">
                  <v>Industrie / Metall</v>
                </pt>
                <pt idx="8">
                  <v>Elektroinstallation</v>
                </pt>
                <pt idx="9">
                  <v>Events / Medien</v>
                </pt>
                <pt idx="10">
                  <v>Forschung / Hightech</v>
                </pt>
                <pt idx="11">
                  <v>Industrie / Messtechnik</v>
                </pt>
                <pt idx="12">
                  <v>Infrastruktur / Bahn</v>
                </pt>
                <pt idx="13">
                  <v>Bildung / Forschung</v>
                </pt>
                <pt idx="14">
                  <v>tbd</v>
                </pt>
                <pt idx="15">
                  <v>Industrie / Generatoren</v>
                </pt>
                <pt idx="16">
                  <v>Ingenieure / Planung</v>
                </pt>
                <pt idx="17">
                  <v>Kühlung / Konkurrenz</v>
                </pt>
                <pt idx="18">
                  <v>Gemeinde</v>
                </pt>
                <pt idx="19">
                  <v>Hochschule</v>
                </pt>
                <pt idx="20">
                  <v>Industrie</v>
                </pt>
                <pt idx="21">
                  <v>Event</v>
                </pt>
              </strCache>
            </strRef>
          </cat>
          <val>
            <numRef>
              <f>_data!$H$2:$H$27</f>
              <numCache>
                <formatCode>General</formatCode>
                <ptCount val="22"/>
                <pt idx="0">
                  <v>310000</v>
                </pt>
                <pt idx="1">
                  <v>13100</v>
                </pt>
                <pt idx="2">
                  <v>10000</v>
                </pt>
                <pt idx="3">
                  <v>150000</v>
                </pt>
                <pt idx="4">
                  <v>390000</v>
                </pt>
                <pt idx="5">
                  <v>137658.69</v>
                </pt>
                <pt idx="6">
                  <v>57897.12</v>
                </pt>
                <pt idx="7">
                  <v>500000</v>
                </pt>
                <pt idx="8">
                  <v>24765.49</v>
                </pt>
                <pt idx="9">
                  <v>0</v>
                </pt>
                <pt idx="10">
                  <v>365003</v>
                </pt>
                <pt idx="11">
                  <v>75769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48950</v>
                </pt>
                <pt idx="16">
                  <v>39000</v>
                </pt>
                <pt idx="17">
                  <v>12572.63</v>
                </pt>
                <pt idx="18">
                  <v>0</v>
                </pt>
                <pt idx="19">
                  <v>0</v>
                </pt>
                <pt idx="20">
                  <v>3167711.08</v>
                </pt>
                <pt idx="21">
                  <v>196130.66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1035484"/>
        <axId val="73790805"/>
      </barChart>
      <catAx>
        <axId val="71035484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73790805"/>
        <crosses val="autoZero"/>
        <auto val="1"/>
        <lblAlgn val="ctr"/>
        <lblOffset val="100"/>
        <noMultiLvlLbl val="0"/>
      </catAx>
      <valAx>
        <axId val="73790805"/>
        <scaling>
          <orientation val="minMax"/>
        </scaling>
        <delete val="0"/>
        <axPos val="b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7103548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/Relationships>
</file>

<file path=xl/drawings/drawing1.xml><?xml version="1.0" encoding="utf-8"?>
<wsDr xmlns="http://schemas.openxmlformats.org/drawingml/2006/spreadsheetDrawing">
  <twoCellAnchor editAs="oneCell">
    <from>
      <col>5</col>
      <colOff>2457450</colOff>
      <row>207</row>
      <rowOff>133350</rowOff>
    </from>
    <to>
      <col>10</col>
      <colOff>1943100</colOff>
      <row>238</row>
      <rowOff>38100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207</row>
      <rowOff>86444</rowOff>
    </from>
    <to>
      <col>5</col>
      <colOff>850847</colOff>
      <row>234</row>
      <rowOff>68035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4</row>
      <rowOff>0</rowOff>
    </from>
    <to>
      <col>8</col>
      <colOff>628650</colOff>
      <row>26</row>
      <rowOff>85725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723900</colOff>
      <row>4</row>
      <rowOff>0</rowOff>
    </from>
    <to>
      <col>20</col>
      <colOff>371475</colOff>
      <row>26</row>
      <rowOff>66675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28</row>
      <rowOff>0</rowOff>
    </from>
    <to>
      <col>8</col>
      <colOff>619125</colOff>
      <row>57</row>
      <rowOff>180975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9</col>
      <colOff>66675</colOff>
      <row>28</row>
      <rowOff>171450</rowOff>
    </from>
    <to>
      <col>21</col>
      <colOff>561975</colOff>
      <row>57</row>
      <rowOff>152400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H35"/>
  <sheetViews>
    <sheetView showGridLines="0" zoomScaleNormal="100" workbookViewId="0">
      <selection activeCell="A1" sqref="A1"/>
    </sheetView>
  </sheetViews>
  <sheetFormatPr baseColWidth="8" defaultColWidth="8.5703125" defaultRowHeight="15"/>
  <cols>
    <col width="3" customWidth="1" min="1" max="1"/>
    <col width="5" customWidth="1" min="2" max="2"/>
    <col width="17" customWidth="1" min="3" max="3"/>
    <col width="5" customWidth="1" min="4" max="4"/>
    <col width="12" customWidth="1" min="5" max="5"/>
    <col width="17" customWidth="1" min="6" max="6"/>
    <col width="12" customWidth="1" min="7" max="7"/>
    <col width="21.140625" customWidth="1" min="8" max="8"/>
    <col width="3" customWidth="1" min="9" max="9"/>
  </cols>
  <sheetData>
    <row r="1" ht="37.5" customHeight="1">
      <c r="A1" s="115" t="inlineStr">
        <is>
          <t>⚡  MiT Strom Schweiz — Executive Sales Summary</t>
        </is>
      </c>
    </row>
    <row r="2" ht="15" customHeight="1">
      <c r="A2" s="116" t="inlineStr">
        <is>
          <t>Mobil in Time AG  ·  An Aggreko Company  ·  Burak Ücöz</t>
        </is>
      </c>
    </row>
    <row r="3" ht="15" customHeight="1">
      <c r="A3" s="117" t="str">
        <f>"Stand: "&amp;TEXT(TODAY(),"DD.MM.YYYY")&amp;"  ·  Live aus Pipeline"</f>
        <v>Stand: 13.07.2026  ·  Live aus Pipeline</v>
      </c>
    </row>
    <row r="4"/>
    <row r="5" ht="21.75" customHeight="1">
      <c r="B5" s="118" t="inlineStr">
        <is>
          <t>✅ WON</t>
        </is>
      </c>
      <c r="C5" s="174" t="n"/>
      <c r="D5" s="175" t="n"/>
      <c r="E5" s="119" t="inlineStr">
        <is>
          <t>📄 OFFERTE</t>
        </is>
      </c>
      <c r="F5" s="175" t="n"/>
      <c r="G5" s="120" t="inlineStr">
        <is>
          <t>🎯 OPPORTUNITÄT</t>
        </is>
      </c>
      <c r="H5" s="175" t="n"/>
    </row>
    <row r="6" ht="18" customHeight="1">
      <c r="B6" s="121">
        <f>Dashboard!A6</f>
        <v>694803.69</v>
      </c>
      <c r="C6" s="176" t="n"/>
      <c r="D6" s="177" t="n"/>
      <c r="E6" s="121">
        <f>Dashboard!D6</f>
        <v>3559557.95</v>
      </c>
      <c r="F6" s="177" t="n"/>
      <c r="G6" s="121">
        <f>Dashboard!G6</f>
        <v>1377334.56</v>
      </c>
      <c r="H6" s="177" t="n"/>
    </row>
    <row r="7" ht="18" customHeight="1">
      <c r="B7" s="178" t="n"/>
      <c r="C7" s="179" t="n"/>
      <c r="D7" s="180" t="n"/>
      <c r="E7" s="178" t="n"/>
      <c r="F7" s="180" t="n"/>
      <c r="G7" s="178" t="n"/>
      <c r="H7" s="180" t="n"/>
    </row>
    <row r="8" ht="18" customHeight="1">
      <c r="B8" s="122" t="str">
        <f>Dashboard!A7&amp;" Deals"</f>
        <v>7 Deals</v>
      </c>
      <c r="C8" s="174" t="n"/>
      <c r="D8" s="175" t="n"/>
      <c r="E8" s="122" t="str">
        <f>Dashboard!D7&amp;" Deals"</f>
        <v>19 Deals</v>
      </c>
      <c r="F8" s="175" t="n"/>
      <c r="G8" s="122" t="str">
        <f>Dashboard!G7&amp;" Deals"</f>
        <v>9 Deals</v>
      </c>
      <c r="H8" s="175" t="n"/>
    </row>
    <row r="9"/>
    <row r="10" ht="27.75" customHeight="1">
      <c r="B10" s="123" t="str">
        <f>"📊  GESAMT-PIPELINE: "&amp;TEXT(Dashboard!I6,"#,##0")&amp;" CHF  ·  "&amp;Dashboard!I7&amp;" aktive Deals"</f>
        <v>📊  GESAMT-PIPELINE: 5,631,696 CHF  ·  35 aktive Deals</v>
      </c>
    </row>
    <row r="11"/>
    <row r="12" ht="15.75" customHeight="1">
      <c r="B12" s="158" t="inlineStr">
        <is>
          <t>🏆  Top 5 WON-Deals (nach Volumen)</t>
        </is>
      </c>
      <c r="C12" s="181" t="n"/>
      <c r="D12" s="181" t="n"/>
      <c r="E12" s="181" t="n"/>
      <c r="F12" s="181" t="n"/>
      <c r="G12" s="181" t="n"/>
    </row>
    <row r="13" ht="15" customHeight="1">
      <c r="B13" s="2" t="inlineStr">
        <is>
          <t>#</t>
        </is>
      </c>
      <c r="C13" s="2" t="inlineStr">
        <is>
          <t>Kunde</t>
        </is>
      </c>
      <c r="D13" s="2" t="inlineStr">
        <is>
          <t>Kt.</t>
        </is>
      </c>
      <c r="E13" s="2" t="inlineStr">
        <is>
          <t>Start</t>
        </is>
      </c>
      <c r="F13" s="2" t="inlineStr">
        <is>
          <t>Segment</t>
        </is>
      </c>
      <c r="G13" s="2" t="inlineStr">
        <is>
          <t>Volumen</t>
        </is>
      </c>
      <c r="H13" s="2" t="inlineStr">
        <is>
          <t>Marge</t>
        </is>
      </c>
    </row>
    <row r="14" ht="15" customHeight="1">
      <c r="B14" s="3" t="n">
        <v>1</v>
      </c>
      <c r="C14" s="4" t="str">
        <f>IFERROR(INDEX('MiT Strom Pipeline'!B6:B860,MATCH(LARGE('MiT Strom Pipeline'!Z6:Z860,1),'MiT Strom Pipeline'!Z6:Z860,0)),"")</f>
        <v>Ice Hockey Championship</v>
      </c>
      <c r="D14" s="3" t="str">
        <f>IFERROR(INDEX('MiT Strom Pipeline'!C6:C860,MATCH(LARGE('MiT Strom Pipeline'!Z6:Z860,1),'MiT Strom Pipeline'!Z6:Z860,0)),"")</f>
        <v>ZH</v>
      </c>
      <c r="E14" s="3" t="str">
        <f>IFERROR(INDEX('MiT Strom Pipeline'!H6:H860,MATCH(LARGE('MiT Strom Pipeline'!Z6:Z860,1),'MiT Strom Pipeline'!Z6:Z860,0)),"")</f>
        <v>Mai</v>
      </c>
      <c r="F14" s="4" t="str">
        <f>IFERROR(INDEX('MiT Strom Pipeline'!D6:D860,MATCH(LARGE('MiT Strom Pipeline'!Z6:Z860,1),'MiT Strom Pipeline'!Z6:Z860,0)),"")</f>
        <v>Events &amp; Sport</v>
      </c>
      <c r="G14" s="182">
        <f>IFERROR(INDEX('MiT Strom Pipeline'!I6:I860,MATCH(LARGE('MiT Strom Pipeline'!Z6:Z860,1),'MiT Strom Pipeline'!Z6:Z860,0)),"")</f>
        <v>310000</v>
      </c>
      <c r="H14" s="182">
        <f>IFERROR(INDEX('MiT Strom Pipeline'!O6:O860,MATCH(LARGE('MiT Strom Pipeline'!Z6:Z860,1),'MiT Strom Pipeline'!Z6:Z860,0)),"")</f>
        <v>75000</v>
      </c>
    </row>
    <row r="15" ht="15" customHeight="1">
      <c r="B15" s="3" t="n">
        <v>2</v>
      </c>
      <c r="C15" s="4" t="str">
        <f>IFERROR(INDEX('MiT Strom Pipeline'!B6:B860,MATCH(LARGE('MiT Strom Pipeline'!Z6:Z860,2),'MiT Strom Pipeline'!Z6:Z860,0)),"")</f>
        <v>Stagelight – OpenAir Frauenfeld</v>
      </c>
      <c r="D15" s="3" t="str">
        <f>IFERROR(INDEX('MiT Strom Pipeline'!C6:C860,MATCH(LARGE('MiT Strom Pipeline'!Z6:Z860,2),'MiT Strom Pipeline'!Z6:Z860,0)),"")</f>
        <v>TG</v>
      </c>
      <c r="E15" s="3" t="str">
        <f>IFERROR(INDEX('MiT Strom Pipeline'!H6:H860,MATCH(LARGE('MiT Strom Pipeline'!Z6:Z860,2),'MiT Strom Pipeline'!Z6:Z860,0)),"")</f>
        <v>Juli</v>
      </c>
      <c r="F15" s="4" t="str">
        <f>IFERROR(INDEX('MiT Strom Pipeline'!D6:D860,MATCH(LARGE('MiT Strom Pipeline'!Z6:Z860,2),'MiT Strom Pipeline'!Z6:Z860,0)),"")</f>
        <v>Events &amp; Kultur</v>
      </c>
      <c r="G15" s="182">
        <f>IFERROR(INDEX('MiT Strom Pipeline'!I6:I860,MATCH(LARGE('MiT Strom Pipeline'!Z6:Z860,2),'MiT Strom Pipeline'!Z6:Z860,0)),"")</f>
        <v>150000</v>
      </c>
      <c r="H15" s="182">
        <f>IFERROR(INDEX('MiT Strom Pipeline'!O6:O860,MATCH(LARGE('MiT Strom Pipeline'!Z6:Z860,2),'MiT Strom Pipeline'!Z6:Z860,0)),"")</f>
        <v>39500</v>
      </c>
    </row>
    <row r="16" ht="15" customHeight="1">
      <c r="B16" s="3" t="n">
        <v>3</v>
      </c>
      <c r="C16" s="4" t="str">
        <f>IFERROR(INDEX('MiT Strom Pipeline'!B6:B860,MATCH(LARGE('MiT Strom Pipeline'!Z6:Z860,3),'MiT Strom Pipeline'!Z6:Z860,0)),"")</f>
        <v>Gampeln</v>
      </c>
      <c r="D16" s="3" t="str">
        <f>IFERROR(INDEX('MiT Strom Pipeline'!C6:C860,MATCH(LARGE('MiT Strom Pipeline'!Z6:Z860,3),'MiT Strom Pipeline'!Z6:Z860,0)),"")</f>
        <v>VS</v>
      </c>
      <c r="E16" s="3" t="str">
        <f>IFERROR(INDEX('MiT Strom Pipeline'!H6:H860,MATCH(LARGE('MiT Strom Pipeline'!Z6:Z860,3),'MiT Strom Pipeline'!Z6:Z860,0)),"")</f>
        <v>Aug</v>
      </c>
      <c r="F16" s="4" t="str">
        <f>IFERROR(INDEX('MiT Strom Pipeline'!D6:D860,MATCH(LARGE('MiT Strom Pipeline'!Z6:Z860,3),'MiT Strom Pipeline'!Z6:Z860,0)),"")</f>
        <v>Event</v>
      </c>
      <c r="G16" s="182">
        <f>IFERROR(INDEX('MiT Strom Pipeline'!I6:I860,MATCH(LARGE('MiT Strom Pipeline'!Z6:Z860,3),'MiT Strom Pipeline'!Z6:Z860,0)),"")</f>
        <v>115045</v>
      </c>
      <c r="H16" s="182">
        <f>IFERROR(INDEX('MiT Strom Pipeline'!O6:O860,MATCH(LARGE('MiT Strom Pipeline'!Z6:Z860,3),'MiT Strom Pipeline'!Z6:Z860,0)),"")</f>
        <v>0</v>
      </c>
    </row>
    <row r="17" ht="15" customHeight="1">
      <c r="B17" s="3" t="n">
        <v>4</v>
      </c>
      <c r="C17" s="4" t="str">
        <f>IFERROR(INDEX('MiT Strom Pipeline'!B6:B860,MATCH(LARGE('MiT Strom Pipeline'!Z6:Z860,4),'MiT Strom Pipeline'!Z6:Z860,0)),"")</f>
        <v>Murg Flums Energie</v>
      </c>
      <c r="D17" s="3" t="str">
        <f>IFERROR(INDEX('MiT Strom Pipeline'!C6:C860,MATCH(LARGE('MiT Strom Pipeline'!Z6:Z860,4),'MiT Strom Pipeline'!Z6:Z860,0)),"")</f>
        <v>SG</v>
      </c>
      <c r="E17" s="3" t="str">
        <f>IFERROR(INDEX('MiT Strom Pipeline'!H6:H860,MATCH(LARGE('MiT Strom Pipeline'!Z6:Z860,4),'MiT Strom Pipeline'!Z6:Z860,0)),"")</f>
        <v>Auf Abruf</v>
      </c>
      <c r="F17" s="4" t="str">
        <f>IFERROR(INDEX('MiT Strom Pipeline'!D6:D860,MATCH(LARGE('MiT Strom Pipeline'!Z6:Z860,4),'MiT Strom Pipeline'!Z6:Z860,0)),"")</f>
        <v>EVU / Energie</v>
      </c>
      <c r="G17" s="182">
        <f>IFERROR(INDEX('MiT Strom Pipeline'!I6:I860,MATCH(LARGE('MiT Strom Pipeline'!Z6:Z860,4),'MiT Strom Pipeline'!Z6:Z860,0)),"")</f>
        <v>96658.69</v>
      </c>
      <c r="H17" s="182">
        <f>IFERROR(INDEX('MiT Strom Pipeline'!O6:O860,MATCH(LARGE('MiT Strom Pipeline'!Z6:Z860,4),'MiT Strom Pipeline'!Z6:Z860,0)),"")</f>
        <v>7242.69</v>
      </c>
    </row>
    <row r="18" ht="15" customHeight="1">
      <c r="B18" s="3" t="n">
        <v>5</v>
      </c>
      <c r="C18" s="4" t="str">
        <f>IFERROR(INDEX('MiT Strom Pipeline'!B6:B860,MATCH(LARGE('MiT Strom Pipeline'!Z6:Z860,5),'MiT Strom Pipeline'!Z6:Z860,0)),"")</f>
        <v>Oerlikon Metco Wohlen</v>
      </c>
      <c r="D18" s="3" t="str">
        <f>IFERROR(INDEX('MiT Strom Pipeline'!C6:C860,MATCH(LARGE('MiT Strom Pipeline'!Z6:Z860,5),'MiT Strom Pipeline'!Z6:Z860,0)),"")</f>
        <v>AG</v>
      </c>
      <c r="E18" s="3" t="str">
        <f>IFERROR(INDEX('MiT Strom Pipeline'!H6:H860,MATCH(LARGE('MiT Strom Pipeline'!Z6:Z860,5),'MiT Strom Pipeline'!Z6:Z860,0)),"")</f>
        <v>April</v>
      </c>
      <c r="F18" s="4" t="str">
        <f>IFERROR(INDEX('MiT Strom Pipeline'!D6:D860,MATCH(LARGE('MiT Strom Pipeline'!Z6:Z860,5),'MiT Strom Pipeline'!Z6:Z860,0)),"")</f>
        <v>Industrie / Oberfläche</v>
      </c>
      <c r="G18" s="182">
        <f>IFERROR(INDEX('MiT Strom Pipeline'!I6:I860,MATCH(LARGE('MiT Strom Pipeline'!Z6:Z860,5),'MiT Strom Pipeline'!Z6:Z860,0)),"")</f>
        <v>13100</v>
      </c>
      <c r="H18" s="182">
        <f>IFERROR(INDEX('MiT Strom Pipeline'!O6:O860,MATCH(LARGE('MiT Strom Pipeline'!Z6:Z860,5),'MiT Strom Pipeline'!Z6:Z860,0)),"")</f>
        <v>3000</v>
      </c>
    </row>
    <row r="19"/>
    <row r="20"/>
    <row r="21" ht="15.75" customHeight="1">
      <c r="B21" s="158" t="inlineStr">
        <is>
          <t>📊  Status-Verteilung Pipeline</t>
        </is>
      </c>
      <c r="C21" s="181" t="n"/>
      <c r="D21" s="181" t="n"/>
      <c r="E21" s="181" t="n"/>
      <c r="F21" s="181" t="n"/>
      <c r="G21" s="181" t="n"/>
    </row>
    <row r="22" ht="15" customHeight="1">
      <c r="B22" s="124" t="inlineStr">
        <is>
          <t>Status</t>
        </is>
      </c>
      <c r="D22" s="124" t="inlineStr">
        <is>
          <t>Anzahl</t>
        </is>
      </c>
      <c r="E22" s="124" t="inlineStr">
        <is>
          <t>Volumen CHF</t>
        </is>
      </c>
      <c r="G22" s="124" t="inlineStr">
        <is>
          <t>Anteil %</t>
        </is>
      </c>
    </row>
    <row r="23" ht="15" customHeight="1">
      <c r="B23" s="159" t="inlineStr">
        <is>
          <t>✅ WON</t>
        </is>
      </c>
      <c r="C23" s="175" t="n"/>
      <c r="D23" s="183">
        <f>COUNTIF('MiT Strom Pipeline'!R6:R860,"WON")</f>
        <v>7</v>
      </c>
      <c r="E23" s="184">
        <f>SUMIFS('MiT Strom Pipeline'!I6:I860,'MiT Strom Pipeline'!R6:R860,"WON")</f>
        <v>694803.69</v>
      </c>
      <c r="F23" s="175" t="n"/>
      <c r="G23" s="185">
        <f>IFERROR(E23/Dashboard!I6,0)</f>
        <v>0.123373787456788</v>
      </c>
    </row>
    <row r="24" ht="15" customHeight="1">
      <c r="B24" s="160" t="inlineStr">
        <is>
          <t>📄 Offerte (inkl. To Offer)</t>
        </is>
      </c>
      <c r="C24" s="175" t="n"/>
      <c r="D24" s="183">
        <f>COUNTIF('MiT Strom Pipeline'!R6:R860,"offered")+COUNTIF('MiT Strom Pipeline'!R6:R860,"to be offered")</f>
        <v>18</v>
      </c>
      <c r="E24" s="184">
        <f>SUMIFS('MiT Strom Pipeline'!I6:I860,'MiT Strom Pipeline'!R6:R860,"offered")+SUMIFS('MiT Strom Pipeline'!I6:I860,'MiT Strom Pipeline'!R6:R860,"to be offered")</f>
        <v>3559557.95</v>
      </c>
      <c r="F24" s="175" t="n"/>
      <c r="G24" s="185">
        <f>IFERROR(E24/Dashboard!I6,0)</f>
        <v>0.632057878051021</v>
      </c>
    </row>
    <row r="25" ht="15" customHeight="1">
      <c r="B25" s="161" t="inlineStr">
        <is>
          <t>🎯 Follow-Up</t>
        </is>
      </c>
      <c r="C25" s="175" t="n"/>
      <c r="D25" s="183">
        <f>COUNTIF('MiT Strom Pipeline'!R6:R860,"follow-up")</f>
        <v>4</v>
      </c>
      <c r="E25" s="184">
        <f>SUMIFS('MiT Strom Pipeline'!I6:I860,'MiT Strom Pipeline'!R6:R860,"follow-up")</f>
        <v>1293888</v>
      </c>
      <c r="F25" s="175" t="n"/>
      <c r="G25" s="185">
        <f>IFERROR(E25/Dashboard!I6,0)</f>
        <v>0.229751029538845</v>
      </c>
    </row>
    <row r="26" ht="15" customHeight="1">
      <c r="B26" s="162" t="inlineStr">
        <is>
          <t>🔍 Evaluation (inkl. In Eval)</t>
        </is>
      </c>
      <c r="C26" s="175" t="n"/>
      <c r="D26" s="183">
        <f>COUNTIF('MiT Strom Pipeline'!R6:R860,"Evaluation")+COUNTIF('MiT Strom Pipeline'!R6:R860,"In evaluation")</f>
        <v>4</v>
      </c>
      <c r="E26" s="184">
        <f>SUMIFS('MiT Strom Pipeline'!I6:I860,'MiT Strom Pipeline'!R6:R860,"Evaluation")+SUMIFS('MiT Strom Pipeline'!I6:I860,'MiT Strom Pipeline'!R6:R860,"In evaluation")</f>
        <v>83446.56</v>
      </c>
      <c r="F26" s="175" t="n"/>
      <c r="G26" s="185">
        <f>IFERROR(E26/Dashboard!I6,0)</f>
        <v>0.014817304953346</v>
      </c>
    </row>
    <row r="27" ht="15" customHeight="1">
      <c r="B27" s="163" t="inlineStr">
        <is>
          <t>⏸ On Hold</t>
        </is>
      </c>
      <c r="C27" s="175" t="n"/>
      <c r="D27" s="183">
        <f>COUNTIF('MiT Strom Pipeline'!R6:R860,"on hold")</f>
        <v>1</v>
      </c>
      <c r="E27" s="184">
        <f>SUMIFS('MiT Strom Pipeline'!I6:I860,'MiT Strom Pipeline'!R6:R860,"on hold")</f>
        <v>0</v>
      </c>
      <c r="F27" s="175" t="n"/>
      <c r="G27" s="185">
        <f>IFERROR(E27/Dashboard!I6,0)</f>
        <v>0</v>
      </c>
    </row>
    <row r="28" ht="15" customHeight="1">
      <c r="B28" s="164" t="inlineStr">
        <is>
          <t>❓ TBD</t>
        </is>
      </c>
      <c r="C28" s="175" t="n"/>
      <c r="D28" s="183">
        <f>COUNTIF('MiT Strom Pipeline'!R6:R860,"tbd")</f>
        <v>1</v>
      </c>
      <c r="E28" s="184">
        <f>SUMIFS('MiT Strom Pipeline'!I6:I860,'MiT Strom Pipeline'!R6:R860,"tbd")</f>
        <v>0</v>
      </c>
      <c r="F28" s="175" t="n"/>
      <c r="G28" s="185">
        <f>IFERROR(E28/Dashboard!I6,0)</f>
        <v>0</v>
      </c>
    </row>
    <row r="29" ht="15" customHeight="1">
      <c r="B29" s="165" t="inlineStr">
        <is>
          <t>❌ LOST</t>
        </is>
      </c>
      <c r="C29" s="175" t="n"/>
      <c r="D29" s="183">
        <f>COUNTIF('MiT Strom Pipeline'!R6:R860,"LOST")</f>
        <v>7</v>
      </c>
      <c r="E29" s="184">
        <f>SUMIFS('MiT Strom Pipeline'!I6:I860,'MiT Strom Pipeline'!R6:R860,"LOST")</f>
        <v>78251.62</v>
      </c>
      <c r="F29" s="175" t="n"/>
      <c r="G29" s="185">
        <f>IFERROR(E29/Dashboard!I6,0)</f>
        <v>0.0138948581778967</v>
      </c>
    </row>
    <row r="30" ht="15" customHeight="1">
      <c r="B30" s="166" t="inlineStr">
        <is>
          <t>🚫 Declined</t>
        </is>
      </c>
      <c r="C30" s="175" t="n"/>
      <c r="D30" s="183">
        <f>COUNTIF('MiT Strom Pipeline'!R6:R860,"Declined")</f>
        <v>13</v>
      </c>
      <c r="E30" s="184">
        <f>SUMIFS('MiT Strom Pipeline'!I6:I860,'MiT Strom Pipeline'!R6:R860,"Declined")</f>
        <v>96029.01</v>
      </c>
      <c r="F30" s="175" t="n"/>
      <c r="G30" s="185">
        <f>IFERROR(E30/Dashboard!I6,0)</f>
        <v>0.0170515252580564</v>
      </c>
    </row>
    <row r="31"/>
    <row r="32"/>
    <row r="33"/>
    <row r="34"/>
    <row r="35" ht="15" customHeight="1">
      <c r="A35" s="126" t="inlineStr">
        <is>
          <t>🖨  Strg+P → Als PDF speichern  ·  Druckbereich ist bereits gesetzt (A4 Hochformat)</t>
        </is>
      </c>
    </row>
  </sheetData>
  <mergeCells count="34">
    <mergeCell ref="E6:F7"/>
    <mergeCell ref="B25:C25"/>
    <mergeCell ref="E24:F24"/>
    <mergeCell ref="G6:H7"/>
    <mergeCell ref="B8:D8"/>
    <mergeCell ref="E5:F5"/>
    <mergeCell ref="E23:F23"/>
    <mergeCell ref="B22:C22"/>
    <mergeCell ref="A1:H1"/>
    <mergeCell ref="G8:H8"/>
    <mergeCell ref="B27:C27"/>
    <mergeCell ref="E8:F8"/>
    <mergeCell ref="B10:G10"/>
    <mergeCell ref="E29:F29"/>
    <mergeCell ref="B23:C23"/>
    <mergeCell ref="E28:F28"/>
    <mergeCell ref="A3:H3"/>
    <mergeCell ref="B5:D5"/>
    <mergeCell ref="E30:F30"/>
    <mergeCell ref="B29:C29"/>
    <mergeCell ref="A2:H2"/>
    <mergeCell ref="B28:C28"/>
    <mergeCell ref="E27:F27"/>
    <mergeCell ref="G5:H5"/>
    <mergeCell ref="E26:F26"/>
    <mergeCell ref="B30:C30"/>
    <mergeCell ref="B24:C24"/>
    <mergeCell ref="B6:D7"/>
    <mergeCell ref="A35:H35"/>
    <mergeCell ref="E25:F25"/>
    <mergeCell ref="E22:F22"/>
    <mergeCell ref="B12:G12"/>
    <mergeCell ref="B26:C26"/>
    <mergeCell ref="B21:G21"/>
  </mergeCells>
  <printOptions horizontalCentered="1"/>
  <pageMargins left="0.3" right="0.3" top="0.347222222222222" bottom="0.5" header="0.511811023622047" footer="0.2"/>
  <pageSetup orientation="portrait" paperSize="9" fitToHeight="0" fitToWidth="1" horizontalDpi="300" verticalDpi="300"/>
  <headerFooter>
    <oddHeader/>
    <oddFooter>&amp;C&amp;"Calibri,Italic"&amp;9 Mobil in Time AG · &amp;D · Seite &amp;P/&amp;N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2E7D32"/>
    <outlinePr summaryBelow="1" summaryRight="1"/>
    <pageSetUpPr fitToPage="1"/>
  </sheetPr>
  <dimension ref="A1:L41"/>
  <sheetViews>
    <sheetView topLeftCell="A19" zoomScaleNormal="100" workbookViewId="0">
      <selection activeCell="A1" sqref="A1"/>
    </sheetView>
  </sheetViews>
  <sheetFormatPr baseColWidth="8" defaultColWidth="8.5703125" defaultRowHeight="15"/>
  <cols>
    <col width="18" customWidth="1" min="1" max="1"/>
    <col width="24" customWidth="1" min="2" max="2"/>
    <col width="14.7109375" bestFit="1" customWidth="1" min="3" max="3"/>
    <col width="20" customWidth="1" min="4" max="4"/>
    <col width="14" customWidth="1" min="5" max="6"/>
    <col width="13" customWidth="1" min="7" max="8"/>
    <col hidden="1" width="13" customWidth="1" min="10" max="12"/>
  </cols>
  <sheetData>
    <row r="1" ht="36" customHeight="1">
      <c r="A1" s="167" t="inlineStr">
        <is>
          <t>MiT Strom Schweiz — Sales-Report</t>
        </is>
      </c>
    </row>
    <row r="2" ht="15" customHeight="1">
      <c r="A2" s="168" t="inlineStr">
        <is>
          <t>Mobil in Time AG · An Aggreko Company · Burak Ücöz</t>
        </is>
      </c>
    </row>
    <row r="3" ht="15" customHeight="1">
      <c r="A3" s="169" t="str">
        <f>"Stand: "&amp;TEXT(TODAY(),"DD.MM.YYYY")&amp;"  ·  Auto-Update via Pipeline-Daten"</f>
        <v>Stand: 13.07.2026  ·  Auto-Update via Pipeline-Daten</v>
      </c>
    </row>
    <row r="4"/>
    <row r="5" ht="17.25" customHeight="1">
      <c r="A5" s="170" t="inlineStr">
        <is>
          <t>Key Performance Indicators</t>
        </is>
      </c>
      <c r="B5" s="181" t="n"/>
      <c r="C5" s="181" t="n"/>
      <c r="D5" s="181" t="n"/>
      <c r="E5" s="181" t="n"/>
      <c r="F5" s="181" t="n"/>
      <c r="G5" s="181" t="n"/>
      <c r="H5" s="181" t="n"/>
    </row>
    <row r="6" ht="15" customHeight="1">
      <c r="A6" s="8" t="inlineStr">
        <is>
          <t>KPI</t>
        </is>
      </c>
      <c r="B6" s="8" t="inlineStr">
        <is>
          <t>Wert CHF</t>
        </is>
      </c>
      <c r="C6" s="8" t="inlineStr">
        <is>
          <t>Anzahl</t>
        </is>
      </c>
      <c r="D6" s="8" t="inlineStr">
        <is>
          <t>Anteil</t>
        </is>
      </c>
    </row>
    <row r="7" ht="15" customHeight="1">
      <c r="A7" s="9" t="inlineStr">
        <is>
          <t>✅ WON</t>
        </is>
      </c>
      <c r="B7" s="10">
        <f>Dashboard!A6</f>
        <v>694803.69</v>
      </c>
      <c r="C7" s="11">
        <f>Dashboard!A7</f>
        <v>7</v>
      </c>
      <c r="D7" s="12">
        <f>IFERROR(B7/$B$10,0)</f>
        <v>0.123373787456788</v>
      </c>
    </row>
    <row r="8" ht="15" customHeight="1">
      <c r="A8" s="9" t="inlineStr">
        <is>
          <t>📄 Offerte</t>
        </is>
      </c>
      <c r="B8" s="10">
        <f>Dashboard!D6</f>
        <v>3559557.95</v>
      </c>
      <c r="C8" s="11">
        <f>Dashboard!D7</f>
        <v>19</v>
      </c>
      <c r="D8" s="12">
        <f>IFERROR(B8/$B$10,0)</f>
        <v>0.632057878051021</v>
      </c>
    </row>
    <row r="9" ht="15" customHeight="1">
      <c r="A9" s="9" t="inlineStr">
        <is>
          <t>🎯 Opportunität</t>
        </is>
      </c>
      <c r="B9" s="10">
        <f>Dashboard!G6</f>
        <v>1377334.56</v>
      </c>
      <c r="C9" s="11">
        <f>Dashboard!G7</f>
        <v>9</v>
      </c>
      <c r="D9" s="12">
        <f>IFERROR(B9/$B$10,0)</f>
        <v>0.244568334492191</v>
      </c>
    </row>
    <row r="10" ht="15" customHeight="1">
      <c r="A10" s="13" t="inlineStr">
        <is>
          <t>📊 TOTAL Pipeline</t>
        </is>
      </c>
      <c r="B10" s="14">
        <f>Dashboard!I6</f>
        <v>5631696.2</v>
      </c>
      <c r="C10" s="15">
        <f>Dashboard!I7</f>
        <v>35</v>
      </c>
      <c r="D10" s="16">
        <f>IFERROR(B10/$B$10,0)</f>
        <v>1</v>
      </c>
    </row>
    <row r="11"/>
    <row r="12"/>
    <row r="13" ht="17.25" customHeight="1">
      <c r="A13" s="170" t="inlineStr">
        <is>
          <t>Top Kantone (nach Volumen)</t>
        </is>
      </c>
      <c r="B13" s="181" t="n"/>
      <c r="C13" s="181" t="n"/>
      <c r="D13" s="181" t="n"/>
      <c r="E13" s="181" t="n"/>
      <c r="F13" s="181" t="n"/>
      <c r="G13" s="181" t="n"/>
      <c r="H13" s="181" t="n"/>
      <c r="J13" t="inlineStr">
        <is>
          <t>_kt</t>
        </is>
      </c>
      <c r="K13" t="inlineStr">
        <is>
          <t>_vol</t>
        </is>
      </c>
      <c r="L13" t="inlineStr">
        <is>
          <t>_rankkey</t>
        </is>
      </c>
    </row>
    <row r="14" ht="15" customHeight="1">
      <c r="A14" s="8" t="inlineStr">
        <is>
          <t>Rang</t>
        </is>
      </c>
      <c r="B14" s="8" t="inlineStr">
        <is>
          <t>Kanton</t>
        </is>
      </c>
      <c r="C14" s="8" t="inlineStr">
        <is>
          <t>Volumen CHF</t>
        </is>
      </c>
      <c r="D14" s="8" t="inlineStr">
        <is>
          <t>Anzahl Deals</t>
        </is>
      </c>
      <c r="E14" s="8" t="inlineStr">
        <is>
          <t>WON-Rate</t>
        </is>
      </c>
      <c r="J14" t="inlineStr">
        <is>
          <t>AG</t>
        </is>
      </c>
      <c r="K14">
        <f>SUMIF('MiT Strom Pipeline'!$C$6:$C$860,J14,'MiT Strom Pipeline'!$I$6:$I$860)</f>
        <v>403463.95</v>
      </c>
      <c r="L14">
        <f>K14+(26-ROW())*0.0001</f>
        <v>403463.9512</v>
      </c>
    </row>
    <row r="15" ht="15" customHeight="1">
      <c r="A15" s="17" t="n">
        <v>1</v>
      </c>
      <c r="B15" s="18" t="str">
        <f>IFERROR(INDEX($J$14:$J$39,MATCH(LARGE($L$14:$L$39,1),$L$14:$L$39,0)),"")</f>
        <v>SH</v>
      </c>
      <c r="C15" s="19">
        <f>IF(B15="","",SUMIF('MiT Strom Pipeline'!$C$6:$C$860,B15,'MiT Strom Pipeline'!$I$6:$I$860))</f>
        <v>2637287.63</v>
      </c>
      <c r="D15" s="20">
        <f>IF(B15="","",COUNTIF('MiT Strom Pipeline'!$C$6:$C$860,B15))</f>
        <v>5</v>
      </c>
      <c r="E15" s="21">
        <f>IF(OR(B15="",D15=0),"",COUNTIFS('MiT Strom Pipeline'!$C$6:$C$860,B15,'MiT Strom Pipeline'!$R$6:$R$860,"WON")/D15)</f>
        <v>0.2</v>
      </c>
      <c r="J15" t="inlineStr">
        <is>
          <t>AI</t>
        </is>
      </c>
      <c r="K15">
        <f>SUMIF('MiT Strom Pipeline'!$C$6:$C$860,J15,'MiT Strom Pipeline'!$I$6:$I$860)</f>
        <v>0</v>
      </c>
      <c r="L15">
        <f>K15+(26-ROW())*0.0001</f>
        <v>0.0011</v>
      </c>
    </row>
    <row r="16" ht="15" customHeight="1">
      <c r="A16" s="17" t="n">
        <v>2</v>
      </c>
      <c r="B16" s="18" t="str">
        <f>IFERROR(INDEX($J$14:$J$39,MATCH(LARGE($L$14:$L$39,2),$L$14:$L$39,0)),"")</f>
        <v>ZH</v>
      </c>
      <c r="C16" s="19">
        <f>IF(B16="","",SUMIF('MiT Strom Pipeline'!$C$6:$C$860,B16,'MiT Strom Pipeline'!$I$6:$I$860))</f>
        <v>1579241.67</v>
      </c>
      <c r="D16" s="20">
        <f>IF(B16="","",COUNTIF('MiT Strom Pipeline'!$C$6:$C$860,B16))</f>
        <v>19</v>
      </c>
      <c r="E16" s="21">
        <f>IF(OR(B16="",D16=0),"",COUNTIFS('MiT Strom Pipeline'!$C$6:$C$860,B16,'MiT Strom Pipeline'!$R$6:$R$860,"WON")/D16)</f>
        <v>0.105263157894737</v>
      </c>
      <c r="J16" t="inlineStr">
        <is>
          <t>AR</t>
        </is>
      </c>
      <c r="K16">
        <f>SUMIF('MiT Strom Pipeline'!$C$6:$C$860,J16,'MiT Strom Pipeline'!$I$6:$I$860)</f>
        <v>0</v>
      </c>
      <c r="L16">
        <f>K16+(26-ROW())*0.0001</f>
        <v>0.001</v>
      </c>
    </row>
    <row r="17" ht="15" customHeight="1">
      <c r="A17" s="17" t="n">
        <v>3</v>
      </c>
      <c r="B17" s="18" t="str">
        <f>IFERROR(INDEX($J$14:$J$39,MATCH(LARGE($L$14:$L$39,3),$L$14:$L$39,0)),"")</f>
        <v>AG</v>
      </c>
      <c r="C17" s="19">
        <f>IF(B17="","",SUMIF('MiT Strom Pipeline'!$C$6:$C$860,B17,'MiT Strom Pipeline'!$I$6:$I$860))</f>
        <v>403463.95</v>
      </c>
      <c r="D17" s="20">
        <f>IF(B17="","",COUNTIF('MiT Strom Pipeline'!$C$6:$C$860,B17))</f>
        <v>6</v>
      </c>
      <c r="E17" s="21">
        <f>IF(OR(B17="",D17=0),"",COUNTIFS('MiT Strom Pipeline'!$C$6:$C$860,B17,'MiT Strom Pipeline'!$R$6:$R$860,"WON")/D17)</f>
        <v>0.166666666666667</v>
      </c>
      <c r="J17" t="inlineStr">
        <is>
          <t>BE</t>
        </is>
      </c>
      <c r="K17">
        <f>SUMIF('MiT Strom Pipeline'!$C$6:$C$860,J17,'MiT Strom Pipeline'!$I$6:$I$860)</f>
        <v>58012.12</v>
      </c>
      <c r="L17">
        <f>K17+(26-ROW())*0.0001</f>
        <v>58012.1209</v>
      </c>
    </row>
    <row r="18" ht="15" customHeight="1">
      <c r="A18" s="17" t="n">
        <v>4</v>
      </c>
      <c r="B18" s="18" t="str">
        <f>IFERROR(INDEX($J$14:$J$39,MATCH(LARGE($L$14:$L$39,4),$L$14:$L$39,0)),"")</f>
        <v>SO</v>
      </c>
      <c r="C18" s="19">
        <f>IF(B18="","",SUMIF('MiT Strom Pipeline'!$C$6:$C$860,B18,'MiT Strom Pipeline'!$I$6:$I$860))</f>
        <v>390750.65</v>
      </c>
      <c r="D18" s="20">
        <f>IF(B18="","",COUNTIF('MiT Strom Pipeline'!$C$6:$C$860,B18))</f>
        <v>2</v>
      </c>
      <c r="E18" s="21">
        <f>IF(OR(B18="",D18=0),"",COUNTIFS('MiT Strom Pipeline'!$C$6:$C$860,B18,'MiT Strom Pipeline'!$R$6:$R$860,"WON")/D18)</f>
        <v>0</v>
      </c>
      <c r="J18" t="inlineStr">
        <is>
          <t>BL</t>
        </is>
      </c>
      <c r="K18">
        <f>SUMIF('MiT Strom Pipeline'!$C$6:$C$860,J18,'MiT Strom Pipeline'!$I$6:$I$860)</f>
        <v>0</v>
      </c>
      <c r="L18">
        <f>K18+(26-ROW())*0.0001</f>
        <v>0.0008</v>
      </c>
    </row>
    <row r="19" ht="15" customHeight="1">
      <c r="A19" s="17" t="n">
        <v>5</v>
      </c>
      <c r="B19" s="18" t="str">
        <f>IFERROR(INDEX($J$14:$J$39,MATCH(LARGE($L$14:$L$39,5),$L$14:$L$39,0)),"")</f>
        <v>VS</v>
      </c>
      <c r="C19" s="19">
        <f>IF(B19="","",SUMIF('MiT Strom Pipeline'!$C$6:$C$860,B19,'MiT Strom Pipeline'!$I$6:$I$860))</f>
        <v>338213.99</v>
      </c>
      <c r="D19" s="20">
        <f>IF(B19="","",COUNTIF('MiT Strom Pipeline'!$C$6:$C$860,B19))</f>
        <v>3</v>
      </c>
      <c r="E19" s="21">
        <f>IF(OR(B19="",D19=0),"",COUNTIFS('MiT Strom Pipeline'!$C$6:$C$860,B19,'MiT Strom Pipeline'!$R$6:$R$860,"WON")/D19)</f>
        <v>0.333333333333333</v>
      </c>
      <c r="J19" t="inlineStr">
        <is>
          <t>BS</t>
        </is>
      </c>
      <c r="K19">
        <f>SUMIF('MiT Strom Pipeline'!$C$6:$C$860,J19,'MiT Strom Pipeline'!$I$6:$I$860)</f>
        <v>13866.21</v>
      </c>
      <c r="L19">
        <f>K19+(26-ROW())*0.0001</f>
        <v>13866.2107</v>
      </c>
    </row>
    <row r="20" ht="15" customHeight="1">
      <c r="A20" s="17" t="n">
        <v>6</v>
      </c>
      <c r="B20" s="18" t="str">
        <f>IFERROR(INDEX($J$14:$J$39,MATCH(LARGE($L$14:$L$39,6),$L$14:$L$39,0)),"")</f>
        <v>TG</v>
      </c>
      <c r="C20" s="19">
        <f>IF(B20="","",SUMIF('MiT Strom Pipeline'!$C$6:$C$860,B20,'MiT Strom Pipeline'!$I$6:$I$860))</f>
        <v>155328.36</v>
      </c>
      <c r="D20" s="20">
        <f>IF(B20="","",COUNTIF('MiT Strom Pipeline'!$C$6:$C$860,B20))</f>
        <v>2</v>
      </c>
      <c r="E20" s="21">
        <f>IF(OR(B20="",D20=0),"",COUNTIFS('MiT Strom Pipeline'!$C$6:$C$860,B20,'MiT Strom Pipeline'!$R$6:$R$860,"WON")/D20)</f>
        <v>0.5</v>
      </c>
      <c r="J20" t="inlineStr">
        <is>
          <t>FR</t>
        </is>
      </c>
      <c r="K20">
        <f>SUMIF('MiT Strom Pipeline'!$C$6:$C$860,J20,'MiT Strom Pipeline'!$I$6:$I$860)</f>
        <v>0</v>
      </c>
      <c r="L20">
        <f>K20+(26-ROW())*0.0001</f>
        <v>0.0006</v>
      </c>
    </row>
    <row r="21" ht="15" customHeight="1">
      <c r="A21" s="17" t="n">
        <v>7</v>
      </c>
      <c r="B21" s="18" t="str">
        <f>IFERROR(INDEX($J$14:$J$39,MATCH(LARGE($L$14:$L$39,7),$L$14:$L$39,0)),"")</f>
        <v>SG</v>
      </c>
      <c r="C21" s="19">
        <f>IF(B21="","",SUMIF('MiT Strom Pipeline'!$C$6:$C$860,B21,'MiT Strom Pipeline'!$I$6:$I$860))</f>
        <v>101192.62</v>
      </c>
      <c r="D21" s="20">
        <f>IF(B21="","",COUNTIF('MiT Strom Pipeline'!$C$6:$C$860,B21))</f>
        <v>3</v>
      </c>
      <c r="E21" s="21">
        <f>IF(OR(B21="",D21=0),"",COUNTIFS('MiT Strom Pipeline'!$C$6:$C$860,B21,'MiT Strom Pipeline'!$R$6:$R$860,"WON")/D21)</f>
        <v>0.333333333333333</v>
      </c>
      <c r="J21" t="inlineStr">
        <is>
          <t>GE</t>
        </is>
      </c>
      <c r="K21">
        <f>SUMIF('MiT Strom Pipeline'!$C$6:$C$860,J21,'MiT Strom Pipeline'!$I$6:$I$860)</f>
        <v>38885</v>
      </c>
      <c r="L21">
        <f>K21+(26-ROW())*0.0001</f>
        <v>38885.0005</v>
      </c>
    </row>
    <row r="22" ht="15" customHeight="1">
      <c r="A22" s="17" t="n">
        <v>8</v>
      </c>
      <c r="B22" s="18" t="str">
        <f>IFERROR(INDEX($J$14:$J$39,MATCH(LARGE($L$14:$L$39,8),$L$14:$L$39,0)),"")</f>
        <v>GR</v>
      </c>
      <c r="C22" s="19">
        <f>IF(B22="","",SUMIF('MiT Strom Pipeline'!$C$6:$C$860,B22,'MiT Strom Pipeline'!$I$6:$I$860))</f>
        <v>77325.62</v>
      </c>
      <c r="D22" s="20">
        <f>IF(B22="","",COUNTIF('MiT Strom Pipeline'!$C$6:$C$860,B22))</f>
        <v>2</v>
      </c>
      <c r="E22" s="21">
        <f>IF(OR(B22="",D22=0),"",COUNTIFS('MiT Strom Pipeline'!$C$6:$C$860,B22,'MiT Strom Pipeline'!$R$6:$R$860,"WON")/D22)</f>
        <v>0</v>
      </c>
      <c r="J22" t="inlineStr">
        <is>
          <t>GL</t>
        </is>
      </c>
      <c r="K22">
        <f>SUMIF('MiT Strom Pipeline'!$C$6:$C$860,J22,'MiT Strom Pipeline'!$I$6:$I$860)</f>
        <v>0</v>
      </c>
      <c r="L22">
        <f>K22+(26-ROW())*0.0001</f>
        <v>0.0004</v>
      </c>
    </row>
    <row r="23" ht="15" customHeight="1">
      <c r="A23" s="17" t="n">
        <v>9</v>
      </c>
      <c r="B23" s="18" t="str">
        <f>IFERROR(INDEX($J$14:$J$39,MATCH(LARGE($L$14:$L$39,9),$L$14:$L$39,0)),"")</f>
        <v>BE</v>
      </c>
      <c r="C23" s="19">
        <f>IF(B23="","",SUMIF('MiT Strom Pipeline'!$C$6:$C$860,B23,'MiT Strom Pipeline'!$I$6:$I$860))</f>
        <v>58012.12</v>
      </c>
      <c r="D23" s="20">
        <f>IF(B23="","",COUNTIF('MiT Strom Pipeline'!$C$6:$C$860,B23))</f>
        <v>5</v>
      </c>
      <c r="E23" s="21">
        <f>IF(OR(B23="",D23=0),"",COUNTIFS('MiT Strom Pipeline'!$C$6:$C$860,B23,'MiT Strom Pipeline'!$R$6:$R$860,"WON")/D23)</f>
        <v>0</v>
      </c>
      <c r="J23" t="inlineStr">
        <is>
          <t>GR</t>
        </is>
      </c>
      <c r="K23">
        <f>SUMIF('MiT Strom Pipeline'!$C$6:$C$860,J23,'MiT Strom Pipeline'!$I$6:$I$860)</f>
        <v>77325.62</v>
      </c>
      <c r="L23">
        <f>K23+(26-ROW())*0.0001</f>
        <v>77325.6203</v>
      </c>
    </row>
    <row r="24" ht="15" customHeight="1">
      <c r="A24" s="17" t="n">
        <v>10</v>
      </c>
      <c r="B24" s="18" t="str">
        <f>IFERROR(INDEX($J$14:$J$39,MATCH(LARGE($L$14:$L$39,10),$L$14:$L$39,0)),"")</f>
        <v>GE</v>
      </c>
      <c r="C24" s="19">
        <f>IF(B24="","",SUMIF('MiT Strom Pipeline'!$C$6:$C$860,B24,'MiT Strom Pipeline'!$I$6:$I$860))</f>
        <v>38885</v>
      </c>
      <c r="D24" s="20">
        <f>IF(B24="","",COUNTIF('MiT Strom Pipeline'!$C$6:$C$860,B24))</f>
        <v>1</v>
      </c>
      <c r="E24" s="21">
        <f>IF(OR(B24="",D24=0),"",COUNTIFS('MiT Strom Pipeline'!$C$6:$C$860,B24,'MiT Strom Pipeline'!$R$6:$R$860,"WON")/D24)</f>
        <v>0</v>
      </c>
      <c r="J24" t="inlineStr">
        <is>
          <t>JU</t>
        </is>
      </c>
      <c r="K24">
        <f>SUMIF('MiT Strom Pipeline'!$C$6:$C$860,J24,'MiT Strom Pipeline'!$I$6:$I$860)</f>
        <v>0</v>
      </c>
      <c r="L24">
        <f>K24+(26-ROW())*0.0001</f>
        <v>0.0002</v>
      </c>
    </row>
    <row r="25" ht="15" customHeight="1">
      <c r="J25" t="inlineStr">
        <is>
          <t>LU</t>
        </is>
      </c>
      <c r="K25">
        <f>SUMIF('MiT Strom Pipeline'!$C$6:$C$860,J25,'MiT Strom Pipeline'!$I$6:$I$860)</f>
        <v>12409.01</v>
      </c>
      <c r="L25">
        <f>K25+(26-ROW())*0.0001</f>
        <v>12409.0101</v>
      </c>
    </row>
    <row r="26" ht="15" customHeight="1">
      <c r="J26" t="inlineStr">
        <is>
          <t>NE</t>
        </is>
      </c>
      <c r="K26">
        <f>SUMIF('MiT Strom Pipeline'!$C$6:$C$860,J26,'MiT Strom Pipeline'!$I$6:$I$860)</f>
        <v>0</v>
      </c>
      <c r="L26">
        <f>K26+(26-ROW())*0.0001</f>
        <v>0</v>
      </c>
    </row>
    <row r="27" ht="17.25" customHeight="1">
      <c r="A27" s="170" t="inlineStr">
        <is>
          <t>Top WON-Deals</t>
        </is>
      </c>
      <c r="B27" s="181" t="n"/>
      <c r="C27" s="181" t="n"/>
      <c r="D27" s="181" t="n"/>
      <c r="E27" s="181" t="n"/>
      <c r="F27" s="181" t="n"/>
      <c r="G27" s="181" t="n"/>
      <c r="H27" s="181" t="n"/>
      <c r="J27" t="inlineStr">
        <is>
          <t>NW</t>
        </is>
      </c>
      <c r="K27">
        <f>SUMIF('MiT Strom Pipeline'!$C$6:$C$860,J27,'MiT Strom Pipeline'!$I$6:$I$860)</f>
        <v>0</v>
      </c>
      <c r="L27">
        <f>K27+(26-ROW())*0.0001</f>
        <v>-0.0001</v>
      </c>
    </row>
    <row r="28" ht="15" customHeight="1">
      <c r="A28" s="8" t="inlineStr">
        <is>
          <t>Rang</t>
        </is>
      </c>
      <c r="B28" s="8" t="inlineStr">
        <is>
          <t>Kunde</t>
        </is>
      </c>
      <c r="C28" s="8" t="inlineStr">
        <is>
          <t>Kanton</t>
        </is>
      </c>
      <c r="D28" s="8" t="inlineStr">
        <is>
          <t>Segment</t>
        </is>
      </c>
      <c r="E28" s="8" t="inlineStr">
        <is>
          <t>Volumen CHF</t>
        </is>
      </c>
      <c r="F28" s="8" t="inlineStr">
        <is>
          <t>Marge CHF</t>
        </is>
      </c>
      <c r="G28" s="8" t="inlineStr">
        <is>
          <t>Start</t>
        </is>
      </c>
      <c r="J28" t="inlineStr">
        <is>
          <t>OW</t>
        </is>
      </c>
      <c r="K28">
        <f>SUMIF('MiT Strom Pipeline'!$C$6:$C$860,J28,'MiT Strom Pipeline'!$I$6:$I$860)</f>
        <v>0</v>
      </c>
      <c r="L28">
        <f>K28+(26-ROW())*0.0001</f>
        <v>-0.0002</v>
      </c>
    </row>
    <row r="29" ht="15" customHeight="1">
      <c r="A29" s="17" t="n">
        <v>1</v>
      </c>
      <c r="B29" s="18" t="str">
        <f>IFERROR(INDEX('MiT Strom Pipeline'!$B$6:$B$860,MATCH(LARGE('MiT Strom Pipeline'!$Z$6:$Z$860,1),'MiT Strom Pipeline'!$Z$6:$Z$860,0)),"")</f>
        <v>Ice Hockey Championship</v>
      </c>
      <c r="C29" s="17" t="str">
        <f>IFERROR(INDEX('MiT Strom Pipeline'!$C$6:$C$860,MATCH(LARGE('MiT Strom Pipeline'!$Z$6:$Z$860,1),'MiT Strom Pipeline'!$Z$6:$Z$860,0)),"")</f>
        <v>ZH</v>
      </c>
      <c r="D29" s="18" t="str">
        <f>IFERROR(INDEX('MiT Strom Pipeline'!$D$6:$D$860,MATCH(LARGE('MiT Strom Pipeline'!$Z$6:$Z$860,1),'MiT Strom Pipeline'!$Z$6:$Z$860,0)),"")</f>
        <v>Events &amp; Sport</v>
      </c>
      <c r="E29" s="19">
        <f>IFERROR(LARGE('MiT Strom Pipeline'!$Z$6:$Z$860,1),"")</f>
        <v>310000</v>
      </c>
      <c r="F29" s="19">
        <f>IFERROR(INDEX('MiT Strom Pipeline'!$O$6:$O$860,MATCH(LARGE('MiT Strom Pipeline'!$Z$6:$Z$860,1),'MiT Strom Pipeline'!$Z$6:$Z$860,0)),"")</f>
        <v>75000</v>
      </c>
      <c r="G29" s="18" t="str">
        <f>IFERROR(INDEX('MiT Strom Pipeline'!H6:H860,MATCH(LARGE('MiT Strom Pipeline'!Z6:Z860,1),'MiT Strom Pipeline'!Z6:Z860,0)),"")</f>
        <v>Mai</v>
      </c>
      <c r="J29" t="inlineStr">
        <is>
          <t>SG</t>
        </is>
      </c>
      <c r="K29">
        <f>SUMIF('MiT Strom Pipeline'!$C$6:$C$860,J29,'MiT Strom Pipeline'!$I$6:$I$860)</f>
        <v>101192.62</v>
      </c>
      <c r="L29">
        <f>K29+(26-ROW())*0.0001</f>
        <v>101192.6197</v>
      </c>
    </row>
    <row r="30" ht="15" customHeight="1">
      <c r="A30" s="17" t="n">
        <v>2</v>
      </c>
      <c r="B30" s="18" t="str">
        <f>IFERROR(INDEX('MiT Strom Pipeline'!$B$6:$B$860,MATCH(LARGE('MiT Strom Pipeline'!$Z$6:$Z$860,2),'MiT Strom Pipeline'!$Z$6:$Z$860,0)),"")</f>
        <v>Stagelight – OpenAir Frauenfeld</v>
      </c>
      <c r="C30" s="17" t="str">
        <f>IFERROR(INDEX('MiT Strom Pipeline'!$C$6:$C$860,MATCH(LARGE('MiT Strom Pipeline'!$Z$6:$Z$860,2),'MiT Strom Pipeline'!$Z$6:$Z$860,0)),"")</f>
        <v>TG</v>
      </c>
      <c r="D30" s="18" t="str">
        <f>IFERROR(INDEX('MiT Strom Pipeline'!$D$6:$D$860,MATCH(LARGE('MiT Strom Pipeline'!$Z$6:$Z$860,2),'MiT Strom Pipeline'!$Z$6:$Z$860,0)),"")</f>
        <v>Events &amp; Kultur</v>
      </c>
      <c r="E30" s="19">
        <f>IFERROR(LARGE('MiT Strom Pipeline'!$Z$6:$Z$860,2),"")</f>
        <v>150000</v>
      </c>
      <c r="F30" s="19">
        <f>IFERROR(INDEX('MiT Strom Pipeline'!$O$6:$O$860,MATCH(LARGE('MiT Strom Pipeline'!$Z$6:$Z$860,2),'MiT Strom Pipeline'!$Z$6:$Z$860,0)),"")</f>
        <v>39500</v>
      </c>
      <c r="G30" s="18" t="str">
        <f>IFERROR(INDEX('MiT Strom Pipeline'!H6:H860,MATCH(LARGE('MiT Strom Pipeline'!Z6:Z860,2),'MiT Strom Pipeline'!Z6:Z860,0)),"")</f>
        <v>Juli</v>
      </c>
      <c r="J30" t="inlineStr">
        <is>
          <t>SH</t>
        </is>
      </c>
      <c r="K30">
        <f>SUMIF('MiT Strom Pipeline'!$C$6:$C$860,J30,'MiT Strom Pipeline'!$I$6:$I$860)</f>
        <v>2637287.63</v>
      </c>
      <c r="L30">
        <f>K30+(26-ROW())*0.0001</f>
        <v>2637287.6296</v>
      </c>
    </row>
    <row r="31" ht="15" customHeight="1">
      <c r="A31" s="17" t="n">
        <v>3</v>
      </c>
      <c r="B31" s="18" t="str">
        <f>IFERROR(INDEX('MiT Strom Pipeline'!$B$6:$B$860,MATCH(LARGE('MiT Strom Pipeline'!$Z$6:$Z$860,3),'MiT Strom Pipeline'!$Z$6:$Z$860,0)),"")</f>
        <v>Gampeln</v>
      </c>
      <c r="C31" s="17" t="str">
        <f>IFERROR(INDEX('MiT Strom Pipeline'!$C$6:$C$860,MATCH(LARGE('MiT Strom Pipeline'!$Z$6:$Z$860,3),'MiT Strom Pipeline'!$Z$6:$Z$860,0)),"")</f>
        <v>VS</v>
      </c>
      <c r="D31" s="18" t="str">
        <f>IFERROR(INDEX('MiT Strom Pipeline'!$D$6:$D$860,MATCH(LARGE('MiT Strom Pipeline'!$Z$6:$Z$860,3),'MiT Strom Pipeline'!$Z$6:$Z$860,0)),"")</f>
        <v>Event</v>
      </c>
      <c r="E31" s="19">
        <f>IFERROR(LARGE('MiT Strom Pipeline'!$Z$6:$Z$860,3),"")</f>
        <v>115045</v>
      </c>
      <c r="F31" s="19">
        <f>IFERROR(INDEX('MiT Strom Pipeline'!$O$6:$O$860,MATCH(LARGE('MiT Strom Pipeline'!$Z$6:$Z$860,3),'MiT Strom Pipeline'!$Z$6:$Z$860,0)),"")</f>
        <v>0</v>
      </c>
      <c r="G31" s="18" t="str">
        <f>IFERROR(INDEX('MiT Strom Pipeline'!H6:H860,MATCH(LARGE('MiT Strom Pipeline'!Z6:Z860,3),'MiT Strom Pipeline'!Z6:Z860,0)),"")</f>
        <v>Aug</v>
      </c>
      <c r="J31" t="inlineStr">
        <is>
          <t>SO</t>
        </is>
      </c>
      <c r="K31">
        <f>SUMIF('MiT Strom Pipeline'!$C$6:$C$860,J31,'MiT Strom Pipeline'!$I$6:$I$860)</f>
        <v>390750.65</v>
      </c>
      <c r="L31">
        <f>K31+(26-ROW())*0.0001</f>
        <v>390750.6495</v>
      </c>
    </row>
    <row r="32" ht="15" customHeight="1">
      <c r="A32" s="17" t="n">
        <v>4</v>
      </c>
      <c r="B32" s="18" t="str">
        <f>IFERROR(INDEX('MiT Strom Pipeline'!$B$6:$B$860,MATCH(LARGE('MiT Strom Pipeline'!$Z$6:$Z$860,4),'MiT Strom Pipeline'!$Z$6:$Z$860,0)),"")</f>
        <v>Murg Flums Energie</v>
      </c>
      <c r="C32" s="17" t="str">
        <f>IFERROR(INDEX('MiT Strom Pipeline'!$C$6:$C$860,MATCH(LARGE('MiT Strom Pipeline'!$Z$6:$Z$860,4),'MiT Strom Pipeline'!$Z$6:$Z$860,0)),"")</f>
        <v>SG</v>
      </c>
      <c r="D32" s="18" t="str">
        <f>IFERROR(INDEX('MiT Strom Pipeline'!$D$6:$D$860,MATCH(LARGE('MiT Strom Pipeline'!$Z$6:$Z$860,4),'MiT Strom Pipeline'!$Z$6:$Z$860,0)),"")</f>
        <v>EVU / Energie</v>
      </c>
      <c r="E32" s="19">
        <f>IFERROR(LARGE('MiT Strom Pipeline'!$Z$6:$Z$860,4),"")</f>
        <v>96658.69</v>
      </c>
      <c r="F32" s="19">
        <f>IFERROR(INDEX('MiT Strom Pipeline'!$O$6:$O$860,MATCH(LARGE('MiT Strom Pipeline'!$Z$6:$Z$860,4),'MiT Strom Pipeline'!$Z$6:$Z$860,0)),"")</f>
        <v>7242.69</v>
      </c>
      <c r="G32" s="18" t="str">
        <f>IFERROR(INDEX('MiT Strom Pipeline'!H6:H860,MATCH(LARGE('MiT Strom Pipeline'!Z6:Z860,4),'MiT Strom Pipeline'!Z6:Z860,0)),"")</f>
        <v>Auf Abruf</v>
      </c>
      <c r="J32" t="inlineStr">
        <is>
          <t>SZ</t>
        </is>
      </c>
      <c r="K32">
        <f>SUMIF('MiT Strom Pipeline'!$C$6:$C$860,J32,'MiT Strom Pipeline'!$I$6:$I$860)</f>
        <v>0</v>
      </c>
      <c r="L32">
        <f>K32+(26-ROW())*0.0001</f>
        <v>-0.0006</v>
      </c>
    </row>
    <row r="33" ht="15" customHeight="1">
      <c r="A33" s="17" t="n">
        <v>5</v>
      </c>
      <c r="B33" s="18" t="str">
        <f>IFERROR(INDEX('MiT Strom Pipeline'!$B$6:$B$860,MATCH(LARGE('MiT Strom Pipeline'!$Z$6:$Z$860,5),'MiT Strom Pipeline'!$Z$6:$Z$860,0)),"")</f>
        <v>Oerlikon Metco Wohlen</v>
      </c>
      <c r="C33" s="17" t="str">
        <f>IFERROR(INDEX('MiT Strom Pipeline'!$C$6:$C$860,MATCH(LARGE('MiT Strom Pipeline'!$Z$6:$Z$860,5),'MiT Strom Pipeline'!$Z$6:$Z$860,0)),"")</f>
        <v>AG</v>
      </c>
      <c r="D33" s="18" t="str">
        <f>IFERROR(INDEX('MiT Strom Pipeline'!$D$6:$D$860,MATCH(LARGE('MiT Strom Pipeline'!$Z$6:$Z$860,5),'MiT Strom Pipeline'!$Z$6:$Z$860,0)),"")</f>
        <v>Industrie / Oberfläche</v>
      </c>
      <c r="E33" s="19">
        <f>IFERROR(LARGE('MiT Strom Pipeline'!$Z$6:$Z$860,5),"")</f>
        <v>13100</v>
      </c>
      <c r="F33" s="19">
        <f>IFERROR(INDEX('MiT Strom Pipeline'!$O$6:$O$860,MATCH(LARGE('MiT Strom Pipeline'!$Z$6:$Z$860,5),'MiT Strom Pipeline'!$Z$6:$Z$860,0)),"")</f>
        <v>3000</v>
      </c>
      <c r="G33" s="18" t="str">
        <f>IFERROR(INDEX('MiT Strom Pipeline'!H6:H860,MATCH(LARGE('MiT Strom Pipeline'!Z6:Z860,5),'MiT Strom Pipeline'!Z6:Z860,0)),"")</f>
        <v>April</v>
      </c>
      <c r="J33" t="inlineStr">
        <is>
          <t>TG</t>
        </is>
      </c>
      <c r="K33">
        <f>SUMIF('MiT Strom Pipeline'!$C$6:$C$860,J33,'MiT Strom Pipeline'!$I$6:$I$860)</f>
        <v>155328.36</v>
      </c>
      <c r="L33">
        <f>K33+(26-ROW())*0.0001</f>
        <v>155328.3593</v>
      </c>
    </row>
    <row r="34" ht="15" customHeight="1">
      <c r="A34" s="17" t="n">
        <v>6</v>
      </c>
      <c r="B34" s="18" t="str">
        <f>IFERROR(INDEX('MiT Strom Pipeline'!$B$6:$B$860,MATCH(LARGE('MiT Strom Pipeline'!$Z$6:$Z$860,6),'MiT Strom Pipeline'!$Z$6:$Z$860,0)),"")</f>
        <v>Siemens</v>
      </c>
      <c r="C34" s="17" t="str">
        <f>IFERROR(INDEX('MiT Strom Pipeline'!$C$6:$C$860,MATCH(LARGE('MiT Strom Pipeline'!$Z$6:$Z$860,6),'MiT Strom Pipeline'!$Z$6:$Z$860,0)),"")</f>
        <v>ZH</v>
      </c>
      <c r="D34" s="18" t="str">
        <f>IFERROR(INDEX('MiT Strom Pipeline'!$D$6:$D$860,MATCH(LARGE('MiT Strom Pipeline'!$Z$6:$Z$860,6),'MiT Strom Pipeline'!$Z$6:$Z$860,0)),"")</f>
        <v>Industrie / Elektro</v>
      </c>
      <c r="E34" s="19">
        <f>IFERROR(LARGE('MiT Strom Pipeline'!$Z$6:$Z$860,6),"")</f>
        <v>10000</v>
      </c>
      <c r="F34" s="19">
        <f>IFERROR(INDEX('MiT Strom Pipeline'!$O$6:$O$860,MATCH(LARGE('MiT Strom Pipeline'!$Z$6:$Z$860,6),'MiT Strom Pipeline'!$Z$6:$Z$860,0)),"")</f>
        <v>10000</v>
      </c>
      <c r="G34" s="18" t="str">
        <f>IFERROR(INDEX('MiT Strom Pipeline'!H6:H860,MATCH(LARGE('MiT Strom Pipeline'!Z6:Z860,6),'MiT Strom Pipeline'!Z6:Z860,0)),"")</f>
        <v>tbd</v>
      </c>
      <c r="J34" t="inlineStr">
        <is>
          <t>TI</t>
        </is>
      </c>
      <c r="K34">
        <f>SUMIF('MiT Strom Pipeline'!$C$6:$C$860,J34,'MiT Strom Pipeline'!$I$6:$I$860)</f>
        <v>0</v>
      </c>
      <c r="L34">
        <f>K34+(26-ROW())*0.0001</f>
        <v>-0.0008</v>
      </c>
    </row>
    <row r="35" ht="15" customHeight="1">
      <c r="A35" s="17" t="n">
        <v>7</v>
      </c>
      <c r="B35" s="18">
        <f>IFERROR(INDEX('MiT Strom Pipeline'!$B$6:$B$860,MATCH(LARGE('MiT Strom Pipeline'!$Z$6:$Z$860,7),'MiT Strom Pipeline'!$Z$6:$Z$860,0)),"")</f>
        <v/>
      </c>
      <c r="C35" s="17">
        <f>IFERROR(INDEX('MiT Strom Pipeline'!$C$6:$C$860,MATCH(LARGE('MiT Strom Pipeline'!$Z$6:$Z$860,7),'MiT Strom Pipeline'!$Z$6:$Z$860,0)),"")</f>
        <v/>
      </c>
      <c r="D35" s="18">
        <f>IFERROR(INDEX('MiT Strom Pipeline'!$D$6:$D$860,MATCH(LARGE('MiT Strom Pipeline'!$Z$6:$Z$860,7),'MiT Strom Pipeline'!$Z$6:$Z$860,0)),"")</f>
        <v/>
      </c>
      <c r="E35" s="19">
        <f>IFERROR(LARGE('MiT Strom Pipeline'!$Z$6:$Z$860,7),"")</f>
        <v/>
      </c>
      <c r="F35" s="19">
        <f>IFERROR(INDEX('MiT Strom Pipeline'!$O$6:$O$860,MATCH(LARGE('MiT Strom Pipeline'!$Z$6:$Z$860,7),'MiT Strom Pipeline'!$Z$6:$Z$860,0)),"")</f>
        <v/>
      </c>
      <c r="G35" s="18">
        <f>IFERROR(INDEX('MiT Strom Pipeline'!H6:H860,MATCH(LARGE('MiT Strom Pipeline'!Z6:Z860,7),'MiT Strom Pipeline'!Z6:Z860,0)),"")</f>
        <v/>
      </c>
      <c r="J35" t="inlineStr">
        <is>
          <t>UR</t>
        </is>
      </c>
      <c r="K35">
        <f>SUMIF('MiT Strom Pipeline'!$C$6:$C$860,J35,'MiT Strom Pipeline'!$I$6:$I$860)</f>
        <v>0</v>
      </c>
      <c r="L35">
        <f>K35+(26-ROW())*0.0001</f>
        <v>-0.0009</v>
      </c>
    </row>
    <row r="36" ht="15" customHeight="1">
      <c r="A36" s="17" t="n">
        <v>8</v>
      </c>
      <c r="B36" s="18">
        <f>IFERROR(INDEX('MiT Strom Pipeline'!$B$6:$B$860,MATCH(LARGE('MiT Strom Pipeline'!$Z$6:$Z$860,8),'MiT Strom Pipeline'!$Z$6:$Z$860,0)),"")</f>
        <v/>
      </c>
      <c r="C36" s="17">
        <f>IFERROR(INDEX('MiT Strom Pipeline'!$C$6:$C$860,MATCH(LARGE('MiT Strom Pipeline'!$Z$6:$Z$860,8),'MiT Strom Pipeline'!$Z$6:$Z$860,0)),"")</f>
        <v/>
      </c>
      <c r="D36" s="18">
        <f>IFERROR(INDEX('MiT Strom Pipeline'!$D$6:$D$860,MATCH(LARGE('MiT Strom Pipeline'!$Z$6:$Z$860,8),'MiT Strom Pipeline'!$Z$6:$Z$860,0)),"")</f>
        <v/>
      </c>
      <c r="E36" s="19">
        <f>IFERROR(LARGE('MiT Strom Pipeline'!$Z$6:$Z$860,8),"")</f>
        <v/>
      </c>
      <c r="F36" s="19">
        <f>IFERROR(INDEX('MiT Strom Pipeline'!$O$6:$O$860,MATCH(LARGE('MiT Strom Pipeline'!$Z$6:$Z$860,8),'MiT Strom Pipeline'!$Z$6:$Z$860,0)),"")</f>
        <v/>
      </c>
      <c r="G36" s="18">
        <f>IFERROR(INDEX('MiT Strom Pipeline'!H6:H860,MATCH(LARGE('MiT Strom Pipeline'!Z6:Z860,8),'MiT Strom Pipeline'!Z6:Z860,0)),"")</f>
        <v/>
      </c>
      <c r="J36" t="inlineStr">
        <is>
          <t>VD</t>
        </is>
      </c>
      <c r="K36">
        <f>SUMIF('MiT Strom Pipeline'!$C$6:$C$860,J36,'MiT Strom Pipeline'!$I$6:$I$860)</f>
        <v>0</v>
      </c>
      <c r="L36">
        <f>K36+(26-ROW())*0.0001</f>
        <v>-0.001</v>
      </c>
    </row>
    <row r="37" ht="15" customHeight="1">
      <c r="A37" s="17" t="n">
        <v>9</v>
      </c>
      <c r="B37" s="18">
        <f>IFERROR(INDEX('MiT Strom Pipeline'!$B$6:$B$860,MATCH(LARGE('MiT Strom Pipeline'!$Z$6:$Z$860,9),'MiT Strom Pipeline'!$Z$6:$Z$860,0)),"")</f>
        <v/>
      </c>
      <c r="C37" s="17">
        <f>IFERROR(INDEX('MiT Strom Pipeline'!$C$6:$C$860,MATCH(LARGE('MiT Strom Pipeline'!$Z$6:$Z$860,9),'MiT Strom Pipeline'!$Z$6:$Z$860,0)),"")</f>
        <v/>
      </c>
      <c r="D37" s="18">
        <f>IFERROR(INDEX('MiT Strom Pipeline'!$D$6:$D$860,MATCH(LARGE('MiT Strom Pipeline'!$Z$6:$Z$860,9),'MiT Strom Pipeline'!$Z$6:$Z$860,0)),"")</f>
        <v/>
      </c>
      <c r="E37" s="19">
        <f>IFERROR(LARGE('MiT Strom Pipeline'!$Z$6:$Z$860,9),"")</f>
        <v/>
      </c>
      <c r="F37" s="19">
        <f>IFERROR(INDEX('MiT Strom Pipeline'!$O$6:$O$860,MATCH(LARGE('MiT Strom Pipeline'!$Z$6:$Z$860,9),'MiT Strom Pipeline'!$Z$6:$Z$860,0)),"")</f>
        <v/>
      </c>
      <c r="G37" s="18">
        <f>IFERROR(INDEX('MiT Strom Pipeline'!H6:H860,MATCH(LARGE('MiT Strom Pipeline'!Z6:Z860,9),'MiT Strom Pipeline'!Z6:Z860,0)),"")</f>
        <v/>
      </c>
      <c r="J37" t="inlineStr">
        <is>
          <t>VS</t>
        </is>
      </c>
      <c r="K37">
        <f>SUMIF('MiT Strom Pipeline'!$C$6:$C$860,J37,'MiT Strom Pipeline'!$I$6:$I$860)</f>
        <v>338213.99</v>
      </c>
      <c r="L37">
        <f>K37+(26-ROW())*0.0001</f>
        <v>338213.9889</v>
      </c>
    </row>
    <row r="38" ht="15" customHeight="1">
      <c r="A38" s="17" t="n">
        <v>10</v>
      </c>
      <c r="B38" s="18">
        <f>IFERROR(INDEX('MiT Strom Pipeline'!$B$6:$B$860,MATCH(LARGE('MiT Strom Pipeline'!$Z$6:$Z$860,10),'MiT Strom Pipeline'!$Z$6:$Z$860,0)),"")</f>
        <v/>
      </c>
      <c r="C38" s="17">
        <f>IFERROR(INDEX('MiT Strom Pipeline'!$C$6:$C$860,MATCH(LARGE('MiT Strom Pipeline'!$Z$6:$Z$860,10),'MiT Strom Pipeline'!$Z$6:$Z$860,0)),"")</f>
        <v/>
      </c>
      <c r="D38" s="18">
        <f>IFERROR(INDEX('MiT Strom Pipeline'!$D$6:$D$860,MATCH(LARGE('MiT Strom Pipeline'!$Z$6:$Z$860,10),'MiT Strom Pipeline'!$Z$6:$Z$860,0)),"")</f>
        <v/>
      </c>
      <c r="E38" s="19">
        <f>IFERROR(LARGE('MiT Strom Pipeline'!$Z$6:$Z$860,10),"")</f>
        <v/>
      </c>
      <c r="F38" s="19">
        <f>IFERROR(INDEX('MiT Strom Pipeline'!$O$6:$O$860,MATCH(LARGE('MiT Strom Pipeline'!$Z$6:$Z$860,10),'MiT Strom Pipeline'!$Z$6:$Z$860,0)),"")</f>
        <v/>
      </c>
      <c r="G38" s="18">
        <f>IFERROR(INDEX('MiT Strom Pipeline'!H6:H860,MATCH(LARGE('MiT Strom Pipeline'!Z6:Z860,10),'MiT Strom Pipeline'!Z6:Z860,0)),"")</f>
        <v/>
      </c>
      <c r="J38" t="inlineStr">
        <is>
          <t>ZG</t>
        </is>
      </c>
      <c r="K38">
        <f>SUMIF('MiT Strom Pipeline'!$C$6:$C$860,J38,'MiT Strom Pipeline'!$I$6:$I$860)</f>
        <v>0</v>
      </c>
      <c r="L38">
        <f>K38+(26-ROW())*0.0001</f>
        <v>-0.0012</v>
      </c>
    </row>
    <row r="39" ht="15" customHeight="1">
      <c r="J39" t="inlineStr">
        <is>
          <t>ZH</t>
        </is>
      </c>
      <c r="K39">
        <f>SUMIF('MiT Strom Pipeline'!$C$6:$C$860,J39,'MiT Strom Pipeline'!$I$6:$I$860)</f>
        <v>1579241.67</v>
      </c>
      <c r="L39">
        <f>K39+(26-ROW())*0.0001</f>
        <v>1579241.6687</v>
      </c>
    </row>
    <row r="40" ht="15" customHeight="1">
      <c r="A40" s="171" t="inlineStr">
        <is>
          <t>↻ Auto-Update aus Pipeline · Sortiert nach Volumen ↓ · Nur WON mit numerischem Volumen</t>
        </is>
      </c>
    </row>
    <row r="41" ht="15" customHeight="1">
      <c r="A41" s="171" t="inlineStr">
        <is>
          <t>🖨  Strg+P → «Als PDF speichern» · Druckbereich A4 ist gesetzt</t>
        </is>
      </c>
    </row>
  </sheetData>
  <mergeCells count="8">
    <mergeCell ref="A1:H1"/>
    <mergeCell ref="A3:H3"/>
    <mergeCell ref="A2:H2"/>
    <mergeCell ref="A41:H41"/>
    <mergeCell ref="A13:H13"/>
    <mergeCell ref="A40:F40"/>
    <mergeCell ref="A5:H5"/>
    <mergeCell ref="A27:H27"/>
  </mergeCells>
  <printOptions horizontalCentered="1"/>
  <pageMargins left="0.3" right="0.3" top="0.5" bottom="0.5" header="0.2" footer="0.2"/>
  <pageSetup orientation="portrait" paperSize="9" horizontalDpi="300" verticalDpi="300"/>
  <headerFooter>
    <oddHeader>&amp;C&amp;"Calibri,Bold"&amp;14 ⚡ MiT Strom Schweiz — Sales Report</oddHeader>
    <oddFooter>&amp;LMobil in Time AG · An Aggreko Company&amp;R&amp;"Calibri,Italic"&amp;9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S219"/>
  <sheetViews>
    <sheetView zoomScaleNormal="100" workbookViewId="0">
      <selection activeCell="A1" sqref="A1"/>
    </sheetView>
  </sheetViews>
  <sheetFormatPr baseColWidth="8" defaultColWidth="9.140625" defaultRowHeight="15"/>
  <cols>
    <col width="4" customWidth="1" min="1" max="1"/>
    <col width="27.7109375" bestFit="1" customWidth="1" min="2" max="2"/>
    <col width="7.7109375" bestFit="1" customWidth="1" min="3" max="3"/>
    <col width="18" customWidth="1" min="4" max="4"/>
    <col width="13" customWidth="1" min="5" max="5"/>
    <col width="16" customWidth="1" min="6" max="6"/>
    <col width="12" customWidth="1" min="7" max="8"/>
    <col width="11" customWidth="1" min="9" max="10"/>
    <col width="7" customWidth="1" min="11" max="11"/>
    <col width="52.5703125" bestFit="1" customWidth="1" min="12" max="12"/>
    <col width="8.42578125" customWidth="1" min="13" max="20"/>
  </cols>
  <sheetData>
    <row r="1" ht="39.75" customHeight="1">
      <c r="A1" s="127" t="str">
        <f>"⚡  MiT Strom Schweiz — CEO Sales Report  ·  "&amp;TEXT(TODAY(),"MMMM YYYY")</f>
        <v>⚡  MiT Strom Schweiz — CEO Sales Report  ·  July 2026</v>
      </c>
      <c r="M1" s="22" t="n"/>
      <c r="N1" s="22" t="n"/>
      <c r="O1" s="22" t="n"/>
      <c r="P1" s="22" t="n"/>
      <c r="Q1" s="22" t="n"/>
      <c r="R1" s="22" t="n"/>
      <c r="S1" s="22" t="n"/>
    </row>
    <row r="2" ht="18" customHeight="1">
      <c r="A2" s="128" t="inlineStr">
        <is>
          <t>Mobil in Time AG  ·  An Aggreko Company  ·  Burak Ücöz  ·  Neue Einträge in «MiT Strom Pipeline» erscheinen automatisch.</t>
        </is>
      </c>
      <c r="M2" s="22" t="n"/>
      <c r="N2" s="22" t="n"/>
      <c r="O2" s="22" t="n"/>
      <c r="P2" s="22" t="n"/>
      <c r="Q2" s="22" t="n"/>
      <c r="R2" s="22" t="n"/>
      <c r="S2" s="22" t="n"/>
    </row>
    <row r="3" ht="4.5" customHeight="1">
      <c r="A3" s="172" t="n"/>
      <c r="M3" s="22" t="n"/>
      <c r="N3" s="22" t="n"/>
      <c r="O3" s="22" t="n"/>
      <c r="P3" s="22" t="n"/>
      <c r="Q3" s="22" t="n"/>
      <c r="R3" s="22" t="n"/>
      <c r="S3" s="22" t="n"/>
    </row>
    <row r="4" ht="9.75" customHeight="1">
      <c r="M4" s="22" t="n"/>
      <c r="N4" s="22" t="n"/>
      <c r="O4" s="22" t="n"/>
      <c r="P4" s="22" t="n"/>
      <c r="Q4" s="22" t="n"/>
      <c r="R4" s="22" t="n"/>
      <c r="S4" s="22" t="n"/>
    </row>
    <row r="5" ht="21.75" customHeight="1">
      <c r="A5" s="129" t="inlineStr">
        <is>
          <t>✅  AUFTRAGSEINGANG (WON)</t>
        </is>
      </c>
      <c r="E5" s="130" t="inlineStr">
        <is>
          <t>📄  OFFERTE — Laufend</t>
        </is>
      </c>
      <c r="I5" s="131" t="inlineStr">
        <is>
          <t>🎯  OPPORTUNITÄT</t>
        </is>
      </c>
      <c r="M5" s="23" t="n"/>
      <c r="N5" s="22" t="n"/>
      <c r="O5" s="22" t="n"/>
      <c r="P5" s="22" t="n"/>
      <c r="Q5" s="22" t="n"/>
      <c r="R5" s="22" t="n"/>
      <c r="S5" s="22" t="n"/>
    </row>
    <row r="6" ht="36" customHeight="1">
      <c r="A6" s="132">
        <f>SUMIFS('MiT Strom Pipeline'!I$6:I$860,'MiT Strom Pipeline'!R$6:R$860,"WON")</f>
        <v>694803.69</v>
      </c>
      <c r="E6" s="133">
        <f>SUMIFS('MiT Strom Pipeline'!I$6:I$860,'MiT Strom Pipeline'!R$6:R$860,"offered")+SUMIFS('MiT Strom Pipeline'!I$6:I$860,'MiT Strom Pipeline'!R$6:R$860,"to be offered")+SUMIFS('MiT Strom Pipeline'!I$6:I$860,'MiT Strom Pipeline'!R$6:R$860,"on hold")</f>
        <v>3559557.95</v>
      </c>
      <c r="I6" s="134">
        <f>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1377334.56</v>
      </c>
      <c r="M6" s="23" t="n"/>
      <c r="N6" s="22" t="n"/>
      <c r="O6" s="22" t="n"/>
      <c r="P6" s="22" t="n"/>
      <c r="Q6" s="22" t="n"/>
      <c r="R6" s="22" t="n"/>
      <c r="S6" s="22" t="n"/>
    </row>
    <row r="7" ht="19.5" customHeight="1">
      <c r="A7" s="186">
        <f>COUNTIF('MiT Strom Pipeline'!R$6:R$860,"WON")</f>
        <v>7</v>
      </c>
      <c r="E7" s="187">
        <f>COUNTIF('MiT Strom Pipeline'!R$6:R$860,"offered")+COUNTIF('MiT Strom Pipeline'!R$6:R$860,"to be offered")+COUNTIF('MiT Strom Pipeline'!R$6:R$860,"on hold")</f>
        <v>19</v>
      </c>
      <c r="I7" s="188">
        <f>COUNTIF('MiT Strom Pipeline'!R$6:R$860,"follow-up")+COUNTIF('MiT Strom Pipeline'!R$6:R$860,"Evaluation")+COUNTIF('MiT Strom Pipeline'!R$6:R$860,"tbd")+COUNTIF('MiT Strom Pipeline'!R$6:R$860,"In evaluation")</f>
        <v>9</v>
      </c>
      <c r="M7" s="23" t="n"/>
      <c r="N7" s="22" t="n"/>
      <c r="O7" s="22" t="n"/>
      <c r="P7" s="22" t="n"/>
      <c r="Q7" s="22" t="n"/>
      <c r="R7" s="22" t="n"/>
      <c r="S7" s="22" t="n"/>
    </row>
    <row r="8" ht="7.5" customHeight="1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M8" s="23" t="n"/>
      <c r="N8" s="22" t="n"/>
      <c r="O8" s="22" t="n"/>
      <c r="P8" s="22" t="n"/>
      <c r="Q8" s="22" t="n"/>
      <c r="R8" s="22" t="n"/>
      <c r="S8" s="22" t="n"/>
    </row>
    <row r="9" ht="24" customHeight="1">
      <c r="A9" s="140" t="inlineStr">
        <is>
          <t>✅  1. AUFTRAGSEINGANG (WON) — Bestätigte Aufträge</t>
        </is>
      </c>
      <c r="B9" s="189" t="n"/>
      <c r="C9" s="189" t="n"/>
      <c r="D9" s="189" t="n"/>
      <c r="E9" s="189" t="n"/>
      <c r="F9" s="189" t="n"/>
      <c r="G9" s="189" t="n"/>
      <c r="H9" s="189" t="n"/>
      <c r="I9" s="189" t="n"/>
      <c r="J9" s="189" t="n"/>
      <c r="K9" s="189" t="n"/>
      <c r="L9" s="190" t="n"/>
      <c r="M9" s="23" t="n"/>
      <c r="N9" s="22" t="n"/>
      <c r="O9" s="22" t="n"/>
      <c r="P9" s="22" t="n"/>
      <c r="Q9" s="22" t="n"/>
      <c r="R9" s="22" t="n"/>
      <c r="S9" s="22" t="n"/>
    </row>
    <row r="10" ht="19.5" customHeight="1">
      <c r="A10" s="25" t="inlineStr">
        <is>
          <t>#</t>
        </is>
      </c>
      <c r="B10" s="25" t="inlineStr">
        <is>
          <t>Kunde / Unternehmen</t>
        </is>
      </c>
      <c r="C10" s="25" t="inlineStr">
        <is>
          <t>Kt.</t>
        </is>
      </c>
      <c r="D10" s="25" t="inlineStr">
        <is>
          <t>Segment</t>
        </is>
      </c>
      <c r="E10" s="25" t="inlineStr">
        <is>
          <t>Start</t>
        </is>
      </c>
      <c r="F10" s="25" t="inlineStr">
        <is>
          <t>Leistung / Fleet</t>
        </is>
      </c>
      <c r="G10" s="25" t="inlineStr">
        <is>
          <t>Volumen CHF</t>
        </is>
      </c>
      <c r="H10" s="25" t="inlineStr">
        <is>
          <t>Gew.Wert CHF</t>
        </is>
      </c>
      <c r="I10" s="25" t="inlineStr">
        <is>
          <t>Marge CHF</t>
        </is>
      </c>
      <c r="J10" s="25" t="inlineStr">
        <is>
          <t>Status</t>
        </is>
      </c>
      <c r="K10" s="25" t="inlineStr">
        <is>
          <t>Wahr.%</t>
        </is>
      </c>
      <c r="L10" s="25" t="inlineStr">
        <is>
          <t>Nächster Schritt</t>
        </is>
      </c>
      <c r="M10" s="22" t="n"/>
      <c r="N10" s="22" t="n"/>
      <c r="O10" s="22" t="n"/>
      <c r="P10" s="22" t="n"/>
      <c r="Q10" s="22" t="n"/>
      <c r="R10" s="22" t="n"/>
      <c r="S10" s="22" t="n"/>
    </row>
    <row r="11" ht="15.75" customHeight="1">
      <c r="A11" s="26">
        <f>IF(((('MiT Strom Pipeline'!R6="WON"))*('MiT Strom Pipeline'!B6&lt;&gt;""))&gt;0,IF(ISNUMBER('MiT Strom Pipeline'!A6),'MiT Strom Pipeline'!A6,""),"")</f>
        <v/>
      </c>
      <c r="B11" s="27">
        <f>IF(((('MiT Strom Pipeline'!R6="WON"))*('MiT Strom Pipeline'!B6&lt;&gt;""))&gt;0,IF('MiT Strom Pipeline'!B6="","",'MiT Strom Pipeline'!B6),"")</f>
        <v/>
      </c>
      <c r="C11" s="27">
        <f>IF(((('MiT Strom Pipeline'!R6="WON"))*('MiT Strom Pipeline'!B6&lt;&gt;""))&gt;0,IF('MiT Strom Pipeline'!C6="","",'MiT Strom Pipeline'!C6),"")</f>
        <v/>
      </c>
      <c r="D11" s="27">
        <f>IF(((('MiT Strom Pipeline'!R6="WON"))*('MiT Strom Pipeline'!B6&lt;&gt;""))&gt;0,IF('MiT Strom Pipeline'!D6="","",'MiT Strom Pipeline'!D6),"")</f>
        <v/>
      </c>
      <c r="E11" s="27">
        <f>IF(((('MiT Strom Pipeline'!R6="WON"))*('MiT Strom Pipeline'!B6&lt;&gt;""))&gt;0,IF('MiT Strom Pipeline'!H6="","",'MiT Strom Pipeline'!H6),"")</f>
        <v/>
      </c>
      <c r="F11" s="27">
        <f>IF(((('MiT Strom Pipeline'!R6="WON"))*('MiT Strom Pipeline'!B6&lt;&gt;""))&gt;0,IF('MiT Strom Pipeline'!E6="","",'MiT Strom Pipeline'!E6),"")</f>
        <v/>
      </c>
      <c r="G11" s="28">
        <f>IF(((('MiT Strom Pipeline'!R6="WON"))*('MiT Strom Pipeline'!B6&lt;&gt;""))&gt;0,IF(ISNUMBER('MiT Strom Pipeline'!I6),'MiT Strom Pipeline'!I6,0),"")</f>
        <v/>
      </c>
      <c r="H11" s="28">
        <f>IF(((('MiT Strom Pipeline'!R6="WON"))*('MiT Strom Pipeline'!B6&lt;&gt;""))&gt;0,IF(ISNUMBER('MiT Strom Pipeline'!Q6),'MiT Strom Pipeline'!Q6,0),"")</f>
        <v/>
      </c>
      <c r="I11" s="28">
        <f>IF(((('MiT Strom Pipeline'!R6="WON"))*('MiT Strom Pipeline'!B6&lt;&gt;""))&gt;0,IF(ISNUMBER('MiT Strom Pipeline'!O6),'MiT Strom Pipeline'!O6,0),"")</f>
        <v/>
      </c>
      <c r="J11" s="27">
        <f>IF(((('MiT Strom Pipeline'!R6="WON"))*('MiT Strom Pipeline'!B6&lt;&gt;""))&gt;0,'MiT Strom Pipeline'!R6,"")</f>
        <v/>
      </c>
      <c r="K11" s="29">
        <f>IF(((('MiT Strom Pipeline'!R6="WON"))*('MiT Strom Pipeline'!B6&lt;&gt;""))&gt;0,IF(ISNUMBER('MiT Strom Pipeline'!S6),'MiT Strom Pipeline'!S6,""),"")</f>
        <v/>
      </c>
      <c r="L11" s="27">
        <f>IF(((('MiT Strom Pipeline'!R6="WON"))*('MiT Strom Pipeline'!B6&lt;&gt;""))&gt;0,IF(LEN('MiT Strom Pipeline'!V6)&gt;0,LEFT('MiT Strom Pipeline'!V6,55),""),"")</f>
        <v/>
      </c>
      <c r="M11" s="22" t="n"/>
      <c r="N11" s="22" t="n"/>
      <c r="O11" s="22" t="n"/>
      <c r="P11" s="22" t="n"/>
      <c r="Q11" s="22" t="n"/>
      <c r="R11" s="22" t="n"/>
      <c r="S11" s="22" t="n"/>
    </row>
    <row r="12" ht="15.75" customHeight="1">
      <c r="A12" s="26">
        <f>IF(((('MiT Strom Pipeline'!R7="WON"))*('MiT Strom Pipeline'!B7&lt;&gt;""))&gt;0,IF(ISNUMBER('MiT Strom Pipeline'!A7),'MiT Strom Pipeline'!A7,""),"")</f>
        <v/>
      </c>
      <c r="B12" s="27">
        <f>IF(((('MiT Strom Pipeline'!R7="WON"))*('MiT Strom Pipeline'!B7&lt;&gt;""))&gt;0,IF('MiT Strom Pipeline'!B7="","",'MiT Strom Pipeline'!B7),"")</f>
        <v/>
      </c>
      <c r="C12" s="27">
        <f>IF(((('MiT Strom Pipeline'!R7="WON"))*('MiT Strom Pipeline'!B7&lt;&gt;""))&gt;0,IF('MiT Strom Pipeline'!C7="","",'MiT Strom Pipeline'!C7),"")</f>
        <v/>
      </c>
      <c r="D12" s="27">
        <f>IF(((('MiT Strom Pipeline'!R7="WON"))*('MiT Strom Pipeline'!B7&lt;&gt;""))&gt;0,IF('MiT Strom Pipeline'!D7="","",'MiT Strom Pipeline'!D7),"")</f>
        <v/>
      </c>
      <c r="E12" s="27">
        <f>IF(((('MiT Strom Pipeline'!R7="WON"))*('MiT Strom Pipeline'!B7&lt;&gt;""))&gt;0,IF('MiT Strom Pipeline'!H7="","",'MiT Strom Pipeline'!H7),"")</f>
        <v/>
      </c>
      <c r="F12" s="27">
        <f>IF(((('MiT Strom Pipeline'!R7="WON"))*('MiT Strom Pipeline'!B7&lt;&gt;""))&gt;0,IF('MiT Strom Pipeline'!E7="","",'MiT Strom Pipeline'!E7),"")</f>
        <v/>
      </c>
      <c r="G12" s="28">
        <f>IF(((('MiT Strom Pipeline'!R7="WON"))*('MiT Strom Pipeline'!B7&lt;&gt;""))&gt;0,IF(ISNUMBER('MiT Strom Pipeline'!I7),'MiT Strom Pipeline'!I7,0),"")</f>
        <v/>
      </c>
      <c r="H12" s="28">
        <f>IF(((('MiT Strom Pipeline'!R7="WON"))*('MiT Strom Pipeline'!B7&lt;&gt;""))&gt;0,IF(ISNUMBER('MiT Strom Pipeline'!Q7),'MiT Strom Pipeline'!Q7,0),"")</f>
        <v/>
      </c>
      <c r="I12" s="28">
        <f>IF(((('MiT Strom Pipeline'!R7="WON"))*('MiT Strom Pipeline'!B7&lt;&gt;""))&gt;0,IF(ISNUMBER('MiT Strom Pipeline'!O7),'MiT Strom Pipeline'!O7,0),"")</f>
        <v/>
      </c>
      <c r="J12" s="27">
        <f>IF(((('MiT Strom Pipeline'!R7="WON"))*('MiT Strom Pipeline'!B7&lt;&gt;""))&gt;0,'MiT Strom Pipeline'!R7,"")</f>
        <v/>
      </c>
      <c r="K12" s="29">
        <f>IF(((('MiT Strom Pipeline'!R7="WON"))*('MiT Strom Pipeline'!B7&lt;&gt;""))&gt;0,IF(ISNUMBER('MiT Strom Pipeline'!S7),'MiT Strom Pipeline'!S7,""),"")</f>
        <v/>
      </c>
      <c r="L12" s="27">
        <f>IF(((('MiT Strom Pipeline'!R7="WON"))*('MiT Strom Pipeline'!B7&lt;&gt;""))&gt;0,IF(LEN('MiT Strom Pipeline'!V7)&gt;0,LEFT('MiT Strom Pipeline'!V7,55),""),"")</f>
        <v/>
      </c>
      <c r="M12" s="22" t="n"/>
      <c r="N12" s="22" t="n"/>
      <c r="O12" s="22" t="n"/>
      <c r="P12" s="22" t="n"/>
      <c r="Q12" s="22" t="n"/>
      <c r="R12" s="22" t="n"/>
      <c r="S12" s="22" t="n"/>
    </row>
    <row r="13" ht="15.75" customHeight="1">
      <c r="A13" s="26">
        <f>IF(((('MiT Strom Pipeline'!R8="WON"))*('MiT Strom Pipeline'!B8&lt;&gt;""))&gt;0,IF(ISNUMBER('MiT Strom Pipeline'!A8),'MiT Strom Pipeline'!A8,""),"")</f>
        <v/>
      </c>
      <c r="B13" s="27">
        <f>IF(((('MiT Strom Pipeline'!R8="WON"))*('MiT Strom Pipeline'!B8&lt;&gt;""))&gt;0,IF('MiT Strom Pipeline'!B8="","",'MiT Strom Pipeline'!B8),"")</f>
        <v/>
      </c>
      <c r="C13" s="27">
        <f>IF(((('MiT Strom Pipeline'!R8="WON"))*('MiT Strom Pipeline'!B8&lt;&gt;""))&gt;0,IF('MiT Strom Pipeline'!C8="","",'MiT Strom Pipeline'!C8),"")</f>
        <v/>
      </c>
      <c r="D13" s="27">
        <f>IF(((('MiT Strom Pipeline'!R8="WON"))*('MiT Strom Pipeline'!B8&lt;&gt;""))&gt;0,IF('MiT Strom Pipeline'!D8="","",'MiT Strom Pipeline'!D8),"")</f>
        <v/>
      </c>
      <c r="E13" s="27">
        <f>IF(((('MiT Strom Pipeline'!R8="WON"))*('MiT Strom Pipeline'!B8&lt;&gt;""))&gt;0,IF('MiT Strom Pipeline'!H8="","",'MiT Strom Pipeline'!H8),"")</f>
        <v/>
      </c>
      <c r="F13" s="27">
        <f>IF(((('MiT Strom Pipeline'!R8="WON"))*('MiT Strom Pipeline'!B8&lt;&gt;""))&gt;0,IF('MiT Strom Pipeline'!E8="","",'MiT Strom Pipeline'!E8),"")</f>
        <v/>
      </c>
      <c r="G13" s="28">
        <f>IF(((('MiT Strom Pipeline'!R8="WON"))*('MiT Strom Pipeline'!B8&lt;&gt;""))&gt;0,IF(ISNUMBER('MiT Strom Pipeline'!I8),'MiT Strom Pipeline'!I8,0),"")</f>
        <v/>
      </c>
      <c r="H13" s="28">
        <f>IF(((('MiT Strom Pipeline'!R8="WON"))*('MiT Strom Pipeline'!B8&lt;&gt;""))&gt;0,IF(ISNUMBER('MiT Strom Pipeline'!Q8),'MiT Strom Pipeline'!Q8,0),"")</f>
        <v/>
      </c>
      <c r="I13" s="28">
        <f>IF(((('MiT Strom Pipeline'!R8="WON"))*('MiT Strom Pipeline'!B8&lt;&gt;""))&gt;0,IF(ISNUMBER('MiT Strom Pipeline'!O8),'MiT Strom Pipeline'!O8,0),"")</f>
        <v/>
      </c>
      <c r="J13" s="27">
        <f>IF(((('MiT Strom Pipeline'!R8="WON"))*('MiT Strom Pipeline'!B8&lt;&gt;""))&gt;0,'MiT Strom Pipeline'!R8,"")</f>
        <v/>
      </c>
      <c r="K13" s="29">
        <f>IF(((('MiT Strom Pipeline'!R8="WON"))*('MiT Strom Pipeline'!B8&lt;&gt;""))&gt;0,IF(ISNUMBER('MiT Strom Pipeline'!S8),'MiT Strom Pipeline'!S8,""),"")</f>
        <v/>
      </c>
      <c r="L13" s="27">
        <f>IF(((('MiT Strom Pipeline'!R8="WON"))*('MiT Strom Pipeline'!B8&lt;&gt;""))&gt;0,IF(LEN('MiT Strom Pipeline'!V8)&gt;0,LEFT('MiT Strom Pipeline'!V8,55),""),"")</f>
        <v/>
      </c>
      <c r="M13" s="22" t="n"/>
      <c r="N13" s="22" t="n"/>
      <c r="O13" s="22" t="n"/>
      <c r="P13" s="22" t="n"/>
      <c r="Q13" s="22" t="n"/>
      <c r="R13" s="22" t="n"/>
      <c r="S13" s="22" t="n"/>
    </row>
    <row r="14" ht="15.75" customHeight="1">
      <c r="A14" s="26">
        <f>IF(((('MiT Strom Pipeline'!R9="WON"))*('MiT Strom Pipeline'!B9&lt;&gt;""))&gt;0,IF(ISNUMBER('MiT Strom Pipeline'!A9),'MiT Strom Pipeline'!A9,""),"")</f>
        <v>1</v>
      </c>
      <c r="B14" s="27" t="str">
        <f>IF(((('MiT Strom Pipeline'!R9="WON"))*('MiT Strom Pipeline'!B9&lt;&gt;""))&gt;0,IF('MiT Strom Pipeline'!B9="","",'MiT Strom Pipeline'!B9),"")</f>
        <v>Ice Hockey Championship</v>
      </c>
      <c r="C14" s="27" t="str">
        <f>IF(((('MiT Strom Pipeline'!R9="WON"))*('MiT Strom Pipeline'!B9&lt;&gt;""))&gt;0,IF('MiT Strom Pipeline'!C9="","",'MiT Strom Pipeline'!C9),"")</f>
        <v>ZH</v>
      </c>
      <c r="D14" s="27" t="str">
        <f>IF(((('MiT Strom Pipeline'!R9="WON"))*('MiT Strom Pipeline'!B9&lt;&gt;""))&gt;0,IF('MiT Strom Pipeline'!D9="","",'MiT Strom Pipeline'!D9),"")</f>
        <v>Events &amp; Sport</v>
      </c>
      <c r="E14" s="27" t="str">
        <f>IF(((('MiT Strom Pipeline'!R9="WON"))*('MiT Strom Pipeline'!B9&lt;&gt;""))&gt;0,IF('MiT Strom Pipeline'!H9="","",'MiT Strom Pipeline'!H9),"")</f>
        <v>Mai</v>
      </c>
      <c r="F14" s="27" t="str">
        <f>IF(((('MiT Strom Pipeline'!R9="WON"))*('MiT Strom Pipeline'!B9&lt;&gt;""))&gt;0,IF('MiT Strom Pipeline'!E9="","",'MiT Strom Pipeline'!E9),"")</f>
        <v>2×600+2×200 kVA</v>
      </c>
      <c r="G14" s="28">
        <f>IF(((('MiT Strom Pipeline'!R9="WON"))*('MiT Strom Pipeline'!B9&lt;&gt;""))&gt;0,IF(ISNUMBER('MiT Strom Pipeline'!I9),'MiT Strom Pipeline'!I9,0),"")</f>
        <v>310000</v>
      </c>
      <c r="H14" s="28">
        <f>IF(((('MiT Strom Pipeline'!R9="WON"))*('MiT Strom Pipeline'!B9&lt;&gt;""))&gt;0,IF(ISNUMBER('MiT Strom Pipeline'!Q9),'MiT Strom Pipeline'!Q9,0),"")</f>
        <v>310000</v>
      </c>
      <c r="I14" s="28">
        <f>IF(((('MiT Strom Pipeline'!R9="WON"))*('MiT Strom Pipeline'!B9&lt;&gt;""))&gt;0,IF(ISNUMBER('MiT Strom Pipeline'!O9),'MiT Strom Pipeline'!O9,0),"")</f>
        <v>75000</v>
      </c>
      <c r="J14" s="27" t="str">
        <f>IF(((('MiT Strom Pipeline'!R9="WON"))*('MiT Strom Pipeline'!B9&lt;&gt;""))&gt;0,'MiT Strom Pipeline'!R9,"")</f>
        <v>WON</v>
      </c>
      <c r="K14" s="29">
        <f>IF(((('MiT Strom Pipeline'!R9="WON"))*('MiT Strom Pipeline'!B9&lt;&gt;""))&gt;0,IF(ISNUMBER('MiT Strom Pipeline'!S9),'MiT Strom Pipeline'!S9,""),"")</f>
        <v>1</v>
      </c>
      <c r="L14" s="27" t="str">
        <f>IF(((('MiT Strom Pipeline'!R9="WON"))*('MiT Strom Pipeline'!B9&lt;&gt;""))&gt;0,IF(LEN('MiT Strom Pipeline'!V9)&gt;0,LEFT('MiT Strom Pipeline'!V9,55),""),"")</f>
        <v>✅ Einsatzplanung läuft – Logistik finalisieren</v>
      </c>
      <c r="M14" s="22" t="n"/>
      <c r="N14" s="22" t="n"/>
      <c r="O14" s="22" t="n"/>
      <c r="P14" s="22" t="n"/>
      <c r="Q14" s="22" t="n"/>
      <c r="R14" s="22" t="n"/>
      <c r="S14" s="22" t="n"/>
    </row>
    <row r="15" hidden="1" ht="15.75" customHeight="1">
      <c r="A15" s="26">
        <f>IF(((('MiT Strom Pipeline'!R10="WON"))*('MiT Strom Pipeline'!B10&lt;&gt;""))&gt;0,IF(ISNUMBER('MiT Strom Pipeline'!A10),'MiT Strom Pipeline'!A10,""),"")</f>
        <v>2</v>
      </c>
      <c r="B15" s="27" t="str">
        <f>IF(((('MiT Strom Pipeline'!R10="WON"))*('MiT Strom Pipeline'!B10&lt;&gt;""))&gt;0,IF('MiT Strom Pipeline'!B10="","",'MiT Strom Pipeline'!B10),"")</f>
        <v>Oerlikon Metco Wohlen</v>
      </c>
      <c r="C15" s="27" t="str">
        <f>IF(((('MiT Strom Pipeline'!R10="WON"))*('MiT Strom Pipeline'!B10&lt;&gt;""))&gt;0,IF('MiT Strom Pipeline'!C10="","",'MiT Strom Pipeline'!C10),"")</f>
        <v>AG</v>
      </c>
      <c r="D15" s="27" t="str">
        <f>IF(((('MiT Strom Pipeline'!R10="WON"))*('MiT Strom Pipeline'!B10&lt;&gt;""))&gt;0,IF('MiT Strom Pipeline'!D10="","",'MiT Strom Pipeline'!D10),"")</f>
        <v>Industrie / Oberfläche</v>
      </c>
      <c r="E15" s="27" t="str">
        <f>IF(((('MiT Strom Pipeline'!R10="WON"))*('MiT Strom Pipeline'!B10&lt;&gt;""))&gt;0,IF('MiT Strom Pipeline'!H10="","",'MiT Strom Pipeline'!H10),"")</f>
        <v>April</v>
      </c>
      <c r="F15" s="27" t="str">
        <f>IF(((('MiT Strom Pipeline'!R10="WON"))*('MiT Strom Pipeline'!B10&lt;&gt;""))&gt;0,IF('MiT Strom Pipeline'!E10="","",'MiT Strom Pipeline'!E10),"")</f>
        <v>240 kVA Generator</v>
      </c>
      <c r="G15" s="28">
        <f>IF(((('MiT Strom Pipeline'!R10="WON"))*('MiT Strom Pipeline'!B10&lt;&gt;""))&gt;0,IF(ISNUMBER('MiT Strom Pipeline'!I10),'MiT Strom Pipeline'!I10,0),"")</f>
        <v>13100</v>
      </c>
      <c r="H15" s="28">
        <f>IF(((('MiT Strom Pipeline'!R10="WON"))*('MiT Strom Pipeline'!B10&lt;&gt;""))&gt;0,IF(ISNUMBER('MiT Strom Pipeline'!Q10),'MiT Strom Pipeline'!Q10,0),"")</f>
        <v>13100</v>
      </c>
      <c r="I15" s="28">
        <f>IF(((('MiT Strom Pipeline'!R10="WON"))*('MiT Strom Pipeline'!B10&lt;&gt;""))&gt;0,IF(ISNUMBER('MiT Strom Pipeline'!O10),'MiT Strom Pipeline'!O10,0),"")</f>
        <v>3000</v>
      </c>
      <c r="J15" s="27" t="str">
        <f>IF(((('MiT Strom Pipeline'!R10="WON"))*('MiT Strom Pipeline'!B10&lt;&gt;""))&gt;0,'MiT Strom Pipeline'!R10,"")</f>
        <v>WON</v>
      </c>
      <c r="K15" s="29">
        <f>IF(((('MiT Strom Pipeline'!R10="WON"))*('MiT Strom Pipeline'!B10&lt;&gt;""))&gt;0,IF(ISNUMBER('MiT Strom Pipeline'!S10),'MiT Strom Pipeline'!S10,""),"")</f>
        <v>1</v>
      </c>
      <c r="L15" s="27" t="str">
        <f>IF(((('MiT Strom Pipeline'!R10="WON"))*('MiT Strom Pipeline'!B10&lt;&gt;""))&gt;0,IF(LEN('MiT Strom Pipeline'!V10)&gt;0,LEFT('MiT Strom Pipeline'!V10,55),""),"")</f>
        <v>✅ Abgeschlossen – Invoice prüfen, Referenz sichern</v>
      </c>
      <c r="M15" s="22" t="n"/>
      <c r="N15" s="22" t="n"/>
      <c r="O15" s="22" t="n"/>
      <c r="P15" s="22" t="n"/>
      <c r="Q15" s="22" t="n"/>
      <c r="R15" s="22" t="n"/>
      <c r="S15" s="22" t="n"/>
    </row>
    <row r="16" hidden="1" ht="15.75" customHeight="1">
      <c r="A16" s="26">
        <f>IF(((('MiT Strom Pipeline'!R11="WON"))*('MiT Strom Pipeline'!B11&lt;&gt;""))&gt;0,IF(ISNUMBER('MiT Strom Pipeline'!A11),'MiT Strom Pipeline'!A11,""),"")</f>
        <v/>
      </c>
      <c r="B16" s="27">
        <f>IF(((('MiT Strom Pipeline'!R11="WON"))*('MiT Strom Pipeline'!B11&lt;&gt;""))&gt;0,IF('MiT Strom Pipeline'!B11="","",'MiT Strom Pipeline'!B11),"")</f>
        <v/>
      </c>
      <c r="C16" s="27">
        <f>IF(((('MiT Strom Pipeline'!R11="WON"))*('MiT Strom Pipeline'!B11&lt;&gt;""))&gt;0,IF('MiT Strom Pipeline'!C11="","",'MiT Strom Pipeline'!C11),"")</f>
        <v/>
      </c>
      <c r="D16" s="27">
        <f>IF(((('MiT Strom Pipeline'!R11="WON"))*('MiT Strom Pipeline'!B11&lt;&gt;""))&gt;0,IF('MiT Strom Pipeline'!D11="","",'MiT Strom Pipeline'!D11),"")</f>
        <v/>
      </c>
      <c r="E16" s="27">
        <f>IF(((('MiT Strom Pipeline'!R11="WON"))*('MiT Strom Pipeline'!B11&lt;&gt;""))&gt;0,IF('MiT Strom Pipeline'!H11="","",'MiT Strom Pipeline'!H11),"")</f>
        <v/>
      </c>
      <c r="F16" s="27">
        <f>IF(((('MiT Strom Pipeline'!R11="WON"))*('MiT Strom Pipeline'!B11&lt;&gt;""))&gt;0,IF('MiT Strom Pipeline'!E11="","",'MiT Strom Pipeline'!E11),"")</f>
        <v/>
      </c>
      <c r="G16" s="28">
        <f>IF(((('MiT Strom Pipeline'!R11="WON"))*('MiT Strom Pipeline'!B11&lt;&gt;""))&gt;0,IF(ISNUMBER('MiT Strom Pipeline'!I11),'MiT Strom Pipeline'!I11,0),"")</f>
        <v/>
      </c>
      <c r="H16" s="28">
        <f>IF(((('MiT Strom Pipeline'!R11="WON"))*('MiT Strom Pipeline'!B11&lt;&gt;""))&gt;0,IF(ISNUMBER('MiT Strom Pipeline'!Q11),'MiT Strom Pipeline'!Q11,0),"")</f>
        <v/>
      </c>
      <c r="I16" s="28">
        <f>IF(((('MiT Strom Pipeline'!R11="WON"))*('MiT Strom Pipeline'!B11&lt;&gt;""))&gt;0,IF(ISNUMBER('MiT Strom Pipeline'!O11),'MiT Strom Pipeline'!O11,0),"")</f>
        <v/>
      </c>
      <c r="J16" s="27">
        <f>IF(((('MiT Strom Pipeline'!R11="WON"))*('MiT Strom Pipeline'!B11&lt;&gt;""))&gt;0,'MiT Strom Pipeline'!R11,"")</f>
        <v/>
      </c>
      <c r="K16" s="29">
        <f>IF(((('MiT Strom Pipeline'!R11="WON"))*('MiT Strom Pipeline'!B11&lt;&gt;""))&gt;0,IF(ISNUMBER('MiT Strom Pipeline'!S11),'MiT Strom Pipeline'!S11,""),"")</f>
        <v/>
      </c>
      <c r="L16" s="27">
        <f>IF(((('MiT Strom Pipeline'!R11="WON"))*('MiT Strom Pipeline'!B11&lt;&gt;""))&gt;0,IF(LEN('MiT Strom Pipeline'!V11)&gt;0,LEFT('MiT Strom Pipeline'!V11,55),""),"")</f>
        <v/>
      </c>
      <c r="M16" s="22" t="n"/>
      <c r="N16" s="22" t="n"/>
      <c r="O16" s="22" t="n"/>
      <c r="P16" s="22" t="n"/>
      <c r="Q16" s="22" t="n"/>
      <c r="R16" s="22" t="n"/>
      <c r="S16" s="22" t="n"/>
    </row>
    <row r="17" hidden="1" ht="15.75" customHeight="1">
      <c r="A17" s="26">
        <f>IF(((('MiT Strom Pipeline'!R12="WON"))*('MiT Strom Pipeline'!B12&lt;&gt;""))&gt;0,IF(ISNUMBER('MiT Strom Pipeline'!A12),'MiT Strom Pipeline'!A12,""),"")</f>
        <v>3</v>
      </c>
      <c r="B17" s="27" t="str">
        <f>IF(((('MiT Strom Pipeline'!R12="WON"))*('MiT Strom Pipeline'!B12&lt;&gt;""))&gt;0,IF('MiT Strom Pipeline'!B12="","",'MiT Strom Pipeline'!B12),"")</f>
        <v>Siemens</v>
      </c>
      <c r="C17" s="27" t="str">
        <f>IF(((('MiT Strom Pipeline'!R12="WON"))*('MiT Strom Pipeline'!B12&lt;&gt;""))&gt;0,IF('MiT Strom Pipeline'!C12="","",'MiT Strom Pipeline'!C12),"")</f>
        <v>ZH</v>
      </c>
      <c r="D17" s="27" t="str">
        <f>IF(((('MiT Strom Pipeline'!R12="WON"))*('MiT Strom Pipeline'!B12&lt;&gt;""))&gt;0,IF('MiT Strom Pipeline'!D12="","",'MiT Strom Pipeline'!D12),"")</f>
        <v>Industrie / Elektro</v>
      </c>
      <c r="E17" s="27" t="str">
        <f>IF(((('MiT Strom Pipeline'!R12="WON"))*('MiT Strom Pipeline'!B12&lt;&gt;""))&gt;0,IF('MiT Strom Pipeline'!H12="","",'MiT Strom Pipeline'!H12),"")</f>
        <v>tbd</v>
      </c>
      <c r="F17" s="27" t="str">
        <f>IF(((('MiT Strom Pipeline'!R12="WON"))*('MiT Strom Pipeline'!B12&lt;&gt;""))&gt;0,IF('MiT Strom Pipeline'!E12="","",'MiT Strom Pipeline'!E12),"")</f>
        <v>600 kVA Generator</v>
      </c>
      <c r="G17" s="28">
        <f>IF(((('MiT Strom Pipeline'!R12="WON"))*('MiT Strom Pipeline'!B12&lt;&gt;""))&gt;0,IF(ISNUMBER('MiT Strom Pipeline'!I12),'MiT Strom Pipeline'!I12,0),"")</f>
        <v>10000</v>
      </c>
      <c r="H17" s="28">
        <f>IF(((('MiT Strom Pipeline'!R12="WON"))*('MiT Strom Pipeline'!B12&lt;&gt;""))&gt;0,IF(ISNUMBER('MiT Strom Pipeline'!Q12),'MiT Strom Pipeline'!Q12,0),"")</f>
        <v>10000</v>
      </c>
      <c r="I17" s="28">
        <f>IF(((('MiT Strom Pipeline'!R12="WON"))*('MiT Strom Pipeline'!B12&lt;&gt;""))&gt;0,IF(ISNUMBER('MiT Strom Pipeline'!O12),'MiT Strom Pipeline'!O12,0),"")</f>
        <v>10000</v>
      </c>
      <c r="J17" s="27" t="str">
        <f>IF(((('MiT Strom Pipeline'!R12="WON"))*('MiT Strom Pipeline'!B12&lt;&gt;""))&gt;0,'MiT Strom Pipeline'!R12,"")</f>
        <v>WON</v>
      </c>
      <c r="K17" s="29">
        <f>IF(((('MiT Strom Pipeline'!R12="WON"))*('MiT Strom Pipeline'!B12&lt;&gt;""))&gt;0,IF(ISNUMBER('MiT Strom Pipeline'!S12),'MiT Strom Pipeline'!S12,""),"")</f>
        <v>1</v>
      </c>
      <c r="L17" s="27" t="str">
        <f>IF(((('MiT Strom Pipeline'!R12="WON"))*('MiT Strom Pipeline'!B12&lt;&gt;""))&gt;0,IF(LEN('MiT Strom Pipeline'!V12)&gt;0,LEFT('MiT Strom Pipeline'!V12,55),""),"")</f>
        <v>✅ Referenzschreiben anfordern</v>
      </c>
      <c r="M17" s="22" t="n"/>
      <c r="N17" s="22" t="n"/>
      <c r="O17" s="22" t="n"/>
      <c r="P17" s="22" t="n"/>
      <c r="Q17" s="22" t="n"/>
      <c r="R17" s="22" t="n"/>
      <c r="S17" s="22" t="n"/>
    </row>
    <row r="18" hidden="1" ht="15.75" customHeight="1">
      <c r="A18" s="26">
        <f>IF(((('MiT Strom Pipeline'!R13="WON"))*('MiT Strom Pipeline'!B13&lt;&gt;""))&gt;0,IF(ISNUMBER('MiT Strom Pipeline'!A13),'MiT Strom Pipeline'!A13,""),"")</f>
        <v>4</v>
      </c>
      <c r="B18" s="27" t="str">
        <f>IF(((('MiT Strom Pipeline'!R13="WON"))*('MiT Strom Pipeline'!B13&lt;&gt;""))&gt;0,IF('MiT Strom Pipeline'!B13="","",'MiT Strom Pipeline'!B13),"")</f>
        <v>Stagelight – OpenAir Frauenfeld</v>
      </c>
      <c r="C18" s="27" t="str">
        <f>IF(((('MiT Strom Pipeline'!R13="WON"))*('MiT Strom Pipeline'!B13&lt;&gt;""))&gt;0,IF('MiT Strom Pipeline'!C13="","",'MiT Strom Pipeline'!C13),"")</f>
        <v>TG</v>
      </c>
      <c r="D18" s="27" t="str">
        <f>IF(((('MiT Strom Pipeline'!R13="WON"))*('MiT Strom Pipeline'!B13&lt;&gt;""))&gt;0,IF('MiT Strom Pipeline'!D13="","",'MiT Strom Pipeline'!D13),"")</f>
        <v>Events &amp; Kultur</v>
      </c>
      <c r="E18" s="27" t="str">
        <f>IF(((('MiT Strom Pipeline'!R13="WON"))*('MiT Strom Pipeline'!B13&lt;&gt;""))&gt;0,IF('MiT Strom Pipeline'!H13="","",'MiT Strom Pipeline'!H13),"")</f>
        <v>Juli</v>
      </c>
      <c r="F18" s="27" t="str">
        <f>IF(((('MiT Strom Pipeline'!R13="WON"))*('MiT Strom Pipeline'!B13&lt;&gt;""))&gt;0,IF('MiT Strom Pipeline'!E13="","",'MiT Strom Pipeline'!E13),"")</f>
        <v>~500 kVA Generator</v>
      </c>
      <c r="G18" s="28">
        <f>IF(((('MiT Strom Pipeline'!R13="WON"))*('MiT Strom Pipeline'!B13&lt;&gt;""))&gt;0,IF(ISNUMBER('MiT Strom Pipeline'!I13),'MiT Strom Pipeline'!I13,0),"")</f>
        <v>150000</v>
      </c>
      <c r="H18" s="28">
        <f>IF(((('MiT Strom Pipeline'!R13="WON"))*('MiT Strom Pipeline'!B13&lt;&gt;""))&gt;0,IF(ISNUMBER('MiT Strom Pipeline'!Q13),'MiT Strom Pipeline'!Q13,0),"")</f>
        <v>150000</v>
      </c>
      <c r="I18" s="28">
        <f>IF(((('MiT Strom Pipeline'!R13="WON"))*('MiT Strom Pipeline'!B13&lt;&gt;""))&gt;0,IF(ISNUMBER('MiT Strom Pipeline'!O13),'MiT Strom Pipeline'!O13,0),"")</f>
        <v>39500</v>
      </c>
      <c r="J18" s="27" t="str">
        <f>IF(((('MiT Strom Pipeline'!R13="WON"))*('MiT Strom Pipeline'!B13&lt;&gt;""))&gt;0,'MiT Strom Pipeline'!R13,"")</f>
        <v>WON</v>
      </c>
      <c r="K18" s="29">
        <f>IF(((('MiT Strom Pipeline'!R13="WON"))*('MiT Strom Pipeline'!B13&lt;&gt;""))&gt;0,IF(ISNUMBER('MiT Strom Pipeline'!S13),'MiT Strom Pipeline'!S13,""),"")</f>
        <v>1</v>
      </c>
      <c r="L18" s="27" t="str">
        <f>IF(((('MiT Strom Pipeline'!R13="WON"))*('MiT Strom Pipeline'!B13&lt;&gt;""))&gt;0,IF(LEN('MiT Strom Pipeline'!V13)&gt;0,LEFT('MiT Strom Pipeline'!V13,55),""),"")</f>
        <v>Follow-up + Vertragsverhandlung initiieren</v>
      </c>
      <c r="M18" s="22" t="n"/>
      <c r="N18" s="22" t="n"/>
      <c r="O18" s="22" t="n"/>
      <c r="P18" s="22" t="n"/>
      <c r="Q18" s="22" t="n"/>
      <c r="R18" s="22" t="n"/>
      <c r="S18" s="22" t="n"/>
    </row>
    <row r="19" ht="15.75" customHeight="1">
      <c r="A19" s="26">
        <f>IF(((('MiT Strom Pipeline'!R14="WON"))*('MiT Strom Pipeline'!B14&lt;&gt;""))&gt;0,IF(ISNUMBER('MiT Strom Pipeline'!A14),'MiT Strom Pipeline'!A14,""),"")</f>
        <v>10</v>
      </c>
      <c r="B19" s="27" t="str">
        <f>IF(((('MiT Strom Pipeline'!R14="WON"))*('MiT Strom Pipeline'!B14&lt;&gt;""))&gt;0,IF('MiT Strom Pipeline'!B14="","",'MiT Strom Pipeline'!B14),"")</f>
        <v>Murg Flums Energie</v>
      </c>
      <c r="C19" s="27" t="str">
        <f>IF(((('MiT Strom Pipeline'!R14="WON"))*('MiT Strom Pipeline'!B14&lt;&gt;""))&gt;0,IF('MiT Strom Pipeline'!C14="","",'MiT Strom Pipeline'!C14),"")</f>
        <v>SG</v>
      </c>
      <c r="D19" s="27" t="str">
        <f>IF(((('MiT Strom Pipeline'!R14="WON"))*('MiT Strom Pipeline'!B14&lt;&gt;""))&gt;0,IF('MiT Strom Pipeline'!D14="","",'MiT Strom Pipeline'!D14),"")</f>
        <v>EVU / Energie</v>
      </c>
      <c r="E19" s="27" t="str">
        <f>IF(((('MiT Strom Pipeline'!R14="WON"))*('MiT Strom Pipeline'!B14&lt;&gt;""))&gt;0,IF('MiT Strom Pipeline'!H14="","",'MiT Strom Pipeline'!H14),"")</f>
        <v>Auf Abruf</v>
      </c>
      <c r="F19" s="27" t="str">
        <f>IF(((('MiT Strom Pipeline'!R14="WON"))*('MiT Strom Pipeline'!B14&lt;&gt;""))&gt;0,IF('MiT Strom Pipeline'!E14="","",'MiT Strom Pipeline'!E14),"")</f>
        <v>250 kVA Generator</v>
      </c>
      <c r="G19" s="28">
        <f>IF(((('MiT Strom Pipeline'!R14="WON"))*('MiT Strom Pipeline'!B14&lt;&gt;""))&gt;0,IF(ISNUMBER('MiT Strom Pipeline'!I14),'MiT Strom Pipeline'!I14,0),"")</f>
        <v>96658.69</v>
      </c>
      <c r="H19" s="28">
        <f>IF(((('MiT Strom Pipeline'!R14="WON"))*('MiT Strom Pipeline'!B14&lt;&gt;""))&gt;0,IF(ISNUMBER('MiT Strom Pipeline'!Q14),'MiT Strom Pipeline'!Q14,0),"")</f>
        <v>96658.69</v>
      </c>
      <c r="I19" s="28">
        <f>IF(((('MiT Strom Pipeline'!R14="WON"))*('MiT Strom Pipeline'!B14&lt;&gt;""))&gt;0,IF(ISNUMBER('MiT Strom Pipeline'!O14),'MiT Strom Pipeline'!O14,0),"")</f>
        <v>7242.69</v>
      </c>
      <c r="J19" s="27" t="str">
        <f>IF(((('MiT Strom Pipeline'!R14="WON"))*('MiT Strom Pipeline'!B14&lt;&gt;""))&gt;0,'MiT Strom Pipeline'!R14,"")</f>
        <v>WON</v>
      </c>
      <c r="K19" s="29">
        <f>IF(((('MiT Strom Pipeline'!R14="WON"))*('MiT Strom Pipeline'!B14&lt;&gt;""))&gt;0,IF(ISNUMBER('MiT Strom Pipeline'!S14),'MiT Strom Pipeline'!S14,""),"")</f>
        <v>1</v>
      </c>
      <c r="L19" s="27" t="str">
        <f>IF(((('MiT Strom Pipeline'!R14="WON"))*('MiT Strom Pipeline'!B14&lt;&gt;""))&gt;0,IF(LEN('MiT Strom Pipeline'!V14)&gt;0,LEFT('MiT Strom Pipeline'!V14,55),""),"")</f>
        <v>Bedarfsanalyse, NEA-Konzept vorschlagen, Termin vor Ort</v>
      </c>
      <c r="M19" s="22" t="n"/>
      <c r="N19" s="22" t="n"/>
      <c r="O19" s="22" t="n"/>
      <c r="P19" s="22" t="n"/>
      <c r="Q19" s="22" t="n"/>
      <c r="R19" s="22" t="n"/>
      <c r="S19" s="22" t="n"/>
    </row>
    <row r="20" hidden="1" ht="15.75" customHeight="1">
      <c r="A20" s="26">
        <f>IF(((('MiT Strom Pipeline'!R15="WON"))*('MiT Strom Pipeline'!B15&lt;&gt;""))&gt;0,IF(ISNUMBER('MiT Strom Pipeline'!A15),'MiT Strom Pipeline'!A15,""),"")</f>
        <v>21</v>
      </c>
      <c r="B20" s="27" t="str">
        <f>IF(((('MiT Strom Pipeline'!R15="WON"))*('MiT Strom Pipeline'!B15&lt;&gt;""))&gt;0,IF('MiT Strom Pipeline'!B15="","",'MiT Strom Pipeline'!B15),"")</f>
        <v>X-Event</v>
      </c>
      <c r="C20" s="27" t="str">
        <f>IF(((('MiT Strom Pipeline'!R15="WON"))*('MiT Strom Pipeline'!B15&lt;&gt;""))&gt;0,IF('MiT Strom Pipeline'!C15="","",'MiT Strom Pipeline'!C15),"")</f>
        <v>SH</v>
      </c>
      <c r="D20" s="27" t="str">
        <f>IF(((('MiT Strom Pipeline'!R15="WON"))*('MiT Strom Pipeline'!B15&lt;&gt;""))&gt;0,IF('MiT Strom Pipeline'!D15="","",'MiT Strom Pipeline'!D15),"")</f>
        <v>Events / Medien</v>
      </c>
      <c r="E20" s="27" t="str">
        <f>IF(((('MiT Strom Pipeline'!R15="WON"))*('MiT Strom Pipeline'!B15&lt;&gt;""))&gt;0,IF('MiT Strom Pipeline'!H15="","",'MiT Strom Pipeline'!H15),"")</f>
        <v>Juni</v>
      </c>
      <c r="F20" s="27" t="str">
        <f>IF(((('MiT Strom Pipeline'!R15="WON"))*('MiT Strom Pipeline'!B15&lt;&gt;""))&gt;0,IF('MiT Strom Pipeline'!E15="","",'MiT Strom Pipeline'!E15),"")</f>
        <v>100 kVA Generator</v>
      </c>
      <c r="G20" s="28">
        <f>IF(((('MiT Strom Pipeline'!R15="WON"))*('MiT Strom Pipeline'!B15&lt;&gt;""))&gt;0,IF(ISNUMBER('MiT Strom Pipeline'!I15),'MiT Strom Pipeline'!I15,0),"")</f>
        <v>0</v>
      </c>
      <c r="H20" s="28">
        <f>IF(((('MiT Strom Pipeline'!R15="WON"))*('MiT Strom Pipeline'!B15&lt;&gt;""))&gt;0,IF(ISNUMBER('MiT Strom Pipeline'!Q15),'MiT Strom Pipeline'!Q15,0),"")</f>
        <v>0</v>
      </c>
      <c r="I20" s="28">
        <f>IF(((('MiT Strom Pipeline'!R15="WON"))*('MiT Strom Pipeline'!B15&lt;&gt;""))&gt;0,IF(ISNUMBER('MiT Strom Pipeline'!O15),'MiT Strom Pipeline'!O15,0),"")</f>
        <v>0</v>
      </c>
      <c r="J20" s="27" t="str">
        <f>IF(((('MiT Strom Pipeline'!R15="WON"))*('MiT Strom Pipeline'!B15&lt;&gt;""))&gt;0,'MiT Strom Pipeline'!R15,"")</f>
        <v>WON</v>
      </c>
      <c r="K20" s="29">
        <f>IF(((('MiT Strom Pipeline'!R15="WON"))*('MiT Strom Pipeline'!B15&lt;&gt;""))&gt;0,IF(ISNUMBER('MiT Strom Pipeline'!S15),'MiT Strom Pipeline'!S15,""),"")</f>
        <v>1</v>
      </c>
      <c r="L20" s="27" t="str">
        <f>IF(((('MiT Strom Pipeline'!R15="WON"))*('MiT Strom Pipeline'!B15&lt;&gt;""))&gt;0,IF(LEN('MiT Strom Pipeline'!V15)&gt;0,LEFT('MiT Strom Pipeline'!V15,55),""),"")</f>
        <v>Kunde Telefon Kontaktiert und Vor Ort 
Besichtigung und</v>
      </c>
      <c r="M20" s="22" t="n"/>
      <c r="N20" s="22" t="n"/>
      <c r="O20" s="22" t="n"/>
      <c r="P20" s="22" t="n"/>
      <c r="Q20" s="22" t="n"/>
      <c r="R20" s="22" t="n"/>
      <c r="S20" s="22" t="n"/>
    </row>
    <row r="21" hidden="1" ht="15.75" customHeight="1">
      <c r="A21" s="26">
        <f>IF(((('MiT Strom Pipeline'!R16="WON"))*('MiT Strom Pipeline'!B16&lt;&gt;""))&gt;0,IF(ISNUMBER('MiT Strom Pipeline'!A16),'MiT Strom Pipeline'!A16,""),"")</f>
        <v/>
      </c>
      <c r="B21" s="27">
        <f>IF(((('MiT Strom Pipeline'!R16="WON"))*('MiT Strom Pipeline'!B16&lt;&gt;""))&gt;0,IF('MiT Strom Pipeline'!B16="","",'MiT Strom Pipeline'!B16),"")</f>
        <v/>
      </c>
      <c r="C21" s="27">
        <f>IF(((('MiT Strom Pipeline'!R16="WON"))*('MiT Strom Pipeline'!B16&lt;&gt;""))&gt;0,IF('MiT Strom Pipeline'!C16="","",'MiT Strom Pipeline'!C16),"")</f>
        <v/>
      </c>
      <c r="D21" s="27">
        <f>IF(((('MiT Strom Pipeline'!R16="WON"))*('MiT Strom Pipeline'!B16&lt;&gt;""))&gt;0,IF('MiT Strom Pipeline'!D16="","",'MiT Strom Pipeline'!D16),"")</f>
        <v/>
      </c>
      <c r="E21" s="27">
        <f>IF(((('MiT Strom Pipeline'!R16="WON"))*('MiT Strom Pipeline'!B16&lt;&gt;""))&gt;0,IF('MiT Strom Pipeline'!H16="","",'MiT Strom Pipeline'!H16),"")</f>
        <v/>
      </c>
      <c r="F21" s="27">
        <f>IF(((('MiT Strom Pipeline'!R16="WON"))*('MiT Strom Pipeline'!B16&lt;&gt;""))&gt;0,IF('MiT Strom Pipeline'!E16="","",'MiT Strom Pipeline'!E16),"")</f>
        <v/>
      </c>
      <c r="G21" s="28">
        <f>IF(((('MiT Strom Pipeline'!R16="WON"))*('MiT Strom Pipeline'!B16&lt;&gt;""))&gt;0,IF(ISNUMBER('MiT Strom Pipeline'!I16),'MiT Strom Pipeline'!I16,0),"")</f>
        <v/>
      </c>
      <c r="H21" s="28">
        <f>IF(((('MiT Strom Pipeline'!R16="WON"))*('MiT Strom Pipeline'!B16&lt;&gt;""))&gt;0,IF(ISNUMBER('MiT Strom Pipeline'!Q16),'MiT Strom Pipeline'!Q16,0),"")</f>
        <v/>
      </c>
      <c r="I21" s="28">
        <f>IF(((('MiT Strom Pipeline'!R16="WON"))*('MiT Strom Pipeline'!B16&lt;&gt;""))&gt;0,IF(ISNUMBER('MiT Strom Pipeline'!O16),'MiT Strom Pipeline'!O16,0),"")</f>
        <v/>
      </c>
      <c r="J21" s="27">
        <f>IF(((('MiT Strom Pipeline'!R16="WON"))*('MiT Strom Pipeline'!B16&lt;&gt;""))&gt;0,'MiT Strom Pipeline'!R16,"")</f>
        <v/>
      </c>
      <c r="K21" s="29">
        <f>IF(((('MiT Strom Pipeline'!R16="WON"))*('MiT Strom Pipeline'!B16&lt;&gt;""))&gt;0,IF(ISNUMBER('MiT Strom Pipeline'!S16),'MiT Strom Pipeline'!S16,""),"")</f>
        <v/>
      </c>
      <c r="L21" s="27">
        <f>IF(((('MiT Strom Pipeline'!R16="WON"))*('MiT Strom Pipeline'!B16&lt;&gt;""))&gt;0,IF(LEN('MiT Strom Pipeline'!V16)&gt;0,LEFT('MiT Strom Pipeline'!V16,55),""),"")</f>
        <v/>
      </c>
      <c r="M21" s="22" t="n"/>
      <c r="N21" s="22" t="n"/>
      <c r="O21" s="22" t="n"/>
      <c r="P21" s="22" t="n"/>
      <c r="Q21" s="22" t="n"/>
      <c r="R21" s="22" t="n"/>
      <c r="S21" s="22" t="n"/>
    </row>
    <row r="22" hidden="1" ht="15.75" customHeight="1">
      <c r="A22" s="26">
        <f>IF(((('MiT Strom Pipeline'!R17="WON"))*('MiT Strom Pipeline'!B17&lt;&gt;""))&gt;0,IF(ISNUMBER('MiT Strom Pipeline'!A17),'MiT Strom Pipeline'!A17,""),"")</f>
        <v/>
      </c>
      <c r="B22" s="27">
        <f>IF(((('MiT Strom Pipeline'!R17="WON"))*('MiT Strom Pipeline'!B17&lt;&gt;""))&gt;0,IF('MiT Strom Pipeline'!B17="","",'MiT Strom Pipeline'!B17),"")</f>
        <v/>
      </c>
      <c r="C22" s="27">
        <f>IF(((('MiT Strom Pipeline'!R17="WON"))*('MiT Strom Pipeline'!B17&lt;&gt;""))&gt;0,IF('MiT Strom Pipeline'!C17="","",'MiT Strom Pipeline'!C17),"")</f>
        <v/>
      </c>
      <c r="D22" s="27">
        <f>IF(((('MiT Strom Pipeline'!R17="WON"))*('MiT Strom Pipeline'!B17&lt;&gt;""))&gt;0,IF('MiT Strom Pipeline'!D17="","",'MiT Strom Pipeline'!D17),"")</f>
        <v/>
      </c>
      <c r="E22" s="27">
        <f>IF(((('MiT Strom Pipeline'!R17="WON"))*('MiT Strom Pipeline'!B17&lt;&gt;""))&gt;0,IF('MiT Strom Pipeline'!H17="","",'MiT Strom Pipeline'!H17),"")</f>
        <v/>
      </c>
      <c r="F22" s="27">
        <f>IF(((('MiT Strom Pipeline'!R17="WON"))*('MiT Strom Pipeline'!B17&lt;&gt;""))&gt;0,IF('MiT Strom Pipeline'!E17="","",'MiT Strom Pipeline'!E17),"")</f>
        <v/>
      </c>
      <c r="G22" s="28">
        <f>IF(((('MiT Strom Pipeline'!R17="WON"))*('MiT Strom Pipeline'!B17&lt;&gt;""))&gt;0,IF(ISNUMBER('MiT Strom Pipeline'!I17),'MiT Strom Pipeline'!I17,0),"")</f>
        <v/>
      </c>
      <c r="H22" s="28">
        <f>IF(((('MiT Strom Pipeline'!R17="WON"))*('MiT Strom Pipeline'!B17&lt;&gt;""))&gt;0,IF(ISNUMBER('MiT Strom Pipeline'!Q17),'MiT Strom Pipeline'!Q17,0),"")</f>
        <v/>
      </c>
      <c r="I22" s="28">
        <f>IF(((('MiT Strom Pipeline'!R17="WON"))*('MiT Strom Pipeline'!B17&lt;&gt;""))&gt;0,IF(ISNUMBER('MiT Strom Pipeline'!O17),'MiT Strom Pipeline'!O17,0),"")</f>
        <v/>
      </c>
      <c r="J22" s="27">
        <f>IF(((('MiT Strom Pipeline'!R17="WON"))*('MiT Strom Pipeline'!B17&lt;&gt;""))&gt;0,'MiT Strom Pipeline'!R17,"")</f>
        <v/>
      </c>
      <c r="K22" s="29">
        <f>IF(((('MiT Strom Pipeline'!R17="WON"))*('MiT Strom Pipeline'!B17&lt;&gt;""))&gt;0,IF(ISNUMBER('MiT Strom Pipeline'!S17),'MiT Strom Pipeline'!S17,""),"")</f>
        <v/>
      </c>
      <c r="L22" s="27">
        <f>IF(((('MiT Strom Pipeline'!R17="WON"))*('MiT Strom Pipeline'!B17&lt;&gt;""))&gt;0,IF(LEN('MiT Strom Pipeline'!V17)&gt;0,LEFT('MiT Strom Pipeline'!V17,55),""),"")</f>
        <v/>
      </c>
      <c r="M22" s="22" t="n"/>
      <c r="N22" s="22" t="n"/>
      <c r="O22" s="22" t="n"/>
      <c r="P22" s="22" t="n"/>
      <c r="Q22" s="22" t="n"/>
      <c r="R22" s="22" t="n"/>
      <c r="S22" s="22" t="n"/>
    </row>
    <row r="23" hidden="1" ht="15.75" customHeight="1">
      <c r="A23" s="26">
        <f>IF(((('MiT Strom Pipeline'!R18="WON"))*('MiT Strom Pipeline'!B18&lt;&gt;""))&gt;0,IF(ISNUMBER('MiT Strom Pipeline'!A18),'MiT Strom Pipeline'!A18,""),"")</f>
        <v/>
      </c>
      <c r="B23" s="27">
        <f>IF(((('MiT Strom Pipeline'!R18="WON"))*('MiT Strom Pipeline'!B18&lt;&gt;""))&gt;0,IF('MiT Strom Pipeline'!B18="","",'MiT Strom Pipeline'!B18),"")</f>
        <v/>
      </c>
      <c r="C23" s="27">
        <f>IF(((('MiT Strom Pipeline'!R18="WON"))*('MiT Strom Pipeline'!B18&lt;&gt;""))&gt;0,IF('MiT Strom Pipeline'!C18="","",'MiT Strom Pipeline'!C18),"")</f>
        <v/>
      </c>
      <c r="D23" s="27">
        <f>IF(((('MiT Strom Pipeline'!R18="WON"))*('MiT Strom Pipeline'!B18&lt;&gt;""))&gt;0,IF('MiT Strom Pipeline'!D18="","",'MiT Strom Pipeline'!D18),"")</f>
        <v/>
      </c>
      <c r="E23" s="27">
        <f>IF(((('MiT Strom Pipeline'!R18="WON"))*('MiT Strom Pipeline'!B18&lt;&gt;""))&gt;0,IF('MiT Strom Pipeline'!H18="","",'MiT Strom Pipeline'!H18),"")</f>
        <v/>
      </c>
      <c r="F23" s="27">
        <f>IF(((('MiT Strom Pipeline'!R18="WON"))*('MiT Strom Pipeline'!B18&lt;&gt;""))&gt;0,IF('MiT Strom Pipeline'!E18="","",'MiT Strom Pipeline'!E18),"")</f>
        <v/>
      </c>
      <c r="G23" s="28">
        <f>IF(((('MiT Strom Pipeline'!R18="WON"))*('MiT Strom Pipeline'!B18&lt;&gt;""))&gt;0,IF(ISNUMBER('MiT Strom Pipeline'!I18),'MiT Strom Pipeline'!I18,0),"")</f>
        <v/>
      </c>
      <c r="H23" s="28">
        <f>IF(((('MiT Strom Pipeline'!R18="WON"))*('MiT Strom Pipeline'!B18&lt;&gt;""))&gt;0,IF(ISNUMBER('MiT Strom Pipeline'!Q18),'MiT Strom Pipeline'!Q18,0),"")</f>
        <v/>
      </c>
      <c r="I23" s="28">
        <f>IF(((('MiT Strom Pipeline'!R18="WON"))*('MiT Strom Pipeline'!B18&lt;&gt;""))&gt;0,IF(ISNUMBER('MiT Strom Pipeline'!O18),'MiT Strom Pipeline'!O18,0),"")</f>
        <v/>
      </c>
      <c r="J23" s="27">
        <f>IF(((('MiT Strom Pipeline'!R18="WON"))*('MiT Strom Pipeline'!B18&lt;&gt;""))&gt;0,'MiT Strom Pipeline'!R18,"")</f>
        <v/>
      </c>
      <c r="K23" s="29">
        <f>IF(((('MiT Strom Pipeline'!R18="WON"))*('MiT Strom Pipeline'!B18&lt;&gt;""))&gt;0,IF(ISNUMBER('MiT Strom Pipeline'!S18),'MiT Strom Pipeline'!S18,""),"")</f>
        <v/>
      </c>
      <c r="L23" s="27">
        <f>IF(((('MiT Strom Pipeline'!R18="WON"))*('MiT Strom Pipeline'!B18&lt;&gt;""))&gt;0,IF(LEN('MiT Strom Pipeline'!V18)&gt;0,LEFT('MiT Strom Pipeline'!V18,55),""),"")</f>
        <v/>
      </c>
      <c r="M23" s="22" t="n"/>
      <c r="N23" s="22" t="n"/>
      <c r="O23" s="22" t="n"/>
      <c r="P23" s="22" t="n"/>
      <c r="Q23" s="22" t="n"/>
      <c r="R23" s="22" t="n"/>
      <c r="S23" s="22" t="n"/>
    </row>
    <row r="24" hidden="1" ht="15.75" customHeight="1">
      <c r="A24" s="26">
        <f>IF(((('MiT Strom Pipeline'!R19="WON"))*('MiT Strom Pipeline'!B19&lt;&gt;""))&gt;0,IF(ISNUMBER('MiT Strom Pipeline'!A19),'MiT Strom Pipeline'!A19,""),"")</f>
        <v/>
      </c>
      <c r="B24" s="27">
        <f>IF(((('MiT Strom Pipeline'!R19="WON"))*('MiT Strom Pipeline'!B19&lt;&gt;""))&gt;0,IF('MiT Strom Pipeline'!B19="","",'MiT Strom Pipeline'!B19),"")</f>
        <v/>
      </c>
      <c r="C24" s="27">
        <f>IF(((('MiT Strom Pipeline'!R19="WON"))*('MiT Strom Pipeline'!B19&lt;&gt;""))&gt;0,IF('MiT Strom Pipeline'!C19="","",'MiT Strom Pipeline'!C19),"")</f>
        <v/>
      </c>
      <c r="D24" s="27">
        <f>IF(((('MiT Strom Pipeline'!R19="WON"))*('MiT Strom Pipeline'!B19&lt;&gt;""))&gt;0,IF('MiT Strom Pipeline'!D19="","",'MiT Strom Pipeline'!D19),"")</f>
        <v/>
      </c>
      <c r="E24" s="27">
        <f>IF(((('MiT Strom Pipeline'!R19="WON"))*('MiT Strom Pipeline'!B19&lt;&gt;""))&gt;0,IF('MiT Strom Pipeline'!H19="","",'MiT Strom Pipeline'!H19),"")</f>
        <v/>
      </c>
      <c r="F24" s="27">
        <f>IF(((('MiT Strom Pipeline'!R19="WON"))*('MiT Strom Pipeline'!B19&lt;&gt;""))&gt;0,IF('MiT Strom Pipeline'!E19="","",'MiT Strom Pipeline'!E19),"")</f>
        <v/>
      </c>
      <c r="G24" s="28">
        <f>IF(((('MiT Strom Pipeline'!R19="WON"))*('MiT Strom Pipeline'!B19&lt;&gt;""))&gt;0,IF(ISNUMBER('MiT Strom Pipeline'!I19),'MiT Strom Pipeline'!I19,0),"")</f>
        <v/>
      </c>
      <c r="H24" s="28">
        <f>IF(((('MiT Strom Pipeline'!R19="WON"))*('MiT Strom Pipeline'!B19&lt;&gt;""))&gt;0,IF(ISNUMBER('MiT Strom Pipeline'!Q19),'MiT Strom Pipeline'!Q19,0),"")</f>
        <v/>
      </c>
      <c r="I24" s="28">
        <f>IF(((('MiT Strom Pipeline'!R19="WON"))*('MiT Strom Pipeline'!B19&lt;&gt;""))&gt;0,IF(ISNUMBER('MiT Strom Pipeline'!O19),'MiT Strom Pipeline'!O19,0),"")</f>
        <v/>
      </c>
      <c r="J24" s="27">
        <f>IF(((('MiT Strom Pipeline'!R19="WON"))*('MiT Strom Pipeline'!B19&lt;&gt;""))&gt;0,'MiT Strom Pipeline'!R19,"")</f>
        <v/>
      </c>
      <c r="K24" s="29">
        <f>IF(((('MiT Strom Pipeline'!R19="WON"))*('MiT Strom Pipeline'!B19&lt;&gt;""))&gt;0,IF(ISNUMBER('MiT Strom Pipeline'!S19),'MiT Strom Pipeline'!S19,""),"")</f>
        <v/>
      </c>
      <c r="L24" s="27">
        <f>IF(((('MiT Strom Pipeline'!R19="WON"))*('MiT Strom Pipeline'!B19&lt;&gt;""))&gt;0,IF(LEN('MiT Strom Pipeline'!V19)&gt;0,LEFT('MiT Strom Pipeline'!V19,55),""),"")</f>
        <v/>
      </c>
      <c r="M24" s="22" t="n"/>
      <c r="N24" s="22" t="n"/>
      <c r="O24" s="22" t="n"/>
      <c r="P24" s="22" t="n"/>
      <c r="Q24" s="22" t="n"/>
      <c r="R24" s="22" t="n"/>
      <c r="S24" s="22" t="n"/>
    </row>
    <row r="25" hidden="1" ht="15.75" customHeight="1">
      <c r="A25" s="26">
        <f>IF(((('MiT Strom Pipeline'!R20="WON"))*('MiT Strom Pipeline'!B20&lt;&gt;""))&gt;0,IF(ISNUMBER('MiT Strom Pipeline'!A20),'MiT Strom Pipeline'!A20,""),"")</f>
        <v/>
      </c>
      <c r="B25" s="27">
        <f>IF(((('MiT Strom Pipeline'!R20="WON"))*('MiT Strom Pipeline'!B20&lt;&gt;""))&gt;0,IF('MiT Strom Pipeline'!B20="","",'MiT Strom Pipeline'!B20),"")</f>
        <v/>
      </c>
      <c r="C25" s="27">
        <f>IF(((('MiT Strom Pipeline'!R20="WON"))*('MiT Strom Pipeline'!B20&lt;&gt;""))&gt;0,IF('MiT Strom Pipeline'!C20="","",'MiT Strom Pipeline'!C20),"")</f>
        <v/>
      </c>
      <c r="D25" s="27">
        <f>IF(((('MiT Strom Pipeline'!R20="WON"))*('MiT Strom Pipeline'!B20&lt;&gt;""))&gt;0,IF('MiT Strom Pipeline'!D20="","",'MiT Strom Pipeline'!D20),"")</f>
        <v/>
      </c>
      <c r="E25" s="27">
        <f>IF(((('MiT Strom Pipeline'!R20="WON"))*('MiT Strom Pipeline'!B20&lt;&gt;""))&gt;0,IF('MiT Strom Pipeline'!H20="","",'MiT Strom Pipeline'!H20),"")</f>
        <v/>
      </c>
      <c r="F25" s="27">
        <f>IF(((('MiT Strom Pipeline'!R20="WON"))*('MiT Strom Pipeline'!B20&lt;&gt;""))&gt;0,IF('MiT Strom Pipeline'!E20="","",'MiT Strom Pipeline'!E20),"")</f>
        <v/>
      </c>
      <c r="G25" s="28">
        <f>IF(((('MiT Strom Pipeline'!R20="WON"))*('MiT Strom Pipeline'!B20&lt;&gt;""))&gt;0,IF(ISNUMBER('MiT Strom Pipeline'!I20),'MiT Strom Pipeline'!I20,0),"")</f>
        <v/>
      </c>
      <c r="H25" s="28">
        <f>IF(((('MiT Strom Pipeline'!R20="WON"))*('MiT Strom Pipeline'!B20&lt;&gt;""))&gt;0,IF(ISNUMBER('MiT Strom Pipeline'!Q20),'MiT Strom Pipeline'!Q20,0),"")</f>
        <v/>
      </c>
      <c r="I25" s="28">
        <f>IF(((('MiT Strom Pipeline'!R20="WON"))*('MiT Strom Pipeline'!B20&lt;&gt;""))&gt;0,IF(ISNUMBER('MiT Strom Pipeline'!O20),'MiT Strom Pipeline'!O20,0),"")</f>
        <v/>
      </c>
      <c r="J25" s="27">
        <f>IF(((('MiT Strom Pipeline'!R20="WON"))*('MiT Strom Pipeline'!B20&lt;&gt;""))&gt;0,'MiT Strom Pipeline'!R20,"")</f>
        <v/>
      </c>
      <c r="K25" s="29">
        <f>IF(((('MiT Strom Pipeline'!R20="WON"))*('MiT Strom Pipeline'!B20&lt;&gt;""))&gt;0,IF(ISNUMBER('MiT Strom Pipeline'!S20),'MiT Strom Pipeline'!S20,""),"")</f>
        <v/>
      </c>
      <c r="L25" s="27">
        <f>IF(((('MiT Strom Pipeline'!R20="WON"))*('MiT Strom Pipeline'!B20&lt;&gt;""))&gt;0,IF(LEN('MiT Strom Pipeline'!V20)&gt;0,LEFT('MiT Strom Pipeline'!V20,55),""),"")</f>
        <v/>
      </c>
      <c r="M25" s="22" t="n"/>
      <c r="N25" s="22" t="n"/>
      <c r="O25" s="22" t="n"/>
      <c r="P25" s="22" t="n"/>
      <c r="Q25" s="22" t="n"/>
      <c r="R25" s="22" t="n"/>
      <c r="S25" s="22" t="n"/>
    </row>
    <row r="26" hidden="1" ht="15.75" customHeight="1">
      <c r="A26" s="26">
        <f>IF(((('MiT Strom Pipeline'!R21="WON"))*('MiT Strom Pipeline'!B21&lt;&gt;""))&gt;0,IF(ISNUMBER('MiT Strom Pipeline'!A21),'MiT Strom Pipeline'!A21,""),"")</f>
        <v/>
      </c>
      <c r="B26" s="27">
        <f>IF(((('MiT Strom Pipeline'!R21="WON"))*('MiT Strom Pipeline'!B21&lt;&gt;""))&gt;0,IF('MiT Strom Pipeline'!B21="","",'MiT Strom Pipeline'!B21),"")</f>
        <v/>
      </c>
      <c r="C26" s="27">
        <f>IF(((('MiT Strom Pipeline'!R21="WON"))*('MiT Strom Pipeline'!B21&lt;&gt;""))&gt;0,IF('MiT Strom Pipeline'!C21="","",'MiT Strom Pipeline'!C21),"")</f>
        <v/>
      </c>
      <c r="D26" s="27">
        <f>IF(((('MiT Strom Pipeline'!R21="WON"))*('MiT Strom Pipeline'!B21&lt;&gt;""))&gt;0,IF('MiT Strom Pipeline'!D21="","",'MiT Strom Pipeline'!D21),"")</f>
        <v/>
      </c>
      <c r="E26" s="27">
        <f>IF(((('MiT Strom Pipeline'!R21="WON"))*('MiT Strom Pipeline'!B21&lt;&gt;""))&gt;0,IF('MiT Strom Pipeline'!H21="","",'MiT Strom Pipeline'!H21),"")</f>
        <v/>
      </c>
      <c r="F26" s="27">
        <f>IF(((('MiT Strom Pipeline'!R21="WON"))*('MiT Strom Pipeline'!B21&lt;&gt;""))&gt;0,IF('MiT Strom Pipeline'!E21="","",'MiT Strom Pipeline'!E21),"")</f>
        <v/>
      </c>
      <c r="G26" s="28">
        <f>IF(((('MiT Strom Pipeline'!R21="WON"))*('MiT Strom Pipeline'!B21&lt;&gt;""))&gt;0,IF(ISNUMBER('MiT Strom Pipeline'!I21),'MiT Strom Pipeline'!I21,0),"")</f>
        <v/>
      </c>
      <c r="H26" s="28">
        <f>IF(((('MiT Strom Pipeline'!R21="WON"))*('MiT Strom Pipeline'!B21&lt;&gt;""))&gt;0,IF(ISNUMBER('MiT Strom Pipeline'!Q21),'MiT Strom Pipeline'!Q21,0),"")</f>
        <v/>
      </c>
      <c r="I26" s="28">
        <f>IF(((('MiT Strom Pipeline'!R21="WON"))*('MiT Strom Pipeline'!B21&lt;&gt;""))&gt;0,IF(ISNUMBER('MiT Strom Pipeline'!O21),'MiT Strom Pipeline'!O21,0),"")</f>
        <v/>
      </c>
      <c r="J26" s="27">
        <f>IF(((('MiT Strom Pipeline'!R21="WON"))*('MiT Strom Pipeline'!B21&lt;&gt;""))&gt;0,'MiT Strom Pipeline'!R21,"")</f>
        <v/>
      </c>
      <c r="K26" s="29">
        <f>IF(((('MiT Strom Pipeline'!R21="WON"))*('MiT Strom Pipeline'!B21&lt;&gt;""))&gt;0,IF(ISNUMBER('MiT Strom Pipeline'!S21),'MiT Strom Pipeline'!S21,""),"")</f>
        <v/>
      </c>
      <c r="L26" s="27">
        <f>IF(((('MiT Strom Pipeline'!R21="WON"))*('MiT Strom Pipeline'!B21&lt;&gt;""))&gt;0,IF(LEN('MiT Strom Pipeline'!V21)&gt;0,LEFT('MiT Strom Pipeline'!V21,55),""),"")</f>
        <v/>
      </c>
      <c r="M26" s="22" t="n"/>
      <c r="N26" s="22" t="n"/>
      <c r="O26" s="22" t="n"/>
      <c r="P26" s="22" t="n"/>
      <c r="Q26" s="22" t="n"/>
      <c r="R26" s="22" t="n"/>
      <c r="S26" s="22" t="n"/>
    </row>
    <row r="27" hidden="1" ht="15.75" customHeight="1">
      <c r="A27" s="26">
        <f>IF(((('MiT Strom Pipeline'!R22="WON"))*('MiT Strom Pipeline'!B22&lt;&gt;""))&gt;0,IF(ISNUMBER('MiT Strom Pipeline'!A22),'MiT Strom Pipeline'!A22,""),"")</f>
        <v>29</v>
      </c>
      <c r="B27" s="27" t="str">
        <f>IF(((('MiT Strom Pipeline'!R22="WON"))*('MiT Strom Pipeline'!B22&lt;&gt;""))&gt;0,IF('MiT Strom Pipeline'!B22="","",'MiT Strom Pipeline'!B22),"")</f>
        <v>Gampeln</v>
      </c>
      <c r="C27" s="27" t="str">
        <f>IF(((('MiT Strom Pipeline'!R22="WON"))*('MiT Strom Pipeline'!B22&lt;&gt;""))&gt;0,IF('MiT Strom Pipeline'!C22="","",'MiT Strom Pipeline'!C22),"")</f>
        <v>VS</v>
      </c>
      <c r="D27" s="27" t="str">
        <f>IF(((('MiT Strom Pipeline'!R22="WON"))*('MiT Strom Pipeline'!B22&lt;&gt;""))&gt;0,IF('MiT Strom Pipeline'!D22="","",'MiT Strom Pipeline'!D22),"")</f>
        <v>Event</v>
      </c>
      <c r="E27" s="27" t="str">
        <f>IF(((('MiT Strom Pipeline'!R22="WON"))*('MiT Strom Pipeline'!B22&lt;&gt;""))&gt;0,IF('MiT Strom Pipeline'!H22="","",'MiT Strom Pipeline'!H22),"")</f>
        <v>Aug</v>
      </c>
      <c r="F27" s="27" t="str">
        <f>IF(((('MiT Strom Pipeline'!R22="WON"))*('MiT Strom Pipeline'!B22&lt;&gt;""))&gt;0,IF('MiT Strom Pipeline'!E22="","",'MiT Strom Pipeline'!E22),"")</f>
        <v>6x300 kVA, 10x200 kVA, 1x100 kVA Generator</v>
      </c>
      <c r="G27" s="28">
        <f>IF(((('MiT Strom Pipeline'!R22="WON"))*('MiT Strom Pipeline'!B22&lt;&gt;""))&gt;0,IF(ISNUMBER('MiT Strom Pipeline'!I22),'MiT Strom Pipeline'!I22,0),"")</f>
        <v>115045</v>
      </c>
      <c r="H27" s="28">
        <f>IF(((('MiT Strom Pipeline'!R22="WON"))*('MiT Strom Pipeline'!B22&lt;&gt;""))&gt;0,IF(ISNUMBER('MiT Strom Pipeline'!Q22),'MiT Strom Pipeline'!Q22,0),"")</f>
        <v>115045</v>
      </c>
      <c r="I27" s="28">
        <f>IF(((('MiT Strom Pipeline'!R22="WON"))*('MiT Strom Pipeline'!B22&lt;&gt;""))&gt;0,IF(ISNUMBER('MiT Strom Pipeline'!O22),'MiT Strom Pipeline'!O22,0),"")</f>
        <v>0</v>
      </c>
      <c r="J27" s="27" t="str">
        <f>IF(((('MiT Strom Pipeline'!R22="WON"))*('MiT Strom Pipeline'!B22&lt;&gt;""))&gt;0,'MiT Strom Pipeline'!R22,"")</f>
        <v>WON</v>
      </c>
      <c r="K27" s="29">
        <f>IF(((('MiT Strom Pipeline'!R22="WON"))*('MiT Strom Pipeline'!B22&lt;&gt;""))&gt;0,IF(ISNUMBER('MiT Strom Pipeline'!S22),'MiT Strom Pipeline'!S22,""),"")</f>
        <v>1</v>
      </c>
      <c r="L27" s="27" t="str">
        <f>IF(((('MiT Strom Pipeline'!R22="WON"))*('MiT Strom Pipeline'!B22&lt;&gt;""))&gt;0,IF(LEN('MiT Strom Pipeline'!V22)&gt;0,LEFT('MiT Strom Pipeline'!V22,55),""),"")</f>
        <v>Kunde angeschrieben, Kunde besucht, Kunde zufrieden mit</v>
      </c>
      <c r="M27" s="22" t="n"/>
      <c r="N27" s="22" t="n"/>
      <c r="O27" s="22" t="n"/>
      <c r="P27" s="22" t="n"/>
      <c r="Q27" s="22" t="n"/>
      <c r="R27" s="22" t="n"/>
      <c r="S27" s="22" t="n"/>
    </row>
    <row r="28" hidden="1" ht="15.75" customHeight="1">
      <c r="A28" s="26">
        <f>IF(((('MiT Strom Pipeline'!R23="WON"))*('MiT Strom Pipeline'!B23&lt;&gt;""))&gt;0,IF(ISNUMBER('MiT Strom Pipeline'!A23),'MiT Strom Pipeline'!A23,""),"")</f>
        <v/>
      </c>
      <c r="B28" s="27">
        <f>IF(((('MiT Strom Pipeline'!R23="WON"))*('MiT Strom Pipeline'!B23&lt;&gt;""))&gt;0,IF('MiT Strom Pipeline'!B23="","",'MiT Strom Pipeline'!B23),"")</f>
        <v/>
      </c>
      <c r="C28" s="27">
        <f>IF(((('MiT Strom Pipeline'!R23="WON"))*('MiT Strom Pipeline'!B23&lt;&gt;""))&gt;0,IF('MiT Strom Pipeline'!C23="","",'MiT Strom Pipeline'!C23),"")</f>
        <v/>
      </c>
      <c r="D28" s="27">
        <f>IF(((('MiT Strom Pipeline'!R23="WON"))*('MiT Strom Pipeline'!B23&lt;&gt;""))&gt;0,IF('MiT Strom Pipeline'!D23="","",'MiT Strom Pipeline'!D23),"")</f>
        <v/>
      </c>
      <c r="E28" s="27">
        <f>IF(((('MiT Strom Pipeline'!R23="WON"))*('MiT Strom Pipeline'!B23&lt;&gt;""))&gt;0,IF('MiT Strom Pipeline'!H23="","",'MiT Strom Pipeline'!H23),"")</f>
        <v/>
      </c>
      <c r="F28" s="27">
        <f>IF(((('MiT Strom Pipeline'!R23="WON"))*('MiT Strom Pipeline'!B23&lt;&gt;""))&gt;0,IF('MiT Strom Pipeline'!E23="","",'MiT Strom Pipeline'!E23),"")</f>
        <v/>
      </c>
      <c r="G28" s="28">
        <f>IF(((('MiT Strom Pipeline'!R23="WON"))*('MiT Strom Pipeline'!B23&lt;&gt;""))&gt;0,IF(ISNUMBER('MiT Strom Pipeline'!I23),'MiT Strom Pipeline'!I23,0),"")</f>
        <v/>
      </c>
      <c r="H28" s="28">
        <f>IF(((('MiT Strom Pipeline'!R23="WON"))*('MiT Strom Pipeline'!B23&lt;&gt;""))&gt;0,IF(ISNUMBER('MiT Strom Pipeline'!Q23),'MiT Strom Pipeline'!Q23,0),"")</f>
        <v/>
      </c>
      <c r="I28" s="28">
        <f>IF(((('MiT Strom Pipeline'!R23="WON"))*('MiT Strom Pipeline'!B23&lt;&gt;""))&gt;0,IF(ISNUMBER('MiT Strom Pipeline'!O23),'MiT Strom Pipeline'!O23,0),"")</f>
        <v/>
      </c>
      <c r="J28" s="27">
        <f>IF(((('MiT Strom Pipeline'!R23="WON"))*('MiT Strom Pipeline'!B23&lt;&gt;""))&gt;0,'MiT Strom Pipeline'!R23,"")</f>
        <v/>
      </c>
      <c r="K28" s="29">
        <f>IF(((('MiT Strom Pipeline'!R23="WON"))*('MiT Strom Pipeline'!B23&lt;&gt;""))&gt;0,IF(ISNUMBER('MiT Strom Pipeline'!S23),'MiT Strom Pipeline'!S23,""),"")</f>
        <v/>
      </c>
      <c r="L28" s="27">
        <f>IF(((('MiT Strom Pipeline'!R23="WON"))*('MiT Strom Pipeline'!B23&lt;&gt;""))&gt;0,IF(LEN('MiT Strom Pipeline'!V23)&gt;0,LEFT('MiT Strom Pipeline'!V23,55),""),"")</f>
        <v/>
      </c>
      <c r="M28" s="22" t="n"/>
      <c r="N28" s="22" t="n"/>
      <c r="O28" s="22" t="n"/>
      <c r="P28" s="22" t="n"/>
      <c r="Q28" s="22" t="n"/>
      <c r="R28" s="22" t="n"/>
      <c r="S28" s="22" t="n"/>
    </row>
    <row r="29" hidden="1" ht="15.75" customHeight="1">
      <c r="A29" s="26">
        <f>IF(((('MiT Strom Pipeline'!R24="WON"))*('MiT Strom Pipeline'!B24&lt;&gt;""))&gt;0,IF(ISNUMBER('MiT Strom Pipeline'!A24),'MiT Strom Pipeline'!A24,""),"")</f>
        <v/>
      </c>
      <c r="B29" s="27">
        <f>IF(((('MiT Strom Pipeline'!R24="WON"))*('MiT Strom Pipeline'!B24&lt;&gt;""))&gt;0,IF('MiT Strom Pipeline'!B24="","",'MiT Strom Pipeline'!B24),"")</f>
        <v/>
      </c>
      <c r="C29" s="27">
        <f>IF(((('MiT Strom Pipeline'!R24="WON"))*('MiT Strom Pipeline'!B24&lt;&gt;""))&gt;0,IF('MiT Strom Pipeline'!C24="","",'MiT Strom Pipeline'!C24),"")</f>
        <v/>
      </c>
      <c r="D29" s="27">
        <f>IF(((('MiT Strom Pipeline'!R24="WON"))*('MiT Strom Pipeline'!B24&lt;&gt;""))&gt;0,IF('MiT Strom Pipeline'!D24="","",'MiT Strom Pipeline'!D24),"")</f>
        <v/>
      </c>
      <c r="E29" s="27">
        <f>IF(((('MiT Strom Pipeline'!R24="WON"))*('MiT Strom Pipeline'!B24&lt;&gt;""))&gt;0,IF('MiT Strom Pipeline'!H24="","",'MiT Strom Pipeline'!H24),"")</f>
        <v/>
      </c>
      <c r="F29" s="27">
        <f>IF(((('MiT Strom Pipeline'!R24="WON"))*('MiT Strom Pipeline'!B24&lt;&gt;""))&gt;0,IF('MiT Strom Pipeline'!E24="","",'MiT Strom Pipeline'!E24),"")</f>
        <v/>
      </c>
      <c r="G29" s="28">
        <f>IF(((('MiT Strom Pipeline'!R24="WON"))*('MiT Strom Pipeline'!B24&lt;&gt;""))&gt;0,IF(ISNUMBER('MiT Strom Pipeline'!I24),'MiT Strom Pipeline'!I24,0),"")</f>
        <v/>
      </c>
      <c r="H29" s="28">
        <f>IF(((('MiT Strom Pipeline'!R24="WON"))*('MiT Strom Pipeline'!B24&lt;&gt;""))&gt;0,IF(ISNUMBER('MiT Strom Pipeline'!Q24),'MiT Strom Pipeline'!Q24,0),"")</f>
        <v/>
      </c>
      <c r="I29" s="28">
        <f>IF(((('MiT Strom Pipeline'!R24="WON"))*('MiT Strom Pipeline'!B24&lt;&gt;""))&gt;0,IF(ISNUMBER('MiT Strom Pipeline'!O24),'MiT Strom Pipeline'!O24,0),"")</f>
        <v/>
      </c>
      <c r="J29" s="27">
        <f>IF(((('MiT Strom Pipeline'!R24="WON"))*('MiT Strom Pipeline'!B24&lt;&gt;""))&gt;0,'MiT Strom Pipeline'!R24,"")</f>
        <v/>
      </c>
      <c r="K29" s="29">
        <f>IF(((('MiT Strom Pipeline'!R24="WON"))*('MiT Strom Pipeline'!B24&lt;&gt;""))&gt;0,IF(ISNUMBER('MiT Strom Pipeline'!S24),'MiT Strom Pipeline'!S24,""),"")</f>
        <v/>
      </c>
      <c r="L29" s="27">
        <f>IF(((('MiT Strom Pipeline'!R24="WON"))*('MiT Strom Pipeline'!B24&lt;&gt;""))&gt;0,IF(LEN('MiT Strom Pipeline'!V24)&gt;0,LEFT('MiT Strom Pipeline'!V24,55),""),"")</f>
        <v/>
      </c>
      <c r="M29" s="22" t="n"/>
      <c r="N29" s="22" t="n"/>
      <c r="O29" s="22" t="n"/>
      <c r="P29" s="22" t="n"/>
      <c r="Q29" s="22" t="n"/>
      <c r="R29" s="22" t="n"/>
      <c r="S29" s="22" t="n"/>
    </row>
    <row r="30" hidden="1" ht="15.75" customHeight="1">
      <c r="A30" s="26">
        <f>IF(((('MiT Strom Pipeline'!R25="WON"))*('MiT Strom Pipeline'!B25&lt;&gt;""))&gt;0,IF(ISNUMBER('MiT Strom Pipeline'!A25),'MiT Strom Pipeline'!A25,""),"")</f>
        <v/>
      </c>
      <c r="B30" s="27">
        <f>IF(((('MiT Strom Pipeline'!R25="WON"))*('MiT Strom Pipeline'!B25&lt;&gt;""))&gt;0,IF('MiT Strom Pipeline'!B25="","",'MiT Strom Pipeline'!B25),"")</f>
        <v/>
      </c>
      <c r="C30" s="27">
        <f>IF(((('MiT Strom Pipeline'!R25="WON"))*('MiT Strom Pipeline'!B25&lt;&gt;""))&gt;0,IF('MiT Strom Pipeline'!C25="","",'MiT Strom Pipeline'!C25),"")</f>
        <v/>
      </c>
      <c r="D30" s="27">
        <f>IF(((('MiT Strom Pipeline'!R25="WON"))*('MiT Strom Pipeline'!B25&lt;&gt;""))&gt;0,IF('MiT Strom Pipeline'!D25="","",'MiT Strom Pipeline'!D25),"")</f>
        <v/>
      </c>
      <c r="E30" s="27">
        <f>IF(((('MiT Strom Pipeline'!R25="WON"))*('MiT Strom Pipeline'!B25&lt;&gt;""))&gt;0,IF('MiT Strom Pipeline'!H25="","",'MiT Strom Pipeline'!H25),"")</f>
        <v/>
      </c>
      <c r="F30" s="27">
        <f>IF(((('MiT Strom Pipeline'!R25="WON"))*('MiT Strom Pipeline'!B25&lt;&gt;""))&gt;0,IF('MiT Strom Pipeline'!E25="","",'MiT Strom Pipeline'!E25),"")</f>
        <v/>
      </c>
      <c r="G30" s="28">
        <f>IF(((('MiT Strom Pipeline'!R25="WON"))*('MiT Strom Pipeline'!B25&lt;&gt;""))&gt;0,IF(ISNUMBER('MiT Strom Pipeline'!I25),'MiT Strom Pipeline'!I25,0),"")</f>
        <v/>
      </c>
      <c r="H30" s="28">
        <f>IF(((('MiT Strom Pipeline'!R25="WON"))*('MiT Strom Pipeline'!B25&lt;&gt;""))&gt;0,IF(ISNUMBER('MiT Strom Pipeline'!Q25),'MiT Strom Pipeline'!Q25,0),"")</f>
        <v/>
      </c>
      <c r="I30" s="28">
        <f>IF(((('MiT Strom Pipeline'!R25="WON"))*('MiT Strom Pipeline'!B25&lt;&gt;""))&gt;0,IF(ISNUMBER('MiT Strom Pipeline'!O25),'MiT Strom Pipeline'!O25,0),"")</f>
        <v/>
      </c>
      <c r="J30" s="27">
        <f>IF(((('MiT Strom Pipeline'!R25="WON"))*('MiT Strom Pipeline'!B25&lt;&gt;""))&gt;0,'MiT Strom Pipeline'!R25,"")</f>
        <v/>
      </c>
      <c r="K30" s="29">
        <f>IF(((('MiT Strom Pipeline'!R25="WON"))*('MiT Strom Pipeline'!B25&lt;&gt;""))&gt;0,IF(ISNUMBER('MiT Strom Pipeline'!S25),'MiT Strom Pipeline'!S25,""),"")</f>
        <v/>
      </c>
      <c r="L30" s="27">
        <f>IF(((('MiT Strom Pipeline'!R25="WON"))*('MiT Strom Pipeline'!B25&lt;&gt;""))&gt;0,IF(LEN('MiT Strom Pipeline'!V25)&gt;0,LEFT('MiT Strom Pipeline'!V25,55),""),"")</f>
        <v/>
      </c>
      <c r="M30" s="22" t="n"/>
      <c r="N30" s="22" t="n"/>
      <c r="O30" s="22" t="n"/>
      <c r="P30" s="22" t="n"/>
      <c r="Q30" s="22" t="n"/>
      <c r="R30" s="22" t="n"/>
      <c r="S30" s="22" t="n"/>
    </row>
    <row r="31" hidden="1" ht="15.75" customHeight="1">
      <c r="A31" s="26">
        <f>IF(((('MiT Strom Pipeline'!R26="WON"))*('MiT Strom Pipeline'!B26&lt;&gt;""))&gt;0,IF(ISNUMBER('MiT Strom Pipeline'!A26),'MiT Strom Pipeline'!A26,""),"")</f>
        <v/>
      </c>
      <c r="B31" s="27">
        <f>IF(((('MiT Strom Pipeline'!R26="WON"))*('MiT Strom Pipeline'!B26&lt;&gt;""))&gt;0,IF('MiT Strom Pipeline'!B26="","",'MiT Strom Pipeline'!B26),"")</f>
        <v/>
      </c>
      <c r="C31" s="27">
        <f>IF(((('MiT Strom Pipeline'!R26="WON"))*('MiT Strom Pipeline'!B26&lt;&gt;""))&gt;0,IF('MiT Strom Pipeline'!C26="","",'MiT Strom Pipeline'!C26),"")</f>
        <v/>
      </c>
      <c r="D31" s="27">
        <f>IF(((('MiT Strom Pipeline'!R26="WON"))*('MiT Strom Pipeline'!B26&lt;&gt;""))&gt;0,IF('MiT Strom Pipeline'!D26="","",'MiT Strom Pipeline'!D26),"")</f>
        <v/>
      </c>
      <c r="E31" s="27">
        <f>IF(((('MiT Strom Pipeline'!R26="WON"))*('MiT Strom Pipeline'!B26&lt;&gt;""))&gt;0,IF('MiT Strom Pipeline'!H26="","",'MiT Strom Pipeline'!H26),"")</f>
        <v/>
      </c>
      <c r="F31" s="27">
        <f>IF(((('MiT Strom Pipeline'!R26="WON"))*('MiT Strom Pipeline'!B26&lt;&gt;""))&gt;0,IF('MiT Strom Pipeline'!E26="","",'MiT Strom Pipeline'!E26),"")</f>
        <v/>
      </c>
      <c r="G31" s="28">
        <f>IF(((('MiT Strom Pipeline'!R26="WON"))*('MiT Strom Pipeline'!B26&lt;&gt;""))&gt;0,IF(ISNUMBER('MiT Strom Pipeline'!I26),'MiT Strom Pipeline'!I26,0),"")</f>
        <v/>
      </c>
      <c r="H31" s="28">
        <f>IF(((('MiT Strom Pipeline'!R26="WON"))*('MiT Strom Pipeline'!B26&lt;&gt;""))&gt;0,IF(ISNUMBER('MiT Strom Pipeline'!Q26),'MiT Strom Pipeline'!Q26,0),"")</f>
        <v/>
      </c>
      <c r="I31" s="28">
        <f>IF(((('MiT Strom Pipeline'!R26="WON"))*('MiT Strom Pipeline'!B26&lt;&gt;""))&gt;0,IF(ISNUMBER('MiT Strom Pipeline'!O26),'MiT Strom Pipeline'!O26,0),"")</f>
        <v/>
      </c>
      <c r="J31" s="27">
        <f>IF(((('MiT Strom Pipeline'!R26="WON"))*('MiT Strom Pipeline'!B26&lt;&gt;""))&gt;0,'MiT Strom Pipeline'!R26,"")</f>
        <v/>
      </c>
      <c r="K31" s="29">
        <f>IF(((('MiT Strom Pipeline'!R26="WON"))*('MiT Strom Pipeline'!B26&lt;&gt;""))&gt;0,IF(ISNUMBER('MiT Strom Pipeline'!S26),'MiT Strom Pipeline'!S26,""),"")</f>
        <v/>
      </c>
      <c r="L31" s="27">
        <f>IF(((('MiT Strom Pipeline'!R26="WON"))*('MiT Strom Pipeline'!B26&lt;&gt;""))&gt;0,IF(LEN('MiT Strom Pipeline'!V26)&gt;0,LEFT('MiT Strom Pipeline'!V26,55),""),"")</f>
        <v/>
      </c>
      <c r="M31" s="22" t="n"/>
      <c r="N31" s="22" t="n"/>
      <c r="O31" s="22" t="n"/>
      <c r="P31" s="22" t="n"/>
      <c r="Q31" s="22" t="n"/>
      <c r="R31" s="22" t="n"/>
      <c r="S31" s="22" t="n"/>
    </row>
    <row r="32" ht="25.5" customHeight="1">
      <c r="A32" s="26">
        <f>IF(((('MiT Strom Pipeline'!R27="WON"))*('MiT Strom Pipeline'!B27&lt;&gt;""))&gt;0,IF(ISNUMBER('MiT Strom Pipeline'!A27),'MiT Strom Pipeline'!A27,""),"")</f>
        <v/>
      </c>
      <c r="B32" s="27">
        <f>IF(((('MiT Strom Pipeline'!R27="WON"))*('MiT Strom Pipeline'!B27&lt;&gt;""))&gt;0,IF('MiT Strom Pipeline'!B27="","",'MiT Strom Pipeline'!B27),"")</f>
        <v/>
      </c>
      <c r="C32" s="27">
        <f>IF(((('MiT Strom Pipeline'!R27="WON"))*('MiT Strom Pipeline'!B27&lt;&gt;""))&gt;0,IF('MiT Strom Pipeline'!C27="","",'MiT Strom Pipeline'!C27),"")</f>
        <v/>
      </c>
      <c r="D32" s="27">
        <f>IF(((('MiT Strom Pipeline'!R27="WON"))*('MiT Strom Pipeline'!B27&lt;&gt;""))&gt;0,IF('MiT Strom Pipeline'!D27="","",'MiT Strom Pipeline'!D27),"")</f>
        <v/>
      </c>
      <c r="E32" s="191">
        <f>IF(((('MiT Strom Pipeline'!R27="WON"))*('MiT Strom Pipeline'!B27&lt;&gt;""))&gt;0,IF('MiT Strom Pipeline'!H27="","",'MiT Strom Pipeline'!H27),"")</f>
        <v/>
      </c>
      <c r="F32" s="27">
        <f>IF(((('MiT Strom Pipeline'!R27="WON"))*('MiT Strom Pipeline'!B27&lt;&gt;""))&gt;0,IF('MiT Strom Pipeline'!E27="","",'MiT Strom Pipeline'!E27),"")</f>
        <v/>
      </c>
      <c r="G32" s="28">
        <f>IF(((('MiT Strom Pipeline'!R27="WON"))*('MiT Strom Pipeline'!B27&lt;&gt;""))&gt;0,IF(ISNUMBER('MiT Strom Pipeline'!I27),'MiT Strom Pipeline'!I27,0),"")</f>
        <v/>
      </c>
      <c r="H32" s="28">
        <f>IF(((('MiT Strom Pipeline'!R27="WON"))*('MiT Strom Pipeline'!B27&lt;&gt;""))&gt;0,IF(ISNUMBER('MiT Strom Pipeline'!Q27),'MiT Strom Pipeline'!Q27,0),"")</f>
        <v/>
      </c>
      <c r="I32" s="28">
        <f>IF(((('MiT Strom Pipeline'!R27="WON"))*('MiT Strom Pipeline'!B27&lt;&gt;""))&gt;0,IF(ISNUMBER('MiT Strom Pipeline'!O27),'MiT Strom Pipeline'!O27,0),"")</f>
        <v/>
      </c>
      <c r="J32" s="27">
        <f>IF(((('MiT Strom Pipeline'!R27="WON"))*('MiT Strom Pipeline'!B27&lt;&gt;""))&gt;0,'MiT Strom Pipeline'!R27,"")</f>
        <v/>
      </c>
      <c r="K32" s="29">
        <f>IF(((('MiT Strom Pipeline'!R27="WON"))*('MiT Strom Pipeline'!B27&lt;&gt;""))&gt;0,IF(ISNUMBER('MiT Strom Pipeline'!S27),'MiT Strom Pipeline'!S27,""),"")</f>
        <v/>
      </c>
      <c r="L32" s="31">
        <f>IF(((('MiT Strom Pipeline'!R27="WON"))*('MiT Strom Pipeline'!B27&lt;&gt;""))&gt;0,IF(LEN('MiT Strom Pipeline'!V27)&gt;0,LEFT('MiT Strom Pipeline'!V27,55),""),"")</f>
        <v/>
      </c>
      <c r="M32" s="22" t="n"/>
      <c r="N32" s="22" t="n"/>
      <c r="O32" s="22" t="n"/>
      <c r="P32" s="22" t="n"/>
      <c r="Q32" s="22" t="n"/>
      <c r="R32" s="22" t="n"/>
      <c r="S32" s="22" t="n"/>
    </row>
    <row r="33" ht="15.75" customHeight="1">
      <c r="A33" s="26">
        <f>IF(((('MiT Strom Pipeline'!R28="WON"))*('MiT Strom Pipeline'!B28&lt;&gt;""))&gt;0,IF(ISNUMBER('MiT Strom Pipeline'!A28),'MiT Strom Pipeline'!A28,""),"")</f>
        <v/>
      </c>
      <c r="B33" s="27">
        <f>IF(((('MiT Strom Pipeline'!R28="WON"))*('MiT Strom Pipeline'!B28&lt;&gt;""))&gt;0,IF('MiT Strom Pipeline'!B28="","",'MiT Strom Pipeline'!B28),"")</f>
        <v/>
      </c>
      <c r="C33" s="27">
        <f>IF(((('MiT Strom Pipeline'!R28="WON"))*('MiT Strom Pipeline'!B28&lt;&gt;""))&gt;0,IF('MiT Strom Pipeline'!C28="","",'MiT Strom Pipeline'!C28),"")</f>
        <v/>
      </c>
      <c r="D33" s="27">
        <f>IF(((('MiT Strom Pipeline'!R28="WON"))*('MiT Strom Pipeline'!B28&lt;&gt;""))&gt;0,IF('MiT Strom Pipeline'!D28="","",'MiT Strom Pipeline'!D28),"")</f>
        <v/>
      </c>
      <c r="E33" s="27">
        <f>IF(((('MiT Strom Pipeline'!R28="WON"))*('MiT Strom Pipeline'!B28&lt;&gt;""))&gt;0,IF('MiT Strom Pipeline'!H28="","",'MiT Strom Pipeline'!H28),"")</f>
        <v/>
      </c>
      <c r="F33" s="27">
        <f>IF(((('MiT Strom Pipeline'!R28="WON"))*('MiT Strom Pipeline'!B28&lt;&gt;""))&gt;0,IF('MiT Strom Pipeline'!E28="","",'MiT Strom Pipeline'!E28),"")</f>
        <v/>
      </c>
      <c r="G33" s="28">
        <f>IF(((('MiT Strom Pipeline'!R28="WON"))*('MiT Strom Pipeline'!B28&lt;&gt;""))&gt;0,IF(ISNUMBER('MiT Strom Pipeline'!I28),'MiT Strom Pipeline'!I28,0),"")</f>
        <v/>
      </c>
      <c r="H33" s="28">
        <f>IF(((('MiT Strom Pipeline'!R28="WON"))*('MiT Strom Pipeline'!B28&lt;&gt;""))&gt;0,IF(ISNUMBER('MiT Strom Pipeline'!Q28),'MiT Strom Pipeline'!Q28,0),"")</f>
        <v/>
      </c>
      <c r="I33" s="28">
        <f>IF(((('MiT Strom Pipeline'!R28="WON"))*('MiT Strom Pipeline'!B28&lt;&gt;""))&gt;0,IF(ISNUMBER('MiT Strom Pipeline'!O28),'MiT Strom Pipeline'!O28,0),"")</f>
        <v/>
      </c>
      <c r="J33" s="27">
        <f>IF(((('MiT Strom Pipeline'!R28="WON"))*('MiT Strom Pipeline'!B28&lt;&gt;""))&gt;0,'MiT Strom Pipeline'!R28,"")</f>
        <v/>
      </c>
      <c r="K33" s="29">
        <f>IF(((('MiT Strom Pipeline'!R28="WON"))*('MiT Strom Pipeline'!B28&lt;&gt;""))&gt;0,IF(ISNUMBER('MiT Strom Pipeline'!S28),'MiT Strom Pipeline'!S28,""),"")</f>
        <v/>
      </c>
      <c r="L33" s="27">
        <f>IF(((('MiT Strom Pipeline'!R28="WON"))*('MiT Strom Pipeline'!B28&lt;&gt;""))&gt;0,IF(LEN('MiT Strom Pipeline'!V28)&gt;0,LEFT('MiT Strom Pipeline'!V28,55),""),"")</f>
        <v/>
      </c>
      <c r="M33" s="22" t="n"/>
      <c r="N33" s="22" t="n"/>
      <c r="O33" s="22" t="n"/>
      <c r="P33" s="22" t="n"/>
      <c r="Q33" s="22" t="n"/>
      <c r="R33" s="22" t="n"/>
      <c r="S33" s="22" t="n"/>
    </row>
    <row r="34" ht="15.75" customHeight="1">
      <c r="A34" s="26">
        <f>IF(((('MiT Strom Pipeline'!R29="WON"))*('MiT Strom Pipeline'!B29&lt;&gt;""))&gt;0,IF(ISNUMBER('MiT Strom Pipeline'!A29),'MiT Strom Pipeline'!A29,""),"")</f>
        <v/>
      </c>
      <c r="B34" s="27">
        <f>IF(((('MiT Strom Pipeline'!R29="WON"))*('MiT Strom Pipeline'!B29&lt;&gt;""))&gt;0,IF('MiT Strom Pipeline'!B29="","",'MiT Strom Pipeline'!B29),"")</f>
        <v/>
      </c>
      <c r="C34" s="27">
        <f>IF(((('MiT Strom Pipeline'!R29="WON"))*('MiT Strom Pipeline'!B29&lt;&gt;""))&gt;0,IF('MiT Strom Pipeline'!C29="","",'MiT Strom Pipeline'!C29),"")</f>
        <v/>
      </c>
      <c r="D34" s="27">
        <f>IF(((('MiT Strom Pipeline'!R29="WON"))*('MiT Strom Pipeline'!B29&lt;&gt;""))&gt;0,IF('MiT Strom Pipeline'!D29="","",'MiT Strom Pipeline'!D29),"")</f>
        <v/>
      </c>
      <c r="E34" s="27">
        <f>IF(((('MiT Strom Pipeline'!R29="WON"))*('MiT Strom Pipeline'!B29&lt;&gt;""))&gt;0,IF('MiT Strom Pipeline'!H29="","",'MiT Strom Pipeline'!H29),"")</f>
        <v/>
      </c>
      <c r="F34" s="27">
        <f>IF(((('MiT Strom Pipeline'!R29="WON"))*('MiT Strom Pipeline'!B29&lt;&gt;""))&gt;0,IF('MiT Strom Pipeline'!E29="","",'MiT Strom Pipeline'!E29),"")</f>
        <v/>
      </c>
      <c r="G34" s="28">
        <f>IF(((('MiT Strom Pipeline'!R29="WON"))*('MiT Strom Pipeline'!B29&lt;&gt;""))&gt;0,IF(ISNUMBER('MiT Strom Pipeline'!I29),'MiT Strom Pipeline'!I29,0),"")</f>
        <v/>
      </c>
      <c r="H34" s="28">
        <f>IF(((('MiT Strom Pipeline'!R29="WON"))*('MiT Strom Pipeline'!B29&lt;&gt;""))&gt;0,IF(ISNUMBER('MiT Strom Pipeline'!Q29),'MiT Strom Pipeline'!Q29,0),"")</f>
        <v/>
      </c>
      <c r="I34" s="28">
        <f>IF(((('MiT Strom Pipeline'!R29="WON"))*('MiT Strom Pipeline'!B29&lt;&gt;""))&gt;0,IF(ISNUMBER('MiT Strom Pipeline'!O29),'MiT Strom Pipeline'!O29,0),"")</f>
        <v/>
      </c>
      <c r="J34" s="27">
        <f>IF(((('MiT Strom Pipeline'!R29="WON"))*('MiT Strom Pipeline'!B29&lt;&gt;""))&gt;0,'MiT Strom Pipeline'!R29,"")</f>
        <v/>
      </c>
      <c r="K34" s="29">
        <f>IF(((('MiT Strom Pipeline'!R29="WON"))*('MiT Strom Pipeline'!B29&lt;&gt;""))&gt;0,IF(ISNUMBER('MiT Strom Pipeline'!S29),'MiT Strom Pipeline'!S29,""),"")</f>
        <v/>
      </c>
      <c r="L34" s="27">
        <f>IF(((('MiT Strom Pipeline'!R29="WON"))*('MiT Strom Pipeline'!B29&lt;&gt;""))&gt;0,IF(LEN('MiT Strom Pipeline'!V29)&gt;0,LEFT('MiT Strom Pipeline'!V29,55),""),"")</f>
        <v/>
      </c>
      <c r="M34" s="22" t="n"/>
      <c r="N34" s="22" t="n"/>
      <c r="O34" s="22" t="n"/>
      <c r="P34" s="22" t="n"/>
      <c r="Q34" s="22" t="n"/>
      <c r="R34" s="22" t="n"/>
      <c r="S34" s="22" t="n"/>
    </row>
    <row r="35" ht="15.75" customHeight="1">
      <c r="A35" s="26">
        <f>IF(((('MiT Strom Pipeline'!R30="WON"))*('MiT Strom Pipeline'!B30&lt;&gt;""))&gt;0,IF(ISNUMBER('MiT Strom Pipeline'!A30),'MiT Strom Pipeline'!A30,""),"")</f>
        <v/>
      </c>
      <c r="B35" s="27">
        <f>IF(((('MiT Strom Pipeline'!R30="WON"))*('MiT Strom Pipeline'!B30&lt;&gt;""))&gt;0,IF('MiT Strom Pipeline'!B30="","",'MiT Strom Pipeline'!B30),"")</f>
        <v/>
      </c>
      <c r="C35" s="27">
        <f>IF(((('MiT Strom Pipeline'!R30="WON"))*('MiT Strom Pipeline'!B30&lt;&gt;""))&gt;0,IF('MiT Strom Pipeline'!C30="","",'MiT Strom Pipeline'!C30),"")</f>
        <v/>
      </c>
      <c r="D35" s="27">
        <f>IF(((('MiT Strom Pipeline'!R30="WON"))*('MiT Strom Pipeline'!B30&lt;&gt;""))&gt;0,IF('MiT Strom Pipeline'!D30="","",'MiT Strom Pipeline'!D30),"")</f>
        <v/>
      </c>
      <c r="E35" s="27">
        <f>IF(((('MiT Strom Pipeline'!R30="WON"))*('MiT Strom Pipeline'!B30&lt;&gt;""))&gt;0,IF('MiT Strom Pipeline'!H30="","",'MiT Strom Pipeline'!H30),"")</f>
        <v/>
      </c>
      <c r="F35" s="27">
        <f>IF(((('MiT Strom Pipeline'!R30="WON"))*('MiT Strom Pipeline'!B30&lt;&gt;""))&gt;0,IF('MiT Strom Pipeline'!E30="","",'MiT Strom Pipeline'!E30),"")</f>
        <v/>
      </c>
      <c r="G35" s="28">
        <f>IF(((('MiT Strom Pipeline'!R30="WON"))*('MiT Strom Pipeline'!B30&lt;&gt;""))&gt;0,IF(ISNUMBER('MiT Strom Pipeline'!I30),'MiT Strom Pipeline'!I30,0),"")</f>
        <v/>
      </c>
      <c r="H35" s="28">
        <f>IF(((('MiT Strom Pipeline'!R30="WON"))*('MiT Strom Pipeline'!B30&lt;&gt;""))&gt;0,IF(ISNUMBER('MiT Strom Pipeline'!Q30),'MiT Strom Pipeline'!Q30,0),"")</f>
        <v/>
      </c>
      <c r="I35" s="28">
        <f>IF(((('MiT Strom Pipeline'!R30="WON"))*('MiT Strom Pipeline'!B30&lt;&gt;""))&gt;0,IF(ISNUMBER('MiT Strom Pipeline'!O30),'MiT Strom Pipeline'!O30,0),"")</f>
        <v/>
      </c>
      <c r="J35" s="27">
        <f>IF(((('MiT Strom Pipeline'!R30="WON"))*('MiT Strom Pipeline'!B30&lt;&gt;""))&gt;0,'MiT Strom Pipeline'!R30,"")</f>
        <v/>
      </c>
      <c r="K35" s="29">
        <f>IF(((('MiT Strom Pipeline'!R30="WON"))*('MiT Strom Pipeline'!B30&lt;&gt;""))&gt;0,IF(ISNUMBER('MiT Strom Pipeline'!S30),'MiT Strom Pipeline'!S30,""),"")</f>
        <v/>
      </c>
      <c r="L35" s="27">
        <f>IF(((('MiT Strom Pipeline'!R30="WON"))*('MiT Strom Pipeline'!B30&lt;&gt;""))&gt;0,IF(LEN('MiT Strom Pipeline'!V30)&gt;0,LEFT('MiT Strom Pipeline'!V30,55),""),"")</f>
        <v/>
      </c>
      <c r="M35" s="22" t="n"/>
      <c r="N35" s="22" t="n"/>
      <c r="O35" s="22" t="n"/>
      <c r="P35" s="22" t="n"/>
      <c r="Q35" s="22" t="n"/>
      <c r="R35" s="22" t="n"/>
      <c r="S35" s="22" t="n"/>
    </row>
    <row r="36" ht="15.75" customHeight="1">
      <c r="A36" s="26">
        <f>IF(((('MiT Strom Pipeline'!R31="WON"))*('MiT Strom Pipeline'!B31&lt;&gt;""))&gt;0,IF(ISNUMBER('MiT Strom Pipeline'!A31),'MiT Strom Pipeline'!A31,""),"")</f>
        <v/>
      </c>
      <c r="B36" s="27">
        <f>IF(((('MiT Strom Pipeline'!R31="WON"))*('MiT Strom Pipeline'!B31&lt;&gt;""))&gt;0,IF('MiT Strom Pipeline'!B31="","",'MiT Strom Pipeline'!B31),"")</f>
        <v/>
      </c>
      <c r="C36" s="27">
        <f>IF(((('MiT Strom Pipeline'!R31="WON"))*('MiT Strom Pipeline'!B31&lt;&gt;""))&gt;0,IF('MiT Strom Pipeline'!C31="","",'MiT Strom Pipeline'!C31),"")</f>
        <v/>
      </c>
      <c r="D36" s="27">
        <f>IF(((('MiT Strom Pipeline'!R31="WON"))*('MiT Strom Pipeline'!B31&lt;&gt;""))&gt;0,IF('MiT Strom Pipeline'!D31="","",'MiT Strom Pipeline'!D31),"")</f>
        <v/>
      </c>
      <c r="E36" s="27">
        <f>IF(((('MiT Strom Pipeline'!R31="WON"))*('MiT Strom Pipeline'!B31&lt;&gt;""))&gt;0,IF('MiT Strom Pipeline'!H31="","",'MiT Strom Pipeline'!H31),"")</f>
        <v/>
      </c>
      <c r="F36" s="27">
        <f>IF(((('MiT Strom Pipeline'!R31="WON"))*('MiT Strom Pipeline'!B31&lt;&gt;""))&gt;0,IF('MiT Strom Pipeline'!E31="","",'MiT Strom Pipeline'!E31),"")</f>
        <v/>
      </c>
      <c r="G36" s="28">
        <f>IF(((('MiT Strom Pipeline'!R31="WON"))*('MiT Strom Pipeline'!B31&lt;&gt;""))&gt;0,IF(ISNUMBER('MiT Strom Pipeline'!I31),'MiT Strom Pipeline'!I31,0),"")</f>
        <v/>
      </c>
      <c r="H36" s="28">
        <f>IF(((('MiT Strom Pipeline'!R31="WON"))*('MiT Strom Pipeline'!B31&lt;&gt;""))&gt;0,IF(ISNUMBER('MiT Strom Pipeline'!Q31),'MiT Strom Pipeline'!Q31,0),"")</f>
        <v/>
      </c>
      <c r="I36" s="28">
        <f>IF(((('MiT Strom Pipeline'!R31="WON"))*('MiT Strom Pipeline'!B31&lt;&gt;""))&gt;0,IF(ISNUMBER('MiT Strom Pipeline'!O31),'MiT Strom Pipeline'!O31,0),"")</f>
        <v/>
      </c>
      <c r="J36" s="27">
        <f>IF(((('MiT Strom Pipeline'!R31="WON"))*('MiT Strom Pipeline'!B31&lt;&gt;""))&gt;0,'MiT Strom Pipeline'!R31,"")</f>
        <v/>
      </c>
      <c r="K36" s="29">
        <f>IF(((('MiT Strom Pipeline'!R31="WON"))*('MiT Strom Pipeline'!B31&lt;&gt;""))&gt;0,IF(ISNUMBER('MiT Strom Pipeline'!S31),'MiT Strom Pipeline'!S31,""),"")</f>
        <v/>
      </c>
      <c r="L36" s="27">
        <f>IF(((('MiT Strom Pipeline'!R31="WON"))*('MiT Strom Pipeline'!B31&lt;&gt;""))&gt;0,IF(LEN('MiT Strom Pipeline'!V31)&gt;0,LEFT('MiT Strom Pipeline'!V31,55),""),"")</f>
        <v/>
      </c>
      <c r="M36" s="22" t="n"/>
      <c r="N36" s="22" t="n"/>
      <c r="O36" s="22" t="n"/>
      <c r="P36" s="22" t="n"/>
      <c r="Q36" s="22" t="n"/>
      <c r="R36" s="22" t="n"/>
      <c r="S36" s="22" t="n"/>
    </row>
    <row r="37" ht="15.75" customHeight="1">
      <c r="A37" s="26">
        <f>IF(((('MiT Strom Pipeline'!R32="WON"))*('MiT Strom Pipeline'!B32&lt;&gt;""))&gt;0,IF(ISNUMBER('MiT Strom Pipeline'!A32),'MiT Strom Pipeline'!A32,""),"")</f>
        <v/>
      </c>
      <c r="B37" s="27">
        <f>IF(((('MiT Strom Pipeline'!R32="WON"))*('MiT Strom Pipeline'!B32&lt;&gt;""))&gt;0,IF('MiT Strom Pipeline'!B32="","",'MiT Strom Pipeline'!B32),"")</f>
        <v/>
      </c>
      <c r="C37" s="27">
        <f>IF(((('MiT Strom Pipeline'!R32="WON"))*('MiT Strom Pipeline'!B32&lt;&gt;""))&gt;0,IF('MiT Strom Pipeline'!C32="","",'MiT Strom Pipeline'!C32),"")</f>
        <v/>
      </c>
      <c r="D37" s="27">
        <f>IF(((('MiT Strom Pipeline'!R32="WON"))*('MiT Strom Pipeline'!B32&lt;&gt;""))&gt;0,IF('MiT Strom Pipeline'!D32="","",'MiT Strom Pipeline'!D32),"")</f>
        <v/>
      </c>
      <c r="E37" s="27">
        <f>IF(((('MiT Strom Pipeline'!R32="WON"))*('MiT Strom Pipeline'!B32&lt;&gt;""))&gt;0,IF('MiT Strom Pipeline'!H32="","",'MiT Strom Pipeline'!H32),"")</f>
        <v/>
      </c>
      <c r="F37" s="27">
        <f>IF(((('MiT Strom Pipeline'!R32="WON"))*('MiT Strom Pipeline'!B32&lt;&gt;""))&gt;0,IF('MiT Strom Pipeline'!E32="","",'MiT Strom Pipeline'!E32),"")</f>
        <v/>
      </c>
      <c r="G37" s="28">
        <f>IF(((('MiT Strom Pipeline'!R32="WON"))*('MiT Strom Pipeline'!B32&lt;&gt;""))&gt;0,IF(ISNUMBER('MiT Strom Pipeline'!I32),'MiT Strom Pipeline'!I32,0),"")</f>
        <v/>
      </c>
      <c r="H37" s="28">
        <f>IF(((('MiT Strom Pipeline'!R32="WON"))*('MiT Strom Pipeline'!B32&lt;&gt;""))&gt;0,IF(ISNUMBER('MiT Strom Pipeline'!Q32),'MiT Strom Pipeline'!Q32,0),"")</f>
        <v/>
      </c>
      <c r="I37" s="28">
        <f>IF(((('MiT Strom Pipeline'!R32="WON"))*('MiT Strom Pipeline'!B32&lt;&gt;""))&gt;0,IF(ISNUMBER('MiT Strom Pipeline'!O32),'MiT Strom Pipeline'!O32,0),"")</f>
        <v/>
      </c>
      <c r="J37" s="27">
        <f>IF(((('MiT Strom Pipeline'!R32="WON"))*('MiT Strom Pipeline'!B32&lt;&gt;""))&gt;0,'MiT Strom Pipeline'!R32,"")</f>
        <v/>
      </c>
      <c r="K37" s="29">
        <f>IF(((('MiT Strom Pipeline'!R32="WON"))*('MiT Strom Pipeline'!B32&lt;&gt;""))&gt;0,IF(ISNUMBER('MiT Strom Pipeline'!S32),'MiT Strom Pipeline'!S32,""),"")</f>
        <v/>
      </c>
      <c r="L37" s="27">
        <f>IF(((('MiT Strom Pipeline'!R32="WON"))*('MiT Strom Pipeline'!B32&lt;&gt;""))&gt;0,IF(LEN('MiT Strom Pipeline'!V32)&gt;0,LEFT('MiT Strom Pipeline'!V32,55),""),"")</f>
        <v/>
      </c>
      <c r="M37" s="22" t="n"/>
      <c r="N37" s="22" t="n"/>
      <c r="O37" s="22" t="n"/>
      <c r="P37" s="22" t="n"/>
      <c r="Q37" s="22" t="n"/>
      <c r="R37" s="22" t="n"/>
      <c r="S37" s="22" t="n"/>
    </row>
    <row r="38" ht="15.75" customHeight="1">
      <c r="A38" s="26">
        <f>IF(((('MiT Strom Pipeline'!R33="WON"))*('MiT Strom Pipeline'!B33&lt;&gt;""))&gt;0,IF(ISNUMBER('MiT Strom Pipeline'!A33),'MiT Strom Pipeline'!A33,""),"")</f>
        <v/>
      </c>
      <c r="B38" s="27">
        <f>IF(((('MiT Strom Pipeline'!R33="WON"))*('MiT Strom Pipeline'!B33&lt;&gt;""))&gt;0,IF('MiT Strom Pipeline'!B33="","",'MiT Strom Pipeline'!B33),"")</f>
        <v/>
      </c>
      <c r="C38" s="27">
        <f>IF(((('MiT Strom Pipeline'!R33="WON"))*('MiT Strom Pipeline'!B33&lt;&gt;""))&gt;0,IF('MiT Strom Pipeline'!C33="","",'MiT Strom Pipeline'!C33),"")</f>
        <v/>
      </c>
      <c r="D38" s="27">
        <f>IF(((('MiT Strom Pipeline'!R33="WON"))*('MiT Strom Pipeline'!B33&lt;&gt;""))&gt;0,IF('MiT Strom Pipeline'!D33="","",'MiT Strom Pipeline'!D33),"")</f>
        <v/>
      </c>
      <c r="E38" s="27">
        <f>IF(((('MiT Strom Pipeline'!R33="WON"))*('MiT Strom Pipeline'!B33&lt;&gt;""))&gt;0,IF('MiT Strom Pipeline'!H33="","",'MiT Strom Pipeline'!H33),"")</f>
        <v/>
      </c>
      <c r="F38" s="27">
        <f>IF(((('MiT Strom Pipeline'!R33="WON"))*('MiT Strom Pipeline'!B33&lt;&gt;""))&gt;0,IF('MiT Strom Pipeline'!E33="","",'MiT Strom Pipeline'!E33),"")</f>
        <v/>
      </c>
      <c r="G38" s="28">
        <f>IF(((('MiT Strom Pipeline'!R33="WON"))*('MiT Strom Pipeline'!B33&lt;&gt;""))&gt;0,IF(ISNUMBER('MiT Strom Pipeline'!I33),'MiT Strom Pipeline'!I33,0),"")</f>
        <v/>
      </c>
      <c r="H38" s="28">
        <f>IF(((('MiT Strom Pipeline'!R33="WON"))*('MiT Strom Pipeline'!B33&lt;&gt;""))&gt;0,IF(ISNUMBER('MiT Strom Pipeline'!Q33),'MiT Strom Pipeline'!Q33,0),"")</f>
        <v/>
      </c>
      <c r="I38" s="28">
        <f>IF(((('MiT Strom Pipeline'!R33="WON"))*('MiT Strom Pipeline'!B33&lt;&gt;""))&gt;0,IF(ISNUMBER('MiT Strom Pipeline'!O33),'MiT Strom Pipeline'!O33,0),"")</f>
        <v/>
      </c>
      <c r="J38" s="27">
        <f>IF(((('MiT Strom Pipeline'!R33="WON"))*('MiT Strom Pipeline'!B33&lt;&gt;""))&gt;0,'MiT Strom Pipeline'!R33,"")</f>
        <v/>
      </c>
      <c r="K38" s="29">
        <f>IF(((('MiT Strom Pipeline'!R33="WON"))*('MiT Strom Pipeline'!B33&lt;&gt;""))&gt;0,IF(ISNUMBER('MiT Strom Pipeline'!S33),'MiT Strom Pipeline'!S33,""),"")</f>
        <v/>
      </c>
      <c r="L38" s="27">
        <f>IF(((('MiT Strom Pipeline'!R33="WON"))*('MiT Strom Pipeline'!B33&lt;&gt;""))&gt;0,IF(LEN('MiT Strom Pipeline'!V33)&gt;0,LEFT('MiT Strom Pipeline'!V33,55),""),"")</f>
        <v/>
      </c>
      <c r="M38" s="22" t="n"/>
      <c r="N38" s="22" t="n"/>
      <c r="O38" s="22" t="n"/>
      <c r="P38" s="22" t="n"/>
      <c r="Q38" s="22" t="n"/>
      <c r="R38" s="22" t="n"/>
      <c r="S38" s="22" t="n"/>
    </row>
    <row r="39" ht="15.75" customHeight="1">
      <c r="A39" s="26">
        <f>IF(((('MiT Strom Pipeline'!R34="WON"))*('MiT Strom Pipeline'!B34&lt;&gt;""))&gt;0,IF(ISNUMBER('MiT Strom Pipeline'!A34),'MiT Strom Pipeline'!A34,""),"")</f>
        <v/>
      </c>
      <c r="B39" s="27">
        <f>IF(((('MiT Strom Pipeline'!R34="WON"))*('MiT Strom Pipeline'!B34&lt;&gt;""))&gt;0,IF('MiT Strom Pipeline'!B34="","",'MiT Strom Pipeline'!B34),"")</f>
        <v/>
      </c>
      <c r="C39" s="27">
        <f>IF(((('MiT Strom Pipeline'!R34="WON"))*('MiT Strom Pipeline'!B34&lt;&gt;""))&gt;0,IF('MiT Strom Pipeline'!C34="","",'MiT Strom Pipeline'!C34),"")</f>
        <v/>
      </c>
      <c r="D39" s="27">
        <f>IF(((('MiT Strom Pipeline'!R34="WON"))*('MiT Strom Pipeline'!B34&lt;&gt;""))&gt;0,IF('MiT Strom Pipeline'!D34="","",'MiT Strom Pipeline'!D34),"")</f>
        <v/>
      </c>
      <c r="E39" s="27">
        <f>IF(((('MiT Strom Pipeline'!R34="WON"))*('MiT Strom Pipeline'!B34&lt;&gt;""))&gt;0,IF('MiT Strom Pipeline'!H34="","",'MiT Strom Pipeline'!H34),"")</f>
        <v/>
      </c>
      <c r="F39" s="27">
        <f>IF(((('MiT Strom Pipeline'!R34="WON"))*('MiT Strom Pipeline'!B34&lt;&gt;""))&gt;0,IF('MiT Strom Pipeline'!E34="","",'MiT Strom Pipeline'!E34),"")</f>
        <v/>
      </c>
      <c r="G39" s="28">
        <f>IF(((('MiT Strom Pipeline'!R34="WON"))*('MiT Strom Pipeline'!B34&lt;&gt;""))&gt;0,IF(ISNUMBER('MiT Strom Pipeline'!I34),'MiT Strom Pipeline'!I34,0),"")</f>
        <v/>
      </c>
      <c r="H39" s="28">
        <f>IF(((('MiT Strom Pipeline'!R34="WON"))*('MiT Strom Pipeline'!B34&lt;&gt;""))&gt;0,IF(ISNUMBER('MiT Strom Pipeline'!Q34),'MiT Strom Pipeline'!Q34,0),"")</f>
        <v/>
      </c>
      <c r="I39" s="28">
        <f>IF(((('MiT Strom Pipeline'!R34="WON"))*('MiT Strom Pipeline'!B34&lt;&gt;""))&gt;0,IF(ISNUMBER('MiT Strom Pipeline'!O34),'MiT Strom Pipeline'!O34,0),"")</f>
        <v/>
      </c>
      <c r="J39" s="27">
        <f>IF(((('MiT Strom Pipeline'!R34="WON"))*('MiT Strom Pipeline'!B34&lt;&gt;""))&gt;0,'MiT Strom Pipeline'!R34,"")</f>
        <v/>
      </c>
      <c r="K39" s="29">
        <f>IF(((('MiT Strom Pipeline'!R34="WON"))*('MiT Strom Pipeline'!B34&lt;&gt;""))&gt;0,IF(ISNUMBER('MiT Strom Pipeline'!S34),'MiT Strom Pipeline'!S34,""),"")</f>
        <v/>
      </c>
      <c r="L39" s="27">
        <f>IF(((('MiT Strom Pipeline'!R34="WON"))*('MiT Strom Pipeline'!B34&lt;&gt;""))&gt;0,IF(LEN('MiT Strom Pipeline'!V34)&gt;0,LEFT('MiT Strom Pipeline'!V34,55),""),"")</f>
        <v/>
      </c>
      <c r="M39" s="22" t="n"/>
      <c r="N39" s="22" t="n"/>
      <c r="O39" s="22" t="n"/>
      <c r="P39" s="22" t="n"/>
      <c r="Q39" s="22" t="n"/>
      <c r="R39" s="22" t="n"/>
      <c r="S39" s="22" t="n"/>
    </row>
    <row r="40" ht="15.75" customHeight="1">
      <c r="A40" s="26">
        <f>IF(((('MiT Strom Pipeline'!R35="WON"))*('MiT Strom Pipeline'!B35&lt;&gt;""))&gt;0,IF(ISNUMBER('MiT Strom Pipeline'!A35),'MiT Strom Pipeline'!A35,""),"")</f>
        <v/>
      </c>
      <c r="B40" s="27">
        <f>IF(((('MiT Strom Pipeline'!R35="WON"))*('MiT Strom Pipeline'!B35&lt;&gt;""))&gt;0,IF('MiT Strom Pipeline'!B35="","",'MiT Strom Pipeline'!B35),"")</f>
        <v/>
      </c>
      <c r="C40" s="27">
        <f>IF(((('MiT Strom Pipeline'!R35="WON"))*('MiT Strom Pipeline'!B35&lt;&gt;""))&gt;0,IF('MiT Strom Pipeline'!C35="","",'MiT Strom Pipeline'!C35),"")</f>
        <v/>
      </c>
      <c r="D40" s="27">
        <f>IF(((('MiT Strom Pipeline'!R35="WON"))*('MiT Strom Pipeline'!B35&lt;&gt;""))&gt;0,IF('MiT Strom Pipeline'!D35="","",'MiT Strom Pipeline'!D35),"")</f>
        <v/>
      </c>
      <c r="E40" s="27">
        <f>IF(((('MiT Strom Pipeline'!R35="WON"))*('MiT Strom Pipeline'!B35&lt;&gt;""))&gt;0,IF('MiT Strom Pipeline'!H35="","",'MiT Strom Pipeline'!H35),"")</f>
        <v/>
      </c>
      <c r="F40" s="27">
        <f>IF(((('MiT Strom Pipeline'!R35="WON"))*('MiT Strom Pipeline'!B35&lt;&gt;""))&gt;0,IF('MiT Strom Pipeline'!E35="","",'MiT Strom Pipeline'!E35),"")</f>
        <v/>
      </c>
      <c r="G40" s="28">
        <f>IF(((('MiT Strom Pipeline'!R35="WON"))*('MiT Strom Pipeline'!B35&lt;&gt;""))&gt;0,IF(ISNUMBER('MiT Strom Pipeline'!I35),'MiT Strom Pipeline'!I35,0),"")</f>
        <v/>
      </c>
      <c r="H40" s="28">
        <f>IF(((('MiT Strom Pipeline'!R35="WON"))*('MiT Strom Pipeline'!B35&lt;&gt;""))&gt;0,IF(ISNUMBER('MiT Strom Pipeline'!Q35),'MiT Strom Pipeline'!Q35,0),"")</f>
        <v/>
      </c>
      <c r="I40" s="28">
        <f>IF(((('MiT Strom Pipeline'!R35="WON"))*('MiT Strom Pipeline'!B35&lt;&gt;""))&gt;0,IF(ISNUMBER('MiT Strom Pipeline'!O35),'MiT Strom Pipeline'!O35,0),"")</f>
        <v/>
      </c>
      <c r="J40" s="27">
        <f>IF(((('MiT Strom Pipeline'!R35="WON"))*('MiT Strom Pipeline'!B35&lt;&gt;""))&gt;0,'MiT Strom Pipeline'!R35,"")</f>
        <v/>
      </c>
      <c r="K40" s="29">
        <f>IF(((('MiT Strom Pipeline'!R35="WON"))*('MiT Strom Pipeline'!B35&lt;&gt;""))&gt;0,IF(ISNUMBER('MiT Strom Pipeline'!S35),'MiT Strom Pipeline'!S35,""),"")</f>
        <v/>
      </c>
      <c r="L40" s="27">
        <f>IF(((('MiT Strom Pipeline'!R35="WON"))*('MiT Strom Pipeline'!B35&lt;&gt;""))&gt;0,IF(LEN('MiT Strom Pipeline'!V35)&gt;0,LEFT('MiT Strom Pipeline'!V35,55),""),"")</f>
        <v/>
      </c>
      <c r="M40" s="22" t="n"/>
      <c r="N40" s="22" t="n"/>
      <c r="O40" s="22" t="n"/>
      <c r="P40" s="22" t="n"/>
      <c r="Q40" s="22" t="n"/>
      <c r="R40" s="22" t="n"/>
      <c r="S40" s="22" t="n"/>
    </row>
    <row r="41" ht="15.75" customHeight="1">
      <c r="A41" s="26">
        <f>IF(((('MiT Strom Pipeline'!R36="WON"))*('MiT Strom Pipeline'!B36&lt;&gt;""))&gt;0,IF(ISNUMBER('MiT Strom Pipeline'!A36),'MiT Strom Pipeline'!A36,""),"")</f>
        <v/>
      </c>
      <c r="B41" s="27">
        <f>IF(((('MiT Strom Pipeline'!R36="WON"))*('MiT Strom Pipeline'!B36&lt;&gt;""))&gt;0,IF('MiT Strom Pipeline'!B36="","",'MiT Strom Pipeline'!B36),"")</f>
        <v/>
      </c>
      <c r="C41" s="27">
        <f>IF(((('MiT Strom Pipeline'!R36="WON"))*('MiT Strom Pipeline'!B36&lt;&gt;""))&gt;0,IF('MiT Strom Pipeline'!C36="","",'MiT Strom Pipeline'!C36),"")</f>
        <v/>
      </c>
      <c r="D41" s="27">
        <f>IF(((('MiT Strom Pipeline'!R36="WON"))*('MiT Strom Pipeline'!B36&lt;&gt;""))&gt;0,IF('MiT Strom Pipeline'!D36="","",'MiT Strom Pipeline'!D36),"")</f>
        <v/>
      </c>
      <c r="E41" s="27">
        <f>IF(((('MiT Strom Pipeline'!R36="WON"))*('MiT Strom Pipeline'!B36&lt;&gt;""))&gt;0,IF('MiT Strom Pipeline'!H36="","",'MiT Strom Pipeline'!H36),"")</f>
        <v/>
      </c>
      <c r="F41" s="27">
        <f>IF(((('MiT Strom Pipeline'!R36="WON"))*('MiT Strom Pipeline'!B36&lt;&gt;""))&gt;0,IF('MiT Strom Pipeline'!E36="","",'MiT Strom Pipeline'!E36),"")</f>
        <v/>
      </c>
      <c r="G41" s="28">
        <f>IF(((('MiT Strom Pipeline'!R36="WON"))*('MiT Strom Pipeline'!B36&lt;&gt;""))&gt;0,IF(ISNUMBER('MiT Strom Pipeline'!I36),'MiT Strom Pipeline'!I36,0),"")</f>
        <v/>
      </c>
      <c r="H41" s="28">
        <f>IF(((('MiT Strom Pipeline'!R36="WON"))*('MiT Strom Pipeline'!B36&lt;&gt;""))&gt;0,IF(ISNUMBER('MiT Strom Pipeline'!Q36),'MiT Strom Pipeline'!Q36,0),"")</f>
        <v/>
      </c>
      <c r="I41" s="28">
        <f>IF(((('MiT Strom Pipeline'!R36="WON"))*('MiT Strom Pipeline'!B36&lt;&gt;""))&gt;0,IF(ISNUMBER('MiT Strom Pipeline'!O36),'MiT Strom Pipeline'!O36,0),"")</f>
        <v/>
      </c>
      <c r="J41" s="27">
        <f>IF(((('MiT Strom Pipeline'!R36="WON"))*('MiT Strom Pipeline'!B36&lt;&gt;""))&gt;0,'MiT Strom Pipeline'!R36,"")</f>
        <v/>
      </c>
      <c r="K41" s="29">
        <f>IF(((('MiT Strom Pipeline'!R36="WON"))*('MiT Strom Pipeline'!B36&lt;&gt;""))&gt;0,IF(ISNUMBER('MiT Strom Pipeline'!S36),'MiT Strom Pipeline'!S36,""),"")</f>
        <v/>
      </c>
      <c r="L41" s="27">
        <f>IF(((('MiT Strom Pipeline'!R36="WON"))*('MiT Strom Pipeline'!B36&lt;&gt;""))&gt;0,IF(LEN('MiT Strom Pipeline'!V36)&gt;0,LEFT('MiT Strom Pipeline'!V36,55),""),"")</f>
        <v/>
      </c>
      <c r="M41" s="22" t="n"/>
      <c r="N41" s="22" t="n"/>
      <c r="O41" s="22" t="n"/>
      <c r="P41" s="22" t="n"/>
      <c r="Q41" s="22" t="n"/>
      <c r="R41" s="22" t="n"/>
      <c r="S41" s="22" t="n"/>
    </row>
    <row r="42" ht="15.75" customHeight="1">
      <c r="A42" s="26">
        <f>IF(((('MiT Strom Pipeline'!R37="WON"))*('MiT Strom Pipeline'!B37&lt;&gt;""))&gt;0,IF(ISNUMBER('MiT Strom Pipeline'!A37),'MiT Strom Pipeline'!A37,""),"")</f>
        <v/>
      </c>
      <c r="B42" s="27">
        <f>IF(((('MiT Strom Pipeline'!R37="WON"))*('MiT Strom Pipeline'!B37&lt;&gt;""))&gt;0,IF('MiT Strom Pipeline'!B37="","",'MiT Strom Pipeline'!B37),"")</f>
        <v/>
      </c>
      <c r="C42" s="27">
        <f>IF(((('MiT Strom Pipeline'!R37="WON"))*('MiT Strom Pipeline'!B37&lt;&gt;""))&gt;0,IF('MiT Strom Pipeline'!C37="","",'MiT Strom Pipeline'!C37),"")</f>
        <v/>
      </c>
      <c r="D42" s="27">
        <f>IF(((('MiT Strom Pipeline'!R37="WON"))*('MiT Strom Pipeline'!B37&lt;&gt;""))&gt;0,IF('MiT Strom Pipeline'!D37="","",'MiT Strom Pipeline'!D37),"")</f>
        <v/>
      </c>
      <c r="E42" s="27">
        <f>IF(((('MiT Strom Pipeline'!R37="WON"))*('MiT Strom Pipeline'!B37&lt;&gt;""))&gt;0,IF('MiT Strom Pipeline'!H37="","",'MiT Strom Pipeline'!H37),"")</f>
        <v/>
      </c>
      <c r="F42" s="27">
        <f>IF(((('MiT Strom Pipeline'!R37="WON"))*('MiT Strom Pipeline'!B37&lt;&gt;""))&gt;0,IF('MiT Strom Pipeline'!E37="","",'MiT Strom Pipeline'!E37),"")</f>
        <v/>
      </c>
      <c r="G42" s="28">
        <f>IF(((('MiT Strom Pipeline'!R37="WON"))*('MiT Strom Pipeline'!B37&lt;&gt;""))&gt;0,IF(ISNUMBER('MiT Strom Pipeline'!I37),'MiT Strom Pipeline'!I37,0),"")</f>
        <v/>
      </c>
      <c r="H42" s="28">
        <f>IF(((('MiT Strom Pipeline'!R37="WON"))*('MiT Strom Pipeline'!B37&lt;&gt;""))&gt;0,IF(ISNUMBER('MiT Strom Pipeline'!Q37),'MiT Strom Pipeline'!Q37,0),"")</f>
        <v/>
      </c>
      <c r="I42" s="28">
        <f>IF(((('MiT Strom Pipeline'!R37="WON"))*('MiT Strom Pipeline'!B37&lt;&gt;""))&gt;0,IF(ISNUMBER('MiT Strom Pipeline'!O37),'MiT Strom Pipeline'!O37,0),"")</f>
        <v/>
      </c>
      <c r="J42" s="27">
        <f>IF(((('MiT Strom Pipeline'!R37="WON"))*('MiT Strom Pipeline'!B37&lt;&gt;""))&gt;0,'MiT Strom Pipeline'!R37,"")</f>
        <v/>
      </c>
      <c r="K42" s="29">
        <f>IF(((('MiT Strom Pipeline'!R37="WON"))*('MiT Strom Pipeline'!B37&lt;&gt;""))&gt;0,IF(ISNUMBER('MiT Strom Pipeline'!S37),'MiT Strom Pipeline'!S37,""),"")</f>
        <v/>
      </c>
      <c r="L42" s="27">
        <f>IF(((('MiT Strom Pipeline'!R37="WON"))*('MiT Strom Pipeline'!B37&lt;&gt;""))&gt;0,IF(LEN('MiT Strom Pipeline'!V37)&gt;0,LEFT('MiT Strom Pipeline'!V37,55),""),"")</f>
        <v/>
      </c>
      <c r="M42" s="22" t="n"/>
      <c r="N42" s="22" t="n"/>
      <c r="O42" s="22" t="n"/>
      <c r="P42" s="22" t="n"/>
      <c r="Q42" s="22" t="n"/>
      <c r="R42" s="22" t="n"/>
      <c r="S42" s="22" t="n"/>
    </row>
    <row r="43" ht="15.75" customHeight="1">
      <c r="A43" s="26">
        <f>IF(((('MiT Strom Pipeline'!R38="WON"))*('MiT Strom Pipeline'!B38&lt;&gt;""))&gt;0,IF(ISNUMBER('MiT Strom Pipeline'!A38),'MiT Strom Pipeline'!A38,""),"")</f>
        <v/>
      </c>
      <c r="B43" s="27">
        <f>IF(((('MiT Strom Pipeline'!R38="WON"))*('MiT Strom Pipeline'!B38&lt;&gt;""))&gt;0,IF('MiT Strom Pipeline'!B38="","",'MiT Strom Pipeline'!B38),"")</f>
        <v/>
      </c>
      <c r="C43" s="27">
        <f>IF(((('MiT Strom Pipeline'!R38="WON"))*('MiT Strom Pipeline'!B38&lt;&gt;""))&gt;0,IF('MiT Strom Pipeline'!C38="","",'MiT Strom Pipeline'!C38),"")</f>
        <v/>
      </c>
      <c r="D43" s="27">
        <f>IF(((('MiT Strom Pipeline'!R38="WON"))*('MiT Strom Pipeline'!B38&lt;&gt;""))&gt;0,IF('MiT Strom Pipeline'!D38="","",'MiT Strom Pipeline'!D38),"")</f>
        <v/>
      </c>
      <c r="E43" s="27">
        <f>IF(((('MiT Strom Pipeline'!R38="WON"))*('MiT Strom Pipeline'!B38&lt;&gt;""))&gt;0,IF('MiT Strom Pipeline'!H38="","",'MiT Strom Pipeline'!H38),"")</f>
        <v/>
      </c>
      <c r="F43" s="27">
        <f>IF(((('MiT Strom Pipeline'!R38="WON"))*('MiT Strom Pipeline'!B38&lt;&gt;""))&gt;0,IF('MiT Strom Pipeline'!E38="","",'MiT Strom Pipeline'!E38),"")</f>
        <v/>
      </c>
      <c r="G43" s="28">
        <f>IF(((('MiT Strom Pipeline'!R38="WON"))*('MiT Strom Pipeline'!B38&lt;&gt;""))&gt;0,IF(ISNUMBER('MiT Strom Pipeline'!I38),'MiT Strom Pipeline'!I38,0),"")</f>
        <v/>
      </c>
      <c r="H43" s="28">
        <f>IF(((('MiT Strom Pipeline'!R38="WON"))*('MiT Strom Pipeline'!B38&lt;&gt;""))&gt;0,IF(ISNUMBER('MiT Strom Pipeline'!Q38),'MiT Strom Pipeline'!Q38,0),"")</f>
        <v/>
      </c>
      <c r="I43" s="28">
        <f>IF(((('MiT Strom Pipeline'!R38="WON"))*('MiT Strom Pipeline'!B38&lt;&gt;""))&gt;0,IF(ISNUMBER('MiT Strom Pipeline'!O38),'MiT Strom Pipeline'!O38,0),"")</f>
        <v/>
      </c>
      <c r="J43" s="27">
        <f>IF(((('MiT Strom Pipeline'!R38="WON"))*('MiT Strom Pipeline'!B38&lt;&gt;""))&gt;0,'MiT Strom Pipeline'!R38,"")</f>
        <v/>
      </c>
      <c r="K43" s="29">
        <f>IF(((('MiT Strom Pipeline'!R38="WON"))*('MiT Strom Pipeline'!B38&lt;&gt;""))&gt;0,IF(ISNUMBER('MiT Strom Pipeline'!S38),'MiT Strom Pipeline'!S38,""),"")</f>
        <v/>
      </c>
      <c r="L43" s="27">
        <f>IF(((('MiT Strom Pipeline'!R38="WON"))*('MiT Strom Pipeline'!B38&lt;&gt;""))&gt;0,IF(LEN('MiT Strom Pipeline'!V38)&gt;0,LEFT('MiT Strom Pipeline'!V38,55),""),"")</f>
        <v/>
      </c>
      <c r="M43" s="22" t="n"/>
      <c r="N43" s="22" t="n"/>
      <c r="O43" s="22" t="n"/>
      <c r="P43" s="22" t="n"/>
      <c r="Q43" s="22" t="n"/>
      <c r="R43" s="22" t="n"/>
      <c r="S43" s="22" t="n"/>
    </row>
    <row r="44" ht="15.75" customHeight="1">
      <c r="A44" s="26">
        <f>IF(((('MiT Strom Pipeline'!R39="WON"))*('MiT Strom Pipeline'!B39&lt;&gt;""))&gt;0,IF(ISNUMBER('MiT Strom Pipeline'!A39),'MiT Strom Pipeline'!A39,""),"")</f>
        <v/>
      </c>
      <c r="B44" s="27">
        <f>IF(((('MiT Strom Pipeline'!R39="WON"))*('MiT Strom Pipeline'!B39&lt;&gt;""))&gt;0,IF('MiT Strom Pipeline'!B39="","",'MiT Strom Pipeline'!B39),"")</f>
        <v/>
      </c>
      <c r="C44" s="27">
        <f>IF(((('MiT Strom Pipeline'!R39="WON"))*('MiT Strom Pipeline'!B39&lt;&gt;""))&gt;0,IF('MiT Strom Pipeline'!C39="","",'MiT Strom Pipeline'!C39),"")</f>
        <v/>
      </c>
      <c r="D44" s="27">
        <f>IF(((('MiT Strom Pipeline'!R39="WON"))*('MiT Strom Pipeline'!B39&lt;&gt;""))&gt;0,IF('MiT Strom Pipeline'!D39="","",'MiT Strom Pipeline'!D39),"")</f>
        <v/>
      </c>
      <c r="E44" s="27">
        <f>IF(((('MiT Strom Pipeline'!R39="WON"))*('MiT Strom Pipeline'!B39&lt;&gt;""))&gt;0,IF('MiT Strom Pipeline'!H39="","",'MiT Strom Pipeline'!H39),"")</f>
        <v/>
      </c>
      <c r="F44" s="27">
        <f>IF(((('MiT Strom Pipeline'!R39="WON"))*('MiT Strom Pipeline'!B39&lt;&gt;""))&gt;0,IF('MiT Strom Pipeline'!E39="","",'MiT Strom Pipeline'!E39),"")</f>
        <v/>
      </c>
      <c r="G44" s="28">
        <f>IF(((('MiT Strom Pipeline'!R39="WON"))*('MiT Strom Pipeline'!B39&lt;&gt;""))&gt;0,IF(ISNUMBER('MiT Strom Pipeline'!I39),'MiT Strom Pipeline'!I39,0),"")</f>
        <v/>
      </c>
      <c r="H44" s="28">
        <f>IF(((('MiT Strom Pipeline'!R39="WON"))*('MiT Strom Pipeline'!B39&lt;&gt;""))&gt;0,IF(ISNUMBER('MiT Strom Pipeline'!Q39),'MiT Strom Pipeline'!Q39,0),"")</f>
        <v/>
      </c>
      <c r="I44" s="28">
        <f>IF(((('MiT Strom Pipeline'!R39="WON"))*('MiT Strom Pipeline'!B39&lt;&gt;""))&gt;0,IF(ISNUMBER('MiT Strom Pipeline'!O39),'MiT Strom Pipeline'!O39,0),"")</f>
        <v/>
      </c>
      <c r="J44" s="27">
        <f>IF(((('MiT Strom Pipeline'!R39="WON"))*('MiT Strom Pipeline'!B39&lt;&gt;""))&gt;0,'MiT Strom Pipeline'!R39,"")</f>
        <v/>
      </c>
      <c r="K44" s="29">
        <f>IF(((('MiT Strom Pipeline'!R39="WON"))*('MiT Strom Pipeline'!B39&lt;&gt;""))&gt;0,IF(ISNUMBER('MiT Strom Pipeline'!S39),'MiT Strom Pipeline'!S39,""),"")</f>
        <v/>
      </c>
      <c r="L44" s="27">
        <f>IF(((('MiT Strom Pipeline'!R39="WON"))*('MiT Strom Pipeline'!B39&lt;&gt;""))&gt;0,IF(LEN('MiT Strom Pipeline'!V39)&gt;0,LEFT('MiT Strom Pipeline'!V39,55),""),"")</f>
        <v/>
      </c>
      <c r="M44" s="22" t="n"/>
      <c r="N44" s="22" t="n"/>
      <c r="O44" s="22" t="n"/>
      <c r="P44" s="22" t="n"/>
      <c r="Q44" s="22" t="n"/>
      <c r="R44" s="22" t="n"/>
      <c r="S44" s="22" t="n"/>
    </row>
    <row r="45" ht="15.75" customHeight="1">
      <c r="A45" s="26">
        <f>IF(((('MiT Strom Pipeline'!R40="WON"))*('MiT Strom Pipeline'!B40&lt;&gt;""))&gt;0,IF(ISNUMBER('MiT Strom Pipeline'!A40),'MiT Strom Pipeline'!A40,""),"")</f>
        <v/>
      </c>
      <c r="B45" s="27">
        <f>IF(((('MiT Strom Pipeline'!R40="WON"))*('MiT Strom Pipeline'!B40&lt;&gt;""))&gt;0,IF('MiT Strom Pipeline'!B40="","",'MiT Strom Pipeline'!B40),"")</f>
        <v/>
      </c>
      <c r="C45" s="27">
        <f>IF(((('MiT Strom Pipeline'!R40="WON"))*('MiT Strom Pipeline'!B40&lt;&gt;""))&gt;0,IF('MiT Strom Pipeline'!C40="","",'MiT Strom Pipeline'!C40),"")</f>
        <v/>
      </c>
      <c r="D45" s="27">
        <f>IF(((('MiT Strom Pipeline'!R40="WON"))*('MiT Strom Pipeline'!B40&lt;&gt;""))&gt;0,IF('MiT Strom Pipeline'!D40="","",'MiT Strom Pipeline'!D40),"")</f>
        <v/>
      </c>
      <c r="E45" s="27">
        <f>IF(((('MiT Strom Pipeline'!R40="WON"))*('MiT Strom Pipeline'!B40&lt;&gt;""))&gt;0,IF('MiT Strom Pipeline'!H40="","",'MiT Strom Pipeline'!H40),"")</f>
        <v/>
      </c>
      <c r="F45" s="27">
        <f>IF(((('MiT Strom Pipeline'!R40="WON"))*('MiT Strom Pipeline'!B40&lt;&gt;""))&gt;0,IF('MiT Strom Pipeline'!E40="","",'MiT Strom Pipeline'!E40),"")</f>
        <v/>
      </c>
      <c r="G45" s="28">
        <f>IF(((('MiT Strom Pipeline'!R40="WON"))*('MiT Strom Pipeline'!B40&lt;&gt;""))&gt;0,IF(ISNUMBER('MiT Strom Pipeline'!I40),'MiT Strom Pipeline'!I40,0),"")</f>
        <v/>
      </c>
      <c r="H45" s="28">
        <f>IF(((('MiT Strom Pipeline'!R40="WON"))*('MiT Strom Pipeline'!B40&lt;&gt;""))&gt;0,IF(ISNUMBER('MiT Strom Pipeline'!Q40),'MiT Strom Pipeline'!Q40,0),"")</f>
        <v/>
      </c>
      <c r="I45" s="28">
        <f>IF(((('MiT Strom Pipeline'!R40="WON"))*('MiT Strom Pipeline'!B40&lt;&gt;""))&gt;0,IF(ISNUMBER('MiT Strom Pipeline'!O40),'MiT Strom Pipeline'!O40,0),"")</f>
        <v/>
      </c>
      <c r="J45" s="27">
        <f>IF(((('MiT Strom Pipeline'!R40="WON"))*('MiT Strom Pipeline'!B40&lt;&gt;""))&gt;0,'MiT Strom Pipeline'!R40,"")</f>
        <v/>
      </c>
      <c r="K45" s="29">
        <f>IF(((('MiT Strom Pipeline'!R40="WON"))*('MiT Strom Pipeline'!B40&lt;&gt;""))&gt;0,IF(ISNUMBER('MiT Strom Pipeline'!S40),'MiT Strom Pipeline'!S40,""),"")</f>
        <v/>
      </c>
      <c r="L45" s="27">
        <f>IF(((('MiT Strom Pipeline'!R40="WON"))*('MiT Strom Pipeline'!B40&lt;&gt;""))&gt;0,IF(LEN('MiT Strom Pipeline'!V40)&gt;0,LEFT('MiT Strom Pipeline'!V40,55),""),"")</f>
        <v/>
      </c>
      <c r="M45" s="22" t="n"/>
      <c r="N45" s="22" t="n"/>
      <c r="O45" s="22" t="n"/>
      <c r="P45" s="22" t="n"/>
      <c r="Q45" s="22" t="n"/>
      <c r="R45" s="22" t="n"/>
      <c r="S45" s="22" t="n"/>
    </row>
    <row r="46" ht="15.75" customHeight="1">
      <c r="A46" s="26">
        <f>IF(((('MiT Strom Pipeline'!R41="WON"))*('MiT Strom Pipeline'!B41&lt;&gt;""))&gt;0,IF(ISNUMBER('MiT Strom Pipeline'!A41),'MiT Strom Pipeline'!A41,""),"")</f>
        <v/>
      </c>
      <c r="B46" s="27">
        <f>IF(((('MiT Strom Pipeline'!R41="WON"))*('MiT Strom Pipeline'!B41&lt;&gt;""))&gt;0,IF('MiT Strom Pipeline'!B41="","",'MiT Strom Pipeline'!B41),"")</f>
        <v/>
      </c>
      <c r="C46" s="27">
        <f>IF(((('MiT Strom Pipeline'!R41="WON"))*('MiT Strom Pipeline'!B41&lt;&gt;""))&gt;0,IF('MiT Strom Pipeline'!C41="","",'MiT Strom Pipeline'!C41),"")</f>
        <v/>
      </c>
      <c r="D46" s="27">
        <f>IF(((('MiT Strom Pipeline'!R41="WON"))*('MiT Strom Pipeline'!B41&lt;&gt;""))&gt;0,IF('MiT Strom Pipeline'!D41="","",'MiT Strom Pipeline'!D41),"")</f>
        <v/>
      </c>
      <c r="E46" s="27">
        <f>IF(((('MiT Strom Pipeline'!R41="WON"))*('MiT Strom Pipeline'!B41&lt;&gt;""))&gt;0,IF('MiT Strom Pipeline'!H41="","",'MiT Strom Pipeline'!H41),"")</f>
        <v/>
      </c>
      <c r="F46" s="27">
        <f>IF(((('MiT Strom Pipeline'!R41="WON"))*('MiT Strom Pipeline'!B41&lt;&gt;""))&gt;0,IF('MiT Strom Pipeline'!E41="","",'MiT Strom Pipeline'!E41),"")</f>
        <v/>
      </c>
      <c r="G46" s="28">
        <f>IF(((('MiT Strom Pipeline'!R41="WON"))*('MiT Strom Pipeline'!B41&lt;&gt;""))&gt;0,IF(ISNUMBER('MiT Strom Pipeline'!I41),'MiT Strom Pipeline'!I41,0),"")</f>
        <v/>
      </c>
      <c r="H46" s="28">
        <f>IF(((('MiT Strom Pipeline'!R41="WON"))*('MiT Strom Pipeline'!B41&lt;&gt;""))&gt;0,IF(ISNUMBER('MiT Strom Pipeline'!Q41),'MiT Strom Pipeline'!Q41,0),"")</f>
        <v/>
      </c>
      <c r="I46" s="28">
        <f>IF(((('MiT Strom Pipeline'!R41="WON"))*('MiT Strom Pipeline'!B41&lt;&gt;""))&gt;0,IF(ISNUMBER('MiT Strom Pipeline'!O41),'MiT Strom Pipeline'!O41,0),"")</f>
        <v/>
      </c>
      <c r="J46" s="27">
        <f>IF(((('MiT Strom Pipeline'!R41="WON"))*('MiT Strom Pipeline'!B41&lt;&gt;""))&gt;0,'MiT Strom Pipeline'!R41,"")</f>
        <v/>
      </c>
      <c r="K46" s="29">
        <f>IF(((('MiT Strom Pipeline'!R41="WON"))*('MiT Strom Pipeline'!B41&lt;&gt;""))&gt;0,IF(ISNUMBER('MiT Strom Pipeline'!S41),'MiT Strom Pipeline'!S41,""),"")</f>
        <v/>
      </c>
      <c r="L46" s="27">
        <f>IF(((('MiT Strom Pipeline'!R41="WON"))*('MiT Strom Pipeline'!B41&lt;&gt;""))&gt;0,IF(LEN('MiT Strom Pipeline'!V41)&gt;0,LEFT('MiT Strom Pipeline'!V41,55),""),"")</f>
        <v/>
      </c>
      <c r="M46" s="22" t="n"/>
      <c r="N46" s="22" t="n"/>
      <c r="O46" s="22" t="n"/>
      <c r="P46" s="22" t="n"/>
      <c r="Q46" s="22" t="n"/>
      <c r="R46" s="22" t="n"/>
      <c r="S46" s="22" t="n"/>
    </row>
    <row r="47" ht="15.75" customHeight="1">
      <c r="A47" s="26">
        <f>IF(((('MiT Strom Pipeline'!R42="WON"))*('MiT Strom Pipeline'!B42&lt;&gt;""))&gt;0,IF(ISNUMBER('MiT Strom Pipeline'!A42),'MiT Strom Pipeline'!A42,""),"")</f>
        <v/>
      </c>
      <c r="B47" s="27">
        <f>IF(((('MiT Strom Pipeline'!R42="WON"))*('MiT Strom Pipeline'!B42&lt;&gt;""))&gt;0,IF('MiT Strom Pipeline'!B42="","",'MiT Strom Pipeline'!B42),"")</f>
        <v/>
      </c>
      <c r="C47" s="27">
        <f>IF(((('MiT Strom Pipeline'!R42="WON"))*('MiT Strom Pipeline'!B42&lt;&gt;""))&gt;0,IF('MiT Strom Pipeline'!C42="","",'MiT Strom Pipeline'!C42),"")</f>
        <v/>
      </c>
      <c r="D47" s="27">
        <f>IF(((('MiT Strom Pipeline'!R42="WON"))*('MiT Strom Pipeline'!B42&lt;&gt;""))&gt;0,IF('MiT Strom Pipeline'!D42="","",'MiT Strom Pipeline'!D42),"")</f>
        <v/>
      </c>
      <c r="E47" s="27">
        <f>IF(((('MiT Strom Pipeline'!R42="WON"))*('MiT Strom Pipeline'!B42&lt;&gt;""))&gt;0,IF('MiT Strom Pipeline'!H42="","",'MiT Strom Pipeline'!H42),"")</f>
        <v/>
      </c>
      <c r="F47" s="27">
        <f>IF(((('MiT Strom Pipeline'!R42="WON"))*('MiT Strom Pipeline'!B42&lt;&gt;""))&gt;0,IF('MiT Strom Pipeline'!E42="","",'MiT Strom Pipeline'!E42),"")</f>
        <v/>
      </c>
      <c r="G47" s="28">
        <f>IF(((('MiT Strom Pipeline'!R42="WON"))*('MiT Strom Pipeline'!B42&lt;&gt;""))&gt;0,IF(ISNUMBER('MiT Strom Pipeline'!I42),'MiT Strom Pipeline'!I42,0),"")</f>
        <v/>
      </c>
      <c r="H47" s="28">
        <f>IF(((('MiT Strom Pipeline'!R42="WON"))*('MiT Strom Pipeline'!B42&lt;&gt;""))&gt;0,IF(ISNUMBER('MiT Strom Pipeline'!Q42),'MiT Strom Pipeline'!Q42,0),"")</f>
        <v/>
      </c>
      <c r="I47" s="28">
        <f>IF(((('MiT Strom Pipeline'!R42="WON"))*('MiT Strom Pipeline'!B42&lt;&gt;""))&gt;0,IF(ISNUMBER('MiT Strom Pipeline'!O42),'MiT Strom Pipeline'!O42,0),"")</f>
        <v/>
      </c>
      <c r="J47" s="27">
        <f>IF(((('MiT Strom Pipeline'!R42="WON"))*('MiT Strom Pipeline'!B42&lt;&gt;""))&gt;0,'MiT Strom Pipeline'!R42,"")</f>
        <v/>
      </c>
      <c r="K47" s="29">
        <f>IF(((('MiT Strom Pipeline'!R42="WON"))*('MiT Strom Pipeline'!B42&lt;&gt;""))&gt;0,IF(ISNUMBER('MiT Strom Pipeline'!S42),'MiT Strom Pipeline'!S42,""),"")</f>
        <v/>
      </c>
      <c r="L47" s="27">
        <f>IF(((('MiT Strom Pipeline'!R42="WON"))*('MiT Strom Pipeline'!B42&lt;&gt;""))&gt;0,IF(LEN('MiT Strom Pipeline'!V42)&gt;0,LEFT('MiT Strom Pipeline'!V42,55),""),"")</f>
        <v/>
      </c>
      <c r="M47" s="22" t="n"/>
      <c r="N47" s="22" t="n"/>
      <c r="O47" s="22" t="n"/>
      <c r="P47" s="22" t="n"/>
      <c r="Q47" s="22" t="n"/>
      <c r="R47" s="22" t="n"/>
      <c r="S47" s="22" t="n"/>
    </row>
    <row r="48" ht="15.75" customHeight="1">
      <c r="A48" s="26">
        <f>IF(((('MiT Strom Pipeline'!R43="WON"))*('MiT Strom Pipeline'!B43&lt;&gt;""))&gt;0,IF(ISNUMBER('MiT Strom Pipeline'!A43),'MiT Strom Pipeline'!A43,""),"")</f>
        <v/>
      </c>
      <c r="B48" s="27">
        <f>IF(((('MiT Strom Pipeline'!R43="WON"))*('MiT Strom Pipeline'!B43&lt;&gt;""))&gt;0,IF('MiT Strom Pipeline'!B43="","",'MiT Strom Pipeline'!B43),"")</f>
        <v/>
      </c>
      <c r="C48" s="27">
        <f>IF(((('MiT Strom Pipeline'!R43="WON"))*('MiT Strom Pipeline'!B43&lt;&gt;""))&gt;0,IF('MiT Strom Pipeline'!C43="","",'MiT Strom Pipeline'!C43),"")</f>
        <v/>
      </c>
      <c r="D48" s="27">
        <f>IF(((('MiT Strom Pipeline'!R43="WON"))*('MiT Strom Pipeline'!B43&lt;&gt;""))&gt;0,IF('MiT Strom Pipeline'!D43="","",'MiT Strom Pipeline'!D43),"")</f>
        <v/>
      </c>
      <c r="E48" s="27">
        <f>IF(((('MiT Strom Pipeline'!R43="WON"))*('MiT Strom Pipeline'!B43&lt;&gt;""))&gt;0,IF('MiT Strom Pipeline'!H43="","",'MiT Strom Pipeline'!H43),"")</f>
        <v/>
      </c>
      <c r="F48" s="27">
        <f>IF(((('MiT Strom Pipeline'!R43="WON"))*('MiT Strom Pipeline'!B43&lt;&gt;""))&gt;0,IF('MiT Strom Pipeline'!E43="","",'MiT Strom Pipeline'!E43),"")</f>
        <v/>
      </c>
      <c r="G48" s="28">
        <f>IF(((('MiT Strom Pipeline'!R43="WON"))*('MiT Strom Pipeline'!B43&lt;&gt;""))&gt;0,IF(ISNUMBER('MiT Strom Pipeline'!I43),'MiT Strom Pipeline'!I43,0),"")</f>
        <v/>
      </c>
      <c r="H48" s="28">
        <f>IF(((('MiT Strom Pipeline'!R43="WON"))*('MiT Strom Pipeline'!B43&lt;&gt;""))&gt;0,IF(ISNUMBER('MiT Strom Pipeline'!Q43),'MiT Strom Pipeline'!Q43,0),"")</f>
        <v/>
      </c>
      <c r="I48" s="28">
        <f>IF(((('MiT Strom Pipeline'!R43="WON"))*('MiT Strom Pipeline'!B43&lt;&gt;""))&gt;0,IF(ISNUMBER('MiT Strom Pipeline'!O43),'MiT Strom Pipeline'!O43,0),"")</f>
        <v/>
      </c>
      <c r="J48" s="27">
        <f>IF(((('MiT Strom Pipeline'!R43="WON"))*('MiT Strom Pipeline'!B43&lt;&gt;""))&gt;0,'MiT Strom Pipeline'!R43,"")</f>
        <v/>
      </c>
      <c r="K48" s="29">
        <f>IF(((('MiT Strom Pipeline'!R43="WON"))*('MiT Strom Pipeline'!B43&lt;&gt;""))&gt;0,IF(ISNUMBER('MiT Strom Pipeline'!S43),'MiT Strom Pipeline'!S43,""),"")</f>
        <v/>
      </c>
      <c r="L48" s="27">
        <f>IF(((('MiT Strom Pipeline'!R43="WON"))*('MiT Strom Pipeline'!B43&lt;&gt;""))&gt;0,IF(LEN('MiT Strom Pipeline'!V43)&gt;0,LEFT('MiT Strom Pipeline'!V43,55),""),"")</f>
        <v/>
      </c>
      <c r="M48" s="22" t="n"/>
      <c r="N48" s="22" t="n"/>
      <c r="O48" s="22" t="n"/>
      <c r="P48" s="22" t="n"/>
      <c r="Q48" s="22" t="n"/>
      <c r="R48" s="22" t="n"/>
      <c r="S48" s="22" t="n"/>
    </row>
    <row r="49" ht="15.75" customHeight="1">
      <c r="A49" s="26">
        <f>IF(((('MiT Strom Pipeline'!R44="WON"))*('MiT Strom Pipeline'!B44&lt;&gt;""))&gt;0,IF(ISNUMBER('MiT Strom Pipeline'!A44),'MiT Strom Pipeline'!A44,""),"")</f>
        <v/>
      </c>
      <c r="B49" s="27">
        <f>IF(((('MiT Strom Pipeline'!R44="WON"))*('MiT Strom Pipeline'!B44&lt;&gt;""))&gt;0,IF('MiT Strom Pipeline'!B44="","",'MiT Strom Pipeline'!B44),"")</f>
        <v/>
      </c>
      <c r="C49" s="27">
        <f>IF(((('MiT Strom Pipeline'!R44="WON"))*('MiT Strom Pipeline'!B44&lt;&gt;""))&gt;0,IF('MiT Strom Pipeline'!C44="","",'MiT Strom Pipeline'!C44),"")</f>
        <v/>
      </c>
      <c r="D49" s="27">
        <f>IF(((('MiT Strom Pipeline'!R44="WON"))*('MiT Strom Pipeline'!B44&lt;&gt;""))&gt;0,IF('MiT Strom Pipeline'!D44="","",'MiT Strom Pipeline'!D44),"")</f>
        <v/>
      </c>
      <c r="E49" s="27">
        <f>IF(((('MiT Strom Pipeline'!R44="WON"))*('MiT Strom Pipeline'!B44&lt;&gt;""))&gt;0,IF('MiT Strom Pipeline'!H44="","",'MiT Strom Pipeline'!H44),"")</f>
        <v/>
      </c>
      <c r="F49" s="27">
        <f>IF(((('MiT Strom Pipeline'!R44="WON"))*('MiT Strom Pipeline'!B44&lt;&gt;""))&gt;0,IF('MiT Strom Pipeline'!E44="","",'MiT Strom Pipeline'!E44),"")</f>
        <v/>
      </c>
      <c r="G49" s="28">
        <f>IF(((('MiT Strom Pipeline'!R44="WON"))*('MiT Strom Pipeline'!B44&lt;&gt;""))&gt;0,IF(ISNUMBER('MiT Strom Pipeline'!I44),'MiT Strom Pipeline'!I44,0),"")</f>
        <v/>
      </c>
      <c r="H49" s="28">
        <f>IF(((('MiT Strom Pipeline'!R44="WON"))*('MiT Strom Pipeline'!B44&lt;&gt;""))&gt;0,IF(ISNUMBER('MiT Strom Pipeline'!Q44),'MiT Strom Pipeline'!Q44,0),"")</f>
        <v/>
      </c>
      <c r="I49" s="28">
        <f>IF(((('MiT Strom Pipeline'!R44="WON"))*('MiT Strom Pipeline'!B44&lt;&gt;""))&gt;0,IF(ISNUMBER('MiT Strom Pipeline'!O44),'MiT Strom Pipeline'!O44,0),"")</f>
        <v/>
      </c>
      <c r="J49" s="27">
        <f>IF(((('MiT Strom Pipeline'!R44="WON"))*('MiT Strom Pipeline'!B44&lt;&gt;""))&gt;0,'MiT Strom Pipeline'!R44,"")</f>
        <v/>
      </c>
      <c r="K49" s="29">
        <f>IF(((('MiT Strom Pipeline'!R44="WON"))*('MiT Strom Pipeline'!B44&lt;&gt;""))&gt;0,IF(ISNUMBER('MiT Strom Pipeline'!S44),'MiT Strom Pipeline'!S44,""),"")</f>
        <v/>
      </c>
      <c r="L49" s="27">
        <f>IF(((('MiT Strom Pipeline'!R44="WON"))*('MiT Strom Pipeline'!B44&lt;&gt;""))&gt;0,IF(LEN('MiT Strom Pipeline'!V44)&gt;0,LEFT('MiT Strom Pipeline'!V44,55),""),"")</f>
        <v/>
      </c>
      <c r="M49" s="22" t="n"/>
      <c r="N49" s="22" t="n"/>
      <c r="O49" s="22" t="n"/>
      <c r="P49" s="22" t="n"/>
      <c r="Q49" s="22" t="n"/>
      <c r="R49" s="22" t="n"/>
      <c r="S49" s="22" t="n"/>
    </row>
    <row r="50" ht="15.75" customHeight="1">
      <c r="A50" s="26">
        <f>IF(((('MiT Strom Pipeline'!R45="WON"))*('MiT Strom Pipeline'!B45&lt;&gt;""))&gt;0,IF(ISNUMBER('MiT Strom Pipeline'!A45),'MiT Strom Pipeline'!A45,""),"")</f>
        <v/>
      </c>
      <c r="B50" s="27">
        <f>IF(((('MiT Strom Pipeline'!R45="WON"))*('MiT Strom Pipeline'!B45&lt;&gt;""))&gt;0,IF('MiT Strom Pipeline'!B45="","",'MiT Strom Pipeline'!B45),"")</f>
        <v/>
      </c>
      <c r="C50" s="27">
        <f>IF(((('MiT Strom Pipeline'!R45="WON"))*('MiT Strom Pipeline'!B45&lt;&gt;""))&gt;0,IF('MiT Strom Pipeline'!C45="","",'MiT Strom Pipeline'!C45),"")</f>
        <v/>
      </c>
      <c r="D50" s="27">
        <f>IF(((('MiT Strom Pipeline'!R45="WON"))*('MiT Strom Pipeline'!B45&lt;&gt;""))&gt;0,IF('MiT Strom Pipeline'!D45="","",'MiT Strom Pipeline'!D45),"")</f>
        <v/>
      </c>
      <c r="E50" s="27">
        <f>IF(((('MiT Strom Pipeline'!R45="WON"))*('MiT Strom Pipeline'!B45&lt;&gt;""))&gt;0,IF('MiT Strom Pipeline'!H45="","",'MiT Strom Pipeline'!H45),"")</f>
        <v/>
      </c>
      <c r="F50" s="27">
        <f>IF(((('MiT Strom Pipeline'!R45="WON"))*('MiT Strom Pipeline'!B45&lt;&gt;""))&gt;0,IF('MiT Strom Pipeline'!E45="","",'MiT Strom Pipeline'!E45),"")</f>
        <v/>
      </c>
      <c r="G50" s="28">
        <f>IF(((('MiT Strom Pipeline'!R45="WON"))*('MiT Strom Pipeline'!B45&lt;&gt;""))&gt;0,IF(ISNUMBER('MiT Strom Pipeline'!I45),'MiT Strom Pipeline'!I45,0),"")</f>
        <v/>
      </c>
      <c r="H50" s="28">
        <f>IF(((('MiT Strom Pipeline'!R45="WON"))*('MiT Strom Pipeline'!B45&lt;&gt;""))&gt;0,IF(ISNUMBER('MiT Strom Pipeline'!Q45),'MiT Strom Pipeline'!Q45,0),"")</f>
        <v/>
      </c>
      <c r="I50" s="28">
        <f>IF(((('MiT Strom Pipeline'!R45="WON"))*('MiT Strom Pipeline'!B45&lt;&gt;""))&gt;0,IF(ISNUMBER('MiT Strom Pipeline'!O45),'MiT Strom Pipeline'!O45,0),"")</f>
        <v/>
      </c>
      <c r="J50" s="27">
        <f>IF(((('MiT Strom Pipeline'!R45="WON"))*('MiT Strom Pipeline'!B45&lt;&gt;""))&gt;0,'MiT Strom Pipeline'!R45,"")</f>
        <v/>
      </c>
      <c r="K50" s="29">
        <f>IF(((('MiT Strom Pipeline'!R45="WON"))*('MiT Strom Pipeline'!B45&lt;&gt;""))&gt;0,IF(ISNUMBER('MiT Strom Pipeline'!S45),'MiT Strom Pipeline'!S45,""),"")</f>
        <v/>
      </c>
      <c r="L50" s="27">
        <f>IF(((('MiT Strom Pipeline'!R45="WON"))*('MiT Strom Pipeline'!B45&lt;&gt;""))&gt;0,IF(LEN('MiT Strom Pipeline'!V45)&gt;0,LEFT('MiT Strom Pipeline'!V45,55),""),"")</f>
        <v/>
      </c>
      <c r="M50" s="22" t="n"/>
      <c r="N50" s="22" t="n"/>
      <c r="O50" s="22" t="n"/>
      <c r="P50" s="22" t="n"/>
      <c r="Q50" s="22" t="n"/>
      <c r="R50" s="22" t="n"/>
      <c r="S50" s="22" t="n"/>
    </row>
    <row r="51" ht="15.75" customHeight="1">
      <c r="A51" s="26">
        <f>IF(((('MiT Strom Pipeline'!R46="WON"))*('MiT Strom Pipeline'!B46&lt;&gt;""))&gt;0,IF(ISNUMBER('MiT Strom Pipeline'!A46),'MiT Strom Pipeline'!A46,""),"")</f>
        <v/>
      </c>
      <c r="B51" s="27">
        <f>IF(((('MiT Strom Pipeline'!R46="WON"))*('MiT Strom Pipeline'!B46&lt;&gt;""))&gt;0,IF('MiT Strom Pipeline'!B46="","",'MiT Strom Pipeline'!B46),"")</f>
        <v/>
      </c>
      <c r="C51" s="27">
        <f>IF(((('MiT Strom Pipeline'!R46="WON"))*('MiT Strom Pipeline'!B46&lt;&gt;""))&gt;0,IF('MiT Strom Pipeline'!C46="","",'MiT Strom Pipeline'!C46),"")</f>
        <v/>
      </c>
      <c r="D51" s="27">
        <f>IF(((('MiT Strom Pipeline'!R46="WON"))*('MiT Strom Pipeline'!B46&lt;&gt;""))&gt;0,IF('MiT Strom Pipeline'!D46="","",'MiT Strom Pipeline'!D46),"")</f>
        <v/>
      </c>
      <c r="E51" s="27">
        <f>IF(((('MiT Strom Pipeline'!R46="WON"))*('MiT Strom Pipeline'!B46&lt;&gt;""))&gt;0,IF('MiT Strom Pipeline'!H46="","",'MiT Strom Pipeline'!H46),"")</f>
        <v/>
      </c>
      <c r="F51" s="27">
        <f>IF(((('MiT Strom Pipeline'!R46="WON"))*('MiT Strom Pipeline'!B46&lt;&gt;""))&gt;0,IF('MiT Strom Pipeline'!E46="","",'MiT Strom Pipeline'!E46),"")</f>
        <v/>
      </c>
      <c r="G51" s="28">
        <f>IF(((('MiT Strom Pipeline'!R46="WON"))*('MiT Strom Pipeline'!B46&lt;&gt;""))&gt;0,IF(ISNUMBER('MiT Strom Pipeline'!I46),'MiT Strom Pipeline'!I46,0),"")</f>
        <v/>
      </c>
      <c r="H51" s="28">
        <f>IF(((('MiT Strom Pipeline'!R46="WON"))*('MiT Strom Pipeline'!B46&lt;&gt;""))&gt;0,IF(ISNUMBER('MiT Strom Pipeline'!Q46),'MiT Strom Pipeline'!Q46,0),"")</f>
        <v/>
      </c>
      <c r="I51" s="28">
        <f>IF(((('MiT Strom Pipeline'!R46="WON"))*('MiT Strom Pipeline'!B46&lt;&gt;""))&gt;0,IF(ISNUMBER('MiT Strom Pipeline'!O46),'MiT Strom Pipeline'!O46,0),"")</f>
        <v/>
      </c>
      <c r="J51" s="27">
        <f>IF(((('MiT Strom Pipeline'!R46="WON"))*('MiT Strom Pipeline'!B46&lt;&gt;""))&gt;0,'MiT Strom Pipeline'!R46,"")</f>
        <v/>
      </c>
      <c r="K51" s="29">
        <f>IF(((('MiT Strom Pipeline'!R46="WON"))*('MiT Strom Pipeline'!B46&lt;&gt;""))&gt;0,IF(ISNUMBER('MiT Strom Pipeline'!S46),'MiT Strom Pipeline'!S46,""),"")</f>
        <v/>
      </c>
      <c r="L51" s="27">
        <f>IF(((('MiT Strom Pipeline'!R46="WON"))*('MiT Strom Pipeline'!B46&lt;&gt;""))&gt;0,IF(LEN('MiT Strom Pipeline'!V46)&gt;0,LEFT('MiT Strom Pipeline'!V46,55),""),"")</f>
        <v/>
      </c>
      <c r="M51" s="22" t="n"/>
      <c r="N51" s="22" t="n"/>
      <c r="O51" s="22" t="n"/>
      <c r="P51" s="22" t="n"/>
      <c r="Q51" s="22" t="n"/>
      <c r="R51" s="22" t="n"/>
      <c r="S51" s="22" t="n"/>
    </row>
    <row r="52" ht="15.75" customHeight="1">
      <c r="A52" s="26">
        <f>IF(((('MiT Strom Pipeline'!R47="WON"))*('MiT Strom Pipeline'!B47&lt;&gt;""))&gt;0,IF(ISNUMBER('MiT Strom Pipeline'!A47),'MiT Strom Pipeline'!A47,""),"")</f>
        <v/>
      </c>
      <c r="B52" s="27">
        <f>IF(((('MiT Strom Pipeline'!R47="WON"))*('MiT Strom Pipeline'!B47&lt;&gt;""))&gt;0,IF('MiT Strom Pipeline'!B47="","",'MiT Strom Pipeline'!B47),"")</f>
        <v/>
      </c>
      <c r="C52" s="27">
        <f>IF(((('MiT Strom Pipeline'!R47="WON"))*('MiT Strom Pipeline'!B47&lt;&gt;""))&gt;0,IF('MiT Strom Pipeline'!C47="","",'MiT Strom Pipeline'!C47),"")</f>
        <v/>
      </c>
      <c r="D52" s="27">
        <f>IF(((('MiT Strom Pipeline'!R47="WON"))*('MiT Strom Pipeline'!B47&lt;&gt;""))&gt;0,IF('MiT Strom Pipeline'!D47="","",'MiT Strom Pipeline'!D47),"")</f>
        <v/>
      </c>
      <c r="E52" s="27">
        <f>IF(((('MiT Strom Pipeline'!R47="WON"))*('MiT Strom Pipeline'!B47&lt;&gt;""))&gt;0,IF('MiT Strom Pipeline'!H47="","",'MiT Strom Pipeline'!H47),"")</f>
        <v/>
      </c>
      <c r="F52" s="27">
        <f>IF(((('MiT Strom Pipeline'!R47="WON"))*('MiT Strom Pipeline'!B47&lt;&gt;""))&gt;0,IF('MiT Strom Pipeline'!E47="","",'MiT Strom Pipeline'!E47),"")</f>
        <v/>
      </c>
      <c r="G52" s="28">
        <f>IF(((('MiT Strom Pipeline'!R47="WON"))*('MiT Strom Pipeline'!B47&lt;&gt;""))&gt;0,IF(ISNUMBER('MiT Strom Pipeline'!I47),'MiT Strom Pipeline'!I47,0),"")</f>
        <v/>
      </c>
      <c r="H52" s="28">
        <f>IF(((('MiT Strom Pipeline'!R47="WON"))*('MiT Strom Pipeline'!B47&lt;&gt;""))&gt;0,IF(ISNUMBER('MiT Strom Pipeline'!Q47),'MiT Strom Pipeline'!Q47,0),"")</f>
        <v/>
      </c>
      <c r="I52" s="28">
        <f>IF(((('MiT Strom Pipeline'!R47="WON"))*('MiT Strom Pipeline'!B47&lt;&gt;""))&gt;0,IF(ISNUMBER('MiT Strom Pipeline'!O47),'MiT Strom Pipeline'!O47,0),"")</f>
        <v/>
      </c>
      <c r="J52" s="27">
        <f>IF(((('MiT Strom Pipeline'!R47="WON"))*('MiT Strom Pipeline'!B47&lt;&gt;""))&gt;0,'MiT Strom Pipeline'!R47,"")</f>
        <v/>
      </c>
      <c r="K52" s="29">
        <f>IF(((('MiT Strom Pipeline'!R47="WON"))*('MiT Strom Pipeline'!B47&lt;&gt;""))&gt;0,IF(ISNUMBER('MiT Strom Pipeline'!S47),'MiT Strom Pipeline'!S47,""),"")</f>
        <v/>
      </c>
      <c r="L52" s="27">
        <f>IF(((('MiT Strom Pipeline'!R47="WON"))*('MiT Strom Pipeline'!B47&lt;&gt;""))&gt;0,IF(LEN('MiT Strom Pipeline'!V47)&gt;0,LEFT('MiT Strom Pipeline'!V47,55),""),"")</f>
        <v/>
      </c>
      <c r="M52" s="22" t="n"/>
      <c r="N52" s="22" t="n"/>
      <c r="O52" s="22" t="n"/>
      <c r="P52" s="22" t="n"/>
      <c r="Q52" s="22" t="n"/>
      <c r="R52" s="22" t="n"/>
      <c r="S52" s="22" t="n"/>
    </row>
    <row r="53" ht="15.75" customHeight="1">
      <c r="A53" s="26">
        <f>IF(((('MiT Strom Pipeline'!R48="WON"))*('MiT Strom Pipeline'!B48&lt;&gt;""))&gt;0,IF(ISNUMBER('MiT Strom Pipeline'!A48),'MiT Strom Pipeline'!A48,""),"")</f>
        <v/>
      </c>
      <c r="B53" s="27">
        <f>IF(((('MiT Strom Pipeline'!R48="WON"))*('MiT Strom Pipeline'!B48&lt;&gt;""))&gt;0,IF('MiT Strom Pipeline'!B48="","",'MiT Strom Pipeline'!B48),"")</f>
        <v/>
      </c>
      <c r="C53" s="27">
        <f>IF(((('MiT Strom Pipeline'!R48="WON"))*('MiT Strom Pipeline'!B48&lt;&gt;""))&gt;0,IF('MiT Strom Pipeline'!C48="","",'MiT Strom Pipeline'!C48),"")</f>
        <v/>
      </c>
      <c r="D53" s="27">
        <f>IF(((('MiT Strom Pipeline'!R48="WON"))*('MiT Strom Pipeline'!B48&lt;&gt;""))&gt;0,IF('MiT Strom Pipeline'!D48="","",'MiT Strom Pipeline'!D48),"")</f>
        <v/>
      </c>
      <c r="E53" s="27">
        <f>IF(((('MiT Strom Pipeline'!R48="WON"))*('MiT Strom Pipeline'!B48&lt;&gt;""))&gt;0,IF('MiT Strom Pipeline'!H48="","",'MiT Strom Pipeline'!H48),"")</f>
        <v/>
      </c>
      <c r="F53" s="27">
        <f>IF(((('MiT Strom Pipeline'!R48="WON"))*('MiT Strom Pipeline'!B48&lt;&gt;""))&gt;0,IF('MiT Strom Pipeline'!E48="","",'MiT Strom Pipeline'!E48),"")</f>
        <v/>
      </c>
      <c r="G53" s="28">
        <f>IF(((('MiT Strom Pipeline'!R48="WON"))*('MiT Strom Pipeline'!B48&lt;&gt;""))&gt;0,IF(ISNUMBER('MiT Strom Pipeline'!I48),'MiT Strom Pipeline'!I48,0),"")</f>
        <v/>
      </c>
      <c r="H53" s="28">
        <f>IF(((('MiT Strom Pipeline'!R48="WON"))*('MiT Strom Pipeline'!B48&lt;&gt;""))&gt;0,IF(ISNUMBER('MiT Strom Pipeline'!Q48),'MiT Strom Pipeline'!Q48,0),"")</f>
        <v/>
      </c>
      <c r="I53" s="28">
        <f>IF(((('MiT Strom Pipeline'!R48="WON"))*('MiT Strom Pipeline'!B48&lt;&gt;""))&gt;0,IF(ISNUMBER('MiT Strom Pipeline'!O48),'MiT Strom Pipeline'!O48,0),"")</f>
        <v/>
      </c>
      <c r="J53" s="27">
        <f>IF(((('MiT Strom Pipeline'!R48="WON"))*('MiT Strom Pipeline'!B48&lt;&gt;""))&gt;0,'MiT Strom Pipeline'!R48,"")</f>
        <v/>
      </c>
      <c r="K53" s="29">
        <f>IF(((('MiT Strom Pipeline'!R48="WON"))*('MiT Strom Pipeline'!B48&lt;&gt;""))&gt;0,IF(ISNUMBER('MiT Strom Pipeline'!S48),'MiT Strom Pipeline'!S48,""),"")</f>
        <v/>
      </c>
      <c r="L53" s="27">
        <f>IF(((('MiT Strom Pipeline'!R48="WON"))*('MiT Strom Pipeline'!B48&lt;&gt;""))&gt;0,IF(LEN('MiT Strom Pipeline'!V48)&gt;0,LEFT('MiT Strom Pipeline'!V48,55),""),"")</f>
        <v/>
      </c>
      <c r="M53" s="22" t="n"/>
      <c r="N53" s="22" t="n"/>
      <c r="O53" s="22" t="n"/>
      <c r="P53" s="22" t="n"/>
      <c r="Q53" s="22" t="n"/>
      <c r="R53" s="22" t="n"/>
      <c r="S53" s="22" t="n"/>
    </row>
    <row r="54" ht="15.75" customHeight="1">
      <c r="A54" s="26">
        <f>IF(((('MiT Strom Pipeline'!R49="WON"))*('MiT Strom Pipeline'!B49&lt;&gt;""))&gt;0,IF(ISNUMBER('MiT Strom Pipeline'!A49),'MiT Strom Pipeline'!A49,""),"")</f>
        <v/>
      </c>
      <c r="B54" s="27">
        <f>IF(((('MiT Strom Pipeline'!R49="WON"))*('MiT Strom Pipeline'!B49&lt;&gt;""))&gt;0,IF('MiT Strom Pipeline'!B49="","",'MiT Strom Pipeline'!B49),"")</f>
        <v/>
      </c>
      <c r="C54" s="27">
        <f>IF(((('MiT Strom Pipeline'!R49="WON"))*('MiT Strom Pipeline'!B49&lt;&gt;""))&gt;0,IF('MiT Strom Pipeline'!C49="","",'MiT Strom Pipeline'!C49),"")</f>
        <v/>
      </c>
      <c r="D54" s="27">
        <f>IF(((('MiT Strom Pipeline'!R49="WON"))*('MiT Strom Pipeline'!B49&lt;&gt;""))&gt;0,IF('MiT Strom Pipeline'!D49="","",'MiT Strom Pipeline'!D49),"")</f>
        <v/>
      </c>
      <c r="E54" s="27">
        <f>IF(((('MiT Strom Pipeline'!R49="WON"))*('MiT Strom Pipeline'!B49&lt;&gt;""))&gt;0,IF('MiT Strom Pipeline'!H49="","",'MiT Strom Pipeline'!H49),"")</f>
        <v/>
      </c>
      <c r="F54" s="27">
        <f>IF(((('MiT Strom Pipeline'!R49="WON"))*('MiT Strom Pipeline'!B49&lt;&gt;""))&gt;0,IF('MiT Strom Pipeline'!E49="","",'MiT Strom Pipeline'!E49),"")</f>
        <v/>
      </c>
      <c r="G54" s="28">
        <f>IF(((('MiT Strom Pipeline'!R49="WON"))*('MiT Strom Pipeline'!B49&lt;&gt;""))&gt;0,IF(ISNUMBER('MiT Strom Pipeline'!I49),'MiT Strom Pipeline'!I49,0),"")</f>
        <v/>
      </c>
      <c r="H54" s="28">
        <f>IF(((('MiT Strom Pipeline'!R49="WON"))*('MiT Strom Pipeline'!B49&lt;&gt;""))&gt;0,IF(ISNUMBER('MiT Strom Pipeline'!Q49),'MiT Strom Pipeline'!Q49,0),"")</f>
        <v/>
      </c>
      <c r="I54" s="28">
        <f>IF(((('MiT Strom Pipeline'!R49="WON"))*('MiT Strom Pipeline'!B49&lt;&gt;""))&gt;0,IF(ISNUMBER('MiT Strom Pipeline'!O49),'MiT Strom Pipeline'!O49,0),"")</f>
        <v/>
      </c>
      <c r="J54" s="27">
        <f>IF(((('MiT Strom Pipeline'!R49="WON"))*('MiT Strom Pipeline'!B49&lt;&gt;""))&gt;0,'MiT Strom Pipeline'!R49,"")</f>
        <v/>
      </c>
      <c r="K54" s="29">
        <f>IF(((('MiT Strom Pipeline'!R49="WON"))*('MiT Strom Pipeline'!B49&lt;&gt;""))&gt;0,IF(ISNUMBER('MiT Strom Pipeline'!S49),'MiT Strom Pipeline'!S49,""),"")</f>
        <v/>
      </c>
      <c r="L54" s="27">
        <f>IF(((('MiT Strom Pipeline'!R49="WON"))*('MiT Strom Pipeline'!B49&lt;&gt;""))&gt;0,IF(LEN('MiT Strom Pipeline'!V49)&gt;0,LEFT('MiT Strom Pipeline'!V49,55),""),"")</f>
        <v/>
      </c>
      <c r="M54" s="22" t="n"/>
      <c r="N54" s="22" t="n"/>
      <c r="O54" s="22" t="n"/>
      <c r="P54" s="22" t="n"/>
      <c r="Q54" s="22" t="n"/>
      <c r="R54" s="22" t="n"/>
      <c r="S54" s="22" t="n"/>
    </row>
    <row r="55" ht="15.75" customHeight="1">
      <c r="A55" s="26">
        <f>IF(((('MiT Strom Pipeline'!R50="WON"))*('MiT Strom Pipeline'!B50&lt;&gt;""))&gt;0,IF(ISNUMBER('MiT Strom Pipeline'!A50),'MiT Strom Pipeline'!A50,""),"")</f>
        <v/>
      </c>
      <c r="B55" s="27">
        <f>IF(((('MiT Strom Pipeline'!R50="WON"))*('MiT Strom Pipeline'!B50&lt;&gt;""))&gt;0,IF('MiT Strom Pipeline'!B50="","",'MiT Strom Pipeline'!B50),"")</f>
        <v/>
      </c>
      <c r="C55" s="27">
        <f>IF(((('MiT Strom Pipeline'!R50="WON"))*('MiT Strom Pipeline'!B50&lt;&gt;""))&gt;0,IF('MiT Strom Pipeline'!C50="","",'MiT Strom Pipeline'!C50),"")</f>
        <v/>
      </c>
      <c r="D55" s="27">
        <f>IF(((('MiT Strom Pipeline'!R50="WON"))*('MiT Strom Pipeline'!B50&lt;&gt;""))&gt;0,IF('MiT Strom Pipeline'!D50="","",'MiT Strom Pipeline'!D50),"")</f>
        <v/>
      </c>
      <c r="E55" s="27">
        <f>IF(((('MiT Strom Pipeline'!R50="WON"))*('MiT Strom Pipeline'!B50&lt;&gt;""))&gt;0,IF('MiT Strom Pipeline'!H50="","",'MiT Strom Pipeline'!H50),"")</f>
        <v/>
      </c>
      <c r="F55" s="27">
        <f>IF(((('MiT Strom Pipeline'!R50="WON"))*('MiT Strom Pipeline'!B50&lt;&gt;""))&gt;0,IF('MiT Strom Pipeline'!E50="","",'MiT Strom Pipeline'!E50),"")</f>
        <v/>
      </c>
      <c r="G55" s="28">
        <f>IF(((('MiT Strom Pipeline'!R50="WON"))*('MiT Strom Pipeline'!B50&lt;&gt;""))&gt;0,IF(ISNUMBER('MiT Strom Pipeline'!I50),'MiT Strom Pipeline'!I50,0),"")</f>
        <v/>
      </c>
      <c r="H55" s="28">
        <f>IF(((('MiT Strom Pipeline'!R50="WON"))*('MiT Strom Pipeline'!B50&lt;&gt;""))&gt;0,IF(ISNUMBER('MiT Strom Pipeline'!Q50),'MiT Strom Pipeline'!Q50,0),"")</f>
        <v/>
      </c>
      <c r="I55" s="28">
        <f>IF(((('MiT Strom Pipeline'!R50="WON"))*('MiT Strom Pipeline'!B50&lt;&gt;""))&gt;0,IF(ISNUMBER('MiT Strom Pipeline'!O50),'MiT Strom Pipeline'!O50,0),"")</f>
        <v/>
      </c>
      <c r="J55" s="27">
        <f>IF(((('MiT Strom Pipeline'!R50="WON"))*('MiT Strom Pipeline'!B50&lt;&gt;""))&gt;0,'MiT Strom Pipeline'!R50,"")</f>
        <v/>
      </c>
      <c r="K55" s="29">
        <f>IF(((('MiT Strom Pipeline'!R50="WON"))*('MiT Strom Pipeline'!B50&lt;&gt;""))&gt;0,IF(ISNUMBER('MiT Strom Pipeline'!S50),'MiT Strom Pipeline'!S50,""),"")</f>
        <v/>
      </c>
      <c r="L55" s="27">
        <f>IF(((('MiT Strom Pipeline'!R50="WON"))*('MiT Strom Pipeline'!B50&lt;&gt;""))&gt;0,IF(LEN('MiT Strom Pipeline'!V50)&gt;0,LEFT('MiT Strom Pipeline'!V50,55),""),"")</f>
        <v/>
      </c>
      <c r="M55" s="22" t="n"/>
      <c r="N55" s="22" t="n"/>
      <c r="O55" s="22" t="n"/>
      <c r="P55" s="22" t="n"/>
      <c r="Q55" s="22" t="n"/>
      <c r="R55" s="22" t="n"/>
      <c r="S55" s="22" t="n"/>
    </row>
    <row r="56" ht="15.75" customHeight="1">
      <c r="A56" s="26">
        <f>IF(((('MiT Strom Pipeline'!R51="WON"))*('MiT Strom Pipeline'!B51&lt;&gt;""))&gt;0,IF(ISNUMBER('MiT Strom Pipeline'!A51),'MiT Strom Pipeline'!A51,""),"")</f>
        <v/>
      </c>
      <c r="B56" s="27">
        <f>IF(((('MiT Strom Pipeline'!R51="WON"))*('MiT Strom Pipeline'!B51&lt;&gt;""))&gt;0,IF('MiT Strom Pipeline'!B51="","",'MiT Strom Pipeline'!B51),"")</f>
        <v/>
      </c>
      <c r="C56" s="27">
        <f>IF(((('MiT Strom Pipeline'!R51="WON"))*('MiT Strom Pipeline'!B51&lt;&gt;""))&gt;0,IF('MiT Strom Pipeline'!C51="","",'MiT Strom Pipeline'!C51),"")</f>
        <v/>
      </c>
      <c r="D56" s="27">
        <f>IF(((('MiT Strom Pipeline'!R51="WON"))*('MiT Strom Pipeline'!B51&lt;&gt;""))&gt;0,IF('MiT Strom Pipeline'!D51="","",'MiT Strom Pipeline'!D51),"")</f>
        <v/>
      </c>
      <c r="E56" s="27">
        <f>IF(((('MiT Strom Pipeline'!R51="WON"))*('MiT Strom Pipeline'!B51&lt;&gt;""))&gt;0,IF('MiT Strom Pipeline'!H51="","",'MiT Strom Pipeline'!H51),"")</f>
        <v/>
      </c>
      <c r="F56" s="27">
        <f>IF(((('MiT Strom Pipeline'!R51="WON"))*('MiT Strom Pipeline'!B51&lt;&gt;""))&gt;0,IF('MiT Strom Pipeline'!E51="","",'MiT Strom Pipeline'!E51),"")</f>
        <v/>
      </c>
      <c r="G56" s="28">
        <f>IF(((('MiT Strom Pipeline'!R51="WON"))*('MiT Strom Pipeline'!B51&lt;&gt;""))&gt;0,IF(ISNUMBER('MiT Strom Pipeline'!I51),'MiT Strom Pipeline'!I51,0),"")</f>
        <v/>
      </c>
      <c r="H56" s="28">
        <f>IF(((('MiT Strom Pipeline'!R51="WON"))*('MiT Strom Pipeline'!B51&lt;&gt;""))&gt;0,IF(ISNUMBER('MiT Strom Pipeline'!Q51),'MiT Strom Pipeline'!Q51,0),"")</f>
        <v/>
      </c>
      <c r="I56" s="28">
        <f>IF(((('MiT Strom Pipeline'!R51="WON"))*('MiT Strom Pipeline'!B51&lt;&gt;""))&gt;0,IF(ISNUMBER('MiT Strom Pipeline'!O51),'MiT Strom Pipeline'!O51,0),"")</f>
        <v/>
      </c>
      <c r="J56" s="27">
        <f>IF(((('MiT Strom Pipeline'!R51="WON"))*('MiT Strom Pipeline'!B51&lt;&gt;""))&gt;0,'MiT Strom Pipeline'!R51,"")</f>
        <v/>
      </c>
      <c r="K56" s="29">
        <f>IF(((('MiT Strom Pipeline'!R51="WON"))*('MiT Strom Pipeline'!B51&lt;&gt;""))&gt;0,IF(ISNUMBER('MiT Strom Pipeline'!S51),'MiT Strom Pipeline'!S51,""),"")</f>
        <v/>
      </c>
      <c r="L56" s="27">
        <f>IF(((('MiT Strom Pipeline'!R51="WON"))*('MiT Strom Pipeline'!B51&lt;&gt;""))&gt;0,IF(LEN('MiT Strom Pipeline'!V51)&gt;0,LEFT('MiT Strom Pipeline'!V51,55),""),"")</f>
        <v/>
      </c>
      <c r="M56" s="22" t="n"/>
      <c r="N56" s="22" t="n"/>
      <c r="O56" s="22" t="n"/>
      <c r="P56" s="22" t="n"/>
      <c r="Q56" s="22" t="n"/>
      <c r="R56" s="22" t="n"/>
      <c r="S56" s="22" t="n"/>
    </row>
    <row r="57" ht="15.75" customHeight="1">
      <c r="A57" s="26">
        <f>IF(((('MiT Strom Pipeline'!R52="WON"))*('MiT Strom Pipeline'!B52&lt;&gt;""))&gt;0,IF(ISNUMBER('MiT Strom Pipeline'!A52),'MiT Strom Pipeline'!A52,""),"")</f>
        <v/>
      </c>
      <c r="B57" s="27">
        <f>IF(((('MiT Strom Pipeline'!R52="WON"))*('MiT Strom Pipeline'!B52&lt;&gt;""))&gt;0,IF('MiT Strom Pipeline'!B52="","",'MiT Strom Pipeline'!B52),"")</f>
        <v/>
      </c>
      <c r="C57" s="27">
        <f>IF(((('MiT Strom Pipeline'!R52="WON"))*('MiT Strom Pipeline'!B52&lt;&gt;""))&gt;0,IF('MiT Strom Pipeline'!C52="","",'MiT Strom Pipeline'!C52),"")</f>
        <v/>
      </c>
      <c r="D57" s="27">
        <f>IF(((('MiT Strom Pipeline'!R52="WON"))*('MiT Strom Pipeline'!B52&lt;&gt;""))&gt;0,IF('MiT Strom Pipeline'!D52="","",'MiT Strom Pipeline'!D52),"")</f>
        <v/>
      </c>
      <c r="E57" s="27">
        <f>IF(((('MiT Strom Pipeline'!R52="WON"))*('MiT Strom Pipeline'!B52&lt;&gt;""))&gt;0,IF('MiT Strom Pipeline'!H52="","",'MiT Strom Pipeline'!H52),"")</f>
        <v/>
      </c>
      <c r="F57" s="27">
        <f>IF(((('MiT Strom Pipeline'!R52="WON"))*('MiT Strom Pipeline'!B52&lt;&gt;""))&gt;0,IF('MiT Strom Pipeline'!E52="","",'MiT Strom Pipeline'!E52),"")</f>
        <v/>
      </c>
      <c r="G57" s="28">
        <f>IF(((('MiT Strom Pipeline'!R52="WON"))*('MiT Strom Pipeline'!B52&lt;&gt;""))&gt;0,IF(ISNUMBER('MiT Strom Pipeline'!I52),'MiT Strom Pipeline'!I52,0),"")</f>
        <v/>
      </c>
      <c r="H57" s="28">
        <f>IF(((('MiT Strom Pipeline'!R52="WON"))*('MiT Strom Pipeline'!B52&lt;&gt;""))&gt;0,IF(ISNUMBER('MiT Strom Pipeline'!Q52),'MiT Strom Pipeline'!Q52,0),"")</f>
        <v/>
      </c>
      <c r="I57" s="28">
        <f>IF(((('MiT Strom Pipeline'!R52="WON"))*('MiT Strom Pipeline'!B52&lt;&gt;""))&gt;0,IF(ISNUMBER('MiT Strom Pipeline'!O52),'MiT Strom Pipeline'!O52,0),"")</f>
        <v/>
      </c>
      <c r="J57" s="27">
        <f>IF(((('MiT Strom Pipeline'!R52="WON"))*('MiT Strom Pipeline'!B52&lt;&gt;""))&gt;0,'MiT Strom Pipeline'!R52,"")</f>
        <v/>
      </c>
      <c r="K57" s="29">
        <f>IF(((('MiT Strom Pipeline'!R52="WON"))*('MiT Strom Pipeline'!B52&lt;&gt;""))&gt;0,IF(ISNUMBER('MiT Strom Pipeline'!S52),'MiT Strom Pipeline'!S52,""),"")</f>
        <v/>
      </c>
      <c r="L57" s="27">
        <f>IF(((('MiT Strom Pipeline'!R52="WON"))*('MiT Strom Pipeline'!B52&lt;&gt;""))&gt;0,IF(LEN('MiT Strom Pipeline'!V52)&gt;0,LEFT('MiT Strom Pipeline'!V52,55),""),"")</f>
        <v/>
      </c>
      <c r="M57" s="22" t="n"/>
      <c r="N57" s="22" t="n"/>
      <c r="O57" s="22" t="n"/>
      <c r="P57" s="22" t="n"/>
      <c r="Q57" s="22" t="n"/>
      <c r="R57" s="22" t="n"/>
      <c r="S57" s="22" t="n"/>
    </row>
    <row r="58" ht="15.75" customHeight="1">
      <c r="A58" s="26">
        <f>IF(((('MiT Strom Pipeline'!R53="WON"))*('MiT Strom Pipeline'!B53&lt;&gt;""))&gt;0,IF(ISNUMBER('MiT Strom Pipeline'!A53),'MiT Strom Pipeline'!A53,""),"")</f>
        <v/>
      </c>
      <c r="B58" s="27">
        <f>IF(((('MiT Strom Pipeline'!R53="WON"))*('MiT Strom Pipeline'!B53&lt;&gt;""))&gt;0,IF('MiT Strom Pipeline'!B53="","",'MiT Strom Pipeline'!B53),"")</f>
        <v/>
      </c>
      <c r="C58" s="27">
        <f>IF(((('MiT Strom Pipeline'!R53="WON"))*('MiT Strom Pipeline'!B53&lt;&gt;""))&gt;0,IF('MiT Strom Pipeline'!C53="","",'MiT Strom Pipeline'!C53),"")</f>
        <v/>
      </c>
      <c r="D58" s="27">
        <f>IF(((('MiT Strom Pipeline'!R53="WON"))*('MiT Strom Pipeline'!B53&lt;&gt;""))&gt;0,IF('MiT Strom Pipeline'!D53="","",'MiT Strom Pipeline'!D53),"")</f>
        <v/>
      </c>
      <c r="E58" s="27">
        <f>IF(((('MiT Strom Pipeline'!R53="WON"))*('MiT Strom Pipeline'!B53&lt;&gt;""))&gt;0,IF('MiT Strom Pipeline'!H53="","",'MiT Strom Pipeline'!H53),"")</f>
        <v/>
      </c>
      <c r="F58" s="27">
        <f>IF(((('MiT Strom Pipeline'!R53="WON"))*('MiT Strom Pipeline'!B53&lt;&gt;""))&gt;0,IF('MiT Strom Pipeline'!E53="","",'MiT Strom Pipeline'!E53),"")</f>
        <v/>
      </c>
      <c r="G58" s="28">
        <f>IF(((('MiT Strom Pipeline'!R53="WON"))*('MiT Strom Pipeline'!B53&lt;&gt;""))&gt;0,IF(ISNUMBER('MiT Strom Pipeline'!I53),'MiT Strom Pipeline'!I53,0),"")</f>
        <v/>
      </c>
      <c r="H58" s="28">
        <f>IF(((('MiT Strom Pipeline'!R53="WON"))*('MiT Strom Pipeline'!B53&lt;&gt;""))&gt;0,IF(ISNUMBER('MiT Strom Pipeline'!Q53),'MiT Strom Pipeline'!Q53,0),"")</f>
        <v/>
      </c>
      <c r="I58" s="28">
        <f>IF(((('MiT Strom Pipeline'!R53="WON"))*('MiT Strom Pipeline'!B53&lt;&gt;""))&gt;0,IF(ISNUMBER('MiT Strom Pipeline'!O53),'MiT Strom Pipeline'!O53,0),"")</f>
        <v/>
      </c>
      <c r="J58" s="27">
        <f>IF(((('MiT Strom Pipeline'!R53="WON"))*('MiT Strom Pipeline'!B53&lt;&gt;""))&gt;0,'MiT Strom Pipeline'!R53,"")</f>
        <v/>
      </c>
      <c r="K58" s="29">
        <f>IF(((('MiT Strom Pipeline'!R53="WON"))*('MiT Strom Pipeline'!B53&lt;&gt;""))&gt;0,IF(ISNUMBER('MiT Strom Pipeline'!S53),'MiT Strom Pipeline'!S53,""),"")</f>
        <v/>
      </c>
      <c r="L58" s="27">
        <f>IF(((('MiT Strom Pipeline'!R53="WON"))*('MiT Strom Pipeline'!B53&lt;&gt;""))&gt;0,IF(LEN('MiT Strom Pipeline'!V53)&gt;0,LEFT('MiT Strom Pipeline'!V53,55),""),"")</f>
        <v/>
      </c>
      <c r="M58" s="22" t="n"/>
      <c r="N58" s="22" t="n"/>
      <c r="O58" s="22" t="n"/>
      <c r="P58" s="22" t="n"/>
      <c r="Q58" s="22" t="n"/>
      <c r="R58" s="22" t="n"/>
      <c r="S58" s="22" t="n"/>
    </row>
    <row r="59" ht="15.75" customHeight="1">
      <c r="A59" s="26">
        <f>IF(((('MiT Strom Pipeline'!R54="WON"))*('MiT Strom Pipeline'!B54&lt;&gt;""))&gt;0,IF(ISNUMBER('MiT Strom Pipeline'!A54),'MiT Strom Pipeline'!A54,""),"")</f>
        <v/>
      </c>
      <c r="B59" s="27">
        <f>IF(((('MiT Strom Pipeline'!R54="WON"))*('MiT Strom Pipeline'!B54&lt;&gt;""))&gt;0,IF('MiT Strom Pipeline'!B54="","",'MiT Strom Pipeline'!B54),"")</f>
        <v/>
      </c>
      <c r="C59" s="27">
        <f>IF(((('MiT Strom Pipeline'!R54="WON"))*('MiT Strom Pipeline'!B54&lt;&gt;""))&gt;0,IF('MiT Strom Pipeline'!C54="","",'MiT Strom Pipeline'!C54),"")</f>
        <v/>
      </c>
      <c r="D59" s="27">
        <f>IF(((('MiT Strom Pipeline'!R54="WON"))*('MiT Strom Pipeline'!B54&lt;&gt;""))&gt;0,IF('MiT Strom Pipeline'!D54="","",'MiT Strom Pipeline'!D54),"")</f>
        <v/>
      </c>
      <c r="E59" s="27">
        <f>IF(((('MiT Strom Pipeline'!R54="WON"))*('MiT Strom Pipeline'!B54&lt;&gt;""))&gt;0,IF('MiT Strom Pipeline'!H54="","",'MiT Strom Pipeline'!H54),"")</f>
        <v/>
      </c>
      <c r="F59" s="27">
        <f>IF(((('MiT Strom Pipeline'!R54="WON"))*('MiT Strom Pipeline'!B54&lt;&gt;""))&gt;0,IF('MiT Strom Pipeline'!E54="","",'MiT Strom Pipeline'!E54),"")</f>
        <v/>
      </c>
      <c r="G59" s="28">
        <f>IF(((('MiT Strom Pipeline'!R54="WON"))*('MiT Strom Pipeline'!B54&lt;&gt;""))&gt;0,IF(ISNUMBER('MiT Strom Pipeline'!I54),'MiT Strom Pipeline'!I54,0),"")</f>
        <v/>
      </c>
      <c r="H59" s="28">
        <f>IF(((('MiT Strom Pipeline'!R54="WON"))*('MiT Strom Pipeline'!B54&lt;&gt;""))&gt;0,IF(ISNUMBER('MiT Strom Pipeline'!Q54),'MiT Strom Pipeline'!Q54,0),"")</f>
        <v/>
      </c>
      <c r="I59" s="28">
        <f>IF(((('MiT Strom Pipeline'!R54="WON"))*('MiT Strom Pipeline'!B54&lt;&gt;""))&gt;0,IF(ISNUMBER('MiT Strom Pipeline'!O54),'MiT Strom Pipeline'!O54,0),"")</f>
        <v/>
      </c>
      <c r="J59" s="27">
        <f>IF(((('MiT Strom Pipeline'!R54="WON"))*('MiT Strom Pipeline'!B54&lt;&gt;""))&gt;0,'MiT Strom Pipeline'!R54,"")</f>
        <v/>
      </c>
      <c r="K59" s="29">
        <f>IF(((('MiT Strom Pipeline'!R54="WON"))*('MiT Strom Pipeline'!B54&lt;&gt;""))&gt;0,IF(ISNUMBER('MiT Strom Pipeline'!S54),'MiT Strom Pipeline'!S54,""),"")</f>
        <v/>
      </c>
      <c r="L59" s="27">
        <f>IF(((('MiT Strom Pipeline'!R54="WON"))*('MiT Strom Pipeline'!B54&lt;&gt;""))&gt;0,IF(LEN('MiT Strom Pipeline'!V54)&gt;0,LEFT('MiT Strom Pipeline'!V54,55),""),"")</f>
        <v/>
      </c>
      <c r="M59" s="22" t="n"/>
      <c r="N59" s="22" t="n"/>
      <c r="O59" s="22" t="n"/>
      <c r="P59" s="22" t="n"/>
      <c r="Q59" s="22" t="n"/>
      <c r="R59" s="22" t="n"/>
      <c r="S59" s="22" t="n"/>
    </row>
    <row r="60" ht="15.75" customHeight="1">
      <c r="A60" s="26">
        <f>IF(((('MiT Strom Pipeline'!R55="WON"))*('MiT Strom Pipeline'!B55&lt;&gt;""))&gt;0,IF(ISNUMBER('MiT Strom Pipeline'!A55),'MiT Strom Pipeline'!A55,""),"")</f>
        <v/>
      </c>
      <c r="B60" s="27">
        <f>IF(((('MiT Strom Pipeline'!R55="WON"))*('MiT Strom Pipeline'!B55&lt;&gt;""))&gt;0,IF('MiT Strom Pipeline'!B55="","",'MiT Strom Pipeline'!B55),"")</f>
        <v/>
      </c>
      <c r="C60" s="27">
        <f>IF(((('MiT Strom Pipeline'!R55="WON"))*('MiT Strom Pipeline'!B55&lt;&gt;""))&gt;0,IF('MiT Strom Pipeline'!C55="","",'MiT Strom Pipeline'!C55),"")</f>
        <v/>
      </c>
      <c r="D60" s="27">
        <f>IF(((('MiT Strom Pipeline'!R55="WON"))*('MiT Strom Pipeline'!B55&lt;&gt;""))&gt;0,IF('MiT Strom Pipeline'!D55="","",'MiT Strom Pipeline'!D55),"")</f>
        <v/>
      </c>
      <c r="E60" s="27">
        <f>IF(((('MiT Strom Pipeline'!R55="WON"))*('MiT Strom Pipeline'!B55&lt;&gt;""))&gt;0,IF('MiT Strom Pipeline'!H55="","",'MiT Strom Pipeline'!H55),"")</f>
        <v/>
      </c>
      <c r="F60" s="27">
        <f>IF(((('MiT Strom Pipeline'!R55="WON"))*('MiT Strom Pipeline'!B55&lt;&gt;""))&gt;0,IF('MiT Strom Pipeline'!E55="","",'MiT Strom Pipeline'!E55),"")</f>
        <v/>
      </c>
      <c r="G60" s="28">
        <f>IF(((('MiT Strom Pipeline'!R55="WON"))*('MiT Strom Pipeline'!B55&lt;&gt;""))&gt;0,IF(ISNUMBER('MiT Strom Pipeline'!I55),'MiT Strom Pipeline'!I55,0),"")</f>
        <v/>
      </c>
      <c r="H60" s="28">
        <f>IF(((('MiT Strom Pipeline'!R55="WON"))*('MiT Strom Pipeline'!B55&lt;&gt;""))&gt;0,IF(ISNUMBER('MiT Strom Pipeline'!Q55),'MiT Strom Pipeline'!Q55,0),"")</f>
        <v/>
      </c>
      <c r="I60" s="28">
        <f>IF(((('MiT Strom Pipeline'!R55="WON"))*('MiT Strom Pipeline'!B55&lt;&gt;""))&gt;0,IF(ISNUMBER('MiT Strom Pipeline'!O55),'MiT Strom Pipeline'!O55,0),"")</f>
        <v/>
      </c>
      <c r="J60" s="27">
        <f>IF(((('MiT Strom Pipeline'!R55="WON"))*('MiT Strom Pipeline'!B55&lt;&gt;""))&gt;0,'MiT Strom Pipeline'!R55,"")</f>
        <v/>
      </c>
      <c r="K60" s="29">
        <f>IF(((('MiT Strom Pipeline'!R55="WON"))*('MiT Strom Pipeline'!B55&lt;&gt;""))&gt;0,IF(ISNUMBER('MiT Strom Pipeline'!S55),'MiT Strom Pipeline'!S55,""),"")</f>
        <v/>
      </c>
      <c r="L60" s="27">
        <f>IF(((('MiT Strom Pipeline'!R55="WON"))*('MiT Strom Pipeline'!B55&lt;&gt;""))&gt;0,IF(LEN('MiT Strom Pipeline'!V55)&gt;0,LEFT('MiT Strom Pipeline'!V55,55),""),"")</f>
        <v/>
      </c>
      <c r="M60" s="22" t="n"/>
      <c r="N60" s="22" t="n"/>
      <c r="O60" s="22" t="n"/>
      <c r="P60" s="22" t="n"/>
      <c r="Q60" s="22" t="n"/>
      <c r="R60" s="22" t="n"/>
      <c r="S60" s="22" t="n"/>
    </row>
    <row r="61" ht="15.75" customHeight="1">
      <c r="A61" s="26">
        <f>IF(((('MiT Strom Pipeline'!R56="WON"))*('MiT Strom Pipeline'!B56&lt;&gt;""))&gt;0,IF(ISNUMBER('MiT Strom Pipeline'!A56),'MiT Strom Pipeline'!A56,""),"")</f>
        <v/>
      </c>
      <c r="B61" s="27">
        <f>IF(((('MiT Strom Pipeline'!R56="WON"))*('MiT Strom Pipeline'!B56&lt;&gt;""))&gt;0,IF('MiT Strom Pipeline'!B56="","",'MiT Strom Pipeline'!B56),"")</f>
        <v/>
      </c>
      <c r="C61" s="27">
        <f>IF(((('MiT Strom Pipeline'!R56="WON"))*('MiT Strom Pipeline'!B56&lt;&gt;""))&gt;0,IF('MiT Strom Pipeline'!C56="","",'MiT Strom Pipeline'!C56),"")</f>
        <v/>
      </c>
      <c r="D61" s="27">
        <f>IF(((('MiT Strom Pipeline'!R56="WON"))*('MiT Strom Pipeline'!B56&lt;&gt;""))&gt;0,IF('MiT Strom Pipeline'!D56="","",'MiT Strom Pipeline'!D56),"")</f>
        <v/>
      </c>
      <c r="E61" s="27">
        <f>IF(((('MiT Strom Pipeline'!R56="WON"))*('MiT Strom Pipeline'!B56&lt;&gt;""))&gt;0,IF('MiT Strom Pipeline'!H56="","",'MiT Strom Pipeline'!H56),"")</f>
        <v/>
      </c>
      <c r="F61" s="27">
        <f>IF(((('MiT Strom Pipeline'!R56="WON"))*('MiT Strom Pipeline'!B56&lt;&gt;""))&gt;0,IF('MiT Strom Pipeline'!E56="","",'MiT Strom Pipeline'!E56),"")</f>
        <v/>
      </c>
      <c r="G61" s="28">
        <f>IF(((('MiT Strom Pipeline'!R56="WON"))*('MiT Strom Pipeline'!B56&lt;&gt;""))&gt;0,IF(ISNUMBER('MiT Strom Pipeline'!I56),'MiT Strom Pipeline'!I56,0),"")</f>
        <v/>
      </c>
      <c r="H61" s="28">
        <f>IF(((('MiT Strom Pipeline'!R56="WON"))*('MiT Strom Pipeline'!B56&lt;&gt;""))&gt;0,IF(ISNUMBER('MiT Strom Pipeline'!Q56),'MiT Strom Pipeline'!Q56,0),"")</f>
        <v/>
      </c>
      <c r="I61" s="28">
        <f>IF(((('MiT Strom Pipeline'!R56="WON"))*('MiT Strom Pipeline'!B56&lt;&gt;""))&gt;0,IF(ISNUMBER('MiT Strom Pipeline'!O56),'MiT Strom Pipeline'!O56,0),"")</f>
        <v/>
      </c>
      <c r="J61" s="27">
        <f>IF(((('MiT Strom Pipeline'!R56="WON"))*('MiT Strom Pipeline'!B56&lt;&gt;""))&gt;0,'MiT Strom Pipeline'!R56,"")</f>
        <v/>
      </c>
      <c r="K61" s="29">
        <f>IF(((('MiT Strom Pipeline'!R56="WON"))*('MiT Strom Pipeline'!B56&lt;&gt;""))&gt;0,IF(ISNUMBER('MiT Strom Pipeline'!S56),'MiT Strom Pipeline'!S56,""),"")</f>
        <v/>
      </c>
      <c r="L61" s="27">
        <f>IF(((('MiT Strom Pipeline'!R56="WON"))*('MiT Strom Pipeline'!B56&lt;&gt;""))&gt;0,IF(LEN('MiT Strom Pipeline'!V56)&gt;0,LEFT('MiT Strom Pipeline'!V56,55),""),"")</f>
        <v/>
      </c>
      <c r="M61" s="22" t="n"/>
      <c r="N61" s="22" t="n"/>
      <c r="O61" s="22" t="n"/>
      <c r="P61" s="22" t="n"/>
      <c r="Q61" s="22" t="n"/>
      <c r="R61" s="22" t="n"/>
      <c r="S61" s="22" t="n"/>
    </row>
    <row r="62" ht="15.75" customHeight="1">
      <c r="A62" s="26">
        <f>IF(((('MiT Strom Pipeline'!R57="WON"))*('MiT Strom Pipeline'!B57&lt;&gt;""))&gt;0,IF(ISNUMBER('MiT Strom Pipeline'!A57),'MiT Strom Pipeline'!A57,""),"")</f>
        <v/>
      </c>
      <c r="B62" s="27">
        <f>IF(((('MiT Strom Pipeline'!R57="WON"))*('MiT Strom Pipeline'!B57&lt;&gt;""))&gt;0,IF('MiT Strom Pipeline'!B57="","",'MiT Strom Pipeline'!B57),"")</f>
        <v/>
      </c>
      <c r="C62" s="27">
        <f>IF(((('MiT Strom Pipeline'!R57="WON"))*('MiT Strom Pipeline'!B57&lt;&gt;""))&gt;0,IF('MiT Strom Pipeline'!C57="","",'MiT Strom Pipeline'!C57),"")</f>
        <v/>
      </c>
      <c r="D62" s="27">
        <f>IF(((('MiT Strom Pipeline'!R57="WON"))*('MiT Strom Pipeline'!B57&lt;&gt;""))&gt;0,IF('MiT Strom Pipeline'!D57="","",'MiT Strom Pipeline'!D57),"")</f>
        <v/>
      </c>
      <c r="E62" s="27">
        <f>IF(((('MiT Strom Pipeline'!R57="WON"))*('MiT Strom Pipeline'!B57&lt;&gt;""))&gt;0,IF('MiT Strom Pipeline'!H57="","",'MiT Strom Pipeline'!H57),"")</f>
        <v/>
      </c>
      <c r="F62" s="27">
        <f>IF(((('MiT Strom Pipeline'!R57="WON"))*('MiT Strom Pipeline'!B57&lt;&gt;""))&gt;0,IF('MiT Strom Pipeline'!E57="","",'MiT Strom Pipeline'!E57),"")</f>
        <v/>
      </c>
      <c r="G62" s="28">
        <f>IF(((('MiT Strom Pipeline'!R57="WON"))*('MiT Strom Pipeline'!B57&lt;&gt;""))&gt;0,IF(ISNUMBER('MiT Strom Pipeline'!I57),'MiT Strom Pipeline'!I57,0),"")</f>
        <v/>
      </c>
      <c r="H62" s="28">
        <f>IF(((('MiT Strom Pipeline'!R57="WON"))*('MiT Strom Pipeline'!B57&lt;&gt;""))&gt;0,IF(ISNUMBER('MiT Strom Pipeline'!Q57),'MiT Strom Pipeline'!Q57,0),"")</f>
        <v/>
      </c>
      <c r="I62" s="28">
        <f>IF(((('MiT Strom Pipeline'!R57="WON"))*('MiT Strom Pipeline'!B57&lt;&gt;""))&gt;0,IF(ISNUMBER('MiT Strom Pipeline'!O57),'MiT Strom Pipeline'!O57,0),"")</f>
        <v/>
      </c>
      <c r="J62" s="27">
        <f>IF(((('MiT Strom Pipeline'!R57="WON"))*('MiT Strom Pipeline'!B57&lt;&gt;""))&gt;0,'MiT Strom Pipeline'!R57,"")</f>
        <v/>
      </c>
      <c r="K62" s="29">
        <f>IF(((('MiT Strom Pipeline'!R57="WON"))*('MiT Strom Pipeline'!B57&lt;&gt;""))&gt;0,IF(ISNUMBER('MiT Strom Pipeline'!S57),'MiT Strom Pipeline'!S57,""),"")</f>
        <v/>
      </c>
      <c r="L62" s="27">
        <f>IF(((('MiT Strom Pipeline'!R57="WON"))*('MiT Strom Pipeline'!B57&lt;&gt;""))&gt;0,IF(LEN('MiT Strom Pipeline'!V57)&gt;0,LEFT('MiT Strom Pipeline'!V57,55),""),"")</f>
        <v/>
      </c>
      <c r="M62" s="22" t="n"/>
      <c r="N62" s="22" t="n"/>
      <c r="O62" s="22" t="n"/>
      <c r="P62" s="22" t="n"/>
      <c r="Q62" s="22" t="n"/>
      <c r="R62" s="22" t="n"/>
      <c r="S62" s="22" t="n"/>
    </row>
    <row r="63" ht="15.75" customHeight="1">
      <c r="A63" s="26">
        <f>IF(((('MiT Strom Pipeline'!R58="WON"))*('MiT Strom Pipeline'!B58&lt;&gt;""))&gt;0,IF(ISNUMBER('MiT Strom Pipeline'!A58),'MiT Strom Pipeline'!A58,""),"")</f>
        <v/>
      </c>
      <c r="B63" s="27">
        <f>IF(((('MiT Strom Pipeline'!R58="WON"))*('MiT Strom Pipeline'!B58&lt;&gt;""))&gt;0,IF('MiT Strom Pipeline'!B58="","",'MiT Strom Pipeline'!B58),"")</f>
        <v/>
      </c>
      <c r="C63" s="27">
        <f>IF(((('MiT Strom Pipeline'!R58="WON"))*('MiT Strom Pipeline'!B58&lt;&gt;""))&gt;0,IF('MiT Strom Pipeline'!C58="","",'MiT Strom Pipeline'!C58),"")</f>
        <v/>
      </c>
      <c r="D63" s="27">
        <f>IF(((('MiT Strom Pipeline'!R58="WON"))*('MiT Strom Pipeline'!B58&lt;&gt;""))&gt;0,IF('MiT Strom Pipeline'!D58="","",'MiT Strom Pipeline'!D58),"")</f>
        <v/>
      </c>
      <c r="E63" s="27">
        <f>IF(((('MiT Strom Pipeline'!R58="WON"))*('MiT Strom Pipeline'!B58&lt;&gt;""))&gt;0,IF('MiT Strom Pipeline'!H58="","",'MiT Strom Pipeline'!H58),"")</f>
        <v/>
      </c>
      <c r="F63" s="27">
        <f>IF(((('MiT Strom Pipeline'!R58="WON"))*('MiT Strom Pipeline'!B58&lt;&gt;""))&gt;0,IF('MiT Strom Pipeline'!E58="","",'MiT Strom Pipeline'!E58),"")</f>
        <v/>
      </c>
      <c r="G63" s="28">
        <f>IF(((('MiT Strom Pipeline'!R58="WON"))*('MiT Strom Pipeline'!B58&lt;&gt;""))&gt;0,IF(ISNUMBER('MiT Strom Pipeline'!I58),'MiT Strom Pipeline'!I58,0),"")</f>
        <v/>
      </c>
      <c r="H63" s="28">
        <f>IF(((('MiT Strom Pipeline'!R58="WON"))*('MiT Strom Pipeline'!B58&lt;&gt;""))&gt;0,IF(ISNUMBER('MiT Strom Pipeline'!Q58),'MiT Strom Pipeline'!Q58,0),"")</f>
        <v/>
      </c>
      <c r="I63" s="28">
        <f>IF(((('MiT Strom Pipeline'!R58="WON"))*('MiT Strom Pipeline'!B58&lt;&gt;""))&gt;0,IF(ISNUMBER('MiT Strom Pipeline'!O58),'MiT Strom Pipeline'!O58,0),"")</f>
        <v/>
      </c>
      <c r="J63" s="27">
        <f>IF(((('MiT Strom Pipeline'!R58="WON"))*('MiT Strom Pipeline'!B58&lt;&gt;""))&gt;0,'MiT Strom Pipeline'!R58,"")</f>
        <v/>
      </c>
      <c r="K63" s="29">
        <f>IF(((('MiT Strom Pipeline'!R58="WON"))*('MiT Strom Pipeline'!B58&lt;&gt;""))&gt;0,IF(ISNUMBER('MiT Strom Pipeline'!S58),'MiT Strom Pipeline'!S58,""),"")</f>
        <v/>
      </c>
      <c r="L63" s="27">
        <f>IF(((('MiT Strom Pipeline'!R58="WON"))*('MiT Strom Pipeline'!B58&lt;&gt;""))&gt;0,IF(LEN('MiT Strom Pipeline'!V58)&gt;0,LEFT('MiT Strom Pipeline'!V58,55),""),"")</f>
        <v/>
      </c>
      <c r="M63" s="22" t="n"/>
      <c r="N63" s="22" t="n"/>
      <c r="O63" s="22" t="n"/>
      <c r="P63" s="22" t="n"/>
      <c r="Q63" s="22" t="n"/>
      <c r="R63" s="22" t="n"/>
      <c r="S63" s="22" t="n"/>
    </row>
    <row r="64" ht="15.75" customHeight="1">
      <c r="A64" s="26">
        <f>IF(((('MiT Strom Pipeline'!R59="WON"))*('MiT Strom Pipeline'!B59&lt;&gt;""))&gt;0,IF(ISNUMBER('MiT Strom Pipeline'!A59),'MiT Strom Pipeline'!A59,""),"")</f>
        <v/>
      </c>
      <c r="B64" s="27">
        <f>IF(((('MiT Strom Pipeline'!R59="WON"))*('MiT Strom Pipeline'!B59&lt;&gt;""))&gt;0,IF('MiT Strom Pipeline'!B59="","",'MiT Strom Pipeline'!B59),"")</f>
        <v/>
      </c>
      <c r="C64" s="27">
        <f>IF(((('MiT Strom Pipeline'!R59="WON"))*('MiT Strom Pipeline'!B59&lt;&gt;""))&gt;0,IF('MiT Strom Pipeline'!C59="","",'MiT Strom Pipeline'!C59),"")</f>
        <v/>
      </c>
      <c r="D64" s="27">
        <f>IF(((('MiT Strom Pipeline'!R59="WON"))*('MiT Strom Pipeline'!B59&lt;&gt;""))&gt;0,IF('MiT Strom Pipeline'!D59="","",'MiT Strom Pipeline'!D59),"")</f>
        <v/>
      </c>
      <c r="E64" s="27">
        <f>IF(((('MiT Strom Pipeline'!R59="WON"))*('MiT Strom Pipeline'!B59&lt;&gt;""))&gt;0,IF('MiT Strom Pipeline'!H59="","",'MiT Strom Pipeline'!H59),"")</f>
        <v/>
      </c>
      <c r="F64" s="27">
        <f>IF(((('MiT Strom Pipeline'!R59="WON"))*('MiT Strom Pipeline'!B59&lt;&gt;""))&gt;0,IF('MiT Strom Pipeline'!E59="","",'MiT Strom Pipeline'!E59),"")</f>
        <v/>
      </c>
      <c r="G64" s="28">
        <f>IF(((('MiT Strom Pipeline'!R59="WON"))*('MiT Strom Pipeline'!B59&lt;&gt;""))&gt;0,IF(ISNUMBER('MiT Strom Pipeline'!I59),'MiT Strom Pipeline'!I59,0),"")</f>
        <v/>
      </c>
      <c r="H64" s="28">
        <f>IF(((('MiT Strom Pipeline'!R59="WON"))*('MiT Strom Pipeline'!B59&lt;&gt;""))&gt;0,IF(ISNUMBER('MiT Strom Pipeline'!Q59),'MiT Strom Pipeline'!Q59,0),"")</f>
        <v/>
      </c>
      <c r="I64" s="28">
        <f>IF(((('MiT Strom Pipeline'!R59="WON"))*('MiT Strom Pipeline'!B59&lt;&gt;""))&gt;0,IF(ISNUMBER('MiT Strom Pipeline'!O59),'MiT Strom Pipeline'!O59,0),"")</f>
        <v/>
      </c>
      <c r="J64" s="27">
        <f>IF(((('MiT Strom Pipeline'!R59="WON"))*('MiT Strom Pipeline'!B59&lt;&gt;""))&gt;0,'MiT Strom Pipeline'!R59,"")</f>
        <v/>
      </c>
      <c r="K64" s="29">
        <f>IF(((('MiT Strom Pipeline'!R59="WON"))*('MiT Strom Pipeline'!B59&lt;&gt;""))&gt;0,IF(ISNUMBER('MiT Strom Pipeline'!S59),'MiT Strom Pipeline'!S59,""),"")</f>
        <v/>
      </c>
      <c r="L64" s="27">
        <f>IF(((('MiT Strom Pipeline'!R59="WON"))*('MiT Strom Pipeline'!B59&lt;&gt;""))&gt;0,IF(LEN('MiT Strom Pipeline'!V59)&gt;0,LEFT('MiT Strom Pipeline'!V59,55),""),"")</f>
        <v/>
      </c>
      <c r="M64" s="22" t="n"/>
      <c r="N64" s="22" t="n"/>
      <c r="O64" s="22" t="n"/>
      <c r="P64" s="22" t="n"/>
      <c r="Q64" s="22" t="n"/>
      <c r="R64" s="22" t="n"/>
      <c r="S64" s="22" t="n"/>
    </row>
    <row r="65" ht="15.75" customHeight="1">
      <c r="A65" s="26">
        <f>IF(((('MiT Strom Pipeline'!R60="WON"))*('MiT Strom Pipeline'!B60&lt;&gt;""))&gt;0,IF(ISNUMBER('MiT Strom Pipeline'!A60),'MiT Strom Pipeline'!A60,""),"")</f>
        <v/>
      </c>
      <c r="B65" s="27">
        <f>IF(((('MiT Strom Pipeline'!R60="WON"))*('MiT Strom Pipeline'!B60&lt;&gt;""))&gt;0,IF('MiT Strom Pipeline'!B60="","",'MiT Strom Pipeline'!B60),"")</f>
        <v/>
      </c>
      <c r="C65" s="27">
        <f>IF(((('MiT Strom Pipeline'!R60="WON"))*('MiT Strom Pipeline'!B60&lt;&gt;""))&gt;0,IF('MiT Strom Pipeline'!C60="","",'MiT Strom Pipeline'!C60),"")</f>
        <v/>
      </c>
      <c r="D65" s="27">
        <f>IF(((('MiT Strom Pipeline'!R60="WON"))*('MiT Strom Pipeline'!B60&lt;&gt;""))&gt;0,IF('MiT Strom Pipeline'!D60="","",'MiT Strom Pipeline'!D60),"")</f>
        <v/>
      </c>
      <c r="E65" s="27">
        <f>IF(((('MiT Strom Pipeline'!R60="WON"))*('MiT Strom Pipeline'!B60&lt;&gt;""))&gt;0,IF('MiT Strom Pipeline'!H60="","",'MiT Strom Pipeline'!H60),"")</f>
        <v/>
      </c>
      <c r="F65" s="27">
        <f>IF(((('MiT Strom Pipeline'!R60="WON"))*('MiT Strom Pipeline'!B60&lt;&gt;""))&gt;0,IF('MiT Strom Pipeline'!E60="","",'MiT Strom Pipeline'!E60),"")</f>
        <v/>
      </c>
      <c r="G65" s="28">
        <f>IF(((('MiT Strom Pipeline'!R60="WON"))*('MiT Strom Pipeline'!B60&lt;&gt;""))&gt;0,IF(ISNUMBER('MiT Strom Pipeline'!I60),'MiT Strom Pipeline'!I60,0),"")</f>
        <v/>
      </c>
      <c r="H65" s="28">
        <f>IF(((('MiT Strom Pipeline'!R60="WON"))*('MiT Strom Pipeline'!B60&lt;&gt;""))&gt;0,IF(ISNUMBER('MiT Strom Pipeline'!Q60),'MiT Strom Pipeline'!Q60,0),"")</f>
        <v/>
      </c>
      <c r="I65" s="28">
        <f>IF(((('MiT Strom Pipeline'!R60="WON"))*('MiT Strom Pipeline'!B60&lt;&gt;""))&gt;0,IF(ISNUMBER('MiT Strom Pipeline'!O60),'MiT Strom Pipeline'!O60,0),"")</f>
        <v/>
      </c>
      <c r="J65" s="27">
        <f>IF(((('MiT Strom Pipeline'!R60="WON"))*('MiT Strom Pipeline'!B60&lt;&gt;""))&gt;0,'MiT Strom Pipeline'!R60,"")</f>
        <v/>
      </c>
      <c r="K65" s="29">
        <f>IF(((('MiT Strom Pipeline'!R60="WON"))*('MiT Strom Pipeline'!B60&lt;&gt;""))&gt;0,IF(ISNUMBER('MiT Strom Pipeline'!S60),'MiT Strom Pipeline'!S60,""),"")</f>
        <v/>
      </c>
      <c r="L65" s="27">
        <f>IF(((('MiT Strom Pipeline'!R60="WON"))*('MiT Strom Pipeline'!B60&lt;&gt;""))&gt;0,IF(LEN('MiT Strom Pipeline'!V60)&gt;0,LEFT('MiT Strom Pipeline'!V60,55),""),"")</f>
        <v/>
      </c>
      <c r="M65" s="22" t="n"/>
      <c r="N65" s="22" t="n"/>
      <c r="O65" s="22" t="n"/>
      <c r="P65" s="22" t="n"/>
      <c r="Q65" s="22" t="n"/>
      <c r="R65" s="22" t="n"/>
      <c r="S65" s="22" t="n"/>
    </row>
    <row r="66" ht="15.75" customHeight="1">
      <c r="A66" s="26">
        <f>IF(((('MiT Strom Pipeline'!R61="WON"))*('MiT Strom Pipeline'!B61&lt;&gt;""))&gt;0,IF(ISNUMBER('MiT Strom Pipeline'!A61),'MiT Strom Pipeline'!A61,""),"")</f>
        <v/>
      </c>
      <c r="B66" s="27">
        <f>IF(((('MiT Strom Pipeline'!R61="WON"))*('MiT Strom Pipeline'!B61&lt;&gt;""))&gt;0,IF('MiT Strom Pipeline'!B61="","",'MiT Strom Pipeline'!B61),"")</f>
        <v/>
      </c>
      <c r="C66" s="27">
        <f>IF(((('MiT Strom Pipeline'!R61="WON"))*('MiT Strom Pipeline'!B61&lt;&gt;""))&gt;0,IF('MiT Strom Pipeline'!C61="","",'MiT Strom Pipeline'!C61),"")</f>
        <v/>
      </c>
      <c r="D66" s="27">
        <f>IF(((('MiT Strom Pipeline'!R61="WON"))*('MiT Strom Pipeline'!B61&lt;&gt;""))&gt;0,IF('MiT Strom Pipeline'!D61="","",'MiT Strom Pipeline'!D61),"")</f>
        <v/>
      </c>
      <c r="E66" s="27">
        <f>IF(((('MiT Strom Pipeline'!R61="WON"))*('MiT Strom Pipeline'!B61&lt;&gt;""))&gt;0,IF('MiT Strom Pipeline'!H61="","",'MiT Strom Pipeline'!H61),"")</f>
        <v/>
      </c>
      <c r="F66" s="27">
        <f>IF(((('MiT Strom Pipeline'!R61="WON"))*('MiT Strom Pipeline'!B61&lt;&gt;""))&gt;0,IF('MiT Strom Pipeline'!E61="","",'MiT Strom Pipeline'!E61),"")</f>
        <v/>
      </c>
      <c r="G66" s="28">
        <f>IF(((('MiT Strom Pipeline'!R61="WON"))*('MiT Strom Pipeline'!B61&lt;&gt;""))&gt;0,IF(ISNUMBER('MiT Strom Pipeline'!I61),'MiT Strom Pipeline'!I61,0),"")</f>
        <v/>
      </c>
      <c r="H66" s="28">
        <f>IF(((('MiT Strom Pipeline'!R61="WON"))*('MiT Strom Pipeline'!B61&lt;&gt;""))&gt;0,IF(ISNUMBER('MiT Strom Pipeline'!Q61),'MiT Strom Pipeline'!Q61,0),"")</f>
        <v/>
      </c>
      <c r="I66" s="28">
        <f>IF(((('MiT Strom Pipeline'!R61="WON"))*('MiT Strom Pipeline'!B61&lt;&gt;""))&gt;0,IF(ISNUMBER('MiT Strom Pipeline'!O61),'MiT Strom Pipeline'!O61,0),"")</f>
        <v/>
      </c>
      <c r="J66" s="27">
        <f>IF(((('MiT Strom Pipeline'!R61="WON"))*('MiT Strom Pipeline'!B61&lt;&gt;""))&gt;0,'MiT Strom Pipeline'!R61,"")</f>
        <v/>
      </c>
      <c r="K66" s="29">
        <f>IF(((('MiT Strom Pipeline'!R61="WON"))*('MiT Strom Pipeline'!B61&lt;&gt;""))&gt;0,IF(ISNUMBER('MiT Strom Pipeline'!S61),'MiT Strom Pipeline'!S61,""),"")</f>
        <v/>
      </c>
      <c r="L66" s="27">
        <f>IF(((('MiT Strom Pipeline'!R61="WON"))*('MiT Strom Pipeline'!B61&lt;&gt;""))&gt;0,IF(LEN('MiT Strom Pipeline'!V61)&gt;0,LEFT('MiT Strom Pipeline'!V61,55),""),"")</f>
        <v/>
      </c>
      <c r="M66" s="22" t="n"/>
      <c r="N66" s="22" t="n"/>
      <c r="O66" s="22" t="n"/>
      <c r="P66" s="22" t="n"/>
      <c r="Q66" s="22" t="n"/>
      <c r="R66" s="22" t="n"/>
      <c r="S66" s="22" t="n"/>
    </row>
    <row r="67" ht="15.75" customHeight="1">
      <c r="A67" s="26">
        <f>IF(((('MiT Strom Pipeline'!R62="WON"))*('MiT Strom Pipeline'!B62&lt;&gt;""))&gt;0,IF(ISNUMBER('MiT Strom Pipeline'!A62),'MiT Strom Pipeline'!A62,""),"")</f>
        <v/>
      </c>
      <c r="B67" s="27">
        <f>IF(((('MiT Strom Pipeline'!R62="WON"))*('MiT Strom Pipeline'!B62&lt;&gt;""))&gt;0,IF('MiT Strom Pipeline'!B62="","",'MiT Strom Pipeline'!B62),"")</f>
        <v/>
      </c>
      <c r="C67" s="27">
        <f>IF(((('MiT Strom Pipeline'!R62="WON"))*('MiT Strom Pipeline'!B62&lt;&gt;""))&gt;0,IF('MiT Strom Pipeline'!C62="","",'MiT Strom Pipeline'!C62),"")</f>
        <v/>
      </c>
      <c r="D67" s="27">
        <f>IF(((('MiT Strom Pipeline'!R62="WON"))*('MiT Strom Pipeline'!B62&lt;&gt;""))&gt;0,IF('MiT Strom Pipeline'!D62="","",'MiT Strom Pipeline'!D62),"")</f>
        <v/>
      </c>
      <c r="E67" s="27">
        <f>IF(((('MiT Strom Pipeline'!R62="WON"))*('MiT Strom Pipeline'!B62&lt;&gt;""))&gt;0,IF('MiT Strom Pipeline'!H62="","",'MiT Strom Pipeline'!H62),"")</f>
        <v/>
      </c>
      <c r="F67" s="27">
        <f>IF(((('MiT Strom Pipeline'!R62="WON"))*('MiT Strom Pipeline'!B62&lt;&gt;""))&gt;0,IF('MiT Strom Pipeline'!E62="","",'MiT Strom Pipeline'!E62),"")</f>
        <v/>
      </c>
      <c r="G67" s="28">
        <f>IF(((('MiT Strom Pipeline'!R62="WON"))*('MiT Strom Pipeline'!B62&lt;&gt;""))&gt;0,IF(ISNUMBER('MiT Strom Pipeline'!I62),'MiT Strom Pipeline'!I62,0),"")</f>
        <v/>
      </c>
      <c r="H67" s="28">
        <f>IF(((('MiT Strom Pipeline'!R62="WON"))*('MiT Strom Pipeline'!B62&lt;&gt;""))&gt;0,IF(ISNUMBER('MiT Strom Pipeline'!Q62),'MiT Strom Pipeline'!Q62,0),"")</f>
        <v/>
      </c>
      <c r="I67" s="28">
        <f>IF(((('MiT Strom Pipeline'!R62="WON"))*('MiT Strom Pipeline'!B62&lt;&gt;""))&gt;0,IF(ISNUMBER('MiT Strom Pipeline'!O62),'MiT Strom Pipeline'!O62,0),"")</f>
        <v/>
      </c>
      <c r="J67" s="27">
        <f>IF(((('MiT Strom Pipeline'!R62="WON"))*('MiT Strom Pipeline'!B62&lt;&gt;""))&gt;0,'MiT Strom Pipeline'!R62,"")</f>
        <v/>
      </c>
      <c r="K67" s="29">
        <f>IF(((('MiT Strom Pipeline'!R62="WON"))*('MiT Strom Pipeline'!B62&lt;&gt;""))&gt;0,IF(ISNUMBER('MiT Strom Pipeline'!S62),'MiT Strom Pipeline'!S62,""),"")</f>
        <v/>
      </c>
      <c r="L67" s="27">
        <f>IF(((('MiT Strom Pipeline'!R62="WON"))*('MiT Strom Pipeline'!B62&lt;&gt;""))&gt;0,IF(LEN('MiT Strom Pipeline'!V62)&gt;0,LEFT('MiT Strom Pipeline'!V62,55),""),"")</f>
        <v/>
      </c>
      <c r="M67" s="22" t="n"/>
      <c r="N67" s="22" t="n"/>
      <c r="O67" s="22" t="n"/>
      <c r="P67" s="22" t="n"/>
      <c r="Q67" s="22" t="n"/>
      <c r="R67" s="22" t="n"/>
      <c r="S67" s="22" t="n"/>
    </row>
    <row r="68" ht="15.75" customHeight="1">
      <c r="A68" s="26">
        <f>IF(((('MiT Strom Pipeline'!R63="WON"))*('MiT Strom Pipeline'!B63&lt;&gt;""))&gt;0,IF(ISNUMBER('MiT Strom Pipeline'!A63),'MiT Strom Pipeline'!A63,""),"")</f>
        <v/>
      </c>
      <c r="B68" s="27">
        <f>IF(((('MiT Strom Pipeline'!R63="WON"))*('MiT Strom Pipeline'!B63&lt;&gt;""))&gt;0,IF('MiT Strom Pipeline'!B63="","",'MiT Strom Pipeline'!B63),"")</f>
        <v/>
      </c>
      <c r="C68" s="27">
        <f>IF(((('MiT Strom Pipeline'!R63="WON"))*('MiT Strom Pipeline'!B63&lt;&gt;""))&gt;0,IF('MiT Strom Pipeline'!C63="","",'MiT Strom Pipeline'!C63),"")</f>
        <v/>
      </c>
      <c r="D68" s="27">
        <f>IF(((('MiT Strom Pipeline'!R63="WON"))*('MiT Strom Pipeline'!B63&lt;&gt;""))&gt;0,IF('MiT Strom Pipeline'!D63="","",'MiT Strom Pipeline'!D63),"")</f>
        <v/>
      </c>
      <c r="E68" s="27">
        <f>IF(((('MiT Strom Pipeline'!R63="WON"))*('MiT Strom Pipeline'!B63&lt;&gt;""))&gt;0,IF('MiT Strom Pipeline'!H63="","",'MiT Strom Pipeline'!H63),"")</f>
        <v/>
      </c>
      <c r="F68" s="27">
        <f>IF(((('MiT Strom Pipeline'!R63="WON"))*('MiT Strom Pipeline'!B63&lt;&gt;""))&gt;0,IF('MiT Strom Pipeline'!E63="","",'MiT Strom Pipeline'!E63),"")</f>
        <v/>
      </c>
      <c r="G68" s="28">
        <f>IF(((('MiT Strom Pipeline'!R63="WON"))*('MiT Strom Pipeline'!B63&lt;&gt;""))&gt;0,IF(ISNUMBER('MiT Strom Pipeline'!I63),'MiT Strom Pipeline'!I63,0),"")</f>
        <v/>
      </c>
      <c r="H68" s="28">
        <f>IF(((('MiT Strom Pipeline'!R63="WON"))*('MiT Strom Pipeline'!B63&lt;&gt;""))&gt;0,IF(ISNUMBER('MiT Strom Pipeline'!Q63),'MiT Strom Pipeline'!Q63,0),"")</f>
        <v/>
      </c>
      <c r="I68" s="28">
        <f>IF(((('MiT Strom Pipeline'!R63="WON"))*('MiT Strom Pipeline'!B63&lt;&gt;""))&gt;0,IF(ISNUMBER('MiT Strom Pipeline'!O63),'MiT Strom Pipeline'!O63,0),"")</f>
        <v/>
      </c>
      <c r="J68" s="27">
        <f>IF(((('MiT Strom Pipeline'!R63="WON"))*('MiT Strom Pipeline'!B63&lt;&gt;""))&gt;0,'MiT Strom Pipeline'!R63,"")</f>
        <v/>
      </c>
      <c r="K68" s="29">
        <f>IF(((('MiT Strom Pipeline'!R63="WON"))*('MiT Strom Pipeline'!B63&lt;&gt;""))&gt;0,IF(ISNUMBER('MiT Strom Pipeline'!S63),'MiT Strom Pipeline'!S63,""),"")</f>
        <v/>
      </c>
      <c r="L68" s="27">
        <f>IF(((('MiT Strom Pipeline'!R63="WON"))*('MiT Strom Pipeline'!B63&lt;&gt;""))&gt;0,IF(LEN('MiT Strom Pipeline'!V63)&gt;0,LEFT('MiT Strom Pipeline'!V63,55),""),"")</f>
        <v/>
      </c>
      <c r="M68" s="22" t="n"/>
      <c r="N68" s="22" t="n"/>
      <c r="O68" s="22" t="n"/>
      <c r="P68" s="22" t="n"/>
      <c r="Q68" s="22" t="n"/>
      <c r="R68" s="22" t="n"/>
      <c r="S68" s="22" t="n"/>
    </row>
    <row r="69" ht="15.75" customHeight="1">
      <c r="A69" s="26">
        <f>IF(((('MiT Strom Pipeline'!R64="WON"))*('MiT Strom Pipeline'!B64&lt;&gt;""))&gt;0,IF(ISNUMBER('MiT Strom Pipeline'!A64),'MiT Strom Pipeline'!A64,""),"")</f>
        <v/>
      </c>
      <c r="B69" s="27">
        <f>IF(((('MiT Strom Pipeline'!R64="WON"))*('MiT Strom Pipeline'!B64&lt;&gt;""))&gt;0,IF('MiT Strom Pipeline'!B64="","",'MiT Strom Pipeline'!B64),"")</f>
        <v/>
      </c>
      <c r="C69" s="27">
        <f>IF(((('MiT Strom Pipeline'!R64="WON"))*('MiT Strom Pipeline'!B64&lt;&gt;""))&gt;0,IF('MiT Strom Pipeline'!C64="","",'MiT Strom Pipeline'!C64),"")</f>
        <v/>
      </c>
      <c r="D69" s="27">
        <f>IF(((('MiT Strom Pipeline'!R64="WON"))*('MiT Strom Pipeline'!B64&lt;&gt;""))&gt;0,IF('MiT Strom Pipeline'!D64="","",'MiT Strom Pipeline'!D64),"")</f>
        <v/>
      </c>
      <c r="E69" s="27">
        <f>IF(((('MiT Strom Pipeline'!R64="WON"))*('MiT Strom Pipeline'!B64&lt;&gt;""))&gt;0,IF('MiT Strom Pipeline'!H64="","",'MiT Strom Pipeline'!H64),"")</f>
        <v/>
      </c>
      <c r="F69" s="27">
        <f>IF(((('MiT Strom Pipeline'!R64="WON"))*('MiT Strom Pipeline'!B64&lt;&gt;""))&gt;0,IF('MiT Strom Pipeline'!E64="","",'MiT Strom Pipeline'!E64),"")</f>
        <v/>
      </c>
      <c r="G69" s="28">
        <f>IF(((('MiT Strom Pipeline'!R64="WON"))*('MiT Strom Pipeline'!B64&lt;&gt;""))&gt;0,IF(ISNUMBER('MiT Strom Pipeline'!I64),'MiT Strom Pipeline'!I64,0),"")</f>
        <v/>
      </c>
      <c r="H69" s="28">
        <f>IF(((('MiT Strom Pipeline'!R64="WON"))*('MiT Strom Pipeline'!B64&lt;&gt;""))&gt;0,IF(ISNUMBER('MiT Strom Pipeline'!Q64),'MiT Strom Pipeline'!Q64,0),"")</f>
        <v/>
      </c>
      <c r="I69" s="28">
        <f>IF(((('MiT Strom Pipeline'!R64="WON"))*('MiT Strom Pipeline'!B64&lt;&gt;""))&gt;0,IF(ISNUMBER('MiT Strom Pipeline'!O64),'MiT Strom Pipeline'!O64,0),"")</f>
        <v/>
      </c>
      <c r="J69" s="27">
        <f>IF(((('MiT Strom Pipeline'!R64="WON"))*('MiT Strom Pipeline'!B64&lt;&gt;""))&gt;0,'MiT Strom Pipeline'!R64,"")</f>
        <v/>
      </c>
      <c r="K69" s="29">
        <f>IF(((('MiT Strom Pipeline'!R64="WON"))*('MiT Strom Pipeline'!B64&lt;&gt;""))&gt;0,IF(ISNUMBER('MiT Strom Pipeline'!S64),'MiT Strom Pipeline'!S64,""),"")</f>
        <v/>
      </c>
      <c r="L69" s="27">
        <f>IF(((('MiT Strom Pipeline'!R64="WON"))*('MiT Strom Pipeline'!B64&lt;&gt;""))&gt;0,IF(LEN('MiT Strom Pipeline'!V64)&gt;0,LEFT('MiT Strom Pipeline'!V64,55),""),"")</f>
        <v/>
      </c>
      <c r="M69" s="22" t="n"/>
      <c r="N69" s="22" t="n"/>
      <c r="O69" s="22" t="n"/>
      <c r="P69" s="22" t="n"/>
      <c r="Q69" s="22" t="n"/>
      <c r="R69" s="22" t="n"/>
      <c r="S69" s="22" t="n"/>
    </row>
    <row r="70" ht="15.75" customHeight="1">
      <c r="A70" s="26">
        <f>IF(((('MiT Strom Pipeline'!R65="WON"))*('MiT Strom Pipeline'!B65&lt;&gt;""))&gt;0,IF(ISNUMBER('MiT Strom Pipeline'!A65),'MiT Strom Pipeline'!A65,""),"")</f>
        <v/>
      </c>
      <c r="B70" s="27">
        <f>IF(((('MiT Strom Pipeline'!R65="WON"))*('MiT Strom Pipeline'!B65&lt;&gt;""))&gt;0,IF('MiT Strom Pipeline'!B65="","",'MiT Strom Pipeline'!B65),"")</f>
        <v/>
      </c>
      <c r="C70" s="27">
        <f>IF(((('MiT Strom Pipeline'!R65="WON"))*('MiT Strom Pipeline'!B65&lt;&gt;""))&gt;0,IF('MiT Strom Pipeline'!C65="","",'MiT Strom Pipeline'!C65),"")</f>
        <v/>
      </c>
      <c r="D70" s="27">
        <f>IF(((('MiT Strom Pipeline'!R65="WON"))*('MiT Strom Pipeline'!B65&lt;&gt;""))&gt;0,IF('MiT Strom Pipeline'!D65="","",'MiT Strom Pipeline'!D65),"")</f>
        <v/>
      </c>
      <c r="E70" s="27">
        <f>IF(((('MiT Strom Pipeline'!R65="WON"))*('MiT Strom Pipeline'!B65&lt;&gt;""))&gt;0,IF('MiT Strom Pipeline'!H65="","",'MiT Strom Pipeline'!H65),"")</f>
        <v/>
      </c>
      <c r="F70" s="27">
        <f>IF(((('MiT Strom Pipeline'!R65="WON"))*('MiT Strom Pipeline'!B65&lt;&gt;""))&gt;0,IF('MiT Strom Pipeline'!E65="","",'MiT Strom Pipeline'!E65),"")</f>
        <v/>
      </c>
      <c r="G70" s="28">
        <f>IF(((('MiT Strom Pipeline'!R65="WON"))*('MiT Strom Pipeline'!B65&lt;&gt;""))&gt;0,IF(ISNUMBER('MiT Strom Pipeline'!I65),'MiT Strom Pipeline'!I65,0),"")</f>
        <v/>
      </c>
      <c r="H70" s="28">
        <f>IF(((('MiT Strom Pipeline'!R65="WON"))*('MiT Strom Pipeline'!B65&lt;&gt;""))&gt;0,IF(ISNUMBER('MiT Strom Pipeline'!Q65),'MiT Strom Pipeline'!Q65,0),"")</f>
        <v/>
      </c>
      <c r="I70" s="28">
        <f>IF(((('MiT Strom Pipeline'!R65="WON"))*('MiT Strom Pipeline'!B65&lt;&gt;""))&gt;0,IF(ISNUMBER('MiT Strom Pipeline'!O65),'MiT Strom Pipeline'!O65,0),"")</f>
        <v/>
      </c>
      <c r="J70" s="27">
        <f>IF(((('MiT Strom Pipeline'!R65="WON"))*('MiT Strom Pipeline'!B65&lt;&gt;""))&gt;0,'MiT Strom Pipeline'!R65,"")</f>
        <v/>
      </c>
      <c r="K70" s="29">
        <f>IF(((('MiT Strom Pipeline'!R65="WON"))*('MiT Strom Pipeline'!B65&lt;&gt;""))&gt;0,IF(ISNUMBER('MiT Strom Pipeline'!S65),'MiT Strom Pipeline'!S65,""),"")</f>
        <v/>
      </c>
      <c r="L70" s="27">
        <f>IF(((('MiT Strom Pipeline'!R65="WON"))*('MiT Strom Pipeline'!B65&lt;&gt;""))&gt;0,IF(LEN('MiT Strom Pipeline'!V65)&gt;0,LEFT('MiT Strom Pipeline'!V65,55),""),"")</f>
        <v/>
      </c>
      <c r="M70" s="22" t="n"/>
      <c r="N70" s="22" t="n"/>
      <c r="O70" s="22" t="n"/>
      <c r="P70" s="22" t="n"/>
      <c r="Q70" s="22" t="n"/>
      <c r="R70" s="22" t="n"/>
      <c r="S70" s="22" t="n"/>
    </row>
    <row r="71" ht="21.75" customHeight="1">
      <c r="A71" s="26">
        <f>IF(((('MiT Strom Pipeline'!R66="WON"))*('MiT Strom Pipeline'!B66&lt;&gt;""))&gt;0,IF(ISNUMBER('MiT Strom Pipeline'!A66),'MiT Strom Pipeline'!A66,""),"")</f>
        <v/>
      </c>
      <c r="B71" s="27">
        <f>IF(((('MiT Strom Pipeline'!R66="WON"))*('MiT Strom Pipeline'!B66&lt;&gt;""))&gt;0,IF('MiT Strom Pipeline'!B66="","",'MiT Strom Pipeline'!B66),"")</f>
        <v/>
      </c>
      <c r="C71" s="27">
        <f>IF(((('MiT Strom Pipeline'!R66="WON"))*('MiT Strom Pipeline'!B66&lt;&gt;""))&gt;0,IF('MiT Strom Pipeline'!C66="","",'MiT Strom Pipeline'!C66),"")</f>
        <v/>
      </c>
      <c r="D71" s="27">
        <f>IF(((('MiT Strom Pipeline'!R66="WON"))*('MiT Strom Pipeline'!B66&lt;&gt;""))&gt;0,IF('MiT Strom Pipeline'!D66="","",'MiT Strom Pipeline'!D66),"")</f>
        <v/>
      </c>
      <c r="E71" s="27">
        <f>IF(((('MiT Strom Pipeline'!R66="WON"))*('MiT Strom Pipeline'!B66&lt;&gt;""))&gt;0,IF('MiT Strom Pipeline'!H66="","",'MiT Strom Pipeline'!H66),"")</f>
        <v/>
      </c>
      <c r="F71" s="27">
        <f>IF(((('MiT Strom Pipeline'!R66="WON"))*('MiT Strom Pipeline'!B66&lt;&gt;""))&gt;0,IF('MiT Strom Pipeline'!E66="","",'MiT Strom Pipeline'!E66),"")</f>
        <v/>
      </c>
      <c r="G71" s="28">
        <f>IF(((('MiT Strom Pipeline'!R66="WON"))*('MiT Strom Pipeline'!B66&lt;&gt;""))&gt;0,IF(ISNUMBER('MiT Strom Pipeline'!I66),'MiT Strom Pipeline'!I66,0),"")</f>
        <v/>
      </c>
      <c r="H71" s="28">
        <f>IF(((('MiT Strom Pipeline'!R66="WON"))*('MiT Strom Pipeline'!B66&lt;&gt;""))&gt;0,IF(ISNUMBER('MiT Strom Pipeline'!Q66),'MiT Strom Pipeline'!Q66,0),"")</f>
        <v/>
      </c>
      <c r="I71" s="28">
        <f>IF(((('MiT Strom Pipeline'!R66="WON"))*('MiT Strom Pipeline'!B66&lt;&gt;""))&gt;0,IF(ISNUMBER('MiT Strom Pipeline'!O66),'MiT Strom Pipeline'!O66,0),"")</f>
        <v/>
      </c>
      <c r="J71" s="27">
        <f>IF(((('MiT Strom Pipeline'!R66="WON"))*('MiT Strom Pipeline'!B66&lt;&gt;""))&gt;0,'MiT Strom Pipeline'!R66,"")</f>
        <v/>
      </c>
      <c r="K71" s="29">
        <f>IF(((('MiT Strom Pipeline'!R66="WON"))*('MiT Strom Pipeline'!B66&lt;&gt;""))&gt;0,IF(ISNUMBER('MiT Strom Pipeline'!S66),'MiT Strom Pipeline'!S66,""),"")</f>
        <v/>
      </c>
      <c r="L71" s="27">
        <f>IF(((('MiT Strom Pipeline'!R66="WON"))*('MiT Strom Pipeline'!B66&lt;&gt;""))&gt;0,IF(LEN('MiT Strom Pipeline'!V66)&gt;0,LEFT('MiT Strom Pipeline'!V66,55),""),"")</f>
        <v/>
      </c>
      <c r="M71" s="22" t="n"/>
      <c r="N71" s="22" t="n"/>
      <c r="O71" s="22" t="n"/>
      <c r="P71" s="22" t="n"/>
      <c r="Q71" s="22" t="n"/>
      <c r="R71" s="22" t="n"/>
      <c r="S71" s="22" t="n"/>
    </row>
    <row r="72" ht="3.75" customHeight="1">
      <c r="A72" s="26">
        <f>IF(((('MiT Strom Pipeline'!R67="WON"))*('MiT Strom Pipeline'!B67&lt;&gt;""))&gt;0,IF(ISNUMBER('MiT Strom Pipeline'!A67),'MiT Strom Pipeline'!A67,""),"")</f>
        <v/>
      </c>
      <c r="B72" s="27">
        <f>IF(((('MiT Strom Pipeline'!R67="WON"))*('MiT Strom Pipeline'!B67&lt;&gt;""))&gt;0,IF('MiT Strom Pipeline'!B67="","",'MiT Strom Pipeline'!B67),"")</f>
        <v/>
      </c>
      <c r="C72" s="27">
        <f>IF(((('MiT Strom Pipeline'!R67="WON"))*('MiT Strom Pipeline'!B67&lt;&gt;""))&gt;0,IF('MiT Strom Pipeline'!C67="","",'MiT Strom Pipeline'!C67),"")</f>
        <v/>
      </c>
      <c r="D72" s="27">
        <f>IF(((('MiT Strom Pipeline'!R67="WON"))*('MiT Strom Pipeline'!B67&lt;&gt;""))&gt;0,IF('MiT Strom Pipeline'!D67="","",'MiT Strom Pipeline'!D67),"")</f>
        <v/>
      </c>
      <c r="E72" s="27">
        <f>IF(((('MiT Strom Pipeline'!R67="WON"))*('MiT Strom Pipeline'!B67&lt;&gt;""))&gt;0,IF('MiT Strom Pipeline'!H67="","",'MiT Strom Pipeline'!H67),"")</f>
        <v/>
      </c>
      <c r="F72" s="27">
        <f>IF(((('MiT Strom Pipeline'!R67="WON"))*('MiT Strom Pipeline'!B67&lt;&gt;""))&gt;0,IF('MiT Strom Pipeline'!E67="","",'MiT Strom Pipeline'!E67),"")</f>
        <v/>
      </c>
      <c r="G72" s="28">
        <f>IF(((('MiT Strom Pipeline'!R67="WON"))*('MiT Strom Pipeline'!B67&lt;&gt;""))&gt;0,IF(ISNUMBER('MiT Strom Pipeline'!I67),'MiT Strom Pipeline'!I67,0),"")</f>
        <v/>
      </c>
      <c r="H72" s="28">
        <f>IF(((('MiT Strom Pipeline'!R67="WON"))*('MiT Strom Pipeline'!B67&lt;&gt;""))&gt;0,IF(ISNUMBER('MiT Strom Pipeline'!Q67),'MiT Strom Pipeline'!Q67,0),"")</f>
        <v/>
      </c>
      <c r="I72" s="28">
        <f>IF(((('MiT Strom Pipeline'!R67="WON"))*('MiT Strom Pipeline'!B67&lt;&gt;""))&gt;0,IF(ISNUMBER('MiT Strom Pipeline'!O67),'MiT Strom Pipeline'!O67,0),"")</f>
        <v/>
      </c>
      <c r="J72" s="27">
        <f>IF(((('MiT Strom Pipeline'!R67="WON"))*('MiT Strom Pipeline'!B67&lt;&gt;""))&gt;0,'MiT Strom Pipeline'!R67,"")</f>
        <v/>
      </c>
      <c r="K72" s="29">
        <f>IF(((('MiT Strom Pipeline'!R67="WON"))*('MiT Strom Pipeline'!B67&lt;&gt;""))&gt;0,IF(ISNUMBER('MiT Strom Pipeline'!S67),'MiT Strom Pipeline'!S67,""),"")</f>
        <v/>
      </c>
      <c r="L72" s="27">
        <f>IF(((('MiT Strom Pipeline'!R67="WON"))*('MiT Strom Pipeline'!B67&lt;&gt;""))&gt;0,IF(LEN('MiT Strom Pipeline'!V67)&gt;0,LEFT('MiT Strom Pipeline'!V67,55),""),"")</f>
        <v/>
      </c>
      <c r="M72" s="22" t="n"/>
      <c r="N72" s="22" t="n"/>
      <c r="O72" s="22" t="n"/>
      <c r="P72" s="22" t="n"/>
      <c r="Q72" s="22" t="n"/>
      <c r="R72" s="22" t="n"/>
      <c r="S72" s="22" t="n"/>
    </row>
    <row r="73" ht="24" customHeight="1">
      <c r="A73" s="141" t="inlineStr">
        <is>
          <t>📄  2. OFFERTE — Versendete &amp; laufende Angebote</t>
        </is>
      </c>
      <c r="B73" s="189" t="n"/>
      <c r="C73" s="189" t="n"/>
      <c r="D73" s="189" t="n"/>
      <c r="E73" s="189" t="n"/>
      <c r="F73" s="189" t="n"/>
      <c r="G73" s="189" t="n"/>
      <c r="H73" s="189" t="n"/>
      <c r="I73" s="189" t="n"/>
      <c r="J73" s="189" t="n"/>
      <c r="K73" s="189" t="n"/>
      <c r="L73" s="190" t="n"/>
      <c r="M73" s="22" t="n"/>
      <c r="N73" s="22" t="n"/>
      <c r="O73" s="22" t="n"/>
      <c r="P73" s="22" t="n"/>
      <c r="Q73" s="22" t="n"/>
      <c r="R73" s="22" t="n"/>
      <c r="S73" s="22" t="n"/>
    </row>
    <row r="74" ht="19.5" customHeight="1">
      <c r="A74" s="25" t="inlineStr">
        <is>
          <t>#</t>
        </is>
      </c>
      <c r="B74" s="25" t="inlineStr">
        <is>
          <t>Kunde / Unternehmen</t>
        </is>
      </c>
      <c r="C74" s="25" t="inlineStr">
        <is>
          <t>Kt.</t>
        </is>
      </c>
      <c r="D74" s="25" t="inlineStr">
        <is>
          <t>Segment</t>
        </is>
      </c>
      <c r="E74" s="25" t="inlineStr">
        <is>
          <t>Start</t>
        </is>
      </c>
      <c r="F74" s="25" t="inlineStr">
        <is>
          <t>Leistung / Fleet</t>
        </is>
      </c>
      <c r="G74" s="25" t="inlineStr">
        <is>
          <t>Volumen CHF</t>
        </is>
      </c>
      <c r="H74" s="25" t="inlineStr">
        <is>
          <t>Gew.Wert CHF</t>
        </is>
      </c>
      <c r="I74" s="25" t="inlineStr">
        <is>
          <t>Marge CHF</t>
        </is>
      </c>
      <c r="J74" s="25" t="inlineStr">
        <is>
          <t>Status</t>
        </is>
      </c>
      <c r="K74" s="25" t="inlineStr">
        <is>
          <t>Wahr.%</t>
        </is>
      </c>
      <c r="L74" s="25" t="inlineStr">
        <is>
          <t>Nächster Schritt</t>
        </is>
      </c>
      <c r="M74" s="22" t="n"/>
      <c r="N74" s="22" t="n"/>
      <c r="O74" s="22" t="n"/>
      <c r="P74" s="22" t="n"/>
      <c r="Q74" s="22" t="n"/>
      <c r="R74" s="22" t="n"/>
      <c r="S74" s="22" t="n"/>
    </row>
    <row r="75" hidden="1" ht="15.75" customHeight="1">
      <c r="A75" s="26">
        <f>IF(((('MiT Strom Pipeline'!R6="offered")+('MiT Strom Pipeline'!R6="to be offered")+('MiT Strom Pipeline'!R6="on hold"))*('MiT Strom Pipeline'!B6&lt;&gt;""))&gt;0,IF(ISNUMBER('MiT Strom Pipeline'!A6),'MiT Strom Pipeline'!A6,""),"")</f>
        <v/>
      </c>
      <c r="B75" s="27">
        <f>IF(((('MiT Strom Pipeline'!R6="offered")+('MiT Strom Pipeline'!R6="to be offered")+('MiT Strom Pipeline'!R6="on hold"))*('MiT Strom Pipeline'!B6&lt;&gt;""))&gt;0,IF('MiT Strom Pipeline'!B6="","",'MiT Strom Pipeline'!B6),"")</f>
        <v/>
      </c>
      <c r="C75" s="27">
        <f>IF(((('MiT Strom Pipeline'!R6="offered")+('MiT Strom Pipeline'!R6="to be offered")+('MiT Strom Pipeline'!R6="on hold"))*('MiT Strom Pipeline'!B6&lt;&gt;""))&gt;0,IF('MiT Strom Pipeline'!C6="","",'MiT Strom Pipeline'!C6),"")</f>
        <v/>
      </c>
      <c r="D75" s="27">
        <f>IF(((('MiT Strom Pipeline'!R6="offered")+('MiT Strom Pipeline'!R6="to be offered")+('MiT Strom Pipeline'!R6="on hold"))*('MiT Strom Pipeline'!B6&lt;&gt;""))&gt;0,IF('MiT Strom Pipeline'!D6="","",'MiT Strom Pipeline'!D6),"")</f>
        <v/>
      </c>
      <c r="E75" s="27">
        <f>IF(((('MiT Strom Pipeline'!R6="offered")+('MiT Strom Pipeline'!R6="to be offered")+('MiT Strom Pipeline'!R6="on hold"))*('MiT Strom Pipeline'!B6&lt;&gt;""))&gt;0,IF('MiT Strom Pipeline'!H6="","",'MiT Strom Pipeline'!H6),"")</f>
        <v/>
      </c>
      <c r="F75" s="27">
        <f>IF(((('MiT Strom Pipeline'!R6="offered")+('MiT Strom Pipeline'!R6="to be offered")+('MiT Strom Pipeline'!R6="on hold"))*('MiT Strom Pipeline'!B6&lt;&gt;""))&gt;0,IF('MiT Strom Pipeline'!E6="","",'MiT Strom Pipeline'!E6),"")</f>
        <v/>
      </c>
      <c r="G75" s="28">
        <f>IF(((('MiT Strom Pipeline'!R6="offered")+('MiT Strom Pipeline'!R6="to be offered")+('MiT Strom Pipeline'!R6="on hold"))*('MiT Strom Pipeline'!B6&lt;&gt;""))&gt;0,IF(ISNUMBER('MiT Strom Pipeline'!I6),'MiT Strom Pipeline'!I6,0),"")</f>
        <v/>
      </c>
      <c r="H75" s="28">
        <f>IF(((('MiT Strom Pipeline'!R6="offered")+('MiT Strom Pipeline'!R6="to be offered")+('MiT Strom Pipeline'!R6="on hold"))*('MiT Strom Pipeline'!B6&lt;&gt;""))&gt;0,IF(ISNUMBER('MiT Strom Pipeline'!Q6),'MiT Strom Pipeline'!Q6,0),"")</f>
        <v/>
      </c>
      <c r="I75" s="28">
        <f>IF(((('MiT Strom Pipeline'!R6="offered")+('MiT Strom Pipeline'!R6="to be offered")+('MiT Strom Pipeline'!R6="on hold"))*('MiT Strom Pipeline'!B6&lt;&gt;""))&gt;0,IF(ISNUMBER('MiT Strom Pipeline'!O6),'MiT Strom Pipeline'!O6,0),"")</f>
        <v/>
      </c>
      <c r="J75" s="27">
        <f>IF(((('MiT Strom Pipeline'!R6="offered")+('MiT Strom Pipeline'!R6="to be offered")+('MiT Strom Pipeline'!R6="on hold"))*('MiT Strom Pipeline'!B6&lt;&gt;""))&gt;0,'MiT Strom Pipeline'!R6,"")</f>
        <v/>
      </c>
      <c r="K75" s="29">
        <f>IF(((('MiT Strom Pipeline'!R6="offered")+('MiT Strom Pipeline'!R6="to be offered")+('MiT Strom Pipeline'!R6="on hold"))*('MiT Strom Pipeline'!B6&lt;&gt;""))&gt;0,IF(ISNUMBER('MiT Strom Pipeline'!S6),'MiT Strom Pipeline'!S6,""),"")</f>
        <v/>
      </c>
      <c r="L75" s="27">
        <f>IF(((('MiT Strom Pipeline'!R6="offered")+('MiT Strom Pipeline'!R6="to be offered")+('MiT Strom Pipeline'!R6="on hold"))*('MiT Strom Pipeline'!B6&lt;&gt;""))&gt;0,IF(LEN('MiT Strom Pipeline'!V6)&gt;0,LEFT('MiT Strom Pipeline'!V6,55),""),"")</f>
        <v/>
      </c>
      <c r="M75" s="22" t="n"/>
      <c r="N75" s="22" t="n"/>
      <c r="O75" s="22" t="n"/>
      <c r="P75" s="22" t="n"/>
      <c r="Q75" s="22" t="n"/>
      <c r="R75" s="22" t="n"/>
      <c r="S75" s="22" t="n"/>
    </row>
    <row r="76" hidden="1" ht="15.75" customHeight="1">
      <c r="A76" s="26">
        <f>IF(((('MiT Strom Pipeline'!R7="offered")+('MiT Strom Pipeline'!R7="to be offered")+('MiT Strom Pipeline'!R7="on hold"))*('MiT Strom Pipeline'!B7&lt;&gt;""))&gt;0,IF(ISNUMBER('MiT Strom Pipeline'!A7),'MiT Strom Pipeline'!A7,""),"")</f>
        <v/>
      </c>
      <c r="B76" s="27">
        <f>IF(((('MiT Strom Pipeline'!R7="offered")+('MiT Strom Pipeline'!R7="to be offered")+('MiT Strom Pipeline'!R7="on hold"))*('MiT Strom Pipeline'!B7&lt;&gt;""))&gt;0,IF('MiT Strom Pipeline'!B7="","",'MiT Strom Pipeline'!B7),"")</f>
        <v/>
      </c>
      <c r="C76" s="27">
        <f>IF(((('MiT Strom Pipeline'!R7="offered")+('MiT Strom Pipeline'!R7="to be offered")+('MiT Strom Pipeline'!R7="on hold"))*('MiT Strom Pipeline'!B7&lt;&gt;""))&gt;0,IF('MiT Strom Pipeline'!C7="","",'MiT Strom Pipeline'!C7),"")</f>
        <v/>
      </c>
      <c r="D76" s="27">
        <f>IF(((('MiT Strom Pipeline'!R7="offered")+('MiT Strom Pipeline'!R7="to be offered")+('MiT Strom Pipeline'!R7="on hold"))*('MiT Strom Pipeline'!B7&lt;&gt;""))&gt;0,IF('MiT Strom Pipeline'!D7="","",'MiT Strom Pipeline'!D7),"")</f>
        <v/>
      </c>
      <c r="E76" s="27">
        <f>IF(((('MiT Strom Pipeline'!R7="offered")+('MiT Strom Pipeline'!R7="to be offered")+('MiT Strom Pipeline'!R7="on hold"))*('MiT Strom Pipeline'!B7&lt;&gt;""))&gt;0,IF('MiT Strom Pipeline'!H7="","",'MiT Strom Pipeline'!H7),"")</f>
        <v/>
      </c>
      <c r="F76" s="27">
        <f>IF(((('MiT Strom Pipeline'!R7="offered")+('MiT Strom Pipeline'!R7="to be offered")+('MiT Strom Pipeline'!R7="on hold"))*('MiT Strom Pipeline'!B7&lt;&gt;""))&gt;0,IF('MiT Strom Pipeline'!E7="","",'MiT Strom Pipeline'!E7),"")</f>
        <v/>
      </c>
      <c r="G76" s="28">
        <f>IF(((('MiT Strom Pipeline'!R7="offered")+('MiT Strom Pipeline'!R7="to be offered")+('MiT Strom Pipeline'!R7="on hold"))*('MiT Strom Pipeline'!B7&lt;&gt;""))&gt;0,IF(ISNUMBER('MiT Strom Pipeline'!I7),'MiT Strom Pipeline'!I7,0),"")</f>
        <v/>
      </c>
      <c r="H76" s="28">
        <f>IF(((('MiT Strom Pipeline'!R7="offered")+('MiT Strom Pipeline'!R7="to be offered")+('MiT Strom Pipeline'!R7="on hold"))*('MiT Strom Pipeline'!B7&lt;&gt;""))&gt;0,IF(ISNUMBER('MiT Strom Pipeline'!Q7),'MiT Strom Pipeline'!Q7,0),"")</f>
        <v/>
      </c>
      <c r="I76" s="28">
        <f>IF(((('MiT Strom Pipeline'!R7="offered")+('MiT Strom Pipeline'!R7="to be offered")+('MiT Strom Pipeline'!R7="on hold"))*('MiT Strom Pipeline'!B7&lt;&gt;""))&gt;0,IF(ISNUMBER('MiT Strom Pipeline'!O7),'MiT Strom Pipeline'!O7,0),"")</f>
        <v/>
      </c>
      <c r="J76" s="27">
        <f>IF(((('MiT Strom Pipeline'!R7="offered")+('MiT Strom Pipeline'!R7="to be offered")+('MiT Strom Pipeline'!R7="on hold"))*('MiT Strom Pipeline'!B7&lt;&gt;""))&gt;0,'MiT Strom Pipeline'!R7,"")</f>
        <v/>
      </c>
      <c r="K76" s="29">
        <f>IF(((('MiT Strom Pipeline'!R7="offered")+('MiT Strom Pipeline'!R7="to be offered")+('MiT Strom Pipeline'!R7="on hold"))*('MiT Strom Pipeline'!B7&lt;&gt;""))&gt;0,IF(ISNUMBER('MiT Strom Pipeline'!S7),'MiT Strom Pipeline'!S7,""),"")</f>
        <v/>
      </c>
      <c r="L76" s="27">
        <f>IF(((('MiT Strom Pipeline'!R7="offered")+('MiT Strom Pipeline'!R7="to be offered")+('MiT Strom Pipeline'!R7="on hold"))*('MiT Strom Pipeline'!B7&lt;&gt;""))&gt;0,IF(LEN('MiT Strom Pipeline'!V7)&gt;0,LEFT('MiT Strom Pipeline'!V7,55),""),"")</f>
        <v/>
      </c>
      <c r="M76" s="22" t="n"/>
      <c r="N76" s="22" t="n"/>
      <c r="O76" s="22" t="n"/>
      <c r="P76" s="22" t="n"/>
      <c r="Q76" s="22" t="n"/>
      <c r="R76" s="22" t="n"/>
      <c r="S76" s="22" t="n"/>
    </row>
    <row r="77" hidden="1" ht="15.75" customHeight="1">
      <c r="A77" s="26">
        <f>IF(((('MiT Strom Pipeline'!R8="offered")+('MiT Strom Pipeline'!R8="to be offered")+('MiT Strom Pipeline'!R8="on hold"))*('MiT Strom Pipeline'!B8&lt;&gt;""))&gt;0,IF(ISNUMBER('MiT Strom Pipeline'!A8),'MiT Strom Pipeline'!A8,""),"")</f>
        <v>15</v>
      </c>
      <c r="B77" s="27" t="str">
        <f>IF(((('MiT Strom Pipeline'!R8="offered")+('MiT Strom Pipeline'!R8="to be offered")+('MiT Strom Pipeline'!R8="on hold"))*('MiT Strom Pipeline'!B8&lt;&gt;""))&gt;0,IF('MiT Strom Pipeline'!B8="","",'MiT Strom Pipeline'!B8),"")</f>
        <v>Gotthard Base Tunnel</v>
      </c>
      <c r="C77" s="27" t="str">
        <f>IF(((('MiT Strom Pipeline'!R8="offered")+('MiT Strom Pipeline'!R8="to be offered")+('MiT Strom Pipeline'!R8="on hold"))*('MiT Strom Pipeline'!B8&lt;&gt;""))&gt;0,IF('MiT Strom Pipeline'!C8="","",'MiT Strom Pipeline'!C8),"")</f>
        <v>UR</v>
      </c>
      <c r="D77" s="27" t="str">
        <f>IF(((('MiT Strom Pipeline'!R8="offered")+('MiT Strom Pipeline'!R8="to be offered")+('MiT Strom Pipeline'!R8="on hold"))*('MiT Strom Pipeline'!B8&lt;&gt;""))&gt;0,IF('MiT Strom Pipeline'!D8="","",'MiT Strom Pipeline'!D8),"")</f>
        <v>Infrastruktur / Bahn</v>
      </c>
      <c r="E77" s="27" t="str">
        <f>IF(((('MiT Strom Pipeline'!R8="offered")+('MiT Strom Pipeline'!R8="to be offered")+('MiT Strom Pipeline'!R8="on hold"))*('MiT Strom Pipeline'!B8&lt;&gt;""))&gt;0,IF('MiT Strom Pipeline'!H8="","",'MiT Strom Pipeline'!H8),"")</f>
        <v>tbd</v>
      </c>
      <c r="F77" s="27" t="str">
        <f>IF(((('MiT Strom Pipeline'!R8="offered")+('MiT Strom Pipeline'!R8="to be offered")+('MiT Strom Pipeline'!R8="on hold"))*('MiT Strom Pipeline'!B8&lt;&gt;""))&gt;0,IF('MiT Strom Pipeline'!E8="","",'MiT Strom Pipeline'!E8),"")</f>
        <v>Grossanlage tbd</v>
      </c>
      <c r="G77" s="28">
        <f>IF(((('MiT Strom Pipeline'!R8="offered")+('MiT Strom Pipeline'!R8="to be offered")+('MiT Strom Pipeline'!R8="on hold"))*('MiT Strom Pipeline'!B8&lt;&gt;""))&gt;0,IF(ISNUMBER('MiT Strom Pipeline'!I8),'MiT Strom Pipeline'!I8,0),"")</f>
        <v>0</v>
      </c>
      <c r="H77" s="28">
        <f>IF(((('MiT Strom Pipeline'!R8="offered")+('MiT Strom Pipeline'!R8="to be offered")+('MiT Strom Pipeline'!R8="on hold"))*('MiT Strom Pipeline'!B8&lt;&gt;""))&gt;0,IF(ISNUMBER('MiT Strom Pipeline'!Q8),'MiT Strom Pipeline'!Q8,0),"")</f>
        <v>0</v>
      </c>
      <c r="I77" s="28">
        <f>IF(((('MiT Strom Pipeline'!R8="offered")+('MiT Strom Pipeline'!R8="to be offered")+('MiT Strom Pipeline'!R8="on hold"))*('MiT Strom Pipeline'!B8&lt;&gt;""))&gt;0,IF(ISNUMBER('MiT Strom Pipeline'!O8),'MiT Strom Pipeline'!O8,0),"")</f>
        <v>0</v>
      </c>
      <c r="J77" s="27" t="str">
        <f>IF(((('MiT Strom Pipeline'!R8="offered")+('MiT Strom Pipeline'!R8="to be offered")+('MiT Strom Pipeline'!R8="on hold"))*('MiT Strom Pipeline'!B8&lt;&gt;""))&gt;0,'MiT Strom Pipeline'!R8,"")</f>
        <v>on hold</v>
      </c>
      <c r="K77" s="29">
        <f>IF(((('MiT Strom Pipeline'!R8="offered")+('MiT Strom Pipeline'!R8="to be offered")+('MiT Strom Pipeline'!R8="on hold"))*('MiT Strom Pipeline'!B8&lt;&gt;""))&gt;0,IF(ISNUMBER('MiT Strom Pipeline'!S8),'MiT Strom Pipeline'!S8,""),"")</f>
        <v>0.1</v>
      </c>
      <c r="L77" s="27" t="str">
        <f>IF(((('MiT Strom Pipeline'!R8="offered")+('MiT Strom Pipeline'!R8="to be offered")+('MiT Strom Pipeline'!R8="on hold"))*('MiT Strom Pipeline'!B8&lt;&gt;""))&gt;0,IF(LEN('MiT Strom Pipeline'!V8)&gt;0,LEFT('MiT Strom Pipeline'!V8,55),""),"")</f>
        <v>Stakeholder identifizieren – AlpTransit/SBB kontaktiere</v>
      </c>
      <c r="M77" s="22" t="n"/>
      <c r="N77" s="22" t="n"/>
      <c r="O77" s="22" t="n"/>
      <c r="P77" s="22" t="n"/>
      <c r="Q77" s="22" t="n"/>
      <c r="R77" s="22" t="n"/>
      <c r="S77" s="22" t="n"/>
    </row>
    <row r="78" hidden="1" ht="15.75" customHeight="1">
      <c r="A78" s="26">
        <f>IF(((('MiT Strom Pipeline'!R9="offered")+('MiT Strom Pipeline'!R9="to be offered")+('MiT Strom Pipeline'!R9="on hold"))*('MiT Strom Pipeline'!B9&lt;&gt;""))&gt;0,IF(ISNUMBER('MiT Strom Pipeline'!A9),'MiT Strom Pipeline'!A9,""),"")</f>
        <v/>
      </c>
      <c r="B78" s="27">
        <f>IF(((('MiT Strom Pipeline'!R9="offered")+('MiT Strom Pipeline'!R9="to be offered")+('MiT Strom Pipeline'!R9="on hold"))*('MiT Strom Pipeline'!B9&lt;&gt;""))&gt;0,IF('MiT Strom Pipeline'!B9="","",'MiT Strom Pipeline'!B9),"")</f>
        <v/>
      </c>
      <c r="C78" s="27">
        <f>IF(((('MiT Strom Pipeline'!R9="offered")+('MiT Strom Pipeline'!R9="to be offered")+('MiT Strom Pipeline'!R9="on hold"))*('MiT Strom Pipeline'!B9&lt;&gt;""))&gt;0,IF('MiT Strom Pipeline'!C9="","",'MiT Strom Pipeline'!C9),"")</f>
        <v/>
      </c>
      <c r="D78" s="27">
        <f>IF(((('MiT Strom Pipeline'!R9="offered")+('MiT Strom Pipeline'!R9="to be offered")+('MiT Strom Pipeline'!R9="on hold"))*('MiT Strom Pipeline'!B9&lt;&gt;""))&gt;0,IF('MiT Strom Pipeline'!D9="","",'MiT Strom Pipeline'!D9),"")</f>
        <v/>
      </c>
      <c r="E78" s="27">
        <f>IF(((('MiT Strom Pipeline'!R9="offered")+('MiT Strom Pipeline'!R9="to be offered")+('MiT Strom Pipeline'!R9="on hold"))*('MiT Strom Pipeline'!B9&lt;&gt;""))&gt;0,IF('MiT Strom Pipeline'!H9="","",'MiT Strom Pipeline'!H9),"")</f>
        <v/>
      </c>
      <c r="F78" s="27">
        <f>IF(((('MiT Strom Pipeline'!R9="offered")+('MiT Strom Pipeline'!R9="to be offered")+('MiT Strom Pipeline'!R9="on hold"))*('MiT Strom Pipeline'!B9&lt;&gt;""))&gt;0,IF('MiT Strom Pipeline'!E9="","",'MiT Strom Pipeline'!E9),"")</f>
        <v/>
      </c>
      <c r="G78" s="28">
        <f>IF(((('MiT Strom Pipeline'!R9="offered")+('MiT Strom Pipeline'!R9="to be offered")+('MiT Strom Pipeline'!R9="on hold"))*('MiT Strom Pipeline'!B9&lt;&gt;""))&gt;0,IF(ISNUMBER('MiT Strom Pipeline'!I9),'MiT Strom Pipeline'!I9,0),"")</f>
        <v/>
      </c>
      <c r="H78" s="28">
        <f>IF(((('MiT Strom Pipeline'!R9="offered")+('MiT Strom Pipeline'!R9="to be offered")+('MiT Strom Pipeline'!R9="on hold"))*('MiT Strom Pipeline'!B9&lt;&gt;""))&gt;0,IF(ISNUMBER('MiT Strom Pipeline'!Q9),'MiT Strom Pipeline'!Q9,0),"")</f>
        <v/>
      </c>
      <c r="I78" s="28">
        <f>IF(((('MiT Strom Pipeline'!R9="offered")+('MiT Strom Pipeline'!R9="to be offered")+('MiT Strom Pipeline'!R9="on hold"))*('MiT Strom Pipeline'!B9&lt;&gt;""))&gt;0,IF(ISNUMBER('MiT Strom Pipeline'!O9),'MiT Strom Pipeline'!O9,0),"")</f>
        <v/>
      </c>
      <c r="J78" s="27">
        <f>IF(((('MiT Strom Pipeline'!R9="offered")+('MiT Strom Pipeline'!R9="to be offered")+('MiT Strom Pipeline'!R9="on hold"))*('MiT Strom Pipeline'!B9&lt;&gt;""))&gt;0,'MiT Strom Pipeline'!R9,"")</f>
        <v/>
      </c>
      <c r="K78" s="29">
        <f>IF(((('MiT Strom Pipeline'!R9="offered")+('MiT Strom Pipeline'!R9="to be offered")+('MiT Strom Pipeline'!R9="on hold"))*('MiT Strom Pipeline'!B9&lt;&gt;""))&gt;0,IF(ISNUMBER('MiT Strom Pipeline'!S9),'MiT Strom Pipeline'!S9,""),"")</f>
        <v/>
      </c>
      <c r="L78" s="27">
        <f>IF(((('MiT Strom Pipeline'!R9="offered")+('MiT Strom Pipeline'!R9="to be offered")+('MiT Strom Pipeline'!R9="on hold"))*('MiT Strom Pipeline'!B9&lt;&gt;""))&gt;0,IF(LEN('MiT Strom Pipeline'!V9)&gt;0,LEFT('MiT Strom Pipeline'!V9,55),""),"")</f>
        <v/>
      </c>
      <c r="M78" s="22" t="n"/>
      <c r="N78" s="22" t="n"/>
      <c r="O78" s="22" t="n"/>
      <c r="P78" s="22" t="n"/>
      <c r="Q78" s="22" t="n"/>
      <c r="R78" s="22" t="n"/>
      <c r="S78" s="22" t="n"/>
    </row>
    <row r="79" ht="15.75" customHeight="1">
      <c r="A79" s="26">
        <f>IF(((('MiT Strom Pipeline'!R10="offered")+('MiT Strom Pipeline'!R10="to be offered")+('MiT Strom Pipeline'!R10="on hold"))*('MiT Strom Pipeline'!B10&lt;&gt;""))&gt;0,IF(ISNUMBER('MiT Strom Pipeline'!A10),'MiT Strom Pipeline'!A10,""),"")</f>
        <v/>
      </c>
      <c r="B79" s="27">
        <f>IF(((('MiT Strom Pipeline'!R10="offered")+('MiT Strom Pipeline'!R10="to be offered")+('MiT Strom Pipeline'!R10="on hold"))*('MiT Strom Pipeline'!B10&lt;&gt;""))&gt;0,IF('MiT Strom Pipeline'!B10="","",'MiT Strom Pipeline'!B10),"")</f>
        <v/>
      </c>
      <c r="C79" s="27">
        <f>IF(((('MiT Strom Pipeline'!R10="offered")+('MiT Strom Pipeline'!R10="to be offered")+('MiT Strom Pipeline'!R10="on hold"))*('MiT Strom Pipeline'!B10&lt;&gt;""))&gt;0,IF('MiT Strom Pipeline'!C10="","",'MiT Strom Pipeline'!C10),"")</f>
        <v/>
      </c>
      <c r="D79" s="27">
        <f>IF(((('MiT Strom Pipeline'!R10="offered")+('MiT Strom Pipeline'!R10="to be offered")+('MiT Strom Pipeline'!R10="on hold"))*('MiT Strom Pipeline'!B10&lt;&gt;""))&gt;0,IF('MiT Strom Pipeline'!D10="","",'MiT Strom Pipeline'!D10),"")</f>
        <v/>
      </c>
      <c r="E79" s="27">
        <f>IF(((('MiT Strom Pipeline'!R10="offered")+('MiT Strom Pipeline'!R10="to be offered")+('MiT Strom Pipeline'!R10="on hold"))*('MiT Strom Pipeline'!B10&lt;&gt;""))&gt;0,IF('MiT Strom Pipeline'!H10="","",'MiT Strom Pipeline'!H10),"")</f>
        <v/>
      </c>
      <c r="F79" s="27">
        <f>IF(((('MiT Strom Pipeline'!R10="offered")+('MiT Strom Pipeline'!R10="to be offered")+('MiT Strom Pipeline'!R10="on hold"))*('MiT Strom Pipeline'!B10&lt;&gt;""))&gt;0,IF('MiT Strom Pipeline'!E10="","",'MiT Strom Pipeline'!E10),"")</f>
        <v/>
      </c>
      <c r="G79" s="28">
        <f>IF(((('MiT Strom Pipeline'!R10="offered")+('MiT Strom Pipeline'!R10="to be offered")+('MiT Strom Pipeline'!R10="on hold"))*('MiT Strom Pipeline'!B10&lt;&gt;""))&gt;0,IF(ISNUMBER('MiT Strom Pipeline'!I10),'MiT Strom Pipeline'!I10,0),"")</f>
        <v/>
      </c>
      <c r="H79" s="28">
        <f>IF(((('MiT Strom Pipeline'!R10="offered")+('MiT Strom Pipeline'!R10="to be offered")+('MiT Strom Pipeline'!R10="on hold"))*('MiT Strom Pipeline'!B10&lt;&gt;""))&gt;0,IF(ISNUMBER('MiT Strom Pipeline'!Q10),'MiT Strom Pipeline'!Q10,0),"")</f>
        <v/>
      </c>
      <c r="I79" s="28">
        <f>IF(((('MiT Strom Pipeline'!R10="offered")+('MiT Strom Pipeline'!R10="to be offered")+('MiT Strom Pipeline'!R10="on hold"))*('MiT Strom Pipeline'!B10&lt;&gt;""))&gt;0,IF(ISNUMBER('MiT Strom Pipeline'!O10),'MiT Strom Pipeline'!O10,0),"")</f>
        <v/>
      </c>
      <c r="J79" s="27">
        <f>IF(((('MiT Strom Pipeline'!R10="offered")+('MiT Strom Pipeline'!R10="to be offered")+('MiT Strom Pipeline'!R10="on hold"))*('MiT Strom Pipeline'!B10&lt;&gt;""))&gt;0,'MiT Strom Pipeline'!R10,"")</f>
        <v/>
      </c>
      <c r="K79" s="29">
        <f>IF(((('MiT Strom Pipeline'!R10="offered")+('MiT Strom Pipeline'!R10="to be offered")+('MiT Strom Pipeline'!R10="on hold"))*('MiT Strom Pipeline'!B10&lt;&gt;""))&gt;0,IF(ISNUMBER('MiT Strom Pipeline'!S10),'MiT Strom Pipeline'!S10,""),"")</f>
        <v/>
      </c>
      <c r="L79" s="27">
        <f>IF(((('MiT Strom Pipeline'!R10="offered")+('MiT Strom Pipeline'!R10="to be offered")+('MiT Strom Pipeline'!R10="on hold"))*('MiT Strom Pipeline'!B10&lt;&gt;""))&gt;0,IF(LEN('MiT Strom Pipeline'!V10)&gt;0,LEFT('MiT Strom Pipeline'!V10,55),""),"")</f>
        <v/>
      </c>
      <c r="M79" s="22" t="n"/>
      <c r="N79" s="22" t="n"/>
      <c r="O79" s="22" t="n"/>
      <c r="P79" s="22" t="n"/>
      <c r="Q79" s="22" t="n"/>
      <c r="R79" s="22" t="n"/>
      <c r="S79" s="22" t="n"/>
    </row>
    <row r="80" hidden="1" ht="15.75" customHeight="1">
      <c r="A80" s="26">
        <f>IF(((('MiT Strom Pipeline'!R11="offered")+('MiT Strom Pipeline'!R11="to be offered")+('MiT Strom Pipeline'!R11="on hold"))*('MiT Strom Pipeline'!B11&lt;&gt;""))&gt;0,IF(ISNUMBER('MiT Strom Pipeline'!A11),'MiT Strom Pipeline'!A11,""),"")</f>
        <v/>
      </c>
      <c r="B80" s="27">
        <f>IF(((('MiT Strom Pipeline'!R11="offered")+('MiT Strom Pipeline'!R11="to be offered")+('MiT Strom Pipeline'!R11="on hold"))*('MiT Strom Pipeline'!B11&lt;&gt;""))&gt;0,IF('MiT Strom Pipeline'!B11="","",'MiT Strom Pipeline'!B11),"")</f>
        <v/>
      </c>
      <c r="C80" s="27">
        <f>IF(((('MiT Strom Pipeline'!R11="offered")+('MiT Strom Pipeline'!R11="to be offered")+('MiT Strom Pipeline'!R11="on hold"))*('MiT Strom Pipeline'!B11&lt;&gt;""))&gt;0,IF('MiT Strom Pipeline'!C11="","",'MiT Strom Pipeline'!C11),"")</f>
        <v/>
      </c>
      <c r="D80" s="27">
        <f>IF(((('MiT Strom Pipeline'!R11="offered")+('MiT Strom Pipeline'!R11="to be offered")+('MiT Strom Pipeline'!R11="on hold"))*('MiT Strom Pipeline'!B11&lt;&gt;""))&gt;0,IF('MiT Strom Pipeline'!D11="","",'MiT Strom Pipeline'!D11),"")</f>
        <v/>
      </c>
      <c r="E80" s="27">
        <f>IF(((('MiT Strom Pipeline'!R11="offered")+('MiT Strom Pipeline'!R11="to be offered")+('MiT Strom Pipeline'!R11="on hold"))*('MiT Strom Pipeline'!B11&lt;&gt;""))&gt;0,IF('MiT Strom Pipeline'!H11="","",'MiT Strom Pipeline'!H11),"")</f>
        <v/>
      </c>
      <c r="F80" s="27">
        <f>IF(((('MiT Strom Pipeline'!R11="offered")+('MiT Strom Pipeline'!R11="to be offered")+('MiT Strom Pipeline'!R11="on hold"))*('MiT Strom Pipeline'!B11&lt;&gt;""))&gt;0,IF('MiT Strom Pipeline'!E11="","",'MiT Strom Pipeline'!E11),"")</f>
        <v/>
      </c>
      <c r="G80" s="28">
        <f>IF(((('MiT Strom Pipeline'!R11="offered")+('MiT Strom Pipeline'!R11="to be offered")+('MiT Strom Pipeline'!R11="on hold"))*('MiT Strom Pipeline'!B11&lt;&gt;""))&gt;0,IF(ISNUMBER('MiT Strom Pipeline'!I11),'MiT Strom Pipeline'!I11,0),"")</f>
        <v/>
      </c>
      <c r="H80" s="28">
        <f>IF(((('MiT Strom Pipeline'!R11="offered")+('MiT Strom Pipeline'!R11="to be offered")+('MiT Strom Pipeline'!R11="on hold"))*('MiT Strom Pipeline'!B11&lt;&gt;""))&gt;0,IF(ISNUMBER('MiT Strom Pipeline'!Q11),'MiT Strom Pipeline'!Q11,0),"")</f>
        <v/>
      </c>
      <c r="I80" s="28">
        <f>IF(((('MiT Strom Pipeline'!R11="offered")+('MiT Strom Pipeline'!R11="to be offered")+('MiT Strom Pipeline'!R11="on hold"))*('MiT Strom Pipeline'!B11&lt;&gt;""))&gt;0,IF(ISNUMBER('MiT Strom Pipeline'!O11),'MiT Strom Pipeline'!O11,0),"")</f>
        <v/>
      </c>
      <c r="J80" s="27">
        <f>IF(((('MiT Strom Pipeline'!R11="offered")+('MiT Strom Pipeline'!R11="to be offered")+('MiT Strom Pipeline'!R11="on hold"))*('MiT Strom Pipeline'!B11&lt;&gt;""))&gt;0,'MiT Strom Pipeline'!R11,"")</f>
        <v/>
      </c>
      <c r="K80" s="29">
        <f>IF(((('MiT Strom Pipeline'!R11="offered")+('MiT Strom Pipeline'!R11="to be offered")+('MiT Strom Pipeline'!R11="on hold"))*('MiT Strom Pipeline'!B11&lt;&gt;""))&gt;0,IF(ISNUMBER('MiT Strom Pipeline'!S11),'MiT Strom Pipeline'!S11,""),"")</f>
        <v/>
      </c>
      <c r="L80" s="27">
        <f>IF(((('MiT Strom Pipeline'!R11="offered")+('MiT Strom Pipeline'!R11="to be offered")+('MiT Strom Pipeline'!R11="on hold"))*('MiT Strom Pipeline'!B11&lt;&gt;""))&gt;0,IF(LEN('MiT Strom Pipeline'!V11)&gt;0,LEFT('MiT Strom Pipeline'!V11,55),""),"")</f>
        <v/>
      </c>
      <c r="M80" s="22" t="n"/>
      <c r="N80" s="22" t="n"/>
      <c r="O80" s="22" t="n"/>
      <c r="P80" s="22" t="n"/>
      <c r="Q80" s="22" t="n"/>
      <c r="R80" s="22" t="n"/>
      <c r="S80" s="22" t="n"/>
    </row>
    <row r="81" hidden="1" ht="15.75" customHeight="1">
      <c r="A81" s="26">
        <f>IF(((('MiT Strom Pipeline'!R12="offered")+('MiT Strom Pipeline'!R12="to be offered")+('MiT Strom Pipeline'!R12="on hold"))*('MiT Strom Pipeline'!B12&lt;&gt;""))&gt;0,IF(ISNUMBER('MiT Strom Pipeline'!A12),'MiT Strom Pipeline'!A12,""),"")</f>
        <v/>
      </c>
      <c r="B81" s="27">
        <f>IF(((('MiT Strom Pipeline'!R12="offered")+('MiT Strom Pipeline'!R12="to be offered")+('MiT Strom Pipeline'!R12="on hold"))*('MiT Strom Pipeline'!B12&lt;&gt;""))&gt;0,IF('MiT Strom Pipeline'!B12="","",'MiT Strom Pipeline'!B12),"")</f>
        <v/>
      </c>
      <c r="C81" s="27">
        <f>IF(((('MiT Strom Pipeline'!R12="offered")+('MiT Strom Pipeline'!R12="to be offered")+('MiT Strom Pipeline'!R12="on hold"))*('MiT Strom Pipeline'!B12&lt;&gt;""))&gt;0,IF('MiT Strom Pipeline'!C12="","",'MiT Strom Pipeline'!C12),"")</f>
        <v/>
      </c>
      <c r="D81" s="27">
        <f>IF(((('MiT Strom Pipeline'!R12="offered")+('MiT Strom Pipeline'!R12="to be offered")+('MiT Strom Pipeline'!R12="on hold"))*('MiT Strom Pipeline'!B12&lt;&gt;""))&gt;0,IF('MiT Strom Pipeline'!D12="","",'MiT Strom Pipeline'!D12),"")</f>
        <v/>
      </c>
      <c r="E81" s="27">
        <f>IF(((('MiT Strom Pipeline'!R12="offered")+('MiT Strom Pipeline'!R12="to be offered")+('MiT Strom Pipeline'!R12="on hold"))*('MiT Strom Pipeline'!B12&lt;&gt;""))&gt;0,IF('MiT Strom Pipeline'!H12="","",'MiT Strom Pipeline'!H12),"")</f>
        <v/>
      </c>
      <c r="F81" s="27">
        <f>IF(((('MiT Strom Pipeline'!R12="offered")+('MiT Strom Pipeline'!R12="to be offered")+('MiT Strom Pipeline'!R12="on hold"))*('MiT Strom Pipeline'!B12&lt;&gt;""))&gt;0,IF('MiT Strom Pipeline'!E12="","",'MiT Strom Pipeline'!E12),"")</f>
        <v/>
      </c>
      <c r="G81" s="28">
        <f>IF(((('MiT Strom Pipeline'!R12="offered")+('MiT Strom Pipeline'!R12="to be offered")+('MiT Strom Pipeline'!R12="on hold"))*('MiT Strom Pipeline'!B12&lt;&gt;""))&gt;0,IF(ISNUMBER('MiT Strom Pipeline'!I12),'MiT Strom Pipeline'!I12,0),"")</f>
        <v/>
      </c>
      <c r="H81" s="28">
        <f>IF(((('MiT Strom Pipeline'!R12="offered")+('MiT Strom Pipeline'!R12="to be offered")+('MiT Strom Pipeline'!R12="on hold"))*('MiT Strom Pipeline'!B12&lt;&gt;""))&gt;0,IF(ISNUMBER('MiT Strom Pipeline'!Q12),'MiT Strom Pipeline'!Q12,0),"")</f>
        <v/>
      </c>
      <c r="I81" s="28">
        <f>IF(((('MiT Strom Pipeline'!R12="offered")+('MiT Strom Pipeline'!R12="to be offered")+('MiT Strom Pipeline'!R12="on hold"))*('MiT Strom Pipeline'!B12&lt;&gt;""))&gt;0,IF(ISNUMBER('MiT Strom Pipeline'!O12),'MiT Strom Pipeline'!O12,0),"")</f>
        <v/>
      </c>
      <c r="J81" s="27">
        <f>IF(((('MiT Strom Pipeline'!R12="offered")+('MiT Strom Pipeline'!R12="to be offered")+('MiT Strom Pipeline'!R12="on hold"))*('MiT Strom Pipeline'!B12&lt;&gt;""))&gt;0,'MiT Strom Pipeline'!R12,"")</f>
        <v/>
      </c>
      <c r="K81" s="29">
        <f>IF(((('MiT Strom Pipeline'!R12="offered")+('MiT Strom Pipeline'!R12="to be offered")+('MiT Strom Pipeline'!R12="on hold"))*('MiT Strom Pipeline'!B12&lt;&gt;""))&gt;0,IF(ISNUMBER('MiT Strom Pipeline'!S12),'MiT Strom Pipeline'!S12,""),"")</f>
        <v/>
      </c>
      <c r="L81" s="27">
        <f>IF(((('MiT Strom Pipeline'!R12="offered")+('MiT Strom Pipeline'!R12="to be offered")+('MiT Strom Pipeline'!R12="on hold"))*('MiT Strom Pipeline'!B12&lt;&gt;""))&gt;0,IF(LEN('MiT Strom Pipeline'!V12)&gt;0,LEFT('MiT Strom Pipeline'!V12,55),""),"")</f>
        <v/>
      </c>
      <c r="M81" s="22" t="n"/>
      <c r="N81" s="22" t="n"/>
      <c r="O81" s="22" t="n"/>
      <c r="P81" s="22" t="n"/>
      <c r="Q81" s="22" t="n"/>
      <c r="R81" s="22" t="n"/>
      <c r="S81" s="22" t="n"/>
    </row>
    <row r="82" hidden="1" ht="15.75" customHeight="1">
      <c r="A82" s="26">
        <f>IF(((('MiT Strom Pipeline'!R13="offered")+('MiT Strom Pipeline'!R13="to be offered")+('MiT Strom Pipeline'!R13="on hold"))*('MiT Strom Pipeline'!B13&lt;&gt;""))&gt;0,IF(ISNUMBER('MiT Strom Pipeline'!A13),'MiT Strom Pipeline'!A13,""),"")</f>
        <v/>
      </c>
      <c r="B82" s="27">
        <f>IF(((('MiT Strom Pipeline'!R13="offered")+('MiT Strom Pipeline'!R13="to be offered")+('MiT Strom Pipeline'!R13="on hold"))*('MiT Strom Pipeline'!B13&lt;&gt;""))&gt;0,IF('MiT Strom Pipeline'!B13="","",'MiT Strom Pipeline'!B13),"")</f>
        <v/>
      </c>
      <c r="C82" s="27">
        <f>IF(((('MiT Strom Pipeline'!R13="offered")+('MiT Strom Pipeline'!R13="to be offered")+('MiT Strom Pipeline'!R13="on hold"))*('MiT Strom Pipeline'!B13&lt;&gt;""))&gt;0,IF('MiT Strom Pipeline'!C13="","",'MiT Strom Pipeline'!C13),"")</f>
        <v/>
      </c>
      <c r="D82" s="27">
        <f>IF(((('MiT Strom Pipeline'!R13="offered")+('MiT Strom Pipeline'!R13="to be offered")+('MiT Strom Pipeline'!R13="on hold"))*('MiT Strom Pipeline'!B13&lt;&gt;""))&gt;0,IF('MiT Strom Pipeline'!D13="","",'MiT Strom Pipeline'!D13),"")</f>
        <v/>
      </c>
      <c r="E82" s="27">
        <f>IF(((('MiT Strom Pipeline'!R13="offered")+('MiT Strom Pipeline'!R13="to be offered")+('MiT Strom Pipeline'!R13="on hold"))*('MiT Strom Pipeline'!B13&lt;&gt;""))&gt;0,IF('MiT Strom Pipeline'!H13="","",'MiT Strom Pipeline'!H13),"")</f>
        <v/>
      </c>
      <c r="F82" s="27">
        <f>IF(((('MiT Strom Pipeline'!R13="offered")+('MiT Strom Pipeline'!R13="to be offered")+('MiT Strom Pipeline'!R13="on hold"))*('MiT Strom Pipeline'!B13&lt;&gt;""))&gt;0,IF('MiT Strom Pipeline'!E13="","",'MiT Strom Pipeline'!E13),"")</f>
        <v/>
      </c>
      <c r="G82" s="28">
        <f>IF(((('MiT Strom Pipeline'!R13="offered")+('MiT Strom Pipeline'!R13="to be offered")+('MiT Strom Pipeline'!R13="on hold"))*('MiT Strom Pipeline'!B13&lt;&gt;""))&gt;0,IF(ISNUMBER('MiT Strom Pipeline'!I13),'MiT Strom Pipeline'!I13,0),"")</f>
        <v/>
      </c>
      <c r="H82" s="28">
        <f>IF(((('MiT Strom Pipeline'!R13="offered")+('MiT Strom Pipeline'!R13="to be offered")+('MiT Strom Pipeline'!R13="on hold"))*('MiT Strom Pipeline'!B13&lt;&gt;""))&gt;0,IF(ISNUMBER('MiT Strom Pipeline'!Q13),'MiT Strom Pipeline'!Q13,0),"")</f>
        <v/>
      </c>
      <c r="I82" s="28">
        <f>IF(((('MiT Strom Pipeline'!R13="offered")+('MiT Strom Pipeline'!R13="to be offered")+('MiT Strom Pipeline'!R13="on hold"))*('MiT Strom Pipeline'!B13&lt;&gt;""))&gt;0,IF(ISNUMBER('MiT Strom Pipeline'!O13),'MiT Strom Pipeline'!O13,0),"")</f>
        <v/>
      </c>
      <c r="J82" s="27">
        <f>IF(((('MiT Strom Pipeline'!R13="offered")+('MiT Strom Pipeline'!R13="to be offered")+('MiT Strom Pipeline'!R13="on hold"))*('MiT Strom Pipeline'!B13&lt;&gt;""))&gt;0,'MiT Strom Pipeline'!R13,"")</f>
        <v/>
      </c>
      <c r="K82" s="29">
        <f>IF(((('MiT Strom Pipeline'!R13="offered")+('MiT Strom Pipeline'!R13="to be offered")+('MiT Strom Pipeline'!R13="on hold"))*('MiT Strom Pipeline'!B13&lt;&gt;""))&gt;0,IF(ISNUMBER('MiT Strom Pipeline'!S13),'MiT Strom Pipeline'!S13,""),"")</f>
        <v/>
      </c>
      <c r="L82" s="27">
        <f>IF(((('MiT Strom Pipeline'!R13="offered")+('MiT Strom Pipeline'!R13="to be offered")+('MiT Strom Pipeline'!R13="on hold"))*('MiT Strom Pipeline'!B13&lt;&gt;""))&gt;0,IF(LEN('MiT Strom Pipeline'!V13)&gt;0,LEFT('MiT Strom Pipeline'!V13,55),""),"")</f>
        <v/>
      </c>
      <c r="M82" s="22" t="n"/>
      <c r="N82" s="22" t="n"/>
      <c r="O82" s="22" t="n"/>
      <c r="P82" s="22" t="n"/>
      <c r="Q82" s="22" t="n"/>
      <c r="R82" s="22" t="n"/>
      <c r="S82" s="22" t="n"/>
    </row>
    <row r="83" hidden="1" ht="15.75" customHeight="1">
      <c r="A83" s="26">
        <f>IF(((('MiT Strom Pipeline'!R14="offered")+('MiT Strom Pipeline'!R14="to be offered")+('MiT Strom Pipeline'!R14="on hold"))*('MiT Strom Pipeline'!B14&lt;&gt;""))&gt;0,IF(ISNUMBER('MiT Strom Pipeline'!A14),'MiT Strom Pipeline'!A14,""),"")</f>
        <v/>
      </c>
      <c r="B83" s="27">
        <f>IF(((('MiT Strom Pipeline'!R14="offered")+('MiT Strom Pipeline'!R14="to be offered")+('MiT Strom Pipeline'!R14="on hold"))*('MiT Strom Pipeline'!B14&lt;&gt;""))&gt;0,IF('MiT Strom Pipeline'!B14="","",'MiT Strom Pipeline'!B14),"")</f>
        <v/>
      </c>
      <c r="C83" s="27">
        <f>IF(((('MiT Strom Pipeline'!R14="offered")+('MiT Strom Pipeline'!R14="to be offered")+('MiT Strom Pipeline'!R14="on hold"))*('MiT Strom Pipeline'!B14&lt;&gt;""))&gt;0,IF('MiT Strom Pipeline'!C14="","",'MiT Strom Pipeline'!C14),"")</f>
        <v/>
      </c>
      <c r="D83" s="27">
        <f>IF(((('MiT Strom Pipeline'!R14="offered")+('MiT Strom Pipeline'!R14="to be offered")+('MiT Strom Pipeline'!R14="on hold"))*('MiT Strom Pipeline'!B14&lt;&gt;""))&gt;0,IF('MiT Strom Pipeline'!D14="","",'MiT Strom Pipeline'!D14),"")</f>
        <v/>
      </c>
      <c r="E83" s="27">
        <f>IF(((('MiT Strom Pipeline'!R14="offered")+('MiT Strom Pipeline'!R14="to be offered")+('MiT Strom Pipeline'!R14="on hold"))*('MiT Strom Pipeline'!B14&lt;&gt;""))&gt;0,IF('MiT Strom Pipeline'!H14="","",'MiT Strom Pipeline'!H14),"")</f>
        <v/>
      </c>
      <c r="F83" s="27">
        <f>IF(((('MiT Strom Pipeline'!R14="offered")+('MiT Strom Pipeline'!R14="to be offered")+('MiT Strom Pipeline'!R14="on hold"))*('MiT Strom Pipeline'!B14&lt;&gt;""))&gt;0,IF('MiT Strom Pipeline'!E14="","",'MiT Strom Pipeline'!E14),"")</f>
        <v/>
      </c>
      <c r="G83" s="28">
        <f>IF(((('MiT Strom Pipeline'!R14="offered")+('MiT Strom Pipeline'!R14="to be offered")+('MiT Strom Pipeline'!R14="on hold"))*('MiT Strom Pipeline'!B14&lt;&gt;""))&gt;0,IF(ISNUMBER('MiT Strom Pipeline'!I14),'MiT Strom Pipeline'!I14,0),"")</f>
        <v/>
      </c>
      <c r="H83" s="28">
        <f>IF(((('MiT Strom Pipeline'!R14="offered")+('MiT Strom Pipeline'!R14="to be offered")+('MiT Strom Pipeline'!R14="on hold"))*('MiT Strom Pipeline'!B14&lt;&gt;""))&gt;0,IF(ISNUMBER('MiT Strom Pipeline'!Q14),'MiT Strom Pipeline'!Q14,0),"")</f>
        <v/>
      </c>
      <c r="I83" s="28">
        <f>IF(((('MiT Strom Pipeline'!R14="offered")+('MiT Strom Pipeline'!R14="to be offered")+('MiT Strom Pipeline'!R14="on hold"))*('MiT Strom Pipeline'!B14&lt;&gt;""))&gt;0,IF(ISNUMBER('MiT Strom Pipeline'!O14),'MiT Strom Pipeline'!O14,0),"")</f>
        <v/>
      </c>
      <c r="J83" s="27">
        <f>IF(((('MiT Strom Pipeline'!R14="offered")+('MiT Strom Pipeline'!R14="to be offered")+('MiT Strom Pipeline'!R14="on hold"))*('MiT Strom Pipeline'!B14&lt;&gt;""))&gt;0,'MiT Strom Pipeline'!R14,"")</f>
        <v/>
      </c>
      <c r="K83" s="29">
        <f>IF(((('MiT Strom Pipeline'!R14="offered")+('MiT Strom Pipeline'!R14="to be offered")+('MiT Strom Pipeline'!R14="on hold"))*('MiT Strom Pipeline'!B14&lt;&gt;""))&gt;0,IF(ISNUMBER('MiT Strom Pipeline'!S14),'MiT Strom Pipeline'!S14,""),"")</f>
        <v/>
      </c>
      <c r="L83" s="27">
        <f>IF(((('MiT Strom Pipeline'!R14="offered")+('MiT Strom Pipeline'!R14="to be offered")+('MiT Strom Pipeline'!R14="on hold"))*('MiT Strom Pipeline'!B14&lt;&gt;""))&gt;0,IF(LEN('MiT Strom Pipeline'!V14)&gt;0,LEFT('MiT Strom Pipeline'!V14,55),""),"")</f>
        <v/>
      </c>
      <c r="M83" s="22" t="n"/>
      <c r="N83" s="22" t="n"/>
      <c r="O83" s="22" t="n"/>
      <c r="P83" s="22" t="n"/>
      <c r="Q83" s="22" t="n"/>
      <c r="R83" s="22" t="n"/>
      <c r="S83" s="22" t="n"/>
    </row>
    <row r="84" ht="15.75" customHeight="1">
      <c r="A84" s="26">
        <f>IF(((('MiT Strom Pipeline'!R15="offered")+('MiT Strom Pipeline'!R15="to be offered")+('MiT Strom Pipeline'!R15="on hold"))*('MiT Strom Pipeline'!B15&lt;&gt;""))&gt;0,IF(ISNUMBER('MiT Strom Pipeline'!A15),'MiT Strom Pipeline'!A15,""),"")</f>
        <v/>
      </c>
      <c r="B84" s="27">
        <f>IF(((('MiT Strom Pipeline'!R15="offered")+('MiT Strom Pipeline'!R15="to be offered")+('MiT Strom Pipeline'!R15="on hold"))*('MiT Strom Pipeline'!B15&lt;&gt;""))&gt;0,IF('MiT Strom Pipeline'!B15="","",'MiT Strom Pipeline'!B15),"")</f>
        <v/>
      </c>
      <c r="C84" s="27">
        <f>IF(((('MiT Strom Pipeline'!R15="offered")+('MiT Strom Pipeline'!R15="to be offered")+('MiT Strom Pipeline'!R15="on hold"))*('MiT Strom Pipeline'!B15&lt;&gt;""))&gt;0,IF('MiT Strom Pipeline'!C15="","",'MiT Strom Pipeline'!C15),"")</f>
        <v/>
      </c>
      <c r="D84" s="27">
        <f>IF(((('MiT Strom Pipeline'!R15="offered")+('MiT Strom Pipeline'!R15="to be offered")+('MiT Strom Pipeline'!R15="on hold"))*('MiT Strom Pipeline'!B15&lt;&gt;""))&gt;0,IF('MiT Strom Pipeline'!D15="","",'MiT Strom Pipeline'!D15),"")</f>
        <v/>
      </c>
      <c r="E84" s="27">
        <f>IF(((('MiT Strom Pipeline'!R15="offered")+('MiT Strom Pipeline'!R15="to be offered")+('MiT Strom Pipeline'!R15="on hold"))*('MiT Strom Pipeline'!B15&lt;&gt;""))&gt;0,IF('MiT Strom Pipeline'!H15="","",'MiT Strom Pipeline'!H15),"")</f>
        <v/>
      </c>
      <c r="F84" s="27">
        <f>IF(((('MiT Strom Pipeline'!R15="offered")+('MiT Strom Pipeline'!R15="to be offered")+('MiT Strom Pipeline'!R15="on hold"))*('MiT Strom Pipeline'!B15&lt;&gt;""))&gt;0,IF('MiT Strom Pipeline'!E15="","",'MiT Strom Pipeline'!E15),"")</f>
        <v/>
      </c>
      <c r="G84" s="28">
        <f>IF(((('MiT Strom Pipeline'!R15="offered")+('MiT Strom Pipeline'!R15="to be offered")+('MiT Strom Pipeline'!R15="on hold"))*('MiT Strom Pipeline'!B15&lt;&gt;""))&gt;0,IF(ISNUMBER('MiT Strom Pipeline'!I15),'MiT Strom Pipeline'!I15,0),"")</f>
        <v/>
      </c>
      <c r="H84" s="28">
        <f>IF(((('MiT Strom Pipeline'!R15="offered")+('MiT Strom Pipeline'!R15="to be offered")+('MiT Strom Pipeline'!R15="on hold"))*('MiT Strom Pipeline'!B15&lt;&gt;""))&gt;0,IF(ISNUMBER('MiT Strom Pipeline'!Q15),'MiT Strom Pipeline'!Q15,0),"")</f>
        <v/>
      </c>
      <c r="I84" s="28">
        <f>IF(((('MiT Strom Pipeline'!R15="offered")+('MiT Strom Pipeline'!R15="to be offered")+('MiT Strom Pipeline'!R15="on hold"))*('MiT Strom Pipeline'!B15&lt;&gt;""))&gt;0,IF(ISNUMBER('MiT Strom Pipeline'!O15),'MiT Strom Pipeline'!O15,0),"")</f>
        <v/>
      </c>
      <c r="J84" s="27">
        <f>IF(((('MiT Strom Pipeline'!R15="offered")+('MiT Strom Pipeline'!R15="to be offered")+('MiT Strom Pipeline'!R15="on hold"))*('MiT Strom Pipeline'!B15&lt;&gt;""))&gt;0,'MiT Strom Pipeline'!R15,"")</f>
        <v/>
      </c>
      <c r="K84" s="29">
        <f>IF(((('MiT Strom Pipeline'!R15="offered")+('MiT Strom Pipeline'!R15="to be offered")+('MiT Strom Pipeline'!R15="on hold"))*('MiT Strom Pipeline'!B15&lt;&gt;""))&gt;0,IF(ISNUMBER('MiT Strom Pipeline'!S15),'MiT Strom Pipeline'!S15,""),"")</f>
        <v/>
      </c>
      <c r="L84" s="27">
        <f>IF(((('MiT Strom Pipeline'!R15="offered")+('MiT Strom Pipeline'!R15="to be offered")+('MiT Strom Pipeline'!R15="on hold"))*('MiT Strom Pipeline'!B15&lt;&gt;""))&gt;0,IF(LEN('MiT Strom Pipeline'!V15)&gt;0,LEFT('MiT Strom Pipeline'!V15,55),""),"")</f>
        <v/>
      </c>
      <c r="M84" s="22" t="n"/>
      <c r="N84" s="22" t="n"/>
      <c r="O84" s="22" t="n"/>
      <c r="P84" s="22" t="n"/>
      <c r="Q84" s="22" t="n"/>
      <c r="R84" s="22" t="n"/>
      <c r="S84" s="22" t="n"/>
    </row>
    <row r="85" ht="15.75" customHeight="1">
      <c r="A85" s="26">
        <f>IF(((('MiT Strom Pipeline'!R16="offered")+('MiT Strom Pipeline'!R16="to be offered")+('MiT Strom Pipeline'!R16="on hold"))*('MiT Strom Pipeline'!B16&lt;&gt;""))&gt;0,IF(ISNUMBER('MiT Strom Pipeline'!A16),'MiT Strom Pipeline'!A16,""),"")</f>
        <v>33</v>
      </c>
      <c r="B85" s="27" t="str">
        <f>IF(((('MiT Strom Pipeline'!R16="offered")+('MiT Strom Pipeline'!R16="to be offered")+('MiT Strom Pipeline'!R16="on hold"))*('MiT Strom Pipeline'!B16&lt;&gt;""))&gt;0,IF('MiT Strom Pipeline'!B16="","",'MiT Strom Pipeline'!B16),"")</f>
        <v>Oerlikon Metco Wohlen</v>
      </c>
      <c r="C85" s="27" t="str">
        <f>IF(((('MiT Strom Pipeline'!R16="offered")+('MiT Strom Pipeline'!R16="to be offered")+('MiT Strom Pipeline'!R16="on hold"))*('MiT Strom Pipeline'!B16&lt;&gt;""))&gt;0,IF('MiT Strom Pipeline'!C16="","",'MiT Strom Pipeline'!C16),"")</f>
        <v>AG</v>
      </c>
      <c r="D85" s="27" t="str">
        <f>IF(((('MiT Strom Pipeline'!R16="offered")+('MiT Strom Pipeline'!R16="to be offered")+('MiT Strom Pipeline'!R16="on hold"))*('MiT Strom Pipeline'!B16&lt;&gt;""))&gt;0,IF('MiT Strom Pipeline'!D16="","",'MiT Strom Pipeline'!D16),"")</f>
        <v>Industrie</v>
      </c>
      <c r="E85" s="27" t="str">
        <f>IF(((('MiT Strom Pipeline'!R16="offered")+('MiT Strom Pipeline'!R16="to be offered")+('MiT Strom Pipeline'!R16="on hold"))*('MiT Strom Pipeline'!B16&lt;&gt;""))&gt;0,IF('MiT Strom Pipeline'!H16="","",'MiT Strom Pipeline'!H16),"")</f>
        <v>August</v>
      </c>
      <c r="F85" s="27" t="str">
        <f>IF(((('MiT Strom Pipeline'!R16="offered")+('MiT Strom Pipeline'!R16="to be offered")+('MiT Strom Pipeline'!R16="on hold"))*('MiT Strom Pipeline'!B16&lt;&gt;""))&gt;0,IF('MiT Strom Pipeline'!E16="","",'MiT Strom Pipeline'!E16),"")</f>
        <v>300 kVA</v>
      </c>
      <c r="G85" s="28">
        <f>IF(((('MiT Strom Pipeline'!R16="offered")+('MiT Strom Pipeline'!R16="to be offered")+('MiT Strom Pipeline'!R16="on hold"))*('MiT Strom Pipeline'!B16&lt;&gt;""))&gt;0,IF(ISNUMBER('MiT Strom Pipeline'!I16),'MiT Strom Pipeline'!I16,0),"")</f>
        <v>193598.12</v>
      </c>
      <c r="H85" s="28">
        <f>IF(((('MiT Strom Pipeline'!R16="offered")+('MiT Strom Pipeline'!R16="to be offered")+('MiT Strom Pipeline'!R16="on hold"))*('MiT Strom Pipeline'!B16&lt;&gt;""))&gt;0,IF(ISNUMBER('MiT Strom Pipeline'!Q16),'MiT Strom Pipeline'!Q16,0),"")</f>
        <v>154878.496</v>
      </c>
      <c r="I85" s="28">
        <f>IF(((('MiT Strom Pipeline'!R16="offered")+('MiT Strom Pipeline'!R16="to be offered")+('MiT Strom Pipeline'!R16="on hold"))*('MiT Strom Pipeline'!B16&lt;&gt;""))&gt;0,IF(ISNUMBER('MiT Strom Pipeline'!O16),'MiT Strom Pipeline'!O16,0),"")</f>
        <v>14506.42</v>
      </c>
      <c r="J85" s="27" t="str">
        <f>IF(((('MiT Strom Pipeline'!R16="offered")+('MiT Strom Pipeline'!R16="to be offered")+('MiT Strom Pipeline'!R16="on hold"))*('MiT Strom Pipeline'!B16&lt;&gt;""))&gt;0,'MiT Strom Pipeline'!R16,"")</f>
        <v>offered</v>
      </c>
      <c r="K85" s="29">
        <f>IF(((('MiT Strom Pipeline'!R16="offered")+('MiT Strom Pipeline'!R16="to be offered")+('MiT Strom Pipeline'!R16="on hold"))*('MiT Strom Pipeline'!B16&lt;&gt;""))&gt;0,IF(ISNUMBER('MiT Strom Pipeline'!S16),'MiT Strom Pipeline'!S16,""),"")</f>
        <v>0.8</v>
      </c>
      <c r="L85" s="27" t="str">
        <f>IF(((('MiT Strom Pipeline'!R16="offered")+('MiT Strom Pipeline'!R16="to be offered")+('MiT Strom Pipeline'!R16="on hold"))*('MiT Strom Pipeline'!B16&lt;&gt;""))&gt;0,IF(LEN('MiT Strom Pipeline'!V16)&gt;0,LEFT('MiT Strom Pipeline'!V16,55),""),"")</f>
        <v>Kunde wahr sehr Zufrieden mit dem 1. Auftrag und im Ans</v>
      </c>
      <c r="M85" s="22" t="n"/>
      <c r="N85" s="22" t="n"/>
      <c r="O85" s="22" t="n"/>
      <c r="P85" s="22" t="n"/>
      <c r="Q85" s="22" t="n"/>
      <c r="R85" s="22" t="n"/>
      <c r="S85" s="22" t="n"/>
    </row>
    <row r="86" ht="15.75" customHeight="1">
      <c r="A86" s="26">
        <f>IF(((('MiT Strom Pipeline'!R17="offered")+('MiT Strom Pipeline'!R17="to be offered")+('MiT Strom Pipeline'!R17="on hold"))*('MiT Strom Pipeline'!B17&lt;&gt;""))&gt;0,IF(ISNUMBER('MiT Strom Pipeline'!A17),'MiT Strom Pipeline'!A17,""),"")</f>
        <v>33</v>
      </c>
      <c r="B86" s="27" t="str">
        <f>IF(((('MiT Strom Pipeline'!R17="offered")+('MiT Strom Pipeline'!R17="to be offered")+('MiT Strom Pipeline'!R17="on hold"))*('MiT Strom Pipeline'!B17&lt;&gt;""))&gt;0,IF('MiT Strom Pipeline'!B17="","",'MiT Strom Pipeline'!B17),"")</f>
        <v>Oerlikon Metco Wohlen</v>
      </c>
      <c r="C86" s="27" t="str">
        <f>IF(((('MiT Strom Pipeline'!R17="offered")+('MiT Strom Pipeline'!R17="to be offered")+('MiT Strom Pipeline'!R17="on hold"))*('MiT Strom Pipeline'!B17&lt;&gt;""))&gt;0,IF('MiT Strom Pipeline'!C17="","",'MiT Strom Pipeline'!C17),"")</f>
        <v>AG</v>
      </c>
      <c r="D86" s="27" t="str">
        <f>IF(((('MiT Strom Pipeline'!R17="offered")+('MiT Strom Pipeline'!R17="to be offered")+('MiT Strom Pipeline'!R17="on hold"))*('MiT Strom Pipeline'!B17&lt;&gt;""))&gt;0,IF('MiT Strom Pipeline'!D17="","",'MiT Strom Pipeline'!D17),"")</f>
        <v>Industrie</v>
      </c>
      <c r="E86" s="191" t="str">
        <f>IF(((('MiT Strom Pipeline'!R17="offered")+('MiT Strom Pipeline'!R17="to be offered")+('MiT Strom Pipeline'!R17="on hold"))*('MiT Strom Pipeline'!B17&lt;&gt;""))&gt;0,IF('MiT Strom Pipeline'!H17="","",'MiT Strom Pipeline'!H17),"")</f>
        <v>August</v>
      </c>
      <c r="F86" s="27" t="str">
        <f>IF(((('MiT Strom Pipeline'!R17="offered")+('MiT Strom Pipeline'!R17="to be offered")+('MiT Strom Pipeline'!R17="on hold"))*('MiT Strom Pipeline'!B17&lt;&gt;""))&gt;0,IF('MiT Strom Pipeline'!E17="","",'MiT Strom Pipeline'!E17),"")</f>
        <v>Kaltwasser 100 kW</v>
      </c>
      <c r="G86" s="28">
        <f>IF(((('MiT Strom Pipeline'!R17="offered")+('MiT Strom Pipeline'!R17="to be offered")+('MiT Strom Pipeline'!R17="on hold"))*('MiT Strom Pipeline'!B17&lt;&gt;""))&gt;0,IF(ISNUMBER('MiT Strom Pipeline'!I17),'MiT Strom Pipeline'!I17,0),"")</f>
        <v>74902.11</v>
      </c>
      <c r="H86" s="28">
        <f>IF(((('MiT Strom Pipeline'!R17="offered")+('MiT Strom Pipeline'!R17="to be offered")+('MiT Strom Pipeline'!R17="on hold"))*('MiT Strom Pipeline'!B17&lt;&gt;""))&gt;0,IF(ISNUMBER('MiT Strom Pipeline'!Q17),'MiT Strom Pipeline'!Q17,0),"")</f>
        <v>59921.688</v>
      </c>
      <c r="I86" s="28">
        <f>IF(((('MiT Strom Pipeline'!R17="offered")+('MiT Strom Pipeline'!R17="to be offered")+('MiT Strom Pipeline'!R17="on hold"))*('MiT Strom Pipeline'!B17&lt;&gt;""))&gt;0,IF(ISNUMBER('MiT Strom Pipeline'!O17),'MiT Strom Pipeline'!O17,0),"")</f>
        <v>10935.08</v>
      </c>
      <c r="J86" s="27" t="str">
        <f>IF(((('MiT Strom Pipeline'!R17="offered")+('MiT Strom Pipeline'!R17="to be offered")+('MiT Strom Pipeline'!R17="on hold"))*('MiT Strom Pipeline'!B17&lt;&gt;""))&gt;0,'MiT Strom Pipeline'!R17,"")</f>
        <v>offered</v>
      </c>
      <c r="K86" s="29">
        <f>IF(((('MiT Strom Pipeline'!R17="offered")+('MiT Strom Pipeline'!R17="to be offered")+('MiT Strom Pipeline'!R17="on hold"))*('MiT Strom Pipeline'!B17&lt;&gt;""))&gt;0,IF(ISNUMBER('MiT Strom Pipeline'!S17),'MiT Strom Pipeline'!S17,""),"")</f>
        <v>0.8</v>
      </c>
      <c r="L86" s="27" t="str">
        <f>IF(((('MiT Strom Pipeline'!R17="offered")+('MiT Strom Pipeline'!R17="to be offered")+('MiT Strom Pipeline'!R17="on hold"))*('MiT Strom Pipeline'!B17&lt;&gt;""))&gt;0,IF(LEN('MiT Strom Pipeline'!V17)&gt;0,LEFT('MiT Strom Pipeline'!V17,55),""),"")</f>
        <v>Kunde wahr sehr Zufrieden mit dem 1. Auftrag und im Ans</v>
      </c>
      <c r="M86" s="22" t="n"/>
      <c r="N86" s="22" t="n"/>
      <c r="O86" s="22" t="n"/>
      <c r="P86" s="22" t="n"/>
      <c r="Q86" s="22" t="n"/>
      <c r="R86" s="22" t="n"/>
      <c r="S86" s="22" t="n"/>
    </row>
    <row r="87" ht="15.75" customHeight="1">
      <c r="A87" s="26">
        <f>IF(((('MiT Strom Pipeline'!R18="offered")+('MiT Strom Pipeline'!R18="to be offered")+('MiT Strom Pipeline'!R18="on hold"))*('MiT Strom Pipeline'!B18&lt;&gt;""))&gt;0,IF(ISNUMBER('MiT Strom Pipeline'!A18),'MiT Strom Pipeline'!A18,""),"")</f>
        <v/>
      </c>
      <c r="B87" s="27">
        <f>IF(((('MiT Strom Pipeline'!R18="offered")+('MiT Strom Pipeline'!R18="to be offered")+('MiT Strom Pipeline'!R18="on hold"))*('MiT Strom Pipeline'!B18&lt;&gt;""))&gt;0,IF('MiT Strom Pipeline'!B18="","",'MiT Strom Pipeline'!B18),"")</f>
        <v/>
      </c>
      <c r="C87" s="27">
        <f>IF(((('MiT Strom Pipeline'!R18="offered")+('MiT Strom Pipeline'!R18="to be offered")+('MiT Strom Pipeline'!R18="on hold"))*('MiT Strom Pipeline'!B18&lt;&gt;""))&gt;0,IF('MiT Strom Pipeline'!C18="","",'MiT Strom Pipeline'!C18),"")</f>
        <v/>
      </c>
      <c r="D87" s="27">
        <f>IF(((('MiT Strom Pipeline'!R18="offered")+('MiT Strom Pipeline'!R18="to be offered")+('MiT Strom Pipeline'!R18="on hold"))*('MiT Strom Pipeline'!B18&lt;&gt;""))&gt;0,IF('MiT Strom Pipeline'!D18="","",'MiT Strom Pipeline'!D18),"")</f>
        <v/>
      </c>
      <c r="E87" s="27">
        <f>IF(((('MiT Strom Pipeline'!R18="offered")+('MiT Strom Pipeline'!R18="to be offered")+('MiT Strom Pipeline'!R18="on hold"))*('MiT Strom Pipeline'!B18&lt;&gt;""))&gt;0,IF('MiT Strom Pipeline'!H18="","",'MiT Strom Pipeline'!H18),"")</f>
        <v/>
      </c>
      <c r="F87" s="27">
        <f>IF(((('MiT Strom Pipeline'!R18="offered")+('MiT Strom Pipeline'!R18="to be offered")+('MiT Strom Pipeline'!R18="on hold"))*('MiT Strom Pipeline'!B18&lt;&gt;""))&gt;0,IF('MiT Strom Pipeline'!E18="","",'MiT Strom Pipeline'!E18),"")</f>
        <v/>
      </c>
      <c r="G87" s="28">
        <f>IF(((('MiT Strom Pipeline'!R18="offered")+('MiT Strom Pipeline'!R18="to be offered")+('MiT Strom Pipeline'!R18="on hold"))*('MiT Strom Pipeline'!B18&lt;&gt;""))&gt;0,IF(ISNUMBER('MiT Strom Pipeline'!I18),'MiT Strom Pipeline'!I18,0),"")</f>
        <v/>
      </c>
      <c r="H87" s="28">
        <f>IF(((('MiT Strom Pipeline'!R18="offered")+('MiT Strom Pipeline'!R18="to be offered")+('MiT Strom Pipeline'!R18="on hold"))*('MiT Strom Pipeline'!B18&lt;&gt;""))&gt;0,IF(ISNUMBER('MiT Strom Pipeline'!Q18),'MiT Strom Pipeline'!Q18,0),"")</f>
        <v/>
      </c>
      <c r="I87" s="28">
        <f>IF(((('MiT Strom Pipeline'!R18="offered")+('MiT Strom Pipeline'!R18="to be offered")+('MiT Strom Pipeline'!R18="on hold"))*('MiT Strom Pipeline'!B18&lt;&gt;""))&gt;0,IF(ISNUMBER('MiT Strom Pipeline'!O18),'MiT Strom Pipeline'!O18,0),"")</f>
        <v/>
      </c>
      <c r="J87" s="27">
        <f>IF(((('MiT Strom Pipeline'!R18="offered")+('MiT Strom Pipeline'!R18="to be offered")+('MiT Strom Pipeline'!R18="on hold"))*('MiT Strom Pipeline'!B18&lt;&gt;""))&gt;0,'MiT Strom Pipeline'!R18,"")</f>
        <v/>
      </c>
      <c r="K87" s="29">
        <f>IF(((('MiT Strom Pipeline'!R18="offered")+('MiT Strom Pipeline'!R18="to be offered")+('MiT Strom Pipeline'!R18="on hold"))*('MiT Strom Pipeline'!B18&lt;&gt;""))&gt;0,IF(ISNUMBER('MiT Strom Pipeline'!S18),'MiT Strom Pipeline'!S18,""),"")</f>
        <v/>
      </c>
      <c r="L87" s="27">
        <f>IF(((('MiT Strom Pipeline'!R18="offered")+('MiT Strom Pipeline'!R18="to be offered")+('MiT Strom Pipeline'!R18="on hold"))*('MiT Strom Pipeline'!B18&lt;&gt;""))&gt;0,IF(LEN('MiT Strom Pipeline'!V18)&gt;0,LEFT('MiT Strom Pipeline'!V18,55),""),"")</f>
        <v/>
      </c>
      <c r="M87" s="22" t="n"/>
      <c r="N87" s="22" t="n"/>
      <c r="O87" s="22" t="n"/>
      <c r="P87" s="22" t="n"/>
      <c r="Q87" s="22" t="n"/>
      <c r="R87" s="22" t="n"/>
      <c r="S87" s="22" t="n"/>
    </row>
    <row r="88" ht="15.75" customHeight="1">
      <c r="A88" s="26">
        <f>IF(((('MiT Strom Pipeline'!R19="offered")+('MiT Strom Pipeline'!R19="to be offered")+('MiT Strom Pipeline'!R19="on hold"))*('MiT Strom Pipeline'!B19&lt;&gt;""))&gt;0,IF(ISNUMBER('MiT Strom Pipeline'!A19),'MiT Strom Pipeline'!A19,""),"")</f>
        <v/>
      </c>
      <c r="B88" s="27">
        <f>IF(((('MiT Strom Pipeline'!R19="offered")+('MiT Strom Pipeline'!R19="to be offered")+('MiT Strom Pipeline'!R19="on hold"))*('MiT Strom Pipeline'!B19&lt;&gt;""))&gt;0,IF('MiT Strom Pipeline'!B19="","",'MiT Strom Pipeline'!B19),"")</f>
        <v/>
      </c>
      <c r="C88" s="27">
        <f>IF(((('MiT Strom Pipeline'!R19="offered")+('MiT Strom Pipeline'!R19="to be offered")+('MiT Strom Pipeline'!R19="on hold"))*('MiT Strom Pipeline'!B19&lt;&gt;""))&gt;0,IF('MiT Strom Pipeline'!C19="","",'MiT Strom Pipeline'!C19),"")</f>
        <v/>
      </c>
      <c r="D88" s="27">
        <f>IF(((('MiT Strom Pipeline'!R19="offered")+('MiT Strom Pipeline'!R19="to be offered")+('MiT Strom Pipeline'!R19="on hold"))*('MiT Strom Pipeline'!B19&lt;&gt;""))&gt;0,IF('MiT Strom Pipeline'!D19="","",'MiT Strom Pipeline'!D19),"")</f>
        <v/>
      </c>
      <c r="E88" s="27">
        <f>IF(((('MiT Strom Pipeline'!R19="offered")+('MiT Strom Pipeline'!R19="to be offered")+('MiT Strom Pipeline'!R19="on hold"))*('MiT Strom Pipeline'!B19&lt;&gt;""))&gt;0,IF('MiT Strom Pipeline'!H19="","",'MiT Strom Pipeline'!H19),"")</f>
        <v/>
      </c>
      <c r="F88" s="27">
        <f>IF(((('MiT Strom Pipeline'!R19="offered")+('MiT Strom Pipeline'!R19="to be offered")+('MiT Strom Pipeline'!R19="on hold"))*('MiT Strom Pipeline'!B19&lt;&gt;""))&gt;0,IF('MiT Strom Pipeline'!E19="","",'MiT Strom Pipeline'!E19),"")</f>
        <v/>
      </c>
      <c r="G88" s="28">
        <f>IF(((('MiT Strom Pipeline'!R19="offered")+('MiT Strom Pipeline'!R19="to be offered")+('MiT Strom Pipeline'!R19="on hold"))*('MiT Strom Pipeline'!B19&lt;&gt;""))&gt;0,IF(ISNUMBER('MiT Strom Pipeline'!I19),'MiT Strom Pipeline'!I19,0),"")</f>
        <v/>
      </c>
      <c r="H88" s="28">
        <f>IF(((('MiT Strom Pipeline'!R19="offered")+('MiT Strom Pipeline'!R19="to be offered")+('MiT Strom Pipeline'!R19="on hold"))*('MiT Strom Pipeline'!B19&lt;&gt;""))&gt;0,IF(ISNUMBER('MiT Strom Pipeline'!Q19),'MiT Strom Pipeline'!Q19,0),"")</f>
        <v/>
      </c>
      <c r="I88" s="28">
        <f>IF(((('MiT Strom Pipeline'!R19="offered")+('MiT Strom Pipeline'!R19="to be offered")+('MiT Strom Pipeline'!R19="on hold"))*('MiT Strom Pipeline'!B19&lt;&gt;""))&gt;0,IF(ISNUMBER('MiT Strom Pipeline'!O19),'MiT Strom Pipeline'!O19,0),"")</f>
        <v/>
      </c>
      <c r="J88" s="27">
        <f>IF(((('MiT Strom Pipeline'!R19="offered")+('MiT Strom Pipeline'!R19="to be offered")+('MiT Strom Pipeline'!R19="on hold"))*('MiT Strom Pipeline'!B19&lt;&gt;""))&gt;0,'MiT Strom Pipeline'!R19,"")</f>
        <v/>
      </c>
      <c r="K88" s="29">
        <f>IF(((('MiT Strom Pipeline'!R19="offered")+('MiT Strom Pipeline'!R19="to be offered")+('MiT Strom Pipeline'!R19="on hold"))*('MiT Strom Pipeline'!B19&lt;&gt;""))&gt;0,IF(ISNUMBER('MiT Strom Pipeline'!S19),'MiT Strom Pipeline'!S19,""),"")</f>
        <v/>
      </c>
      <c r="L88" s="27">
        <f>IF(((('MiT Strom Pipeline'!R19="offered")+('MiT Strom Pipeline'!R19="to be offered")+('MiT Strom Pipeline'!R19="on hold"))*('MiT Strom Pipeline'!B19&lt;&gt;""))&gt;0,IF(LEN('MiT Strom Pipeline'!V19)&gt;0,LEFT('MiT Strom Pipeline'!V19,55),""),"")</f>
        <v/>
      </c>
      <c r="M88" s="22" t="n"/>
      <c r="N88" s="22" t="n"/>
      <c r="O88" s="22" t="n"/>
      <c r="P88" s="22" t="n"/>
      <c r="Q88" s="22" t="n"/>
      <c r="R88" s="22" t="n"/>
      <c r="S88" s="22" t="n"/>
    </row>
    <row r="89" ht="15.75" customHeight="1">
      <c r="A89" s="26">
        <f>IF(((('MiT Strom Pipeline'!R20="offered")+('MiT Strom Pipeline'!R20="to be offered")+('MiT Strom Pipeline'!R20="on hold"))*('MiT Strom Pipeline'!B20&lt;&gt;""))&gt;0,IF(ISNUMBER('MiT Strom Pipeline'!A20),'MiT Strom Pipeline'!A20,""),"")</f>
        <v/>
      </c>
      <c r="B89" s="27">
        <f>IF(((('MiT Strom Pipeline'!R20="offered")+('MiT Strom Pipeline'!R20="to be offered")+('MiT Strom Pipeline'!R20="on hold"))*('MiT Strom Pipeline'!B20&lt;&gt;""))&gt;0,IF('MiT Strom Pipeline'!B20="","",'MiT Strom Pipeline'!B20),"")</f>
        <v/>
      </c>
      <c r="C89" s="27">
        <f>IF(((('MiT Strom Pipeline'!R20="offered")+('MiT Strom Pipeline'!R20="to be offered")+('MiT Strom Pipeline'!R20="on hold"))*('MiT Strom Pipeline'!B20&lt;&gt;""))&gt;0,IF('MiT Strom Pipeline'!C20="","",'MiT Strom Pipeline'!C20),"")</f>
        <v/>
      </c>
      <c r="D89" s="27">
        <f>IF(((('MiT Strom Pipeline'!R20="offered")+('MiT Strom Pipeline'!R20="to be offered")+('MiT Strom Pipeline'!R20="on hold"))*('MiT Strom Pipeline'!B20&lt;&gt;""))&gt;0,IF('MiT Strom Pipeline'!D20="","",'MiT Strom Pipeline'!D20),"")</f>
        <v/>
      </c>
      <c r="E89" s="27">
        <f>IF(((('MiT Strom Pipeline'!R20="offered")+('MiT Strom Pipeline'!R20="to be offered")+('MiT Strom Pipeline'!R20="on hold"))*('MiT Strom Pipeline'!B20&lt;&gt;""))&gt;0,IF('MiT Strom Pipeline'!H20="","",'MiT Strom Pipeline'!H20),"")</f>
        <v/>
      </c>
      <c r="F89" s="27">
        <f>IF(((('MiT Strom Pipeline'!R20="offered")+('MiT Strom Pipeline'!R20="to be offered")+('MiT Strom Pipeline'!R20="on hold"))*('MiT Strom Pipeline'!B20&lt;&gt;""))&gt;0,IF('MiT Strom Pipeline'!E20="","",'MiT Strom Pipeline'!E20),"")</f>
        <v/>
      </c>
      <c r="G89" s="28">
        <f>IF(((('MiT Strom Pipeline'!R20="offered")+('MiT Strom Pipeline'!R20="to be offered")+('MiT Strom Pipeline'!R20="on hold"))*('MiT Strom Pipeline'!B20&lt;&gt;""))&gt;0,IF(ISNUMBER('MiT Strom Pipeline'!I20),'MiT Strom Pipeline'!I20,0),"")</f>
        <v/>
      </c>
      <c r="H89" s="28">
        <f>IF(((('MiT Strom Pipeline'!R20="offered")+('MiT Strom Pipeline'!R20="to be offered")+('MiT Strom Pipeline'!R20="on hold"))*('MiT Strom Pipeline'!B20&lt;&gt;""))&gt;0,IF(ISNUMBER('MiT Strom Pipeline'!Q20),'MiT Strom Pipeline'!Q20,0),"")</f>
        <v/>
      </c>
      <c r="I89" s="28">
        <f>IF(((('MiT Strom Pipeline'!R20="offered")+('MiT Strom Pipeline'!R20="to be offered")+('MiT Strom Pipeline'!R20="on hold"))*('MiT Strom Pipeline'!B20&lt;&gt;""))&gt;0,IF(ISNUMBER('MiT Strom Pipeline'!O20),'MiT Strom Pipeline'!O20,0),"")</f>
        <v/>
      </c>
      <c r="J89" s="27">
        <f>IF(((('MiT Strom Pipeline'!R20="offered")+('MiT Strom Pipeline'!R20="to be offered")+('MiT Strom Pipeline'!R20="on hold"))*('MiT Strom Pipeline'!B20&lt;&gt;""))&gt;0,'MiT Strom Pipeline'!R20,"")</f>
        <v/>
      </c>
      <c r="K89" s="29">
        <f>IF(((('MiT Strom Pipeline'!R20="offered")+('MiT Strom Pipeline'!R20="to be offered")+('MiT Strom Pipeline'!R20="on hold"))*('MiT Strom Pipeline'!B20&lt;&gt;""))&gt;0,IF(ISNUMBER('MiT Strom Pipeline'!S20),'MiT Strom Pipeline'!S20,""),"")</f>
        <v/>
      </c>
      <c r="L89" s="27">
        <f>IF(((('MiT Strom Pipeline'!R20="offered")+('MiT Strom Pipeline'!R20="to be offered")+('MiT Strom Pipeline'!R20="on hold"))*('MiT Strom Pipeline'!B20&lt;&gt;""))&gt;0,IF(LEN('MiT Strom Pipeline'!V20)&gt;0,LEFT('MiT Strom Pipeline'!V20,55),""),"")</f>
        <v/>
      </c>
      <c r="M89" s="22" t="n"/>
      <c r="N89" s="22" t="n"/>
      <c r="O89" s="22" t="n"/>
      <c r="P89" s="22" t="n"/>
      <c r="Q89" s="22" t="n"/>
      <c r="R89" s="22" t="n"/>
      <c r="S89" s="22" t="n"/>
    </row>
    <row r="90" hidden="1" ht="15.75" customHeight="1">
      <c r="A90" s="26">
        <f>IF(((('MiT Strom Pipeline'!R21="offered")+('MiT Strom Pipeline'!R21="to be offered")+('MiT Strom Pipeline'!R21="on hold"))*('MiT Strom Pipeline'!B21&lt;&gt;""))&gt;0,IF(ISNUMBER('MiT Strom Pipeline'!A21),'MiT Strom Pipeline'!A21,""),"")</f>
        <v>28</v>
      </c>
      <c r="B90" s="27" t="str">
        <f>IF(((('MiT Strom Pipeline'!R21="offered")+('MiT Strom Pipeline'!R21="to be offered")+('MiT Strom Pipeline'!R21="on hold"))*('MiT Strom Pipeline'!B21&lt;&gt;""))&gt;0,IF('MiT Strom Pipeline'!B21="","",'MiT Strom Pipeline'!B21),"")</f>
        <v>WEF</v>
      </c>
      <c r="C90" s="27" t="str">
        <f>IF(((('MiT Strom Pipeline'!R21="offered")+('MiT Strom Pipeline'!R21="to be offered")+('MiT Strom Pipeline'!R21="on hold"))*('MiT Strom Pipeline'!B21&lt;&gt;""))&gt;0,IF('MiT Strom Pipeline'!C21="","",'MiT Strom Pipeline'!C21),"")</f>
        <v>GR</v>
      </c>
      <c r="D90" s="27" t="str">
        <f>IF(((('MiT Strom Pipeline'!R21="offered")+('MiT Strom Pipeline'!R21="to be offered")+('MiT Strom Pipeline'!R21="on hold"))*('MiT Strom Pipeline'!B21&lt;&gt;""))&gt;0,IF('MiT Strom Pipeline'!D21="","",'MiT Strom Pipeline'!D21),"")</f>
        <v>Event</v>
      </c>
      <c r="E90" s="27" t="str">
        <f>IF(((('MiT Strom Pipeline'!R21="offered")+('MiT Strom Pipeline'!R21="to be offered")+('MiT Strom Pipeline'!R21="on hold"))*('MiT Strom Pipeline'!B21&lt;&gt;""))&gt;0,IF('MiT Strom Pipeline'!H21="","",'MiT Strom Pipeline'!H21),"")</f>
        <v>Jan</v>
      </c>
      <c r="F90" s="27" t="str">
        <f>IF(((('MiT Strom Pipeline'!R21="offered")+('MiT Strom Pipeline'!R21="to be offered")+('MiT Strom Pipeline'!R21="on hold"))*('MiT Strom Pipeline'!B21&lt;&gt;""))&gt;0,IF('MiT Strom Pipeline'!E21="","",'MiT Strom Pipeline'!E21),"")</f>
        <v>1500 kVA, 600 kVA, 450 kVA, 450 kVA</v>
      </c>
      <c r="G90" s="28">
        <f>IF(((('MiT Strom Pipeline'!R21="offered")+('MiT Strom Pipeline'!R21="to be offered")+('MiT Strom Pipeline'!R21="on hold"))*('MiT Strom Pipeline'!B21&lt;&gt;""))&gt;0,IF(ISNUMBER('MiT Strom Pipeline'!I21),'MiT Strom Pipeline'!I21,0),"")</f>
        <v>77325.62</v>
      </c>
      <c r="H90" s="28">
        <f>IF(((('MiT Strom Pipeline'!R21="offered")+('MiT Strom Pipeline'!R21="to be offered")+('MiT Strom Pipeline'!R21="on hold"))*('MiT Strom Pipeline'!B21&lt;&gt;""))&gt;0,IF(ISNUMBER('MiT Strom Pipeline'!Q21),'MiT Strom Pipeline'!Q21,0),"")</f>
        <v>54127.934</v>
      </c>
      <c r="I90" s="28">
        <f>IF(((('MiT Strom Pipeline'!R21="offered")+('MiT Strom Pipeline'!R21="to be offered")+('MiT Strom Pipeline'!R21="on hold"))*('MiT Strom Pipeline'!B21&lt;&gt;""))&gt;0,IF(ISNUMBER('MiT Strom Pipeline'!O21),'MiT Strom Pipeline'!O21,0),"")</f>
        <v>5794.06</v>
      </c>
      <c r="J90" s="27" t="str">
        <f>IF(((('MiT Strom Pipeline'!R21="offered")+('MiT Strom Pipeline'!R21="to be offered")+('MiT Strom Pipeline'!R21="on hold"))*('MiT Strom Pipeline'!B21&lt;&gt;""))&gt;0,'MiT Strom Pipeline'!R21,"")</f>
        <v>offered</v>
      </c>
      <c r="K90" s="29">
        <f>IF(((('MiT Strom Pipeline'!R21="offered")+('MiT Strom Pipeline'!R21="to be offered")+('MiT Strom Pipeline'!R21="on hold"))*('MiT Strom Pipeline'!B21&lt;&gt;""))&gt;0,IF(ISNUMBER('MiT Strom Pipeline'!S21),'MiT Strom Pipeline'!S21,""),"")</f>
        <v>0.7</v>
      </c>
      <c r="L90" s="27" t="str">
        <f>IF(((('MiT Strom Pipeline'!R21="offered")+('MiT Strom Pipeline'!R21="to be offered")+('MiT Strom Pipeline'!R21="on hold"))*('MiT Strom Pipeline'!B21&lt;&gt;""))&gt;0,IF(LEN('MiT Strom Pipeline'!V21)&gt;0,LEFT('MiT Strom Pipeline'!V21,55),""),"")</f>
        <v>Offerte erstellt, Stefan hat die Offerte bekommen, Stef</v>
      </c>
      <c r="M90" s="22" t="n"/>
      <c r="N90" s="22" t="n"/>
      <c r="O90" s="22" t="n"/>
      <c r="P90" s="22" t="n"/>
      <c r="Q90" s="22" t="n"/>
      <c r="R90" s="22" t="n"/>
      <c r="S90" s="22" t="n"/>
    </row>
    <row r="91" hidden="1" ht="15.75" customHeight="1">
      <c r="A91" s="26">
        <f>IF(((('MiT Strom Pipeline'!R22="offered")+('MiT Strom Pipeline'!R22="to be offered")+('MiT Strom Pipeline'!R22="on hold"))*('MiT Strom Pipeline'!B22&lt;&gt;""))&gt;0,IF(ISNUMBER('MiT Strom Pipeline'!A22),'MiT Strom Pipeline'!A22,""),"")</f>
        <v/>
      </c>
      <c r="B91" s="27">
        <f>IF(((('MiT Strom Pipeline'!R22="offered")+('MiT Strom Pipeline'!R22="to be offered")+('MiT Strom Pipeline'!R22="on hold"))*('MiT Strom Pipeline'!B22&lt;&gt;""))&gt;0,IF('MiT Strom Pipeline'!B22="","",'MiT Strom Pipeline'!B22),"")</f>
        <v/>
      </c>
      <c r="C91" s="27">
        <f>IF(((('MiT Strom Pipeline'!R22="offered")+('MiT Strom Pipeline'!R22="to be offered")+('MiT Strom Pipeline'!R22="on hold"))*('MiT Strom Pipeline'!B22&lt;&gt;""))&gt;0,IF('MiT Strom Pipeline'!C22="","",'MiT Strom Pipeline'!C22),"")</f>
        <v/>
      </c>
      <c r="D91" s="27">
        <f>IF(((('MiT Strom Pipeline'!R22="offered")+('MiT Strom Pipeline'!R22="to be offered")+('MiT Strom Pipeline'!R22="on hold"))*('MiT Strom Pipeline'!B22&lt;&gt;""))&gt;0,IF('MiT Strom Pipeline'!D22="","",'MiT Strom Pipeline'!D22),"")</f>
        <v/>
      </c>
      <c r="E91" s="27">
        <f>IF(((('MiT Strom Pipeline'!R22="offered")+('MiT Strom Pipeline'!R22="to be offered")+('MiT Strom Pipeline'!R22="on hold"))*('MiT Strom Pipeline'!B22&lt;&gt;""))&gt;0,IF('MiT Strom Pipeline'!H22="","",'MiT Strom Pipeline'!H22),"")</f>
        <v/>
      </c>
      <c r="F91" s="27">
        <f>IF(((('MiT Strom Pipeline'!R22="offered")+('MiT Strom Pipeline'!R22="to be offered")+('MiT Strom Pipeline'!R22="on hold"))*('MiT Strom Pipeline'!B22&lt;&gt;""))&gt;0,IF('MiT Strom Pipeline'!E22="","",'MiT Strom Pipeline'!E22),"")</f>
        <v/>
      </c>
      <c r="G91" s="28">
        <f>IF(((('MiT Strom Pipeline'!R22="offered")+('MiT Strom Pipeline'!R22="to be offered")+('MiT Strom Pipeline'!R22="on hold"))*('MiT Strom Pipeline'!B22&lt;&gt;""))&gt;0,IF(ISNUMBER('MiT Strom Pipeline'!I22),'MiT Strom Pipeline'!I22,0),"")</f>
        <v/>
      </c>
      <c r="H91" s="28">
        <f>IF(((('MiT Strom Pipeline'!R22="offered")+('MiT Strom Pipeline'!R22="to be offered")+('MiT Strom Pipeline'!R22="on hold"))*('MiT Strom Pipeline'!B22&lt;&gt;""))&gt;0,IF(ISNUMBER('MiT Strom Pipeline'!Q22),'MiT Strom Pipeline'!Q22,0),"")</f>
        <v/>
      </c>
      <c r="I91" s="28">
        <f>IF(((('MiT Strom Pipeline'!R22="offered")+('MiT Strom Pipeline'!R22="to be offered")+('MiT Strom Pipeline'!R22="on hold"))*('MiT Strom Pipeline'!B22&lt;&gt;""))&gt;0,IF(ISNUMBER('MiT Strom Pipeline'!O22),'MiT Strom Pipeline'!O22,0),"")</f>
        <v/>
      </c>
      <c r="J91" s="27">
        <f>IF(((('MiT Strom Pipeline'!R22="offered")+('MiT Strom Pipeline'!R22="to be offered")+('MiT Strom Pipeline'!R22="on hold"))*('MiT Strom Pipeline'!B22&lt;&gt;""))&gt;0,'MiT Strom Pipeline'!R22,"")</f>
        <v/>
      </c>
      <c r="K91" s="29">
        <f>IF(((('MiT Strom Pipeline'!R22="offered")+('MiT Strom Pipeline'!R22="to be offered")+('MiT Strom Pipeline'!R22="on hold"))*('MiT Strom Pipeline'!B22&lt;&gt;""))&gt;0,IF(ISNUMBER('MiT Strom Pipeline'!S22),'MiT Strom Pipeline'!S22,""),"")</f>
        <v/>
      </c>
      <c r="L91" s="27">
        <f>IF(((('MiT Strom Pipeline'!R22="offered")+('MiT Strom Pipeline'!R22="to be offered")+('MiT Strom Pipeline'!R22="on hold"))*('MiT Strom Pipeline'!B22&lt;&gt;""))&gt;0,IF(LEN('MiT Strom Pipeline'!V22)&gt;0,LEFT('MiT Strom Pipeline'!V22,55),""),"")</f>
        <v/>
      </c>
      <c r="M91" s="22" t="n"/>
      <c r="N91" s="22" t="n"/>
      <c r="O91" s="22" t="n"/>
      <c r="P91" s="22" t="n"/>
      <c r="Q91" s="22" t="n"/>
      <c r="R91" s="22" t="n"/>
      <c r="S91" s="22" t="n"/>
    </row>
    <row r="92" hidden="1" ht="15.75" customHeight="1">
      <c r="A92" s="26">
        <f>IF(((('MiT Strom Pipeline'!R23="offered")+('MiT Strom Pipeline'!R23="to be offered")+('MiT Strom Pipeline'!R23="on hold"))*('MiT Strom Pipeline'!B23&lt;&gt;""))&gt;0,IF(ISNUMBER('MiT Strom Pipeline'!A23),'MiT Strom Pipeline'!A23,""),"")</f>
        <v/>
      </c>
      <c r="B92" s="27">
        <f>IF(((('MiT Strom Pipeline'!R23="offered")+('MiT Strom Pipeline'!R23="to be offered")+('MiT Strom Pipeline'!R23="on hold"))*('MiT Strom Pipeline'!B23&lt;&gt;""))&gt;0,IF('MiT Strom Pipeline'!B23="","",'MiT Strom Pipeline'!B23),"")</f>
        <v/>
      </c>
      <c r="C92" s="27">
        <f>IF(((('MiT Strom Pipeline'!R23="offered")+('MiT Strom Pipeline'!R23="to be offered")+('MiT Strom Pipeline'!R23="on hold"))*('MiT Strom Pipeline'!B23&lt;&gt;""))&gt;0,IF('MiT Strom Pipeline'!C23="","",'MiT Strom Pipeline'!C23),"")</f>
        <v/>
      </c>
      <c r="D92" s="27">
        <f>IF(((('MiT Strom Pipeline'!R23="offered")+('MiT Strom Pipeline'!R23="to be offered")+('MiT Strom Pipeline'!R23="on hold"))*('MiT Strom Pipeline'!B23&lt;&gt;""))&gt;0,IF('MiT Strom Pipeline'!D23="","",'MiT Strom Pipeline'!D23),"")</f>
        <v/>
      </c>
      <c r="E92" s="27">
        <f>IF(((('MiT Strom Pipeline'!R23="offered")+('MiT Strom Pipeline'!R23="to be offered")+('MiT Strom Pipeline'!R23="on hold"))*('MiT Strom Pipeline'!B23&lt;&gt;""))&gt;0,IF('MiT Strom Pipeline'!H23="","",'MiT Strom Pipeline'!H23),"")</f>
        <v/>
      </c>
      <c r="F92" s="27">
        <f>IF(((('MiT Strom Pipeline'!R23="offered")+('MiT Strom Pipeline'!R23="to be offered")+('MiT Strom Pipeline'!R23="on hold"))*('MiT Strom Pipeline'!B23&lt;&gt;""))&gt;0,IF('MiT Strom Pipeline'!E23="","",'MiT Strom Pipeline'!E23),"")</f>
        <v/>
      </c>
      <c r="G92" s="28">
        <f>IF(((('MiT Strom Pipeline'!R23="offered")+('MiT Strom Pipeline'!R23="to be offered")+('MiT Strom Pipeline'!R23="on hold"))*('MiT Strom Pipeline'!B23&lt;&gt;""))&gt;0,IF(ISNUMBER('MiT Strom Pipeline'!I23),'MiT Strom Pipeline'!I23,0),"")</f>
        <v/>
      </c>
      <c r="H92" s="28">
        <f>IF(((('MiT Strom Pipeline'!R23="offered")+('MiT Strom Pipeline'!R23="to be offered")+('MiT Strom Pipeline'!R23="on hold"))*('MiT Strom Pipeline'!B23&lt;&gt;""))&gt;0,IF(ISNUMBER('MiT Strom Pipeline'!Q23),'MiT Strom Pipeline'!Q23,0),"")</f>
        <v/>
      </c>
      <c r="I92" s="28">
        <f>IF(((('MiT Strom Pipeline'!R23="offered")+('MiT Strom Pipeline'!R23="to be offered")+('MiT Strom Pipeline'!R23="on hold"))*('MiT Strom Pipeline'!B23&lt;&gt;""))&gt;0,IF(ISNUMBER('MiT Strom Pipeline'!O23),'MiT Strom Pipeline'!O23,0),"")</f>
        <v/>
      </c>
      <c r="J92" s="27">
        <f>IF(((('MiT Strom Pipeline'!R23="offered")+('MiT Strom Pipeline'!R23="to be offered")+('MiT Strom Pipeline'!R23="on hold"))*('MiT Strom Pipeline'!B23&lt;&gt;""))&gt;0,'MiT Strom Pipeline'!R23,"")</f>
        <v/>
      </c>
      <c r="K92" s="29">
        <f>IF(((('MiT Strom Pipeline'!R23="offered")+('MiT Strom Pipeline'!R23="to be offered")+('MiT Strom Pipeline'!R23="on hold"))*('MiT Strom Pipeline'!B23&lt;&gt;""))&gt;0,IF(ISNUMBER('MiT Strom Pipeline'!S23),'MiT Strom Pipeline'!S23,""),"")</f>
        <v/>
      </c>
      <c r="L92" s="27">
        <f>IF(((('MiT Strom Pipeline'!R23="offered")+('MiT Strom Pipeline'!R23="to be offered")+('MiT Strom Pipeline'!R23="on hold"))*('MiT Strom Pipeline'!B23&lt;&gt;""))&gt;0,IF(LEN('MiT Strom Pipeline'!V23)&gt;0,LEFT('MiT Strom Pipeline'!V23,55),""),"")</f>
        <v/>
      </c>
      <c r="M92" s="22" t="n"/>
      <c r="N92" s="22" t="n"/>
      <c r="O92" s="22" t="n"/>
      <c r="P92" s="22" t="n"/>
      <c r="Q92" s="22" t="n"/>
      <c r="R92" s="22" t="n"/>
      <c r="S92" s="22" t="n"/>
    </row>
    <row r="93" hidden="1" ht="15.75" customHeight="1">
      <c r="A93" s="26">
        <f>IF(((('MiT Strom Pipeline'!R24="offered")+('MiT Strom Pipeline'!R24="to be offered")+('MiT Strom Pipeline'!R24="on hold"))*('MiT Strom Pipeline'!B24&lt;&gt;""))&gt;0,IF(ISNUMBER('MiT Strom Pipeline'!A24),'MiT Strom Pipeline'!A24,""),"")</f>
        <v/>
      </c>
      <c r="B93" s="27">
        <f>IF(((('MiT Strom Pipeline'!R24="offered")+('MiT Strom Pipeline'!R24="to be offered")+('MiT Strom Pipeline'!R24="on hold"))*('MiT Strom Pipeline'!B24&lt;&gt;""))&gt;0,IF('MiT Strom Pipeline'!B24="","",'MiT Strom Pipeline'!B24),"")</f>
        <v/>
      </c>
      <c r="C93" s="27">
        <f>IF(((('MiT Strom Pipeline'!R24="offered")+('MiT Strom Pipeline'!R24="to be offered")+('MiT Strom Pipeline'!R24="on hold"))*('MiT Strom Pipeline'!B24&lt;&gt;""))&gt;0,IF('MiT Strom Pipeline'!C24="","",'MiT Strom Pipeline'!C24),"")</f>
        <v/>
      </c>
      <c r="D93" s="27">
        <f>IF(((('MiT Strom Pipeline'!R24="offered")+('MiT Strom Pipeline'!R24="to be offered")+('MiT Strom Pipeline'!R24="on hold"))*('MiT Strom Pipeline'!B24&lt;&gt;""))&gt;0,IF('MiT Strom Pipeline'!D24="","",'MiT Strom Pipeline'!D24),"")</f>
        <v/>
      </c>
      <c r="E93" s="27">
        <f>IF(((('MiT Strom Pipeline'!R24="offered")+('MiT Strom Pipeline'!R24="to be offered")+('MiT Strom Pipeline'!R24="on hold"))*('MiT Strom Pipeline'!B24&lt;&gt;""))&gt;0,IF('MiT Strom Pipeline'!H24="","",'MiT Strom Pipeline'!H24),"")</f>
        <v/>
      </c>
      <c r="F93" s="27">
        <f>IF(((('MiT Strom Pipeline'!R24="offered")+('MiT Strom Pipeline'!R24="to be offered")+('MiT Strom Pipeline'!R24="on hold"))*('MiT Strom Pipeline'!B24&lt;&gt;""))&gt;0,IF('MiT Strom Pipeline'!E24="","",'MiT Strom Pipeline'!E24),"")</f>
        <v/>
      </c>
      <c r="G93" s="28">
        <f>IF(((('MiT Strom Pipeline'!R24="offered")+('MiT Strom Pipeline'!R24="to be offered")+('MiT Strom Pipeline'!R24="on hold"))*('MiT Strom Pipeline'!B24&lt;&gt;""))&gt;0,IF(ISNUMBER('MiT Strom Pipeline'!I24),'MiT Strom Pipeline'!I24,0),"")</f>
        <v/>
      </c>
      <c r="H93" s="28">
        <f>IF(((('MiT Strom Pipeline'!R24="offered")+('MiT Strom Pipeline'!R24="to be offered")+('MiT Strom Pipeline'!R24="on hold"))*('MiT Strom Pipeline'!B24&lt;&gt;""))&gt;0,IF(ISNUMBER('MiT Strom Pipeline'!Q24),'MiT Strom Pipeline'!Q24,0),"")</f>
        <v/>
      </c>
      <c r="I93" s="28">
        <f>IF(((('MiT Strom Pipeline'!R24="offered")+('MiT Strom Pipeline'!R24="to be offered")+('MiT Strom Pipeline'!R24="on hold"))*('MiT Strom Pipeline'!B24&lt;&gt;""))&gt;0,IF(ISNUMBER('MiT Strom Pipeline'!O24),'MiT Strom Pipeline'!O24,0),"")</f>
        <v/>
      </c>
      <c r="J93" s="27">
        <f>IF(((('MiT Strom Pipeline'!R24="offered")+('MiT Strom Pipeline'!R24="to be offered")+('MiT Strom Pipeline'!R24="on hold"))*('MiT Strom Pipeline'!B24&lt;&gt;""))&gt;0,'MiT Strom Pipeline'!R24,"")</f>
        <v/>
      </c>
      <c r="K93" s="29">
        <f>IF(((('MiT Strom Pipeline'!R24="offered")+('MiT Strom Pipeline'!R24="to be offered")+('MiT Strom Pipeline'!R24="on hold"))*('MiT Strom Pipeline'!B24&lt;&gt;""))&gt;0,IF(ISNUMBER('MiT Strom Pipeline'!S24),'MiT Strom Pipeline'!S24,""),"")</f>
        <v/>
      </c>
      <c r="L93" s="27">
        <f>IF(((('MiT Strom Pipeline'!R24="offered")+('MiT Strom Pipeline'!R24="to be offered")+('MiT Strom Pipeline'!R24="on hold"))*('MiT Strom Pipeline'!B24&lt;&gt;""))&gt;0,IF(LEN('MiT Strom Pipeline'!V24)&gt;0,LEFT('MiT Strom Pipeline'!V24,55),""),"")</f>
        <v/>
      </c>
      <c r="M93" s="22" t="n"/>
      <c r="N93" s="22" t="n"/>
      <c r="O93" s="22" t="n"/>
      <c r="P93" s="22" t="n"/>
      <c r="Q93" s="22" t="n"/>
      <c r="R93" s="22" t="n"/>
      <c r="S93" s="22" t="n"/>
    </row>
    <row r="94" hidden="1" ht="15.75" customHeight="1">
      <c r="A94" s="26">
        <f>IF(((('MiT Strom Pipeline'!R25="offered")+('MiT Strom Pipeline'!R25="to be offered")+('MiT Strom Pipeline'!R25="on hold"))*('MiT Strom Pipeline'!B25&lt;&gt;""))&gt;0,IF(ISNUMBER('MiT Strom Pipeline'!A25),'MiT Strom Pipeline'!A25,""),"")</f>
        <v/>
      </c>
      <c r="B94" s="27">
        <f>IF(((('MiT Strom Pipeline'!R25="offered")+('MiT Strom Pipeline'!R25="to be offered")+('MiT Strom Pipeline'!R25="on hold"))*('MiT Strom Pipeline'!B25&lt;&gt;""))&gt;0,IF('MiT Strom Pipeline'!B25="","",'MiT Strom Pipeline'!B25),"")</f>
        <v/>
      </c>
      <c r="C94" s="27">
        <f>IF(((('MiT Strom Pipeline'!R25="offered")+('MiT Strom Pipeline'!R25="to be offered")+('MiT Strom Pipeline'!R25="on hold"))*('MiT Strom Pipeline'!B25&lt;&gt;""))&gt;0,IF('MiT Strom Pipeline'!C25="","",'MiT Strom Pipeline'!C25),"")</f>
        <v/>
      </c>
      <c r="D94" s="27">
        <f>IF(((('MiT Strom Pipeline'!R25="offered")+('MiT Strom Pipeline'!R25="to be offered")+('MiT Strom Pipeline'!R25="on hold"))*('MiT Strom Pipeline'!B25&lt;&gt;""))&gt;0,IF('MiT Strom Pipeline'!D25="","",'MiT Strom Pipeline'!D25),"")</f>
        <v/>
      </c>
      <c r="E94" s="27">
        <f>IF(((('MiT Strom Pipeline'!R25="offered")+('MiT Strom Pipeline'!R25="to be offered")+('MiT Strom Pipeline'!R25="on hold"))*('MiT Strom Pipeline'!B25&lt;&gt;""))&gt;0,IF('MiT Strom Pipeline'!H25="","",'MiT Strom Pipeline'!H25),"")</f>
        <v/>
      </c>
      <c r="F94" s="27">
        <f>IF(((('MiT Strom Pipeline'!R25="offered")+('MiT Strom Pipeline'!R25="to be offered")+('MiT Strom Pipeline'!R25="on hold"))*('MiT Strom Pipeline'!B25&lt;&gt;""))&gt;0,IF('MiT Strom Pipeline'!E25="","",'MiT Strom Pipeline'!E25),"")</f>
        <v/>
      </c>
      <c r="G94" s="28">
        <f>IF(((('MiT Strom Pipeline'!R25="offered")+('MiT Strom Pipeline'!R25="to be offered")+('MiT Strom Pipeline'!R25="on hold"))*('MiT Strom Pipeline'!B25&lt;&gt;""))&gt;0,IF(ISNUMBER('MiT Strom Pipeline'!I25),'MiT Strom Pipeline'!I25,0),"")</f>
        <v/>
      </c>
      <c r="H94" s="28">
        <f>IF(((('MiT Strom Pipeline'!R25="offered")+('MiT Strom Pipeline'!R25="to be offered")+('MiT Strom Pipeline'!R25="on hold"))*('MiT Strom Pipeline'!B25&lt;&gt;""))&gt;0,IF(ISNUMBER('MiT Strom Pipeline'!Q25),'MiT Strom Pipeline'!Q25,0),"")</f>
        <v/>
      </c>
      <c r="I94" s="28">
        <f>IF(((('MiT Strom Pipeline'!R25="offered")+('MiT Strom Pipeline'!R25="to be offered")+('MiT Strom Pipeline'!R25="on hold"))*('MiT Strom Pipeline'!B25&lt;&gt;""))&gt;0,IF(ISNUMBER('MiT Strom Pipeline'!O25),'MiT Strom Pipeline'!O25,0),"")</f>
        <v/>
      </c>
      <c r="J94" s="27">
        <f>IF(((('MiT Strom Pipeline'!R25="offered")+('MiT Strom Pipeline'!R25="to be offered")+('MiT Strom Pipeline'!R25="on hold"))*('MiT Strom Pipeline'!B25&lt;&gt;""))&gt;0,'MiT Strom Pipeline'!R25,"")</f>
        <v/>
      </c>
      <c r="K94" s="29">
        <f>IF(((('MiT Strom Pipeline'!R25="offered")+('MiT Strom Pipeline'!R25="to be offered")+('MiT Strom Pipeline'!R25="on hold"))*('MiT Strom Pipeline'!B25&lt;&gt;""))&gt;0,IF(ISNUMBER('MiT Strom Pipeline'!S25),'MiT Strom Pipeline'!S25,""),"")</f>
        <v/>
      </c>
      <c r="L94" s="27">
        <f>IF(((('MiT Strom Pipeline'!R25="offered")+('MiT Strom Pipeline'!R25="to be offered")+('MiT Strom Pipeline'!R25="on hold"))*('MiT Strom Pipeline'!B25&lt;&gt;""))&gt;0,IF(LEN('MiT Strom Pipeline'!V25)&gt;0,LEFT('MiT Strom Pipeline'!V25,55),""),"")</f>
        <v/>
      </c>
      <c r="M94" s="22" t="n"/>
      <c r="N94" s="22" t="n"/>
      <c r="O94" s="22" t="n"/>
      <c r="P94" s="22" t="n"/>
      <c r="Q94" s="22" t="n"/>
      <c r="R94" s="22" t="n"/>
      <c r="S94" s="22" t="n"/>
    </row>
    <row r="95" hidden="1" ht="15.75" customHeight="1">
      <c r="A95" s="26">
        <f>IF(((('MiT Strom Pipeline'!R26="offered")+('MiT Strom Pipeline'!R26="to be offered")+('MiT Strom Pipeline'!R26="on hold"))*('MiT Strom Pipeline'!B26&lt;&gt;""))&gt;0,IF(ISNUMBER('MiT Strom Pipeline'!A26),'MiT Strom Pipeline'!A26,""),"")</f>
        <v/>
      </c>
      <c r="B95" s="27">
        <f>IF(((('MiT Strom Pipeline'!R26="offered")+('MiT Strom Pipeline'!R26="to be offered")+('MiT Strom Pipeline'!R26="on hold"))*('MiT Strom Pipeline'!B26&lt;&gt;""))&gt;0,IF('MiT Strom Pipeline'!B26="","",'MiT Strom Pipeline'!B26),"")</f>
        <v/>
      </c>
      <c r="C95" s="27">
        <f>IF(((('MiT Strom Pipeline'!R26="offered")+('MiT Strom Pipeline'!R26="to be offered")+('MiT Strom Pipeline'!R26="on hold"))*('MiT Strom Pipeline'!B26&lt;&gt;""))&gt;0,IF('MiT Strom Pipeline'!C26="","",'MiT Strom Pipeline'!C26),"")</f>
        <v/>
      </c>
      <c r="D95" s="27">
        <f>IF(((('MiT Strom Pipeline'!R26="offered")+('MiT Strom Pipeline'!R26="to be offered")+('MiT Strom Pipeline'!R26="on hold"))*('MiT Strom Pipeline'!B26&lt;&gt;""))&gt;0,IF('MiT Strom Pipeline'!D26="","",'MiT Strom Pipeline'!D26),"")</f>
        <v/>
      </c>
      <c r="E95" s="27">
        <f>IF(((('MiT Strom Pipeline'!R26="offered")+('MiT Strom Pipeline'!R26="to be offered")+('MiT Strom Pipeline'!R26="on hold"))*('MiT Strom Pipeline'!B26&lt;&gt;""))&gt;0,IF('MiT Strom Pipeline'!H26="","",'MiT Strom Pipeline'!H26),"")</f>
        <v/>
      </c>
      <c r="F95" s="27">
        <f>IF(((('MiT Strom Pipeline'!R26="offered")+('MiT Strom Pipeline'!R26="to be offered")+('MiT Strom Pipeline'!R26="on hold"))*('MiT Strom Pipeline'!B26&lt;&gt;""))&gt;0,IF('MiT Strom Pipeline'!E26="","",'MiT Strom Pipeline'!E26),"")</f>
        <v/>
      </c>
      <c r="G95" s="28">
        <f>IF(((('MiT Strom Pipeline'!R26="offered")+('MiT Strom Pipeline'!R26="to be offered")+('MiT Strom Pipeline'!R26="on hold"))*('MiT Strom Pipeline'!B26&lt;&gt;""))&gt;0,IF(ISNUMBER('MiT Strom Pipeline'!I26),'MiT Strom Pipeline'!I26,0),"")</f>
        <v/>
      </c>
      <c r="H95" s="28">
        <f>IF(((('MiT Strom Pipeline'!R26="offered")+('MiT Strom Pipeline'!R26="to be offered")+('MiT Strom Pipeline'!R26="on hold"))*('MiT Strom Pipeline'!B26&lt;&gt;""))&gt;0,IF(ISNUMBER('MiT Strom Pipeline'!Q26),'MiT Strom Pipeline'!Q26,0),"")</f>
        <v/>
      </c>
      <c r="I95" s="28">
        <f>IF(((('MiT Strom Pipeline'!R26="offered")+('MiT Strom Pipeline'!R26="to be offered")+('MiT Strom Pipeline'!R26="on hold"))*('MiT Strom Pipeline'!B26&lt;&gt;""))&gt;0,IF(ISNUMBER('MiT Strom Pipeline'!O26),'MiT Strom Pipeline'!O26,0),"")</f>
        <v/>
      </c>
      <c r="J95" s="27">
        <f>IF(((('MiT Strom Pipeline'!R26="offered")+('MiT Strom Pipeline'!R26="to be offered")+('MiT Strom Pipeline'!R26="on hold"))*('MiT Strom Pipeline'!B26&lt;&gt;""))&gt;0,'MiT Strom Pipeline'!R26,"")</f>
        <v/>
      </c>
      <c r="K95" s="29">
        <f>IF(((('MiT Strom Pipeline'!R26="offered")+('MiT Strom Pipeline'!R26="to be offered")+('MiT Strom Pipeline'!R26="on hold"))*('MiT Strom Pipeline'!B26&lt;&gt;""))&gt;0,IF(ISNUMBER('MiT Strom Pipeline'!S26),'MiT Strom Pipeline'!S26,""),"")</f>
        <v/>
      </c>
      <c r="L95" s="27">
        <f>IF(((('MiT Strom Pipeline'!R26="offered")+('MiT Strom Pipeline'!R26="to be offered")+('MiT Strom Pipeline'!R26="on hold"))*('MiT Strom Pipeline'!B26&lt;&gt;""))&gt;0,IF(LEN('MiT Strom Pipeline'!V26)&gt;0,LEFT('MiT Strom Pipeline'!V26,55),""),"")</f>
        <v/>
      </c>
      <c r="M95" s="22" t="n"/>
      <c r="N95" s="22" t="n"/>
      <c r="O95" s="22" t="n"/>
      <c r="P95" s="22" t="n"/>
      <c r="Q95" s="22" t="n"/>
      <c r="R95" s="22" t="n"/>
      <c r="S95" s="22" t="n"/>
    </row>
    <row r="96" hidden="1" ht="15.75" customHeight="1">
      <c r="A96" s="26">
        <f>IF(((('MiT Strom Pipeline'!R27="offered")+('MiT Strom Pipeline'!R27="to be offered")+('MiT Strom Pipeline'!R27="on hold"))*('MiT Strom Pipeline'!B27&lt;&gt;""))&gt;0,IF(ISNUMBER('MiT Strom Pipeline'!A27),'MiT Strom Pipeline'!A27,""),"")</f>
        <v/>
      </c>
      <c r="B96" s="27">
        <f>IF(((('MiT Strom Pipeline'!R27="offered")+('MiT Strom Pipeline'!R27="to be offered")+('MiT Strom Pipeline'!R27="on hold"))*('MiT Strom Pipeline'!B27&lt;&gt;""))&gt;0,IF('MiT Strom Pipeline'!B27="","",'MiT Strom Pipeline'!B27),"")</f>
        <v/>
      </c>
      <c r="C96" s="27">
        <f>IF(((('MiT Strom Pipeline'!R27="offered")+('MiT Strom Pipeline'!R27="to be offered")+('MiT Strom Pipeline'!R27="on hold"))*('MiT Strom Pipeline'!B27&lt;&gt;""))&gt;0,IF('MiT Strom Pipeline'!C27="","",'MiT Strom Pipeline'!C27),"")</f>
        <v/>
      </c>
      <c r="D96" s="27">
        <f>IF(((('MiT Strom Pipeline'!R27="offered")+('MiT Strom Pipeline'!R27="to be offered")+('MiT Strom Pipeline'!R27="on hold"))*('MiT Strom Pipeline'!B27&lt;&gt;""))&gt;0,IF('MiT Strom Pipeline'!D27="","",'MiT Strom Pipeline'!D27),"")</f>
        <v/>
      </c>
      <c r="E96" s="27">
        <f>IF(((('MiT Strom Pipeline'!R27="offered")+('MiT Strom Pipeline'!R27="to be offered")+('MiT Strom Pipeline'!R27="on hold"))*('MiT Strom Pipeline'!B27&lt;&gt;""))&gt;0,IF('MiT Strom Pipeline'!H27="","",'MiT Strom Pipeline'!H27),"")</f>
        <v/>
      </c>
      <c r="F96" s="27">
        <f>IF(((('MiT Strom Pipeline'!R27="offered")+('MiT Strom Pipeline'!R27="to be offered")+('MiT Strom Pipeline'!R27="on hold"))*('MiT Strom Pipeline'!B27&lt;&gt;""))&gt;0,IF('MiT Strom Pipeline'!E27="","",'MiT Strom Pipeline'!E27),"")</f>
        <v/>
      </c>
      <c r="G96" s="28">
        <f>IF(((('MiT Strom Pipeline'!R27="offered")+('MiT Strom Pipeline'!R27="to be offered")+('MiT Strom Pipeline'!R27="on hold"))*('MiT Strom Pipeline'!B27&lt;&gt;""))&gt;0,IF(ISNUMBER('MiT Strom Pipeline'!I27),'MiT Strom Pipeline'!I27,0),"")</f>
        <v/>
      </c>
      <c r="H96" s="28">
        <f>IF(((('MiT Strom Pipeline'!R27="offered")+('MiT Strom Pipeline'!R27="to be offered")+('MiT Strom Pipeline'!R27="on hold"))*('MiT Strom Pipeline'!B27&lt;&gt;""))&gt;0,IF(ISNUMBER('MiT Strom Pipeline'!Q27),'MiT Strom Pipeline'!Q27,0),"")</f>
        <v/>
      </c>
      <c r="I96" s="28">
        <f>IF(((('MiT Strom Pipeline'!R27="offered")+('MiT Strom Pipeline'!R27="to be offered")+('MiT Strom Pipeline'!R27="on hold"))*('MiT Strom Pipeline'!B27&lt;&gt;""))&gt;0,IF(ISNUMBER('MiT Strom Pipeline'!O27),'MiT Strom Pipeline'!O27,0),"")</f>
        <v/>
      </c>
      <c r="J96" s="27">
        <f>IF(((('MiT Strom Pipeline'!R27="offered")+('MiT Strom Pipeline'!R27="to be offered")+('MiT Strom Pipeline'!R27="on hold"))*('MiT Strom Pipeline'!B27&lt;&gt;""))&gt;0,'MiT Strom Pipeline'!R27,"")</f>
        <v/>
      </c>
      <c r="K96" s="29">
        <f>IF(((('MiT Strom Pipeline'!R27="offered")+('MiT Strom Pipeline'!R27="to be offered")+('MiT Strom Pipeline'!R27="on hold"))*('MiT Strom Pipeline'!B27&lt;&gt;""))&gt;0,IF(ISNUMBER('MiT Strom Pipeline'!S27),'MiT Strom Pipeline'!S27,""),"")</f>
        <v/>
      </c>
      <c r="L96" s="27">
        <f>IF(((('MiT Strom Pipeline'!R27="offered")+('MiT Strom Pipeline'!R27="to be offered")+('MiT Strom Pipeline'!R27="on hold"))*('MiT Strom Pipeline'!B27&lt;&gt;""))&gt;0,IF(LEN('MiT Strom Pipeline'!V27)&gt;0,LEFT('MiT Strom Pipeline'!V27,55),""),"")</f>
        <v/>
      </c>
      <c r="M96" s="22" t="n"/>
      <c r="N96" s="22" t="n"/>
      <c r="O96" s="22" t="n"/>
      <c r="P96" s="22" t="n"/>
      <c r="Q96" s="22" t="n"/>
      <c r="R96" s="22" t="n"/>
      <c r="S96" s="22" t="n"/>
    </row>
    <row r="97" ht="15.75" customHeight="1">
      <c r="A97" s="26">
        <f>IF(((('MiT Strom Pipeline'!R28="offered")+('MiT Strom Pipeline'!R28="to be offered")+('MiT Strom Pipeline'!R28="on hold"))*('MiT Strom Pipeline'!B28&lt;&gt;""))&gt;0,IF(ISNUMBER('MiT Strom Pipeline'!A28),'MiT Strom Pipeline'!A28,""),"")</f>
        <v/>
      </c>
      <c r="B97" s="27">
        <f>IF(((('MiT Strom Pipeline'!R28="offered")+('MiT Strom Pipeline'!R28="to be offered")+('MiT Strom Pipeline'!R28="on hold"))*('MiT Strom Pipeline'!B28&lt;&gt;""))&gt;0,IF('MiT Strom Pipeline'!B28="","",'MiT Strom Pipeline'!B28),"")</f>
        <v/>
      </c>
      <c r="C97" s="27">
        <f>IF(((('MiT Strom Pipeline'!R28="offered")+('MiT Strom Pipeline'!R28="to be offered")+('MiT Strom Pipeline'!R28="on hold"))*('MiT Strom Pipeline'!B28&lt;&gt;""))&gt;0,IF('MiT Strom Pipeline'!C28="","",'MiT Strom Pipeline'!C28),"")</f>
        <v/>
      </c>
      <c r="D97" s="27">
        <f>IF(((('MiT Strom Pipeline'!R28="offered")+('MiT Strom Pipeline'!R28="to be offered")+('MiT Strom Pipeline'!R28="on hold"))*('MiT Strom Pipeline'!B28&lt;&gt;""))&gt;0,IF('MiT Strom Pipeline'!D28="","",'MiT Strom Pipeline'!D28),"")</f>
        <v/>
      </c>
      <c r="E97" s="191">
        <f>IF(((('MiT Strom Pipeline'!R28="offered")+('MiT Strom Pipeline'!R28="to be offered")+('MiT Strom Pipeline'!R28="on hold"))*('MiT Strom Pipeline'!B28&lt;&gt;""))&gt;0,IF('MiT Strom Pipeline'!H28="","",'MiT Strom Pipeline'!H28),"")</f>
        <v/>
      </c>
      <c r="F97" s="27">
        <f>IF(((('MiT Strom Pipeline'!R28="offered")+('MiT Strom Pipeline'!R28="to be offered")+('MiT Strom Pipeline'!R28="on hold"))*('MiT Strom Pipeline'!B28&lt;&gt;""))&gt;0,IF('MiT Strom Pipeline'!E28="","",'MiT Strom Pipeline'!E28),"")</f>
        <v/>
      </c>
      <c r="G97" s="28">
        <f>IF(((('MiT Strom Pipeline'!R28="offered")+('MiT Strom Pipeline'!R28="to be offered")+('MiT Strom Pipeline'!R28="on hold"))*('MiT Strom Pipeline'!B28&lt;&gt;""))&gt;0,IF(ISNUMBER('MiT Strom Pipeline'!I28),'MiT Strom Pipeline'!I28,0),"")</f>
        <v/>
      </c>
      <c r="H97" s="28">
        <f>IF(((('MiT Strom Pipeline'!R28="offered")+('MiT Strom Pipeline'!R28="to be offered")+('MiT Strom Pipeline'!R28="on hold"))*('MiT Strom Pipeline'!B28&lt;&gt;""))&gt;0,IF(ISNUMBER('MiT Strom Pipeline'!Q28),'MiT Strom Pipeline'!Q28,0),"")</f>
        <v/>
      </c>
      <c r="I97" s="28">
        <f>IF(((('MiT Strom Pipeline'!R28="offered")+('MiT Strom Pipeline'!R28="to be offered")+('MiT Strom Pipeline'!R28="on hold"))*('MiT Strom Pipeline'!B28&lt;&gt;""))&gt;0,IF(ISNUMBER('MiT Strom Pipeline'!O28),'MiT Strom Pipeline'!O28,0),"")</f>
        <v/>
      </c>
      <c r="J97" s="27">
        <f>IF(((('MiT Strom Pipeline'!R28="offered")+('MiT Strom Pipeline'!R28="to be offered")+('MiT Strom Pipeline'!R28="on hold"))*('MiT Strom Pipeline'!B28&lt;&gt;""))&gt;0,'MiT Strom Pipeline'!R28,"")</f>
        <v/>
      </c>
      <c r="K97" s="29">
        <f>IF(((('MiT Strom Pipeline'!R28="offered")+('MiT Strom Pipeline'!R28="to be offered")+('MiT Strom Pipeline'!R28="on hold"))*('MiT Strom Pipeline'!B28&lt;&gt;""))&gt;0,IF(ISNUMBER('MiT Strom Pipeline'!S28),'MiT Strom Pipeline'!S28,""),"")</f>
        <v/>
      </c>
      <c r="L97" s="27">
        <f>IF(((('MiT Strom Pipeline'!R28="offered")+('MiT Strom Pipeline'!R28="to be offered")+('MiT Strom Pipeline'!R28="on hold"))*('MiT Strom Pipeline'!B28&lt;&gt;""))&gt;0,IF(LEN('MiT Strom Pipeline'!V28)&gt;0,LEFT('MiT Strom Pipeline'!V28,55),""),"")</f>
        <v/>
      </c>
      <c r="M97" s="22" t="n"/>
      <c r="N97" s="22" t="n"/>
      <c r="O97" s="22" t="n"/>
      <c r="P97" s="22" t="n"/>
      <c r="Q97" s="22" t="n"/>
      <c r="R97" s="22" t="n"/>
      <c r="S97" s="22" t="n"/>
    </row>
    <row r="98" hidden="1" ht="15.75" customHeight="1">
      <c r="A98" s="26">
        <f>IF(((('MiT Strom Pipeline'!R29="offered")+('MiT Strom Pipeline'!R29="to be offered")+('MiT Strom Pipeline'!R29="on hold"))*('MiT Strom Pipeline'!B29&lt;&gt;""))&gt;0,IF(ISNUMBER('MiT Strom Pipeline'!A29),'MiT Strom Pipeline'!A29,""),"")</f>
        <v/>
      </c>
      <c r="B98" s="27">
        <f>IF(((('MiT Strom Pipeline'!R29="offered")+('MiT Strom Pipeline'!R29="to be offered")+('MiT Strom Pipeline'!R29="on hold"))*('MiT Strom Pipeline'!B29&lt;&gt;""))&gt;0,IF('MiT Strom Pipeline'!B29="","",'MiT Strom Pipeline'!B29),"")</f>
        <v/>
      </c>
      <c r="C98" s="27">
        <f>IF(((('MiT Strom Pipeline'!R29="offered")+('MiT Strom Pipeline'!R29="to be offered")+('MiT Strom Pipeline'!R29="on hold"))*('MiT Strom Pipeline'!B29&lt;&gt;""))&gt;0,IF('MiT Strom Pipeline'!C29="","",'MiT Strom Pipeline'!C29),"")</f>
        <v/>
      </c>
      <c r="D98" s="27">
        <f>IF(((('MiT Strom Pipeline'!R29="offered")+('MiT Strom Pipeline'!R29="to be offered")+('MiT Strom Pipeline'!R29="on hold"))*('MiT Strom Pipeline'!B29&lt;&gt;""))&gt;0,IF('MiT Strom Pipeline'!D29="","",'MiT Strom Pipeline'!D29),"")</f>
        <v/>
      </c>
      <c r="E98" s="27">
        <f>IF(((('MiT Strom Pipeline'!R29="offered")+('MiT Strom Pipeline'!R29="to be offered")+('MiT Strom Pipeline'!R29="on hold"))*('MiT Strom Pipeline'!B29&lt;&gt;""))&gt;0,IF('MiT Strom Pipeline'!H29="","",'MiT Strom Pipeline'!H29),"")</f>
        <v/>
      </c>
      <c r="F98" s="27">
        <f>IF(((('MiT Strom Pipeline'!R29="offered")+('MiT Strom Pipeline'!R29="to be offered")+('MiT Strom Pipeline'!R29="on hold"))*('MiT Strom Pipeline'!B29&lt;&gt;""))&gt;0,IF('MiT Strom Pipeline'!E29="","",'MiT Strom Pipeline'!E29),"")</f>
        <v/>
      </c>
      <c r="G98" s="28">
        <f>IF(((('MiT Strom Pipeline'!R29="offered")+('MiT Strom Pipeline'!R29="to be offered")+('MiT Strom Pipeline'!R29="on hold"))*('MiT Strom Pipeline'!B29&lt;&gt;""))&gt;0,IF(ISNUMBER('MiT Strom Pipeline'!I29),'MiT Strom Pipeline'!I29,0),"")</f>
        <v/>
      </c>
      <c r="H98" s="28">
        <f>IF(((('MiT Strom Pipeline'!R29="offered")+('MiT Strom Pipeline'!R29="to be offered")+('MiT Strom Pipeline'!R29="on hold"))*('MiT Strom Pipeline'!B29&lt;&gt;""))&gt;0,IF(ISNUMBER('MiT Strom Pipeline'!Q29),'MiT Strom Pipeline'!Q29,0),"")</f>
        <v/>
      </c>
      <c r="I98" s="28">
        <f>IF(((('MiT Strom Pipeline'!R29="offered")+('MiT Strom Pipeline'!R29="to be offered")+('MiT Strom Pipeline'!R29="on hold"))*('MiT Strom Pipeline'!B29&lt;&gt;""))&gt;0,IF(ISNUMBER('MiT Strom Pipeline'!O29),'MiT Strom Pipeline'!O29,0),"")</f>
        <v/>
      </c>
      <c r="J98" s="27">
        <f>IF(((('MiT Strom Pipeline'!R29="offered")+('MiT Strom Pipeline'!R29="to be offered")+('MiT Strom Pipeline'!R29="on hold"))*('MiT Strom Pipeline'!B29&lt;&gt;""))&gt;0,'MiT Strom Pipeline'!R29,"")</f>
        <v/>
      </c>
      <c r="K98" s="29">
        <f>IF(((('MiT Strom Pipeline'!R29="offered")+('MiT Strom Pipeline'!R29="to be offered")+('MiT Strom Pipeline'!R29="on hold"))*('MiT Strom Pipeline'!B29&lt;&gt;""))&gt;0,IF(ISNUMBER('MiT Strom Pipeline'!S29),'MiT Strom Pipeline'!S29,""),"")</f>
        <v/>
      </c>
      <c r="L98" s="27">
        <f>IF(((('MiT Strom Pipeline'!R29="offered")+('MiT Strom Pipeline'!R29="to be offered")+('MiT Strom Pipeline'!R29="on hold"))*('MiT Strom Pipeline'!B29&lt;&gt;""))&gt;0,IF(LEN('MiT Strom Pipeline'!V29)&gt;0,LEFT('MiT Strom Pipeline'!V29,55),""),"")</f>
        <v/>
      </c>
      <c r="M98" s="22" t="n"/>
      <c r="N98" s="22" t="n"/>
      <c r="O98" s="22" t="n"/>
      <c r="P98" s="22" t="n"/>
      <c r="Q98" s="22" t="n"/>
      <c r="R98" s="22" t="n"/>
      <c r="S98" s="22" t="n"/>
    </row>
    <row r="99" hidden="1" ht="15.75" customHeight="1">
      <c r="A99" s="26">
        <f>IF(((('MiT Strom Pipeline'!R30="offered")+('MiT Strom Pipeline'!R30="to be offered")+('MiT Strom Pipeline'!R30="on hold"))*('MiT Strom Pipeline'!B30&lt;&gt;""))&gt;0,IF(ISNUMBER('MiT Strom Pipeline'!A30),'MiT Strom Pipeline'!A30,""),"")</f>
        <v/>
      </c>
      <c r="B99" s="27">
        <f>IF(((('MiT Strom Pipeline'!R30="offered")+('MiT Strom Pipeline'!R30="to be offered")+('MiT Strom Pipeline'!R30="on hold"))*('MiT Strom Pipeline'!B30&lt;&gt;""))&gt;0,IF('MiT Strom Pipeline'!B30="","",'MiT Strom Pipeline'!B30),"")</f>
        <v/>
      </c>
      <c r="C99" s="27">
        <f>IF(((('MiT Strom Pipeline'!R30="offered")+('MiT Strom Pipeline'!R30="to be offered")+('MiT Strom Pipeline'!R30="on hold"))*('MiT Strom Pipeline'!B30&lt;&gt;""))&gt;0,IF('MiT Strom Pipeline'!C30="","",'MiT Strom Pipeline'!C30),"")</f>
        <v/>
      </c>
      <c r="D99" s="27">
        <f>IF(((('MiT Strom Pipeline'!R30="offered")+('MiT Strom Pipeline'!R30="to be offered")+('MiT Strom Pipeline'!R30="on hold"))*('MiT Strom Pipeline'!B30&lt;&gt;""))&gt;0,IF('MiT Strom Pipeline'!D30="","",'MiT Strom Pipeline'!D30),"")</f>
        <v/>
      </c>
      <c r="E99" s="27">
        <f>IF(((('MiT Strom Pipeline'!R30="offered")+('MiT Strom Pipeline'!R30="to be offered")+('MiT Strom Pipeline'!R30="on hold"))*('MiT Strom Pipeline'!B30&lt;&gt;""))&gt;0,IF('MiT Strom Pipeline'!H30="","",'MiT Strom Pipeline'!H30),"")</f>
        <v/>
      </c>
      <c r="F99" s="27">
        <f>IF(((('MiT Strom Pipeline'!R30="offered")+('MiT Strom Pipeline'!R30="to be offered")+('MiT Strom Pipeline'!R30="on hold"))*('MiT Strom Pipeline'!B30&lt;&gt;""))&gt;0,IF('MiT Strom Pipeline'!E30="","",'MiT Strom Pipeline'!E30),"")</f>
        <v/>
      </c>
      <c r="G99" s="28">
        <f>IF(((('MiT Strom Pipeline'!R30="offered")+('MiT Strom Pipeline'!R30="to be offered")+('MiT Strom Pipeline'!R30="on hold"))*('MiT Strom Pipeline'!B30&lt;&gt;""))&gt;0,IF(ISNUMBER('MiT Strom Pipeline'!I30),'MiT Strom Pipeline'!I30,0),"")</f>
        <v/>
      </c>
      <c r="H99" s="28">
        <f>IF(((('MiT Strom Pipeline'!R30="offered")+('MiT Strom Pipeline'!R30="to be offered")+('MiT Strom Pipeline'!R30="on hold"))*('MiT Strom Pipeline'!B30&lt;&gt;""))&gt;0,IF(ISNUMBER('MiT Strom Pipeline'!Q30),'MiT Strom Pipeline'!Q30,0),"")</f>
        <v/>
      </c>
      <c r="I99" s="28">
        <f>IF(((('MiT Strom Pipeline'!R30="offered")+('MiT Strom Pipeline'!R30="to be offered")+('MiT Strom Pipeline'!R30="on hold"))*('MiT Strom Pipeline'!B30&lt;&gt;""))&gt;0,IF(ISNUMBER('MiT Strom Pipeline'!O30),'MiT Strom Pipeline'!O30,0),"")</f>
        <v/>
      </c>
      <c r="J99" s="27">
        <f>IF(((('MiT Strom Pipeline'!R30="offered")+('MiT Strom Pipeline'!R30="to be offered")+('MiT Strom Pipeline'!R30="on hold"))*('MiT Strom Pipeline'!B30&lt;&gt;""))&gt;0,'MiT Strom Pipeline'!R30,"")</f>
        <v/>
      </c>
      <c r="K99" s="29">
        <f>IF(((('MiT Strom Pipeline'!R30="offered")+('MiT Strom Pipeline'!R30="to be offered")+('MiT Strom Pipeline'!R30="on hold"))*('MiT Strom Pipeline'!B30&lt;&gt;""))&gt;0,IF(ISNUMBER('MiT Strom Pipeline'!S30),'MiT Strom Pipeline'!S30,""),"")</f>
        <v/>
      </c>
      <c r="L99" s="27">
        <f>IF(((('MiT Strom Pipeline'!R30="offered")+('MiT Strom Pipeline'!R30="to be offered")+('MiT Strom Pipeline'!R30="on hold"))*('MiT Strom Pipeline'!B30&lt;&gt;""))&gt;0,IF(LEN('MiT Strom Pipeline'!V30)&gt;0,LEFT('MiT Strom Pipeline'!V30,55),""),"")</f>
        <v/>
      </c>
      <c r="M99" s="22" t="n"/>
      <c r="N99" s="22" t="n"/>
      <c r="O99" s="22" t="n"/>
      <c r="P99" s="22" t="n"/>
      <c r="Q99" s="22" t="n"/>
      <c r="R99" s="22" t="n"/>
      <c r="S99" s="22" t="n"/>
    </row>
    <row r="100" ht="25.5" customHeight="1">
      <c r="A100" s="26">
        <f>IF(((('MiT Strom Pipeline'!R31="offered")+('MiT Strom Pipeline'!R31="to be offered")+('MiT Strom Pipeline'!R31="on hold"))*('MiT Strom Pipeline'!B31&lt;&gt;""))&gt;0,IF(ISNUMBER('MiT Strom Pipeline'!A31),'MiT Strom Pipeline'!A31,""),"")</f>
        <v/>
      </c>
      <c r="B100" s="27">
        <f>IF(((('MiT Strom Pipeline'!R31="offered")+('MiT Strom Pipeline'!R31="to be offered")+('MiT Strom Pipeline'!R31="on hold"))*('MiT Strom Pipeline'!B31&lt;&gt;""))&gt;0,IF('MiT Strom Pipeline'!B31="","",'MiT Strom Pipeline'!B31),"")</f>
        <v/>
      </c>
      <c r="C100" s="27">
        <f>IF(((('MiT Strom Pipeline'!R31="offered")+('MiT Strom Pipeline'!R31="to be offered")+('MiT Strom Pipeline'!R31="on hold"))*('MiT Strom Pipeline'!B31&lt;&gt;""))&gt;0,IF('MiT Strom Pipeline'!C31="","",'MiT Strom Pipeline'!C31),"")</f>
        <v/>
      </c>
      <c r="D100" s="27">
        <f>IF(((('MiT Strom Pipeline'!R31="offered")+('MiT Strom Pipeline'!R31="to be offered")+('MiT Strom Pipeline'!R31="on hold"))*('MiT Strom Pipeline'!B31&lt;&gt;""))&gt;0,IF('MiT Strom Pipeline'!D31="","",'MiT Strom Pipeline'!D31),"")</f>
        <v/>
      </c>
      <c r="E100" s="191">
        <f>IF(((('MiT Strom Pipeline'!R31="offered")+('MiT Strom Pipeline'!R31="to be offered")+('MiT Strom Pipeline'!R31="on hold"))*('MiT Strom Pipeline'!B31&lt;&gt;""))&gt;0,IF('MiT Strom Pipeline'!H31="","",'MiT Strom Pipeline'!H31),"")</f>
        <v/>
      </c>
      <c r="F100" s="27">
        <f>IF(((('MiT Strom Pipeline'!R31="offered")+('MiT Strom Pipeline'!R31="to be offered")+('MiT Strom Pipeline'!R31="on hold"))*('MiT Strom Pipeline'!B31&lt;&gt;""))&gt;0,IF('MiT Strom Pipeline'!E31="","",'MiT Strom Pipeline'!E31),"")</f>
        <v/>
      </c>
      <c r="G100" s="28">
        <f>IF(((('MiT Strom Pipeline'!R31="offered")+('MiT Strom Pipeline'!R31="to be offered")+('MiT Strom Pipeline'!R31="on hold"))*('MiT Strom Pipeline'!B31&lt;&gt;""))&gt;0,IF(ISNUMBER('MiT Strom Pipeline'!I31),'MiT Strom Pipeline'!I31,0),"")</f>
        <v/>
      </c>
      <c r="H100" s="28">
        <f>IF(((('MiT Strom Pipeline'!R31="offered")+('MiT Strom Pipeline'!R31="to be offered")+('MiT Strom Pipeline'!R31="on hold"))*('MiT Strom Pipeline'!B31&lt;&gt;""))&gt;0,IF(ISNUMBER('MiT Strom Pipeline'!Q31),'MiT Strom Pipeline'!Q31,0),"")</f>
        <v/>
      </c>
      <c r="I100" s="28">
        <f>IF(((('MiT Strom Pipeline'!R31="offered")+('MiT Strom Pipeline'!R31="to be offered")+('MiT Strom Pipeline'!R31="on hold"))*('MiT Strom Pipeline'!B31&lt;&gt;""))&gt;0,IF(ISNUMBER('MiT Strom Pipeline'!O31),'MiT Strom Pipeline'!O31,0),"")</f>
        <v/>
      </c>
      <c r="J100" s="27">
        <f>IF(((('MiT Strom Pipeline'!R31="offered")+('MiT Strom Pipeline'!R31="to be offered")+('MiT Strom Pipeline'!R31="on hold"))*('MiT Strom Pipeline'!B31&lt;&gt;""))&gt;0,'MiT Strom Pipeline'!R31,"")</f>
        <v/>
      </c>
      <c r="K100" s="29">
        <f>IF(((('MiT Strom Pipeline'!R31="offered")+('MiT Strom Pipeline'!R31="to be offered")+('MiT Strom Pipeline'!R31="on hold"))*('MiT Strom Pipeline'!B31&lt;&gt;""))&gt;0,IF(ISNUMBER('MiT Strom Pipeline'!S31),'MiT Strom Pipeline'!S31,""),"")</f>
        <v/>
      </c>
      <c r="L100" s="31">
        <f>IF(((('MiT Strom Pipeline'!R31="offered")+('MiT Strom Pipeline'!R31="to be offered")+('MiT Strom Pipeline'!R31="on hold"))*('MiT Strom Pipeline'!B31&lt;&gt;""))&gt;0,IF(LEN('MiT Strom Pipeline'!V31)&gt;0,LEFT('MiT Strom Pipeline'!V31,55),""),"")</f>
        <v/>
      </c>
      <c r="M100" s="22" t="n"/>
      <c r="N100" s="22" t="n"/>
      <c r="O100" s="22" t="n"/>
      <c r="P100" s="22" t="n"/>
      <c r="Q100" s="22" t="n"/>
      <c r="R100" s="22" t="n"/>
      <c r="S100" s="22" t="n"/>
    </row>
    <row r="101" ht="25.5" customHeight="1">
      <c r="A101" s="26">
        <f>IF(((('MiT Strom Pipeline'!R32="offered")+('MiT Strom Pipeline'!R32="to be offered")+('MiT Strom Pipeline'!R32="on hold"))*('MiT Strom Pipeline'!B32&lt;&gt;""))&gt;0,IF(ISNUMBER('MiT Strom Pipeline'!A32),'MiT Strom Pipeline'!A32,""),"")</f>
        <v/>
      </c>
      <c r="B101" s="27">
        <f>IF(((('MiT Strom Pipeline'!R32="offered")+('MiT Strom Pipeline'!R32="to be offered")+('MiT Strom Pipeline'!R32="on hold"))*('MiT Strom Pipeline'!B32&lt;&gt;""))&gt;0,IF('MiT Strom Pipeline'!B32="","",'MiT Strom Pipeline'!B32),"")</f>
        <v/>
      </c>
      <c r="C101" s="27">
        <f>IF(((('MiT Strom Pipeline'!R32="offered")+('MiT Strom Pipeline'!R32="to be offered")+('MiT Strom Pipeline'!R32="on hold"))*('MiT Strom Pipeline'!B32&lt;&gt;""))&gt;0,IF('MiT Strom Pipeline'!C32="","",'MiT Strom Pipeline'!C32),"")</f>
        <v/>
      </c>
      <c r="D101" s="27">
        <f>IF(((('MiT Strom Pipeline'!R32="offered")+('MiT Strom Pipeline'!R32="to be offered")+('MiT Strom Pipeline'!R32="on hold"))*('MiT Strom Pipeline'!B32&lt;&gt;""))&gt;0,IF('MiT Strom Pipeline'!D32="","",'MiT Strom Pipeline'!D32),"")</f>
        <v/>
      </c>
      <c r="E101" s="191">
        <f>IF(((('MiT Strom Pipeline'!R32="offered")+('MiT Strom Pipeline'!R32="to be offered")+('MiT Strom Pipeline'!R32="on hold"))*('MiT Strom Pipeline'!B32&lt;&gt;""))&gt;0,IF('MiT Strom Pipeline'!H32="","",'MiT Strom Pipeline'!H32),"")</f>
        <v/>
      </c>
      <c r="F101" s="27">
        <f>IF(((('MiT Strom Pipeline'!R32="offered")+('MiT Strom Pipeline'!R32="to be offered")+('MiT Strom Pipeline'!R32="on hold"))*('MiT Strom Pipeline'!B32&lt;&gt;""))&gt;0,IF('MiT Strom Pipeline'!E32="","",'MiT Strom Pipeline'!E32),"")</f>
        <v/>
      </c>
      <c r="G101" s="28">
        <f>IF(((('MiT Strom Pipeline'!R32="offered")+('MiT Strom Pipeline'!R32="to be offered")+('MiT Strom Pipeline'!R32="on hold"))*('MiT Strom Pipeline'!B32&lt;&gt;""))&gt;0,IF(ISNUMBER('MiT Strom Pipeline'!I32),'MiT Strom Pipeline'!I32,0),"")</f>
        <v/>
      </c>
      <c r="H101" s="28">
        <f>IF(((('MiT Strom Pipeline'!R32="offered")+('MiT Strom Pipeline'!R32="to be offered")+('MiT Strom Pipeline'!R32="on hold"))*('MiT Strom Pipeline'!B32&lt;&gt;""))&gt;0,IF(ISNUMBER('MiT Strom Pipeline'!Q32),'MiT Strom Pipeline'!Q32,0),"")</f>
        <v/>
      </c>
      <c r="I101" s="28">
        <f>IF(((('MiT Strom Pipeline'!R32="offered")+('MiT Strom Pipeline'!R32="to be offered")+('MiT Strom Pipeline'!R32="on hold"))*('MiT Strom Pipeline'!B32&lt;&gt;""))&gt;0,IF(ISNUMBER('MiT Strom Pipeline'!O32),'MiT Strom Pipeline'!O32,0),"")</f>
        <v/>
      </c>
      <c r="J101" s="27">
        <f>IF(((('MiT Strom Pipeline'!R32="offered")+('MiT Strom Pipeline'!R32="to be offered")+('MiT Strom Pipeline'!R32="on hold"))*('MiT Strom Pipeline'!B32&lt;&gt;""))&gt;0,'MiT Strom Pipeline'!R32,"")</f>
        <v/>
      </c>
      <c r="K101" s="29">
        <f>IF(((('MiT Strom Pipeline'!R32="offered")+('MiT Strom Pipeline'!R32="to be offered")+('MiT Strom Pipeline'!R32="on hold"))*('MiT Strom Pipeline'!B32&lt;&gt;""))&gt;0,IF(ISNUMBER('MiT Strom Pipeline'!S32),'MiT Strom Pipeline'!S32,""),"")</f>
        <v/>
      </c>
      <c r="L101" s="31">
        <f>IF(((('MiT Strom Pipeline'!R32="offered")+('MiT Strom Pipeline'!R32="to be offered")+('MiT Strom Pipeline'!R32="on hold"))*('MiT Strom Pipeline'!B32&lt;&gt;""))&gt;0,IF(LEN('MiT Strom Pipeline'!V32)&gt;0,LEFT('MiT Strom Pipeline'!V32,55),""),"")</f>
        <v/>
      </c>
      <c r="M101" s="22" t="n"/>
      <c r="N101" s="22" t="n"/>
      <c r="O101" s="22" t="n"/>
      <c r="P101" s="22" t="n"/>
      <c r="Q101" s="22" t="n"/>
      <c r="R101" s="22" t="n"/>
      <c r="S101" s="22" t="n"/>
    </row>
    <row r="102" hidden="1" ht="15.75" customHeight="1">
      <c r="A102" s="26">
        <f>IF(((('MiT Strom Pipeline'!R33="offered")+('MiT Strom Pipeline'!R33="to be offered")+('MiT Strom Pipeline'!R33="on hold"))*('MiT Strom Pipeline'!B33&lt;&gt;""))&gt;0,IF(ISNUMBER('MiT Strom Pipeline'!A33),'MiT Strom Pipeline'!A33,""),"")</f>
        <v>14</v>
      </c>
      <c r="B102" s="27" t="str">
        <f>IF(((('MiT Strom Pipeline'!R33="offered")+('MiT Strom Pipeline'!R33="to be offered")+('MiT Strom Pipeline'!R33="on hold"))*('MiT Strom Pipeline'!B33&lt;&gt;""))&gt;0,IF('MiT Strom Pipeline'!B33="","",'MiT Strom Pipeline'!B33),"")</f>
        <v>Trafag AG</v>
      </c>
      <c r="C102" s="27" t="str">
        <f>IF(((('MiT Strom Pipeline'!R33="offered")+('MiT Strom Pipeline'!R33="to be offered")+('MiT Strom Pipeline'!R33="on hold"))*('MiT Strom Pipeline'!B33&lt;&gt;""))&gt;0,IF('MiT Strom Pipeline'!C33="","",'MiT Strom Pipeline'!C33),"")</f>
        <v>ZH</v>
      </c>
      <c r="D102" s="27" t="str">
        <f>IF(((('MiT Strom Pipeline'!R33="offered")+('MiT Strom Pipeline'!R33="to be offered")+('MiT Strom Pipeline'!R33="on hold"))*('MiT Strom Pipeline'!B33&lt;&gt;""))&gt;0,IF('MiT Strom Pipeline'!D33="","",'MiT Strom Pipeline'!D33),"")</f>
        <v>Industrie / Messtechnik</v>
      </c>
      <c r="E102" s="27" t="str">
        <f>IF(((('MiT Strom Pipeline'!R33="offered")+('MiT Strom Pipeline'!R33="to be offered")+('MiT Strom Pipeline'!R33="on hold"))*('MiT Strom Pipeline'!B33&lt;&gt;""))&gt;0,IF('MiT Strom Pipeline'!H33="","",'MiT Strom Pipeline'!H33),"")</f>
        <v>tbd</v>
      </c>
      <c r="F102" s="27" t="str">
        <f>IF(((('MiT Strom Pipeline'!R33="offered")+('MiT Strom Pipeline'!R33="to be offered")+('MiT Strom Pipeline'!R33="on hold"))*('MiT Strom Pipeline'!B33&lt;&gt;""))&gt;0,IF('MiT Strom Pipeline'!E33="","",'MiT Strom Pipeline'!E33),"")</f>
        <v>450 kVA Generator</v>
      </c>
      <c r="G102" s="28">
        <f>IF(((('MiT Strom Pipeline'!R33="offered")+('MiT Strom Pipeline'!R33="to be offered")+('MiT Strom Pipeline'!R33="on hold"))*('MiT Strom Pipeline'!B33&lt;&gt;""))&gt;0,IF(ISNUMBER('MiT Strom Pipeline'!I33),'MiT Strom Pipeline'!I33,0),"")</f>
        <v>17300</v>
      </c>
      <c r="H102" s="28">
        <f>IF(((('MiT Strom Pipeline'!R33="offered")+('MiT Strom Pipeline'!R33="to be offered")+('MiT Strom Pipeline'!R33="on hold"))*('MiT Strom Pipeline'!B33&lt;&gt;""))&gt;0,IF(ISNUMBER('MiT Strom Pipeline'!Q33),'MiT Strom Pipeline'!Q33,0),"")</f>
        <v>8650</v>
      </c>
      <c r="I102" s="28">
        <f>IF(((('MiT Strom Pipeline'!R33="offered")+('MiT Strom Pipeline'!R33="to be offered")+('MiT Strom Pipeline'!R33="on hold"))*('MiT Strom Pipeline'!B33&lt;&gt;""))&gt;0,IF(ISNUMBER('MiT Strom Pipeline'!O33),'MiT Strom Pipeline'!O33,0),"")</f>
        <v>17300</v>
      </c>
      <c r="J102" s="27" t="str">
        <f>IF(((('MiT Strom Pipeline'!R33="offered")+('MiT Strom Pipeline'!R33="to be offered")+('MiT Strom Pipeline'!R33="on hold"))*('MiT Strom Pipeline'!B33&lt;&gt;""))&gt;0,'MiT Strom Pipeline'!R33,"")</f>
        <v>offered</v>
      </c>
      <c r="K102" s="29">
        <f>IF(((('MiT Strom Pipeline'!R33="offered")+('MiT Strom Pipeline'!R33="to be offered")+('MiT Strom Pipeline'!R33="on hold"))*('MiT Strom Pipeline'!B33&lt;&gt;""))&gt;0,IF(ISNUMBER('MiT Strom Pipeline'!S33),'MiT Strom Pipeline'!S33,""),"")</f>
        <v>0.5</v>
      </c>
      <c r="L102" s="27" t="str">
        <f>IF(((('MiT Strom Pipeline'!R33="offered")+('MiT Strom Pipeline'!R33="to be offered")+('MiT Strom Pipeline'!R33="on hold"))*('MiT Strom Pipeline'!B33&lt;&gt;""))&gt;0,IF(LEN('MiT Strom Pipeline'!V33)&gt;0,LEFT('MiT Strom Pipeline'!V33,55),""),"")</f>
        <v>Angebot vorbereiten – PQ-Argument für Messtechnik, Stef</v>
      </c>
      <c r="M102" s="22" t="n"/>
      <c r="N102" s="22" t="n"/>
      <c r="O102" s="22" t="n"/>
      <c r="P102" s="22" t="n"/>
      <c r="Q102" s="22" t="n"/>
      <c r="R102" s="22" t="n"/>
      <c r="S102" s="22" t="n"/>
    </row>
    <row r="103" ht="15.75" customHeight="1">
      <c r="A103" s="26">
        <f>IF(((('MiT Strom Pipeline'!R34="offered")+('MiT Strom Pipeline'!R34="to be offered")+('MiT Strom Pipeline'!R34="on hold"))*('MiT Strom Pipeline'!B34&lt;&gt;""))&gt;0,IF(ISNUMBER('MiT Strom Pipeline'!A34),'MiT Strom Pipeline'!A34,""),"")</f>
        <v/>
      </c>
      <c r="B103" s="27">
        <f>IF(((('MiT Strom Pipeline'!R34="offered")+('MiT Strom Pipeline'!R34="to be offered")+('MiT Strom Pipeline'!R34="on hold"))*('MiT Strom Pipeline'!B34&lt;&gt;""))&gt;0,IF('MiT Strom Pipeline'!B34="","",'MiT Strom Pipeline'!B34),"")</f>
        <v/>
      </c>
      <c r="C103" s="27">
        <f>IF(((('MiT Strom Pipeline'!R34="offered")+('MiT Strom Pipeline'!R34="to be offered")+('MiT Strom Pipeline'!R34="on hold"))*('MiT Strom Pipeline'!B34&lt;&gt;""))&gt;0,IF('MiT Strom Pipeline'!C34="","",'MiT Strom Pipeline'!C34),"")</f>
        <v/>
      </c>
      <c r="D103" s="27">
        <f>IF(((('MiT Strom Pipeline'!R34="offered")+('MiT Strom Pipeline'!R34="to be offered")+('MiT Strom Pipeline'!R34="on hold"))*('MiT Strom Pipeline'!B34&lt;&gt;""))&gt;0,IF('MiT Strom Pipeline'!D34="","",'MiT Strom Pipeline'!D34),"")</f>
        <v/>
      </c>
      <c r="E103" s="27">
        <f>IF(((('MiT Strom Pipeline'!R34="offered")+('MiT Strom Pipeline'!R34="to be offered")+('MiT Strom Pipeline'!R34="on hold"))*('MiT Strom Pipeline'!B34&lt;&gt;""))&gt;0,IF('MiT Strom Pipeline'!H34="","",'MiT Strom Pipeline'!H34),"")</f>
        <v/>
      </c>
      <c r="F103" s="27">
        <f>IF(((('MiT Strom Pipeline'!R34="offered")+('MiT Strom Pipeline'!R34="to be offered")+('MiT Strom Pipeline'!R34="on hold"))*('MiT Strom Pipeline'!B34&lt;&gt;""))&gt;0,IF('MiT Strom Pipeline'!E34="","",'MiT Strom Pipeline'!E34),"")</f>
        <v/>
      </c>
      <c r="G103" s="28">
        <f>IF(((('MiT Strom Pipeline'!R34="offered")+('MiT Strom Pipeline'!R34="to be offered")+('MiT Strom Pipeline'!R34="on hold"))*('MiT Strom Pipeline'!B34&lt;&gt;""))&gt;0,IF(ISNUMBER('MiT Strom Pipeline'!I34),'MiT Strom Pipeline'!I34,0),"")</f>
        <v/>
      </c>
      <c r="H103" s="28">
        <f>IF(((('MiT Strom Pipeline'!R34="offered")+('MiT Strom Pipeline'!R34="to be offered")+('MiT Strom Pipeline'!R34="on hold"))*('MiT Strom Pipeline'!B34&lt;&gt;""))&gt;0,IF(ISNUMBER('MiT Strom Pipeline'!Q34),'MiT Strom Pipeline'!Q34,0),"")</f>
        <v/>
      </c>
      <c r="I103" s="28">
        <f>IF(((('MiT Strom Pipeline'!R34="offered")+('MiT Strom Pipeline'!R34="to be offered")+('MiT Strom Pipeline'!R34="on hold"))*('MiT Strom Pipeline'!B34&lt;&gt;""))&gt;0,IF(ISNUMBER('MiT Strom Pipeline'!O34),'MiT Strom Pipeline'!O34,0),"")</f>
        <v/>
      </c>
      <c r="J103" s="27">
        <f>IF(((('MiT Strom Pipeline'!R34="offered")+('MiT Strom Pipeline'!R34="to be offered")+('MiT Strom Pipeline'!R34="on hold"))*('MiT Strom Pipeline'!B34&lt;&gt;""))&gt;0,'MiT Strom Pipeline'!R34,"")</f>
        <v/>
      </c>
      <c r="K103" s="29">
        <f>IF(((('MiT Strom Pipeline'!R34="offered")+('MiT Strom Pipeline'!R34="to be offered")+('MiT Strom Pipeline'!R34="on hold"))*('MiT Strom Pipeline'!B34&lt;&gt;""))&gt;0,IF(ISNUMBER('MiT Strom Pipeline'!S34),'MiT Strom Pipeline'!S34,""),"")</f>
        <v/>
      </c>
      <c r="L103" s="31">
        <f>IF(((('MiT Strom Pipeline'!R34="offered")+('MiT Strom Pipeline'!R34="to be offered")+('MiT Strom Pipeline'!R34="on hold"))*('MiT Strom Pipeline'!B34&lt;&gt;""))&gt;0,IF(LEN('MiT Strom Pipeline'!V34)&gt;0,LEFT('MiT Strom Pipeline'!V34,55),""),"")</f>
        <v/>
      </c>
      <c r="M103" s="22" t="n"/>
      <c r="N103" s="22" t="n"/>
      <c r="O103" s="22" t="n"/>
      <c r="P103" s="22" t="n"/>
      <c r="Q103" s="22" t="n"/>
      <c r="R103" s="22" t="n"/>
      <c r="S103" s="22" t="n"/>
    </row>
    <row r="104" ht="15.75" customHeight="1">
      <c r="A104" s="26">
        <f>IF(((('MiT Strom Pipeline'!R35="offered")+('MiT Strom Pipeline'!R35="to be offered")+('MiT Strom Pipeline'!R35="on hold"))*('MiT Strom Pipeline'!B35&lt;&gt;""))&gt;0,IF(ISNUMBER('MiT Strom Pipeline'!A35),'MiT Strom Pipeline'!A35,""),"")</f>
        <v>14</v>
      </c>
      <c r="B104" s="27" t="str">
        <f>IF(((('MiT Strom Pipeline'!R35="offered")+('MiT Strom Pipeline'!R35="to be offered")+('MiT Strom Pipeline'!R35="on hold"))*('MiT Strom Pipeline'!B35&lt;&gt;""))&gt;0,IF('MiT Strom Pipeline'!B35="","",'MiT Strom Pipeline'!B35),"")</f>
        <v>Trafag AG</v>
      </c>
      <c r="C104" s="27" t="str">
        <f>IF(((('MiT Strom Pipeline'!R35="offered")+('MiT Strom Pipeline'!R35="to be offered")+('MiT Strom Pipeline'!R35="on hold"))*('MiT Strom Pipeline'!B35&lt;&gt;""))&gt;0,IF('MiT Strom Pipeline'!C35="","",'MiT Strom Pipeline'!C35),"")</f>
        <v>ZH</v>
      </c>
      <c r="D104" s="27" t="str">
        <f>IF(((('MiT Strom Pipeline'!R35="offered")+('MiT Strom Pipeline'!R35="to be offered")+('MiT Strom Pipeline'!R35="on hold"))*('MiT Strom Pipeline'!B35&lt;&gt;""))&gt;0,IF('MiT Strom Pipeline'!D35="","",'MiT Strom Pipeline'!D35),"")</f>
        <v>Industrie / Messtechnik</v>
      </c>
      <c r="E104" s="27" t="str">
        <f>IF(((('MiT Strom Pipeline'!R35="offered")+('MiT Strom Pipeline'!R35="to be offered")+('MiT Strom Pipeline'!R35="on hold"))*('MiT Strom Pipeline'!B35&lt;&gt;""))&gt;0,IF('MiT Strom Pipeline'!H35="","",'MiT Strom Pipeline'!H35),"")</f>
        <v>tbd</v>
      </c>
      <c r="F104" s="27" t="str">
        <f>IF(((('MiT Strom Pipeline'!R35="offered")+('MiT Strom Pipeline'!R35="to be offered")+('MiT Strom Pipeline'!R35="on hold"))*('MiT Strom Pipeline'!B35&lt;&gt;""))&gt;0,IF('MiT Strom Pipeline'!E35="","",'MiT Strom Pipeline'!E35),"")</f>
        <v>BESS 500 kVA</v>
      </c>
      <c r="G104" s="28">
        <f>IF(((('MiT Strom Pipeline'!R35="offered")+('MiT Strom Pipeline'!R35="to be offered")+('MiT Strom Pipeline'!R35="on hold"))*('MiT Strom Pipeline'!B35&lt;&gt;""))&gt;0,IF(ISNUMBER('MiT Strom Pipeline'!I35),'MiT Strom Pipeline'!I35,0),"")</f>
        <v>21025</v>
      </c>
      <c r="H104" s="28">
        <f>IF(((('MiT Strom Pipeline'!R35="offered")+('MiT Strom Pipeline'!R35="to be offered")+('MiT Strom Pipeline'!R35="on hold"))*('MiT Strom Pipeline'!B35&lt;&gt;""))&gt;0,IF(ISNUMBER('MiT Strom Pipeline'!Q35),'MiT Strom Pipeline'!Q35,0),"")</f>
        <v>10512.5</v>
      </c>
      <c r="I104" s="28">
        <f>IF(((('MiT Strom Pipeline'!R35="offered")+('MiT Strom Pipeline'!R35="to be offered")+('MiT Strom Pipeline'!R35="on hold"))*('MiT Strom Pipeline'!B35&lt;&gt;""))&gt;0,IF(ISNUMBER('MiT Strom Pipeline'!O35),'MiT Strom Pipeline'!O35,0),"")</f>
        <v>21025</v>
      </c>
      <c r="J104" s="27" t="str">
        <f>IF(((('MiT Strom Pipeline'!R35="offered")+('MiT Strom Pipeline'!R35="to be offered")+('MiT Strom Pipeline'!R35="on hold"))*('MiT Strom Pipeline'!B35&lt;&gt;""))&gt;0,'MiT Strom Pipeline'!R35,"")</f>
        <v>offered</v>
      </c>
      <c r="K104" s="29">
        <f>IF(((('MiT Strom Pipeline'!R35="offered")+('MiT Strom Pipeline'!R35="to be offered")+('MiT Strom Pipeline'!R35="on hold"))*('MiT Strom Pipeline'!B35&lt;&gt;""))&gt;0,IF(ISNUMBER('MiT Strom Pipeline'!S35),'MiT Strom Pipeline'!S35,""),"")</f>
        <v>0.5</v>
      </c>
      <c r="L104" s="31" t="str">
        <f>IF(((('MiT Strom Pipeline'!R35="offered")+('MiT Strom Pipeline'!R35="to be offered")+('MiT Strom Pipeline'!R35="on hold"))*('MiT Strom Pipeline'!B35&lt;&gt;""))&gt;0,IF(LEN('MiT Strom Pipeline'!V35)&gt;0,LEFT('MiT Strom Pipeline'!V35,55),""),"")</f>
        <v>Angebot vorbereiten – PQ-Argument für Messtechnik, Stef</v>
      </c>
      <c r="M104" s="22" t="n"/>
      <c r="N104" s="22" t="n"/>
      <c r="O104" s="22" t="n"/>
      <c r="P104" s="22" t="n"/>
      <c r="Q104" s="22" t="n"/>
      <c r="R104" s="22" t="n"/>
      <c r="S104" s="22" t="n"/>
    </row>
    <row r="105" ht="15.75" customHeight="1">
      <c r="A105" s="26">
        <f>IF(((('MiT Strom Pipeline'!R36="offered")+('MiT Strom Pipeline'!R36="to be offered")+('MiT Strom Pipeline'!R36="on hold"))*('MiT Strom Pipeline'!B36&lt;&gt;""))&gt;0,IF(ISNUMBER('MiT Strom Pipeline'!A36),'MiT Strom Pipeline'!A36,""),"")</f>
        <v>14</v>
      </c>
      <c r="B105" s="27" t="str">
        <f>IF(((('MiT Strom Pipeline'!R36="offered")+('MiT Strom Pipeline'!R36="to be offered")+('MiT Strom Pipeline'!R36="on hold"))*('MiT Strom Pipeline'!B36&lt;&gt;""))&gt;0,IF('MiT Strom Pipeline'!B36="","",'MiT Strom Pipeline'!B36),"")</f>
        <v>Trafag AG</v>
      </c>
      <c r="C105" s="27" t="str">
        <f>IF(((('MiT Strom Pipeline'!R36="offered")+('MiT Strom Pipeline'!R36="to be offered")+('MiT Strom Pipeline'!R36="on hold"))*('MiT Strom Pipeline'!B36&lt;&gt;""))&gt;0,IF('MiT Strom Pipeline'!C36="","",'MiT Strom Pipeline'!C36),"")</f>
        <v>ZH</v>
      </c>
      <c r="D105" s="27" t="str">
        <f>IF(((('MiT Strom Pipeline'!R36="offered")+('MiT Strom Pipeline'!R36="to be offered")+('MiT Strom Pipeline'!R36="on hold"))*('MiT Strom Pipeline'!B36&lt;&gt;""))&gt;0,IF('MiT Strom Pipeline'!D36="","",'MiT Strom Pipeline'!D36),"")</f>
        <v>Industrie / Messtechnik</v>
      </c>
      <c r="E105" s="27" t="str">
        <f>IF(((('MiT Strom Pipeline'!R36="offered")+('MiT Strom Pipeline'!R36="to be offered")+('MiT Strom Pipeline'!R36="on hold"))*('MiT Strom Pipeline'!B36&lt;&gt;""))&gt;0,IF('MiT Strom Pipeline'!H36="","",'MiT Strom Pipeline'!H36),"")</f>
        <v>tbd</v>
      </c>
      <c r="F105" s="27" t="str">
        <f>IF(((('MiT Strom Pipeline'!R36="offered")+('MiT Strom Pipeline'!R36="to be offered")+('MiT Strom Pipeline'!R36="on hold"))*('MiT Strom Pipeline'!B36&lt;&gt;""))&gt;0,IF('MiT Strom Pipeline'!E36="","",'MiT Strom Pipeline'!E36),"")</f>
        <v>Kombi 450 kVA Generator / BESS 500 kVA</v>
      </c>
      <c r="G105" s="28">
        <f>IF(((('MiT Strom Pipeline'!R36="offered")+('MiT Strom Pipeline'!R36="to be offered")+('MiT Strom Pipeline'!R36="on hold"))*('MiT Strom Pipeline'!B36&lt;&gt;""))&gt;0,IF(ISNUMBER('MiT Strom Pipeline'!I36),'MiT Strom Pipeline'!I36,0),"")</f>
        <v>37444</v>
      </c>
      <c r="H105" s="28">
        <f>IF(((('MiT Strom Pipeline'!R36="offered")+('MiT Strom Pipeline'!R36="to be offered")+('MiT Strom Pipeline'!R36="on hold"))*('MiT Strom Pipeline'!B36&lt;&gt;""))&gt;0,IF(ISNUMBER('MiT Strom Pipeline'!Q36),'MiT Strom Pipeline'!Q36,0),"")</f>
        <v>18722</v>
      </c>
      <c r="I105" s="28">
        <f>IF(((('MiT Strom Pipeline'!R36="offered")+('MiT Strom Pipeline'!R36="to be offered")+('MiT Strom Pipeline'!R36="on hold"))*('MiT Strom Pipeline'!B36&lt;&gt;""))&gt;0,IF(ISNUMBER('MiT Strom Pipeline'!O36),'MiT Strom Pipeline'!O36,0),"")</f>
        <v>37444</v>
      </c>
      <c r="J105" s="27" t="str">
        <f>IF(((('MiT Strom Pipeline'!R36="offered")+('MiT Strom Pipeline'!R36="to be offered")+('MiT Strom Pipeline'!R36="on hold"))*('MiT Strom Pipeline'!B36&lt;&gt;""))&gt;0,'MiT Strom Pipeline'!R36,"")</f>
        <v>offered</v>
      </c>
      <c r="K105" s="29">
        <f>IF(((('MiT Strom Pipeline'!R36="offered")+('MiT Strom Pipeline'!R36="to be offered")+('MiT Strom Pipeline'!R36="on hold"))*('MiT Strom Pipeline'!B36&lt;&gt;""))&gt;0,IF(ISNUMBER('MiT Strom Pipeline'!S36),'MiT Strom Pipeline'!S36,""),"")</f>
        <v>0.5</v>
      </c>
      <c r="L105" s="31" t="str">
        <f>IF(((('MiT Strom Pipeline'!R36="offered")+('MiT Strom Pipeline'!R36="to be offered")+('MiT Strom Pipeline'!R36="on hold"))*('MiT Strom Pipeline'!B36&lt;&gt;""))&gt;0,IF(LEN('MiT Strom Pipeline'!V36)&gt;0,LEFT('MiT Strom Pipeline'!V36,55),""),"")</f>
        <v>Angebot vorbereiten – PQ-Argument für Messtechnik, Stef</v>
      </c>
      <c r="M105" s="22" t="n"/>
      <c r="N105" s="22" t="n"/>
      <c r="O105" s="22" t="n"/>
      <c r="P105" s="22" t="n"/>
      <c r="Q105" s="22" t="n"/>
      <c r="R105" s="22" t="n"/>
      <c r="S105" s="22" t="n"/>
    </row>
    <row r="106" ht="15.75" customHeight="1">
      <c r="A106" s="26">
        <f>IF(((('MiT Strom Pipeline'!R37="offered")+('MiT Strom Pipeline'!R37="to be offered")+('MiT Strom Pipeline'!R37="on hold"))*('MiT Strom Pipeline'!B37&lt;&gt;""))&gt;0,IF(ISNUMBER('MiT Strom Pipeline'!A37),'MiT Strom Pipeline'!A37,""),"")</f>
        <v>27</v>
      </c>
      <c r="B106" s="27" t="str">
        <f>IF(((('MiT Strom Pipeline'!R37="offered")+('MiT Strom Pipeline'!R37="to be offered")+('MiT Strom Pipeline'!R37="on hold"))*('MiT Strom Pipeline'!B37&lt;&gt;""))&gt;0,IF('MiT Strom Pipeline'!B37="","",'MiT Strom Pipeline'!B37),"")</f>
        <v>Rimus &amp; Sstrada</v>
      </c>
      <c r="C106" s="27" t="str">
        <f>IF(((('MiT Strom Pipeline'!R37="offered")+('MiT Strom Pipeline'!R37="to be offered")+('MiT Strom Pipeline'!R37="on hold"))*('MiT Strom Pipeline'!B37&lt;&gt;""))&gt;0,IF('MiT Strom Pipeline'!C37="","",'MiT Strom Pipeline'!C37),"")</f>
        <v>SH</v>
      </c>
      <c r="D106" s="27" t="str">
        <f>IF(((('MiT Strom Pipeline'!R37="offered")+('MiT Strom Pipeline'!R37="to be offered")+('MiT Strom Pipeline'!R37="on hold"))*('MiT Strom Pipeline'!B37&lt;&gt;""))&gt;0,IF('MiT Strom Pipeline'!D37="","",'MiT Strom Pipeline'!D37),"")</f>
        <v>Industrie</v>
      </c>
      <c r="E106" s="191" t="str">
        <f>IF(((('MiT Strom Pipeline'!R37="offered")+('MiT Strom Pipeline'!R37="to be offered")+('MiT Strom Pipeline'!R37="on hold"))*('MiT Strom Pipeline'!B37&lt;&gt;""))&gt;0,IF('MiT Strom Pipeline'!H37="","",'MiT Strom Pipeline'!H37),"")</f>
        <v>tbd</v>
      </c>
      <c r="F106" s="27" t="str">
        <f>IF(((('MiT Strom Pipeline'!R37="offered")+('MiT Strom Pipeline'!R37="to be offered")+('MiT Strom Pipeline'!R37="on hold"))*('MiT Strom Pipeline'!B37&lt;&gt;""))&gt;0,IF('MiT Strom Pipeline'!E37="","",'MiT Strom Pipeline'!E37),"")</f>
        <v>500 kWh Small BESS</v>
      </c>
      <c r="G106" s="28">
        <f>IF(((('MiT Strom Pipeline'!R37="offered")+('MiT Strom Pipeline'!R37="to be offered")+('MiT Strom Pipeline'!R37="on hold"))*('MiT Strom Pipeline'!B37&lt;&gt;""))&gt;0,IF(ISNUMBER('MiT Strom Pipeline'!I37),'MiT Strom Pipeline'!I37,0),"")</f>
        <v>425955</v>
      </c>
      <c r="H106" s="28">
        <f>IF(((('MiT Strom Pipeline'!R37="offered")+('MiT Strom Pipeline'!R37="to be offered")+('MiT Strom Pipeline'!R37="on hold"))*('MiT Strom Pipeline'!B37&lt;&gt;""))&gt;0,IF(ISNUMBER('MiT Strom Pipeline'!Q37),'MiT Strom Pipeline'!Q37,0),"")</f>
        <v>212977.5</v>
      </c>
      <c r="I106" s="28">
        <f>IF(((('MiT Strom Pipeline'!R37="offered")+('MiT Strom Pipeline'!R37="to be offered")+('MiT Strom Pipeline'!R37="on hold"))*('MiT Strom Pipeline'!B37&lt;&gt;""))&gt;0,IF(ISNUMBER('MiT Strom Pipeline'!O37),'MiT Strom Pipeline'!O37,0),"")</f>
        <v>2235</v>
      </c>
      <c r="J106" s="27" t="str">
        <f>IF(((('MiT Strom Pipeline'!R37="offered")+('MiT Strom Pipeline'!R37="to be offered")+('MiT Strom Pipeline'!R37="on hold"))*('MiT Strom Pipeline'!B37&lt;&gt;""))&gt;0,'MiT Strom Pipeline'!R37,"")</f>
        <v>offered</v>
      </c>
      <c r="K106" s="29">
        <f>IF(((('MiT Strom Pipeline'!R37="offered")+('MiT Strom Pipeline'!R37="to be offered")+('MiT Strom Pipeline'!R37="on hold"))*('MiT Strom Pipeline'!B37&lt;&gt;""))&gt;0,IF(ISNUMBER('MiT Strom Pipeline'!S37),'MiT Strom Pipeline'!S37,""),"")</f>
        <v>0.5</v>
      </c>
      <c r="L106" s="27" t="str">
        <f>IF(((('MiT Strom Pipeline'!R37="offered")+('MiT Strom Pipeline'!R37="to be offered")+('MiT Strom Pipeline'!R37="on hold"))*('MiT Strom Pipeline'!B37&lt;&gt;""))&gt;0,IF(LEN('MiT Strom Pipeline'!V37)&gt;0,LEFT('MiT Strom Pipeline'!V37,55),""),"")</f>
        <v>Kunde Telefon Kontaktiert und Vor Ort 
Besichtigung und</v>
      </c>
      <c r="M106" s="22" t="n"/>
      <c r="N106" s="22" t="n"/>
      <c r="O106" s="22" t="n"/>
      <c r="P106" s="22" t="n"/>
      <c r="Q106" s="22" t="n"/>
      <c r="R106" s="22" t="n"/>
      <c r="S106" s="22" t="n"/>
    </row>
    <row r="107" hidden="1" ht="15.75" customHeight="1">
      <c r="A107" s="26">
        <f>IF(((('MiT Strom Pipeline'!R38="offered")+('MiT Strom Pipeline'!R38="to be offered")+('MiT Strom Pipeline'!R38="on hold"))*('MiT Strom Pipeline'!B38&lt;&gt;""))&gt;0,IF(ISNUMBER('MiT Strom Pipeline'!A38),'MiT Strom Pipeline'!A38,""),"")</f>
        <v>27</v>
      </c>
      <c r="B107" s="27" t="str">
        <f>IF(((('MiT Strom Pipeline'!R38="offered")+('MiT Strom Pipeline'!R38="to be offered")+('MiT Strom Pipeline'!R38="on hold"))*('MiT Strom Pipeline'!B38&lt;&gt;""))&gt;0,IF('MiT Strom Pipeline'!B38="","",'MiT Strom Pipeline'!B38),"")</f>
        <v>Rimus &amp; Sstrada</v>
      </c>
      <c r="C107" s="27" t="str">
        <f>IF(((('MiT Strom Pipeline'!R38="offered")+('MiT Strom Pipeline'!R38="to be offered")+('MiT Strom Pipeline'!R38="on hold"))*('MiT Strom Pipeline'!B38&lt;&gt;""))&gt;0,IF('MiT Strom Pipeline'!C38="","",'MiT Strom Pipeline'!C38),"")</f>
        <v>SH</v>
      </c>
      <c r="D107" s="27" t="str">
        <f>IF(((('MiT Strom Pipeline'!R38="offered")+('MiT Strom Pipeline'!R38="to be offered")+('MiT Strom Pipeline'!R38="on hold"))*('MiT Strom Pipeline'!B38&lt;&gt;""))&gt;0,IF('MiT Strom Pipeline'!D38="","",'MiT Strom Pipeline'!D38),"")</f>
        <v>Industrie</v>
      </c>
      <c r="E107" s="27" t="str">
        <f>IF(((('MiT Strom Pipeline'!R38="offered")+('MiT Strom Pipeline'!R38="to be offered")+('MiT Strom Pipeline'!R38="on hold"))*('MiT Strom Pipeline'!B38&lt;&gt;""))&gt;0,IF('MiT Strom Pipeline'!H38="","",'MiT Strom Pipeline'!H38),"")</f>
        <v>tbd</v>
      </c>
      <c r="F107" s="27" t="str">
        <f>IF(((('MiT Strom Pipeline'!R38="offered")+('MiT Strom Pipeline'!R38="to be offered")+('MiT Strom Pipeline'!R38="on hold"))*('MiT Strom Pipeline'!B38&lt;&gt;""))&gt;0,IF('MiT Strom Pipeline'!E38="","",'MiT Strom Pipeline'!E38),"")</f>
        <v>1 MWh Medium BESS</v>
      </c>
      <c r="G107" s="28">
        <f>IF(((('MiT Strom Pipeline'!R38="offered")+('MiT Strom Pipeline'!R38="to be offered")+('MiT Strom Pipeline'!R38="on hold"))*('MiT Strom Pipeline'!B38&lt;&gt;""))&gt;0,IF(ISNUMBER('MiT Strom Pipeline'!I38),'MiT Strom Pipeline'!I38,0),"")</f>
        <v>891330</v>
      </c>
      <c r="H107" s="28">
        <f>IF(((('MiT Strom Pipeline'!R38="offered")+('MiT Strom Pipeline'!R38="to be offered")+('MiT Strom Pipeline'!R38="on hold"))*('MiT Strom Pipeline'!B38&lt;&gt;""))&gt;0,IF(ISNUMBER('MiT Strom Pipeline'!Q38),'MiT Strom Pipeline'!Q38,0),"")</f>
        <v>445665</v>
      </c>
      <c r="I107" s="28">
        <f>IF(((('MiT Strom Pipeline'!R38="offered")+('MiT Strom Pipeline'!R38="to be offered")+('MiT Strom Pipeline'!R38="on hold"))*('MiT Strom Pipeline'!B38&lt;&gt;""))&gt;0,IF(ISNUMBER('MiT Strom Pipeline'!O38),'MiT Strom Pipeline'!O38,0),"")</f>
        <v>9900</v>
      </c>
      <c r="J107" s="27" t="str">
        <f>IF(((('MiT Strom Pipeline'!R38="offered")+('MiT Strom Pipeline'!R38="to be offered")+('MiT Strom Pipeline'!R38="on hold"))*('MiT Strom Pipeline'!B38&lt;&gt;""))&gt;0,'MiT Strom Pipeline'!R38,"")</f>
        <v>offered</v>
      </c>
      <c r="K107" s="29">
        <f>IF(((('MiT Strom Pipeline'!R38="offered")+('MiT Strom Pipeline'!R38="to be offered")+('MiT Strom Pipeline'!R38="on hold"))*('MiT Strom Pipeline'!B38&lt;&gt;""))&gt;0,IF(ISNUMBER('MiT Strom Pipeline'!S38),'MiT Strom Pipeline'!S38,""),"")</f>
        <v>0.5</v>
      </c>
      <c r="L107" s="27" t="str">
        <f>IF(((('MiT Strom Pipeline'!R38="offered")+('MiT Strom Pipeline'!R38="to be offered")+('MiT Strom Pipeline'!R38="on hold"))*('MiT Strom Pipeline'!B38&lt;&gt;""))&gt;0,IF(LEN('MiT Strom Pipeline'!V38)&gt;0,LEFT('MiT Strom Pipeline'!V38,55),""),"")</f>
        <v>Kunde Telefon Kontaktiert und Vor Ort 
Besichtigung und</v>
      </c>
      <c r="M107" s="22" t="n"/>
      <c r="N107" s="22" t="n"/>
      <c r="O107" s="22" t="n"/>
      <c r="P107" s="22" t="n"/>
      <c r="Q107" s="22" t="n"/>
      <c r="R107" s="22" t="n"/>
      <c r="S107" s="22" t="n"/>
    </row>
    <row r="108" hidden="1" ht="15.75" customHeight="1">
      <c r="A108" s="26">
        <f>IF(((('MiT Strom Pipeline'!R39="offered")+('MiT Strom Pipeline'!R39="to be offered")+('MiT Strom Pipeline'!R39="on hold"))*('MiT Strom Pipeline'!B39&lt;&gt;""))&gt;0,IF(ISNUMBER('MiT Strom Pipeline'!A39),'MiT Strom Pipeline'!A39,""),"")</f>
        <v>27</v>
      </c>
      <c r="B108" s="27" t="str">
        <f>IF(((('MiT Strom Pipeline'!R39="offered")+('MiT Strom Pipeline'!R39="to be offered")+('MiT Strom Pipeline'!R39="on hold"))*('MiT Strom Pipeline'!B39&lt;&gt;""))&gt;0,IF('MiT Strom Pipeline'!B39="","",'MiT Strom Pipeline'!B39),"")</f>
        <v>Rimus &amp; Sstrada</v>
      </c>
      <c r="C108" s="27" t="str">
        <f>IF(((('MiT Strom Pipeline'!R39="offered")+('MiT Strom Pipeline'!R39="to be offered")+('MiT Strom Pipeline'!R39="on hold"))*('MiT Strom Pipeline'!B39&lt;&gt;""))&gt;0,IF('MiT Strom Pipeline'!C39="","",'MiT Strom Pipeline'!C39),"")</f>
        <v>SH</v>
      </c>
      <c r="D108" s="27" t="str">
        <f>IF(((('MiT Strom Pipeline'!R39="offered")+('MiT Strom Pipeline'!R39="to be offered")+('MiT Strom Pipeline'!R39="on hold"))*('MiT Strom Pipeline'!B39&lt;&gt;""))&gt;0,IF('MiT Strom Pipeline'!D39="","",'MiT Strom Pipeline'!D39),"")</f>
        <v>Industrie</v>
      </c>
      <c r="E108" s="27" t="str">
        <f>IF(((('MiT Strom Pipeline'!R39="offered")+('MiT Strom Pipeline'!R39="to be offered")+('MiT Strom Pipeline'!R39="on hold"))*('MiT Strom Pipeline'!B39&lt;&gt;""))&gt;0,IF('MiT Strom Pipeline'!H39="","",'MiT Strom Pipeline'!H39),"")</f>
        <v>tbd</v>
      </c>
      <c r="F108" s="27" t="str">
        <f>IF(((('MiT Strom Pipeline'!R39="offered")+('MiT Strom Pipeline'!R39="to be offered")+('MiT Strom Pipeline'!R39="on hold"))*('MiT Strom Pipeline'!B39&lt;&gt;""))&gt;0,IF('MiT Strom Pipeline'!E39="","",'MiT Strom Pipeline'!E39),"")</f>
        <v>1,5 MWh Large BESS</v>
      </c>
      <c r="G108" s="28">
        <f>IF(((('MiT Strom Pipeline'!R39="offered")+('MiT Strom Pipeline'!R39="to be offered")+('MiT Strom Pipeline'!R39="on hold"))*('MiT Strom Pipeline'!B39&lt;&gt;""))&gt;0,IF(ISNUMBER('MiT Strom Pipeline'!I39),'MiT Strom Pipeline'!I39,0),"")</f>
        <v>1307430</v>
      </c>
      <c r="H108" s="28">
        <f>IF(((('MiT Strom Pipeline'!R39="offered")+('MiT Strom Pipeline'!R39="to be offered")+('MiT Strom Pipeline'!R39="on hold"))*('MiT Strom Pipeline'!B39&lt;&gt;""))&gt;0,IF(ISNUMBER('MiT Strom Pipeline'!Q39),'MiT Strom Pipeline'!Q39,0),"")</f>
        <v>653715</v>
      </c>
      <c r="I108" s="28">
        <f>IF(((('MiT Strom Pipeline'!R39="offered")+('MiT Strom Pipeline'!R39="to be offered")+('MiT Strom Pipeline'!R39="on hold"))*('MiT Strom Pipeline'!B39&lt;&gt;""))&gt;0,IF(ISNUMBER('MiT Strom Pipeline'!O39),'MiT Strom Pipeline'!O39,0),"")</f>
        <v>9900</v>
      </c>
      <c r="J108" s="27" t="str">
        <f>IF(((('MiT Strom Pipeline'!R39="offered")+('MiT Strom Pipeline'!R39="to be offered")+('MiT Strom Pipeline'!R39="on hold"))*('MiT Strom Pipeline'!B39&lt;&gt;""))&gt;0,'MiT Strom Pipeline'!R39,"")</f>
        <v>offered</v>
      </c>
      <c r="K108" s="29">
        <f>IF(((('MiT Strom Pipeline'!R39="offered")+('MiT Strom Pipeline'!R39="to be offered")+('MiT Strom Pipeline'!R39="on hold"))*('MiT Strom Pipeline'!B39&lt;&gt;""))&gt;0,IF(ISNUMBER('MiT Strom Pipeline'!S39),'MiT Strom Pipeline'!S39,""),"")</f>
        <v>0.5</v>
      </c>
      <c r="L108" s="27" t="str">
        <f>IF(((('MiT Strom Pipeline'!R39="offered")+('MiT Strom Pipeline'!R39="to be offered")+('MiT Strom Pipeline'!R39="on hold"))*('MiT Strom Pipeline'!B39&lt;&gt;""))&gt;0,IF(LEN('MiT Strom Pipeline'!V39)&gt;0,LEFT('MiT Strom Pipeline'!V39,55),""),"")</f>
        <v>Kunde Telefon Kontaktiert und Vor Ort 
Besichtigung und</v>
      </c>
      <c r="M108" s="22" t="n"/>
      <c r="N108" s="22" t="n"/>
      <c r="O108" s="22" t="n"/>
      <c r="P108" s="22" t="n"/>
      <c r="Q108" s="22" t="n"/>
      <c r="R108" s="22" t="n"/>
      <c r="S108" s="22" t="n"/>
    </row>
    <row r="109" hidden="1" ht="15.75" customHeight="1">
      <c r="A109" s="26">
        <f>IF(((('MiT Strom Pipeline'!R40="offered")+('MiT Strom Pipeline'!R40="to be offered")+('MiT Strom Pipeline'!R40="on hold"))*('MiT Strom Pipeline'!B40&lt;&gt;""))&gt;0,IF(ISNUMBER('MiT Strom Pipeline'!A40),'MiT Strom Pipeline'!A40,""),"")</f>
        <v>34</v>
      </c>
      <c r="B109" s="27" t="str">
        <f>IF(((('MiT Strom Pipeline'!R40="offered")+('MiT Strom Pipeline'!R40="to be offered")+('MiT Strom Pipeline'!R40="on hold"))*('MiT Strom Pipeline'!B40&lt;&gt;""))&gt;0,IF('MiT Strom Pipeline'!B40="","",'MiT Strom Pipeline'!B40),"")</f>
        <v>Creabeton</v>
      </c>
      <c r="C109" s="27" t="str">
        <f>IF(((('MiT Strom Pipeline'!R40="offered")+('MiT Strom Pipeline'!R40="to be offered")+('MiT Strom Pipeline'!R40="on hold"))*('MiT Strom Pipeline'!B40&lt;&gt;""))&gt;0,IF('MiT Strom Pipeline'!C40="","",'MiT Strom Pipeline'!C40),"")</f>
        <v>BE</v>
      </c>
      <c r="D109" s="27" t="str">
        <f>IF(((('MiT Strom Pipeline'!R40="offered")+('MiT Strom Pipeline'!R40="to be offered")+('MiT Strom Pipeline'!R40="on hold"))*('MiT Strom Pipeline'!B40&lt;&gt;""))&gt;0,IF('MiT Strom Pipeline'!D40="","",'MiT Strom Pipeline'!D40),"")</f>
        <v>Infrastruktur / Bau</v>
      </c>
      <c r="E109" s="27" t="str">
        <f>IF(((('MiT Strom Pipeline'!R40="offered")+('MiT Strom Pipeline'!R40="to be offered")+('MiT Strom Pipeline'!R40="on hold"))*('MiT Strom Pipeline'!B40&lt;&gt;""))&gt;0,IF('MiT Strom Pipeline'!H40="","",'MiT Strom Pipeline'!H40),"")</f>
        <v>Juli</v>
      </c>
      <c r="F109" s="27" t="str">
        <f>IF(((('MiT Strom Pipeline'!R40="offered")+('MiT Strom Pipeline'!R40="to be offered")+('MiT Strom Pipeline'!R40="on hold"))*('MiT Strom Pipeline'!B40&lt;&gt;""))&gt;0,IF('MiT Strom Pipeline'!E40="","",'MiT Strom Pipeline'!E40),"")</f>
        <v>100 kVA Generator</v>
      </c>
      <c r="G109" s="28">
        <f>IF(((('MiT Strom Pipeline'!R40="offered")+('MiT Strom Pipeline'!R40="to be offered")+('MiT Strom Pipeline'!R40="on hold"))*('MiT Strom Pipeline'!B40&lt;&gt;""))&gt;0,IF(ISNUMBER('MiT Strom Pipeline'!I40),'MiT Strom Pipeline'!I40,0),"")</f>
        <v>3232.41</v>
      </c>
      <c r="H109" s="28">
        <f>IF(((('MiT Strom Pipeline'!R40="offered")+('MiT Strom Pipeline'!R40="to be offered")+('MiT Strom Pipeline'!R40="on hold"))*('MiT Strom Pipeline'!B40&lt;&gt;""))&gt;0,IF(ISNUMBER('MiT Strom Pipeline'!Q40),'MiT Strom Pipeline'!Q40,0),"")</f>
        <v>1616.205</v>
      </c>
      <c r="I109" s="28">
        <f>IF(((('MiT Strom Pipeline'!R40="offered")+('MiT Strom Pipeline'!R40="to be offered")+('MiT Strom Pipeline'!R40="on hold"))*('MiT Strom Pipeline'!B40&lt;&gt;""))&gt;0,IF(ISNUMBER('MiT Strom Pipeline'!O40),'MiT Strom Pipeline'!O40,0),"")</f>
        <v>370</v>
      </c>
      <c r="J109" s="27" t="str">
        <f>IF(((('MiT Strom Pipeline'!R40="offered")+('MiT Strom Pipeline'!R40="to be offered")+('MiT Strom Pipeline'!R40="on hold"))*('MiT Strom Pipeline'!B40&lt;&gt;""))&gt;0,'MiT Strom Pipeline'!R40,"")</f>
        <v>offered</v>
      </c>
      <c r="K109" s="29">
        <f>IF(((('MiT Strom Pipeline'!R40="offered")+('MiT Strom Pipeline'!R40="to be offered")+('MiT Strom Pipeline'!R40="on hold"))*('MiT Strom Pipeline'!B40&lt;&gt;""))&gt;0,IF(ISNUMBER('MiT Strom Pipeline'!S40),'MiT Strom Pipeline'!S40,""),"")</f>
        <v>0.5</v>
      </c>
      <c r="L109" s="27" t="str">
        <f>IF(((('MiT Strom Pipeline'!R40="offered")+('MiT Strom Pipeline'!R40="to be offered")+('MiT Strom Pipeline'!R40="on hold"))*('MiT Strom Pipeline'!B40&lt;&gt;""))&gt;0,IF(LEN('MiT Strom Pipeline'!V40)&gt;0,LEFT('MiT Strom Pipeline'!V40,55),""),"")</f>
        <v>Kunde angeschrieben, Warten auf Rückmeldung</v>
      </c>
      <c r="M109" s="22" t="n"/>
      <c r="N109" s="22" t="n"/>
      <c r="O109" s="22" t="n"/>
      <c r="P109" s="22" t="n"/>
      <c r="Q109" s="22" t="n"/>
      <c r="R109" s="22" t="n"/>
      <c r="S109" s="22" t="n"/>
    </row>
    <row r="110" hidden="1" ht="15.75" customHeight="1">
      <c r="A110" s="26">
        <f>IF(((('MiT Strom Pipeline'!R41="offered")+('MiT Strom Pipeline'!R41="to be offered")+('MiT Strom Pipeline'!R41="on hold"))*('MiT Strom Pipeline'!B41&lt;&gt;""))&gt;0,IF(ISNUMBER('MiT Strom Pipeline'!A41),'MiT Strom Pipeline'!A41,""),"")</f>
        <v/>
      </c>
      <c r="B110" s="27">
        <f>IF(((('MiT Strom Pipeline'!R41="offered")+('MiT Strom Pipeline'!R41="to be offered")+('MiT Strom Pipeline'!R41="on hold"))*('MiT Strom Pipeline'!B41&lt;&gt;""))&gt;0,IF('MiT Strom Pipeline'!B41="","",'MiT Strom Pipeline'!B41),"")</f>
        <v/>
      </c>
      <c r="C110" s="27">
        <f>IF(((('MiT Strom Pipeline'!R41="offered")+('MiT Strom Pipeline'!R41="to be offered")+('MiT Strom Pipeline'!R41="on hold"))*('MiT Strom Pipeline'!B41&lt;&gt;""))&gt;0,IF('MiT Strom Pipeline'!C41="","",'MiT Strom Pipeline'!C41),"")</f>
        <v/>
      </c>
      <c r="D110" s="27">
        <f>IF(((('MiT Strom Pipeline'!R41="offered")+('MiT Strom Pipeline'!R41="to be offered")+('MiT Strom Pipeline'!R41="on hold"))*('MiT Strom Pipeline'!B41&lt;&gt;""))&gt;0,IF('MiT Strom Pipeline'!D41="","",'MiT Strom Pipeline'!D41),"")</f>
        <v/>
      </c>
      <c r="E110" s="27">
        <f>IF(((('MiT Strom Pipeline'!R41="offered")+('MiT Strom Pipeline'!R41="to be offered")+('MiT Strom Pipeline'!R41="on hold"))*('MiT Strom Pipeline'!B41&lt;&gt;""))&gt;0,IF('MiT Strom Pipeline'!H41="","",'MiT Strom Pipeline'!H41),"")</f>
        <v/>
      </c>
      <c r="F110" s="27">
        <f>IF(((('MiT Strom Pipeline'!R41="offered")+('MiT Strom Pipeline'!R41="to be offered")+('MiT Strom Pipeline'!R41="on hold"))*('MiT Strom Pipeline'!B41&lt;&gt;""))&gt;0,IF('MiT Strom Pipeline'!E41="","",'MiT Strom Pipeline'!E41),"")</f>
        <v/>
      </c>
      <c r="G110" s="28">
        <f>IF(((('MiT Strom Pipeline'!R41="offered")+('MiT Strom Pipeline'!R41="to be offered")+('MiT Strom Pipeline'!R41="on hold"))*('MiT Strom Pipeline'!B41&lt;&gt;""))&gt;0,IF(ISNUMBER('MiT Strom Pipeline'!I41),'MiT Strom Pipeline'!I41,0),"")</f>
        <v/>
      </c>
      <c r="H110" s="28">
        <f>IF(((('MiT Strom Pipeline'!R41="offered")+('MiT Strom Pipeline'!R41="to be offered")+('MiT Strom Pipeline'!R41="on hold"))*('MiT Strom Pipeline'!B41&lt;&gt;""))&gt;0,IF(ISNUMBER('MiT Strom Pipeline'!Q41),'MiT Strom Pipeline'!Q41,0),"")</f>
        <v/>
      </c>
      <c r="I110" s="28">
        <f>IF(((('MiT Strom Pipeline'!R41="offered")+('MiT Strom Pipeline'!R41="to be offered")+('MiT Strom Pipeline'!R41="on hold"))*('MiT Strom Pipeline'!B41&lt;&gt;""))&gt;0,IF(ISNUMBER('MiT Strom Pipeline'!O41),'MiT Strom Pipeline'!O41,0),"")</f>
        <v/>
      </c>
      <c r="J110" s="27">
        <f>IF(((('MiT Strom Pipeline'!R41="offered")+('MiT Strom Pipeline'!R41="to be offered")+('MiT Strom Pipeline'!R41="on hold"))*('MiT Strom Pipeline'!B41&lt;&gt;""))&gt;0,'MiT Strom Pipeline'!R41,"")</f>
        <v/>
      </c>
      <c r="K110" s="29">
        <f>IF(((('MiT Strom Pipeline'!R41="offered")+('MiT Strom Pipeline'!R41="to be offered")+('MiT Strom Pipeline'!R41="on hold"))*('MiT Strom Pipeline'!B41&lt;&gt;""))&gt;0,IF(ISNUMBER('MiT Strom Pipeline'!S41),'MiT Strom Pipeline'!S41,""),"")</f>
        <v/>
      </c>
      <c r="L110" s="27">
        <f>IF(((('MiT Strom Pipeline'!R41="offered")+('MiT Strom Pipeline'!R41="to be offered")+('MiT Strom Pipeline'!R41="on hold"))*('MiT Strom Pipeline'!B41&lt;&gt;""))&gt;0,IF(LEN('MiT Strom Pipeline'!V41)&gt;0,LEFT('MiT Strom Pipeline'!V41,55),""),"")</f>
        <v/>
      </c>
      <c r="M110" s="22" t="n"/>
      <c r="N110" s="22" t="n"/>
      <c r="O110" s="22" t="n"/>
      <c r="P110" s="22" t="n"/>
      <c r="Q110" s="22" t="n"/>
      <c r="R110" s="22" t="n"/>
      <c r="S110" s="22" t="n"/>
    </row>
    <row r="111" ht="15.75" customHeight="1">
      <c r="A111" s="26">
        <f>IF(((('MiT Strom Pipeline'!R42="offered")+('MiT Strom Pipeline'!R42="to be offered")+('MiT Strom Pipeline'!R42="on hold"))*('MiT Strom Pipeline'!B42&lt;&gt;""))&gt;0,IF(ISNUMBER('MiT Strom Pipeline'!A42),'MiT Strom Pipeline'!A42,""),"")</f>
        <v>38</v>
      </c>
      <c r="B111" s="27" t="str">
        <f>IF(((('MiT Strom Pipeline'!R42="offered")+('MiT Strom Pipeline'!R42="to be offered")+('MiT Strom Pipeline'!R42="on hold"))*('MiT Strom Pipeline'!B42&lt;&gt;""))&gt;0,IF('MiT Strom Pipeline'!B42="","",'MiT Strom Pipeline'!B42),"")</f>
        <v>Linde Gas Schweiz AG</v>
      </c>
      <c r="C111" s="27" t="str">
        <f>IF(((('MiT Strom Pipeline'!R42="offered")+('MiT Strom Pipeline'!R42="to be offered")+('MiT Strom Pipeline'!R42="on hold"))*('MiT Strom Pipeline'!B42&lt;&gt;""))&gt;0,IF('MiT Strom Pipeline'!C42="","",'MiT Strom Pipeline'!C42),"")</f>
        <v>LU</v>
      </c>
      <c r="D111" s="27" t="str">
        <f>IF(((('MiT Strom Pipeline'!R42="offered")+('MiT Strom Pipeline'!R42="to be offered")+('MiT Strom Pipeline'!R42="on hold"))*('MiT Strom Pipeline'!B42&lt;&gt;""))&gt;0,IF('MiT Strom Pipeline'!D42="","",'MiT Strom Pipeline'!D42),"")</f>
        <v>Industrie</v>
      </c>
      <c r="E111" s="192" t="str">
        <f>IF(((('MiT Strom Pipeline'!R42="offered")+('MiT Strom Pipeline'!R42="to be offered")+('MiT Strom Pipeline'!R42="on hold"))*('MiT Strom Pipeline'!B42&lt;&gt;""))&gt;0,IF('MiT Strom Pipeline'!H42="","",'MiT Strom Pipeline'!H42),"")</f>
        <v>Jan</v>
      </c>
      <c r="F111" s="27" t="str">
        <f>IF(((('MiT Strom Pipeline'!R42="offered")+('MiT Strom Pipeline'!R42="to be offered")+('MiT Strom Pipeline'!R42="on hold"))*('MiT Strom Pipeline'!B42&lt;&gt;""))&gt;0,IF('MiT Strom Pipeline'!E42="","",'MiT Strom Pipeline'!E42),"")</f>
        <v>60 kVA Generator</v>
      </c>
      <c r="G111" s="28">
        <f>IF(((('MiT Strom Pipeline'!R42="offered")+('MiT Strom Pipeline'!R42="to be offered")+('MiT Strom Pipeline'!R42="on hold"))*('MiT Strom Pipeline'!B42&lt;&gt;""))&gt;0,IF(ISNUMBER('MiT Strom Pipeline'!I42),'MiT Strom Pipeline'!I42,0),"")</f>
        <v>3686.2</v>
      </c>
      <c r="H111" s="28">
        <f>IF(((('MiT Strom Pipeline'!R42="offered")+('MiT Strom Pipeline'!R42="to be offered")+('MiT Strom Pipeline'!R42="on hold"))*('MiT Strom Pipeline'!B42&lt;&gt;""))&gt;0,IF(ISNUMBER('MiT Strom Pipeline'!Q42),'MiT Strom Pipeline'!Q42,0),"")</f>
        <v>1843.1</v>
      </c>
      <c r="I111" s="28">
        <f>IF(((('MiT Strom Pipeline'!R42="offered")+('MiT Strom Pipeline'!R42="to be offered")+('MiT Strom Pipeline'!R42="on hold"))*('MiT Strom Pipeline'!B42&lt;&gt;""))&gt;0,IF(ISNUMBER('MiT Strom Pipeline'!O42),'MiT Strom Pipeline'!O42,0),"")</f>
        <v>179.99</v>
      </c>
      <c r="J111" s="27" t="str">
        <f>IF(((('MiT Strom Pipeline'!R42="offered")+('MiT Strom Pipeline'!R42="to be offered")+('MiT Strom Pipeline'!R42="on hold"))*('MiT Strom Pipeline'!B42&lt;&gt;""))&gt;0,'MiT Strom Pipeline'!R42,"")</f>
        <v>offered</v>
      </c>
      <c r="K111" s="29">
        <f>IF(((('MiT Strom Pipeline'!R42="offered")+('MiT Strom Pipeline'!R42="to be offered")+('MiT Strom Pipeline'!R42="on hold"))*('MiT Strom Pipeline'!B42&lt;&gt;""))&gt;0,IF(ISNUMBER('MiT Strom Pipeline'!S42),'MiT Strom Pipeline'!S42,""),"")</f>
        <v>0.5</v>
      </c>
      <c r="L111" s="27">
        <f>IF(((('MiT Strom Pipeline'!R42="offered")+('MiT Strom Pipeline'!R42="to be offered")+('MiT Strom Pipeline'!R42="on hold"))*('MiT Strom Pipeline'!B42&lt;&gt;""))&gt;0,IF(LEN('MiT Strom Pipeline'!V42)&gt;0,LEFT('MiT Strom Pipeline'!V42,55),""),"")</f>
        <v/>
      </c>
      <c r="M111" s="22" t="n"/>
      <c r="N111" s="22" t="n"/>
      <c r="O111" s="22" t="n"/>
      <c r="P111" s="22" t="n"/>
      <c r="Q111" s="22" t="n"/>
      <c r="R111" s="22" t="n"/>
      <c r="S111" s="22" t="n"/>
    </row>
    <row r="112" ht="15.75" customHeight="1">
      <c r="A112" s="26">
        <f>IF(((('MiT Strom Pipeline'!R43="offered")+('MiT Strom Pipeline'!R43="to be offered")+('MiT Strom Pipeline'!R43="on hold"))*('MiT Strom Pipeline'!B43&lt;&gt;""))&gt;0,IF(ISNUMBER('MiT Strom Pipeline'!A43),'MiT Strom Pipeline'!A43,""),"")</f>
        <v>39</v>
      </c>
      <c r="B112" s="27" t="str">
        <f>IF(((('MiT Strom Pipeline'!R43="offered")+('MiT Strom Pipeline'!R43="to be offered")+('MiT Strom Pipeline'!R43="on hold"))*('MiT Strom Pipeline'!B43&lt;&gt;""))&gt;0,IF('MiT Strom Pipeline'!B43="","",'MiT Strom Pipeline'!B43),"")</f>
        <v>Baumeler Leitungsbau AG</v>
      </c>
      <c r="C112" s="27" t="str">
        <f>IF(((('MiT Strom Pipeline'!R43="offered")+('MiT Strom Pipeline'!R43="to be offered")+('MiT Strom Pipeline'!R43="on hold"))*('MiT Strom Pipeline'!B43&lt;&gt;""))&gt;0,IF('MiT Strom Pipeline'!C43="","",'MiT Strom Pipeline'!C43),"")</f>
        <v>LU</v>
      </c>
      <c r="D112" s="27" t="str">
        <f>IF(((('MiT Strom Pipeline'!R43="offered")+('MiT Strom Pipeline'!R43="to be offered")+('MiT Strom Pipeline'!R43="on hold"))*('MiT Strom Pipeline'!B43&lt;&gt;""))&gt;0,IF('MiT Strom Pipeline'!D43="","",'MiT Strom Pipeline'!D43),"")</f>
        <v>Industrie</v>
      </c>
      <c r="E112" s="192" t="str">
        <f>IF(((('MiT Strom Pipeline'!R43="offered")+('MiT Strom Pipeline'!R43="to be offered")+('MiT Strom Pipeline'!R43="on hold"))*('MiT Strom Pipeline'!B43&lt;&gt;""))&gt;0,IF('MiT Strom Pipeline'!H43="","",'MiT Strom Pipeline'!H43),"")</f>
        <v>Juli</v>
      </c>
      <c r="F112" s="27" t="str">
        <f>IF(((('MiT Strom Pipeline'!R43="offered")+('MiT Strom Pipeline'!R43="to be offered")+('MiT Strom Pipeline'!R43="on hold"))*('MiT Strom Pipeline'!B43&lt;&gt;""))&gt;0,IF('MiT Strom Pipeline'!E43="","",'MiT Strom Pipeline'!E43),"")</f>
        <v>600 kVA </v>
      </c>
      <c r="G112" s="28">
        <f>IF(((('MiT Strom Pipeline'!R43="offered")+('MiT Strom Pipeline'!R43="to be offered")+('MiT Strom Pipeline'!R43="on hold"))*('MiT Strom Pipeline'!B43&lt;&gt;""))&gt;0,IF(ISNUMBER('MiT Strom Pipeline'!I43),'MiT Strom Pipeline'!I43,0),"")</f>
        <v>8722.81</v>
      </c>
      <c r="H112" s="28">
        <f>IF(((('MiT Strom Pipeline'!R43="offered")+('MiT Strom Pipeline'!R43="to be offered")+('MiT Strom Pipeline'!R43="on hold"))*('MiT Strom Pipeline'!B43&lt;&gt;""))&gt;0,IF(ISNUMBER('MiT Strom Pipeline'!Q43),'MiT Strom Pipeline'!Q43,0),"")</f>
        <v>4361.405</v>
      </c>
      <c r="I112" s="28">
        <f>IF(((('MiT Strom Pipeline'!R43="offered")+('MiT Strom Pipeline'!R43="to be offered")+('MiT Strom Pipeline'!R43="on hold"))*('MiT Strom Pipeline'!B43&lt;&gt;""))&gt;0,IF(ISNUMBER('MiT Strom Pipeline'!O43),'MiT Strom Pipeline'!O43,0),"")</f>
        <v>3369.6</v>
      </c>
      <c r="J112" s="27" t="str">
        <f>IF(((('MiT Strom Pipeline'!R43="offered")+('MiT Strom Pipeline'!R43="to be offered")+('MiT Strom Pipeline'!R43="on hold"))*('MiT Strom Pipeline'!B43&lt;&gt;""))&gt;0,'MiT Strom Pipeline'!R43,"")</f>
        <v>offered</v>
      </c>
      <c r="K112" s="29">
        <f>IF(((('MiT Strom Pipeline'!R43="offered")+('MiT Strom Pipeline'!R43="to be offered")+('MiT Strom Pipeline'!R43="on hold"))*('MiT Strom Pipeline'!B43&lt;&gt;""))&gt;0,IF(ISNUMBER('MiT Strom Pipeline'!S43),'MiT Strom Pipeline'!S43,""),"")</f>
        <v>0.5</v>
      </c>
      <c r="L112" s="27" t="str">
        <f>IF(((('MiT Strom Pipeline'!R43="offered")+('MiT Strom Pipeline'!R43="to be offered")+('MiT Strom Pipeline'!R43="on hold"))*('MiT Strom Pipeline'!B43&lt;&gt;""))&gt;0,IF(LEN('MiT Strom Pipeline'!V43)&gt;0,LEFT('MiT Strom Pipeline'!V43,55),""),"")</f>
        <v>Kunde angeschrieben, Offerte erstellt, Kunde hat Offert</v>
      </c>
      <c r="M112" s="22" t="n"/>
      <c r="N112" s="22" t="n"/>
      <c r="O112" s="22" t="n"/>
      <c r="P112" s="22" t="n"/>
      <c r="Q112" s="22" t="n"/>
      <c r="R112" s="22" t="n"/>
      <c r="S112" s="22" t="n"/>
    </row>
    <row r="113" hidden="1" ht="15.75" customHeight="1">
      <c r="A113" s="26">
        <f>IF(((('MiT Strom Pipeline'!R44="offered")+('MiT Strom Pipeline'!R44="to be offered")+('MiT Strom Pipeline'!R44="on hold"))*('MiT Strom Pipeline'!B44&lt;&gt;""))&gt;0,IF(ISNUMBER('MiT Strom Pipeline'!A44),'MiT Strom Pipeline'!A44,""),"")</f>
        <v/>
      </c>
      <c r="B113" s="27">
        <f>IF(((('MiT Strom Pipeline'!R44="offered")+('MiT Strom Pipeline'!R44="to be offered")+('MiT Strom Pipeline'!R44="on hold"))*('MiT Strom Pipeline'!B44&lt;&gt;""))&gt;0,IF('MiT Strom Pipeline'!B44="","",'MiT Strom Pipeline'!B44),"")</f>
        <v/>
      </c>
      <c r="C113" s="27">
        <f>IF(((('MiT Strom Pipeline'!R44="offered")+('MiT Strom Pipeline'!R44="to be offered")+('MiT Strom Pipeline'!R44="on hold"))*('MiT Strom Pipeline'!B44&lt;&gt;""))&gt;0,IF('MiT Strom Pipeline'!C44="","",'MiT Strom Pipeline'!C44),"")</f>
        <v/>
      </c>
      <c r="D113" s="27">
        <f>IF(((('MiT Strom Pipeline'!R44="offered")+('MiT Strom Pipeline'!R44="to be offered")+('MiT Strom Pipeline'!R44="on hold"))*('MiT Strom Pipeline'!B44&lt;&gt;""))&gt;0,IF('MiT Strom Pipeline'!D44="","",'MiT Strom Pipeline'!D44),"")</f>
        <v/>
      </c>
      <c r="E113" s="27">
        <f>IF(((('MiT Strom Pipeline'!R44="offered")+('MiT Strom Pipeline'!R44="to be offered")+('MiT Strom Pipeline'!R44="on hold"))*('MiT Strom Pipeline'!B44&lt;&gt;""))&gt;0,IF('MiT Strom Pipeline'!H44="","",'MiT Strom Pipeline'!H44),"")</f>
        <v/>
      </c>
      <c r="F113" s="27">
        <f>IF(((('MiT Strom Pipeline'!R44="offered")+('MiT Strom Pipeline'!R44="to be offered")+('MiT Strom Pipeline'!R44="on hold"))*('MiT Strom Pipeline'!B44&lt;&gt;""))&gt;0,IF('MiT Strom Pipeline'!E44="","",'MiT Strom Pipeline'!E44),"")</f>
        <v/>
      </c>
      <c r="G113" s="28">
        <f>IF(((('MiT Strom Pipeline'!R44="offered")+('MiT Strom Pipeline'!R44="to be offered")+('MiT Strom Pipeline'!R44="on hold"))*('MiT Strom Pipeline'!B44&lt;&gt;""))&gt;0,IF(ISNUMBER('MiT Strom Pipeline'!I44),'MiT Strom Pipeline'!I44,0),"")</f>
        <v/>
      </c>
      <c r="H113" s="28">
        <f>IF(((('MiT Strom Pipeline'!R44="offered")+('MiT Strom Pipeline'!R44="to be offered")+('MiT Strom Pipeline'!R44="on hold"))*('MiT Strom Pipeline'!B44&lt;&gt;""))&gt;0,IF(ISNUMBER('MiT Strom Pipeline'!Q44),'MiT Strom Pipeline'!Q44,0),"")</f>
        <v/>
      </c>
      <c r="I113" s="28">
        <f>IF(((('MiT Strom Pipeline'!R44="offered")+('MiT Strom Pipeline'!R44="to be offered")+('MiT Strom Pipeline'!R44="on hold"))*('MiT Strom Pipeline'!B44&lt;&gt;""))&gt;0,IF(ISNUMBER('MiT Strom Pipeline'!O44),'MiT Strom Pipeline'!O44,0),"")</f>
        <v/>
      </c>
      <c r="J113" s="27">
        <f>IF(((('MiT Strom Pipeline'!R44="offered")+('MiT Strom Pipeline'!R44="to be offered")+('MiT Strom Pipeline'!R44="on hold"))*('MiT Strom Pipeline'!B44&lt;&gt;""))&gt;0,'MiT Strom Pipeline'!R44,"")</f>
        <v/>
      </c>
      <c r="K113" s="29">
        <f>IF(((('MiT Strom Pipeline'!R44="offered")+('MiT Strom Pipeline'!R44="to be offered")+('MiT Strom Pipeline'!R44="on hold"))*('MiT Strom Pipeline'!B44&lt;&gt;""))&gt;0,IF(ISNUMBER('MiT Strom Pipeline'!S44),'MiT Strom Pipeline'!S44,""),"")</f>
        <v/>
      </c>
      <c r="L113" s="27">
        <f>IF(((('MiT Strom Pipeline'!R44="offered")+('MiT Strom Pipeline'!R44="to be offered")+('MiT Strom Pipeline'!R44="on hold"))*('MiT Strom Pipeline'!B44&lt;&gt;""))&gt;0,IF(LEN('MiT Strom Pipeline'!V44)&gt;0,LEFT('MiT Strom Pipeline'!V44,55),""),"")</f>
        <v/>
      </c>
      <c r="M113" s="22" t="n"/>
      <c r="N113" s="22" t="n"/>
      <c r="O113" s="22" t="n"/>
      <c r="P113" s="22" t="n"/>
      <c r="Q113" s="22" t="n"/>
      <c r="R113" s="22" t="n"/>
      <c r="S113" s="22" t="n"/>
    </row>
    <row r="114" ht="15.75" customHeight="1">
      <c r="A114" s="26">
        <f>IF(((('MiT Strom Pipeline'!R45="offered")+('MiT Strom Pipeline'!R45="to be offered")+('MiT Strom Pipeline'!R45="on hold"))*('MiT Strom Pipeline'!B45&lt;&gt;""))&gt;0,IF(ISNUMBER('MiT Strom Pipeline'!A45),'MiT Strom Pipeline'!A45,""),"")</f>
        <v/>
      </c>
      <c r="B114" s="27">
        <f>IF(((('MiT Strom Pipeline'!R45="offered")+('MiT Strom Pipeline'!R45="to be offered")+('MiT Strom Pipeline'!R45="on hold"))*('MiT Strom Pipeline'!B45&lt;&gt;""))&gt;0,IF('MiT Strom Pipeline'!B45="","",'MiT Strom Pipeline'!B45),"")</f>
        <v/>
      </c>
      <c r="C114" s="27">
        <f>IF(((('MiT Strom Pipeline'!R45="offered")+('MiT Strom Pipeline'!R45="to be offered")+('MiT Strom Pipeline'!R45="on hold"))*('MiT Strom Pipeline'!B45&lt;&gt;""))&gt;0,IF('MiT Strom Pipeline'!C45="","",'MiT Strom Pipeline'!C45),"")</f>
        <v/>
      </c>
      <c r="D114" s="27">
        <f>IF(((('MiT Strom Pipeline'!R45="offered")+('MiT Strom Pipeline'!R45="to be offered")+('MiT Strom Pipeline'!R45="on hold"))*('MiT Strom Pipeline'!B45&lt;&gt;""))&gt;0,IF('MiT Strom Pipeline'!D45="","",'MiT Strom Pipeline'!D45),"")</f>
        <v/>
      </c>
      <c r="E114" s="191">
        <f>IF(((('MiT Strom Pipeline'!R45="offered")+('MiT Strom Pipeline'!R45="to be offered")+('MiT Strom Pipeline'!R45="on hold"))*('MiT Strom Pipeline'!B45&lt;&gt;""))&gt;0,IF('MiT Strom Pipeline'!H45="","",'MiT Strom Pipeline'!H45),"")</f>
        <v/>
      </c>
      <c r="F114" s="27">
        <f>IF(((('MiT Strom Pipeline'!R45="offered")+('MiT Strom Pipeline'!R45="to be offered")+('MiT Strom Pipeline'!R45="on hold"))*('MiT Strom Pipeline'!B45&lt;&gt;""))&gt;0,IF('MiT Strom Pipeline'!E45="","",'MiT Strom Pipeline'!E45),"")</f>
        <v/>
      </c>
      <c r="G114" s="28">
        <f>IF(((('MiT Strom Pipeline'!R45="offered")+('MiT Strom Pipeline'!R45="to be offered")+('MiT Strom Pipeline'!R45="on hold"))*('MiT Strom Pipeline'!B45&lt;&gt;""))&gt;0,IF(ISNUMBER('MiT Strom Pipeline'!I45),'MiT Strom Pipeline'!I45,0),"")</f>
        <v/>
      </c>
      <c r="H114" s="28">
        <f>IF(((('MiT Strom Pipeline'!R45="offered")+('MiT Strom Pipeline'!R45="to be offered")+('MiT Strom Pipeline'!R45="on hold"))*('MiT Strom Pipeline'!B45&lt;&gt;""))&gt;0,IF(ISNUMBER('MiT Strom Pipeline'!Q45),'MiT Strom Pipeline'!Q45,0),"")</f>
        <v/>
      </c>
      <c r="I114" s="28">
        <f>IF(((('MiT Strom Pipeline'!R45="offered")+('MiT Strom Pipeline'!R45="to be offered")+('MiT Strom Pipeline'!R45="on hold"))*('MiT Strom Pipeline'!B45&lt;&gt;""))&gt;0,IF(ISNUMBER('MiT Strom Pipeline'!O45),'MiT Strom Pipeline'!O45,0),"")</f>
        <v/>
      </c>
      <c r="J114" s="27">
        <f>IF(((('MiT Strom Pipeline'!R45="offered")+('MiT Strom Pipeline'!R45="to be offered")+('MiT Strom Pipeline'!R45="on hold"))*('MiT Strom Pipeline'!B45&lt;&gt;""))&gt;0,'MiT Strom Pipeline'!R45,"")</f>
        <v/>
      </c>
      <c r="K114" s="29">
        <f>IF(((('MiT Strom Pipeline'!R45="offered")+('MiT Strom Pipeline'!R45="to be offered")+('MiT Strom Pipeline'!R45="on hold"))*('MiT Strom Pipeline'!B45&lt;&gt;""))&gt;0,IF(ISNUMBER('MiT Strom Pipeline'!S45),'MiT Strom Pipeline'!S45,""),"")</f>
        <v/>
      </c>
      <c r="L114" s="27">
        <f>IF(((('MiT Strom Pipeline'!R45="offered")+('MiT Strom Pipeline'!R45="to be offered")+('MiT Strom Pipeline'!R45="on hold"))*('MiT Strom Pipeline'!B45&lt;&gt;""))&gt;0,IF(LEN('MiT Strom Pipeline'!V45)&gt;0,LEFT('MiT Strom Pipeline'!V45,55),""),"")</f>
        <v/>
      </c>
      <c r="M114" s="22" t="n"/>
      <c r="N114" s="22" t="n"/>
      <c r="O114" s="22" t="n"/>
      <c r="P114" s="22" t="n"/>
      <c r="Q114" s="22" t="n"/>
      <c r="R114" s="22" t="n"/>
      <c r="S114" s="22" t="n"/>
    </row>
    <row r="115" hidden="1" ht="15.75" customHeight="1">
      <c r="A115" s="26">
        <f>IF(((('MiT Strom Pipeline'!R46="offered")+('MiT Strom Pipeline'!R46="to be offered")+('MiT Strom Pipeline'!R46="on hold"))*('MiT Strom Pipeline'!B46&lt;&gt;""))&gt;0,IF(ISNUMBER('MiT Strom Pipeline'!A46),'MiT Strom Pipeline'!A46,""),"")</f>
        <v/>
      </c>
      <c r="B115" s="27">
        <f>IF(((('MiT Strom Pipeline'!R46="offered")+('MiT Strom Pipeline'!R46="to be offered")+('MiT Strom Pipeline'!R46="on hold"))*('MiT Strom Pipeline'!B46&lt;&gt;""))&gt;0,IF('MiT Strom Pipeline'!B46="","",'MiT Strom Pipeline'!B46),"")</f>
        <v/>
      </c>
      <c r="C115" s="27">
        <f>IF(((('MiT Strom Pipeline'!R46="offered")+('MiT Strom Pipeline'!R46="to be offered")+('MiT Strom Pipeline'!R46="on hold"))*('MiT Strom Pipeline'!B46&lt;&gt;""))&gt;0,IF('MiT Strom Pipeline'!C46="","",'MiT Strom Pipeline'!C46),"")</f>
        <v/>
      </c>
      <c r="D115" s="27">
        <f>IF(((('MiT Strom Pipeline'!R46="offered")+('MiT Strom Pipeline'!R46="to be offered")+('MiT Strom Pipeline'!R46="on hold"))*('MiT Strom Pipeline'!B46&lt;&gt;""))&gt;0,IF('MiT Strom Pipeline'!D46="","",'MiT Strom Pipeline'!D46),"")</f>
        <v/>
      </c>
      <c r="E115" s="27">
        <f>IF(((('MiT Strom Pipeline'!R46="offered")+('MiT Strom Pipeline'!R46="to be offered")+('MiT Strom Pipeline'!R46="on hold"))*('MiT Strom Pipeline'!B46&lt;&gt;""))&gt;0,IF('MiT Strom Pipeline'!H46="","",'MiT Strom Pipeline'!H46),"")</f>
        <v/>
      </c>
      <c r="F115" s="27">
        <f>IF(((('MiT Strom Pipeline'!R46="offered")+('MiT Strom Pipeline'!R46="to be offered")+('MiT Strom Pipeline'!R46="on hold"))*('MiT Strom Pipeline'!B46&lt;&gt;""))&gt;0,IF('MiT Strom Pipeline'!E46="","",'MiT Strom Pipeline'!E46),"")</f>
        <v/>
      </c>
      <c r="G115" s="28">
        <f>IF(((('MiT Strom Pipeline'!R46="offered")+('MiT Strom Pipeline'!R46="to be offered")+('MiT Strom Pipeline'!R46="on hold"))*('MiT Strom Pipeline'!B46&lt;&gt;""))&gt;0,IF(ISNUMBER('MiT Strom Pipeline'!I46),'MiT Strom Pipeline'!I46,0),"")</f>
        <v/>
      </c>
      <c r="H115" s="28">
        <f>IF(((('MiT Strom Pipeline'!R46="offered")+('MiT Strom Pipeline'!R46="to be offered")+('MiT Strom Pipeline'!R46="on hold"))*('MiT Strom Pipeline'!B46&lt;&gt;""))&gt;0,IF(ISNUMBER('MiT Strom Pipeline'!Q46),'MiT Strom Pipeline'!Q46,0),"")</f>
        <v/>
      </c>
      <c r="I115" s="28">
        <f>IF(((('MiT Strom Pipeline'!R46="offered")+('MiT Strom Pipeline'!R46="to be offered")+('MiT Strom Pipeline'!R46="on hold"))*('MiT Strom Pipeline'!B46&lt;&gt;""))&gt;0,IF(ISNUMBER('MiT Strom Pipeline'!O46),'MiT Strom Pipeline'!O46,0),"")</f>
        <v/>
      </c>
      <c r="J115" s="27">
        <f>IF(((('MiT Strom Pipeline'!R46="offered")+('MiT Strom Pipeline'!R46="to be offered")+('MiT Strom Pipeline'!R46="on hold"))*('MiT Strom Pipeline'!B46&lt;&gt;""))&gt;0,'MiT Strom Pipeline'!R46,"")</f>
        <v/>
      </c>
      <c r="K115" s="29">
        <f>IF(((('MiT Strom Pipeline'!R46="offered")+('MiT Strom Pipeline'!R46="to be offered")+('MiT Strom Pipeline'!R46="on hold"))*('MiT Strom Pipeline'!B46&lt;&gt;""))&gt;0,IF(ISNUMBER('MiT Strom Pipeline'!S46),'MiT Strom Pipeline'!S46,""),"")</f>
        <v/>
      </c>
      <c r="L115" s="27">
        <f>IF(((('MiT Strom Pipeline'!R46="offered")+('MiT Strom Pipeline'!R46="to be offered")+('MiT Strom Pipeline'!R46="on hold"))*('MiT Strom Pipeline'!B46&lt;&gt;""))&gt;0,IF(LEN('MiT Strom Pipeline'!V46)&gt;0,LEFT('MiT Strom Pipeline'!V46,55),""),"")</f>
        <v/>
      </c>
      <c r="M115" s="22" t="n"/>
      <c r="N115" s="22" t="n"/>
      <c r="O115" s="22" t="n"/>
      <c r="P115" s="22" t="n"/>
      <c r="Q115" s="22" t="n"/>
      <c r="R115" s="22" t="n"/>
      <c r="S115" s="22" t="n"/>
    </row>
    <row r="116" ht="15.75" customHeight="1">
      <c r="A116" s="26">
        <f>IF(((('MiT Strom Pipeline'!R47="offered")+('MiT Strom Pipeline'!R47="to be offered")+('MiT Strom Pipeline'!R47="on hold"))*('MiT Strom Pipeline'!B47&lt;&gt;""))&gt;0,IF(ISNUMBER('MiT Strom Pipeline'!A47),'MiT Strom Pipeline'!A47,""),"")</f>
        <v/>
      </c>
      <c r="B116" s="27">
        <f>IF(((('MiT Strom Pipeline'!R47="offered")+('MiT Strom Pipeline'!R47="to be offered")+('MiT Strom Pipeline'!R47="on hold"))*('MiT Strom Pipeline'!B47&lt;&gt;""))&gt;0,IF('MiT Strom Pipeline'!B47="","",'MiT Strom Pipeline'!B47),"")</f>
        <v/>
      </c>
      <c r="C116" s="27">
        <f>IF(((('MiT Strom Pipeline'!R47="offered")+('MiT Strom Pipeline'!R47="to be offered")+('MiT Strom Pipeline'!R47="on hold"))*('MiT Strom Pipeline'!B47&lt;&gt;""))&gt;0,IF('MiT Strom Pipeline'!C47="","",'MiT Strom Pipeline'!C47),"")</f>
        <v/>
      </c>
      <c r="D116" s="27">
        <f>IF(((('MiT Strom Pipeline'!R47="offered")+('MiT Strom Pipeline'!R47="to be offered")+('MiT Strom Pipeline'!R47="on hold"))*('MiT Strom Pipeline'!B47&lt;&gt;""))&gt;0,IF('MiT Strom Pipeline'!D47="","",'MiT Strom Pipeline'!D47),"")</f>
        <v/>
      </c>
      <c r="E116" s="191">
        <f>IF(((('MiT Strom Pipeline'!R47="offered")+('MiT Strom Pipeline'!R47="to be offered")+('MiT Strom Pipeline'!R47="on hold"))*('MiT Strom Pipeline'!B47&lt;&gt;""))&gt;0,IF('MiT Strom Pipeline'!H47="","",'MiT Strom Pipeline'!H47),"")</f>
        <v/>
      </c>
      <c r="F116" s="27">
        <f>IF(((('MiT Strom Pipeline'!R47="offered")+('MiT Strom Pipeline'!R47="to be offered")+('MiT Strom Pipeline'!R47="on hold"))*('MiT Strom Pipeline'!B47&lt;&gt;""))&gt;0,IF('MiT Strom Pipeline'!E47="","",'MiT Strom Pipeline'!E47),"")</f>
        <v/>
      </c>
      <c r="G116" s="28">
        <f>IF(((('MiT Strom Pipeline'!R47="offered")+('MiT Strom Pipeline'!R47="to be offered")+('MiT Strom Pipeline'!R47="on hold"))*('MiT Strom Pipeline'!B47&lt;&gt;""))&gt;0,IF(ISNUMBER('MiT Strom Pipeline'!I47),'MiT Strom Pipeline'!I47,0),"")</f>
        <v/>
      </c>
      <c r="H116" s="28">
        <f>IF(((('MiT Strom Pipeline'!R47="offered")+('MiT Strom Pipeline'!R47="to be offered")+('MiT Strom Pipeline'!R47="on hold"))*('MiT Strom Pipeline'!B47&lt;&gt;""))&gt;0,IF(ISNUMBER('MiT Strom Pipeline'!Q47),'MiT Strom Pipeline'!Q47,0),"")</f>
        <v/>
      </c>
      <c r="I116" s="28">
        <f>IF(((('MiT Strom Pipeline'!R47="offered")+('MiT Strom Pipeline'!R47="to be offered")+('MiT Strom Pipeline'!R47="on hold"))*('MiT Strom Pipeline'!B47&lt;&gt;""))&gt;0,IF(ISNUMBER('MiT Strom Pipeline'!O47),'MiT Strom Pipeline'!O47,0),"")</f>
        <v/>
      </c>
      <c r="J116" s="27">
        <f>IF(((('MiT Strom Pipeline'!R47="offered")+('MiT Strom Pipeline'!R47="to be offered")+('MiT Strom Pipeline'!R47="on hold"))*('MiT Strom Pipeline'!B47&lt;&gt;""))&gt;0,'MiT Strom Pipeline'!R47,"")</f>
        <v/>
      </c>
      <c r="K116" s="29">
        <f>IF(((('MiT Strom Pipeline'!R47="offered")+('MiT Strom Pipeline'!R47="to be offered")+('MiT Strom Pipeline'!R47="on hold"))*('MiT Strom Pipeline'!B47&lt;&gt;""))&gt;0,IF(ISNUMBER('MiT Strom Pipeline'!S47),'MiT Strom Pipeline'!S47,""),"")</f>
        <v/>
      </c>
      <c r="L116" s="27">
        <f>IF(((('MiT Strom Pipeline'!R47="offered")+('MiT Strom Pipeline'!R47="to be offered")+('MiT Strom Pipeline'!R47="on hold"))*('MiT Strom Pipeline'!B47&lt;&gt;""))&gt;0,IF(LEN('MiT Strom Pipeline'!V47)&gt;0,LEFT('MiT Strom Pipeline'!V47,55),""),"")</f>
        <v/>
      </c>
      <c r="M116" s="22" t="n"/>
      <c r="N116" s="22" t="n"/>
      <c r="O116" s="22" t="n"/>
      <c r="P116" s="22" t="n"/>
      <c r="Q116" s="22" t="n"/>
      <c r="R116" s="22" t="n"/>
      <c r="S116" s="22" t="n"/>
    </row>
    <row r="117" ht="15.75" customHeight="1">
      <c r="A117" s="26">
        <f>IF(((('MiT Strom Pipeline'!R48="offered")+('MiT Strom Pipeline'!R48="to be offered")+('MiT Strom Pipeline'!R48="on hold"))*('MiT Strom Pipeline'!B48&lt;&gt;""))&gt;0,IF(ISNUMBER('MiT Strom Pipeline'!A48),'MiT Strom Pipeline'!A48,""),"")</f>
        <v/>
      </c>
      <c r="B117" s="27">
        <f>IF(((('MiT Strom Pipeline'!R48="offered")+('MiT Strom Pipeline'!R48="to be offered")+('MiT Strom Pipeline'!R48="on hold"))*('MiT Strom Pipeline'!B48&lt;&gt;""))&gt;0,IF('MiT Strom Pipeline'!B48="","",'MiT Strom Pipeline'!B48),"")</f>
        <v/>
      </c>
      <c r="C117" s="27">
        <f>IF(((('MiT Strom Pipeline'!R48="offered")+('MiT Strom Pipeline'!R48="to be offered")+('MiT Strom Pipeline'!R48="on hold"))*('MiT Strom Pipeline'!B48&lt;&gt;""))&gt;0,IF('MiT Strom Pipeline'!C48="","",'MiT Strom Pipeline'!C48),"")</f>
        <v/>
      </c>
      <c r="D117" s="27">
        <f>IF(((('MiT Strom Pipeline'!R48="offered")+('MiT Strom Pipeline'!R48="to be offered")+('MiT Strom Pipeline'!R48="on hold"))*('MiT Strom Pipeline'!B48&lt;&gt;""))&gt;0,IF('MiT Strom Pipeline'!D48="","",'MiT Strom Pipeline'!D48),"")</f>
        <v/>
      </c>
      <c r="E117" s="27">
        <f>IF(((('MiT Strom Pipeline'!R48="offered")+('MiT Strom Pipeline'!R48="to be offered")+('MiT Strom Pipeline'!R48="on hold"))*('MiT Strom Pipeline'!B48&lt;&gt;""))&gt;0,IF('MiT Strom Pipeline'!H48="","",'MiT Strom Pipeline'!H48),"")</f>
        <v/>
      </c>
      <c r="F117" s="27">
        <f>IF(((('MiT Strom Pipeline'!R48="offered")+('MiT Strom Pipeline'!R48="to be offered")+('MiT Strom Pipeline'!R48="on hold"))*('MiT Strom Pipeline'!B48&lt;&gt;""))&gt;0,IF('MiT Strom Pipeline'!E48="","",'MiT Strom Pipeline'!E48),"")</f>
        <v/>
      </c>
      <c r="G117" s="28">
        <f>IF(((('MiT Strom Pipeline'!R48="offered")+('MiT Strom Pipeline'!R48="to be offered")+('MiT Strom Pipeline'!R48="on hold"))*('MiT Strom Pipeline'!B48&lt;&gt;""))&gt;0,IF(ISNUMBER('MiT Strom Pipeline'!I48),'MiT Strom Pipeline'!I48,0),"")</f>
        <v/>
      </c>
      <c r="H117" s="28">
        <f>IF(((('MiT Strom Pipeline'!R48="offered")+('MiT Strom Pipeline'!R48="to be offered")+('MiT Strom Pipeline'!R48="on hold"))*('MiT Strom Pipeline'!B48&lt;&gt;""))&gt;0,IF(ISNUMBER('MiT Strom Pipeline'!Q48),'MiT Strom Pipeline'!Q48,0),"")</f>
        <v/>
      </c>
      <c r="I117" s="28">
        <f>IF(((('MiT Strom Pipeline'!R48="offered")+('MiT Strom Pipeline'!R48="to be offered")+('MiT Strom Pipeline'!R48="on hold"))*('MiT Strom Pipeline'!B48&lt;&gt;""))&gt;0,IF(ISNUMBER('MiT Strom Pipeline'!O48),'MiT Strom Pipeline'!O48,0),"")</f>
        <v/>
      </c>
      <c r="J117" s="27">
        <f>IF(((('MiT Strom Pipeline'!R48="offered")+('MiT Strom Pipeline'!R48="to be offered")+('MiT Strom Pipeline'!R48="on hold"))*('MiT Strom Pipeline'!B48&lt;&gt;""))&gt;0,'MiT Strom Pipeline'!R48,"")</f>
        <v/>
      </c>
      <c r="K117" s="29">
        <f>IF(((('MiT Strom Pipeline'!R48="offered")+('MiT Strom Pipeline'!R48="to be offered")+('MiT Strom Pipeline'!R48="on hold"))*('MiT Strom Pipeline'!B48&lt;&gt;""))&gt;0,IF(ISNUMBER('MiT Strom Pipeline'!S48),'MiT Strom Pipeline'!S48,""),"")</f>
        <v/>
      </c>
      <c r="L117" s="27">
        <f>IF(((('MiT Strom Pipeline'!R48="offered")+('MiT Strom Pipeline'!R48="to be offered")+('MiT Strom Pipeline'!R48="on hold"))*('MiT Strom Pipeline'!B48&lt;&gt;""))&gt;0,IF(LEN('MiT Strom Pipeline'!V48)&gt;0,LEFT('MiT Strom Pipeline'!V48,55),""),"")</f>
        <v/>
      </c>
      <c r="M117" s="22" t="n"/>
      <c r="N117" s="22" t="n"/>
      <c r="O117" s="22" t="n"/>
      <c r="P117" s="22" t="n"/>
      <c r="Q117" s="22" t="n"/>
      <c r="R117" s="22" t="n"/>
      <c r="S117" s="22" t="n"/>
    </row>
    <row r="118" ht="15.75" customHeight="1">
      <c r="A118" s="26">
        <f>IF(((('MiT Strom Pipeline'!R49="offered")+('MiT Strom Pipeline'!R49="to be offered")+('MiT Strom Pipeline'!R49="on hold"))*('MiT Strom Pipeline'!B49&lt;&gt;""))&gt;0,IF(ISNUMBER('MiT Strom Pipeline'!A49),'MiT Strom Pipeline'!A49,""),"")</f>
        <v/>
      </c>
      <c r="B118" s="27">
        <f>IF(((('MiT Strom Pipeline'!R49="offered")+('MiT Strom Pipeline'!R49="to be offered")+('MiT Strom Pipeline'!R49="on hold"))*('MiT Strom Pipeline'!B49&lt;&gt;""))&gt;0,IF('MiT Strom Pipeline'!B49="","",'MiT Strom Pipeline'!B49),"")</f>
        <v/>
      </c>
      <c r="C118" s="27">
        <f>IF(((('MiT Strom Pipeline'!R49="offered")+('MiT Strom Pipeline'!R49="to be offered")+('MiT Strom Pipeline'!R49="on hold"))*('MiT Strom Pipeline'!B49&lt;&gt;""))&gt;0,IF('MiT Strom Pipeline'!C49="","",'MiT Strom Pipeline'!C49),"")</f>
        <v/>
      </c>
      <c r="D118" s="27">
        <f>IF(((('MiT Strom Pipeline'!R49="offered")+('MiT Strom Pipeline'!R49="to be offered")+('MiT Strom Pipeline'!R49="on hold"))*('MiT Strom Pipeline'!B49&lt;&gt;""))&gt;0,IF('MiT Strom Pipeline'!D49="","",'MiT Strom Pipeline'!D49),"")</f>
        <v/>
      </c>
      <c r="E118" s="27">
        <f>IF(((('MiT Strom Pipeline'!R49="offered")+('MiT Strom Pipeline'!R49="to be offered")+('MiT Strom Pipeline'!R49="on hold"))*('MiT Strom Pipeline'!B49&lt;&gt;""))&gt;0,IF('MiT Strom Pipeline'!H49="","",'MiT Strom Pipeline'!H49),"")</f>
        <v/>
      </c>
      <c r="F118" s="27">
        <f>IF(((('MiT Strom Pipeline'!R49="offered")+('MiT Strom Pipeline'!R49="to be offered")+('MiT Strom Pipeline'!R49="on hold"))*('MiT Strom Pipeline'!B49&lt;&gt;""))&gt;0,IF('MiT Strom Pipeline'!E49="","",'MiT Strom Pipeline'!E49),"")</f>
        <v/>
      </c>
      <c r="G118" s="28">
        <f>IF(((('MiT Strom Pipeline'!R49="offered")+('MiT Strom Pipeline'!R49="to be offered")+('MiT Strom Pipeline'!R49="on hold"))*('MiT Strom Pipeline'!B49&lt;&gt;""))&gt;0,IF(ISNUMBER('MiT Strom Pipeline'!I49),'MiT Strom Pipeline'!I49,0),"")</f>
        <v/>
      </c>
      <c r="H118" s="28">
        <f>IF(((('MiT Strom Pipeline'!R49="offered")+('MiT Strom Pipeline'!R49="to be offered")+('MiT Strom Pipeline'!R49="on hold"))*('MiT Strom Pipeline'!B49&lt;&gt;""))&gt;0,IF(ISNUMBER('MiT Strom Pipeline'!Q49),'MiT Strom Pipeline'!Q49,0),"")</f>
        <v/>
      </c>
      <c r="I118" s="28">
        <f>IF(((('MiT Strom Pipeline'!R49="offered")+('MiT Strom Pipeline'!R49="to be offered")+('MiT Strom Pipeline'!R49="on hold"))*('MiT Strom Pipeline'!B49&lt;&gt;""))&gt;0,IF(ISNUMBER('MiT Strom Pipeline'!O49),'MiT Strom Pipeline'!O49,0),"")</f>
        <v/>
      </c>
      <c r="J118" s="27">
        <f>IF(((('MiT Strom Pipeline'!R49="offered")+('MiT Strom Pipeline'!R49="to be offered")+('MiT Strom Pipeline'!R49="on hold"))*('MiT Strom Pipeline'!B49&lt;&gt;""))&gt;0,'MiT Strom Pipeline'!R49,"")</f>
        <v/>
      </c>
      <c r="K118" s="29">
        <f>IF(((('MiT Strom Pipeline'!R49="offered")+('MiT Strom Pipeline'!R49="to be offered")+('MiT Strom Pipeline'!R49="on hold"))*('MiT Strom Pipeline'!B49&lt;&gt;""))&gt;0,IF(ISNUMBER('MiT Strom Pipeline'!S49),'MiT Strom Pipeline'!S49,""),"")</f>
        <v/>
      </c>
      <c r="L118" s="27">
        <f>IF(((('MiT Strom Pipeline'!R49="offered")+('MiT Strom Pipeline'!R49="to be offered")+('MiT Strom Pipeline'!R49="on hold"))*('MiT Strom Pipeline'!B49&lt;&gt;""))&gt;0,IF(LEN('MiT Strom Pipeline'!V49)&gt;0,LEFT('MiT Strom Pipeline'!V49,55),""),"")</f>
        <v/>
      </c>
      <c r="M118" s="22" t="n"/>
      <c r="N118" s="22" t="n"/>
      <c r="O118" s="22" t="n"/>
      <c r="P118" s="22" t="n"/>
      <c r="Q118" s="22" t="n"/>
      <c r="R118" s="22" t="n"/>
      <c r="S118" s="22" t="n"/>
    </row>
    <row r="119" ht="15.75" customHeight="1">
      <c r="A119" s="26">
        <f>IF(((('MiT Strom Pipeline'!R50="offered")+('MiT Strom Pipeline'!R50="to be offered")+('MiT Strom Pipeline'!R50="on hold"))*('MiT Strom Pipeline'!B50&lt;&gt;""))&gt;0,IF(ISNUMBER('MiT Strom Pipeline'!A50),'MiT Strom Pipeline'!A50,""),"")</f>
        <v/>
      </c>
      <c r="B119" s="27">
        <f>IF(((('MiT Strom Pipeline'!R50="offered")+('MiT Strom Pipeline'!R50="to be offered")+('MiT Strom Pipeline'!R50="on hold"))*('MiT Strom Pipeline'!B50&lt;&gt;""))&gt;0,IF('MiT Strom Pipeline'!B50="","",'MiT Strom Pipeline'!B50),"")</f>
        <v/>
      </c>
      <c r="C119" s="27">
        <f>IF(((('MiT Strom Pipeline'!R50="offered")+('MiT Strom Pipeline'!R50="to be offered")+('MiT Strom Pipeline'!R50="on hold"))*('MiT Strom Pipeline'!B50&lt;&gt;""))&gt;0,IF('MiT Strom Pipeline'!C50="","",'MiT Strom Pipeline'!C50),"")</f>
        <v/>
      </c>
      <c r="D119" s="27">
        <f>IF(((('MiT Strom Pipeline'!R50="offered")+('MiT Strom Pipeline'!R50="to be offered")+('MiT Strom Pipeline'!R50="on hold"))*('MiT Strom Pipeline'!B50&lt;&gt;""))&gt;0,IF('MiT Strom Pipeline'!D50="","",'MiT Strom Pipeline'!D50),"")</f>
        <v/>
      </c>
      <c r="E119" s="27">
        <f>IF(((('MiT Strom Pipeline'!R50="offered")+('MiT Strom Pipeline'!R50="to be offered")+('MiT Strom Pipeline'!R50="on hold"))*('MiT Strom Pipeline'!B50&lt;&gt;""))&gt;0,IF('MiT Strom Pipeline'!H50="","",'MiT Strom Pipeline'!H50),"")</f>
        <v/>
      </c>
      <c r="F119" s="27">
        <f>IF(((('MiT Strom Pipeline'!R50="offered")+('MiT Strom Pipeline'!R50="to be offered")+('MiT Strom Pipeline'!R50="on hold"))*('MiT Strom Pipeline'!B50&lt;&gt;""))&gt;0,IF('MiT Strom Pipeline'!E50="","",'MiT Strom Pipeline'!E50),"")</f>
        <v/>
      </c>
      <c r="G119" s="28">
        <f>IF(((('MiT Strom Pipeline'!R50="offered")+('MiT Strom Pipeline'!R50="to be offered")+('MiT Strom Pipeline'!R50="on hold"))*('MiT Strom Pipeline'!B50&lt;&gt;""))&gt;0,IF(ISNUMBER('MiT Strom Pipeline'!I50),'MiT Strom Pipeline'!I50,0),"")</f>
        <v/>
      </c>
      <c r="H119" s="28">
        <f>IF(((('MiT Strom Pipeline'!R50="offered")+('MiT Strom Pipeline'!R50="to be offered")+('MiT Strom Pipeline'!R50="on hold"))*('MiT Strom Pipeline'!B50&lt;&gt;""))&gt;0,IF(ISNUMBER('MiT Strom Pipeline'!Q50),'MiT Strom Pipeline'!Q50,0),"")</f>
        <v/>
      </c>
      <c r="I119" s="28">
        <f>IF(((('MiT Strom Pipeline'!R50="offered")+('MiT Strom Pipeline'!R50="to be offered")+('MiT Strom Pipeline'!R50="on hold"))*('MiT Strom Pipeline'!B50&lt;&gt;""))&gt;0,IF(ISNUMBER('MiT Strom Pipeline'!O50),'MiT Strom Pipeline'!O50,0),"")</f>
        <v/>
      </c>
      <c r="J119" s="27">
        <f>IF(((('MiT Strom Pipeline'!R50="offered")+('MiT Strom Pipeline'!R50="to be offered")+('MiT Strom Pipeline'!R50="on hold"))*('MiT Strom Pipeline'!B50&lt;&gt;""))&gt;0,'MiT Strom Pipeline'!R50,"")</f>
        <v/>
      </c>
      <c r="K119" s="29">
        <f>IF(((('MiT Strom Pipeline'!R50="offered")+('MiT Strom Pipeline'!R50="to be offered")+('MiT Strom Pipeline'!R50="on hold"))*('MiT Strom Pipeline'!B50&lt;&gt;""))&gt;0,IF(ISNUMBER('MiT Strom Pipeline'!S50),'MiT Strom Pipeline'!S50,""),"")</f>
        <v/>
      </c>
      <c r="L119" s="27">
        <f>IF(((('MiT Strom Pipeline'!R50="offered")+('MiT Strom Pipeline'!R50="to be offered")+('MiT Strom Pipeline'!R50="on hold"))*('MiT Strom Pipeline'!B50&lt;&gt;""))&gt;0,IF(LEN('MiT Strom Pipeline'!V50)&gt;0,LEFT('MiT Strom Pipeline'!V50,55),""),"")</f>
        <v/>
      </c>
      <c r="M119" s="22" t="n"/>
      <c r="N119" s="22" t="n"/>
      <c r="O119" s="22" t="n"/>
      <c r="P119" s="22" t="n"/>
      <c r="Q119" s="22" t="n"/>
      <c r="R119" s="22" t="n"/>
      <c r="S119" s="22" t="n"/>
    </row>
    <row r="120" ht="15.75" customHeight="1">
      <c r="A120" s="26">
        <f>IF(((('MiT Strom Pipeline'!R51="offered")+('MiT Strom Pipeline'!R51="to be offered")+('MiT Strom Pipeline'!R51="on hold"))*('MiT Strom Pipeline'!B51&lt;&gt;""))&gt;0,IF(ISNUMBER('MiT Strom Pipeline'!A51),'MiT Strom Pipeline'!A51,""),"")</f>
        <v/>
      </c>
      <c r="B120" s="27">
        <f>IF(((('MiT Strom Pipeline'!R51="offered")+('MiT Strom Pipeline'!R51="to be offered")+('MiT Strom Pipeline'!R51="on hold"))*('MiT Strom Pipeline'!B51&lt;&gt;""))&gt;0,IF('MiT Strom Pipeline'!B51="","",'MiT Strom Pipeline'!B51),"")</f>
        <v/>
      </c>
      <c r="C120" s="27">
        <f>IF(((('MiT Strom Pipeline'!R51="offered")+('MiT Strom Pipeline'!R51="to be offered")+('MiT Strom Pipeline'!R51="on hold"))*('MiT Strom Pipeline'!B51&lt;&gt;""))&gt;0,IF('MiT Strom Pipeline'!C51="","",'MiT Strom Pipeline'!C51),"")</f>
        <v/>
      </c>
      <c r="D120" s="27">
        <f>IF(((('MiT Strom Pipeline'!R51="offered")+('MiT Strom Pipeline'!R51="to be offered")+('MiT Strom Pipeline'!R51="on hold"))*('MiT Strom Pipeline'!B51&lt;&gt;""))&gt;0,IF('MiT Strom Pipeline'!D51="","",'MiT Strom Pipeline'!D51),"")</f>
        <v/>
      </c>
      <c r="E120" s="27">
        <f>IF(((('MiT Strom Pipeline'!R51="offered")+('MiT Strom Pipeline'!R51="to be offered")+('MiT Strom Pipeline'!R51="on hold"))*('MiT Strom Pipeline'!B51&lt;&gt;""))&gt;0,IF('MiT Strom Pipeline'!H51="","",'MiT Strom Pipeline'!H51),"")</f>
        <v/>
      </c>
      <c r="F120" s="27">
        <f>IF(((('MiT Strom Pipeline'!R51="offered")+('MiT Strom Pipeline'!R51="to be offered")+('MiT Strom Pipeline'!R51="on hold"))*('MiT Strom Pipeline'!B51&lt;&gt;""))&gt;0,IF('MiT Strom Pipeline'!E51="","",'MiT Strom Pipeline'!E51),"")</f>
        <v/>
      </c>
      <c r="G120" s="28">
        <f>IF(((('MiT Strom Pipeline'!R51="offered")+('MiT Strom Pipeline'!R51="to be offered")+('MiT Strom Pipeline'!R51="on hold"))*('MiT Strom Pipeline'!B51&lt;&gt;""))&gt;0,IF(ISNUMBER('MiT Strom Pipeline'!I51),'MiT Strom Pipeline'!I51,0),"")</f>
        <v/>
      </c>
      <c r="H120" s="28">
        <f>IF(((('MiT Strom Pipeline'!R51="offered")+('MiT Strom Pipeline'!R51="to be offered")+('MiT Strom Pipeline'!R51="on hold"))*('MiT Strom Pipeline'!B51&lt;&gt;""))&gt;0,IF(ISNUMBER('MiT Strom Pipeline'!Q51),'MiT Strom Pipeline'!Q51,0),"")</f>
        <v/>
      </c>
      <c r="I120" s="28">
        <f>IF(((('MiT Strom Pipeline'!R51="offered")+('MiT Strom Pipeline'!R51="to be offered")+('MiT Strom Pipeline'!R51="on hold"))*('MiT Strom Pipeline'!B51&lt;&gt;""))&gt;0,IF(ISNUMBER('MiT Strom Pipeline'!O51),'MiT Strom Pipeline'!O51,0),"")</f>
        <v/>
      </c>
      <c r="J120" s="27">
        <f>IF(((('MiT Strom Pipeline'!R51="offered")+('MiT Strom Pipeline'!R51="to be offered")+('MiT Strom Pipeline'!R51="on hold"))*('MiT Strom Pipeline'!B51&lt;&gt;""))&gt;0,'MiT Strom Pipeline'!R51,"")</f>
        <v/>
      </c>
      <c r="K120" s="29">
        <f>IF(((('MiT Strom Pipeline'!R51="offered")+('MiT Strom Pipeline'!R51="to be offered")+('MiT Strom Pipeline'!R51="on hold"))*('MiT Strom Pipeline'!B51&lt;&gt;""))&gt;0,IF(ISNUMBER('MiT Strom Pipeline'!S51),'MiT Strom Pipeline'!S51,""),"")</f>
        <v/>
      </c>
      <c r="L120" s="27">
        <f>IF(((('MiT Strom Pipeline'!R51="offered")+('MiT Strom Pipeline'!R51="to be offered")+('MiT Strom Pipeline'!R51="on hold"))*('MiT Strom Pipeline'!B51&lt;&gt;""))&gt;0,IF(LEN('MiT Strom Pipeline'!V51)&gt;0,LEFT('MiT Strom Pipeline'!V51,55),""),"")</f>
        <v/>
      </c>
      <c r="M120" s="22" t="n"/>
      <c r="N120" s="22" t="n"/>
      <c r="O120" s="22" t="n"/>
      <c r="P120" s="22" t="n"/>
      <c r="Q120" s="22" t="n"/>
      <c r="R120" s="22" t="n"/>
      <c r="S120" s="22" t="n"/>
    </row>
    <row r="121" ht="15.75" customHeight="1">
      <c r="A121" s="26">
        <f>IF(((('MiT Strom Pipeline'!R52="offered")+('MiT Strom Pipeline'!R52="to be offered")+('MiT Strom Pipeline'!R52="on hold"))*('MiT Strom Pipeline'!B52&lt;&gt;""))&gt;0,IF(ISNUMBER('MiT Strom Pipeline'!A52),'MiT Strom Pipeline'!A52,""),"")</f>
        <v/>
      </c>
      <c r="B121" s="27">
        <f>IF(((('MiT Strom Pipeline'!R52="offered")+('MiT Strom Pipeline'!R52="to be offered")+('MiT Strom Pipeline'!R52="on hold"))*('MiT Strom Pipeline'!B52&lt;&gt;""))&gt;0,IF('MiT Strom Pipeline'!B52="","",'MiT Strom Pipeline'!B52),"")</f>
        <v/>
      </c>
      <c r="C121" s="27">
        <f>IF(((('MiT Strom Pipeline'!R52="offered")+('MiT Strom Pipeline'!R52="to be offered")+('MiT Strom Pipeline'!R52="on hold"))*('MiT Strom Pipeline'!B52&lt;&gt;""))&gt;0,IF('MiT Strom Pipeline'!C52="","",'MiT Strom Pipeline'!C52),"")</f>
        <v/>
      </c>
      <c r="D121" s="27">
        <f>IF(((('MiT Strom Pipeline'!R52="offered")+('MiT Strom Pipeline'!R52="to be offered")+('MiT Strom Pipeline'!R52="on hold"))*('MiT Strom Pipeline'!B52&lt;&gt;""))&gt;0,IF('MiT Strom Pipeline'!D52="","",'MiT Strom Pipeline'!D52),"")</f>
        <v/>
      </c>
      <c r="E121" s="27">
        <f>IF(((('MiT Strom Pipeline'!R52="offered")+('MiT Strom Pipeline'!R52="to be offered")+('MiT Strom Pipeline'!R52="on hold"))*('MiT Strom Pipeline'!B52&lt;&gt;""))&gt;0,IF('MiT Strom Pipeline'!H52="","",'MiT Strom Pipeline'!H52),"")</f>
        <v/>
      </c>
      <c r="F121" s="27">
        <f>IF(((('MiT Strom Pipeline'!R52="offered")+('MiT Strom Pipeline'!R52="to be offered")+('MiT Strom Pipeline'!R52="on hold"))*('MiT Strom Pipeline'!B52&lt;&gt;""))&gt;0,IF('MiT Strom Pipeline'!E52="","",'MiT Strom Pipeline'!E52),"")</f>
        <v/>
      </c>
      <c r="G121" s="28">
        <f>IF(((('MiT Strom Pipeline'!R52="offered")+('MiT Strom Pipeline'!R52="to be offered")+('MiT Strom Pipeline'!R52="on hold"))*('MiT Strom Pipeline'!B52&lt;&gt;""))&gt;0,IF(ISNUMBER('MiT Strom Pipeline'!I52),'MiT Strom Pipeline'!I52,0),"")</f>
        <v/>
      </c>
      <c r="H121" s="28">
        <f>IF(((('MiT Strom Pipeline'!R52="offered")+('MiT Strom Pipeline'!R52="to be offered")+('MiT Strom Pipeline'!R52="on hold"))*('MiT Strom Pipeline'!B52&lt;&gt;""))&gt;0,IF(ISNUMBER('MiT Strom Pipeline'!Q52),'MiT Strom Pipeline'!Q52,0),"")</f>
        <v/>
      </c>
      <c r="I121" s="28">
        <f>IF(((('MiT Strom Pipeline'!R52="offered")+('MiT Strom Pipeline'!R52="to be offered")+('MiT Strom Pipeline'!R52="on hold"))*('MiT Strom Pipeline'!B52&lt;&gt;""))&gt;0,IF(ISNUMBER('MiT Strom Pipeline'!O52),'MiT Strom Pipeline'!O52,0),"")</f>
        <v/>
      </c>
      <c r="J121" s="27">
        <f>IF(((('MiT Strom Pipeline'!R52="offered")+('MiT Strom Pipeline'!R52="to be offered")+('MiT Strom Pipeline'!R52="on hold"))*('MiT Strom Pipeline'!B52&lt;&gt;""))&gt;0,'MiT Strom Pipeline'!R52,"")</f>
        <v/>
      </c>
      <c r="K121" s="29">
        <f>IF(((('MiT Strom Pipeline'!R52="offered")+('MiT Strom Pipeline'!R52="to be offered")+('MiT Strom Pipeline'!R52="on hold"))*('MiT Strom Pipeline'!B52&lt;&gt;""))&gt;0,IF(ISNUMBER('MiT Strom Pipeline'!S52),'MiT Strom Pipeline'!S52,""),"")</f>
        <v/>
      </c>
      <c r="L121" s="27">
        <f>IF(((('MiT Strom Pipeline'!R52="offered")+('MiT Strom Pipeline'!R52="to be offered")+('MiT Strom Pipeline'!R52="on hold"))*('MiT Strom Pipeline'!B52&lt;&gt;""))&gt;0,IF(LEN('MiT Strom Pipeline'!V52)&gt;0,LEFT('MiT Strom Pipeline'!V52,55),""),"")</f>
        <v/>
      </c>
      <c r="M121" s="22" t="n"/>
      <c r="N121" s="22" t="n"/>
      <c r="O121" s="22" t="n"/>
      <c r="P121" s="22" t="n"/>
      <c r="Q121" s="22" t="n"/>
      <c r="R121" s="22" t="n"/>
      <c r="S121" s="22" t="n"/>
    </row>
    <row r="122" ht="15.75" customHeight="1">
      <c r="A122" s="26">
        <f>IF(((('MiT Strom Pipeline'!R53="offered")+('MiT Strom Pipeline'!R53="to be offered")+('MiT Strom Pipeline'!R53="on hold"))*('MiT Strom Pipeline'!B53&lt;&gt;""))&gt;0,IF(ISNUMBER('MiT Strom Pipeline'!A53),'MiT Strom Pipeline'!A53,""),"")</f>
        <v>43</v>
      </c>
      <c r="B122" s="27" t="str">
        <f>IF(((('MiT Strom Pipeline'!R53="offered")+('MiT Strom Pipeline'!R53="to be offered")+('MiT Strom Pipeline'!R53="on hold"))*('MiT Strom Pipeline'!B53&lt;&gt;""))&gt;0,IF('MiT Strom Pipeline'!B53="","",'MiT Strom Pipeline'!B53),"")</f>
        <v>Equans Switzerland Kloten</v>
      </c>
      <c r="C122" s="27" t="str">
        <f>IF(((('MiT Strom Pipeline'!R53="offered")+('MiT Strom Pipeline'!R53="to be offered")+('MiT Strom Pipeline'!R53="on hold"))*('MiT Strom Pipeline'!B53&lt;&gt;""))&gt;0,IF('MiT Strom Pipeline'!C53="","",'MiT Strom Pipeline'!C53),"")</f>
        <v>ZH</v>
      </c>
      <c r="D122" s="27" t="str">
        <f>IF(((('MiT Strom Pipeline'!R53="offered")+('MiT Strom Pipeline'!R53="to be offered")+('MiT Strom Pipeline'!R53="on hold"))*('MiT Strom Pipeline'!B53&lt;&gt;""))&gt;0,IF('MiT Strom Pipeline'!D53="","",'MiT Strom Pipeline'!D53),"")</f>
        <v>Industrie</v>
      </c>
      <c r="E122" s="27" t="str">
        <f>IF(((('MiT Strom Pipeline'!R53="offered")+('MiT Strom Pipeline'!R53="to be offered")+('MiT Strom Pipeline'!R53="on hold"))*('MiT Strom Pipeline'!B53&lt;&gt;""))&gt;0,IF('MiT Strom Pipeline'!H53="","",'MiT Strom Pipeline'!H53),"")</f>
        <v>Dez</v>
      </c>
      <c r="F122" s="27" t="str">
        <f>IF(((('MiT Strom Pipeline'!R53="offered")+('MiT Strom Pipeline'!R53="to be offered")+('MiT Strom Pipeline'!R53="on hold"))*('MiT Strom Pipeline'!B53&lt;&gt;""))&gt;0,IF('MiT Strom Pipeline'!E53="","",'MiT Strom Pipeline'!E53),"")</f>
        <v>600 kVA</v>
      </c>
      <c r="G122" s="28">
        <f>IF(((('MiT Strom Pipeline'!R53="offered")+('MiT Strom Pipeline'!R53="to be offered")+('MiT Strom Pipeline'!R53="on hold"))*('MiT Strom Pipeline'!B53&lt;&gt;""))&gt;0,IF(ISNUMBER('MiT Strom Pipeline'!I53),'MiT Strom Pipeline'!I53,0),"")</f>
        <v>224236.15</v>
      </c>
      <c r="H122" s="28">
        <f>IF(((('MiT Strom Pipeline'!R53="offered")+('MiT Strom Pipeline'!R53="to be offered")+('MiT Strom Pipeline'!R53="on hold"))*('MiT Strom Pipeline'!B53&lt;&gt;""))&gt;0,IF(ISNUMBER('MiT Strom Pipeline'!Q53),'MiT Strom Pipeline'!Q53,0),"")</f>
        <v>112118.075</v>
      </c>
      <c r="I122" s="28">
        <f>IF(((('MiT Strom Pipeline'!R53="offered")+('MiT Strom Pipeline'!R53="to be offered")+('MiT Strom Pipeline'!R53="on hold"))*('MiT Strom Pipeline'!B53&lt;&gt;""))&gt;0,IF(ISNUMBER('MiT Strom Pipeline'!O53),'MiT Strom Pipeline'!O53,0),"")</f>
        <v>0</v>
      </c>
      <c r="J122" s="27" t="str">
        <f>IF(((('MiT Strom Pipeline'!R53="offered")+('MiT Strom Pipeline'!R53="to be offered")+('MiT Strom Pipeline'!R53="on hold"))*('MiT Strom Pipeline'!B53&lt;&gt;""))&gt;0,'MiT Strom Pipeline'!R53,"")</f>
        <v>offered</v>
      </c>
      <c r="K122" s="29">
        <f>IF(((('MiT Strom Pipeline'!R53="offered")+('MiT Strom Pipeline'!R53="to be offered")+('MiT Strom Pipeline'!R53="on hold"))*('MiT Strom Pipeline'!B53&lt;&gt;""))&gt;0,IF(ISNUMBER('MiT Strom Pipeline'!S53),'MiT Strom Pipeline'!S53,""),"")</f>
        <v>0.5</v>
      </c>
      <c r="L122" s="27" t="str">
        <f>IF(((('MiT Strom Pipeline'!R53="offered")+('MiT Strom Pipeline'!R53="to be offered")+('MiT Strom Pipeline'!R53="on hold"))*('MiT Strom Pipeline'!B53&lt;&gt;""))&gt;0,IF(LEN('MiT Strom Pipeline'!V53)&gt;0,LEFT('MiT Strom Pipeline'!V53,55),""),"")</f>
        <v>Kunde angeschrieben, Offerte erstellt, Kunde hat Offert</v>
      </c>
      <c r="M122" s="22" t="n"/>
      <c r="N122" s="22" t="n"/>
      <c r="O122" s="22" t="n"/>
      <c r="P122" s="22" t="n"/>
      <c r="Q122" s="22" t="n"/>
      <c r="R122" s="22" t="n"/>
      <c r="S122" s="22" t="n"/>
    </row>
    <row r="123" ht="15.75" customHeight="1">
      <c r="A123" s="26">
        <f>IF(((('MiT Strom Pipeline'!R54="offered")+('MiT Strom Pipeline'!R54="to be offered")+('MiT Strom Pipeline'!R54="on hold"))*('MiT Strom Pipeline'!B54&lt;&gt;""))&gt;0,IF(ISNUMBER('MiT Strom Pipeline'!A54),'MiT Strom Pipeline'!A54,""),"")</f>
        <v>44</v>
      </c>
      <c r="B123" s="27" t="str">
        <f>IF(((('MiT Strom Pipeline'!R54="offered")+('MiT Strom Pipeline'!R54="to be offered")+('MiT Strom Pipeline'!R54="on hold"))*('MiT Strom Pipeline'!B54&lt;&gt;""))&gt;0,IF('MiT Strom Pipeline'!B54="","",'MiT Strom Pipeline'!B54),"")</f>
        <v>Equans Switzerland Kloten</v>
      </c>
      <c r="C123" s="27" t="str">
        <f>IF(((('MiT Strom Pipeline'!R54="offered")+('MiT Strom Pipeline'!R54="to be offered")+('MiT Strom Pipeline'!R54="on hold"))*('MiT Strom Pipeline'!B54&lt;&gt;""))&gt;0,IF('MiT Strom Pipeline'!C54="","",'MiT Strom Pipeline'!C54),"")</f>
        <v>ZH</v>
      </c>
      <c r="D123" s="27" t="str">
        <f>IF(((('MiT Strom Pipeline'!R54="offered")+('MiT Strom Pipeline'!R54="to be offered")+('MiT Strom Pipeline'!R54="on hold"))*('MiT Strom Pipeline'!B54&lt;&gt;""))&gt;0,IF('MiT Strom Pipeline'!D54="","",'MiT Strom Pipeline'!D54),"")</f>
        <v>Industrie</v>
      </c>
      <c r="E123" s="27" t="str">
        <f>IF(((('MiT Strom Pipeline'!R54="offered")+('MiT Strom Pipeline'!R54="to be offered")+('MiT Strom Pipeline'!R54="on hold"))*('MiT Strom Pipeline'!B54&lt;&gt;""))&gt;0,IF('MiT Strom Pipeline'!H54="","",'MiT Strom Pipeline'!H54),"")</f>
        <v>Juli</v>
      </c>
      <c r="F123" s="27" t="str">
        <f>IF(((('MiT Strom Pipeline'!R54="offered")+('MiT Strom Pipeline'!R54="to be offered")+('MiT Strom Pipeline'!R54="on hold"))*('MiT Strom Pipeline'!B54&lt;&gt;""))&gt;0,IF('MiT Strom Pipeline'!E54="","",'MiT Strom Pipeline'!E54),"")</f>
        <v>300 kVA</v>
      </c>
      <c r="G123" s="28">
        <f>IF(((('MiT Strom Pipeline'!R54="offered")+('MiT Strom Pipeline'!R54="to be offered")+('MiT Strom Pipeline'!R54="on hold"))*('MiT Strom Pipeline'!B54&lt;&gt;""))&gt;0,IF(ISNUMBER('MiT Strom Pipeline'!I54),'MiT Strom Pipeline'!I54,0),"")</f>
        <v>31077.89</v>
      </c>
      <c r="H123" s="28">
        <f>IF(((('MiT Strom Pipeline'!R54="offered")+('MiT Strom Pipeline'!R54="to be offered")+('MiT Strom Pipeline'!R54="on hold"))*('MiT Strom Pipeline'!B54&lt;&gt;""))&gt;0,IF(ISNUMBER('MiT Strom Pipeline'!Q54),'MiT Strom Pipeline'!Q54,0),"")</f>
        <v>15538.945</v>
      </c>
      <c r="I123" s="28">
        <f>IF(((('MiT Strom Pipeline'!R54="offered")+('MiT Strom Pipeline'!R54="to be offered")+('MiT Strom Pipeline'!R54="on hold"))*('MiT Strom Pipeline'!B54&lt;&gt;""))&gt;0,IF(ISNUMBER('MiT Strom Pipeline'!O54),'MiT Strom Pipeline'!O54,0),"")</f>
        <v>0</v>
      </c>
      <c r="J123" s="27" t="str">
        <f>IF(((('MiT Strom Pipeline'!R54="offered")+('MiT Strom Pipeline'!R54="to be offered")+('MiT Strom Pipeline'!R54="on hold"))*('MiT Strom Pipeline'!B54&lt;&gt;""))&gt;0,'MiT Strom Pipeline'!R54,"")</f>
        <v>offered</v>
      </c>
      <c r="K123" s="29">
        <f>IF(((('MiT Strom Pipeline'!R54="offered")+('MiT Strom Pipeline'!R54="to be offered")+('MiT Strom Pipeline'!R54="on hold"))*('MiT Strom Pipeline'!B54&lt;&gt;""))&gt;0,IF(ISNUMBER('MiT Strom Pipeline'!S54),'MiT Strom Pipeline'!S54,""),"")</f>
        <v>0.5</v>
      </c>
      <c r="L123" s="27" t="str">
        <f>IF(((('MiT Strom Pipeline'!R54="offered")+('MiT Strom Pipeline'!R54="to be offered")+('MiT Strom Pipeline'!R54="on hold"))*('MiT Strom Pipeline'!B54&lt;&gt;""))&gt;0,IF(LEN('MiT Strom Pipeline'!V54)&gt;0,LEFT('MiT Strom Pipeline'!V54,55),""),"")</f>
        <v>Kunde angeschrieben, Offerte erstellt, Kunde hat Offert</v>
      </c>
      <c r="M123" s="22" t="n"/>
      <c r="N123" s="22" t="n"/>
      <c r="O123" s="22" t="n"/>
      <c r="P123" s="22" t="n"/>
      <c r="Q123" s="22" t="n"/>
      <c r="R123" s="22" t="n"/>
      <c r="S123" s="22" t="n"/>
    </row>
    <row r="124" ht="15.75" customHeight="1">
      <c r="A124" s="26">
        <f>IF(((('MiT Strom Pipeline'!R55="offered")+('MiT Strom Pipeline'!R55="to be offered")+('MiT Strom Pipeline'!R55="on hold"))*('MiT Strom Pipeline'!B55&lt;&gt;""))&gt;0,IF(ISNUMBER('MiT Strom Pipeline'!A55),'MiT Strom Pipeline'!A55,""),"")</f>
        <v>45</v>
      </c>
      <c r="B124" s="27" t="str">
        <f>IF(((('MiT Strom Pipeline'!R55="offered")+('MiT Strom Pipeline'!R55="to be offered")+('MiT Strom Pipeline'!R55="on hold"))*('MiT Strom Pipeline'!B55&lt;&gt;""))&gt;0,IF('MiT Strom Pipeline'!B55="","",'MiT Strom Pipeline'!B55),"")</f>
        <v>ETAVIS Basel</v>
      </c>
      <c r="C124" s="27" t="str">
        <f>IF(((('MiT Strom Pipeline'!R55="offered")+('MiT Strom Pipeline'!R55="to be offered")+('MiT Strom Pipeline'!R55="on hold"))*('MiT Strom Pipeline'!B55&lt;&gt;""))&gt;0,IF('MiT Strom Pipeline'!C55="","",'MiT Strom Pipeline'!C55),"")</f>
        <v>BS</v>
      </c>
      <c r="D124" s="27" t="str">
        <f>IF(((('MiT Strom Pipeline'!R55="offered")+('MiT Strom Pipeline'!R55="to be offered")+('MiT Strom Pipeline'!R55="on hold"))*('MiT Strom Pipeline'!B55&lt;&gt;""))&gt;0,IF('MiT Strom Pipeline'!D55="","",'MiT Strom Pipeline'!D55),"")</f>
        <v>Elektroinstallation</v>
      </c>
      <c r="E124" s="27" t="str">
        <f>IF(((('MiT Strom Pipeline'!R55="offered")+('MiT Strom Pipeline'!R55="to be offered")+('MiT Strom Pipeline'!R55="on hold"))*('MiT Strom Pipeline'!B55&lt;&gt;""))&gt;0,IF('MiT Strom Pipeline'!H55="","",'MiT Strom Pipeline'!H55),"")</f>
        <v>Juli</v>
      </c>
      <c r="F124" s="27" t="str">
        <f>IF(((('MiT Strom Pipeline'!R55="offered")+('MiT Strom Pipeline'!R55="to be offered")+('MiT Strom Pipeline'!R55="on hold"))*('MiT Strom Pipeline'!B55&lt;&gt;""))&gt;0,IF('MiT Strom Pipeline'!E55="","",'MiT Strom Pipeline'!E55),"")</f>
        <v>300 kVA</v>
      </c>
      <c r="G124" s="28">
        <f>IF(((('MiT Strom Pipeline'!R55="offered")+('MiT Strom Pipeline'!R55="to be offered")+('MiT Strom Pipeline'!R55="on hold"))*('MiT Strom Pipeline'!B55&lt;&gt;""))&gt;0,IF(ISNUMBER('MiT Strom Pipeline'!I55),'MiT Strom Pipeline'!I55,0),"")</f>
        <v>13866.21</v>
      </c>
      <c r="H124" s="28">
        <f>IF(((('MiT Strom Pipeline'!R55="offered")+('MiT Strom Pipeline'!R55="to be offered")+('MiT Strom Pipeline'!R55="on hold"))*('MiT Strom Pipeline'!B55&lt;&gt;""))&gt;0,IF(ISNUMBER('MiT Strom Pipeline'!Q55),'MiT Strom Pipeline'!Q55,0),"")</f>
        <v>6933.105</v>
      </c>
      <c r="I124" s="28">
        <f>IF(((('MiT Strom Pipeline'!R55="offered")+('MiT Strom Pipeline'!R55="to be offered")+('MiT Strom Pipeline'!R55="on hold"))*('MiT Strom Pipeline'!B55&lt;&gt;""))&gt;0,IF(ISNUMBER('MiT Strom Pipeline'!O55),'MiT Strom Pipeline'!O55,0),"")</f>
        <v>0.0100000000002183</v>
      </c>
      <c r="J124" s="27" t="str">
        <f>IF(((('MiT Strom Pipeline'!R55="offered")+('MiT Strom Pipeline'!R55="to be offered")+('MiT Strom Pipeline'!R55="on hold"))*('MiT Strom Pipeline'!B55&lt;&gt;""))&gt;0,'MiT Strom Pipeline'!R55,"")</f>
        <v>offered</v>
      </c>
      <c r="K124" s="29">
        <f>IF(((('MiT Strom Pipeline'!R55="offered")+('MiT Strom Pipeline'!R55="to be offered")+('MiT Strom Pipeline'!R55="on hold"))*('MiT Strom Pipeline'!B55&lt;&gt;""))&gt;0,IF(ISNUMBER('MiT Strom Pipeline'!S55),'MiT Strom Pipeline'!S55,""),"")</f>
        <v>0.5</v>
      </c>
      <c r="L124" s="27" t="str">
        <f>IF(((('MiT Strom Pipeline'!R55="offered")+('MiT Strom Pipeline'!R55="to be offered")+('MiT Strom Pipeline'!R55="on hold"))*('MiT Strom Pipeline'!B55&lt;&gt;""))&gt;0,IF(LEN('MiT Strom Pipeline'!V55)&gt;0,LEFT('MiT Strom Pipeline'!V55,55),""),"")</f>
        <v>Kunde angeschrieben, Offerte erstellt, Kunde hat Offert</v>
      </c>
      <c r="M124" s="22" t="n"/>
      <c r="N124" s="22" t="n"/>
      <c r="O124" s="22" t="n"/>
      <c r="P124" s="22" t="n"/>
      <c r="Q124" s="22" t="n"/>
      <c r="R124" s="22" t="n"/>
      <c r="S124" s="22" t="n"/>
    </row>
    <row r="125" ht="15.75" customHeight="1">
      <c r="A125" s="26">
        <f>IF(((('MiT Strom Pipeline'!R56="offered")+('MiT Strom Pipeline'!R56="to be offered")+('MiT Strom Pipeline'!R56="on hold"))*('MiT Strom Pipeline'!B56&lt;&gt;""))&gt;0,IF(ISNUMBER('MiT Strom Pipeline'!A56),'MiT Strom Pipeline'!A56,""),"")</f>
        <v/>
      </c>
      <c r="B125" s="27">
        <f>IF(((('MiT Strom Pipeline'!R56="offered")+('MiT Strom Pipeline'!R56="to be offered")+('MiT Strom Pipeline'!R56="on hold"))*('MiT Strom Pipeline'!B56&lt;&gt;""))&gt;0,IF('MiT Strom Pipeline'!B56="","",'MiT Strom Pipeline'!B56),"")</f>
        <v/>
      </c>
      <c r="C125" s="27">
        <f>IF(((('MiT Strom Pipeline'!R56="offered")+('MiT Strom Pipeline'!R56="to be offered")+('MiT Strom Pipeline'!R56="on hold"))*('MiT Strom Pipeline'!B56&lt;&gt;""))&gt;0,IF('MiT Strom Pipeline'!C56="","",'MiT Strom Pipeline'!C56),"")</f>
        <v/>
      </c>
      <c r="D125" s="27">
        <f>IF(((('MiT Strom Pipeline'!R56="offered")+('MiT Strom Pipeline'!R56="to be offered")+('MiT Strom Pipeline'!R56="on hold"))*('MiT Strom Pipeline'!B56&lt;&gt;""))&gt;0,IF('MiT Strom Pipeline'!D56="","",'MiT Strom Pipeline'!D56),"")</f>
        <v/>
      </c>
      <c r="E125" s="27">
        <f>IF(((('MiT Strom Pipeline'!R56="offered")+('MiT Strom Pipeline'!R56="to be offered")+('MiT Strom Pipeline'!R56="on hold"))*('MiT Strom Pipeline'!B56&lt;&gt;""))&gt;0,IF('MiT Strom Pipeline'!H56="","",'MiT Strom Pipeline'!H56),"")</f>
        <v/>
      </c>
      <c r="F125" s="27">
        <f>IF(((('MiT Strom Pipeline'!R56="offered")+('MiT Strom Pipeline'!R56="to be offered")+('MiT Strom Pipeline'!R56="on hold"))*('MiT Strom Pipeline'!B56&lt;&gt;""))&gt;0,IF('MiT Strom Pipeline'!E56="","",'MiT Strom Pipeline'!E56),"")</f>
        <v/>
      </c>
      <c r="G125" s="28">
        <f>IF(((('MiT Strom Pipeline'!R56="offered")+('MiT Strom Pipeline'!R56="to be offered")+('MiT Strom Pipeline'!R56="on hold"))*('MiT Strom Pipeline'!B56&lt;&gt;""))&gt;0,IF(ISNUMBER('MiT Strom Pipeline'!I56),'MiT Strom Pipeline'!I56,0),"")</f>
        <v/>
      </c>
      <c r="H125" s="28">
        <f>IF(((('MiT Strom Pipeline'!R56="offered")+('MiT Strom Pipeline'!R56="to be offered")+('MiT Strom Pipeline'!R56="on hold"))*('MiT Strom Pipeline'!B56&lt;&gt;""))&gt;0,IF(ISNUMBER('MiT Strom Pipeline'!Q56),'MiT Strom Pipeline'!Q56,0),"")</f>
        <v/>
      </c>
      <c r="I125" s="28">
        <f>IF(((('MiT Strom Pipeline'!R56="offered")+('MiT Strom Pipeline'!R56="to be offered")+('MiT Strom Pipeline'!R56="on hold"))*('MiT Strom Pipeline'!B56&lt;&gt;""))&gt;0,IF(ISNUMBER('MiT Strom Pipeline'!O56),'MiT Strom Pipeline'!O56,0),"")</f>
        <v/>
      </c>
      <c r="J125" s="27">
        <f>IF(((('MiT Strom Pipeline'!R56="offered")+('MiT Strom Pipeline'!R56="to be offered")+('MiT Strom Pipeline'!R56="on hold"))*('MiT Strom Pipeline'!B56&lt;&gt;""))&gt;0,'MiT Strom Pipeline'!R56,"")</f>
        <v/>
      </c>
      <c r="K125" s="29">
        <f>IF(((('MiT Strom Pipeline'!R56="offered")+('MiT Strom Pipeline'!R56="to be offered")+('MiT Strom Pipeline'!R56="on hold"))*('MiT Strom Pipeline'!B56&lt;&gt;""))&gt;0,IF(ISNUMBER('MiT Strom Pipeline'!S56),'MiT Strom Pipeline'!S56,""),"")</f>
        <v/>
      </c>
      <c r="L125" s="27">
        <f>IF(((('MiT Strom Pipeline'!R56="offered")+('MiT Strom Pipeline'!R56="to be offered")+('MiT Strom Pipeline'!R56="on hold"))*('MiT Strom Pipeline'!B56&lt;&gt;""))&gt;0,IF(LEN('MiT Strom Pipeline'!V56)&gt;0,LEFT('MiT Strom Pipeline'!V56,55),""),"")</f>
        <v/>
      </c>
      <c r="M125" s="22" t="n"/>
      <c r="N125" s="22" t="n"/>
      <c r="O125" s="22" t="n"/>
      <c r="P125" s="22" t="n"/>
      <c r="Q125" s="22" t="n"/>
      <c r="R125" s="22" t="n"/>
      <c r="S125" s="22" t="n"/>
    </row>
    <row r="126" ht="15.75" customHeight="1">
      <c r="A126" s="26">
        <f>IF(((('MiT Strom Pipeline'!R57="offered")+('MiT Strom Pipeline'!R57="to be offered")+('MiT Strom Pipeline'!R57="on hold"))*('MiT Strom Pipeline'!B57&lt;&gt;""))&gt;0,IF(ISNUMBER('MiT Strom Pipeline'!A57),'MiT Strom Pipeline'!A57,""),"")</f>
        <v/>
      </c>
      <c r="B126" s="27">
        <f>IF(((('MiT Strom Pipeline'!R57="offered")+('MiT Strom Pipeline'!R57="to be offered")+('MiT Strom Pipeline'!R57="on hold"))*('MiT Strom Pipeline'!B57&lt;&gt;""))&gt;0,IF('MiT Strom Pipeline'!B57="","",'MiT Strom Pipeline'!B57),"")</f>
        <v/>
      </c>
      <c r="C126" s="27">
        <f>IF(((('MiT Strom Pipeline'!R57="offered")+('MiT Strom Pipeline'!R57="to be offered")+('MiT Strom Pipeline'!R57="on hold"))*('MiT Strom Pipeline'!B57&lt;&gt;""))&gt;0,IF('MiT Strom Pipeline'!C57="","",'MiT Strom Pipeline'!C57),"")</f>
        <v/>
      </c>
      <c r="D126" s="27">
        <f>IF(((('MiT Strom Pipeline'!R57="offered")+('MiT Strom Pipeline'!R57="to be offered")+('MiT Strom Pipeline'!R57="on hold"))*('MiT Strom Pipeline'!B57&lt;&gt;""))&gt;0,IF('MiT Strom Pipeline'!D57="","",'MiT Strom Pipeline'!D57),"")</f>
        <v/>
      </c>
      <c r="E126" s="27">
        <f>IF(((('MiT Strom Pipeline'!R57="offered")+('MiT Strom Pipeline'!R57="to be offered")+('MiT Strom Pipeline'!R57="on hold"))*('MiT Strom Pipeline'!B57&lt;&gt;""))&gt;0,IF('MiT Strom Pipeline'!H57="","",'MiT Strom Pipeline'!H57),"")</f>
        <v/>
      </c>
      <c r="F126" s="27">
        <f>IF(((('MiT Strom Pipeline'!R57="offered")+('MiT Strom Pipeline'!R57="to be offered")+('MiT Strom Pipeline'!R57="on hold"))*('MiT Strom Pipeline'!B57&lt;&gt;""))&gt;0,IF('MiT Strom Pipeline'!E57="","",'MiT Strom Pipeline'!E57),"")</f>
        <v/>
      </c>
      <c r="G126" s="28">
        <f>IF(((('MiT Strom Pipeline'!R57="offered")+('MiT Strom Pipeline'!R57="to be offered")+('MiT Strom Pipeline'!R57="on hold"))*('MiT Strom Pipeline'!B57&lt;&gt;""))&gt;0,IF(ISNUMBER('MiT Strom Pipeline'!I57),'MiT Strom Pipeline'!I57,0),"")</f>
        <v/>
      </c>
      <c r="H126" s="28">
        <f>IF(((('MiT Strom Pipeline'!R57="offered")+('MiT Strom Pipeline'!R57="to be offered")+('MiT Strom Pipeline'!R57="on hold"))*('MiT Strom Pipeline'!B57&lt;&gt;""))&gt;0,IF(ISNUMBER('MiT Strom Pipeline'!Q57),'MiT Strom Pipeline'!Q57,0),"")</f>
        <v/>
      </c>
      <c r="I126" s="28">
        <f>IF(((('MiT Strom Pipeline'!R57="offered")+('MiT Strom Pipeline'!R57="to be offered")+('MiT Strom Pipeline'!R57="on hold"))*('MiT Strom Pipeline'!B57&lt;&gt;""))&gt;0,IF(ISNUMBER('MiT Strom Pipeline'!O57),'MiT Strom Pipeline'!O57,0),"")</f>
        <v/>
      </c>
      <c r="J126" s="27">
        <f>IF(((('MiT Strom Pipeline'!R57="offered")+('MiT Strom Pipeline'!R57="to be offered")+('MiT Strom Pipeline'!R57="on hold"))*('MiT Strom Pipeline'!B57&lt;&gt;""))&gt;0,'MiT Strom Pipeline'!R57,"")</f>
        <v/>
      </c>
      <c r="K126" s="29">
        <f>IF(((('MiT Strom Pipeline'!R57="offered")+('MiT Strom Pipeline'!R57="to be offered")+('MiT Strom Pipeline'!R57="on hold"))*('MiT Strom Pipeline'!B57&lt;&gt;""))&gt;0,IF(ISNUMBER('MiT Strom Pipeline'!S57),'MiT Strom Pipeline'!S57,""),"")</f>
        <v/>
      </c>
      <c r="L126" s="27">
        <f>IF(((('MiT Strom Pipeline'!R57="offered")+('MiT Strom Pipeline'!R57="to be offered")+('MiT Strom Pipeline'!R57="on hold"))*('MiT Strom Pipeline'!B57&lt;&gt;""))&gt;0,IF(LEN('MiT Strom Pipeline'!V57)&gt;0,LEFT('MiT Strom Pipeline'!V57,55),""),"")</f>
        <v/>
      </c>
      <c r="M126" s="22" t="n"/>
      <c r="N126" s="22" t="n"/>
      <c r="O126" s="22" t="n"/>
      <c r="P126" s="22" t="n"/>
      <c r="Q126" s="22" t="n"/>
      <c r="R126" s="22" t="n"/>
      <c r="S126" s="22" t="n"/>
    </row>
    <row r="127" ht="15.75" customHeight="1">
      <c r="A127" s="26">
        <f>IF(((('MiT Strom Pipeline'!R58="offered")+('MiT Strom Pipeline'!R58="to be offered")+('MiT Strom Pipeline'!R58="on hold"))*('MiT Strom Pipeline'!B58&lt;&gt;""))&gt;0,IF(ISNUMBER('MiT Strom Pipeline'!A58),'MiT Strom Pipeline'!A58,""),"")</f>
        <v>48</v>
      </c>
      <c r="B127" s="27" t="str">
        <f>IF(((('MiT Strom Pipeline'!R58="offered")+('MiT Strom Pipeline'!R58="to be offered")+('MiT Strom Pipeline'!R58="on hold"))*('MiT Strom Pipeline'!B58&lt;&gt;""))&gt;0,IF('MiT Strom Pipeline'!B58="","",'MiT Strom Pipeline'!B58),"")</f>
        <v>Coutaz CVS SA</v>
      </c>
      <c r="C127" s="27" t="str">
        <f>IF(((('MiT Strom Pipeline'!R58="offered")+('MiT Strom Pipeline'!R58="to be offered")+('MiT Strom Pipeline'!R58="on hold"))*('MiT Strom Pipeline'!B58&lt;&gt;""))&gt;0,IF('MiT Strom Pipeline'!C58="","",'MiT Strom Pipeline'!C58),"")</f>
        <v>VS</v>
      </c>
      <c r="D127" s="27" t="str">
        <f>IF(((('MiT Strom Pipeline'!R58="offered")+('MiT Strom Pipeline'!R58="to be offered")+('MiT Strom Pipeline'!R58="on hold"))*('MiT Strom Pipeline'!B58&lt;&gt;""))&gt;0,IF('MiT Strom Pipeline'!D58="","",'MiT Strom Pipeline'!D58),"")</f>
        <v>EVU</v>
      </c>
      <c r="E127" s="27" t="str">
        <f>IF(((('MiT Strom Pipeline'!R58="offered")+('MiT Strom Pipeline'!R58="to be offered")+('MiT Strom Pipeline'!R58="on hold"))*('MiT Strom Pipeline'!B58&lt;&gt;""))&gt;0,IF('MiT Strom Pipeline'!H58="","",'MiT Strom Pipeline'!H58),"")</f>
        <v>Okt</v>
      </c>
      <c r="F127" s="27" t="str">
        <f>IF(((('MiT Strom Pipeline'!R58="offered")+('MiT Strom Pipeline'!R58="to be offered")+('MiT Strom Pipeline'!R58="on hold"))*('MiT Strom Pipeline'!B58&lt;&gt;""))&gt;0,IF('MiT Strom Pipeline'!E58="","",'MiT Strom Pipeline'!E58),"")</f>
        <v>600 kVA, 200 kVA</v>
      </c>
      <c r="G127" s="28">
        <f>IF(((('MiT Strom Pipeline'!R58="offered")+('MiT Strom Pipeline'!R58="to be offered")+('MiT Strom Pipeline'!R58="on hold"))*('MiT Strom Pipeline'!B58&lt;&gt;""))&gt;0,IF(ISNUMBER('MiT Strom Pipeline'!I58),'MiT Strom Pipeline'!I58,0),"")</f>
        <v>190701.37</v>
      </c>
      <c r="H127" s="28">
        <f>IF(((('MiT Strom Pipeline'!R58="offered")+('MiT Strom Pipeline'!R58="to be offered")+('MiT Strom Pipeline'!R58="on hold"))*('MiT Strom Pipeline'!B58&lt;&gt;""))&gt;0,IF(ISNUMBER('MiT Strom Pipeline'!Q58),'MiT Strom Pipeline'!Q58,0),"")</f>
        <v>95350.685</v>
      </c>
      <c r="I127" s="28">
        <f>IF(((('MiT Strom Pipeline'!R58="offered")+('MiT Strom Pipeline'!R58="to be offered")+('MiT Strom Pipeline'!R58="on hold"))*('MiT Strom Pipeline'!B58&lt;&gt;""))&gt;0,IF(ISNUMBER('MiT Strom Pipeline'!O58),'MiT Strom Pipeline'!O58,0),"")</f>
        <v>10854</v>
      </c>
      <c r="J127" s="27" t="str">
        <f>IF(((('MiT Strom Pipeline'!R58="offered")+('MiT Strom Pipeline'!R58="to be offered")+('MiT Strom Pipeline'!R58="on hold"))*('MiT Strom Pipeline'!B58&lt;&gt;""))&gt;0,'MiT Strom Pipeline'!R58,"")</f>
        <v>offered</v>
      </c>
      <c r="K127" s="29">
        <f>IF(((('MiT Strom Pipeline'!R58="offered")+('MiT Strom Pipeline'!R58="to be offered")+('MiT Strom Pipeline'!R58="on hold"))*('MiT Strom Pipeline'!B58&lt;&gt;""))&gt;0,IF(ISNUMBER('MiT Strom Pipeline'!S58),'MiT Strom Pipeline'!S58,""),"")</f>
        <v>0.5</v>
      </c>
      <c r="L127" s="27" t="str">
        <f>IF(((('MiT Strom Pipeline'!R58="offered")+('MiT Strom Pipeline'!R58="to be offered")+('MiT Strom Pipeline'!R58="on hold"))*('MiT Strom Pipeline'!B58&lt;&gt;""))&gt;0,IF(LEN('MiT Strom Pipeline'!V58)&gt;0,LEFT('MiT Strom Pipeline'!V58,55),""),"")</f>
        <v>Kunde angeschrieben, Offerte erstellt, Kunde hat Offert</v>
      </c>
      <c r="M127" s="22" t="n"/>
      <c r="N127" s="22" t="n"/>
      <c r="O127" s="22" t="n"/>
      <c r="P127" s="22" t="n"/>
      <c r="Q127" s="22" t="n"/>
      <c r="R127" s="22" t="n"/>
      <c r="S127" s="22" t="n"/>
    </row>
    <row r="128" ht="15.75" customHeight="1">
      <c r="A128" s="26">
        <f>IF(((('MiT Strom Pipeline'!R59="offered")+('MiT Strom Pipeline'!R59="to be offered")+('MiT Strom Pipeline'!R59="on hold"))*('MiT Strom Pipeline'!B59&lt;&gt;""))&gt;0,IF(ISNUMBER('MiT Strom Pipeline'!A59),'MiT Strom Pipeline'!A59,""),"")</f>
        <v>49</v>
      </c>
      <c r="B128" s="27" t="str">
        <f>IF(((('MiT Strom Pipeline'!R59="offered")+('MiT Strom Pipeline'!R59="to be offered")+('MiT Strom Pipeline'!R59="on hold"))*('MiT Strom Pipeline'!B59&lt;&gt;""))&gt;0,IF('MiT Strom Pipeline'!B59="","",'MiT Strom Pipeline'!B59),"")</f>
        <v>Romand Energei SA</v>
      </c>
      <c r="C128" s="27" t="str">
        <f>IF(((('MiT Strom Pipeline'!R59="offered")+('MiT Strom Pipeline'!R59="to be offered")+('MiT Strom Pipeline'!R59="on hold"))*('MiT Strom Pipeline'!B59&lt;&gt;""))&gt;0,IF('MiT Strom Pipeline'!C59="","",'MiT Strom Pipeline'!C59),"")</f>
        <v>VS</v>
      </c>
      <c r="D128" s="27" t="str">
        <f>IF(((('MiT Strom Pipeline'!R59="offered")+('MiT Strom Pipeline'!R59="to be offered")+('MiT Strom Pipeline'!R59="on hold"))*('MiT Strom Pipeline'!B59&lt;&gt;""))&gt;0,IF('MiT Strom Pipeline'!D59="","",'MiT Strom Pipeline'!D59),"")</f>
        <v>EVU</v>
      </c>
      <c r="E128" s="27" t="str">
        <f>IF(((('MiT Strom Pipeline'!R59="offered")+('MiT Strom Pipeline'!R59="to be offered")+('MiT Strom Pipeline'!R59="on hold"))*('MiT Strom Pipeline'!B59&lt;&gt;""))&gt;0,IF('MiT Strom Pipeline'!H59="","",'MiT Strom Pipeline'!H59),"")</f>
        <v>Aug</v>
      </c>
      <c r="F128" s="27" t="str">
        <f>IF(((('MiT Strom Pipeline'!R59="offered")+('MiT Strom Pipeline'!R59="to be offered")+('MiT Strom Pipeline'!R59="on hold"))*('MiT Strom Pipeline'!B59&lt;&gt;""))&gt;0,IF('MiT Strom Pipeline'!E59="","",'MiT Strom Pipeline'!E59),"")</f>
        <v>600 kVA</v>
      </c>
      <c r="G128" s="28">
        <f>IF(((('MiT Strom Pipeline'!R59="offered")+('MiT Strom Pipeline'!R59="to be offered")+('MiT Strom Pipeline'!R59="on hold"))*('MiT Strom Pipeline'!B59&lt;&gt;""))&gt;0,IF(ISNUMBER('MiT Strom Pipeline'!I59),'MiT Strom Pipeline'!I59,0),"")</f>
        <v>32467.62</v>
      </c>
      <c r="H128" s="28">
        <f>IF(((('MiT Strom Pipeline'!R59="offered")+('MiT Strom Pipeline'!R59="to be offered")+('MiT Strom Pipeline'!R59="on hold"))*('MiT Strom Pipeline'!B59&lt;&gt;""))&gt;0,IF(ISNUMBER('MiT Strom Pipeline'!Q59),'MiT Strom Pipeline'!Q59,0),"")</f>
        <v>16233.81</v>
      </c>
      <c r="I128" s="28">
        <f>IF(((('MiT Strom Pipeline'!R59="offered")+('MiT Strom Pipeline'!R59="to be offered")+('MiT Strom Pipeline'!R59="on hold"))*('MiT Strom Pipeline'!B59&lt;&gt;""))&gt;0,IF(ISNUMBER('MiT Strom Pipeline'!O59),'MiT Strom Pipeline'!O59,0),"")</f>
        <v>870.999999999996</v>
      </c>
      <c r="J128" s="27" t="str">
        <f>IF(((('MiT Strom Pipeline'!R59="offered")+('MiT Strom Pipeline'!R59="to be offered")+('MiT Strom Pipeline'!R59="on hold"))*('MiT Strom Pipeline'!B59&lt;&gt;""))&gt;0,'MiT Strom Pipeline'!R59,"")</f>
        <v>offered</v>
      </c>
      <c r="K128" s="29">
        <f>IF(((('MiT Strom Pipeline'!R59="offered")+('MiT Strom Pipeline'!R59="to be offered")+('MiT Strom Pipeline'!R59="on hold"))*('MiT Strom Pipeline'!B59&lt;&gt;""))&gt;0,IF(ISNUMBER('MiT Strom Pipeline'!S59),'MiT Strom Pipeline'!S59,""),"")</f>
        <v>0.5</v>
      </c>
      <c r="L128" s="27" t="str">
        <f>IF(((('MiT Strom Pipeline'!R59="offered")+('MiT Strom Pipeline'!R59="to be offered")+('MiT Strom Pipeline'!R59="on hold"))*('MiT Strom Pipeline'!B59&lt;&gt;""))&gt;0,IF(LEN('MiT Strom Pipeline'!V59)&gt;0,LEFT('MiT Strom Pipeline'!V59,55),""),"")</f>
        <v>Kunde angeschrieben, Offerte erstellt, Kunde hat Offert</v>
      </c>
      <c r="M128" s="22" t="n"/>
      <c r="N128" s="22" t="n"/>
      <c r="O128" s="22" t="n"/>
      <c r="P128" s="22" t="n"/>
      <c r="Q128" s="22" t="n"/>
      <c r="R128" s="22" t="n"/>
      <c r="S128" s="22" t="n"/>
    </row>
    <row r="129" ht="15.75" customHeight="1">
      <c r="A129" s="26">
        <f>IF(((('MiT Strom Pipeline'!R60="offered")+('MiT Strom Pipeline'!R60="to be offered")+('MiT Strom Pipeline'!R60="on hold"))*('MiT Strom Pipeline'!B60&lt;&gt;""))&gt;0,IF(ISNUMBER('MiT Strom Pipeline'!A60),'MiT Strom Pipeline'!A60,""),"")</f>
        <v>50</v>
      </c>
      <c r="B129" s="27" t="str">
        <f>IF(((('MiT Strom Pipeline'!R60="offered")+('MiT Strom Pipeline'!R60="to be offered")+('MiT Strom Pipeline'!R60="on hold"))*('MiT Strom Pipeline'!B60&lt;&gt;""))&gt;0,IF('MiT Strom Pipeline'!B60="","",'MiT Strom Pipeline'!B60),"")</f>
        <v>EIDG AMT Agroscope</v>
      </c>
      <c r="C129" s="27" t="str">
        <f>IF(((('MiT Strom Pipeline'!R60="offered")+('MiT Strom Pipeline'!R60="to be offered")+('MiT Strom Pipeline'!R60="on hold"))*('MiT Strom Pipeline'!B60&lt;&gt;""))&gt;0,IF('MiT Strom Pipeline'!C60="","",'MiT Strom Pipeline'!C60),"")</f>
        <v>ZH</v>
      </c>
      <c r="D129" s="27" t="str">
        <f>IF(((('MiT Strom Pipeline'!R60="offered")+('MiT Strom Pipeline'!R60="to be offered")+('MiT Strom Pipeline'!R60="on hold"))*('MiT Strom Pipeline'!B60&lt;&gt;""))&gt;0,IF('MiT Strom Pipeline'!D60="","",'MiT Strom Pipeline'!D60),"")</f>
        <v>Forschung</v>
      </c>
      <c r="E129" s="27" t="str">
        <f>IF(((('MiT Strom Pipeline'!R60="offered")+('MiT Strom Pipeline'!R60="to be offered")+('MiT Strom Pipeline'!R60="on hold"))*('MiT Strom Pipeline'!B60&lt;&gt;""))&gt;0,IF('MiT Strom Pipeline'!H60="","",'MiT Strom Pipeline'!H60),"")</f>
        <v>Aug</v>
      </c>
      <c r="F129" s="27" t="str">
        <f>IF(((('MiT Strom Pipeline'!R60="offered")+('MiT Strom Pipeline'!R60="to be offered")+('MiT Strom Pipeline'!R60="on hold"))*('MiT Strom Pipeline'!B60&lt;&gt;""))&gt;0,IF('MiT Strom Pipeline'!E60="","",'MiT Strom Pipeline'!E60),"")</f>
        <v>450 kVA</v>
      </c>
      <c r="G129" s="28">
        <f>IF(((('MiT Strom Pipeline'!R60="offered")+('MiT Strom Pipeline'!R60="to be offered")+('MiT Strom Pipeline'!R60="on hold"))*('MiT Strom Pipeline'!B60&lt;&gt;""))&gt;0,IF(ISNUMBER('MiT Strom Pipeline'!I60),'MiT Strom Pipeline'!I60,0),"")</f>
        <v>5257.44</v>
      </c>
      <c r="H129" s="28">
        <f>IF(((('MiT Strom Pipeline'!R60="offered")+('MiT Strom Pipeline'!R60="to be offered")+('MiT Strom Pipeline'!R60="on hold"))*('MiT Strom Pipeline'!B60&lt;&gt;""))&gt;0,IF(ISNUMBER('MiT Strom Pipeline'!Q60),'MiT Strom Pipeline'!Q60,0),"")</f>
        <v>2628.72</v>
      </c>
      <c r="I129" s="28">
        <f>IF(((('MiT Strom Pipeline'!R60="offered")+('MiT Strom Pipeline'!R60="to be offered")+('MiT Strom Pipeline'!R60="on hold"))*('MiT Strom Pipeline'!B60&lt;&gt;""))&gt;0,IF(ISNUMBER('MiT Strom Pipeline'!O60),'MiT Strom Pipeline'!O60,0),"")</f>
        <v>0</v>
      </c>
      <c r="J129" s="27" t="str">
        <f>IF(((('MiT Strom Pipeline'!R60="offered")+('MiT Strom Pipeline'!R60="to be offered")+('MiT Strom Pipeline'!R60="on hold"))*('MiT Strom Pipeline'!B60&lt;&gt;""))&gt;0,'MiT Strom Pipeline'!R60,"")</f>
        <v>offered</v>
      </c>
      <c r="K129" s="29">
        <f>IF(((('MiT Strom Pipeline'!R60="offered")+('MiT Strom Pipeline'!R60="to be offered")+('MiT Strom Pipeline'!R60="on hold"))*('MiT Strom Pipeline'!B60&lt;&gt;""))&gt;0,IF(ISNUMBER('MiT Strom Pipeline'!S60),'MiT Strom Pipeline'!S60,""),"")</f>
        <v>0.5</v>
      </c>
      <c r="L129" s="27" t="str">
        <f>IF(((('MiT Strom Pipeline'!R60="offered")+('MiT Strom Pipeline'!R60="to be offered")+('MiT Strom Pipeline'!R60="on hold"))*('MiT Strom Pipeline'!B60&lt;&gt;""))&gt;0,IF(LEN('MiT Strom Pipeline'!V60)&gt;0,LEFT('MiT Strom Pipeline'!V60,55),""),"")</f>
        <v>Kunde angeschrieben, Offerte erstellt, Kunde hat Offert</v>
      </c>
      <c r="M129" s="22" t="n"/>
      <c r="N129" s="22" t="n"/>
      <c r="O129" s="22" t="n"/>
      <c r="P129" s="22" t="n"/>
      <c r="Q129" s="22" t="n"/>
      <c r="R129" s="22" t="n"/>
      <c r="S129" s="22" t="n"/>
    </row>
    <row r="130" ht="15.75" customHeight="1">
      <c r="A130" s="26">
        <f>IF(((('MiT Strom Pipeline'!R61="offered")+('MiT Strom Pipeline'!R61="to be offered")+('MiT Strom Pipeline'!R61="on hold"))*('MiT Strom Pipeline'!B61&lt;&gt;""))&gt;0,IF(ISNUMBER('MiT Strom Pipeline'!A61),'MiT Strom Pipeline'!A61,""),"")</f>
        <v/>
      </c>
      <c r="B130" s="27">
        <f>IF(((('MiT Strom Pipeline'!R61="offered")+('MiT Strom Pipeline'!R61="to be offered")+('MiT Strom Pipeline'!R61="on hold"))*('MiT Strom Pipeline'!B61&lt;&gt;""))&gt;0,IF('MiT Strom Pipeline'!B61="","",'MiT Strom Pipeline'!B61),"")</f>
        <v/>
      </c>
      <c r="C130" s="27">
        <f>IF(((('MiT Strom Pipeline'!R61="offered")+('MiT Strom Pipeline'!R61="to be offered")+('MiT Strom Pipeline'!R61="on hold"))*('MiT Strom Pipeline'!B61&lt;&gt;""))&gt;0,IF('MiT Strom Pipeline'!C61="","",'MiT Strom Pipeline'!C61),"")</f>
        <v/>
      </c>
      <c r="D130" s="27">
        <f>IF(((('MiT Strom Pipeline'!R61="offered")+('MiT Strom Pipeline'!R61="to be offered")+('MiT Strom Pipeline'!R61="on hold"))*('MiT Strom Pipeline'!B61&lt;&gt;""))&gt;0,IF('MiT Strom Pipeline'!D61="","",'MiT Strom Pipeline'!D61),"")</f>
        <v/>
      </c>
      <c r="E130" s="27">
        <f>IF(((('MiT Strom Pipeline'!R61="offered")+('MiT Strom Pipeline'!R61="to be offered")+('MiT Strom Pipeline'!R61="on hold"))*('MiT Strom Pipeline'!B61&lt;&gt;""))&gt;0,IF('MiT Strom Pipeline'!H61="","",'MiT Strom Pipeline'!H61),"")</f>
        <v/>
      </c>
      <c r="F130" s="27">
        <f>IF(((('MiT Strom Pipeline'!R61="offered")+('MiT Strom Pipeline'!R61="to be offered")+('MiT Strom Pipeline'!R61="on hold"))*('MiT Strom Pipeline'!B61&lt;&gt;""))&gt;0,IF('MiT Strom Pipeline'!E61="","",'MiT Strom Pipeline'!E61),"")</f>
        <v/>
      </c>
      <c r="G130" s="28">
        <f>IF(((('MiT Strom Pipeline'!R61="offered")+('MiT Strom Pipeline'!R61="to be offered")+('MiT Strom Pipeline'!R61="on hold"))*('MiT Strom Pipeline'!B61&lt;&gt;""))&gt;0,IF(ISNUMBER('MiT Strom Pipeline'!I61),'MiT Strom Pipeline'!I61,0),"")</f>
        <v/>
      </c>
      <c r="H130" s="28">
        <f>IF(((('MiT Strom Pipeline'!R61="offered")+('MiT Strom Pipeline'!R61="to be offered")+('MiT Strom Pipeline'!R61="on hold"))*('MiT Strom Pipeline'!B61&lt;&gt;""))&gt;0,IF(ISNUMBER('MiT Strom Pipeline'!Q61),'MiT Strom Pipeline'!Q61,0),"")</f>
        <v/>
      </c>
      <c r="I130" s="28">
        <f>IF(((('MiT Strom Pipeline'!R61="offered")+('MiT Strom Pipeline'!R61="to be offered")+('MiT Strom Pipeline'!R61="on hold"))*('MiT Strom Pipeline'!B61&lt;&gt;""))&gt;0,IF(ISNUMBER('MiT Strom Pipeline'!O61),'MiT Strom Pipeline'!O61,0),"")</f>
        <v/>
      </c>
      <c r="J130" s="27">
        <f>IF(((('MiT Strom Pipeline'!R61="offered")+('MiT Strom Pipeline'!R61="to be offered")+('MiT Strom Pipeline'!R61="on hold"))*('MiT Strom Pipeline'!B61&lt;&gt;""))&gt;0,'MiT Strom Pipeline'!R61,"")</f>
        <v/>
      </c>
      <c r="K130" s="29">
        <f>IF(((('MiT Strom Pipeline'!R61="offered")+('MiT Strom Pipeline'!R61="to be offered")+('MiT Strom Pipeline'!R61="on hold"))*('MiT Strom Pipeline'!B61&lt;&gt;""))&gt;0,IF(ISNUMBER('MiT Strom Pipeline'!S61),'MiT Strom Pipeline'!S61,""),"")</f>
        <v/>
      </c>
      <c r="L130" s="27">
        <f>IF(((('MiT Strom Pipeline'!R61="offered")+('MiT Strom Pipeline'!R61="to be offered")+('MiT Strom Pipeline'!R61="on hold"))*('MiT Strom Pipeline'!B61&lt;&gt;""))&gt;0,IF(LEN('MiT Strom Pipeline'!V61)&gt;0,LEFT('MiT Strom Pipeline'!V61,55),""),"")</f>
        <v/>
      </c>
      <c r="M130" s="22" t="n"/>
      <c r="N130" s="22" t="n"/>
      <c r="O130" s="22" t="n"/>
      <c r="P130" s="22" t="n"/>
      <c r="Q130" s="22" t="n"/>
      <c r="R130" s="22" t="n"/>
      <c r="S130" s="22" t="n"/>
    </row>
    <row r="131" ht="15.75" customHeight="1">
      <c r="A131" s="26">
        <f>IF(((('MiT Strom Pipeline'!R62="offered")+('MiT Strom Pipeline'!R62="to be offered")+('MiT Strom Pipeline'!R62="on hold"))*('MiT Strom Pipeline'!B62&lt;&gt;""))&gt;0,IF(ISNUMBER('MiT Strom Pipeline'!A62),'MiT Strom Pipeline'!A62,""),"")</f>
        <v/>
      </c>
      <c r="B131" s="27">
        <f>IF(((('MiT Strom Pipeline'!R62="offered")+('MiT Strom Pipeline'!R62="to be offered")+('MiT Strom Pipeline'!R62="on hold"))*('MiT Strom Pipeline'!B62&lt;&gt;""))&gt;0,IF('MiT Strom Pipeline'!B62="","",'MiT Strom Pipeline'!B62),"")</f>
        <v/>
      </c>
      <c r="C131" s="27">
        <f>IF(((('MiT Strom Pipeline'!R62="offered")+('MiT Strom Pipeline'!R62="to be offered")+('MiT Strom Pipeline'!R62="on hold"))*('MiT Strom Pipeline'!B62&lt;&gt;""))&gt;0,IF('MiT Strom Pipeline'!C62="","",'MiT Strom Pipeline'!C62),"")</f>
        <v/>
      </c>
      <c r="D131" s="27">
        <f>IF(((('MiT Strom Pipeline'!R62="offered")+('MiT Strom Pipeline'!R62="to be offered")+('MiT Strom Pipeline'!R62="on hold"))*('MiT Strom Pipeline'!B62&lt;&gt;""))&gt;0,IF('MiT Strom Pipeline'!D62="","",'MiT Strom Pipeline'!D62),"")</f>
        <v/>
      </c>
      <c r="E131" s="27">
        <f>IF(((('MiT Strom Pipeline'!R62="offered")+('MiT Strom Pipeline'!R62="to be offered")+('MiT Strom Pipeline'!R62="on hold"))*('MiT Strom Pipeline'!B62&lt;&gt;""))&gt;0,IF('MiT Strom Pipeline'!H62="","",'MiT Strom Pipeline'!H62),"")</f>
        <v/>
      </c>
      <c r="F131" s="27">
        <f>IF(((('MiT Strom Pipeline'!R62="offered")+('MiT Strom Pipeline'!R62="to be offered")+('MiT Strom Pipeline'!R62="on hold"))*('MiT Strom Pipeline'!B62&lt;&gt;""))&gt;0,IF('MiT Strom Pipeline'!E62="","",'MiT Strom Pipeline'!E62),"")</f>
        <v/>
      </c>
      <c r="G131" s="28">
        <f>IF(((('MiT Strom Pipeline'!R62="offered")+('MiT Strom Pipeline'!R62="to be offered")+('MiT Strom Pipeline'!R62="on hold"))*('MiT Strom Pipeline'!B62&lt;&gt;""))&gt;0,IF(ISNUMBER('MiT Strom Pipeline'!I62),'MiT Strom Pipeline'!I62,0),"")</f>
        <v/>
      </c>
      <c r="H131" s="28">
        <f>IF(((('MiT Strom Pipeline'!R62="offered")+('MiT Strom Pipeline'!R62="to be offered")+('MiT Strom Pipeline'!R62="on hold"))*('MiT Strom Pipeline'!B62&lt;&gt;""))&gt;0,IF(ISNUMBER('MiT Strom Pipeline'!Q62),'MiT Strom Pipeline'!Q62,0),"")</f>
        <v/>
      </c>
      <c r="I131" s="28">
        <f>IF(((('MiT Strom Pipeline'!R62="offered")+('MiT Strom Pipeline'!R62="to be offered")+('MiT Strom Pipeline'!R62="on hold"))*('MiT Strom Pipeline'!B62&lt;&gt;""))&gt;0,IF(ISNUMBER('MiT Strom Pipeline'!O62),'MiT Strom Pipeline'!O62,0),"")</f>
        <v/>
      </c>
      <c r="J131" s="27">
        <f>IF(((('MiT Strom Pipeline'!R62="offered")+('MiT Strom Pipeline'!R62="to be offered")+('MiT Strom Pipeline'!R62="on hold"))*('MiT Strom Pipeline'!B62&lt;&gt;""))&gt;0,'MiT Strom Pipeline'!R62,"")</f>
        <v/>
      </c>
      <c r="K131" s="29">
        <f>IF(((('MiT Strom Pipeline'!R62="offered")+('MiT Strom Pipeline'!R62="to be offered")+('MiT Strom Pipeline'!R62="on hold"))*('MiT Strom Pipeline'!B62&lt;&gt;""))&gt;0,IF(ISNUMBER('MiT Strom Pipeline'!S62),'MiT Strom Pipeline'!S62,""),"")</f>
        <v/>
      </c>
      <c r="L131" s="27">
        <f>IF(((('MiT Strom Pipeline'!R62="offered")+('MiT Strom Pipeline'!R62="to be offered")+('MiT Strom Pipeline'!R62="on hold"))*('MiT Strom Pipeline'!B62&lt;&gt;""))&gt;0,IF(LEN('MiT Strom Pipeline'!V62)&gt;0,LEFT('MiT Strom Pipeline'!V62,55),""),"")</f>
        <v/>
      </c>
      <c r="M131" s="22" t="n"/>
      <c r="N131" s="22" t="n"/>
      <c r="O131" s="22" t="n"/>
      <c r="P131" s="22" t="n"/>
      <c r="Q131" s="22" t="n"/>
      <c r="R131" s="22" t="n"/>
      <c r="S131" s="22" t="n"/>
    </row>
    <row r="132" ht="15.75" customHeight="1">
      <c r="A132" s="26">
        <f>IF(((('MiT Strom Pipeline'!R63="offered")+('MiT Strom Pipeline'!R63="to be offered")+('MiT Strom Pipeline'!R63="on hold"))*('MiT Strom Pipeline'!B63&lt;&gt;""))&gt;0,IF(ISNUMBER('MiT Strom Pipeline'!A63),'MiT Strom Pipeline'!A63,""),"")</f>
        <v/>
      </c>
      <c r="B132" s="27">
        <f>IF(((('MiT Strom Pipeline'!R63="offered")+('MiT Strom Pipeline'!R63="to be offered")+('MiT Strom Pipeline'!R63="on hold"))*('MiT Strom Pipeline'!B63&lt;&gt;""))&gt;0,IF('MiT Strom Pipeline'!B63="","",'MiT Strom Pipeline'!B63),"")</f>
        <v/>
      </c>
      <c r="C132" s="27">
        <f>IF(((('MiT Strom Pipeline'!R63="offered")+('MiT Strom Pipeline'!R63="to be offered")+('MiT Strom Pipeline'!R63="on hold"))*('MiT Strom Pipeline'!B63&lt;&gt;""))&gt;0,IF('MiT Strom Pipeline'!C63="","",'MiT Strom Pipeline'!C63),"")</f>
        <v/>
      </c>
      <c r="D132" s="27">
        <f>IF(((('MiT Strom Pipeline'!R63="offered")+('MiT Strom Pipeline'!R63="to be offered")+('MiT Strom Pipeline'!R63="on hold"))*('MiT Strom Pipeline'!B63&lt;&gt;""))&gt;0,IF('MiT Strom Pipeline'!D63="","",'MiT Strom Pipeline'!D63),"")</f>
        <v/>
      </c>
      <c r="E132" s="27">
        <f>IF(((('MiT Strom Pipeline'!R63="offered")+('MiT Strom Pipeline'!R63="to be offered")+('MiT Strom Pipeline'!R63="on hold"))*('MiT Strom Pipeline'!B63&lt;&gt;""))&gt;0,IF('MiT Strom Pipeline'!H63="","",'MiT Strom Pipeline'!H63),"")</f>
        <v/>
      </c>
      <c r="F132" s="27">
        <f>IF(((('MiT Strom Pipeline'!R63="offered")+('MiT Strom Pipeline'!R63="to be offered")+('MiT Strom Pipeline'!R63="on hold"))*('MiT Strom Pipeline'!B63&lt;&gt;""))&gt;0,IF('MiT Strom Pipeline'!E63="","",'MiT Strom Pipeline'!E63),"")</f>
        <v/>
      </c>
      <c r="G132" s="28">
        <f>IF(((('MiT Strom Pipeline'!R63="offered")+('MiT Strom Pipeline'!R63="to be offered")+('MiT Strom Pipeline'!R63="on hold"))*('MiT Strom Pipeline'!B63&lt;&gt;""))&gt;0,IF(ISNUMBER('MiT Strom Pipeline'!I63),'MiT Strom Pipeline'!I63,0),"")</f>
        <v/>
      </c>
      <c r="H132" s="28">
        <f>IF(((('MiT Strom Pipeline'!R63="offered")+('MiT Strom Pipeline'!R63="to be offered")+('MiT Strom Pipeline'!R63="on hold"))*('MiT Strom Pipeline'!B63&lt;&gt;""))&gt;0,IF(ISNUMBER('MiT Strom Pipeline'!Q63),'MiT Strom Pipeline'!Q63,0),"")</f>
        <v/>
      </c>
      <c r="I132" s="28">
        <f>IF(((('MiT Strom Pipeline'!R63="offered")+('MiT Strom Pipeline'!R63="to be offered")+('MiT Strom Pipeline'!R63="on hold"))*('MiT Strom Pipeline'!B63&lt;&gt;""))&gt;0,IF(ISNUMBER('MiT Strom Pipeline'!O63),'MiT Strom Pipeline'!O63,0),"")</f>
        <v/>
      </c>
      <c r="J132" s="27">
        <f>IF(((('MiT Strom Pipeline'!R63="offered")+('MiT Strom Pipeline'!R63="to be offered")+('MiT Strom Pipeline'!R63="on hold"))*('MiT Strom Pipeline'!B63&lt;&gt;""))&gt;0,'MiT Strom Pipeline'!R63,"")</f>
        <v/>
      </c>
      <c r="K132" s="29">
        <f>IF(((('MiT Strom Pipeline'!R63="offered")+('MiT Strom Pipeline'!R63="to be offered")+('MiT Strom Pipeline'!R63="on hold"))*('MiT Strom Pipeline'!B63&lt;&gt;""))&gt;0,IF(ISNUMBER('MiT Strom Pipeline'!S63),'MiT Strom Pipeline'!S63,""),"")</f>
        <v/>
      </c>
      <c r="L132" s="27">
        <f>IF(((('MiT Strom Pipeline'!R63="offered")+('MiT Strom Pipeline'!R63="to be offered")+('MiT Strom Pipeline'!R63="on hold"))*('MiT Strom Pipeline'!B63&lt;&gt;""))&gt;0,IF(LEN('MiT Strom Pipeline'!V63)&gt;0,LEFT('MiT Strom Pipeline'!V63,55),""),"")</f>
        <v/>
      </c>
      <c r="M132" s="22" t="n"/>
      <c r="N132" s="22" t="n"/>
      <c r="O132" s="22" t="n"/>
      <c r="P132" s="22" t="n"/>
      <c r="Q132" s="22" t="n"/>
      <c r="R132" s="22" t="n"/>
      <c r="S132" s="22" t="n"/>
    </row>
    <row r="133" ht="15.75" customHeight="1">
      <c r="A133" s="26">
        <f>IF(((('MiT Strom Pipeline'!R64="offered")+('MiT Strom Pipeline'!R64="to be offered")+('MiT Strom Pipeline'!R64="on hold"))*('MiT Strom Pipeline'!B64&lt;&gt;""))&gt;0,IF(ISNUMBER('MiT Strom Pipeline'!A64),'MiT Strom Pipeline'!A64,""),"")</f>
        <v/>
      </c>
      <c r="B133" s="27">
        <f>IF(((('MiT Strom Pipeline'!R64="offered")+('MiT Strom Pipeline'!R64="to be offered")+('MiT Strom Pipeline'!R64="on hold"))*('MiT Strom Pipeline'!B64&lt;&gt;""))&gt;0,IF('MiT Strom Pipeline'!B64="","",'MiT Strom Pipeline'!B64),"")</f>
        <v/>
      </c>
      <c r="C133" s="27">
        <f>IF(((('MiT Strom Pipeline'!R64="offered")+('MiT Strom Pipeline'!R64="to be offered")+('MiT Strom Pipeline'!R64="on hold"))*('MiT Strom Pipeline'!B64&lt;&gt;""))&gt;0,IF('MiT Strom Pipeline'!C64="","",'MiT Strom Pipeline'!C64),"")</f>
        <v/>
      </c>
      <c r="D133" s="27">
        <f>IF(((('MiT Strom Pipeline'!R64="offered")+('MiT Strom Pipeline'!R64="to be offered")+('MiT Strom Pipeline'!R64="on hold"))*('MiT Strom Pipeline'!B64&lt;&gt;""))&gt;0,IF('MiT Strom Pipeline'!D64="","",'MiT Strom Pipeline'!D64),"")</f>
        <v/>
      </c>
      <c r="E133" s="27">
        <f>IF(((('MiT Strom Pipeline'!R64="offered")+('MiT Strom Pipeline'!R64="to be offered")+('MiT Strom Pipeline'!R64="on hold"))*('MiT Strom Pipeline'!B64&lt;&gt;""))&gt;0,IF('MiT Strom Pipeline'!H64="","",'MiT Strom Pipeline'!H64),"")</f>
        <v/>
      </c>
      <c r="F133" s="27">
        <f>IF(((('MiT Strom Pipeline'!R64="offered")+('MiT Strom Pipeline'!R64="to be offered")+('MiT Strom Pipeline'!R64="on hold"))*('MiT Strom Pipeline'!B64&lt;&gt;""))&gt;0,IF('MiT Strom Pipeline'!E64="","",'MiT Strom Pipeline'!E64),"")</f>
        <v/>
      </c>
      <c r="G133" s="28">
        <f>IF(((('MiT Strom Pipeline'!R64="offered")+('MiT Strom Pipeline'!R64="to be offered")+('MiT Strom Pipeline'!R64="on hold"))*('MiT Strom Pipeline'!B64&lt;&gt;""))&gt;0,IF(ISNUMBER('MiT Strom Pipeline'!I64),'MiT Strom Pipeline'!I64,0),"")</f>
        <v/>
      </c>
      <c r="H133" s="28">
        <f>IF(((('MiT Strom Pipeline'!R64="offered")+('MiT Strom Pipeline'!R64="to be offered")+('MiT Strom Pipeline'!R64="on hold"))*('MiT Strom Pipeline'!B64&lt;&gt;""))&gt;0,IF(ISNUMBER('MiT Strom Pipeline'!Q64),'MiT Strom Pipeline'!Q64,0),"")</f>
        <v/>
      </c>
      <c r="I133" s="28">
        <f>IF(((('MiT Strom Pipeline'!R64="offered")+('MiT Strom Pipeline'!R64="to be offered")+('MiT Strom Pipeline'!R64="on hold"))*('MiT Strom Pipeline'!B64&lt;&gt;""))&gt;0,IF(ISNUMBER('MiT Strom Pipeline'!O64),'MiT Strom Pipeline'!O64,0),"")</f>
        <v/>
      </c>
      <c r="J133" s="27">
        <f>IF(((('MiT Strom Pipeline'!R64="offered")+('MiT Strom Pipeline'!R64="to be offered")+('MiT Strom Pipeline'!R64="on hold"))*('MiT Strom Pipeline'!B64&lt;&gt;""))&gt;0,'MiT Strom Pipeline'!R64,"")</f>
        <v/>
      </c>
      <c r="K133" s="29">
        <f>IF(((('MiT Strom Pipeline'!R64="offered")+('MiT Strom Pipeline'!R64="to be offered")+('MiT Strom Pipeline'!R64="on hold"))*('MiT Strom Pipeline'!B64&lt;&gt;""))&gt;0,IF(ISNUMBER('MiT Strom Pipeline'!S64),'MiT Strom Pipeline'!S64,""),"")</f>
        <v/>
      </c>
      <c r="L133" s="27">
        <f>IF(((('MiT Strom Pipeline'!R64="offered")+('MiT Strom Pipeline'!R64="to be offered")+('MiT Strom Pipeline'!R64="on hold"))*('MiT Strom Pipeline'!B64&lt;&gt;""))&gt;0,IF(LEN('MiT Strom Pipeline'!V64)&gt;0,LEFT('MiT Strom Pipeline'!V64,55),""),"")</f>
        <v/>
      </c>
      <c r="M133" s="22" t="n"/>
      <c r="N133" s="22" t="n"/>
      <c r="O133" s="22" t="n"/>
      <c r="P133" s="22" t="n"/>
      <c r="Q133" s="22" t="n"/>
      <c r="R133" s="22" t="n"/>
      <c r="S133" s="22" t="n"/>
    </row>
    <row r="134" ht="15.75" customHeight="1">
      <c r="A134" s="26">
        <f>IF(((('MiT Strom Pipeline'!R65="offered")+('MiT Strom Pipeline'!R65="to be offered")+('MiT Strom Pipeline'!R65="on hold"))*('MiT Strom Pipeline'!B65&lt;&gt;""))&gt;0,IF(ISNUMBER('MiT Strom Pipeline'!A65),'MiT Strom Pipeline'!A65,""),"")</f>
        <v/>
      </c>
      <c r="B134" s="27">
        <f>IF(((('MiT Strom Pipeline'!R65="offered")+('MiT Strom Pipeline'!R65="to be offered")+('MiT Strom Pipeline'!R65="on hold"))*('MiT Strom Pipeline'!B65&lt;&gt;""))&gt;0,IF('MiT Strom Pipeline'!B65="","",'MiT Strom Pipeline'!B65),"")</f>
        <v/>
      </c>
      <c r="C134" s="27">
        <f>IF(((('MiT Strom Pipeline'!R65="offered")+('MiT Strom Pipeline'!R65="to be offered")+('MiT Strom Pipeline'!R65="on hold"))*('MiT Strom Pipeline'!B65&lt;&gt;""))&gt;0,IF('MiT Strom Pipeline'!C65="","",'MiT Strom Pipeline'!C65),"")</f>
        <v/>
      </c>
      <c r="D134" s="27">
        <f>IF(((('MiT Strom Pipeline'!R65="offered")+('MiT Strom Pipeline'!R65="to be offered")+('MiT Strom Pipeline'!R65="on hold"))*('MiT Strom Pipeline'!B65&lt;&gt;""))&gt;0,IF('MiT Strom Pipeline'!D65="","",'MiT Strom Pipeline'!D65),"")</f>
        <v/>
      </c>
      <c r="E134" s="27">
        <f>IF(((('MiT Strom Pipeline'!R65="offered")+('MiT Strom Pipeline'!R65="to be offered")+('MiT Strom Pipeline'!R65="on hold"))*('MiT Strom Pipeline'!B65&lt;&gt;""))&gt;0,IF('MiT Strom Pipeline'!H65="","",'MiT Strom Pipeline'!H65),"")</f>
        <v/>
      </c>
      <c r="F134" s="27">
        <f>IF(((('MiT Strom Pipeline'!R65="offered")+('MiT Strom Pipeline'!R65="to be offered")+('MiT Strom Pipeline'!R65="on hold"))*('MiT Strom Pipeline'!B65&lt;&gt;""))&gt;0,IF('MiT Strom Pipeline'!E65="","",'MiT Strom Pipeline'!E65),"")</f>
        <v/>
      </c>
      <c r="G134" s="28">
        <f>IF(((('MiT Strom Pipeline'!R65="offered")+('MiT Strom Pipeline'!R65="to be offered")+('MiT Strom Pipeline'!R65="on hold"))*('MiT Strom Pipeline'!B65&lt;&gt;""))&gt;0,IF(ISNUMBER('MiT Strom Pipeline'!I65),'MiT Strom Pipeline'!I65,0),"")</f>
        <v/>
      </c>
      <c r="H134" s="28">
        <f>IF(((('MiT Strom Pipeline'!R65="offered")+('MiT Strom Pipeline'!R65="to be offered")+('MiT Strom Pipeline'!R65="on hold"))*('MiT Strom Pipeline'!B65&lt;&gt;""))&gt;0,IF(ISNUMBER('MiT Strom Pipeline'!Q65),'MiT Strom Pipeline'!Q65,0),"")</f>
        <v/>
      </c>
      <c r="I134" s="28">
        <f>IF(((('MiT Strom Pipeline'!R65="offered")+('MiT Strom Pipeline'!R65="to be offered")+('MiT Strom Pipeline'!R65="on hold"))*('MiT Strom Pipeline'!B65&lt;&gt;""))&gt;0,IF(ISNUMBER('MiT Strom Pipeline'!O65),'MiT Strom Pipeline'!O65,0),"")</f>
        <v/>
      </c>
      <c r="J134" s="27">
        <f>IF(((('MiT Strom Pipeline'!R65="offered")+('MiT Strom Pipeline'!R65="to be offered")+('MiT Strom Pipeline'!R65="on hold"))*('MiT Strom Pipeline'!B65&lt;&gt;""))&gt;0,'MiT Strom Pipeline'!R65,"")</f>
        <v/>
      </c>
      <c r="K134" s="29">
        <f>IF(((('MiT Strom Pipeline'!R65="offered")+('MiT Strom Pipeline'!R65="to be offered")+('MiT Strom Pipeline'!R65="on hold"))*('MiT Strom Pipeline'!B65&lt;&gt;""))&gt;0,IF(ISNUMBER('MiT Strom Pipeline'!S65),'MiT Strom Pipeline'!S65,""),"")</f>
        <v/>
      </c>
      <c r="L134" s="27">
        <f>IF(((('MiT Strom Pipeline'!R65="offered")+('MiT Strom Pipeline'!R65="to be offered")+('MiT Strom Pipeline'!R65="on hold"))*('MiT Strom Pipeline'!B65&lt;&gt;""))&gt;0,IF(LEN('MiT Strom Pipeline'!V65)&gt;0,LEFT('MiT Strom Pipeline'!V65,55),""),"")</f>
        <v/>
      </c>
      <c r="M134" s="22" t="n"/>
      <c r="N134" s="22" t="n"/>
      <c r="O134" s="22" t="n"/>
      <c r="P134" s="22" t="n"/>
      <c r="Q134" s="22" t="n"/>
      <c r="R134" s="22" t="n"/>
      <c r="S134" s="22" t="n"/>
    </row>
    <row r="135" ht="21.75" customHeight="1">
      <c r="A135" s="26">
        <f>IF(((('MiT Strom Pipeline'!R66="offered")+('MiT Strom Pipeline'!R66="to be offered")+('MiT Strom Pipeline'!R66="on hold"))*('MiT Strom Pipeline'!B66&lt;&gt;""))&gt;0,IF(ISNUMBER('MiT Strom Pipeline'!A66),'MiT Strom Pipeline'!A66,""),"")</f>
        <v/>
      </c>
      <c r="B135" s="27">
        <f>IF(((('MiT Strom Pipeline'!R66="offered")+('MiT Strom Pipeline'!R66="to be offered")+('MiT Strom Pipeline'!R66="on hold"))*('MiT Strom Pipeline'!B66&lt;&gt;""))&gt;0,IF('MiT Strom Pipeline'!B66="","",'MiT Strom Pipeline'!B66),"")</f>
        <v/>
      </c>
      <c r="C135" s="27">
        <f>IF(((('MiT Strom Pipeline'!R66="offered")+('MiT Strom Pipeline'!R66="to be offered")+('MiT Strom Pipeline'!R66="on hold"))*('MiT Strom Pipeline'!B66&lt;&gt;""))&gt;0,IF('MiT Strom Pipeline'!C66="","",'MiT Strom Pipeline'!C66),"")</f>
        <v/>
      </c>
      <c r="D135" s="27">
        <f>IF(((('MiT Strom Pipeline'!R66="offered")+('MiT Strom Pipeline'!R66="to be offered")+('MiT Strom Pipeline'!R66="on hold"))*('MiT Strom Pipeline'!B66&lt;&gt;""))&gt;0,IF('MiT Strom Pipeline'!D66="","",'MiT Strom Pipeline'!D66),"")</f>
        <v/>
      </c>
      <c r="E135" s="27">
        <f>IF(((('MiT Strom Pipeline'!R66="offered")+('MiT Strom Pipeline'!R66="to be offered")+('MiT Strom Pipeline'!R66="on hold"))*('MiT Strom Pipeline'!B66&lt;&gt;""))&gt;0,IF('MiT Strom Pipeline'!H66="","",'MiT Strom Pipeline'!H66),"")</f>
        <v/>
      </c>
      <c r="F135" s="27">
        <f>IF(((('MiT Strom Pipeline'!R66="offered")+('MiT Strom Pipeline'!R66="to be offered")+('MiT Strom Pipeline'!R66="on hold"))*('MiT Strom Pipeline'!B66&lt;&gt;""))&gt;0,IF('MiT Strom Pipeline'!E66="","",'MiT Strom Pipeline'!E66),"")</f>
        <v/>
      </c>
      <c r="G135" s="28">
        <f>IF(((('MiT Strom Pipeline'!R66="offered")+('MiT Strom Pipeline'!R66="to be offered")+('MiT Strom Pipeline'!R66="on hold"))*('MiT Strom Pipeline'!B66&lt;&gt;""))&gt;0,IF(ISNUMBER('MiT Strom Pipeline'!I66),'MiT Strom Pipeline'!I66,0),"")</f>
        <v/>
      </c>
      <c r="H135" s="28">
        <f>IF(((('MiT Strom Pipeline'!R66="offered")+('MiT Strom Pipeline'!R66="to be offered")+('MiT Strom Pipeline'!R66="on hold"))*('MiT Strom Pipeline'!B66&lt;&gt;""))&gt;0,IF(ISNUMBER('MiT Strom Pipeline'!Q66),'MiT Strom Pipeline'!Q66,0),"")</f>
        <v/>
      </c>
      <c r="I135" s="28">
        <f>IF(((('MiT Strom Pipeline'!R66="offered")+('MiT Strom Pipeline'!R66="to be offered")+('MiT Strom Pipeline'!R66="on hold"))*('MiT Strom Pipeline'!B66&lt;&gt;""))&gt;0,IF(ISNUMBER('MiT Strom Pipeline'!O66),'MiT Strom Pipeline'!O66,0),"")</f>
        <v/>
      </c>
      <c r="J135" s="27">
        <f>IF(((('MiT Strom Pipeline'!R66="offered")+('MiT Strom Pipeline'!R66="to be offered")+('MiT Strom Pipeline'!R66="on hold"))*('MiT Strom Pipeline'!B66&lt;&gt;""))&gt;0,'MiT Strom Pipeline'!R66,"")</f>
        <v/>
      </c>
      <c r="K135" s="29">
        <f>IF(((('MiT Strom Pipeline'!R66="offered")+('MiT Strom Pipeline'!R66="to be offered")+('MiT Strom Pipeline'!R66="on hold"))*('MiT Strom Pipeline'!B66&lt;&gt;""))&gt;0,IF(ISNUMBER('MiT Strom Pipeline'!S66),'MiT Strom Pipeline'!S66,""),"")</f>
        <v/>
      </c>
      <c r="L135" s="27">
        <f>IF(((('MiT Strom Pipeline'!R66="offered")+('MiT Strom Pipeline'!R66="to be offered")+('MiT Strom Pipeline'!R66="on hold"))*('MiT Strom Pipeline'!B66&lt;&gt;""))&gt;0,IF(LEN('MiT Strom Pipeline'!V66)&gt;0,LEFT('MiT Strom Pipeline'!V66,55),""),"")</f>
        <v/>
      </c>
      <c r="M135" s="22" t="n"/>
      <c r="N135" s="22" t="n"/>
      <c r="O135" s="22" t="n"/>
      <c r="P135" s="22" t="n"/>
      <c r="Q135" s="22" t="n"/>
      <c r="R135" s="22" t="n"/>
      <c r="S135" s="22" t="n"/>
    </row>
    <row r="136" ht="3.75" customHeight="1">
      <c r="A136" s="26">
        <f>IF(((('MiT Strom Pipeline'!R67="offered")+('MiT Strom Pipeline'!R67="to be offered")+('MiT Strom Pipeline'!R67="on hold"))*('MiT Strom Pipeline'!B67&lt;&gt;""))&gt;0,IF(ISNUMBER('MiT Strom Pipeline'!A67),'MiT Strom Pipeline'!A67,""),"")</f>
        <v/>
      </c>
      <c r="B136" s="27">
        <f>IF(((('MiT Strom Pipeline'!R67="offered")+('MiT Strom Pipeline'!R67="to be offered")+('MiT Strom Pipeline'!R67="on hold"))*('MiT Strom Pipeline'!B67&lt;&gt;""))&gt;0,IF('MiT Strom Pipeline'!B67="","",'MiT Strom Pipeline'!B67),"")</f>
        <v/>
      </c>
      <c r="C136" s="27">
        <f>IF(((('MiT Strom Pipeline'!R67="offered")+('MiT Strom Pipeline'!R67="to be offered")+('MiT Strom Pipeline'!R67="on hold"))*('MiT Strom Pipeline'!B67&lt;&gt;""))&gt;0,IF('MiT Strom Pipeline'!C67="","",'MiT Strom Pipeline'!C67),"")</f>
        <v/>
      </c>
      <c r="D136" s="27">
        <f>IF(((('MiT Strom Pipeline'!R67="offered")+('MiT Strom Pipeline'!R67="to be offered")+('MiT Strom Pipeline'!R67="on hold"))*('MiT Strom Pipeline'!B67&lt;&gt;""))&gt;0,IF('MiT Strom Pipeline'!D67="","",'MiT Strom Pipeline'!D67),"")</f>
        <v/>
      </c>
      <c r="E136" s="27">
        <f>IF(((('MiT Strom Pipeline'!R67="offered")+('MiT Strom Pipeline'!R67="to be offered")+('MiT Strom Pipeline'!R67="on hold"))*('MiT Strom Pipeline'!B67&lt;&gt;""))&gt;0,IF('MiT Strom Pipeline'!H67="","",'MiT Strom Pipeline'!H67),"")</f>
        <v/>
      </c>
      <c r="F136" s="27">
        <f>IF(((('MiT Strom Pipeline'!R67="offered")+('MiT Strom Pipeline'!R67="to be offered")+('MiT Strom Pipeline'!R67="on hold"))*('MiT Strom Pipeline'!B67&lt;&gt;""))&gt;0,IF('MiT Strom Pipeline'!E67="","",'MiT Strom Pipeline'!E67),"")</f>
        <v/>
      </c>
      <c r="G136" s="28">
        <f>IF(((('MiT Strom Pipeline'!R67="offered")+('MiT Strom Pipeline'!R67="to be offered")+('MiT Strom Pipeline'!R67="on hold"))*('MiT Strom Pipeline'!B67&lt;&gt;""))&gt;0,IF(ISNUMBER('MiT Strom Pipeline'!I67),'MiT Strom Pipeline'!I67,0),"")</f>
        <v/>
      </c>
      <c r="H136" s="28">
        <f>IF(((('MiT Strom Pipeline'!R67="offered")+('MiT Strom Pipeline'!R67="to be offered")+('MiT Strom Pipeline'!R67="on hold"))*('MiT Strom Pipeline'!B67&lt;&gt;""))&gt;0,IF(ISNUMBER('MiT Strom Pipeline'!Q67),'MiT Strom Pipeline'!Q67,0),"")</f>
        <v/>
      </c>
      <c r="I136" s="28">
        <f>IF(((('MiT Strom Pipeline'!R67="offered")+('MiT Strom Pipeline'!R67="to be offered")+('MiT Strom Pipeline'!R67="on hold"))*('MiT Strom Pipeline'!B67&lt;&gt;""))&gt;0,IF(ISNUMBER('MiT Strom Pipeline'!O67),'MiT Strom Pipeline'!O67,0),"")</f>
        <v/>
      </c>
      <c r="J136" s="27">
        <f>IF(((('MiT Strom Pipeline'!R67="offered")+('MiT Strom Pipeline'!R67="to be offered")+('MiT Strom Pipeline'!R67="on hold"))*('MiT Strom Pipeline'!B67&lt;&gt;""))&gt;0,'MiT Strom Pipeline'!R67,"")</f>
        <v/>
      </c>
      <c r="K136" s="29">
        <f>IF(((('MiT Strom Pipeline'!R67="offered")+('MiT Strom Pipeline'!R67="to be offered")+('MiT Strom Pipeline'!R67="on hold"))*('MiT Strom Pipeline'!B67&lt;&gt;""))&gt;0,IF(ISNUMBER('MiT Strom Pipeline'!S67),'MiT Strom Pipeline'!S67,""),"")</f>
        <v/>
      </c>
      <c r="L136" s="27">
        <f>IF(((('MiT Strom Pipeline'!R67="offered")+('MiT Strom Pipeline'!R67="to be offered")+('MiT Strom Pipeline'!R67="on hold"))*('MiT Strom Pipeline'!B67&lt;&gt;""))&gt;0,IF(LEN('MiT Strom Pipeline'!V67)&gt;0,LEFT('MiT Strom Pipeline'!V67,55),""),"")</f>
        <v/>
      </c>
      <c r="M136" s="22" t="n"/>
      <c r="N136" s="22" t="n"/>
      <c r="O136" s="22" t="n"/>
      <c r="P136" s="22" t="n"/>
      <c r="Q136" s="22" t="n"/>
      <c r="R136" s="22" t="n"/>
      <c r="S136" s="22" t="n"/>
    </row>
    <row r="137" ht="24" customHeight="1">
      <c r="A137" s="142" t="inlineStr">
        <is>
          <t>🎯  3. OPPORTUNITÄT — Qualifizierte Leads</t>
        </is>
      </c>
      <c r="B137" s="189" t="n"/>
      <c r="C137" s="189" t="n"/>
      <c r="D137" s="189" t="n"/>
      <c r="E137" s="189" t="n"/>
      <c r="F137" s="189" t="n"/>
      <c r="G137" s="189" t="n"/>
      <c r="H137" s="189" t="n"/>
      <c r="I137" s="189" t="n"/>
      <c r="J137" s="189" t="n"/>
      <c r="K137" s="189" t="n"/>
      <c r="L137" s="190" t="n"/>
      <c r="M137" s="22" t="n"/>
      <c r="N137" s="22" t="n"/>
      <c r="O137" s="22" t="n"/>
      <c r="P137" s="22" t="n"/>
      <c r="Q137" s="22" t="n"/>
      <c r="R137" s="22" t="n"/>
      <c r="S137" s="22" t="n"/>
    </row>
    <row r="138" ht="19.5" customHeight="1">
      <c r="A138" s="25" t="inlineStr">
        <is>
          <t>#</t>
        </is>
      </c>
      <c r="B138" s="25" t="inlineStr">
        <is>
          <t>Kunde / Unternehmen</t>
        </is>
      </c>
      <c r="C138" s="25" t="inlineStr">
        <is>
          <t>Kt.</t>
        </is>
      </c>
      <c r="D138" s="25" t="inlineStr">
        <is>
          <t>Segment</t>
        </is>
      </c>
      <c r="E138" s="25" t="inlineStr">
        <is>
          <t>Start</t>
        </is>
      </c>
      <c r="F138" s="25" t="inlineStr">
        <is>
          <t>Leistung / Fleet</t>
        </is>
      </c>
      <c r="G138" s="25" t="inlineStr">
        <is>
          <t>Volumen CHF</t>
        </is>
      </c>
      <c r="H138" s="25" t="inlineStr">
        <is>
          <t>Gew.Wert CHF</t>
        </is>
      </c>
      <c r="I138" s="25" t="inlineStr">
        <is>
          <t>Marge CHF</t>
        </is>
      </c>
      <c r="J138" s="25" t="inlineStr">
        <is>
          <t>Status</t>
        </is>
      </c>
      <c r="K138" s="25" t="inlineStr">
        <is>
          <t>Wahr.%</t>
        </is>
      </c>
      <c r="L138" s="25" t="inlineStr">
        <is>
          <t>Nächster Schritt</t>
        </is>
      </c>
      <c r="M138" s="22" t="n"/>
      <c r="N138" s="22" t="n"/>
      <c r="O138" s="22" t="n"/>
      <c r="P138" s="22" t="n"/>
      <c r="Q138" s="22" t="n"/>
      <c r="R138" s="22" t="n"/>
      <c r="S138" s="22" t="n"/>
    </row>
    <row r="139" hidden="1" ht="15.75" customHeight="1">
      <c r="A139" s="26">
        <f>IF(((('MiT Strom Pipeline'!R6="follow-up")+('MiT Strom Pipeline'!R6="Evaluation")+('MiT Strom Pipeline'!R6="tbd")+('MiT Strom Pipeline'!R6="In evaluation"))*('MiT Strom Pipeline'!B6&lt;&gt;""))&gt;0,IF(ISNUMBER('MiT Strom Pipeline'!A6),'MiT Strom Pipeline'!A6,""),"")</f>
        <v>6</v>
      </c>
      <c r="B139" s="27" t="str">
        <f>IF(((('MiT Strom Pipeline'!R6="follow-up")+('MiT Strom Pipeline'!R6="Evaluation")+('MiT Strom Pipeline'!R6="tbd")+('MiT Strom Pipeline'!R6="In evaluation"))*('MiT Strom Pipeline'!B6&lt;&gt;""))&gt;0,IF('MiT Strom Pipeline'!B6="","",'MiT Strom Pipeline'!B6),"")</f>
        <v>Wincasa Solothurn</v>
      </c>
      <c r="C139" s="27" t="str">
        <f>IF(((('MiT Strom Pipeline'!R6="follow-up")+('MiT Strom Pipeline'!R6="Evaluation")+('MiT Strom Pipeline'!R6="tbd")+('MiT Strom Pipeline'!R6="In evaluation"))*('MiT Strom Pipeline'!B6&lt;&gt;""))&gt;0,IF('MiT Strom Pipeline'!C6="","",'MiT Strom Pipeline'!C6),"")</f>
        <v>SO</v>
      </c>
      <c r="D139" s="27" t="str">
        <f>IF(((('MiT Strom Pipeline'!R6="follow-up")+('MiT Strom Pipeline'!R6="Evaluation")+('MiT Strom Pipeline'!R6="tbd")+('MiT Strom Pipeline'!R6="In evaluation"))*('MiT Strom Pipeline'!B6&lt;&gt;""))&gt;0,IF('MiT Strom Pipeline'!D6="","",'MiT Strom Pipeline'!D6),"")</f>
        <v>Immobilien / FM</v>
      </c>
      <c r="E139" s="27" t="str">
        <f>IF(((('MiT Strom Pipeline'!R6="follow-up")+('MiT Strom Pipeline'!R6="Evaluation")+('MiT Strom Pipeline'!R6="tbd")+('MiT Strom Pipeline'!R6="In evaluation"))*('MiT Strom Pipeline'!B6&lt;&gt;""))&gt;0,IF('MiT Strom Pipeline'!H6="","",'MiT Strom Pipeline'!H6),"")</f>
        <v>Mai</v>
      </c>
      <c r="F139" s="27" t="str">
        <f>IF(((('MiT Strom Pipeline'!R6="follow-up")+('MiT Strom Pipeline'!R6="Evaluation")+('MiT Strom Pipeline'!R6="tbd")+('MiT Strom Pipeline'!R6="In evaluation"))*('MiT Strom Pipeline'!B6&lt;&gt;""))&gt;0,IF('MiT Strom Pipeline'!E6="","",'MiT Strom Pipeline'!E6),"")</f>
        <v>BESS 1 MWh</v>
      </c>
      <c r="G139" s="28">
        <f>IF(((('MiT Strom Pipeline'!R6="follow-up")+('MiT Strom Pipeline'!R6="Evaluation")+('MiT Strom Pipeline'!R6="tbd")+('MiT Strom Pipeline'!R6="In evaluation"))*('MiT Strom Pipeline'!B6&lt;&gt;""))&gt;0,IF(ISNUMBER('MiT Strom Pipeline'!I6),'MiT Strom Pipeline'!I6,0),"")</f>
        <v>390000</v>
      </c>
      <c r="H139" s="28">
        <f>IF(((('MiT Strom Pipeline'!R6="follow-up")+('MiT Strom Pipeline'!R6="Evaluation")+('MiT Strom Pipeline'!R6="tbd")+('MiT Strom Pipeline'!R6="In evaluation"))*('MiT Strom Pipeline'!B6&lt;&gt;""))&gt;0,IF(ISNUMBER('MiT Strom Pipeline'!Q6),'MiT Strom Pipeline'!Q6,0),"")</f>
        <v>195000</v>
      </c>
      <c r="I139" s="28">
        <f>IF(((('MiT Strom Pipeline'!R6="follow-up")+('MiT Strom Pipeline'!R6="Evaluation")+('MiT Strom Pipeline'!R6="tbd")+('MiT Strom Pipeline'!R6="In evaluation"))*('MiT Strom Pipeline'!B6&lt;&gt;""))&gt;0,IF(ISNUMBER('MiT Strom Pipeline'!O6),'MiT Strom Pipeline'!O6,0),"")</f>
        <v>118000</v>
      </c>
      <c r="J139" s="27" t="str">
        <f>IF(((('MiT Strom Pipeline'!R6="follow-up")+('MiT Strom Pipeline'!R6="Evaluation")+('MiT Strom Pipeline'!R6="tbd")+('MiT Strom Pipeline'!R6="In evaluation"))*('MiT Strom Pipeline'!B6&lt;&gt;""))&gt;0,'MiT Strom Pipeline'!R6,"")</f>
        <v>follow-up</v>
      </c>
      <c r="K139" s="29">
        <f>IF(((('MiT Strom Pipeline'!R6="follow-up")+('MiT Strom Pipeline'!R6="Evaluation")+('MiT Strom Pipeline'!R6="tbd")+('MiT Strom Pipeline'!R6="In evaluation"))*('MiT Strom Pipeline'!B6&lt;&gt;""))&gt;0,IF(ISNUMBER('MiT Strom Pipeline'!S6),'MiT Strom Pipeline'!S6,""),"")</f>
        <v>0.5</v>
      </c>
      <c r="L139" s="27" t="str">
        <f>IF(((('MiT Strom Pipeline'!R6="follow-up")+('MiT Strom Pipeline'!R6="Evaluation")+('MiT Strom Pipeline'!R6="tbd")+('MiT Strom Pipeline'!R6="In evaluation"))*('MiT Strom Pipeline'!B6&lt;&gt;""))&gt;0,IF(LEN('MiT Strom Pipeline'!V6)&gt;0,LEFT('MiT Strom Pipeline'!V6,55),""),"")</f>
        <v>Entscheider-Meeting anfordern, Businesscase Energie-ROI</v>
      </c>
      <c r="M139" s="22" t="n"/>
      <c r="N139" s="22" t="n"/>
      <c r="O139" s="22" t="n"/>
      <c r="P139" s="22" t="n"/>
      <c r="Q139" s="22" t="n"/>
      <c r="R139" s="22" t="n"/>
      <c r="S139" s="22" t="n"/>
    </row>
    <row r="140" hidden="1" ht="15.75" customHeight="1">
      <c r="A140" s="26">
        <f>IF(((('MiT Strom Pipeline'!R7="follow-up")+('MiT Strom Pipeline'!R7="Evaluation")+('MiT Strom Pipeline'!R7="tbd")+('MiT Strom Pipeline'!R7="In evaluation"))*('MiT Strom Pipeline'!B7&lt;&gt;""))&gt;0,IF(ISNUMBER('MiT Strom Pipeline'!A7),'MiT Strom Pipeline'!A7,""),"")</f>
        <v/>
      </c>
      <c r="B140" s="27">
        <f>IF(((('MiT Strom Pipeline'!R7="follow-up")+('MiT Strom Pipeline'!R7="Evaluation")+('MiT Strom Pipeline'!R7="tbd")+('MiT Strom Pipeline'!R7="In evaluation"))*('MiT Strom Pipeline'!B7&lt;&gt;""))&gt;0,IF('MiT Strom Pipeline'!B7="","",'MiT Strom Pipeline'!B7),"")</f>
        <v/>
      </c>
      <c r="C140" s="27">
        <f>IF(((('MiT Strom Pipeline'!R7="follow-up")+('MiT Strom Pipeline'!R7="Evaluation")+('MiT Strom Pipeline'!R7="tbd")+('MiT Strom Pipeline'!R7="In evaluation"))*('MiT Strom Pipeline'!B7&lt;&gt;""))&gt;0,IF('MiT Strom Pipeline'!C7="","",'MiT Strom Pipeline'!C7),"")</f>
        <v/>
      </c>
      <c r="D140" s="27">
        <f>IF(((('MiT Strom Pipeline'!R7="follow-up")+('MiT Strom Pipeline'!R7="Evaluation")+('MiT Strom Pipeline'!R7="tbd")+('MiT Strom Pipeline'!R7="In evaluation"))*('MiT Strom Pipeline'!B7&lt;&gt;""))&gt;0,IF('MiT Strom Pipeline'!D7="","",'MiT Strom Pipeline'!D7),"")</f>
        <v/>
      </c>
      <c r="E140" s="27">
        <f>IF(((('MiT Strom Pipeline'!R7="follow-up")+('MiT Strom Pipeline'!R7="Evaluation")+('MiT Strom Pipeline'!R7="tbd")+('MiT Strom Pipeline'!R7="In evaluation"))*('MiT Strom Pipeline'!B7&lt;&gt;""))&gt;0,IF('MiT Strom Pipeline'!H7="","",'MiT Strom Pipeline'!H7),"")</f>
        <v/>
      </c>
      <c r="F140" s="27">
        <f>IF(((('MiT Strom Pipeline'!R7="follow-up")+('MiT Strom Pipeline'!R7="Evaluation")+('MiT Strom Pipeline'!R7="tbd")+('MiT Strom Pipeline'!R7="In evaluation"))*('MiT Strom Pipeline'!B7&lt;&gt;""))&gt;0,IF('MiT Strom Pipeline'!E7="","",'MiT Strom Pipeline'!E7),"")</f>
        <v/>
      </c>
      <c r="G140" s="28">
        <f>IF(((('MiT Strom Pipeline'!R7="follow-up")+('MiT Strom Pipeline'!R7="Evaluation")+('MiT Strom Pipeline'!R7="tbd")+('MiT Strom Pipeline'!R7="In evaluation"))*('MiT Strom Pipeline'!B7&lt;&gt;""))&gt;0,IF(ISNUMBER('MiT Strom Pipeline'!I7),'MiT Strom Pipeline'!I7,0),"")</f>
        <v/>
      </c>
      <c r="H140" s="28">
        <f>IF(((('MiT Strom Pipeline'!R7="follow-up")+('MiT Strom Pipeline'!R7="Evaluation")+('MiT Strom Pipeline'!R7="tbd")+('MiT Strom Pipeline'!R7="In evaluation"))*('MiT Strom Pipeline'!B7&lt;&gt;""))&gt;0,IF(ISNUMBER('MiT Strom Pipeline'!Q7),'MiT Strom Pipeline'!Q7,0),"")</f>
        <v/>
      </c>
      <c r="I140" s="28">
        <f>IF(((('MiT Strom Pipeline'!R7="follow-up")+('MiT Strom Pipeline'!R7="Evaluation")+('MiT Strom Pipeline'!R7="tbd")+('MiT Strom Pipeline'!R7="In evaluation"))*('MiT Strom Pipeline'!B7&lt;&gt;""))&gt;0,IF(ISNUMBER('MiT Strom Pipeline'!O7),'MiT Strom Pipeline'!O7,0),"")</f>
        <v/>
      </c>
      <c r="J140" s="27">
        <f>IF(((('MiT Strom Pipeline'!R7="follow-up")+('MiT Strom Pipeline'!R7="Evaluation")+('MiT Strom Pipeline'!R7="tbd")+('MiT Strom Pipeline'!R7="In evaluation"))*('MiT Strom Pipeline'!B7&lt;&gt;""))&gt;0,'MiT Strom Pipeline'!R7,"")</f>
        <v/>
      </c>
      <c r="K140" s="29">
        <f>IF(((('MiT Strom Pipeline'!R7="follow-up")+('MiT Strom Pipeline'!R7="Evaluation")+('MiT Strom Pipeline'!R7="tbd")+('MiT Strom Pipeline'!R7="In evaluation"))*('MiT Strom Pipeline'!B7&lt;&gt;""))&gt;0,IF(ISNUMBER('MiT Strom Pipeline'!S7),'MiT Strom Pipeline'!S7,""),"")</f>
        <v/>
      </c>
      <c r="L140" s="27">
        <f>IF(((('MiT Strom Pipeline'!R7="follow-up")+('MiT Strom Pipeline'!R7="Evaluation")+('MiT Strom Pipeline'!R7="tbd")+('MiT Strom Pipeline'!R7="In evaluation"))*('MiT Strom Pipeline'!B7&lt;&gt;""))&gt;0,IF(LEN('MiT Strom Pipeline'!V7)&gt;0,LEFT('MiT Strom Pipeline'!V7,55),""),"")</f>
        <v/>
      </c>
      <c r="M140" s="22" t="n"/>
      <c r="N140" s="22" t="n"/>
      <c r="O140" s="22" t="n"/>
      <c r="P140" s="22" t="n"/>
      <c r="Q140" s="22" t="n"/>
      <c r="R140" s="22" t="n"/>
      <c r="S140" s="22" t="n"/>
    </row>
    <row r="141" hidden="1" ht="15.75" customHeight="1">
      <c r="A141" s="26">
        <f>IF(((('MiT Strom Pipeline'!R8="follow-up")+('MiT Strom Pipeline'!R8="Evaluation")+('MiT Strom Pipeline'!R8="tbd")+('MiT Strom Pipeline'!R8="In evaluation"))*('MiT Strom Pipeline'!B8&lt;&gt;""))&gt;0,IF(ISNUMBER('MiT Strom Pipeline'!A8),'MiT Strom Pipeline'!A8,""),"")</f>
        <v/>
      </c>
      <c r="B141" s="27">
        <f>IF(((('MiT Strom Pipeline'!R8="follow-up")+('MiT Strom Pipeline'!R8="Evaluation")+('MiT Strom Pipeline'!R8="tbd")+('MiT Strom Pipeline'!R8="In evaluation"))*('MiT Strom Pipeline'!B8&lt;&gt;""))&gt;0,IF('MiT Strom Pipeline'!B8="","",'MiT Strom Pipeline'!B8),"")</f>
        <v/>
      </c>
      <c r="C141" s="27">
        <f>IF(((('MiT Strom Pipeline'!R8="follow-up")+('MiT Strom Pipeline'!R8="Evaluation")+('MiT Strom Pipeline'!R8="tbd")+('MiT Strom Pipeline'!R8="In evaluation"))*('MiT Strom Pipeline'!B8&lt;&gt;""))&gt;0,IF('MiT Strom Pipeline'!C8="","",'MiT Strom Pipeline'!C8),"")</f>
        <v/>
      </c>
      <c r="D141" s="27">
        <f>IF(((('MiT Strom Pipeline'!R8="follow-up")+('MiT Strom Pipeline'!R8="Evaluation")+('MiT Strom Pipeline'!R8="tbd")+('MiT Strom Pipeline'!R8="In evaluation"))*('MiT Strom Pipeline'!B8&lt;&gt;""))&gt;0,IF('MiT Strom Pipeline'!D8="","",'MiT Strom Pipeline'!D8),"")</f>
        <v/>
      </c>
      <c r="E141" s="27">
        <f>IF(((('MiT Strom Pipeline'!R8="follow-up")+('MiT Strom Pipeline'!R8="Evaluation")+('MiT Strom Pipeline'!R8="tbd")+('MiT Strom Pipeline'!R8="In evaluation"))*('MiT Strom Pipeline'!B8&lt;&gt;""))&gt;0,IF('MiT Strom Pipeline'!H8="","",'MiT Strom Pipeline'!H8),"")</f>
        <v/>
      </c>
      <c r="F141" s="27">
        <f>IF(((('MiT Strom Pipeline'!R8="follow-up")+('MiT Strom Pipeline'!R8="Evaluation")+('MiT Strom Pipeline'!R8="tbd")+('MiT Strom Pipeline'!R8="In evaluation"))*('MiT Strom Pipeline'!B8&lt;&gt;""))&gt;0,IF('MiT Strom Pipeline'!E8="","",'MiT Strom Pipeline'!E8),"")</f>
        <v/>
      </c>
      <c r="G141" s="28">
        <f>IF(((('MiT Strom Pipeline'!R8="follow-up")+('MiT Strom Pipeline'!R8="Evaluation")+('MiT Strom Pipeline'!R8="tbd")+('MiT Strom Pipeline'!R8="In evaluation"))*('MiT Strom Pipeline'!B8&lt;&gt;""))&gt;0,IF(ISNUMBER('MiT Strom Pipeline'!I8),'MiT Strom Pipeline'!I8,0),"")</f>
        <v/>
      </c>
      <c r="H141" s="28">
        <f>IF(((('MiT Strom Pipeline'!R8="follow-up")+('MiT Strom Pipeline'!R8="Evaluation")+('MiT Strom Pipeline'!R8="tbd")+('MiT Strom Pipeline'!R8="In evaluation"))*('MiT Strom Pipeline'!B8&lt;&gt;""))&gt;0,IF(ISNUMBER('MiT Strom Pipeline'!Q8),'MiT Strom Pipeline'!Q8,0),"")</f>
        <v/>
      </c>
      <c r="I141" s="28">
        <f>IF(((('MiT Strom Pipeline'!R8="follow-up")+('MiT Strom Pipeline'!R8="Evaluation")+('MiT Strom Pipeline'!R8="tbd")+('MiT Strom Pipeline'!R8="In evaluation"))*('MiT Strom Pipeline'!B8&lt;&gt;""))&gt;0,IF(ISNUMBER('MiT Strom Pipeline'!O8),'MiT Strom Pipeline'!O8,0),"")</f>
        <v/>
      </c>
      <c r="J141" s="27">
        <f>IF(((('MiT Strom Pipeline'!R8="follow-up")+('MiT Strom Pipeline'!R8="Evaluation")+('MiT Strom Pipeline'!R8="tbd")+('MiT Strom Pipeline'!R8="In evaluation"))*('MiT Strom Pipeline'!B8&lt;&gt;""))&gt;0,'MiT Strom Pipeline'!R8,"")</f>
        <v/>
      </c>
      <c r="K141" s="29">
        <f>IF(((('MiT Strom Pipeline'!R8="follow-up")+('MiT Strom Pipeline'!R8="Evaluation")+('MiT Strom Pipeline'!R8="tbd")+('MiT Strom Pipeline'!R8="In evaluation"))*('MiT Strom Pipeline'!B8&lt;&gt;""))&gt;0,IF(ISNUMBER('MiT Strom Pipeline'!S8),'MiT Strom Pipeline'!S8,""),"")</f>
        <v/>
      </c>
      <c r="L141" s="27">
        <f>IF(((('MiT Strom Pipeline'!R8="follow-up")+('MiT Strom Pipeline'!R8="Evaluation")+('MiT Strom Pipeline'!R8="tbd")+('MiT Strom Pipeline'!R8="In evaluation"))*('MiT Strom Pipeline'!B8&lt;&gt;""))&gt;0,IF(LEN('MiT Strom Pipeline'!V8)&gt;0,LEFT('MiT Strom Pipeline'!V8,55),""),"")</f>
        <v/>
      </c>
      <c r="M141" s="22" t="n"/>
      <c r="N141" s="22" t="n"/>
      <c r="O141" s="22" t="n"/>
      <c r="P141" s="22" t="n"/>
      <c r="Q141" s="22" t="n"/>
      <c r="R141" s="22" t="n"/>
      <c r="S141" s="22" t="n"/>
    </row>
    <row r="142" hidden="1" ht="15.75" customHeight="1">
      <c r="A142" s="26">
        <f>IF(((('MiT Strom Pipeline'!R9="follow-up")+('MiT Strom Pipeline'!R9="Evaluation")+('MiT Strom Pipeline'!R9="tbd")+('MiT Strom Pipeline'!R9="In evaluation"))*('MiT Strom Pipeline'!B9&lt;&gt;""))&gt;0,IF(ISNUMBER('MiT Strom Pipeline'!A9),'MiT Strom Pipeline'!A9,""),"")</f>
        <v/>
      </c>
      <c r="B142" s="27">
        <f>IF(((('MiT Strom Pipeline'!R9="follow-up")+('MiT Strom Pipeline'!R9="Evaluation")+('MiT Strom Pipeline'!R9="tbd")+('MiT Strom Pipeline'!R9="In evaluation"))*('MiT Strom Pipeline'!B9&lt;&gt;""))&gt;0,IF('MiT Strom Pipeline'!B9="","",'MiT Strom Pipeline'!B9),"")</f>
        <v/>
      </c>
      <c r="C142" s="27">
        <f>IF(((('MiT Strom Pipeline'!R9="follow-up")+('MiT Strom Pipeline'!R9="Evaluation")+('MiT Strom Pipeline'!R9="tbd")+('MiT Strom Pipeline'!R9="In evaluation"))*('MiT Strom Pipeline'!B9&lt;&gt;""))&gt;0,IF('MiT Strom Pipeline'!C9="","",'MiT Strom Pipeline'!C9),"")</f>
        <v/>
      </c>
      <c r="D142" s="27">
        <f>IF(((('MiT Strom Pipeline'!R9="follow-up")+('MiT Strom Pipeline'!R9="Evaluation")+('MiT Strom Pipeline'!R9="tbd")+('MiT Strom Pipeline'!R9="In evaluation"))*('MiT Strom Pipeline'!B9&lt;&gt;""))&gt;0,IF('MiT Strom Pipeline'!D9="","",'MiT Strom Pipeline'!D9),"")</f>
        <v/>
      </c>
      <c r="E142" s="27">
        <f>IF(((('MiT Strom Pipeline'!R9="follow-up")+('MiT Strom Pipeline'!R9="Evaluation")+('MiT Strom Pipeline'!R9="tbd")+('MiT Strom Pipeline'!R9="In evaluation"))*('MiT Strom Pipeline'!B9&lt;&gt;""))&gt;0,IF('MiT Strom Pipeline'!H9="","",'MiT Strom Pipeline'!H9),"")</f>
        <v/>
      </c>
      <c r="F142" s="27">
        <f>IF(((('MiT Strom Pipeline'!R9="follow-up")+('MiT Strom Pipeline'!R9="Evaluation")+('MiT Strom Pipeline'!R9="tbd")+('MiT Strom Pipeline'!R9="In evaluation"))*('MiT Strom Pipeline'!B9&lt;&gt;""))&gt;0,IF('MiT Strom Pipeline'!E9="","",'MiT Strom Pipeline'!E9),"")</f>
        <v/>
      </c>
      <c r="G142" s="28">
        <f>IF(((('MiT Strom Pipeline'!R9="follow-up")+('MiT Strom Pipeline'!R9="Evaluation")+('MiT Strom Pipeline'!R9="tbd")+('MiT Strom Pipeline'!R9="In evaluation"))*('MiT Strom Pipeline'!B9&lt;&gt;""))&gt;0,IF(ISNUMBER('MiT Strom Pipeline'!I9),'MiT Strom Pipeline'!I9,0),"")</f>
        <v/>
      </c>
      <c r="H142" s="28">
        <f>IF(((('MiT Strom Pipeline'!R9="follow-up")+('MiT Strom Pipeline'!R9="Evaluation")+('MiT Strom Pipeline'!R9="tbd")+('MiT Strom Pipeline'!R9="In evaluation"))*('MiT Strom Pipeline'!B9&lt;&gt;""))&gt;0,IF(ISNUMBER('MiT Strom Pipeline'!Q9),'MiT Strom Pipeline'!Q9,0),"")</f>
        <v/>
      </c>
      <c r="I142" s="28">
        <f>IF(((('MiT Strom Pipeline'!R9="follow-up")+('MiT Strom Pipeline'!R9="Evaluation")+('MiT Strom Pipeline'!R9="tbd")+('MiT Strom Pipeline'!R9="In evaluation"))*('MiT Strom Pipeline'!B9&lt;&gt;""))&gt;0,IF(ISNUMBER('MiT Strom Pipeline'!O9),'MiT Strom Pipeline'!O9,0),"")</f>
        <v/>
      </c>
      <c r="J142" s="27">
        <f>IF(((('MiT Strom Pipeline'!R9="follow-up")+('MiT Strom Pipeline'!R9="Evaluation")+('MiT Strom Pipeline'!R9="tbd")+('MiT Strom Pipeline'!R9="In evaluation"))*('MiT Strom Pipeline'!B9&lt;&gt;""))&gt;0,'MiT Strom Pipeline'!R9,"")</f>
        <v/>
      </c>
      <c r="K142" s="29">
        <f>IF(((('MiT Strom Pipeline'!R9="follow-up")+('MiT Strom Pipeline'!R9="Evaluation")+('MiT Strom Pipeline'!R9="tbd")+('MiT Strom Pipeline'!R9="In evaluation"))*('MiT Strom Pipeline'!B9&lt;&gt;""))&gt;0,IF(ISNUMBER('MiT Strom Pipeline'!S9),'MiT Strom Pipeline'!S9,""),"")</f>
        <v/>
      </c>
      <c r="L142" s="27">
        <f>IF(((('MiT Strom Pipeline'!R9="follow-up")+('MiT Strom Pipeline'!R9="Evaluation")+('MiT Strom Pipeline'!R9="tbd")+('MiT Strom Pipeline'!R9="In evaluation"))*('MiT Strom Pipeline'!B9&lt;&gt;""))&gt;0,IF(LEN('MiT Strom Pipeline'!V9)&gt;0,LEFT('MiT Strom Pipeline'!V9,55),""),"")</f>
        <v/>
      </c>
      <c r="M142" s="22" t="n"/>
      <c r="N142" s="22" t="n"/>
      <c r="O142" s="22" t="n"/>
      <c r="P142" s="22" t="n"/>
      <c r="Q142" s="22" t="n"/>
      <c r="R142" s="22" t="n"/>
      <c r="S142" s="22" t="n"/>
    </row>
    <row r="143" hidden="1" ht="15.75" customHeight="1">
      <c r="A143" s="26">
        <f>IF(((('MiT Strom Pipeline'!R10="follow-up")+('MiT Strom Pipeline'!R10="Evaluation")+('MiT Strom Pipeline'!R10="tbd")+('MiT Strom Pipeline'!R10="In evaluation"))*('MiT Strom Pipeline'!B10&lt;&gt;""))&gt;0,IF(ISNUMBER('MiT Strom Pipeline'!A10),'MiT Strom Pipeline'!A10,""),"")</f>
        <v/>
      </c>
      <c r="B143" s="27">
        <f>IF(((('MiT Strom Pipeline'!R10="follow-up")+('MiT Strom Pipeline'!R10="Evaluation")+('MiT Strom Pipeline'!R10="tbd")+('MiT Strom Pipeline'!R10="In evaluation"))*('MiT Strom Pipeline'!B10&lt;&gt;""))&gt;0,IF('MiT Strom Pipeline'!B10="","",'MiT Strom Pipeline'!B10),"")</f>
        <v/>
      </c>
      <c r="C143" s="27">
        <f>IF(((('MiT Strom Pipeline'!R10="follow-up")+('MiT Strom Pipeline'!R10="Evaluation")+('MiT Strom Pipeline'!R10="tbd")+('MiT Strom Pipeline'!R10="In evaluation"))*('MiT Strom Pipeline'!B10&lt;&gt;""))&gt;0,IF('MiT Strom Pipeline'!C10="","",'MiT Strom Pipeline'!C10),"")</f>
        <v/>
      </c>
      <c r="D143" s="27">
        <f>IF(((('MiT Strom Pipeline'!R10="follow-up")+('MiT Strom Pipeline'!R10="Evaluation")+('MiT Strom Pipeline'!R10="tbd")+('MiT Strom Pipeline'!R10="In evaluation"))*('MiT Strom Pipeline'!B10&lt;&gt;""))&gt;0,IF('MiT Strom Pipeline'!D10="","",'MiT Strom Pipeline'!D10),"")</f>
        <v/>
      </c>
      <c r="E143" s="27">
        <f>IF(((('MiT Strom Pipeline'!R10="follow-up")+('MiT Strom Pipeline'!R10="Evaluation")+('MiT Strom Pipeline'!R10="tbd")+('MiT Strom Pipeline'!R10="In evaluation"))*('MiT Strom Pipeline'!B10&lt;&gt;""))&gt;0,IF('MiT Strom Pipeline'!H10="","",'MiT Strom Pipeline'!H10),"")</f>
        <v/>
      </c>
      <c r="F143" s="27">
        <f>IF(((('MiT Strom Pipeline'!R10="follow-up")+('MiT Strom Pipeline'!R10="Evaluation")+('MiT Strom Pipeline'!R10="tbd")+('MiT Strom Pipeline'!R10="In evaluation"))*('MiT Strom Pipeline'!B10&lt;&gt;""))&gt;0,IF('MiT Strom Pipeline'!E10="","",'MiT Strom Pipeline'!E10),"")</f>
        <v/>
      </c>
      <c r="G143" s="28">
        <f>IF(((('MiT Strom Pipeline'!R10="follow-up")+('MiT Strom Pipeline'!R10="Evaluation")+('MiT Strom Pipeline'!R10="tbd")+('MiT Strom Pipeline'!R10="In evaluation"))*('MiT Strom Pipeline'!B10&lt;&gt;""))&gt;0,IF(ISNUMBER('MiT Strom Pipeline'!I10),'MiT Strom Pipeline'!I10,0),"")</f>
        <v/>
      </c>
      <c r="H143" s="28">
        <f>IF(((('MiT Strom Pipeline'!R10="follow-up")+('MiT Strom Pipeline'!R10="Evaluation")+('MiT Strom Pipeline'!R10="tbd")+('MiT Strom Pipeline'!R10="In evaluation"))*('MiT Strom Pipeline'!B10&lt;&gt;""))&gt;0,IF(ISNUMBER('MiT Strom Pipeline'!Q10),'MiT Strom Pipeline'!Q10,0),"")</f>
        <v/>
      </c>
      <c r="I143" s="28">
        <f>IF(((('MiT Strom Pipeline'!R10="follow-up")+('MiT Strom Pipeline'!R10="Evaluation")+('MiT Strom Pipeline'!R10="tbd")+('MiT Strom Pipeline'!R10="In evaluation"))*('MiT Strom Pipeline'!B10&lt;&gt;""))&gt;0,IF(ISNUMBER('MiT Strom Pipeline'!O10),'MiT Strom Pipeline'!O10,0),"")</f>
        <v/>
      </c>
      <c r="J143" s="27">
        <f>IF(((('MiT Strom Pipeline'!R10="follow-up")+('MiT Strom Pipeline'!R10="Evaluation")+('MiT Strom Pipeline'!R10="tbd")+('MiT Strom Pipeline'!R10="In evaluation"))*('MiT Strom Pipeline'!B10&lt;&gt;""))&gt;0,'MiT Strom Pipeline'!R10,"")</f>
        <v/>
      </c>
      <c r="K143" s="29">
        <f>IF(((('MiT Strom Pipeline'!R10="follow-up")+('MiT Strom Pipeline'!R10="Evaluation")+('MiT Strom Pipeline'!R10="tbd")+('MiT Strom Pipeline'!R10="In evaluation"))*('MiT Strom Pipeline'!B10&lt;&gt;""))&gt;0,IF(ISNUMBER('MiT Strom Pipeline'!S10),'MiT Strom Pipeline'!S10,""),"")</f>
        <v/>
      </c>
      <c r="L143" s="27">
        <f>IF(((('MiT Strom Pipeline'!R10="follow-up")+('MiT Strom Pipeline'!R10="Evaluation")+('MiT Strom Pipeline'!R10="tbd")+('MiT Strom Pipeline'!R10="In evaluation"))*('MiT Strom Pipeline'!B10&lt;&gt;""))&gt;0,IF(LEN('MiT Strom Pipeline'!V10)&gt;0,LEFT('MiT Strom Pipeline'!V10,55),""),"")</f>
        <v/>
      </c>
      <c r="M143" s="22" t="n"/>
      <c r="N143" s="22" t="n"/>
      <c r="O143" s="22" t="n"/>
      <c r="P143" s="22" t="n"/>
      <c r="Q143" s="22" t="n"/>
      <c r="R143" s="22" t="n"/>
      <c r="S143" s="22" t="n"/>
    </row>
    <row r="144" hidden="1" ht="15.75" customHeight="1">
      <c r="A144" s="26">
        <f>IF(((('MiT Strom Pipeline'!R11="follow-up")+('MiT Strom Pipeline'!R11="Evaluation")+('MiT Strom Pipeline'!R11="tbd")+('MiT Strom Pipeline'!R11="In evaluation"))*('MiT Strom Pipeline'!B11&lt;&gt;""))&gt;0,IF(ISNUMBER('MiT Strom Pipeline'!A11),'MiT Strom Pipeline'!A11,""),"")</f>
        <v/>
      </c>
      <c r="B144" s="27">
        <f>IF(((('MiT Strom Pipeline'!R11="follow-up")+('MiT Strom Pipeline'!R11="Evaluation")+('MiT Strom Pipeline'!R11="tbd")+('MiT Strom Pipeline'!R11="In evaluation"))*('MiT Strom Pipeline'!B11&lt;&gt;""))&gt;0,IF('MiT Strom Pipeline'!B11="","",'MiT Strom Pipeline'!B11),"")</f>
        <v/>
      </c>
      <c r="C144" s="27">
        <f>IF(((('MiT Strom Pipeline'!R11="follow-up")+('MiT Strom Pipeline'!R11="Evaluation")+('MiT Strom Pipeline'!R11="tbd")+('MiT Strom Pipeline'!R11="In evaluation"))*('MiT Strom Pipeline'!B11&lt;&gt;""))&gt;0,IF('MiT Strom Pipeline'!C11="","",'MiT Strom Pipeline'!C11),"")</f>
        <v/>
      </c>
      <c r="D144" s="27">
        <f>IF(((('MiT Strom Pipeline'!R11="follow-up")+('MiT Strom Pipeline'!R11="Evaluation")+('MiT Strom Pipeline'!R11="tbd")+('MiT Strom Pipeline'!R11="In evaluation"))*('MiT Strom Pipeline'!B11&lt;&gt;""))&gt;0,IF('MiT Strom Pipeline'!D11="","",'MiT Strom Pipeline'!D11),"")</f>
        <v/>
      </c>
      <c r="E144" s="27">
        <f>IF(((('MiT Strom Pipeline'!R11="follow-up")+('MiT Strom Pipeline'!R11="Evaluation")+('MiT Strom Pipeline'!R11="tbd")+('MiT Strom Pipeline'!R11="In evaluation"))*('MiT Strom Pipeline'!B11&lt;&gt;""))&gt;0,IF('MiT Strom Pipeline'!H11="","",'MiT Strom Pipeline'!H11),"")</f>
        <v/>
      </c>
      <c r="F144" s="27">
        <f>IF(((('MiT Strom Pipeline'!R11="follow-up")+('MiT Strom Pipeline'!R11="Evaluation")+('MiT Strom Pipeline'!R11="tbd")+('MiT Strom Pipeline'!R11="In evaluation"))*('MiT Strom Pipeline'!B11&lt;&gt;""))&gt;0,IF('MiT Strom Pipeline'!E11="","",'MiT Strom Pipeline'!E11),"")</f>
        <v/>
      </c>
      <c r="G144" s="28">
        <f>IF(((('MiT Strom Pipeline'!R11="follow-up")+('MiT Strom Pipeline'!R11="Evaluation")+('MiT Strom Pipeline'!R11="tbd")+('MiT Strom Pipeline'!R11="In evaluation"))*('MiT Strom Pipeline'!B11&lt;&gt;""))&gt;0,IF(ISNUMBER('MiT Strom Pipeline'!I11),'MiT Strom Pipeline'!I11,0),"")</f>
        <v/>
      </c>
      <c r="H144" s="28">
        <f>IF(((('MiT Strom Pipeline'!R11="follow-up")+('MiT Strom Pipeline'!R11="Evaluation")+('MiT Strom Pipeline'!R11="tbd")+('MiT Strom Pipeline'!R11="In evaluation"))*('MiT Strom Pipeline'!B11&lt;&gt;""))&gt;0,IF(ISNUMBER('MiT Strom Pipeline'!Q11),'MiT Strom Pipeline'!Q11,0),"")</f>
        <v/>
      </c>
      <c r="I144" s="28">
        <f>IF(((('MiT Strom Pipeline'!R11="follow-up")+('MiT Strom Pipeline'!R11="Evaluation")+('MiT Strom Pipeline'!R11="tbd")+('MiT Strom Pipeline'!R11="In evaluation"))*('MiT Strom Pipeline'!B11&lt;&gt;""))&gt;0,IF(ISNUMBER('MiT Strom Pipeline'!O11),'MiT Strom Pipeline'!O11,0),"")</f>
        <v/>
      </c>
      <c r="J144" s="27">
        <f>IF(((('MiT Strom Pipeline'!R11="follow-up")+('MiT Strom Pipeline'!R11="Evaluation")+('MiT Strom Pipeline'!R11="tbd")+('MiT Strom Pipeline'!R11="In evaluation"))*('MiT Strom Pipeline'!B11&lt;&gt;""))&gt;0,'MiT Strom Pipeline'!R11,"")</f>
        <v/>
      </c>
      <c r="K144" s="29">
        <f>IF(((('MiT Strom Pipeline'!R11="follow-up")+('MiT Strom Pipeline'!R11="Evaluation")+('MiT Strom Pipeline'!R11="tbd")+('MiT Strom Pipeline'!R11="In evaluation"))*('MiT Strom Pipeline'!B11&lt;&gt;""))&gt;0,IF(ISNUMBER('MiT Strom Pipeline'!S11),'MiT Strom Pipeline'!S11,""),"")</f>
        <v/>
      </c>
      <c r="L144" s="27">
        <f>IF(((('MiT Strom Pipeline'!R11="follow-up")+('MiT Strom Pipeline'!R11="Evaluation")+('MiT Strom Pipeline'!R11="tbd")+('MiT Strom Pipeline'!R11="In evaluation"))*('MiT Strom Pipeline'!B11&lt;&gt;""))&gt;0,IF(LEN('MiT Strom Pipeline'!V11)&gt;0,LEFT('MiT Strom Pipeline'!V11,55),""),"")</f>
        <v/>
      </c>
      <c r="M144" s="22" t="n"/>
      <c r="N144" s="22" t="n"/>
      <c r="O144" s="22" t="n"/>
      <c r="P144" s="22" t="n"/>
      <c r="Q144" s="22" t="n"/>
      <c r="R144" s="22" t="n"/>
      <c r="S144" s="22" t="n"/>
    </row>
    <row r="145" ht="15.75" customHeight="1">
      <c r="A145" s="26">
        <f>IF(((('MiT Strom Pipeline'!R12="follow-up")+('MiT Strom Pipeline'!R12="Evaluation")+('MiT Strom Pipeline'!R12="tbd")+('MiT Strom Pipeline'!R12="In evaluation"))*('MiT Strom Pipeline'!B12&lt;&gt;""))&gt;0,IF(ISNUMBER('MiT Strom Pipeline'!A12),'MiT Strom Pipeline'!A12,""),"")</f>
        <v/>
      </c>
      <c r="B145" s="27">
        <f>IF(((('MiT Strom Pipeline'!R12="follow-up")+('MiT Strom Pipeline'!R12="Evaluation")+('MiT Strom Pipeline'!R12="tbd")+('MiT Strom Pipeline'!R12="In evaluation"))*('MiT Strom Pipeline'!B12&lt;&gt;""))&gt;0,IF('MiT Strom Pipeline'!B12="","",'MiT Strom Pipeline'!B12),"")</f>
        <v/>
      </c>
      <c r="C145" s="27">
        <f>IF(((('MiT Strom Pipeline'!R12="follow-up")+('MiT Strom Pipeline'!R12="Evaluation")+('MiT Strom Pipeline'!R12="tbd")+('MiT Strom Pipeline'!R12="In evaluation"))*('MiT Strom Pipeline'!B12&lt;&gt;""))&gt;0,IF('MiT Strom Pipeline'!C12="","",'MiT Strom Pipeline'!C12),"")</f>
        <v/>
      </c>
      <c r="D145" s="27">
        <f>IF(((('MiT Strom Pipeline'!R12="follow-up")+('MiT Strom Pipeline'!R12="Evaluation")+('MiT Strom Pipeline'!R12="tbd")+('MiT Strom Pipeline'!R12="In evaluation"))*('MiT Strom Pipeline'!B12&lt;&gt;""))&gt;0,IF('MiT Strom Pipeline'!D12="","",'MiT Strom Pipeline'!D12),"")</f>
        <v/>
      </c>
      <c r="E145" s="27">
        <f>IF(((('MiT Strom Pipeline'!R12="follow-up")+('MiT Strom Pipeline'!R12="Evaluation")+('MiT Strom Pipeline'!R12="tbd")+('MiT Strom Pipeline'!R12="In evaluation"))*('MiT Strom Pipeline'!B12&lt;&gt;""))&gt;0,IF('MiT Strom Pipeline'!H12="","",'MiT Strom Pipeline'!H12),"")</f>
        <v/>
      </c>
      <c r="F145" s="27">
        <f>IF(((('MiT Strom Pipeline'!R12="follow-up")+('MiT Strom Pipeline'!R12="Evaluation")+('MiT Strom Pipeline'!R12="tbd")+('MiT Strom Pipeline'!R12="In evaluation"))*('MiT Strom Pipeline'!B12&lt;&gt;""))&gt;0,IF('MiT Strom Pipeline'!E12="","",'MiT Strom Pipeline'!E12),"")</f>
        <v/>
      </c>
      <c r="G145" s="28">
        <f>IF(((('MiT Strom Pipeline'!R12="follow-up")+('MiT Strom Pipeline'!R12="Evaluation")+('MiT Strom Pipeline'!R12="tbd")+('MiT Strom Pipeline'!R12="In evaluation"))*('MiT Strom Pipeline'!B12&lt;&gt;""))&gt;0,IF(ISNUMBER('MiT Strom Pipeline'!I12),'MiT Strom Pipeline'!I12,0),"")</f>
        <v/>
      </c>
      <c r="H145" s="28">
        <f>IF(((('MiT Strom Pipeline'!R12="follow-up")+('MiT Strom Pipeline'!R12="Evaluation")+('MiT Strom Pipeline'!R12="tbd")+('MiT Strom Pipeline'!R12="In evaluation"))*('MiT Strom Pipeline'!B12&lt;&gt;""))&gt;0,IF(ISNUMBER('MiT Strom Pipeline'!Q12),'MiT Strom Pipeline'!Q12,0),"")</f>
        <v/>
      </c>
      <c r="I145" s="28">
        <f>IF(((('MiT Strom Pipeline'!R12="follow-up")+('MiT Strom Pipeline'!R12="Evaluation")+('MiT Strom Pipeline'!R12="tbd")+('MiT Strom Pipeline'!R12="In evaluation"))*('MiT Strom Pipeline'!B12&lt;&gt;""))&gt;0,IF(ISNUMBER('MiT Strom Pipeline'!O12),'MiT Strom Pipeline'!O12,0),"")</f>
        <v/>
      </c>
      <c r="J145" s="27">
        <f>IF(((('MiT Strom Pipeline'!R12="follow-up")+('MiT Strom Pipeline'!R12="Evaluation")+('MiT Strom Pipeline'!R12="tbd")+('MiT Strom Pipeline'!R12="In evaluation"))*('MiT Strom Pipeline'!B12&lt;&gt;""))&gt;0,'MiT Strom Pipeline'!R12,"")</f>
        <v/>
      </c>
      <c r="K145" s="29">
        <f>IF(((('MiT Strom Pipeline'!R12="follow-up")+('MiT Strom Pipeline'!R12="Evaluation")+('MiT Strom Pipeline'!R12="tbd")+('MiT Strom Pipeline'!R12="In evaluation"))*('MiT Strom Pipeline'!B12&lt;&gt;""))&gt;0,IF(ISNUMBER('MiT Strom Pipeline'!S12),'MiT Strom Pipeline'!S12,""),"")</f>
        <v/>
      </c>
      <c r="L145" s="27">
        <f>IF(((('MiT Strom Pipeline'!R12="follow-up")+('MiT Strom Pipeline'!R12="Evaluation")+('MiT Strom Pipeline'!R12="tbd")+('MiT Strom Pipeline'!R12="In evaluation"))*('MiT Strom Pipeline'!B12&lt;&gt;""))&gt;0,IF(LEN('MiT Strom Pipeline'!V12)&gt;0,LEFT('MiT Strom Pipeline'!V12,55),""),"")</f>
        <v/>
      </c>
      <c r="M145" s="22" t="n"/>
      <c r="N145" s="22" t="n"/>
      <c r="O145" s="22" t="n"/>
      <c r="P145" s="22" t="n"/>
      <c r="Q145" s="22" t="n"/>
      <c r="R145" s="22" t="n"/>
      <c r="S145" s="22" t="n"/>
    </row>
    <row r="146" ht="15.75" customHeight="1">
      <c r="A146" s="26">
        <f>IF(((('MiT Strom Pipeline'!R13="follow-up")+('MiT Strom Pipeline'!R13="Evaluation")+('MiT Strom Pipeline'!R13="tbd")+('MiT Strom Pipeline'!R13="In evaluation"))*('MiT Strom Pipeline'!B13&lt;&gt;""))&gt;0,IF(ISNUMBER('MiT Strom Pipeline'!A13),'MiT Strom Pipeline'!A13,""),"")</f>
        <v/>
      </c>
      <c r="B146" s="27">
        <f>IF(((('MiT Strom Pipeline'!R13="follow-up")+('MiT Strom Pipeline'!R13="Evaluation")+('MiT Strom Pipeline'!R13="tbd")+('MiT Strom Pipeline'!R13="In evaluation"))*('MiT Strom Pipeline'!B13&lt;&gt;""))&gt;0,IF('MiT Strom Pipeline'!B13="","",'MiT Strom Pipeline'!B13),"")</f>
        <v/>
      </c>
      <c r="C146" s="27">
        <f>IF(((('MiT Strom Pipeline'!R13="follow-up")+('MiT Strom Pipeline'!R13="Evaluation")+('MiT Strom Pipeline'!R13="tbd")+('MiT Strom Pipeline'!R13="In evaluation"))*('MiT Strom Pipeline'!B13&lt;&gt;""))&gt;0,IF('MiT Strom Pipeline'!C13="","",'MiT Strom Pipeline'!C13),"")</f>
        <v/>
      </c>
      <c r="D146" s="27">
        <f>IF(((('MiT Strom Pipeline'!R13="follow-up")+('MiT Strom Pipeline'!R13="Evaluation")+('MiT Strom Pipeline'!R13="tbd")+('MiT Strom Pipeline'!R13="In evaluation"))*('MiT Strom Pipeline'!B13&lt;&gt;""))&gt;0,IF('MiT Strom Pipeline'!D13="","",'MiT Strom Pipeline'!D13),"")</f>
        <v/>
      </c>
      <c r="E146" s="27">
        <f>IF(((('MiT Strom Pipeline'!R13="follow-up")+('MiT Strom Pipeline'!R13="Evaluation")+('MiT Strom Pipeline'!R13="tbd")+('MiT Strom Pipeline'!R13="In evaluation"))*('MiT Strom Pipeline'!B13&lt;&gt;""))&gt;0,IF('MiT Strom Pipeline'!H13="","",'MiT Strom Pipeline'!H13),"")</f>
        <v/>
      </c>
      <c r="F146" s="27">
        <f>IF(((('MiT Strom Pipeline'!R13="follow-up")+('MiT Strom Pipeline'!R13="Evaluation")+('MiT Strom Pipeline'!R13="tbd")+('MiT Strom Pipeline'!R13="In evaluation"))*('MiT Strom Pipeline'!B13&lt;&gt;""))&gt;0,IF('MiT Strom Pipeline'!E13="","",'MiT Strom Pipeline'!E13),"")</f>
        <v/>
      </c>
      <c r="G146" s="28">
        <f>IF(((('MiT Strom Pipeline'!R13="follow-up")+('MiT Strom Pipeline'!R13="Evaluation")+('MiT Strom Pipeline'!R13="tbd")+('MiT Strom Pipeline'!R13="In evaluation"))*('MiT Strom Pipeline'!B13&lt;&gt;""))&gt;0,IF(ISNUMBER('MiT Strom Pipeline'!I13),'MiT Strom Pipeline'!I13,0),"")</f>
        <v/>
      </c>
      <c r="H146" s="28">
        <f>IF(((('MiT Strom Pipeline'!R13="follow-up")+('MiT Strom Pipeline'!R13="Evaluation")+('MiT Strom Pipeline'!R13="tbd")+('MiT Strom Pipeline'!R13="In evaluation"))*('MiT Strom Pipeline'!B13&lt;&gt;""))&gt;0,IF(ISNUMBER('MiT Strom Pipeline'!Q13),'MiT Strom Pipeline'!Q13,0),"")</f>
        <v/>
      </c>
      <c r="I146" s="28">
        <f>IF(((('MiT Strom Pipeline'!R13="follow-up")+('MiT Strom Pipeline'!R13="Evaluation")+('MiT Strom Pipeline'!R13="tbd")+('MiT Strom Pipeline'!R13="In evaluation"))*('MiT Strom Pipeline'!B13&lt;&gt;""))&gt;0,IF(ISNUMBER('MiT Strom Pipeline'!O13),'MiT Strom Pipeline'!O13,0),"")</f>
        <v/>
      </c>
      <c r="J146" s="27">
        <f>IF(((('MiT Strom Pipeline'!R13="follow-up")+('MiT Strom Pipeline'!R13="Evaluation")+('MiT Strom Pipeline'!R13="tbd")+('MiT Strom Pipeline'!R13="In evaluation"))*('MiT Strom Pipeline'!B13&lt;&gt;""))&gt;0,'MiT Strom Pipeline'!R13,"")</f>
        <v/>
      </c>
      <c r="K146" s="29">
        <f>IF(((('MiT Strom Pipeline'!R13="follow-up")+('MiT Strom Pipeline'!R13="Evaluation")+('MiT Strom Pipeline'!R13="tbd")+('MiT Strom Pipeline'!R13="In evaluation"))*('MiT Strom Pipeline'!B13&lt;&gt;""))&gt;0,IF(ISNUMBER('MiT Strom Pipeline'!S13),'MiT Strom Pipeline'!S13,""),"")</f>
        <v/>
      </c>
      <c r="L146" s="27">
        <f>IF(((('MiT Strom Pipeline'!R13="follow-up")+('MiT Strom Pipeline'!R13="Evaluation")+('MiT Strom Pipeline'!R13="tbd")+('MiT Strom Pipeline'!R13="In evaluation"))*('MiT Strom Pipeline'!B13&lt;&gt;""))&gt;0,IF(LEN('MiT Strom Pipeline'!V13)&gt;0,LEFT('MiT Strom Pipeline'!V13,55),""),"")</f>
        <v/>
      </c>
      <c r="M146" s="22" t="n"/>
      <c r="N146" s="22" t="n"/>
      <c r="O146" s="22" t="n"/>
      <c r="P146" s="22" t="n"/>
      <c r="Q146" s="22" t="n"/>
      <c r="R146" s="22" t="n"/>
      <c r="S146" s="22" t="n"/>
    </row>
    <row r="147" hidden="1" ht="15.75" customHeight="1">
      <c r="A147" s="26">
        <f>IF(((('MiT Strom Pipeline'!R14="follow-up")+('MiT Strom Pipeline'!R14="Evaluation")+('MiT Strom Pipeline'!R14="tbd")+('MiT Strom Pipeline'!R14="In evaluation"))*('MiT Strom Pipeline'!B14&lt;&gt;""))&gt;0,IF(ISNUMBER('MiT Strom Pipeline'!A14),'MiT Strom Pipeline'!A14,""),"")</f>
        <v/>
      </c>
      <c r="B147" s="27">
        <f>IF(((('MiT Strom Pipeline'!R14="follow-up")+('MiT Strom Pipeline'!R14="Evaluation")+('MiT Strom Pipeline'!R14="tbd")+('MiT Strom Pipeline'!R14="In evaluation"))*('MiT Strom Pipeline'!B14&lt;&gt;""))&gt;0,IF('MiT Strom Pipeline'!B14="","",'MiT Strom Pipeline'!B14),"")</f>
        <v/>
      </c>
      <c r="C147" s="27">
        <f>IF(((('MiT Strom Pipeline'!R14="follow-up")+('MiT Strom Pipeline'!R14="Evaluation")+('MiT Strom Pipeline'!R14="tbd")+('MiT Strom Pipeline'!R14="In evaluation"))*('MiT Strom Pipeline'!B14&lt;&gt;""))&gt;0,IF('MiT Strom Pipeline'!C14="","",'MiT Strom Pipeline'!C14),"")</f>
        <v/>
      </c>
      <c r="D147" s="27">
        <f>IF(((('MiT Strom Pipeline'!R14="follow-up")+('MiT Strom Pipeline'!R14="Evaluation")+('MiT Strom Pipeline'!R14="tbd")+('MiT Strom Pipeline'!R14="In evaluation"))*('MiT Strom Pipeline'!B14&lt;&gt;""))&gt;0,IF('MiT Strom Pipeline'!D14="","",'MiT Strom Pipeline'!D14),"")</f>
        <v/>
      </c>
      <c r="E147" s="27">
        <f>IF(((('MiT Strom Pipeline'!R14="follow-up")+('MiT Strom Pipeline'!R14="Evaluation")+('MiT Strom Pipeline'!R14="tbd")+('MiT Strom Pipeline'!R14="In evaluation"))*('MiT Strom Pipeline'!B14&lt;&gt;""))&gt;0,IF('MiT Strom Pipeline'!H14="","",'MiT Strom Pipeline'!H14),"")</f>
        <v/>
      </c>
      <c r="F147" s="27">
        <f>IF(((('MiT Strom Pipeline'!R14="follow-up")+('MiT Strom Pipeline'!R14="Evaluation")+('MiT Strom Pipeline'!R14="tbd")+('MiT Strom Pipeline'!R14="In evaluation"))*('MiT Strom Pipeline'!B14&lt;&gt;""))&gt;0,IF('MiT Strom Pipeline'!E14="","",'MiT Strom Pipeline'!E14),"")</f>
        <v/>
      </c>
      <c r="G147" s="28">
        <f>IF(((('MiT Strom Pipeline'!R14="follow-up")+('MiT Strom Pipeline'!R14="Evaluation")+('MiT Strom Pipeline'!R14="tbd")+('MiT Strom Pipeline'!R14="In evaluation"))*('MiT Strom Pipeline'!B14&lt;&gt;""))&gt;0,IF(ISNUMBER('MiT Strom Pipeline'!I14),'MiT Strom Pipeline'!I14,0),"")</f>
        <v/>
      </c>
      <c r="H147" s="28">
        <f>IF(((('MiT Strom Pipeline'!R14="follow-up")+('MiT Strom Pipeline'!R14="Evaluation")+('MiT Strom Pipeline'!R14="tbd")+('MiT Strom Pipeline'!R14="In evaluation"))*('MiT Strom Pipeline'!B14&lt;&gt;""))&gt;0,IF(ISNUMBER('MiT Strom Pipeline'!Q14),'MiT Strom Pipeline'!Q14,0),"")</f>
        <v/>
      </c>
      <c r="I147" s="28">
        <f>IF(((('MiT Strom Pipeline'!R14="follow-up")+('MiT Strom Pipeline'!R14="Evaluation")+('MiT Strom Pipeline'!R14="tbd")+('MiT Strom Pipeline'!R14="In evaluation"))*('MiT Strom Pipeline'!B14&lt;&gt;""))&gt;0,IF(ISNUMBER('MiT Strom Pipeline'!O14),'MiT Strom Pipeline'!O14,0),"")</f>
        <v/>
      </c>
      <c r="J147" s="27">
        <f>IF(((('MiT Strom Pipeline'!R14="follow-up")+('MiT Strom Pipeline'!R14="Evaluation")+('MiT Strom Pipeline'!R14="tbd")+('MiT Strom Pipeline'!R14="In evaluation"))*('MiT Strom Pipeline'!B14&lt;&gt;""))&gt;0,'MiT Strom Pipeline'!R14,"")</f>
        <v/>
      </c>
      <c r="K147" s="29">
        <f>IF(((('MiT Strom Pipeline'!R14="follow-up")+('MiT Strom Pipeline'!R14="Evaluation")+('MiT Strom Pipeline'!R14="tbd")+('MiT Strom Pipeline'!R14="In evaluation"))*('MiT Strom Pipeline'!B14&lt;&gt;""))&gt;0,IF(ISNUMBER('MiT Strom Pipeline'!S14),'MiT Strom Pipeline'!S14,""),"")</f>
        <v/>
      </c>
      <c r="L147" s="27">
        <f>IF(((('MiT Strom Pipeline'!R14="follow-up")+('MiT Strom Pipeline'!R14="Evaluation")+('MiT Strom Pipeline'!R14="tbd")+('MiT Strom Pipeline'!R14="In evaluation"))*('MiT Strom Pipeline'!B14&lt;&gt;""))&gt;0,IF(LEN('MiT Strom Pipeline'!V14)&gt;0,LEFT('MiT Strom Pipeline'!V14,55),""),"")</f>
        <v/>
      </c>
      <c r="M147" s="22" t="n"/>
      <c r="N147" s="22" t="n"/>
      <c r="O147" s="22" t="n"/>
      <c r="P147" s="22" t="n"/>
      <c r="Q147" s="22" t="n"/>
      <c r="R147" s="22" t="n"/>
      <c r="S147" s="22" t="n"/>
    </row>
    <row r="148" hidden="1" ht="15.75" customHeight="1">
      <c r="A148" s="26">
        <f>IF(((('MiT Strom Pipeline'!R15="follow-up")+('MiT Strom Pipeline'!R15="Evaluation")+('MiT Strom Pipeline'!R15="tbd")+('MiT Strom Pipeline'!R15="In evaluation"))*('MiT Strom Pipeline'!B15&lt;&gt;""))&gt;0,IF(ISNUMBER('MiT Strom Pipeline'!A15),'MiT Strom Pipeline'!A15,""),"")</f>
        <v/>
      </c>
      <c r="B148" s="27">
        <f>IF(((('MiT Strom Pipeline'!R15="follow-up")+('MiT Strom Pipeline'!R15="Evaluation")+('MiT Strom Pipeline'!R15="tbd")+('MiT Strom Pipeline'!R15="In evaluation"))*('MiT Strom Pipeline'!B15&lt;&gt;""))&gt;0,IF('MiT Strom Pipeline'!B15="","",'MiT Strom Pipeline'!B15),"")</f>
        <v/>
      </c>
      <c r="C148" s="27">
        <f>IF(((('MiT Strom Pipeline'!R15="follow-up")+('MiT Strom Pipeline'!R15="Evaluation")+('MiT Strom Pipeline'!R15="tbd")+('MiT Strom Pipeline'!R15="In evaluation"))*('MiT Strom Pipeline'!B15&lt;&gt;""))&gt;0,IF('MiT Strom Pipeline'!C15="","",'MiT Strom Pipeline'!C15),"")</f>
        <v/>
      </c>
      <c r="D148" s="27">
        <f>IF(((('MiT Strom Pipeline'!R15="follow-up")+('MiT Strom Pipeline'!R15="Evaluation")+('MiT Strom Pipeline'!R15="tbd")+('MiT Strom Pipeline'!R15="In evaluation"))*('MiT Strom Pipeline'!B15&lt;&gt;""))&gt;0,IF('MiT Strom Pipeline'!D15="","",'MiT Strom Pipeline'!D15),"")</f>
        <v/>
      </c>
      <c r="E148" s="27">
        <f>IF(((('MiT Strom Pipeline'!R15="follow-up")+('MiT Strom Pipeline'!R15="Evaluation")+('MiT Strom Pipeline'!R15="tbd")+('MiT Strom Pipeline'!R15="In evaluation"))*('MiT Strom Pipeline'!B15&lt;&gt;""))&gt;0,IF('MiT Strom Pipeline'!H15="","",'MiT Strom Pipeline'!H15),"")</f>
        <v/>
      </c>
      <c r="F148" s="27">
        <f>IF(((('MiT Strom Pipeline'!R15="follow-up")+('MiT Strom Pipeline'!R15="Evaluation")+('MiT Strom Pipeline'!R15="tbd")+('MiT Strom Pipeline'!R15="In evaluation"))*('MiT Strom Pipeline'!B15&lt;&gt;""))&gt;0,IF('MiT Strom Pipeline'!E15="","",'MiT Strom Pipeline'!E15),"")</f>
        <v/>
      </c>
      <c r="G148" s="28">
        <f>IF(((('MiT Strom Pipeline'!R15="follow-up")+('MiT Strom Pipeline'!R15="Evaluation")+('MiT Strom Pipeline'!R15="tbd")+('MiT Strom Pipeline'!R15="In evaluation"))*('MiT Strom Pipeline'!B15&lt;&gt;""))&gt;0,IF(ISNUMBER('MiT Strom Pipeline'!I15),'MiT Strom Pipeline'!I15,0),"")</f>
        <v/>
      </c>
      <c r="H148" s="28">
        <f>IF(((('MiT Strom Pipeline'!R15="follow-up")+('MiT Strom Pipeline'!R15="Evaluation")+('MiT Strom Pipeline'!R15="tbd")+('MiT Strom Pipeline'!R15="In evaluation"))*('MiT Strom Pipeline'!B15&lt;&gt;""))&gt;0,IF(ISNUMBER('MiT Strom Pipeline'!Q15),'MiT Strom Pipeline'!Q15,0),"")</f>
        <v/>
      </c>
      <c r="I148" s="28">
        <f>IF(((('MiT Strom Pipeline'!R15="follow-up")+('MiT Strom Pipeline'!R15="Evaluation")+('MiT Strom Pipeline'!R15="tbd")+('MiT Strom Pipeline'!R15="In evaluation"))*('MiT Strom Pipeline'!B15&lt;&gt;""))&gt;0,IF(ISNUMBER('MiT Strom Pipeline'!O15),'MiT Strom Pipeline'!O15,0),"")</f>
        <v/>
      </c>
      <c r="J148" s="27">
        <f>IF(((('MiT Strom Pipeline'!R15="follow-up")+('MiT Strom Pipeline'!R15="Evaluation")+('MiT Strom Pipeline'!R15="tbd")+('MiT Strom Pipeline'!R15="In evaluation"))*('MiT Strom Pipeline'!B15&lt;&gt;""))&gt;0,'MiT Strom Pipeline'!R15,"")</f>
        <v/>
      </c>
      <c r="K148" s="29">
        <f>IF(((('MiT Strom Pipeline'!R15="follow-up")+('MiT Strom Pipeline'!R15="Evaluation")+('MiT Strom Pipeline'!R15="tbd")+('MiT Strom Pipeline'!R15="In evaluation"))*('MiT Strom Pipeline'!B15&lt;&gt;""))&gt;0,IF(ISNUMBER('MiT Strom Pipeline'!S15),'MiT Strom Pipeline'!S15,""),"")</f>
        <v/>
      </c>
      <c r="L148" s="27">
        <f>IF(((('MiT Strom Pipeline'!R15="follow-up")+('MiT Strom Pipeline'!R15="Evaluation")+('MiT Strom Pipeline'!R15="tbd")+('MiT Strom Pipeline'!R15="In evaluation"))*('MiT Strom Pipeline'!B15&lt;&gt;""))&gt;0,IF(LEN('MiT Strom Pipeline'!V15)&gt;0,LEFT('MiT Strom Pipeline'!V15,55),""),"")</f>
        <v/>
      </c>
      <c r="M148" s="22" t="n"/>
      <c r="N148" s="22" t="n"/>
      <c r="O148" s="22" t="n"/>
      <c r="P148" s="22" t="n"/>
      <c r="Q148" s="22" t="n"/>
      <c r="R148" s="22" t="n"/>
      <c r="S148" s="22" t="n"/>
    </row>
    <row r="149" hidden="1" ht="15.75" customHeight="1">
      <c r="A149" s="26">
        <f>IF(((('MiT Strom Pipeline'!R16="follow-up")+('MiT Strom Pipeline'!R16="Evaluation")+('MiT Strom Pipeline'!R16="tbd")+('MiT Strom Pipeline'!R16="In evaluation"))*('MiT Strom Pipeline'!B16&lt;&gt;""))&gt;0,IF(ISNUMBER('MiT Strom Pipeline'!A16),'MiT Strom Pipeline'!A16,""),"")</f>
        <v/>
      </c>
      <c r="B149" s="27">
        <f>IF(((('MiT Strom Pipeline'!R16="follow-up")+('MiT Strom Pipeline'!R16="Evaluation")+('MiT Strom Pipeline'!R16="tbd")+('MiT Strom Pipeline'!R16="In evaluation"))*('MiT Strom Pipeline'!B16&lt;&gt;""))&gt;0,IF('MiT Strom Pipeline'!B16="","",'MiT Strom Pipeline'!B16),"")</f>
        <v/>
      </c>
      <c r="C149" s="27">
        <f>IF(((('MiT Strom Pipeline'!R16="follow-up")+('MiT Strom Pipeline'!R16="Evaluation")+('MiT Strom Pipeline'!R16="tbd")+('MiT Strom Pipeline'!R16="In evaluation"))*('MiT Strom Pipeline'!B16&lt;&gt;""))&gt;0,IF('MiT Strom Pipeline'!C16="","",'MiT Strom Pipeline'!C16),"")</f>
        <v/>
      </c>
      <c r="D149" s="27">
        <f>IF(((('MiT Strom Pipeline'!R16="follow-up")+('MiT Strom Pipeline'!R16="Evaluation")+('MiT Strom Pipeline'!R16="tbd")+('MiT Strom Pipeline'!R16="In evaluation"))*('MiT Strom Pipeline'!B16&lt;&gt;""))&gt;0,IF('MiT Strom Pipeline'!D16="","",'MiT Strom Pipeline'!D16),"")</f>
        <v/>
      </c>
      <c r="E149" s="27">
        <f>IF(((('MiT Strom Pipeline'!R16="follow-up")+('MiT Strom Pipeline'!R16="Evaluation")+('MiT Strom Pipeline'!R16="tbd")+('MiT Strom Pipeline'!R16="In evaluation"))*('MiT Strom Pipeline'!B16&lt;&gt;""))&gt;0,IF('MiT Strom Pipeline'!H16="","",'MiT Strom Pipeline'!H16),"")</f>
        <v/>
      </c>
      <c r="F149" s="27">
        <f>IF(((('MiT Strom Pipeline'!R16="follow-up")+('MiT Strom Pipeline'!R16="Evaluation")+('MiT Strom Pipeline'!R16="tbd")+('MiT Strom Pipeline'!R16="In evaluation"))*('MiT Strom Pipeline'!B16&lt;&gt;""))&gt;0,IF('MiT Strom Pipeline'!E16="","",'MiT Strom Pipeline'!E16),"")</f>
        <v/>
      </c>
      <c r="G149" s="28">
        <f>IF(((('MiT Strom Pipeline'!R16="follow-up")+('MiT Strom Pipeline'!R16="Evaluation")+('MiT Strom Pipeline'!R16="tbd")+('MiT Strom Pipeline'!R16="In evaluation"))*('MiT Strom Pipeline'!B16&lt;&gt;""))&gt;0,IF(ISNUMBER('MiT Strom Pipeline'!I16),'MiT Strom Pipeline'!I16,0),"")</f>
        <v/>
      </c>
      <c r="H149" s="28">
        <f>IF(((('MiT Strom Pipeline'!R16="follow-up")+('MiT Strom Pipeline'!R16="Evaluation")+('MiT Strom Pipeline'!R16="tbd")+('MiT Strom Pipeline'!R16="In evaluation"))*('MiT Strom Pipeline'!B16&lt;&gt;""))&gt;0,IF(ISNUMBER('MiT Strom Pipeline'!Q16),'MiT Strom Pipeline'!Q16,0),"")</f>
        <v/>
      </c>
      <c r="I149" s="28">
        <f>IF(((('MiT Strom Pipeline'!R16="follow-up")+('MiT Strom Pipeline'!R16="Evaluation")+('MiT Strom Pipeline'!R16="tbd")+('MiT Strom Pipeline'!R16="In evaluation"))*('MiT Strom Pipeline'!B16&lt;&gt;""))&gt;0,IF(ISNUMBER('MiT Strom Pipeline'!O16),'MiT Strom Pipeline'!O16,0),"")</f>
        <v/>
      </c>
      <c r="J149" s="27">
        <f>IF(((('MiT Strom Pipeline'!R16="follow-up")+('MiT Strom Pipeline'!R16="Evaluation")+('MiT Strom Pipeline'!R16="tbd")+('MiT Strom Pipeline'!R16="In evaluation"))*('MiT Strom Pipeline'!B16&lt;&gt;""))&gt;0,'MiT Strom Pipeline'!R16,"")</f>
        <v/>
      </c>
      <c r="K149" s="29">
        <f>IF(((('MiT Strom Pipeline'!R16="follow-up")+('MiT Strom Pipeline'!R16="Evaluation")+('MiT Strom Pipeline'!R16="tbd")+('MiT Strom Pipeline'!R16="In evaluation"))*('MiT Strom Pipeline'!B16&lt;&gt;""))&gt;0,IF(ISNUMBER('MiT Strom Pipeline'!S16),'MiT Strom Pipeline'!S16,""),"")</f>
        <v/>
      </c>
      <c r="L149" s="27">
        <f>IF(((('MiT Strom Pipeline'!R16="follow-up")+('MiT Strom Pipeline'!R16="Evaluation")+('MiT Strom Pipeline'!R16="tbd")+('MiT Strom Pipeline'!R16="In evaluation"))*('MiT Strom Pipeline'!B16&lt;&gt;""))&gt;0,IF(LEN('MiT Strom Pipeline'!V16)&gt;0,LEFT('MiT Strom Pipeline'!V16,55),""),"")</f>
        <v/>
      </c>
      <c r="M149" s="22" t="n"/>
      <c r="N149" s="22" t="n"/>
      <c r="O149" s="22" t="n"/>
      <c r="P149" s="22" t="n"/>
      <c r="Q149" s="22" t="n"/>
      <c r="R149" s="22" t="n"/>
      <c r="S149" s="22" t="n"/>
    </row>
    <row r="150" hidden="1" ht="15.75" customHeight="1">
      <c r="A150" s="26">
        <f>IF(((('MiT Strom Pipeline'!R17="follow-up")+('MiT Strom Pipeline'!R17="Evaluation")+('MiT Strom Pipeline'!R17="tbd")+('MiT Strom Pipeline'!R17="In evaluation"))*('MiT Strom Pipeline'!B17&lt;&gt;""))&gt;0,IF(ISNUMBER('MiT Strom Pipeline'!A17),'MiT Strom Pipeline'!A17,""),"")</f>
        <v/>
      </c>
      <c r="B150" s="27">
        <f>IF(((('MiT Strom Pipeline'!R17="follow-up")+('MiT Strom Pipeline'!R17="Evaluation")+('MiT Strom Pipeline'!R17="tbd")+('MiT Strom Pipeline'!R17="In evaluation"))*('MiT Strom Pipeline'!B17&lt;&gt;""))&gt;0,IF('MiT Strom Pipeline'!B17="","",'MiT Strom Pipeline'!B17),"")</f>
        <v/>
      </c>
      <c r="C150" s="27">
        <f>IF(((('MiT Strom Pipeline'!R17="follow-up")+('MiT Strom Pipeline'!R17="Evaluation")+('MiT Strom Pipeline'!R17="tbd")+('MiT Strom Pipeline'!R17="In evaluation"))*('MiT Strom Pipeline'!B17&lt;&gt;""))&gt;0,IF('MiT Strom Pipeline'!C17="","",'MiT Strom Pipeline'!C17),"")</f>
        <v/>
      </c>
      <c r="D150" s="27">
        <f>IF(((('MiT Strom Pipeline'!R17="follow-up")+('MiT Strom Pipeline'!R17="Evaluation")+('MiT Strom Pipeline'!R17="tbd")+('MiT Strom Pipeline'!R17="In evaluation"))*('MiT Strom Pipeline'!B17&lt;&gt;""))&gt;0,IF('MiT Strom Pipeline'!D17="","",'MiT Strom Pipeline'!D17),"")</f>
        <v/>
      </c>
      <c r="E150" s="27">
        <f>IF(((('MiT Strom Pipeline'!R17="follow-up")+('MiT Strom Pipeline'!R17="Evaluation")+('MiT Strom Pipeline'!R17="tbd")+('MiT Strom Pipeline'!R17="In evaluation"))*('MiT Strom Pipeline'!B17&lt;&gt;""))&gt;0,IF('MiT Strom Pipeline'!H17="","",'MiT Strom Pipeline'!H17),"")</f>
        <v/>
      </c>
      <c r="F150" s="27">
        <f>IF(((('MiT Strom Pipeline'!R17="follow-up")+('MiT Strom Pipeline'!R17="Evaluation")+('MiT Strom Pipeline'!R17="tbd")+('MiT Strom Pipeline'!R17="In evaluation"))*('MiT Strom Pipeline'!B17&lt;&gt;""))&gt;0,IF('MiT Strom Pipeline'!E17="","",'MiT Strom Pipeline'!E17),"")</f>
        <v/>
      </c>
      <c r="G150" s="28">
        <f>IF(((('MiT Strom Pipeline'!R17="follow-up")+('MiT Strom Pipeline'!R17="Evaluation")+('MiT Strom Pipeline'!R17="tbd")+('MiT Strom Pipeline'!R17="In evaluation"))*('MiT Strom Pipeline'!B17&lt;&gt;""))&gt;0,IF(ISNUMBER('MiT Strom Pipeline'!I17),'MiT Strom Pipeline'!I17,0),"")</f>
        <v/>
      </c>
      <c r="H150" s="28">
        <f>IF(((('MiT Strom Pipeline'!R17="follow-up")+('MiT Strom Pipeline'!R17="Evaluation")+('MiT Strom Pipeline'!R17="tbd")+('MiT Strom Pipeline'!R17="In evaluation"))*('MiT Strom Pipeline'!B17&lt;&gt;""))&gt;0,IF(ISNUMBER('MiT Strom Pipeline'!Q17),'MiT Strom Pipeline'!Q17,0),"")</f>
        <v/>
      </c>
      <c r="I150" s="28">
        <f>IF(((('MiT Strom Pipeline'!R17="follow-up")+('MiT Strom Pipeline'!R17="Evaluation")+('MiT Strom Pipeline'!R17="tbd")+('MiT Strom Pipeline'!R17="In evaluation"))*('MiT Strom Pipeline'!B17&lt;&gt;""))&gt;0,IF(ISNUMBER('MiT Strom Pipeline'!O17),'MiT Strom Pipeline'!O17,0),"")</f>
        <v/>
      </c>
      <c r="J150" s="27">
        <f>IF(((('MiT Strom Pipeline'!R17="follow-up")+('MiT Strom Pipeline'!R17="Evaluation")+('MiT Strom Pipeline'!R17="tbd")+('MiT Strom Pipeline'!R17="In evaluation"))*('MiT Strom Pipeline'!B17&lt;&gt;""))&gt;0,'MiT Strom Pipeline'!R17,"")</f>
        <v/>
      </c>
      <c r="K150" s="29">
        <f>IF(((('MiT Strom Pipeline'!R17="follow-up")+('MiT Strom Pipeline'!R17="Evaluation")+('MiT Strom Pipeline'!R17="tbd")+('MiT Strom Pipeline'!R17="In evaluation"))*('MiT Strom Pipeline'!B17&lt;&gt;""))&gt;0,IF(ISNUMBER('MiT Strom Pipeline'!S17),'MiT Strom Pipeline'!S17,""),"")</f>
        <v/>
      </c>
      <c r="L150" s="27">
        <f>IF(((('MiT Strom Pipeline'!R17="follow-up")+('MiT Strom Pipeline'!R17="Evaluation")+('MiT Strom Pipeline'!R17="tbd")+('MiT Strom Pipeline'!R17="In evaluation"))*('MiT Strom Pipeline'!B17&lt;&gt;""))&gt;0,IF(LEN('MiT Strom Pipeline'!V17)&gt;0,LEFT('MiT Strom Pipeline'!V17,55),""),"")</f>
        <v/>
      </c>
      <c r="M150" s="22" t="n"/>
      <c r="N150" s="22" t="n"/>
      <c r="O150" s="22" t="n"/>
      <c r="P150" s="22" t="n"/>
      <c r="Q150" s="22" t="n"/>
      <c r="R150" s="22" t="n"/>
      <c r="S150" s="22" t="n"/>
    </row>
    <row r="151" hidden="1" ht="15.75" customHeight="1">
      <c r="A151" s="26">
        <f>IF(((('MiT Strom Pipeline'!R18="follow-up")+('MiT Strom Pipeline'!R18="Evaluation")+('MiT Strom Pipeline'!R18="tbd")+('MiT Strom Pipeline'!R18="In evaluation"))*('MiT Strom Pipeline'!B18&lt;&gt;""))&gt;0,IF(ISNUMBER('MiT Strom Pipeline'!A18),'MiT Strom Pipeline'!A18,""),"")</f>
        <v>13</v>
      </c>
      <c r="B151" s="27" t="str">
        <f>IF(((('MiT Strom Pipeline'!R18="follow-up")+('MiT Strom Pipeline'!R18="Evaluation")+('MiT Strom Pipeline'!R18="tbd")+('MiT Strom Pipeline'!R18="In evaluation"))*('MiT Strom Pipeline'!B18&lt;&gt;""))&gt;0,IF('MiT Strom Pipeline'!B18="","",'MiT Strom Pipeline'!B18),"")</f>
        <v>Proxima Fusion AG</v>
      </c>
      <c r="C151" s="27" t="str">
        <f>IF(((('MiT Strom Pipeline'!R18="follow-up")+('MiT Strom Pipeline'!R18="Evaluation")+('MiT Strom Pipeline'!R18="tbd")+('MiT Strom Pipeline'!R18="In evaluation"))*('MiT Strom Pipeline'!B18&lt;&gt;""))&gt;0,IF('MiT Strom Pipeline'!C18="","",'MiT Strom Pipeline'!C18),"")</f>
        <v>ZH</v>
      </c>
      <c r="D151" s="27" t="str">
        <f>IF(((('MiT Strom Pipeline'!R18="follow-up")+('MiT Strom Pipeline'!R18="Evaluation")+('MiT Strom Pipeline'!R18="tbd")+('MiT Strom Pipeline'!R18="In evaluation"))*('MiT Strom Pipeline'!B18&lt;&gt;""))&gt;0,IF('MiT Strom Pipeline'!D18="","",'MiT Strom Pipeline'!D18),"")</f>
        <v>Forschung / Hightech</v>
      </c>
      <c r="E151" s="27" t="str">
        <f>IF(((('MiT Strom Pipeline'!R18="follow-up")+('MiT Strom Pipeline'!R18="Evaluation")+('MiT Strom Pipeline'!R18="tbd")+('MiT Strom Pipeline'!R18="In evaluation"))*('MiT Strom Pipeline'!B18&lt;&gt;""))&gt;0,IF('MiT Strom Pipeline'!H18="","",'MiT Strom Pipeline'!H18),"")</f>
        <v>Juli</v>
      </c>
      <c r="F151" s="27" t="str">
        <f>IF(((('MiT Strom Pipeline'!R18="follow-up")+('MiT Strom Pipeline'!R18="Evaluation")+('MiT Strom Pipeline'!R18="tbd")+('MiT Strom Pipeline'!R18="In evaluation"))*('MiT Strom Pipeline'!B18&lt;&gt;""))&gt;0,IF('MiT Strom Pipeline'!E18="","",'MiT Strom Pipeline'!E18),"")</f>
        <v>BESS 1 MWh</v>
      </c>
      <c r="G151" s="28">
        <f>IF(((('MiT Strom Pipeline'!R18="follow-up")+('MiT Strom Pipeline'!R18="Evaluation")+('MiT Strom Pipeline'!R18="tbd")+('MiT Strom Pipeline'!R18="In evaluation"))*('MiT Strom Pipeline'!B18&lt;&gt;""))&gt;0,IF(ISNUMBER('MiT Strom Pipeline'!I18),'MiT Strom Pipeline'!I18,0),"")</f>
        <v>365003</v>
      </c>
      <c r="H151" s="28">
        <f>IF(((('MiT Strom Pipeline'!R18="follow-up")+('MiT Strom Pipeline'!R18="Evaluation")+('MiT Strom Pipeline'!R18="tbd")+('MiT Strom Pipeline'!R18="In evaluation"))*('MiT Strom Pipeline'!B18&lt;&gt;""))&gt;0,IF(ISNUMBER('MiT Strom Pipeline'!Q18),'MiT Strom Pipeline'!Q18,0),"")</f>
        <v>182501.5</v>
      </c>
      <c r="I151" s="28">
        <f>IF(((('MiT Strom Pipeline'!R18="follow-up")+('MiT Strom Pipeline'!R18="Evaluation")+('MiT Strom Pipeline'!R18="tbd")+('MiT Strom Pipeline'!R18="In evaluation"))*('MiT Strom Pipeline'!B18&lt;&gt;""))&gt;0,IF(ISNUMBER('MiT Strom Pipeline'!O18),'MiT Strom Pipeline'!O18,0),"")</f>
        <v>30087</v>
      </c>
      <c r="J151" s="27" t="str">
        <f>IF(((('MiT Strom Pipeline'!R18="follow-up")+('MiT Strom Pipeline'!R18="Evaluation")+('MiT Strom Pipeline'!R18="tbd")+('MiT Strom Pipeline'!R18="In evaluation"))*('MiT Strom Pipeline'!B18&lt;&gt;""))&gt;0,'MiT Strom Pipeline'!R18,"")</f>
        <v>follow-up</v>
      </c>
      <c r="K151" s="29">
        <f>IF(((('MiT Strom Pipeline'!R18="follow-up")+('MiT Strom Pipeline'!R18="Evaluation")+('MiT Strom Pipeline'!R18="tbd")+('MiT Strom Pipeline'!R18="In evaluation"))*('MiT Strom Pipeline'!B18&lt;&gt;""))&gt;0,IF(ISNUMBER('MiT Strom Pipeline'!S18),'MiT Strom Pipeline'!S18,""),"")</f>
        <v>0.5</v>
      </c>
      <c r="L151" s="27" t="str">
        <f>IF(((('MiT Strom Pipeline'!R18="follow-up")+('MiT Strom Pipeline'!R18="Evaluation")+('MiT Strom Pipeline'!R18="tbd")+('MiT Strom Pipeline'!R18="In evaluation"))*('MiT Strom Pipeline'!B18&lt;&gt;""))&gt;0,IF(LEN('MiT Strom Pipeline'!V18)&gt;0,LEFT('MiT Strom Pipeline'!V18,55),""),"")</f>
        <v>Technisches Gespräch – USV + PQ-Anforderungen klären, K</v>
      </c>
      <c r="M151" s="22" t="n"/>
      <c r="N151" s="22" t="n"/>
      <c r="O151" s="22" t="n"/>
      <c r="P151" s="22" t="n"/>
      <c r="Q151" s="22" t="n"/>
      <c r="R151" s="22" t="n"/>
      <c r="S151" s="22" t="n"/>
    </row>
    <row r="152" hidden="1" ht="15.75" customHeight="1">
      <c r="A152" s="26">
        <f>IF(((('MiT Strom Pipeline'!R19="follow-up")+('MiT Strom Pipeline'!R19="Evaluation")+('MiT Strom Pipeline'!R19="tbd")+('MiT Strom Pipeline'!R19="In evaluation"))*('MiT Strom Pipeline'!B19&lt;&gt;""))&gt;0,IF(ISNUMBER('MiT Strom Pipeline'!A19),'MiT Strom Pipeline'!A19,""),"")</f>
        <v>25</v>
      </c>
      <c r="B152" s="27" t="str">
        <f>IF(((('MiT Strom Pipeline'!R19="follow-up")+('MiT Strom Pipeline'!R19="Evaluation")+('MiT Strom Pipeline'!R19="tbd")+('MiT Strom Pipeline'!R19="In evaluation"))*('MiT Strom Pipeline'!B19&lt;&gt;""))&gt;0,IF('MiT Strom Pipeline'!B19="","",'MiT Strom Pipeline'!B19),"")</f>
        <v>Reto EKAG</v>
      </c>
      <c r="C152" s="27" t="str">
        <f>IF(((('MiT Strom Pipeline'!R19="follow-up")+('MiT Strom Pipeline'!R19="Evaluation")+('MiT Strom Pipeline'!R19="tbd")+('MiT Strom Pipeline'!R19="In evaluation"))*('MiT Strom Pipeline'!B19&lt;&gt;""))&gt;0,IF('MiT Strom Pipeline'!C19="","",'MiT Strom Pipeline'!C19),"")</f>
        <v>AG</v>
      </c>
      <c r="D152" s="27" t="str">
        <f>IF(((('MiT Strom Pipeline'!R19="follow-up")+('MiT Strom Pipeline'!R19="Evaluation")+('MiT Strom Pipeline'!R19="tbd")+('MiT Strom Pipeline'!R19="In evaluation"))*('MiT Strom Pipeline'!B19&lt;&gt;""))&gt;0,IF('MiT Strom Pipeline'!D19="","",'MiT Strom Pipeline'!D19),"")</f>
        <v>Elektroinstallation</v>
      </c>
      <c r="E152" s="27" t="str">
        <f>IF(((('MiT Strom Pipeline'!R19="follow-up")+('MiT Strom Pipeline'!R19="Evaluation")+('MiT Strom Pipeline'!R19="tbd")+('MiT Strom Pipeline'!R19="In evaluation"))*('MiT Strom Pipeline'!B19&lt;&gt;""))&gt;0,IF('MiT Strom Pipeline'!H19="","",'MiT Strom Pipeline'!H19),"")</f>
        <v>Okt</v>
      </c>
      <c r="F152" s="27" t="str">
        <f>IF(((('MiT Strom Pipeline'!R19="follow-up")+('MiT Strom Pipeline'!R19="Evaluation")+('MiT Strom Pipeline'!R19="tbd")+('MiT Strom Pipeline'!R19="In evaluation"))*('MiT Strom Pipeline'!B19&lt;&gt;""))&gt;0,IF('MiT Strom Pipeline'!E19="","",'MiT Strom Pipeline'!E19),"")</f>
        <v>Option B 1x 6 kVA Trafo, 1x 3000 kVA Trafo, 1x 6000 kVA Lastbank, 1x 3300 kVA Lastbank</v>
      </c>
      <c r="G152" s="28">
        <f>IF(((('MiT Strom Pipeline'!R19="follow-up")+('MiT Strom Pipeline'!R19="Evaluation")+('MiT Strom Pipeline'!R19="tbd")+('MiT Strom Pipeline'!R19="In evaluation"))*('MiT Strom Pipeline'!B19&lt;&gt;""))&gt;0,IF(ISNUMBER('MiT Strom Pipeline'!I19),'MiT Strom Pipeline'!I19,0),"")</f>
        <v>57249.54</v>
      </c>
      <c r="H152" s="28">
        <f>IF(((('MiT Strom Pipeline'!R19="follow-up")+('MiT Strom Pipeline'!R19="Evaluation")+('MiT Strom Pipeline'!R19="tbd")+('MiT Strom Pipeline'!R19="In evaluation"))*('MiT Strom Pipeline'!B19&lt;&gt;""))&gt;0,IF(ISNUMBER('MiT Strom Pipeline'!Q19),'MiT Strom Pipeline'!Q19,0),"")</f>
        <v>40074.678</v>
      </c>
      <c r="I152" s="28">
        <f>IF(((('MiT Strom Pipeline'!R19="follow-up")+('MiT Strom Pipeline'!R19="Evaluation")+('MiT Strom Pipeline'!R19="tbd")+('MiT Strom Pipeline'!R19="In evaluation"))*('MiT Strom Pipeline'!B19&lt;&gt;""))&gt;0,IF(ISNUMBER('MiT Strom Pipeline'!O19),'MiT Strom Pipeline'!O19,0),"")</f>
        <v>-21565.77</v>
      </c>
      <c r="J152" s="27" t="str">
        <f>IF(((('MiT Strom Pipeline'!R19="follow-up")+('MiT Strom Pipeline'!R19="Evaluation")+('MiT Strom Pipeline'!R19="tbd")+('MiT Strom Pipeline'!R19="In evaluation"))*('MiT Strom Pipeline'!B19&lt;&gt;""))&gt;0,'MiT Strom Pipeline'!R19,"")</f>
        <v>Evaluation</v>
      </c>
      <c r="K152" s="29">
        <f>IF(((('MiT Strom Pipeline'!R19="follow-up")+('MiT Strom Pipeline'!R19="Evaluation")+('MiT Strom Pipeline'!R19="tbd")+('MiT Strom Pipeline'!R19="In evaluation"))*('MiT Strom Pipeline'!B19&lt;&gt;""))&gt;0,IF(ISNUMBER('MiT Strom Pipeline'!S19),'MiT Strom Pipeline'!S19,""),"")</f>
        <v>0.7</v>
      </c>
      <c r="L152" s="27" t="str">
        <f>IF(((('MiT Strom Pipeline'!R19="follow-up")+('MiT Strom Pipeline'!R19="Evaluation")+('MiT Strom Pipeline'!R19="tbd")+('MiT Strom Pipeline'!R19="In evaluation"))*('MiT Strom Pipeline'!B19&lt;&gt;""))&gt;0,IF(LEN('MiT Strom Pipeline'!V19)&gt;0,LEFT('MiT Strom Pipeline'!V19,55),""),"")</f>
        <v>Kunde Telefon Kontaktiert und Vor Ort 
Besichtigung und</v>
      </c>
      <c r="M152" s="22" t="n"/>
      <c r="N152" s="22" t="n"/>
      <c r="O152" s="22" t="n"/>
      <c r="P152" s="22" t="n"/>
      <c r="Q152" s="22" t="n"/>
      <c r="R152" s="22" t="n"/>
      <c r="S152" s="22" t="n"/>
    </row>
    <row r="153" hidden="1" ht="15.75" customHeight="1">
      <c r="A153" s="26">
        <f>IF(((('MiT Strom Pipeline'!R20="follow-up")+('MiT Strom Pipeline'!R20="Evaluation")+('MiT Strom Pipeline'!R20="tbd")+('MiT Strom Pipeline'!R20="In evaluation"))*('MiT Strom Pipeline'!B20&lt;&gt;""))&gt;0,IF(ISNUMBER('MiT Strom Pipeline'!A20),'MiT Strom Pipeline'!A20,""),"")</f>
        <v>25</v>
      </c>
      <c r="B153" s="27" t="str">
        <f>IF(((('MiT Strom Pipeline'!R20="follow-up")+('MiT Strom Pipeline'!R20="Evaluation")+('MiT Strom Pipeline'!R20="tbd")+('MiT Strom Pipeline'!R20="In evaluation"))*('MiT Strom Pipeline'!B20&lt;&gt;""))&gt;0,IF('MiT Strom Pipeline'!B20="","",'MiT Strom Pipeline'!B20),"")</f>
        <v>Reto EKAG</v>
      </c>
      <c r="C153" s="27" t="str">
        <f>IF(((('MiT Strom Pipeline'!R20="follow-up")+('MiT Strom Pipeline'!R20="Evaluation")+('MiT Strom Pipeline'!R20="tbd")+('MiT Strom Pipeline'!R20="In evaluation"))*('MiT Strom Pipeline'!B20&lt;&gt;""))&gt;0,IF('MiT Strom Pipeline'!C20="","",'MiT Strom Pipeline'!C20),"")</f>
        <v>AG</v>
      </c>
      <c r="D153" s="27" t="str">
        <f>IF(((('MiT Strom Pipeline'!R20="follow-up")+('MiT Strom Pipeline'!R20="Evaluation")+('MiT Strom Pipeline'!R20="tbd")+('MiT Strom Pipeline'!R20="In evaluation"))*('MiT Strom Pipeline'!B20&lt;&gt;""))&gt;0,IF('MiT Strom Pipeline'!D20="","",'MiT Strom Pipeline'!D20),"")</f>
        <v>Elektroinstallation</v>
      </c>
      <c r="E153" s="27" t="str">
        <f>IF(((('MiT Strom Pipeline'!R20="follow-up")+('MiT Strom Pipeline'!R20="Evaluation")+('MiT Strom Pipeline'!R20="tbd")+('MiT Strom Pipeline'!R20="In evaluation"))*('MiT Strom Pipeline'!B20&lt;&gt;""))&gt;0,IF('MiT Strom Pipeline'!H20="","",'MiT Strom Pipeline'!H20),"")</f>
        <v>Okt</v>
      </c>
      <c r="F153" s="27" t="str">
        <f>IF(((('MiT Strom Pipeline'!R20="follow-up")+('MiT Strom Pipeline'!R20="Evaluation")+('MiT Strom Pipeline'!R20="tbd")+('MiT Strom Pipeline'!R20="In evaluation"))*('MiT Strom Pipeline'!B20&lt;&gt;""))&gt;0,IF('MiT Strom Pipeline'!E20="","",'MiT Strom Pipeline'!E20),"")</f>
        <v>MS Kabel 95mm</v>
      </c>
      <c r="G153" s="28">
        <f>IF(((('MiT Strom Pipeline'!R20="follow-up")+('MiT Strom Pipeline'!R20="Evaluation")+('MiT Strom Pipeline'!R20="tbd")+('MiT Strom Pipeline'!R20="In evaluation"))*('MiT Strom Pipeline'!B20&lt;&gt;""))&gt;0,IF(ISNUMBER('MiT Strom Pipeline'!I20),'MiT Strom Pipeline'!I20,0),"")</f>
        <v>15664.18</v>
      </c>
      <c r="H153" s="28">
        <f>IF(((('MiT Strom Pipeline'!R20="follow-up")+('MiT Strom Pipeline'!R20="Evaluation")+('MiT Strom Pipeline'!R20="tbd")+('MiT Strom Pipeline'!R20="In evaluation"))*('MiT Strom Pipeline'!B20&lt;&gt;""))&gt;0,IF(ISNUMBER('MiT Strom Pipeline'!Q20),'MiT Strom Pipeline'!Q20,0),"")</f>
        <v>10964.926</v>
      </c>
      <c r="I153" s="28">
        <f>IF(((('MiT Strom Pipeline'!R20="follow-up")+('MiT Strom Pipeline'!R20="Evaluation")+('MiT Strom Pipeline'!R20="tbd")+('MiT Strom Pipeline'!R20="In evaluation"))*('MiT Strom Pipeline'!B20&lt;&gt;""))&gt;0,IF(ISNUMBER('MiT Strom Pipeline'!O20),'MiT Strom Pipeline'!O20,0),"")</f>
        <v>18</v>
      </c>
      <c r="J153" s="27" t="str">
        <f>IF(((('MiT Strom Pipeline'!R20="follow-up")+('MiT Strom Pipeline'!R20="Evaluation")+('MiT Strom Pipeline'!R20="tbd")+('MiT Strom Pipeline'!R20="In evaluation"))*('MiT Strom Pipeline'!B20&lt;&gt;""))&gt;0,'MiT Strom Pipeline'!R20,"")</f>
        <v>Evaluation</v>
      </c>
      <c r="K153" s="29">
        <f>IF(((('MiT Strom Pipeline'!R20="follow-up")+('MiT Strom Pipeline'!R20="Evaluation")+('MiT Strom Pipeline'!R20="tbd")+('MiT Strom Pipeline'!R20="In evaluation"))*('MiT Strom Pipeline'!B20&lt;&gt;""))&gt;0,IF(ISNUMBER('MiT Strom Pipeline'!S20),'MiT Strom Pipeline'!S20,""),"")</f>
        <v>0.7</v>
      </c>
      <c r="L153" s="27" t="str">
        <f>IF(((('MiT Strom Pipeline'!R20="follow-up")+('MiT Strom Pipeline'!R20="Evaluation")+('MiT Strom Pipeline'!R20="tbd")+('MiT Strom Pipeline'!R20="In evaluation"))*('MiT Strom Pipeline'!B20&lt;&gt;""))&gt;0,IF(LEN('MiT Strom Pipeline'!V20)&gt;0,LEFT('MiT Strom Pipeline'!V20,55),""),"")</f>
        <v>Kunde Telefon Kontaktiert und Vor Ort 
Besichtigung und</v>
      </c>
      <c r="M153" s="22" t="n"/>
      <c r="N153" s="22" t="n"/>
      <c r="O153" s="22" t="n"/>
      <c r="P153" s="22" t="n"/>
      <c r="Q153" s="22" t="n"/>
      <c r="R153" s="22" t="n"/>
      <c r="S153" s="22" t="n"/>
    </row>
    <row r="154" ht="15.75" customHeight="1">
      <c r="A154" s="26">
        <f>IF(((('MiT Strom Pipeline'!R21="follow-up")+('MiT Strom Pipeline'!R21="Evaluation")+('MiT Strom Pipeline'!R21="tbd")+('MiT Strom Pipeline'!R21="In evaluation"))*('MiT Strom Pipeline'!B21&lt;&gt;""))&gt;0,IF(ISNUMBER('MiT Strom Pipeline'!A21),'MiT Strom Pipeline'!A21,""),"")</f>
        <v/>
      </c>
      <c r="B154" s="27">
        <f>IF(((('MiT Strom Pipeline'!R21="follow-up")+('MiT Strom Pipeline'!R21="Evaluation")+('MiT Strom Pipeline'!R21="tbd")+('MiT Strom Pipeline'!R21="In evaluation"))*('MiT Strom Pipeline'!B21&lt;&gt;""))&gt;0,IF('MiT Strom Pipeline'!B21="","",'MiT Strom Pipeline'!B21),"")</f>
        <v/>
      </c>
      <c r="C154" s="27">
        <f>IF(((('MiT Strom Pipeline'!R21="follow-up")+('MiT Strom Pipeline'!R21="Evaluation")+('MiT Strom Pipeline'!R21="tbd")+('MiT Strom Pipeline'!R21="In evaluation"))*('MiT Strom Pipeline'!B21&lt;&gt;""))&gt;0,IF('MiT Strom Pipeline'!C21="","",'MiT Strom Pipeline'!C21),"")</f>
        <v/>
      </c>
      <c r="D154" s="27">
        <f>IF(((('MiT Strom Pipeline'!R21="follow-up")+('MiT Strom Pipeline'!R21="Evaluation")+('MiT Strom Pipeline'!R21="tbd")+('MiT Strom Pipeline'!R21="In evaluation"))*('MiT Strom Pipeline'!B21&lt;&gt;""))&gt;0,IF('MiT Strom Pipeline'!D21="","",'MiT Strom Pipeline'!D21),"")</f>
        <v/>
      </c>
      <c r="E154" s="27">
        <f>IF(((('MiT Strom Pipeline'!R21="follow-up")+('MiT Strom Pipeline'!R21="Evaluation")+('MiT Strom Pipeline'!R21="tbd")+('MiT Strom Pipeline'!R21="In evaluation"))*('MiT Strom Pipeline'!B21&lt;&gt;""))&gt;0,IF('MiT Strom Pipeline'!H21="","",'MiT Strom Pipeline'!H21),"")</f>
        <v/>
      </c>
      <c r="F154" s="27">
        <f>IF(((('MiT Strom Pipeline'!R21="follow-up")+('MiT Strom Pipeline'!R21="Evaluation")+('MiT Strom Pipeline'!R21="tbd")+('MiT Strom Pipeline'!R21="In evaluation"))*('MiT Strom Pipeline'!B21&lt;&gt;""))&gt;0,IF('MiT Strom Pipeline'!E21="","",'MiT Strom Pipeline'!E21),"")</f>
        <v/>
      </c>
      <c r="G154" s="28">
        <f>IF(((('MiT Strom Pipeline'!R21="follow-up")+('MiT Strom Pipeline'!R21="Evaluation")+('MiT Strom Pipeline'!R21="tbd")+('MiT Strom Pipeline'!R21="In evaluation"))*('MiT Strom Pipeline'!B21&lt;&gt;""))&gt;0,IF(ISNUMBER('MiT Strom Pipeline'!I21),'MiT Strom Pipeline'!I21,0),"")</f>
        <v/>
      </c>
      <c r="H154" s="28">
        <f>IF(((('MiT Strom Pipeline'!R21="follow-up")+('MiT Strom Pipeline'!R21="Evaluation")+('MiT Strom Pipeline'!R21="tbd")+('MiT Strom Pipeline'!R21="In evaluation"))*('MiT Strom Pipeline'!B21&lt;&gt;""))&gt;0,IF(ISNUMBER('MiT Strom Pipeline'!Q21),'MiT Strom Pipeline'!Q21,0),"")</f>
        <v/>
      </c>
      <c r="I154" s="28">
        <f>IF(((('MiT Strom Pipeline'!R21="follow-up")+('MiT Strom Pipeline'!R21="Evaluation")+('MiT Strom Pipeline'!R21="tbd")+('MiT Strom Pipeline'!R21="In evaluation"))*('MiT Strom Pipeline'!B21&lt;&gt;""))&gt;0,IF(ISNUMBER('MiT Strom Pipeline'!O21),'MiT Strom Pipeline'!O21,0),"")</f>
        <v/>
      </c>
      <c r="J154" s="27">
        <f>IF(((('MiT Strom Pipeline'!R21="follow-up")+('MiT Strom Pipeline'!R21="Evaluation")+('MiT Strom Pipeline'!R21="tbd")+('MiT Strom Pipeline'!R21="In evaluation"))*('MiT Strom Pipeline'!B21&lt;&gt;""))&gt;0,'MiT Strom Pipeline'!R21,"")</f>
        <v/>
      </c>
      <c r="K154" s="29">
        <f>IF(((('MiT Strom Pipeline'!R21="follow-up")+('MiT Strom Pipeline'!R21="Evaluation")+('MiT Strom Pipeline'!R21="tbd")+('MiT Strom Pipeline'!R21="In evaluation"))*('MiT Strom Pipeline'!B21&lt;&gt;""))&gt;0,IF(ISNUMBER('MiT Strom Pipeline'!S21),'MiT Strom Pipeline'!S21,""),"")</f>
        <v/>
      </c>
      <c r="L154" s="27">
        <f>IF(((('MiT Strom Pipeline'!R21="follow-up")+('MiT Strom Pipeline'!R21="Evaluation")+('MiT Strom Pipeline'!R21="tbd")+('MiT Strom Pipeline'!R21="In evaluation"))*('MiT Strom Pipeline'!B21&lt;&gt;""))&gt;0,IF(LEN('MiT Strom Pipeline'!V21)&gt;0,LEFT('MiT Strom Pipeline'!V21,55),""),"")</f>
        <v/>
      </c>
      <c r="M154" s="22" t="n"/>
      <c r="N154" s="22" t="n"/>
      <c r="O154" s="22" t="n"/>
      <c r="P154" s="22" t="n"/>
      <c r="Q154" s="22" t="n"/>
      <c r="R154" s="22" t="n"/>
      <c r="S154" s="22" t="n"/>
    </row>
    <row r="155" hidden="1" ht="15.75" customHeight="1">
      <c r="A155" s="26">
        <f>IF(((('MiT Strom Pipeline'!R22="follow-up")+('MiT Strom Pipeline'!R22="Evaluation")+('MiT Strom Pipeline'!R22="tbd")+('MiT Strom Pipeline'!R22="In evaluation"))*('MiT Strom Pipeline'!B22&lt;&gt;""))&gt;0,IF(ISNUMBER('MiT Strom Pipeline'!A22),'MiT Strom Pipeline'!A22,""),"")</f>
        <v/>
      </c>
      <c r="B155" s="27">
        <f>IF(((('MiT Strom Pipeline'!R22="follow-up")+('MiT Strom Pipeline'!R22="Evaluation")+('MiT Strom Pipeline'!R22="tbd")+('MiT Strom Pipeline'!R22="In evaluation"))*('MiT Strom Pipeline'!B22&lt;&gt;""))&gt;0,IF('MiT Strom Pipeline'!B22="","",'MiT Strom Pipeline'!B22),"")</f>
        <v/>
      </c>
      <c r="C155" s="27">
        <f>IF(((('MiT Strom Pipeline'!R22="follow-up")+('MiT Strom Pipeline'!R22="Evaluation")+('MiT Strom Pipeline'!R22="tbd")+('MiT Strom Pipeline'!R22="In evaluation"))*('MiT Strom Pipeline'!B22&lt;&gt;""))&gt;0,IF('MiT Strom Pipeline'!C22="","",'MiT Strom Pipeline'!C22),"")</f>
        <v/>
      </c>
      <c r="D155" s="27">
        <f>IF(((('MiT Strom Pipeline'!R22="follow-up")+('MiT Strom Pipeline'!R22="Evaluation")+('MiT Strom Pipeline'!R22="tbd")+('MiT Strom Pipeline'!R22="In evaluation"))*('MiT Strom Pipeline'!B22&lt;&gt;""))&gt;0,IF('MiT Strom Pipeline'!D22="","",'MiT Strom Pipeline'!D22),"")</f>
        <v/>
      </c>
      <c r="E155" s="27">
        <f>IF(((('MiT Strom Pipeline'!R22="follow-up")+('MiT Strom Pipeline'!R22="Evaluation")+('MiT Strom Pipeline'!R22="tbd")+('MiT Strom Pipeline'!R22="In evaluation"))*('MiT Strom Pipeline'!B22&lt;&gt;""))&gt;0,IF('MiT Strom Pipeline'!H22="","",'MiT Strom Pipeline'!H22),"")</f>
        <v/>
      </c>
      <c r="F155" s="27">
        <f>IF(((('MiT Strom Pipeline'!R22="follow-up")+('MiT Strom Pipeline'!R22="Evaluation")+('MiT Strom Pipeline'!R22="tbd")+('MiT Strom Pipeline'!R22="In evaluation"))*('MiT Strom Pipeline'!B22&lt;&gt;""))&gt;0,IF('MiT Strom Pipeline'!E22="","",'MiT Strom Pipeline'!E22),"")</f>
        <v/>
      </c>
      <c r="G155" s="28">
        <f>IF(((('MiT Strom Pipeline'!R22="follow-up")+('MiT Strom Pipeline'!R22="Evaluation")+('MiT Strom Pipeline'!R22="tbd")+('MiT Strom Pipeline'!R22="In evaluation"))*('MiT Strom Pipeline'!B22&lt;&gt;""))&gt;0,IF(ISNUMBER('MiT Strom Pipeline'!I22),'MiT Strom Pipeline'!I22,0),"")</f>
        <v/>
      </c>
      <c r="H155" s="28">
        <f>IF(((('MiT Strom Pipeline'!R22="follow-up")+('MiT Strom Pipeline'!R22="Evaluation")+('MiT Strom Pipeline'!R22="tbd")+('MiT Strom Pipeline'!R22="In evaluation"))*('MiT Strom Pipeline'!B22&lt;&gt;""))&gt;0,IF(ISNUMBER('MiT Strom Pipeline'!Q22),'MiT Strom Pipeline'!Q22,0),"")</f>
        <v/>
      </c>
      <c r="I155" s="28">
        <f>IF(((('MiT Strom Pipeline'!R22="follow-up")+('MiT Strom Pipeline'!R22="Evaluation")+('MiT Strom Pipeline'!R22="tbd")+('MiT Strom Pipeline'!R22="In evaluation"))*('MiT Strom Pipeline'!B22&lt;&gt;""))&gt;0,IF(ISNUMBER('MiT Strom Pipeline'!O22),'MiT Strom Pipeline'!O22,0),"")</f>
        <v/>
      </c>
      <c r="J155" s="27">
        <f>IF(((('MiT Strom Pipeline'!R22="follow-up")+('MiT Strom Pipeline'!R22="Evaluation")+('MiT Strom Pipeline'!R22="tbd")+('MiT Strom Pipeline'!R22="In evaluation"))*('MiT Strom Pipeline'!B22&lt;&gt;""))&gt;0,'MiT Strom Pipeline'!R22,"")</f>
        <v/>
      </c>
      <c r="K155" s="29">
        <f>IF(((('MiT Strom Pipeline'!R22="follow-up")+('MiT Strom Pipeline'!R22="Evaluation")+('MiT Strom Pipeline'!R22="tbd")+('MiT Strom Pipeline'!R22="In evaluation"))*('MiT Strom Pipeline'!B22&lt;&gt;""))&gt;0,IF(ISNUMBER('MiT Strom Pipeline'!S22),'MiT Strom Pipeline'!S22,""),"")</f>
        <v/>
      </c>
      <c r="L155" s="27">
        <f>IF(((('MiT Strom Pipeline'!R22="follow-up")+('MiT Strom Pipeline'!R22="Evaluation")+('MiT Strom Pipeline'!R22="tbd")+('MiT Strom Pipeline'!R22="In evaluation"))*('MiT Strom Pipeline'!B22&lt;&gt;""))&gt;0,IF(LEN('MiT Strom Pipeline'!V22)&gt;0,LEFT('MiT Strom Pipeline'!V22,55),""),"")</f>
        <v/>
      </c>
      <c r="M155" s="22" t="n"/>
      <c r="N155" s="22" t="n"/>
      <c r="O155" s="22" t="n"/>
      <c r="P155" s="22" t="n"/>
      <c r="Q155" s="22" t="n"/>
      <c r="R155" s="22" t="n"/>
      <c r="S155" s="22" t="n"/>
    </row>
    <row r="156" hidden="1" ht="15.75" customHeight="1">
      <c r="A156" s="26">
        <f>IF(((('MiT Strom Pipeline'!R23="follow-up")+('MiT Strom Pipeline'!R23="Evaluation")+('MiT Strom Pipeline'!R23="tbd")+('MiT Strom Pipeline'!R23="In evaluation"))*('MiT Strom Pipeline'!B23&lt;&gt;""))&gt;0,IF(ISNUMBER('MiT Strom Pipeline'!A23),'MiT Strom Pipeline'!A23,""),"")</f>
        <v/>
      </c>
      <c r="B156" s="27">
        <f>IF(((('MiT Strom Pipeline'!R23="follow-up")+('MiT Strom Pipeline'!R23="Evaluation")+('MiT Strom Pipeline'!R23="tbd")+('MiT Strom Pipeline'!R23="In evaluation"))*('MiT Strom Pipeline'!B23&lt;&gt;""))&gt;0,IF('MiT Strom Pipeline'!B23="","",'MiT Strom Pipeline'!B23),"")</f>
        <v/>
      </c>
      <c r="C156" s="27">
        <f>IF(((('MiT Strom Pipeline'!R23="follow-up")+('MiT Strom Pipeline'!R23="Evaluation")+('MiT Strom Pipeline'!R23="tbd")+('MiT Strom Pipeline'!R23="In evaluation"))*('MiT Strom Pipeline'!B23&lt;&gt;""))&gt;0,IF('MiT Strom Pipeline'!C23="","",'MiT Strom Pipeline'!C23),"")</f>
        <v/>
      </c>
      <c r="D156" s="27">
        <f>IF(((('MiT Strom Pipeline'!R23="follow-up")+('MiT Strom Pipeline'!R23="Evaluation")+('MiT Strom Pipeline'!R23="tbd")+('MiT Strom Pipeline'!R23="In evaluation"))*('MiT Strom Pipeline'!B23&lt;&gt;""))&gt;0,IF('MiT Strom Pipeline'!D23="","",'MiT Strom Pipeline'!D23),"")</f>
        <v/>
      </c>
      <c r="E156" s="27">
        <f>IF(((('MiT Strom Pipeline'!R23="follow-up")+('MiT Strom Pipeline'!R23="Evaluation")+('MiT Strom Pipeline'!R23="tbd")+('MiT Strom Pipeline'!R23="In evaluation"))*('MiT Strom Pipeline'!B23&lt;&gt;""))&gt;0,IF('MiT Strom Pipeline'!H23="","",'MiT Strom Pipeline'!H23),"")</f>
        <v/>
      </c>
      <c r="F156" s="27">
        <f>IF(((('MiT Strom Pipeline'!R23="follow-up")+('MiT Strom Pipeline'!R23="Evaluation")+('MiT Strom Pipeline'!R23="tbd")+('MiT Strom Pipeline'!R23="In evaluation"))*('MiT Strom Pipeline'!B23&lt;&gt;""))&gt;0,IF('MiT Strom Pipeline'!E23="","",'MiT Strom Pipeline'!E23),"")</f>
        <v/>
      </c>
      <c r="G156" s="28">
        <f>IF(((('MiT Strom Pipeline'!R23="follow-up")+('MiT Strom Pipeline'!R23="Evaluation")+('MiT Strom Pipeline'!R23="tbd")+('MiT Strom Pipeline'!R23="In evaluation"))*('MiT Strom Pipeline'!B23&lt;&gt;""))&gt;0,IF(ISNUMBER('MiT Strom Pipeline'!I23),'MiT Strom Pipeline'!I23,0),"")</f>
        <v/>
      </c>
      <c r="H156" s="28">
        <f>IF(((('MiT Strom Pipeline'!R23="follow-up")+('MiT Strom Pipeline'!R23="Evaluation")+('MiT Strom Pipeline'!R23="tbd")+('MiT Strom Pipeline'!R23="In evaluation"))*('MiT Strom Pipeline'!B23&lt;&gt;""))&gt;0,IF(ISNUMBER('MiT Strom Pipeline'!Q23),'MiT Strom Pipeline'!Q23,0),"")</f>
        <v/>
      </c>
      <c r="I156" s="28">
        <f>IF(((('MiT Strom Pipeline'!R23="follow-up")+('MiT Strom Pipeline'!R23="Evaluation")+('MiT Strom Pipeline'!R23="tbd")+('MiT Strom Pipeline'!R23="In evaluation"))*('MiT Strom Pipeline'!B23&lt;&gt;""))&gt;0,IF(ISNUMBER('MiT Strom Pipeline'!O23),'MiT Strom Pipeline'!O23,0),"")</f>
        <v/>
      </c>
      <c r="J156" s="27">
        <f>IF(((('MiT Strom Pipeline'!R23="follow-up")+('MiT Strom Pipeline'!R23="Evaluation")+('MiT Strom Pipeline'!R23="tbd")+('MiT Strom Pipeline'!R23="In evaluation"))*('MiT Strom Pipeline'!B23&lt;&gt;""))&gt;0,'MiT Strom Pipeline'!R23,"")</f>
        <v/>
      </c>
      <c r="K156" s="29">
        <f>IF(((('MiT Strom Pipeline'!R23="follow-up")+('MiT Strom Pipeline'!R23="Evaluation")+('MiT Strom Pipeline'!R23="tbd")+('MiT Strom Pipeline'!R23="In evaluation"))*('MiT Strom Pipeline'!B23&lt;&gt;""))&gt;0,IF(ISNUMBER('MiT Strom Pipeline'!S23),'MiT Strom Pipeline'!S23,""),"")</f>
        <v/>
      </c>
      <c r="L156" s="27">
        <f>IF(((('MiT Strom Pipeline'!R23="follow-up")+('MiT Strom Pipeline'!R23="Evaluation")+('MiT Strom Pipeline'!R23="tbd")+('MiT Strom Pipeline'!R23="In evaluation"))*('MiT Strom Pipeline'!B23&lt;&gt;""))&gt;0,IF(LEN('MiT Strom Pipeline'!V23)&gt;0,LEFT('MiT Strom Pipeline'!V23,55),""),"")</f>
        <v/>
      </c>
      <c r="M156" s="22" t="n"/>
      <c r="N156" s="22" t="n"/>
      <c r="O156" s="22" t="n"/>
      <c r="P156" s="22" t="n"/>
      <c r="Q156" s="22" t="n"/>
      <c r="R156" s="22" t="n"/>
      <c r="S156" s="22" t="n"/>
    </row>
    <row r="157" hidden="1" ht="15.75" customHeight="1">
      <c r="A157" s="26">
        <f>IF(((('MiT Strom Pipeline'!R24="follow-up")+('MiT Strom Pipeline'!R24="Evaluation")+('MiT Strom Pipeline'!R24="tbd")+('MiT Strom Pipeline'!R24="In evaluation"))*('MiT Strom Pipeline'!B24&lt;&gt;""))&gt;0,IF(ISNUMBER('MiT Strom Pipeline'!A24),'MiT Strom Pipeline'!A24,""),"")</f>
        <v/>
      </c>
      <c r="B157" s="27">
        <f>IF(((('MiT Strom Pipeline'!R24="follow-up")+('MiT Strom Pipeline'!R24="Evaluation")+('MiT Strom Pipeline'!R24="tbd")+('MiT Strom Pipeline'!R24="In evaluation"))*('MiT Strom Pipeline'!B24&lt;&gt;""))&gt;0,IF('MiT Strom Pipeline'!B24="","",'MiT Strom Pipeline'!B24),"")</f>
        <v/>
      </c>
      <c r="C157" s="27">
        <f>IF(((('MiT Strom Pipeline'!R24="follow-up")+('MiT Strom Pipeline'!R24="Evaluation")+('MiT Strom Pipeline'!R24="tbd")+('MiT Strom Pipeline'!R24="In evaluation"))*('MiT Strom Pipeline'!B24&lt;&gt;""))&gt;0,IF('MiT Strom Pipeline'!C24="","",'MiT Strom Pipeline'!C24),"")</f>
        <v/>
      </c>
      <c r="D157" s="27">
        <f>IF(((('MiT Strom Pipeline'!R24="follow-up")+('MiT Strom Pipeline'!R24="Evaluation")+('MiT Strom Pipeline'!R24="tbd")+('MiT Strom Pipeline'!R24="In evaluation"))*('MiT Strom Pipeline'!B24&lt;&gt;""))&gt;0,IF('MiT Strom Pipeline'!D24="","",'MiT Strom Pipeline'!D24),"")</f>
        <v/>
      </c>
      <c r="E157" s="27">
        <f>IF(((('MiT Strom Pipeline'!R24="follow-up")+('MiT Strom Pipeline'!R24="Evaluation")+('MiT Strom Pipeline'!R24="tbd")+('MiT Strom Pipeline'!R24="In evaluation"))*('MiT Strom Pipeline'!B24&lt;&gt;""))&gt;0,IF('MiT Strom Pipeline'!H24="","",'MiT Strom Pipeline'!H24),"")</f>
        <v/>
      </c>
      <c r="F157" s="27">
        <f>IF(((('MiT Strom Pipeline'!R24="follow-up")+('MiT Strom Pipeline'!R24="Evaluation")+('MiT Strom Pipeline'!R24="tbd")+('MiT Strom Pipeline'!R24="In evaluation"))*('MiT Strom Pipeline'!B24&lt;&gt;""))&gt;0,IF('MiT Strom Pipeline'!E24="","",'MiT Strom Pipeline'!E24),"")</f>
        <v/>
      </c>
      <c r="G157" s="28">
        <f>IF(((('MiT Strom Pipeline'!R24="follow-up")+('MiT Strom Pipeline'!R24="Evaluation")+('MiT Strom Pipeline'!R24="tbd")+('MiT Strom Pipeline'!R24="In evaluation"))*('MiT Strom Pipeline'!B24&lt;&gt;""))&gt;0,IF(ISNUMBER('MiT Strom Pipeline'!I24),'MiT Strom Pipeline'!I24,0),"")</f>
        <v/>
      </c>
      <c r="H157" s="28">
        <f>IF(((('MiT Strom Pipeline'!R24="follow-up")+('MiT Strom Pipeline'!R24="Evaluation")+('MiT Strom Pipeline'!R24="tbd")+('MiT Strom Pipeline'!R24="In evaluation"))*('MiT Strom Pipeline'!B24&lt;&gt;""))&gt;0,IF(ISNUMBER('MiT Strom Pipeline'!Q24),'MiT Strom Pipeline'!Q24,0),"")</f>
        <v/>
      </c>
      <c r="I157" s="28">
        <f>IF(((('MiT Strom Pipeline'!R24="follow-up")+('MiT Strom Pipeline'!R24="Evaluation")+('MiT Strom Pipeline'!R24="tbd")+('MiT Strom Pipeline'!R24="In evaluation"))*('MiT Strom Pipeline'!B24&lt;&gt;""))&gt;0,IF(ISNUMBER('MiT Strom Pipeline'!O24),'MiT Strom Pipeline'!O24,0),"")</f>
        <v/>
      </c>
      <c r="J157" s="27">
        <f>IF(((('MiT Strom Pipeline'!R24="follow-up")+('MiT Strom Pipeline'!R24="Evaluation")+('MiT Strom Pipeline'!R24="tbd")+('MiT Strom Pipeline'!R24="In evaluation"))*('MiT Strom Pipeline'!B24&lt;&gt;""))&gt;0,'MiT Strom Pipeline'!R24,"")</f>
        <v/>
      </c>
      <c r="K157" s="29">
        <f>IF(((('MiT Strom Pipeline'!R24="follow-up")+('MiT Strom Pipeline'!R24="Evaluation")+('MiT Strom Pipeline'!R24="tbd")+('MiT Strom Pipeline'!R24="In evaluation"))*('MiT Strom Pipeline'!B24&lt;&gt;""))&gt;0,IF(ISNUMBER('MiT Strom Pipeline'!S24),'MiT Strom Pipeline'!S24,""),"")</f>
        <v/>
      </c>
      <c r="L157" s="27">
        <f>IF(((('MiT Strom Pipeline'!R24="follow-up")+('MiT Strom Pipeline'!R24="Evaluation")+('MiT Strom Pipeline'!R24="tbd")+('MiT Strom Pipeline'!R24="In evaluation"))*('MiT Strom Pipeline'!B24&lt;&gt;""))&gt;0,IF(LEN('MiT Strom Pipeline'!V24)&gt;0,LEFT('MiT Strom Pipeline'!V24,55),""),"")</f>
        <v/>
      </c>
      <c r="M157" s="22" t="n"/>
      <c r="N157" s="22" t="n"/>
      <c r="O157" s="22" t="n"/>
      <c r="P157" s="22" t="n"/>
      <c r="Q157" s="22" t="n"/>
      <c r="R157" s="22" t="n"/>
      <c r="S157" s="22" t="n"/>
    </row>
    <row r="158" hidden="1" ht="15.75" customHeight="1">
      <c r="A158" s="26">
        <f>IF(((('MiT Strom Pipeline'!R25="follow-up")+('MiT Strom Pipeline'!R25="Evaluation")+('MiT Strom Pipeline'!R25="tbd")+('MiT Strom Pipeline'!R25="In evaluation"))*('MiT Strom Pipeline'!B25&lt;&gt;""))&gt;0,IF(ISNUMBER('MiT Strom Pipeline'!A25),'MiT Strom Pipeline'!A25,""),"")</f>
        <v/>
      </c>
      <c r="B158" s="27">
        <f>IF(((('MiT Strom Pipeline'!R25="follow-up")+('MiT Strom Pipeline'!R25="Evaluation")+('MiT Strom Pipeline'!R25="tbd")+('MiT Strom Pipeline'!R25="In evaluation"))*('MiT Strom Pipeline'!B25&lt;&gt;""))&gt;0,IF('MiT Strom Pipeline'!B25="","",'MiT Strom Pipeline'!B25),"")</f>
        <v/>
      </c>
      <c r="C158" s="27">
        <f>IF(((('MiT Strom Pipeline'!R25="follow-up")+('MiT Strom Pipeline'!R25="Evaluation")+('MiT Strom Pipeline'!R25="tbd")+('MiT Strom Pipeline'!R25="In evaluation"))*('MiT Strom Pipeline'!B25&lt;&gt;""))&gt;0,IF('MiT Strom Pipeline'!C25="","",'MiT Strom Pipeline'!C25),"")</f>
        <v/>
      </c>
      <c r="D158" s="27">
        <f>IF(((('MiT Strom Pipeline'!R25="follow-up")+('MiT Strom Pipeline'!R25="Evaluation")+('MiT Strom Pipeline'!R25="tbd")+('MiT Strom Pipeline'!R25="In evaluation"))*('MiT Strom Pipeline'!B25&lt;&gt;""))&gt;0,IF('MiT Strom Pipeline'!D25="","",'MiT Strom Pipeline'!D25),"")</f>
        <v/>
      </c>
      <c r="E158" s="27">
        <f>IF(((('MiT Strom Pipeline'!R25="follow-up")+('MiT Strom Pipeline'!R25="Evaluation")+('MiT Strom Pipeline'!R25="tbd")+('MiT Strom Pipeline'!R25="In evaluation"))*('MiT Strom Pipeline'!B25&lt;&gt;""))&gt;0,IF('MiT Strom Pipeline'!H25="","",'MiT Strom Pipeline'!H25),"")</f>
        <v/>
      </c>
      <c r="F158" s="27">
        <f>IF(((('MiT Strom Pipeline'!R25="follow-up")+('MiT Strom Pipeline'!R25="Evaluation")+('MiT Strom Pipeline'!R25="tbd")+('MiT Strom Pipeline'!R25="In evaluation"))*('MiT Strom Pipeline'!B25&lt;&gt;""))&gt;0,IF('MiT Strom Pipeline'!E25="","",'MiT Strom Pipeline'!E25),"")</f>
        <v/>
      </c>
      <c r="G158" s="28">
        <f>IF(((('MiT Strom Pipeline'!R25="follow-up")+('MiT Strom Pipeline'!R25="Evaluation")+('MiT Strom Pipeline'!R25="tbd")+('MiT Strom Pipeline'!R25="In evaluation"))*('MiT Strom Pipeline'!B25&lt;&gt;""))&gt;0,IF(ISNUMBER('MiT Strom Pipeline'!I25),'MiT Strom Pipeline'!I25,0),"")</f>
        <v/>
      </c>
      <c r="H158" s="28">
        <f>IF(((('MiT Strom Pipeline'!R25="follow-up")+('MiT Strom Pipeline'!R25="Evaluation")+('MiT Strom Pipeline'!R25="tbd")+('MiT Strom Pipeline'!R25="In evaluation"))*('MiT Strom Pipeline'!B25&lt;&gt;""))&gt;0,IF(ISNUMBER('MiT Strom Pipeline'!Q25),'MiT Strom Pipeline'!Q25,0),"")</f>
        <v/>
      </c>
      <c r="I158" s="28">
        <f>IF(((('MiT Strom Pipeline'!R25="follow-up")+('MiT Strom Pipeline'!R25="Evaluation")+('MiT Strom Pipeline'!R25="tbd")+('MiT Strom Pipeline'!R25="In evaluation"))*('MiT Strom Pipeline'!B25&lt;&gt;""))&gt;0,IF(ISNUMBER('MiT Strom Pipeline'!O25),'MiT Strom Pipeline'!O25,0),"")</f>
        <v/>
      </c>
      <c r="J158" s="27">
        <f>IF(((('MiT Strom Pipeline'!R25="follow-up")+('MiT Strom Pipeline'!R25="Evaluation")+('MiT Strom Pipeline'!R25="tbd")+('MiT Strom Pipeline'!R25="In evaluation"))*('MiT Strom Pipeline'!B25&lt;&gt;""))&gt;0,'MiT Strom Pipeline'!R25,"")</f>
        <v/>
      </c>
      <c r="K158" s="29">
        <f>IF(((('MiT Strom Pipeline'!R25="follow-up")+('MiT Strom Pipeline'!R25="Evaluation")+('MiT Strom Pipeline'!R25="tbd")+('MiT Strom Pipeline'!R25="In evaluation"))*('MiT Strom Pipeline'!B25&lt;&gt;""))&gt;0,IF(ISNUMBER('MiT Strom Pipeline'!S25),'MiT Strom Pipeline'!S25,""),"")</f>
        <v/>
      </c>
      <c r="L158" s="27">
        <f>IF(((('MiT Strom Pipeline'!R25="follow-up")+('MiT Strom Pipeline'!R25="Evaluation")+('MiT Strom Pipeline'!R25="tbd")+('MiT Strom Pipeline'!R25="In evaluation"))*('MiT Strom Pipeline'!B25&lt;&gt;""))&gt;0,IF(LEN('MiT Strom Pipeline'!V25)&gt;0,LEFT('MiT Strom Pipeline'!V25,55),""),"")</f>
        <v/>
      </c>
      <c r="M158" s="22" t="n"/>
      <c r="N158" s="22" t="n"/>
      <c r="O158" s="22" t="n"/>
      <c r="P158" s="22" t="n"/>
      <c r="Q158" s="22" t="n"/>
      <c r="R158" s="22" t="n"/>
      <c r="S158" s="22" t="n"/>
    </row>
    <row r="159" hidden="1" ht="15.75" customHeight="1">
      <c r="A159" s="26">
        <f>IF(((('MiT Strom Pipeline'!R26="follow-up")+('MiT Strom Pipeline'!R26="Evaluation")+('MiT Strom Pipeline'!R26="tbd")+('MiT Strom Pipeline'!R26="In evaluation"))*('MiT Strom Pipeline'!B26&lt;&gt;""))&gt;0,IF(ISNUMBER('MiT Strom Pipeline'!A26),'MiT Strom Pipeline'!A26,""),"")</f>
        <v/>
      </c>
      <c r="B159" s="27">
        <f>IF(((('MiT Strom Pipeline'!R26="follow-up")+('MiT Strom Pipeline'!R26="Evaluation")+('MiT Strom Pipeline'!R26="tbd")+('MiT Strom Pipeline'!R26="In evaluation"))*('MiT Strom Pipeline'!B26&lt;&gt;""))&gt;0,IF('MiT Strom Pipeline'!B26="","",'MiT Strom Pipeline'!B26),"")</f>
        <v/>
      </c>
      <c r="C159" s="27">
        <f>IF(((('MiT Strom Pipeline'!R26="follow-up")+('MiT Strom Pipeline'!R26="Evaluation")+('MiT Strom Pipeline'!R26="tbd")+('MiT Strom Pipeline'!R26="In evaluation"))*('MiT Strom Pipeline'!B26&lt;&gt;""))&gt;0,IF('MiT Strom Pipeline'!C26="","",'MiT Strom Pipeline'!C26),"")</f>
        <v/>
      </c>
      <c r="D159" s="27">
        <f>IF(((('MiT Strom Pipeline'!R26="follow-up")+('MiT Strom Pipeline'!R26="Evaluation")+('MiT Strom Pipeline'!R26="tbd")+('MiT Strom Pipeline'!R26="In evaluation"))*('MiT Strom Pipeline'!B26&lt;&gt;""))&gt;0,IF('MiT Strom Pipeline'!D26="","",'MiT Strom Pipeline'!D26),"")</f>
        <v/>
      </c>
      <c r="E159" s="27">
        <f>IF(((('MiT Strom Pipeline'!R26="follow-up")+('MiT Strom Pipeline'!R26="Evaluation")+('MiT Strom Pipeline'!R26="tbd")+('MiT Strom Pipeline'!R26="In evaluation"))*('MiT Strom Pipeline'!B26&lt;&gt;""))&gt;0,IF('MiT Strom Pipeline'!H26="","",'MiT Strom Pipeline'!H26),"")</f>
        <v/>
      </c>
      <c r="F159" s="27">
        <f>IF(((('MiT Strom Pipeline'!R26="follow-up")+('MiT Strom Pipeline'!R26="Evaluation")+('MiT Strom Pipeline'!R26="tbd")+('MiT Strom Pipeline'!R26="In evaluation"))*('MiT Strom Pipeline'!B26&lt;&gt;""))&gt;0,IF('MiT Strom Pipeline'!E26="","",'MiT Strom Pipeline'!E26),"")</f>
        <v/>
      </c>
      <c r="G159" s="28">
        <f>IF(((('MiT Strom Pipeline'!R26="follow-up")+('MiT Strom Pipeline'!R26="Evaluation")+('MiT Strom Pipeline'!R26="tbd")+('MiT Strom Pipeline'!R26="In evaluation"))*('MiT Strom Pipeline'!B26&lt;&gt;""))&gt;0,IF(ISNUMBER('MiT Strom Pipeline'!I26),'MiT Strom Pipeline'!I26,0),"")</f>
        <v/>
      </c>
      <c r="H159" s="28">
        <f>IF(((('MiT Strom Pipeline'!R26="follow-up")+('MiT Strom Pipeline'!R26="Evaluation")+('MiT Strom Pipeline'!R26="tbd")+('MiT Strom Pipeline'!R26="In evaluation"))*('MiT Strom Pipeline'!B26&lt;&gt;""))&gt;0,IF(ISNUMBER('MiT Strom Pipeline'!Q26),'MiT Strom Pipeline'!Q26,0),"")</f>
        <v/>
      </c>
      <c r="I159" s="28">
        <f>IF(((('MiT Strom Pipeline'!R26="follow-up")+('MiT Strom Pipeline'!R26="Evaluation")+('MiT Strom Pipeline'!R26="tbd")+('MiT Strom Pipeline'!R26="In evaluation"))*('MiT Strom Pipeline'!B26&lt;&gt;""))&gt;0,IF(ISNUMBER('MiT Strom Pipeline'!O26),'MiT Strom Pipeline'!O26,0),"")</f>
        <v/>
      </c>
      <c r="J159" s="27">
        <f>IF(((('MiT Strom Pipeline'!R26="follow-up")+('MiT Strom Pipeline'!R26="Evaluation")+('MiT Strom Pipeline'!R26="tbd")+('MiT Strom Pipeline'!R26="In evaluation"))*('MiT Strom Pipeline'!B26&lt;&gt;""))&gt;0,'MiT Strom Pipeline'!R26,"")</f>
        <v/>
      </c>
      <c r="K159" s="29">
        <f>IF(((('MiT Strom Pipeline'!R26="follow-up")+('MiT Strom Pipeline'!R26="Evaluation")+('MiT Strom Pipeline'!R26="tbd")+('MiT Strom Pipeline'!R26="In evaluation"))*('MiT Strom Pipeline'!B26&lt;&gt;""))&gt;0,IF(ISNUMBER('MiT Strom Pipeline'!S26),'MiT Strom Pipeline'!S26,""),"")</f>
        <v/>
      </c>
      <c r="L159" s="27">
        <f>IF(((('MiT Strom Pipeline'!R26="follow-up")+('MiT Strom Pipeline'!R26="Evaluation")+('MiT Strom Pipeline'!R26="tbd")+('MiT Strom Pipeline'!R26="In evaluation"))*('MiT Strom Pipeline'!B26&lt;&gt;""))&gt;0,IF(LEN('MiT Strom Pipeline'!V26)&gt;0,LEFT('MiT Strom Pipeline'!V26,55),""),"")</f>
        <v/>
      </c>
      <c r="M159" s="22" t="n"/>
      <c r="N159" s="22" t="n"/>
      <c r="O159" s="22" t="n"/>
      <c r="P159" s="22" t="n"/>
      <c r="Q159" s="22" t="n"/>
      <c r="R159" s="22" t="n"/>
      <c r="S159" s="22" t="n"/>
    </row>
    <row r="160" hidden="1" ht="15.75" customHeight="1">
      <c r="A160" s="26">
        <f>IF(((('MiT Strom Pipeline'!R27="follow-up")+('MiT Strom Pipeline'!R27="Evaluation")+('MiT Strom Pipeline'!R27="tbd")+('MiT Strom Pipeline'!R27="In evaluation"))*('MiT Strom Pipeline'!B27&lt;&gt;""))&gt;0,IF(ISNUMBER('MiT Strom Pipeline'!A27),'MiT Strom Pipeline'!A27,""),"")</f>
        <v/>
      </c>
      <c r="B160" s="27">
        <f>IF(((('MiT Strom Pipeline'!R27="follow-up")+('MiT Strom Pipeline'!R27="Evaluation")+('MiT Strom Pipeline'!R27="tbd")+('MiT Strom Pipeline'!R27="In evaluation"))*('MiT Strom Pipeline'!B27&lt;&gt;""))&gt;0,IF('MiT Strom Pipeline'!B27="","",'MiT Strom Pipeline'!B27),"")</f>
        <v/>
      </c>
      <c r="C160" s="27">
        <f>IF(((('MiT Strom Pipeline'!R27="follow-up")+('MiT Strom Pipeline'!R27="Evaluation")+('MiT Strom Pipeline'!R27="tbd")+('MiT Strom Pipeline'!R27="In evaluation"))*('MiT Strom Pipeline'!B27&lt;&gt;""))&gt;0,IF('MiT Strom Pipeline'!C27="","",'MiT Strom Pipeline'!C27),"")</f>
        <v/>
      </c>
      <c r="D160" s="27">
        <f>IF(((('MiT Strom Pipeline'!R27="follow-up")+('MiT Strom Pipeline'!R27="Evaluation")+('MiT Strom Pipeline'!R27="tbd")+('MiT Strom Pipeline'!R27="In evaluation"))*('MiT Strom Pipeline'!B27&lt;&gt;""))&gt;0,IF('MiT Strom Pipeline'!D27="","",'MiT Strom Pipeline'!D27),"")</f>
        <v/>
      </c>
      <c r="E160" s="27">
        <f>IF(((('MiT Strom Pipeline'!R27="follow-up")+('MiT Strom Pipeline'!R27="Evaluation")+('MiT Strom Pipeline'!R27="tbd")+('MiT Strom Pipeline'!R27="In evaluation"))*('MiT Strom Pipeline'!B27&lt;&gt;""))&gt;0,IF('MiT Strom Pipeline'!H27="","",'MiT Strom Pipeline'!H27),"")</f>
        <v/>
      </c>
      <c r="F160" s="27">
        <f>IF(((('MiT Strom Pipeline'!R27="follow-up")+('MiT Strom Pipeline'!R27="Evaluation")+('MiT Strom Pipeline'!R27="tbd")+('MiT Strom Pipeline'!R27="In evaluation"))*('MiT Strom Pipeline'!B27&lt;&gt;""))&gt;0,IF('MiT Strom Pipeline'!E27="","",'MiT Strom Pipeline'!E27),"")</f>
        <v/>
      </c>
      <c r="G160" s="28">
        <f>IF(((('MiT Strom Pipeline'!R27="follow-up")+('MiT Strom Pipeline'!R27="Evaluation")+('MiT Strom Pipeline'!R27="tbd")+('MiT Strom Pipeline'!R27="In evaluation"))*('MiT Strom Pipeline'!B27&lt;&gt;""))&gt;0,IF(ISNUMBER('MiT Strom Pipeline'!I27),'MiT Strom Pipeline'!I27,0),"")</f>
        <v/>
      </c>
      <c r="H160" s="28">
        <f>IF(((('MiT Strom Pipeline'!R27="follow-up")+('MiT Strom Pipeline'!R27="Evaluation")+('MiT Strom Pipeline'!R27="tbd")+('MiT Strom Pipeline'!R27="In evaluation"))*('MiT Strom Pipeline'!B27&lt;&gt;""))&gt;0,IF(ISNUMBER('MiT Strom Pipeline'!Q27),'MiT Strom Pipeline'!Q27,0),"")</f>
        <v/>
      </c>
      <c r="I160" s="28">
        <f>IF(((('MiT Strom Pipeline'!R27="follow-up")+('MiT Strom Pipeline'!R27="Evaluation")+('MiT Strom Pipeline'!R27="tbd")+('MiT Strom Pipeline'!R27="In evaluation"))*('MiT Strom Pipeline'!B27&lt;&gt;""))&gt;0,IF(ISNUMBER('MiT Strom Pipeline'!O27),'MiT Strom Pipeline'!O27,0),"")</f>
        <v/>
      </c>
      <c r="J160" s="27">
        <f>IF(((('MiT Strom Pipeline'!R27="follow-up")+('MiT Strom Pipeline'!R27="Evaluation")+('MiT Strom Pipeline'!R27="tbd")+('MiT Strom Pipeline'!R27="In evaluation"))*('MiT Strom Pipeline'!B27&lt;&gt;""))&gt;0,'MiT Strom Pipeline'!R27,"")</f>
        <v/>
      </c>
      <c r="K160" s="29">
        <f>IF(((('MiT Strom Pipeline'!R27="follow-up")+('MiT Strom Pipeline'!R27="Evaluation")+('MiT Strom Pipeline'!R27="tbd")+('MiT Strom Pipeline'!R27="In evaluation"))*('MiT Strom Pipeline'!B27&lt;&gt;""))&gt;0,IF(ISNUMBER('MiT Strom Pipeline'!S27),'MiT Strom Pipeline'!S27,""),"")</f>
        <v/>
      </c>
      <c r="L160" s="27">
        <f>IF(((('MiT Strom Pipeline'!R27="follow-up")+('MiT Strom Pipeline'!R27="Evaluation")+('MiT Strom Pipeline'!R27="tbd")+('MiT Strom Pipeline'!R27="In evaluation"))*('MiT Strom Pipeline'!B27&lt;&gt;""))&gt;0,IF(LEN('MiT Strom Pipeline'!V27)&gt;0,LEFT('MiT Strom Pipeline'!V27,55),""),"")</f>
        <v/>
      </c>
      <c r="M160" s="22" t="n"/>
      <c r="N160" s="22" t="n"/>
      <c r="O160" s="22" t="n"/>
      <c r="P160" s="22" t="n"/>
      <c r="Q160" s="22" t="n"/>
      <c r="R160" s="22" t="n"/>
      <c r="S160" s="22" t="n"/>
    </row>
    <row r="161" hidden="1" ht="15.75" customHeight="1">
      <c r="A161" s="26">
        <f>IF(((('MiT Strom Pipeline'!R28="follow-up")+('MiT Strom Pipeline'!R28="Evaluation")+('MiT Strom Pipeline'!R28="tbd")+('MiT Strom Pipeline'!R28="In evaluation"))*('MiT Strom Pipeline'!B28&lt;&gt;""))&gt;0,IF(ISNUMBER('MiT Strom Pipeline'!A28),'MiT Strom Pipeline'!A28,""),"")</f>
        <v>8</v>
      </c>
      <c r="B161" s="27" t="str">
        <f>IF(((('MiT Strom Pipeline'!R28="follow-up")+('MiT Strom Pipeline'!R28="Evaluation")+('MiT Strom Pipeline'!R28="tbd")+('MiT Strom Pipeline'!R28="In evaluation"))*('MiT Strom Pipeline'!B28&lt;&gt;""))&gt;0,IF('MiT Strom Pipeline'!B28="","",'MiT Strom Pipeline'!B28),"")</f>
        <v>Sade CGTH (Schweiz)</v>
      </c>
      <c r="C161" s="27" t="str">
        <f>IF(((('MiT Strom Pipeline'!R28="follow-up")+('MiT Strom Pipeline'!R28="Evaluation")+('MiT Strom Pipeline'!R28="tbd")+('MiT Strom Pipeline'!R28="In evaluation"))*('MiT Strom Pipeline'!B28&lt;&gt;""))&gt;0,IF('MiT Strom Pipeline'!C28="","",'MiT Strom Pipeline'!C28),"")</f>
        <v>GE</v>
      </c>
      <c r="D161" s="27" t="str">
        <f>IF(((('MiT Strom Pipeline'!R28="follow-up")+('MiT Strom Pipeline'!R28="Evaluation")+('MiT Strom Pipeline'!R28="tbd")+('MiT Strom Pipeline'!R28="In evaluation"))*('MiT Strom Pipeline'!B28&lt;&gt;""))&gt;0,IF('MiT Strom Pipeline'!D28="","",'MiT Strom Pipeline'!D28),"")</f>
        <v>Infrastruktur / Bau</v>
      </c>
      <c r="E161" s="27" t="str">
        <f>IF(((('MiT Strom Pipeline'!R28="follow-up")+('MiT Strom Pipeline'!R28="Evaluation")+('MiT Strom Pipeline'!R28="tbd")+('MiT Strom Pipeline'!R28="In evaluation"))*('MiT Strom Pipeline'!B28&lt;&gt;""))&gt;0,IF('MiT Strom Pipeline'!H28="","",'MiT Strom Pipeline'!H28),"")</f>
        <v>April</v>
      </c>
      <c r="F161" s="27" t="str">
        <f>IF(((('MiT Strom Pipeline'!R28="follow-up")+('MiT Strom Pipeline'!R28="Evaluation")+('MiT Strom Pipeline'!R28="tbd")+('MiT Strom Pipeline'!R28="In evaluation"))*('MiT Strom Pipeline'!B28&lt;&gt;""))&gt;0,IF('MiT Strom Pipeline'!E28="","",'MiT Strom Pipeline'!E28),"")</f>
        <v>750 kVA Generator</v>
      </c>
      <c r="G161" s="28">
        <f>IF(((('MiT Strom Pipeline'!R28="follow-up")+('MiT Strom Pipeline'!R28="Evaluation")+('MiT Strom Pipeline'!R28="tbd")+('MiT Strom Pipeline'!R28="In evaluation"))*('MiT Strom Pipeline'!B28&lt;&gt;""))&gt;0,IF(ISNUMBER('MiT Strom Pipeline'!I28),'MiT Strom Pipeline'!I28,0),"")</f>
        <v>38885</v>
      </c>
      <c r="H161" s="28">
        <f>IF(((('MiT Strom Pipeline'!R28="follow-up")+('MiT Strom Pipeline'!R28="Evaluation")+('MiT Strom Pipeline'!R28="tbd")+('MiT Strom Pipeline'!R28="In evaluation"))*('MiT Strom Pipeline'!B28&lt;&gt;""))&gt;0,IF(ISNUMBER('MiT Strom Pipeline'!Q28),'MiT Strom Pipeline'!Q28,0),"")</f>
        <v>19442.5</v>
      </c>
      <c r="I161" s="28">
        <f>IF(((('MiT Strom Pipeline'!R28="follow-up")+('MiT Strom Pipeline'!R28="Evaluation")+('MiT Strom Pipeline'!R28="tbd")+('MiT Strom Pipeline'!R28="In evaluation"))*('MiT Strom Pipeline'!B28&lt;&gt;""))&gt;0,IF(ISNUMBER('MiT Strom Pipeline'!O28),'MiT Strom Pipeline'!O28,0),"")</f>
        <v>7085</v>
      </c>
      <c r="J161" s="27" t="str">
        <f>IF(((('MiT Strom Pipeline'!R28="follow-up")+('MiT Strom Pipeline'!R28="Evaluation")+('MiT Strom Pipeline'!R28="tbd")+('MiT Strom Pipeline'!R28="In evaluation"))*('MiT Strom Pipeline'!B28&lt;&gt;""))&gt;0,'MiT Strom Pipeline'!R28,"")</f>
        <v>follow-up</v>
      </c>
      <c r="K161" s="29">
        <f>IF(((('MiT Strom Pipeline'!R28="follow-up")+('MiT Strom Pipeline'!R28="Evaluation")+('MiT Strom Pipeline'!R28="tbd")+('MiT Strom Pipeline'!R28="In evaluation"))*('MiT Strom Pipeline'!B28&lt;&gt;""))&gt;0,IF(ISNUMBER('MiT Strom Pipeline'!S28),'MiT Strom Pipeline'!S28,""),"")</f>
        <v>0.5</v>
      </c>
      <c r="L161" s="27" t="str">
        <f>IF(((('MiT Strom Pipeline'!R28="follow-up")+('MiT Strom Pipeline'!R28="Evaluation")+('MiT Strom Pipeline'!R28="tbd")+('MiT Strom Pipeline'!R28="In evaluation"))*('MiT Strom Pipeline'!B28&lt;&gt;""))&gt;0,IF(LEN('MiT Strom Pipeline'!V28)&gt;0,LEFT('MiT Strom Pipeline'!V28,55),""),"")</f>
        <v>Auftragsbestätigung anfordern – Entscheid steht bevor</v>
      </c>
      <c r="M161" s="22" t="n"/>
      <c r="N161" s="22" t="n"/>
      <c r="O161" s="22" t="n"/>
      <c r="P161" s="22" t="n"/>
      <c r="Q161" s="22" t="n"/>
      <c r="R161" s="22" t="n"/>
      <c r="S161" s="22" t="n"/>
    </row>
    <row r="162" ht="15.75" customHeight="1">
      <c r="A162" s="26">
        <f>IF(((('MiT Strom Pipeline'!R29="follow-up")+('MiT Strom Pipeline'!R29="Evaluation")+('MiT Strom Pipeline'!R29="tbd")+('MiT Strom Pipeline'!R29="In evaluation"))*('MiT Strom Pipeline'!B29&lt;&gt;""))&gt;0,IF(ISNUMBER('MiT Strom Pipeline'!A29),'MiT Strom Pipeline'!A29,""),"")</f>
        <v/>
      </c>
      <c r="B162" s="27">
        <f>IF(((('MiT Strom Pipeline'!R29="follow-up")+('MiT Strom Pipeline'!R29="Evaluation")+('MiT Strom Pipeline'!R29="tbd")+('MiT Strom Pipeline'!R29="In evaluation"))*('MiT Strom Pipeline'!B29&lt;&gt;""))&gt;0,IF('MiT Strom Pipeline'!B29="","",'MiT Strom Pipeline'!B29),"")</f>
        <v/>
      </c>
      <c r="C162" s="27">
        <f>IF(((('MiT Strom Pipeline'!R29="follow-up")+('MiT Strom Pipeline'!R29="Evaluation")+('MiT Strom Pipeline'!R29="tbd")+('MiT Strom Pipeline'!R29="In evaluation"))*('MiT Strom Pipeline'!B29&lt;&gt;""))&gt;0,IF('MiT Strom Pipeline'!C29="","",'MiT Strom Pipeline'!C29),"")</f>
        <v/>
      </c>
      <c r="D162" s="27">
        <f>IF(((('MiT Strom Pipeline'!R29="follow-up")+('MiT Strom Pipeline'!R29="Evaluation")+('MiT Strom Pipeline'!R29="tbd")+('MiT Strom Pipeline'!R29="In evaluation"))*('MiT Strom Pipeline'!B29&lt;&gt;""))&gt;0,IF('MiT Strom Pipeline'!D29="","",'MiT Strom Pipeline'!D29),"")</f>
        <v/>
      </c>
      <c r="E162" s="27">
        <f>IF(((('MiT Strom Pipeline'!R29="follow-up")+('MiT Strom Pipeline'!R29="Evaluation")+('MiT Strom Pipeline'!R29="tbd")+('MiT Strom Pipeline'!R29="In evaluation"))*('MiT Strom Pipeline'!B29&lt;&gt;""))&gt;0,IF('MiT Strom Pipeline'!H29="","",'MiT Strom Pipeline'!H29),"")</f>
        <v/>
      </c>
      <c r="F162" s="27">
        <f>IF(((('MiT Strom Pipeline'!R29="follow-up")+('MiT Strom Pipeline'!R29="Evaluation")+('MiT Strom Pipeline'!R29="tbd")+('MiT Strom Pipeline'!R29="In evaluation"))*('MiT Strom Pipeline'!B29&lt;&gt;""))&gt;0,IF('MiT Strom Pipeline'!E29="","",'MiT Strom Pipeline'!E29),"")</f>
        <v/>
      </c>
      <c r="G162" s="28">
        <f>IF(((('MiT Strom Pipeline'!R29="follow-up")+('MiT Strom Pipeline'!R29="Evaluation")+('MiT Strom Pipeline'!R29="tbd")+('MiT Strom Pipeline'!R29="In evaluation"))*('MiT Strom Pipeline'!B29&lt;&gt;""))&gt;0,IF(ISNUMBER('MiT Strom Pipeline'!I29),'MiT Strom Pipeline'!I29,0),"")</f>
        <v/>
      </c>
      <c r="H162" s="28">
        <f>IF(((('MiT Strom Pipeline'!R29="follow-up")+('MiT Strom Pipeline'!R29="Evaluation")+('MiT Strom Pipeline'!R29="tbd")+('MiT Strom Pipeline'!R29="In evaluation"))*('MiT Strom Pipeline'!B29&lt;&gt;""))&gt;0,IF(ISNUMBER('MiT Strom Pipeline'!Q29),'MiT Strom Pipeline'!Q29,0),"")</f>
        <v/>
      </c>
      <c r="I162" s="28">
        <f>IF(((('MiT Strom Pipeline'!R29="follow-up")+('MiT Strom Pipeline'!R29="Evaluation")+('MiT Strom Pipeline'!R29="tbd")+('MiT Strom Pipeline'!R29="In evaluation"))*('MiT Strom Pipeline'!B29&lt;&gt;""))&gt;0,IF(ISNUMBER('MiT Strom Pipeline'!O29),'MiT Strom Pipeline'!O29,0),"")</f>
        <v/>
      </c>
      <c r="J162" s="27">
        <f>IF(((('MiT Strom Pipeline'!R29="follow-up")+('MiT Strom Pipeline'!R29="Evaluation")+('MiT Strom Pipeline'!R29="tbd")+('MiT Strom Pipeline'!R29="In evaluation"))*('MiT Strom Pipeline'!B29&lt;&gt;""))&gt;0,'MiT Strom Pipeline'!R29,"")</f>
        <v/>
      </c>
      <c r="K162" s="29">
        <f>IF(((('MiT Strom Pipeline'!R29="follow-up")+('MiT Strom Pipeline'!R29="Evaluation")+('MiT Strom Pipeline'!R29="tbd")+('MiT Strom Pipeline'!R29="In evaluation"))*('MiT Strom Pipeline'!B29&lt;&gt;""))&gt;0,IF(ISNUMBER('MiT Strom Pipeline'!S29),'MiT Strom Pipeline'!S29,""),"")</f>
        <v/>
      </c>
      <c r="L162" s="27">
        <f>IF(((('MiT Strom Pipeline'!R29="follow-up")+('MiT Strom Pipeline'!R29="Evaluation")+('MiT Strom Pipeline'!R29="tbd")+('MiT Strom Pipeline'!R29="In evaluation"))*('MiT Strom Pipeline'!B29&lt;&gt;""))&gt;0,IF(LEN('MiT Strom Pipeline'!V29)&gt;0,LEFT('MiT Strom Pipeline'!V29,55),""),"")</f>
        <v/>
      </c>
      <c r="M162" s="22" t="n"/>
      <c r="N162" s="22" t="n"/>
      <c r="O162" s="22" t="n"/>
      <c r="P162" s="22" t="n"/>
      <c r="Q162" s="22" t="n"/>
      <c r="R162" s="22" t="n"/>
      <c r="S162" s="22" t="n"/>
    </row>
    <row r="163" ht="15.75" customHeight="1">
      <c r="A163" s="26">
        <f>IF(((('MiT Strom Pipeline'!R30="follow-up")+('MiT Strom Pipeline'!R30="Evaluation")+('MiT Strom Pipeline'!R30="tbd")+('MiT Strom Pipeline'!R30="In evaluation"))*('MiT Strom Pipeline'!B30&lt;&gt;""))&gt;0,IF(ISNUMBER('MiT Strom Pipeline'!A30),'MiT Strom Pipeline'!A30,""),"")</f>
        <v/>
      </c>
      <c r="B163" s="27">
        <f>IF(((('MiT Strom Pipeline'!R30="follow-up")+('MiT Strom Pipeline'!R30="Evaluation")+('MiT Strom Pipeline'!R30="tbd")+('MiT Strom Pipeline'!R30="In evaluation"))*('MiT Strom Pipeline'!B30&lt;&gt;""))&gt;0,IF('MiT Strom Pipeline'!B30="","",'MiT Strom Pipeline'!B30),"")</f>
        <v/>
      </c>
      <c r="C163" s="27">
        <f>IF(((('MiT Strom Pipeline'!R30="follow-up")+('MiT Strom Pipeline'!R30="Evaluation")+('MiT Strom Pipeline'!R30="tbd")+('MiT Strom Pipeline'!R30="In evaluation"))*('MiT Strom Pipeline'!B30&lt;&gt;""))&gt;0,IF('MiT Strom Pipeline'!C30="","",'MiT Strom Pipeline'!C30),"")</f>
        <v/>
      </c>
      <c r="D163" s="27">
        <f>IF(((('MiT Strom Pipeline'!R30="follow-up")+('MiT Strom Pipeline'!R30="Evaluation")+('MiT Strom Pipeline'!R30="tbd")+('MiT Strom Pipeline'!R30="In evaluation"))*('MiT Strom Pipeline'!B30&lt;&gt;""))&gt;0,IF('MiT Strom Pipeline'!D30="","",'MiT Strom Pipeline'!D30),"")</f>
        <v/>
      </c>
      <c r="E163" s="27">
        <f>IF(((('MiT Strom Pipeline'!R30="follow-up")+('MiT Strom Pipeline'!R30="Evaluation")+('MiT Strom Pipeline'!R30="tbd")+('MiT Strom Pipeline'!R30="In evaluation"))*('MiT Strom Pipeline'!B30&lt;&gt;""))&gt;0,IF('MiT Strom Pipeline'!H30="","",'MiT Strom Pipeline'!H30),"")</f>
        <v/>
      </c>
      <c r="F163" s="27">
        <f>IF(((('MiT Strom Pipeline'!R30="follow-up")+('MiT Strom Pipeline'!R30="Evaluation")+('MiT Strom Pipeline'!R30="tbd")+('MiT Strom Pipeline'!R30="In evaluation"))*('MiT Strom Pipeline'!B30&lt;&gt;""))&gt;0,IF('MiT Strom Pipeline'!E30="","",'MiT Strom Pipeline'!E30),"")</f>
        <v/>
      </c>
      <c r="G163" s="28">
        <f>IF(((('MiT Strom Pipeline'!R30="follow-up")+('MiT Strom Pipeline'!R30="Evaluation")+('MiT Strom Pipeline'!R30="tbd")+('MiT Strom Pipeline'!R30="In evaluation"))*('MiT Strom Pipeline'!B30&lt;&gt;""))&gt;0,IF(ISNUMBER('MiT Strom Pipeline'!I30),'MiT Strom Pipeline'!I30,0),"")</f>
        <v/>
      </c>
      <c r="H163" s="28">
        <f>IF(((('MiT Strom Pipeline'!R30="follow-up")+('MiT Strom Pipeline'!R30="Evaluation")+('MiT Strom Pipeline'!R30="tbd")+('MiT Strom Pipeline'!R30="In evaluation"))*('MiT Strom Pipeline'!B30&lt;&gt;""))&gt;0,IF(ISNUMBER('MiT Strom Pipeline'!Q30),'MiT Strom Pipeline'!Q30,0),"")</f>
        <v/>
      </c>
      <c r="I163" s="28">
        <f>IF(((('MiT Strom Pipeline'!R30="follow-up")+('MiT Strom Pipeline'!R30="Evaluation")+('MiT Strom Pipeline'!R30="tbd")+('MiT Strom Pipeline'!R30="In evaluation"))*('MiT Strom Pipeline'!B30&lt;&gt;""))&gt;0,IF(ISNUMBER('MiT Strom Pipeline'!O30),'MiT Strom Pipeline'!O30,0),"")</f>
        <v/>
      </c>
      <c r="J163" s="27">
        <f>IF(((('MiT Strom Pipeline'!R30="follow-up")+('MiT Strom Pipeline'!R30="Evaluation")+('MiT Strom Pipeline'!R30="tbd")+('MiT Strom Pipeline'!R30="In evaluation"))*('MiT Strom Pipeline'!B30&lt;&gt;""))&gt;0,'MiT Strom Pipeline'!R30,"")</f>
        <v/>
      </c>
      <c r="K163" s="29">
        <f>IF(((('MiT Strom Pipeline'!R30="follow-up")+('MiT Strom Pipeline'!R30="Evaluation")+('MiT Strom Pipeline'!R30="tbd")+('MiT Strom Pipeline'!R30="In evaluation"))*('MiT Strom Pipeline'!B30&lt;&gt;""))&gt;0,IF(ISNUMBER('MiT Strom Pipeline'!S30),'MiT Strom Pipeline'!S30,""),"")</f>
        <v/>
      </c>
      <c r="L163" s="27">
        <f>IF(((('MiT Strom Pipeline'!R30="follow-up")+('MiT Strom Pipeline'!R30="Evaluation")+('MiT Strom Pipeline'!R30="tbd")+('MiT Strom Pipeline'!R30="In evaluation"))*('MiT Strom Pipeline'!B30&lt;&gt;""))&gt;0,IF(LEN('MiT Strom Pipeline'!V30)&gt;0,LEFT('MiT Strom Pipeline'!V30,55),""),"")</f>
        <v/>
      </c>
      <c r="M163" s="22" t="n"/>
      <c r="N163" s="22" t="n"/>
      <c r="O163" s="22" t="n"/>
      <c r="P163" s="22" t="n"/>
      <c r="Q163" s="22" t="n"/>
      <c r="R163" s="22" t="n"/>
      <c r="S163" s="22" t="n"/>
    </row>
    <row r="164" hidden="1" ht="15.75" customHeight="1">
      <c r="A164" s="26">
        <f>IF(((('MiT Strom Pipeline'!R31="follow-up")+('MiT Strom Pipeline'!R31="Evaluation")+('MiT Strom Pipeline'!R31="tbd")+('MiT Strom Pipeline'!R31="In evaluation"))*('MiT Strom Pipeline'!B31&lt;&gt;""))&gt;0,IF(ISNUMBER('MiT Strom Pipeline'!A31),'MiT Strom Pipeline'!A31,""),"")</f>
        <v/>
      </c>
      <c r="B164" s="27">
        <f>IF(((('MiT Strom Pipeline'!R31="follow-up")+('MiT Strom Pipeline'!R31="Evaluation")+('MiT Strom Pipeline'!R31="tbd")+('MiT Strom Pipeline'!R31="In evaluation"))*('MiT Strom Pipeline'!B31&lt;&gt;""))&gt;0,IF('MiT Strom Pipeline'!B31="","",'MiT Strom Pipeline'!B31),"")</f>
        <v/>
      </c>
      <c r="C164" s="27">
        <f>IF(((('MiT Strom Pipeline'!R31="follow-up")+('MiT Strom Pipeline'!R31="Evaluation")+('MiT Strom Pipeline'!R31="tbd")+('MiT Strom Pipeline'!R31="In evaluation"))*('MiT Strom Pipeline'!B31&lt;&gt;""))&gt;0,IF('MiT Strom Pipeline'!C31="","",'MiT Strom Pipeline'!C31),"")</f>
        <v/>
      </c>
      <c r="D164" s="27">
        <f>IF(((('MiT Strom Pipeline'!R31="follow-up")+('MiT Strom Pipeline'!R31="Evaluation")+('MiT Strom Pipeline'!R31="tbd")+('MiT Strom Pipeline'!R31="In evaluation"))*('MiT Strom Pipeline'!B31&lt;&gt;""))&gt;0,IF('MiT Strom Pipeline'!D31="","",'MiT Strom Pipeline'!D31),"")</f>
        <v/>
      </c>
      <c r="E164" s="27">
        <f>IF(((('MiT Strom Pipeline'!R31="follow-up")+('MiT Strom Pipeline'!R31="Evaluation")+('MiT Strom Pipeline'!R31="tbd")+('MiT Strom Pipeline'!R31="In evaluation"))*('MiT Strom Pipeline'!B31&lt;&gt;""))&gt;0,IF('MiT Strom Pipeline'!H31="","",'MiT Strom Pipeline'!H31),"")</f>
        <v/>
      </c>
      <c r="F164" s="27">
        <f>IF(((('MiT Strom Pipeline'!R31="follow-up")+('MiT Strom Pipeline'!R31="Evaluation")+('MiT Strom Pipeline'!R31="tbd")+('MiT Strom Pipeline'!R31="In evaluation"))*('MiT Strom Pipeline'!B31&lt;&gt;""))&gt;0,IF('MiT Strom Pipeline'!E31="","",'MiT Strom Pipeline'!E31),"")</f>
        <v/>
      </c>
      <c r="G164" s="28">
        <f>IF(((('MiT Strom Pipeline'!R31="follow-up")+('MiT Strom Pipeline'!R31="Evaluation")+('MiT Strom Pipeline'!R31="tbd")+('MiT Strom Pipeline'!R31="In evaluation"))*('MiT Strom Pipeline'!B31&lt;&gt;""))&gt;0,IF(ISNUMBER('MiT Strom Pipeline'!I31),'MiT Strom Pipeline'!I31,0),"")</f>
        <v/>
      </c>
      <c r="H164" s="28">
        <f>IF(((('MiT Strom Pipeline'!R31="follow-up")+('MiT Strom Pipeline'!R31="Evaluation")+('MiT Strom Pipeline'!R31="tbd")+('MiT Strom Pipeline'!R31="In evaluation"))*('MiT Strom Pipeline'!B31&lt;&gt;""))&gt;0,IF(ISNUMBER('MiT Strom Pipeline'!Q31),'MiT Strom Pipeline'!Q31,0),"")</f>
        <v/>
      </c>
      <c r="I164" s="28">
        <f>IF(((('MiT Strom Pipeline'!R31="follow-up")+('MiT Strom Pipeline'!R31="Evaluation")+('MiT Strom Pipeline'!R31="tbd")+('MiT Strom Pipeline'!R31="In evaluation"))*('MiT Strom Pipeline'!B31&lt;&gt;""))&gt;0,IF(ISNUMBER('MiT Strom Pipeline'!O31),'MiT Strom Pipeline'!O31,0),"")</f>
        <v/>
      </c>
      <c r="J164" s="27">
        <f>IF(((('MiT Strom Pipeline'!R31="follow-up")+('MiT Strom Pipeline'!R31="Evaluation")+('MiT Strom Pipeline'!R31="tbd")+('MiT Strom Pipeline'!R31="In evaluation"))*('MiT Strom Pipeline'!B31&lt;&gt;""))&gt;0,'MiT Strom Pipeline'!R31,"")</f>
        <v/>
      </c>
      <c r="K164" s="29">
        <f>IF(((('MiT Strom Pipeline'!R31="follow-up")+('MiT Strom Pipeline'!R31="Evaluation")+('MiT Strom Pipeline'!R31="tbd")+('MiT Strom Pipeline'!R31="In evaluation"))*('MiT Strom Pipeline'!B31&lt;&gt;""))&gt;0,IF(ISNUMBER('MiT Strom Pipeline'!S31),'MiT Strom Pipeline'!S31,""),"")</f>
        <v/>
      </c>
      <c r="L164" s="27">
        <f>IF(((('MiT Strom Pipeline'!R31="follow-up")+('MiT Strom Pipeline'!R31="Evaluation")+('MiT Strom Pipeline'!R31="tbd")+('MiT Strom Pipeline'!R31="In evaluation"))*('MiT Strom Pipeline'!B31&lt;&gt;""))&gt;0,IF(LEN('MiT Strom Pipeline'!V31)&gt;0,LEFT('MiT Strom Pipeline'!V31,55),""),"")</f>
        <v/>
      </c>
      <c r="M164" s="22" t="n"/>
      <c r="N164" s="22" t="n"/>
      <c r="O164" s="22" t="n"/>
      <c r="P164" s="22" t="n"/>
      <c r="Q164" s="22" t="n"/>
      <c r="R164" s="22" t="n"/>
      <c r="S164" s="22" t="n"/>
    </row>
    <row r="165" hidden="1" ht="15.75" customHeight="1">
      <c r="A165" s="26">
        <f>IF(((('MiT Strom Pipeline'!R32="follow-up")+('MiT Strom Pipeline'!R32="Evaluation")+('MiT Strom Pipeline'!R32="tbd")+('MiT Strom Pipeline'!R32="In evaluation"))*('MiT Strom Pipeline'!B32&lt;&gt;""))&gt;0,IF(ISNUMBER('MiT Strom Pipeline'!A32),'MiT Strom Pipeline'!A32,""),"")</f>
        <v/>
      </c>
      <c r="B165" s="27">
        <f>IF(((('MiT Strom Pipeline'!R32="follow-up")+('MiT Strom Pipeline'!R32="Evaluation")+('MiT Strom Pipeline'!R32="tbd")+('MiT Strom Pipeline'!R32="In evaluation"))*('MiT Strom Pipeline'!B32&lt;&gt;""))&gt;0,IF('MiT Strom Pipeline'!B32="","",'MiT Strom Pipeline'!B32),"")</f>
        <v/>
      </c>
      <c r="C165" s="27">
        <f>IF(((('MiT Strom Pipeline'!R32="follow-up")+('MiT Strom Pipeline'!R32="Evaluation")+('MiT Strom Pipeline'!R32="tbd")+('MiT Strom Pipeline'!R32="In evaluation"))*('MiT Strom Pipeline'!B32&lt;&gt;""))&gt;0,IF('MiT Strom Pipeline'!C32="","",'MiT Strom Pipeline'!C32),"")</f>
        <v/>
      </c>
      <c r="D165" s="27">
        <f>IF(((('MiT Strom Pipeline'!R32="follow-up")+('MiT Strom Pipeline'!R32="Evaluation")+('MiT Strom Pipeline'!R32="tbd")+('MiT Strom Pipeline'!R32="In evaluation"))*('MiT Strom Pipeline'!B32&lt;&gt;""))&gt;0,IF('MiT Strom Pipeline'!D32="","",'MiT Strom Pipeline'!D32),"")</f>
        <v/>
      </c>
      <c r="E165" s="27">
        <f>IF(((('MiT Strom Pipeline'!R32="follow-up")+('MiT Strom Pipeline'!R32="Evaluation")+('MiT Strom Pipeline'!R32="tbd")+('MiT Strom Pipeline'!R32="In evaluation"))*('MiT Strom Pipeline'!B32&lt;&gt;""))&gt;0,IF('MiT Strom Pipeline'!H32="","",'MiT Strom Pipeline'!H32),"")</f>
        <v/>
      </c>
      <c r="F165" s="27">
        <f>IF(((('MiT Strom Pipeline'!R32="follow-up")+('MiT Strom Pipeline'!R32="Evaluation")+('MiT Strom Pipeline'!R32="tbd")+('MiT Strom Pipeline'!R32="In evaluation"))*('MiT Strom Pipeline'!B32&lt;&gt;""))&gt;0,IF('MiT Strom Pipeline'!E32="","",'MiT Strom Pipeline'!E32),"")</f>
        <v/>
      </c>
      <c r="G165" s="28">
        <f>IF(((('MiT Strom Pipeline'!R32="follow-up")+('MiT Strom Pipeline'!R32="Evaluation")+('MiT Strom Pipeline'!R32="tbd")+('MiT Strom Pipeline'!R32="In evaluation"))*('MiT Strom Pipeline'!B32&lt;&gt;""))&gt;0,IF(ISNUMBER('MiT Strom Pipeline'!I32),'MiT Strom Pipeline'!I32,0),"")</f>
        <v/>
      </c>
      <c r="H165" s="28">
        <f>IF(((('MiT Strom Pipeline'!R32="follow-up")+('MiT Strom Pipeline'!R32="Evaluation")+('MiT Strom Pipeline'!R32="tbd")+('MiT Strom Pipeline'!R32="In evaluation"))*('MiT Strom Pipeline'!B32&lt;&gt;""))&gt;0,IF(ISNUMBER('MiT Strom Pipeline'!Q32),'MiT Strom Pipeline'!Q32,0),"")</f>
        <v/>
      </c>
      <c r="I165" s="28">
        <f>IF(((('MiT Strom Pipeline'!R32="follow-up")+('MiT Strom Pipeline'!R32="Evaluation")+('MiT Strom Pipeline'!R32="tbd")+('MiT Strom Pipeline'!R32="In evaluation"))*('MiT Strom Pipeline'!B32&lt;&gt;""))&gt;0,IF(ISNUMBER('MiT Strom Pipeline'!O32),'MiT Strom Pipeline'!O32,0),"")</f>
        <v/>
      </c>
      <c r="J165" s="27">
        <f>IF(((('MiT Strom Pipeline'!R32="follow-up")+('MiT Strom Pipeline'!R32="Evaluation")+('MiT Strom Pipeline'!R32="tbd")+('MiT Strom Pipeline'!R32="In evaluation"))*('MiT Strom Pipeline'!B32&lt;&gt;""))&gt;0,'MiT Strom Pipeline'!R32,"")</f>
        <v/>
      </c>
      <c r="K165" s="29">
        <f>IF(((('MiT Strom Pipeline'!R32="follow-up")+('MiT Strom Pipeline'!R32="Evaluation")+('MiT Strom Pipeline'!R32="tbd")+('MiT Strom Pipeline'!R32="In evaluation"))*('MiT Strom Pipeline'!B32&lt;&gt;""))&gt;0,IF(ISNUMBER('MiT Strom Pipeline'!S32),'MiT Strom Pipeline'!S32,""),"")</f>
        <v/>
      </c>
      <c r="L165" s="27">
        <f>IF(((('MiT Strom Pipeline'!R32="follow-up")+('MiT Strom Pipeline'!R32="Evaluation")+('MiT Strom Pipeline'!R32="tbd")+('MiT Strom Pipeline'!R32="In evaluation"))*('MiT Strom Pipeline'!B32&lt;&gt;""))&gt;0,IF(LEN('MiT Strom Pipeline'!V32)&gt;0,LEFT('MiT Strom Pipeline'!V32,55),""),"")</f>
        <v/>
      </c>
      <c r="M165" s="22" t="n"/>
      <c r="N165" s="22" t="n"/>
      <c r="O165" s="22" t="n"/>
      <c r="P165" s="22" t="n"/>
      <c r="Q165" s="22" t="n"/>
      <c r="R165" s="22" t="n"/>
      <c r="S165" s="22" t="n"/>
    </row>
    <row r="166" hidden="1" ht="15.75" customHeight="1">
      <c r="A166" s="26">
        <f>IF(((('MiT Strom Pipeline'!R33="follow-up")+('MiT Strom Pipeline'!R33="Evaluation")+('MiT Strom Pipeline'!R33="tbd")+('MiT Strom Pipeline'!R33="In evaluation"))*('MiT Strom Pipeline'!B33&lt;&gt;""))&gt;0,IF(ISNUMBER('MiT Strom Pipeline'!A33),'MiT Strom Pipeline'!A33,""),"")</f>
        <v/>
      </c>
      <c r="B166" s="27">
        <f>IF(((('MiT Strom Pipeline'!R33="follow-up")+('MiT Strom Pipeline'!R33="Evaluation")+('MiT Strom Pipeline'!R33="tbd")+('MiT Strom Pipeline'!R33="In evaluation"))*('MiT Strom Pipeline'!B33&lt;&gt;""))&gt;0,IF('MiT Strom Pipeline'!B33="","",'MiT Strom Pipeline'!B33),"")</f>
        <v/>
      </c>
      <c r="C166" s="27">
        <f>IF(((('MiT Strom Pipeline'!R33="follow-up")+('MiT Strom Pipeline'!R33="Evaluation")+('MiT Strom Pipeline'!R33="tbd")+('MiT Strom Pipeline'!R33="In evaluation"))*('MiT Strom Pipeline'!B33&lt;&gt;""))&gt;0,IF('MiT Strom Pipeline'!C33="","",'MiT Strom Pipeline'!C33),"")</f>
        <v/>
      </c>
      <c r="D166" s="27">
        <f>IF(((('MiT Strom Pipeline'!R33="follow-up")+('MiT Strom Pipeline'!R33="Evaluation")+('MiT Strom Pipeline'!R33="tbd")+('MiT Strom Pipeline'!R33="In evaluation"))*('MiT Strom Pipeline'!B33&lt;&gt;""))&gt;0,IF('MiT Strom Pipeline'!D33="","",'MiT Strom Pipeline'!D33),"")</f>
        <v/>
      </c>
      <c r="E166" s="27">
        <f>IF(((('MiT Strom Pipeline'!R33="follow-up")+('MiT Strom Pipeline'!R33="Evaluation")+('MiT Strom Pipeline'!R33="tbd")+('MiT Strom Pipeline'!R33="In evaluation"))*('MiT Strom Pipeline'!B33&lt;&gt;""))&gt;0,IF('MiT Strom Pipeline'!H33="","",'MiT Strom Pipeline'!H33),"")</f>
        <v/>
      </c>
      <c r="F166" s="27">
        <f>IF(((('MiT Strom Pipeline'!R33="follow-up")+('MiT Strom Pipeline'!R33="Evaluation")+('MiT Strom Pipeline'!R33="tbd")+('MiT Strom Pipeline'!R33="In evaluation"))*('MiT Strom Pipeline'!B33&lt;&gt;""))&gt;0,IF('MiT Strom Pipeline'!E33="","",'MiT Strom Pipeline'!E33),"")</f>
        <v/>
      </c>
      <c r="G166" s="28">
        <f>IF(((('MiT Strom Pipeline'!R33="follow-up")+('MiT Strom Pipeline'!R33="Evaluation")+('MiT Strom Pipeline'!R33="tbd")+('MiT Strom Pipeline'!R33="In evaluation"))*('MiT Strom Pipeline'!B33&lt;&gt;""))&gt;0,IF(ISNUMBER('MiT Strom Pipeline'!I33),'MiT Strom Pipeline'!I33,0),"")</f>
        <v/>
      </c>
      <c r="H166" s="28">
        <f>IF(((('MiT Strom Pipeline'!R33="follow-up")+('MiT Strom Pipeline'!R33="Evaluation")+('MiT Strom Pipeline'!R33="tbd")+('MiT Strom Pipeline'!R33="In evaluation"))*('MiT Strom Pipeline'!B33&lt;&gt;""))&gt;0,IF(ISNUMBER('MiT Strom Pipeline'!Q33),'MiT Strom Pipeline'!Q33,0),"")</f>
        <v/>
      </c>
      <c r="I166" s="28">
        <f>IF(((('MiT Strom Pipeline'!R33="follow-up")+('MiT Strom Pipeline'!R33="Evaluation")+('MiT Strom Pipeline'!R33="tbd")+('MiT Strom Pipeline'!R33="In evaluation"))*('MiT Strom Pipeline'!B33&lt;&gt;""))&gt;0,IF(ISNUMBER('MiT Strom Pipeline'!O33),'MiT Strom Pipeline'!O33,0),"")</f>
        <v/>
      </c>
      <c r="J166" s="27">
        <f>IF(((('MiT Strom Pipeline'!R33="follow-up")+('MiT Strom Pipeline'!R33="Evaluation")+('MiT Strom Pipeline'!R33="tbd")+('MiT Strom Pipeline'!R33="In evaluation"))*('MiT Strom Pipeline'!B33&lt;&gt;""))&gt;0,'MiT Strom Pipeline'!R33,"")</f>
        <v/>
      </c>
      <c r="K166" s="29">
        <f>IF(((('MiT Strom Pipeline'!R33="follow-up")+('MiT Strom Pipeline'!R33="Evaluation")+('MiT Strom Pipeline'!R33="tbd")+('MiT Strom Pipeline'!R33="In evaluation"))*('MiT Strom Pipeline'!B33&lt;&gt;""))&gt;0,IF(ISNUMBER('MiT Strom Pipeline'!S33),'MiT Strom Pipeline'!S33,""),"")</f>
        <v/>
      </c>
      <c r="L166" s="27">
        <f>IF(((('MiT Strom Pipeline'!R33="follow-up")+('MiT Strom Pipeline'!R33="Evaluation")+('MiT Strom Pipeline'!R33="tbd")+('MiT Strom Pipeline'!R33="In evaluation"))*('MiT Strom Pipeline'!B33&lt;&gt;""))&gt;0,IF(LEN('MiT Strom Pipeline'!V33)&gt;0,LEFT('MiT Strom Pipeline'!V33,55),""),"")</f>
        <v/>
      </c>
      <c r="M166" s="22" t="n"/>
      <c r="N166" s="22" t="n"/>
      <c r="O166" s="22" t="n"/>
      <c r="P166" s="22" t="n"/>
      <c r="Q166" s="22" t="n"/>
      <c r="R166" s="22" t="n"/>
      <c r="S166" s="22" t="n"/>
    </row>
    <row r="167" hidden="1" ht="15.75" customHeight="1">
      <c r="A167" s="26">
        <f>IF(((('MiT Strom Pipeline'!R34="follow-up")+('MiT Strom Pipeline'!R34="Evaluation")+('MiT Strom Pipeline'!R34="tbd")+('MiT Strom Pipeline'!R34="In evaluation"))*('MiT Strom Pipeline'!B34&lt;&gt;""))&gt;0,IF(ISNUMBER('MiT Strom Pipeline'!A34),'MiT Strom Pipeline'!A34,""),"")</f>
        <v/>
      </c>
      <c r="B167" s="27">
        <f>IF(((('MiT Strom Pipeline'!R34="follow-up")+('MiT Strom Pipeline'!R34="Evaluation")+('MiT Strom Pipeline'!R34="tbd")+('MiT Strom Pipeline'!R34="In evaluation"))*('MiT Strom Pipeline'!B34&lt;&gt;""))&gt;0,IF('MiT Strom Pipeline'!B34="","",'MiT Strom Pipeline'!B34),"")</f>
        <v/>
      </c>
      <c r="C167" s="27">
        <f>IF(((('MiT Strom Pipeline'!R34="follow-up")+('MiT Strom Pipeline'!R34="Evaluation")+('MiT Strom Pipeline'!R34="tbd")+('MiT Strom Pipeline'!R34="In evaluation"))*('MiT Strom Pipeline'!B34&lt;&gt;""))&gt;0,IF('MiT Strom Pipeline'!C34="","",'MiT Strom Pipeline'!C34),"")</f>
        <v/>
      </c>
      <c r="D167" s="27">
        <f>IF(((('MiT Strom Pipeline'!R34="follow-up")+('MiT Strom Pipeline'!R34="Evaluation")+('MiT Strom Pipeline'!R34="tbd")+('MiT Strom Pipeline'!R34="In evaluation"))*('MiT Strom Pipeline'!B34&lt;&gt;""))&gt;0,IF('MiT Strom Pipeline'!D34="","",'MiT Strom Pipeline'!D34),"")</f>
        <v/>
      </c>
      <c r="E167" s="27">
        <f>IF(((('MiT Strom Pipeline'!R34="follow-up")+('MiT Strom Pipeline'!R34="Evaluation")+('MiT Strom Pipeline'!R34="tbd")+('MiT Strom Pipeline'!R34="In evaluation"))*('MiT Strom Pipeline'!B34&lt;&gt;""))&gt;0,IF('MiT Strom Pipeline'!H34="","",'MiT Strom Pipeline'!H34),"")</f>
        <v/>
      </c>
      <c r="F167" s="27">
        <f>IF(((('MiT Strom Pipeline'!R34="follow-up")+('MiT Strom Pipeline'!R34="Evaluation")+('MiT Strom Pipeline'!R34="tbd")+('MiT Strom Pipeline'!R34="In evaluation"))*('MiT Strom Pipeline'!B34&lt;&gt;""))&gt;0,IF('MiT Strom Pipeline'!E34="","",'MiT Strom Pipeline'!E34),"")</f>
        <v/>
      </c>
      <c r="G167" s="28">
        <f>IF(((('MiT Strom Pipeline'!R34="follow-up")+('MiT Strom Pipeline'!R34="Evaluation")+('MiT Strom Pipeline'!R34="tbd")+('MiT Strom Pipeline'!R34="In evaluation"))*('MiT Strom Pipeline'!B34&lt;&gt;""))&gt;0,IF(ISNUMBER('MiT Strom Pipeline'!I34),'MiT Strom Pipeline'!I34,0),"")</f>
        <v/>
      </c>
      <c r="H167" s="28">
        <f>IF(((('MiT Strom Pipeline'!R34="follow-up")+('MiT Strom Pipeline'!R34="Evaluation")+('MiT Strom Pipeline'!R34="tbd")+('MiT Strom Pipeline'!R34="In evaluation"))*('MiT Strom Pipeline'!B34&lt;&gt;""))&gt;0,IF(ISNUMBER('MiT Strom Pipeline'!Q34),'MiT Strom Pipeline'!Q34,0),"")</f>
        <v/>
      </c>
      <c r="I167" s="28">
        <f>IF(((('MiT Strom Pipeline'!R34="follow-up")+('MiT Strom Pipeline'!R34="Evaluation")+('MiT Strom Pipeline'!R34="tbd")+('MiT Strom Pipeline'!R34="In evaluation"))*('MiT Strom Pipeline'!B34&lt;&gt;""))&gt;0,IF(ISNUMBER('MiT Strom Pipeline'!O34),'MiT Strom Pipeline'!O34,0),"")</f>
        <v/>
      </c>
      <c r="J167" s="27">
        <f>IF(((('MiT Strom Pipeline'!R34="follow-up")+('MiT Strom Pipeline'!R34="Evaluation")+('MiT Strom Pipeline'!R34="tbd")+('MiT Strom Pipeline'!R34="In evaluation"))*('MiT Strom Pipeline'!B34&lt;&gt;""))&gt;0,'MiT Strom Pipeline'!R34,"")</f>
        <v/>
      </c>
      <c r="K167" s="29">
        <f>IF(((('MiT Strom Pipeline'!R34="follow-up")+('MiT Strom Pipeline'!R34="Evaluation")+('MiT Strom Pipeline'!R34="tbd")+('MiT Strom Pipeline'!R34="In evaluation"))*('MiT Strom Pipeline'!B34&lt;&gt;""))&gt;0,IF(ISNUMBER('MiT Strom Pipeline'!S34),'MiT Strom Pipeline'!S34,""),"")</f>
        <v/>
      </c>
      <c r="L167" s="27">
        <f>IF(((('MiT Strom Pipeline'!R34="follow-up")+('MiT Strom Pipeline'!R34="Evaluation")+('MiT Strom Pipeline'!R34="tbd")+('MiT Strom Pipeline'!R34="In evaluation"))*('MiT Strom Pipeline'!B34&lt;&gt;""))&gt;0,IF(LEN('MiT Strom Pipeline'!V34)&gt;0,LEFT('MiT Strom Pipeline'!V34,55),""),"")</f>
        <v/>
      </c>
      <c r="M167" s="22" t="n"/>
      <c r="N167" s="22" t="n"/>
      <c r="O167" s="22" t="n"/>
      <c r="P167" s="22" t="n"/>
      <c r="Q167" s="22" t="n"/>
      <c r="R167" s="22" t="n"/>
      <c r="S167" s="22" t="n"/>
    </row>
    <row r="168" hidden="1" ht="15.75" customHeight="1">
      <c r="A168" s="26">
        <f>IF(((('MiT Strom Pipeline'!R35="follow-up")+('MiT Strom Pipeline'!R35="Evaluation")+('MiT Strom Pipeline'!R35="tbd")+('MiT Strom Pipeline'!R35="In evaluation"))*('MiT Strom Pipeline'!B35&lt;&gt;""))&gt;0,IF(ISNUMBER('MiT Strom Pipeline'!A35),'MiT Strom Pipeline'!A35,""),"")</f>
        <v/>
      </c>
      <c r="B168" s="27">
        <f>IF(((('MiT Strom Pipeline'!R35="follow-up")+('MiT Strom Pipeline'!R35="Evaluation")+('MiT Strom Pipeline'!R35="tbd")+('MiT Strom Pipeline'!R35="In evaluation"))*('MiT Strom Pipeline'!B35&lt;&gt;""))&gt;0,IF('MiT Strom Pipeline'!B35="","",'MiT Strom Pipeline'!B35),"")</f>
        <v/>
      </c>
      <c r="C168" s="27">
        <f>IF(((('MiT Strom Pipeline'!R35="follow-up")+('MiT Strom Pipeline'!R35="Evaluation")+('MiT Strom Pipeline'!R35="tbd")+('MiT Strom Pipeline'!R35="In evaluation"))*('MiT Strom Pipeline'!B35&lt;&gt;""))&gt;0,IF('MiT Strom Pipeline'!C35="","",'MiT Strom Pipeline'!C35),"")</f>
        <v/>
      </c>
      <c r="D168" s="27">
        <f>IF(((('MiT Strom Pipeline'!R35="follow-up")+('MiT Strom Pipeline'!R35="Evaluation")+('MiT Strom Pipeline'!R35="tbd")+('MiT Strom Pipeline'!R35="In evaluation"))*('MiT Strom Pipeline'!B35&lt;&gt;""))&gt;0,IF('MiT Strom Pipeline'!D35="","",'MiT Strom Pipeline'!D35),"")</f>
        <v/>
      </c>
      <c r="E168" s="27">
        <f>IF(((('MiT Strom Pipeline'!R35="follow-up")+('MiT Strom Pipeline'!R35="Evaluation")+('MiT Strom Pipeline'!R35="tbd")+('MiT Strom Pipeline'!R35="In evaluation"))*('MiT Strom Pipeline'!B35&lt;&gt;""))&gt;0,IF('MiT Strom Pipeline'!H35="","",'MiT Strom Pipeline'!H35),"")</f>
        <v/>
      </c>
      <c r="F168" s="27">
        <f>IF(((('MiT Strom Pipeline'!R35="follow-up")+('MiT Strom Pipeline'!R35="Evaluation")+('MiT Strom Pipeline'!R35="tbd")+('MiT Strom Pipeline'!R35="In evaluation"))*('MiT Strom Pipeline'!B35&lt;&gt;""))&gt;0,IF('MiT Strom Pipeline'!E35="","",'MiT Strom Pipeline'!E35),"")</f>
        <v/>
      </c>
      <c r="G168" s="28">
        <f>IF(((('MiT Strom Pipeline'!R35="follow-up")+('MiT Strom Pipeline'!R35="Evaluation")+('MiT Strom Pipeline'!R35="tbd")+('MiT Strom Pipeline'!R35="In evaluation"))*('MiT Strom Pipeline'!B35&lt;&gt;""))&gt;0,IF(ISNUMBER('MiT Strom Pipeline'!I35),'MiT Strom Pipeline'!I35,0),"")</f>
        <v/>
      </c>
      <c r="H168" s="28">
        <f>IF(((('MiT Strom Pipeline'!R35="follow-up")+('MiT Strom Pipeline'!R35="Evaluation")+('MiT Strom Pipeline'!R35="tbd")+('MiT Strom Pipeline'!R35="In evaluation"))*('MiT Strom Pipeline'!B35&lt;&gt;""))&gt;0,IF(ISNUMBER('MiT Strom Pipeline'!Q35),'MiT Strom Pipeline'!Q35,0),"")</f>
        <v/>
      </c>
      <c r="I168" s="28">
        <f>IF(((('MiT Strom Pipeline'!R35="follow-up")+('MiT Strom Pipeline'!R35="Evaluation")+('MiT Strom Pipeline'!R35="tbd")+('MiT Strom Pipeline'!R35="In evaluation"))*('MiT Strom Pipeline'!B35&lt;&gt;""))&gt;0,IF(ISNUMBER('MiT Strom Pipeline'!O35),'MiT Strom Pipeline'!O35,0),"")</f>
        <v/>
      </c>
      <c r="J168" s="27">
        <f>IF(((('MiT Strom Pipeline'!R35="follow-up")+('MiT Strom Pipeline'!R35="Evaluation")+('MiT Strom Pipeline'!R35="tbd")+('MiT Strom Pipeline'!R35="In evaluation"))*('MiT Strom Pipeline'!B35&lt;&gt;""))&gt;0,'MiT Strom Pipeline'!R35,"")</f>
        <v/>
      </c>
      <c r="K168" s="29">
        <f>IF(((('MiT Strom Pipeline'!R35="follow-up")+('MiT Strom Pipeline'!R35="Evaluation")+('MiT Strom Pipeline'!R35="tbd")+('MiT Strom Pipeline'!R35="In evaluation"))*('MiT Strom Pipeline'!B35&lt;&gt;""))&gt;0,IF(ISNUMBER('MiT Strom Pipeline'!S35),'MiT Strom Pipeline'!S35,""),"")</f>
        <v/>
      </c>
      <c r="L168" s="27">
        <f>IF(((('MiT Strom Pipeline'!R35="follow-up")+('MiT Strom Pipeline'!R35="Evaluation")+('MiT Strom Pipeline'!R35="tbd")+('MiT Strom Pipeline'!R35="In evaluation"))*('MiT Strom Pipeline'!B35&lt;&gt;""))&gt;0,IF(LEN('MiT Strom Pipeline'!V35)&gt;0,LEFT('MiT Strom Pipeline'!V35,55),""),"")</f>
        <v/>
      </c>
      <c r="M168" s="22" t="n"/>
      <c r="N168" s="22" t="n"/>
      <c r="O168" s="22" t="n"/>
      <c r="P168" s="22" t="n"/>
      <c r="Q168" s="22" t="n"/>
      <c r="R168" s="22" t="n"/>
      <c r="S168" s="22" t="n"/>
    </row>
    <row r="169" hidden="1" ht="15.75" customHeight="1">
      <c r="A169" s="26">
        <f>IF(((('MiT Strom Pipeline'!R36="follow-up")+('MiT Strom Pipeline'!R36="Evaluation")+('MiT Strom Pipeline'!R36="tbd")+('MiT Strom Pipeline'!R36="In evaluation"))*('MiT Strom Pipeline'!B36&lt;&gt;""))&gt;0,IF(ISNUMBER('MiT Strom Pipeline'!A36),'MiT Strom Pipeline'!A36,""),"")</f>
        <v/>
      </c>
      <c r="B169" s="27">
        <f>IF(((('MiT Strom Pipeline'!R36="follow-up")+('MiT Strom Pipeline'!R36="Evaluation")+('MiT Strom Pipeline'!R36="tbd")+('MiT Strom Pipeline'!R36="In evaluation"))*('MiT Strom Pipeline'!B36&lt;&gt;""))&gt;0,IF('MiT Strom Pipeline'!B36="","",'MiT Strom Pipeline'!B36),"")</f>
        <v/>
      </c>
      <c r="C169" s="27">
        <f>IF(((('MiT Strom Pipeline'!R36="follow-up")+('MiT Strom Pipeline'!R36="Evaluation")+('MiT Strom Pipeline'!R36="tbd")+('MiT Strom Pipeline'!R36="In evaluation"))*('MiT Strom Pipeline'!B36&lt;&gt;""))&gt;0,IF('MiT Strom Pipeline'!C36="","",'MiT Strom Pipeline'!C36),"")</f>
        <v/>
      </c>
      <c r="D169" s="27">
        <f>IF(((('MiT Strom Pipeline'!R36="follow-up")+('MiT Strom Pipeline'!R36="Evaluation")+('MiT Strom Pipeline'!R36="tbd")+('MiT Strom Pipeline'!R36="In evaluation"))*('MiT Strom Pipeline'!B36&lt;&gt;""))&gt;0,IF('MiT Strom Pipeline'!D36="","",'MiT Strom Pipeline'!D36),"")</f>
        <v/>
      </c>
      <c r="E169" s="27">
        <f>IF(((('MiT Strom Pipeline'!R36="follow-up")+('MiT Strom Pipeline'!R36="Evaluation")+('MiT Strom Pipeline'!R36="tbd")+('MiT Strom Pipeline'!R36="In evaluation"))*('MiT Strom Pipeline'!B36&lt;&gt;""))&gt;0,IF('MiT Strom Pipeline'!H36="","",'MiT Strom Pipeline'!H36),"")</f>
        <v/>
      </c>
      <c r="F169" s="27">
        <f>IF(((('MiT Strom Pipeline'!R36="follow-up")+('MiT Strom Pipeline'!R36="Evaluation")+('MiT Strom Pipeline'!R36="tbd")+('MiT Strom Pipeline'!R36="In evaluation"))*('MiT Strom Pipeline'!B36&lt;&gt;""))&gt;0,IF('MiT Strom Pipeline'!E36="","",'MiT Strom Pipeline'!E36),"")</f>
        <v/>
      </c>
      <c r="G169" s="28">
        <f>IF(((('MiT Strom Pipeline'!R36="follow-up")+('MiT Strom Pipeline'!R36="Evaluation")+('MiT Strom Pipeline'!R36="tbd")+('MiT Strom Pipeline'!R36="In evaluation"))*('MiT Strom Pipeline'!B36&lt;&gt;""))&gt;0,IF(ISNUMBER('MiT Strom Pipeline'!I36),'MiT Strom Pipeline'!I36,0),"")</f>
        <v/>
      </c>
      <c r="H169" s="28">
        <f>IF(((('MiT Strom Pipeline'!R36="follow-up")+('MiT Strom Pipeline'!R36="Evaluation")+('MiT Strom Pipeline'!R36="tbd")+('MiT Strom Pipeline'!R36="In evaluation"))*('MiT Strom Pipeline'!B36&lt;&gt;""))&gt;0,IF(ISNUMBER('MiT Strom Pipeline'!Q36),'MiT Strom Pipeline'!Q36,0),"")</f>
        <v/>
      </c>
      <c r="I169" s="28">
        <f>IF(((('MiT Strom Pipeline'!R36="follow-up")+('MiT Strom Pipeline'!R36="Evaluation")+('MiT Strom Pipeline'!R36="tbd")+('MiT Strom Pipeline'!R36="In evaluation"))*('MiT Strom Pipeline'!B36&lt;&gt;""))&gt;0,IF(ISNUMBER('MiT Strom Pipeline'!O36),'MiT Strom Pipeline'!O36,0),"")</f>
        <v/>
      </c>
      <c r="J169" s="27">
        <f>IF(((('MiT Strom Pipeline'!R36="follow-up")+('MiT Strom Pipeline'!R36="Evaluation")+('MiT Strom Pipeline'!R36="tbd")+('MiT Strom Pipeline'!R36="In evaluation"))*('MiT Strom Pipeline'!B36&lt;&gt;""))&gt;0,'MiT Strom Pipeline'!R36,"")</f>
        <v/>
      </c>
      <c r="K169" s="29">
        <f>IF(((('MiT Strom Pipeline'!R36="follow-up")+('MiT Strom Pipeline'!R36="Evaluation")+('MiT Strom Pipeline'!R36="tbd")+('MiT Strom Pipeline'!R36="In evaluation"))*('MiT Strom Pipeline'!B36&lt;&gt;""))&gt;0,IF(ISNUMBER('MiT Strom Pipeline'!S36),'MiT Strom Pipeline'!S36,""),"")</f>
        <v/>
      </c>
      <c r="L169" s="27">
        <f>IF(((('MiT Strom Pipeline'!R36="follow-up")+('MiT Strom Pipeline'!R36="Evaluation")+('MiT Strom Pipeline'!R36="tbd")+('MiT Strom Pipeline'!R36="In evaluation"))*('MiT Strom Pipeline'!B36&lt;&gt;""))&gt;0,IF(LEN('MiT Strom Pipeline'!V36)&gt;0,LEFT('MiT Strom Pipeline'!V36,55),""),"")</f>
        <v/>
      </c>
      <c r="M169" s="22" t="n"/>
      <c r="N169" s="22" t="n"/>
      <c r="O169" s="22" t="n"/>
      <c r="P169" s="22" t="n"/>
      <c r="Q169" s="22" t="n"/>
      <c r="R169" s="22" t="n"/>
      <c r="S169" s="22" t="n"/>
    </row>
    <row r="170" hidden="1" ht="15.75" customHeight="1">
      <c r="A170" s="26">
        <f>IF(((('MiT Strom Pipeline'!R37="follow-up")+('MiT Strom Pipeline'!R37="Evaluation")+('MiT Strom Pipeline'!R37="tbd")+('MiT Strom Pipeline'!R37="In evaluation"))*('MiT Strom Pipeline'!B37&lt;&gt;""))&gt;0,IF(ISNUMBER('MiT Strom Pipeline'!A37),'MiT Strom Pipeline'!A37,""),"")</f>
        <v/>
      </c>
      <c r="B170" s="27">
        <f>IF(((('MiT Strom Pipeline'!R37="follow-up")+('MiT Strom Pipeline'!R37="Evaluation")+('MiT Strom Pipeline'!R37="tbd")+('MiT Strom Pipeline'!R37="In evaluation"))*('MiT Strom Pipeline'!B37&lt;&gt;""))&gt;0,IF('MiT Strom Pipeline'!B37="","",'MiT Strom Pipeline'!B37),"")</f>
        <v/>
      </c>
      <c r="C170" s="27">
        <f>IF(((('MiT Strom Pipeline'!R37="follow-up")+('MiT Strom Pipeline'!R37="Evaluation")+('MiT Strom Pipeline'!R37="tbd")+('MiT Strom Pipeline'!R37="In evaluation"))*('MiT Strom Pipeline'!B37&lt;&gt;""))&gt;0,IF('MiT Strom Pipeline'!C37="","",'MiT Strom Pipeline'!C37),"")</f>
        <v/>
      </c>
      <c r="D170" s="27">
        <f>IF(((('MiT Strom Pipeline'!R37="follow-up")+('MiT Strom Pipeline'!R37="Evaluation")+('MiT Strom Pipeline'!R37="tbd")+('MiT Strom Pipeline'!R37="In evaluation"))*('MiT Strom Pipeline'!B37&lt;&gt;""))&gt;0,IF('MiT Strom Pipeline'!D37="","",'MiT Strom Pipeline'!D37),"")</f>
        <v/>
      </c>
      <c r="E170" s="27">
        <f>IF(((('MiT Strom Pipeline'!R37="follow-up")+('MiT Strom Pipeline'!R37="Evaluation")+('MiT Strom Pipeline'!R37="tbd")+('MiT Strom Pipeline'!R37="In evaluation"))*('MiT Strom Pipeline'!B37&lt;&gt;""))&gt;0,IF('MiT Strom Pipeline'!H37="","",'MiT Strom Pipeline'!H37),"")</f>
        <v/>
      </c>
      <c r="F170" s="27">
        <f>IF(((('MiT Strom Pipeline'!R37="follow-up")+('MiT Strom Pipeline'!R37="Evaluation")+('MiT Strom Pipeline'!R37="tbd")+('MiT Strom Pipeline'!R37="In evaluation"))*('MiT Strom Pipeline'!B37&lt;&gt;""))&gt;0,IF('MiT Strom Pipeline'!E37="","",'MiT Strom Pipeline'!E37),"")</f>
        <v/>
      </c>
      <c r="G170" s="28">
        <f>IF(((('MiT Strom Pipeline'!R37="follow-up")+('MiT Strom Pipeline'!R37="Evaluation")+('MiT Strom Pipeline'!R37="tbd")+('MiT Strom Pipeline'!R37="In evaluation"))*('MiT Strom Pipeline'!B37&lt;&gt;""))&gt;0,IF(ISNUMBER('MiT Strom Pipeline'!I37),'MiT Strom Pipeline'!I37,0),"")</f>
        <v/>
      </c>
      <c r="H170" s="28">
        <f>IF(((('MiT Strom Pipeline'!R37="follow-up")+('MiT Strom Pipeline'!R37="Evaluation")+('MiT Strom Pipeline'!R37="tbd")+('MiT Strom Pipeline'!R37="In evaluation"))*('MiT Strom Pipeline'!B37&lt;&gt;""))&gt;0,IF(ISNUMBER('MiT Strom Pipeline'!Q37),'MiT Strom Pipeline'!Q37,0),"")</f>
        <v/>
      </c>
      <c r="I170" s="28">
        <f>IF(((('MiT Strom Pipeline'!R37="follow-up")+('MiT Strom Pipeline'!R37="Evaluation")+('MiT Strom Pipeline'!R37="tbd")+('MiT Strom Pipeline'!R37="In evaluation"))*('MiT Strom Pipeline'!B37&lt;&gt;""))&gt;0,IF(ISNUMBER('MiT Strom Pipeline'!O37),'MiT Strom Pipeline'!O37,0),"")</f>
        <v/>
      </c>
      <c r="J170" s="27">
        <f>IF(((('MiT Strom Pipeline'!R37="follow-up")+('MiT Strom Pipeline'!R37="Evaluation")+('MiT Strom Pipeline'!R37="tbd")+('MiT Strom Pipeline'!R37="In evaluation"))*('MiT Strom Pipeline'!B37&lt;&gt;""))&gt;0,'MiT Strom Pipeline'!R37,"")</f>
        <v/>
      </c>
      <c r="K170" s="29">
        <f>IF(((('MiT Strom Pipeline'!R37="follow-up")+('MiT Strom Pipeline'!R37="Evaluation")+('MiT Strom Pipeline'!R37="tbd")+('MiT Strom Pipeline'!R37="In evaluation"))*('MiT Strom Pipeline'!B37&lt;&gt;""))&gt;0,IF(ISNUMBER('MiT Strom Pipeline'!S37),'MiT Strom Pipeline'!S37,""),"")</f>
        <v/>
      </c>
      <c r="L170" s="27">
        <f>IF(((('MiT Strom Pipeline'!R37="follow-up")+('MiT Strom Pipeline'!R37="Evaluation")+('MiT Strom Pipeline'!R37="tbd")+('MiT Strom Pipeline'!R37="In evaluation"))*('MiT Strom Pipeline'!B37&lt;&gt;""))&gt;0,IF(LEN('MiT Strom Pipeline'!V37)&gt;0,LEFT('MiT Strom Pipeline'!V37,55),""),"")</f>
        <v/>
      </c>
      <c r="M170" s="22" t="n"/>
      <c r="N170" s="22" t="n"/>
      <c r="O170" s="22" t="n"/>
      <c r="P170" s="22" t="n"/>
      <c r="Q170" s="22" t="n"/>
      <c r="R170" s="22" t="n"/>
      <c r="S170" s="22" t="n"/>
    </row>
    <row r="171" ht="15.75" customHeight="1">
      <c r="A171" s="26">
        <f>IF(((('MiT Strom Pipeline'!R38="follow-up")+('MiT Strom Pipeline'!R38="Evaluation")+('MiT Strom Pipeline'!R38="tbd")+('MiT Strom Pipeline'!R38="In evaluation"))*('MiT Strom Pipeline'!B38&lt;&gt;""))&gt;0,IF(ISNUMBER('MiT Strom Pipeline'!A38),'MiT Strom Pipeline'!A38,""),"")</f>
        <v/>
      </c>
      <c r="B171" s="27">
        <f>IF(((('MiT Strom Pipeline'!R38="follow-up")+('MiT Strom Pipeline'!R38="Evaluation")+('MiT Strom Pipeline'!R38="tbd")+('MiT Strom Pipeline'!R38="In evaluation"))*('MiT Strom Pipeline'!B38&lt;&gt;""))&gt;0,IF('MiT Strom Pipeline'!B38="","",'MiT Strom Pipeline'!B38),"")</f>
        <v/>
      </c>
      <c r="C171" s="27">
        <f>IF(((('MiT Strom Pipeline'!R38="follow-up")+('MiT Strom Pipeline'!R38="Evaluation")+('MiT Strom Pipeline'!R38="tbd")+('MiT Strom Pipeline'!R38="In evaluation"))*('MiT Strom Pipeline'!B38&lt;&gt;""))&gt;0,IF('MiT Strom Pipeline'!C38="","",'MiT Strom Pipeline'!C38),"")</f>
        <v/>
      </c>
      <c r="D171" s="27">
        <f>IF(((('MiT Strom Pipeline'!R38="follow-up")+('MiT Strom Pipeline'!R38="Evaluation")+('MiT Strom Pipeline'!R38="tbd")+('MiT Strom Pipeline'!R38="In evaluation"))*('MiT Strom Pipeline'!B38&lt;&gt;""))&gt;0,IF('MiT Strom Pipeline'!D38="","",'MiT Strom Pipeline'!D38),"")</f>
        <v/>
      </c>
      <c r="E171" s="192">
        <f>IF(((('MiT Strom Pipeline'!R38="follow-up")+('MiT Strom Pipeline'!R38="Evaluation")+('MiT Strom Pipeline'!R38="tbd")+('MiT Strom Pipeline'!R38="In evaluation"))*('MiT Strom Pipeline'!B38&lt;&gt;""))&gt;0,IF('MiT Strom Pipeline'!H38="","",'MiT Strom Pipeline'!H38),"")</f>
        <v/>
      </c>
      <c r="F171" s="27">
        <f>IF(((('MiT Strom Pipeline'!R38="follow-up")+('MiT Strom Pipeline'!R38="Evaluation")+('MiT Strom Pipeline'!R38="tbd")+('MiT Strom Pipeline'!R38="In evaluation"))*('MiT Strom Pipeline'!B38&lt;&gt;""))&gt;0,IF('MiT Strom Pipeline'!E38="","",'MiT Strom Pipeline'!E38),"")</f>
        <v/>
      </c>
      <c r="G171" s="28">
        <f>IF(((('MiT Strom Pipeline'!R38="follow-up")+('MiT Strom Pipeline'!R38="Evaluation")+('MiT Strom Pipeline'!R38="tbd")+('MiT Strom Pipeline'!R38="In evaluation"))*('MiT Strom Pipeline'!B38&lt;&gt;""))&gt;0,IF(ISNUMBER('MiT Strom Pipeline'!I38),'MiT Strom Pipeline'!I38,0),"")</f>
        <v/>
      </c>
      <c r="H171" s="28">
        <f>IF(((('MiT Strom Pipeline'!R38="follow-up")+('MiT Strom Pipeline'!R38="Evaluation")+('MiT Strom Pipeline'!R38="tbd")+('MiT Strom Pipeline'!R38="In evaluation"))*('MiT Strom Pipeline'!B38&lt;&gt;""))&gt;0,IF(ISNUMBER('MiT Strom Pipeline'!Q38),'MiT Strom Pipeline'!Q38,0),"")</f>
        <v/>
      </c>
      <c r="I171" s="28">
        <f>IF(((('MiT Strom Pipeline'!R38="follow-up")+('MiT Strom Pipeline'!R38="Evaluation")+('MiT Strom Pipeline'!R38="tbd")+('MiT Strom Pipeline'!R38="In evaluation"))*('MiT Strom Pipeline'!B38&lt;&gt;""))&gt;0,IF(ISNUMBER('MiT Strom Pipeline'!O38),'MiT Strom Pipeline'!O38,0),"")</f>
        <v/>
      </c>
      <c r="J171" s="27">
        <f>IF(((('MiT Strom Pipeline'!R38="follow-up")+('MiT Strom Pipeline'!R38="Evaluation")+('MiT Strom Pipeline'!R38="tbd")+('MiT Strom Pipeline'!R38="In evaluation"))*('MiT Strom Pipeline'!B38&lt;&gt;""))&gt;0,'MiT Strom Pipeline'!R38,"")</f>
        <v/>
      </c>
      <c r="K171" s="29">
        <f>IF(((('MiT Strom Pipeline'!R38="follow-up")+('MiT Strom Pipeline'!R38="Evaluation")+('MiT Strom Pipeline'!R38="tbd")+('MiT Strom Pipeline'!R38="In evaluation"))*('MiT Strom Pipeline'!B38&lt;&gt;""))&gt;0,IF(ISNUMBER('MiT Strom Pipeline'!S38),'MiT Strom Pipeline'!S38,""),"")</f>
        <v/>
      </c>
      <c r="L171" s="27">
        <f>IF(((('MiT Strom Pipeline'!R38="follow-up")+('MiT Strom Pipeline'!R38="Evaluation")+('MiT Strom Pipeline'!R38="tbd")+('MiT Strom Pipeline'!R38="In evaluation"))*('MiT Strom Pipeline'!B38&lt;&gt;""))&gt;0,IF(LEN('MiT Strom Pipeline'!V38)&gt;0,LEFT('MiT Strom Pipeline'!V38,55),""),"")</f>
        <v/>
      </c>
      <c r="M171" s="22" t="n"/>
      <c r="N171" s="22" t="n"/>
      <c r="O171" s="22" t="n"/>
      <c r="P171" s="22" t="n"/>
      <c r="Q171" s="22" t="n"/>
      <c r="R171" s="22" t="n"/>
      <c r="S171" s="22" t="n"/>
    </row>
    <row r="172" ht="15.75" customHeight="1">
      <c r="A172" s="26">
        <f>IF(((('MiT Strom Pipeline'!R39="follow-up")+('MiT Strom Pipeline'!R39="Evaluation")+('MiT Strom Pipeline'!R39="tbd")+('MiT Strom Pipeline'!R39="In evaluation"))*('MiT Strom Pipeline'!B39&lt;&gt;""))&gt;0,IF(ISNUMBER('MiT Strom Pipeline'!A39),'MiT Strom Pipeline'!A39,""),"")</f>
        <v/>
      </c>
      <c r="B172" s="27">
        <f>IF(((('MiT Strom Pipeline'!R39="follow-up")+('MiT Strom Pipeline'!R39="Evaluation")+('MiT Strom Pipeline'!R39="tbd")+('MiT Strom Pipeline'!R39="In evaluation"))*('MiT Strom Pipeline'!B39&lt;&gt;""))&gt;0,IF('MiT Strom Pipeline'!B39="","",'MiT Strom Pipeline'!B39),"")</f>
        <v/>
      </c>
      <c r="C172" s="27">
        <f>IF(((('MiT Strom Pipeline'!R39="follow-up")+('MiT Strom Pipeline'!R39="Evaluation")+('MiT Strom Pipeline'!R39="tbd")+('MiT Strom Pipeline'!R39="In evaluation"))*('MiT Strom Pipeline'!B39&lt;&gt;""))&gt;0,IF('MiT Strom Pipeline'!C39="","",'MiT Strom Pipeline'!C39),"")</f>
        <v/>
      </c>
      <c r="D172" s="27">
        <f>IF(((('MiT Strom Pipeline'!R39="follow-up")+('MiT Strom Pipeline'!R39="Evaluation")+('MiT Strom Pipeline'!R39="tbd")+('MiT Strom Pipeline'!R39="In evaluation"))*('MiT Strom Pipeline'!B39&lt;&gt;""))&gt;0,IF('MiT Strom Pipeline'!D39="","",'MiT Strom Pipeline'!D39),"")</f>
        <v/>
      </c>
      <c r="E172" s="27">
        <f>IF(((('MiT Strom Pipeline'!R39="follow-up")+('MiT Strom Pipeline'!R39="Evaluation")+('MiT Strom Pipeline'!R39="tbd")+('MiT Strom Pipeline'!R39="In evaluation"))*('MiT Strom Pipeline'!B39&lt;&gt;""))&gt;0,IF('MiT Strom Pipeline'!H39="","",'MiT Strom Pipeline'!H39),"")</f>
        <v/>
      </c>
      <c r="F172" s="27">
        <f>IF(((('MiT Strom Pipeline'!R39="follow-up")+('MiT Strom Pipeline'!R39="Evaluation")+('MiT Strom Pipeline'!R39="tbd")+('MiT Strom Pipeline'!R39="In evaluation"))*('MiT Strom Pipeline'!B39&lt;&gt;""))&gt;0,IF('MiT Strom Pipeline'!E39="","",'MiT Strom Pipeline'!E39),"")</f>
        <v/>
      </c>
      <c r="G172" s="28">
        <f>IF(((('MiT Strom Pipeline'!R39="follow-up")+('MiT Strom Pipeline'!R39="Evaluation")+('MiT Strom Pipeline'!R39="tbd")+('MiT Strom Pipeline'!R39="In evaluation"))*('MiT Strom Pipeline'!B39&lt;&gt;""))&gt;0,IF(ISNUMBER('MiT Strom Pipeline'!I39),'MiT Strom Pipeline'!I39,0),"")</f>
        <v/>
      </c>
      <c r="H172" s="28">
        <f>IF(((('MiT Strom Pipeline'!R39="follow-up")+('MiT Strom Pipeline'!R39="Evaluation")+('MiT Strom Pipeline'!R39="tbd")+('MiT Strom Pipeline'!R39="In evaluation"))*('MiT Strom Pipeline'!B39&lt;&gt;""))&gt;0,IF(ISNUMBER('MiT Strom Pipeline'!Q39),'MiT Strom Pipeline'!Q39,0),"")</f>
        <v/>
      </c>
      <c r="I172" s="28">
        <f>IF(((('MiT Strom Pipeline'!R39="follow-up")+('MiT Strom Pipeline'!R39="Evaluation")+('MiT Strom Pipeline'!R39="tbd")+('MiT Strom Pipeline'!R39="In evaluation"))*('MiT Strom Pipeline'!B39&lt;&gt;""))&gt;0,IF(ISNUMBER('MiT Strom Pipeline'!O39),'MiT Strom Pipeline'!O39,0),"")</f>
        <v/>
      </c>
      <c r="J172" s="27">
        <f>IF(((('MiT Strom Pipeline'!R39="follow-up")+('MiT Strom Pipeline'!R39="Evaluation")+('MiT Strom Pipeline'!R39="tbd")+('MiT Strom Pipeline'!R39="In evaluation"))*('MiT Strom Pipeline'!B39&lt;&gt;""))&gt;0,'MiT Strom Pipeline'!R39,"")</f>
        <v/>
      </c>
      <c r="K172" s="29">
        <f>IF(((('MiT Strom Pipeline'!R39="follow-up")+('MiT Strom Pipeline'!R39="Evaluation")+('MiT Strom Pipeline'!R39="tbd")+('MiT Strom Pipeline'!R39="In evaluation"))*('MiT Strom Pipeline'!B39&lt;&gt;""))&gt;0,IF(ISNUMBER('MiT Strom Pipeline'!S39),'MiT Strom Pipeline'!S39,""),"")</f>
        <v/>
      </c>
      <c r="L172" s="27">
        <f>IF(((('MiT Strom Pipeline'!R39="follow-up")+('MiT Strom Pipeline'!R39="Evaluation")+('MiT Strom Pipeline'!R39="tbd")+('MiT Strom Pipeline'!R39="In evaluation"))*('MiT Strom Pipeline'!B39&lt;&gt;""))&gt;0,IF(LEN('MiT Strom Pipeline'!V39)&gt;0,LEFT('MiT Strom Pipeline'!V39,55),""),"")</f>
        <v/>
      </c>
      <c r="M172" s="22" t="n"/>
      <c r="N172" s="22" t="n"/>
      <c r="O172" s="22" t="n"/>
      <c r="P172" s="22" t="n"/>
      <c r="Q172" s="22" t="n"/>
      <c r="R172" s="22" t="n"/>
      <c r="S172" s="22" t="n"/>
    </row>
    <row r="173" ht="15.75" customHeight="1">
      <c r="A173" s="26">
        <f>IF(((('MiT Strom Pipeline'!R40="follow-up")+('MiT Strom Pipeline'!R40="Evaluation")+('MiT Strom Pipeline'!R40="tbd")+('MiT Strom Pipeline'!R40="In evaluation"))*('MiT Strom Pipeline'!B40&lt;&gt;""))&gt;0,IF(ISNUMBER('MiT Strom Pipeline'!A40),'MiT Strom Pipeline'!A40,""),"")</f>
        <v/>
      </c>
      <c r="B173" s="27">
        <f>IF(((('MiT Strom Pipeline'!R40="follow-up")+('MiT Strom Pipeline'!R40="Evaluation")+('MiT Strom Pipeline'!R40="tbd")+('MiT Strom Pipeline'!R40="In evaluation"))*('MiT Strom Pipeline'!B40&lt;&gt;""))&gt;0,IF('MiT Strom Pipeline'!B40="","",'MiT Strom Pipeline'!B40),"")</f>
        <v/>
      </c>
      <c r="C173" s="27">
        <f>IF(((('MiT Strom Pipeline'!R40="follow-up")+('MiT Strom Pipeline'!R40="Evaluation")+('MiT Strom Pipeline'!R40="tbd")+('MiT Strom Pipeline'!R40="In evaluation"))*('MiT Strom Pipeline'!B40&lt;&gt;""))&gt;0,IF('MiT Strom Pipeline'!C40="","",'MiT Strom Pipeline'!C40),"")</f>
        <v/>
      </c>
      <c r="D173" s="27">
        <f>IF(((('MiT Strom Pipeline'!R40="follow-up")+('MiT Strom Pipeline'!R40="Evaluation")+('MiT Strom Pipeline'!R40="tbd")+('MiT Strom Pipeline'!R40="In evaluation"))*('MiT Strom Pipeline'!B40&lt;&gt;""))&gt;0,IF('MiT Strom Pipeline'!D40="","",'MiT Strom Pipeline'!D40),"")</f>
        <v/>
      </c>
      <c r="E173" s="27">
        <f>IF(((('MiT Strom Pipeline'!R40="follow-up")+('MiT Strom Pipeline'!R40="Evaluation")+('MiT Strom Pipeline'!R40="tbd")+('MiT Strom Pipeline'!R40="In evaluation"))*('MiT Strom Pipeline'!B40&lt;&gt;""))&gt;0,IF('MiT Strom Pipeline'!H40="","",'MiT Strom Pipeline'!H40),"")</f>
        <v/>
      </c>
      <c r="F173" s="27">
        <f>IF(((('MiT Strom Pipeline'!R40="follow-up")+('MiT Strom Pipeline'!R40="Evaluation")+('MiT Strom Pipeline'!R40="tbd")+('MiT Strom Pipeline'!R40="In evaluation"))*('MiT Strom Pipeline'!B40&lt;&gt;""))&gt;0,IF('MiT Strom Pipeline'!E40="","",'MiT Strom Pipeline'!E40),"")</f>
        <v/>
      </c>
      <c r="G173" s="28">
        <f>IF(((('MiT Strom Pipeline'!R40="follow-up")+('MiT Strom Pipeline'!R40="Evaluation")+('MiT Strom Pipeline'!R40="tbd")+('MiT Strom Pipeline'!R40="In evaluation"))*('MiT Strom Pipeline'!B40&lt;&gt;""))&gt;0,IF(ISNUMBER('MiT Strom Pipeline'!I40),'MiT Strom Pipeline'!I40,0),"")</f>
        <v/>
      </c>
      <c r="H173" s="28">
        <f>IF(((('MiT Strom Pipeline'!R40="follow-up")+('MiT Strom Pipeline'!R40="Evaluation")+('MiT Strom Pipeline'!R40="tbd")+('MiT Strom Pipeline'!R40="In evaluation"))*('MiT Strom Pipeline'!B40&lt;&gt;""))&gt;0,IF(ISNUMBER('MiT Strom Pipeline'!Q40),'MiT Strom Pipeline'!Q40,0),"")</f>
        <v/>
      </c>
      <c r="I173" s="28">
        <f>IF(((('MiT Strom Pipeline'!R40="follow-up")+('MiT Strom Pipeline'!R40="Evaluation")+('MiT Strom Pipeline'!R40="tbd")+('MiT Strom Pipeline'!R40="In evaluation"))*('MiT Strom Pipeline'!B40&lt;&gt;""))&gt;0,IF(ISNUMBER('MiT Strom Pipeline'!O40),'MiT Strom Pipeline'!O40,0),"")</f>
        <v/>
      </c>
      <c r="J173" s="27">
        <f>IF(((('MiT Strom Pipeline'!R40="follow-up")+('MiT Strom Pipeline'!R40="Evaluation")+('MiT Strom Pipeline'!R40="tbd")+('MiT Strom Pipeline'!R40="In evaluation"))*('MiT Strom Pipeline'!B40&lt;&gt;""))&gt;0,'MiT Strom Pipeline'!R40,"")</f>
        <v/>
      </c>
      <c r="K173" s="29">
        <f>IF(((('MiT Strom Pipeline'!R40="follow-up")+('MiT Strom Pipeline'!R40="Evaluation")+('MiT Strom Pipeline'!R40="tbd")+('MiT Strom Pipeline'!R40="In evaluation"))*('MiT Strom Pipeline'!B40&lt;&gt;""))&gt;0,IF(ISNUMBER('MiT Strom Pipeline'!S40),'MiT Strom Pipeline'!S40,""),"")</f>
        <v/>
      </c>
      <c r="L173" s="27">
        <f>IF(((('MiT Strom Pipeline'!R40="follow-up")+('MiT Strom Pipeline'!R40="Evaluation")+('MiT Strom Pipeline'!R40="tbd")+('MiT Strom Pipeline'!R40="In evaluation"))*('MiT Strom Pipeline'!B40&lt;&gt;""))&gt;0,IF(LEN('MiT Strom Pipeline'!V40)&gt;0,LEFT('MiT Strom Pipeline'!V40,55),""),"")</f>
        <v/>
      </c>
      <c r="M173" s="22" t="n"/>
      <c r="N173" s="22" t="n"/>
      <c r="O173" s="22" t="n"/>
      <c r="P173" s="22" t="n"/>
      <c r="Q173" s="22" t="n"/>
      <c r="R173" s="22" t="n"/>
      <c r="S173" s="22" t="n"/>
    </row>
    <row r="174" ht="15.75" customHeight="1">
      <c r="A174" s="26">
        <f>IF(((('MiT Strom Pipeline'!R41="follow-up")+('MiT Strom Pipeline'!R41="Evaluation")+('MiT Strom Pipeline'!R41="tbd")+('MiT Strom Pipeline'!R41="In evaluation"))*('MiT Strom Pipeline'!B41&lt;&gt;""))&gt;0,IF(ISNUMBER('MiT Strom Pipeline'!A41),'MiT Strom Pipeline'!A41,""),"")</f>
        <v/>
      </c>
      <c r="B174" s="27">
        <f>IF(((('MiT Strom Pipeline'!R41="follow-up")+('MiT Strom Pipeline'!R41="Evaluation")+('MiT Strom Pipeline'!R41="tbd")+('MiT Strom Pipeline'!R41="In evaluation"))*('MiT Strom Pipeline'!B41&lt;&gt;""))&gt;0,IF('MiT Strom Pipeline'!B41="","",'MiT Strom Pipeline'!B41),"")</f>
        <v/>
      </c>
      <c r="C174" s="27">
        <f>IF(((('MiT Strom Pipeline'!R41="follow-up")+('MiT Strom Pipeline'!R41="Evaluation")+('MiT Strom Pipeline'!R41="tbd")+('MiT Strom Pipeline'!R41="In evaluation"))*('MiT Strom Pipeline'!B41&lt;&gt;""))&gt;0,IF('MiT Strom Pipeline'!C41="","",'MiT Strom Pipeline'!C41),"")</f>
        <v/>
      </c>
      <c r="D174" s="27">
        <f>IF(((('MiT Strom Pipeline'!R41="follow-up")+('MiT Strom Pipeline'!R41="Evaluation")+('MiT Strom Pipeline'!R41="tbd")+('MiT Strom Pipeline'!R41="In evaluation"))*('MiT Strom Pipeline'!B41&lt;&gt;""))&gt;0,IF('MiT Strom Pipeline'!D41="","",'MiT Strom Pipeline'!D41),"")</f>
        <v/>
      </c>
      <c r="E174" s="27">
        <f>IF(((('MiT Strom Pipeline'!R41="follow-up")+('MiT Strom Pipeline'!R41="Evaluation")+('MiT Strom Pipeline'!R41="tbd")+('MiT Strom Pipeline'!R41="In evaluation"))*('MiT Strom Pipeline'!B41&lt;&gt;""))&gt;0,IF('MiT Strom Pipeline'!H41="","",'MiT Strom Pipeline'!H41),"")</f>
        <v/>
      </c>
      <c r="F174" s="27">
        <f>IF(((('MiT Strom Pipeline'!R41="follow-up")+('MiT Strom Pipeline'!R41="Evaluation")+('MiT Strom Pipeline'!R41="tbd")+('MiT Strom Pipeline'!R41="In evaluation"))*('MiT Strom Pipeline'!B41&lt;&gt;""))&gt;0,IF('MiT Strom Pipeline'!E41="","",'MiT Strom Pipeline'!E41),"")</f>
        <v/>
      </c>
      <c r="G174" s="28">
        <f>IF(((('MiT Strom Pipeline'!R41="follow-up")+('MiT Strom Pipeline'!R41="Evaluation")+('MiT Strom Pipeline'!R41="tbd")+('MiT Strom Pipeline'!R41="In evaluation"))*('MiT Strom Pipeline'!B41&lt;&gt;""))&gt;0,IF(ISNUMBER('MiT Strom Pipeline'!I41),'MiT Strom Pipeline'!I41,0),"")</f>
        <v/>
      </c>
      <c r="H174" s="28">
        <f>IF(((('MiT Strom Pipeline'!R41="follow-up")+('MiT Strom Pipeline'!R41="Evaluation")+('MiT Strom Pipeline'!R41="tbd")+('MiT Strom Pipeline'!R41="In evaluation"))*('MiT Strom Pipeline'!B41&lt;&gt;""))&gt;0,IF(ISNUMBER('MiT Strom Pipeline'!Q41),'MiT Strom Pipeline'!Q41,0),"")</f>
        <v/>
      </c>
      <c r="I174" s="28">
        <f>IF(((('MiT Strom Pipeline'!R41="follow-up")+('MiT Strom Pipeline'!R41="Evaluation")+('MiT Strom Pipeline'!R41="tbd")+('MiT Strom Pipeline'!R41="In evaluation"))*('MiT Strom Pipeline'!B41&lt;&gt;""))&gt;0,IF(ISNUMBER('MiT Strom Pipeline'!O41),'MiT Strom Pipeline'!O41,0),"")</f>
        <v/>
      </c>
      <c r="J174" s="27">
        <f>IF(((('MiT Strom Pipeline'!R41="follow-up")+('MiT Strom Pipeline'!R41="Evaluation")+('MiT Strom Pipeline'!R41="tbd")+('MiT Strom Pipeline'!R41="In evaluation"))*('MiT Strom Pipeline'!B41&lt;&gt;""))&gt;0,'MiT Strom Pipeline'!R41,"")</f>
        <v/>
      </c>
      <c r="K174" s="29">
        <f>IF(((('MiT Strom Pipeline'!R41="follow-up")+('MiT Strom Pipeline'!R41="Evaluation")+('MiT Strom Pipeline'!R41="tbd")+('MiT Strom Pipeline'!R41="In evaluation"))*('MiT Strom Pipeline'!B41&lt;&gt;""))&gt;0,IF(ISNUMBER('MiT Strom Pipeline'!S41),'MiT Strom Pipeline'!S41,""),"")</f>
        <v/>
      </c>
      <c r="L174" s="27">
        <f>IF(((('MiT Strom Pipeline'!R41="follow-up")+('MiT Strom Pipeline'!R41="Evaluation")+('MiT Strom Pipeline'!R41="tbd")+('MiT Strom Pipeline'!R41="In evaluation"))*('MiT Strom Pipeline'!B41&lt;&gt;""))&gt;0,IF(LEN('MiT Strom Pipeline'!V41)&gt;0,LEFT('MiT Strom Pipeline'!V41,55),""),"")</f>
        <v/>
      </c>
      <c r="M174" s="22" t="n"/>
      <c r="N174" s="22" t="n"/>
      <c r="O174" s="22" t="n"/>
      <c r="P174" s="22" t="n"/>
      <c r="Q174" s="22" t="n"/>
      <c r="R174" s="22" t="n"/>
      <c r="S174" s="22" t="n"/>
    </row>
    <row r="175" ht="15.75" customHeight="1">
      <c r="A175" s="26">
        <f>IF(((('MiT Strom Pipeline'!R42="follow-up")+('MiT Strom Pipeline'!R42="Evaluation")+('MiT Strom Pipeline'!R42="tbd")+('MiT Strom Pipeline'!R42="In evaluation"))*('MiT Strom Pipeline'!B42&lt;&gt;""))&gt;0,IF(ISNUMBER('MiT Strom Pipeline'!A42),'MiT Strom Pipeline'!A42,""),"")</f>
        <v/>
      </c>
      <c r="B175" s="27">
        <f>IF(((('MiT Strom Pipeline'!R42="follow-up")+('MiT Strom Pipeline'!R42="Evaluation")+('MiT Strom Pipeline'!R42="tbd")+('MiT Strom Pipeline'!R42="In evaluation"))*('MiT Strom Pipeline'!B42&lt;&gt;""))&gt;0,IF('MiT Strom Pipeline'!B42="","",'MiT Strom Pipeline'!B42),"")</f>
        <v/>
      </c>
      <c r="C175" s="27">
        <f>IF(((('MiT Strom Pipeline'!R42="follow-up")+('MiT Strom Pipeline'!R42="Evaluation")+('MiT Strom Pipeline'!R42="tbd")+('MiT Strom Pipeline'!R42="In evaluation"))*('MiT Strom Pipeline'!B42&lt;&gt;""))&gt;0,IF('MiT Strom Pipeline'!C42="","",'MiT Strom Pipeline'!C42),"")</f>
        <v/>
      </c>
      <c r="D175" s="27">
        <f>IF(((('MiT Strom Pipeline'!R42="follow-up")+('MiT Strom Pipeline'!R42="Evaluation")+('MiT Strom Pipeline'!R42="tbd")+('MiT Strom Pipeline'!R42="In evaluation"))*('MiT Strom Pipeline'!B42&lt;&gt;""))&gt;0,IF('MiT Strom Pipeline'!D42="","",'MiT Strom Pipeline'!D42),"")</f>
        <v/>
      </c>
      <c r="E175" s="27">
        <f>IF(((('MiT Strom Pipeline'!R42="follow-up")+('MiT Strom Pipeline'!R42="Evaluation")+('MiT Strom Pipeline'!R42="tbd")+('MiT Strom Pipeline'!R42="In evaluation"))*('MiT Strom Pipeline'!B42&lt;&gt;""))&gt;0,IF('MiT Strom Pipeline'!H42="","",'MiT Strom Pipeline'!H42),"")</f>
        <v/>
      </c>
      <c r="F175" s="27">
        <f>IF(((('MiT Strom Pipeline'!R42="follow-up")+('MiT Strom Pipeline'!R42="Evaluation")+('MiT Strom Pipeline'!R42="tbd")+('MiT Strom Pipeline'!R42="In evaluation"))*('MiT Strom Pipeline'!B42&lt;&gt;""))&gt;0,IF('MiT Strom Pipeline'!E42="","",'MiT Strom Pipeline'!E42),"")</f>
        <v/>
      </c>
      <c r="G175" s="28">
        <f>IF(((('MiT Strom Pipeline'!R42="follow-up")+('MiT Strom Pipeline'!R42="Evaluation")+('MiT Strom Pipeline'!R42="tbd")+('MiT Strom Pipeline'!R42="In evaluation"))*('MiT Strom Pipeline'!B42&lt;&gt;""))&gt;0,IF(ISNUMBER('MiT Strom Pipeline'!I42),'MiT Strom Pipeline'!I42,0),"")</f>
        <v/>
      </c>
      <c r="H175" s="28">
        <f>IF(((('MiT Strom Pipeline'!R42="follow-up")+('MiT Strom Pipeline'!R42="Evaluation")+('MiT Strom Pipeline'!R42="tbd")+('MiT Strom Pipeline'!R42="In evaluation"))*('MiT Strom Pipeline'!B42&lt;&gt;""))&gt;0,IF(ISNUMBER('MiT Strom Pipeline'!Q42),'MiT Strom Pipeline'!Q42,0),"")</f>
        <v/>
      </c>
      <c r="I175" s="28">
        <f>IF(((('MiT Strom Pipeline'!R42="follow-up")+('MiT Strom Pipeline'!R42="Evaluation")+('MiT Strom Pipeline'!R42="tbd")+('MiT Strom Pipeline'!R42="In evaluation"))*('MiT Strom Pipeline'!B42&lt;&gt;""))&gt;0,IF(ISNUMBER('MiT Strom Pipeline'!O42),'MiT Strom Pipeline'!O42,0),"")</f>
        <v/>
      </c>
      <c r="J175" s="27">
        <f>IF(((('MiT Strom Pipeline'!R42="follow-up")+('MiT Strom Pipeline'!R42="Evaluation")+('MiT Strom Pipeline'!R42="tbd")+('MiT Strom Pipeline'!R42="In evaluation"))*('MiT Strom Pipeline'!B42&lt;&gt;""))&gt;0,'MiT Strom Pipeline'!R42,"")</f>
        <v/>
      </c>
      <c r="K175" s="29">
        <f>IF(((('MiT Strom Pipeline'!R42="follow-up")+('MiT Strom Pipeline'!R42="Evaluation")+('MiT Strom Pipeline'!R42="tbd")+('MiT Strom Pipeline'!R42="In evaluation"))*('MiT Strom Pipeline'!B42&lt;&gt;""))&gt;0,IF(ISNUMBER('MiT Strom Pipeline'!S42),'MiT Strom Pipeline'!S42,""),"")</f>
        <v/>
      </c>
      <c r="L175" s="27">
        <f>IF(((('MiT Strom Pipeline'!R42="follow-up")+('MiT Strom Pipeline'!R42="Evaluation")+('MiT Strom Pipeline'!R42="tbd")+('MiT Strom Pipeline'!R42="In evaluation"))*('MiT Strom Pipeline'!B42&lt;&gt;""))&gt;0,IF(LEN('MiT Strom Pipeline'!V42)&gt;0,LEFT('MiT Strom Pipeline'!V42,55),""),"")</f>
        <v/>
      </c>
      <c r="M175" s="22" t="n"/>
      <c r="N175" s="22" t="n"/>
      <c r="O175" s="22" t="n"/>
      <c r="P175" s="22" t="n"/>
      <c r="Q175" s="22" t="n"/>
      <c r="R175" s="22" t="n"/>
      <c r="S175" s="22" t="n"/>
    </row>
    <row r="176" ht="15.75" customHeight="1">
      <c r="A176" s="26">
        <f>IF(((('MiT Strom Pipeline'!R43="follow-up")+('MiT Strom Pipeline'!R43="Evaluation")+('MiT Strom Pipeline'!R43="tbd")+('MiT Strom Pipeline'!R43="In evaluation"))*('MiT Strom Pipeline'!B43&lt;&gt;""))&gt;0,IF(ISNUMBER('MiT Strom Pipeline'!A43),'MiT Strom Pipeline'!A43,""),"")</f>
        <v/>
      </c>
      <c r="B176" s="27">
        <f>IF(((('MiT Strom Pipeline'!R43="follow-up")+('MiT Strom Pipeline'!R43="Evaluation")+('MiT Strom Pipeline'!R43="tbd")+('MiT Strom Pipeline'!R43="In evaluation"))*('MiT Strom Pipeline'!B43&lt;&gt;""))&gt;0,IF('MiT Strom Pipeline'!B43="","",'MiT Strom Pipeline'!B43),"")</f>
        <v/>
      </c>
      <c r="C176" s="27">
        <f>IF(((('MiT Strom Pipeline'!R43="follow-up")+('MiT Strom Pipeline'!R43="Evaluation")+('MiT Strom Pipeline'!R43="tbd")+('MiT Strom Pipeline'!R43="In evaluation"))*('MiT Strom Pipeline'!B43&lt;&gt;""))&gt;0,IF('MiT Strom Pipeline'!C43="","",'MiT Strom Pipeline'!C43),"")</f>
        <v/>
      </c>
      <c r="D176" s="27">
        <f>IF(((('MiT Strom Pipeline'!R43="follow-up")+('MiT Strom Pipeline'!R43="Evaluation")+('MiT Strom Pipeline'!R43="tbd")+('MiT Strom Pipeline'!R43="In evaluation"))*('MiT Strom Pipeline'!B43&lt;&gt;""))&gt;0,IF('MiT Strom Pipeline'!D43="","",'MiT Strom Pipeline'!D43),"")</f>
        <v/>
      </c>
      <c r="E176" s="27">
        <f>IF(((('MiT Strom Pipeline'!R43="follow-up")+('MiT Strom Pipeline'!R43="Evaluation")+('MiT Strom Pipeline'!R43="tbd")+('MiT Strom Pipeline'!R43="In evaluation"))*('MiT Strom Pipeline'!B43&lt;&gt;""))&gt;0,IF('MiT Strom Pipeline'!H43="","",'MiT Strom Pipeline'!H43),"")</f>
        <v/>
      </c>
      <c r="F176" s="27">
        <f>IF(((('MiT Strom Pipeline'!R43="follow-up")+('MiT Strom Pipeline'!R43="Evaluation")+('MiT Strom Pipeline'!R43="tbd")+('MiT Strom Pipeline'!R43="In evaluation"))*('MiT Strom Pipeline'!B43&lt;&gt;""))&gt;0,IF('MiT Strom Pipeline'!E43="","",'MiT Strom Pipeline'!E43),"")</f>
        <v/>
      </c>
      <c r="G176" s="28">
        <f>IF(((('MiT Strom Pipeline'!R43="follow-up")+('MiT Strom Pipeline'!R43="Evaluation")+('MiT Strom Pipeline'!R43="tbd")+('MiT Strom Pipeline'!R43="In evaluation"))*('MiT Strom Pipeline'!B43&lt;&gt;""))&gt;0,IF(ISNUMBER('MiT Strom Pipeline'!I43),'MiT Strom Pipeline'!I43,0),"")</f>
        <v/>
      </c>
      <c r="H176" s="28">
        <f>IF(((('MiT Strom Pipeline'!R43="follow-up")+('MiT Strom Pipeline'!R43="Evaluation")+('MiT Strom Pipeline'!R43="tbd")+('MiT Strom Pipeline'!R43="In evaluation"))*('MiT Strom Pipeline'!B43&lt;&gt;""))&gt;0,IF(ISNUMBER('MiT Strom Pipeline'!Q43),'MiT Strom Pipeline'!Q43,0),"")</f>
        <v/>
      </c>
      <c r="I176" s="28">
        <f>IF(((('MiT Strom Pipeline'!R43="follow-up")+('MiT Strom Pipeline'!R43="Evaluation")+('MiT Strom Pipeline'!R43="tbd")+('MiT Strom Pipeline'!R43="In evaluation"))*('MiT Strom Pipeline'!B43&lt;&gt;""))&gt;0,IF(ISNUMBER('MiT Strom Pipeline'!O43),'MiT Strom Pipeline'!O43,0),"")</f>
        <v/>
      </c>
      <c r="J176" s="27">
        <f>IF(((('MiT Strom Pipeline'!R43="follow-up")+('MiT Strom Pipeline'!R43="Evaluation")+('MiT Strom Pipeline'!R43="tbd")+('MiT Strom Pipeline'!R43="In evaluation"))*('MiT Strom Pipeline'!B43&lt;&gt;""))&gt;0,'MiT Strom Pipeline'!R43,"")</f>
        <v/>
      </c>
      <c r="K176" s="29">
        <f>IF(((('MiT Strom Pipeline'!R43="follow-up")+('MiT Strom Pipeline'!R43="Evaluation")+('MiT Strom Pipeline'!R43="tbd")+('MiT Strom Pipeline'!R43="In evaluation"))*('MiT Strom Pipeline'!B43&lt;&gt;""))&gt;0,IF(ISNUMBER('MiT Strom Pipeline'!S43),'MiT Strom Pipeline'!S43,""),"")</f>
        <v/>
      </c>
      <c r="L176" s="27">
        <f>IF(((('MiT Strom Pipeline'!R43="follow-up")+('MiT Strom Pipeline'!R43="Evaluation")+('MiT Strom Pipeline'!R43="tbd")+('MiT Strom Pipeline'!R43="In evaluation"))*('MiT Strom Pipeline'!B43&lt;&gt;""))&gt;0,IF(LEN('MiT Strom Pipeline'!V43)&gt;0,LEFT('MiT Strom Pipeline'!V43,55),""),"")</f>
        <v/>
      </c>
      <c r="M176" s="22" t="n"/>
      <c r="N176" s="22" t="n"/>
      <c r="O176" s="22" t="n"/>
      <c r="P176" s="22" t="n"/>
      <c r="Q176" s="22" t="n"/>
      <c r="R176" s="22" t="n"/>
      <c r="S176" s="22" t="n"/>
    </row>
    <row r="177" ht="15.75" customHeight="1">
      <c r="A177" s="26">
        <f>IF(((('MiT Strom Pipeline'!R44="follow-up")+('MiT Strom Pipeline'!R44="Evaluation")+('MiT Strom Pipeline'!R44="tbd")+('MiT Strom Pipeline'!R44="In evaluation"))*('MiT Strom Pipeline'!B44&lt;&gt;""))&gt;0,IF(ISNUMBER('MiT Strom Pipeline'!A44),'MiT Strom Pipeline'!A44,""),"")</f>
        <v>41</v>
      </c>
      <c r="B177" s="27" t="str">
        <f>IF(((('MiT Strom Pipeline'!R44="follow-up")+('MiT Strom Pipeline'!R44="Evaluation")+('MiT Strom Pipeline'!R44="tbd")+('MiT Strom Pipeline'!R44="In evaluation"))*('MiT Strom Pipeline'!B44&lt;&gt;""))&gt;0,IF('MiT Strom Pipeline'!B44="","",'MiT Strom Pipeline'!B44),"")</f>
        <v>Verein Street Parade Zürich</v>
      </c>
      <c r="C177" s="27" t="str">
        <f>IF(((('MiT Strom Pipeline'!R44="follow-up")+('MiT Strom Pipeline'!R44="Evaluation")+('MiT Strom Pipeline'!R44="tbd")+('MiT Strom Pipeline'!R44="In evaluation"))*('MiT Strom Pipeline'!B44&lt;&gt;""))&gt;0,IF('MiT Strom Pipeline'!C44="","",'MiT Strom Pipeline'!C44),"")</f>
        <v>ZH</v>
      </c>
      <c r="D177" s="27" t="str">
        <f>IF(((('MiT Strom Pipeline'!R44="follow-up")+('MiT Strom Pipeline'!R44="Evaluation")+('MiT Strom Pipeline'!R44="tbd")+('MiT Strom Pipeline'!R44="In evaluation"))*('MiT Strom Pipeline'!B44&lt;&gt;""))&gt;0,IF('MiT Strom Pipeline'!D44="","",'MiT Strom Pipeline'!D44),"")</f>
        <v>Event</v>
      </c>
      <c r="E177" s="27" t="str">
        <f>IF(((('MiT Strom Pipeline'!R44="follow-up")+('MiT Strom Pipeline'!R44="Evaluation")+('MiT Strom Pipeline'!R44="tbd")+('MiT Strom Pipeline'!R44="In evaluation"))*('MiT Strom Pipeline'!B44&lt;&gt;""))&gt;0,IF('MiT Strom Pipeline'!H44="","",'MiT Strom Pipeline'!H44),"")</f>
        <v>Aug</v>
      </c>
      <c r="F177" s="27" t="str">
        <f>IF(((('MiT Strom Pipeline'!R44="follow-up")+('MiT Strom Pipeline'!R44="Evaluation")+('MiT Strom Pipeline'!R44="tbd")+('MiT Strom Pipeline'!R44="In evaluation"))*('MiT Strom Pipeline'!B44&lt;&gt;""))&gt;0,IF('MiT Strom Pipeline'!E44="","",'MiT Strom Pipeline'!E44),"")</f>
        <v>100 kVA </v>
      </c>
      <c r="G177" s="28">
        <f>IF(((('MiT Strom Pipeline'!R44="follow-up")+('MiT Strom Pipeline'!R44="Evaluation")+('MiT Strom Pipeline'!R44="tbd")+('MiT Strom Pipeline'!R44="In evaluation"))*('MiT Strom Pipeline'!B44&lt;&gt;""))&gt;0,IF(ISNUMBER('MiT Strom Pipeline'!I44),'MiT Strom Pipeline'!I44,0),"")</f>
        <v>3760.04</v>
      </c>
      <c r="H177" s="28">
        <f>IF(((('MiT Strom Pipeline'!R44="follow-up")+('MiT Strom Pipeline'!R44="Evaluation")+('MiT Strom Pipeline'!R44="tbd")+('MiT Strom Pipeline'!R44="In evaluation"))*('MiT Strom Pipeline'!B44&lt;&gt;""))&gt;0,IF(ISNUMBER('MiT Strom Pipeline'!Q44),'MiT Strom Pipeline'!Q44,0),"")</f>
        <v>1880.02</v>
      </c>
      <c r="I177" s="28">
        <f>IF(((('MiT Strom Pipeline'!R44="follow-up")+('MiT Strom Pipeline'!R44="Evaluation")+('MiT Strom Pipeline'!R44="tbd")+('MiT Strom Pipeline'!R44="In evaluation"))*('MiT Strom Pipeline'!B44&lt;&gt;""))&gt;0,IF(ISNUMBER('MiT Strom Pipeline'!O44),'MiT Strom Pipeline'!O44,0),"")</f>
        <v>0</v>
      </c>
      <c r="J177" s="27" t="str">
        <f>IF(((('MiT Strom Pipeline'!R44="follow-up")+('MiT Strom Pipeline'!R44="Evaluation")+('MiT Strom Pipeline'!R44="tbd")+('MiT Strom Pipeline'!R44="In evaluation"))*('MiT Strom Pipeline'!B44&lt;&gt;""))&gt;0,'MiT Strom Pipeline'!R44,"")</f>
        <v>In evaluation</v>
      </c>
      <c r="K177" s="29">
        <f>IF(((('MiT Strom Pipeline'!R44="follow-up")+('MiT Strom Pipeline'!R44="Evaluation")+('MiT Strom Pipeline'!R44="tbd")+('MiT Strom Pipeline'!R44="In evaluation"))*('MiT Strom Pipeline'!B44&lt;&gt;""))&gt;0,IF(ISNUMBER('MiT Strom Pipeline'!S44),'MiT Strom Pipeline'!S44,""),"")</f>
        <v>0.5</v>
      </c>
      <c r="L177" s="27" t="str">
        <f>IF(((('MiT Strom Pipeline'!R44="follow-up")+('MiT Strom Pipeline'!R44="Evaluation")+('MiT Strom Pipeline'!R44="tbd")+('MiT Strom Pipeline'!R44="In evaluation"))*('MiT Strom Pipeline'!B44&lt;&gt;""))&gt;0,IF(LEN('MiT Strom Pipeline'!V44)&gt;0,LEFT('MiT Strom Pipeline'!V44,55),""),"")</f>
        <v>Kunde angeschrieben, Offerte erstellt, Kunde hat Offert</v>
      </c>
      <c r="M177" s="22" t="n"/>
      <c r="N177" s="22" t="n"/>
      <c r="O177" s="22" t="n"/>
      <c r="P177" s="22" t="n"/>
      <c r="Q177" s="22" t="n"/>
      <c r="R177" s="22" t="n"/>
      <c r="S177" s="22" t="n"/>
    </row>
    <row r="178" ht="15.75" customHeight="1">
      <c r="A178" s="26">
        <f>IF(((('MiT Strom Pipeline'!R45="follow-up")+('MiT Strom Pipeline'!R45="Evaluation")+('MiT Strom Pipeline'!R45="tbd")+('MiT Strom Pipeline'!R45="In evaluation"))*('MiT Strom Pipeline'!B45&lt;&gt;""))&gt;0,IF(ISNUMBER('MiT Strom Pipeline'!A45),'MiT Strom Pipeline'!A45,""),"")</f>
        <v/>
      </c>
      <c r="B178" s="27">
        <f>IF(((('MiT Strom Pipeline'!R45="follow-up")+('MiT Strom Pipeline'!R45="Evaluation")+('MiT Strom Pipeline'!R45="tbd")+('MiT Strom Pipeline'!R45="In evaluation"))*('MiT Strom Pipeline'!B45&lt;&gt;""))&gt;0,IF('MiT Strom Pipeline'!B45="","",'MiT Strom Pipeline'!B45),"")</f>
        <v/>
      </c>
      <c r="C178" s="27">
        <f>IF(((('MiT Strom Pipeline'!R45="follow-up")+('MiT Strom Pipeline'!R45="Evaluation")+('MiT Strom Pipeline'!R45="tbd")+('MiT Strom Pipeline'!R45="In evaluation"))*('MiT Strom Pipeline'!B45&lt;&gt;""))&gt;0,IF('MiT Strom Pipeline'!C45="","",'MiT Strom Pipeline'!C45),"")</f>
        <v/>
      </c>
      <c r="D178" s="27">
        <f>IF(((('MiT Strom Pipeline'!R45="follow-up")+('MiT Strom Pipeline'!R45="Evaluation")+('MiT Strom Pipeline'!R45="tbd")+('MiT Strom Pipeline'!R45="In evaluation"))*('MiT Strom Pipeline'!B45&lt;&gt;""))&gt;0,IF('MiT Strom Pipeline'!D45="","",'MiT Strom Pipeline'!D45),"")</f>
        <v/>
      </c>
      <c r="E178" s="27">
        <f>IF(((('MiT Strom Pipeline'!R45="follow-up")+('MiT Strom Pipeline'!R45="Evaluation")+('MiT Strom Pipeline'!R45="tbd")+('MiT Strom Pipeline'!R45="In evaluation"))*('MiT Strom Pipeline'!B45&lt;&gt;""))&gt;0,IF('MiT Strom Pipeline'!H45="","",'MiT Strom Pipeline'!H45),"")</f>
        <v/>
      </c>
      <c r="F178" s="27">
        <f>IF(((('MiT Strom Pipeline'!R45="follow-up")+('MiT Strom Pipeline'!R45="Evaluation")+('MiT Strom Pipeline'!R45="tbd")+('MiT Strom Pipeline'!R45="In evaluation"))*('MiT Strom Pipeline'!B45&lt;&gt;""))&gt;0,IF('MiT Strom Pipeline'!E45="","",'MiT Strom Pipeline'!E45),"")</f>
        <v/>
      </c>
      <c r="G178" s="28">
        <f>IF(((('MiT Strom Pipeline'!R45="follow-up")+('MiT Strom Pipeline'!R45="Evaluation")+('MiT Strom Pipeline'!R45="tbd")+('MiT Strom Pipeline'!R45="In evaluation"))*('MiT Strom Pipeline'!B45&lt;&gt;""))&gt;0,IF(ISNUMBER('MiT Strom Pipeline'!I45),'MiT Strom Pipeline'!I45,0),"")</f>
        <v/>
      </c>
      <c r="H178" s="28">
        <f>IF(((('MiT Strom Pipeline'!R45="follow-up")+('MiT Strom Pipeline'!R45="Evaluation")+('MiT Strom Pipeline'!R45="tbd")+('MiT Strom Pipeline'!R45="In evaluation"))*('MiT Strom Pipeline'!B45&lt;&gt;""))&gt;0,IF(ISNUMBER('MiT Strom Pipeline'!Q45),'MiT Strom Pipeline'!Q45,0),"")</f>
        <v/>
      </c>
      <c r="I178" s="28">
        <f>IF(((('MiT Strom Pipeline'!R45="follow-up")+('MiT Strom Pipeline'!R45="Evaluation")+('MiT Strom Pipeline'!R45="tbd")+('MiT Strom Pipeline'!R45="In evaluation"))*('MiT Strom Pipeline'!B45&lt;&gt;""))&gt;0,IF(ISNUMBER('MiT Strom Pipeline'!O45),'MiT Strom Pipeline'!O45,0),"")</f>
        <v/>
      </c>
      <c r="J178" s="27">
        <f>IF(((('MiT Strom Pipeline'!R45="follow-up")+('MiT Strom Pipeline'!R45="Evaluation")+('MiT Strom Pipeline'!R45="tbd")+('MiT Strom Pipeline'!R45="In evaluation"))*('MiT Strom Pipeline'!B45&lt;&gt;""))&gt;0,'MiT Strom Pipeline'!R45,"")</f>
        <v/>
      </c>
      <c r="K178" s="29">
        <f>IF(((('MiT Strom Pipeline'!R45="follow-up")+('MiT Strom Pipeline'!R45="Evaluation")+('MiT Strom Pipeline'!R45="tbd")+('MiT Strom Pipeline'!R45="In evaluation"))*('MiT Strom Pipeline'!B45&lt;&gt;""))&gt;0,IF(ISNUMBER('MiT Strom Pipeline'!S45),'MiT Strom Pipeline'!S45,""),"")</f>
        <v/>
      </c>
      <c r="L178" s="27">
        <f>IF(((('MiT Strom Pipeline'!R45="follow-up")+('MiT Strom Pipeline'!R45="Evaluation")+('MiT Strom Pipeline'!R45="tbd")+('MiT Strom Pipeline'!R45="In evaluation"))*('MiT Strom Pipeline'!B45&lt;&gt;""))&gt;0,IF(LEN('MiT Strom Pipeline'!V45)&gt;0,LEFT('MiT Strom Pipeline'!V45,55),""),"")</f>
        <v/>
      </c>
      <c r="M178" s="22" t="n"/>
      <c r="N178" s="22" t="n"/>
      <c r="O178" s="22" t="n"/>
      <c r="P178" s="22" t="n"/>
      <c r="Q178" s="22" t="n"/>
      <c r="R178" s="22" t="n"/>
      <c r="S178" s="22" t="n"/>
    </row>
    <row r="179" ht="15.75" customHeight="1">
      <c r="A179" s="26">
        <f>IF(((('MiT Strom Pipeline'!R46="follow-up")+('MiT Strom Pipeline'!R46="Evaluation")+('MiT Strom Pipeline'!R46="tbd")+('MiT Strom Pipeline'!R46="In evaluation"))*('MiT Strom Pipeline'!B46&lt;&gt;""))&gt;0,IF(ISNUMBER('MiT Strom Pipeline'!A46),'MiT Strom Pipeline'!A46,""),"")</f>
        <v>9</v>
      </c>
      <c r="B179" s="27" t="str">
        <f>IF(((('MiT Strom Pipeline'!R46="follow-up")+('MiT Strom Pipeline'!R46="Evaluation")+('MiT Strom Pipeline'!R46="tbd")+('MiT Strom Pipeline'!R46="In evaluation"))*('MiT Strom Pipeline'!B46&lt;&gt;""))&gt;0,IF('MiT Strom Pipeline'!B46="","",'MiT Strom Pipeline'!B46),"")</f>
        <v>Badermetaux Sàrl (Schweiz)</v>
      </c>
      <c r="C179" s="27" t="str">
        <f>IF(((('MiT Strom Pipeline'!R46="follow-up")+('MiT Strom Pipeline'!R46="Evaluation")+('MiT Strom Pipeline'!R46="tbd")+('MiT Strom Pipeline'!R46="In evaluation"))*('MiT Strom Pipeline'!B46&lt;&gt;""))&gt;0,IF('MiT Strom Pipeline'!C46="","",'MiT Strom Pipeline'!C46),"")</f>
        <v>ZH</v>
      </c>
      <c r="D179" s="27" t="str">
        <f>IF(((('MiT Strom Pipeline'!R46="follow-up")+('MiT Strom Pipeline'!R46="Evaluation")+('MiT Strom Pipeline'!R46="tbd")+('MiT Strom Pipeline'!R46="In evaluation"))*('MiT Strom Pipeline'!B46&lt;&gt;""))&gt;0,IF('MiT Strom Pipeline'!D46="","",'MiT Strom Pipeline'!D46),"")</f>
        <v>Industrie / Metall</v>
      </c>
      <c r="E179" s="27" t="str">
        <f>IF(((('MiT Strom Pipeline'!R46="follow-up")+('MiT Strom Pipeline'!R46="Evaluation")+('MiT Strom Pipeline'!R46="tbd")+('MiT Strom Pipeline'!R46="In evaluation"))*('MiT Strom Pipeline'!B46&lt;&gt;""))&gt;0,IF('MiT Strom Pipeline'!H46="","",'MiT Strom Pipeline'!H46),"")</f>
        <v>Mai</v>
      </c>
      <c r="F179" s="27" t="str">
        <f>IF(((('MiT Strom Pipeline'!R46="follow-up")+('MiT Strom Pipeline'!R46="Evaluation")+('MiT Strom Pipeline'!R46="tbd")+('MiT Strom Pipeline'!R46="In evaluation"))*('MiT Strom Pipeline'!B46&lt;&gt;""))&gt;0,IF('MiT Strom Pipeline'!E46="","",'MiT Strom Pipeline'!E46),"")</f>
        <v>600 kVA Langzeitmiete</v>
      </c>
      <c r="G179" s="28">
        <f>IF(((('MiT Strom Pipeline'!R46="follow-up")+('MiT Strom Pipeline'!R46="Evaluation")+('MiT Strom Pipeline'!R46="tbd")+('MiT Strom Pipeline'!R46="In evaluation"))*('MiT Strom Pipeline'!B46&lt;&gt;""))&gt;0,IF(ISNUMBER('MiT Strom Pipeline'!I46),'MiT Strom Pipeline'!I46,0),"")</f>
        <v>500000</v>
      </c>
      <c r="H179" s="28">
        <f>IF(((('MiT Strom Pipeline'!R46="follow-up")+('MiT Strom Pipeline'!R46="Evaluation")+('MiT Strom Pipeline'!R46="tbd")+('MiT Strom Pipeline'!R46="In evaluation"))*('MiT Strom Pipeline'!B46&lt;&gt;""))&gt;0,IF(ISNUMBER('MiT Strom Pipeline'!Q46),'MiT Strom Pipeline'!Q46,0),"")</f>
        <v>50000</v>
      </c>
      <c r="I179" s="28">
        <f>IF(((('MiT Strom Pipeline'!R46="follow-up")+('MiT Strom Pipeline'!R46="Evaluation")+('MiT Strom Pipeline'!R46="tbd")+('MiT Strom Pipeline'!R46="In evaluation"))*('MiT Strom Pipeline'!B46&lt;&gt;""))&gt;0,IF(ISNUMBER('MiT Strom Pipeline'!O46),'MiT Strom Pipeline'!O46,0),"")</f>
        <v>130000</v>
      </c>
      <c r="J179" s="27" t="str">
        <f>IF(((('MiT Strom Pipeline'!R46="follow-up")+('MiT Strom Pipeline'!R46="Evaluation")+('MiT Strom Pipeline'!R46="tbd")+('MiT Strom Pipeline'!R46="In evaluation"))*('MiT Strom Pipeline'!B46&lt;&gt;""))&gt;0,'MiT Strom Pipeline'!R46,"")</f>
        <v>follow-up</v>
      </c>
      <c r="K179" s="29">
        <f>IF(((('MiT Strom Pipeline'!R46="follow-up")+('MiT Strom Pipeline'!R46="Evaluation")+('MiT Strom Pipeline'!R46="tbd")+('MiT Strom Pipeline'!R46="In evaluation"))*('MiT Strom Pipeline'!B46&lt;&gt;""))&gt;0,IF(ISNUMBER('MiT Strom Pipeline'!S46),'MiT Strom Pipeline'!S46,""),"")</f>
        <v>0.1</v>
      </c>
      <c r="L179" s="27" t="str">
        <f>IF(((('MiT Strom Pipeline'!R46="follow-up")+('MiT Strom Pipeline'!R46="Evaluation")+('MiT Strom Pipeline'!R46="tbd")+('MiT Strom Pipeline'!R46="In evaluation"))*('MiT Strom Pipeline'!B46&lt;&gt;""))&gt;0,IF(LEN('MiT Strom Pipeline'!V46)&gt;0,LEFT('MiT Strom Pipeline'!V46,55),""),"")</f>
        <v>PQ-Analyse + Langzeitkonzept vorlegen</v>
      </c>
      <c r="M179" s="22" t="n"/>
      <c r="N179" s="22" t="n"/>
      <c r="O179" s="22" t="n"/>
      <c r="P179" s="22" t="n"/>
      <c r="Q179" s="22" t="n"/>
      <c r="R179" s="22" t="n"/>
      <c r="S179" s="22" t="n"/>
    </row>
    <row r="180" ht="15.75" customHeight="1">
      <c r="A180" s="26">
        <f>IF(((('MiT Strom Pipeline'!R47="follow-up")+('MiT Strom Pipeline'!R47="Evaluation")+('MiT Strom Pipeline'!R47="tbd")+('MiT Strom Pipeline'!R47="In evaluation"))*('MiT Strom Pipeline'!B47&lt;&gt;""))&gt;0,IF(ISNUMBER('MiT Strom Pipeline'!A47),'MiT Strom Pipeline'!A47,""),"")</f>
        <v/>
      </c>
      <c r="B180" s="27">
        <f>IF(((('MiT Strom Pipeline'!R47="follow-up")+('MiT Strom Pipeline'!R47="Evaluation")+('MiT Strom Pipeline'!R47="tbd")+('MiT Strom Pipeline'!R47="In evaluation"))*('MiT Strom Pipeline'!B47&lt;&gt;""))&gt;0,IF('MiT Strom Pipeline'!B47="","",'MiT Strom Pipeline'!B47),"")</f>
        <v/>
      </c>
      <c r="C180" s="27">
        <f>IF(((('MiT Strom Pipeline'!R47="follow-up")+('MiT Strom Pipeline'!R47="Evaluation")+('MiT Strom Pipeline'!R47="tbd")+('MiT Strom Pipeline'!R47="In evaluation"))*('MiT Strom Pipeline'!B47&lt;&gt;""))&gt;0,IF('MiT Strom Pipeline'!C47="","",'MiT Strom Pipeline'!C47),"")</f>
        <v/>
      </c>
      <c r="D180" s="27">
        <f>IF(((('MiT Strom Pipeline'!R47="follow-up")+('MiT Strom Pipeline'!R47="Evaluation")+('MiT Strom Pipeline'!R47="tbd")+('MiT Strom Pipeline'!R47="In evaluation"))*('MiT Strom Pipeline'!B47&lt;&gt;""))&gt;0,IF('MiT Strom Pipeline'!D47="","",'MiT Strom Pipeline'!D47),"")</f>
        <v/>
      </c>
      <c r="E180" s="27">
        <f>IF(((('MiT Strom Pipeline'!R47="follow-up")+('MiT Strom Pipeline'!R47="Evaluation")+('MiT Strom Pipeline'!R47="tbd")+('MiT Strom Pipeline'!R47="In evaluation"))*('MiT Strom Pipeline'!B47&lt;&gt;""))&gt;0,IF('MiT Strom Pipeline'!H47="","",'MiT Strom Pipeline'!H47),"")</f>
        <v/>
      </c>
      <c r="F180" s="27">
        <f>IF(((('MiT Strom Pipeline'!R47="follow-up")+('MiT Strom Pipeline'!R47="Evaluation")+('MiT Strom Pipeline'!R47="tbd")+('MiT Strom Pipeline'!R47="In evaluation"))*('MiT Strom Pipeline'!B47&lt;&gt;""))&gt;0,IF('MiT Strom Pipeline'!E47="","",'MiT Strom Pipeline'!E47),"")</f>
        <v/>
      </c>
      <c r="G180" s="28">
        <f>IF(((('MiT Strom Pipeline'!R47="follow-up")+('MiT Strom Pipeline'!R47="Evaluation")+('MiT Strom Pipeline'!R47="tbd")+('MiT Strom Pipeline'!R47="In evaluation"))*('MiT Strom Pipeline'!B47&lt;&gt;""))&gt;0,IF(ISNUMBER('MiT Strom Pipeline'!I47),'MiT Strom Pipeline'!I47,0),"")</f>
        <v/>
      </c>
      <c r="H180" s="28">
        <f>IF(((('MiT Strom Pipeline'!R47="follow-up")+('MiT Strom Pipeline'!R47="Evaluation")+('MiT Strom Pipeline'!R47="tbd")+('MiT Strom Pipeline'!R47="In evaluation"))*('MiT Strom Pipeline'!B47&lt;&gt;""))&gt;0,IF(ISNUMBER('MiT Strom Pipeline'!Q47),'MiT Strom Pipeline'!Q47,0),"")</f>
        <v/>
      </c>
      <c r="I180" s="28">
        <f>IF(((('MiT Strom Pipeline'!R47="follow-up")+('MiT Strom Pipeline'!R47="Evaluation")+('MiT Strom Pipeline'!R47="tbd")+('MiT Strom Pipeline'!R47="In evaluation"))*('MiT Strom Pipeline'!B47&lt;&gt;""))&gt;0,IF(ISNUMBER('MiT Strom Pipeline'!O47),'MiT Strom Pipeline'!O47,0),"")</f>
        <v/>
      </c>
      <c r="J180" s="27">
        <f>IF(((('MiT Strom Pipeline'!R47="follow-up")+('MiT Strom Pipeline'!R47="Evaluation")+('MiT Strom Pipeline'!R47="tbd")+('MiT Strom Pipeline'!R47="In evaluation"))*('MiT Strom Pipeline'!B47&lt;&gt;""))&gt;0,'MiT Strom Pipeline'!R47,"")</f>
        <v/>
      </c>
      <c r="K180" s="29">
        <f>IF(((('MiT Strom Pipeline'!R47="follow-up")+('MiT Strom Pipeline'!R47="Evaluation")+('MiT Strom Pipeline'!R47="tbd")+('MiT Strom Pipeline'!R47="In evaluation"))*('MiT Strom Pipeline'!B47&lt;&gt;""))&gt;0,IF(ISNUMBER('MiT Strom Pipeline'!S47),'MiT Strom Pipeline'!S47,""),"")</f>
        <v/>
      </c>
      <c r="L180" s="27">
        <f>IF(((('MiT Strom Pipeline'!R47="follow-up")+('MiT Strom Pipeline'!R47="Evaluation")+('MiT Strom Pipeline'!R47="tbd")+('MiT Strom Pipeline'!R47="In evaluation"))*('MiT Strom Pipeline'!B47&lt;&gt;""))&gt;0,IF(LEN('MiT Strom Pipeline'!V47)&gt;0,LEFT('MiT Strom Pipeline'!V47,55),""),"")</f>
        <v/>
      </c>
      <c r="M180" s="22" t="n"/>
      <c r="N180" s="22" t="n"/>
      <c r="O180" s="22" t="n"/>
      <c r="P180" s="22" t="n"/>
      <c r="Q180" s="22" t="n"/>
      <c r="R180" s="22" t="n"/>
      <c r="S180" s="22" t="n"/>
    </row>
    <row r="181" ht="15.75" customHeight="1">
      <c r="A181" s="26">
        <f>IF(((('MiT Strom Pipeline'!R48="follow-up")+('MiT Strom Pipeline'!R48="Evaluation")+('MiT Strom Pipeline'!R48="tbd")+('MiT Strom Pipeline'!R48="In evaluation"))*('MiT Strom Pipeline'!B48&lt;&gt;""))&gt;0,IF(ISNUMBER('MiT Strom Pipeline'!A48),'MiT Strom Pipeline'!A48,""),"")</f>
        <v/>
      </c>
      <c r="B181" s="27">
        <f>IF(((('MiT Strom Pipeline'!R48="follow-up")+('MiT Strom Pipeline'!R48="Evaluation")+('MiT Strom Pipeline'!R48="tbd")+('MiT Strom Pipeline'!R48="In evaluation"))*('MiT Strom Pipeline'!B48&lt;&gt;""))&gt;0,IF('MiT Strom Pipeline'!B48="","",'MiT Strom Pipeline'!B48),"")</f>
        <v/>
      </c>
      <c r="C181" s="27">
        <f>IF(((('MiT Strom Pipeline'!R48="follow-up")+('MiT Strom Pipeline'!R48="Evaluation")+('MiT Strom Pipeline'!R48="tbd")+('MiT Strom Pipeline'!R48="In evaluation"))*('MiT Strom Pipeline'!B48&lt;&gt;""))&gt;0,IF('MiT Strom Pipeline'!C48="","",'MiT Strom Pipeline'!C48),"")</f>
        <v/>
      </c>
      <c r="D181" s="27">
        <f>IF(((('MiT Strom Pipeline'!R48="follow-up")+('MiT Strom Pipeline'!R48="Evaluation")+('MiT Strom Pipeline'!R48="tbd")+('MiT Strom Pipeline'!R48="In evaluation"))*('MiT Strom Pipeline'!B48&lt;&gt;""))&gt;0,IF('MiT Strom Pipeline'!D48="","",'MiT Strom Pipeline'!D48),"")</f>
        <v/>
      </c>
      <c r="E181" s="191">
        <f>IF(((('MiT Strom Pipeline'!R48="follow-up")+('MiT Strom Pipeline'!R48="Evaluation")+('MiT Strom Pipeline'!R48="tbd")+('MiT Strom Pipeline'!R48="In evaluation"))*('MiT Strom Pipeline'!B48&lt;&gt;""))&gt;0,IF('MiT Strom Pipeline'!H48="","",'MiT Strom Pipeline'!H48),"")</f>
        <v/>
      </c>
      <c r="F181" s="27">
        <f>IF(((('MiT Strom Pipeline'!R48="follow-up")+('MiT Strom Pipeline'!R48="Evaluation")+('MiT Strom Pipeline'!R48="tbd")+('MiT Strom Pipeline'!R48="In evaluation"))*('MiT Strom Pipeline'!B48&lt;&gt;""))&gt;0,IF('MiT Strom Pipeline'!E48="","",'MiT Strom Pipeline'!E48),"")</f>
        <v/>
      </c>
      <c r="G181" s="28">
        <f>IF(((('MiT Strom Pipeline'!R48="follow-up")+('MiT Strom Pipeline'!R48="Evaluation")+('MiT Strom Pipeline'!R48="tbd")+('MiT Strom Pipeline'!R48="In evaluation"))*('MiT Strom Pipeline'!B48&lt;&gt;""))&gt;0,IF(ISNUMBER('MiT Strom Pipeline'!I48),'MiT Strom Pipeline'!I48,0),"")</f>
        <v/>
      </c>
      <c r="H181" s="28">
        <f>IF(((('MiT Strom Pipeline'!R48="follow-up")+('MiT Strom Pipeline'!R48="Evaluation")+('MiT Strom Pipeline'!R48="tbd")+('MiT Strom Pipeline'!R48="In evaluation"))*('MiT Strom Pipeline'!B48&lt;&gt;""))&gt;0,IF(ISNUMBER('MiT Strom Pipeline'!Q48),'MiT Strom Pipeline'!Q48,0),"")</f>
        <v/>
      </c>
      <c r="I181" s="28">
        <f>IF(((('MiT Strom Pipeline'!R48="follow-up")+('MiT Strom Pipeline'!R48="Evaluation")+('MiT Strom Pipeline'!R48="tbd")+('MiT Strom Pipeline'!R48="In evaluation"))*('MiT Strom Pipeline'!B48&lt;&gt;""))&gt;0,IF(ISNUMBER('MiT Strom Pipeline'!O48),'MiT Strom Pipeline'!O48,0),"")</f>
        <v/>
      </c>
      <c r="J181" s="27">
        <f>IF(((('MiT Strom Pipeline'!R48="follow-up")+('MiT Strom Pipeline'!R48="Evaluation")+('MiT Strom Pipeline'!R48="tbd")+('MiT Strom Pipeline'!R48="In evaluation"))*('MiT Strom Pipeline'!B48&lt;&gt;""))&gt;0,'MiT Strom Pipeline'!R48,"")</f>
        <v/>
      </c>
      <c r="K181" s="29">
        <f>IF(((('MiT Strom Pipeline'!R48="follow-up")+('MiT Strom Pipeline'!R48="Evaluation")+('MiT Strom Pipeline'!R48="tbd")+('MiT Strom Pipeline'!R48="In evaluation"))*('MiT Strom Pipeline'!B48&lt;&gt;""))&gt;0,IF(ISNUMBER('MiT Strom Pipeline'!S48),'MiT Strom Pipeline'!S48,""),"")</f>
        <v/>
      </c>
      <c r="L181" s="27">
        <f>IF(((('MiT Strom Pipeline'!R48="follow-up")+('MiT Strom Pipeline'!R48="Evaluation")+('MiT Strom Pipeline'!R48="tbd")+('MiT Strom Pipeline'!R48="In evaluation"))*('MiT Strom Pipeline'!B48&lt;&gt;""))&gt;0,IF(LEN('MiT Strom Pipeline'!V48)&gt;0,LEFT('MiT Strom Pipeline'!V48,55),""),"")</f>
        <v/>
      </c>
      <c r="M181" s="22" t="n"/>
      <c r="N181" s="22" t="n"/>
      <c r="O181" s="22" t="n"/>
      <c r="P181" s="22" t="n"/>
      <c r="Q181" s="22" t="n"/>
      <c r="R181" s="22" t="n"/>
      <c r="S181" s="22" t="n"/>
    </row>
    <row r="182" ht="15.75" customHeight="1">
      <c r="A182" s="26">
        <f>IF(((('MiT Strom Pipeline'!R49="follow-up")+('MiT Strom Pipeline'!R49="Evaluation")+('MiT Strom Pipeline'!R49="tbd")+('MiT Strom Pipeline'!R49="In evaluation"))*('MiT Strom Pipeline'!B49&lt;&gt;""))&gt;0,IF(ISNUMBER('MiT Strom Pipeline'!A49),'MiT Strom Pipeline'!A49,""),"")</f>
        <v/>
      </c>
      <c r="B182" s="27">
        <f>IF(((('MiT Strom Pipeline'!R49="follow-up")+('MiT Strom Pipeline'!R49="Evaluation")+('MiT Strom Pipeline'!R49="tbd")+('MiT Strom Pipeline'!R49="In evaluation"))*('MiT Strom Pipeline'!B49&lt;&gt;""))&gt;0,IF('MiT Strom Pipeline'!B49="","",'MiT Strom Pipeline'!B49),"")</f>
        <v/>
      </c>
      <c r="C182" s="27">
        <f>IF(((('MiT Strom Pipeline'!R49="follow-up")+('MiT Strom Pipeline'!R49="Evaluation")+('MiT Strom Pipeline'!R49="tbd")+('MiT Strom Pipeline'!R49="In evaluation"))*('MiT Strom Pipeline'!B49&lt;&gt;""))&gt;0,IF('MiT Strom Pipeline'!C49="","",'MiT Strom Pipeline'!C49),"")</f>
        <v/>
      </c>
      <c r="D182" s="27">
        <f>IF(((('MiT Strom Pipeline'!R49="follow-up")+('MiT Strom Pipeline'!R49="Evaluation")+('MiT Strom Pipeline'!R49="tbd")+('MiT Strom Pipeline'!R49="In evaluation"))*('MiT Strom Pipeline'!B49&lt;&gt;""))&gt;0,IF('MiT Strom Pipeline'!D49="","",'MiT Strom Pipeline'!D49),"")</f>
        <v/>
      </c>
      <c r="E182" s="191">
        <f>IF(((('MiT Strom Pipeline'!R49="follow-up")+('MiT Strom Pipeline'!R49="Evaluation")+('MiT Strom Pipeline'!R49="tbd")+('MiT Strom Pipeline'!R49="In evaluation"))*('MiT Strom Pipeline'!B49&lt;&gt;""))&gt;0,IF('MiT Strom Pipeline'!H49="","",'MiT Strom Pipeline'!H49),"")</f>
        <v/>
      </c>
      <c r="F182" s="27">
        <f>IF(((('MiT Strom Pipeline'!R49="follow-up")+('MiT Strom Pipeline'!R49="Evaluation")+('MiT Strom Pipeline'!R49="tbd")+('MiT Strom Pipeline'!R49="In evaluation"))*('MiT Strom Pipeline'!B49&lt;&gt;""))&gt;0,IF('MiT Strom Pipeline'!E49="","",'MiT Strom Pipeline'!E49),"")</f>
        <v/>
      </c>
      <c r="G182" s="28">
        <f>IF(((('MiT Strom Pipeline'!R49="follow-up")+('MiT Strom Pipeline'!R49="Evaluation")+('MiT Strom Pipeline'!R49="tbd")+('MiT Strom Pipeline'!R49="In evaluation"))*('MiT Strom Pipeline'!B49&lt;&gt;""))&gt;0,IF(ISNUMBER('MiT Strom Pipeline'!I49),'MiT Strom Pipeline'!I49,0),"")</f>
        <v/>
      </c>
      <c r="H182" s="28">
        <f>IF(((('MiT Strom Pipeline'!R49="follow-up")+('MiT Strom Pipeline'!R49="Evaluation")+('MiT Strom Pipeline'!R49="tbd")+('MiT Strom Pipeline'!R49="In evaluation"))*('MiT Strom Pipeline'!B49&lt;&gt;""))&gt;0,IF(ISNUMBER('MiT Strom Pipeline'!Q49),'MiT Strom Pipeline'!Q49,0),"")</f>
        <v/>
      </c>
      <c r="I182" s="28">
        <f>IF(((('MiT Strom Pipeline'!R49="follow-up")+('MiT Strom Pipeline'!R49="Evaluation")+('MiT Strom Pipeline'!R49="tbd")+('MiT Strom Pipeline'!R49="In evaluation"))*('MiT Strom Pipeline'!B49&lt;&gt;""))&gt;0,IF(ISNUMBER('MiT Strom Pipeline'!O49),'MiT Strom Pipeline'!O49,0),"")</f>
        <v/>
      </c>
      <c r="J182" s="27">
        <f>IF(((('MiT Strom Pipeline'!R49="follow-up")+('MiT Strom Pipeline'!R49="Evaluation")+('MiT Strom Pipeline'!R49="tbd")+('MiT Strom Pipeline'!R49="In evaluation"))*('MiT Strom Pipeline'!B49&lt;&gt;""))&gt;0,'MiT Strom Pipeline'!R49,"")</f>
        <v/>
      </c>
      <c r="K182" s="29">
        <f>IF(((('MiT Strom Pipeline'!R49="follow-up")+('MiT Strom Pipeline'!R49="Evaluation")+('MiT Strom Pipeline'!R49="tbd")+('MiT Strom Pipeline'!R49="In evaluation"))*('MiT Strom Pipeline'!B49&lt;&gt;""))&gt;0,IF(ISNUMBER('MiT Strom Pipeline'!S49),'MiT Strom Pipeline'!S49,""),"")</f>
        <v/>
      </c>
      <c r="L182" s="27">
        <f>IF(((('MiT Strom Pipeline'!R49="follow-up")+('MiT Strom Pipeline'!R49="Evaluation")+('MiT Strom Pipeline'!R49="tbd")+('MiT Strom Pipeline'!R49="In evaluation"))*('MiT Strom Pipeline'!B49&lt;&gt;""))&gt;0,IF(LEN('MiT Strom Pipeline'!V49)&gt;0,LEFT('MiT Strom Pipeline'!V49,55),""),"")</f>
        <v/>
      </c>
      <c r="M182" s="22" t="n"/>
      <c r="N182" s="22" t="n"/>
      <c r="O182" s="22" t="n"/>
      <c r="P182" s="22" t="n"/>
      <c r="Q182" s="22" t="n"/>
      <c r="R182" s="22" t="n"/>
      <c r="S182" s="22" t="n"/>
    </row>
    <row r="183" ht="15.75" customHeight="1">
      <c r="A183" s="26">
        <f>IF(((('MiT Strom Pipeline'!R50="follow-up")+('MiT Strom Pipeline'!R50="Evaluation")+('MiT Strom Pipeline'!R50="tbd")+('MiT Strom Pipeline'!R50="In evaluation"))*('MiT Strom Pipeline'!B50&lt;&gt;""))&gt;0,IF(ISNUMBER('MiT Strom Pipeline'!A50),'MiT Strom Pipeline'!A50,""),"")</f>
        <v/>
      </c>
      <c r="B183" s="27">
        <f>IF(((('MiT Strom Pipeline'!R50="follow-up")+('MiT Strom Pipeline'!R50="Evaluation")+('MiT Strom Pipeline'!R50="tbd")+('MiT Strom Pipeline'!R50="In evaluation"))*('MiT Strom Pipeline'!B50&lt;&gt;""))&gt;0,IF('MiT Strom Pipeline'!B50="","",'MiT Strom Pipeline'!B50),"")</f>
        <v/>
      </c>
      <c r="C183" s="27">
        <f>IF(((('MiT Strom Pipeline'!R50="follow-up")+('MiT Strom Pipeline'!R50="Evaluation")+('MiT Strom Pipeline'!R50="tbd")+('MiT Strom Pipeline'!R50="In evaluation"))*('MiT Strom Pipeline'!B50&lt;&gt;""))&gt;0,IF('MiT Strom Pipeline'!C50="","",'MiT Strom Pipeline'!C50),"")</f>
        <v/>
      </c>
      <c r="D183" s="27">
        <f>IF(((('MiT Strom Pipeline'!R50="follow-up")+('MiT Strom Pipeline'!R50="Evaluation")+('MiT Strom Pipeline'!R50="tbd")+('MiT Strom Pipeline'!R50="In evaluation"))*('MiT Strom Pipeline'!B50&lt;&gt;""))&gt;0,IF('MiT Strom Pipeline'!D50="","",'MiT Strom Pipeline'!D50),"")</f>
        <v/>
      </c>
      <c r="E183" s="191">
        <f>IF(((('MiT Strom Pipeline'!R50="follow-up")+('MiT Strom Pipeline'!R50="Evaluation")+('MiT Strom Pipeline'!R50="tbd")+('MiT Strom Pipeline'!R50="In evaluation"))*('MiT Strom Pipeline'!B50&lt;&gt;""))&gt;0,IF('MiT Strom Pipeline'!H50="","",'MiT Strom Pipeline'!H50),"")</f>
        <v/>
      </c>
      <c r="F183" s="27">
        <f>IF(((('MiT Strom Pipeline'!R50="follow-up")+('MiT Strom Pipeline'!R50="Evaluation")+('MiT Strom Pipeline'!R50="tbd")+('MiT Strom Pipeline'!R50="In evaluation"))*('MiT Strom Pipeline'!B50&lt;&gt;""))&gt;0,IF('MiT Strom Pipeline'!E50="","",'MiT Strom Pipeline'!E50),"")</f>
        <v/>
      </c>
      <c r="G183" s="28">
        <f>IF(((('MiT Strom Pipeline'!R50="follow-up")+('MiT Strom Pipeline'!R50="Evaluation")+('MiT Strom Pipeline'!R50="tbd")+('MiT Strom Pipeline'!R50="In evaluation"))*('MiT Strom Pipeline'!B50&lt;&gt;""))&gt;0,IF(ISNUMBER('MiT Strom Pipeline'!I50),'MiT Strom Pipeline'!I50,0),"")</f>
        <v/>
      </c>
      <c r="H183" s="28">
        <f>IF(((('MiT Strom Pipeline'!R50="follow-up")+('MiT Strom Pipeline'!R50="Evaluation")+('MiT Strom Pipeline'!R50="tbd")+('MiT Strom Pipeline'!R50="In evaluation"))*('MiT Strom Pipeline'!B50&lt;&gt;""))&gt;0,IF(ISNUMBER('MiT Strom Pipeline'!Q50),'MiT Strom Pipeline'!Q50,0),"")</f>
        <v/>
      </c>
      <c r="I183" s="28">
        <f>IF(((('MiT Strom Pipeline'!R50="follow-up")+('MiT Strom Pipeline'!R50="Evaluation")+('MiT Strom Pipeline'!R50="tbd")+('MiT Strom Pipeline'!R50="In evaluation"))*('MiT Strom Pipeline'!B50&lt;&gt;""))&gt;0,IF(ISNUMBER('MiT Strom Pipeline'!O50),'MiT Strom Pipeline'!O50,0),"")</f>
        <v/>
      </c>
      <c r="J183" s="27">
        <f>IF(((('MiT Strom Pipeline'!R50="follow-up")+('MiT Strom Pipeline'!R50="Evaluation")+('MiT Strom Pipeline'!R50="tbd")+('MiT Strom Pipeline'!R50="In evaluation"))*('MiT Strom Pipeline'!B50&lt;&gt;""))&gt;0,'MiT Strom Pipeline'!R50,"")</f>
        <v/>
      </c>
      <c r="K183" s="29">
        <f>IF(((('MiT Strom Pipeline'!R50="follow-up")+('MiT Strom Pipeline'!R50="Evaluation")+('MiT Strom Pipeline'!R50="tbd")+('MiT Strom Pipeline'!R50="In evaluation"))*('MiT Strom Pipeline'!B50&lt;&gt;""))&gt;0,IF(ISNUMBER('MiT Strom Pipeline'!S50),'MiT Strom Pipeline'!S50,""),"")</f>
        <v/>
      </c>
      <c r="L183" s="27">
        <f>IF(((('MiT Strom Pipeline'!R50="follow-up")+('MiT Strom Pipeline'!R50="Evaluation")+('MiT Strom Pipeline'!R50="tbd")+('MiT Strom Pipeline'!R50="In evaluation"))*('MiT Strom Pipeline'!B50&lt;&gt;""))&gt;0,IF(LEN('MiT Strom Pipeline'!V50)&gt;0,LEFT('MiT Strom Pipeline'!V50,55),""),"")</f>
        <v/>
      </c>
      <c r="M183" s="22" t="n"/>
      <c r="N183" s="22" t="n"/>
      <c r="O183" s="22" t="n"/>
      <c r="P183" s="22" t="n"/>
      <c r="Q183" s="22" t="n"/>
      <c r="R183" s="22" t="n"/>
      <c r="S183" s="22" t="n"/>
    </row>
    <row r="184" ht="15.75" customHeight="1">
      <c r="A184" s="26">
        <f>IF(((('MiT Strom Pipeline'!R51="follow-up")+('MiT Strom Pipeline'!R51="Evaluation")+('MiT Strom Pipeline'!R51="tbd")+('MiT Strom Pipeline'!R51="In evaluation"))*('MiT Strom Pipeline'!B51&lt;&gt;""))&gt;0,IF(ISNUMBER('MiT Strom Pipeline'!A51),'MiT Strom Pipeline'!A51,""),"")</f>
        <v>32</v>
      </c>
      <c r="B184" s="27" t="str">
        <f>IF(((('MiT Strom Pipeline'!R51="follow-up")+('MiT Strom Pipeline'!R51="Evaluation")+('MiT Strom Pipeline'!R51="tbd")+('MiT Strom Pipeline'!R51="In evaluation"))*('MiT Strom Pipeline'!B51&lt;&gt;""))&gt;0,IF('MiT Strom Pipeline'!B51="","",'MiT Strom Pipeline'!B51),"")</f>
        <v>WSP</v>
      </c>
      <c r="C184" s="27" t="str">
        <f>IF(((('MiT Strom Pipeline'!R51="follow-up")+('MiT Strom Pipeline'!R51="Evaluation")+('MiT Strom Pipeline'!R51="tbd")+('MiT Strom Pipeline'!R51="In evaluation"))*('MiT Strom Pipeline'!B51&lt;&gt;""))&gt;0,IF('MiT Strom Pipeline'!C51="","",'MiT Strom Pipeline'!C51),"")</f>
        <v>VD</v>
      </c>
      <c r="D184" s="27" t="str">
        <f>IF(((('MiT Strom Pipeline'!R51="follow-up")+('MiT Strom Pipeline'!R51="Evaluation")+('MiT Strom Pipeline'!R51="tbd")+('MiT Strom Pipeline'!R51="In evaluation"))*('MiT Strom Pipeline'!B51&lt;&gt;""))&gt;0,IF('MiT Strom Pipeline'!D51="","",'MiT Strom Pipeline'!D51),"")</f>
        <v>Industrie</v>
      </c>
      <c r="E184" s="191" t="str">
        <f>IF(((('MiT Strom Pipeline'!R51="follow-up")+('MiT Strom Pipeline'!R51="Evaluation")+('MiT Strom Pipeline'!R51="tbd")+('MiT Strom Pipeline'!R51="In evaluation"))*('MiT Strom Pipeline'!B51&lt;&gt;""))&gt;0,IF('MiT Strom Pipeline'!H51="","",'MiT Strom Pipeline'!H51),"")</f>
        <v>tbd</v>
      </c>
      <c r="F184" s="27" t="str">
        <f>IF(((('MiT Strom Pipeline'!R51="follow-up")+('MiT Strom Pipeline'!R51="Evaluation")+('MiT Strom Pipeline'!R51="tbd")+('MiT Strom Pipeline'!R51="In evaluation"))*('MiT Strom Pipeline'!B51&lt;&gt;""))&gt;0,IF('MiT Strom Pipeline'!E51="","",'MiT Strom Pipeline'!E51),"")</f>
        <v>tbd</v>
      </c>
      <c r="G184" s="28">
        <f>IF(((('MiT Strom Pipeline'!R51="follow-up")+('MiT Strom Pipeline'!R51="Evaluation")+('MiT Strom Pipeline'!R51="tbd")+('MiT Strom Pipeline'!R51="In evaluation"))*('MiT Strom Pipeline'!B51&lt;&gt;""))&gt;0,IF(ISNUMBER('MiT Strom Pipeline'!I51),'MiT Strom Pipeline'!I51,0),"")</f>
        <v>0</v>
      </c>
      <c r="H184" s="28">
        <f>IF(((('MiT Strom Pipeline'!R51="follow-up")+('MiT Strom Pipeline'!R51="Evaluation")+('MiT Strom Pipeline'!R51="tbd")+('MiT Strom Pipeline'!R51="In evaluation"))*('MiT Strom Pipeline'!B51&lt;&gt;""))&gt;0,IF(ISNUMBER('MiT Strom Pipeline'!Q51),'MiT Strom Pipeline'!Q51,0),"")</f>
        <v>0</v>
      </c>
      <c r="I184" s="28">
        <f>IF(((('MiT Strom Pipeline'!R51="follow-up")+('MiT Strom Pipeline'!R51="Evaluation")+('MiT Strom Pipeline'!R51="tbd")+('MiT Strom Pipeline'!R51="In evaluation"))*('MiT Strom Pipeline'!B51&lt;&gt;""))&gt;0,IF(ISNUMBER('MiT Strom Pipeline'!O51),'MiT Strom Pipeline'!O51,0),"")</f>
        <v>0</v>
      </c>
      <c r="J184" s="27" t="str">
        <f>IF(((('MiT Strom Pipeline'!R51="follow-up")+('MiT Strom Pipeline'!R51="Evaluation")+('MiT Strom Pipeline'!R51="tbd")+('MiT Strom Pipeline'!R51="In evaluation"))*('MiT Strom Pipeline'!B51&lt;&gt;""))&gt;0,'MiT Strom Pipeline'!R51,"")</f>
        <v>tbd</v>
      </c>
      <c r="K184" s="29">
        <f>IF(((('MiT Strom Pipeline'!R51="follow-up")+('MiT Strom Pipeline'!R51="Evaluation")+('MiT Strom Pipeline'!R51="tbd")+('MiT Strom Pipeline'!R51="In evaluation"))*('MiT Strom Pipeline'!B51&lt;&gt;""))&gt;0,IF(ISNUMBER('MiT Strom Pipeline'!S51),'MiT Strom Pipeline'!S51,""),"")</f>
        <v>0</v>
      </c>
      <c r="L184" s="27" t="str">
        <f>IF(((('MiT Strom Pipeline'!R51="follow-up")+('MiT Strom Pipeline'!R51="Evaluation")+('MiT Strom Pipeline'!R51="tbd")+('MiT Strom Pipeline'!R51="In evaluation"))*('MiT Strom Pipeline'!B51&lt;&gt;""))&gt;0,IF(LEN('MiT Strom Pipeline'!V51)&gt;0,LEFT('MiT Strom Pipeline'!V51,55),""),"")</f>
        <v>Kunde angeschrieben, Telefoniert noch kein bedarf</v>
      </c>
      <c r="M184" s="22" t="n"/>
      <c r="N184" s="22" t="n"/>
      <c r="O184" s="22" t="n"/>
      <c r="P184" s="22" t="n"/>
      <c r="Q184" s="22" t="n"/>
      <c r="R184" s="22" t="n"/>
      <c r="S184" s="22" t="n"/>
    </row>
    <row r="185" ht="15.75" customHeight="1">
      <c r="A185" s="26">
        <f>IF(((('MiT Strom Pipeline'!R52="follow-up")+('MiT Strom Pipeline'!R52="Evaluation")+('MiT Strom Pipeline'!R52="tbd")+('MiT Strom Pipeline'!R52="In evaluation"))*('MiT Strom Pipeline'!B52&lt;&gt;""))&gt;0,IF(ISNUMBER('MiT Strom Pipeline'!A52),'MiT Strom Pipeline'!A52,""),"")</f>
        <v>42</v>
      </c>
      <c r="B185" s="27" t="str">
        <f>IF(((('MiT Strom Pipeline'!R52="follow-up")+('MiT Strom Pipeline'!R52="Evaluation")+('MiT Strom Pipeline'!R52="tbd")+('MiT Strom Pipeline'!R52="In evaluation"))*('MiT Strom Pipeline'!B52&lt;&gt;""))&gt;0,IF('MiT Strom Pipeline'!B52="","",'MiT Strom Pipeline'!B52),"")</f>
        <v>SMT</v>
      </c>
      <c r="C185" s="27" t="str">
        <f>IF(((('MiT Strom Pipeline'!R52="follow-up")+('MiT Strom Pipeline'!R52="Evaluation")+('MiT Strom Pipeline'!R52="tbd")+('MiT Strom Pipeline'!R52="In evaluation"))*('MiT Strom Pipeline'!B52&lt;&gt;""))&gt;0,IF('MiT Strom Pipeline'!C52="","",'MiT Strom Pipeline'!C52),"")</f>
        <v>ZH</v>
      </c>
      <c r="D185" s="27" t="str">
        <f>IF(((('MiT Strom Pipeline'!R52="follow-up")+('MiT Strom Pipeline'!R52="Evaluation")+('MiT Strom Pipeline'!R52="tbd")+('MiT Strom Pipeline'!R52="In evaluation"))*('MiT Strom Pipeline'!B52&lt;&gt;""))&gt;0,IF('MiT Strom Pipeline'!D52="","",'MiT Strom Pipeline'!D52),"")</f>
        <v>Industrie</v>
      </c>
      <c r="E185" s="191" t="str">
        <f>IF(((('MiT Strom Pipeline'!R52="follow-up")+('MiT Strom Pipeline'!R52="Evaluation")+('MiT Strom Pipeline'!R52="tbd")+('MiT Strom Pipeline'!R52="In evaluation"))*('MiT Strom Pipeline'!B52&lt;&gt;""))&gt;0,IF('MiT Strom Pipeline'!H52="","",'MiT Strom Pipeline'!H52),"")</f>
        <v>Aug</v>
      </c>
      <c r="F185" s="27" t="str">
        <f>IF(((('MiT Strom Pipeline'!R52="follow-up")+('MiT Strom Pipeline'!R52="Evaluation")+('MiT Strom Pipeline'!R52="tbd")+('MiT Strom Pipeline'!R52="In evaluation"))*('MiT Strom Pipeline'!B52&lt;&gt;""))&gt;0,IF('MiT Strom Pipeline'!E52="","",'MiT Strom Pipeline'!E52),"")</f>
        <v>1000 kVA</v>
      </c>
      <c r="G185" s="28">
        <f>IF(((('MiT Strom Pipeline'!R52="follow-up")+('MiT Strom Pipeline'!R52="Evaluation")+('MiT Strom Pipeline'!R52="tbd")+('MiT Strom Pipeline'!R52="In evaluation"))*('MiT Strom Pipeline'!B52&lt;&gt;""))&gt;0,IF(ISNUMBER('MiT Strom Pipeline'!I52),'MiT Strom Pipeline'!I52,0),"")</f>
        <v>6772.8</v>
      </c>
      <c r="H185" s="28">
        <f>IF(((('MiT Strom Pipeline'!R52="follow-up")+('MiT Strom Pipeline'!R52="Evaluation")+('MiT Strom Pipeline'!R52="tbd")+('MiT Strom Pipeline'!R52="In evaluation"))*('MiT Strom Pipeline'!B52&lt;&gt;""))&gt;0,IF(ISNUMBER('MiT Strom Pipeline'!Q52),'MiT Strom Pipeline'!Q52,0),"")</f>
        <v>4740.96</v>
      </c>
      <c r="I185" s="28">
        <f>IF(((('MiT Strom Pipeline'!R52="follow-up")+('MiT Strom Pipeline'!R52="Evaluation")+('MiT Strom Pipeline'!R52="tbd")+('MiT Strom Pipeline'!R52="In evaluation"))*('MiT Strom Pipeline'!B52&lt;&gt;""))&gt;0,IF(ISNUMBER('MiT Strom Pipeline'!O52),'MiT Strom Pipeline'!O52,0),"")</f>
        <v>0</v>
      </c>
      <c r="J185" s="27" t="str">
        <f>IF(((('MiT Strom Pipeline'!R52="follow-up")+('MiT Strom Pipeline'!R52="Evaluation")+('MiT Strom Pipeline'!R52="tbd")+('MiT Strom Pipeline'!R52="In evaluation"))*('MiT Strom Pipeline'!B52&lt;&gt;""))&gt;0,'MiT Strom Pipeline'!R52,"")</f>
        <v>Evaluation</v>
      </c>
      <c r="K185" s="29">
        <f>IF(((('MiT Strom Pipeline'!R52="follow-up")+('MiT Strom Pipeline'!R52="Evaluation")+('MiT Strom Pipeline'!R52="tbd")+('MiT Strom Pipeline'!R52="In evaluation"))*('MiT Strom Pipeline'!B52&lt;&gt;""))&gt;0,IF(ISNUMBER('MiT Strom Pipeline'!S52),'MiT Strom Pipeline'!S52,""),"")</f>
        <v>0.7</v>
      </c>
      <c r="L185" s="27" t="str">
        <f>IF(((('MiT Strom Pipeline'!R52="follow-up")+('MiT Strom Pipeline'!R52="Evaluation")+('MiT Strom Pipeline'!R52="tbd")+('MiT Strom Pipeline'!R52="In evaluation"))*('MiT Strom Pipeline'!B52&lt;&gt;""))&gt;0,IF(LEN('MiT Strom Pipeline'!V52)&gt;0,LEFT('MiT Strom Pipeline'!V52,55),""),"")</f>
        <v>Kunde angeschrieben, Offerte erstellt, Kunde hat Offert</v>
      </c>
      <c r="M185" s="22" t="n"/>
      <c r="N185" s="22" t="n"/>
      <c r="O185" s="22" t="n"/>
      <c r="P185" s="22" t="n"/>
      <c r="Q185" s="22" t="n"/>
      <c r="R185" s="22" t="n"/>
      <c r="S185" s="22" t="n"/>
    </row>
    <row r="186" ht="15.75" customHeight="1">
      <c r="A186" s="26">
        <f>IF(((('MiT Strom Pipeline'!R53="follow-up")+('MiT Strom Pipeline'!R53="Evaluation")+('MiT Strom Pipeline'!R53="tbd")+('MiT Strom Pipeline'!R53="In evaluation"))*('MiT Strom Pipeline'!B53&lt;&gt;""))&gt;0,IF(ISNUMBER('MiT Strom Pipeline'!A53),'MiT Strom Pipeline'!A53,""),"")</f>
        <v/>
      </c>
      <c r="B186" s="27">
        <f>IF(((('MiT Strom Pipeline'!R53="follow-up")+('MiT Strom Pipeline'!R53="Evaluation")+('MiT Strom Pipeline'!R53="tbd")+('MiT Strom Pipeline'!R53="In evaluation"))*('MiT Strom Pipeline'!B53&lt;&gt;""))&gt;0,IF('MiT Strom Pipeline'!B53="","",'MiT Strom Pipeline'!B53),"")</f>
        <v/>
      </c>
      <c r="C186" s="27">
        <f>IF(((('MiT Strom Pipeline'!R53="follow-up")+('MiT Strom Pipeline'!R53="Evaluation")+('MiT Strom Pipeline'!R53="tbd")+('MiT Strom Pipeline'!R53="In evaluation"))*('MiT Strom Pipeline'!B53&lt;&gt;""))&gt;0,IF('MiT Strom Pipeline'!C53="","",'MiT Strom Pipeline'!C53),"")</f>
        <v/>
      </c>
      <c r="D186" s="27">
        <f>IF(((('MiT Strom Pipeline'!R53="follow-up")+('MiT Strom Pipeline'!R53="Evaluation")+('MiT Strom Pipeline'!R53="tbd")+('MiT Strom Pipeline'!R53="In evaluation"))*('MiT Strom Pipeline'!B53&lt;&gt;""))&gt;0,IF('MiT Strom Pipeline'!D53="","",'MiT Strom Pipeline'!D53),"")</f>
        <v/>
      </c>
      <c r="E186" s="191">
        <f>IF(((('MiT Strom Pipeline'!R53="follow-up")+('MiT Strom Pipeline'!R53="Evaluation")+('MiT Strom Pipeline'!R53="tbd")+('MiT Strom Pipeline'!R53="In evaluation"))*('MiT Strom Pipeline'!B53&lt;&gt;""))&gt;0,IF('MiT Strom Pipeline'!H53="","",'MiT Strom Pipeline'!H53),"")</f>
        <v/>
      </c>
      <c r="F186" s="27">
        <f>IF(((('MiT Strom Pipeline'!R53="follow-up")+('MiT Strom Pipeline'!R53="Evaluation")+('MiT Strom Pipeline'!R53="tbd")+('MiT Strom Pipeline'!R53="In evaluation"))*('MiT Strom Pipeline'!B53&lt;&gt;""))&gt;0,IF('MiT Strom Pipeline'!E53="","",'MiT Strom Pipeline'!E53),"")</f>
        <v/>
      </c>
      <c r="G186" s="28">
        <f>IF(((('MiT Strom Pipeline'!R53="follow-up")+('MiT Strom Pipeline'!R53="Evaluation")+('MiT Strom Pipeline'!R53="tbd")+('MiT Strom Pipeline'!R53="In evaluation"))*('MiT Strom Pipeline'!B53&lt;&gt;""))&gt;0,IF(ISNUMBER('MiT Strom Pipeline'!I53),'MiT Strom Pipeline'!I53,0),"")</f>
        <v/>
      </c>
      <c r="H186" s="28">
        <f>IF(((('MiT Strom Pipeline'!R53="follow-up")+('MiT Strom Pipeline'!R53="Evaluation")+('MiT Strom Pipeline'!R53="tbd")+('MiT Strom Pipeline'!R53="In evaluation"))*('MiT Strom Pipeline'!B53&lt;&gt;""))&gt;0,IF(ISNUMBER('MiT Strom Pipeline'!Q53),'MiT Strom Pipeline'!Q53,0),"")</f>
        <v/>
      </c>
      <c r="I186" s="28">
        <f>IF(((('MiT Strom Pipeline'!R53="follow-up")+('MiT Strom Pipeline'!R53="Evaluation")+('MiT Strom Pipeline'!R53="tbd")+('MiT Strom Pipeline'!R53="In evaluation"))*('MiT Strom Pipeline'!B53&lt;&gt;""))&gt;0,IF(ISNUMBER('MiT Strom Pipeline'!O53),'MiT Strom Pipeline'!O53,0),"")</f>
        <v/>
      </c>
      <c r="J186" s="27">
        <f>IF(((('MiT Strom Pipeline'!R53="follow-up")+('MiT Strom Pipeline'!R53="Evaluation")+('MiT Strom Pipeline'!R53="tbd")+('MiT Strom Pipeline'!R53="In evaluation"))*('MiT Strom Pipeline'!B53&lt;&gt;""))&gt;0,'MiT Strom Pipeline'!R53,"")</f>
        <v/>
      </c>
      <c r="K186" s="29">
        <f>IF(((('MiT Strom Pipeline'!R53="follow-up")+('MiT Strom Pipeline'!R53="Evaluation")+('MiT Strom Pipeline'!R53="tbd")+('MiT Strom Pipeline'!R53="In evaluation"))*('MiT Strom Pipeline'!B53&lt;&gt;""))&gt;0,IF(ISNUMBER('MiT Strom Pipeline'!S53),'MiT Strom Pipeline'!S53,""),"")</f>
        <v/>
      </c>
      <c r="L186" s="27">
        <f>IF(((('MiT Strom Pipeline'!R53="follow-up")+('MiT Strom Pipeline'!R53="Evaluation")+('MiT Strom Pipeline'!R53="tbd")+('MiT Strom Pipeline'!R53="In evaluation"))*('MiT Strom Pipeline'!B53&lt;&gt;""))&gt;0,IF(LEN('MiT Strom Pipeline'!V53)&gt;0,LEFT('MiT Strom Pipeline'!V53,55),""),"")</f>
        <v/>
      </c>
      <c r="M186" s="22" t="n"/>
      <c r="N186" s="22" t="n"/>
      <c r="O186" s="22" t="n"/>
      <c r="P186" s="22" t="n"/>
      <c r="Q186" s="22" t="n"/>
      <c r="R186" s="22" t="n"/>
      <c r="S186" s="22" t="n"/>
    </row>
    <row r="187" ht="15.75" customHeight="1">
      <c r="A187" s="26">
        <f>IF(((('MiT Strom Pipeline'!R54="follow-up")+('MiT Strom Pipeline'!R54="Evaluation")+('MiT Strom Pipeline'!R54="tbd")+('MiT Strom Pipeline'!R54="In evaluation"))*('MiT Strom Pipeline'!B54&lt;&gt;""))&gt;0,IF(ISNUMBER('MiT Strom Pipeline'!A54),'MiT Strom Pipeline'!A54,""),"")</f>
        <v/>
      </c>
      <c r="B187" s="27">
        <f>IF(((('MiT Strom Pipeline'!R54="follow-up")+('MiT Strom Pipeline'!R54="Evaluation")+('MiT Strom Pipeline'!R54="tbd")+('MiT Strom Pipeline'!R54="In evaluation"))*('MiT Strom Pipeline'!B54&lt;&gt;""))&gt;0,IF('MiT Strom Pipeline'!B54="","",'MiT Strom Pipeline'!B54),"")</f>
        <v/>
      </c>
      <c r="C187" s="27">
        <f>IF(((('MiT Strom Pipeline'!R54="follow-up")+('MiT Strom Pipeline'!R54="Evaluation")+('MiT Strom Pipeline'!R54="tbd")+('MiT Strom Pipeline'!R54="In evaluation"))*('MiT Strom Pipeline'!B54&lt;&gt;""))&gt;0,IF('MiT Strom Pipeline'!C54="","",'MiT Strom Pipeline'!C54),"")</f>
        <v/>
      </c>
      <c r="D187" s="27">
        <f>IF(((('MiT Strom Pipeline'!R54="follow-up")+('MiT Strom Pipeline'!R54="Evaluation")+('MiT Strom Pipeline'!R54="tbd")+('MiT Strom Pipeline'!R54="In evaluation"))*('MiT Strom Pipeline'!B54&lt;&gt;""))&gt;0,IF('MiT Strom Pipeline'!D54="","",'MiT Strom Pipeline'!D54),"")</f>
        <v/>
      </c>
      <c r="E187" s="191">
        <f>IF(((('MiT Strom Pipeline'!R54="follow-up")+('MiT Strom Pipeline'!R54="Evaluation")+('MiT Strom Pipeline'!R54="tbd")+('MiT Strom Pipeline'!R54="In evaluation"))*('MiT Strom Pipeline'!B54&lt;&gt;""))&gt;0,IF('MiT Strom Pipeline'!H54="","",'MiT Strom Pipeline'!H54),"")</f>
        <v/>
      </c>
      <c r="F187" s="27">
        <f>IF(((('MiT Strom Pipeline'!R54="follow-up")+('MiT Strom Pipeline'!R54="Evaluation")+('MiT Strom Pipeline'!R54="tbd")+('MiT Strom Pipeline'!R54="In evaluation"))*('MiT Strom Pipeline'!B54&lt;&gt;""))&gt;0,IF('MiT Strom Pipeline'!E54="","",'MiT Strom Pipeline'!E54),"")</f>
        <v/>
      </c>
      <c r="G187" s="28">
        <f>IF(((('MiT Strom Pipeline'!R54="follow-up")+('MiT Strom Pipeline'!R54="Evaluation")+('MiT Strom Pipeline'!R54="tbd")+('MiT Strom Pipeline'!R54="In evaluation"))*('MiT Strom Pipeline'!B54&lt;&gt;""))&gt;0,IF(ISNUMBER('MiT Strom Pipeline'!I54),'MiT Strom Pipeline'!I54,0),"")</f>
        <v/>
      </c>
      <c r="H187" s="28">
        <f>IF(((('MiT Strom Pipeline'!R54="follow-up")+('MiT Strom Pipeline'!R54="Evaluation")+('MiT Strom Pipeline'!R54="tbd")+('MiT Strom Pipeline'!R54="In evaluation"))*('MiT Strom Pipeline'!B54&lt;&gt;""))&gt;0,IF(ISNUMBER('MiT Strom Pipeline'!Q54),'MiT Strom Pipeline'!Q54,0),"")</f>
        <v/>
      </c>
      <c r="I187" s="28">
        <f>IF(((('MiT Strom Pipeline'!R54="follow-up")+('MiT Strom Pipeline'!R54="Evaluation")+('MiT Strom Pipeline'!R54="tbd")+('MiT Strom Pipeline'!R54="In evaluation"))*('MiT Strom Pipeline'!B54&lt;&gt;""))&gt;0,IF(ISNUMBER('MiT Strom Pipeline'!O54),'MiT Strom Pipeline'!O54,0),"")</f>
        <v/>
      </c>
      <c r="J187" s="27">
        <f>IF(((('MiT Strom Pipeline'!R54="follow-up")+('MiT Strom Pipeline'!R54="Evaluation")+('MiT Strom Pipeline'!R54="tbd")+('MiT Strom Pipeline'!R54="In evaluation"))*('MiT Strom Pipeline'!B54&lt;&gt;""))&gt;0,'MiT Strom Pipeline'!R54,"")</f>
        <v/>
      </c>
      <c r="K187" s="29">
        <f>IF(((('MiT Strom Pipeline'!R54="follow-up")+('MiT Strom Pipeline'!R54="Evaluation")+('MiT Strom Pipeline'!R54="tbd")+('MiT Strom Pipeline'!R54="In evaluation"))*('MiT Strom Pipeline'!B54&lt;&gt;""))&gt;0,IF(ISNUMBER('MiT Strom Pipeline'!S54),'MiT Strom Pipeline'!S54,""),"")</f>
        <v/>
      </c>
      <c r="L187" s="27">
        <f>IF(((('MiT Strom Pipeline'!R54="follow-up")+('MiT Strom Pipeline'!R54="Evaluation")+('MiT Strom Pipeline'!R54="tbd")+('MiT Strom Pipeline'!R54="In evaluation"))*('MiT Strom Pipeline'!B54&lt;&gt;""))&gt;0,IF(LEN('MiT Strom Pipeline'!V54)&gt;0,LEFT('MiT Strom Pipeline'!V54,55),""),"")</f>
        <v/>
      </c>
      <c r="M187" s="22" t="n"/>
      <c r="N187" s="22" t="n"/>
      <c r="O187" s="22" t="n"/>
      <c r="P187" s="22" t="n"/>
      <c r="Q187" s="22" t="n"/>
      <c r="R187" s="22" t="n"/>
      <c r="S187" s="22" t="n"/>
    </row>
    <row r="188" ht="15.75" customHeight="1">
      <c r="A188" s="26">
        <f>IF(((('MiT Strom Pipeline'!R55="follow-up")+('MiT Strom Pipeline'!R55="Evaluation")+('MiT Strom Pipeline'!R55="tbd")+('MiT Strom Pipeline'!R55="In evaluation"))*('MiT Strom Pipeline'!B55&lt;&gt;""))&gt;0,IF(ISNUMBER('MiT Strom Pipeline'!A55),'MiT Strom Pipeline'!A55,""),"")</f>
        <v/>
      </c>
      <c r="B188" s="27">
        <f>IF(((('MiT Strom Pipeline'!R55="follow-up")+('MiT Strom Pipeline'!R55="Evaluation")+('MiT Strom Pipeline'!R55="tbd")+('MiT Strom Pipeline'!R55="In evaluation"))*('MiT Strom Pipeline'!B55&lt;&gt;""))&gt;0,IF('MiT Strom Pipeline'!B55="","",'MiT Strom Pipeline'!B55),"")</f>
        <v/>
      </c>
      <c r="C188" s="27">
        <f>IF(((('MiT Strom Pipeline'!R55="follow-up")+('MiT Strom Pipeline'!R55="Evaluation")+('MiT Strom Pipeline'!R55="tbd")+('MiT Strom Pipeline'!R55="In evaluation"))*('MiT Strom Pipeline'!B55&lt;&gt;""))&gt;0,IF('MiT Strom Pipeline'!C55="","",'MiT Strom Pipeline'!C55),"")</f>
        <v/>
      </c>
      <c r="D188" s="27">
        <f>IF(((('MiT Strom Pipeline'!R55="follow-up")+('MiT Strom Pipeline'!R55="Evaluation")+('MiT Strom Pipeline'!R55="tbd")+('MiT Strom Pipeline'!R55="In evaluation"))*('MiT Strom Pipeline'!B55&lt;&gt;""))&gt;0,IF('MiT Strom Pipeline'!D55="","",'MiT Strom Pipeline'!D55),"")</f>
        <v/>
      </c>
      <c r="E188" s="191">
        <f>IF(((('MiT Strom Pipeline'!R55="follow-up")+('MiT Strom Pipeline'!R55="Evaluation")+('MiT Strom Pipeline'!R55="tbd")+('MiT Strom Pipeline'!R55="In evaluation"))*('MiT Strom Pipeline'!B55&lt;&gt;""))&gt;0,IF('MiT Strom Pipeline'!H55="","",'MiT Strom Pipeline'!H55),"")</f>
        <v/>
      </c>
      <c r="F188" s="27">
        <f>IF(((('MiT Strom Pipeline'!R55="follow-up")+('MiT Strom Pipeline'!R55="Evaluation")+('MiT Strom Pipeline'!R55="tbd")+('MiT Strom Pipeline'!R55="In evaluation"))*('MiT Strom Pipeline'!B55&lt;&gt;""))&gt;0,IF('MiT Strom Pipeline'!E55="","",'MiT Strom Pipeline'!E55),"")</f>
        <v/>
      </c>
      <c r="G188" s="28">
        <f>IF(((('MiT Strom Pipeline'!R55="follow-up")+('MiT Strom Pipeline'!R55="Evaluation")+('MiT Strom Pipeline'!R55="tbd")+('MiT Strom Pipeline'!R55="In evaluation"))*('MiT Strom Pipeline'!B55&lt;&gt;""))&gt;0,IF(ISNUMBER('MiT Strom Pipeline'!I55),'MiT Strom Pipeline'!I55,0),"")</f>
        <v/>
      </c>
      <c r="H188" s="28">
        <f>IF(((('MiT Strom Pipeline'!R55="follow-up")+('MiT Strom Pipeline'!R55="Evaluation")+('MiT Strom Pipeline'!R55="tbd")+('MiT Strom Pipeline'!R55="In evaluation"))*('MiT Strom Pipeline'!B55&lt;&gt;""))&gt;0,IF(ISNUMBER('MiT Strom Pipeline'!Q55),'MiT Strom Pipeline'!Q55,0),"")</f>
        <v/>
      </c>
      <c r="I188" s="28">
        <f>IF(((('MiT Strom Pipeline'!R55="follow-up")+('MiT Strom Pipeline'!R55="Evaluation")+('MiT Strom Pipeline'!R55="tbd")+('MiT Strom Pipeline'!R55="In evaluation"))*('MiT Strom Pipeline'!B55&lt;&gt;""))&gt;0,IF(ISNUMBER('MiT Strom Pipeline'!O55),'MiT Strom Pipeline'!O55,0),"")</f>
        <v/>
      </c>
      <c r="J188" s="27">
        <f>IF(((('MiT Strom Pipeline'!R55="follow-up")+('MiT Strom Pipeline'!R55="Evaluation")+('MiT Strom Pipeline'!R55="tbd")+('MiT Strom Pipeline'!R55="In evaluation"))*('MiT Strom Pipeline'!B55&lt;&gt;""))&gt;0,'MiT Strom Pipeline'!R55,"")</f>
        <v/>
      </c>
      <c r="K188" s="29">
        <f>IF(((('MiT Strom Pipeline'!R55="follow-up")+('MiT Strom Pipeline'!R55="Evaluation")+('MiT Strom Pipeline'!R55="tbd")+('MiT Strom Pipeline'!R55="In evaluation"))*('MiT Strom Pipeline'!B55&lt;&gt;""))&gt;0,IF(ISNUMBER('MiT Strom Pipeline'!S55),'MiT Strom Pipeline'!S55,""),"")</f>
        <v/>
      </c>
      <c r="L188" s="27">
        <f>IF(((('MiT Strom Pipeline'!R55="follow-up")+('MiT Strom Pipeline'!R55="Evaluation")+('MiT Strom Pipeline'!R55="tbd")+('MiT Strom Pipeline'!R55="In evaluation"))*('MiT Strom Pipeline'!B55&lt;&gt;""))&gt;0,IF(LEN('MiT Strom Pipeline'!V55)&gt;0,LEFT('MiT Strom Pipeline'!V55,55),""),"")</f>
        <v/>
      </c>
      <c r="M188" s="22" t="n"/>
      <c r="N188" s="22" t="n"/>
      <c r="O188" s="22" t="n"/>
      <c r="P188" s="22" t="n"/>
      <c r="Q188" s="22" t="n"/>
      <c r="R188" s="22" t="n"/>
      <c r="S188" s="22" t="n"/>
    </row>
    <row r="189" ht="15.75" customHeight="1">
      <c r="A189" s="26">
        <f>IF(((('MiT Strom Pipeline'!R56="follow-up")+('MiT Strom Pipeline'!R56="Evaluation")+('MiT Strom Pipeline'!R56="tbd")+('MiT Strom Pipeline'!R56="In evaluation"))*('MiT Strom Pipeline'!B56&lt;&gt;""))&gt;0,IF(ISNUMBER('MiT Strom Pipeline'!A56),'MiT Strom Pipeline'!A56,""),"")</f>
        <v/>
      </c>
      <c r="B189" s="27">
        <f>IF(((('MiT Strom Pipeline'!R56="follow-up")+('MiT Strom Pipeline'!R56="Evaluation")+('MiT Strom Pipeline'!R56="tbd")+('MiT Strom Pipeline'!R56="In evaluation"))*('MiT Strom Pipeline'!B56&lt;&gt;""))&gt;0,IF('MiT Strom Pipeline'!B56="","",'MiT Strom Pipeline'!B56),"")</f>
        <v/>
      </c>
      <c r="C189" s="27">
        <f>IF(((('MiT Strom Pipeline'!R56="follow-up")+('MiT Strom Pipeline'!R56="Evaluation")+('MiT Strom Pipeline'!R56="tbd")+('MiT Strom Pipeline'!R56="In evaluation"))*('MiT Strom Pipeline'!B56&lt;&gt;""))&gt;0,IF('MiT Strom Pipeline'!C56="","",'MiT Strom Pipeline'!C56),"")</f>
        <v/>
      </c>
      <c r="D189" s="27">
        <f>IF(((('MiT Strom Pipeline'!R56="follow-up")+('MiT Strom Pipeline'!R56="Evaluation")+('MiT Strom Pipeline'!R56="tbd")+('MiT Strom Pipeline'!R56="In evaluation"))*('MiT Strom Pipeline'!B56&lt;&gt;""))&gt;0,IF('MiT Strom Pipeline'!D56="","",'MiT Strom Pipeline'!D56),"")</f>
        <v/>
      </c>
      <c r="E189" s="191">
        <f>IF(((('MiT Strom Pipeline'!R56="follow-up")+('MiT Strom Pipeline'!R56="Evaluation")+('MiT Strom Pipeline'!R56="tbd")+('MiT Strom Pipeline'!R56="In evaluation"))*('MiT Strom Pipeline'!B56&lt;&gt;""))&gt;0,IF('MiT Strom Pipeline'!H56="","",'MiT Strom Pipeline'!H56),"")</f>
        <v/>
      </c>
      <c r="F189" s="27">
        <f>IF(((('MiT Strom Pipeline'!R56="follow-up")+('MiT Strom Pipeline'!R56="Evaluation")+('MiT Strom Pipeline'!R56="tbd")+('MiT Strom Pipeline'!R56="In evaluation"))*('MiT Strom Pipeline'!B56&lt;&gt;""))&gt;0,IF('MiT Strom Pipeline'!E56="","",'MiT Strom Pipeline'!E56),"")</f>
        <v/>
      </c>
      <c r="G189" s="28">
        <f>IF(((('MiT Strom Pipeline'!R56="follow-up")+('MiT Strom Pipeline'!R56="Evaluation")+('MiT Strom Pipeline'!R56="tbd")+('MiT Strom Pipeline'!R56="In evaluation"))*('MiT Strom Pipeline'!B56&lt;&gt;""))&gt;0,IF(ISNUMBER('MiT Strom Pipeline'!I56),'MiT Strom Pipeline'!I56,0),"")</f>
        <v/>
      </c>
      <c r="H189" s="28">
        <f>IF(((('MiT Strom Pipeline'!R56="follow-up")+('MiT Strom Pipeline'!R56="Evaluation")+('MiT Strom Pipeline'!R56="tbd")+('MiT Strom Pipeline'!R56="In evaluation"))*('MiT Strom Pipeline'!B56&lt;&gt;""))&gt;0,IF(ISNUMBER('MiT Strom Pipeline'!Q56),'MiT Strom Pipeline'!Q56,0),"")</f>
        <v/>
      </c>
      <c r="I189" s="28">
        <f>IF(((('MiT Strom Pipeline'!R56="follow-up")+('MiT Strom Pipeline'!R56="Evaluation")+('MiT Strom Pipeline'!R56="tbd")+('MiT Strom Pipeline'!R56="In evaluation"))*('MiT Strom Pipeline'!B56&lt;&gt;""))&gt;0,IF(ISNUMBER('MiT Strom Pipeline'!O56),'MiT Strom Pipeline'!O56,0),"")</f>
        <v/>
      </c>
      <c r="J189" s="27">
        <f>IF(((('MiT Strom Pipeline'!R56="follow-up")+('MiT Strom Pipeline'!R56="Evaluation")+('MiT Strom Pipeline'!R56="tbd")+('MiT Strom Pipeline'!R56="In evaluation"))*('MiT Strom Pipeline'!B56&lt;&gt;""))&gt;0,'MiT Strom Pipeline'!R56,"")</f>
        <v/>
      </c>
      <c r="K189" s="29">
        <f>IF(((('MiT Strom Pipeline'!R56="follow-up")+('MiT Strom Pipeline'!R56="Evaluation")+('MiT Strom Pipeline'!R56="tbd")+('MiT Strom Pipeline'!R56="In evaluation"))*('MiT Strom Pipeline'!B56&lt;&gt;""))&gt;0,IF(ISNUMBER('MiT Strom Pipeline'!S56),'MiT Strom Pipeline'!S56,""),"")</f>
        <v/>
      </c>
      <c r="L189" s="27">
        <f>IF(((('MiT Strom Pipeline'!R56="follow-up")+('MiT Strom Pipeline'!R56="Evaluation")+('MiT Strom Pipeline'!R56="tbd")+('MiT Strom Pipeline'!R56="In evaluation"))*('MiT Strom Pipeline'!B56&lt;&gt;""))&gt;0,IF(LEN('MiT Strom Pipeline'!V56)&gt;0,LEFT('MiT Strom Pipeline'!V56,55),""),"")</f>
        <v/>
      </c>
      <c r="M189" s="22" t="n"/>
      <c r="N189" s="22" t="n"/>
      <c r="O189" s="22" t="n"/>
      <c r="P189" s="22" t="n"/>
      <c r="Q189" s="22" t="n"/>
      <c r="R189" s="22" t="n"/>
      <c r="S189" s="22" t="n"/>
    </row>
    <row r="190" ht="15.75" customHeight="1">
      <c r="A190" s="26">
        <f>IF(((('MiT Strom Pipeline'!R57="follow-up")+('MiT Strom Pipeline'!R57="Evaluation")+('MiT Strom Pipeline'!R57="tbd")+('MiT Strom Pipeline'!R57="In evaluation"))*('MiT Strom Pipeline'!B57&lt;&gt;""))&gt;0,IF(ISNUMBER('MiT Strom Pipeline'!A57),'MiT Strom Pipeline'!A57,""),"")</f>
        <v/>
      </c>
      <c r="B190" s="27">
        <f>IF(((('MiT Strom Pipeline'!R57="follow-up")+('MiT Strom Pipeline'!R57="Evaluation")+('MiT Strom Pipeline'!R57="tbd")+('MiT Strom Pipeline'!R57="In evaluation"))*('MiT Strom Pipeline'!B57&lt;&gt;""))&gt;0,IF('MiT Strom Pipeline'!B57="","",'MiT Strom Pipeline'!B57),"")</f>
        <v/>
      </c>
      <c r="C190" s="27">
        <f>IF(((('MiT Strom Pipeline'!R57="follow-up")+('MiT Strom Pipeline'!R57="Evaluation")+('MiT Strom Pipeline'!R57="tbd")+('MiT Strom Pipeline'!R57="In evaluation"))*('MiT Strom Pipeline'!B57&lt;&gt;""))&gt;0,IF('MiT Strom Pipeline'!C57="","",'MiT Strom Pipeline'!C57),"")</f>
        <v/>
      </c>
      <c r="D190" s="27">
        <f>IF(((('MiT Strom Pipeline'!R57="follow-up")+('MiT Strom Pipeline'!R57="Evaluation")+('MiT Strom Pipeline'!R57="tbd")+('MiT Strom Pipeline'!R57="In evaluation"))*('MiT Strom Pipeline'!B57&lt;&gt;""))&gt;0,IF('MiT Strom Pipeline'!D57="","",'MiT Strom Pipeline'!D57),"")</f>
        <v/>
      </c>
      <c r="E190" s="191">
        <f>IF(((('MiT Strom Pipeline'!R57="follow-up")+('MiT Strom Pipeline'!R57="Evaluation")+('MiT Strom Pipeline'!R57="tbd")+('MiT Strom Pipeline'!R57="In evaluation"))*('MiT Strom Pipeline'!B57&lt;&gt;""))&gt;0,IF('MiT Strom Pipeline'!H57="","",'MiT Strom Pipeline'!H57),"")</f>
        <v/>
      </c>
      <c r="F190" s="27">
        <f>IF(((('MiT Strom Pipeline'!R57="follow-up")+('MiT Strom Pipeline'!R57="Evaluation")+('MiT Strom Pipeline'!R57="tbd")+('MiT Strom Pipeline'!R57="In evaluation"))*('MiT Strom Pipeline'!B57&lt;&gt;""))&gt;0,IF('MiT Strom Pipeline'!E57="","",'MiT Strom Pipeline'!E57),"")</f>
        <v/>
      </c>
      <c r="G190" s="28">
        <f>IF(((('MiT Strom Pipeline'!R57="follow-up")+('MiT Strom Pipeline'!R57="Evaluation")+('MiT Strom Pipeline'!R57="tbd")+('MiT Strom Pipeline'!R57="In evaluation"))*('MiT Strom Pipeline'!B57&lt;&gt;""))&gt;0,IF(ISNUMBER('MiT Strom Pipeline'!I57),'MiT Strom Pipeline'!I57,0),"")</f>
        <v/>
      </c>
      <c r="H190" s="28">
        <f>IF(((('MiT Strom Pipeline'!R57="follow-up")+('MiT Strom Pipeline'!R57="Evaluation")+('MiT Strom Pipeline'!R57="tbd")+('MiT Strom Pipeline'!R57="In evaluation"))*('MiT Strom Pipeline'!B57&lt;&gt;""))&gt;0,IF(ISNUMBER('MiT Strom Pipeline'!Q57),'MiT Strom Pipeline'!Q57,0),"")</f>
        <v/>
      </c>
      <c r="I190" s="28">
        <f>IF(((('MiT Strom Pipeline'!R57="follow-up")+('MiT Strom Pipeline'!R57="Evaluation")+('MiT Strom Pipeline'!R57="tbd")+('MiT Strom Pipeline'!R57="In evaluation"))*('MiT Strom Pipeline'!B57&lt;&gt;""))&gt;0,IF(ISNUMBER('MiT Strom Pipeline'!O57),'MiT Strom Pipeline'!O57,0),"")</f>
        <v/>
      </c>
      <c r="J190" s="27">
        <f>IF(((('MiT Strom Pipeline'!R57="follow-up")+('MiT Strom Pipeline'!R57="Evaluation")+('MiT Strom Pipeline'!R57="tbd")+('MiT Strom Pipeline'!R57="In evaluation"))*('MiT Strom Pipeline'!B57&lt;&gt;""))&gt;0,'MiT Strom Pipeline'!R57,"")</f>
        <v/>
      </c>
      <c r="K190" s="29">
        <f>IF(((('MiT Strom Pipeline'!R57="follow-up")+('MiT Strom Pipeline'!R57="Evaluation")+('MiT Strom Pipeline'!R57="tbd")+('MiT Strom Pipeline'!R57="In evaluation"))*('MiT Strom Pipeline'!B57&lt;&gt;""))&gt;0,IF(ISNUMBER('MiT Strom Pipeline'!S57),'MiT Strom Pipeline'!S57,""),"")</f>
        <v/>
      </c>
      <c r="L190" s="27">
        <f>IF(((('MiT Strom Pipeline'!R57="follow-up")+('MiT Strom Pipeline'!R57="Evaluation")+('MiT Strom Pipeline'!R57="tbd")+('MiT Strom Pipeline'!R57="In evaluation"))*('MiT Strom Pipeline'!B57&lt;&gt;""))&gt;0,IF(LEN('MiT Strom Pipeline'!V57)&gt;0,LEFT('MiT Strom Pipeline'!V57,55),""),"")</f>
        <v/>
      </c>
      <c r="M190" s="22" t="n"/>
      <c r="N190" s="22" t="n"/>
      <c r="O190" s="22" t="n"/>
      <c r="P190" s="22" t="n"/>
      <c r="Q190" s="22" t="n"/>
      <c r="R190" s="22" t="n"/>
      <c r="S190" s="22" t="n"/>
    </row>
    <row r="191" ht="15.75" customHeight="1">
      <c r="A191" s="26">
        <f>IF(((('MiT Strom Pipeline'!R58="follow-up")+('MiT Strom Pipeline'!R58="Evaluation")+('MiT Strom Pipeline'!R58="tbd")+('MiT Strom Pipeline'!R58="In evaluation"))*('MiT Strom Pipeline'!B58&lt;&gt;""))&gt;0,IF(ISNUMBER('MiT Strom Pipeline'!A58),'MiT Strom Pipeline'!A58,""),"")</f>
        <v/>
      </c>
      <c r="B191" s="27">
        <f>IF(((('MiT Strom Pipeline'!R58="follow-up")+('MiT Strom Pipeline'!R58="Evaluation")+('MiT Strom Pipeline'!R58="tbd")+('MiT Strom Pipeline'!R58="In evaluation"))*('MiT Strom Pipeline'!B58&lt;&gt;""))&gt;0,IF('MiT Strom Pipeline'!B58="","",'MiT Strom Pipeline'!B58),"")</f>
        <v/>
      </c>
      <c r="C191" s="27">
        <f>IF(((('MiT Strom Pipeline'!R58="follow-up")+('MiT Strom Pipeline'!R58="Evaluation")+('MiT Strom Pipeline'!R58="tbd")+('MiT Strom Pipeline'!R58="In evaluation"))*('MiT Strom Pipeline'!B58&lt;&gt;""))&gt;0,IF('MiT Strom Pipeline'!C58="","",'MiT Strom Pipeline'!C58),"")</f>
        <v/>
      </c>
      <c r="D191" s="27">
        <f>IF(((('MiT Strom Pipeline'!R58="follow-up")+('MiT Strom Pipeline'!R58="Evaluation")+('MiT Strom Pipeline'!R58="tbd")+('MiT Strom Pipeline'!R58="In evaluation"))*('MiT Strom Pipeline'!B58&lt;&gt;""))&gt;0,IF('MiT Strom Pipeline'!D58="","",'MiT Strom Pipeline'!D58),"")</f>
        <v/>
      </c>
      <c r="E191" s="191">
        <f>IF(((('MiT Strom Pipeline'!R58="follow-up")+('MiT Strom Pipeline'!R58="Evaluation")+('MiT Strom Pipeline'!R58="tbd")+('MiT Strom Pipeline'!R58="In evaluation"))*('MiT Strom Pipeline'!B58&lt;&gt;""))&gt;0,IF('MiT Strom Pipeline'!H58="","",'MiT Strom Pipeline'!H58),"")</f>
        <v/>
      </c>
      <c r="F191" s="27">
        <f>IF(((('MiT Strom Pipeline'!R58="follow-up")+('MiT Strom Pipeline'!R58="Evaluation")+('MiT Strom Pipeline'!R58="tbd")+('MiT Strom Pipeline'!R58="In evaluation"))*('MiT Strom Pipeline'!B58&lt;&gt;""))&gt;0,IF('MiT Strom Pipeline'!E58="","",'MiT Strom Pipeline'!E58),"")</f>
        <v/>
      </c>
      <c r="G191" s="28">
        <f>IF(((('MiT Strom Pipeline'!R58="follow-up")+('MiT Strom Pipeline'!R58="Evaluation")+('MiT Strom Pipeline'!R58="tbd")+('MiT Strom Pipeline'!R58="In evaluation"))*('MiT Strom Pipeline'!B58&lt;&gt;""))&gt;0,IF(ISNUMBER('MiT Strom Pipeline'!I58),'MiT Strom Pipeline'!I58,0),"")</f>
        <v/>
      </c>
      <c r="H191" s="28">
        <f>IF(((('MiT Strom Pipeline'!R58="follow-up")+('MiT Strom Pipeline'!R58="Evaluation")+('MiT Strom Pipeline'!R58="tbd")+('MiT Strom Pipeline'!R58="In evaluation"))*('MiT Strom Pipeline'!B58&lt;&gt;""))&gt;0,IF(ISNUMBER('MiT Strom Pipeline'!Q58),'MiT Strom Pipeline'!Q58,0),"")</f>
        <v/>
      </c>
      <c r="I191" s="28">
        <f>IF(((('MiT Strom Pipeline'!R58="follow-up")+('MiT Strom Pipeline'!R58="Evaluation")+('MiT Strom Pipeline'!R58="tbd")+('MiT Strom Pipeline'!R58="In evaluation"))*('MiT Strom Pipeline'!B58&lt;&gt;""))&gt;0,IF(ISNUMBER('MiT Strom Pipeline'!O58),'MiT Strom Pipeline'!O58,0),"")</f>
        <v/>
      </c>
      <c r="J191" s="27">
        <f>IF(((('MiT Strom Pipeline'!R58="follow-up")+('MiT Strom Pipeline'!R58="Evaluation")+('MiT Strom Pipeline'!R58="tbd")+('MiT Strom Pipeline'!R58="In evaluation"))*('MiT Strom Pipeline'!B58&lt;&gt;""))&gt;0,'MiT Strom Pipeline'!R58,"")</f>
        <v/>
      </c>
      <c r="K191" s="29">
        <f>IF(((('MiT Strom Pipeline'!R58="follow-up")+('MiT Strom Pipeline'!R58="Evaluation")+('MiT Strom Pipeline'!R58="tbd")+('MiT Strom Pipeline'!R58="In evaluation"))*('MiT Strom Pipeline'!B58&lt;&gt;""))&gt;0,IF(ISNUMBER('MiT Strom Pipeline'!S58),'MiT Strom Pipeline'!S58,""),"")</f>
        <v/>
      </c>
      <c r="L191" s="27">
        <f>IF(((('MiT Strom Pipeline'!R58="follow-up")+('MiT Strom Pipeline'!R58="Evaluation")+('MiT Strom Pipeline'!R58="tbd")+('MiT Strom Pipeline'!R58="In evaluation"))*('MiT Strom Pipeline'!B58&lt;&gt;""))&gt;0,IF(LEN('MiT Strom Pipeline'!V58)&gt;0,LEFT('MiT Strom Pipeline'!V58,55),""),"")</f>
        <v/>
      </c>
      <c r="M191" s="22" t="n"/>
      <c r="N191" s="22" t="n"/>
      <c r="O191" s="22" t="n"/>
      <c r="P191" s="22" t="n"/>
      <c r="Q191" s="22" t="n"/>
      <c r="R191" s="22" t="n"/>
      <c r="S191" s="22" t="n"/>
    </row>
    <row r="192" ht="15.75" customHeight="1">
      <c r="A192" s="26">
        <f>IF(((('MiT Strom Pipeline'!R59="follow-up")+('MiT Strom Pipeline'!R59="Evaluation")+('MiT Strom Pipeline'!R59="tbd")+('MiT Strom Pipeline'!R59="In evaluation"))*('MiT Strom Pipeline'!B59&lt;&gt;""))&gt;0,IF(ISNUMBER('MiT Strom Pipeline'!A59),'MiT Strom Pipeline'!A59,""),"")</f>
        <v/>
      </c>
      <c r="B192" s="27">
        <f>IF(((('MiT Strom Pipeline'!R59="follow-up")+('MiT Strom Pipeline'!R59="Evaluation")+('MiT Strom Pipeline'!R59="tbd")+('MiT Strom Pipeline'!R59="In evaluation"))*('MiT Strom Pipeline'!B59&lt;&gt;""))&gt;0,IF('MiT Strom Pipeline'!B59="","",'MiT Strom Pipeline'!B59),"")</f>
        <v/>
      </c>
      <c r="C192" s="27">
        <f>IF(((('MiT Strom Pipeline'!R59="follow-up")+('MiT Strom Pipeline'!R59="Evaluation")+('MiT Strom Pipeline'!R59="tbd")+('MiT Strom Pipeline'!R59="In evaluation"))*('MiT Strom Pipeline'!B59&lt;&gt;""))&gt;0,IF('MiT Strom Pipeline'!C59="","",'MiT Strom Pipeline'!C59),"")</f>
        <v/>
      </c>
      <c r="D192" s="27">
        <f>IF(((('MiT Strom Pipeline'!R59="follow-up")+('MiT Strom Pipeline'!R59="Evaluation")+('MiT Strom Pipeline'!R59="tbd")+('MiT Strom Pipeline'!R59="In evaluation"))*('MiT Strom Pipeline'!B59&lt;&gt;""))&gt;0,IF('MiT Strom Pipeline'!D59="","",'MiT Strom Pipeline'!D59),"")</f>
        <v/>
      </c>
      <c r="E192" s="27">
        <f>IF(((('MiT Strom Pipeline'!R59="follow-up")+('MiT Strom Pipeline'!R59="Evaluation")+('MiT Strom Pipeline'!R59="tbd")+('MiT Strom Pipeline'!R59="In evaluation"))*('MiT Strom Pipeline'!B59&lt;&gt;""))&gt;0,IF('MiT Strom Pipeline'!H59="","",'MiT Strom Pipeline'!H59),"")</f>
        <v/>
      </c>
      <c r="F192" s="27">
        <f>IF(((('MiT Strom Pipeline'!R59="follow-up")+('MiT Strom Pipeline'!R59="Evaluation")+('MiT Strom Pipeline'!R59="tbd")+('MiT Strom Pipeline'!R59="In evaluation"))*('MiT Strom Pipeline'!B59&lt;&gt;""))&gt;0,IF('MiT Strom Pipeline'!E59="","",'MiT Strom Pipeline'!E59),"")</f>
        <v/>
      </c>
      <c r="G192" s="28">
        <f>IF(((('MiT Strom Pipeline'!R59="follow-up")+('MiT Strom Pipeline'!R59="Evaluation")+('MiT Strom Pipeline'!R59="tbd")+('MiT Strom Pipeline'!R59="In evaluation"))*('MiT Strom Pipeline'!B59&lt;&gt;""))&gt;0,IF(ISNUMBER('MiT Strom Pipeline'!I59),'MiT Strom Pipeline'!I59,0),"")</f>
        <v/>
      </c>
      <c r="H192" s="28">
        <f>IF(((('MiT Strom Pipeline'!R59="follow-up")+('MiT Strom Pipeline'!R59="Evaluation")+('MiT Strom Pipeline'!R59="tbd")+('MiT Strom Pipeline'!R59="In evaluation"))*('MiT Strom Pipeline'!B59&lt;&gt;""))&gt;0,IF(ISNUMBER('MiT Strom Pipeline'!Q59),'MiT Strom Pipeline'!Q59,0),"")</f>
        <v/>
      </c>
      <c r="I192" s="28">
        <f>IF(((('MiT Strom Pipeline'!R59="follow-up")+('MiT Strom Pipeline'!R59="Evaluation")+('MiT Strom Pipeline'!R59="tbd")+('MiT Strom Pipeline'!R59="In evaluation"))*('MiT Strom Pipeline'!B59&lt;&gt;""))&gt;0,IF(ISNUMBER('MiT Strom Pipeline'!O59),'MiT Strom Pipeline'!O59,0),"")</f>
        <v/>
      </c>
      <c r="J192" s="27">
        <f>IF(((('MiT Strom Pipeline'!R59="follow-up")+('MiT Strom Pipeline'!R59="Evaluation")+('MiT Strom Pipeline'!R59="tbd")+('MiT Strom Pipeline'!R59="In evaluation"))*('MiT Strom Pipeline'!B59&lt;&gt;""))&gt;0,'MiT Strom Pipeline'!R59,"")</f>
        <v/>
      </c>
      <c r="K192" s="29">
        <f>IF(((('MiT Strom Pipeline'!R59="follow-up")+('MiT Strom Pipeline'!R59="Evaluation")+('MiT Strom Pipeline'!R59="tbd")+('MiT Strom Pipeline'!R59="In evaluation"))*('MiT Strom Pipeline'!B59&lt;&gt;""))&gt;0,IF(ISNUMBER('MiT Strom Pipeline'!S59),'MiT Strom Pipeline'!S59,""),"")</f>
        <v/>
      </c>
      <c r="L192" s="27">
        <f>IF(((('MiT Strom Pipeline'!R59="follow-up")+('MiT Strom Pipeline'!R59="Evaluation")+('MiT Strom Pipeline'!R59="tbd")+('MiT Strom Pipeline'!R59="In evaluation"))*('MiT Strom Pipeline'!B59&lt;&gt;""))&gt;0,IF(LEN('MiT Strom Pipeline'!V59)&gt;0,LEFT('MiT Strom Pipeline'!V59,55),""),"")</f>
        <v/>
      </c>
      <c r="M192" s="22" t="n"/>
      <c r="N192" s="22" t="n"/>
      <c r="O192" s="22" t="n"/>
      <c r="P192" s="22" t="n"/>
      <c r="Q192" s="22" t="n"/>
      <c r="R192" s="22" t="n"/>
      <c r="S192" s="22" t="n"/>
    </row>
    <row r="193" ht="15.75" customHeight="1">
      <c r="A193" s="26">
        <f>IF(((('MiT Strom Pipeline'!R60="follow-up")+('MiT Strom Pipeline'!R60="Evaluation")+('MiT Strom Pipeline'!R60="tbd")+('MiT Strom Pipeline'!R60="In evaluation"))*('MiT Strom Pipeline'!B60&lt;&gt;""))&gt;0,IF(ISNUMBER('MiT Strom Pipeline'!A60),'MiT Strom Pipeline'!A60,""),"")</f>
        <v/>
      </c>
      <c r="B193" s="27">
        <f>IF(((('MiT Strom Pipeline'!R60="follow-up")+('MiT Strom Pipeline'!R60="Evaluation")+('MiT Strom Pipeline'!R60="tbd")+('MiT Strom Pipeline'!R60="In evaluation"))*('MiT Strom Pipeline'!B60&lt;&gt;""))&gt;0,IF('MiT Strom Pipeline'!B60="","",'MiT Strom Pipeline'!B60),"")</f>
        <v/>
      </c>
      <c r="C193" s="27">
        <f>IF(((('MiT Strom Pipeline'!R60="follow-up")+('MiT Strom Pipeline'!R60="Evaluation")+('MiT Strom Pipeline'!R60="tbd")+('MiT Strom Pipeline'!R60="In evaluation"))*('MiT Strom Pipeline'!B60&lt;&gt;""))&gt;0,IF('MiT Strom Pipeline'!C60="","",'MiT Strom Pipeline'!C60),"")</f>
        <v/>
      </c>
      <c r="D193" s="27">
        <f>IF(((('MiT Strom Pipeline'!R60="follow-up")+('MiT Strom Pipeline'!R60="Evaluation")+('MiT Strom Pipeline'!R60="tbd")+('MiT Strom Pipeline'!R60="In evaluation"))*('MiT Strom Pipeline'!B60&lt;&gt;""))&gt;0,IF('MiT Strom Pipeline'!D60="","",'MiT Strom Pipeline'!D60),"")</f>
        <v/>
      </c>
      <c r="E193" s="27">
        <f>IF(((('MiT Strom Pipeline'!R60="follow-up")+('MiT Strom Pipeline'!R60="Evaluation")+('MiT Strom Pipeline'!R60="tbd")+('MiT Strom Pipeline'!R60="In evaluation"))*('MiT Strom Pipeline'!B60&lt;&gt;""))&gt;0,IF('MiT Strom Pipeline'!H60="","",'MiT Strom Pipeline'!H60),"")</f>
        <v/>
      </c>
      <c r="F193" s="27">
        <f>IF(((('MiT Strom Pipeline'!R60="follow-up")+('MiT Strom Pipeline'!R60="Evaluation")+('MiT Strom Pipeline'!R60="tbd")+('MiT Strom Pipeline'!R60="In evaluation"))*('MiT Strom Pipeline'!B60&lt;&gt;""))&gt;0,IF('MiT Strom Pipeline'!E60="","",'MiT Strom Pipeline'!E60),"")</f>
        <v/>
      </c>
      <c r="G193" s="28">
        <f>IF(((('MiT Strom Pipeline'!R60="follow-up")+('MiT Strom Pipeline'!R60="Evaluation")+('MiT Strom Pipeline'!R60="tbd")+('MiT Strom Pipeline'!R60="In evaluation"))*('MiT Strom Pipeline'!B60&lt;&gt;""))&gt;0,IF(ISNUMBER('MiT Strom Pipeline'!I60),'MiT Strom Pipeline'!I60,0),"")</f>
        <v/>
      </c>
      <c r="H193" s="28">
        <f>IF(((('MiT Strom Pipeline'!R60="follow-up")+('MiT Strom Pipeline'!R60="Evaluation")+('MiT Strom Pipeline'!R60="tbd")+('MiT Strom Pipeline'!R60="In evaluation"))*('MiT Strom Pipeline'!B60&lt;&gt;""))&gt;0,IF(ISNUMBER('MiT Strom Pipeline'!Q60),'MiT Strom Pipeline'!Q60,0),"")</f>
        <v/>
      </c>
      <c r="I193" s="28">
        <f>IF(((('MiT Strom Pipeline'!R60="follow-up")+('MiT Strom Pipeline'!R60="Evaluation")+('MiT Strom Pipeline'!R60="tbd")+('MiT Strom Pipeline'!R60="In evaluation"))*('MiT Strom Pipeline'!B60&lt;&gt;""))&gt;0,IF(ISNUMBER('MiT Strom Pipeline'!O60),'MiT Strom Pipeline'!O60,0),"")</f>
        <v/>
      </c>
      <c r="J193" s="27">
        <f>IF(((('MiT Strom Pipeline'!R60="follow-up")+('MiT Strom Pipeline'!R60="Evaluation")+('MiT Strom Pipeline'!R60="tbd")+('MiT Strom Pipeline'!R60="In evaluation"))*('MiT Strom Pipeline'!B60&lt;&gt;""))&gt;0,'MiT Strom Pipeline'!R60,"")</f>
        <v/>
      </c>
      <c r="K193" s="29">
        <f>IF(((('MiT Strom Pipeline'!R60="follow-up")+('MiT Strom Pipeline'!R60="Evaluation")+('MiT Strom Pipeline'!R60="tbd")+('MiT Strom Pipeline'!R60="In evaluation"))*('MiT Strom Pipeline'!B60&lt;&gt;""))&gt;0,IF(ISNUMBER('MiT Strom Pipeline'!S60),'MiT Strom Pipeline'!S60,""),"")</f>
        <v/>
      </c>
      <c r="L193" s="27">
        <f>IF(((('MiT Strom Pipeline'!R60="follow-up")+('MiT Strom Pipeline'!R60="Evaluation")+('MiT Strom Pipeline'!R60="tbd")+('MiT Strom Pipeline'!R60="In evaluation"))*('MiT Strom Pipeline'!B60&lt;&gt;""))&gt;0,IF(LEN('MiT Strom Pipeline'!V60)&gt;0,LEFT('MiT Strom Pipeline'!V60,55),""),"")</f>
        <v/>
      </c>
      <c r="M193" s="22" t="n"/>
      <c r="N193" s="22" t="n"/>
      <c r="O193" s="22" t="n"/>
      <c r="P193" s="22" t="n"/>
      <c r="Q193" s="22" t="n"/>
      <c r="R193" s="22" t="n"/>
      <c r="S193" s="22" t="n"/>
    </row>
    <row r="194" ht="15.75" customHeight="1">
      <c r="A194" s="26">
        <f>IF(((('MiT Strom Pipeline'!R61="follow-up")+('MiT Strom Pipeline'!R61="Evaluation")+('MiT Strom Pipeline'!R61="tbd")+('MiT Strom Pipeline'!R61="In evaluation"))*('MiT Strom Pipeline'!B61&lt;&gt;""))&gt;0,IF(ISNUMBER('MiT Strom Pipeline'!A61),'MiT Strom Pipeline'!A61,""),"")</f>
        <v/>
      </c>
      <c r="B194" s="27">
        <f>IF(((('MiT Strom Pipeline'!R61="follow-up")+('MiT Strom Pipeline'!R61="Evaluation")+('MiT Strom Pipeline'!R61="tbd")+('MiT Strom Pipeline'!R61="In evaluation"))*('MiT Strom Pipeline'!B61&lt;&gt;""))&gt;0,IF('MiT Strom Pipeline'!B61="","",'MiT Strom Pipeline'!B61),"")</f>
        <v/>
      </c>
      <c r="C194" s="27">
        <f>IF(((('MiT Strom Pipeline'!R61="follow-up")+('MiT Strom Pipeline'!R61="Evaluation")+('MiT Strom Pipeline'!R61="tbd")+('MiT Strom Pipeline'!R61="In evaluation"))*('MiT Strom Pipeline'!B61&lt;&gt;""))&gt;0,IF('MiT Strom Pipeline'!C61="","",'MiT Strom Pipeline'!C61),"")</f>
        <v/>
      </c>
      <c r="D194" s="27">
        <f>IF(((('MiT Strom Pipeline'!R61="follow-up")+('MiT Strom Pipeline'!R61="Evaluation")+('MiT Strom Pipeline'!R61="tbd")+('MiT Strom Pipeline'!R61="In evaluation"))*('MiT Strom Pipeline'!B61&lt;&gt;""))&gt;0,IF('MiT Strom Pipeline'!D61="","",'MiT Strom Pipeline'!D61),"")</f>
        <v/>
      </c>
      <c r="E194" s="27">
        <f>IF(((('MiT Strom Pipeline'!R61="follow-up")+('MiT Strom Pipeline'!R61="Evaluation")+('MiT Strom Pipeline'!R61="tbd")+('MiT Strom Pipeline'!R61="In evaluation"))*('MiT Strom Pipeline'!B61&lt;&gt;""))&gt;0,IF('MiT Strom Pipeline'!H61="","",'MiT Strom Pipeline'!H61),"")</f>
        <v/>
      </c>
      <c r="F194" s="27">
        <f>IF(((('MiT Strom Pipeline'!R61="follow-up")+('MiT Strom Pipeline'!R61="Evaluation")+('MiT Strom Pipeline'!R61="tbd")+('MiT Strom Pipeline'!R61="In evaluation"))*('MiT Strom Pipeline'!B61&lt;&gt;""))&gt;0,IF('MiT Strom Pipeline'!E61="","",'MiT Strom Pipeline'!E61),"")</f>
        <v/>
      </c>
      <c r="G194" s="28">
        <f>IF(((('MiT Strom Pipeline'!R61="follow-up")+('MiT Strom Pipeline'!R61="Evaluation")+('MiT Strom Pipeline'!R61="tbd")+('MiT Strom Pipeline'!R61="In evaluation"))*('MiT Strom Pipeline'!B61&lt;&gt;""))&gt;0,IF(ISNUMBER('MiT Strom Pipeline'!I61),'MiT Strom Pipeline'!I61,0),"")</f>
        <v/>
      </c>
      <c r="H194" s="28">
        <f>IF(((('MiT Strom Pipeline'!R61="follow-up")+('MiT Strom Pipeline'!R61="Evaluation")+('MiT Strom Pipeline'!R61="tbd")+('MiT Strom Pipeline'!R61="In evaluation"))*('MiT Strom Pipeline'!B61&lt;&gt;""))&gt;0,IF(ISNUMBER('MiT Strom Pipeline'!Q61),'MiT Strom Pipeline'!Q61,0),"")</f>
        <v/>
      </c>
      <c r="I194" s="28">
        <f>IF(((('MiT Strom Pipeline'!R61="follow-up")+('MiT Strom Pipeline'!R61="Evaluation")+('MiT Strom Pipeline'!R61="tbd")+('MiT Strom Pipeline'!R61="In evaluation"))*('MiT Strom Pipeline'!B61&lt;&gt;""))&gt;0,IF(ISNUMBER('MiT Strom Pipeline'!O61),'MiT Strom Pipeline'!O61,0),"")</f>
        <v/>
      </c>
      <c r="J194" s="27">
        <f>IF(((('MiT Strom Pipeline'!R61="follow-up")+('MiT Strom Pipeline'!R61="Evaluation")+('MiT Strom Pipeline'!R61="tbd")+('MiT Strom Pipeline'!R61="In evaluation"))*('MiT Strom Pipeline'!B61&lt;&gt;""))&gt;0,'MiT Strom Pipeline'!R61,"")</f>
        <v/>
      </c>
      <c r="K194" s="29">
        <f>IF(((('MiT Strom Pipeline'!R61="follow-up")+('MiT Strom Pipeline'!R61="Evaluation")+('MiT Strom Pipeline'!R61="tbd")+('MiT Strom Pipeline'!R61="In evaluation"))*('MiT Strom Pipeline'!B61&lt;&gt;""))&gt;0,IF(ISNUMBER('MiT Strom Pipeline'!S61),'MiT Strom Pipeline'!S61,""),"")</f>
        <v/>
      </c>
      <c r="L194" s="27">
        <f>IF(((('MiT Strom Pipeline'!R61="follow-up")+('MiT Strom Pipeline'!R61="Evaluation")+('MiT Strom Pipeline'!R61="tbd")+('MiT Strom Pipeline'!R61="In evaluation"))*('MiT Strom Pipeline'!B61&lt;&gt;""))&gt;0,IF(LEN('MiT Strom Pipeline'!V61)&gt;0,LEFT('MiT Strom Pipeline'!V61,55),""),"")</f>
        <v/>
      </c>
      <c r="M194" s="22" t="n"/>
      <c r="N194" s="22" t="n"/>
      <c r="O194" s="22" t="n"/>
      <c r="P194" s="22" t="n"/>
      <c r="Q194" s="22" t="n"/>
      <c r="R194" s="22" t="n"/>
      <c r="S194" s="22" t="n"/>
    </row>
    <row r="195" ht="15.75" customHeight="1">
      <c r="A195" s="26">
        <f>IF(((('MiT Strom Pipeline'!R62="follow-up")+('MiT Strom Pipeline'!R62="Evaluation")+('MiT Strom Pipeline'!R62="tbd")+('MiT Strom Pipeline'!R62="In evaluation"))*('MiT Strom Pipeline'!B62&lt;&gt;""))&gt;0,IF(ISNUMBER('MiT Strom Pipeline'!A62),'MiT Strom Pipeline'!A62,""),"")</f>
        <v/>
      </c>
      <c r="B195" s="27">
        <f>IF(((('MiT Strom Pipeline'!R62="follow-up")+('MiT Strom Pipeline'!R62="Evaluation")+('MiT Strom Pipeline'!R62="tbd")+('MiT Strom Pipeline'!R62="In evaluation"))*('MiT Strom Pipeline'!B62&lt;&gt;""))&gt;0,IF('MiT Strom Pipeline'!B62="","",'MiT Strom Pipeline'!B62),"")</f>
        <v/>
      </c>
      <c r="C195" s="27">
        <f>IF(((('MiT Strom Pipeline'!R62="follow-up")+('MiT Strom Pipeline'!R62="Evaluation")+('MiT Strom Pipeline'!R62="tbd")+('MiT Strom Pipeline'!R62="In evaluation"))*('MiT Strom Pipeline'!B62&lt;&gt;""))&gt;0,IF('MiT Strom Pipeline'!C62="","",'MiT Strom Pipeline'!C62),"")</f>
        <v/>
      </c>
      <c r="D195" s="27">
        <f>IF(((('MiT Strom Pipeline'!R62="follow-up")+('MiT Strom Pipeline'!R62="Evaluation")+('MiT Strom Pipeline'!R62="tbd")+('MiT Strom Pipeline'!R62="In evaluation"))*('MiT Strom Pipeline'!B62&lt;&gt;""))&gt;0,IF('MiT Strom Pipeline'!D62="","",'MiT Strom Pipeline'!D62),"")</f>
        <v/>
      </c>
      <c r="E195" s="27">
        <f>IF(((('MiT Strom Pipeline'!R62="follow-up")+('MiT Strom Pipeline'!R62="Evaluation")+('MiT Strom Pipeline'!R62="tbd")+('MiT Strom Pipeline'!R62="In evaluation"))*('MiT Strom Pipeline'!B62&lt;&gt;""))&gt;0,IF('MiT Strom Pipeline'!H62="","",'MiT Strom Pipeline'!H62),"")</f>
        <v/>
      </c>
      <c r="F195" s="27">
        <f>IF(((('MiT Strom Pipeline'!R62="follow-up")+('MiT Strom Pipeline'!R62="Evaluation")+('MiT Strom Pipeline'!R62="tbd")+('MiT Strom Pipeline'!R62="In evaluation"))*('MiT Strom Pipeline'!B62&lt;&gt;""))&gt;0,IF('MiT Strom Pipeline'!E62="","",'MiT Strom Pipeline'!E62),"")</f>
        <v/>
      </c>
      <c r="G195" s="28">
        <f>IF(((('MiT Strom Pipeline'!R62="follow-up")+('MiT Strom Pipeline'!R62="Evaluation")+('MiT Strom Pipeline'!R62="tbd")+('MiT Strom Pipeline'!R62="In evaluation"))*('MiT Strom Pipeline'!B62&lt;&gt;""))&gt;0,IF(ISNUMBER('MiT Strom Pipeline'!I62),'MiT Strom Pipeline'!I62,0),"")</f>
        <v/>
      </c>
      <c r="H195" s="28">
        <f>IF(((('MiT Strom Pipeline'!R62="follow-up")+('MiT Strom Pipeline'!R62="Evaluation")+('MiT Strom Pipeline'!R62="tbd")+('MiT Strom Pipeline'!R62="In evaluation"))*('MiT Strom Pipeline'!B62&lt;&gt;""))&gt;0,IF(ISNUMBER('MiT Strom Pipeline'!Q62),'MiT Strom Pipeline'!Q62,0),"")</f>
        <v/>
      </c>
      <c r="I195" s="28">
        <f>IF(((('MiT Strom Pipeline'!R62="follow-up")+('MiT Strom Pipeline'!R62="Evaluation")+('MiT Strom Pipeline'!R62="tbd")+('MiT Strom Pipeline'!R62="In evaluation"))*('MiT Strom Pipeline'!B62&lt;&gt;""))&gt;0,IF(ISNUMBER('MiT Strom Pipeline'!O62),'MiT Strom Pipeline'!O62,0),"")</f>
        <v/>
      </c>
      <c r="J195" s="27">
        <f>IF(((('MiT Strom Pipeline'!R62="follow-up")+('MiT Strom Pipeline'!R62="Evaluation")+('MiT Strom Pipeline'!R62="tbd")+('MiT Strom Pipeline'!R62="In evaluation"))*('MiT Strom Pipeline'!B62&lt;&gt;""))&gt;0,'MiT Strom Pipeline'!R62,"")</f>
        <v/>
      </c>
      <c r="K195" s="29">
        <f>IF(((('MiT Strom Pipeline'!R62="follow-up")+('MiT Strom Pipeline'!R62="Evaluation")+('MiT Strom Pipeline'!R62="tbd")+('MiT Strom Pipeline'!R62="In evaluation"))*('MiT Strom Pipeline'!B62&lt;&gt;""))&gt;0,IF(ISNUMBER('MiT Strom Pipeline'!S62),'MiT Strom Pipeline'!S62,""),"")</f>
        <v/>
      </c>
      <c r="L195" s="27">
        <f>IF(((('MiT Strom Pipeline'!R62="follow-up")+('MiT Strom Pipeline'!R62="Evaluation")+('MiT Strom Pipeline'!R62="tbd")+('MiT Strom Pipeline'!R62="In evaluation"))*('MiT Strom Pipeline'!B62&lt;&gt;""))&gt;0,IF(LEN('MiT Strom Pipeline'!V62)&gt;0,LEFT('MiT Strom Pipeline'!V62,55),""),"")</f>
        <v/>
      </c>
      <c r="M195" s="22" t="n"/>
      <c r="N195" s="22" t="n"/>
      <c r="O195" s="22" t="n"/>
      <c r="P195" s="22" t="n"/>
      <c r="Q195" s="22" t="n"/>
      <c r="R195" s="22" t="n"/>
      <c r="S195" s="22" t="n"/>
    </row>
    <row r="196" ht="15.75" customHeight="1">
      <c r="A196" s="26">
        <f>IF(((('MiT Strom Pipeline'!R63="follow-up")+('MiT Strom Pipeline'!R63="Evaluation")+('MiT Strom Pipeline'!R63="tbd")+('MiT Strom Pipeline'!R63="In evaluation"))*('MiT Strom Pipeline'!B63&lt;&gt;""))&gt;0,IF(ISNUMBER('MiT Strom Pipeline'!A63),'MiT Strom Pipeline'!A63,""),"")</f>
        <v/>
      </c>
      <c r="B196" s="27">
        <f>IF(((('MiT Strom Pipeline'!R63="follow-up")+('MiT Strom Pipeline'!R63="Evaluation")+('MiT Strom Pipeline'!R63="tbd")+('MiT Strom Pipeline'!R63="In evaluation"))*('MiT Strom Pipeline'!B63&lt;&gt;""))&gt;0,IF('MiT Strom Pipeline'!B63="","",'MiT Strom Pipeline'!B63),"")</f>
        <v/>
      </c>
      <c r="C196" s="27">
        <f>IF(((('MiT Strom Pipeline'!R63="follow-up")+('MiT Strom Pipeline'!R63="Evaluation")+('MiT Strom Pipeline'!R63="tbd")+('MiT Strom Pipeline'!R63="In evaluation"))*('MiT Strom Pipeline'!B63&lt;&gt;""))&gt;0,IF('MiT Strom Pipeline'!C63="","",'MiT Strom Pipeline'!C63),"")</f>
        <v/>
      </c>
      <c r="D196" s="27">
        <f>IF(((('MiT Strom Pipeline'!R63="follow-up")+('MiT Strom Pipeline'!R63="Evaluation")+('MiT Strom Pipeline'!R63="tbd")+('MiT Strom Pipeline'!R63="In evaluation"))*('MiT Strom Pipeline'!B63&lt;&gt;""))&gt;0,IF('MiT Strom Pipeline'!D63="","",'MiT Strom Pipeline'!D63),"")</f>
        <v/>
      </c>
      <c r="E196" s="27">
        <f>IF(((('MiT Strom Pipeline'!R63="follow-up")+('MiT Strom Pipeline'!R63="Evaluation")+('MiT Strom Pipeline'!R63="tbd")+('MiT Strom Pipeline'!R63="In evaluation"))*('MiT Strom Pipeline'!B63&lt;&gt;""))&gt;0,IF('MiT Strom Pipeline'!H63="","",'MiT Strom Pipeline'!H63),"")</f>
        <v/>
      </c>
      <c r="F196" s="27">
        <f>IF(((('MiT Strom Pipeline'!R63="follow-up")+('MiT Strom Pipeline'!R63="Evaluation")+('MiT Strom Pipeline'!R63="tbd")+('MiT Strom Pipeline'!R63="In evaluation"))*('MiT Strom Pipeline'!B63&lt;&gt;""))&gt;0,IF('MiT Strom Pipeline'!E63="","",'MiT Strom Pipeline'!E63),"")</f>
        <v/>
      </c>
      <c r="G196" s="28">
        <f>IF(((('MiT Strom Pipeline'!R63="follow-up")+('MiT Strom Pipeline'!R63="Evaluation")+('MiT Strom Pipeline'!R63="tbd")+('MiT Strom Pipeline'!R63="In evaluation"))*('MiT Strom Pipeline'!B63&lt;&gt;""))&gt;0,IF(ISNUMBER('MiT Strom Pipeline'!I63),'MiT Strom Pipeline'!I63,0),"")</f>
        <v/>
      </c>
      <c r="H196" s="28">
        <f>IF(((('MiT Strom Pipeline'!R63="follow-up")+('MiT Strom Pipeline'!R63="Evaluation")+('MiT Strom Pipeline'!R63="tbd")+('MiT Strom Pipeline'!R63="In evaluation"))*('MiT Strom Pipeline'!B63&lt;&gt;""))&gt;0,IF(ISNUMBER('MiT Strom Pipeline'!Q63),'MiT Strom Pipeline'!Q63,0),"")</f>
        <v/>
      </c>
      <c r="I196" s="28">
        <f>IF(((('MiT Strom Pipeline'!R63="follow-up")+('MiT Strom Pipeline'!R63="Evaluation")+('MiT Strom Pipeline'!R63="tbd")+('MiT Strom Pipeline'!R63="In evaluation"))*('MiT Strom Pipeline'!B63&lt;&gt;""))&gt;0,IF(ISNUMBER('MiT Strom Pipeline'!O63),'MiT Strom Pipeline'!O63,0),"")</f>
        <v/>
      </c>
      <c r="J196" s="27">
        <f>IF(((('MiT Strom Pipeline'!R63="follow-up")+('MiT Strom Pipeline'!R63="Evaluation")+('MiT Strom Pipeline'!R63="tbd")+('MiT Strom Pipeline'!R63="In evaluation"))*('MiT Strom Pipeline'!B63&lt;&gt;""))&gt;0,'MiT Strom Pipeline'!R63,"")</f>
        <v/>
      </c>
      <c r="K196" s="29">
        <f>IF(((('MiT Strom Pipeline'!R63="follow-up")+('MiT Strom Pipeline'!R63="Evaluation")+('MiT Strom Pipeline'!R63="tbd")+('MiT Strom Pipeline'!R63="In evaluation"))*('MiT Strom Pipeline'!B63&lt;&gt;""))&gt;0,IF(ISNUMBER('MiT Strom Pipeline'!S63),'MiT Strom Pipeline'!S63,""),"")</f>
        <v/>
      </c>
      <c r="L196" s="27">
        <f>IF(((('MiT Strom Pipeline'!R63="follow-up")+('MiT Strom Pipeline'!R63="Evaluation")+('MiT Strom Pipeline'!R63="tbd")+('MiT Strom Pipeline'!R63="In evaluation"))*('MiT Strom Pipeline'!B63&lt;&gt;""))&gt;0,IF(LEN('MiT Strom Pipeline'!V63)&gt;0,LEFT('MiT Strom Pipeline'!V63,55),""),"")</f>
        <v/>
      </c>
      <c r="M196" s="22" t="n"/>
      <c r="N196" s="22" t="n"/>
      <c r="O196" s="22" t="n"/>
      <c r="P196" s="22" t="n"/>
      <c r="Q196" s="22" t="n"/>
      <c r="R196" s="22" t="n"/>
      <c r="S196" s="22" t="n"/>
    </row>
    <row r="197" ht="15.75" customHeight="1">
      <c r="A197" s="26">
        <f>IF(((('MiT Strom Pipeline'!R64="follow-up")+('MiT Strom Pipeline'!R64="Evaluation")+('MiT Strom Pipeline'!R64="tbd")+('MiT Strom Pipeline'!R64="In evaluation"))*('MiT Strom Pipeline'!B64&lt;&gt;""))&gt;0,IF(ISNUMBER('MiT Strom Pipeline'!A64),'MiT Strom Pipeline'!A64,""),"")</f>
        <v/>
      </c>
      <c r="B197" s="27">
        <f>IF(((('MiT Strom Pipeline'!R64="follow-up")+('MiT Strom Pipeline'!R64="Evaluation")+('MiT Strom Pipeline'!R64="tbd")+('MiT Strom Pipeline'!R64="In evaluation"))*('MiT Strom Pipeline'!B64&lt;&gt;""))&gt;0,IF('MiT Strom Pipeline'!B64="","",'MiT Strom Pipeline'!B64),"")</f>
        <v/>
      </c>
      <c r="C197" s="27">
        <f>IF(((('MiT Strom Pipeline'!R64="follow-up")+('MiT Strom Pipeline'!R64="Evaluation")+('MiT Strom Pipeline'!R64="tbd")+('MiT Strom Pipeline'!R64="In evaluation"))*('MiT Strom Pipeline'!B64&lt;&gt;""))&gt;0,IF('MiT Strom Pipeline'!C64="","",'MiT Strom Pipeline'!C64),"")</f>
        <v/>
      </c>
      <c r="D197" s="27">
        <f>IF(((('MiT Strom Pipeline'!R64="follow-up")+('MiT Strom Pipeline'!R64="Evaluation")+('MiT Strom Pipeline'!R64="tbd")+('MiT Strom Pipeline'!R64="In evaluation"))*('MiT Strom Pipeline'!B64&lt;&gt;""))&gt;0,IF('MiT Strom Pipeline'!D64="","",'MiT Strom Pipeline'!D64),"")</f>
        <v/>
      </c>
      <c r="E197" s="27">
        <f>IF(((('MiT Strom Pipeline'!R64="follow-up")+('MiT Strom Pipeline'!R64="Evaluation")+('MiT Strom Pipeline'!R64="tbd")+('MiT Strom Pipeline'!R64="In evaluation"))*('MiT Strom Pipeline'!B64&lt;&gt;""))&gt;0,IF('MiT Strom Pipeline'!H64="","",'MiT Strom Pipeline'!H64),"")</f>
        <v/>
      </c>
      <c r="F197" s="27">
        <f>IF(((('MiT Strom Pipeline'!R64="follow-up")+('MiT Strom Pipeline'!R64="Evaluation")+('MiT Strom Pipeline'!R64="tbd")+('MiT Strom Pipeline'!R64="In evaluation"))*('MiT Strom Pipeline'!B64&lt;&gt;""))&gt;0,IF('MiT Strom Pipeline'!E64="","",'MiT Strom Pipeline'!E64),"")</f>
        <v/>
      </c>
      <c r="G197" s="28">
        <f>IF(((('MiT Strom Pipeline'!R64="follow-up")+('MiT Strom Pipeline'!R64="Evaluation")+('MiT Strom Pipeline'!R64="tbd")+('MiT Strom Pipeline'!R64="In evaluation"))*('MiT Strom Pipeline'!B64&lt;&gt;""))&gt;0,IF(ISNUMBER('MiT Strom Pipeline'!I64),'MiT Strom Pipeline'!I64,0),"")</f>
        <v/>
      </c>
      <c r="H197" s="28">
        <f>IF(((('MiT Strom Pipeline'!R64="follow-up")+('MiT Strom Pipeline'!R64="Evaluation")+('MiT Strom Pipeline'!R64="tbd")+('MiT Strom Pipeline'!R64="In evaluation"))*('MiT Strom Pipeline'!B64&lt;&gt;""))&gt;0,IF(ISNUMBER('MiT Strom Pipeline'!Q64),'MiT Strom Pipeline'!Q64,0),"")</f>
        <v/>
      </c>
      <c r="I197" s="28">
        <f>IF(((('MiT Strom Pipeline'!R64="follow-up")+('MiT Strom Pipeline'!R64="Evaluation")+('MiT Strom Pipeline'!R64="tbd")+('MiT Strom Pipeline'!R64="In evaluation"))*('MiT Strom Pipeline'!B64&lt;&gt;""))&gt;0,IF(ISNUMBER('MiT Strom Pipeline'!O64),'MiT Strom Pipeline'!O64,0),"")</f>
        <v/>
      </c>
      <c r="J197" s="27">
        <f>IF(((('MiT Strom Pipeline'!R64="follow-up")+('MiT Strom Pipeline'!R64="Evaluation")+('MiT Strom Pipeline'!R64="tbd")+('MiT Strom Pipeline'!R64="In evaluation"))*('MiT Strom Pipeline'!B64&lt;&gt;""))&gt;0,'MiT Strom Pipeline'!R64,"")</f>
        <v/>
      </c>
      <c r="K197" s="29">
        <f>IF(((('MiT Strom Pipeline'!R64="follow-up")+('MiT Strom Pipeline'!R64="Evaluation")+('MiT Strom Pipeline'!R64="tbd")+('MiT Strom Pipeline'!R64="In evaluation"))*('MiT Strom Pipeline'!B64&lt;&gt;""))&gt;0,IF(ISNUMBER('MiT Strom Pipeline'!S64),'MiT Strom Pipeline'!S64,""),"")</f>
        <v/>
      </c>
      <c r="L197" s="27">
        <f>IF(((('MiT Strom Pipeline'!R64="follow-up")+('MiT Strom Pipeline'!R64="Evaluation")+('MiT Strom Pipeline'!R64="tbd")+('MiT Strom Pipeline'!R64="In evaluation"))*('MiT Strom Pipeline'!B64&lt;&gt;""))&gt;0,IF(LEN('MiT Strom Pipeline'!V64)&gt;0,LEFT('MiT Strom Pipeline'!V64,55),""),"")</f>
        <v/>
      </c>
      <c r="M197" s="22" t="n"/>
      <c r="N197" s="22" t="n"/>
      <c r="O197" s="22" t="n"/>
      <c r="P197" s="22" t="n"/>
      <c r="Q197" s="22" t="n"/>
      <c r="R197" s="22" t="n"/>
      <c r="S197" s="22" t="n"/>
    </row>
    <row r="198" ht="15.75" customHeight="1">
      <c r="A198" s="26">
        <f>IF(((('MiT Strom Pipeline'!R65="follow-up")+('MiT Strom Pipeline'!R65="Evaluation")+('MiT Strom Pipeline'!R65="tbd")+('MiT Strom Pipeline'!R65="In evaluation"))*('MiT Strom Pipeline'!B65&lt;&gt;""))&gt;0,IF(ISNUMBER('MiT Strom Pipeline'!A65),'MiT Strom Pipeline'!A65,""),"")</f>
        <v/>
      </c>
      <c r="B198" s="27">
        <f>IF(((('MiT Strom Pipeline'!R65="follow-up")+('MiT Strom Pipeline'!R65="Evaluation")+('MiT Strom Pipeline'!R65="tbd")+('MiT Strom Pipeline'!R65="In evaluation"))*('MiT Strom Pipeline'!B65&lt;&gt;""))&gt;0,IF('MiT Strom Pipeline'!B65="","",'MiT Strom Pipeline'!B65),"")</f>
        <v/>
      </c>
      <c r="C198" s="27">
        <f>IF(((('MiT Strom Pipeline'!R65="follow-up")+('MiT Strom Pipeline'!R65="Evaluation")+('MiT Strom Pipeline'!R65="tbd")+('MiT Strom Pipeline'!R65="In evaluation"))*('MiT Strom Pipeline'!B65&lt;&gt;""))&gt;0,IF('MiT Strom Pipeline'!C65="","",'MiT Strom Pipeline'!C65),"")</f>
        <v/>
      </c>
      <c r="D198" s="27">
        <f>IF(((('MiT Strom Pipeline'!R65="follow-up")+('MiT Strom Pipeline'!R65="Evaluation")+('MiT Strom Pipeline'!R65="tbd")+('MiT Strom Pipeline'!R65="In evaluation"))*('MiT Strom Pipeline'!B65&lt;&gt;""))&gt;0,IF('MiT Strom Pipeline'!D65="","",'MiT Strom Pipeline'!D65),"")</f>
        <v/>
      </c>
      <c r="E198" s="27">
        <f>IF(((('MiT Strom Pipeline'!R65="follow-up")+('MiT Strom Pipeline'!R65="Evaluation")+('MiT Strom Pipeline'!R65="tbd")+('MiT Strom Pipeline'!R65="In evaluation"))*('MiT Strom Pipeline'!B65&lt;&gt;""))&gt;0,IF('MiT Strom Pipeline'!H65="","",'MiT Strom Pipeline'!H65),"")</f>
        <v/>
      </c>
      <c r="F198" s="27">
        <f>IF(((('MiT Strom Pipeline'!R65="follow-up")+('MiT Strom Pipeline'!R65="Evaluation")+('MiT Strom Pipeline'!R65="tbd")+('MiT Strom Pipeline'!R65="In evaluation"))*('MiT Strom Pipeline'!B65&lt;&gt;""))&gt;0,IF('MiT Strom Pipeline'!E65="","",'MiT Strom Pipeline'!E65),"")</f>
        <v/>
      </c>
      <c r="G198" s="28">
        <f>IF(((('MiT Strom Pipeline'!R65="follow-up")+('MiT Strom Pipeline'!R65="Evaluation")+('MiT Strom Pipeline'!R65="tbd")+('MiT Strom Pipeline'!R65="In evaluation"))*('MiT Strom Pipeline'!B65&lt;&gt;""))&gt;0,IF(ISNUMBER('MiT Strom Pipeline'!I65),'MiT Strom Pipeline'!I65,0),"")</f>
        <v/>
      </c>
      <c r="H198" s="28">
        <f>IF(((('MiT Strom Pipeline'!R65="follow-up")+('MiT Strom Pipeline'!R65="Evaluation")+('MiT Strom Pipeline'!R65="tbd")+('MiT Strom Pipeline'!R65="In evaluation"))*('MiT Strom Pipeline'!B65&lt;&gt;""))&gt;0,IF(ISNUMBER('MiT Strom Pipeline'!Q65),'MiT Strom Pipeline'!Q65,0),"")</f>
        <v/>
      </c>
      <c r="I198" s="28">
        <f>IF(((('MiT Strom Pipeline'!R65="follow-up")+('MiT Strom Pipeline'!R65="Evaluation")+('MiT Strom Pipeline'!R65="tbd")+('MiT Strom Pipeline'!R65="In evaluation"))*('MiT Strom Pipeline'!B65&lt;&gt;""))&gt;0,IF(ISNUMBER('MiT Strom Pipeline'!O65),'MiT Strom Pipeline'!O65,0),"")</f>
        <v/>
      </c>
      <c r="J198" s="27">
        <f>IF(((('MiT Strom Pipeline'!R65="follow-up")+('MiT Strom Pipeline'!R65="Evaluation")+('MiT Strom Pipeline'!R65="tbd")+('MiT Strom Pipeline'!R65="In evaluation"))*('MiT Strom Pipeline'!B65&lt;&gt;""))&gt;0,'MiT Strom Pipeline'!R65,"")</f>
        <v/>
      </c>
      <c r="K198" s="29">
        <f>IF(((('MiT Strom Pipeline'!R65="follow-up")+('MiT Strom Pipeline'!R65="Evaluation")+('MiT Strom Pipeline'!R65="tbd")+('MiT Strom Pipeline'!R65="In evaluation"))*('MiT Strom Pipeline'!B65&lt;&gt;""))&gt;0,IF(ISNUMBER('MiT Strom Pipeline'!S65),'MiT Strom Pipeline'!S65,""),"")</f>
        <v/>
      </c>
      <c r="L198" s="27">
        <f>IF(((('MiT Strom Pipeline'!R65="follow-up")+('MiT Strom Pipeline'!R65="Evaluation")+('MiT Strom Pipeline'!R65="tbd")+('MiT Strom Pipeline'!R65="In evaluation"))*('MiT Strom Pipeline'!B65&lt;&gt;""))&gt;0,IF(LEN('MiT Strom Pipeline'!V65)&gt;0,LEFT('MiT Strom Pipeline'!V65,55),""),"")</f>
        <v/>
      </c>
      <c r="M198" s="22" t="n"/>
      <c r="N198" s="22" t="n"/>
      <c r="O198" s="22" t="n"/>
      <c r="P198" s="22" t="n"/>
      <c r="Q198" s="22" t="n"/>
      <c r="R198" s="22" t="n"/>
      <c r="S198" s="22" t="n"/>
    </row>
    <row r="199" ht="21.75" customHeight="1">
      <c r="A199" s="26">
        <f>IF(((('MiT Strom Pipeline'!R66="follow-up")+('MiT Strom Pipeline'!R66="Evaluation")+('MiT Strom Pipeline'!R66="tbd")+('MiT Strom Pipeline'!R66="In evaluation"))*('MiT Strom Pipeline'!B66&lt;&gt;""))&gt;0,IF(ISNUMBER('MiT Strom Pipeline'!A66),'MiT Strom Pipeline'!A66,""),"")</f>
        <v/>
      </c>
      <c r="B199" s="27">
        <f>IF(((('MiT Strom Pipeline'!R66="follow-up")+('MiT Strom Pipeline'!R66="Evaluation")+('MiT Strom Pipeline'!R66="tbd")+('MiT Strom Pipeline'!R66="In evaluation"))*('MiT Strom Pipeline'!B66&lt;&gt;""))&gt;0,IF('MiT Strom Pipeline'!B66="","",'MiT Strom Pipeline'!B66),"")</f>
        <v/>
      </c>
      <c r="C199" s="27">
        <f>IF(((('MiT Strom Pipeline'!R66="follow-up")+('MiT Strom Pipeline'!R66="Evaluation")+('MiT Strom Pipeline'!R66="tbd")+('MiT Strom Pipeline'!R66="In evaluation"))*('MiT Strom Pipeline'!B66&lt;&gt;""))&gt;0,IF('MiT Strom Pipeline'!C66="","",'MiT Strom Pipeline'!C66),"")</f>
        <v/>
      </c>
      <c r="D199" s="27">
        <f>IF(((('MiT Strom Pipeline'!R66="follow-up")+('MiT Strom Pipeline'!R66="Evaluation")+('MiT Strom Pipeline'!R66="tbd")+('MiT Strom Pipeline'!R66="In evaluation"))*('MiT Strom Pipeline'!B66&lt;&gt;""))&gt;0,IF('MiT Strom Pipeline'!D66="","",'MiT Strom Pipeline'!D66),"")</f>
        <v/>
      </c>
      <c r="E199" s="27">
        <f>IF(((('MiT Strom Pipeline'!R66="follow-up")+('MiT Strom Pipeline'!R66="Evaluation")+('MiT Strom Pipeline'!R66="tbd")+('MiT Strom Pipeline'!R66="In evaluation"))*('MiT Strom Pipeline'!B66&lt;&gt;""))&gt;0,IF('MiT Strom Pipeline'!H66="","",'MiT Strom Pipeline'!H66),"")</f>
        <v/>
      </c>
      <c r="F199" s="27">
        <f>IF(((('MiT Strom Pipeline'!R66="follow-up")+('MiT Strom Pipeline'!R66="Evaluation")+('MiT Strom Pipeline'!R66="tbd")+('MiT Strom Pipeline'!R66="In evaluation"))*('MiT Strom Pipeline'!B66&lt;&gt;""))&gt;0,IF('MiT Strom Pipeline'!E66="","",'MiT Strom Pipeline'!E66),"")</f>
        <v/>
      </c>
      <c r="G199" s="28">
        <f>IF(((('MiT Strom Pipeline'!R66="follow-up")+('MiT Strom Pipeline'!R66="Evaluation")+('MiT Strom Pipeline'!R66="tbd")+('MiT Strom Pipeline'!R66="In evaluation"))*('MiT Strom Pipeline'!B66&lt;&gt;""))&gt;0,IF(ISNUMBER('MiT Strom Pipeline'!I66),'MiT Strom Pipeline'!I66,0),"")</f>
        <v/>
      </c>
      <c r="H199" s="28">
        <f>IF(((('MiT Strom Pipeline'!R66="follow-up")+('MiT Strom Pipeline'!R66="Evaluation")+('MiT Strom Pipeline'!R66="tbd")+('MiT Strom Pipeline'!R66="In evaluation"))*('MiT Strom Pipeline'!B66&lt;&gt;""))&gt;0,IF(ISNUMBER('MiT Strom Pipeline'!Q66),'MiT Strom Pipeline'!Q66,0),"")</f>
        <v/>
      </c>
      <c r="I199" s="28">
        <f>IF(((('MiT Strom Pipeline'!R66="follow-up")+('MiT Strom Pipeline'!R66="Evaluation")+('MiT Strom Pipeline'!R66="tbd")+('MiT Strom Pipeline'!R66="In evaluation"))*('MiT Strom Pipeline'!B66&lt;&gt;""))&gt;0,IF(ISNUMBER('MiT Strom Pipeline'!O66),'MiT Strom Pipeline'!O66,0),"")</f>
        <v/>
      </c>
      <c r="J199" s="27">
        <f>IF(((('MiT Strom Pipeline'!R66="follow-up")+('MiT Strom Pipeline'!R66="Evaluation")+('MiT Strom Pipeline'!R66="tbd")+('MiT Strom Pipeline'!R66="In evaluation"))*('MiT Strom Pipeline'!B66&lt;&gt;""))&gt;0,'MiT Strom Pipeline'!R66,"")</f>
        <v/>
      </c>
      <c r="K199" s="29">
        <f>IF(((('MiT Strom Pipeline'!R66="follow-up")+('MiT Strom Pipeline'!R66="Evaluation")+('MiT Strom Pipeline'!R66="tbd")+('MiT Strom Pipeline'!R66="In evaluation"))*('MiT Strom Pipeline'!B66&lt;&gt;""))&gt;0,IF(ISNUMBER('MiT Strom Pipeline'!S66),'MiT Strom Pipeline'!S66,""),"")</f>
        <v/>
      </c>
      <c r="L199" s="27">
        <f>IF(((('MiT Strom Pipeline'!R66="follow-up")+('MiT Strom Pipeline'!R66="Evaluation")+('MiT Strom Pipeline'!R66="tbd")+('MiT Strom Pipeline'!R66="In evaluation"))*('MiT Strom Pipeline'!B66&lt;&gt;""))&gt;0,IF(LEN('MiT Strom Pipeline'!V66)&gt;0,LEFT('MiT Strom Pipeline'!V66,55),""),"")</f>
        <v/>
      </c>
      <c r="M199" s="22" t="n"/>
      <c r="N199" s="22" t="n"/>
      <c r="O199" s="22" t="n"/>
      <c r="P199" s="22" t="n"/>
      <c r="Q199" s="22" t="n"/>
      <c r="R199" s="22" t="n"/>
      <c r="S199" s="22" t="n"/>
    </row>
    <row r="200" ht="3.75" customHeight="1">
      <c r="A200" s="26">
        <f>IF(((('MiT Strom Pipeline'!R67="follow-up")+('MiT Strom Pipeline'!R67="Evaluation")+('MiT Strom Pipeline'!R67="tbd")+('MiT Strom Pipeline'!R67="In evaluation"))*('MiT Strom Pipeline'!B67&lt;&gt;""))&gt;0,IF(ISNUMBER('MiT Strom Pipeline'!A67),'MiT Strom Pipeline'!A67,""),"")</f>
        <v/>
      </c>
      <c r="B200" s="27">
        <f>IF(((('MiT Strom Pipeline'!R67="follow-up")+('MiT Strom Pipeline'!R67="Evaluation")+('MiT Strom Pipeline'!R67="tbd")+('MiT Strom Pipeline'!R67="In evaluation"))*('MiT Strom Pipeline'!B67&lt;&gt;""))&gt;0,IF('MiT Strom Pipeline'!B67="","",'MiT Strom Pipeline'!B67),"")</f>
        <v/>
      </c>
      <c r="C200" s="27">
        <f>IF(((('MiT Strom Pipeline'!R67="follow-up")+('MiT Strom Pipeline'!R67="Evaluation")+('MiT Strom Pipeline'!R67="tbd")+('MiT Strom Pipeline'!R67="In evaluation"))*('MiT Strom Pipeline'!B67&lt;&gt;""))&gt;0,IF('MiT Strom Pipeline'!C67="","",'MiT Strom Pipeline'!C67),"")</f>
        <v/>
      </c>
      <c r="D200" s="27">
        <f>IF(((('MiT Strom Pipeline'!R67="follow-up")+('MiT Strom Pipeline'!R67="Evaluation")+('MiT Strom Pipeline'!R67="tbd")+('MiT Strom Pipeline'!R67="In evaluation"))*('MiT Strom Pipeline'!B67&lt;&gt;""))&gt;0,IF('MiT Strom Pipeline'!D67="","",'MiT Strom Pipeline'!D67),"")</f>
        <v/>
      </c>
      <c r="E200" s="27">
        <f>IF(((('MiT Strom Pipeline'!R67="follow-up")+('MiT Strom Pipeline'!R67="Evaluation")+('MiT Strom Pipeline'!R67="tbd")+('MiT Strom Pipeline'!R67="In evaluation"))*('MiT Strom Pipeline'!B67&lt;&gt;""))&gt;0,IF('MiT Strom Pipeline'!H67="","",'MiT Strom Pipeline'!H67),"")</f>
        <v/>
      </c>
      <c r="F200" s="27">
        <f>IF(((('MiT Strom Pipeline'!R67="follow-up")+('MiT Strom Pipeline'!R67="Evaluation")+('MiT Strom Pipeline'!R67="tbd")+('MiT Strom Pipeline'!R67="In evaluation"))*('MiT Strom Pipeline'!B67&lt;&gt;""))&gt;0,IF('MiT Strom Pipeline'!E67="","",'MiT Strom Pipeline'!E67),"")</f>
        <v/>
      </c>
      <c r="G200" s="28">
        <f>IF(((('MiT Strom Pipeline'!R67="follow-up")+('MiT Strom Pipeline'!R67="Evaluation")+('MiT Strom Pipeline'!R67="tbd")+('MiT Strom Pipeline'!R67="In evaluation"))*('MiT Strom Pipeline'!B67&lt;&gt;""))&gt;0,IF(ISNUMBER('MiT Strom Pipeline'!I67),'MiT Strom Pipeline'!I67,0),"")</f>
        <v/>
      </c>
      <c r="H200" s="28">
        <f>IF(((('MiT Strom Pipeline'!R67="follow-up")+('MiT Strom Pipeline'!R67="Evaluation")+('MiT Strom Pipeline'!R67="tbd")+('MiT Strom Pipeline'!R67="In evaluation"))*('MiT Strom Pipeline'!B67&lt;&gt;""))&gt;0,IF(ISNUMBER('MiT Strom Pipeline'!Q67),'MiT Strom Pipeline'!Q67,0),"")</f>
        <v/>
      </c>
      <c r="I200" s="28">
        <f>IF(((('MiT Strom Pipeline'!R67="follow-up")+('MiT Strom Pipeline'!R67="Evaluation")+('MiT Strom Pipeline'!R67="tbd")+('MiT Strom Pipeline'!R67="In evaluation"))*('MiT Strom Pipeline'!B67&lt;&gt;""))&gt;0,IF(ISNUMBER('MiT Strom Pipeline'!O67),'MiT Strom Pipeline'!O67,0),"")</f>
        <v/>
      </c>
      <c r="J200" s="27">
        <f>IF(((('MiT Strom Pipeline'!R67="follow-up")+('MiT Strom Pipeline'!R67="Evaluation")+('MiT Strom Pipeline'!R67="tbd")+('MiT Strom Pipeline'!R67="In evaluation"))*('MiT Strom Pipeline'!B67&lt;&gt;""))&gt;0,'MiT Strom Pipeline'!R67,"")</f>
        <v/>
      </c>
      <c r="K200" s="29">
        <f>IF(((('MiT Strom Pipeline'!R67="follow-up")+('MiT Strom Pipeline'!R67="Evaluation")+('MiT Strom Pipeline'!R67="tbd")+('MiT Strom Pipeline'!R67="In evaluation"))*('MiT Strom Pipeline'!B67&lt;&gt;""))&gt;0,IF(ISNUMBER('MiT Strom Pipeline'!S67),'MiT Strom Pipeline'!S67,""),"")</f>
        <v/>
      </c>
      <c r="L200" s="27">
        <f>IF(((('MiT Strom Pipeline'!R67="follow-up")+('MiT Strom Pipeline'!R67="Evaluation")+('MiT Strom Pipeline'!R67="tbd")+('MiT Strom Pipeline'!R67="In evaluation"))*('MiT Strom Pipeline'!B67&lt;&gt;""))&gt;0,IF(LEN('MiT Strom Pipeline'!V67)&gt;0,LEFT('MiT Strom Pipeline'!V67,55),""),"")</f>
        <v/>
      </c>
      <c r="M200" s="22" t="n"/>
      <c r="N200" s="22" t="n"/>
      <c r="O200" s="22" t="n"/>
      <c r="P200" s="22" t="n"/>
      <c r="Q200" s="22" t="n"/>
      <c r="R200" s="22" t="n"/>
      <c r="S200" s="22" t="n"/>
    </row>
    <row r="201" ht="27.75" customHeight="1">
      <c r="A201" s="143" t="inlineStr">
        <is>
          <t>📊  GESAMTTOTAL — Aktive Pipeline</t>
        </is>
      </c>
      <c r="B201" s="189" t="n"/>
      <c r="C201" s="189" t="n"/>
      <c r="D201" s="189" t="n"/>
      <c r="E201" s="190" t="n"/>
      <c r="F201" s="33">
        <f>SUMIFS('MiT Strom Pipeline'!I$6:I$860,'MiT Strom Pipeline'!R$6:R$860,"WON")+SUMIFS('MiT Strom Pipeline'!I$6:I$860,'MiT Strom Pipeline'!R$6:R$860,"offered")+SUMIFS('MiT Strom Pipeline'!I$6:I$860,'MiT Strom Pipeline'!R$6:R$860,"to be offered")+SUMIFS('MiT Strom Pipeline'!I$6:I$860,'MiT Strom Pipeline'!R$6:R$860,"on hold")+SUMIFS('MiT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5631696.2</v>
      </c>
      <c r="G201" s="34" t="n"/>
      <c r="H201" s="34" t="n"/>
      <c r="I201" s="34" t="n"/>
      <c r="J201" s="34" t="n"/>
      <c r="K201" s="35" t="n"/>
      <c r="M201" s="22" t="n"/>
      <c r="N201" s="22" t="n"/>
      <c r="O201" s="22" t="n"/>
      <c r="P201" s="22" t="n"/>
      <c r="Q201" s="22" t="n"/>
      <c r="R201" s="22" t="n"/>
      <c r="S201" s="22" t="n"/>
    </row>
    <row r="202" ht="18" customHeight="1">
      <c r="A202" s="138" t="inlineStr">
        <is>
          <t xml:space="preserve">  → WON</t>
        </is>
      </c>
      <c r="F202" s="36">
        <f>SUMIFS('MiT Strom Pipeline'!I$6:I$860,'MiT Strom Pipeline'!R$6:R$860,"WON")</f>
        <v>694803.69</v>
      </c>
      <c r="G202" s="37" t="n"/>
      <c r="H202" s="37" t="n"/>
      <c r="I202" s="37" t="n"/>
      <c r="J202" s="37" t="n"/>
      <c r="K202" s="38" t="n"/>
      <c r="M202" s="22" t="n"/>
      <c r="N202" s="22" t="n"/>
      <c r="O202" s="22" t="n"/>
      <c r="P202" s="22" t="n"/>
      <c r="Q202" s="22" t="n"/>
      <c r="R202" s="22" t="n"/>
      <c r="S202" s="22" t="n"/>
    </row>
    <row r="203" ht="18" customHeight="1">
      <c r="A203" s="138" t="inlineStr">
        <is>
          <t xml:space="preserve">  → Offerte</t>
        </is>
      </c>
      <c r="F203" s="39">
        <f>SUMIFS('MiT Strom Pipeline'!I$6:I$860,'MiT Strom Pipeline'!R$6:R$860,"offered")+SUMIFS('MiT Strom Pipeline'!I$6:I$860,'MiT Strom Pipeline'!R$6:R$860,"to be offered")+SUMIFS('MiT Strom Pipeline'!I$6:I$860,'MiT Strom Pipeline'!R$6:R$860,"on hold")</f>
        <v>3559557.95</v>
      </c>
      <c r="G203" s="37" t="n"/>
      <c r="H203" s="37" t="n"/>
      <c r="I203" s="37" t="n"/>
      <c r="J203" s="37" t="n"/>
      <c r="K203" s="38" t="n"/>
      <c r="M203" s="22" t="n"/>
      <c r="N203" s="22" t="n"/>
      <c r="O203" s="22" t="n"/>
      <c r="P203" s="22" t="n"/>
      <c r="Q203" s="22" t="n"/>
      <c r="R203" s="22" t="n"/>
      <c r="S203" s="22" t="n"/>
    </row>
    <row r="204" ht="18" customHeight="1">
      <c r="A204" s="138" t="inlineStr">
        <is>
          <t xml:space="preserve">  → Opportunität</t>
        </is>
      </c>
      <c r="F204" s="40">
        <f>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1377334.56</v>
      </c>
      <c r="G204" s="37" t="n"/>
      <c r="H204" s="37" t="n"/>
      <c r="I204" s="37" t="n"/>
      <c r="J204" s="37" t="n"/>
      <c r="K204" s="38" t="n"/>
      <c r="M204" s="22" t="n"/>
      <c r="N204" s="22" t="n"/>
      <c r="O204" s="22" t="n"/>
      <c r="P204" s="22" t="n"/>
      <c r="Q204" s="22" t="n"/>
      <c r="R204" s="22" t="n"/>
      <c r="S204" s="22" t="n"/>
    </row>
    <row r="205" ht="15" customHeight="1">
      <c r="D205" s="41" t="n"/>
      <c r="E205" s="41" t="n"/>
      <c r="K205" s="41" t="n"/>
      <c r="M205" s="22" t="n"/>
      <c r="N205" s="22" t="n"/>
      <c r="O205" s="22" t="n"/>
      <c r="P205" s="22" t="n"/>
      <c r="Q205" s="22" t="n"/>
      <c r="R205" s="22" t="n"/>
      <c r="S205" s="22" t="n"/>
    </row>
    <row r="206" ht="13.5" customHeight="1">
      <c r="A206" s="139" t="str">
        <f>"Stand: "&amp;TEXT(TODAY(),"DD.MM.YYYY")&amp;"  |  Burak Ücöz  |  Mobil in Time AG – An Aggreko Company  |  VERTRAULICH"</f>
        <v>Stand: 13.07.2026  |  Burak Ücöz  |  Mobil in Time AG – An Aggreko Company  |  VERTRAULICH</v>
      </c>
      <c r="M206" s="22" t="n"/>
      <c r="N206" s="22" t="n"/>
      <c r="O206" s="22" t="n"/>
      <c r="P206" s="22" t="n"/>
      <c r="Q206" s="22" t="n"/>
      <c r="R206" s="22" t="n"/>
      <c r="S206" s="22" t="n"/>
    </row>
    <row r="207" ht="15" customHeight="1">
      <c r="M207" s="22" t="n"/>
      <c r="N207" s="22" t="n"/>
      <c r="O207" s="22" t="n"/>
      <c r="P207" s="22" t="n"/>
      <c r="Q207" s="22" t="n"/>
      <c r="R207" s="22" t="n"/>
      <c r="S207" s="22" t="n"/>
    </row>
    <row r="208" ht="15" customHeight="1">
      <c r="M208" s="22" t="n"/>
      <c r="N208" s="22" t="n"/>
      <c r="O208" s="22" t="n"/>
      <c r="P208" s="22" t="n"/>
      <c r="Q208" s="22" t="n"/>
      <c r="R208" s="22" t="n"/>
      <c r="S208" s="22" t="n"/>
    </row>
    <row r="209" ht="15" customHeight="1">
      <c r="M209" s="22" t="n"/>
      <c r="N209" s="22" t="n"/>
      <c r="O209" s="22" t="n"/>
      <c r="P209" s="22" t="n"/>
      <c r="Q209" s="22" t="n"/>
      <c r="R209" s="22" t="n"/>
      <c r="S209" s="22" t="n"/>
    </row>
    <row r="210" ht="15" customHeight="1">
      <c r="M210" s="22" t="n"/>
      <c r="N210" s="22" t="n"/>
      <c r="O210" s="22" t="n"/>
      <c r="P210" s="22" t="n"/>
      <c r="Q210" s="22" t="n"/>
      <c r="R210" s="22" t="n"/>
      <c r="S210" s="22" t="n"/>
    </row>
    <row r="211" ht="15" customHeight="1">
      <c r="M211" s="22" t="n"/>
      <c r="N211" s="22" t="n"/>
      <c r="O211" s="22" t="n"/>
      <c r="P211" s="22" t="n"/>
      <c r="Q211" s="22" t="n"/>
      <c r="R211" s="22" t="n"/>
      <c r="S211" s="22" t="n"/>
    </row>
    <row r="212" ht="15" customHeight="1">
      <c r="M212" s="22" t="n"/>
      <c r="N212" s="22" t="n"/>
      <c r="O212" s="22" t="n"/>
      <c r="P212" s="22" t="n"/>
      <c r="Q212" s="22" t="n"/>
      <c r="R212" s="22" t="n"/>
      <c r="S212" s="22" t="n"/>
    </row>
    <row r="213" ht="15" customHeight="1">
      <c r="M213" s="22" t="n"/>
      <c r="N213" s="22" t="n"/>
      <c r="O213" s="22" t="n"/>
      <c r="P213" s="22" t="n"/>
      <c r="Q213" s="22" t="n"/>
      <c r="R213" s="22" t="n"/>
      <c r="S213" s="22" t="n"/>
    </row>
    <row r="214" ht="15" customHeight="1">
      <c r="M214" s="22" t="n"/>
      <c r="N214" s="22" t="n"/>
      <c r="O214" s="22" t="n"/>
      <c r="P214" s="22" t="n"/>
      <c r="Q214" s="22" t="n"/>
      <c r="R214" s="22" t="n"/>
      <c r="S214" s="22" t="n"/>
    </row>
    <row r="215" ht="15" customHeight="1">
      <c r="M215" s="22" t="n"/>
      <c r="N215" s="22" t="n"/>
      <c r="O215" s="22" t="n"/>
      <c r="P215" s="22" t="n"/>
      <c r="Q215" s="22" t="n"/>
      <c r="R215" s="22" t="n"/>
      <c r="S215" s="22" t="n"/>
    </row>
    <row r="216" ht="15" customHeight="1">
      <c r="M216" s="22" t="n"/>
      <c r="N216" s="22" t="n"/>
      <c r="O216" s="22" t="n"/>
      <c r="P216" s="22" t="n"/>
      <c r="Q216" s="22" t="n"/>
      <c r="R216" s="22" t="n"/>
      <c r="S216" s="22" t="n"/>
    </row>
    <row r="217" ht="15" customHeight="1">
      <c r="M217" s="22" t="n"/>
      <c r="N217" s="22" t="n"/>
      <c r="O217" s="22" t="n"/>
      <c r="P217" s="22" t="n"/>
      <c r="Q217" s="22" t="n"/>
      <c r="R217" s="22" t="n"/>
      <c r="S217" s="22" t="n"/>
    </row>
    <row r="218" ht="15" customHeight="1">
      <c r="M218" s="22" t="n"/>
      <c r="N218" s="22" t="n"/>
      <c r="O218" s="22" t="n"/>
      <c r="P218" s="22" t="n"/>
      <c r="Q218" s="22" t="n"/>
      <c r="R218" s="22" t="n"/>
      <c r="S218" s="22" t="n"/>
    </row>
    <row r="219" ht="15" customHeight="1">
      <c r="M219" s="22" t="n"/>
      <c r="N219" s="22" t="n"/>
      <c r="O219" s="22" t="n"/>
      <c r="P219" s="22" t="n"/>
      <c r="Q219" s="22" t="n"/>
      <c r="R219" s="22" t="n"/>
      <c r="S219" s="22" t="n"/>
    </row>
  </sheetData>
  <autoFilter ref="A10:L72"/>
  <mergeCells count="20">
    <mergeCell ref="A5:D5"/>
    <mergeCell ref="A201:E201"/>
    <mergeCell ref="A137:L137"/>
    <mergeCell ref="E7:H7"/>
    <mergeCell ref="A3:L3"/>
    <mergeCell ref="A2:L2"/>
    <mergeCell ref="I6:L6"/>
    <mergeCell ref="E5:H5"/>
    <mergeCell ref="A6:D6"/>
    <mergeCell ref="A204:E204"/>
    <mergeCell ref="A7:D7"/>
    <mergeCell ref="A9:L9"/>
    <mergeCell ref="I7:L7"/>
    <mergeCell ref="A203:E203"/>
    <mergeCell ref="A73:L73"/>
    <mergeCell ref="A206:K206"/>
    <mergeCell ref="A1:L1"/>
    <mergeCell ref="E6:H6"/>
    <mergeCell ref="A202:E202"/>
    <mergeCell ref="I5:L5"/>
  </mergeCells>
  <conditionalFormatting sqref="J11:J200">
    <cfRule type="cellIs" priority="1" operator="equal" dxfId="9" stopIfTrue="1">
      <formula>"WON"</formula>
    </cfRule>
    <cfRule type="cellIs" priority="2" operator="equal" dxfId="8" stopIfTrue="1">
      <formula>"offered"</formula>
    </cfRule>
    <cfRule type="cellIs" priority="3" operator="equal" dxfId="7" stopIfTrue="1">
      <formula>"to be offered"</formula>
    </cfRule>
    <cfRule type="cellIs" priority="4" operator="equal" dxfId="6" stopIfTrue="1">
      <formula>"follow-up"</formula>
    </cfRule>
    <cfRule type="cellIs" priority="5" operator="equal" dxfId="4" stopIfTrue="1">
      <formula>"Evaluation"</formula>
    </cfRule>
    <cfRule type="cellIs" priority="6" operator="equal" dxfId="4" stopIfTrue="1">
      <formula>"In evaluation"</formula>
    </cfRule>
    <cfRule type="cellIs" priority="7" operator="equal" dxfId="3" stopIfTrue="1">
      <formula>"on hold"</formula>
    </cfRule>
    <cfRule type="cellIs" priority="8" operator="equal" dxfId="2" stopIfTrue="1">
      <formula>"tbd"</formula>
    </cfRule>
    <cfRule type="cellIs" priority="9" operator="equal" dxfId="1" stopIfTrue="1">
      <formula>"LOST"</formula>
    </cfRule>
    <cfRule type="cellIs" priority="10" operator="equal" dxfId="0" stopIfTrue="1">
      <formula>"Declined"</formula>
    </cfRule>
  </conditionalFormatting>
  <printOptions horizontalCentered="1"/>
  <pageMargins left="0.3" right="0.3" top="0.5" bottom="0.5" header="0.2" footer="0.2"/>
  <pageSetup orientation="landscape" paperSize="9" fitToHeight="0" horizontalDpi="300" verticalDpi="300"/>
  <headerFooter>
    <oddHeader>&amp;C&amp;"Calibri,Bold"&amp;14 MiT Strom Schweiz — CEO Report</oddHeader>
    <oddFooter>&amp;LMobil in Time AG · An Aggreko Company&amp;RSeite &amp;P von &amp;N</oddFooter>
    <evenHeader/>
    <evenFooter/>
    <firstHeader/>
    <firstFooter/>
  </headerFooter>
  <rowBreaks count="2" manualBreakCount="2">
    <brk id="72" min="0" max="16383" man="1"/>
    <brk id="136" min="0" max="16383" man="1"/>
  </rowBreaks>
</worksheet>
</file>

<file path=xl/worksheets/sheet4.xml><?xml version="1.0" encoding="utf-8"?>
<worksheet xmlns="http://schemas.openxmlformats.org/spreadsheetml/2006/main">
  <sheetPr>
    <tabColor rgb="FF2E5496"/>
    <outlinePr summaryBelow="1" summaryRight="1"/>
    <pageSetUpPr fitToPage="1"/>
  </sheetPr>
  <dimension ref="A1:S219"/>
  <sheetViews>
    <sheetView zoomScale="70" zoomScaleNormal="70" workbookViewId="0">
      <selection activeCell="A1" sqref="A1"/>
    </sheetView>
  </sheetViews>
  <sheetFormatPr baseColWidth="8" defaultColWidth="9.140625" defaultRowHeight="15"/>
  <cols>
    <col width="5" customWidth="1" min="1" max="1"/>
    <col width="29.140625" bestFit="1" customWidth="1" min="2" max="2"/>
    <col width="9.7109375" bestFit="1" customWidth="1" min="3" max="3"/>
    <col width="18" customWidth="1" min="4" max="4"/>
    <col width="13" customWidth="1" min="5" max="5"/>
    <col width="79.42578125" bestFit="1" customWidth="1" style="42" min="6" max="6"/>
    <col width="17.5703125" bestFit="1" customWidth="1" style="42" min="7" max="7"/>
    <col width="18.42578125" bestFit="1" customWidth="1" min="8" max="8"/>
    <col width="12" customWidth="1" min="9" max="9"/>
    <col width="12.7109375" bestFit="1" customWidth="1" min="10" max="10"/>
    <col width="54.5703125" customWidth="1" min="11" max="11"/>
    <col width="8.42578125" customWidth="1" min="12" max="19"/>
  </cols>
  <sheetData>
    <row r="1" ht="39.75" customHeight="1">
      <c r="A1" s="144" t="str">
        <f>"⚡  MiT Strom Schweiz  |  Sales Dashboard  |  "&amp;TEXT(TODAY(),"MMMM YYYY")</f>
        <v>⚡  MiT Strom Schweiz  |  Sales Dashboard  |  July 2026</v>
      </c>
      <c r="L1" s="22" t="n"/>
      <c r="M1" s="22" t="n"/>
      <c r="N1" s="22" t="n"/>
      <c r="O1" s="22" t="n"/>
      <c r="P1" s="22" t="n"/>
      <c r="Q1" s="22" t="n"/>
      <c r="R1" s="22" t="n"/>
      <c r="S1" s="22" t="n"/>
    </row>
    <row r="2" ht="15.75" customHeight="1">
      <c r="A2" s="128" t="inlineStr">
        <is>
          <t>Mobil in Time AG  ·  An Aggreko Company  ·  Burak Ücöz  ·  Neue Einträge in «MiT Strom Pipeline» (Zeilen 6–67) erscheinen automatisch.</t>
        </is>
      </c>
      <c r="L2" s="22" t="n"/>
      <c r="M2" s="22" t="n"/>
      <c r="N2" s="22" t="n"/>
      <c r="O2" s="22" t="n"/>
      <c r="P2" s="22" t="n"/>
      <c r="Q2" s="22" t="n"/>
      <c r="R2" s="22" t="n"/>
      <c r="S2" s="22" t="n"/>
    </row>
    <row r="3" ht="4.5" customHeight="1">
      <c r="A3" s="172" t="n"/>
      <c r="L3" s="22" t="n"/>
      <c r="M3" s="22" t="n"/>
      <c r="N3" s="22" t="n"/>
      <c r="O3" s="22" t="n"/>
      <c r="P3" s="22" t="n"/>
      <c r="Q3" s="22" t="n"/>
      <c r="R3" s="22" t="n"/>
      <c r="S3" s="22" t="n"/>
    </row>
    <row r="4" ht="7.5" customHeight="1">
      <c r="L4" s="22" t="n"/>
      <c r="M4" s="22" t="n"/>
      <c r="N4" s="22" t="n"/>
      <c r="O4" s="22" t="n"/>
      <c r="P4" s="22" t="n"/>
      <c r="Q4" s="22" t="n"/>
      <c r="R4" s="22" t="n"/>
      <c r="S4" s="22" t="n"/>
    </row>
    <row r="5" ht="21.75" customHeight="1">
      <c r="A5" s="145" t="inlineStr">
        <is>
          <t>✅  WON</t>
        </is>
      </c>
      <c r="D5" s="146" t="inlineStr">
        <is>
          <t>📄  OFFERTE</t>
        </is>
      </c>
      <c r="G5" s="147" t="inlineStr">
        <is>
          <t>🎯  OPP.</t>
        </is>
      </c>
      <c r="I5" s="148" t="inlineStr">
        <is>
          <t>📊  GESAMT</t>
        </is>
      </c>
      <c r="L5" s="22" t="n"/>
      <c r="M5" s="22" t="n"/>
      <c r="N5" s="22" t="n"/>
      <c r="O5" s="22" t="n"/>
      <c r="P5" s="22" t="n"/>
      <c r="Q5" s="22" t="n"/>
      <c r="R5" s="22" t="n"/>
      <c r="S5" s="22" t="n"/>
    </row>
    <row r="6" ht="36" customHeight="1">
      <c r="A6" s="149">
        <f>SUMIFS('MiT Strom Pipeline'!I$6:I$860,'MiT Strom Pipeline'!R$6:R$860,"WON")</f>
        <v>694803.69</v>
      </c>
      <c r="D6" s="150">
        <f>SUMIFS('MiT Strom Pipeline'!I$6:I$860,'MiT Strom Pipeline'!R$6:R$860,"offered")+SUMIFS('MiT Strom Pipeline'!I$6:I$860,'MiT Strom Pipeline'!R$6:R$860,"to be offered")+SUMIFS('MiT Strom Pipeline'!I$6:I$860,'MiT Strom Pipeline'!R$6:R$860,"on hold")</f>
        <v>3559557.95</v>
      </c>
      <c r="G6" s="151">
        <f>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1377334.56</v>
      </c>
      <c r="I6" s="152">
        <f>SUMIFS('MiT Strom Pipeline'!I$6:I$860,'MiT Strom Pipeline'!R$6:R$860,"WON")+SUMIFS('MiT Strom Pipeline'!I$6:I$860,'MiT Strom Pipeline'!R$6:R$860,"offered")+SUMIFS('MiT Strom Pipeline'!I$6:I$860,'MiT Strom Pipeline'!R$6:R$860,"to be offered")+SUMIFS('MiT Strom Pipeline'!I$6:I$860,'MiT Strom Pipeline'!R$6:R$860,"on hold")+SUMIFS('MiT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5631696.2</v>
      </c>
      <c r="L6" s="22" t="n"/>
      <c r="M6" s="22" t="n"/>
      <c r="N6" s="23" t="n"/>
      <c r="O6" s="22" t="n"/>
      <c r="P6" s="22" t="n"/>
      <c r="Q6" s="22" t="n"/>
      <c r="R6" s="22" t="n"/>
      <c r="S6" s="22" t="n"/>
    </row>
    <row r="7" ht="19.5" customHeight="1">
      <c r="A7" s="186">
        <f>COUNTIF('MiT Strom Pipeline'!R$6:R$860,"WON")</f>
        <v>7</v>
      </c>
      <c r="D7" s="187">
        <f>COUNTIF('MiT Strom Pipeline'!R$6:R$860,"offered")+COUNTIF('MiT Strom Pipeline'!R$6:R$860,"to be offered")+COUNTIF('MiT Strom Pipeline'!R$6:R$860,"on hold")</f>
        <v>19</v>
      </c>
      <c r="G7" s="188">
        <f>COUNTIF('MiT Strom Pipeline'!R$6:R$860,"follow-up")+COUNTIF('MiT Strom Pipeline'!R$6:R$860,"Evaluation")+COUNTIF('MiT Strom Pipeline'!R$6:R$860,"tbd")+COUNTIF('MiT Strom Pipeline'!R$6:R$860,"In evaluation")</f>
        <v>9</v>
      </c>
      <c r="I7" s="193">
        <f>COUNTIF('MiT Strom Pipeline'!R$6:R$860,"WON")+COUNTIF('MiT Strom Pipeline'!R$6:R$860,"offered")+COUNTIF('MiT Strom Pipeline'!R$6:R$860,"to be offered")+COUNTIF('MiT Strom Pipeline'!R$6:R$860,"on hold")+COUNTIF('MiT Strom Pipeline'!R$6:R$860,"follow-up")+COUNTIF('MiT Strom Pipeline'!R$6:R$860,"Evaluation")+COUNTIF('MiT Strom Pipeline'!R$6:R$860,"tbd")+COUNTIF('MiT Strom Pipeline'!R$6:R$860,"In evaluation")</f>
        <v>35</v>
      </c>
      <c r="L7" s="22" t="n"/>
      <c r="M7" s="22" t="n"/>
      <c r="N7" s="23" t="n"/>
      <c r="O7" s="22" t="n"/>
      <c r="P7" s="22" t="n"/>
      <c r="Q7" s="22" t="n"/>
      <c r="R7" s="22" t="n"/>
      <c r="S7" s="22" t="n"/>
    </row>
    <row r="8" ht="7.5" customHeight="1">
      <c r="A8" s="24" t="n"/>
      <c r="B8" s="24" t="n"/>
      <c r="C8" s="24" t="n"/>
      <c r="D8" s="24" t="n"/>
      <c r="E8" s="24" t="n"/>
      <c r="F8" s="43" t="n"/>
      <c r="G8" s="43" t="n"/>
      <c r="H8" s="24" t="n"/>
      <c r="I8" s="24" t="n"/>
      <c r="J8" s="24" t="n"/>
      <c r="L8" s="22" t="n"/>
      <c r="M8" s="22" t="n"/>
      <c r="N8" s="23" t="n"/>
      <c r="O8" s="22" t="n"/>
      <c r="P8" s="22" t="n"/>
      <c r="Q8" s="22" t="n"/>
      <c r="R8" s="22" t="n"/>
      <c r="S8" s="22" t="n"/>
    </row>
    <row r="9" ht="24" customHeight="1">
      <c r="A9" s="140" t="inlineStr">
        <is>
          <t>✅  1. AUFTRAGSEINGANG (WON) — Gewonnene Aufträge</t>
        </is>
      </c>
      <c r="B9" s="189" t="n"/>
      <c r="C9" s="189" t="n"/>
      <c r="D9" s="189" t="n"/>
      <c r="E9" s="189" t="n"/>
      <c r="F9" s="189" t="n"/>
      <c r="G9" s="189" t="n"/>
      <c r="H9" s="189" t="n"/>
      <c r="I9" s="189" t="n"/>
      <c r="J9" s="189" t="n"/>
      <c r="K9" s="190" t="n"/>
      <c r="L9" s="22" t="n"/>
      <c r="M9" s="22" t="n"/>
      <c r="N9" s="23" t="n"/>
      <c r="O9" s="22" t="n"/>
      <c r="P9" s="22" t="n"/>
      <c r="Q9" s="22" t="n"/>
      <c r="R9" s="22" t="n"/>
      <c r="S9" s="22" t="n"/>
    </row>
    <row r="10" ht="19.5" customHeight="1">
      <c r="A10" s="25" t="inlineStr">
        <is>
          <t>#</t>
        </is>
      </c>
      <c r="B10" s="25" t="inlineStr">
        <is>
          <t>Kunde / Unternehmen</t>
        </is>
      </c>
      <c r="C10" s="25" t="inlineStr">
        <is>
          <t>Kt.</t>
        </is>
      </c>
      <c r="D10" s="25" t="inlineStr">
        <is>
          <t>Segment</t>
        </is>
      </c>
      <c r="E10" s="25" t="inlineStr">
        <is>
          <t>Start</t>
        </is>
      </c>
      <c r="F10" s="25" t="inlineStr">
        <is>
          <t>Leistung / Fleet</t>
        </is>
      </c>
      <c r="G10" s="25" t="inlineStr">
        <is>
          <t>Volumen CHF</t>
        </is>
      </c>
      <c r="H10" s="25" t="inlineStr">
        <is>
          <t>Gew.Wert CHF</t>
        </is>
      </c>
      <c r="I10" s="25" t="inlineStr">
        <is>
          <t>Status</t>
        </is>
      </c>
      <c r="J10" s="25" t="inlineStr">
        <is>
          <t>Wahr.%</t>
        </is>
      </c>
      <c r="K10" s="25" t="inlineStr">
        <is>
          <t>Nächster Schritt</t>
        </is>
      </c>
      <c r="L10" s="22" t="n"/>
      <c r="M10" s="22" t="n"/>
      <c r="N10" s="23" t="n"/>
      <c r="O10" s="22" t="n"/>
      <c r="P10" s="22" t="n"/>
      <c r="Q10" s="22" t="n"/>
      <c r="R10" s="22" t="n"/>
      <c r="S10" s="22" t="n"/>
    </row>
    <row r="11" ht="15.75" customHeight="1">
      <c r="A11" s="26">
        <f>IF(((('MiT Strom Pipeline'!R6="WON"))*('MiT Strom Pipeline'!B6&lt;&gt;""))&gt;0,IF(ISNUMBER('MiT Strom Pipeline'!A6),'MiT Strom Pipeline'!A6,""),"")</f>
        <v/>
      </c>
      <c r="B11" s="27">
        <f>IF(((('MiT Strom Pipeline'!R6="WON"))*('MiT Strom Pipeline'!B6&lt;&gt;""))&gt;0,IF('MiT Strom Pipeline'!B6="","",'MiT Strom Pipeline'!B6),"")</f>
        <v/>
      </c>
      <c r="C11" s="27">
        <f>IF(((('MiT Strom Pipeline'!R6="WON"))*('MiT Strom Pipeline'!B6&lt;&gt;""))&gt;0,IF('MiT Strom Pipeline'!C6="","",'MiT Strom Pipeline'!C6),"")</f>
        <v/>
      </c>
      <c r="D11" s="27">
        <f>IF(((('MiT Strom Pipeline'!R6="WON"))*('MiT Strom Pipeline'!B6&lt;&gt;""))&gt;0,IF('MiT Strom Pipeline'!D6="","",'MiT Strom Pipeline'!D6),"")</f>
        <v/>
      </c>
      <c r="E11" s="27">
        <f>IF(((('MiT Strom Pipeline'!R6="WON"))*('MiT Strom Pipeline'!B6&lt;&gt;""))&gt;0,IF('MiT Strom Pipeline'!H6="","",'MiT Strom Pipeline'!H6),"")</f>
        <v/>
      </c>
      <c r="F11" s="27">
        <f>IF(((('MiT Strom Pipeline'!R6="WON"))*('MiT Strom Pipeline'!B6&lt;&gt;""))&gt;0,IF('MiT Strom Pipeline'!E6="","",'MiT Strom Pipeline'!E6),"")</f>
        <v/>
      </c>
      <c r="G11" s="28">
        <f>IF(((('MiT Strom Pipeline'!R6="WON"))*('MiT Strom Pipeline'!B6&lt;&gt;""))&gt;0,IF(ISNUMBER('MiT Strom Pipeline'!I6),'MiT Strom Pipeline'!I6,0),"")</f>
        <v/>
      </c>
      <c r="H11" s="28">
        <f>IF(((('MiT Strom Pipeline'!R6="WON"))*('MiT Strom Pipeline'!B6&lt;&gt;""))&gt;0,IF(ISNUMBER('MiT Strom Pipeline'!Q6),'MiT Strom Pipeline'!Q6,0),"")</f>
        <v/>
      </c>
      <c r="I11" s="27">
        <f>IF(((('MiT Strom Pipeline'!R6="WON"))*('MiT Strom Pipeline'!B6&lt;&gt;""))&gt;0,'MiT Strom Pipeline'!R6,"")</f>
        <v/>
      </c>
      <c r="J11" s="29">
        <f>IF(((('MiT Strom Pipeline'!R6="WON"))*('MiT Strom Pipeline'!B6&lt;&gt;""))&gt;0,IF(ISNUMBER('MiT Strom Pipeline'!S6),'MiT Strom Pipeline'!S6,""),"")</f>
        <v/>
      </c>
      <c r="K11" s="27">
        <f>IF(((('MiT Strom Pipeline'!R6="WON"))*('MiT Strom Pipeline'!B6&lt;&gt;""))&gt;0,IF(LEN('MiT Strom Pipeline'!V6)&gt;0,LEFT('MiT Strom Pipeline'!V6,55),""),"")</f>
        <v/>
      </c>
      <c r="L11" s="22" t="n"/>
      <c r="M11" s="22" t="n"/>
      <c r="N11" s="23" t="n"/>
      <c r="O11" s="22" t="n"/>
      <c r="P11" s="22" t="n"/>
      <c r="Q11" s="22" t="n"/>
      <c r="R11" s="22" t="n"/>
      <c r="S11" s="22" t="n"/>
    </row>
    <row r="12" ht="15.75" customHeight="1">
      <c r="A12" s="26">
        <f>IF(((('MiT Strom Pipeline'!R7="WON"))*('MiT Strom Pipeline'!B7&lt;&gt;""))&gt;0,IF(ISNUMBER('MiT Strom Pipeline'!A7),'MiT Strom Pipeline'!A7,""),"")</f>
        <v/>
      </c>
      <c r="B12" s="27">
        <f>IF(((('MiT Strom Pipeline'!R7="WON"))*('MiT Strom Pipeline'!B7&lt;&gt;""))&gt;0,IF('MiT Strom Pipeline'!B7="","",'MiT Strom Pipeline'!B7),"")</f>
        <v/>
      </c>
      <c r="C12" s="27">
        <f>IF(((('MiT Strom Pipeline'!R7="WON"))*('MiT Strom Pipeline'!B7&lt;&gt;""))&gt;0,IF('MiT Strom Pipeline'!C7="","",'MiT Strom Pipeline'!C7),"")</f>
        <v/>
      </c>
      <c r="D12" s="27">
        <f>IF(((('MiT Strom Pipeline'!R7="WON"))*('MiT Strom Pipeline'!B7&lt;&gt;""))&gt;0,IF('MiT Strom Pipeline'!D7="","",'MiT Strom Pipeline'!D7),"")</f>
        <v/>
      </c>
      <c r="E12" s="27">
        <f>IF(((('MiT Strom Pipeline'!R7="WON"))*('MiT Strom Pipeline'!B7&lt;&gt;""))&gt;0,IF('MiT Strom Pipeline'!H7="","",'MiT Strom Pipeline'!H7),"")</f>
        <v/>
      </c>
      <c r="F12" s="27">
        <f>IF(((('MiT Strom Pipeline'!R7="WON"))*('MiT Strom Pipeline'!B7&lt;&gt;""))&gt;0,IF('MiT Strom Pipeline'!E7="","",'MiT Strom Pipeline'!E7),"")</f>
        <v/>
      </c>
      <c r="G12" s="28">
        <f>IF(((('MiT Strom Pipeline'!R7="WON"))*('MiT Strom Pipeline'!B7&lt;&gt;""))&gt;0,IF(ISNUMBER('MiT Strom Pipeline'!I7),'MiT Strom Pipeline'!I7,0),"")</f>
        <v/>
      </c>
      <c r="H12" s="28">
        <f>IF(((('MiT Strom Pipeline'!R7="WON"))*('MiT Strom Pipeline'!B7&lt;&gt;""))&gt;0,IF(ISNUMBER('MiT Strom Pipeline'!Q7),'MiT Strom Pipeline'!Q7,0),"")</f>
        <v/>
      </c>
      <c r="I12" s="27">
        <f>IF(((('MiT Strom Pipeline'!R7="WON"))*('MiT Strom Pipeline'!B7&lt;&gt;""))&gt;0,'MiT Strom Pipeline'!R7,"")</f>
        <v/>
      </c>
      <c r="J12" s="29">
        <f>IF(((('MiT Strom Pipeline'!R7="WON"))*('MiT Strom Pipeline'!B7&lt;&gt;""))&gt;0,IF(ISNUMBER('MiT Strom Pipeline'!S7),'MiT Strom Pipeline'!S7,""),"")</f>
        <v/>
      </c>
      <c r="K12" s="27">
        <f>IF(((('MiT Strom Pipeline'!R7="WON"))*('MiT Strom Pipeline'!B7&lt;&gt;""))&gt;0,IF(LEN('MiT Strom Pipeline'!V7)&gt;0,LEFT('MiT Strom Pipeline'!V7,55),""),"")</f>
        <v/>
      </c>
      <c r="L12" s="22" t="n"/>
      <c r="M12" s="22" t="n"/>
      <c r="N12" s="23" t="n"/>
      <c r="O12" s="22" t="n"/>
      <c r="P12" s="22" t="n"/>
      <c r="Q12" s="22" t="n"/>
      <c r="R12" s="22" t="n"/>
      <c r="S12" s="22" t="n"/>
    </row>
    <row r="13" ht="15.75" customHeight="1">
      <c r="A13" s="26">
        <f>IF(((('MiT Strom Pipeline'!R8="WON"))*('MiT Strom Pipeline'!B8&lt;&gt;""))&gt;0,IF(ISNUMBER('MiT Strom Pipeline'!A8),'MiT Strom Pipeline'!A8,""),"")</f>
        <v/>
      </c>
      <c r="B13" s="27">
        <f>IF(((('MiT Strom Pipeline'!R8="WON"))*('MiT Strom Pipeline'!B8&lt;&gt;""))&gt;0,IF('MiT Strom Pipeline'!B8="","",'MiT Strom Pipeline'!B8),"")</f>
        <v/>
      </c>
      <c r="C13" s="27">
        <f>IF(((('MiT Strom Pipeline'!R8="WON"))*('MiT Strom Pipeline'!B8&lt;&gt;""))&gt;0,IF('MiT Strom Pipeline'!C8="","",'MiT Strom Pipeline'!C8),"")</f>
        <v/>
      </c>
      <c r="D13" s="27">
        <f>IF(((('MiT Strom Pipeline'!R8="WON"))*('MiT Strom Pipeline'!B8&lt;&gt;""))&gt;0,IF('MiT Strom Pipeline'!D8="","",'MiT Strom Pipeline'!D8),"")</f>
        <v/>
      </c>
      <c r="E13" s="27">
        <f>IF(((('MiT Strom Pipeline'!R8="WON"))*('MiT Strom Pipeline'!B8&lt;&gt;""))&gt;0,IF('MiT Strom Pipeline'!H8="","",'MiT Strom Pipeline'!H8),"")</f>
        <v/>
      </c>
      <c r="F13" s="27">
        <f>IF(((('MiT Strom Pipeline'!R8="WON"))*('MiT Strom Pipeline'!B8&lt;&gt;""))&gt;0,IF('MiT Strom Pipeline'!E8="","",'MiT Strom Pipeline'!E8),"")</f>
        <v/>
      </c>
      <c r="G13" s="28">
        <f>IF(((('MiT Strom Pipeline'!R8="WON"))*('MiT Strom Pipeline'!B8&lt;&gt;""))&gt;0,IF(ISNUMBER('MiT Strom Pipeline'!I8),'MiT Strom Pipeline'!I8,0),"")</f>
        <v/>
      </c>
      <c r="H13" s="28">
        <f>IF(((('MiT Strom Pipeline'!R8="WON"))*('MiT Strom Pipeline'!B8&lt;&gt;""))&gt;0,IF(ISNUMBER('MiT Strom Pipeline'!Q8),'MiT Strom Pipeline'!Q8,0),"")</f>
        <v/>
      </c>
      <c r="I13" s="27">
        <f>IF(((('MiT Strom Pipeline'!R8="WON"))*('MiT Strom Pipeline'!B8&lt;&gt;""))&gt;0,'MiT Strom Pipeline'!R8,"")</f>
        <v/>
      </c>
      <c r="J13" s="29">
        <f>IF(((('MiT Strom Pipeline'!R8="WON"))*('MiT Strom Pipeline'!B8&lt;&gt;""))&gt;0,IF(ISNUMBER('MiT Strom Pipeline'!S8),'MiT Strom Pipeline'!S8,""),"")</f>
        <v/>
      </c>
      <c r="K13" s="27">
        <f>IF(((('MiT Strom Pipeline'!R8="WON"))*('MiT Strom Pipeline'!B8&lt;&gt;""))&gt;0,IF(LEN('MiT Strom Pipeline'!V8)&gt;0,LEFT('MiT Strom Pipeline'!V8,55),""),"")</f>
        <v/>
      </c>
      <c r="L13" s="22" t="n"/>
      <c r="M13" s="22" t="n"/>
      <c r="N13" s="23" t="n"/>
      <c r="O13" s="22" t="n"/>
      <c r="P13" s="22" t="n"/>
      <c r="Q13" s="22" t="n"/>
      <c r="R13" s="22" t="n"/>
      <c r="S13" s="22" t="n"/>
    </row>
    <row r="14" ht="15.75" customHeight="1">
      <c r="A14" s="26">
        <f>IF(((('MiT Strom Pipeline'!R9="WON"))*('MiT Strom Pipeline'!B9&lt;&gt;""))&gt;0,IF(ISNUMBER('MiT Strom Pipeline'!A9),'MiT Strom Pipeline'!A9,""),"")</f>
        <v>1</v>
      </c>
      <c r="B14" s="27" t="str">
        <f>IF(((('MiT Strom Pipeline'!R9="WON"))*('MiT Strom Pipeline'!B9&lt;&gt;""))&gt;0,IF('MiT Strom Pipeline'!B9="","",'MiT Strom Pipeline'!B9),"")</f>
        <v>Ice Hockey Championship</v>
      </c>
      <c r="C14" s="27" t="str">
        <f>IF(((('MiT Strom Pipeline'!R9="WON"))*('MiT Strom Pipeline'!B9&lt;&gt;""))&gt;0,IF('MiT Strom Pipeline'!C9="","",'MiT Strom Pipeline'!C9),"")</f>
        <v>ZH</v>
      </c>
      <c r="D14" s="27" t="str">
        <f>IF(((('MiT Strom Pipeline'!R9="WON"))*('MiT Strom Pipeline'!B9&lt;&gt;""))&gt;0,IF('MiT Strom Pipeline'!D9="","",'MiT Strom Pipeline'!D9),"")</f>
        <v>Events &amp; Sport</v>
      </c>
      <c r="E14" s="27" t="str">
        <f>IF(((('MiT Strom Pipeline'!R9="WON"))*('MiT Strom Pipeline'!B9&lt;&gt;""))&gt;0,IF('MiT Strom Pipeline'!H9="","",'MiT Strom Pipeline'!H9),"")</f>
        <v>Mai</v>
      </c>
      <c r="F14" s="27" t="str">
        <f>IF(((('MiT Strom Pipeline'!R9="WON"))*('MiT Strom Pipeline'!B9&lt;&gt;""))&gt;0,IF('MiT Strom Pipeline'!E9="","",'MiT Strom Pipeline'!E9),"")</f>
        <v>2×600+2×200 kVA</v>
      </c>
      <c r="G14" s="28">
        <f>IF(((('MiT Strom Pipeline'!R9="WON"))*('MiT Strom Pipeline'!B9&lt;&gt;""))&gt;0,IF(ISNUMBER('MiT Strom Pipeline'!I9),'MiT Strom Pipeline'!I9,0),"")</f>
        <v>310000</v>
      </c>
      <c r="H14" s="28">
        <f>IF(((('MiT Strom Pipeline'!R9="WON"))*('MiT Strom Pipeline'!B9&lt;&gt;""))&gt;0,IF(ISNUMBER('MiT Strom Pipeline'!Q9),'MiT Strom Pipeline'!Q9,0),"")</f>
        <v>310000</v>
      </c>
      <c r="I14" s="27" t="str">
        <f>IF(((('MiT Strom Pipeline'!R9="WON"))*('MiT Strom Pipeline'!B9&lt;&gt;""))&gt;0,'MiT Strom Pipeline'!R9,"")</f>
        <v>WON</v>
      </c>
      <c r="J14" s="29">
        <f>IF(((('MiT Strom Pipeline'!R9="WON"))*('MiT Strom Pipeline'!B9&lt;&gt;""))&gt;0,IF(ISNUMBER('MiT Strom Pipeline'!S9),'MiT Strom Pipeline'!S9,""),"")</f>
        <v>1</v>
      </c>
      <c r="K14" s="27" t="str">
        <f>IF(((('MiT Strom Pipeline'!R9="WON"))*('MiT Strom Pipeline'!B9&lt;&gt;""))&gt;0,IF(LEN('MiT Strom Pipeline'!V9)&gt;0,LEFT('MiT Strom Pipeline'!V9,55),""),"")</f>
        <v>✅ Einsatzplanung läuft – Logistik finalisieren</v>
      </c>
      <c r="L14" s="22" t="n"/>
      <c r="M14" s="22" t="n"/>
      <c r="N14" s="23" t="n"/>
      <c r="O14" s="22" t="n"/>
      <c r="P14" s="22" t="n"/>
      <c r="Q14" s="22" t="n"/>
      <c r="R14" s="22" t="n"/>
      <c r="S14" s="22" t="n"/>
    </row>
    <row r="15" ht="15.75" customHeight="1">
      <c r="A15" s="26">
        <f>IF(((('MiT Strom Pipeline'!R10="WON"))*('MiT Strom Pipeline'!B10&lt;&gt;""))&gt;0,IF(ISNUMBER('MiT Strom Pipeline'!A10),'MiT Strom Pipeline'!A10,""),"")</f>
        <v>2</v>
      </c>
      <c r="B15" s="27" t="str">
        <f>IF(((('MiT Strom Pipeline'!R10="WON"))*('MiT Strom Pipeline'!B10&lt;&gt;""))&gt;0,IF('MiT Strom Pipeline'!B10="","",'MiT Strom Pipeline'!B10),"")</f>
        <v>Oerlikon Metco Wohlen</v>
      </c>
      <c r="C15" s="27" t="str">
        <f>IF(((('MiT Strom Pipeline'!R10="WON"))*('MiT Strom Pipeline'!B10&lt;&gt;""))&gt;0,IF('MiT Strom Pipeline'!C10="","",'MiT Strom Pipeline'!C10),"")</f>
        <v>AG</v>
      </c>
      <c r="D15" s="27" t="str">
        <f>IF(((('MiT Strom Pipeline'!R10="WON"))*('MiT Strom Pipeline'!B10&lt;&gt;""))&gt;0,IF('MiT Strom Pipeline'!D10="","",'MiT Strom Pipeline'!D10),"")</f>
        <v>Industrie / Oberfläche</v>
      </c>
      <c r="E15" s="27" t="str">
        <f>IF(((('MiT Strom Pipeline'!R10="WON"))*('MiT Strom Pipeline'!B10&lt;&gt;""))&gt;0,IF('MiT Strom Pipeline'!H10="","",'MiT Strom Pipeline'!H10),"")</f>
        <v>April</v>
      </c>
      <c r="F15" s="27" t="str">
        <f>IF(((('MiT Strom Pipeline'!R10="WON"))*('MiT Strom Pipeline'!B10&lt;&gt;""))&gt;0,IF('MiT Strom Pipeline'!E10="","",'MiT Strom Pipeline'!E10),"")</f>
        <v>240 kVA Generator</v>
      </c>
      <c r="G15" s="28">
        <f>IF(((('MiT Strom Pipeline'!R10="WON"))*('MiT Strom Pipeline'!B10&lt;&gt;""))&gt;0,IF(ISNUMBER('MiT Strom Pipeline'!I10),'MiT Strom Pipeline'!I10,0),"")</f>
        <v>13100</v>
      </c>
      <c r="H15" s="28">
        <f>IF(((('MiT Strom Pipeline'!R10="WON"))*('MiT Strom Pipeline'!B10&lt;&gt;""))&gt;0,IF(ISNUMBER('MiT Strom Pipeline'!Q10),'MiT Strom Pipeline'!Q10,0),"")</f>
        <v>13100</v>
      </c>
      <c r="I15" s="27" t="str">
        <f>IF(((('MiT Strom Pipeline'!R10="WON"))*('MiT Strom Pipeline'!B10&lt;&gt;""))&gt;0,'MiT Strom Pipeline'!R10,"")</f>
        <v>WON</v>
      </c>
      <c r="J15" s="29">
        <f>IF(((('MiT Strom Pipeline'!R10="WON"))*('MiT Strom Pipeline'!B10&lt;&gt;""))&gt;0,IF(ISNUMBER('MiT Strom Pipeline'!S10),'MiT Strom Pipeline'!S10,""),"")</f>
        <v>1</v>
      </c>
      <c r="K15" s="27" t="str">
        <f>IF(((('MiT Strom Pipeline'!R10="WON"))*('MiT Strom Pipeline'!B10&lt;&gt;""))&gt;0,IF(LEN('MiT Strom Pipeline'!V10)&gt;0,LEFT('MiT Strom Pipeline'!V10,55),""),"")</f>
        <v>✅ Abgeschlossen – Invoice prüfen, Referenz sichern</v>
      </c>
      <c r="L15" s="22" t="n"/>
      <c r="M15" s="22" t="n"/>
      <c r="N15" s="23" t="n"/>
      <c r="O15" s="22" t="n"/>
      <c r="P15" s="22" t="n"/>
      <c r="Q15" s="22" t="n"/>
      <c r="R15" s="22" t="n"/>
      <c r="S15" s="22" t="n"/>
    </row>
    <row r="16" ht="15.75" customHeight="1">
      <c r="A16" s="26">
        <f>IF(((('MiT Strom Pipeline'!R11="WON"))*('MiT Strom Pipeline'!B11&lt;&gt;""))&gt;0,IF(ISNUMBER('MiT Strom Pipeline'!A11),'MiT Strom Pipeline'!A11,""),"")</f>
        <v/>
      </c>
      <c r="B16" s="27">
        <f>IF(((('MiT Strom Pipeline'!R11="WON"))*('MiT Strom Pipeline'!B11&lt;&gt;""))&gt;0,IF('MiT Strom Pipeline'!B11="","",'MiT Strom Pipeline'!B11),"")</f>
        <v/>
      </c>
      <c r="C16" s="27">
        <f>IF(((('MiT Strom Pipeline'!R11="WON"))*('MiT Strom Pipeline'!B11&lt;&gt;""))&gt;0,IF('MiT Strom Pipeline'!C11="","",'MiT Strom Pipeline'!C11),"")</f>
        <v/>
      </c>
      <c r="D16" s="27">
        <f>IF(((('MiT Strom Pipeline'!R11="WON"))*('MiT Strom Pipeline'!B11&lt;&gt;""))&gt;0,IF('MiT Strom Pipeline'!D11="","",'MiT Strom Pipeline'!D11),"")</f>
        <v/>
      </c>
      <c r="E16" s="27">
        <f>IF(((('MiT Strom Pipeline'!R11="WON"))*('MiT Strom Pipeline'!B11&lt;&gt;""))&gt;0,IF('MiT Strom Pipeline'!H11="","",'MiT Strom Pipeline'!H11),"")</f>
        <v/>
      </c>
      <c r="F16" s="27">
        <f>IF(((('MiT Strom Pipeline'!R11="WON"))*('MiT Strom Pipeline'!B11&lt;&gt;""))&gt;0,IF('MiT Strom Pipeline'!E11="","",'MiT Strom Pipeline'!E11),"")</f>
        <v/>
      </c>
      <c r="G16" s="28">
        <f>IF(((('MiT Strom Pipeline'!R11="WON"))*('MiT Strom Pipeline'!B11&lt;&gt;""))&gt;0,IF(ISNUMBER('MiT Strom Pipeline'!I11),'MiT Strom Pipeline'!I11,0),"")</f>
        <v/>
      </c>
      <c r="H16" s="28">
        <f>IF(((('MiT Strom Pipeline'!R11="WON"))*('MiT Strom Pipeline'!B11&lt;&gt;""))&gt;0,IF(ISNUMBER('MiT Strom Pipeline'!Q11),'MiT Strom Pipeline'!Q11,0),"")</f>
        <v/>
      </c>
      <c r="I16" s="27">
        <f>IF(((('MiT Strom Pipeline'!R11="WON"))*('MiT Strom Pipeline'!B11&lt;&gt;""))&gt;0,'MiT Strom Pipeline'!R11,"")</f>
        <v/>
      </c>
      <c r="J16" s="29">
        <f>IF(((('MiT Strom Pipeline'!R11="WON"))*('MiT Strom Pipeline'!B11&lt;&gt;""))&gt;0,IF(ISNUMBER('MiT Strom Pipeline'!S11),'MiT Strom Pipeline'!S11,""),"")</f>
        <v/>
      </c>
      <c r="K16" s="27">
        <f>IF(((('MiT Strom Pipeline'!R11="WON"))*('MiT Strom Pipeline'!B11&lt;&gt;""))&gt;0,IF(LEN('MiT Strom Pipeline'!V11)&gt;0,LEFT('MiT Strom Pipeline'!V11,55),""),"")</f>
        <v/>
      </c>
      <c r="L16" s="22" t="n"/>
      <c r="M16" s="22" t="n"/>
      <c r="N16" s="22" t="n"/>
      <c r="O16" s="22" t="n"/>
      <c r="P16" s="22" t="n"/>
      <c r="Q16" s="22" t="n"/>
      <c r="R16" s="22" t="n"/>
      <c r="S16" s="22" t="n"/>
    </row>
    <row r="17" ht="15.75" customHeight="1">
      <c r="A17" s="26">
        <f>IF(((('MiT Strom Pipeline'!R12="WON"))*('MiT Strom Pipeline'!B12&lt;&gt;""))&gt;0,IF(ISNUMBER('MiT Strom Pipeline'!A12),'MiT Strom Pipeline'!A12,""),"")</f>
        <v>3</v>
      </c>
      <c r="B17" s="27" t="str">
        <f>IF(((('MiT Strom Pipeline'!R12="WON"))*('MiT Strom Pipeline'!B12&lt;&gt;""))&gt;0,IF('MiT Strom Pipeline'!B12="","",'MiT Strom Pipeline'!B12),"")</f>
        <v>Siemens</v>
      </c>
      <c r="C17" s="27" t="str">
        <f>IF(((('MiT Strom Pipeline'!R12="WON"))*('MiT Strom Pipeline'!B12&lt;&gt;""))&gt;0,IF('MiT Strom Pipeline'!C12="","",'MiT Strom Pipeline'!C12),"")</f>
        <v>ZH</v>
      </c>
      <c r="D17" s="27" t="str">
        <f>IF(((('MiT Strom Pipeline'!R12="WON"))*('MiT Strom Pipeline'!B12&lt;&gt;""))&gt;0,IF('MiT Strom Pipeline'!D12="","",'MiT Strom Pipeline'!D12),"")</f>
        <v>Industrie / Elektro</v>
      </c>
      <c r="E17" s="27" t="str">
        <f>IF(((('MiT Strom Pipeline'!R12="WON"))*('MiT Strom Pipeline'!B12&lt;&gt;""))&gt;0,IF('MiT Strom Pipeline'!H12="","",'MiT Strom Pipeline'!H12),"")</f>
        <v>tbd</v>
      </c>
      <c r="F17" s="27" t="str">
        <f>IF(((('MiT Strom Pipeline'!R12="WON"))*('MiT Strom Pipeline'!B12&lt;&gt;""))&gt;0,IF('MiT Strom Pipeline'!E12="","",'MiT Strom Pipeline'!E12),"")</f>
        <v>600 kVA Generator</v>
      </c>
      <c r="G17" s="28">
        <f>IF(((('MiT Strom Pipeline'!R12="WON"))*('MiT Strom Pipeline'!B12&lt;&gt;""))&gt;0,IF(ISNUMBER('MiT Strom Pipeline'!I12),'MiT Strom Pipeline'!I12,0),"")</f>
        <v>10000</v>
      </c>
      <c r="H17" s="28">
        <f>IF(((('MiT Strom Pipeline'!R12="WON"))*('MiT Strom Pipeline'!B12&lt;&gt;""))&gt;0,IF(ISNUMBER('MiT Strom Pipeline'!Q12),'MiT Strom Pipeline'!Q12,0),"")</f>
        <v>10000</v>
      </c>
      <c r="I17" s="27" t="str">
        <f>IF(((('MiT Strom Pipeline'!R12="WON"))*('MiT Strom Pipeline'!B12&lt;&gt;""))&gt;0,'MiT Strom Pipeline'!R12,"")</f>
        <v>WON</v>
      </c>
      <c r="J17" s="29">
        <f>IF(((('MiT Strom Pipeline'!R12="WON"))*('MiT Strom Pipeline'!B12&lt;&gt;""))&gt;0,IF(ISNUMBER('MiT Strom Pipeline'!S12),'MiT Strom Pipeline'!S12,""),"")</f>
        <v>1</v>
      </c>
      <c r="K17" s="27" t="str">
        <f>IF(((('MiT Strom Pipeline'!R12="WON"))*('MiT Strom Pipeline'!B12&lt;&gt;""))&gt;0,IF(LEN('MiT Strom Pipeline'!V12)&gt;0,LEFT('MiT Strom Pipeline'!V12,55),""),"")</f>
        <v>✅ Referenzschreiben anfordern</v>
      </c>
      <c r="L17" s="22" t="n"/>
      <c r="M17" s="22" t="n"/>
      <c r="N17" s="22" t="n"/>
      <c r="O17" s="22" t="n"/>
      <c r="P17" s="22" t="n"/>
      <c r="Q17" s="22" t="n"/>
      <c r="R17" s="22" t="n"/>
      <c r="S17" s="22" t="n"/>
    </row>
    <row r="18" ht="15.75" customHeight="1">
      <c r="A18" s="26">
        <f>IF(((('MiT Strom Pipeline'!R13="WON"))*('MiT Strom Pipeline'!B13&lt;&gt;""))&gt;0,IF(ISNUMBER('MiT Strom Pipeline'!A13),'MiT Strom Pipeline'!A13,""),"")</f>
        <v>4</v>
      </c>
      <c r="B18" s="27" t="str">
        <f>IF(((('MiT Strom Pipeline'!R13="WON"))*('MiT Strom Pipeline'!B13&lt;&gt;""))&gt;0,IF('MiT Strom Pipeline'!B13="","",'MiT Strom Pipeline'!B13),"")</f>
        <v>Stagelight – OpenAir Frauenfeld</v>
      </c>
      <c r="C18" s="27" t="str">
        <f>IF(((('MiT Strom Pipeline'!R13="WON"))*('MiT Strom Pipeline'!B13&lt;&gt;""))&gt;0,IF('MiT Strom Pipeline'!C13="","",'MiT Strom Pipeline'!C13),"")</f>
        <v>TG</v>
      </c>
      <c r="D18" s="27" t="str">
        <f>IF(((('MiT Strom Pipeline'!R13="WON"))*('MiT Strom Pipeline'!B13&lt;&gt;""))&gt;0,IF('MiT Strom Pipeline'!D13="","",'MiT Strom Pipeline'!D13),"")</f>
        <v>Events &amp; Kultur</v>
      </c>
      <c r="E18" s="27" t="str">
        <f>IF(((('MiT Strom Pipeline'!R13="WON"))*('MiT Strom Pipeline'!B13&lt;&gt;""))&gt;0,IF('MiT Strom Pipeline'!H13="","",'MiT Strom Pipeline'!H13),"")</f>
        <v>Juli</v>
      </c>
      <c r="F18" s="27" t="str">
        <f>IF(((('MiT Strom Pipeline'!R13="WON"))*('MiT Strom Pipeline'!B13&lt;&gt;""))&gt;0,IF('MiT Strom Pipeline'!E13="","",'MiT Strom Pipeline'!E13),"")</f>
        <v>~500 kVA Generator</v>
      </c>
      <c r="G18" s="28">
        <f>IF(((('MiT Strom Pipeline'!R13="WON"))*('MiT Strom Pipeline'!B13&lt;&gt;""))&gt;0,IF(ISNUMBER('MiT Strom Pipeline'!I13),'MiT Strom Pipeline'!I13,0),"")</f>
        <v>150000</v>
      </c>
      <c r="H18" s="28">
        <f>IF(((('MiT Strom Pipeline'!R13="WON"))*('MiT Strom Pipeline'!B13&lt;&gt;""))&gt;0,IF(ISNUMBER('MiT Strom Pipeline'!Q13),'MiT Strom Pipeline'!Q13,0),"")</f>
        <v>150000</v>
      </c>
      <c r="I18" s="27" t="str">
        <f>IF(((('MiT Strom Pipeline'!R13="WON"))*('MiT Strom Pipeline'!B13&lt;&gt;""))&gt;0,'MiT Strom Pipeline'!R13,"")</f>
        <v>WON</v>
      </c>
      <c r="J18" s="29">
        <f>IF(((('MiT Strom Pipeline'!R13="WON"))*('MiT Strom Pipeline'!B13&lt;&gt;""))&gt;0,IF(ISNUMBER('MiT Strom Pipeline'!S13),'MiT Strom Pipeline'!S13,""),"")</f>
        <v>1</v>
      </c>
      <c r="K18" s="27" t="str">
        <f>IF(((('MiT Strom Pipeline'!R13="WON"))*('MiT Strom Pipeline'!B13&lt;&gt;""))&gt;0,IF(LEN('MiT Strom Pipeline'!V13)&gt;0,LEFT('MiT Strom Pipeline'!V13,55),""),"")</f>
        <v>Follow-up + Vertragsverhandlung initiieren</v>
      </c>
      <c r="L18" s="22" t="n"/>
      <c r="M18" s="22" t="n"/>
      <c r="N18" s="22" t="n"/>
      <c r="O18" s="22" t="n"/>
      <c r="P18" s="22" t="n"/>
      <c r="Q18" s="22" t="n"/>
      <c r="R18" s="22" t="n"/>
      <c r="S18" s="22" t="n"/>
    </row>
    <row r="19" ht="15.75" customHeight="1">
      <c r="A19" s="26">
        <f>IF(((('MiT Strom Pipeline'!R14="WON"))*('MiT Strom Pipeline'!B14&lt;&gt;""))&gt;0,IF(ISNUMBER('MiT Strom Pipeline'!A14),'MiT Strom Pipeline'!A14,""),"")</f>
        <v>10</v>
      </c>
      <c r="B19" s="27" t="str">
        <f>IF(((('MiT Strom Pipeline'!R14="WON"))*('MiT Strom Pipeline'!B14&lt;&gt;""))&gt;0,IF('MiT Strom Pipeline'!B14="","",'MiT Strom Pipeline'!B14),"")</f>
        <v>Murg Flums Energie</v>
      </c>
      <c r="C19" s="27" t="str">
        <f>IF(((('MiT Strom Pipeline'!R14="WON"))*('MiT Strom Pipeline'!B14&lt;&gt;""))&gt;0,IF('MiT Strom Pipeline'!C14="","",'MiT Strom Pipeline'!C14),"")</f>
        <v>SG</v>
      </c>
      <c r="D19" s="27" t="str">
        <f>IF(((('MiT Strom Pipeline'!R14="WON"))*('MiT Strom Pipeline'!B14&lt;&gt;""))&gt;0,IF('MiT Strom Pipeline'!D14="","",'MiT Strom Pipeline'!D14),"")</f>
        <v>EVU / Energie</v>
      </c>
      <c r="E19" s="27" t="str">
        <f>IF(((('MiT Strom Pipeline'!R14="WON"))*('MiT Strom Pipeline'!B14&lt;&gt;""))&gt;0,IF('MiT Strom Pipeline'!H14="","",'MiT Strom Pipeline'!H14),"")</f>
        <v>Auf Abruf</v>
      </c>
      <c r="F19" s="27" t="str">
        <f>IF(((('MiT Strom Pipeline'!R14="WON"))*('MiT Strom Pipeline'!B14&lt;&gt;""))&gt;0,IF('MiT Strom Pipeline'!E14="","",'MiT Strom Pipeline'!E14),"")</f>
        <v>250 kVA Generator</v>
      </c>
      <c r="G19" s="28">
        <f>IF(((('MiT Strom Pipeline'!R14="WON"))*('MiT Strom Pipeline'!B14&lt;&gt;""))&gt;0,IF(ISNUMBER('MiT Strom Pipeline'!I14),'MiT Strom Pipeline'!I14,0),"")</f>
        <v>96658.69</v>
      </c>
      <c r="H19" s="28">
        <f>IF(((('MiT Strom Pipeline'!R14="WON"))*('MiT Strom Pipeline'!B14&lt;&gt;""))&gt;0,IF(ISNUMBER('MiT Strom Pipeline'!Q14),'MiT Strom Pipeline'!Q14,0),"")</f>
        <v>96658.69</v>
      </c>
      <c r="I19" s="27" t="str">
        <f>IF(((('MiT Strom Pipeline'!R14="WON"))*('MiT Strom Pipeline'!B14&lt;&gt;""))&gt;0,'MiT Strom Pipeline'!R14,"")</f>
        <v>WON</v>
      </c>
      <c r="J19" s="29">
        <f>IF(((('MiT Strom Pipeline'!R14="WON"))*('MiT Strom Pipeline'!B14&lt;&gt;""))&gt;0,IF(ISNUMBER('MiT Strom Pipeline'!S14),'MiT Strom Pipeline'!S14,""),"")</f>
        <v>1</v>
      </c>
      <c r="K19" s="27" t="str">
        <f>IF(((('MiT Strom Pipeline'!R14="WON"))*('MiT Strom Pipeline'!B14&lt;&gt;""))&gt;0,IF(LEN('MiT Strom Pipeline'!V14)&gt;0,LEFT('MiT Strom Pipeline'!V14,55),""),"")</f>
        <v>Bedarfsanalyse, NEA-Konzept vorschlagen, Termin vor Ort</v>
      </c>
      <c r="L19" s="22" t="n"/>
      <c r="M19" s="22" t="n"/>
      <c r="N19" s="22" t="n"/>
      <c r="O19" s="22" t="n"/>
      <c r="P19" s="22" t="n"/>
      <c r="Q19" s="22" t="n"/>
      <c r="R19" s="22" t="n"/>
      <c r="S19" s="22" t="n"/>
    </row>
    <row r="20" ht="15.75" customHeight="1">
      <c r="A20" s="26">
        <f>IF(((('MiT Strom Pipeline'!R15="WON"))*('MiT Strom Pipeline'!B15&lt;&gt;""))&gt;0,IF(ISNUMBER('MiT Strom Pipeline'!A15),'MiT Strom Pipeline'!A15,""),"")</f>
        <v>21</v>
      </c>
      <c r="B20" s="27" t="str">
        <f>IF(((('MiT Strom Pipeline'!R15="WON"))*('MiT Strom Pipeline'!B15&lt;&gt;""))&gt;0,IF('MiT Strom Pipeline'!B15="","",'MiT Strom Pipeline'!B15),"")</f>
        <v>X-Event</v>
      </c>
      <c r="C20" s="27" t="str">
        <f>IF(((('MiT Strom Pipeline'!R15="WON"))*('MiT Strom Pipeline'!B15&lt;&gt;""))&gt;0,IF('MiT Strom Pipeline'!C15="","",'MiT Strom Pipeline'!C15),"")</f>
        <v>SH</v>
      </c>
      <c r="D20" s="27" t="str">
        <f>IF(((('MiT Strom Pipeline'!R15="WON"))*('MiT Strom Pipeline'!B15&lt;&gt;""))&gt;0,IF('MiT Strom Pipeline'!D15="","",'MiT Strom Pipeline'!D15),"")</f>
        <v>Events / Medien</v>
      </c>
      <c r="E20" s="27" t="str">
        <f>IF(((('MiT Strom Pipeline'!R15="WON"))*('MiT Strom Pipeline'!B15&lt;&gt;""))&gt;0,IF('MiT Strom Pipeline'!H15="","",'MiT Strom Pipeline'!H15),"")</f>
        <v>Juni</v>
      </c>
      <c r="F20" s="27" t="str">
        <f>IF(((('MiT Strom Pipeline'!R15="WON"))*('MiT Strom Pipeline'!B15&lt;&gt;""))&gt;0,IF('MiT Strom Pipeline'!E15="","",'MiT Strom Pipeline'!E15),"")</f>
        <v>100 kVA Generator</v>
      </c>
      <c r="G20" s="28">
        <f>IF(((('MiT Strom Pipeline'!R15="WON"))*('MiT Strom Pipeline'!B15&lt;&gt;""))&gt;0,IF(ISNUMBER('MiT Strom Pipeline'!I15),'MiT Strom Pipeline'!I15,0),"")</f>
        <v>0</v>
      </c>
      <c r="H20" s="28">
        <f>IF(((('MiT Strom Pipeline'!R15="WON"))*('MiT Strom Pipeline'!B15&lt;&gt;""))&gt;0,IF(ISNUMBER('MiT Strom Pipeline'!Q15),'MiT Strom Pipeline'!Q15,0),"")</f>
        <v>0</v>
      </c>
      <c r="I20" s="27" t="str">
        <f>IF(((('MiT Strom Pipeline'!R15="WON"))*('MiT Strom Pipeline'!B15&lt;&gt;""))&gt;0,'MiT Strom Pipeline'!R15,"")</f>
        <v>WON</v>
      </c>
      <c r="J20" s="29">
        <f>IF(((('MiT Strom Pipeline'!R15="WON"))*('MiT Strom Pipeline'!B15&lt;&gt;""))&gt;0,IF(ISNUMBER('MiT Strom Pipeline'!S15),'MiT Strom Pipeline'!S15,""),"")</f>
        <v>1</v>
      </c>
      <c r="K20" s="27" t="str">
        <f>IF(((('MiT Strom Pipeline'!R15="WON"))*('MiT Strom Pipeline'!B15&lt;&gt;""))&gt;0,IF(LEN('MiT Strom Pipeline'!V15)&gt;0,LEFT('MiT Strom Pipeline'!V15,55),""),"")</f>
        <v>Kunde Telefon Kontaktiert und Vor Ort 
Besichtigung und</v>
      </c>
      <c r="L20" s="22" t="n"/>
      <c r="M20" s="22" t="n"/>
      <c r="N20" s="22" t="n"/>
      <c r="O20" s="22" t="n"/>
      <c r="P20" s="22" t="n"/>
      <c r="Q20" s="22" t="n"/>
      <c r="R20" s="22" t="n"/>
      <c r="S20" s="22" t="n"/>
    </row>
    <row r="21" ht="15.75" customHeight="1">
      <c r="A21" s="26">
        <f>IF(((('MiT Strom Pipeline'!R16="WON"))*('MiT Strom Pipeline'!B16&lt;&gt;""))&gt;0,IF(ISNUMBER('MiT Strom Pipeline'!A16),'MiT Strom Pipeline'!A16,""),"")</f>
        <v/>
      </c>
      <c r="B21" s="27">
        <f>IF(((('MiT Strom Pipeline'!R16="WON"))*('MiT Strom Pipeline'!B16&lt;&gt;""))&gt;0,IF('MiT Strom Pipeline'!B16="","",'MiT Strom Pipeline'!B16),"")</f>
        <v/>
      </c>
      <c r="C21" s="27">
        <f>IF(((('MiT Strom Pipeline'!R16="WON"))*('MiT Strom Pipeline'!B16&lt;&gt;""))&gt;0,IF('MiT Strom Pipeline'!C16="","",'MiT Strom Pipeline'!C16),"")</f>
        <v/>
      </c>
      <c r="D21" s="27">
        <f>IF(((('MiT Strom Pipeline'!R16="WON"))*('MiT Strom Pipeline'!B16&lt;&gt;""))&gt;0,IF('MiT Strom Pipeline'!D16="","",'MiT Strom Pipeline'!D16),"")</f>
        <v/>
      </c>
      <c r="E21" s="27">
        <f>IF(((('MiT Strom Pipeline'!R16="WON"))*('MiT Strom Pipeline'!B16&lt;&gt;""))&gt;0,IF('MiT Strom Pipeline'!H16="","",'MiT Strom Pipeline'!H16),"")</f>
        <v/>
      </c>
      <c r="F21" s="27">
        <f>IF(((('MiT Strom Pipeline'!R16="WON"))*('MiT Strom Pipeline'!B16&lt;&gt;""))&gt;0,IF('MiT Strom Pipeline'!E16="","",'MiT Strom Pipeline'!E16),"")</f>
        <v/>
      </c>
      <c r="G21" s="28">
        <f>IF(((('MiT Strom Pipeline'!R16="WON"))*('MiT Strom Pipeline'!B16&lt;&gt;""))&gt;0,IF(ISNUMBER('MiT Strom Pipeline'!I16),'MiT Strom Pipeline'!I16,0),"")</f>
        <v/>
      </c>
      <c r="H21" s="28">
        <f>IF(((('MiT Strom Pipeline'!R16="WON"))*('MiT Strom Pipeline'!B16&lt;&gt;""))&gt;0,IF(ISNUMBER('MiT Strom Pipeline'!Q16),'MiT Strom Pipeline'!Q16,0),"")</f>
        <v/>
      </c>
      <c r="I21" s="27">
        <f>IF(((('MiT Strom Pipeline'!R16="WON"))*('MiT Strom Pipeline'!B16&lt;&gt;""))&gt;0,'MiT Strom Pipeline'!R16,"")</f>
        <v/>
      </c>
      <c r="J21" s="29">
        <f>IF(((('MiT Strom Pipeline'!R16="WON"))*('MiT Strom Pipeline'!B16&lt;&gt;""))&gt;0,IF(ISNUMBER('MiT Strom Pipeline'!S16),'MiT Strom Pipeline'!S16,""),"")</f>
        <v/>
      </c>
      <c r="K21" s="27">
        <f>IF(((('MiT Strom Pipeline'!R16="WON"))*('MiT Strom Pipeline'!B16&lt;&gt;""))&gt;0,IF(LEN('MiT Strom Pipeline'!V16)&gt;0,LEFT('MiT Strom Pipeline'!V16,55),""),"")</f>
        <v/>
      </c>
      <c r="L21" s="22" t="n"/>
      <c r="M21" s="22" t="n"/>
      <c r="N21" s="22" t="n"/>
      <c r="O21" s="22" t="n"/>
      <c r="P21" s="22" t="n"/>
      <c r="Q21" s="22" t="n"/>
      <c r="R21" s="22" t="n"/>
      <c r="S21" s="22" t="n"/>
    </row>
    <row r="22" ht="15.75" customHeight="1">
      <c r="A22" s="26">
        <f>IF(((('MiT Strom Pipeline'!R17="WON"))*('MiT Strom Pipeline'!B17&lt;&gt;""))&gt;0,IF(ISNUMBER('MiT Strom Pipeline'!A17),'MiT Strom Pipeline'!A17,""),"")</f>
        <v/>
      </c>
      <c r="B22" s="27">
        <f>IF(((('MiT Strom Pipeline'!R17="WON"))*('MiT Strom Pipeline'!B17&lt;&gt;""))&gt;0,IF('MiT Strom Pipeline'!B17="","",'MiT Strom Pipeline'!B17),"")</f>
        <v/>
      </c>
      <c r="C22" s="27">
        <f>IF(((('MiT Strom Pipeline'!R17="WON"))*('MiT Strom Pipeline'!B17&lt;&gt;""))&gt;0,IF('MiT Strom Pipeline'!C17="","",'MiT Strom Pipeline'!C17),"")</f>
        <v/>
      </c>
      <c r="D22" s="27">
        <f>IF(((('MiT Strom Pipeline'!R17="WON"))*('MiT Strom Pipeline'!B17&lt;&gt;""))&gt;0,IF('MiT Strom Pipeline'!D17="","",'MiT Strom Pipeline'!D17),"")</f>
        <v/>
      </c>
      <c r="E22" s="27">
        <f>IF(((('MiT Strom Pipeline'!R17="WON"))*('MiT Strom Pipeline'!B17&lt;&gt;""))&gt;0,IF('MiT Strom Pipeline'!H17="","",'MiT Strom Pipeline'!H17),"")</f>
        <v/>
      </c>
      <c r="F22" s="27">
        <f>IF(((('MiT Strom Pipeline'!R17="WON"))*('MiT Strom Pipeline'!B17&lt;&gt;""))&gt;0,IF('MiT Strom Pipeline'!E17="","",'MiT Strom Pipeline'!E17),"")</f>
        <v/>
      </c>
      <c r="G22" s="28">
        <f>IF(((('MiT Strom Pipeline'!R17="WON"))*('MiT Strom Pipeline'!B17&lt;&gt;""))&gt;0,IF(ISNUMBER('MiT Strom Pipeline'!I17),'MiT Strom Pipeline'!I17,0),"")</f>
        <v/>
      </c>
      <c r="H22" s="28">
        <f>IF(((('MiT Strom Pipeline'!R17="WON"))*('MiT Strom Pipeline'!B17&lt;&gt;""))&gt;0,IF(ISNUMBER('MiT Strom Pipeline'!Q17),'MiT Strom Pipeline'!Q17,0),"")</f>
        <v/>
      </c>
      <c r="I22" s="27">
        <f>IF(((('MiT Strom Pipeline'!R17="WON"))*('MiT Strom Pipeline'!B17&lt;&gt;""))&gt;0,'MiT Strom Pipeline'!R17,"")</f>
        <v/>
      </c>
      <c r="J22" s="29">
        <f>IF(((('MiT Strom Pipeline'!R17="WON"))*('MiT Strom Pipeline'!B17&lt;&gt;""))&gt;0,IF(ISNUMBER('MiT Strom Pipeline'!S17),'MiT Strom Pipeline'!S17,""),"")</f>
        <v/>
      </c>
      <c r="K22" s="27">
        <f>IF(((('MiT Strom Pipeline'!R17="WON"))*('MiT Strom Pipeline'!B17&lt;&gt;""))&gt;0,IF(LEN('MiT Strom Pipeline'!V17)&gt;0,LEFT('MiT Strom Pipeline'!V17,55),""),"")</f>
        <v/>
      </c>
      <c r="L22" s="22" t="n"/>
      <c r="M22" s="22" t="n"/>
      <c r="N22" s="22" t="n"/>
      <c r="O22" s="22" t="n"/>
      <c r="P22" s="22" t="n"/>
      <c r="Q22" s="22" t="n"/>
      <c r="R22" s="22" t="n"/>
      <c r="S22" s="22" t="n"/>
    </row>
    <row r="23" ht="15.75" customHeight="1">
      <c r="A23" s="26">
        <f>IF(((('MiT Strom Pipeline'!R18="WON"))*('MiT Strom Pipeline'!B18&lt;&gt;""))&gt;0,IF(ISNUMBER('MiT Strom Pipeline'!A18),'MiT Strom Pipeline'!A18,""),"")</f>
        <v/>
      </c>
      <c r="B23" s="27">
        <f>IF(((('MiT Strom Pipeline'!R18="WON"))*('MiT Strom Pipeline'!B18&lt;&gt;""))&gt;0,IF('MiT Strom Pipeline'!B18="","",'MiT Strom Pipeline'!B18),"")</f>
        <v/>
      </c>
      <c r="C23" s="27">
        <f>IF(((('MiT Strom Pipeline'!R18="WON"))*('MiT Strom Pipeline'!B18&lt;&gt;""))&gt;0,IF('MiT Strom Pipeline'!C18="","",'MiT Strom Pipeline'!C18),"")</f>
        <v/>
      </c>
      <c r="D23" s="27">
        <f>IF(((('MiT Strom Pipeline'!R18="WON"))*('MiT Strom Pipeline'!B18&lt;&gt;""))&gt;0,IF('MiT Strom Pipeline'!D18="","",'MiT Strom Pipeline'!D18),"")</f>
        <v/>
      </c>
      <c r="E23" s="27">
        <f>IF(((('MiT Strom Pipeline'!R18="WON"))*('MiT Strom Pipeline'!B18&lt;&gt;""))&gt;0,IF('MiT Strom Pipeline'!H18="","",'MiT Strom Pipeline'!H18),"")</f>
        <v/>
      </c>
      <c r="F23" s="27">
        <f>IF(((('MiT Strom Pipeline'!R18="WON"))*('MiT Strom Pipeline'!B18&lt;&gt;""))&gt;0,IF('MiT Strom Pipeline'!E18="","",'MiT Strom Pipeline'!E18),"")</f>
        <v/>
      </c>
      <c r="G23" s="28">
        <f>IF(((('MiT Strom Pipeline'!R18="WON"))*('MiT Strom Pipeline'!B18&lt;&gt;""))&gt;0,IF(ISNUMBER('MiT Strom Pipeline'!I18),'MiT Strom Pipeline'!I18,0),"")</f>
        <v/>
      </c>
      <c r="H23" s="28">
        <f>IF(((('MiT Strom Pipeline'!R18="WON"))*('MiT Strom Pipeline'!B18&lt;&gt;""))&gt;0,IF(ISNUMBER('MiT Strom Pipeline'!Q18),'MiT Strom Pipeline'!Q18,0),"")</f>
        <v/>
      </c>
      <c r="I23" s="27">
        <f>IF(((('MiT Strom Pipeline'!R18="WON"))*('MiT Strom Pipeline'!B18&lt;&gt;""))&gt;0,'MiT Strom Pipeline'!R18,"")</f>
        <v/>
      </c>
      <c r="J23" s="29">
        <f>IF(((('MiT Strom Pipeline'!R18="WON"))*('MiT Strom Pipeline'!B18&lt;&gt;""))&gt;0,IF(ISNUMBER('MiT Strom Pipeline'!S18),'MiT Strom Pipeline'!S18,""),"")</f>
        <v/>
      </c>
      <c r="K23" s="27">
        <f>IF(((('MiT Strom Pipeline'!R18="WON"))*('MiT Strom Pipeline'!B18&lt;&gt;""))&gt;0,IF(LEN('MiT Strom Pipeline'!V18)&gt;0,LEFT('MiT Strom Pipeline'!V18,55),""),"")</f>
        <v/>
      </c>
      <c r="L23" s="22" t="n"/>
      <c r="M23" s="22" t="n"/>
      <c r="N23" s="22" t="n"/>
      <c r="O23" s="22" t="n"/>
      <c r="P23" s="22" t="n"/>
      <c r="Q23" s="22" t="n"/>
      <c r="R23" s="22" t="n"/>
      <c r="S23" s="22" t="n"/>
    </row>
    <row r="24" ht="15.75" customHeight="1">
      <c r="A24" s="26">
        <f>IF(((('MiT Strom Pipeline'!R19="WON"))*('MiT Strom Pipeline'!B19&lt;&gt;""))&gt;0,IF(ISNUMBER('MiT Strom Pipeline'!A19),'MiT Strom Pipeline'!A19,""),"")</f>
        <v/>
      </c>
      <c r="B24" s="27">
        <f>IF(((('MiT Strom Pipeline'!R19="WON"))*('MiT Strom Pipeline'!B19&lt;&gt;""))&gt;0,IF('MiT Strom Pipeline'!B19="","",'MiT Strom Pipeline'!B19),"")</f>
        <v/>
      </c>
      <c r="C24" s="27">
        <f>IF(((('MiT Strom Pipeline'!R19="WON"))*('MiT Strom Pipeline'!B19&lt;&gt;""))&gt;0,IF('MiT Strom Pipeline'!C19="","",'MiT Strom Pipeline'!C19),"")</f>
        <v/>
      </c>
      <c r="D24" s="27">
        <f>IF(((('MiT Strom Pipeline'!R19="WON"))*('MiT Strom Pipeline'!B19&lt;&gt;""))&gt;0,IF('MiT Strom Pipeline'!D19="","",'MiT Strom Pipeline'!D19),"")</f>
        <v/>
      </c>
      <c r="E24" s="27">
        <f>IF(((('MiT Strom Pipeline'!R19="WON"))*('MiT Strom Pipeline'!B19&lt;&gt;""))&gt;0,IF('MiT Strom Pipeline'!H19="","",'MiT Strom Pipeline'!H19),"")</f>
        <v/>
      </c>
      <c r="F24" s="27">
        <f>IF(((('MiT Strom Pipeline'!R19="WON"))*('MiT Strom Pipeline'!B19&lt;&gt;""))&gt;0,IF('MiT Strom Pipeline'!E19="","",'MiT Strom Pipeline'!E19),"")</f>
        <v/>
      </c>
      <c r="G24" s="28">
        <f>IF(((('MiT Strom Pipeline'!R19="WON"))*('MiT Strom Pipeline'!B19&lt;&gt;""))&gt;0,IF(ISNUMBER('MiT Strom Pipeline'!I19),'MiT Strom Pipeline'!I19,0),"")</f>
        <v/>
      </c>
      <c r="H24" s="28">
        <f>IF(((('MiT Strom Pipeline'!R19="WON"))*('MiT Strom Pipeline'!B19&lt;&gt;""))&gt;0,IF(ISNUMBER('MiT Strom Pipeline'!Q19),'MiT Strom Pipeline'!Q19,0),"")</f>
        <v/>
      </c>
      <c r="I24" s="27">
        <f>IF(((('MiT Strom Pipeline'!R19="WON"))*('MiT Strom Pipeline'!B19&lt;&gt;""))&gt;0,'MiT Strom Pipeline'!R19,"")</f>
        <v/>
      </c>
      <c r="J24" s="29">
        <f>IF(((('MiT Strom Pipeline'!R19="WON"))*('MiT Strom Pipeline'!B19&lt;&gt;""))&gt;0,IF(ISNUMBER('MiT Strom Pipeline'!S19),'MiT Strom Pipeline'!S19,""),"")</f>
        <v/>
      </c>
      <c r="K24" s="27">
        <f>IF(((('MiT Strom Pipeline'!R19="WON"))*('MiT Strom Pipeline'!B19&lt;&gt;""))&gt;0,IF(LEN('MiT Strom Pipeline'!V19)&gt;0,LEFT('MiT Strom Pipeline'!V19,55),""),"")</f>
        <v/>
      </c>
      <c r="L24" s="22" t="n"/>
      <c r="M24" s="22" t="n"/>
      <c r="N24" s="22" t="n"/>
      <c r="O24" s="22" t="n"/>
      <c r="P24" s="22" t="n"/>
      <c r="Q24" s="22" t="n"/>
      <c r="R24" s="22" t="n"/>
      <c r="S24" s="22" t="n"/>
    </row>
    <row r="25" ht="15.75" customHeight="1">
      <c r="A25" s="26">
        <f>IF(((('MiT Strom Pipeline'!R20="WON"))*('MiT Strom Pipeline'!B20&lt;&gt;""))&gt;0,IF(ISNUMBER('MiT Strom Pipeline'!A20),'MiT Strom Pipeline'!A20,""),"")</f>
        <v/>
      </c>
      <c r="B25" s="27">
        <f>IF(((('MiT Strom Pipeline'!R20="WON"))*('MiT Strom Pipeline'!B20&lt;&gt;""))&gt;0,IF('MiT Strom Pipeline'!B20="","",'MiT Strom Pipeline'!B20),"")</f>
        <v/>
      </c>
      <c r="C25" s="27">
        <f>IF(((('MiT Strom Pipeline'!R20="WON"))*('MiT Strom Pipeline'!B20&lt;&gt;""))&gt;0,IF('MiT Strom Pipeline'!C20="","",'MiT Strom Pipeline'!C20),"")</f>
        <v/>
      </c>
      <c r="D25" s="27">
        <f>IF(((('MiT Strom Pipeline'!R20="WON"))*('MiT Strom Pipeline'!B20&lt;&gt;""))&gt;0,IF('MiT Strom Pipeline'!D20="","",'MiT Strom Pipeline'!D20),"")</f>
        <v/>
      </c>
      <c r="E25" s="27">
        <f>IF(((('MiT Strom Pipeline'!R20="WON"))*('MiT Strom Pipeline'!B20&lt;&gt;""))&gt;0,IF('MiT Strom Pipeline'!H20="","",'MiT Strom Pipeline'!H20),"")</f>
        <v/>
      </c>
      <c r="F25" s="27">
        <f>IF(((('MiT Strom Pipeline'!R20="WON"))*('MiT Strom Pipeline'!B20&lt;&gt;""))&gt;0,IF('MiT Strom Pipeline'!E20="","",'MiT Strom Pipeline'!E20),"")</f>
        <v/>
      </c>
      <c r="G25" s="28">
        <f>IF(((('MiT Strom Pipeline'!R20="WON"))*('MiT Strom Pipeline'!B20&lt;&gt;""))&gt;0,IF(ISNUMBER('MiT Strom Pipeline'!I20),'MiT Strom Pipeline'!I20,0),"")</f>
        <v/>
      </c>
      <c r="H25" s="28">
        <f>IF(((('MiT Strom Pipeline'!R20="WON"))*('MiT Strom Pipeline'!B20&lt;&gt;""))&gt;0,IF(ISNUMBER('MiT Strom Pipeline'!Q20),'MiT Strom Pipeline'!Q20,0),"")</f>
        <v/>
      </c>
      <c r="I25" s="27">
        <f>IF(((('MiT Strom Pipeline'!R20="WON"))*('MiT Strom Pipeline'!B20&lt;&gt;""))&gt;0,'MiT Strom Pipeline'!R20,"")</f>
        <v/>
      </c>
      <c r="J25" s="29">
        <f>IF(((('MiT Strom Pipeline'!R20="WON"))*('MiT Strom Pipeline'!B20&lt;&gt;""))&gt;0,IF(ISNUMBER('MiT Strom Pipeline'!S20),'MiT Strom Pipeline'!S20,""),"")</f>
        <v/>
      </c>
      <c r="K25" s="27">
        <f>IF(((('MiT Strom Pipeline'!R20="WON"))*('MiT Strom Pipeline'!B20&lt;&gt;""))&gt;0,IF(LEN('MiT Strom Pipeline'!V20)&gt;0,LEFT('MiT Strom Pipeline'!V20,55),""),"")</f>
        <v/>
      </c>
      <c r="L25" s="22" t="n"/>
      <c r="M25" s="22" t="n"/>
      <c r="N25" s="22" t="n"/>
      <c r="O25" s="22" t="n"/>
      <c r="P25" s="22" t="n"/>
      <c r="Q25" s="22" t="n"/>
      <c r="R25" s="22" t="n"/>
      <c r="S25" s="22" t="n"/>
    </row>
    <row r="26" ht="15.75" customHeight="1">
      <c r="A26" s="26">
        <f>IF(((('MiT Strom Pipeline'!R21="WON"))*('MiT Strom Pipeline'!B21&lt;&gt;""))&gt;0,IF(ISNUMBER('MiT Strom Pipeline'!A21),'MiT Strom Pipeline'!A21,""),"")</f>
        <v/>
      </c>
      <c r="B26" s="27">
        <f>IF(((('MiT Strom Pipeline'!R21="WON"))*('MiT Strom Pipeline'!B21&lt;&gt;""))&gt;0,IF('MiT Strom Pipeline'!B21="","",'MiT Strom Pipeline'!B21),"")</f>
        <v/>
      </c>
      <c r="C26" s="27">
        <f>IF(((('MiT Strom Pipeline'!R21="WON"))*('MiT Strom Pipeline'!B21&lt;&gt;""))&gt;0,IF('MiT Strom Pipeline'!C21="","",'MiT Strom Pipeline'!C21),"")</f>
        <v/>
      </c>
      <c r="D26" s="27">
        <f>IF(((('MiT Strom Pipeline'!R21="WON"))*('MiT Strom Pipeline'!B21&lt;&gt;""))&gt;0,IF('MiT Strom Pipeline'!D21="","",'MiT Strom Pipeline'!D21),"")</f>
        <v/>
      </c>
      <c r="E26" s="27">
        <f>IF(((('MiT Strom Pipeline'!R21="WON"))*('MiT Strom Pipeline'!B21&lt;&gt;""))&gt;0,IF('MiT Strom Pipeline'!H21="","",'MiT Strom Pipeline'!H21),"")</f>
        <v/>
      </c>
      <c r="F26" s="27">
        <f>IF(((('MiT Strom Pipeline'!R21="WON"))*('MiT Strom Pipeline'!B21&lt;&gt;""))&gt;0,IF('MiT Strom Pipeline'!E21="","",'MiT Strom Pipeline'!E21),"")</f>
        <v/>
      </c>
      <c r="G26" s="28">
        <f>IF(((('MiT Strom Pipeline'!R21="WON"))*('MiT Strom Pipeline'!B21&lt;&gt;""))&gt;0,IF(ISNUMBER('MiT Strom Pipeline'!I21),'MiT Strom Pipeline'!I21,0),"")</f>
        <v/>
      </c>
      <c r="H26" s="28">
        <f>IF(((('MiT Strom Pipeline'!R21="WON"))*('MiT Strom Pipeline'!B21&lt;&gt;""))&gt;0,IF(ISNUMBER('MiT Strom Pipeline'!Q21),'MiT Strom Pipeline'!Q21,0),"")</f>
        <v/>
      </c>
      <c r="I26" s="27">
        <f>IF(((('MiT Strom Pipeline'!R21="WON"))*('MiT Strom Pipeline'!B21&lt;&gt;""))&gt;0,'MiT Strom Pipeline'!R21,"")</f>
        <v/>
      </c>
      <c r="J26" s="29">
        <f>IF(((('MiT Strom Pipeline'!R21="WON"))*('MiT Strom Pipeline'!B21&lt;&gt;""))&gt;0,IF(ISNUMBER('MiT Strom Pipeline'!S21),'MiT Strom Pipeline'!S21,""),"")</f>
        <v/>
      </c>
      <c r="K26" s="27">
        <f>IF(((('MiT Strom Pipeline'!R21="WON"))*('MiT Strom Pipeline'!B21&lt;&gt;""))&gt;0,IF(LEN('MiT Strom Pipeline'!V21)&gt;0,LEFT('MiT Strom Pipeline'!V21,55),""),"")</f>
        <v/>
      </c>
      <c r="L26" s="22" t="n"/>
      <c r="M26" s="22" t="n"/>
      <c r="N26" s="22" t="n"/>
      <c r="O26" s="22" t="n"/>
      <c r="P26" s="22" t="n"/>
      <c r="Q26" s="22" t="n"/>
      <c r="R26" s="22" t="n"/>
      <c r="S26" s="22" t="n"/>
    </row>
    <row r="27" ht="15.75" customHeight="1">
      <c r="A27" s="26">
        <f>IF(((('MiT Strom Pipeline'!R22="WON"))*('MiT Strom Pipeline'!B22&lt;&gt;""))&gt;0,IF(ISNUMBER('MiT Strom Pipeline'!A22),'MiT Strom Pipeline'!A22,""),"")</f>
        <v>29</v>
      </c>
      <c r="B27" s="27" t="str">
        <f>IF(((('MiT Strom Pipeline'!R22="WON"))*('MiT Strom Pipeline'!B22&lt;&gt;""))&gt;0,IF('MiT Strom Pipeline'!B22="","",'MiT Strom Pipeline'!B22),"")</f>
        <v>Gampeln</v>
      </c>
      <c r="C27" s="27" t="str">
        <f>IF(((('MiT Strom Pipeline'!R22="WON"))*('MiT Strom Pipeline'!B22&lt;&gt;""))&gt;0,IF('MiT Strom Pipeline'!C22="","",'MiT Strom Pipeline'!C22),"")</f>
        <v>VS</v>
      </c>
      <c r="D27" s="27" t="str">
        <f>IF(((('MiT Strom Pipeline'!R22="WON"))*('MiT Strom Pipeline'!B22&lt;&gt;""))&gt;0,IF('MiT Strom Pipeline'!D22="","",'MiT Strom Pipeline'!D22),"")</f>
        <v>Event</v>
      </c>
      <c r="E27" s="27" t="str">
        <f>IF(((('MiT Strom Pipeline'!R22="WON"))*('MiT Strom Pipeline'!B22&lt;&gt;""))&gt;0,IF('MiT Strom Pipeline'!H22="","",'MiT Strom Pipeline'!H22),"")</f>
        <v>Aug</v>
      </c>
      <c r="F27" s="27" t="str">
        <f>IF(((('MiT Strom Pipeline'!R22="WON"))*('MiT Strom Pipeline'!B22&lt;&gt;""))&gt;0,IF('MiT Strom Pipeline'!E22="","",'MiT Strom Pipeline'!E22),"")</f>
        <v>6x300 kVA, 10x200 kVA, 1x100 kVA Generator</v>
      </c>
      <c r="G27" s="28">
        <f>IF(((('MiT Strom Pipeline'!R22="WON"))*('MiT Strom Pipeline'!B22&lt;&gt;""))&gt;0,IF(ISNUMBER('MiT Strom Pipeline'!I22),'MiT Strom Pipeline'!I22,0),"")</f>
        <v>115045</v>
      </c>
      <c r="H27" s="28">
        <f>IF(((('MiT Strom Pipeline'!R22="WON"))*('MiT Strom Pipeline'!B22&lt;&gt;""))&gt;0,IF(ISNUMBER('MiT Strom Pipeline'!Q22),'MiT Strom Pipeline'!Q22,0),"")</f>
        <v>115045</v>
      </c>
      <c r="I27" s="27" t="str">
        <f>IF(((('MiT Strom Pipeline'!R22="WON"))*('MiT Strom Pipeline'!B22&lt;&gt;""))&gt;0,'MiT Strom Pipeline'!R22,"")</f>
        <v>WON</v>
      </c>
      <c r="J27" s="29">
        <f>IF(((('MiT Strom Pipeline'!R22="WON"))*('MiT Strom Pipeline'!B22&lt;&gt;""))&gt;0,IF(ISNUMBER('MiT Strom Pipeline'!S22),'MiT Strom Pipeline'!S22,""),"")</f>
        <v>1</v>
      </c>
      <c r="K27" s="27" t="str">
        <f>IF(((('MiT Strom Pipeline'!R22="WON"))*('MiT Strom Pipeline'!B22&lt;&gt;""))&gt;0,IF(LEN('MiT Strom Pipeline'!V22)&gt;0,LEFT('MiT Strom Pipeline'!V22,55),""),"")</f>
        <v>Kunde angeschrieben, Kunde besucht, Kunde zufrieden mit</v>
      </c>
      <c r="L27" s="22" t="n"/>
      <c r="M27" s="22" t="n"/>
      <c r="N27" s="22" t="n"/>
      <c r="O27" s="22" t="n"/>
      <c r="P27" s="22" t="n"/>
      <c r="Q27" s="22" t="n"/>
      <c r="R27" s="22" t="n"/>
      <c r="S27" s="22" t="n"/>
    </row>
    <row r="28" ht="15.75" customHeight="1">
      <c r="A28" s="26">
        <f>IF(((('MiT Strom Pipeline'!R23="WON"))*('MiT Strom Pipeline'!B23&lt;&gt;""))&gt;0,IF(ISNUMBER('MiT Strom Pipeline'!A23),'MiT Strom Pipeline'!A23,""),"")</f>
        <v/>
      </c>
      <c r="B28" s="27">
        <f>IF(((('MiT Strom Pipeline'!R23="WON"))*('MiT Strom Pipeline'!B23&lt;&gt;""))&gt;0,IF('MiT Strom Pipeline'!B23="","",'MiT Strom Pipeline'!B23),"")</f>
        <v/>
      </c>
      <c r="C28" s="27">
        <f>IF(((('MiT Strom Pipeline'!R23="WON"))*('MiT Strom Pipeline'!B23&lt;&gt;""))&gt;0,IF('MiT Strom Pipeline'!C23="","",'MiT Strom Pipeline'!C23),"")</f>
        <v/>
      </c>
      <c r="D28" s="27">
        <f>IF(((('MiT Strom Pipeline'!R23="WON"))*('MiT Strom Pipeline'!B23&lt;&gt;""))&gt;0,IF('MiT Strom Pipeline'!D23="","",'MiT Strom Pipeline'!D23),"")</f>
        <v/>
      </c>
      <c r="E28" s="27">
        <f>IF(((('MiT Strom Pipeline'!R23="WON"))*('MiT Strom Pipeline'!B23&lt;&gt;""))&gt;0,IF('MiT Strom Pipeline'!H23="","",'MiT Strom Pipeline'!H23),"")</f>
        <v/>
      </c>
      <c r="F28" s="27">
        <f>IF(((('MiT Strom Pipeline'!R23="WON"))*('MiT Strom Pipeline'!B23&lt;&gt;""))&gt;0,IF('MiT Strom Pipeline'!E23="","",'MiT Strom Pipeline'!E23),"")</f>
        <v/>
      </c>
      <c r="G28" s="28">
        <f>IF(((('MiT Strom Pipeline'!R23="WON"))*('MiT Strom Pipeline'!B23&lt;&gt;""))&gt;0,IF(ISNUMBER('MiT Strom Pipeline'!I23),'MiT Strom Pipeline'!I23,0),"")</f>
        <v/>
      </c>
      <c r="H28" s="28">
        <f>IF(((('MiT Strom Pipeline'!R23="WON"))*('MiT Strom Pipeline'!B23&lt;&gt;""))&gt;0,IF(ISNUMBER('MiT Strom Pipeline'!Q23),'MiT Strom Pipeline'!Q23,0),"")</f>
        <v/>
      </c>
      <c r="I28" s="27">
        <f>IF(((('MiT Strom Pipeline'!R23="WON"))*('MiT Strom Pipeline'!B23&lt;&gt;""))&gt;0,'MiT Strom Pipeline'!R23,"")</f>
        <v/>
      </c>
      <c r="J28" s="29">
        <f>IF(((('MiT Strom Pipeline'!R23="WON"))*('MiT Strom Pipeline'!B23&lt;&gt;""))&gt;0,IF(ISNUMBER('MiT Strom Pipeline'!S23),'MiT Strom Pipeline'!S23,""),"")</f>
        <v/>
      </c>
      <c r="K28" s="27">
        <f>IF(((('MiT Strom Pipeline'!R23="WON"))*('MiT Strom Pipeline'!B23&lt;&gt;""))&gt;0,IF(LEN('MiT Strom Pipeline'!V23)&gt;0,LEFT('MiT Strom Pipeline'!V23,55),""),"")</f>
        <v/>
      </c>
      <c r="L28" s="22" t="n"/>
      <c r="M28" s="22" t="n"/>
      <c r="N28" s="22" t="n"/>
      <c r="O28" s="22" t="n"/>
      <c r="P28" s="22" t="n"/>
      <c r="Q28" s="22" t="n"/>
      <c r="R28" s="22" t="n"/>
      <c r="S28" s="22" t="n"/>
    </row>
    <row r="29" ht="15.75" customHeight="1">
      <c r="A29" s="26">
        <f>IF(((('MiT Strom Pipeline'!R24="WON"))*('MiT Strom Pipeline'!B24&lt;&gt;""))&gt;0,IF(ISNUMBER('MiT Strom Pipeline'!A24),'MiT Strom Pipeline'!A24,""),"")</f>
        <v/>
      </c>
      <c r="B29" s="27">
        <f>IF(((('MiT Strom Pipeline'!R24="WON"))*('MiT Strom Pipeline'!B24&lt;&gt;""))&gt;0,IF('MiT Strom Pipeline'!B24="","",'MiT Strom Pipeline'!B24),"")</f>
        <v/>
      </c>
      <c r="C29" s="27">
        <f>IF(((('MiT Strom Pipeline'!R24="WON"))*('MiT Strom Pipeline'!B24&lt;&gt;""))&gt;0,IF('MiT Strom Pipeline'!C24="","",'MiT Strom Pipeline'!C24),"")</f>
        <v/>
      </c>
      <c r="D29" s="27">
        <f>IF(((('MiT Strom Pipeline'!R24="WON"))*('MiT Strom Pipeline'!B24&lt;&gt;""))&gt;0,IF('MiT Strom Pipeline'!D24="","",'MiT Strom Pipeline'!D24),"")</f>
        <v/>
      </c>
      <c r="E29" s="27">
        <f>IF(((('MiT Strom Pipeline'!R24="WON"))*('MiT Strom Pipeline'!B24&lt;&gt;""))&gt;0,IF('MiT Strom Pipeline'!H24="","",'MiT Strom Pipeline'!H24),"")</f>
        <v/>
      </c>
      <c r="F29" s="27">
        <f>IF(((('MiT Strom Pipeline'!R24="WON"))*('MiT Strom Pipeline'!B24&lt;&gt;""))&gt;0,IF('MiT Strom Pipeline'!E24="","",'MiT Strom Pipeline'!E24),"")</f>
        <v/>
      </c>
      <c r="G29" s="28">
        <f>IF(((('MiT Strom Pipeline'!R24="WON"))*('MiT Strom Pipeline'!B24&lt;&gt;""))&gt;0,IF(ISNUMBER('MiT Strom Pipeline'!I24),'MiT Strom Pipeline'!I24,0),"")</f>
        <v/>
      </c>
      <c r="H29" s="28">
        <f>IF(((('MiT Strom Pipeline'!R24="WON"))*('MiT Strom Pipeline'!B24&lt;&gt;""))&gt;0,IF(ISNUMBER('MiT Strom Pipeline'!Q24),'MiT Strom Pipeline'!Q24,0),"")</f>
        <v/>
      </c>
      <c r="I29" s="27">
        <f>IF(((('MiT Strom Pipeline'!R24="WON"))*('MiT Strom Pipeline'!B24&lt;&gt;""))&gt;0,'MiT Strom Pipeline'!R24,"")</f>
        <v/>
      </c>
      <c r="J29" s="29">
        <f>IF(((('MiT Strom Pipeline'!R24="WON"))*('MiT Strom Pipeline'!B24&lt;&gt;""))&gt;0,IF(ISNUMBER('MiT Strom Pipeline'!S24),'MiT Strom Pipeline'!S24,""),"")</f>
        <v/>
      </c>
      <c r="K29" s="27">
        <f>IF(((('MiT Strom Pipeline'!R24="WON"))*('MiT Strom Pipeline'!B24&lt;&gt;""))&gt;0,IF(LEN('MiT Strom Pipeline'!V24)&gt;0,LEFT('MiT Strom Pipeline'!V24,55),""),"")</f>
        <v/>
      </c>
      <c r="L29" s="22" t="n"/>
      <c r="M29" s="22" t="n"/>
      <c r="N29" s="22" t="n"/>
      <c r="O29" s="22" t="n"/>
      <c r="P29" s="22" t="n"/>
      <c r="Q29" s="22" t="n"/>
      <c r="R29" s="22" t="n"/>
      <c r="S29" s="22" t="n"/>
    </row>
    <row r="30" ht="15.75" customHeight="1">
      <c r="A30" s="26">
        <f>IF(((('MiT Strom Pipeline'!R25="WON"))*('MiT Strom Pipeline'!B25&lt;&gt;""))&gt;0,IF(ISNUMBER('MiT Strom Pipeline'!A25),'MiT Strom Pipeline'!A25,""),"")</f>
        <v/>
      </c>
      <c r="B30" s="27">
        <f>IF(((('MiT Strom Pipeline'!R25="WON"))*('MiT Strom Pipeline'!B25&lt;&gt;""))&gt;0,IF('MiT Strom Pipeline'!B25="","",'MiT Strom Pipeline'!B25),"")</f>
        <v/>
      </c>
      <c r="C30" s="27">
        <f>IF(((('MiT Strom Pipeline'!R25="WON"))*('MiT Strom Pipeline'!B25&lt;&gt;""))&gt;0,IF('MiT Strom Pipeline'!C25="","",'MiT Strom Pipeline'!C25),"")</f>
        <v/>
      </c>
      <c r="D30" s="27">
        <f>IF(((('MiT Strom Pipeline'!R25="WON"))*('MiT Strom Pipeline'!B25&lt;&gt;""))&gt;0,IF('MiT Strom Pipeline'!D25="","",'MiT Strom Pipeline'!D25),"")</f>
        <v/>
      </c>
      <c r="E30" s="27">
        <f>IF(((('MiT Strom Pipeline'!R25="WON"))*('MiT Strom Pipeline'!B25&lt;&gt;""))&gt;0,IF('MiT Strom Pipeline'!H25="","",'MiT Strom Pipeline'!H25),"")</f>
        <v/>
      </c>
      <c r="F30" s="27">
        <f>IF(((('MiT Strom Pipeline'!R25="WON"))*('MiT Strom Pipeline'!B25&lt;&gt;""))&gt;0,IF('MiT Strom Pipeline'!E25="","",'MiT Strom Pipeline'!E25),"")</f>
        <v/>
      </c>
      <c r="G30" s="28">
        <f>IF(((('MiT Strom Pipeline'!R25="WON"))*('MiT Strom Pipeline'!B25&lt;&gt;""))&gt;0,IF(ISNUMBER('MiT Strom Pipeline'!I25),'MiT Strom Pipeline'!I25,0),"")</f>
        <v/>
      </c>
      <c r="H30" s="28">
        <f>IF(((('MiT Strom Pipeline'!R25="WON"))*('MiT Strom Pipeline'!B25&lt;&gt;""))&gt;0,IF(ISNUMBER('MiT Strom Pipeline'!Q25),'MiT Strom Pipeline'!Q25,0),"")</f>
        <v/>
      </c>
      <c r="I30" s="27">
        <f>IF(((('MiT Strom Pipeline'!R25="WON"))*('MiT Strom Pipeline'!B25&lt;&gt;""))&gt;0,'MiT Strom Pipeline'!R25,"")</f>
        <v/>
      </c>
      <c r="J30" s="29">
        <f>IF(((('MiT Strom Pipeline'!R25="WON"))*('MiT Strom Pipeline'!B25&lt;&gt;""))&gt;0,IF(ISNUMBER('MiT Strom Pipeline'!S25),'MiT Strom Pipeline'!S25,""),"")</f>
        <v/>
      </c>
      <c r="K30" s="27">
        <f>IF(((('MiT Strom Pipeline'!R25="WON"))*('MiT Strom Pipeline'!B25&lt;&gt;""))&gt;0,IF(LEN('MiT Strom Pipeline'!V25)&gt;0,LEFT('MiT Strom Pipeline'!V25,55),""),"")</f>
        <v/>
      </c>
      <c r="L30" s="22" t="n"/>
      <c r="M30" s="22" t="n"/>
      <c r="N30" s="22" t="n"/>
      <c r="O30" s="22" t="n"/>
      <c r="P30" s="22" t="n"/>
      <c r="Q30" s="22" t="n"/>
      <c r="R30" s="22" t="n"/>
      <c r="S30" s="22" t="n"/>
    </row>
    <row r="31" ht="15.75" customHeight="1">
      <c r="A31" s="26">
        <f>IF(((('MiT Strom Pipeline'!R26="WON"))*('MiT Strom Pipeline'!B26&lt;&gt;""))&gt;0,IF(ISNUMBER('MiT Strom Pipeline'!A26),'MiT Strom Pipeline'!A26,""),"")</f>
        <v/>
      </c>
      <c r="B31" s="27">
        <f>IF(((('MiT Strom Pipeline'!R26="WON"))*('MiT Strom Pipeline'!B26&lt;&gt;""))&gt;0,IF('MiT Strom Pipeline'!B26="","",'MiT Strom Pipeline'!B26),"")</f>
        <v/>
      </c>
      <c r="C31" s="27">
        <f>IF(((('MiT Strom Pipeline'!R26="WON"))*('MiT Strom Pipeline'!B26&lt;&gt;""))&gt;0,IF('MiT Strom Pipeline'!C26="","",'MiT Strom Pipeline'!C26),"")</f>
        <v/>
      </c>
      <c r="D31" s="27">
        <f>IF(((('MiT Strom Pipeline'!R26="WON"))*('MiT Strom Pipeline'!B26&lt;&gt;""))&gt;0,IF('MiT Strom Pipeline'!D26="","",'MiT Strom Pipeline'!D26),"")</f>
        <v/>
      </c>
      <c r="E31" s="27">
        <f>IF(((('MiT Strom Pipeline'!R26="WON"))*('MiT Strom Pipeline'!B26&lt;&gt;""))&gt;0,IF('MiT Strom Pipeline'!H26="","",'MiT Strom Pipeline'!H26),"")</f>
        <v/>
      </c>
      <c r="F31" s="27">
        <f>IF(((('MiT Strom Pipeline'!R26="WON"))*('MiT Strom Pipeline'!B26&lt;&gt;""))&gt;0,IF('MiT Strom Pipeline'!E26="","",'MiT Strom Pipeline'!E26),"")</f>
        <v/>
      </c>
      <c r="G31" s="28">
        <f>IF(((('MiT Strom Pipeline'!R26="WON"))*('MiT Strom Pipeline'!B26&lt;&gt;""))&gt;0,IF(ISNUMBER('MiT Strom Pipeline'!I26),'MiT Strom Pipeline'!I26,0),"")</f>
        <v/>
      </c>
      <c r="H31" s="28">
        <f>IF(((('MiT Strom Pipeline'!R26="WON"))*('MiT Strom Pipeline'!B26&lt;&gt;""))&gt;0,IF(ISNUMBER('MiT Strom Pipeline'!Q26),'MiT Strom Pipeline'!Q26,0),"")</f>
        <v/>
      </c>
      <c r="I31" s="27">
        <f>IF(((('MiT Strom Pipeline'!R26="WON"))*('MiT Strom Pipeline'!B26&lt;&gt;""))&gt;0,'MiT Strom Pipeline'!R26,"")</f>
        <v/>
      </c>
      <c r="J31" s="29">
        <f>IF(((('MiT Strom Pipeline'!R26="WON"))*('MiT Strom Pipeline'!B26&lt;&gt;""))&gt;0,IF(ISNUMBER('MiT Strom Pipeline'!S26),'MiT Strom Pipeline'!S26,""),"")</f>
        <v/>
      </c>
      <c r="K31" s="27">
        <f>IF(((('MiT Strom Pipeline'!R26="WON"))*('MiT Strom Pipeline'!B26&lt;&gt;""))&gt;0,IF(LEN('MiT Strom Pipeline'!V26)&gt;0,LEFT('MiT Strom Pipeline'!V26,55),""),"")</f>
        <v/>
      </c>
      <c r="L31" s="22" t="n"/>
      <c r="M31" s="22" t="n"/>
      <c r="N31" s="22" t="n"/>
      <c r="O31" s="22" t="n"/>
      <c r="P31" s="22" t="n"/>
      <c r="Q31" s="22" t="n"/>
      <c r="R31" s="22" t="n"/>
      <c r="S31" s="22" t="n"/>
    </row>
    <row r="32" ht="23.25" customHeight="1">
      <c r="A32" s="26">
        <f>IF(((('MiT Strom Pipeline'!R27="WON"))*('MiT Strom Pipeline'!B27&lt;&gt;""))&gt;0,IF(ISNUMBER('MiT Strom Pipeline'!A27),'MiT Strom Pipeline'!A27,""),"")</f>
        <v/>
      </c>
      <c r="B32" s="27">
        <f>IF(((('MiT Strom Pipeline'!R27="WON"))*('MiT Strom Pipeline'!B27&lt;&gt;""))&gt;0,IF('MiT Strom Pipeline'!B27="","",'MiT Strom Pipeline'!B27),"")</f>
        <v/>
      </c>
      <c r="C32" s="27">
        <f>IF(((('MiT Strom Pipeline'!R27="WON"))*('MiT Strom Pipeline'!B27&lt;&gt;""))&gt;0,IF('MiT Strom Pipeline'!C27="","",'MiT Strom Pipeline'!C27),"")</f>
        <v/>
      </c>
      <c r="D32" s="27">
        <f>IF(((('MiT Strom Pipeline'!R27="WON"))*('MiT Strom Pipeline'!B27&lt;&gt;""))&gt;0,IF('MiT Strom Pipeline'!D27="","",'MiT Strom Pipeline'!D27),"")</f>
        <v/>
      </c>
      <c r="E32" s="191">
        <f>IF(((('MiT Strom Pipeline'!R27="WON"))*('MiT Strom Pipeline'!B27&lt;&gt;""))&gt;0,IF('MiT Strom Pipeline'!H27="","",'MiT Strom Pipeline'!H27),"")</f>
        <v/>
      </c>
      <c r="F32" s="27">
        <f>IF(((('MiT Strom Pipeline'!R27="WON"))*('MiT Strom Pipeline'!B27&lt;&gt;""))&gt;0,IF('MiT Strom Pipeline'!E27="","",'MiT Strom Pipeline'!E27),"")</f>
        <v/>
      </c>
      <c r="G32" s="28">
        <f>IF(((('MiT Strom Pipeline'!R27="WON"))*('MiT Strom Pipeline'!B27&lt;&gt;""))&gt;0,IF(ISNUMBER('MiT Strom Pipeline'!I27),'MiT Strom Pipeline'!I27,0),"")</f>
        <v/>
      </c>
      <c r="H32" s="28">
        <f>IF(((('MiT Strom Pipeline'!R27="WON"))*('MiT Strom Pipeline'!B27&lt;&gt;""))&gt;0,IF(ISNUMBER('MiT Strom Pipeline'!Q27),'MiT Strom Pipeline'!Q27,0),"")</f>
        <v/>
      </c>
      <c r="I32" s="27">
        <f>IF(((('MiT Strom Pipeline'!R27="WON"))*('MiT Strom Pipeline'!B27&lt;&gt;""))&gt;0,'MiT Strom Pipeline'!R27,"")</f>
        <v/>
      </c>
      <c r="J32" s="29">
        <f>IF(((('MiT Strom Pipeline'!R27="WON"))*('MiT Strom Pipeline'!B27&lt;&gt;""))&gt;0,IF(ISNUMBER('MiT Strom Pipeline'!S27),'MiT Strom Pipeline'!S27,""),"")</f>
        <v/>
      </c>
      <c r="K32" s="31">
        <f>IF(((('MiT Strom Pipeline'!R27="WON"))*('MiT Strom Pipeline'!B27&lt;&gt;""))&gt;0,IF(LEN('MiT Strom Pipeline'!V27)&gt;0,LEFT('MiT Strom Pipeline'!V27,55),""),"")</f>
        <v/>
      </c>
      <c r="L32" s="22" t="n"/>
      <c r="M32" s="22" t="n"/>
      <c r="N32" s="22" t="n"/>
      <c r="O32" s="22" t="n"/>
      <c r="P32" s="22" t="n"/>
      <c r="Q32" s="22" t="n"/>
      <c r="R32" s="22" t="n"/>
      <c r="S32" s="22" t="n"/>
    </row>
    <row r="33" ht="15.75" customHeight="1">
      <c r="A33" s="26">
        <f>IF(((('MiT Strom Pipeline'!R28="WON"))*('MiT Strom Pipeline'!B28&lt;&gt;""))&gt;0,IF(ISNUMBER('MiT Strom Pipeline'!A28),'MiT Strom Pipeline'!A28,""),"")</f>
        <v/>
      </c>
      <c r="B33" s="27">
        <f>IF(((('MiT Strom Pipeline'!R28="WON"))*('MiT Strom Pipeline'!B28&lt;&gt;""))&gt;0,IF('MiT Strom Pipeline'!B28="","",'MiT Strom Pipeline'!B28),"")</f>
        <v/>
      </c>
      <c r="C33" s="27">
        <f>IF(((('MiT Strom Pipeline'!R28="WON"))*('MiT Strom Pipeline'!B28&lt;&gt;""))&gt;0,IF('MiT Strom Pipeline'!C28="","",'MiT Strom Pipeline'!C28),"")</f>
        <v/>
      </c>
      <c r="D33" s="27">
        <f>IF(((('MiT Strom Pipeline'!R28="WON"))*('MiT Strom Pipeline'!B28&lt;&gt;""))&gt;0,IF('MiT Strom Pipeline'!D28="","",'MiT Strom Pipeline'!D28),"")</f>
        <v/>
      </c>
      <c r="E33" s="27">
        <f>IF(((('MiT Strom Pipeline'!R28="WON"))*('MiT Strom Pipeline'!B28&lt;&gt;""))&gt;0,IF('MiT Strom Pipeline'!H28="","",'MiT Strom Pipeline'!H28),"")</f>
        <v/>
      </c>
      <c r="F33" s="27">
        <f>IF(((('MiT Strom Pipeline'!R28="WON"))*('MiT Strom Pipeline'!B28&lt;&gt;""))&gt;0,IF('MiT Strom Pipeline'!E28="","",'MiT Strom Pipeline'!E28),"")</f>
        <v/>
      </c>
      <c r="G33" s="28">
        <f>IF(((('MiT Strom Pipeline'!R28="WON"))*('MiT Strom Pipeline'!B28&lt;&gt;""))&gt;0,IF(ISNUMBER('MiT Strom Pipeline'!I28),'MiT Strom Pipeline'!I28,0),"")</f>
        <v/>
      </c>
      <c r="H33" s="28">
        <f>IF(((('MiT Strom Pipeline'!R28="WON"))*('MiT Strom Pipeline'!B28&lt;&gt;""))&gt;0,IF(ISNUMBER('MiT Strom Pipeline'!Q28),'MiT Strom Pipeline'!Q28,0),"")</f>
        <v/>
      </c>
      <c r="I33" s="27">
        <f>IF(((('MiT Strom Pipeline'!R28="WON"))*('MiT Strom Pipeline'!B28&lt;&gt;""))&gt;0,'MiT Strom Pipeline'!R28,"")</f>
        <v/>
      </c>
      <c r="J33" s="29">
        <f>IF(((('MiT Strom Pipeline'!R28="WON"))*('MiT Strom Pipeline'!B28&lt;&gt;""))&gt;0,IF(ISNUMBER('MiT Strom Pipeline'!S28),'MiT Strom Pipeline'!S28,""),"")</f>
        <v/>
      </c>
      <c r="K33" s="27">
        <f>IF(((('MiT Strom Pipeline'!R28="WON"))*('MiT Strom Pipeline'!B28&lt;&gt;""))&gt;0,IF(LEN('MiT Strom Pipeline'!V28)&gt;0,LEFT('MiT Strom Pipeline'!V28,55),""),"")</f>
        <v/>
      </c>
      <c r="L33" s="22" t="n"/>
      <c r="M33" s="22" t="n"/>
      <c r="N33" s="22" t="n"/>
      <c r="O33" s="22" t="n"/>
      <c r="P33" s="22" t="n"/>
      <c r="Q33" s="22" t="n"/>
      <c r="R33" s="22" t="n"/>
      <c r="S33" s="22" t="n"/>
    </row>
    <row r="34" ht="15.75" customHeight="1">
      <c r="A34" s="26">
        <f>IF(((('MiT Strom Pipeline'!R29="WON"))*('MiT Strom Pipeline'!B29&lt;&gt;""))&gt;0,IF(ISNUMBER('MiT Strom Pipeline'!A29),'MiT Strom Pipeline'!A29,""),"")</f>
        <v/>
      </c>
      <c r="B34" s="27">
        <f>IF(((('MiT Strom Pipeline'!R29="WON"))*('MiT Strom Pipeline'!B29&lt;&gt;""))&gt;0,IF('MiT Strom Pipeline'!B29="","",'MiT Strom Pipeline'!B29),"")</f>
        <v/>
      </c>
      <c r="C34" s="27">
        <f>IF(((('MiT Strom Pipeline'!R29="WON"))*('MiT Strom Pipeline'!B29&lt;&gt;""))&gt;0,IF('MiT Strom Pipeline'!C29="","",'MiT Strom Pipeline'!C29),"")</f>
        <v/>
      </c>
      <c r="D34" s="27">
        <f>IF(((('MiT Strom Pipeline'!R29="WON"))*('MiT Strom Pipeline'!B29&lt;&gt;""))&gt;0,IF('MiT Strom Pipeline'!D29="","",'MiT Strom Pipeline'!D29),"")</f>
        <v/>
      </c>
      <c r="E34" s="27">
        <f>IF(((('MiT Strom Pipeline'!R29="WON"))*('MiT Strom Pipeline'!B29&lt;&gt;""))&gt;0,IF('MiT Strom Pipeline'!H29="","",'MiT Strom Pipeline'!H29),"")</f>
        <v/>
      </c>
      <c r="F34" s="27">
        <f>IF(((('MiT Strom Pipeline'!R29="WON"))*('MiT Strom Pipeline'!B29&lt;&gt;""))&gt;0,IF('MiT Strom Pipeline'!E29="","",'MiT Strom Pipeline'!E29),"")</f>
        <v/>
      </c>
      <c r="G34" s="28">
        <f>IF(((('MiT Strom Pipeline'!R29="WON"))*('MiT Strom Pipeline'!B29&lt;&gt;""))&gt;0,IF(ISNUMBER('MiT Strom Pipeline'!I29),'MiT Strom Pipeline'!I29,0),"")</f>
        <v/>
      </c>
      <c r="H34" s="28">
        <f>IF(((('MiT Strom Pipeline'!R29="WON"))*('MiT Strom Pipeline'!B29&lt;&gt;""))&gt;0,IF(ISNUMBER('MiT Strom Pipeline'!Q29),'MiT Strom Pipeline'!Q29,0),"")</f>
        <v/>
      </c>
      <c r="I34" s="27">
        <f>IF(((('MiT Strom Pipeline'!R29="WON"))*('MiT Strom Pipeline'!B29&lt;&gt;""))&gt;0,'MiT Strom Pipeline'!R29,"")</f>
        <v/>
      </c>
      <c r="J34" s="29">
        <f>IF(((('MiT Strom Pipeline'!R29="WON"))*('MiT Strom Pipeline'!B29&lt;&gt;""))&gt;0,IF(ISNUMBER('MiT Strom Pipeline'!S29),'MiT Strom Pipeline'!S29,""),"")</f>
        <v/>
      </c>
      <c r="K34" s="27">
        <f>IF(((('MiT Strom Pipeline'!R29="WON"))*('MiT Strom Pipeline'!B29&lt;&gt;""))&gt;0,IF(LEN('MiT Strom Pipeline'!V29)&gt;0,LEFT('MiT Strom Pipeline'!V29,55),""),"")</f>
        <v/>
      </c>
      <c r="L34" s="22" t="n"/>
      <c r="M34" s="22" t="n"/>
      <c r="N34" s="22" t="n"/>
      <c r="O34" s="22" t="n"/>
      <c r="P34" s="22" t="n"/>
      <c r="Q34" s="22" t="n"/>
      <c r="R34" s="22" t="n"/>
      <c r="S34" s="22" t="n"/>
    </row>
    <row r="35" ht="15.75" customHeight="1">
      <c r="A35" s="26">
        <f>IF(((('MiT Strom Pipeline'!R30="WON"))*('MiT Strom Pipeline'!B30&lt;&gt;""))&gt;0,IF(ISNUMBER('MiT Strom Pipeline'!A30),'MiT Strom Pipeline'!A30,""),"")</f>
        <v/>
      </c>
      <c r="B35" s="27">
        <f>IF(((('MiT Strom Pipeline'!R30="WON"))*('MiT Strom Pipeline'!B30&lt;&gt;""))&gt;0,IF('MiT Strom Pipeline'!B30="","",'MiT Strom Pipeline'!B30),"")</f>
        <v/>
      </c>
      <c r="C35" s="27">
        <f>IF(((('MiT Strom Pipeline'!R30="WON"))*('MiT Strom Pipeline'!B30&lt;&gt;""))&gt;0,IF('MiT Strom Pipeline'!C30="","",'MiT Strom Pipeline'!C30),"")</f>
        <v/>
      </c>
      <c r="D35" s="27">
        <f>IF(((('MiT Strom Pipeline'!R30="WON"))*('MiT Strom Pipeline'!B30&lt;&gt;""))&gt;0,IF('MiT Strom Pipeline'!D30="","",'MiT Strom Pipeline'!D30),"")</f>
        <v/>
      </c>
      <c r="E35" s="27">
        <f>IF(((('MiT Strom Pipeline'!R30="WON"))*('MiT Strom Pipeline'!B30&lt;&gt;""))&gt;0,IF('MiT Strom Pipeline'!H30="","",'MiT Strom Pipeline'!H30),"")</f>
        <v/>
      </c>
      <c r="F35" s="27">
        <f>IF(((('MiT Strom Pipeline'!R30="WON"))*('MiT Strom Pipeline'!B30&lt;&gt;""))&gt;0,IF('MiT Strom Pipeline'!E30="","",'MiT Strom Pipeline'!E30),"")</f>
        <v/>
      </c>
      <c r="G35" s="28">
        <f>IF(((('MiT Strom Pipeline'!R30="WON"))*('MiT Strom Pipeline'!B30&lt;&gt;""))&gt;0,IF(ISNUMBER('MiT Strom Pipeline'!I30),'MiT Strom Pipeline'!I30,0),"")</f>
        <v/>
      </c>
      <c r="H35" s="28">
        <f>IF(((('MiT Strom Pipeline'!R30="WON"))*('MiT Strom Pipeline'!B30&lt;&gt;""))&gt;0,IF(ISNUMBER('MiT Strom Pipeline'!Q30),'MiT Strom Pipeline'!Q30,0),"")</f>
        <v/>
      </c>
      <c r="I35" s="27">
        <f>IF(((('MiT Strom Pipeline'!R30="WON"))*('MiT Strom Pipeline'!B30&lt;&gt;""))&gt;0,'MiT Strom Pipeline'!R30,"")</f>
        <v/>
      </c>
      <c r="J35" s="29">
        <f>IF(((('MiT Strom Pipeline'!R30="WON"))*('MiT Strom Pipeline'!B30&lt;&gt;""))&gt;0,IF(ISNUMBER('MiT Strom Pipeline'!S30),'MiT Strom Pipeline'!S30,""),"")</f>
        <v/>
      </c>
      <c r="K35" s="27">
        <f>IF(((('MiT Strom Pipeline'!R30="WON"))*('MiT Strom Pipeline'!B30&lt;&gt;""))&gt;0,IF(LEN('MiT Strom Pipeline'!V30)&gt;0,LEFT('MiT Strom Pipeline'!V30,55),""),"")</f>
        <v/>
      </c>
      <c r="L35" s="22" t="n"/>
      <c r="M35" s="22" t="n"/>
      <c r="N35" s="22" t="n"/>
      <c r="O35" s="22" t="n"/>
      <c r="P35" s="22" t="n"/>
      <c r="Q35" s="22" t="n"/>
      <c r="R35" s="22" t="n"/>
      <c r="S35" s="22" t="n"/>
    </row>
    <row r="36" ht="15.75" customHeight="1">
      <c r="A36" s="26">
        <f>IF(((('MiT Strom Pipeline'!R31="WON"))*('MiT Strom Pipeline'!B31&lt;&gt;""))&gt;0,IF(ISNUMBER('MiT Strom Pipeline'!A31),'MiT Strom Pipeline'!A31,""),"")</f>
        <v/>
      </c>
      <c r="B36" s="27">
        <f>IF(((('MiT Strom Pipeline'!R31="WON"))*('MiT Strom Pipeline'!B31&lt;&gt;""))&gt;0,IF('MiT Strom Pipeline'!B31="","",'MiT Strom Pipeline'!B31),"")</f>
        <v/>
      </c>
      <c r="C36" s="27">
        <f>IF(((('MiT Strom Pipeline'!R31="WON"))*('MiT Strom Pipeline'!B31&lt;&gt;""))&gt;0,IF('MiT Strom Pipeline'!C31="","",'MiT Strom Pipeline'!C31),"")</f>
        <v/>
      </c>
      <c r="D36" s="27">
        <f>IF(((('MiT Strom Pipeline'!R31="WON"))*('MiT Strom Pipeline'!B31&lt;&gt;""))&gt;0,IF('MiT Strom Pipeline'!D31="","",'MiT Strom Pipeline'!D31),"")</f>
        <v/>
      </c>
      <c r="E36" s="27">
        <f>IF(((('MiT Strom Pipeline'!R31="WON"))*('MiT Strom Pipeline'!B31&lt;&gt;""))&gt;0,IF('MiT Strom Pipeline'!H31="","",'MiT Strom Pipeline'!H31),"")</f>
        <v/>
      </c>
      <c r="F36" s="27">
        <f>IF(((('MiT Strom Pipeline'!R31="WON"))*('MiT Strom Pipeline'!B31&lt;&gt;""))&gt;0,IF('MiT Strom Pipeline'!E31="","",'MiT Strom Pipeline'!E31),"")</f>
        <v/>
      </c>
      <c r="G36" s="28">
        <f>IF(((('MiT Strom Pipeline'!R31="WON"))*('MiT Strom Pipeline'!B31&lt;&gt;""))&gt;0,IF(ISNUMBER('MiT Strom Pipeline'!I31),'MiT Strom Pipeline'!I31,0),"")</f>
        <v/>
      </c>
      <c r="H36" s="28">
        <f>IF(((('MiT Strom Pipeline'!R31="WON"))*('MiT Strom Pipeline'!B31&lt;&gt;""))&gt;0,IF(ISNUMBER('MiT Strom Pipeline'!Q31),'MiT Strom Pipeline'!Q31,0),"")</f>
        <v/>
      </c>
      <c r="I36" s="27">
        <f>IF(((('MiT Strom Pipeline'!R31="WON"))*('MiT Strom Pipeline'!B31&lt;&gt;""))&gt;0,'MiT Strom Pipeline'!R31,"")</f>
        <v/>
      </c>
      <c r="J36" s="29">
        <f>IF(((('MiT Strom Pipeline'!R31="WON"))*('MiT Strom Pipeline'!B31&lt;&gt;""))&gt;0,IF(ISNUMBER('MiT Strom Pipeline'!S31),'MiT Strom Pipeline'!S31,""),"")</f>
        <v/>
      </c>
      <c r="K36" s="27">
        <f>IF(((('MiT Strom Pipeline'!R31="WON"))*('MiT Strom Pipeline'!B31&lt;&gt;""))&gt;0,IF(LEN('MiT Strom Pipeline'!V31)&gt;0,LEFT('MiT Strom Pipeline'!V31,55),""),"")</f>
        <v/>
      </c>
      <c r="L36" s="22" t="n"/>
      <c r="M36" s="22" t="n"/>
      <c r="N36" s="22" t="n"/>
      <c r="O36" s="22" t="n"/>
      <c r="P36" s="22" t="n"/>
      <c r="Q36" s="22" t="n"/>
      <c r="R36" s="22" t="n"/>
      <c r="S36" s="22" t="n"/>
    </row>
    <row r="37" ht="15.75" customHeight="1">
      <c r="A37" s="26">
        <f>IF(((('MiT Strom Pipeline'!R32="WON"))*('MiT Strom Pipeline'!B32&lt;&gt;""))&gt;0,IF(ISNUMBER('MiT Strom Pipeline'!A32),'MiT Strom Pipeline'!A32,""),"")</f>
        <v/>
      </c>
      <c r="B37" s="27">
        <f>IF(((('MiT Strom Pipeline'!R32="WON"))*('MiT Strom Pipeline'!B32&lt;&gt;""))&gt;0,IF('MiT Strom Pipeline'!B32="","",'MiT Strom Pipeline'!B32),"")</f>
        <v/>
      </c>
      <c r="C37" s="27">
        <f>IF(((('MiT Strom Pipeline'!R32="WON"))*('MiT Strom Pipeline'!B32&lt;&gt;""))&gt;0,IF('MiT Strom Pipeline'!C32="","",'MiT Strom Pipeline'!C32),"")</f>
        <v/>
      </c>
      <c r="D37" s="27">
        <f>IF(((('MiT Strom Pipeline'!R32="WON"))*('MiT Strom Pipeline'!B32&lt;&gt;""))&gt;0,IF('MiT Strom Pipeline'!D32="","",'MiT Strom Pipeline'!D32),"")</f>
        <v/>
      </c>
      <c r="E37" s="27">
        <f>IF(((('MiT Strom Pipeline'!R32="WON"))*('MiT Strom Pipeline'!B32&lt;&gt;""))&gt;0,IF('MiT Strom Pipeline'!H32="","",'MiT Strom Pipeline'!H32),"")</f>
        <v/>
      </c>
      <c r="F37" s="27">
        <f>IF(((('MiT Strom Pipeline'!R32="WON"))*('MiT Strom Pipeline'!B32&lt;&gt;""))&gt;0,IF('MiT Strom Pipeline'!E32="","",'MiT Strom Pipeline'!E32),"")</f>
        <v/>
      </c>
      <c r="G37" s="28">
        <f>IF(((('MiT Strom Pipeline'!R32="WON"))*('MiT Strom Pipeline'!B32&lt;&gt;""))&gt;0,IF(ISNUMBER('MiT Strom Pipeline'!I32),'MiT Strom Pipeline'!I32,0),"")</f>
        <v/>
      </c>
      <c r="H37" s="28">
        <f>IF(((('MiT Strom Pipeline'!R32="WON"))*('MiT Strom Pipeline'!B32&lt;&gt;""))&gt;0,IF(ISNUMBER('MiT Strom Pipeline'!Q32),'MiT Strom Pipeline'!Q32,0),"")</f>
        <v/>
      </c>
      <c r="I37" s="27">
        <f>IF(((('MiT Strom Pipeline'!R32="WON"))*('MiT Strom Pipeline'!B32&lt;&gt;""))&gt;0,'MiT Strom Pipeline'!R32,"")</f>
        <v/>
      </c>
      <c r="J37" s="29">
        <f>IF(((('MiT Strom Pipeline'!R32="WON"))*('MiT Strom Pipeline'!B32&lt;&gt;""))&gt;0,IF(ISNUMBER('MiT Strom Pipeline'!S32),'MiT Strom Pipeline'!S32,""),"")</f>
        <v/>
      </c>
      <c r="K37" s="27">
        <f>IF(((('MiT Strom Pipeline'!R32="WON"))*('MiT Strom Pipeline'!B32&lt;&gt;""))&gt;0,IF(LEN('MiT Strom Pipeline'!V32)&gt;0,LEFT('MiT Strom Pipeline'!V32,55),""),"")</f>
        <v/>
      </c>
      <c r="L37" s="22" t="n"/>
      <c r="M37" s="22" t="n"/>
      <c r="N37" s="22" t="n"/>
      <c r="O37" s="22" t="n"/>
      <c r="P37" s="22" t="n"/>
      <c r="Q37" s="22" t="n"/>
      <c r="R37" s="22" t="n"/>
      <c r="S37" s="22" t="n"/>
    </row>
    <row r="38" ht="15.75" customHeight="1">
      <c r="A38" s="26">
        <f>IF(((('MiT Strom Pipeline'!R33="WON"))*('MiT Strom Pipeline'!B33&lt;&gt;""))&gt;0,IF(ISNUMBER('MiT Strom Pipeline'!A33),'MiT Strom Pipeline'!A33,""),"")</f>
        <v/>
      </c>
      <c r="B38" s="27">
        <f>IF(((('MiT Strom Pipeline'!R33="WON"))*('MiT Strom Pipeline'!B33&lt;&gt;""))&gt;0,IF('MiT Strom Pipeline'!B33="","",'MiT Strom Pipeline'!B33),"")</f>
        <v/>
      </c>
      <c r="C38" s="27">
        <f>IF(((('MiT Strom Pipeline'!R33="WON"))*('MiT Strom Pipeline'!B33&lt;&gt;""))&gt;0,IF('MiT Strom Pipeline'!C33="","",'MiT Strom Pipeline'!C33),"")</f>
        <v/>
      </c>
      <c r="D38" s="27">
        <f>IF(((('MiT Strom Pipeline'!R33="WON"))*('MiT Strom Pipeline'!B33&lt;&gt;""))&gt;0,IF('MiT Strom Pipeline'!D33="","",'MiT Strom Pipeline'!D33),"")</f>
        <v/>
      </c>
      <c r="E38" s="27">
        <f>IF(((('MiT Strom Pipeline'!R33="WON"))*('MiT Strom Pipeline'!B33&lt;&gt;""))&gt;0,IF('MiT Strom Pipeline'!H33="","",'MiT Strom Pipeline'!H33),"")</f>
        <v/>
      </c>
      <c r="F38" s="27">
        <f>IF(((('MiT Strom Pipeline'!R33="WON"))*('MiT Strom Pipeline'!B33&lt;&gt;""))&gt;0,IF('MiT Strom Pipeline'!E33="","",'MiT Strom Pipeline'!E33),"")</f>
        <v/>
      </c>
      <c r="G38" s="28">
        <f>IF(((('MiT Strom Pipeline'!R33="WON"))*('MiT Strom Pipeline'!B33&lt;&gt;""))&gt;0,IF(ISNUMBER('MiT Strom Pipeline'!I33),'MiT Strom Pipeline'!I33,0),"")</f>
        <v/>
      </c>
      <c r="H38" s="28">
        <f>IF(((('MiT Strom Pipeline'!R33="WON"))*('MiT Strom Pipeline'!B33&lt;&gt;""))&gt;0,IF(ISNUMBER('MiT Strom Pipeline'!Q33),'MiT Strom Pipeline'!Q33,0),"")</f>
        <v/>
      </c>
      <c r="I38" s="27">
        <f>IF(((('MiT Strom Pipeline'!R33="WON"))*('MiT Strom Pipeline'!B33&lt;&gt;""))&gt;0,'MiT Strom Pipeline'!R33,"")</f>
        <v/>
      </c>
      <c r="J38" s="29">
        <f>IF(((('MiT Strom Pipeline'!R33="WON"))*('MiT Strom Pipeline'!B33&lt;&gt;""))&gt;0,IF(ISNUMBER('MiT Strom Pipeline'!S33),'MiT Strom Pipeline'!S33,""),"")</f>
        <v/>
      </c>
      <c r="K38" s="27">
        <f>IF(((('MiT Strom Pipeline'!R33="WON"))*('MiT Strom Pipeline'!B33&lt;&gt;""))&gt;0,IF(LEN('MiT Strom Pipeline'!V33)&gt;0,LEFT('MiT Strom Pipeline'!V33,55),""),"")</f>
        <v/>
      </c>
      <c r="L38" s="22" t="n"/>
      <c r="M38" s="22" t="n"/>
      <c r="N38" s="22" t="n"/>
      <c r="O38" s="22" t="n"/>
      <c r="P38" s="22" t="n"/>
      <c r="Q38" s="22" t="n"/>
      <c r="R38" s="22" t="n"/>
      <c r="S38" s="22" t="n"/>
    </row>
    <row r="39" ht="15.75" customHeight="1">
      <c r="A39" s="26">
        <f>IF(((('MiT Strom Pipeline'!R34="WON"))*('MiT Strom Pipeline'!B34&lt;&gt;""))&gt;0,IF(ISNUMBER('MiT Strom Pipeline'!A34),'MiT Strom Pipeline'!A34,""),"")</f>
        <v/>
      </c>
      <c r="B39" s="27">
        <f>IF(((('MiT Strom Pipeline'!R34="WON"))*('MiT Strom Pipeline'!B34&lt;&gt;""))&gt;0,IF('MiT Strom Pipeline'!B34="","",'MiT Strom Pipeline'!B34),"")</f>
        <v/>
      </c>
      <c r="C39" s="27">
        <f>IF(((('MiT Strom Pipeline'!R34="WON"))*('MiT Strom Pipeline'!B34&lt;&gt;""))&gt;0,IF('MiT Strom Pipeline'!C34="","",'MiT Strom Pipeline'!C34),"")</f>
        <v/>
      </c>
      <c r="D39" s="27">
        <f>IF(((('MiT Strom Pipeline'!R34="WON"))*('MiT Strom Pipeline'!B34&lt;&gt;""))&gt;0,IF('MiT Strom Pipeline'!D34="","",'MiT Strom Pipeline'!D34),"")</f>
        <v/>
      </c>
      <c r="E39" s="27">
        <f>IF(((('MiT Strom Pipeline'!R34="WON"))*('MiT Strom Pipeline'!B34&lt;&gt;""))&gt;0,IF('MiT Strom Pipeline'!H34="","",'MiT Strom Pipeline'!H34),"")</f>
        <v/>
      </c>
      <c r="F39" s="27">
        <f>IF(((('MiT Strom Pipeline'!R34="WON"))*('MiT Strom Pipeline'!B34&lt;&gt;""))&gt;0,IF('MiT Strom Pipeline'!E34="","",'MiT Strom Pipeline'!E34),"")</f>
        <v/>
      </c>
      <c r="G39" s="28">
        <f>IF(((('MiT Strom Pipeline'!R34="WON"))*('MiT Strom Pipeline'!B34&lt;&gt;""))&gt;0,IF(ISNUMBER('MiT Strom Pipeline'!I34),'MiT Strom Pipeline'!I34,0),"")</f>
        <v/>
      </c>
      <c r="H39" s="28">
        <f>IF(((('MiT Strom Pipeline'!R34="WON"))*('MiT Strom Pipeline'!B34&lt;&gt;""))&gt;0,IF(ISNUMBER('MiT Strom Pipeline'!Q34),'MiT Strom Pipeline'!Q34,0),"")</f>
        <v/>
      </c>
      <c r="I39" s="27">
        <f>IF(((('MiT Strom Pipeline'!R34="WON"))*('MiT Strom Pipeline'!B34&lt;&gt;""))&gt;0,'MiT Strom Pipeline'!R34,"")</f>
        <v/>
      </c>
      <c r="J39" s="29">
        <f>IF(((('MiT Strom Pipeline'!R34="WON"))*('MiT Strom Pipeline'!B34&lt;&gt;""))&gt;0,IF(ISNUMBER('MiT Strom Pipeline'!S34),'MiT Strom Pipeline'!S34,""),"")</f>
        <v/>
      </c>
      <c r="K39" s="27">
        <f>IF(((('MiT Strom Pipeline'!R34="WON"))*('MiT Strom Pipeline'!B34&lt;&gt;""))&gt;0,IF(LEN('MiT Strom Pipeline'!V34)&gt;0,LEFT('MiT Strom Pipeline'!V34,55),""),"")</f>
        <v/>
      </c>
      <c r="L39" s="22" t="n"/>
      <c r="M39" s="22" t="n"/>
      <c r="N39" s="22" t="n"/>
      <c r="O39" s="22" t="n"/>
      <c r="P39" s="22" t="n"/>
      <c r="Q39" s="22" t="n"/>
      <c r="R39" s="22" t="n"/>
      <c r="S39" s="22" t="n"/>
    </row>
    <row r="40" ht="15.75" customHeight="1">
      <c r="A40" s="26">
        <f>IF(((('MiT Strom Pipeline'!R35="WON"))*('MiT Strom Pipeline'!B35&lt;&gt;""))&gt;0,IF(ISNUMBER('MiT Strom Pipeline'!A35),'MiT Strom Pipeline'!A35,""),"")</f>
        <v/>
      </c>
      <c r="B40" s="27">
        <f>IF(((('MiT Strom Pipeline'!R35="WON"))*('MiT Strom Pipeline'!B35&lt;&gt;""))&gt;0,IF('MiT Strom Pipeline'!B35="","",'MiT Strom Pipeline'!B35),"")</f>
        <v/>
      </c>
      <c r="C40" s="27">
        <f>IF(((('MiT Strom Pipeline'!R35="WON"))*('MiT Strom Pipeline'!B35&lt;&gt;""))&gt;0,IF('MiT Strom Pipeline'!C35="","",'MiT Strom Pipeline'!C35),"")</f>
        <v/>
      </c>
      <c r="D40" s="27">
        <f>IF(((('MiT Strom Pipeline'!R35="WON"))*('MiT Strom Pipeline'!B35&lt;&gt;""))&gt;0,IF('MiT Strom Pipeline'!D35="","",'MiT Strom Pipeline'!D35),"")</f>
        <v/>
      </c>
      <c r="E40" s="27">
        <f>IF(((('MiT Strom Pipeline'!R35="WON"))*('MiT Strom Pipeline'!B35&lt;&gt;""))&gt;0,IF('MiT Strom Pipeline'!H35="","",'MiT Strom Pipeline'!H35),"")</f>
        <v/>
      </c>
      <c r="F40" s="27">
        <f>IF(((('MiT Strom Pipeline'!R35="WON"))*('MiT Strom Pipeline'!B35&lt;&gt;""))&gt;0,IF('MiT Strom Pipeline'!E35="","",'MiT Strom Pipeline'!E35),"")</f>
        <v/>
      </c>
      <c r="G40" s="28">
        <f>IF(((('MiT Strom Pipeline'!R35="WON"))*('MiT Strom Pipeline'!B35&lt;&gt;""))&gt;0,IF(ISNUMBER('MiT Strom Pipeline'!I35),'MiT Strom Pipeline'!I35,0),"")</f>
        <v/>
      </c>
      <c r="H40" s="28">
        <f>IF(((('MiT Strom Pipeline'!R35="WON"))*('MiT Strom Pipeline'!B35&lt;&gt;""))&gt;0,IF(ISNUMBER('MiT Strom Pipeline'!Q35),'MiT Strom Pipeline'!Q35,0),"")</f>
        <v/>
      </c>
      <c r="I40" s="27">
        <f>IF(((('MiT Strom Pipeline'!R35="WON"))*('MiT Strom Pipeline'!B35&lt;&gt;""))&gt;0,'MiT Strom Pipeline'!R35,"")</f>
        <v/>
      </c>
      <c r="J40" s="29">
        <f>IF(((('MiT Strom Pipeline'!R35="WON"))*('MiT Strom Pipeline'!B35&lt;&gt;""))&gt;0,IF(ISNUMBER('MiT Strom Pipeline'!S35),'MiT Strom Pipeline'!S35,""),"")</f>
        <v/>
      </c>
      <c r="K40" s="27">
        <f>IF(((('MiT Strom Pipeline'!R35="WON"))*('MiT Strom Pipeline'!B35&lt;&gt;""))&gt;0,IF(LEN('MiT Strom Pipeline'!V35)&gt;0,LEFT('MiT Strom Pipeline'!V35,55),""),"")</f>
        <v/>
      </c>
      <c r="L40" s="22" t="n"/>
      <c r="M40" s="22" t="n"/>
      <c r="N40" s="22" t="n"/>
      <c r="O40" s="22" t="n"/>
      <c r="P40" s="22" t="n"/>
      <c r="Q40" s="22" t="n"/>
      <c r="R40" s="22" t="n"/>
      <c r="S40" s="22" t="n"/>
    </row>
    <row r="41" ht="15.75" customHeight="1">
      <c r="A41" s="26">
        <f>IF(((('MiT Strom Pipeline'!R36="WON"))*('MiT Strom Pipeline'!B36&lt;&gt;""))&gt;0,IF(ISNUMBER('MiT Strom Pipeline'!A36),'MiT Strom Pipeline'!A36,""),"")</f>
        <v/>
      </c>
      <c r="B41" s="27">
        <f>IF(((('MiT Strom Pipeline'!R36="WON"))*('MiT Strom Pipeline'!B36&lt;&gt;""))&gt;0,IF('MiT Strom Pipeline'!B36="","",'MiT Strom Pipeline'!B36),"")</f>
        <v/>
      </c>
      <c r="C41" s="27">
        <f>IF(((('MiT Strom Pipeline'!R36="WON"))*('MiT Strom Pipeline'!B36&lt;&gt;""))&gt;0,IF('MiT Strom Pipeline'!C36="","",'MiT Strom Pipeline'!C36),"")</f>
        <v/>
      </c>
      <c r="D41" s="27">
        <f>IF(((('MiT Strom Pipeline'!R36="WON"))*('MiT Strom Pipeline'!B36&lt;&gt;""))&gt;0,IF('MiT Strom Pipeline'!D36="","",'MiT Strom Pipeline'!D36),"")</f>
        <v/>
      </c>
      <c r="E41" s="27">
        <f>IF(((('MiT Strom Pipeline'!R36="WON"))*('MiT Strom Pipeline'!B36&lt;&gt;""))&gt;0,IF('MiT Strom Pipeline'!H36="","",'MiT Strom Pipeline'!H36),"")</f>
        <v/>
      </c>
      <c r="F41" s="27">
        <f>IF(((('MiT Strom Pipeline'!R36="WON"))*('MiT Strom Pipeline'!B36&lt;&gt;""))&gt;0,IF('MiT Strom Pipeline'!E36="","",'MiT Strom Pipeline'!E36),"")</f>
        <v/>
      </c>
      <c r="G41" s="28">
        <f>IF(((('MiT Strom Pipeline'!R36="WON"))*('MiT Strom Pipeline'!B36&lt;&gt;""))&gt;0,IF(ISNUMBER('MiT Strom Pipeline'!I36),'MiT Strom Pipeline'!I36,0),"")</f>
        <v/>
      </c>
      <c r="H41" s="28">
        <f>IF(((('MiT Strom Pipeline'!R36="WON"))*('MiT Strom Pipeline'!B36&lt;&gt;""))&gt;0,IF(ISNUMBER('MiT Strom Pipeline'!Q36),'MiT Strom Pipeline'!Q36,0),"")</f>
        <v/>
      </c>
      <c r="I41" s="27">
        <f>IF(((('MiT Strom Pipeline'!R36="WON"))*('MiT Strom Pipeline'!B36&lt;&gt;""))&gt;0,'MiT Strom Pipeline'!R36,"")</f>
        <v/>
      </c>
      <c r="J41" s="29">
        <f>IF(((('MiT Strom Pipeline'!R36="WON"))*('MiT Strom Pipeline'!B36&lt;&gt;""))&gt;0,IF(ISNUMBER('MiT Strom Pipeline'!S36),'MiT Strom Pipeline'!S36,""),"")</f>
        <v/>
      </c>
      <c r="K41" s="27">
        <f>IF(((('MiT Strom Pipeline'!R36="WON"))*('MiT Strom Pipeline'!B36&lt;&gt;""))&gt;0,IF(LEN('MiT Strom Pipeline'!V36)&gt;0,LEFT('MiT Strom Pipeline'!V36,55),""),"")</f>
        <v/>
      </c>
      <c r="L41" s="22" t="n"/>
      <c r="M41" s="22" t="n"/>
      <c r="N41" s="22" t="n"/>
      <c r="O41" s="22" t="n"/>
      <c r="P41" s="22" t="n"/>
      <c r="Q41" s="22" t="n"/>
      <c r="R41" s="22" t="n"/>
      <c r="S41" s="22" t="n"/>
    </row>
    <row r="42" ht="15.75" customHeight="1">
      <c r="A42" s="26">
        <f>IF(((('MiT Strom Pipeline'!R37="WON"))*('MiT Strom Pipeline'!B37&lt;&gt;""))&gt;0,IF(ISNUMBER('MiT Strom Pipeline'!A37),'MiT Strom Pipeline'!A37,""),"")</f>
        <v/>
      </c>
      <c r="B42" s="27">
        <f>IF(((('MiT Strom Pipeline'!R37="WON"))*('MiT Strom Pipeline'!B37&lt;&gt;""))&gt;0,IF('MiT Strom Pipeline'!B37="","",'MiT Strom Pipeline'!B37),"")</f>
        <v/>
      </c>
      <c r="C42" s="27">
        <f>IF(((('MiT Strom Pipeline'!R37="WON"))*('MiT Strom Pipeline'!B37&lt;&gt;""))&gt;0,IF('MiT Strom Pipeline'!C37="","",'MiT Strom Pipeline'!C37),"")</f>
        <v/>
      </c>
      <c r="D42" s="27">
        <f>IF(((('MiT Strom Pipeline'!R37="WON"))*('MiT Strom Pipeline'!B37&lt;&gt;""))&gt;0,IF('MiT Strom Pipeline'!D37="","",'MiT Strom Pipeline'!D37),"")</f>
        <v/>
      </c>
      <c r="E42" s="27">
        <f>IF(((('MiT Strom Pipeline'!R37="WON"))*('MiT Strom Pipeline'!B37&lt;&gt;""))&gt;0,IF('MiT Strom Pipeline'!H37="","",'MiT Strom Pipeline'!H37),"")</f>
        <v/>
      </c>
      <c r="F42" s="27">
        <f>IF(((('MiT Strom Pipeline'!R37="WON"))*('MiT Strom Pipeline'!B37&lt;&gt;""))&gt;0,IF('MiT Strom Pipeline'!E37="","",'MiT Strom Pipeline'!E37),"")</f>
        <v/>
      </c>
      <c r="G42" s="28">
        <f>IF(((('MiT Strom Pipeline'!R37="WON"))*('MiT Strom Pipeline'!B37&lt;&gt;""))&gt;0,IF(ISNUMBER('MiT Strom Pipeline'!I37),'MiT Strom Pipeline'!I37,0),"")</f>
        <v/>
      </c>
      <c r="H42" s="28">
        <f>IF(((('MiT Strom Pipeline'!R37="WON"))*('MiT Strom Pipeline'!B37&lt;&gt;""))&gt;0,IF(ISNUMBER('MiT Strom Pipeline'!Q37),'MiT Strom Pipeline'!Q37,0),"")</f>
        <v/>
      </c>
      <c r="I42" s="27">
        <f>IF(((('MiT Strom Pipeline'!R37="WON"))*('MiT Strom Pipeline'!B37&lt;&gt;""))&gt;0,'MiT Strom Pipeline'!R37,"")</f>
        <v/>
      </c>
      <c r="J42" s="29">
        <f>IF(((('MiT Strom Pipeline'!R37="WON"))*('MiT Strom Pipeline'!B37&lt;&gt;""))&gt;0,IF(ISNUMBER('MiT Strom Pipeline'!S37),'MiT Strom Pipeline'!S37,""),"")</f>
        <v/>
      </c>
      <c r="K42" s="27">
        <f>IF(((('MiT Strom Pipeline'!R37="WON"))*('MiT Strom Pipeline'!B37&lt;&gt;""))&gt;0,IF(LEN('MiT Strom Pipeline'!V37)&gt;0,LEFT('MiT Strom Pipeline'!V37,55),""),"")</f>
        <v/>
      </c>
      <c r="L42" s="22" t="n"/>
      <c r="M42" s="22" t="n"/>
      <c r="N42" s="22" t="n"/>
      <c r="O42" s="22" t="n"/>
      <c r="P42" s="22" t="n"/>
      <c r="Q42" s="22" t="n"/>
      <c r="R42" s="22" t="n"/>
      <c r="S42" s="22" t="n"/>
    </row>
    <row r="43" ht="15.75" customHeight="1">
      <c r="A43" s="26">
        <f>IF(((('MiT Strom Pipeline'!R38="WON"))*('MiT Strom Pipeline'!B38&lt;&gt;""))&gt;0,IF(ISNUMBER('MiT Strom Pipeline'!A38),'MiT Strom Pipeline'!A38,""),"")</f>
        <v/>
      </c>
      <c r="B43" s="27">
        <f>IF(((('MiT Strom Pipeline'!R38="WON"))*('MiT Strom Pipeline'!B38&lt;&gt;""))&gt;0,IF('MiT Strom Pipeline'!B38="","",'MiT Strom Pipeline'!B38),"")</f>
        <v/>
      </c>
      <c r="C43" s="27">
        <f>IF(((('MiT Strom Pipeline'!R38="WON"))*('MiT Strom Pipeline'!B38&lt;&gt;""))&gt;0,IF('MiT Strom Pipeline'!C38="","",'MiT Strom Pipeline'!C38),"")</f>
        <v/>
      </c>
      <c r="D43" s="27">
        <f>IF(((('MiT Strom Pipeline'!R38="WON"))*('MiT Strom Pipeline'!B38&lt;&gt;""))&gt;0,IF('MiT Strom Pipeline'!D38="","",'MiT Strom Pipeline'!D38),"")</f>
        <v/>
      </c>
      <c r="E43" s="27">
        <f>IF(((('MiT Strom Pipeline'!R38="WON"))*('MiT Strom Pipeline'!B38&lt;&gt;""))&gt;0,IF('MiT Strom Pipeline'!H38="","",'MiT Strom Pipeline'!H38),"")</f>
        <v/>
      </c>
      <c r="F43" s="27">
        <f>IF(((('MiT Strom Pipeline'!R38="WON"))*('MiT Strom Pipeline'!B38&lt;&gt;""))&gt;0,IF('MiT Strom Pipeline'!E38="","",'MiT Strom Pipeline'!E38),"")</f>
        <v/>
      </c>
      <c r="G43" s="28">
        <f>IF(((('MiT Strom Pipeline'!R38="WON"))*('MiT Strom Pipeline'!B38&lt;&gt;""))&gt;0,IF(ISNUMBER('MiT Strom Pipeline'!I38),'MiT Strom Pipeline'!I38,0),"")</f>
        <v/>
      </c>
      <c r="H43" s="28">
        <f>IF(((('MiT Strom Pipeline'!R38="WON"))*('MiT Strom Pipeline'!B38&lt;&gt;""))&gt;0,IF(ISNUMBER('MiT Strom Pipeline'!Q38),'MiT Strom Pipeline'!Q38,0),"")</f>
        <v/>
      </c>
      <c r="I43" s="27">
        <f>IF(((('MiT Strom Pipeline'!R38="WON"))*('MiT Strom Pipeline'!B38&lt;&gt;""))&gt;0,'MiT Strom Pipeline'!R38,"")</f>
        <v/>
      </c>
      <c r="J43" s="29">
        <f>IF(((('MiT Strom Pipeline'!R38="WON"))*('MiT Strom Pipeline'!B38&lt;&gt;""))&gt;0,IF(ISNUMBER('MiT Strom Pipeline'!S38),'MiT Strom Pipeline'!S38,""),"")</f>
        <v/>
      </c>
      <c r="K43" s="27">
        <f>IF(((('MiT Strom Pipeline'!R38="WON"))*('MiT Strom Pipeline'!B38&lt;&gt;""))&gt;0,IF(LEN('MiT Strom Pipeline'!V38)&gt;0,LEFT('MiT Strom Pipeline'!V38,55),""),"")</f>
        <v/>
      </c>
      <c r="L43" s="22" t="n"/>
      <c r="M43" s="22" t="n"/>
      <c r="N43" s="22" t="n"/>
      <c r="O43" s="22" t="n"/>
      <c r="P43" s="22" t="n"/>
      <c r="Q43" s="22" t="n"/>
      <c r="R43" s="22" t="n"/>
      <c r="S43" s="22" t="n"/>
    </row>
    <row r="44" ht="15.75" customHeight="1">
      <c r="A44" s="26">
        <f>IF(((('MiT Strom Pipeline'!R39="WON"))*('MiT Strom Pipeline'!B39&lt;&gt;""))&gt;0,IF(ISNUMBER('MiT Strom Pipeline'!A39),'MiT Strom Pipeline'!A39,""),"")</f>
        <v/>
      </c>
      <c r="B44" s="27">
        <f>IF(((('MiT Strom Pipeline'!R39="WON"))*('MiT Strom Pipeline'!B39&lt;&gt;""))&gt;0,IF('MiT Strom Pipeline'!B39="","",'MiT Strom Pipeline'!B39),"")</f>
        <v/>
      </c>
      <c r="C44" s="27">
        <f>IF(((('MiT Strom Pipeline'!R39="WON"))*('MiT Strom Pipeline'!B39&lt;&gt;""))&gt;0,IF('MiT Strom Pipeline'!C39="","",'MiT Strom Pipeline'!C39),"")</f>
        <v/>
      </c>
      <c r="D44" s="27">
        <f>IF(((('MiT Strom Pipeline'!R39="WON"))*('MiT Strom Pipeline'!B39&lt;&gt;""))&gt;0,IF('MiT Strom Pipeline'!D39="","",'MiT Strom Pipeline'!D39),"")</f>
        <v/>
      </c>
      <c r="E44" s="27">
        <f>IF(((('MiT Strom Pipeline'!R39="WON"))*('MiT Strom Pipeline'!B39&lt;&gt;""))&gt;0,IF('MiT Strom Pipeline'!H39="","",'MiT Strom Pipeline'!H39),"")</f>
        <v/>
      </c>
      <c r="F44" s="27">
        <f>IF(((('MiT Strom Pipeline'!R39="WON"))*('MiT Strom Pipeline'!B39&lt;&gt;""))&gt;0,IF('MiT Strom Pipeline'!E39="","",'MiT Strom Pipeline'!E39),"")</f>
        <v/>
      </c>
      <c r="G44" s="28">
        <f>IF(((('MiT Strom Pipeline'!R39="WON"))*('MiT Strom Pipeline'!B39&lt;&gt;""))&gt;0,IF(ISNUMBER('MiT Strom Pipeline'!I39),'MiT Strom Pipeline'!I39,0),"")</f>
        <v/>
      </c>
      <c r="H44" s="28">
        <f>IF(((('MiT Strom Pipeline'!R39="WON"))*('MiT Strom Pipeline'!B39&lt;&gt;""))&gt;0,IF(ISNUMBER('MiT Strom Pipeline'!Q39),'MiT Strom Pipeline'!Q39,0),"")</f>
        <v/>
      </c>
      <c r="I44" s="27">
        <f>IF(((('MiT Strom Pipeline'!R39="WON"))*('MiT Strom Pipeline'!B39&lt;&gt;""))&gt;0,'MiT Strom Pipeline'!R39,"")</f>
        <v/>
      </c>
      <c r="J44" s="29">
        <f>IF(((('MiT Strom Pipeline'!R39="WON"))*('MiT Strom Pipeline'!B39&lt;&gt;""))&gt;0,IF(ISNUMBER('MiT Strom Pipeline'!S39),'MiT Strom Pipeline'!S39,""),"")</f>
        <v/>
      </c>
      <c r="K44" s="27">
        <f>IF(((('MiT Strom Pipeline'!R39="WON"))*('MiT Strom Pipeline'!B39&lt;&gt;""))&gt;0,IF(LEN('MiT Strom Pipeline'!V39)&gt;0,LEFT('MiT Strom Pipeline'!V39,55),""),"")</f>
        <v/>
      </c>
      <c r="L44" s="22" t="n"/>
      <c r="M44" s="22" t="n"/>
      <c r="N44" s="22" t="n"/>
      <c r="O44" s="22" t="n"/>
      <c r="P44" s="22" t="n"/>
      <c r="Q44" s="22" t="n"/>
      <c r="R44" s="22" t="n"/>
      <c r="S44" s="22" t="n"/>
    </row>
    <row r="45" ht="15.75" customHeight="1">
      <c r="A45" s="26">
        <f>IF(((('MiT Strom Pipeline'!R40="WON"))*('MiT Strom Pipeline'!B40&lt;&gt;""))&gt;0,IF(ISNUMBER('MiT Strom Pipeline'!A40),'MiT Strom Pipeline'!A40,""),"")</f>
        <v/>
      </c>
      <c r="B45" s="27">
        <f>IF(((('MiT Strom Pipeline'!R40="WON"))*('MiT Strom Pipeline'!B40&lt;&gt;""))&gt;0,IF('MiT Strom Pipeline'!B40="","",'MiT Strom Pipeline'!B40),"")</f>
        <v/>
      </c>
      <c r="C45" s="27">
        <f>IF(((('MiT Strom Pipeline'!R40="WON"))*('MiT Strom Pipeline'!B40&lt;&gt;""))&gt;0,IF('MiT Strom Pipeline'!C40="","",'MiT Strom Pipeline'!C40),"")</f>
        <v/>
      </c>
      <c r="D45" s="27">
        <f>IF(((('MiT Strom Pipeline'!R40="WON"))*('MiT Strom Pipeline'!B40&lt;&gt;""))&gt;0,IF('MiT Strom Pipeline'!D40="","",'MiT Strom Pipeline'!D40),"")</f>
        <v/>
      </c>
      <c r="E45" s="27">
        <f>IF(((('MiT Strom Pipeline'!R40="WON"))*('MiT Strom Pipeline'!B40&lt;&gt;""))&gt;0,IF('MiT Strom Pipeline'!H40="","",'MiT Strom Pipeline'!H40),"")</f>
        <v/>
      </c>
      <c r="F45" s="27">
        <f>IF(((('MiT Strom Pipeline'!R40="WON"))*('MiT Strom Pipeline'!B40&lt;&gt;""))&gt;0,IF('MiT Strom Pipeline'!E40="","",'MiT Strom Pipeline'!E40),"")</f>
        <v/>
      </c>
      <c r="G45" s="28">
        <f>IF(((('MiT Strom Pipeline'!R40="WON"))*('MiT Strom Pipeline'!B40&lt;&gt;""))&gt;0,IF(ISNUMBER('MiT Strom Pipeline'!I40),'MiT Strom Pipeline'!I40,0),"")</f>
        <v/>
      </c>
      <c r="H45" s="28">
        <f>IF(((('MiT Strom Pipeline'!R40="WON"))*('MiT Strom Pipeline'!B40&lt;&gt;""))&gt;0,IF(ISNUMBER('MiT Strom Pipeline'!Q40),'MiT Strom Pipeline'!Q40,0),"")</f>
        <v/>
      </c>
      <c r="I45" s="27">
        <f>IF(((('MiT Strom Pipeline'!R40="WON"))*('MiT Strom Pipeline'!B40&lt;&gt;""))&gt;0,'MiT Strom Pipeline'!R40,"")</f>
        <v/>
      </c>
      <c r="J45" s="29">
        <f>IF(((('MiT Strom Pipeline'!R40="WON"))*('MiT Strom Pipeline'!B40&lt;&gt;""))&gt;0,IF(ISNUMBER('MiT Strom Pipeline'!S40),'MiT Strom Pipeline'!S40,""),"")</f>
        <v/>
      </c>
      <c r="K45" s="27">
        <f>IF(((('MiT Strom Pipeline'!R40="WON"))*('MiT Strom Pipeline'!B40&lt;&gt;""))&gt;0,IF(LEN('MiT Strom Pipeline'!V40)&gt;0,LEFT('MiT Strom Pipeline'!V40,55),""),"")</f>
        <v/>
      </c>
      <c r="L45" s="22" t="n"/>
      <c r="M45" s="22" t="n"/>
      <c r="N45" s="22" t="n"/>
      <c r="O45" s="22" t="n"/>
      <c r="P45" s="22" t="n"/>
      <c r="Q45" s="22" t="n"/>
      <c r="R45" s="22" t="n"/>
      <c r="S45" s="22" t="n"/>
    </row>
    <row r="46" ht="15.75" customHeight="1">
      <c r="A46" s="26">
        <f>IF(((('MiT Strom Pipeline'!R41="WON"))*('MiT Strom Pipeline'!B41&lt;&gt;""))&gt;0,IF(ISNUMBER('MiT Strom Pipeline'!A41),'MiT Strom Pipeline'!A41,""),"")</f>
        <v/>
      </c>
      <c r="B46" s="27">
        <f>IF(((('MiT Strom Pipeline'!R41="WON"))*('MiT Strom Pipeline'!B41&lt;&gt;""))&gt;0,IF('MiT Strom Pipeline'!B41="","",'MiT Strom Pipeline'!B41),"")</f>
        <v/>
      </c>
      <c r="C46" s="27">
        <f>IF(((('MiT Strom Pipeline'!R41="WON"))*('MiT Strom Pipeline'!B41&lt;&gt;""))&gt;0,IF('MiT Strom Pipeline'!C41="","",'MiT Strom Pipeline'!C41),"")</f>
        <v/>
      </c>
      <c r="D46" s="27">
        <f>IF(((('MiT Strom Pipeline'!R41="WON"))*('MiT Strom Pipeline'!B41&lt;&gt;""))&gt;0,IF('MiT Strom Pipeline'!D41="","",'MiT Strom Pipeline'!D41),"")</f>
        <v/>
      </c>
      <c r="E46" s="27">
        <f>IF(((('MiT Strom Pipeline'!R41="WON"))*('MiT Strom Pipeline'!B41&lt;&gt;""))&gt;0,IF('MiT Strom Pipeline'!H41="","",'MiT Strom Pipeline'!H41),"")</f>
        <v/>
      </c>
      <c r="F46" s="27">
        <f>IF(((('MiT Strom Pipeline'!R41="WON"))*('MiT Strom Pipeline'!B41&lt;&gt;""))&gt;0,IF('MiT Strom Pipeline'!E41="","",'MiT Strom Pipeline'!E41),"")</f>
        <v/>
      </c>
      <c r="G46" s="28">
        <f>IF(((('MiT Strom Pipeline'!R41="WON"))*('MiT Strom Pipeline'!B41&lt;&gt;""))&gt;0,IF(ISNUMBER('MiT Strom Pipeline'!I41),'MiT Strom Pipeline'!I41,0),"")</f>
        <v/>
      </c>
      <c r="H46" s="28">
        <f>IF(((('MiT Strom Pipeline'!R41="WON"))*('MiT Strom Pipeline'!B41&lt;&gt;""))&gt;0,IF(ISNUMBER('MiT Strom Pipeline'!Q41),'MiT Strom Pipeline'!Q41,0),"")</f>
        <v/>
      </c>
      <c r="I46" s="27">
        <f>IF(((('MiT Strom Pipeline'!R41="WON"))*('MiT Strom Pipeline'!B41&lt;&gt;""))&gt;0,'MiT Strom Pipeline'!R41,"")</f>
        <v/>
      </c>
      <c r="J46" s="29">
        <f>IF(((('MiT Strom Pipeline'!R41="WON"))*('MiT Strom Pipeline'!B41&lt;&gt;""))&gt;0,IF(ISNUMBER('MiT Strom Pipeline'!S41),'MiT Strom Pipeline'!S41,""),"")</f>
        <v/>
      </c>
      <c r="K46" s="27">
        <f>IF(((('MiT Strom Pipeline'!R41="WON"))*('MiT Strom Pipeline'!B41&lt;&gt;""))&gt;0,IF(LEN('MiT Strom Pipeline'!V41)&gt;0,LEFT('MiT Strom Pipeline'!V41,55),""),"")</f>
        <v/>
      </c>
      <c r="L46" s="22" t="n"/>
      <c r="M46" s="22" t="n"/>
      <c r="N46" s="22" t="n"/>
      <c r="O46" s="22" t="n"/>
      <c r="P46" s="22" t="n"/>
      <c r="Q46" s="22" t="n"/>
      <c r="R46" s="22" t="n"/>
      <c r="S46" s="22" t="n"/>
    </row>
    <row r="47" ht="15.75" customHeight="1">
      <c r="A47" s="26">
        <f>IF(((('MiT Strom Pipeline'!R42="WON"))*('MiT Strom Pipeline'!B42&lt;&gt;""))&gt;0,IF(ISNUMBER('MiT Strom Pipeline'!A42),'MiT Strom Pipeline'!A42,""),"")</f>
        <v/>
      </c>
      <c r="B47" s="27">
        <f>IF(((('MiT Strom Pipeline'!R42="WON"))*('MiT Strom Pipeline'!B42&lt;&gt;""))&gt;0,IF('MiT Strom Pipeline'!B42="","",'MiT Strom Pipeline'!B42),"")</f>
        <v/>
      </c>
      <c r="C47" s="27">
        <f>IF(((('MiT Strom Pipeline'!R42="WON"))*('MiT Strom Pipeline'!B42&lt;&gt;""))&gt;0,IF('MiT Strom Pipeline'!C42="","",'MiT Strom Pipeline'!C42),"")</f>
        <v/>
      </c>
      <c r="D47" s="27">
        <f>IF(((('MiT Strom Pipeline'!R42="WON"))*('MiT Strom Pipeline'!B42&lt;&gt;""))&gt;0,IF('MiT Strom Pipeline'!D42="","",'MiT Strom Pipeline'!D42),"")</f>
        <v/>
      </c>
      <c r="E47" s="27">
        <f>IF(((('MiT Strom Pipeline'!R42="WON"))*('MiT Strom Pipeline'!B42&lt;&gt;""))&gt;0,IF('MiT Strom Pipeline'!H42="","",'MiT Strom Pipeline'!H42),"")</f>
        <v/>
      </c>
      <c r="F47" s="27">
        <f>IF(((('MiT Strom Pipeline'!R42="WON"))*('MiT Strom Pipeline'!B42&lt;&gt;""))&gt;0,IF('MiT Strom Pipeline'!E42="","",'MiT Strom Pipeline'!E42),"")</f>
        <v/>
      </c>
      <c r="G47" s="28">
        <f>IF(((('MiT Strom Pipeline'!R42="WON"))*('MiT Strom Pipeline'!B42&lt;&gt;""))&gt;0,IF(ISNUMBER('MiT Strom Pipeline'!I42),'MiT Strom Pipeline'!I42,0),"")</f>
        <v/>
      </c>
      <c r="H47" s="28">
        <f>IF(((('MiT Strom Pipeline'!R42="WON"))*('MiT Strom Pipeline'!B42&lt;&gt;""))&gt;0,IF(ISNUMBER('MiT Strom Pipeline'!Q42),'MiT Strom Pipeline'!Q42,0),"")</f>
        <v/>
      </c>
      <c r="I47" s="27">
        <f>IF(((('MiT Strom Pipeline'!R42="WON"))*('MiT Strom Pipeline'!B42&lt;&gt;""))&gt;0,'MiT Strom Pipeline'!R42,"")</f>
        <v/>
      </c>
      <c r="J47" s="29">
        <f>IF(((('MiT Strom Pipeline'!R42="WON"))*('MiT Strom Pipeline'!B42&lt;&gt;""))&gt;0,IF(ISNUMBER('MiT Strom Pipeline'!S42),'MiT Strom Pipeline'!S42,""),"")</f>
        <v/>
      </c>
      <c r="K47" s="27">
        <f>IF(((('MiT Strom Pipeline'!R42="WON"))*('MiT Strom Pipeline'!B42&lt;&gt;""))&gt;0,IF(LEN('MiT Strom Pipeline'!V42)&gt;0,LEFT('MiT Strom Pipeline'!V42,55),""),"")</f>
        <v/>
      </c>
      <c r="L47" s="22" t="n"/>
      <c r="M47" s="22" t="n"/>
      <c r="N47" s="22" t="n"/>
      <c r="O47" s="22" t="n"/>
      <c r="P47" s="22" t="n"/>
      <c r="Q47" s="22" t="n"/>
      <c r="R47" s="22" t="n"/>
      <c r="S47" s="22" t="n"/>
    </row>
    <row r="48" ht="15.75" customHeight="1">
      <c r="A48" s="26">
        <f>IF(((('MiT Strom Pipeline'!R43="WON"))*('MiT Strom Pipeline'!B43&lt;&gt;""))&gt;0,IF(ISNUMBER('MiT Strom Pipeline'!A43),'MiT Strom Pipeline'!A43,""),"")</f>
        <v/>
      </c>
      <c r="B48" s="27">
        <f>IF(((('MiT Strom Pipeline'!R43="WON"))*('MiT Strom Pipeline'!B43&lt;&gt;""))&gt;0,IF('MiT Strom Pipeline'!B43="","",'MiT Strom Pipeline'!B43),"")</f>
        <v/>
      </c>
      <c r="C48" s="27">
        <f>IF(((('MiT Strom Pipeline'!R43="WON"))*('MiT Strom Pipeline'!B43&lt;&gt;""))&gt;0,IF('MiT Strom Pipeline'!C43="","",'MiT Strom Pipeline'!C43),"")</f>
        <v/>
      </c>
      <c r="D48" s="27">
        <f>IF(((('MiT Strom Pipeline'!R43="WON"))*('MiT Strom Pipeline'!B43&lt;&gt;""))&gt;0,IF('MiT Strom Pipeline'!D43="","",'MiT Strom Pipeline'!D43),"")</f>
        <v/>
      </c>
      <c r="E48" s="27">
        <f>IF(((('MiT Strom Pipeline'!R43="WON"))*('MiT Strom Pipeline'!B43&lt;&gt;""))&gt;0,IF('MiT Strom Pipeline'!H43="","",'MiT Strom Pipeline'!H43),"")</f>
        <v/>
      </c>
      <c r="F48" s="27">
        <f>IF(((('MiT Strom Pipeline'!R43="WON"))*('MiT Strom Pipeline'!B43&lt;&gt;""))&gt;0,IF('MiT Strom Pipeline'!E43="","",'MiT Strom Pipeline'!E43),"")</f>
        <v/>
      </c>
      <c r="G48" s="28">
        <f>IF(((('MiT Strom Pipeline'!R43="WON"))*('MiT Strom Pipeline'!B43&lt;&gt;""))&gt;0,IF(ISNUMBER('MiT Strom Pipeline'!I43),'MiT Strom Pipeline'!I43,0),"")</f>
        <v/>
      </c>
      <c r="H48" s="28">
        <f>IF(((('MiT Strom Pipeline'!R43="WON"))*('MiT Strom Pipeline'!B43&lt;&gt;""))&gt;0,IF(ISNUMBER('MiT Strom Pipeline'!Q43),'MiT Strom Pipeline'!Q43,0),"")</f>
        <v/>
      </c>
      <c r="I48" s="27">
        <f>IF(((('MiT Strom Pipeline'!R43="WON"))*('MiT Strom Pipeline'!B43&lt;&gt;""))&gt;0,'MiT Strom Pipeline'!R43,"")</f>
        <v/>
      </c>
      <c r="J48" s="29">
        <f>IF(((('MiT Strom Pipeline'!R43="WON"))*('MiT Strom Pipeline'!B43&lt;&gt;""))&gt;0,IF(ISNUMBER('MiT Strom Pipeline'!S43),'MiT Strom Pipeline'!S43,""),"")</f>
        <v/>
      </c>
      <c r="K48" s="27">
        <f>IF(((('MiT Strom Pipeline'!R43="WON"))*('MiT Strom Pipeline'!B43&lt;&gt;""))&gt;0,IF(LEN('MiT Strom Pipeline'!V43)&gt;0,LEFT('MiT Strom Pipeline'!V43,55),""),"")</f>
        <v/>
      </c>
      <c r="L48" s="22" t="n"/>
      <c r="M48" s="22" t="n"/>
      <c r="N48" s="22" t="n"/>
      <c r="O48" s="22" t="n"/>
      <c r="P48" s="22" t="n"/>
      <c r="Q48" s="22" t="n"/>
      <c r="R48" s="22" t="n"/>
      <c r="S48" s="22" t="n"/>
    </row>
    <row r="49" ht="15.75" customHeight="1">
      <c r="A49" s="26">
        <f>IF(((('MiT Strom Pipeline'!R44="WON"))*('MiT Strom Pipeline'!B44&lt;&gt;""))&gt;0,IF(ISNUMBER('MiT Strom Pipeline'!A44),'MiT Strom Pipeline'!A44,""),"")</f>
        <v/>
      </c>
      <c r="B49" s="27">
        <f>IF(((('MiT Strom Pipeline'!R44="WON"))*('MiT Strom Pipeline'!B44&lt;&gt;""))&gt;0,IF('MiT Strom Pipeline'!B44="","",'MiT Strom Pipeline'!B44),"")</f>
        <v/>
      </c>
      <c r="C49" s="27">
        <f>IF(((('MiT Strom Pipeline'!R44="WON"))*('MiT Strom Pipeline'!B44&lt;&gt;""))&gt;0,IF('MiT Strom Pipeline'!C44="","",'MiT Strom Pipeline'!C44),"")</f>
        <v/>
      </c>
      <c r="D49" s="27">
        <f>IF(((('MiT Strom Pipeline'!R44="WON"))*('MiT Strom Pipeline'!B44&lt;&gt;""))&gt;0,IF('MiT Strom Pipeline'!D44="","",'MiT Strom Pipeline'!D44),"")</f>
        <v/>
      </c>
      <c r="E49" s="27">
        <f>IF(((('MiT Strom Pipeline'!R44="WON"))*('MiT Strom Pipeline'!B44&lt;&gt;""))&gt;0,IF('MiT Strom Pipeline'!H44="","",'MiT Strom Pipeline'!H44),"")</f>
        <v/>
      </c>
      <c r="F49" s="27">
        <f>IF(((('MiT Strom Pipeline'!R44="WON"))*('MiT Strom Pipeline'!B44&lt;&gt;""))&gt;0,IF('MiT Strom Pipeline'!E44="","",'MiT Strom Pipeline'!E44),"")</f>
        <v/>
      </c>
      <c r="G49" s="28">
        <f>IF(((('MiT Strom Pipeline'!R44="WON"))*('MiT Strom Pipeline'!B44&lt;&gt;""))&gt;0,IF(ISNUMBER('MiT Strom Pipeline'!I44),'MiT Strom Pipeline'!I44,0),"")</f>
        <v/>
      </c>
      <c r="H49" s="28">
        <f>IF(((('MiT Strom Pipeline'!R44="WON"))*('MiT Strom Pipeline'!B44&lt;&gt;""))&gt;0,IF(ISNUMBER('MiT Strom Pipeline'!Q44),'MiT Strom Pipeline'!Q44,0),"")</f>
        <v/>
      </c>
      <c r="I49" s="27">
        <f>IF(((('MiT Strom Pipeline'!R44="WON"))*('MiT Strom Pipeline'!B44&lt;&gt;""))&gt;0,'MiT Strom Pipeline'!R44,"")</f>
        <v/>
      </c>
      <c r="J49" s="29">
        <f>IF(((('MiT Strom Pipeline'!R44="WON"))*('MiT Strom Pipeline'!B44&lt;&gt;""))&gt;0,IF(ISNUMBER('MiT Strom Pipeline'!S44),'MiT Strom Pipeline'!S44,""),"")</f>
        <v/>
      </c>
      <c r="K49" s="27">
        <f>IF(((('MiT Strom Pipeline'!R44="WON"))*('MiT Strom Pipeline'!B44&lt;&gt;""))&gt;0,IF(LEN('MiT Strom Pipeline'!V44)&gt;0,LEFT('MiT Strom Pipeline'!V44,55),""),"")</f>
        <v/>
      </c>
      <c r="L49" s="22" t="n"/>
      <c r="M49" s="22" t="n"/>
      <c r="N49" s="22" t="n"/>
      <c r="O49" s="22" t="n"/>
      <c r="P49" s="22" t="n"/>
      <c r="Q49" s="22" t="n"/>
      <c r="R49" s="22" t="n"/>
      <c r="S49" s="22" t="n"/>
    </row>
    <row r="50" ht="15.75" customHeight="1">
      <c r="A50" s="26">
        <f>IF(((('MiT Strom Pipeline'!R45="WON"))*('MiT Strom Pipeline'!B45&lt;&gt;""))&gt;0,IF(ISNUMBER('MiT Strom Pipeline'!A45),'MiT Strom Pipeline'!A45,""),"")</f>
        <v/>
      </c>
      <c r="B50" s="27">
        <f>IF(((('MiT Strom Pipeline'!R45="WON"))*('MiT Strom Pipeline'!B45&lt;&gt;""))&gt;0,IF('MiT Strom Pipeline'!B45="","",'MiT Strom Pipeline'!B45),"")</f>
        <v/>
      </c>
      <c r="C50" s="27">
        <f>IF(((('MiT Strom Pipeline'!R45="WON"))*('MiT Strom Pipeline'!B45&lt;&gt;""))&gt;0,IF('MiT Strom Pipeline'!C45="","",'MiT Strom Pipeline'!C45),"")</f>
        <v/>
      </c>
      <c r="D50" s="27">
        <f>IF(((('MiT Strom Pipeline'!R45="WON"))*('MiT Strom Pipeline'!B45&lt;&gt;""))&gt;0,IF('MiT Strom Pipeline'!D45="","",'MiT Strom Pipeline'!D45),"")</f>
        <v/>
      </c>
      <c r="E50" s="27">
        <f>IF(((('MiT Strom Pipeline'!R45="WON"))*('MiT Strom Pipeline'!B45&lt;&gt;""))&gt;0,IF('MiT Strom Pipeline'!H45="","",'MiT Strom Pipeline'!H45),"")</f>
        <v/>
      </c>
      <c r="F50" s="27">
        <f>IF(((('MiT Strom Pipeline'!R45="WON"))*('MiT Strom Pipeline'!B45&lt;&gt;""))&gt;0,IF('MiT Strom Pipeline'!E45="","",'MiT Strom Pipeline'!E45),"")</f>
        <v/>
      </c>
      <c r="G50" s="28">
        <f>IF(((('MiT Strom Pipeline'!R45="WON"))*('MiT Strom Pipeline'!B45&lt;&gt;""))&gt;0,IF(ISNUMBER('MiT Strom Pipeline'!I45),'MiT Strom Pipeline'!I45,0),"")</f>
        <v/>
      </c>
      <c r="H50" s="28">
        <f>IF(((('MiT Strom Pipeline'!R45="WON"))*('MiT Strom Pipeline'!B45&lt;&gt;""))&gt;0,IF(ISNUMBER('MiT Strom Pipeline'!Q45),'MiT Strom Pipeline'!Q45,0),"")</f>
        <v/>
      </c>
      <c r="I50" s="27">
        <f>IF(((('MiT Strom Pipeline'!R45="WON"))*('MiT Strom Pipeline'!B45&lt;&gt;""))&gt;0,'MiT Strom Pipeline'!R45,"")</f>
        <v/>
      </c>
      <c r="J50" s="29">
        <f>IF(((('MiT Strom Pipeline'!R45="WON"))*('MiT Strom Pipeline'!B45&lt;&gt;""))&gt;0,IF(ISNUMBER('MiT Strom Pipeline'!S45),'MiT Strom Pipeline'!S45,""),"")</f>
        <v/>
      </c>
      <c r="K50" s="27">
        <f>IF(((('MiT Strom Pipeline'!R45="WON"))*('MiT Strom Pipeline'!B45&lt;&gt;""))&gt;0,IF(LEN('MiT Strom Pipeline'!V45)&gt;0,LEFT('MiT Strom Pipeline'!V45,55),""),"")</f>
        <v/>
      </c>
      <c r="L50" s="22" t="n"/>
      <c r="M50" s="22" t="n"/>
      <c r="N50" s="22" t="n"/>
      <c r="O50" s="22" t="n"/>
      <c r="P50" s="22" t="n"/>
      <c r="Q50" s="22" t="n"/>
      <c r="R50" s="22" t="n"/>
      <c r="S50" s="22" t="n"/>
    </row>
    <row r="51" ht="15.75" customHeight="1">
      <c r="A51" s="26">
        <f>IF(((('MiT Strom Pipeline'!R46="WON"))*('MiT Strom Pipeline'!B46&lt;&gt;""))&gt;0,IF(ISNUMBER('MiT Strom Pipeline'!A46),'MiT Strom Pipeline'!A46,""),"")</f>
        <v/>
      </c>
      <c r="B51" s="27">
        <f>IF(((('MiT Strom Pipeline'!R46="WON"))*('MiT Strom Pipeline'!B46&lt;&gt;""))&gt;0,IF('MiT Strom Pipeline'!B46="","",'MiT Strom Pipeline'!B46),"")</f>
        <v/>
      </c>
      <c r="C51" s="27">
        <f>IF(((('MiT Strom Pipeline'!R46="WON"))*('MiT Strom Pipeline'!B46&lt;&gt;""))&gt;0,IF('MiT Strom Pipeline'!C46="","",'MiT Strom Pipeline'!C46),"")</f>
        <v/>
      </c>
      <c r="D51" s="27">
        <f>IF(((('MiT Strom Pipeline'!R46="WON"))*('MiT Strom Pipeline'!B46&lt;&gt;""))&gt;0,IF('MiT Strom Pipeline'!D46="","",'MiT Strom Pipeline'!D46),"")</f>
        <v/>
      </c>
      <c r="E51" s="27">
        <f>IF(((('MiT Strom Pipeline'!R46="WON"))*('MiT Strom Pipeline'!B46&lt;&gt;""))&gt;0,IF('MiT Strom Pipeline'!H46="","",'MiT Strom Pipeline'!H46),"")</f>
        <v/>
      </c>
      <c r="F51" s="27">
        <f>IF(((('MiT Strom Pipeline'!R46="WON"))*('MiT Strom Pipeline'!B46&lt;&gt;""))&gt;0,IF('MiT Strom Pipeline'!E46="","",'MiT Strom Pipeline'!E46),"")</f>
        <v/>
      </c>
      <c r="G51" s="28">
        <f>IF(((('MiT Strom Pipeline'!R46="WON"))*('MiT Strom Pipeline'!B46&lt;&gt;""))&gt;0,IF(ISNUMBER('MiT Strom Pipeline'!I46),'MiT Strom Pipeline'!I46,0),"")</f>
        <v/>
      </c>
      <c r="H51" s="28">
        <f>IF(((('MiT Strom Pipeline'!R46="WON"))*('MiT Strom Pipeline'!B46&lt;&gt;""))&gt;0,IF(ISNUMBER('MiT Strom Pipeline'!Q46),'MiT Strom Pipeline'!Q46,0),"")</f>
        <v/>
      </c>
      <c r="I51" s="27">
        <f>IF(((('MiT Strom Pipeline'!R46="WON"))*('MiT Strom Pipeline'!B46&lt;&gt;""))&gt;0,'MiT Strom Pipeline'!R46,"")</f>
        <v/>
      </c>
      <c r="J51" s="29">
        <f>IF(((('MiT Strom Pipeline'!R46="WON"))*('MiT Strom Pipeline'!B46&lt;&gt;""))&gt;0,IF(ISNUMBER('MiT Strom Pipeline'!S46),'MiT Strom Pipeline'!S46,""),"")</f>
        <v/>
      </c>
      <c r="K51" s="27">
        <f>IF(((('MiT Strom Pipeline'!R46="WON"))*('MiT Strom Pipeline'!B46&lt;&gt;""))&gt;0,IF(LEN('MiT Strom Pipeline'!V46)&gt;0,LEFT('MiT Strom Pipeline'!V46,55),""),"")</f>
        <v/>
      </c>
      <c r="L51" s="22" t="n"/>
      <c r="M51" s="22" t="n"/>
      <c r="N51" s="22" t="n"/>
      <c r="O51" s="22" t="n"/>
      <c r="P51" s="22" t="n"/>
      <c r="Q51" s="22" t="n"/>
      <c r="R51" s="22" t="n"/>
      <c r="S51" s="22" t="n"/>
    </row>
    <row r="52" ht="15.75" customHeight="1">
      <c r="A52" s="26">
        <f>IF(((('MiT Strom Pipeline'!R47="WON"))*('MiT Strom Pipeline'!B47&lt;&gt;""))&gt;0,IF(ISNUMBER('MiT Strom Pipeline'!A47),'MiT Strom Pipeline'!A47,""),"")</f>
        <v/>
      </c>
      <c r="B52" s="27">
        <f>IF(((('MiT Strom Pipeline'!R47="WON"))*('MiT Strom Pipeline'!B47&lt;&gt;""))&gt;0,IF('MiT Strom Pipeline'!B47="","",'MiT Strom Pipeline'!B47),"")</f>
        <v/>
      </c>
      <c r="C52" s="27">
        <f>IF(((('MiT Strom Pipeline'!R47="WON"))*('MiT Strom Pipeline'!B47&lt;&gt;""))&gt;0,IF('MiT Strom Pipeline'!C47="","",'MiT Strom Pipeline'!C47),"")</f>
        <v/>
      </c>
      <c r="D52" s="27">
        <f>IF(((('MiT Strom Pipeline'!R47="WON"))*('MiT Strom Pipeline'!B47&lt;&gt;""))&gt;0,IF('MiT Strom Pipeline'!D47="","",'MiT Strom Pipeline'!D47),"")</f>
        <v/>
      </c>
      <c r="E52" s="27">
        <f>IF(((('MiT Strom Pipeline'!R47="WON"))*('MiT Strom Pipeline'!B47&lt;&gt;""))&gt;0,IF('MiT Strom Pipeline'!H47="","",'MiT Strom Pipeline'!H47),"")</f>
        <v/>
      </c>
      <c r="F52" s="27">
        <f>IF(((('MiT Strom Pipeline'!R47="WON"))*('MiT Strom Pipeline'!B47&lt;&gt;""))&gt;0,IF('MiT Strom Pipeline'!E47="","",'MiT Strom Pipeline'!E47),"")</f>
        <v/>
      </c>
      <c r="G52" s="28">
        <f>IF(((('MiT Strom Pipeline'!R47="WON"))*('MiT Strom Pipeline'!B47&lt;&gt;""))&gt;0,IF(ISNUMBER('MiT Strom Pipeline'!I47),'MiT Strom Pipeline'!I47,0),"")</f>
        <v/>
      </c>
      <c r="H52" s="28">
        <f>IF(((('MiT Strom Pipeline'!R47="WON"))*('MiT Strom Pipeline'!B47&lt;&gt;""))&gt;0,IF(ISNUMBER('MiT Strom Pipeline'!Q47),'MiT Strom Pipeline'!Q47,0),"")</f>
        <v/>
      </c>
      <c r="I52" s="27">
        <f>IF(((('MiT Strom Pipeline'!R47="WON"))*('MiT Strom Pipeline'!B47&lt;&gt;""))&gt;0,'MiT Strom Pipeline'!R47,"")</f>
        <v/>
      </c>
      <c r="J52" s="29">
        <f>IF(((('MiT Strom Pipeline'!R47="WON"))*('MiT Strom Pipeline'!B47&lt;&gt;""))&gt;0,IF(ISNUMBER('MiT Strom Pipeline'!S47),'MiT Strom Pipeline'!S47,""),"")</f>
        <v/>
      </c>
      <c r="K52" s="27">
        <f>IF(((('MiT Strom Pipeline'!R47="WON"))*('MiT Strom Pipeline'!B47&lt;&gt;""))&gt;0,IF(LEN('MiT Strom Pipeline'!V47)&gt;0,LEFT('MiT Strom Pipeline'!V47,55),""),"")</f>
        <v/>
      </c>
      <c r="L52" s="22" t="n"/>
      <c r="M52" s="22" t="n"/>
      <c r="N52" s="22" t="n"/>
      <c r="O52" s="22" t="n"/>
      <c r="P52" s="22" t="n"/>
      <c r="Q52" s="22" t="n"/>
      <c r="R52" s="22" t="n"/>
      <c r="S52" s="22" t="n"/>
    </row>
    <row r="53" ht="15.75" customHeight="1">
      <c r="A53" s="26">
        <f>IF(((('MiT Strom Pipeline'!R48="WON"))*('MiT Strom Pipeline'!B48&lt;&gt;""))&gt;0,IF(ISNUMBER('MiT Strom Pipeline'!A48),'MiT Strom Pipeline'!A48,""),"")</f>
        <v/>
      </c>
      <c r="B53" s="27">
        <f>IF(((('MiT Strom Pipeline'!R48="WON"))*('MiT Strom Pipeline'!B48&lt;&gt;""))&gt;0,IF('MiT Strom Pipeline'!B48="","",'MiT Strom Pipeline'!B48),"")</f>
        <v/>
      </c>
      <c r="C53" s="27">
        <f>IF(((('MiT Strom Pipeline'!R48="WON"))*('MiT Strom Pipeline'!B48&lt;&gt;""))&gt;0,IF('MiT Strom Pipeline'!C48="","",'MiT Strom Pipeline'!C48),"")</f>
        <v/>
      </c>
      <c r="D53" s="27">
        <f>IF(((('MiT Strom Pipeline'!R48="WON"))*('MiT Strom Pipeline'!B48&lt;&gt;""))&gt;0,IF('MiT Strom Pipeline'!D48="","",'MiT Strom Pipeline'!D48),"")</f>
        <v/>
      </c>
      <c r="E53" s="27">
        <f>IF(((('MiT Strom Pipeline'!R48="WON"))*('MiT Strom Pipeline'!B48&lt;&gt;""))&gt;0,IF('MiT Strom Pipeline'!H48="","",'MiT Strom Pipeline'!H48),"")</f>
        <v/>
      </c>
      <c r="F53" s="27">
        <f>IF(((('MiT Strom Pipeline'!R48="WON"))*('MiT Strom Pipeline'!B48&lt;&gt;""))&gt;0,IF('MiT Strom Pipeline'!E48="","",'MiT Strom Pipeline'!E48),"")</f>
        <v/>
      </c>
      <c r="G53" s="28">
        <f>IF(((('MiT Strom Pipeline'!R48="WON"))*('MiT Strom Pipeline'!B48&lt;&gt;""))&gt;0,IF(ISNUMBER('MiT Strom Pipeline'!I48),'MiT Strom Pipeline'!I48,0),"")</f>
        <v/>
      </c>
      <c r="H53" s="28">
        <f>IF(((('MiT Strom Pipeline'!R48="WON"))*('MiT Strom Pipeline'!B48&lt;&gt;""))&gt;0,IF(ISNUMBER('MiT Strom Pipeline'!Q48),'MiT Strom Pipeline'!Q48,0),"")</f>
        <v/>
      </c>
      <c r="I53" s="27">
        <f>IF(((('MiT Strom Pipeline'!R48="WON"))*('MiT Strom Pipeline'!B48&lt;&gt;""))&gt;0,'MiT Strom Pipeline'!R48,"")</f>
        <v/>
      </c>
      <c r="J53" s="29">
        <f>IF(((('MiT Strom Pipeline'!R48="WON"))*('MiT Strom Pipeline'!B48&lt;&gt;""))&gt;0,IF(ISNUMBER('MiT Strom Pipeline'!S48),'MiT Strom Pipeline'!S48,""),"")</f>
        <v/>
      </c>
      <c r="K53" s="27">
        <f>IF(((('MiT Strom Pipeline'!R48="WON"))*('MiT Strom Pipeline'!B48&lt;&gt;""))&gt;0,IF(LEN('MiT Strom Pipeline'!V48)&gt;0,LEFT('MiT Strom Pipeline'!V48,55),""),"")</f>
        <v/>
      </c>
      <c r="L53" s="22" t="n"/>
      <c r="M53" s="22" t="n"/>
      <c r="N53" s="22" t="n"/>
      <c r="O53" s="22" t="n"/>
      <c r="P53" s="22" t="n"/>
      <c r="Q53" s="22" t="n"/>
      <c r="R53" s="22" t="n"/>
      <c r="S53" s="22" t="n"/>
    </row>
    <row r="54" ht="15.75" customHeight="1">
      <c r="A54" s="26">
        <f>IF(((('MiT Strom Pipeline'!R49="WON"))*('MiT Strom Pipeline'!B49&lt;&gt;""))&gt;0,IF(ISNUMBER('MiT Strom Pipeline'!A49),'MiT Strom Pipeline'!A49,""),"")</f>
        <v/>
      </c>
      <c r="B54" s="27">
        <f>IF(((('MiT Strom Pipeline'!R49="WON"))*('MiT Strom Pipeline'!B49&lt;&gt;""))&gt;0,IF('MiT Strom Pipeline'!B49="","",'MiT Strom Pipeline'!B49),"")</f>
        <v/>
      </c>
      <c r="C54" s="27">
        <f>IF(((('MiT Strom Pipeline'!R49="WON"))*('MiT Strom Pipeline'!B49&lt;&gt;""))&gt;0,IF('MiT Strom Pipeline'!C49="","",'MiT Strom Pipeline'!C49),"")</f>
        <v/>
      </c>
      <c r="D54" s="27">
        <f>IF(((('MiT Strom Pipeline'!R49="WON"))*('MiT Strom Pipeline'!B49&lt;&gt;""))&gt;0,IF('MiT Strom Pipeline'!D49="","",'MiT Strom Pipeline'!D49),"")</f>
        <v/>
      </c>
      <c r="E54" s="27">
        <f>IF(((('MiT Strom Pipeline'!R49="WON"))*('MiT Strom Pipeline'!B49&lt;&gt;""))&gt;0,IF('MiT Strom Pipeline'!H49="","",'MiT Strom Pipeline'!H49),"")</f>
        <v/>
      </c>
      <c r="F54" s="27">
        <f>IF(((('MiT Strom Pipeline'!R49="WON"))*('MiT Strom Pipeline'!B49&lt;&gt;""))&gt;0,IF('MiT Strom Pipeline'!E49="","",'MiT Strom Pipeline'!E49),"")</f>
        <v/>
      </c>
      <c r="G54" s="28">
        <f>IF(((('MiT Strom Pipeline'!R49="WON"))*('MiT Strom Pipeline'!B49&lt;&gt;""))&gt;0,IF(ISNUMBER('MiT Strom Pipeline'!I49),'MiT Strom Pipeline'!I49,0),"")</f>
        <v/>
      </c>
      <c r="H54" s="28">
        <f>IF(((('MiT Strom Pipeline'!R49="WON"))*('MiT Strom Pipeline'!B49&lt;&gt;""))&gt;0,IF(ISNUMBER('MiT Strom Pipeline'!Q49),'MiT Strom Pipeline'!Q49,0),"")</f>
        <v/>
      </c>
      <c r="I54" s="27">
        <f>IF(((('MiT Strom Pipeline'!R49="WON"))*('MiT Strom Pipeline'!B49&lt;&gt;""))&gt;0,'MiT Strom Pipeline'!R49,"")</f>
        <v/>
      </c>
      <c r="J54" s="29">
        <f>IF(((('MiT Strom Pipeline'!R49="WON"))*('MiT Strom Pipeline'!B49&lt;&gt;""))&gt;0,IF(ISNUMBER('MiT Strom Pipeline'!S49),'MiT Strom Pipeline'!S49,""),"")</f>
        <v/>
      </c>
      <c r="K54" s="27">
        <f>IF(((('MiT Strom Pipeline'!R49="WON"))*('MiT Strom Pipeline'!B49&lt;&gt;""))&gt;0,IF(LEN('MiT Strom Pipeline'!V49)&gt;0,LEFT('MiT Strom Pipeline'!V49,55),""),"")</f>
        <v/>
      </c>
      <c r="L54" s="22" t="n"/>
      <c r="M54" s="22" t="n"/>
      <c r="N54" s="22" t="n"/>
      <c r="O54" s="22" t="n"/>
      <c r="P54" s="22" t="n"/>
      <c r="Q54" s="22" t="n"/>
      <c r="R54" s="22" t="n"/>
      <c r="S54" s="22" t="n"/>
    </row>
    <row r="55" ht="15.75" customHeight="1">
      <c r="A55" s="26">
        <f>IF(((('MiT Strom Pipeline'!R50="WON"))*('MiT Strom Pipeline'!B50&lt;&gt;""))&gt;0,IF(ISNUMBER('MiT Strom Pipeline'!A50),'MiT Strom Pipeline'!A50,""),"")</f>
        <v/>
      </c>
      <c r="B55" s="27">
        <f>IF(((('MiT Strom Pipeline'!R50="WON"))*('MiT Strom Pipeline'!B50&lt;&gt;""))&gt;0,IF('MiT Strom Pipeline'!B50="","",'MiT Strom Pipeline'!B50),"")</f>
        <v/>
      </c>
      <c r="C55" s="27">
        <f>IF(((('MiT Strom Pipeline'!R50="WON"))*('MiT Strom Pipeline'!B50&lt;&gt;""))&gt;0,IF('MiT Strom Pipeline'!C50="","",'MiT Strom Pipeline'!C50),"")</f>
        <v/>
      </c>
      <c r="D55" s="27">
        <f>IF(((('MiT Strom Pipeline'!R50="WON"))*('MiT Strom Pipeline'!B50&lt;&gt;""))&gt;0,IF('MiT Strom Pipeline'!D50="","",'MiT Strom Pipeline'!D50),"")</f>
        <v/>
      </c>
      <c r="E55" s="27">
        <f>IF(((('MiT Strom Pipeline'!R50="WON"))*('MiT Strom Pipeline'!B50&lt;&gt;""))&gt;0,IF('MiT Strom Pipeline'!H50="","",'MiT Strom Pipeline'!H50),"")</f>
        <v/>
      </c>
      <c r="F55" s="27">
        <f>IF(((('MiT Strom Pipeline'!R50="WON"))*('MiT Strom Pipeline'!B50&lt;&gt;""))&gt;0,IF('MiT Strom Pipeline'!E50="","",'MiT Strom Pipeline'!E50),"")</f>
        <v/>
      </c>
      <c r="G55" s="28">
        <f>IF(((('MiT Strom Pipeline'!R50="WON"))*('MiT Strom Pipeline'!B50&lt;&gt;""))&gt;0,IF(ISNUMBER('MiT Strom Pipeline'!I50),'MiT Strom Pipeline'!I50,0),"")</f>
        <v/>
      </c>
      <c r="H55" s="28">
        <f>IF(((('MiT Strom Pipeline'!R50="WON"))*('MiT Strom Pipeline'!B50&lt;&gt;""))&gt;0,IF(ISNUMBER('MiT Strom Pipeline'!Q50),'MiT Strom Pipeline'!Q50,0),"")</f>
        <v/>
      </c>
      <c r="I55" s="27">
        <f>IF(((('MiT Strom Pipeline'!R50="WON"))*('MiT Strom Pipeline'!B50&lt;&gt;""))&gt;0,'MiT Strom Pipeline'!R50,"")</f>
        <v/>
      </c>
      <c r="J55" s="29">
        <f>IF(((('MiT Strom Pipeline'!R50="WON"))*('MiT Strom Pipeline'!B50&lt;&gt;""))&gt;0,IF(ISNUMBER('MiT Strom Pipeline'!S50),'MiT Strom Pipeline'!S50,""),"")</f>
        <v/>
      </c>
      <c r="K55" s="27">
        <f>IF(((('MiT Strom Pipeline'!R50="WON"))*('MiT Strom Pipeline'!B50&lt;&gt;""))&gt;0,IF(LEN('MiT Strom Pipeline'!V50)&gt;0,LEFT('MiT Strom Pipeline'!V50,55),""),"")</f>
        <v/>
      </c>
      <c r="L55" s="22" t="n"/>
      <c r="M55" s="22" t="n"/>
      <c r="N55" s="22" t="n"/>
      <c r="O55" s="22" t="n"/>
      <c r="P55" s="22" t="n"/>
      <c r="Q55" s="22" t="n"/>
      <c r="R55" s="22" t="n"/>
      <c r="S55" s="22" t="n"/>
    </row>
    <row r="56" ht="15.75" customHeight="1">
      <c r="A56" s="26">
        <f>IF(((('MiT Strom Pipeline'!R51="WON"))*('MiT Strom Pipeline'!B51&lt;&gt;""))&gt;0,IF(ISNUMBER('MiT Strom Pipeline'!A51),'MiT Strom Pipeline'!A51,""),"")</f>
        <v/>
      </c>
      <c r="B56" s="27">
        <f>IF(((('MiT Strom Pipeline'!R51="WON"))*('MiT Strom Pipeline'!B51&lt;&gt;""))&gt;0,IF('MiT Strom Pipeline'!B51="","",'MiT Strom Pipeline'!B51),"")</f>
        <v/>
      </c>
      <c r="C56" s="27">
        <f>IF(((('MiT Strom Pipeline'!R51="WON"))*('MiT Strom Pipeline'!B51&lt;&gt;""))&gt;0,IF('MiT Strom Pipeline'!C51="","",'MiT Strom Pipeline'!C51),"")</f>
        <v/>
      </c>
      <c r="D56" s="27">
        <f>IF(((('MiT Strom Pipeline'!R51="WON"))*('MiT Strom Pipeline'!B51&lt;&gt;""))&gt;0,IF('MiT Strom Pipeline'!D51="","",'MiT Strom Pipeline'!D51),"")</f>
        <v/>
      </c>
      <c r="E56" s="27">
        <f>IF(((('MiT Strom Pipeline'!R51="WON"))*('MiT Strom Pipeline'!B51&lt;&gt;""))&gt;0,IF('MiT Strom Pipeline'!H51="","",'MiT Strom Pipeline'!H51),"")</f>
        <v/>
      </c>
      <c r="F56" s="27">
        <f>IF(((('MiT Strom Pipeline'!R51="WON"))*('MiT Strom Pipeline'!B51&lt;&gt;""))&gt;0,IF('MiT Strom Pipeline'!E51="","",'MiT Strom Pipeline'!E51),"")</f>
        <v/>
      </c>
      <c r="G56" s="28">
        <f>IF(((('MiT Strom Pipeline'!R51="WON"))*('MiT Strom Pipeline'!B51&lt;&gt;""))&gt;0,IF(ISNUMBER('MiT Strom Pipeline'!I51),'MiT Strom Pipeline'!I51,0),"")</f>
        <v/>
      </c>
      <c r="H56" s="28">
        <f>IF(((('MiT Strom Pipeline'!R51="WON"))*('MiT Strom Pipeline'!B51&lt;&gt;""))&gt;0,IF(ISNUMBER('MiT Strom Pipeline'!Q51),'MiT Strom Pipeline'!Q51,0),"")</f>
        <v/>
      </c>
      <c r="I56" s="27">
        <f>IF(((('MiT Strom Pipeline'!R51="WON"))*('MiT Strom Pipeline'!B51&lt;&gt;""))&gt;0,'MiT Strom Pipeline'!R51,"")</f>
        <v/>
      </c>
      <c r="J56" s="29">
        <f>IF(((('MiT Strom Pipeline'!R51="WON"))*('MiT Strom Pipeline'!B51&lt;&gt;""))&gt;0,IF(ISNUMBER('MiT Strom Pipeline'!S51),'MiT Strom Pipeline'!S51,""),"")</f>
        <v/>
      </c>
      <c r="K56" s="27">
        <f>IF(((('MiT Strom Pipeline'!R51="WON"))*('MiT Strom Pipeline'!B51&lt;&gt;""))&gt;0,IF(LEN('MiT Strom Pipeline'!V51)&gt;0,LEFT('MiT Strom Pipeline'!V51,55),""),"")</f>
        <v/>
      </c>
      <c r="L56" s="22" t="n"/>
      <c r="M56" s="22" t="n"/>
      <c r="N56" s="22" t="n"/>
      <c r="O56" s="22" t="n"/>
      <c r="P56" s="22" t="n"/>
      <c r="Q56" s="22" t="n"/>
      <c r="R56" s="22" t="n"/>
      <c r="S56" s="22" t="n"/>
    </row>
    <row r="57" ht="15.75" customHeight="1">
      <c r="A57" s="26">
        <f>IF(((('MiT Strom Pipeline'!R52="WON"))*('MiT Strom Pipeline'!B52&lt;&gt;""))&gt;0,IF(ISNUMBER('MiT Strom Pipeline'!A52),'MiT Strom Pipeline'!A52,""),"")</f>
        <v/>
      </c>
      <c r="B57" s="27">
        <f>IF(((('MiT Strom Pipeline'!R52="WON"))*('MiT Strom Pipeline'!B52&lt;&gt;""))&gt;0,IF('MiT Strom Pipeline'!B52="","",'MiT Strom Pipeline'!B52),"")</f>
        <v/>
      </c>
      <c r="C57" s="27">
        <f>IF(((('MiT Strom Pipeline'!R52="WON"))*('MiT Strom Pipeline'!B52&lt;&gt;""))&gt;0,IF('MiT Strom Pipeline'!C52="","",'MiT Strom Pipeline'!C52),"")</f>
        <v/>
      </c>
      <c r="D57" s="27">
        <f>IF(((('MiT Strom Pipeline'!R52="WON"))*('MiT Strom Pipeline'!B52&lt;&gt;""))&gt;0,IF('MiT Strom Pipeline'!D52="","",'MiT Strom Pipeline'!D52),"")</f>
        <v/>
      </c>
      <c r="E57" s="27">
        <f>IF(((('MiT Strom Pipeline'!R52="WON"))*('MiT Strom Pipeline'!B52&lt;&gt;""))&gt;0,IF('MiT Strom Pipeline'!H52="","",'MiT Strom Pipeline'!H52),"")</f>
        <v/>
      </c>
      <c r="F57" s="27">
        <f>IF(((('MiT Strom Pipeline'!R52="WON"))*('MiT Strom Pipeline'!B52&lt;&gt;""))&gt;0,IF('MiT Strom Pipeline'!E52="","",'MiT Strom Pipeline'!E52),"")</f>
        <v/>
      </c>
      <c r="G57" s="28">
        <f>IF(((('MiT Strom Pipeline'!R52="WON"))*('MiT Strom Pipeline'!B52&lt;&gt;""))&gt;0,IF(ISNUMBER('MiT Strom Pipeline'!I52),'MiT Strom Pipeline'!I52,0),"")</f>
        <v/>
      </c>
      <c r="H57" s="28">
        <f>IF(((('MiT Strom Pipeline'!R52="WON"))*('MiT Strom Pipeline'!B52&lt;&gt;""))&gt;0,IF(ISNUMBER('MiT Strom Pipeline'!Q52),'MiT Strom Pipeline'!Q52,0),"")</f>
        <v/>
      </c>
      <c r="I57" s="27">
        <f>IF(((('MiT Strom Pipeline'!R52="WON"))*('MiT Strom Pipeline'!B52&lt;&gt;""))&gt;0,'MiT Strom Pipeline'!R52,"")</f>
        <v/>
      </c>
      <c r="J57" s="29">
        <f>IF(((('MiT Strom Pipeline'!R52="WON"))*('MiT Strom Pipeline'!B52&lt;&gt;""))&gt;0,IF(ISNUMBER('MiT Strom Pipeline'!S52),'MiT Strom Pipeline'!S52,""),"")</f>
        <v/>
      </c>
      <c r="K57" s="27">
        <f>IF(((('MiT Strom Pipeline'!R52="WON"))*('MiT Strom Pipeline'!B52&lt;&gt;""))&gt;0,IF(LEN('MiT Strom Pipeline'!V52)&gt;0,LEFT('MiT Strom Pipeline'!V52,55),""),"")</f>
        <v/>
      </c>
      <c r="L57" s="22" t="n"/>
      <c r="M57" s="22" t="n"/>
      <c r="N57" s="22" t="n"/>
      <c r="O57" s="22" t="n"/>
      <c r="P57" s="22" t="n"/>
      <c r="Q57" s="22" t="n"/>
      <c r="R57" s="22" t="n"/>
      <c r="S57" s="22" t="n"/>
    </row>
    <row r="58" ht="15.75" customHeight="1">
      <c r="A58" s="26">
        <f>IF(((('MiT Strom Pipeline'!R53="WON"))*('MiT Strom Pipeline'!B53&lt;&gt;""))&gt;0,IF(ISNUMBER('MiT Strom Pipeline'!A53),'MiT Strom Pipeline'!A53,""),"")</f>
        <v/>
      </c>
      <c r="B58" s="27">
        <f>IF(((('MiT Strom Pipeline'!R53="WON"))*('MiT Strom Pipeline'!B53&lt;&gt;""))&gt;0,IF('MiT Strom Pipeline'!B53="","",'MiT Strom Pipeline'!B53),"")</f>
        <v/>
      </c>
      <c r="C58" s="27">
        <f>IF(((('MiT Strom Pipeline'!R53="WON"))*('MiT Strom Pipeline'!B53&lt;&gt;""))&gt;0,IF('MiT Strom Pipeline'!C53="","",'MiT Strom Pipeline'!C53),"")</f>
        <v/>
      </c>
      <c r="D58" s="27">
        <f>IF(((('MiT Strom Pipeline'!R53="WON"))*('MiT Strom Pipeline'!B53&lt;&gt;""))&gt;0,IF('MiT Strom Pipeline'!D53="","",'MiT Strom Pipeline'!D53),"")</f>
        <v/>
      </c>
      <c r="E58" s="27">
        <f>IF(((('MiT Strom Pipeline'!R53="WON"))*('MiT Strom Pipeline'!B53&lt;&gt;""))&gt;0,IF('MiT Strom Pipeline'!H53="","",'MiT Strom Pipeline'!H53),"")</f>
        <v/>
      </c>
      <c r="F58" s="27">
        <f>IF(((('MiT Strom Pipeline'!R53="WON"))*('MiT Strom Pipeline'!B53&lt;&gt;""))&gt;0,IF('MiT Strom Pipeline'!E53="","",'MiT Strom Pipeline'!E53),"")</f>
        <v/>
      </c>
      <c r="G58" s="28">
        <f>IF(((('MiT Strom Pipeline'!R53="WON"))*('MiT Strom Pipeline'!B53&lt;&gt;""))&gt;0,IF(ISNUMBER('MiT Strom Pipeline'!I53),'MiT Strom Pipeline'!I53,0),"")</f>
        <v/>
      </c>
      <c r="H58" s="28">
        <f>IF(((('MiT Strom Pipeline'!R53="WON"))*('MiT Strom Pipeline'!B53&lt;&gt;""))&gt;0,IF(ISNUMBER('MiT Strom Pipeline'!Q53),'MiT Strom Pipeline'!Q53,0),"")</f>
        <v/>
      </c>
      <c r="I58" s="27">
        <f>IF(((('MiT Strom Pipeline'!R53="WON"))*('MiT Strom Pipeline'!B53&lt;&gt;""))&gt;0,'MiT Strom Pipeline'!R53,"")</f>
        <v/>
      </c>
      <c r="J58" s="29">
        <f>IF(((('MiT Strom Pipeline'!R53="WON"))*('MiT Strom Pipeline'!B53&lt;&gt;""))&gt;0,IF(ISNUMBER('MiT Strom Pipeline'!S53),'MiT Strom Pipeline'!S53,""),"")</f>
        <v/>
      </c>
      <c r="K58" s="27">
        <f>IF(((('MiT Strom Pipeline'!R53="WON"))*('MiT Strom Pipeline'!B53&lt;&gt;""))&gt;0,IF(LEN('MiT Strom Pipeline'!V53)&gt;0,LEFT('MiT Strom Pipeline'!V53,55),""),"")</f>
        <v/>
      </c>
      <c r="L58" s="22" t="n"/>
      <c r="M58" s="22" t="n"/>
      <c r="N58" s="22" t="n"/>
      <c r="O58" s="22" t="n"/>
      <c r="P58" s="22" t="n"/>
      <c r="Q58" s="22" t="n"/>
      <c r="R58" s="22" t="n"/>
      <c r="S58" s="22" t="n"/>
    </row>
    <row r="59" ht="15.75" customHeight="1">
      <c r="A59" s="26">
        <f>IF(((('MiT Strom Pipeline'!R54="WON"))*('MiT Strom Pipeline'!B54&lt;&gt;""))&gt;0,IF(ISNUMBER('MiT Strom Pipeline'!A54),'MiT Strom Pipeline'!A54,""),"")</f>
        <v/>
      </c>
      <c r="B59" s="27">
        <f>IF(((('MiT Strom Pipeline'!R54="WON"))*('MiT Strom Pipeline'!B54&lt;&gt;""))&gt;0,IF('MiT Strom Pipeline'!B54="","",'MiT Strom Pipeline'!B54),"")</f>
        <v/>
      </c>
      <c r="C59" s="27">
        <f>IF(((('MiT Strom Pipeline'!R54="WON"))*('MiT Strom Pipeline'!B54&lt;&gt;""))&gt;0,IF('MiT Strom Pipeline'!C54="","",'MiT Strom Pipeline'!C54),"")</f>
        <v/>
      </c>
      <c r="D59" s="27">
        <f>IF(((('MiT Strom Pipeline'!R54="WON"))*('MiT Strom Pipeline'!B54&lt;&gt;""))&gt;0,IF('MiT Strom Pipeline'!D54="","",'MiT Strom Pipeline'!D54),"")</f>
        <v/>
      </c>
      <c r="E59" s="27">
        <f>IF(((('MiT Strom Pipeline'!R54="WON"))*('MiT Strom Pipeline'!B54&lt;&gt;""))&gt;0,IF('MiT Strom Pipeline'!H54="","",'MiT Strom Pipeline'!H54),"")</f>
        <v/>
      </c>
      <c r="F59" s="27">
        <f>IF(((('MiT Strom Pipeline'!R54="WON"))*('MiT Strom Pipeline'!B54&lt;&gt;""))&gt;0,IF('MiT Strom Pipeline'!E54="","",'MiT Strom Pipeline'!E54),"")</f>
        <v/>
      </c>
      <c r="G59" s="28">
        <f>IF(((('MiT Strom Pipeline'!R54="WON"))*('MiT Strom Pipeline'!B54&lt;&gt;""))&gt;0,IF(ISNUMBER('MiT Strom Pipeline'!I54),'MiT Strom Pipeline'!I54,0),"")</f>
        <v/>
      </c>
      <c r="H59" s="28">
        <f>IF(((('MiT Strom Pipeline'!R54="WON"))*('MiT Strom Pipeline'!B54&lt;&gt;""))&gt;0,IF(ISNUMBER('MiT Strom Pipeline'!Q54),'MiT Strom Pipeline'!Q54,0),"")</f>
        <v/>
      </c>
      <c r="I59" s="27">
        <f>IF(((('MiT Strom Pipeline'!R54="WON"))*('MiT Strom Pipeline'!B54&lt;&gt;""))&gt;0,'MiT Strom Pipeline'!R54,"")</f>
        <v/>
      </c>
      <c r="J59" s="29">
        <f>IF(((('MiT Strom Pipeline'!R54="WON"))*('MiT Strom Pipeline'!B54&lt;&gt;""))&gt;0,IF(ISNUMBER('MiT Strom Pipeline'!S54),'MiT Strom Pipeline'!S54,""),"")</f>
        <v/>
      </c>
      <c r="K59" s="27">
        <f>IF(((('MiT Strom Pipeline'!R54="WON"))*('MiT Strom Pipeline'!B54&lt;&gt;""))&gt;0,IF(LEN('MiT Strom Pipeline'!V54)&gt;0,LEFT('MiT Strom Pipeline'!V54,55),""),"")</f>
        <v/>
      </c>
      <c r="L59" s="22" t="n"/>
      <c r="M59" s="22" t="n"/>
      <c r="N59" s="22" t="n"/>
      <c r="O59" s="22" t="n"/>
      <c r="P59" s="22" t="n"/>
      <c r="Q59" s="22" t="n"/>
      <c r="R59" s="22" t="n"/>
      <c r="S59" s="22" t="n"/>
    </row>
    <row r="60" ht="15.75" customHeight="1">
      <c r="A60" s="26">
        <f>IF(((('MiT Strom Pipeline'!R55="WON"))*('MiT Strom Pipeline'!B55&lt;&gt;""))&gt;0,IF(ISNUMBER('MiT Strom Pipeline'!A55),'MiT Strom Pipeline'!A55,""),"")</f>
        <v/>
      </c>
      <c r="B60" s="27">
        <f>IF(((('MiT Strom Pipeline'!R55="WON"))*('MiT Strom Pipeline'!B55&lt;&gt;""))&gt;0,IF('MiT Strom Pipeline'!B55="","",'MiT Strom Pipeline'!B55),"")</f>
        <v/>
      </c>
      <c r="C60" s="27">
        <f>IF(((('MiT Strom Pipeline'!R55="WON"))*('MiT Strom Pipeline'!B55&lt;&gt;""))&gt;0,IF('MiT Strom Pipeline'!C55="","",'MiT Strom Pipeline'!C55),"")</f>
        <v/>
      </c>
      <c r="D60" s="27">
        <f>IF(((('MiT Strom Pipeline'!R55="WON"))*('MiT Strom Pipeline'!B55&lt;&gt;""))&gt;0,IF('MiT Strom Pipeline'!D55="","",'MiT Strom Pipeline'!D55),"")</f>
        <v/>
      </c>
      <c r="E60" s="27">
        <f>IF(((('MiT Strom Pipeline'!R55="WON"))*('MiT Strom Pipeline'!B55&lt;&gt;""))&gt;0,IF('MiT Strom Pipeline'!H55="","",'MiT Strom Pipeline'!H55),"")</f>
        <v/>
      </c>
      <c r="F60" s="27">
        <f>IF(((('MiT Strom Pipeline'!R55="WON"))*('MiT Strom Pipeline'!B55&lt;&gt;""))&gt;0,IF('MiT Strom Pipeline'!E55="","",'MiT Strom Pipeline'!E55),"")</f>
        <v/>
      </c>
      <c r="G60" s="28">
        <f>IF(((('MiT Strom Pipeline'!R55="WON"))*('MiT Strom Pipeline'!B55&lt;&gt;""))&gt;0,IF(ISNUMBER('MiT Strom Pipeline'!I55),'MiT Strom Pipeline'!I55,0),"")</f>
        <v/>
      </c>
      <c r="H60" s="28">
        <f>IF(((('MiT Strom Pipeline'!R55="WON"))*('MiT Strom Pipeline'!B55&lt;&gt;""))&gt;0,IF(ISNUMBER('MiT Strom Pipeline'!Q55),'MiT Strom Pipeline'!Q55,0),"")</f>
        <v/>
      </c>
      <c r="I60" s="27">
        <f>IF(((('MiT Strom Pipeline'!R55="WON"))*('MiT Strom Pipeline'!B55&lt;&gt;""))&gt;0,'MiT Strom Pipeline'!R55,"")</f>
        <v/>
      </c>
      <c r="J60" s="29">
        <f>IF(((('MiT Strom Pipeline'!R55="WON"))*('MiT Strom Pipeline'!B55&lt;&gt;""))&gt;0,IF(ISNUMBER('MiT Strom Pipeline'!S55),'MiT Strom Pipeline'!S55,""),"")</f>
        <v/>
      </c>
      <c r="K60" s="27">
        <f>IF(((('MiT Strom Pipeline'!R55="WON"))*('MiT Strom Pipeline'!B55&lt;&gt;""))&gt;0,IF(LEN('MiT Strom Pipeline'!V55)&gt;0,LEFT('MiT Strom Pipeline'!V55,55),""),"")</f>
        <v/>
      </c>
      <c r="L60" s="22" t="n"/>
      <c r="M60" s="22" t="n"/>
      <c r="N60" s="22" t="n"/>
      <c r="O60" s="22" t="n"/>
      <c r="P60" s="22" t="n"/>
      <c r="Q60" s="22" t="n"/>
      <c r="R60" s="22" t="n"/>
      <c r="S60" s="22" t="n"/>
    </row>
    <row r="61" ht="15.75" customHeight="1">
      <c r="A61" s="26">
        <f>IF(((('MiT Strom Pipeline'!R56="WON"))*('MiT Strom Pipeline'!B56&lt;&gt;""))&gt;0,IF(ISNUMBER('MiT Strom Pipeline'!A56),'MiT Strom Pipeline'!A56,""),"")</f>
        <v/>
      </c>
      <c r="B61" s="27">
        <f>IF(((('MiT Strom Pipeline'!R56="WON"))*('MiT Strom Pipeline'!B56&lt;&gt;""))&gt;0,IF('MiT Strom Pipeline'!B56="","",'MiT Strom Pipeline'!B56),"")</f>
        <v/>
      </c>
      <c r="C61" s="27">
        <f>IF(((('MiT Strom Pipeline'!R56="WON"))*('MiT Strom Pipeline'!B56&lt;&gt;""))&gt;0,IF('MiT Strom Pipeline'!C56="","",'MiT Strom Pipeline'!C56),"")</f>
        <v/>
      </c>
      <c r="D61" s="27">
        <f>IF(((('MiT Strom Pipeline'!R56="WON"))*('MiT Strom Pipeline'!B56&lt;&gt;""))&gt;0,IF('MiT Strom Pipeline'!D56="","",'MiT Strom Pipeline'!D56),"")</f>
        <v/>
      </c>
      <c r="E61" s="27">
        <f>IF(((('MiT Strom Pipeline'!R56="WON"))*('MiT Strom Pipeline'!B56&lt;&gt;""))&gt;0,IF('MiT Strom Pipeline'!H56="","",'MiT Strom Pipeline'!H56),"")</f>
        <v/>
      </c>
      <c r="F61" s="27">
        <f>IF(((('MiT Strom Pipeline'!R56="WON"))*('MiT Strom Pipeline'!B56&lt;&gt;""))&gt;0,IF('MiT Strom Pipeline'!E56="","",'MiT Strom Pipeline'!E56),"")</f>
        <v/>
      </c>
      <c r="G61" s="28">
        <f>IF(((('MiT Strom Pipeline'!R56="WON"))*('MiT Strom Pipeline'!B56&lt;&gt;""))&gt;0,IF(ISNUMBER('MiT Strom Pipeline'!I56),'MiT Strom Pipeline'!I56,0),"")</f>
        <v/>
      </c>
      <c r="H61" s="28">
        <f>IF(((('MiT Strom Pipeline'!R56="WON"))*('MiT Strom Pipeline'!B56&lt;&gt;""))&gt;0,IF(ISNUMBER('MiT Strom Pipeline'!Q56),'MiT Strom Pipeline'!Q56,0),"")</f>
        <v/>
      </c>
      <c r="I61" s="27">
        <f>IF(((('MiT Strom Pipeline'!R56="WON"))*('MiT Strom Pipeline'!B56&lt;&gt;""))&gt;0,'MiT Strom Pipeline'!R56,"")</f>
        <v/>
      </c>
      <c r="J61" s="29">
        <f>IF(((('MiT Strom Pipeline'!R56="WON"))*('MiT Strom Pipeline'!B56&lt;&gt;""))&gt;0,IF(ISNUMBER('MiT Strom Pipeline'!S56),'MiT Strom Pipeline'!S56,""),"")</f>
        <v/>
      </c>
      <c r="K61" s="27">
        <f>IF(((('MiT Strom Pipeline'!R56="WON"))*('MiT Strom Pipeline'!B56&lt;&gt;""))&gt;0,IF(LEN('MiT Strom Pipeline'!V56)&gt;0,LEFT('MiT Strom Pipeline'!V56,55),""),"")</f>
        <v/>
      </c>
      <c r="L61" s="22" t="n"/>
      <c r="M61" s="22" t="n"/>
      <c r="N61" s="22" t="n"/>
      <c r="O61" s="22" t="n"/>
      <c r="P61" s="22" t="n"/>
      <c r="Q61" s="22" t="n"/>
      <c r="R61" s="22" t="n"/>
      <c r="S61" s="22" t="n"/>
    </row>
    <row r="62" ht="15.75" customHeight="1">
      <c r="A62" s="26">
        <f>IF(((('MiT Strom Pipeline'!R57="WON"))*('MiT Strom Pipeline'!B57&lt;&gt;""))&gt;0,IF(ISNUMBER('MiT Strom Pipeline'!A57),'MiT Strom Pipeline'!A57,""),"")</f>
        <v/>
      </c>
      <c r="B62" s="27">
        <f>IF(((('MiT Strom Pipeline'!R57="WON"))*('MiT Strom Pipeline'!B57&lt;&gt;""))&gt;0,IF('MiT Strom Pipeline'!B57="","",'MiT Strom Pipeline'!B57),"")</f>
        <v/>
      </c>
      <c r="C62" s="27">
        <f>IF(((('MiT Strom Pipeline'!R57="WON"))*('MiT Strom Pipeline'!B57&lt;&gt;""))&gt;0,IF('MiT Strom Pipeline'!C57="","",'MiT Strom Pipeline'!C57),"")</f>
        <v/>
      </c>
      <c r="D62" s="27">
        <f>IF(((('MiT Strom Pipeline'!R57="WON"))*('MiT Strom Pipeline'!B57&lt;&gt;""))&gt;0,IF('MiT Strom Pipeline'!D57="","",'MiT Strom Pipeline'!D57),"")</f>
        <v/>
      </c>
      <c r="E62" s="27">
        <f>IF(((('MiT Strom Pipeline'!R57="WON"))*('MiT Strom Pipeline'!B57&lt;&gt;""))&gt;0,IF('MiT Strom Pipeline'!H57="","",'MiT Strom Pipeline'!H57),"")</f>
        <v/>
      </c>
      <c r="F62" s="27">
        <f>IF(((('MiT Strom Pipeline'!R57="WON"))*('MiT Strom Pipeline'!B57&lt;&gt;""))&gt;0,IF('MiT Strom Pipeline'!E57="","",'MiT Strom Pipeline'!E57),"")</f>
        <v/>
      </c>
      <c r="G62" s="28">
        <f>IF(((('MiT Strom Pipeline'!R57="WON"))*('MiT Strom Pipeline'!B57&lt;&gt;""))&gt;0,IF(ISNUMBER('MiT Strom Pipeline'!I57),'MiT Strom Pipeline'!I57,0),"")</f>
        <v/>
      </c>
      <c r="H62" s="28">
        <f>IF(((('MiT Strom Pipeline'!R57="WON"))*('MiT Strom Pipeline'!B57&lt;&gt;""))&gt;0,IF(ISNUMBER('MiT Strom Pipeline'!Q57),'MiT Strom Pipeline'!Q57,0),"")</f>
        <v/>
      </c>
      <c r="I62" s="27">
        <f>IF(((('MiT Strom Pipeline'!R57="WON"))*('MiT Strom Pipeline'!B57&lt;&gt;""))&gt;0,'MiT Strom Pipeline'!R57,"")</f>
        <v/>
      </c>
      <c r="J62" s="29">
        <f>IF(((('MiT Strom Pipeline'!R57="WON"))*('MiT Strom Pipeline'!B57&lt;&gt;""))&gt;0,IF(ISNUMBER('MiT Strom Pipeline'!S57),'MiT Strom Pipeline'!S57,""),"")</f>
        <v/>
      </c>
      <c r="K62" s="27">
        <f>IF(((('MiT Strom Pipeline'!R57="WON"))*('MiT Strom Pipeline'!B57&lt;&gt;""))&gt;0,IF(LEN('MiT Strom Pipeline'!V57)&gt;0,LEFT('MiT Strom Pipeline'!V57,55),""),"")</f>
        <v/>
      </c>
      <c r="L62" s="22" t="n"/>
      <c r="M62" s="22" t="n"/>
      <c r="N62" s="22" t="n"/>
      <c r="O62" s="22" t="n"/>
      <c r="P62" s="22" t="n"/>
      <c r="Q62" s="22" t="n"/>
      <c r="R62" s="22" t="n"/>
      <c r="S62" s="22" t="n"/>
    </row>
    <row r="63" ht="15.75" customHeight="1">
      <c r="A63" s="26">
        <f>IF(((('MiT Strom Pipeline'!R58="WON"))*('MiT Strom Pipeline'!B58&lt;&gt;""))&gt;0,IF(ISNUMBER('MiT Strom Pipeline'!A58),'MiT Strom Pipeline'!A58,""),"")</f>
        <v/>
      </c>
      <c r="B63" s="27">
        <f>IF(((('MiT Strom Pipeline'!R58="WON"))*('MiT Strom Pipeline'!B58&lt;&gt;""))&gt;0,IF('MiT Strom Pipeline'!B58="","",'MiT Strom Pipeline'!B58),"")</f>
        <v/>
      </c>
      <c r="C63" s="27">
        <f>IF(((('MiT Strom Pipeline'!R58="WON"))*('MiT Strom Pipeline'!B58&lt;&gt;""))&gt;0,IF('MiT Strom Pipeline'!C58="","",'MiT Strom Pipeline'!C58),"")</f>
        <v/>
      </c>
      <c r="D63" s="27">
        <f>IF(((('MiT Strom Pipeline'!R58="WON"))*('MiT Strom Pipeline'!B58&lt;&gt;""))&gt;0,IF('MiT Strom Pipeline'!D58="","",'MiT Strom Pipeline'!D58),"")</f>
        <v/>
      </c>
      <c r="E63" s="27">
        <f>IF(((('MiT Strom Pipeline'!R58="WON"))*('MiT Strom Pipeline'!B58&lt;&gt;""))&gt;0,IF('MiT Strom Pipeline'!H58="","",'MiT Strom Pipeline'!H58),"")</f>
        <v/>
      </c>
      <c r="F63" s="27">
        <f>IF(((('MiT Strom Pipeline'!R58="WON"))*('MiT Strom Pipeline'!B58&lt;&gt;""))&gt;0,IF('MiT Strom Pipeline'!E58="","",'MiT Strom Pipeline'!E58),"")</f>
        <v/>
      </c>
      <c r="G63" s="28">
        <f>IF(((('MiT Strom Pipeline'!R58="WON"))*('MiT Strom Pipeline'!B58&lt;&gt;""))&gt;0,IF(ISNUMBER('MiT Strom Pipeline'!I58),'MiT Strom Pipeline'!I58,0),"")</f>
        <v/>
      </c>
      <c r="H63" s="28">
        <f>IF(((('MiT Strom Pipeline'!R58="WON"))*('MiT Strom Pipeline'!B58&lt;&gt;""))&gt;0,IF(ISNUMBER('MiT Strom Pipeline'!Q58),'MiT Strom Pipeline'!Q58,0),"")</f>
        <v/>
      </c>
      <c r="I63" s="27">
        <f>IF(((('MiT Strom Pipeline'!R58="WON"))*('MiT Strom Pipeline'!B58&lt;&gt;""))&gt;0,'MiT Strom Pipeline'!R58,"")</f>
        <v/>
      </c>
      <c r="J63" s="29">
        <f>IF(((('MiT Strom Pipeline'!R58="WON"))*('MiT Strom Pipeline'!B58&lt;&gt;""))&gt;0,IF(ISNUMBER('MiT Strom Pipeline'!S58),'MiT Strom Pipeline'!S58,""),"")</f>
        <v/>
      </c>
      <c r="K63" s="27">
        <f>IF(((('MiT Strom Pipeline'!R58="WON"))*('MiT Strom Pipeline'!B58&lt;&gt;""))&gt;0,IF(LEN('MiT Strom Pipeline'!V58)&gt;0,LEFT('MiT Strom Pipeline'!V58,55),""),"")</f>
        <v/>
      </c>
      <c r="L63" s="22" t="n"/>
      <c r="M63" s="22" t="n"/>
      <c r="N63" s="22" t="n"/>
      <c r="O63" s="22" t="n"/>
      <c r="P63" s="22" t="n"/>
      <c r="Q63" s="22" t="n"/>
      <c r="R63" s="22" t="n"/>
      <c r="S63" s="22" t="n"/>
    </row>
    <row r="64" ht="15.75" customHeight="1">
      <c r="A64" s="26">
        <f>IF(((('MiT Strom Pipeline'!R59="WON"))*('MiT Strom Pipeline'!B59&lt;&gt;""))&gt;0,IF(ISNUMBER('MiT Strom Pipeline'!A59),'MiT Strom Pipeline'!A59,""),"")</f>
        <v/>
      </c>
      <c r="B64" s="27">
        <f>IF(((('MiT Strom Pipeline'!R59="WON"))*('MiT Strom Pipeline'!B59&lt;&gt;""))&gt;0,IF('MiT Strom Pipeline'!B59="","",'MiT Strom Pipeline'!B59),"")</f>
        <v/>
      </c>
      <c r="C64" s="27">
        <f>IF(((('MiT Strom Pipeline'!R59="WON"))*('MiT Strom Pipeline'!B59&lt;&gt;""))&gt;0,IF('MiT Strom Pipeline'!C59="","",'MiT Strom Pipeline'!C59),"")</f>
        <v/>
      </c>
      <c r="D64" s="27">
        <f>IF(((('MiT Strom Pipeline'!R59="WON"))*('MiT Strom Pipeline'!B59&lt;&gt;""))&gt;0,IF('MiT Strom Pipeline'!D59="","",'MiT Strom Pipeline'!D59),"")</f>
        <v/>
      </c>
      <c r="E64" s="27">
        <f>IF(((('MiT Strom Pipeline'!R59="WON"))*('MiT Strom Pipeline'!B59&lt;&gt;""))&gt;0,IF('MiT Strom Pipeline'!H59="","",'MiT Strom Pipeline'!H59),"")</f>
        <v/>
      </c>
      <c r="F64" s="27">
        <f>IF(((('MiT Strom Pipeline'!R59="WON"))*('MiT Strom Pipeline'!B59&lt;&gt;""))&gt;0,IF('MiT Strom Pipeline'!E59="","",'MiT Strom Pipeline'!E59),"")</f>
        <v/>
      </c>
      <c r="G64" s="28">
        <f>IF(((('MiT Strom Pipeline'!R59="WON"))*('MiT Strom Pipeline'!B59&lt;&gt;""))&gt;0,IF(ISNUMBER('MiT Strom Pipeline'!I59),'MiT Strom Pipeline'!I59,0),"")</f>
        <v/>
      </c>
      <c r="H64" s="28">
        <f>IF(((('MiT Strom Pipeline'!R59="WON"))*('MiT Strom Pipeline'!B59&lt;&gt;""))&gt;0,IF(ISNUMBER('MiT Strom Pipeline'!Q59),'MiT Strom Pipeline'!Q59,0),"")</f>
        <v/>
      </c>
      <c r="I64" s="27">
        <f>IF(((('MiT Strom Pipeline'!R59="WON"))*('MiT Strom Pipeline'!B59&lt;&gt;""))&gt;0,'MiT Strom Pipeline'!R59,"")</f>
        <v/>
      </c>
      <c r="J64" s="29">
        <f>IF(((('MiT Strom Pipeline'!R59="WON"))*('MiT Strom Pipeline'!B59&lt;&gt;""))&gt;0,IF(ISNUMBER('MiT Strom Pipeline'!S59),'MiT Strom Pipeline'!S59,""),"")</f>
        <v/>
      </c>
      <c r="K64" s="27">
        <f>IF(((('MiT Strom Pipeline'!R59="WON"))*('MiT Strom Pipeline'!B59&lt;&gt;""))&gt;0,IF(LEN('MiT Strom Pipeline'!V59)&gt;0,LEFT('MiT Strom Pipeline'!V59,55),""),"")</f>
        <v/>
      </c>
      <c r="L64" s="22" t="n"/>
      <c r="M64" s="22" t="n"/>
      <c r="N64" s="22" t="n"/>
      <c r="O64" s="22" t="n"/>
      <c r="P64" s="22" t="n"/>
      <c r="Q64" s="22" t="n"/>
      <c r="R64" s="22" t="n"/>
      <c r="S64" s="22" t="n"/>
    </row>
    <row r="65" ht="15.75" customHeight="1">
      <c r="A65" s="26">
        <f>IF(((('MiT Strom Pipeline'!R60="WON"))*('MiT Strom Pipeline'!B60&lt;&gt;""))&gt;0,IF(ISNUMBER('MiT Strom Pipeline'!A60),'MiT Strom Pipeline'!A60,""),"")</f>
        <v/>
      </c>
      <c r="B65" s="27">
        <f>IF(((('MiT Strom Pipeline'!R60="WON"))*('MiT Strom Pipeline'!B60&lt;&gt;""))&gt;0,IF('MiT Strom Pipeline'!B60="","",'MiT Strom Pipeline'!B60),"")</f>
        <v/>
      </c>
      <c r="C65" s="27">
        <f>IF(((('MiT Strom Pipeline'!R60="WON"))*('MiT Strom Pipeline'!B60&lt;&gt;""))&gt;0,IF('MiT Strom Pipeline'!C60="","",'MiT Strom Pipeline'!C60),"")</f>
        <v/>
      </c>
      <c r="D65" s="27">
        <f>IF(((('MiT Strom Pipeline'!R60="WON"))*('MiT Strom Pipeline'!B60&lt;&gt;""))&gt;0,IF('MiT Strom Pipeline'!D60="","",'MiT Strom Pipeline'!D60),"")</f>
        <v/>
      </c>
      <c r="E65" s="27">
        <f>IF(((('MiT Strom Pipeline'!R60="WON"))*('MiT Strom Pipeline'!B60&lt;&gt;""))&gt;0,IF('MiT Strom Pipeline'!H60="","",'MiT Strom Pipeline'!H60),"")</f>
        <v/>
      </c>
      <c r="F65" s="27">
        <f>IF(((('MiT Strom Pipeline'!R60="WON"))*('MiT Strom Pipeline'!B60&lt;&gt;""))&gt;0,IF('MiT Strom Pipeline'!E60="","",'MiT Strom Pipeline'!E60),"")</f>
        <v/>
      </c>
      <c r="G65" s="28">
        <f>IF(((('MiT Strom Pipeline'!R60="WON"))*('MiT Strom Pipeline'!B60&lt;&gt;""))&gt;0,IF(ISNUMBER('MiT Strom Pipeline'!I60),'MiT Strom Pipeline'!I60,0),"")</f>
        <v/>
      </c>
      <c r="H65" s="28">
        <f>IF(((('MiT Strom Pipeline'!R60="WON"))*('MiT Strom Pipeline'!B60&lt;&gt;""))&gt;0,IF(ISNUMBER('MiT Strom Pipeline'!Q60),'MiT Strom Pipeline'!Q60,0),"")</f>
        <v/>
      </c>
      <c r="I65" s="27">
        <f>IF(((('MiT Strom Pipeline'!R60="WON"))*('MiT Strom Pipeline'!B60&lt;&gt;""))&gt;0,'MiT Strom Pipeline'!R60,"")</f>
        <v/>
      </c>
      <c r="J65" s="29">
        <f>IF(((('MiT Strom Pipeline'!R60="WON"))*('MiT Strom Pipeline'!B60&lt;&gt;""))&gt;0,IF(ISNUMBER('MiT Strom Pipeline'!S60),'MiT Strom Pipeline'!S60,""),"")</f>
        <v/>
      </c>
      <c r="K65" s="27">
        <f>IF(((('MiT Strom Pipeline'!R60="WON"))*('MiT Strom Pipeline'!B60&lt;&gt;""))&gt;0,IF(LEN('MiT Strom Pipeline'!V60)&gt;0,LEFT('MiT Strom Pipeline'!V60,55),""),"")</f>
        <v/>
      </c>
      <c r="L65" s="22" t="n"/>
      <c r="M65" s="22" t="n"/>
      <c r="N65" s="22" t="n"/>
      <c r="O65" s="22" t="n"/>
      <c r="P65" s="22" t="n"/>
      <c r="Q65" s="22" t="n"/>
      <c r="R65" s="22" t="n"/>
      <c r="S65" s="22" t="n"/>
    </row>
    <row r="66" ht="15.75" customHeight="1">
      <c r="A66" s="26">
        <f>IF(((('MiT Strom Pipeline'!R61="WON"))*('MiT Strom Pipeline'!B61&lt;&gt;""))&gt;0,IF(ISNUMBER('MiT Strom Pipeline'!A61),'MiT Strom Pipeline'!A61,""),"")</f>
        <v/>
      </c>
      <c r="B66" s="27">
        <f>IF(((('MiT Strom Pipeline'!R61="WON"))*('MiT Strom Pipeline'!B61&lt;&gt;""))&gt;0,IF('MiT Strom Pipeline'!B61="","",'MiT Strom Pipeline'!B61),"")</f>
        <v/>
      </c>
      <c r="C66" s="27">
        <f>IF(((('MiT Strom Pipeline'!R61="WON"))*('MiT Strom Pipeline'!B61&lt;&gt;""))&gt;0,IF('MiT Strom Pipeline'!C61="","",'MiT Strom Pipeline'!C61),"")</f>
        <v/>
      </c>
      <c r="D66" s="27">
        <f>IF(((('MiT Strom Pipeline'!R61="WON"))*('MiT Strom Pipeline'!B61&lt;&gt;""))&gt;0,IF('MiT Strom Pipeline'!D61="","",'MiT Strom Pipeline'!D61),"")</f>
        <v/>
      </c>
      <c r="E66" s="27">
        <f>IF(((('MiT Strom Pipeline'!R61="WON"))*('MiT Strom Pipeline'!B61&lt;&gt;""))&gt;0,IF('MiT Strom Pipeline'!H61="","",'MiT Strom Pipeline'!H61),"")</f>
        <v/>
      </c>
      <c r="F66" s="27">
        <f>IF(((('MiT Strom Pipeline'!R61="WON"))*('MiT Strom Pipeline'!B61&lt;&gt;""))&gt;0,IF('MiT Strom Pipeline'!E61="","",'MiT Strom Pipeline'!E61),"")</f>
        <v/>
      </c>
      <c r="G66" s="28">
        <f>IF(((('MiT Strom Pipeline'!R61="WON"))*('MiT Strom Pipeline'!B61&lt;&gt;""))&gt;0,IF(ISNUMBER('MiT Strom Pipeline'!I61),'MiT Strom Pipeline'!I61,0),"")</f>
        <v/>
      </c>
      <c r="H66" s="28">
        <f>IF(((('MiT Strom Pipeline'!R61="WON"))*('MiT Strom Pipeline'!B61&lt;&gt;""))&gt;0,IF(ISNUMBER('MiT Strom Pipeline'!Q61),'MiT Strom Pipeline'!Q61,0),"")</f>
        <v/>
      </c>
      <c r="I66" s="27">
        <f>IF(((('MiT Strom Pipeline'!R61="WON"))*('MiT Strom Pipeline'!B61&lt;&gt;""))&gt;0,'MiT Strom Pipeline'!R61,"")</f>
        <v/>
      </c>
      <c r="J66" s="29">
        <f>IF(((('MiT Strom Pipeline'!R61="WON"))*('MiT Strom Pipeline'!B61&lt;&gt;""))&gt;0,IF(ISNUMBER('MiT Strom Pipeline'!S61),'MiT Strom Pipeline'!S61,""),"")</f>
        <v/>
      </c>
      <c r="K66" s="27">
        <f>IF(((('MiT Strom Pipeline'!R61="WON"))*('MiT Strom Pipeline'!B61&lt;&gt;""))&gt;0,IF(LEN('MiT Strom Pipeline'!V61)&gt;0,LEFT('MiT Strom Pipeline'!V61,55),""),"")</f>
        <v/>
      </c>
      <c r="L66" s="22" t="n"/>
      <c r="M66" s="22" t="n"/>
      <c r="N66" s="22" t="n"/>
      <c r="O66" s="22" t="n"/>
      <c r="P66" s="22" t="n"/>
      <c r="Q66" s="22" t="n"/>
      <c r="R66" s="22" t="n"/>
      <c r="S66" s="22" t="n"/>
    </row>
    <row r="67" ht="15.75" customHeight="1">
      <c r="A67" s="26">
        <f>IF(((('MiT Strom Pipeline'!R62="WON"))*('MiT Strom Pipeline'!B62&lt;&gt;""))&gt;0,IF(ISNUMBER('MiT Strom Pipeline'!A62),'MiT Strom Pipeline'!A62,""),"")</f>
        <v/>
      </c>
      <c r="B67" s="27">
        <f>IF(((('MiT Strom Pipeline'!R62="WON"))*('MiT Strom Pipeline'!B62&lt;&gt;""))&gt;0,IF('MiT Strom Pipeline'!B62="","",'MiT Strom Pipeline'!B62),"")</f>
        <v/>
      </c>
      <c r="C67" s="27">
        <f>IF(((('MiT Strom Pipeline'!R62="WON"))*('MiT Strom Pipeline'!B62&lt;&gt;""))&gt;0,IF('MiT Strom Pipeline'!C62="","",'MiT Strom Pipeline'!C62),"")</f>
        <v/>
      </c>
      <c r="D67" s="27">
        <f>IF(((('MiT Strom Pipeline'!R62="WON"))*('MiT Strom Pipeline'!B62&lt;&gt;""))&gt;0,IF('MiT Strom Pipeline'!D62="","",'MiT Strom Pipeline'!D62),"")</f>
        <v/>
      </c>
      <c r="E67" s="27">
        <f>IF(((('MiT Strom Pipeline'!R62="WON"))*('MiT Strom Pipeline'!B62&lt;&gt;""))&gt;0,IF('MiT Strom Pipeline'!H62="","",'MiT Strom Pipeline'!H62),"")</f>
        <v/>
      </c>
      <c r="F67" s="27">
        <f>IF(((('MiT Strom Pipeline'!R62="WON"))*('MiT Strom Pipeline'!B62&lt;&gt;""))&gt;0,IF('MiT Strom Pipeline'!E62="","",'MiT Strom Pipeline'!E62),"")</f>
        <v/>
      </c>
      <c r="G67" s="28">
        <f>IF(((('MiT Strom Pipeline'!R62="WON"))*('MiT Strom Pipeline'!B62&lt;&gt;""))&gt;0,IF(ISNUMBER('MiT Strom Pipeline'!I62),'MiT Strom Pipeline'!I62,0),"")</f>
        <v/>
      </c>
      <c r="H67" s="28">
        <f>IF(((('MiT Strom Pipeline'!R62="WON"))*('MiT Strom Pipeline'!B62&lt;&gt;""))&gt;0,IF(ISNUMBER('MiT Strom Pipeline'!Q62),'MiT Strom Pipeline'!Q62,0),"")</f>
        <v/>
      </c>
      <c r="I67" s="27">
        <f>IF(((('MiT Strom Pipeline'!R62="WON"))*('MiT Strom Pipeline'!B62&lt;&gt;""))&gt;0,'MiT Strom Pipeline'!R62,"")</f>
        <v/>
      </c>
      <c r="J67" s="29">
        <f>IF(((('MiT Strom Pipeline'!R62="WON"))*('MiT Strom Pipeline'!B62&lt;&gt;""))&gt;0,IF(ISNUMBER('MiT Strom Pipeline'!S62),'MiT Strom Pipeline'!S62,""),"")</f>
        <v/>
      </c>
      <c r="K67" s="27">
        <f>IF(((('MiT Strom Pipeline'!R62="WON"))*('MiT Strom Pipeline'!B62&lt;&gt;""))&gt;0,IF(LEN('MiT Strom Pipeline'!V62)&gt;0,LEFT('MiT Strom Pipeline'!V62,55),""),"")</f>
        <v/>
      </c>
      <c r="L67" s="22" t="n"/>
      <c r="M67" s="22" t="n"/>
      <c r="N67" s="22" t="n"/>
      <c r="O67" s="22" t="n"/>
      <c r="P67" s="22" t="n"/>
      <c r="Q67" s="22" t="n"/>
      <c r="R67" s="22" t="n"/>
      <c r="S67" s="22" t="n"/>
    </row>
    <row r="68" ht="15.75" customHeight="1">
      <c r="A68" s="26">
        <f>IF(((('MiT Strom Pipeline'!R63="WON"))*('MiT Strom Pipeline'!B63&lt;&gt;""))&gt;0,IF(ISNUMBER('MiT Strom Pipeline'!A63),'MiT Strom Pipeline'!A63,""),"")</f>
        <v/>
      </c>
      <c r="B68" s="27">
        <f>IF(((('MiT Strom Pipeline'!R63="WON"))*('MiT Strom Pipeline'!B63&lt;&gt;""))&gt;0,IF('MiT Strom Pipeline'!B63="","",'MiT Strom Pipeline'!B63),"")</f>
        <v/>
      </c>
      <c r="C68" s="27">
        <f>IF(((('MiT Strom Pipeline'!R63="WON"))*('MiT Strom Pipeline'!B63&lt;&gt;""))&gt;0,IF('MiT Strom Pipeline'!C63="","",'MiT Strom Pipeline'!C63),"")</f>
        <v/>
      </c>
      <c r="D68" s="27">
        <f>IF(((('MiT Strom Pipeline'!R63="WON"))*('MiT Strom Pipeline'!B63&lt;&gt;""))&gt;0,IF('MiT Strom Pipeline'!D63="","",'MiT Strom Pipeline'!D63),"")</f>
        <v/>
      </c>
      <c r="E68" s="27">
        <f>IF(((('MiT Strom Pipeline'!R63="WON"))*('MiT Strom Pipeline'!B63&lt;&gt;""))&gt;0,IF('MiT Strom Pipeline'!H63="","",'MiT Strom Pipeline'!H63),"")</f>
        <v/>
      </c>
      <c r="F68" s="27">
        <f>IF(((('MiT Strom Pipeline'!R63="WON"))*('MiT Strom Pipeline'!B63&lt;&gt;""))&gt;0,IF('MiT Strom Pipeline'!E63="","",'MiT Strom Pipeline'!E63),"")</f>
        <v/>
      </c>
      <c r="G68" s="28">
        <f>IF(((('MiT Strom Pipeline'!R63="WON"))*('MiT Strom Pipeline'!B63&lt;&gt;""))&gt;0,IF(ISNUMBER('MiT Strom Pipeline'!I63),'MiT Strom Pipeline'!I63,0),"")</f>
        <v/>
      </c>
      <c r="H68" s="28">
        <f>IF(((('MiT Strom Pipeline'!R63="WON"))*('MiT Strom Pipeline'!B63&lt;&gt;""))&gt;0,IF(ISNUMBER('MiT Strom Pipeline'!Q63),'MiT Strom Pipeline'!Q63,0),"")</f>
        <v/>
      </c>
      <c r="I68" s="27">
        <f>IF(((('MiT Strom Pipeline'!R63="WON"))*('MiT Strom Pipeline'!B63&lt;&gt;""))&gt;0,'MiT Strom Pipeline'!R63,"")</f>
        <v/>
      </c>
      <c r="J68" s="29">
        <f>IF(((('MiT Strom Pipeline'!R63="WON"))*('MiT Strom Pipeline'!B63&lt;&gt;""))&gt;0,IF(ISNUMBER('MiT Strom Pipeline'!S63),'MiT Strom Pipeline'!S63,""),"")</f>
        <v/>
      </c>
      <c r="K68" s="27">
        <f>IF(((('MiT Strom Pipeline'!R63="WON"))*('MiT Strom Pipeline'!B63&lt;&gt;""))&gt;0,IF(LEN('MiT Strom Pipeline'!V63)&gt;0,LEFT('MiT Strom Pipeline'!V63,55),""),"")</f>
        <v/>
      </c>
      <c r="L68" s="22" t="n"/>
      <c r="M68" s="22" t="n"/>
      <c r="N68" s="22" t="n"/>
      <c r="O68" s="22" t="n"/>
      <c r="P68" s="22" t="n"/>
      <c r="Q68" s="22" t="n"/>
      <c r="R68" s="22" t="n"/>
      <c r="S68" s="22" t="n"/>
    </row>
    <row r="69" ht="15.75" customHeight="1">
      <c r="A69" s="26">
        <f>IF(((('MiT Strom Pipeline'!R64="WON"))*('MiT Strom Pipeline'!B64&lt;&gt;""))&gt;0,IF(ISNUMBER('MiT Strom Pipeline'!A64),'MiT Strom Pipeline'!A64,""),"")</f>
        <v/>
      </c>
      <c r="B69" s="27">
        <f>IF(((('MiT Strom Pipeline'!R64="WON"))*('MiT Strom Pipeline'!B64&lt;&gt;""))&gt;0,IF('MiT Strom Pipeline'!B64="","",'MiT Strom Pipeline'!B64),"")</f>
        <v/>
      </c>
      <c r="C69" s="27">
        <f>IF(((('MiT Strom Pipeline'!R64="WON"))*('MiT Strom Pipeline'!B64&lt;&gt;""))&gt;0,IF('MiT Strom Pipeline'!C64="","",'MiT Strom Pipeline'!C64),"")</f>
        <v/>
      </c>
      <c r="D69" s="27">
        <f>IF(((('MiT Strom Pipeline'!R64="WON"))*('MiT Strom Pipeline'!B64&lt;&gt;""))&gt;0,IF('MiT Strom Pipeline'!D64="","",'MiT Strom Pipeline'!D64),"")</f>
        <v/>
      </c>
      <c r="E69" s="27">
        <f>IF(((('MiT Strom Pipeline'!R64="WON"))*('MiT Strom Pipeline'!B64&lt;&gt;""))&gt;0,IF('MiT Strom Pipeline'!H64="","",'MiT Strom Pipeline'!H64),"")</f>
        <v/>
      </c>
      <c r="F69" s="27">
        <f>IF(((('MiT Strom Pipeline'!R64="WON"))*('MiT Strom Pipeline'!B64&lt;&gt;""))&gt;0,IF('MiT Strom Pipeline'!E64="","",'MiT Strom Pipeline'!E64),"")</f>
        <v/>
      </c>
      <c r="G69" s="28">
        <f>IF(((('MiT Strom Pipeline'!R64="WON"))*('MiT Strom Pipeline'!B64&lt;&gt;""))&gt;0,IF(ISNUMBER('MiT Strom Pipeline'!I64),'MiT Strom Pipeline'!I64,0),"")</f>
        <v/>
      </c>
      <c r="H69" s="28">
        <f>IF(((('MiT Strom Pipeline'!R64="WON"))*('MiT Strom Pipeline'!B64&lt;&gt;""))&gt;0,IF(ISNUMBER('MiT Strom Pipeline'!Q64),'MiT Strom Pipeline'!Q64,0),"")</f>
        <v/>
      </c>
      <c r="I69" s="27">
        <f>IF(((('MiT Strom Pipeline'!R64="WON"))*('MiT Strom Pipeline'!B64&lt;&gt;""))&gt;0,'MiT Strom Pipeline'!R64,"")</f>
        <v/>
      </c>
      <c r="J69" s="29">
        <f>IF(((('MiT Strom Pipeline'!R64="WON"))*('MiT Strom Pipeline'!B64&lt;&gt;""))&gt;0,IF(ISNUMBER('MiT Strom Pipeline'!S64),'MiT Strom Pipeline'!S64,""),"")</f>
        <v/>
      </c>
      <c r="K69" s="27">
        <f>IF(((('MiT Strom Pipeline'!R64="WON"))*('MiT Strom Pipeline'!B64&lt;&gt;""))&gt;0,IF(LEN('MiT Strom Pipeline'!V64)&gt;0,LEFT('MiT Strom Pipeline'!V64,55),""),"")</f>
        <v/>
      </c>
      <c r="L69" s="22" t="n"/>
      <c r="M69" s="22" t="n"/>
      <c r="N69" s="22" t="n"/>
      <c r="O69" s="22" t="n"/>
      <c r="P69" s="22" t="n"/>
      <c r="Q69" s="22" t="n"/>
      <c r="R69" s="22" t="n"/>
      <c r="S69" s="22" t="n"/>
    </row>
    <row r="70" ht="15.75" customHeight="1">
      <c r="A70" s="26">
        <f>IF(((('MiT Strom Pipeline'!R65="WON"))*('MiT Strom Pipeline'!B65&lt;&gt;""))&gt;0,IF(ISNUMBER('MiT Strom Pipeline'!A65),'MiT Strom Pipeline'!A65,""),"")</f>
        <v/>
      </c>
      <c r="B70" s="27">
        <f>IF(((('MiT Strom Pipeline'!R65="WON"))*('MiT Strom Pipeline'!B65&lt;&gt;""))&gt;0,IF('MiT Strom Pipeline'!B65="","",'MiT Strom Pipeline'!B65),"")</f>
        <v/>
      </c>
      <c r="C70" s="27">
        <f>IF(((('MiT Strom Pipeline'!R65="WON"))*('MiT Strom Pipeline'!B65&lt;&gt;""))&gt;0,IF('MiT Strom Pipeline'!C65="","",'MiT Strom Pipeline'!C65),"")</f>
        <v/>
      </c>
      <c r="D70" s="27">
        <f>IF(((('MiT Strom Pipeline'!R65="WON"))*('MiT Strom Pipeline'!B65&lt;&gt;""))&gt;0,IF('MiT Strom Pipeline'!D65="","",'MiT Strom Pipeline'!D65),"")</f>
        <v/>
      </c>
      <c r="E70" s="27">
        <f>IF(((('MiT Strom Pipeline'!R65="WON"))*('MiT Strom Pipeline'!B65&lt;&gt;""))&gt;0,IF('MiT Strom Pipeline'!H65="","",'MiT Strom Pipeline'!H65),"")</f>
        <v/>
      </c>
      <c r="F70" s="27">
        <f>IF(((('MiT Strom Pipeline'!R65="WON"))*('MiT Strom Pipeline'!B65&lt;&gt;""))&gt;0,IF('MiT Strom Pipeline'!E65="","",'MiT Strom Pipeline'!E65),"")</f>
        <v/>
      </c>
      <c r="G70" s="28">
        <f>IF(((('MiT Strom Pipeline'!R65="WON"))*('MiT Strom Pipeline'!B65&lt;&gt;""))&gt;0,IF(ISNUMBER('MiT Strom Pipeline'!I65),'MiT Strom Pipeline'!I65,0),"")</f>
        <v/>
      </c>
      <c r="H70" s="28">
        <f>IF(((('MiT Strom Pipeline'!R65="WON"))*('MiT Strom Pipeline'!B65&lt;&gt;""))&gt;0,IF(ISNUMBER('MiT Strom Pipeline'!Q65),'MiT Strom Pipeline'!Q65,0),"")</f>
        <v/>
      </c>
      <c r="I70" s="27">
        <f>IF(((('MiT Strom Pipeline'!R65="WON"))*('MiT Strom Pipeline'!B65&lt;&gt;""))&gt;0,'MiT Strom Pipeline'!R65,"")</f>
        <v/>
      </c>
      <c r="J70" s="29">
        <f>IF(((('MiT Strom Pipeline'!R65="WON"))*('MiT Strom Pipeline'!B65&lt;&gt;""))&gt;0,IF(ISNUMBER('MiT Strom Pipeline'!S65),'MiT Strom Pipeline'!S65,""),"")</f>
        <v/>
      </c>
      <c r="K70" s="27">
        <f>IF(((('MiT Strom Pipeline'!R65="WON"))*('MiT Strom Pipeline'!B65&lt;&gt;""))&gt;0,IF(LEN('MiT Strom Pipeline'!V65)&gt;0,LEFT('MiT Strom Pipeline'!V65,55),""),"")</f>
        <v/>
      </c>
      <c r="L70" s="22" t="n"/>
      <c r="M70" s="22" t="n"/>
      <c r="N70" s="22" t="n"/>
      <c r="O70" s="22" t="n"/>
      <c r="P70" s="22" t="n"/>
      <c r="Q70" s="22" t="n"/>
      <c r="R70" s="22" t="n"/>
      <c r="S70" s="22" t="n"/>
    </row>
    <row r="71" ht="21.75" customHeight="1">
      <c r="A71" s="26">
        <f>IF(((('MiT Strom Pipeline'!R66="WON"))*('MiT Strom Pipeline'!B66&lt;&gt;""))&gt;0,IF(ISNUMBER('MiT Strom Pipeline'!A66),'MiT Strom Pipeline'!A66,""),"")</f>
        <v/>
      </c>
      <c r="B71" s="27">
        <f>IF(((('MiT Strom Pipeline'!R66="WON"))*('MiT Strom Pipeline'!B66&lt;&gt;""))&gt;0,IF('MiT Strom Pipeline'!B66="","",'MiT Strom Pipeline'!B66),"")</f>
        <v/>
      </c>
      <c r="C71" s="27">
        <f>IF(((('MiT Strom Pipeline'!R66="WON"))*('MiT Strom Pipeline'!B66&lt;&gt;""))&gt;0,IF('MiT Strom Pipeline'!C66="","",'MiT Strom Pipeline'!C66),"")</f>
        <v/>
      </c>
      <c r="D71" s="27">
        <f>IF(((('MiT Strom Pipeline'!R66="WON"))*('MiT Strom Pipeline'!B66&lt;&gt;""))&gt;0,IF('MiT Strom Pipeline'!D66="","",'MiT Strom Pipeline'!D66),"")</f>
        <v/>
      </c>
      <c r="E71" s="27">
        <f>IF(((('MiT Strom Pipeline'!R66="WON"))*('MiT Strom Pipeline'!B66&lt;&gt;""))&gt;0,IF('MiT Strom Pipeline'!H66="","",'MiT Strom Pipeline'!H66),"")</f>
        <v/>
      </c>
      <c r="F71" s="27">
        <f>IF(((('MiT Strom Pipeline'!R66="WON"))*('MiT Strom Pipeline'!B66&lt;&gt;""))&gt;0,IF('MiT Strom Pipeline'!E66="","",'MiT Strom Pipeline'!E66),"")</f>
        <v/>
      </c>
      <c r="G71" s="28">
        <f>IF(((('MiT Strom Pipeline'!R66="WON"))*('MiT Strom Pipeline'!B66&lt;&gt;""))&gt;0,IF(ISNUMBER('MiT Strom Pipeline'!I66),'MiT Strom Pipeline'!I66,0),"")</f>
        <v/>
      </c>
      <c r="H71" s="28">
        <f>IF(((('MiT Strom Pipeline'!R66="WON"))*('MiT Strom Pipeline'!B66&lt;&gt;""))&gt;0,IF(ISNUMBER('MiT Strom Pipeline'!Q66),'MiT Strom Pipeline'!Q66,0),"")</f>
        <v/>
      </c>
      <c r="I71" s="27">
        <f>IF(((('MiT Strom Pipeline'!R66="WON"))*('MiT Strom Pipeline'!B66&lt;&gt;""))&gt;0,'MiT Strom Pipeline'!R66,"")</f>
        <v/>
      </c>
      <c r="J71" s="29">
        <f>IF(((('MiT Strom Pipeline'!R66="WON"))*('MiT Strom Pipeline'!B66&lt;&gt;""))&gt;0,IF(ISNUMBER('MiT Strom Pipeline'!S66),'MiT Strom Pipeline'!S66,""),"")</f>
        <v/>
      </c>
      <c r="K71" s="27">
        <f>IF(((('MiT Strom Pipeline'!R66="WON"))*('MiT Strom Pipeline'!B66&lt;&gt;""))&gt;0,IF(LEN('MiT Strom Pipeline'!V66)&gt;0,LEFT('MiT Strom Pipeline'!V66,55),""),"")</f>
        <v/>
      </c>
      <c r="L71" s="22" t="n"/>
      <c r="M71" s="22" t="n"/>
      <c r="N71" s="22" t="n"/>
      <c r="O71" s="22" t="n"/>
      <c r="P71" s="22" t="n"/>
      <c r="Q71" s="22" t="n"/>
      <c r="R71" s="22" t="n"/>
      <c r="S71" s="22" t="n"/>
    </row>
    <row r="72" ht="19.5" customHeight="1">
      <c r="A72" s="26">
        <f>IF(((('MiT Strom Pipeline'!R67="WON"))*('MiT Strom Pipeline'!B67&lt;&gt;""))&gt;0,IF(ISNUMBER('MiT Strom Pipeline'!A67),'MiT Strom Pipeline'!A67,""),"")</f>
        <v/>
      </c>
      <c r="B72" s="27">
        <f>IF(((('MiT Strom Pipeline'!R67="WON"))*('MiT Strom Pipeline'!B67&lt;&gt;""))&gt;0,IF('MiT Strom Pipeline'!B67="","",'MiT Strom Pipeline'!B67),"")</f>
        <v/>
      </c>
      <c r="C72" s="27">
        <f>IF(((('MiT Strom Pipeline'!R67="WON"))*('MiT Strom Pipeline'!B67&lt;&gt;""))&gt;0,IF('MiT Strom Pipeline'!C67="","",'MiT Strom Pipeline'!C67),"")</f>
        <v/>
      </c>
      <c r="D72" s="27">
        <f>IF(((('MiT Strom Pipeline'!R67="WON"))*('MiT Strom Pipeline'!B67&lt;&gt;""))&gt;0,IF('MiT Strom Pipeline'!D67="","",'MiT Strom Pipeline'!D67),"")</f>
        <v/>
      </c>
      <c r="E72" s="27">
        <f>IF(((('MiT Strom Pipeline'!R67="WON"))*('MiT Strom Pipeline'!B67&lt;&gt;""))&gt;0,IF('MiT Strom Pipeline'!H67="","",'MiT Strom Pipeline'!H67),"")</f>
        <v/>
      </c>
      <c r="F72" s="27">
        <f>IF(((('MiT Strom Pipeline'!R67="WON"))*('MiT Strom Pipeline'!B67&lt;&gt;""))&gt;0,IF('MiT Strom Pipeline'!E67="","",'MiT Strom Pipeline'!E67),"")</f>
        <v/>
      </c>
      <c r="G72" s="28">
        <f>IF(((('MiT Strom Pipeline'!R67="WON"))*('MiT Strom Pipeline'!B67&lt;&gt;""))&gt;0,IF(ISNUMBER('MiT Strom Pipeline'!I67),'MiT Strom Pipeline'!I67,0),"")</f>
        <v/>
      </c>
      <c r="H72" s="28">
        <f>IF(((('MiT Strom Pipeline'!R67="WON"))*('MiT Strom Pipeline'!B67&lt;&gt;""))&gt;0,IF(ISNUMBER('MiT Strom Pipeline'!Q67),'MiT Strom Pipeline'!Q67,0),"")</f>
        <v/>
      </c>
      <c r="I72" s="27">
        <f>IF(((('MiT Strom Pipeline'!R67="WON"))*('MiT Strom Pipeline'!B67&lt;&gt;""))&gt;0,'MiT Strom Pipeline'!R67,"")</f>
        <v/>
      </c>
      <c r="J72" s="29">
        <f>IF(((('MiT Strom Pipeline'!R67="WON"))*('MiT Strom Pipeline'!B67&lt;&gt;""))&gt;0,IF(ISNUMBER('MiT Strom Pipeline'!S67),'MiT Strom Pipeline'!S67,""),"")</f>
        <v/>
      </c>
      <c r="K72" s="27">
        <f>IF(((('MiT Strom Pipeline'!R67="WON"))*('MiT Strom Pipeline'!B67&lt;&gt;""))&gt;0,IF(LEN('MiT Strom Pipeline'!V67)&gt;0,LEFT('MiT Strom Pipeline'!V67,55),""),"")</f>
        <v/>
      </c>
      <c r="L72" s="22" t="n"/>
      <c r="M72" s="22" t="n"/>
      <c r="N72" s="22" t="n"/>
      <c r="O72" s="22" t="n"/>
      <c r="P72" s="22" t="n"/>
      <c r="Q72" s="22" t="n"/>
      <c r="R72" s="22" t="n"/>
      <c r="S72" s="22" t="n"/>
    </row>
    <row r="73" ht="24" customHeight="1">
      <c r="A73" s="141" t="inlineStr">
        <is>
          <t>📄  2. OFFERTE — Versendete &amp; laufende Angebote</t>
        </is>
      </c>
      <c r="B73" s="189" t="n"/>
      <c r="C73" s="189" t="n"/>
      <c r="D73" s="189" t="n"/>
      <c r="E73" s="189" t="n"/>
      <c r="F73" s="189" t="n"/>
      <c r="G73" s="189" t="n"/>
      <c r="H73" s="189" t="n"/>
      <c r="I73" s="189" t="n"/>
      <c r="J73" s="189" t="n"/>
      <c r="K73" s="190" t="n"/>
      <c r="L73" s="22" t="n"/>
      <c r="M73" s="22" t="n"/>
      <c r="N73" s="22" t="n"/>
      <c r="O73" s="22" t="n"/>
      <c r="P73" s="22" t="n"/>
      <c r="Q73" s="22" t="n"/>
      <c r="R73" s="22" t="n"/>
      <c r="S73" s="22" t="n"/>
    </row>
    <row r="74" ht="19.5" customHeight="1">
      <c r="A74" s="25" t="inlineStr">
        <is>
          <t>#</t>
        </is>
      </c>
      <c r="B74" s="25" t="inlineStr">
        <is>
          <t>Kunde / Unternehmen</t>
        </is>
      </c>
      <c r="C74" s="25" t="inlineStr">
        <is>
          <t>Kt.</t>
        </is>
      </c>
      <c r="D74" s="25" t="inlineStr">
        <is>
          <t>Segment</t>
        </is>
      </c>
      <c r="E74" s="25" t="inlineStr">
        <is>
          <t>Start</t>
        </is>
      </c>
      <c r="F74" s="25" t="inlineStr">
        <is>
          <t>Leistung / Fleet</t>
        </is>
      </c>
      <c r="G74" s="25" t="inlineStr">
        <is>
          <t>Volumen CHF</t>
        </is>
      </c>
      <c r="H74" s="25" t="inlineStr">
        <is>
          <t>Gew.Wert CHF</t>
        </is>
      </c>
      <c r="I74" s="25" t="inlineStr">
        <is>
          <t>Status</t>
        </is>
      </c>
      <c r="J74" s="25" t="inlineStr">
        <is>
          <t>Wahr.%</t>
        </is>
      </c>
      <c r="K74" s="25" t="inlineStr">
        <is>
          <t>Nächster Schritt</t>
        </is>
      </c>
      <c r="L74" s="22" t="n"/>
      <c r="M74" s="22" t="n"/>
      <c r="N74" s="22" t="n"/>
      <c r="O74" s="22" t="n"/>
      <c r="P74" s="22" t="n"/>
      <c r="Q74" s="22" t="n"/>
      <c r="R74" s="22" t="n"/>
      <c r="S74" s="22" t="n"/>
    </row>
    <row r="75" ht="15.75" customHeight="1">
      <c r="A75" s="26">
        <f>IF(((('MiT Strom Pipeline'!R6="offered")+('MiT Strom Pipeline'!R6="to be offered")+('MiT Strom Pipeline'!R6="on hold"))*('MiT Strom Pipeline'!B6&lt;&gt;""))&gt;0,IF(ISNUMBER('MiT Strom Pipeline'!A6),'MiT Strom Pipeline'!A6,""),"")</f>
        <v/>
      </c>
      <c r="B75" s="27">
        <f>IF(((('MiT Strom Pipeline'!R6="offered")+('MiT Strom Pipeline'!R6="to be offered")+('MiT Strom Pipeline'!R6="on hold"))*('MiT Strom Pipeline'!B6&lt;&gt;""))&gt;0,IF('MiT Strom Pipeline'!B6="","",'MiT Strom Pipeline'!B6),"")</f>
        <v/>
      </c>
      <c r="C75" s="27">
        <f>IF(((('MiT Strom Pipeline'!R6="offered")+('MiT Strom Pipeline'!R6="to be offered")+('MiT Strom Pipeline'!R6="on hold"))*('MiT Strom Pipeline'!B6&lt;&gt;""))&gt;0,IF('MiT Strom Pipeline'!C6="","",'MiT Strom Pipeline'!C6),"")</f>
        <v/>
      </c>
      <c r="D75" s="27">
        <f>IF(((('MiT Strom Pipeline'!R6="offered")+('MiT Strom Pipeline'!R6="to be offered")+('MiT Strom Pipeline'!R6="on hold"))*('MiT Strom Pipeline'!B6&lt;&gt;""))&gt;0,IF('MiT Strom Pipeline'!D6="","",'MiT Strom Pipeline'!D6),"")</f>
        <v/>
      </c>
      <c r="E75" s="27">
        <f>IF(((('MiT Strom Pipeline'!R6="offered")+('MiT Strom Pipeline'!R6="to be offered")+('MiT Strom Pipeline'!R6="on hold"))*('MiT Strom Pipeline'!B6&lt;&gt;""))&gt;0,IF('MiT Strom Pipeline'!H6="","",'MiT Strom Pipeline'!H6),"")</f>
        <v/>
      </c>
      <c r="F75" s="27">
        <f>IF(((('MiT Strom Pipeline'!R6="offered")+('MiT Strom Pipeline'!R6="to be offered")+('MiT Strom Pipeline'!R6="on hold"))*('MiT Strom Pipeline'!B6&lt;&gt;""))&gt;0,IF('MiT Strom Pipeline'!E6="","",'MiT Strom Pipeline'!E6),"")</f>
        <v/>
      </c>
      <c r="G75" s="28">
        <f>IF(((('MiT Strom Pipeline'!R6="offered")+('MiT Strom Pipeline'!R6="to be offered")+('MiT Strom Pipeline'!R6="on hold"))*('MiT Strom Pipeline'!B6&lt;&gt;""))&gt;0,IF(ISNUMBER('MiT Strom Pipeline'!I6),'MiT Strom Pipeline'!I6,0),"")</f>
        <v/>
      </c>
      <c r="H75" s="28">
        <f>IF(((('MiT Strom Pipeline'!R6="offered")+('MiT Strom Pipeline'!R6="to be offered")+('MiT Strom Pipeline'!R6="on hold"))*('MiT Strom Pipeline'!B6&lt;&gt;""))&gt;0,IF(ISNUMBER('MiT Strom Pipeline'!Q6),'MiT Strom Pipeline'!Q6,0),"")</f>
        <v/>
      </c>
      <c r="I75" s="27">
        <f>IF(((('MiT Strom Pipeline'!R6="offered")+('MiT Strom Pipeline'!R6="to be offered")+('MiT Strom Pipeline'!R6="on hold"))*('MiT Strom Pipeline'!B6&lt;&gt;""))&gt;0,'MiT Strom Pipeline'!R6,"")</f>
        <v/>
      </c>
      <c r="J75" s="29">
        <f>IF(((('MiT Strom Pipeline'!R6="offered")+('MiT Strom Pipeline'!R6="to be offered")+('MiT Strom Pipeline'!R6="on hold"))*('MiT Strom Pipeline'!B6&lt;&gt;""))&gt;0,IF(ISNUMBER('MiT Strom Pipeline'!S6),'MiT Strom Pipeline'!S6,""),"")</f>
        <v/>
      </c>
      <c r="K75" s="27">
        <f>IF(((('MiT Strom Pipeline'!R6="offered")+('MiT Strom Pipeline'!R6="to be offered")+('MiT Strom Pipeline'!R6="on hold"))*('MiT Strom Pipeline'!B6&lt;&gt;""))&gt;0,IF(LEN('MiT Strom Pipeline'!V6)&gt;0,LEFT('MiT Strom Pipeline'!V6,55),""),"")</f>
        <v/>
      </c>
      <c r="L75" s="22" t="n"/>
      <c r="M75" s="22" t="n"/>
      <c r="N75" s="22" t="n"/>
      <c r="O75" s="22" t="n"/>
      <c r="P75" s="22" t="n"/>
      <c r="Q75" s="22" t="n"/>
      <c r="R75" s="22" t="n"/>
      <c r="S75" s="22" t="n"/>
    </row>
    <row r="76" ht="15.75" customHeight="1">
      <c r="A76" s="26">
        <f>IF(((('MiT Strom Pipeline'!R7="offered")+('MiT Strom Pipeline'!R7="to be offered")+('MiT Strom Pipeline'!R7="on hold"))*('MiT Strom Pipeline'!B7&lt;&gt;""))&gt;0,IF(ISNUMBER('MiT Strom Pipeline'!A7),'MiT Strom Pipeline'!A7,""),"")</f>
        <v/>
      </c>
      <c r="B76" s="27">
        <f>IF(((('MiT Strom Pipeline'!R7="offered")+('MiT Strom Pipeline'!R7="to be offered")+('MiT Strom Pipeline'!R7="on hold"))*('MiT Strom Pipeline'!B7&lt;&gt;""))&gt;0,IF('MiT Strom Pipeline'!B7="","",'MiT Strom Pipeline'!B7),"")</f>
        <v/>
      </c>
      <c r="C76" s="27">
        <f>IF(((('MiT Strom Pipeline'!R7="offered")+('MiT Strom Pipeline'!R7="to be offered")+('MiT Strom Pipeline'!R7="on hold"))*('MiT Strom Pipeline'!B7&lt;&gt;""))&gt;0,IF('MiT Strom Pipeline'!C7="","",'MiT Strom Pipeline'!C7),"")</f>
        <v/>
      </c>
      <c r="D76" s="27">
        <f>IF(((('MiT Strom Pipeline'!R7="offered")+('MiT Strom Pipeline'!R7="to be offered")+('MiT Strom Pipeline'!R7="on hold"))*('MiT Strom Pipeline'!B7&lt;&gt;""))&gt;0,IF('MiT Strom Pipeline'!D7="","",'MiT Strom Pipeline'!D7),"")</f>
        <v/>
      </c>
      <c r="E76" s="27">
        <f>IF(((('MiT Strom Pipeline'!R7="offered")+('MiT Strom Pipeline'!R7="to be offered")+('MiT Strom Pipeline'!R7="on hold"))*('MiT Strom Pipeline'!B7&lt;&gt;""))&gt;0,IF('MiT Strom Pipeline'!H7="","",'MiT Strom Pipeline'!H7),"")</f>
        <v/>
      </c>
      <c r="F76" s="27">
        <f>IF(((('MiT Strom Pipeline'!R7="offered")+('MiT Strom Pipeline'!R7="to be offered")+('MiT Strom Pipeline'!R7="on hold"))*('MiT Strom Pipeline'!B7&lt;&gt;""))&gt;0,IF('MiT Strom Pipeline'!E7="","",'MiT Strom Pipeline'!E7),"")</f>
        <v/>
      </c>
      <c r="G76" s="28">
        <f>IF(((('MiT Strom Pipeline'!R7="offered")+('MiT Strom Pipeline'!R7="to be offered")+('MiT Strom Pipeline'!R7="on hold"))*('MiT Strom Pipeline'!B7&lt;&gt;""))&gt;0,IF(ISNUMBER('MiT Strom Pipeline'!I7),'MiT Strom Pipeline'!I7,0),"")</f>
        <v/>
      </c>
      <c r="H76" s="28">
        <f>IF(((('MiT Strom Pipeline'!R7="offered")+('MiT Strom Pipeline'!R7="to be offered")+('MiT Strom Pipeline'!R7="on hold"))*('MiT Strom Pipeline'!B7&lt;&gt;""))&gt;0,IF(ISNUMBER('MiT Strom Pipeline'!Q7),'MiT Strom Pipeline'!Q7,0),"")</f>
        <v/>
      </c>
      <c r="I76" s="27">
        <f>IF(((('MiT Strom Pipeline'!R7="offered")+('MiT Strom Pipeline'!R7="to be offered")+('MiT Strom Pipeline'!R7="on hold"))*('MiT Strom Pipeline'!B7&lt;&gt;""))&gt;0,'MiT Strom Pipeline'!R7,"")</f>
        <v/>
      </c>
      <c r="J76" s="29">
        <f>IF(((('MiT Strom Pipeline'!R7="offered")+('MiT Strom Pipeline'!R7="to be offered")+('MiT Strom Pipeline'!R7="on hold"))*('MiT Strom Pipeline'!B7&lt;&gt;""))&gt;0,IF(ISNUMBER('MiT Strom Pipeline'!S7),'MiT Strom Pipeline'!S7,""),"")</f>
        <v/>
      </c>
      <c r="K76" s="27">
        <f>IF(((('MiT Strom Pipeline'!R7="offered")+('MiT Strom Pipeline'!R7="to be offered")+('MiT Strom Pipeline'!R7="on hold"))*('MiT Strom Pipeline'!B7&lt;&gt;""))&gt;0,IF(LEN('MiT Strom Pipeline'!V7)&gt;0,LEFT('MiT Strom Pipeline'!V7,55),""),"")</f>
        <v/>
      </c>
      <c r="L76" s="22" t="n"/>
      <c r="M76" s="22" t="n"/>
      <c r="N76" s="22" t="n"/>
      <c r="O76" s="22" t="n"/>
      <c r="P76" s="22" t="n"/>
      <c r="Q76" s="22" t="n"/>
      <c r="R76" s="22" t="n"/>
      <c r="S76" s="22" t="n"/>
    </row>
    <row r="77" ht="15.75" customHeight="1">
      <c r="A77" s="26">
        <f>IF(((('MiT Strom Pipeline'!R8="offered")+('MiT Strom Pipeline'!R8="to be offered")+('MiT Strom Pipeline'!R8="on hold"))*('MiT Strom Pipeline'!B8&lt;&gt;""))&gt;0,IF(ISNUMBER('MiT Strom Pipeline'!A8),'MiT Strom Pipeline'!A8,""),"")</f>
        <v>15</v>
      </c>
      <c r="B77" s="27" t="str">
        <f>IF(((('MiT Strom Pipeline'!R8="offered")+('MiT Strom Pipeline'!R8="to be offered")+('MiT Strom Pipeline'!R8="on hold"))*('MiT Strom Pipeline'!B8&lt;&gt;""))&gt;0,IF('MiT Strom Pipeline'!B8="","",'MiT Strom Pipeline'!B8),"")</f>
        <v>Gotthard Base Tunnel</v>
      </c>
      <c r="C77" s="27" t="str">
        <f>IF(((('MiT Strom Pipeline'!R8="offered")+('MiT Strom Pipeline'!R8="to be offered")+('MiT Strom Pipeline'!R8="on hold"))*('MiT Strom Pipeline'!B8&lt;&gt;""))&gt;0,IF('MiT Strom Pipeline'!C8="","",'MiT Strom Pipeline'!C8),"")</f>
        <v>UR</v>
      </c>
      <c r="D77" s="27" t="str">
        <f>IF(((('MiT Strom Pipeline'!R8="offered")+('MiT Strom Pipeline'!R8="to be offered")+('MiT Strom Pipeline'!R8="on hold"))*('MiT Strom Pipeline'!B8&lt;&gt;""))&gt;0,IF('MiT Strom Pipeline'!D8="","",'MiT Strom Pipeline'!D8),"")</f>
        <v>Infrastruktur / Bahn</v>
      </c>
      <c r="E77" s="27" t="str">
        <f>IF(((('MiT Strom Pipeline'!R8="offered")+('MiT Strom Pipeline'!R8="to be offered")+('MiT Strom Pipeline'!R8="on hold"))*('MiT Strom Pipeline'!B8&lt;&gt;""))&gt;0,IF('MiT Strom Pipeline'!H8="","",'MiT Strom Pipeline'!H8),"")</f>
        <v>tbd</v>
      </c>
      <c r="F77" s="27" t="str">
        <f>IF(((('MiT Strom Pipeline'!R8="offered")+('MiT Strom Pipeline'!R8="to be offered")+('MiT Strom Pipeline'!R8="on hold"))*('MiT Strom Pipeline'!B8&lt;&gt;""))&gt;0,IF('MiT Strom Pipeline'!E8="","",'MiT Strom Pipeline'!E8),"")</f>
        <v>Grossanlage tbd</v>
      </c>
      <c r="G77" s="28">
        <f>IF(((('MiT Strom Pipeline'!R8="offered")+('MiT Strom Pipeline'!R8="to be offered")+('MiT Strom Pipeline'!R8="on hold"))*('MiT Strom Pipeline'!B8&lt;&gt;""))&gt;0,IF(ISNUMBER('MiT Strom Pipeline'!I8),'MiT Strom Pipeline'!I8,0),"")</f>
        <v>0</v>
      </c>
      <c r="H77" s="28">
        <f>IF(((('MiT Strom Pipeline'!R8="offered")+('MiT Strom Pipeline'!R8="to be offered")+('MiT Strom Pipeline'!R8="on hold"))*('MiT Strom Pipeline'!B8&lt;&gt;""))&gt;0,IF(ISNUMBER('MiT Strom Pipeline'!Q8),'MiT Strom Pipeline'!Q8,0),"")</f>
        <v>0</v>
      </c>
      <c r="I77" s="27" t="str">
        <f>IF(((('MiT Strom Pipeline'!R8="offered")+('MiT Strom Pipeline'!R8="to be offered")+('MiT Strom Pipeline'!R8="on hold"))*('MiT Strom Pipeline'!B8&lt;&gt;""))&gt;0,'MiT Strom Pipeline'!R8,"")</f>
        <v>on hold</v>
      </c>
      <c r="J77" s="29">
        <f>IF(((('MiT Strom Pipeline'!R8="offered")+('MiT Strom Pipeline'!R8="to be offered")+('MiT Strom Pipeline'!R8="on hold"))*('MiT Strom Pipeline'!B8&lt;&gt;""))&gt;0,IF(ISNUMBER('MiT Strom Pipeline'!S8),'MiT Strom Pipeline'!S8,""),"")</f>
        <v>0.1</v>
      </c>
      <c r="K77" s="27" t="str">
        <f>IF(((('MiT Strom Pipeline'!R8="offered")+('MiT Strom Pipeline'!R8="to be offered")+('MiT Strom Pipeline'!R8="on hold"))*('MiT Strom Pipeline'!B8&lt;&gt;""))&gt;0,IF(LEN('MiT Strom Pipeline'!V8)&gt;0,LEFT('MiT Strom Pipeline'!V8,55),""),"")</f>
        <v>Stakeholder identifizieren – AlpTransit/SBB kontaktiere</v>
      </c>
      <c r="L77" s="22" t="n"/>
      <c r="M77" s="22" t="n"/>
      <c r="N77" s="22" t="n"/>
      <c r="O77" s="22" t="n"/>
      <c r="P77" s="22" t="n"/>
      <c r="Q77" s="22" t="n"/>
      <c r="R77" s="22" t="n"/>
      <c r="S77" s="22" t="n"/>
    </row>
    <row r="78" ht="15.75" customHeight="1">
      <c r="A78" s="26">
        <f>IF(((('MiT Strom Pipeline'!R9="offered")+('MiT Strom Pipeline'!R9="to be offered")+('MiT Strom Pipeline'!R9="on hold"))*('MiT Strom Pipeline'!B9&lt;&gt;""))&gt;0,IF(ISNUMBER('MiT Strom Pipeline'!A9),'MiT Strom Pipeline'!A9,""),"")</f>
        <v/>
      </c>
      <c r="B78" s="27">
        <f>IF(((('MiT Strom Pipeline'!R9="offered")+('MiT Strom Pipeline'!R9="to be offered")+('MiT Strom Pipeline'!R9="on hold"))*('MiT Strom Pipeline'!B9&lt;&gt;""))&gt;0,IF('MiT Strom Pipeline'!B9="","",'MiT Strom Pipeline'!B9),"")</f>
        <v/>
      </c>
      <c r="C78" s="27">
        <f>IF(((('MiT Strom Pipeline'!R9="offered")+('MiT Strom Pipeline'!R9="to be offered")+('MiT Strom Pipeline'!R9="on hold"))*('MiT Strom Pipeline'!B9&lt;&gt;""))&gt;0,IF('MiT Strom Pipeline'!C9="","",'MiT Strom Pipeline'!C9),"")</f>
        <v/>
      </c>
      <c r="D78" s="27">
        <f>IF(((('MiT Strom Pipeline'!R9="offered")+('MiT Strom Pipeline'!R9="to be offered")+('MiT Strom Pipeline'!R9="on hold"))*('MiT Strom Pipeline'!B9&lt;&gt;""))&gt;0,IF('MiT Strom Pipeline'!D9="","",'MiT Strom Pipeline'!D9),"")</f>
        <v/>
      </c>
      <c r="E78" s="27">
        <f>IF(((('MiT Strom Pipeline'!R9="offered")+('MiT Strom Pipeline'!R9="to be offered")+('MiT Strom Pipeline'!R9="on hold"))*('MiT Strom Pipeline'!B9&lt;&gt;""))&gt;0,IF('MiT Strom Pipeline'!H9="","",'MiT Strom Pipeline'!H9),"")</f>
        <v/>
      </c>
      <c r="F78" s="27">
        <f>IF(((('MiT Strom Pipeline'!R9="offered")+('MiT Strom Pipeline'!R9="to be offered")+('MiT Strom Pipeline'!R9="on hold"))*('MiT Strom Pipeline'!B9&lt;&gt;""))&gt;0,IF('MiT Strom Pipeline'!E9="","",'MiT Strom Pipeline'!E9),"")</f>
        <v/>
      </c>
      <c r="G78" s="28">
        <f>IF(((('MiT Strom Pipeline'!R9="offered")+('MiT Strom Pipeline'!R9="to be offered")+('MiT Strom Pipeline'!R9="on hold"))*('MiT Strom Pipeline'!B9&lt;&gt;""))&gt;0,IF(ISNUMBER('MiT Strom Pipeline'!I9),'MiT Strom Pipeline'!I9,0),"")</f>
        <v/>
      </c>
      <c r="H78" s="28">
        <f>IF(((('MiT Strom Pipeline'!R9="offered")+('MiT Strom Pipeline'!R9="to be offered")+('MiT Strom Pipeline'!R9="on hold"))*('MiT Strom Pipeline'!B9&lt;&gt;""))&gt;0,IF(ISNUMBER('MiT Strom Pipeline'!Q9),'MiT Strom Pipeline'!Q9,0),"")</f>
        <v/>
      </c>
      <c r="I78" s="27">
        <f>IF(((('MiT Strom Pipeline'!R9="offered")+('MiT Strom Pipeline'!R9="to be offered")+('MiT Strom Pipeline'!R9="on hold"))*('MiT Strom Pipeline'!B9&lt;&gt;""))&gt;0,'MiT Strom Pipeline'!R9,"")</f>
        <v/>
      </c>
      <c r="J78" s="29">
        <f>IF(((('MiT Strom Pipeline'!R9="offered")+('MiT Strom Pipeline'!R9="to be offered")+('MiT Strom Pipeline'!R9="on hold"))*('MiT Strom Pipeline'!B9&lt;&gt;""))&gt;0,IF(ISNUMBER('MiT Strom Pipeline'!S9),'MiT Strom Pipeline'!S9,""),"")</f>
        <v/>
      </c>
      <c r="K78" s="27">
        <f>IF(((('MiT Strom Pipeline'!R9="offered")+('MiT Strom Pipeline'!R9="to be offered")+('MiT Strom Pipeline'!R9="on hold"))*('MiT Strom Pipeline'!B9&lt;&gt;""))&gt;0,IF(LEN('MiT Strom Pipeline'!V9)&gt;0,LEFT('MiT Strom Pipeline'!V9,55),""),"")</f>
        <v/>
      </c>
      <c r="L78" s="22" t="n"/>
      <c r="M78" s="22" t="n"/>
      <c r="N78" s="22" t="n"/>
      <c r="O78" s="22" t="n"/>
      <c r="P78" s="22" t="n"/>
      <c r="Q78" s="22" t="n"/>
      <c r="R78" s="22" t="n"/>
      <c r="S78" s="22" t="n"/>
    </row>
    <row r="79" ht="15.75" customHeight="1">
      <c r="A79" s="26">
        <f>IF(((('MiT Strom Pipeline'!R10="offered")+('MiT Strom Pipeline'!R10="to be offered")+('MiT Strom Pipeline'!R10="on hold"))*('MiT Strom Pipeline'!B10&lt;&gt;""))&gt;0,IF(ISNUMBER('MiT Strom Pipeline'!A10),'MiT Strom Pipeline'!A10,""),"")</f>
        <v/>
      </c>
      <c r="B79" s="27">
        <f>IF(((('MiT Strom Pipeline'!R10="offered")+('MiT Strom Pipeline'!R10="to be offered")+('MiT Strom Pipeline'!R10="on hold"))*('MiT Strom Pipeline'!B10&lt;&gt;""))&gt;0,IF('MiT Strom Pipeline'!B10="","",'MiT Strom Pipeline'!B10),"")</f>
        <v/>
      </c>
      <c r="C79" s="27">
        <f>IF(((('MiT Strom Pipeline'!R10="offered")+('MiT Strom Pipeline'!R10="to be offered")+('MiT Strom Pipeline'!R10="on hold"))*('MiT Strom Pipeline'!B10&lt;&gt;""))&gt;0,IF('MiT Strom Pipeline'!C10="","",'MiT Strom Pipeline'!C10),"")</f>
        <v/>
      </c>
      <c r="D79" s="27">
        <f>IF(((('MiT Strom Pipeline'!R10="offered")+('MiT Strom Pipeline'!R10="to be offered")+('MiT Strom Pipeline'!R10="on hold"))*('MiT Strom Pipeline'!B10&lt;&gt;""))&gt;0,IF('MiT Strom Pipeline'!D10="","",'MiT Strom Pipeline'!D10),"")</f>
        <v/>
      </c>
      <c r="E79" s="27">
        <f>IF(((('MiT Strom Pipeline'!R10="offered")+('MiT Strom Pipeline'!R10="to be offered")+('MiT Strom Pipeline'!R10="on hold"))*('MiT Strom Pipeline'!B10&lt;&gt;""))&gt;0,IF('MiT Strom Pipeline'!H10="","",'MiT Strom Pipeline'!H10),"")</f>
        <v/>
      </c>
      <c r="F79" s="27">
        <f>IF(((('MiT Strom Pipeline'!R10="offered")+('MiT Strom Pipeline'!R10="to be offered")+('MiT Strom Pipeline'!R10="on hold"))*('MiT Strom Pipeline'!B10&lt;&gt;""))&gt;0,IF('MiT Strom Pipeline'!E10="","",'MiT Strom Pipeline'!E10),"")</f>
        <v/>
      </c>
      <c r="G79" s="28">
        <f>IF(((('MiT Strom Pipeline'!R10="offered")+('MiT Strom Pipeline'!R10="to be offered")+('MiT Strom Pipeline'!R10="on hold"))*('MiT Strom Pipeline'!B10&lt;&gt;""))&gt;0,IF(ISNUMBER('MiT Strom Pipeline'!I10),'MiT Strom Pipeline'!I10,0),"")</f>
        <v/>
      </c>
      <c r="H79" s="28">
        <f>IF(((('MiT Strom Pipeline'!R10="offered")+('MiT Strom Pipeline'!R10="to be offered")+('MiT Strom Pipeline'!R10="on hold"))*('MiT Strom Pipeline'!B10&lt;&gt;""))&gt;0,IF(ISNUMBER('MiT Strom Pipeline'!Q10),'MiT Strom Pipeline'!Q10,0),"")</f>
        <v/>
      </c>
      <c r="I79" s="27">
        <f>IF(((('MiT Strom Pipeline'!R10="offered")+('MiT Strom Pipeline'!R10="to be offered")+('MiT Strom Pipeline'!R10="on hold"))*('MiT Strom Pipeline'!B10&lt;&gt;""))&gt;0,'MiT Strom Pipeline'!R10,"")</f>
        <v/>
      </c>
      <c r="J79" s="29">
        <f>IF(((('MiT Strom Pipeline'!R10="offered")+('MiT Strom Pipeline'!R10="to be offered")+('MiT Strom Pipeline'!R10="on hold"))*('MiT Strom Pipeline'!B10&lt;&gt;""))&gt;0,IF(ISNUMBER('MiT Strom Pipeline'!S10),'MiT Strom Pipeline'!S10,""),"")</f>
        <v/>
      </c>
      <c r="K79" s="27">
        <f>IF(((('MiT Strom Pipeline'!R10="offered")+('MiT Strom Pipeline'!R10="to be offered")+('MiT Strom Pipeline'!R10="on hold"))*('MiT Strom Pipeline'!B10&lt;&gt;""))&gt;0,IF(LEN('MiT Strom Pipeline'!V10)&gt;0,LEFT('MiT Strom Pipeline'!V10,55),""),"")</f>
        <v/>
      </c>
      <c r="L79" s="22" t="n"/>
      <c r="M79" s="22" t="n"/>
      <c r="N79" s="22" t="n"/>
      <c r="O79" s="22" t="n"/>
      <c r="P79" s="22" t="n"/>
      <c r="Q79" s="22" t="n"/>
      <c r="R79" s="22" t="n"/>
      <c r="S79" s="22" t="n"/>
    </row>
    <row r="80" ht="15.75" customHeight="1">
      <c r="A80" s="26">
        <f>IF(((('MiT Strom Pipeline'!R11="offered")+('MiT Strom Pipeline'!R11="to be offered")+('MiT Strom Pipeline'!R11="on hold"))*('MiT Strom Pipeline'!B11&lt;&gt;""))&gt;0,IF(ISNUMBER('MiT Strom Pipeline'!A11),'MiT Strom Pipeline'!A11,""),"")</f>
        <v/>
      </c>
      <c r="B80" s="27">
        <f>IF(((('MiT Strom Pipeline'!R11="offered")+('MiT Strom Pipeline'!R11="to be offered")+('MiT Strom Pipeline'!R11="on hold"))*('MiT Strom Pipeline'!B11&lt;&gt;""))&gt;0,IF('MiT Strom Pipeline'!B11="","",'MiT Strom Pipeline'!B11),"")</f>
        <v/>
      </c>
      <c r="C80" s="27">
        <f>IF(((('MiT Strom Pipeline'!R11="offered")+('MiT Strom Pipeline'!R11="to be offered")+('MiT Strom Pipeline'!R11="on hold"))*('MiT Strom Pipeline'!B11&lt;&gt;""))&gt;0,IF('MiT Strom Pipeline'!C11="","",'MiT Strom Pipeline'!C11),"")</f>
        <v/>
      </c>
      <c r="D80" s="27">
        <f>IF(((('MiT Strom Pipeline'!R11="offered")+('MiT Strom Pipeline'!R11="to be offered")+('MiT Strom Pipeline'!R11="on hold"))*('MiT Strom Pipeline'!B11&lt;&gt;""))&gt;0,IF('MiT Strom Pipeline'!D11="","",'MiT Strom Pipeline'!D11),"")</f>
        <v/>
      </c>
      <c r="E80" s="27">
        <f>IF(((('MiT Strom Pipeline'!R11="offered")+('MiT Strom Pipeline'!R11="to be offered")+('MiT Strom Pipeline'!R11="on hold"))*('MiT Strom Pipeline'!B11&lt;&gt;""))&gt;0,IF('MiT Strom Pipeline'!H11="","",'MiT Strom Pipeline'!H11),"")</f>
        <v/>
      </c>
      <c r="F80" s="27">
        <f>IF(((('MiT Strom Pipeline'!R11="offered")+('MiT Strom Pipeline'!R11="to be offered")+('MiT Strom Pipeline'!R11="on hold"))*('MiT Strom Pipeline'!B11&lt;&gt;""))&gt;0,IF('MiT Strom Pipeline'!E11="","",'MiT Strom Pipeline'!E11),"")</f>
        <v/>
      </c>
      <c r="G80" s="28">
        <f>IF(((('MiT Strom Pipeline'!R11="offered")+('MiT Strom Pipeline'!R11="to be offered")+('MiT Strom Pipeline'!R11="on hold"))*('MiT Strom Pipeline'!B11&lt;&gt;""))&gt;0,IF(ISNUMBER('MiT Strom Pipeline'!I11),'MiT Strom Pipeline'!I11,0),"")</f>
        <v/>
      </c>
      <c r="H80" s="28">
        <f>IF(((('MiT Strom Pipeline'!R11="offered")+('MiT Strom Pipeline'!R11="to be offered")+('MiT Strom Pipeline'!R11="on hold"))*('MiT Strom Pipeline'!B11&lt;&gt;""))&gt;0,IF(ISNUMBER('MiT Strom Pipeline'!Q11),'MiT Strom Pipeline'!Q11,0),"")</f>
        <v/>
      </c>
      <c r="I80" s="27">
        <f>IF(((('MiT Strom Pipeline'!R11="offered")+('MiT Strom Pipeline'!R11="to be offered")+('MiT Strom Pipeline'!R11="on hold"))*('MiT Strom Pipeline'!B11&lt;&gt;""))&gt;0,'MiT Strom Pipeline'!R11,"")</f>
        <v/>
      </c>
      <c r="J80" s="29">
        <f>IF(((('MiT Strom Pipeline'!R11="offered")+('MiT Strom Pipeline'!R11="to be offered")+('MiT Strom Pipeline'!R11="on hold"))*('MiT Strom Pipeline'!B11&lt;&gt;""))&gt;0,IF(ISNUMBER('MiT Strom Pipeline'!S11),'MiT Strom Pipeline'!S11,""),"")</f>
        <v/>
      </c>
      <c r="K80" s="27">
        <f>IF(((('MiT Strom Pipeline'!R11="offered")+('MiT Strom Pipeline'!R11="to be offered")+('MiT Strom Pipeline'!R11="on hold"))*('MiT Strom Pipeline'!B11&lt;&gt;""))&gt;0,IF(LEN('MiT Strom Pipeline'!V11)&gt;0,LEFT('MiT Strom Pipeline'!V11,55),""),"")</f>
        <v/>
      </c>
      <c r="L80" s="22" t="n"/>
      <c r="M80" s="22" t="n"/>
      <c r="N80" s="22" t="n"/>
      <c r="O80" s="22" t="n"/>
      <c r="P80" s="22" t="n"/>
      <c r="Q80" s="22" t="n"/>
      <c r="R80" s="22" t="n"/>
      <c r="S80" s="22" t="n"/>
    </row>
    <row r="81" ht="15.75" customHeight="1">
      <c r="A81" s="26">
        <f>IF(((('MiT Strom Pipeline'!R12="offered")+('MiT Strom Pipeline'!R12="to be offered")+('MiT Strom Pipeline'!R12="on hold"))*('MiT Strom Pipeline'!B12&lt;&gt;""))&gt;0,IF(ISNUMBER('MiT Strom Pipeline'!A12),'MiT Strom Pipeline'!A12,""),"")</f>
        <v/>
      </c>
      <c r="B81" s="27">
        <f>IF(((('MiT Strom Pipeline'!R12="offered")+('MiT Strom Pipeline'!R12="to be offered")+('MiT Strom Pipeline'!R12="on hold"))*('MiT Strom Pipeline'!B12&lt;&gt;""))&gt;0,IF('MiT Strom Pipeline'!B12="","",'MiT Strom Pipeline'!B12),"")</f>
        <v/>
      </c>
      <c r="C81" s="27">
        <f>IF(((('MiT Strom Pipeline'!R12="offered")+('MiT Strom Pipeline'!R12="to be offered")+('MiT Strom Pipeline'!R12="on hold"))*('MiT Strom Pipeline'!B12&lt;&gt;""))&gt;0,IF('MiT Strom Pipeline'!C12="","",'MiT Strom Pipeline'!C12),"")</f>
        <v/>
      </c>
      <c r="D81" s="27">
        <f>IF(((('MiT Strom Pipeline'!R12="offered")+('MiT Strom Pipeline'!R12="to be offered")+('MiT Strom Pipeline'!R12="on hold"))*('MiT Strom Pipeline'!B12&lt;&gt;""))&gt;0,IF('MiT Strom Pipeline'!D12="","",'MiT Strom Pipeline'!D12),"")</f>
        <v/>
      </c>
      <c r="E81" s="27">
        <f>IF(((('MiT Strom Pipeline'!R12="offered")+('MiT Strom Pipeline'!R12="to be offered")+('MiT Strom Pipeline'!R12="on hold"))*('MiT Strom Pipeline'!B12&lt;&gt;""))&gt;0,IF('MiT Strom Pipeline'!H12="","",'MiT Strom Pipeline'!H12),"")</f>
        <v/>
      </c>
      <c r="F81" s="27">
        <f>IF(((('MiT Strom Pipeline'!R12="offered")+('MiT Strom Pipeline'!R12="to be offered")+('MiT Strom Pipeline'!R12="on hold"))*('MiT Strom Pipeline'!B12&lt;&gt;""))&gt;0,IF('MiT Strom Pipeline'!E12="","",'MiT Strom Pipeline'!E12),"")</f>
        <v/>
      </c>
      <c r="G81" s="28">
        <f>IF(((('MiT Strom Pipeline'!R12="offered")+('MiT Strom Pipeline'!R12="to be offered")+('MiT Strom Pipeline'!R12="on hold"))*('MiT Strom Pipeline'!B12&lt;&gt;""))&gt;0,IF(ISNUMBER('MiT Strom Pipeline'!I12),'MiT Strom Pipeline'!I12,0),"")</f>
        <v/>
      </c>
      <c r="H81" s="28">
        <f>IF(((('MiT Strom Pipeline'!R12="offered")+('MiT Strom Pipeline'!R12="to be offered")+('MiT Strom Pipeline'!R12="on hold"))*('MiT Strom Pipeline'!B12&lt;&gt;""))&gt;0,IF(ISNUMBER('MiT Strom Pipeline'!Q12),'MiT Strom Pipeline'!Q12,0),"")</f>
        <v/>
      </c>
      <c r="I81" s="27">
        <f>IF(((('MiT Strom Pipeline'!R12="offered")+('MiT Strom Pipeline'!R12="to be offered")+('MiT Strom Pipeline'!R12="on hold"))*('MiT Strom Pipeline'!B12&lt;&gt;""))&gt;0,'MiT Strom Pipeline'!R12,"")</f>
        <v/>
      </c>
      <c r="J81" s="29">
        <f>IF(((('MiT Strom Pipeline'!R12="offered")+('MiT Strom Pipeline'!R12="to be offered")+('MiT Strom Pipeline'!R12="on hold"))*('MiT Strom Pipeline'!B12&lt;&gt;""))&gt;0,IF(ISNUMBER('MiT Strom Pipeline'!S12),'MiT Strom Pipeline'!S12,""),"")</f>
        <v/>
      </c>
      <c r="K81" s="27">
        <f>IF(((('MiT Strom Pipeline'!R12="offered")+('MiT Strom Pipeline'!R12="to be offered")+('MiT Strom Pipeline'!R12="on hold"))*('MiT Strom Pipeline'!B12&lt;&gt;""))&gt;0,IF(LEN('MiT Strom Pipeline'!V12)&gt;0,LEFT('MiT Strom Pipeline'!V12,55),""),"")</f>
        <v/>
      </c>
      <c r="L81" s="22" t="n"/>
      <c r="M81" s="22" t="n"/>
      <c r="N81" s="22" t="n"/>
      <c r="O81" s="22" t="n"/>
      <c r="P81" s="22" t="n"/>
      <c r="Q81" s="22" t="n"/>
      <c r="R81" s="22" t="n"/>
      <c r="S81" s="22" t="n"/>
    </row>
    <row r="82" ht="15.75" customHeight="1">
      <c r="A82" s="26">
        <f>IF(((('MiT Strom Pipeline'!R13="offered")+('MiT Strom Pipeline'!R13="to be offered")+('MiT Strom Pipeline'!R13="on hold"))*('MiT Strom Pipeline'!B13&lt;&gt;""))&gt;0,IF(ISNUMBER('MiT Strom Pipeline'!A13),'MiT Strom Pipeline'!A13,""),"")</f>
        <v/>
      </c>
      <c r="B82" s="27">
        <f>IF(((('MiT Strom Pipeline'!R13="offered")+('MiT Strom Pipeline'!R13="to be offered")+('MiT Strom Pipeline'!R13="on hold"))*('MiT Strom Pipeline'!B13&lt;&gt;""))&gt;0,IF('MiT Strom Pipeline'!B13="","",'MiT Strom Pipeline'!B13),"")</f>
        <v/>
      </c>
      <c r="C82" s="27">
        <f>IF(((('MiT Strom Pipeline'!R13="offered")+('MiT Strom Pipeline'!R13="to be offered")+('MiT Strom Pipeline'!R13="on hold"))*('MiT Strom Pipeline'!B13&lt;&gt;""))&gt;0,IF('MiT Strom Pipeline'!C13="","",'MiT Strom Pipeline'!C13),"")</f>
        <v/>
      </c>
      <c r="D82" s="27">
        <f>IF(((('MiT Strom Pipeline'!R13="offered")+('MiT Strom Pipeline'!R13="to be offered")+('MiT Strom Pipeline'!R13="on hold"))*('MiT Strom Pipeline'!B13&lt;&gt;""))&gt;0,IF('MiT Strom Pipeline'!D13="","",'MiT Strom Pipeline'!D13),"")</f>
        <v/>
      </c>
      <c r="E82" s="27">
        <f>IF(((('MiT Strom Pipeline'!R13="offered")+('MiT Strom Pipeline'!R13="to be offered")+('MiT Strom Pipeline'!R13="on hold"))*('MiT Strom Pipeline'!B13&lt;&gt;""))&gt;0,IF('MiT Strom Pipeline'!H13="","",'MiT Strom Pipeline'!H13),"")</f>
        <v/>
      </c>
      <c r="F82" s="27">
        <f>IF(((('MiT Strom Pipeline'!R13="offered")+('MiT Strom Pipeline'!R13="to be offered")+('MiT Strom Pipeline'!R13="on hold"))*('MiT Strom Pipeline'!B13&lt;&gt;""))&gt;0,IF('MiT Strom Pipeline'!E13="","",'MiT Strom Pipeline'!E13),"")</f>
        <v/>
      </c>
      <c r="G82" s="28">
        <f>IF(((('MiT Strom Pipeline'!R13="offered")+('MiT Strom Pipeline'!R13="to be offered")+('MiT Strom Pipeline'!R13="on hold"))*('MiT Strom Pipeline'!B13&lt;&gt;""))&gt;0,IF(ISNUMBER('MiT Strom Pipeline'!I13),'MiT Strom Pipeline'!I13,0),"")</f>
        <v/>
      </c>
      <c r="H82" s="28">
        <f>IF(((('MiT Strom Pipeline'!R13="offered")+('MiT Strom Pipeline'!R13="to be offered")+('MiT Strom Pipeline'!R13="on hold"))*('MiT Strom Pipeline'!B13&lt;&gt;""))&gt;0,IF(ISNUMBER('MiT Strom Pipeline'!Q13),'MiT Strom Pipeline'!Q13,0),"")</f>
        <v/>
      </c>
      <c r="I82" s="27">
        <f>IF(((('MiT Strom Pipeline'!R13="offered")+('MiT Strom Pipeline'!R13="to be offered")+('MiT Strom Pipeline'!R13="on hold"))*('MiT Strom Pipeline'!B13&lt;&gt;""))&gt;0,'MiT Strom Pipeline'!R13,"")</f>
        <v/>
      </c>
      <c r="J82" s="29">
        <f>IF(((('MiT Strom Pipeline'!R13="offered")+('MiT Strom Pipeline'!R13="to be offered")+('MiT Strom Pipeline'!R13="on hold"))*('MiT Strom Pipeline'!B13&lt;&gt;""))&gt;0,IF(ISNUMBER('MiT Strom Pipeline'!S13),'MiT Strom Pipeline'!S13,""),"")</f>
        <v/>
      </c>
      <c r="K82" s="27">
        <f>IF(((('MiT Strom Pipeline'!R13="offered")+('MiT Strom Pipeline'!R13="to be offered")+('MiT Strom Pipeline'!R13="on hold"))*('MiT Strom Pipeline'!B13&lt;&gt;""))&gt;0,IF(LEN('MiT Strom Pipeline'!V13)&gt;0,LEFT('MiT Strom Pipeline'!V13,55),""),"")</f>
        <v/>
      </c>
      <c r="L82" s="22" t="n"/>
      <c r="M82" s="22" t="n"/>
      <c r="N82" s="22" t="n"/>
      <c r="O82" s="22" t="n"/>
      <c r="P82" s="22" t="n"/>
      <c r="Q82" s="22" t="n"/>
      <c r="R82" s="22" t="n"/>
      <c r="S82" s="22" t="n"/>
    </row>
    <row r="83" ht="15.75" customHeight="1">
      <c r="A83" s="26">
        <f>IF(((('MiT Strom Pipeline'!R14="offered")+('MiT Strom Pipeline'!R14="to be offered")+('MiT Strom Pipeline'!R14="on hold"))*('MiT Strom Pipeline'!B14&lt;&gt;""))&gt;0,IF(ISNUMBER('MiT Strom Pipeline'!A14),'MiT Strom Pipeline'!A14,""),"")</f>
        <v/>
      </c>
      <c r="B83" s="27">
        <f>IF(((('MiT Strom Pipeline'!R14="offered")+('MiT Strom Pipeline'!R14="to be offered")+('MiT Strom Pipeline'!R14="on hold"))*('MiT Strom Pipeline'!B14&lt;&gt;""))&gt;0,IF('MiT Strom Pipeline'!B14="","",'MiT Strom Pipeline'!B14),"")</f>
        <v/>
      </c>
      <c r="C83" s="27">
        <f>IF(((('MiT Strom Pipeline'!R14="offered")+('MiT Strom Pipeline'!R14="to be offered")+('MiT Strom Pipeline'!R14="on hold"))*('MiT Strom Pipeline'!B14&lt;&gt;""))&gt;0,IF('MiT Strom Pipeline'!C14="","",'MiT Strom Pipeline'!C14),"")</f>
        <v/>
      </c>
      <c r="D83" s="27">
        <f>IF(((('MiT Strom Pipeline'!R14="offered")+('MiT Strom Pipeline'!R14="to be offered")+('MiT Strom Pipeline'!R14="on hold"))*('MiT Strom Pipeline'!B14&lt;&gt;""))&gt;0,IF('MiT Strom Pipeline'!D14="","",'MiT Strom Pipeline'!D14),"")</f>
        <v/>
      </c>
      <c r="E83" s="27">
        <f>IF(((('MiT Strom Pipeline'!R14="offered")+('MiT Strom Pipeline'!R14="to be offered")+('MiT Strom Pipeline'!R14="on hold"))*('MiT Strom Pipeline'!B14&lt;&gt;""))&gt;0,IF('MiT Strom Pipeline'!H14="","",'MiT Strom Pipeline'!H14),"")</f>
        <v/>
      </c>
      <c r="F83" s="27">
        <f>IF(((('MiT Strom Pipeline'!R14="offered")+('MiT Strom Pipeline'!R14="to be offered")+('MiT Strom Pipeline'!R14="on hold"))*('MiT Strom Pipeline'!B14&lt;&gt;""))&gt;0,IF('MiT Strom Pipeline'!E14="","",'MiT Strom Pipeline'!E14),"")</f>
        <v/>
      </c>
      <c r="G83" s="28">
        <f>IF(((('MiT Strom Pipeline'!R14="offered")+('MiT Strom Pipeline'!R14="to be offered")+('MiT Strom Pipeline'!R14="on hold"))*('MiT Strom Pipeline'!B14&lt;&gt;""))&gt;0,IF(ISNUMBER('MiT Strom Pipeline'!I14),'MiT Strom Pipeline'!I14,0),"")</f>
        <v/>
      </c>
      <c r="H83" s="28">
        <f>IF(((('MiT Strom Pipeline'!R14="offered")+('MiT Strom Pipeline'!R14="to be offered")+('MiT Strom Pipeline'!R14="on hold"))*('MiT Strom Pipeline'!B14&lt;&gt;""))&gt;0,IF(ISNUMBER('MiT Strom Pipeline'!Q14),'MiT Strom Pipeline'!Q14,0),"")</f>
        <v/>
      </c>
      <c r="I83" s="27">
        <f>IF(((('MiT Strom Pipeline'!R14="offered")+('MiT Strom Pipeline'!R14="to be offered")+('MiT Strom Pipeline'!R14="on hold"))*('MiT Strom Pipeline'!B14&lt;&gt;""))&gt;0,'MiT Strom Pipeline'!R14,"")</f>
        <v/>
      </c>
      <c r="J83" s="29">
        <f>IF(((('MiT Strom Pipeline'!R14="offered")+('MiT Strom Pipeline'!R14="to be offered")+('MiT Strom Pipeline'!R14="on hold"))*('MiT Strom Pipeline'!B14&lt;&gt;""))&gt;0,IF(ISNUMBER('MiT Strom Pipeline'!S14),'MiT Strom Pipeline'!S14,""),"")</f>
        <v/>
      </c>
      <c r="K83" s="27">
        <f>IF(((('MiT Strom Pipeline'!R14="offered")+('MiT Strom Pipeline'!R14="to be offered")+('MiT Strom Pipeline'!R14="on hold"))*('MiT Strom Pipeline'!B14&lt;&gt;""))&gt;0,IF(LEN('MiT Strom Pipeline'!V14)&gt;0,LEFT('MiT Strom Pipeline'!V14,55),""),"")</f>
        <v/>
      </c>
      <c r="L83" s="22" t="n"/>
      <c r="M83" s="22" t="n"/>
      <c r="N83" s="22" t="n"/>
      <c r="O83" s="22" t="n"/>
      <c r="P83" s="22" t="n"/>
      <c r="Q83" s="22" t="n"/>
      <c r="R83" s="22" t="n"/>
      <c r="S83" s="22" t="n"/>
    </row>
    <row r="84" ht="15.75" customHeight="1">
      <c r="A84" s="26">
        <f>IF(((('MiT Strom Pipeline'!R15="offered")+('MiT Strom Pipeline'!R15="to be offered")+('MiT Strom Pipeline'!R15="on hold"))*('MiT Strom Pipeline'!B15&lt;&gt;""))&gt;0,IF(ISNUMBER('MiT Strom Pipeline'!A15),'MiT Strom Pipeline'!A15,""),"")</f>
        <v/>
      </c>
      <c r="B84" s="27">
        <f>IF(((('MiT Strom Pipeline'!R15="offered")+('MiT Strom Pipeline'!R15="to be offered")+('MiT Strom Pipeline'!R15="on hold"))*('MiT Strom Pipeline'!B15&lt;&gt;""))&gt;0,IF('MiT Strom Pipeline'!B15="","",'MiT Strom Pipeline'!B15),"")</f>
        <v/>
      </c>
      <c r="C84" s="27">
        <f>IF(((('MiT Strom Pipeline'!R15="offered")+('MiT Strom Pipeline'!R15="to be offered")+('MiT Strom Pipeline'!R15="on hold"))*('MiT Strom Pipeline'!B15&lt;&gt;""))&gt;0,IF('MiT Strom Pipeline'!C15="","",'MiT Strom Pipeline'!C15),"")</f>
        <v/>
      </c>
      <c r="D84" s="27">
        <f>IF(((('MiT Strom Pipeline'!R15="offered")+('MiT Strom Pipeline'!R15="to be offered")+('MiT Strom Pipeline'!R15="on hold"))*('MiT Strom Pipeline'!B15&lt;&gt;""))&gt;0,IF('MiT Strom Pipeline'!D15="","",'MiT Strom Pipeline'!D15),"")</f>
        <v/>
      </c>
      <c r="E84" s="27">
        <f>IF(((('MiT Strom Pipeline'!R15="offered")+('MiT Strom Pipeline'!R15="to be offered")+('MiT Strom Pipeline'!R15="on hold"))*('MiT Strom Pipeline'!B15&lt;&gt;""))&gt;0,IF('MiT Strom Pipeline'!H15="","",'MiT Strom Pipeline'!H15),"")</f>
        <v/>
      </c>
      <c r="F84" s="27">
        <f>IF(((('MiT Strom Pipeline'!R15="offered")+('MiT Strom Pipeline'!R15="to be offered")+('MiT Strom Pipeline'!R15="on hold"))*('MiT Strom Pipeline'!B15&lt;&gt;""))&gt;0,IF('MiT Strom Pipeline'!E15="","",'MiT Strom Pipeline'!E15),"")</f>
        <v/>
      </c>
      <c r="G84" s="28">
        <f>IF(((('MiT Strom Pipeline'!R15="offered")+('MiT Strom Pipeline'!R15="to be offered")+('MiT Strom Pipeline'!R15="on hold"))*('MiT Strom Pipeline'!B15&lt;&gt;""))&gt;0,IF(ISNUMBER('MiT Strom Pipeline'!I15),'MiT Strom Pipeline'!I15,0),"")</f>
        <v/>
      </c>
      <c r="H84" s="28">
        <f>IF(((('MiT Strom Pipeline'!R15="offered")+('MiT Strom Pipeline'!R15="to be offered")+('MiT Strom Pipeline'!R15="on hold"))*('MiT Strom Pipeline'!B15&lt;&gt;""))&gt;0,IF(ISNUMBER('MiT Strom Pipeline'!Q15),'MiT Strom Pipeline'!Q15,0),"")</f>
        <v/>
      </c>
      <c r="I84" s="27">
        <f>IF(((('MiT Strom Pipeline'!R15="offered")+('MiT Strom Pipeline'!R15="to be offered")+('MiT Strom Pipeline'!R15="on hold"))*('MiT Strom Pipeline'!B15&lt;&gt;""))&gt;0,'MiT Strom Pipeline'!R15,"")</f>
        <v/>
      </c>
      <c r="J84" s="29">
        <f>IF(((('MiT Strom Pipeline'!R15="offered")+('MiT Strom Pipeline'!R15="to be offered")+('MiT Strom Pipeline'!R15="on hold"))*('MiT Strom Pipeline'!B15&lt;&gt;""))&gt;0,IF(ISNUMBER('MiT Strom Pipeline'!S15),'MiT Strom Pipeline'!S15,""),"")</f>
        <v/>
      </c>
      <c r="K84" s="27">
        <f>IF(((('MiT Strom Pipeline'!R15="offered")+('MiT Strom Pipeline'!R15="to be offered")+('MiT Strom Pipeline'!R15="on hold"))*('MiT Strom Pipeline'!B15&lt;&gt;""))&gt;0,IF(LEN('MiT Strom Pipeline'!V15)&gt;0,LEFT('MiT Strom Pipeline'!V15,55),""),"")</f>
        <v/>
      </c>
      <c r="L84" s="22" t="n"/>
      <c r="M84" s="22" t="n"/>
      <c r="N84" s="22" t="n"/>
      <c r="O84" s="22" t="n"/>
      <c r="P84" s="22" t="n"/>
      <c r="Q84" s="22" t="n"/>
      <c r="R84" s="22" t="n"/>
      <c r="S84" s="22" t="n"/>
    </row>
    <row r="85" ht="15.75" customHeight="1">
      <c r="A85" s="26">
        <f>IF(((('MiT Strom Pipeline'!R16="offered")+('MiT Strom Pipeline'!R16="to be offered")+('MiT Strom Pipeline'!R16="on hold"))*('MiT Strom Pipeline'!B16&lt;&gt;""))&gt;0,IF(ISNUMBER('MiT Strom Pipeline'!A16),'MiT Strom Pipeline'!A16,""),"")</f>
        <v>33</v>
      </c>
      <c r="B85" s="27" t="str">
        <f>IF(((('MiT Strom Pipeline'!R16="offered")+('MiT Strom Pipeline'!R16="to be offered")+('MiT Strom Pipeline'!R16="on hold"))*('MiT Strom Pipeline'!B16&lt;&gt;""))&gt;0,IF('MiT Strom Pipeline'!B16="","",'MiT Strom Pipeline'!B16),"")</f>
        <v>Oerlikon Metco Wohlen</v>
      </c>
      <c r="C85" s="27" t="str">
        <f>IF(((('MiT Strom Pipeline'!R16="offered")+('MiT Strom Pipeline'!R16="to be offered")+('MiT Strom Pipeline'!R16="on hold"))*('MiT Strom Pipeline'!B16&lt;&gt;""))&gt;0,IF('MiT Strom Pipeline'!C16="","",'MiT Strom Pipeline'!C16),"")</f>
        <v>AG</v>
      </c>
      <c r="D85" s="27" t="str">
        <f>IF(((('MiT Strom Pipeline'!R16="offered")+('MiT Strom Pipeline'!R16="to be offered")+('MiT Strom Pipeline'!R16="on hold"))*('MiT Strom Pipeline'!B16&lt;&gt;""))&gt;0,IF('MiT Strom Pipeline'!D16="","",'MiT Strom Pipeline'!D16),"")</f>
        <v>Industrie</v>
      </c>
      <c r="E85" s="27" t="str">
        <f>IF(((('MiT Strom Pipeline'!R16="offered")+('MiT Strom Pipeline'!R16="to be offered")+('MiT Strom Pipeline'!R16="on hold"))*('MiT Strom Pipeline'!B16&lt;&gt;""))&gt;0,IF('MiT Strom Pipeline'!H16="","",'MiT Strom Pipeline'!H16),"")</f>
        <v>August</v>
      </c>
      <c r="F85" s="27" t="str">
        <f>IF(((('MiT Strom Pipeline'!R16="offered")+('MiT Strom Pipeline'!R16="to be offered")+('MiT Strom Pipeline'!R16="on hold"))*('MiT Strom Pipeline'!B16&lt;&gt;""))&gt;0,IF('MiT Strom Pipeline'!E16="","",'MiT Strom Pipeline'!E16),"")</f>
        <v>300 kVA</v>
      </c>
      <c r="G85" s="28">
        <f>IF(((('MiT Strom Pipeline'!R16="offered")+('MiT Strom Pipeline'!R16="to be offered")+('MiT Strom Pipeline'!R16="on hold"))*('MiT Strom Pipeline'!B16&lt;&gt;""))&gt;0,IF(ISNUMBER('MiT Strom Pipeline'!I16),'MiT Strom Pipeline'!I16,0),"")</f>
        <v>193598.12</v>
      </c>
      <c r="H85" s="28">
        <f>IF(((('MiT Strom Pipeline'!R16="offered")+('MiT Strom Pipeline'!R16="to be offered")+('MiT Strom Pipeline'!R16="on hold"))*('MiT Strom Pipeline'!B16&lt;&gt;""))&gt;0,IF(ISNUMBER('MiT Strom Pipeline'!Q16),'MiT Strom Pipeline'!Q16,0),"")</f>
        <v>154878.496</v>
      </c>
      <c r="I85" s="27" t="str">
        <f>IF(((('MiT Strom Pipeline'!R16="offered")+('MiT Strom Pipeline'!R16="to be offered")+('MiT Strom Pipeline'!R16="on hold"))*('MiT Strom Pipeline'!B16&lt;&gt;""))&gt;0,'MiT Strom Pipeline'!R16,"")</f>
        <v>offered</v>
      </c>
      <c r="J85" s="29">
        <f>IF(((('MiT Strom Pipeline'!R16="offered")+('MiT Strom Pipeline'!R16="to be offered")+('MiT Strom Pipeline'!R16="on hold"))*('MiT Strom Pipeline'!B16&lt;&gt;""))&gt;0,IF(ISNUMBER('MiT Strom Pipeline'!S16),'MiT Strom Pipeline'!S16,""),"")</f>
        <v>0.8</v>
      </c>
      <c r="K85" s="27" t="str">
        <f>IF(((('MiT Strom Pipeline'!R16="offered")+('MiT Strom Pipeline'!R16="to be offered")+('MiT Strom Pipeline'!R16="on hold"))*('MiT Strom Pipeline'!B16&lt;&gt;""))&gt;0,IF(LEN('MiT Strom Pipeline'!V16)&gt;0,LEFT('MiT Strom Pipeline'!V16,55),""),"")</f>
        <v>Kunde wahr sehr Zufrieden mit dem 1. Auftrag und im Ans</v>
      </c>
      <c r="L85" s="22" t="n"/>
      <c r="M85" s="22" t="n"/>
      <c r="N85" s="22" t="n"/>
      <c r="O85" s="22" t="n"/>
      <c r="P85" s="22" t="n"/>
      <c r="Q85" s="22" t="n"/>
      <c r="R85" s="22" t="n"/>
      <c r="S85" s="22" t="n"/>
    </row>
    <row r="86" ht="15.75" customHeight="1">
      <c r="A86" s="26">
        <f>IF(((('MiT Strom Pipeline'!R17="offered")+('MiT Strom Pipeline'!R17="to be offered")+('MiT Strom Pipeline'!R17="on hold"))*('MiT Strom Pipeline'!B17&lt;&gt;""))&gt;0,IF(ISNUMBER('MiT Strom Pipeline'!A17),'MiT Strom Pipeline'!A17,""),"")</f>
        <v>33</v>
      </c>
      <c r="B86" s="27" t="str">
        <f>IF(((('MiT Strom Pipeline'!R17="offered")+('MiT Strom Pipeline'!R17="to be offered")+('MiT Strom Pipeline'!R17="on hold"))*('MiT Strom Pipeline'!B17&lt;&gt;""))&gt;0,IF('MiT Strom Pipeline'!B17="","",'MiT Strom Pipeline'!B17),"")</f>
        <v>Oerlikon Metco Wohlen</v>
      </c>
      <c r="C86" s="27" t="str">
        <f>IF(((('MiT Strom Pipeline'!R17="offered")+('MiT Strom Pipeline'!R17="to be offered")+('MiT Strom Pipeline'!R17="on hold"))*('MiT Strom Pipeline'!B17&lt;&gt;""))&gt;0,IF('MiT Strom Pipeline'!C17="","",'MiT Strom Pipeline'!C17),"")</f>
        <v>AG</v>
      </c>
      <c r="D86" s="27" t="str">
        <f>IF(((('MiT Strom Pipeline'!R17="offered")+('MiT Strom Pipeline'!R17="to be offered")+('MiT Strom Pipeline'!R17="on hold"))*('MiT Strom Pipeline'!B17&lt;&gt;""))&gt;0,IF('MiT Strom Pipeline'!D17="","",'MiT Strom Pipeline'!D17),"")</f>
        <v>Industrie</v>
      </c>
      <c r="E86" s="191" t="str">
        <f>IF(((('MiT Strom Pipeline'!R17="offered")+('MiT Strom Pipeline'!R17="to be offered")+('MiT Strom Pipeline'!R17="on hold"))*('MiT Strom Pipeline'!B17&lt;&gt;""))&gt;0,IF('MiT Strom Pipeline'!H17="","",'MiT Strom Pipeline'!H17),"")</f>
        <v>August</v>
      </c>
      <c r="F86" s="27" t="str">
        <f>IF(((('MiT Strom Pipeline'!R17="offered")+('MiT Strom Pipeline'!R17="to be offered")+('MiT Strom Pipeline'!R17="on hold"))*('MiT Strom Pipeline'!B17&lt;&gt;""))&gt;0,IF('MiT Strom Pipeline'!E17="","",'MiT Strom Pipeline'!E17),"")</f>
        <v>Kaltwasser 100 kW</v>
      </c>
      <c r="G86" s="28">
        <f>IF(((('MiT Strom Pipeline'!R17="offered")+('MiT Strom Pipeline'!R17="to be offered")+('MiT Strom Pipeline'!R17="on hold"))*('MiT Strom Pipeline'!B17&lt;&gt;""))&gt;0,IF(ISNUMBER('MiT Strom Pipeline'!I17),'MiT Strom Pipeline'!I17,0),"")</f>
        <v>74902.11</v>
      </c>
      <c r="H86" s="28">
        <f>IF(((('MiT Strom Pipeline'!R17="offered")+('MiT Strom Pipeline'!R17="to be offered")+('MiT Strom Pipeline'!R17="on hold"))*('MiT Strom Pipeline'!B17&lt;&gt;""))&gt;0,IF(ISNUMBER('MiT Strom Pipeline'!Q17),'MiT Strom Pipeline'!Q17,0),"")</f>
        <v>59921.688</v>
      </c>
      <c r="I86" s="27" t="str">
        <f>IF(((('MiT Strom Pipeline'!R17="offered")+('MiT Strom Pipeline'!R17="to be offered")+('MiT Strom Pipeline'!R17="on hold"))*('MiT Strom Pipeline'!B17&lt;&gt;""))&gt;0,'MiT Strom Pipeline'!R17,"")</f>
        <v>offered</v>
      </c>
      <c r="J86" s="29">
        <f>IF(((('MiT Strom Pipeline'!R17="offered")+('MiT Strom Pipeline'!R17="to be offered")+('MiT Strom Pipeline'!R17="on hold"))*('MiT Strom Pipeline'!B17&lt;&gt;""))&gt;0,IF(ISNUMBER('MiT Strom Pipeline'!S17),'MiT Strom Pipeline'!S17,""),"")</f>
        <v>0.8</v>
      </c>
      <c r="K86" s="27" t="str">
        <f>IF(((('MiT Strom Pipeline'!R17="offered")+('MiT Strom Pipeline'!R17="to be offered")+('MiT Strom Pipeline'!R17="on hold"))*('MiT Strom Pipeline'!B17&lt;&gt;""))&gt;0,IF(LEN('MiT Strom Pipeline'!V17)&gt;0,LEFT('MiT Strom Pipeline'!V17,55),""),"")</f>
        <v>Kunde wahr sehr Zufrieden mit dem 1. Auftrag und im Ans</v>
      </c>
      <c r="L86" s="22" t="n"/>
      <c r="M86" s="22" t="n"/>
      <c r="N86" s="22" t="n"/>
      <c r="O86" s="22" t="n"/>
      <c r="P86" s="22" t="n"/>
      <c r="Q86" s="22" t="n"/>
      <c r="R86" s="22" t="n"/>
      <c r="S86" s="22" t="n"/>
    </row>
    <row r="87" ht="15.75" customHeight="1">
      <c r="A87" s="26">
        <f>IF(((('MiT Strom Pipeline'!R18="offered")+('MiT Strom Pipeline'!R18="to be offered")+('MiT Strom Pipeline'!R18="on hold"))*('MiT Strom Pipeline'!B18&lt;&gt;""))&gt;0,IF(ISNUMBER('MiT Strom Pipeline'!A18),'MiT Strom Pipeline'!A18,""),"")</f>
        <v/>
      </c>
      <c r="B87" s="27">
        <f>IF(((('MiT Strom Pipeline'!R18="offered")+('MiT Strom Pipeline'!R18="to be offered")+('MiT Strom Pipeline'!R18="on hold"))*('MiT Strom Pipeline'!B18&lt;&gt;""))&gt;0,IF('MiT Strom Pipeline'!B18="","",'MiT Strom Pipeline'!B18),"")</f>
        <v/>
      </c>
      <c r="C87" s="27">
        <f>IF(((('MiT Strom Pipeline'!R18="offered")+('MiT Strom Pipeline'!R18="to be offered")+('MiT Strom Pipeline'!R18="on hold"))*('MiT Strom Pipeline'!B18&lt;&gt;""))&gt;0,IF('MiT Strom Pipeline'!C18="","",'MiT Strom Pipeline'!C18),"")</f>
        <v/>
      </c>
      <c r="D87" s="27">
        <f>IF(((('MiT Strom Pipeline'!R18="offered")+('MiT Strom Pipeline'!R18="to be offered")+('MiT Strom Pipeline'!R18="on hold"))*('MiT Strom Pipeline'!B18&lt;&gt;""))&gt;0,IF('MiT Strom Pipeline'!D18="","",'MiT Strom Pipeline'!D18),"")</f>
        <v/>
      </c>
      <c r="E87" s="27">
        <f>IF(((('MiT Strom Pipeline'!R18="offered")+('MiT Strom Pipeline'!R18="to be offered")+('MiT Strom Pipeline'!R18="on hold"))*('MiT Strom Pipeline'!B18&lt;&gt;""))&gt;0,IF('MiT Strom Pipeline'!H18="","",'MiT Strom Pipeline'!H18),"")</f>
        <v/>
      </c>
      <c r="F87" s="27">
        <f>IF(((('MiT Strom Pipeline'!R18="offered")+('MiT Strom Pipeline'!R18="to be offered")+('MiT Strom Pipeline'!R18="on hold"))*('MiT Strom Pipeline'!B18&lt;&gt;""))&gt;0,IF('MiT Strom Pipeline'!E18="","",'MiT Strom Pipeline'!E18),"")</f>
        <v/>
      </c>
      <c r="G87" s="28">
        <f>IF(((('MiT Strom Pipeline'!R18="offered")+('MiT Strom Pipeline'!R18="to be offered")+('MiT Strom Pipeline'!R18="on hold"))*('MiT Strom Pipeline'!B18&lt;&gt;""))&gt;0,IF(ISNUMBER('MiT Strom Pipeline'!I18),'MiT Strom Pipeline'!I18,0),"")</f>
        <v/>
      </c>
      <c r="H87" s="28">
        <f>IF(((('MiT Strom Pipeline'!R18="offered")+('MiT Strom Pipeline'!R18="to be offered")+('MiT Strom Pipeline'!R18="on hold"))*('MiT Strom Pipeline'!B18&lt;&gt;""))&gt;0,IF(ISNUMBER('MiT Strom Pipeline'!Q18),'MiT Strom Pipeline'!Q18,0),"")</f>
        <v/>
      </c>
      <c r="I87" s="27">
        <f>IF(((('MiT Strom Pipeline'!R18="offered")+('MiT Strom Pipeline'!R18="to be offered")+('MiT Strom Pipeline'!R18="on hold"))*('MiT Strom Pipeline'!B18&lt;&gt;""))&gt;0,'MiT Strom Pipeline'!R18,"")</f>
        <v/>
      </c>
      <c r="J87" s="29">
        <f>IF(((('MiT Strom Pipeline'!R18="offered")+('MiT Strom Pipeline'!R18="to be offered")+('MiT Strom Pipeline'!R18="on hold"))*('MiT Strom Pipeline'!B18&lt;&gt;""))&gt;0,IF(ISNUMBER('MiT Strom Pipeline'!S18),'MiT Strom Pipeline'!S18,""),"")</f>
        <v/>
      </c>
      <c r="K87" s="27">
        <f>IF(((('MiT Strom Pipeline'!R18="offered")+('MiT Strom Pipeline'!R18="to be offered")+('MiT Strom Pipeline'!R18="on hold"))*('MiT Strom Pipeline'!B18&lt;&gt;""))&gt;0,IF(LEN('MiT Strom Pipeline'!V18)&gt;0,LEFT('MiT Strom Pipeline'!V18,55),""),"")</f>
        <v/>
      </c>
      <c r="L87" s="22" t="n"/>
      <c r="M87" s="22" t="n"/>
      <c r="N87" s="22" t="n"/>
      <c r="O87" s="22" t="n"/>
      <c r="P87" s="22" t="n"/>
      <c r="Q87" s="22" t="n"/>
      <c r="R87" s="22" t="n"/>
      <c r="S87" s="22" t="n"/>
    </row>
    <row r="88" ht="15.75" customHeight="1">
      <c r="A88" s="26">
        <f>IF(((('MiT Strom Pipeline'!R19="offered")+('MiT Strom Pipeline'!R19="to be offered")+('MiT Strom Pipeline'!R19="on hold"))*('MiT Strom Pipeline'!B19&lt;&gt;""))&gt;0,IF(ISNUMBER('MiT Strom Pipeline'!A19),'MiT Strom Pipeline'!A19,""),"")</f>
        <v/>
      </c>
      <c r="B88" s="27">
        <f>IF(((('MiT Strom Pipeline'!R19="offered")+('MiT Strom Pipeline'!R19="to be offered")+('MiT Strom Pipeline'!R19="on hold"))*('MiT Strom Pipeline'!B19&lt;&gt;""))&gt;0,IF('MiT Strom Pipeline'!B19="","",'MiT Strom Pipeline'!B19),"")</f>
        <v/>
      </c>
      <c r="C88" s="27">
        <f>IF(((('MiT Strom Pipeline'!R19="offered")+('MiT Strom Pipeline'!R19="to be offered")+('MiT Strom Pipeline'!R19="on hold"))*('MiT Strom Pipeline'!B19&lt;&gt;""))&gt;0,IF('MiT Strom Pipeline'!C19="","",'MiT Strom Pipeline'!C19),"")</f>
        <v/>
      </c>
      <c r="D88" s="27">
        <f>IF(((('MiT Strom Pipeline'!R19="offered")+('MiT Strom Pipeline'!R19="to be offered")+('MiT Strom Pipeline'!R19="on hold"))*('MiT Strom Pipeline'!B19&lt;&gt;""))&gt;0,IF('MiT Strom Pipeline'!D19="","",'MiT Strom Pipeline'!D19),"")</f>
        <v/>
      </c>
      <c r="E88" s="27">
        <f>IF(((('MiT Strom Pipeline'!R19="offered")+('MiT Strom Pipeline'!R19="to be offered")+('MiT Strom Pipeline'!R19="on hold"))*('MiT Strom Pipeline'!B19&lt;&gt;""))&gt;0,IF('MiT Strom Pipeline'!H19="","",'MiT Strom Pipeline'!H19),"")</f>
        <v/>
      </c>
      <c r="F88" s="27">
        <f>IF(((('MiT Strom Pipeline'!R19="offered")+('MiT Strom Pipeline'!R19="to be offered")+('MiT Strom Pipeline'!R19="on hold"))*('MiT Strom Pipeline'!B19&lt;&gt;""))&gt;0,IF('MiT Strom Pipeline'!E19="","",'MiT Strom Pipeline'!E19),"")</f>
        <v/>
      </c>
      <c r="G88" s="28">
        <f>IF(((('MiT Strom Pipeline'!R19="offered")+('MiT Strom Pipeline'!R19="to be offered")+('MiT Strom Pipeline'!R19="on hold"))*('MiT Strom Pipeline'!B19&lt;&gt;""))&gt;0,IF(ISNUMBER('MiT Strom Pipeline'!I19),'MiT Strom Pipeline'!I19,0),"")</f>
        <v/>
      </c>
      <c r="H88" s="28">
        <f>IF(((('MiT Strom Pipeline'!R19="offered")+('MiT Strom Pipeline'!R19="to be offered")+('MiT Strom Pipeline'!R19="on hold"))*('MiT Strom Pipeline'!B19&lt;&gt;""))&gt;0,IF(ISNUMBER('MiT Strom Pipeline'!Q19),'MiT Strom Pipeline'!Q19,0),"")</f>
        <v/>
      </c>
      <c r="I88" s="27">
        <f>IF(((('MiT Strom Pipeline'!R19="offered")+('MiT Strom Pipeline'!R19="to be offered")+('MiT Strom Pipeline'!R19="on hold"))*('MiT Strom Pipeline'!B19&lt;&gt;""))&gt;0,'MiT Strom Pipeline'!R19,"")</f>
        <v/>
      </c>
      <c r="J88" s="29">
        <f>IF(((('MiT Strom Pipeline'!R19="offered")+('MiT Strom Pipeline'!R19="to be offered")+('MiT Strom Pipeline'!R19="on hold"))*('MiT Strom Pipeline'!B19&lt;&gt;""))&gt;0,IF(ISNUMBER('MiT Strom Pipeline'!S19),'MiT Strom Pipeline'!S19,""),"")</f>
        <v/>
      </c>
      <c r="K88" s="27">
        <f>IF(((('MiT Strom Pipeline'!R19="offered")+('MiT Strom Pipeline'!R19="to be offered")+('MiT Strom Pipeline'!R19="on hold"))*('MiT Strom Pipeline'!B19&lt;&gt;""))&gt;0,IF(LEN('MiT Strom Pipeline'!V19)&gt;0,LEFT('MiT Strom Pipeline'!V19,55),""),"")</f>
        <v/>
      </c>
      <c r="L88" s="22" t="n"/>
      <c r="M88" s="22" t="n"/>
      <c r="N88" s="22" t="n"/>
      <c r="O88" s="22" t="n"/>
      <c r="P88" s="22" t="n"/>
      <c r="Q88" s="22" t="n"/>
      <c r="R88" s="22" t="n"/>
      <c r="S88" s="22" t="n"/>
    </row>
    <row r="89" ht="15.75" customHeight="1">
      <c r="A89" s="26">
        <f>IF(((('MiT Strom Pipeline'!R20="offered")+('MiT Strom Pipeline'!R20="to be offered")+('MiT Strom Pipeline'!R20="on hold"))*('MiT Strom Pipeline'!B20&lt;&gt;""))&gt;0,IF(ISNUMBER('MiT Strom Pipeline'!A20),'MiT Strom Pipeline'!A20,""),"")</f>
        <v/>
      </c>
      <c r="B89" s="27">
        <f>IF(((('MiT Strom Pipeline'!R20="offered")+('MiT Strom Pipeline'!R20="to be offered")+('MiT Strom Pipeline'!R20="on hold"))*('MiT Strom Pipeline'!B20&lt;&gt;""))&gt;0,IF('MiT Strom Pipeline'!B20="","",'MiT Strom Pipeline'!B20),"")</f>
        <v/>
      </c>
      <c r="C89" s="27">
        <f>IF(((('MiT Strom Pipeline'!R20="offered")+('MiT Strom Pipeline'!R20="to be offered")+('MiT Strom Pipeline'!R20="on hold"))*('MiT Strom Pipeline'!B20&lt;&gt;""))&gt;0,IF('MiT Strom Pipeline'!C20="","",'MiT Strom Pipeline'!C20),"")</f>
        <v/>
      </c>
      <c r="D89" s="27">
        <f>IF(((('MiT Strom Pipeline'!R20="offered")+('MiT Strom Pipeline'!R20="to be offered")+('MiT Strom Pipeline'!R20="on hold"))*('MiT Strom Pipeline'!B20&lt;&gt;""))&gt;0,IF('MiT Strom Pipeline'!D20="","",'MiT Strom Pipeline'!D20),"")</f>
        <v/>
      </c>
      <c r="E89" s="27">
        <f>IF(((('MiT Strom Pipeline'!R20="offered")+('MiT Strom Pipeline'!R20="to be offered")+('MiT Strom Pipeline'!R20="on hold"))*('MiT Strom Pipeline'!B20&lt;&gt;""))&gt;0,IF('MiT Strom Pipeline'!H20="","",'MiT Strom Pipeline'!H20),"")</f>
        <v/>
      </c>
      <c r="F89" s="27">
        <f>IF(((('MiT Strom Pipeline'!R20="offered")+('MiT Strom Pipeline'!R20="to be offered")+('MiT Strom Pipeline'!R20="on hold"))*('MiT Strom Pipeline'!B20&lt;&gt;""))&gt;0,IF('MiT Strom Pipeline'!E20="","",'MiT Strom Pipeline'!E20),"")</f>
        <v/>
      </c>
      <c r="G89" s="28">
        <f>IF(((('MiT Strom Pipeline'!R20="offered")+('MiT Strom Pipeline'!R20="to be offered")+('MiT Strom Pipeline'!R20="on hold"))*('MiT Strom Pipeline'!B20&lt;&gt;""))&gt;0,IF(ISNUMBER('MiT Strom Pipeline'!I20),'MiT Strom Pipeline'!I20,0),"")</f>
        <v/>
      </c>
      <c r="H89" s="28">
        <f>IF(((('MiT Strom Pipeline'!R20="offered")+('MiT Strom Pipeline'!R20="to be offered")+('MiT Strom Pipeline'!R20="on hold"))*('MiT Strom Pipeline'!B20&lt;&gt;""))&gt;0,IF(ISNUMBER('MiT Strom Pipeline'!Q20),'MiT Strom Pipeline'!Q20,0),"")</f>
        <v/>
      </c>
      <c r="I89" s="27">
        <f>IF(((('MiT Strom Pipeline'!R20="offered")+('MiT Strom Pipeline'!R20="to be offered")+('MiT Strom Pipeline'!R20="on hold"))*('MiT Strom Pipeline'!B20&lt;&gt;""))&gt;0,'MiT Strom Pipeline'!R20,"")</f>
        <v/>
      </c>
      <c r="J89" s="29">
        <f>IF(((('MiT Strom Pipeline'!R20="offered")+('MiT Strom Pipeline'!R20="to be offered")+('MiT Strom Pipeline'!R20="on hold"))*('MiT Strom Pipeline'!B20&lt;&gt;""))&gt;0,IF(ISNUMBER('MiT Strom Pipeline'!S20),'MiT Strom Pipeline'!S20,""),"")</f>
        <v/>
      </c>
      <c r="K89" s="27">
        <f>IF(((('MiT Strom Pipeline'!R20="offered")+('MiT Strom Pipeline'!R20="to be offered")+('MiT Strom Pipeline'!R20="on hold"))*('MiT Strom Pipeline'!B20&lt;&gt;""))&gt;0,IF(LEN('MiT Strom Pipeline'!V20)&gt;0,LEFT('MiT Strom Pipeline'!V20,55),""),"")</f>
        <v/>
      </c>
      <c r="L89" s="22" t="n"/>
      <c r="M89" s="22" t="n"/>
      <c r="N89" s="22" t="n"/>
      <c r="O89" s="22" t="n"/>
      <c r="P89" s="22" t="n"/>
      <c r="Q89" s="22" t="n"/>
      <c r="R89" s="22" t="n"/>
      <c r="S89" s="22" t="n"/>
    </row>
    <row r="90" ht="15.75" customHeight="1">
      <c r="A90" s="26">
        <f>IF(((('MiT Strom Pipeline'!R21="offered")+('MiT Strom Pipeline'!R21="to be offered")+('MiT Strom Pipeline'!R21="on hold"))*('MiT Strom Pipeline'!B21&lt;&gt;""))&gt;0,IF(ISNUMBER('MiT Strom Pipeline'!A21),'MiT Strom Pipeline'!A21,""),"")</f>
        <v>28</v>
      </c>
      <c r="B90" s="27" t="str">
        <f>IF(((('MiT Strom Pipeline'!R21="offered")+('MiT Strom Pipeline'!R21="to be offered")+('MiT Strom Pipeline'!R21="on hold"))*('MiT Strom Pipeline'!B21&lt;&gt;""))&gt;0,IF('MiT Strom Pipeline'!B21="","",'MiT Strom Pipeline'!B21),"")</f>
        <v>WEF</v>
      </c>
      <c r="C90" s="27" t="str">
        <f>IF(((('MiT Strom Pipeline'!R21="offered")+('MiT Strom Pipeline'!R21="to be offered")+('MiT Strom Pipeline'!R21="on hold"))*('MiT Strom Pipeline'!B21&lt;&gt;""))&gt;0,IF('MiT Strom Pipeline'!C21="","",'MiT Strom Pipeline'!C21),"")</f>
        <v>GR</v>
      </c>
      <c r="D90" s="27" t="str">
        <f>IF(((('MiT Strom Pipeline'!R21="offered")+('MiT Strom Pipeline'!R21="to be offered")+('MiT Strom Pipeline'!R21="on hold"))*('MiT Strom Pipeline'!B21&lt;&gt;""))&gt;0,IF('MiT Strom Pipeline'!D21="","",'MiT Strom Pipeline'!D21),"")</f>
        <v>Event</v>
      </c>
      <c r="E90" s="27" t="str">
        <f>IF(((('MiT Strom Pipeline'!R21="offered")+('MiT Strom Pipeline'!R21="to be offered")+('MiT Strom Pipeline'!R21="on hold"))*('MiT Strom Pipeline'!B21&lt;&gt;""))&gt;0,IF('MiT Strom Pipeline'!H21="","",'MiT Strom Pipeline'!H21),"")</f>
        <v>Jan</v>
      </c>
      <c r="F90" s="27" t="str">
        <f>IF(((('MiT Strom Pipeline'!R21="offered")+('MiT Strom Pipeline'!R21="to be offered")+('MiT Strom Pipeline'!R21="on hold"))*('MiT Strom Pipeline'!B21&lt;&gt;""))&gt;0,IF('MiT Strom Pipeline'!E21="","",'MiT Strom Pipeline'!E21),"")</f>
        <v>1500 kVA, 600 kVA, 450 kVA, 450 kVA</v>
      </c>
      <c r="G90" s="28">
        <f>IF(((('MiT Strom Pipeline'!R21="offered")+('MiT Strom Pipeline'!R21="to be offered")+('MiT Strom Pipeline'!R21="on hold"))*('MiT Strom Pipeline'!B21&lt;&gt;""))&gt;0,IF(ISNUMBER('MiT Strom Pipeline'!I21),'MiT Strom Pipeline'!I21,0),"")</f>
        <v>77325.62</v>
      </c>
      <c r="H90" s="28">
        <f>IF(((('MiT Strom Pipeline'!R21="offered")+('MiT Strom Pipeline'!R21="to be offered")+('MiT Strom Pipeline'!R21="on hold"))*('MiT Strom Pipeline'!B21&lt;&gt;""))&gt;0,IF(ISNUMBER('MiT Strom Pipeline'!Q21),'MiT Strom Pipeline'!Q21,0),"")</f>
        <v>54127.934</v>
      </c>
      <c r="I90" s="27" t="str">
        <f>IF(((('MiT Strom Pipeline'!R21="offered")+('MiT Strom Pipeline'!R21="to be offered")+('MiT Strom Pipeline'!R21="on hold"))*('MiT Strom Pipeline'!B21&lt;&gt;""))&gt;0,'MiT Strom Pipeline'!R21,"")</f>
        <v>offered</v>
      </c>
      <c r="J90" s="29">
        <f>IF(((('MiT Strom Pipeline'!R21="offered")+('MiT Strom Pipeline'!R21="to be offered")+('MiT Strom Pipeline'!R21="on hold"))*('MiT Strom Pipeline'!B21&lt;&gt;""))&gt;0,IF(ISNUMBER('MiT Strom Pipeline'!S21),'MiT Strom Pipeline'!S21,""),"")</f>
        <v>0.7</v>
      </c>
      <c r="K90" s="27" t="str">
        <f>IF(((('MiT Strom Pipeline'!R21="offered")+('MiT Strom Pipeline'!R21="to be offered")+('MiT Strom Pipeline'!R21="on hold"))*('MiT Strom Pipeline'!B21&lt;&gt;""))&gt;0,IF(LEN('MiT Strom Pipeline'!V21)&gt;0,LEFT('MiT Strom Pipeline'!V21,55),""),"")</f>
        <v>Offerte erstellt, Stefan hat die Offerte bekommen, Stef</v>
      </c>
      <c r="L90" s="22" t="n"/>
      <c r="M90" s="22" t="n"/>
      <c r="N90" s="22" t="n"/>
      <c r="O90" s="22" t="n"/>
      <c r="P90" s="22" t="n"/>
      <c r="Q90" s="22" t="n"/>
      <c r="R90" s="22" t="n"/>
      <c r="S90" s="22" t="n"/>
    </row>
    <row r="91" ht="15.75" customHeight="1">
      <c r="A91" s="26">
        <f>IF(((('MiT Strom Pipeline'!R22="offered")+('MiT Strom Pipeline'!R22="to be offered")+('MiT Strom Pipeline'!R22="on hold"))*('MiT Strom Pipeline'!B22&lt;&gt;""))&gt;0,IF(ISNUMBER('MiT Strom Pipeline'!A22),'MiT Strom Pipeline'!A22,""),"")</f>
        <v/>
      </c>
      <c r="B91" s="27">
        <f>IF(((('MiT Strom Pipeline'!R22="offered")+('MiT Strom Pipeline'!R22="to be offered")+('MiT Strom Pipeline'!R22="on hold"))*('MiT Strom Pipeline'!B22&lt;&gt;""))&gt;0,IF('MiT Strom Pipeline'!B22="","",'MiT Strom Pipeline'!B22),"")</f>
        <v/>
      </c>
      <c r="C91" s="27">
        <f>IF(((('MiT Strom Pipeline'!R22="offered")+('MiT Strom Pipeline'!R22="to be offered")+('MiT Strom Pipeline'!R22="on hold"))*('MiT Strom Pipeline'!B22&lt;&gt;""))&gt;0,IF('MiT Strom Pipeline'!C22="","",'MiT Strom Pipeline'!C22),"")</f>
        <v/>
      </c>
      <c r="D91" s="27">
        <f>IF(((('MiT Strom Pipeline'!R22="offered")+('MiT Strom Pipeline'!R22="to be offered")+('MiT Strom Pipeline'!R22="on hold"))*('MiT Strom Pipeline'!B22&lt;&gt;""))&gt;0,IF('MiT Strom Pipeline'!D22="","",'MiT Strom Pipeline'!D22),"")</f>
        <v/>
      </c>
      <c r="E91" s="27">
        <f>IF(((('MiT Strom Pipeline'!R22="offered")+('MiT Strom Pipeline'!R22="to be offered")+('MiT Strom Pipeline'!R22="on hold"))*('MiT Strom Pipeline'!B22&lt;&gt;""))&gt;0,IF('MiT Strom Pipeline'!H22="","",'MiT Strom Pipeline'!H22),"")</f>
        <v/>
      </c>
      <c r="F91" s="27">
        <f>IF(((('MiT Strom Pipeline'!R22="offered")+('MiT Strom Pipeline'!R22="to be offered")+('MiT Strom Pipeline'!R22="on hold"))*('MiT Strom Pipeline'!B22&lt;&gt;""))&gt;0,IF('MiT Strom Pipeline'!E22="","",'MiT Strom Pipeline'!E22),"")</f>
        <v/>
      </c>
      <c r="G91" s="28">
        <f>IF(((('MiT Strom Pipeline'!R22="offered")+('MiT Strom Pipeline'!R22="to be offered")+('MiT Strom Pipeline'!R22="on hold"))*('MiT Strom Pipeline'!B22&lt;&gt;""))&gt;0,IF(ISNUMBER('MiT Strom Pipeline'!I22),'MiT Strom Pipeline'!I22,0),"")</f>
        <v/>
      </c>
      <c r="H91" s="28">
        <f>IF(((('MiT Strom Pipeline'!R22="offered")+('MiT Strom Pipeline'!R22="to be offered")+('MiT Strom Pipeline'!R22="on hold"))*('MiT Strom Pipeline'!B22&lt;&gt;""))&gt;0,IF(ISNUMBER('MiT Strom Pipeline'!Q22),'MiT Strom Pipeline'!Q22,0),"")</f>
        <v/>
      </c>
      <c r="I91" s="27">
        <f>IF(((('MiT Strom Pipeline'!R22="offered")+('MiT Strom Pipeline'!R22="to be offered")+('MiT Strom Pipeline'!R22="on hold"))*('MiT Strom Pipeline'!B22&lt;&gt;""))&gt;0,'MiT Strom Pipeline'!R22,"")</f>
        <v/>
      </c>
      <c r="J91" s="29">
        <f>IF(((('MiT Strom Pipeline'!R22="offered")+('MiT Strom Pipeline'!R22="to be offered")+('MiT Strom Pipeline'!R22="on hold"))*('MiT Strom Pipeline'!B22&lt;&gt;""))&gt;0,IF(ISNUMBER('MiT Strom Pipeline'!S22),'MiT Strom Pipeline'!S22,""),"")</f>
        <v/>
      </c>
      <c r="K91" s="27">
        <f>IF(((('MiT Strom Pipeline'!R22="offered")+('MiT Strom Pipeline'!R22="to be offered")+('MiT Strom Pipeline'!R22="on hold"))*('MiT Strom Pipeline'!B22&lt;&gt;""))&gt;0,IF(LEN('MiT Strom Pipeline'!V22)&gt;0,LEFT('MiT Strom Pipeline'!V22,55),""),"")</f>
        <v/>
      </c>
      <c r="L91" s="22" t="n"/>
      <c r="M91" s="22" t="n"/>
      <c r="N91" s="22" t="n"/>
      <c r="O91" s="22" t="n"/>
      <c r="P91" s="22" t="n"/>
      <c r="Q91" s="22" t="n"/>
      <c r="R91" s="22" t="n"/>
      <c r="S91" s="22" t="n"/>
    </row>
    <row r="92" ht="15.75" customHeight="1">
      <c r="A92" s="26">
        <f>IF(((('MiT Strom Pipeline'!R23="offered")+('MiT Strom Pipeline'!R23="to be offered")+('MiT Strom Pipeline'!R23="on hold"))*('MiT Strom Pipeline'!B23&lt;&gt;""))&gt;0,IF(ISNUMBER('MiT Strom Pipeline'!A23),'MiT Strom Pipeline'!A23,""),"")</f>
        <v/>
      </c>
      <c r="B92" s="27">
        <f>IF(((('MiT Strom Pipeline'!R23="offered")+('MiT Strom Pipeline'!R23="to be offered")+('MiT Strom Pipeline'!R23="on hold"))*('MiT Strom Pipeline'!B23&lt;&gt;""))&gt;0,IF('MiT Strom Pipeline'!B23="","",'MiT Strom Pipeline'!B23),"")</f>
        <v/>
      </c>
      <c r="C92" s="27">
        <f>IF(((('MiT Strom Pipeline'!R23="offered")+('MiT Strom Pipeline'!R23="to be offered")+('MiT Strom Pipeline'!R23="on hold"))*('MiT Strom Pipeline'!B23&lt;&gt;""))&gt;0,IF('MiT Strom Pipeline'!C23="","",'MiT Strom Pipeline'!C23),"")</f>
        <v/>
      </c>
      <c r="D92" s="27">
        <f>IF(((('MiT Strom Pipeline'!R23="offered")+('MiT Strom Pipeline'!R23="to be offered")+('MiT Strom Pipeline'!R23="on hold"))*('MiT Strom Pipeline'!B23&lt;&gt;""))&gt;0,IF('MiT Strom Pipeline'!D23="","",'MiT Strom Pipeline'!D23),"")</f>
        <v/>
      </c>
      <c r="E92" s="27">
        <f>IF(((('MiT Strom Pipeline'!R23="offered")+('MiT Strom Pipeline'!R23="to be offered")+('MiT Strom Pipeline'!R23="on hold"))*('MiT Strom Pipeline'!B23&lt;&gt;""))&gt;0,IF('MiT Strom Pipeline'!H23="","",'MiT Strom Pipeline'!H23),"")</f>
        <v/>
      </c>
      <c r="F92" s="27">
        <f>IF(((('MiT Strom Pipeline'!R23="offered")+('MiT Strom Pipeline'!R23="to be offered")+('MiT Strom Pipeline'!R23="on hold"))*('MiT Strom Pipeline'!B23&lt;&gt;""))&gt;0,IF('MiT Strom Pipeline'!E23="","",'MiT Strom Pipeline'!E23),"")</f>
        <v/>
      </c>
      <c r="G92" s="28">
        <f>IF(((('MiT Strom Pipeline'!R23="offered")+('MiT Strom Pipeline'!R23="to be offered")+('MiT Strom Pipeline'!R23="on hold"))*('MiT Strom Pipeline'!B23&lt;&gt;""))&gt;0,IF(ISNUMBER('MiT Strom Pipeline'!I23),'MiT Strom Pipeline'!I23,0),"")</f>
        <v/>
      </c>
      <c r="H92" s="28">
        <f>IF(((('MiT Strom Pipeline'!R23="offered")+('MiT Strom Pipeline'!R23="to be offered")+('MiT Strom Pipeline'!R23="on hold"))*('MiT Strom Pipeline'!B23&lt;&gt;""))&gt;0,IF(ISNUMBER('MiT Strom Pipeline'!Q23),'MiT Strom Pipeline'!Q23,0),"")</f>
        <v/>
      </c>
      <c r="I92" s="27">
        <f>IF(((('MiT Strom Pipeline'!R23="offered")+('MiT Strom Pipeline'!R23="to be offered")+('MiT Strom Pipeline'!R23="on hold"))*('MiT Strom Pipeline'!B23&lt;&gt;""))&gt;0,'MiT Strom Pipeline'!R23,"")</f>
        <v/>
      </c>
      <c r="J92" s="29">
        <f>IF(((('MiT Strom Pipeline'!R23="offered")+('MiT Strom Pipeline'!R23="to be offered")+('MiT Strom Pipeline'!R23="on hold"))*('MiT Strom Pipeline'!B23&lt;&gt;""))&gt;0,IF(ISNUMBER('MiT Strom Pipeline'!S23),'MiT Strom Pipeline'!S23,""),"")</f>
        <v/>
      </c>
      <c r="K92" s="27">
        <f>IF(((('MiT Strom Pipeline'!R23="offered")+('MiT Strom Pipeline'!R23="to be offered")+('MiT Strom Pipeline'!R23="on hold"))*('MiT Strom Pipeline'!B23&lt;&gt;""))&gt;0,IF(LEN('MiT Strom Pipeline'!V23)&gt;0,LEFT('MiT Strom Pipeline'!V23,55),""),"")</f>
        <v/>
      </c>
      <c r="L92" s="22" t="n"/>
      <c r="M92" s="22" t="n"/>
      <c r="N92" s="22" t="n"/>
      <c r="O92" s="22" t="n"/>
      <c r="P92" s="22" t="n"/>
      <c r="Q92" s="22" t="n"/>
      <c r="R92" s="22" t="n"/>
      <c r="S92" s="22" t="n"/>
    </row>
    <row r="93" ht="15.75" customHeight="1">
      <c r="A93" s="26">
        <f>IF(((('MiT Strom Pipeline'!R24="offered")+('MiT Strom Pipeline'!R24="to be offered")+('MiT Strom Pipeline'!R24="on hold"))*('MiT Strom Pipeline'!B24&lt;&gt;""))&gt;0,IF(ISNUMBER('MiT Strom Pipeline'!A24),'MiT Strom Pipeline'!A24,""),"")</f>
        <v/>
      </c>
      <c r="B93" s="27">
        <f>IF(((('MiT Strom Pipeline'!R24="offered")+('MiT Strom Pipeline'!R24="to be offered")+('MiT Strom Pipeline'!R24="on hold"))*('MiT Strom Pipeline'!B24&lt;&gt;""))&gt;0,IF('MiT Strom Pipeline'!B24="","",'MiT Strom Pipeline'!B24),"")</f>
        <v/>
      </c>
      <c r="C93" s="27">
        <f>IF(((('MiT Strom Pipeline'!R24="offered")+('MiT Strom Pipeline'!R24="to be offered")+('MiT Strom Pipeline'!R24="on hold"))*('MiT Strom Pipeline'!B24&lt;&gt;""))&gt;0,IF('MiT Strom Pipeline'!C24="","",'MiT Strom Pipeline'!C24),"")</f>
        <v/>
      </c>
      <c r="D93" s="27">
        <f>IF(((('MiT Strom Pipeline'!R24="offered")+('MiT Strom Pipeline'!R24="to be offered")+('MiT Strom Pipeline'!R24="on hold"))*('MiT Strom Pipeline'!B24&lt;&gt;""))&gt;0,IF('MiT Strom Pipeline'!D24="","",'MiT Strom Pipeline'!D24),"")</f>
        <v/>
      </c>
      <c r="E93" s="27">
        <f>IF(((('MiT Strom Pipeline'!R24="offered")+('MiT Strom Pipeline'!R24="to be offered")+('MiT Strom Pipeline'!R24="on hold"))*('MiT Strom Pipeline'!B24&lt;&gt;""))&gt;0,IF('MiT Strom Pipeline'!H24="","",'MiT Strom Pipeline'!H24),"")</f>
        <v/>
      </c>
      <c r="F93" s="27">
        <f>IF(((('MiT Strom Pipeline'!R24="offered")+('MiT Strom Pipeline'!R24="to be offered")+('MiT Strom Pipeline'!R24="on hold"))*('MiT Strom Pipeline'!B24&lt;&gt;""))&gt;0,IF('MiT Strom Pipeline'!E24="","",'MiT Strom Pipeline'!E24),"")</f>
        <v/>
      </c>
      <c r="G93" s="28">
        <f>IF(((('MiT Strom Pipeline'!R24="offered")+('MiT Strom Pipeline'!R24="to be offered")+('MiT Strom Pipeline'!R24="on hold"))*('MiT Strom Pipeline'!B24&lt;&gt;""))&gt;0,IF(ISNUMBER('MiT Strom Pipeline'!I24),'MiT Strom Pipeline'!I24,0),"")</f>
        <v/>
      </c>
      <c r="H93" s="28">
        <f>IF(((('MiT Strom Pipeline'!R24="offered")+('MiT Strom Pipeline'!R24="to be offered")+('MiT Strom Pipeline'!R24="on hold"))*('MiT Strom Pipeline'!B24&lt;&gt;""))&gt;0,IF(ISNUMBER('MiT Strom Pipeline'!Q24),'MiT Strom Pipeline'!Q24,0),"")</f>
        <v/>
      </c>
      <c r="I93" s="27">
        <f>IF(((('MiT Strom Pipeline'!R24="offered")+('MiT Strom Pipeline'!R24="to be offered")+('MiT Strom Pipeline'!R24="on hold"))*('MiT Strom Pipeline'!B24&lt;&gt;""))&gt;0,'MiT Strom Pipeline'!R24,"")</f>
        <v/>
      </c>
      <c r="J93" s="29">
        <f>IF(((('MiT Strom Pipeline'!R24="offered")+('MiT Strom Pipeline'!R24="to be offered")+('MiT Strom Pipeline'!R24="on hold"))*('MiT Strom Pipeline'!B24&lt;&gt;""))&gt;0,IF(ISNUMBER('MiT Strom Pipeline'!S24),'MiT Strom Pipeline'!S24,""),"")</f>
        <v/>
      </c>
      <c r="K93" s="27">
        <f>IF(((('MiT Strom Pipeline'!R24="offered")+('MiT Strom Pipeline'!R24="to be offered")+('MiT Strom Pipeline'!R24="on hold"))*('MiT Strom Pipeline'!B24&lt;&gt;""))&gt;0,IF(LEN('MiT Strom Pipeline'!V24)&gt;0,LEFT('MiT Strom Pipeline'!V24,55),""),"")</f>
        <v/>
      </c>
      <c r="L93" s="22" t="n"/>
      <c r="M93" s="22" t="n"/>
      <c r="N93" s="22" t="n"/>
      <c r="O93" s="22" t="n"/>
      <c r="P93" s="22" t="n"/>
      <c r="Q93" s="22" t="n"/>
      <c r="R93" s="22" t="n"/>
      <c r="S93" s="22" t="n"/>
    </row>
    <row r="94" ht="15.75" customHeight="1">
      <c r="A94" s="26">
        <f>IF(((('MiT Strom Pipeline'!R25="offered")+('MiT Strom Pipeline'!R25="to be offered")+('MiT Strom Pipeline'!R25="on hold"))*('MiT Strom Pipeline'!B25&lt;&gt;""))&gt;0,IF(ISNUMBER('MiT Strom Pipeline'!A25),'MiT Strom Pipeline'!A25,""),"")</f>
        <v/>
      </c>
      <c r="B94" s="27">
        <f>IF(((('MiT Strom Pipeline'!R25="offered")+('MiT Strom Pipeline'!R25="to be offered")+('MiT Strom Pipeline'!R25="on hold"))*('MiT Strom Pipeline'!B25&lt;&gt;""))&gt;0,IF('MiT Strom Pipeline'!B25="","",'MiT Strom Pipeline'!B25),"")</f>
        <v/>
      </c>
      <c r="C94" s="27">
        <f>IF(((('MiT Strom Pipeline'!R25="offered")+('MiT Strom Pipeline'!R25="to be offered")+('MiT Strom Pipeline'!R25="on hold"))*('MiT Strom Pipeline'!B25&lt;&gt;""))&gt;0,IF('MiT Strom Pipeline'!C25="","",'MiT Strom Pipeline'!C25),"")</f>
        <v/>
      </c>
      <c r="D94" s="27">
        <f>IF(((('MiT Strom Pipeline'!R25="offered")+('MiT Strom Pipeline'!R25="to be offered")+('MiT Strom Pipeline'!R25="on hold"))*('MiT Strom Pipeline'!B25&lt;&gt;""))&gt;0,IF('MiT Strom Pipeline'!D25="","",'MiT Strom Pipeline'!D25),"")</f>
        <v/>
      </c>
      <c r="E94" s="27">
        <f>IF(((('MiT Strom Pipeline'!R25="offered")+('MiT Strom Pipeline'!R25="to be offered")+('MiT Strom Pipeline'!R25="on hold"))*('MiT Strom Pipeline'!B25&lt;&gt;""))&gt;0,IF('MiT Strom Pipeline'!H25="","",'MiT Strom Pipeline'!H25),"")</f>
        <v/>
      </c>
      <c r="F94" s="27">
        <f>IF(((('MiT Strom Pipeline'!R25="offered")+('MiT Strom Pipeline'!R25="to be offered")+('MiT Strom Pipeline'!R25="on hold"))*('MiT Strom Pipeline'!B25&lt;&gt;""))&gt;0,IF('MiT Strom Pipeline'!E25="","",'MiT Strom Pipeline'!E25),"")</f>
        <v/>
      </c>
      <c r="G94" s="28">
        <f>IF(((('MiT Strom Pipeline'!R25="offered")+('MiT Strom Pipeline'!R25="to be offered")+('MiT Strom Pipeline'!R25="on hold"))*('MiT Strom Pipeline'!B25&lt;&gt;""))&gt;0,IF(ISNUMBER('MiT Strom Pipeline'!I25),'MiT Strom Pipeline'!I25,0),"")</f>
        <v/>
      </c>
      <c r="H94" s="28">
        <f>IF(((('MiT Strom Pipeline'!R25="offered")+('MiT Strom Pipeline'!R25="to be offered")+('MiT Strom Pipeline'!R25="on hold"))*('MiT Strom Pipeline'!B25&lt;&gt;""))&gt;0,IF(ISNUMBER('MiT Strom Pipeline'!Q25),'MiT Strom Pipeline'!Q25,0),"")</f>
        <v/>
      </c>
      <c r="I94" s="27">
        <f>IF(((('MiT Strom Pipeline'!R25="offered")+('MiT Strom Pipeline'!R25="to be offered")+('MiT Strom Pipeline'!R25="on hold"))*('MiT Strom Pipeline'!B25&lt;&gt;""))&gt;0,'MiT Strom Pipeline'!R25,"")</f>
        <v/>
      </c>
      <c r="J94" s="29">
        <f>IF(((('MiT Strom Pipeline'!R25="offered")+('MiT Strom Pipeline'!R25="to be offered")+('MiT Strom Pipeline'!R25="on hold"))*('MiT Strom Pipeline'!B25&lt;&gt;""))&gt;0,IF(ISNUMBER('MiT Strom Pipeline'!S25),'MiT Strom Pipeline'!S25,""),"")</f>
        <v/>
      </c>
      <c r="K94" s="27">
        <f>IF(((('MiT Strom Pipeline'!R25="offered")+('MiT Strom Pipeline'!R25="to be offered")+('MiT Strom Pipeline'!R25="on hold"))*('MiT Strom Pipeline'!B25&lt;&gt;""))&gt;0,IF(LEN('MiT Strom Pipeline'!V25)&gt;0,LEFT('MiT Strom Pipeline'!V25,55),""),"")</f>
        <v/>
      </c>
      <c r="L94" s="22" t="n"/>
      <c r="M94" s="22" t="n"/>
      <c r="N94" s="22" t="n"/>
      <c r="O94" s="22" t="n"/>
      <c r="P94" s="22" t="n"/>
      <c r="Q94" s="22" t="n"/>
      <c r="R94" s="22" t="n"/>
      <c r="S94" s="22" t="n"/>
    </row>
    <row r="95" ht="15.75" customHeight="1">
      <c r="A95" s="26">
        <f>IF(((('MiT Strom Pipeline'!R26="offered")+('MiT Strom Pipeline'!R26="to be offered")+('MiT Strom Pipeline'!R26="on hold"))*('MiT Strom Pipeline'!B26&lt;&gt;""))&gt;0,IF(ISNUMBER('MiT Strom Pipeline'!A26),'MiT Strom Pipeline'!A26,""),"")</f>
        <v/>
      </c>
      <c r="B95" s="27">
        <f>IF(((('MiT Strom Pipeline'!R26="offered")+('MiT Strom Pipeline'!R26="to be offered")+('MiT Strom Pipeline'!R26="on hold"))*('MiT Strom Pipeline'!B26&lt;&gt;""))&gt;0,IF('MiT Strom Pipeline'!B26="","",'MiT Strom Pipeline'!B26),"")</f>
        <v/>
      </c>
      <c r="C95" s="27">
        <f>IF(((('MiT Strom Pipeline'!R26="offered")+('MiT Strom Pipeline'!R26="to be offered")+('MiT Strom Pipeline'!R26="on hold"))*('MiT Strom Pipeline'!B26&lt;&gt;""))&gt;0,IF('MiT Strom Pipeline'!C26="","",'MiT Strom Pipeline'!C26),"")</f>
        <v/>
      </c>
      <c r="D95" s="27">
        <f>IF(((('MiT Strom Pipeline'!R26="offered")+('MiT Strom Pipeline'!R26="to be offered")+('MiT Strom Pipeline'!R26="on hold"))*('MiT Strom Pipeline'!B26&lt;&gt;""))&gt;0,IF('MiT Strom Pipeline'!D26="","",'MiT Strom Pipeline'!D26),"")</f>
        <v/>
      </c>
      <c r="E95" s="27">
        <f>IF(((('MiT Strom Pipeline'!R26="offered")+('MiT Strom Pipeline'!R26="to be offered")+('MiT Strom Pipeline'!R26="on hold"))*('MiT Strom Pipeline'!B26&lt;&gt;""))&gt;0,IF('MiT Strom Pipeline'!H26="","",'MiT Strom Pipeline'!H26),"")</f>
        <v/>
      </c>
      <c r="F95" s="27">
        <f>IF(((('MiT Strom Pipeline'!R26="offered")+('MiT Strom Pipeline'!R26="to be offered")+('MiT Strom Pipeline'!R26="on hold"))*('MiT Strom Pipeline'!B26&lt;&gt;""))&gt;0,IF('MiT Strom Pipeline'!E26="","",'MiT Strom Pipeline'!E26),"")</f>
        <v/>
      </c>
      <c r="G95" s="28">
        <f>IF(((('MiT Strom Pipeline'!R26="offered")+('MiT Strom Pipeline'!R26="to be offered")+('MiT Strom Pipeline'!R26="on hold"))*('MiT Strom Pipeline'!B26&lt;&gt;""))&gt;0,IF(ISNUMBER('MiT Strom Pipeline'!I26),'MiT Strom Pipeline'!I26,0),"")</f>
        <v/>
      </c>
      <c r="H95" s="28">
        <f>IF(((('MiT Strom Pipeline'!R26="offered")+('MiT Strom Pipeline'!R26="to be offered")+('MiT Strom Pipeline'!R26="on hold"))*('MiT Strom Pipeline'!B26&lt;&gt;""))&gt;0,IF(ISNUMBER('MiT Strom Pipeline'!Q26),'MiT Strom Pipeline'!Q26,0),"")</f>
        <v/>
      </c>
      <c r="I95" s="27">
        <f>IF(((('MiT Strom Pipeline'!R26="offered")+('MiT Strom Pipeline'!R26="to be offered")+('MiT Strom Pipeline'!R26="on hold"))*('MiT Strom Pipeline'!B26&lt;&gt;""))&gt;0,'MiT Strom Pipeline'!R26,"")</f>
        <v/>
      </c>
      <c r="J95" s="29">
        <f>IF(((('MiT Strom Pipeline'!R26="offered")+('MiT Strom Pipeline'!R26="to be offered")+('MiT Strom Pipeline'!R26="on hold"))*('MiT Strom Pipeline'!B26&lt;&gt;""))&gt;0,IF(ISNUMBER('MiT Strom Pipeline'!S26),'MiT Strom Pipeline'!S26,""),"")</f>
        <v/>
      </c>
      <c r="K95" s="27">
        <f>IF(((('MiT Strom Pipeline'!R26="offered")+('MiT Strom Pipeline'!R26="to be offered")+('MiT Strom Pipeline'!R26="on hold"))*('MiT Strom Pipeline'!B26&lt;&gt;""))&gt;0,IF(LEN('MiT Strom Pipeline'!V26)&gt;0,LEFT('MiT Strom Pipeline'!V26,55),""),"")</f>
        <v/>
      </c>
      <c r="L95" s="22" t="n"/>
      <c r="M95" s="22" t="n"/>
      <c r="N95" s="22" t="n"/>
      <c r="O95" s="22" t="n"/>
      <c r="P95" s="22" t="n"/>
      <c r="Q95" s="22" t="n"/>
      <c r="R95" s="22" t="n"/>
      <c r="S95" s="22" t="n"/>
    </row>
    <row r="96" ht="15.75" customHeight="1">
      <c r="A96" s="26">
        <f>IF(((('MiT Strom Pipeline'!R27="offered")+('MiT Strom Pipeline'!R27="to be offered")+('MiT Strom Pipeline'!R27="on hold"))*('MiT Strom Pipeline'!B27&lt;&gt;""))&gt;0,IF(ISNUMBER('MiT Strom Pipeline'!A27),'MiT Strom Pipeline'!A27,""),"")</f>
        <v/>
      </c>
      <c r="B96" s="27">
        <f>IF(((('MiT Strom Pipeline'!R27="offered")+('MiT Strom Pipeline'!R27="to be offered")+('MiT Strom Pipeline'!R27="on hold"))*('MiT Strom Pipeline'!B27&lt;&gt;""))&gt;0,IF('MiT Strom Pipeline'!B27="","",'MiT Strom Pipeline'!B27),"")</f>
        <v/>
      </c>
      <c r="C96" s="27">
        <f>IF(((('MiT Strom Pipeline'!R27="offered")+('MiT Strom Pipeline'!R27="to be offered")+('MiT Strom Pipeline'!R27="on hold"))*('MiT Strom Pipeline'!B27&lt;&gt;""))&gt;0,IF('MiT Strom Pipeline'!C27="","",'MiT Strom Pipeline'!C27),"")</f>
        <v/>
      </c>
      <c r="D96" s="27">
        <f>IF(((('MiT Strom Pipeline'!R27="offered")+('MiT Strom Pipeline'!R27="to be offered")+('MiT Strom Pipeline'!R27="on hold"))*('MiT Strom Pipeline'!B27&lt;&gt;""))&gt;0,IF('MiT Strom Pipeline'!D27="","",'MiT Strom Pipeline'!D27),"")</f>
        <v/>
      </c>
      <c r="E96" s="27">
        <f>IF(((('MiT Strom Pipeline'!R27="offered")+('MiT Strom Pipeline'!R27="to be offered")+('MiT Strom Pipeline'!R27="on hold"))*('MiT Strom Pipeline'!B27&lt;&gt;""))&gt;0,IF('MiT Strom Pipeline'!H27="","",'MiT Strom Pipeline'!H27),"")</f>
        <v/>
      </c>
      <c r="F96" s="27">
        <f>IF(((('MiT Strom Pipeline'!R27="offered")+('MiT Strom Pipeline'!R27="to be offered")+('MiT Strom Pipeline'!R27="on hold"))*('MiT Strom Pipeline'!B27&lt;&gt;""))&gt;0,IF('MiT Strom Pipeline'!E27="","",'MiT Strom Pipeline'!E27),"")</f>
        <v/>
      </c>
      <c r="G96" s="28">
        <f>IF(((('MiT Strom Pipeline'!R27="offered")+('MiT Strom Pipeline'!R27="to be offered")+('MiT Strom Pipeline'!R27="on hold"))*('MiT Strom Pipeline'!B27&lt;&gt;""))&gt;0,IF(ISNUMBER('MiT Strom Pipeline'!I27),'MiT Strom Pipeline'!I27,0),"")</f>
        <v/>
      </c>
      <c r="H96" s="28">
        <f>IF(((('MiT Strom Pipeline'!R27="offered")+('MiT Strom Pipeline'!R27="to be offered")+('MiT Strom Pipeline'!R27="on hold"))*('MiT Strom Pipeline'!B27&lt;&gt;""))&gt;0,IF(ISNUMBER('MiT Strom Pipeline'!Q27),'MiT Strom Pipeline'!Q27,0),"")</f>
        <v/>
      </c>
      <c r="I96" s="27">
        <f>IF(((('MiT Strom Pipeline'!R27="offered")+('MiT Strom Pipeline'!R27="to be offered")+('MiT Strom Pipeline'!R27="on hold"))*('MiT Strom Pipeline'!B27&lt;&gt;""))&gt;0,'MiT Strom Pipeline'!R27,"")</f>
        <v/>
      </c>
      <c r="J96" s="29">
        <f>IF(((('MiT Strom Pipeline'!R27="offered")+('MiT Strom Pipeline'!R27="to be offered")+('MiT Strom Pipeline'!R27="on hold"))*('MiT Strom Pipeline'!B27&lt;&gt;""))&gt;0,IF(ISNUMBER('MiT Strom Pipeline'!S27),'MiT Strom Pipeline'!S27,""),"")</f>
        <v/>
      </c>
      <c r="K96" s="27">
        <f>IF(((('MiT Strom Pipeline'!R27="offered")+('MiT Strom Pipeline'!R27="to be offered")+('MiT Strom Pipeline'!R27="on hold"))*('MiT Strom Pipeline'!B27&lt;&gt;""))&gt;0,IF(LEN('MiT Strom Pipeline'!V27)&gt;0,LEFT('MiT Strom Pipeline'!V27,55),""),"")</f>
        <v/>
      </c>
      <c r="L96" s="22" t="n"/>
      <c r="M96" s="22" t="n"/>
      <c r="N96" s="22" t="n"/>
      <c r="O96" s="22" t="n"/>
      <c r="P96" s="22" t="n"/>
      <c r="Q96" s="22" t="n"/>
      <c r="R96" s="22" t="n"/>
      <c r="S96" s="22" t="n"/>
    </row>
    <row r="97" ht="15.75" customHeight="1">
      <c r="A97" s="26">
        <f>IF(((('MiT Strom Pipeline'!R28="offered")+('MiT Strom Pipeline'!R28="to be offered")+('MiT Strom Pipeline'!R28="on hold"))*('MiT Strom Pipeline'!B28&lt;&gt;""))&gt;0,IF(ISNUMBER('MiT Strom Pipeline'!A28),'MiT Strom Pipeline'!A28,""),"")</f>
        <v/>
      </c>
      <c r="B97" s="27">
        <f>IF(((('MiT Strom Pipeline'!R28="offered")+('MiT Strom Pipeline'!R28="to be offered")+('MiT Strom Pipeline'!R28="on hold"))*('MiT Strom Pipeline'!B28&lt;&gt;""))&gt;0,IF('MiT Strom Pipeline'!B28="","",'MiT Strom Pipeline'!B28),"")</f>
        <v/>
      </c>
      <c r="C97" s="27">
        <f>IF(((('MiT Strom Pipeline'!R28="offered")+('MiT Strom Pipeline'!R28="to be offered")+('MiT Strom Pipeline'!R28="on hold"))*('MiT Strom Pipeline'!B28&lt;&gt;""))&gt;0,IF('MiT Strom Pipeline'!C28="","",'MiT Strom Pipeline'!C28),"")</f>
        <v/>
      </c>
      <c r="D97" s="27">
        <f>IF(((('MiT Strom Pipeline'!R28="offered")+('MiT Strom Pipeline'!R28="to be offered")+('MiT Strom Pipeline'!R28="on hold"))*('MiT Strom Pipeline'!B28&lt;&gt;""))&gt;0,IF('MiT Strom Pipeline'!D28="","",'MiT Strom Pipeline'!D28),"")</f>
        <v/>
      </c>
      <c r="E97" s="191">
        <f>IF(((('MiT Strom Pipeline'!R28="offered")+('MiT Strom Pipeline'!R28="to be offered")+('MiT Strom Pipeline'!R28="on hold"))*('MiT Strom Pipeline'!B28&lt;&gt;""))&gt;0,IF('MiT Strom Pipeline'!H28="","",'MiT Strom Pipeline'!H28),"")</f>
        <v/>
      </c>
      <c r="F97" s="27">
        <f>IF(((('MiT Strom Pipeline'!R28="offered")+('MiT Strom Pipeline'!R28="to be offered")+('MiT Strom Pipeline'!R28="on hold"))*('MiT Strom Pipeline'!B28&lt;&gt;""))&gt;0,IF('MiT Strom Pipeline'!E28="","",'MiT Strom Pipeline'!E28),"")</f>
        <v/>
      </c>
      <c r="G97" s="28">
        <f>IF(((('MiT Strom Pipeline'!R28="offered")+('MiT Strom Pipeline'!R28="to be offered")+('MiT Strom Pipeline'!R28="on hold"))*('MiT Strom Pipeline'!B28&lt;&gt;""))&gt;0,IF(ISNUMBER('MiT Strom Pipeline'!I28),'MiT Strom Pipeline'!I28,0),"")</f>
        <v/>
      </c>
      <c r="H97" s="28">
        <f>IF(((('MiT Strom Pipeline'!R28="offered")+('MiT Strom Pipeline'!R28="to be offered")+('MiT Strom Pipeline'!R28="on hold"))*('MiT Strom Pipeline'!B28&lt;&gt;""))&gt;0,IF(ISNUMBER('MiT Strom Pipeline'!Q28),'MiT Strom Pipeline'!Q28,0),"")</f>
        <v/>
      </c>
      <c r="I97" s="27">
        <f>IF(((('MiT Strom Pipeline'!R28="offered")+('MiT Strom Pipeline'!R28="to be offered")+('MiT Strom Pipeline'!R28="on hold"))*('MiT Strom Pipeline'!B28&lt;&gt;""))&gt;0,'MiT Strom Pipeline'!R28,"")</f>
        <v/>
      </c>
      <c r="J97" s="29">
        <f>IF(((('MiT Strom Pipeline'!R28="offered")+('MiT Strom Pipeline'!R28="to be offered")+('MiT Strom Pipeline'!R28="on hold"))*('MiT Strom Pipeline'!B28&lt;&gt;""))&gt;0,IF(ISNUMBER('MiT Strom Pipeline'!S28),'MiT Strom Pipeline'!S28,""),"")</f>
        <v/>
      </c>
      <c r="K97" s="27">
        <f>IF(((('MiT Strom Pipeline'!R28="offered")+('MiT Strom Pipeline'!R28="to be offered")+('MiT Strom Pipeline'!R28="on hold"))*('MiT Strom Pipeline'!B28&lt;&gt;""))&gt;0,IF(LEN('MiT Strom Pipeline'!V28)&gt;0,LEFT('MiT Strom Pipeline'!V28,55),""),"")</f>
        <v/>
      </c>
      <c r="L97" s="22" t="n"/>
      <c r="M97" s="22" t="n"/>
      <c r="N97" s="22" t="n"/>
      <c r="O97" s="22" t="n"/>
      <c r="P97" s="22" t="n"/>
      <c r="Q97" s="22" t="n"/>
      <c r="R97" s="22" t="n"/>
      <c r="S97" s="22" t="n"/>
    </row>
    <row r="98" ht="15.75" customHeight="1">
      <c r="A98" s="26">
        <f>IF(((('MiT Strom Pipeline'!R29="offered")+('MiT Strom Pipeline'!R29="to be offered")+('MiT Strom Pipeline'!R29="on hold"))*('MiT Strom Pipeline'!B29&lt;&gt;""))&gt;0,IF(ISNUMBER('MiT Strom Pipeline'!A29),'MiT Strom Pipeline'!A29,""),"")</f>
        <v/>
      </c>
      <c r="B98" s="27">
        <f>IF(((('MiT Strom Pipeline'!R29="offered")+('MiT Strom Pipeline'!R29="to be offered")+('MiT Strom Pipeline'!R29="on hold"))*('MiT Strom Pipeline'!B29&lt;&gt;""))&gt;0,IF('MiT Strom Pipeline'!B29="","",'MiT Strom Pipeline'!B29),"")</f>
        <v/>
      </c>
      <c r="C98" s="27">
        <f>IF(((('MiT Strom Pipeline'!R29="offered")+('MiT Strom Pipeline'!R29="to be offered")+('MiT Strom Pipeline'!R29="on hold"))*('MiT Strom Pipeline'!B29&lt;&gt;""))&gt;0,IF('MiT Strom Pipeline'!C29="","",'MiT Strom Pipeline'!C29),"")</f>
        <v/>
      </c>
      <c r="D98" s="27">
        <f>IF(((('MiT Strom Pipeline'!R29="offered")+('MiT Strom Pipeline'!R29="to be offered")+('MiT Strom Pipeline'!R29="on hold"))*('MiT Strom Pipeline'!B29&lt;&gt;""))&gt;0,IF('MiT Strom Pipeline'!D29="","",'MiT Strom Pipeline'!D29),"")</f>
        <v/>
      </c>
      <c r="E98" s="27">
        <f>IF(((('MiT Strom Pipeline'!R29="offered")+('MiT Strom Pipeline'!R29="to be offered")+('MiT Strom Pipeline'!R29="on hold"))*('MiT Strom Pipeline'!B29&lt;&gt;""))&gt;0,IF('MiT Strom Pipeline'!H29="","",'MiT Strom Pipeline'!H29),"")</f>
        <v/>
      </c>
      <c r="F98" s="27">
        <f>IF(((('MiT Strom Pipeline'!R29="offered")+('MiT Strom Pipeline'!R29="to be offered")+('MiT Strom Pipeline'!R29="on hold"))*('MiT Strom Pipeline'!B29&lt;&gt;""))&gt;0,IF('MiT Strom Pipeline'!E29="","",'MiT Strom Pipeline'!E29),"")</f>
        <v/>
      </c>
      <c r="G98" s="28">
        <f>IF(((('MiT Strom Pipeline'!R29="offered")+('MiT Strom Pipeline'!R29="to be offered")+('MiT Strom Pipeline'!R29="on hold"))*('MiT Strom Pipeline'!B29&lt;&gt;""))&gt;0,IF(ISNUMBER('MiT Strom Pipeline'!I29),'MiT Strom Pipeline'!I29,0),"")</f>
        <v/>
      </c>
      <c r="H98" s="28">
        <f>IF(((('MiT Strom Pipeline'!R29="offered")+('MiT Strom Pipeline'!R29="to be offered")+('MiT Strom Pipeline'!R29="on hold"))*('MiT Strom Pipeline'!B29&lt;&gt;""))&gt;0,IF(ISNUMBER('MiT Strom Pipeline'!Q29),'MiT Strom Pipeline'!Q29,0),"")</f>
        <v/>
      </c>
      <c r="I98" s="27">
        <f>IF(((('MiT Strom Pipeline'!R29="offered")+('MiT Strom Pipeline'!R29="to be offered")+('MiT Strom Pipeline'!R29="on hold"))*('MiT Strom Pipeline'!B29&lt;&gt;""))&gt;0,'MiT Strom Pipeline'!R29,"")</f>
        <v/>
      </c>
      <c r="J98" s="29">
        <f>IF(((('MiT Strom Pipeline'!R29="offered")+('MiT Strom Pipeline'!R29="to be offered")+('MiT Strom Pipeline'!R29="on hold"))*('MiT Strom Pipeline'!B29&lt;&gt;""))&gt;0,IF(ISNUMBER('MiT Strom Pipeline'!S29),'MiT Strom Pipeline'!S29,""),"")</f>
        <v/>
      </c>
      <c r="K98" s="27">
        <f>IF(((('MiT Strom Pipeline'!R29="offered")+('MiT Strom Pipeline'!R29="to be offered")+('MiT Strom Pipeline'!R29="on hold"))*('MiT Strom Pipeline'!B29&lt;&gt;""))&gt;0,IF(LEN('MiT Strom Pipeline'!V29)&gt;0,LEFT('MiT Strom Pipeline'!V29,55),""),"")</f>
        <v/>
      </c>
      <c r="L98" s="22" t="n"/>
      <c r="M98" s="22" t="n"/>
      <c r="N98" s="22" t="n"/>
      <c r="O98" s="22" t="n"/>
      <c r="P98" s="22" t="n"/>
      <c r="Q98" s="22" t="n"/>
      <c r="R98" s="22" t="n"/>
      <c r="S98" s="22" t="n"/>
    </row>
    <row r="99" ht="15" customHeight="1">
      <c r="A99" s="26">
        <f>IF(((('MiT Strom Pipeline'!R30="offered")+('MiT Strom Pipeline'!R30="to be offered")+('MiT Strom Pipeline'!R30="on hold"))*('MiT Strom Pipeline'!B30&lt;&gt;""))&gt;0,IF(ISNUMBER('MiT Strom Pipeline'!A30),'MiT Strom Pipeline'!A30,""),"")</f>
        <v/>
      </c>
      <c r="B99" s="27">
        <f>IF(((('MiT Strom Pipeline'!R30="offered")+('MiT Strom Pipeline'!R30="to be offered")+('MiT Strom Pipeline'!R30="on hold"))*('MiT Strom Pipeline'!B30&lt;&gt;""))&gt;0,IF('MiT Strom Pipeline'!B30="","",'MiT Strom Pipeline'!B30),"")</f>
        <v/>
      </c>
      <c r="C99" s="27">
        <f>IF(((('MiT Strom Pipeline'!R30="offered")+('MiT Strom Pipeline'!R30="to be offered")+('MiT Strom Pipeline'!R30="on hold"))*('MiT Strom Pipeline'!B30&lt;&gt;""))&gt;0,IF('MiT Strom Pipeline'!C30="","",'MiT Strom Pipeline'!C30),"")</f>
        <v/>
      </c>
      <c r="D99" s="27">
        <f>IF(((('MiT Strom Pipeline'!R30="offered")+('MiT Strom Pipeline'!R30="to be offered")+('MiT Strom Pipeline'!R30="on hold"))*('MiT Strom Pipeline'!B30&lt;&gt;""))&gt;0,IF('MiT Strom Pipeline'!D30="","",'MiT Strom Pipeline'!D30),"")</f>
        <v/>
      </c>
      <c r="E99" s="27">
        <f>IF(((('MiT Strom Pipeline'!R30="offered")+('MiT Strom Pipeline'!R30="to be offered")+('MiT Strom Pipeline'!R30="on hold"))*('MiT Strom Pipeline'!B30&lt;&gt;""))&gt;0,IF('MiT Strom Pipeline'!H30="","",'MiT Strom Pipeline'!H30),"")</f>
        <v/>
      </c>
      <c r="F99" s="27">
        <f>IF(((('MiT Strom Pipeline'!R30="offered")+('MiT Strom Pipeline'!R30="to be offered")+('MiT Strom Pipeline'!R30="on hold"))*('MiT Strom Pipeline'!B30&lt;&gt;""))&gt;0,IF('MiT Strom Pipeline'!E30="","",'MiT Strom Pipeline'!E30),"")</f>
        <v/>
      </c>
      <c r="G99" s="28">
        <f>IF(((('MiT Strom Pipeline'!R30="offered")+('MiT Strom Pipeline'!R30="to be offered")+('MiT Strom Pipeline'!R30="on hold"))*('MiT Strom Pipeline'!B30&lt;&gt;""))&gt;0,IF(ISNUMBER('MiT Strom Pipeline'!I30),'MiT Strom Pipeline'!I30,0),"")</f>
        <v/>
      </c>
      <c r="H99" s="28">
        <f>IF(((('MiT Strom Pipeline'!R30="offered")+('MiT Strom Pipeline'!R30="to be offered")+('MiT Strom Pipeline'!R30="on hold"))*('MiT Strom Pipeline'!B30&lt;&gt;""))&gt;0,IF(ISNUMBER('MiT Strom Pipeline'!Q30),'MiT Strom Pipeline'!Q30,0),"")</f>
        <v/>
      </c>
      <c r="I99" s="27">
        <f>IF(((('MiT Strom Pipeline'!R30="offered")+('MiT Strom Pipeline'!R30="to be offered")+('MiT Strom Pipeline'!R30="on hold"))*('MiT Strom Pipeline'!B30&lt;&gt;""))&gt;0,'MiT Strom Pipeline'!R30,"")</f>
        <v/>
      </c>
      <c r="J99" s="29">
        <f>IF(((('MiT Strom Pipeline'!R30="offered")+('MiT Strom Pipeline'!R30="to be offered")+('MiT Strom Pipeline'!R30="on hold"))*('MiT Strom Pipeline'!B30&lt;&gt;""))&gt;0,IF(ISNUMBER('MiT Strom Pipeline'!S30),'MiT Strom Pipeline'!S30,""),"")</f>
        <v/>
      </c>
      <c r="K99" s="27">
        <f>IF(((('MiT Strom Pipeline'!R30="offered")+('MiT Strom Pipeline'!R30="to be offered")+('MiT Strom Pipeline'!R30="on hold"))*('MiT Strom Pipeline'!B30&lt;&gt;""))&gt;0,IF(LEN('MiT Strom Pipeline'!V30)&gt;0,LEFT('MiT Strom Pipeline'!V30,55),""),"")</f>
        <v/>
      </c>
      <c r="L99" s="22" t="n"/>
      <c r="M99" s="22" t="n"/>
      <c r="N99" s="22" t="n"/>
      <c r="O99" s="22" t="n"/>
      <c r="P99" s="22" t="n"/>
      <c r="Q99" s="22" t="n"/>
      <c r="R99" s="22" t="n"/>
      <c r="S99" s="22" t="n"/>
    </row>
    <row r="100" ht="23.25" customHeight="1">
      <c r="A100" s="26">
        <f>IF(((('MiT Strom Pipeline'!R31="offered")+('MiT Strom Pipeline'!R31="to be offered")+('MiT Strom Pipeline'!R31="on hold"))*('MiT Strom Pipeline'!B31&lt;&gt;""))&gt;0,IF(ISNUMBER('MiT Strom Pipeline'!A31),'MiT Strom Pipeline'!A31,""),"")</f>
        <v/>
      </c>
      <c r="B100" s="27">
        <f>IF(((('MiT Strom Pipeline'!R31="offered")+('MiT Strom Pipeline'!R31="to be offered")+('MiT Strom Pipeline'!R31="on hold"))*('MiT Strom Pipeline'!B31&lt;&gt;""))&gt;0,IF('MiT Strom Pipeline'!B31="","",'MiT Strom Pipeline'!B31),"")</f>
        <v/>
      </c>
      <c r="C100" s="27">
        <f>IF(((('MiT Strom Pipeline'!R31="offered")+('MiT Strom Pipeline'!R31="to be offered")+('MiT Strom Pipeline'!R31="on hold"))*('MiT Strom Pipeline'!B31&lt;&gt;""))&gt;0,IF('MiT Strom Pipeline'!C31="","",'MiT Strom Pipeline'!C31),"")</f>
        <v/>
      </c>
      <c r="D100" s="27">
        <f>IF(((('MiT Strom Pipeline'!R31="offered")+('MiT Strom Pipeline'!R31="to be offered")+('MiT Strom Pipeline'!R31="on hold"))*('MiT Strom Pipeline'!B31&lt;&gt;""))&gt;0,IF('MiT Strom Pipeline'!D31="","",'MiT Strom Pipeline'!D31),"")</f>
        <v/>
      </c>
      <c r="E100" s="191">
        <f>IF(((('MiT Strom Pipeline'!R31="offered")+('MiT Strom Pipeline'!R31="to be offered")+('MiT Strom Pipeline'!R31="on hold"))*('MiT Strom Pipeline'!B31&lt;&gt;""))&gt;0,IF('MiT Strom Pipeline'!H31="","",'MiT Strom Pipeline'!H31),"")</f>
        <v/>
      </c>
      <c r="F100" s="27">
        <f>IF(((('MiT Strom Pipeline'!R31="offered")+('MiT Strom Pipeline'!R31="to be offered")+('MiT Strom Pipeline'!R31="on hold"))*('MiT Strom Pipeline'!B31&lt;&gt;""))&gt;0,IF('MiT Strom Pipeline'!E31="","",'MiT Strom Pipeline'!E31),"")</f>
        <v/>
      </c>
      <c r="G100" s="28">
        <f>IF(((('MiT Strom Pipeline'!R31="offered")+('MiT Strom Pipeline'!R31="to be offered")+('MiT Strom Pipeline'!R31="on hold"))*('MiT Strom Pipeline'!B31&lt;&gt;""))&gt;0,IF(ISNUMBER('MiT Strom Pipeline'!I31),'MiT Strom Pipeline'!I31,0),"")</f>
        <v/>
      </c>
      <c r="H100" s="28">
        <f>IF(((('MiT Strom Pipeline'!R31="offered")+('MiT Strom Pipeline'!R31="to be offered")+('MiT Strom Pipeline'!R31="on hold"))*('MiT Strom Pipeline'!B31&lt;&gt;""))&gt;0,IF(ISNUMBER('MiT Strom Pipeline'!Q31),'MiT Strom Pipeline'!Q31,0),"")</f>
        <v/>
      </c>
      <c r="I100" s="27">
        <f>IF(((('MiT Strom Pipeline'!R31="offered")+('MiT Strom Pipeline'!R31="to be offered")+('MiT Strom Pipeline'!R31="on hold"))*('MiT Strom Pipeline'!B31&lt;&gt;""))&gt;0,'MiT Strom Pipeline'!R31,"")</f>
        <v/>
      </c>
      <c r="J100" s="29">
        <f>IF(((('MiT Strom Pipeline'!R31="offered")+('MiT Strom Pipeline'!R31="to be offered")+('MiT Strom Pipeline'!R31="on hold"))*('MiT Strom Pipeline'!B31&lt;&gt;""))&gt;0,IF(ISNUMBER('MiT Strom Pipeline'!S31),'MiT Strom Pipeline'!S31,""),"")</f>
        <v/>
      </c>
      <c r="K100" s="31">
        <f>IF(((('MiT Strom Pipeline'!R31="offered")+('MiT Strom Pipeline'!R31="to be offered")+('MiT Strom Pipeline'!R31="on hold"))*('MiT Strom Pipeline'!B31&lt;&gt;""))&gt;0,IF(LEN('MiT Strom Pipeline'!V31)&gt;0,LEFT('MiT Strom Pipeline'!V31,55),""),"")</f>
        <v/>
      </c>
      <c r="L100" s="22" t="n"/>
      <c r="M100" s="22" t="n"/>
      <c r="N100" s="22" t="n"/>
      <c r="O100" s="22" t="n"/>
      <c r="P100" s="22" t="n"/>
      <c r="Q100" s="22" t="n"/>
      <c r="R100" s="22" t="n"/>
      <c r="S100" s="22" t="n"/>
    </row>
    <row r="101" ht="23.25" customHeight="1">
      <c r="A101" s="26">
        <f>IF(((('MiT Strom Pipeline'!R32="offered")+('MiT Strom Pipeline'!R32="to be offered")+('MiT Strom Pipeline'!R32="on hold"))*('MiT Strom Pipeline'!B32&lt;&gt;""))&gt;0,IF(ISNUMBER('MiT Strom Pipeline'!A32),'MiT Strom Pipeline'!A32,""),"")</f>
        <v/>
      </c>
      <c r="B101" s="27">
        <f>IF(((('MiT Strom Pipeline'!R32="offered")+('MiT Strom Pipeline'!R32="to be offered")+('MiT Strom Pipeline'!R32="on hold"))*('MiT Strom Pipeline'!B32&lt;&gt;""))&gt;0,IF('MiT Strom Pipeline'!B32="","",'MiT Strom Pipeline'!B32),"")</f>
        <v/>
      </c>
      <c r="C101" s="27">
        <f>IF(((('MiT Strom Pipeline'!R32="offered")+('MiT Strom Pipeline'!R32="to be offered")+('MiT Strom Pipeline'!R32="on hold"))*('MiT Strom Pipeline'!B32&lt;&gt;""))&gt;0,IF('MiT Strom Pipeline'!C32="","",'MiT Strom Pipeline'!C32),"")</f>
        <v/>
      </c>
      <c r="D101" s="27">
        <f>IF(((('MiT Strom Pipeline'!R32="offered")+('MiT Strom Pipeline'!R32="to be offered")+('MiT Strom Pipeline'!R32="on hold"))*('MiT Strom Pipeline'!B32&lt;&gt;""))&gt;0,IF('MiT Strom Pipeline'!D32="","",'MiT Strom Pipeline'!D32),"")</f>
        <v/>
      </c>
      <c r="E101" s="191">
        <f>IF(((('MiT Strom Pipeline'!R32="offered")+('MiT Strom Pipeline'!R32="to be offered")+('MiT Strom Pipeline'!R32="on hold"))*('MiT Strom Pipeline'!B32&lt;&gt;""))&gt;0,IF('MiT Strom Pipeline'!H32="","",'MiT Strom Pipeline'!H32),"")</f>
        <v/>
      </c>
      <c r="F101" s="27">
        <f>IF(((('MiT Strom Pipeline'!R32="offered")+('MiT Strom Pipeline'!R32="to be offered")+('MiT Strom Pipeline'!R32="on hold"))*('MiT Strom Pipeline'!B32&lt;&gt;""))&gt;0,IF('MiT Strom Pipeline'!E32="","",'MiT Strom Pipeline'!E32),"")</f>
        <v/>
      </c>
      <c r="G101" s="28">
        <f>IF(((('MiT Strom Pipeline'!R32="offered")+('MiT Strom Pipeline'!R32="to be offered")+('MiT Strom Pipeline'!R32="on hold"))*('MiT Strom Pipeline'!B32&lt;&gt;""))&gt;0,IF(ISNUMBER('MiT Strom Pipeline'!I32),'MiT Strom Pipeline'!I32,0),"")</f>
        <v/>
      </c>
      <c r="H101" s="28">
        <f>IF(((('MiT Strom Pipeline'!R32="offered")+('MiT Strom Pipeline'!R32="to be offered")+('MiT Strom Pipeline'!R32="on hold"))*('MiT Strom Pipeline'!B32&lt;&gt;""))&gt;0,IF(ISNUMBER('MiT Strom Pipeline'!Q32),'MiT Strom Pipeline'!Q32,0),"")</f>
        <v/>
      </c>
      <c r="I101" s="27">
        <f>IF(((('MiT Strom Pipeline'!R32="offered")+('MiT Strom Pipeline'!R32="to be offered")+('MiT Strom Pipeline'!R32="on hold"))*('MiT Strom Pipeline'!B32&lt;&gt;""))&gt;0,'MiT Strom Pipeline'!R32,"")</f>
        <v/>
      </c>
      <c r="J101" s="29">
        <f>IF(((('MiT Strom Pipeline'!R32="offered")+('MiT Strom Pipeline'!R32="to be offered")+('MiT Strom Pipeline'!R32="on hold"))*('MiT Strom Pipeline'!B32&lt;&gt;""))&gt;0,IF(ISNUMBER('MiT Strom Pipeline'!S32),'MiT Strom Pipeline'!S32,""),"")</f>
        <v/>
      </c>
      <c r="K101" s="31">
        <f>IF(((('MiT Strom Pipeline'!R32="offered")+('MiT Strom Pipeline'!R32="to be offered")+('MiT Strom Pipeline'!R32="on hold"))*('MiT Strom Pipeline'!B32&lt;&gt;""))&gt;0,IF(LEN('MiT Strom Pipeline'!V32)&gt;0,LEFT('MiT Strom Pipeline'!V32,55),""),"")</f>
        <v/>
      </c>
      <c r="L101" s="22" t="n"/>
      <c r="M101" s="22" t="n"/>
      <c r="N101" s="22" t="n"/>
      <c r="O101" s="22" t="n"/>
      <c r="P101" s="22" t="n"/>
      <c r="Q101" s="22" t="n"/>
      <c r="R101" s="22" t="n"/>
      <c r="S101" s="22" t="n"/>
    </row>
    <row r="102" ht="15" customHeight="1">
      <c r="A102" s="26">
        <f>IF(((('MiT Strom Pipeline'!R33="offered")+('MiT Strom Pipeline'!R33="to be offered")+('MiT Strom Pipeline'!R33="on hold"))*('MiT Strom Pipeline'!B33&lt;&gt;""))&gt;0,IF(ISNUMBER('MiT Strom Pipeline'!A33),'MiT Strom Pipeline'!A33,""),"")</f>
        <v>14</v>
      </c>
      <c r="B102" s="27" t="str">
        <f>IF(((('MiT Strom Pipeline'!R33="offered")+('MiT Strom Pipeline'!R33="to be offered")+('MiT Strom Pipeline'!R33="on hold"))*('MiT Strom Pipeline'!B33&lt;&gt;""))&gt;0,IF('MiT Strom Pipeline'!B33="","",'MiT Strom Pipeline'!B33),"")</f>
        <v>Trafag AG</v>
      </c>
      <c r="C102" s="27" t="str">
        <f>IF(((('MiT Strom Pipeline'!R33="offered")+('MiT Strom Pipeline'!R33="to be offered")+('MiT Strom Pipeline'!R33="on hold"))*('MiT Strom Pipeline'!B33&lt;&gt;""))&gt;0,IF('MiT Strom Pipeline'!C33="","",'MiT Strom Pipeline'!C33),"")</f>
        <v>ZH</v>
      </c>
      <c r="D102" s="27" t="str">
        <f>IF(((('MiT Strom Pipeline'!R33="offered")+('MiT Strom Pipeline'!R33="to be offered")+('MiT Strom Pipeline'!R33="on hold"))*('MiT Strom Pipeline'!B33&lt;&gt;""))&gt;0,IF('MiT Strom Pipeline'!D33="","",'MiT Strom Pipeline'!D33),"")</f>
        <v>Industrie / Messtechnik</v>
      </c>
      <c r="E102" s="27" t="str">
        <f>IF(((('MiT Strom Pipeline'!R33="offered")+('MiT Strom Pipeline'!R33="to be offered")+('MiT Strom Pipeline'!R33="on hold"))*('MiT Strom Pipeline'!B33&lt;&gt;""))&gt;0,IF('MiT Strom Pipeline'!H33="","",'MiT Strom Pipeline'!H33),"")</f>
        <v>tbd</v>
      </c>
      <c r="F102" s="27" t="str">
        <f>IF(((('MiT Strom Pipeline'!R33="offered")+('MiT Strom Pipeline'!R33="to be offered")+('MiT Strom Pipeline'!R33="on hold"))*('MiT Strom Pipeline'!B33&lt;&gt;""))&gt;0,IF('MiT Strom Pipeline'!E33="","",'MiT Strom Pipeline'!E33),"")</f>
        <v>450 kVA Generator</v>
      </c>
      <c r="G102" s="28">
        <f>IF(((('MiT Strom Pipeline'!R33="offered")+('MiT Strom Pipeline'!R33="to be offered")+('MiT Strom Pipeline'!R33="on hold"))*('MiT Strom Pipeline'!B33&lt;&gt;""))&gt;0,IF(ISNUMBER('MiT Strom Pipeline'!I33),'MiT Strom Pipeline'!I33,0),"")</f>
        <v>17300</v>
      </c>
      <c r="H102" s="28">
        <f>IF(((('MiT Strom Pipeline'!R33="offered")+('MiT Strom Pipeline'!R33="to be offered")+('MiT Strom Pipeline'!R33="on hold"))*('MiT Strom Pipeline'!B33&lt;&gt;""))&gt;0,IF(ISNUMBER('MiT Strom Pipeline'!Q33),'MiT Strom Pipeline'!Q33,0),"")</f>
        <v>8650</v>
      </c>
      <c r="I102" s="27" t="str">
        <f>IF(((('MiT Strom Pipeline'!R33="offered")+('MiT Strom Pipeline'!R33="to be offered")+('MiT Strom Pipeline'!R33="on hold"))*('MiT Strom Pipeline'!B33&lt;&gt;""))&gt;0,'MiT Strom Pipeline'!R33,"")</f>
        <v>offered</v>
      </c>
      <c r="J102" s="29">
        <f>IF(((('MiT Strom Pipeline'!R33="offered")+('MiT Strom Pipeline'!R33="to be offered")+('MiT Strom Pipeline'!R33="on hold"))*('MiT Strom Pipeline'!B33&lt;&gt;""))&gt;0,IF(ISNUMBER('MiT Strom Pipeline'!S33),'MiT Strom Pipeline'!S33,""),"")</f>
        <v>0.5</v>
      </c>
      <c r="K102" s="27" t="str">
        <f>IF(((('MiT Strom Pipeline'!R33="offered")+('MiT Strom Pipeline'!R33="to be offered")+('MiT Strom Pipeline'!R33="on hold"))*('MiT Strom Pipeline'!B33&lt;&gt;""))&gt;0,IF(LEN('MiT Strom Pipeline'!V33)&gt;0,LEFT('MiT Strom Pipeline'!V33,55),""),"")</f>
        <v>Angebot vorbereiten – PQ-Argument für Messtechnik, Stef</v>
      </c>
      <c r="L102" s="22" t="n"/>
      <c r="M102" s="22" t="n"/>
      <c r="N102" s="22" t="n"/>
      <c r="O102" s="22" t="n"/>
      <c r="P102" s="22" t="n"/>
      <c r="Q102" s="22" t="n"/>
      <c r="R102" s="22" t="n"/>
      <c r="S102" s="22" t="n"/>
    </row>
    <row r="103" ht="23.25" customHeight="1">
      <c r="A103" s="26">
        <f>IF(((('MiT Strom Pipeline'!R34="offered")+('MiT Strom Pipeline'!R34="to be offered")+('MiT Strom Pipeline'!R34="on hold"))*('MiT Strom Pipeline'!B34&lt;&gt;""))&gt;0,IF(ISNUMBER('MiT Strom Pipeline'!A34),'MiT Strom Pipeline'!A34,""),"")</f>
        <v/>
      </c>
      <c r="B103" s="27">
        <f>IF(((('MiT Strom Pipeline'!R34="offered")+('MiT Strom Pipeline'!R34="to be offered")+('MiT Strom Pipeline'!R34="on hold"))*('MiT Strom Pipeline'!B34&lt;&gt;""))&gt;0,IF('MiT Strom Pipeline'!B34="","",'MiT Strom Pipeline'!B34),"")</f>
        <v/>
      </c>
      <c r="C103" s="27">
        <f>IF(((('MiT Strom Pipeline'!R34="offered")+('MiT Strom Pipeline'!R34="to be offered")+('MiT Strom Pipeline'!R34="on hold"))*('MiT Strom Pipeline'!B34&lt;&gt;""))&gt;0,IF('MiT Strom Pipeline'!C34="","",'MiT Strom Pipeline'!C34),"")</f>
        <v/>
      </c>
      <c r="D103" s="27">
        <f>IF(((('MiT Strom Pipeline'!R34="offered")+('MiT Strom Pipeline'!R34="to be offered")+('MiT Strom Pipeline'!R34="on hold"))*('MiT Strom Pipeline'!B34&lt;&gt;""))&gt;0,IF('MiT Strom Pipeline'!D34="","",'MiT Strom Pipeline'!D34),"")</f>
        <v/>
      </c>
      <c r="E103" s="27">
        <f>IF(((('MiT Strom Pipeline'!R34="offered")+('MiT Strom Pipeline'!R34="to be offered")+('MiT Strom Pipeline'!R34="on hold"))*('MiT Strom Pipeline'!B34&lt;&gt;""))&gt;0,IF('MiT Strom Pipeline'!H34="","",'MiT Strom Pipeline'!H34),"")</f>
        <v/>
      </c>
      <c r="F103" s="27">
        <f>IF(((('MiT Strom Pipeline'!R34="offered")+('MiT Strom Pipeline'!R34="to be offered")+('MiT Strom Pipeline'!R34="on hold"))*('MiT Strom Pipeline'!B34&lt;&gt;""))&gt;0,IF('MiT Strom Pipeline'!E34="","",'MiT Strom Pipeline'!E34),"")</f>
        <v/>
      </c>
      <c r="G103" s="28">
        <f>IF(((('MiT Strom Pipeline'!R34="offered")+('MiT Strom Pipeline'!R34="to be offered")+('MiT Strom Pipeline'!R34="on hold"))*('MiT Strom Pipeline'!B34&lt;&gt;""))&gt;0,IF(ISNUMBER('MiT Strom Pipeline'!I34),'MiT Strom Pipeline'!I34,0),"")</f>
        <v/>
      </c>
      <c r="H103" s="28">
        <f>IF(((('MiT Strom Pipeline'!R34="offered")+('MiT Strom Pipeline'!R34="to be offered")+('MiT Strom Pipeline'!R34="on hold"))*('MiT Strom Pipeline'!B34&lt;&gt;""))&gt;0,IF(ISNUMBER('MiT Strom Pipeline'!Q34),'MiT Strom Pipeline'!Q34,0),"")</f>
        <v/>
      </c>
      <c r="I103" s="27">
        <f>IF(((('MiT Strom Pipeline'!R34="offered")+('MiT Strom Pipeline'!R34="to be offered")+('MiT Strom Pipeline'!R34="on hold"))*('MiT Strom Pipeline'!B34&lt;&gt;""))&gt;0,'MiT Strom Pipeline'!R34,"")</f>
        <v/>
      </c>
      <c r="J103" s="29">
        <f>IF(((('MiT Strom Pipeline'!R34="offered")+('MiT Strom Pipeline'!R34="to be offered")+('MiT Strom Pipeline'!R34="on hold"))*('MiT Strom Pipeline'!B34&lt;&gt;""))&gt;0,IF(ISNUMBER('MiT Strom Pipeline'!S34),'MiT Strom Pipeline'!S34,""),"")</f>
        <v/>
      </c>
      <c r="K103" s="31">
        <f>IF(((('MiT Strom Pipeline'!R34="offered")+('MiT Strom Pipeline'!R34="to be offered")+('MiT Strom Pipeline'!R34="on hold"))*('MiT Strom Pipeline'!B34&lt;&gt;""))&gt;0,IF(LEN('MiT Strom Pipeline'!V34)&gt;0,LEFT('MiT Strom Pipeline'!V34,55),""),"")</f>
        <v/>
      </c>
      <c r="L103" s="22" t="n"/>
      <c r="M103" s="22" t="n"/>
      <c r="N103" s="22" t="n"/>
      <c r="O103" s="22" t="n"/>
      <c r="P103" s="22" t="n"/>
      <c r="Q103" s="22" t="n"/>
      <c r="R103" s="22" t="n"/>
      <c r="S103" s="22" t="n"/>
    </row>
    <row r="104" ht="23.25" customHeight="1">
      <c r="A104" s="26">
        <f>IF(((('MiT Strom Pipeline'!R35="offered")+('MiT Strom Pipeline'!R35="to be offered")+('MiT Strom Pipeline'!R35="on hold"))*('MiT Strom Pipeline'!B35&lt;&gt;""))&gt;0,IF(ISNUMBER('MiT Strom Pipeline'!A35),'MiT Strom Pipeline'!A35,""),"")</f>
        <v>14</v>
      </c>
      <c r="B104" s="27" t="str">
        <f>IF(((('MiT Strom Pipeline'!R35="offered")+('MiT Strom Pipeline'!R35="to be offered")+('MiT Strom Pipeline'!R35="on hold"))*('MiT Strom Pipeline'!B35&lt;&gt;""))&gt;0,IF('MiT Strom Pipeline'!B35="","",'MiT Strom Pipeline'!B35),"")</f>
        <v>Trafag AG</v>
      </c>
      <c r="C104" s="27" t="str">
        <f>IF(((('MiT Strom Pipeline'!R35="offered")+('MiT Strom Pipeline'!R35="to be offered")+('MiT Strom Pipeline'!R35="on hold"))*('MiT Strom Pipeline'!B35&lt;&gt;""))&gt;0,IF('MiT Strom Pipeline'!C35="","",'MiT Strom Pipeline'!C35),"")</f>
        <v>ZH</v>
      </c>
      <c r="D104" s="27" t="str">
        <f>IF(((('MiT Strom Pipeline'!R35="offered")+('MiT Strom Pipeline'!R35="to be offered")+('MiT Strom Pipeline'!R35="on hold"))*('MiT Strom Pipeline'!B35&lt;&gt;""))&gt;0,IF('MiT Strom Pipeline'!D35="","",'MiT Strom Pipeline'!D35),"")</f>
        <v>Industrie / Messtechnik</v>
      </c>
      <c r="E104" s="27" t="str">
        <f>IF(((('MiT Strom Pipeline'!R35="offered")+('MiT Strom Pipeline'!R35="to be offered")+('MiT Strom Pipeline'!R35="on hold"))*('MiT Strom Pipeline'!B35&lt;&gt;""))&gt;0,IF('MiT Strom Pipeline'!H35="","",'MiT Strom Pipeline'!H35),"")</f>
        <v>tbd</v>
      </c>
      <c r="F104" s="27" t="str">
        <f>IF(((('MiT Strom Pipeline'!R35="offered")+('MiT Strom Pipeline'!R35="to be offered")+('MiT Strom Pipeline'!R35="on hold"))*('MiT Strom Pipeline'!B35&lt;&gt;""))&gt;0,IF('MiT Strom Pipeline'!E35="","",'MiT Strom Pipeline'!E35),"")</f>
        <v>BESS 500 kVA</v>
      </c>
      <c r="G104" s="28">
        <f>IF(((('MiT Strom Pipeline'!R35="offered")+('MiT Strom Pipeline'!R35="to be offered")+('MiT Strom Pipeline'!R35="on hold"))*('MiT Strom Pipeline'!B35&lt;&gt;""))&gt;0,IF(ISNUMBER('MiT Strom Pipeline'!I35),'MiT Strom Pipeline'!I35,0),"")</f>
        <v>21025</v>
      </c>
      <c r="H104" s="28">
        <f>IF(((('MiT Strom Pipeline'!R35="offered")+('MiT Strom Pipeline'!R35="to be offered")+('MiT Strom Pipeline'!R35="on hold"))*('MiT Strom Pipeline'!B35&lt;&gt;""))&gt;0,IF(ISNUMBER('MiT Strom Pipeline'!Q35),'MiT Strom Pipeline'!Q35,0),"")</f>
        <v>10512.5</v>
      </c>
      <c r="I104" s="27" t="str">
        <f>IF(((('MiT Strom Pipeline'!R35="offered")+('MiT Strom Pipeline'!R35="to be offered")+('MiT Strom Pipeline'!R35="on hold"))*('MiT Strom Pipeline'!B35&lt;&gt;""))&gt;0,'MiT Strom Pipeline'!R35,"")</f>
        <v>offered</v>
      </c>
      <c r="J104" s="29">
        <f>IF(((('MiT Strom Pipeline'!R35="offered")+('MiT Strom Pipeline'!R35="to be offered")+('MiT Strom Pipeline'!R35="on hold"))*('MiT Strom Pipeline'!B35&lt;&gt;""))&gt;0,IF(ISNUMBER('MiT Strom Pipeline'!S35),'MiT Strom Pipeline'!S35,""),"")</f>
        <v>0.5</v>
      </c>
      <c r="K104" s="31" t="str">
        <f>IF(((('MiT Strom Pipeline'!R35="offered")+('MiT Strom Pipeline'!R35="to be offered")+('MiT Strom Pipeline'!R35="on hold"))*('MiT Strom Pipeline'!B35&lt;&gt;""))&gt;0,IF(LEN('MiT Strom Pipeline'!V35)&gt;0,LEFT('MiT Strom Pipeline'!V35,55),""),"")</f>
        <v>Angebot vorbereiten – PQ-Argument für Messtechnik, Stef</v>
      </c>
      <c r="L104" s="22" t="n"/>
      <c r="M104" s="22" t="n"/>
      <c r="N104" s="22" t="n"/>
      <c r="O104" s="22" t="n"/>
      <c r="P104" s="22" t="n"/>
      <c r="Q104" s="22" t="n"/>
      <c r="R104" s="22" t="n"/>
      <c r="S104" s="22" t="n"/>
    </row>
    <row r="105" ht="23.25" customHeight="1">
      <c r="A105" s="26">
        <f>IF(((('MiT Strom Pipeline'!R36="offered")+('MiT Strom Pipeline'!R36="to be offered")+('MiT Strom Pipeline'!R36="on hold"))*('MiT Strom Pipeline'!B36&lt;&gt;""))&gt;0,IF(ISNUMBER('MiT Strom Pipeline'!A36),'MiT Strom Pipeline'!A36,""),"")</f>
        <v>14</v>
      </c>
      <c r="B105" s="27" t="str">
        <f>IF(((('MiT Strom Pipeline'!R36="offered")+('MiT Strom Pipeline'!R36="to be offered")+('MiT Strom Pipeline'!R36="on hold"))*('MiT Strom Pipeline'!B36&lt;&gt;""))&gt;0,IF('MiT Strom Pipeline'!B36="","",'MiT Strom Pipeline'!B36),"")</f>
        <v>Trafag AG</v>
      </c>
      <c r="C105" s="27" t="str">
        <f>IF(((('MiT Strom Pipeline'!R36="offered")+('MiT Strom Pipeline'!R36="to be offered")+('MiT Strom Pipeline'!R36="on hold"))*('MiT Strom Pipeline'!B36&lt;&gt;""))&gt;0,IF('MiT Strom Pipeline'!C36="","",'MiT Strom Pipeline'!C36),"")</f>
        <v>ZH</v>
      </c>
      <c r="D105" s="27" t="str">
        <f>IF(((('MiT Strom Pipeline'!R36="offered")+('MiT Strom Pipeline'!R36="to be offered")+('MiT Strom Pipeline'!R36="on hold"))*('MiT Strom Pipeline'!B36&lt;&gt;""))&gt;0,IF('MiT Strom Pipeline'!D36="","",'MiT Strom Pipeline'!D36),"")</f>
        <v>Industrie / Messtechnik</v>
      </c>
      <c r="E105" s="27" t="str">
        <f>IF(((('MiT Strom Pipeline'!R36="offered")+('MiT Strom Pipeline'!R36="to be offered")+('MiT Strom Pipeline'!R36="on hold"))*('MiT Strom Pipeline'!B36&lt;&gt;""))&gt;0,IF('MiT Strom Pipeline'!H36="","",'MiT Strom Pipeline'!H36),"")</f>
        <v>tbd</v>
      </c>
      <c r="F105" s="27" t="str">
        <f>IF(((('MiT Strom Pipeline'!R36="offered")+('MiT Strom Pipeline'!R36="to be offered")+('MiT Strom Pipeline'!R36="on hold"))*('MiT Strom Pipeline'!B36&lt;&gt;""))&gt;0,IF('MiT Strom Pipeline'!E36="","",'MiT Strom Pipeline'!E36),"")</f>
        <v>Kombi 450 kVA Generator / BESS 500 kVA</v>
      </c>
      <c r="G105" s="28">
        <f>IF(((('MiT Strom Pipeline'!R36="offered")+('MiT Strom Pipeline'!R36="to be offered")+('MiT Strom Pipeline'!R36="on hold"))*('MiT Strom Pipeline'!B36&lt;&gt;""))&gt;0,IF(ISNUMBER('MiT Strom Pipeline'!I36),'MiT Strom Pipeline'!I36,0),"")</f>
        <v>37444</v>
      </c>
      <c r="H105" s="28">
        <f>IF(((('MiT Strom Pipeline'!R36="offered")+('MiT Strom Pipeline'!R36="to be offered")+('MiT Strom Pipeline'!R36="on hold"))*('MiT Strom Pipeline'!B36&lt;&gt;""))&gt;0,IF(ISNUMBER('MiT Strom Pipeline'!Q36),'MiT Strom Pipeline'!Q36,0),"")</f>
        <v>18722</v>
      </c>
      <c r="I105" s="27" t="str">
        <f>IF(((('MiT Strom Pipeline'!R36="offered")+('MiT Strom Pipeline'!R36="to be offered")+('MiT Strom Pipeline'!R36="on hold"))*('MiT Strom Pipeline'!B36&lt;&gt;""))&gt;0,'MiT Strom Pipeline'!R36,"")</f>
        <v>offered</v>
      </c>
      <c r="J105" s="29">
        <f>IF(((('MiT Strom Pipeline'!R36="offered")+('MiT Strom Pipeline'!R36="to be offered")+('MiT Strom Pipeline'!R36="on hold"))*('MiT Strom Pipeline'!B36&lt;&gt;""))&gt;0,IF(ISNUMBER('MiT Strom Pipeline'!S36),'MiT Strom Pipeline'!S36,""),"")</f>
        <v>0.5</v>
      </c>
      <c r="K105" s="31" t="str">
        <f>IF(((('MiT Strom Pipeline'!R36="offered")+('MiT Strom Pipeline'!R36="to be offered")+('MiT Strom Pipeline'!R36="on hold"))*('MiT Strom Pipeline'!B36&lt;&gt;""))&gt;0,IF(LEN('MiT Strom Pipeline'!V36)&gt;0,LEFT('MiT Strom Pipeline'!V36,55),""),"")</f>
        <v>Angebot vorbereiten – PQ-Argument für Messtechnik, Stef</v>
      </c>
      <c r="L105" s="22" t="n"/>
      <c r="M105" s="22" t="n"/>
      <c r="N105" s="22" t="n"/>
      <c r="O105" s="22" t="n"/>
      <c r="P105" s="22" t="n"/>
      <c r="Q105" s="22" t="n"/>
      <c r="R105" s="22" t="n"/>
      <c r="S105" s="22" t="n"/>
    </row>
    <row r="106" ht="15" customHeight="1">
      <c r="A106" s="26">
        <f>IF(((('MiT Strom Pipeline'!R37="offered")+('MiT Strom Pipeline'!R37="to be offered")+('MiT Strom Pipeline'!R37="on hold"))*('MiT Strom Pipeline'!B37&lt;&gt;""))&gt;0,IF(ISNUMBER('MiT Strom Pipeline'!A37),'MiT Strom Pipeline'!A37,""),"")</f>
        <v>27</v>
      </c>
      <c r="B106" s="27" t="str">
        <f>IF(((('MiT Strom Pipeline'!R37="offered")+('MiT Strom Pipeline'!R37="to be offered")+('MiT Strom Pipeline'!R37="on hold"))*('MiT Strom Pipeline'!B37&lt;&gt;""))&gt;0,IF('MiT Strom Pipeline'!B37="","",'MiT Strom Pipeline'!B37),"")</f>
        <v>Rimus &amp; Sstrada</v>
      </c>
      <c r="C106" s="27" t="str">
        <f>IF(((('MiT Strom Pipeline'!R37="offered")+('MiT Strom Pipeline'!R37="to be offered")+('MiT Strom Pipeline'!R37="on hold"))*('MiT Strom Pipeline'!B37&lt;&gt;""))&gt;0,IF('MiT Strom Pipeline'!C37="","",'MiT Strom Pipeline'!C37),"")</f>
        <v>SH</v>
      </c>
      <c r="D106" s="27" t="str">
        <f>IF(((('MiT Strom Pipeline'!R37="offered")+('MiT Strom Pipeline'!R37="to be offered")+('MiT Strom Pipeline'!R37="on hold"))*('MiT Strom Pipeline'!B37&lt;&gt;""))&gt;0,IF('MiT Strom Pipeline'!D37="","",'MiT Strom Pipeline'!D37),"")</f>
        <v>Industrie</v>
      </c>
      <c r="E106" s="191" t="str">
        <f>IF(((('MiT Strom Pipeline'!R37="offered")+('MiT Strom Pipeline'!R37="to be offered")+('MiT Strom Pipeline'!R37="on hold"))*('MiT Strom Pipeline'!B37&lt;&gt;""))&gt;0,IF('MiT Strom Pipeline'!H37="","",'MiT Strom Pipeline'!H37),"")</f>
        <v>tbd</v>
      </c>
      <c r="F106" s="27" t="str">
        <f>IF(((('MiT Strom Pipeline'!R37="offered")+('MiT Strom Pipeline'!R37="to be offered")+('MiT Strom Pipeline'!R37="on hold"))*('MiT Strom Pipeline'!B37&lt;&gt;""))&gt;0,IF('MiT Strom Pipeline'!E37="","",'MiT Strom Pipeline'!E37),"")</f>
        <v>500 kWh Small BESS</v>
      </c>
      <c r="G106" s="28">
        <f>IF(((('MiT Strom Pipeline'!R37="offered")+('MiT Strom Pipeline'!R37="to be offered")+('MiT Strom Pipeline'!R37="on hold"))*('MiT Strom Pipeline'!B37&lt;&gt;""))&gt;0,IF(ISNUMBER('MiT Strom Pipeline'!I37),'MiT Strom Pipeline'!I37,0),"")</f>
        <v>425955</v>
      </c>
      <c r="H106" s="28">
        <f>IF(((('MiT Strom Pipeline'!R37="offered")+('MiT Strom Pipeline'!R37="to be offered")+('MiT Strom Pipeline'!R37="on hold"))*('MiT Strom Pipeline'!B37&lt;&gt;""))&gt;0,IF(ISNUMBER('MiT Strom Pipeline'!Q37),'MiT Strom Pipeline'!Q37,0),"")</f>
        <v>212977.5</v>
      </c>
      <c r="I106" s="27" t="str">
        <f>IF(((('MiT Strom Pipeline'!R37="offered")+('MiT Strom Pipeline'!R37="to be offered")+('MiT Strom Pipeline'!R37="on hold"))*('MiT Strom Pipeline'!B37&lt;&gt;""))&gt;0,'MiT Strom Pipeline'!R37,"")</f>
        <v>offered</v>
      </c>
      <c r="J106" s="29">
        <f>IF(((('MiT Strom Pipeline'!R37="offered")+('MiT Strom Pipeline'!R37="to be offered")+('MiT Strom Pipeline'!R37="on hold"))*('MiT Strom Pipeline'!B37&lt;&gt;""))&gt;0,IF(ISNUMBER('MiT Strom Pipeline'!S37),'MiT Strom Pipeline'!S37,""),"")</f>
        <v>0.5</v>
      </c>
      <c r="K106" s="27" t="str">
        <f>IF(((('MiT Strom Pipeline'!R37="offered")+('MiT Strom Pipeline'!R37="to be offered")+('MiT Strom Pipeline'!R37="on hold"))*('MiT Strom Pipeline'!B37&lt;&gt;""))&gt;0,IF(LEN('MiT Strom Pipeline'!V37)&gt;0,LEFT('MiT Strom Pipeline'!V37,55),""),"")</f>
        <v>Kunde Telefon Kontaktiert und Vor Ort 
Besichtigung und</v>
      </c>
      <c r="L106" s="22" t="n"/>
      <c r="M106" s="22" t="n"/>
      <c r="N106" s="22" t="n"/>
      <c r="O106" s="22" t="n"/>
      <c r="P106" s="22" t="n"/>
      <c r="Q106" s="22" t="n"/>
      <c r="R106" s="22" t="n"/>
      <c r="S106" s="22" t="n"/>
    </row>
    <row r="107" ht="15.75" customHeight="1">
      <c r="A107" s="26">
        <f>IF(((('MiT Strom Pipeline'!R38="offered")+('MiT Strom Pipeline'!R38="to be offered")+('MiT Strom Pipeline'!R38="on hold"))*('MiT Strom Pipeline'!B38&lt;&gt;""))&gt;0,IF(ISNUMBER('MiT Strom Pipeline'!A38),'MiT Strom Pipeline'!A38,""),"")</f>
        <v>27</v>
      </c>
      <c r="B107" s="27" t="str">
        <f>IF(((('MiT Strom Pipeline'!R38="offered")+('MiT Strom Pipeline'!R38="to be offered")+('MiT Strom Pipeline'!R38="on hold"))*('MiT Strom Pipeline'!B38&lt;&gt;""))&gt;0,IF('MiT Strom Pipeline'!B38="","",'MiT Strom Pipeline'!B38),"")</f>
        <v>Rimus &amp; Sstrada</v>
      </c>
      <c r="C107" s="27" t="str">
        <f>IF(((('MiT Strom Pipeline'!R38="offered")+('MiT Strom Pipeline'!R38="to be offered")+('MiT Strom Pipeline'!R38="on hold"))*('MiT Strom Pipeline'!B38&lt;&gt;""))&gt;0,IF('MiT Strom Pipeline'!C38="","",'MiT Strom Pipeline'!C38),"")</f>
        <v>SH</v>
      </c>
      <c r="D107" s="27" t="str">
        <f>IF(((('MiT Strom Pipeline'!R38="offered")+('MiT Strom Pipeline'!R38="to be offered")+('MiT Strom Pipeline'!R38="on hold"))*('MiT Strom Pipeline'!B38&lt;&gt;""))&gt;0,IF('MiT Strom Pipeline'!D38="","",'MiT Strom Pipeline'!D38),"")</f>
        <v>Industrie</v>
      </c>
      <c r="E107" s="27" t="str">
        <f>IF(((('MiT Strom Pipeline'!R38="offered")+('MiT Strom Pipeline'!R38="to be offered")+('MiT Strom Pipeline'!R38="on hold"))*('MiT Strom Pipeline'!B38&lt;&gt;""))&gt;0,IF('MiT Strom Pipeline'!H38="","",'MiT Strom Pipeline'!H38),"")</f>
        <v>tbd</v>
      </c>
      <c r="F107" s="27" t="str">
        <f>IF(((('MiT Strom Pipeline'!R38="offered")+('MiT Strom Pipeline'!R38="to be offered")+('MiT Strom Pipeline'!R38="on hold"))*('MiT Strom Pipeline'!B38&lt;&gt;""))&gt;0,IF('MiT Strom Pipeline'!E38="","",'MiT Strom Pipeline'!E38),"")</f>
        <v>1 MWh Medium BESS</v>
      </c>
      <c r="G107" s="28">
        <f>IF(((('MiT Strom Pipeline'!R38="offered")+('MiT Strom Pipeline'!R38="to be offered")+('MiT Strom Pipeline'!R38="on hold"))*('MiT Strom Pipeline'!B38&lt;&gt;""))&gt;0,IF(ISNUMBER('MiT Strom Pipeline'!I38),'MiT Strom Pipeline'!I38,0),"")</f>
        <v>891330</v>
      </c>
      <c r="H107" s="28">
        <f>IF(((('MiT Strom Pipeline'!R38="offered")+('MiT Strom Pipeline'!R38="to be offered")+('MiT Strom Pipeline'!R38="on hold"))*('MiT Strom Pipeline'!B38&lt;&gt;""))&gt;0,IF(ISNUMBER('MiT Strom Pipeline'!Q38),'MiT Strom Pipeline'!Q38,0),"")</f>
        <v>445665</v>
      </c>
      <c r="I107" s="27" t="str">
        <f>IF(((('MiT Strom Pipeline'!R38="offered")+('MiT Strom Pipeline'!R38="to be offered")+('MiT Strom Pipeline'!R38="on hold"))*('MiT Strom Pipeline'!B38&lt;&gt;""))&gt;0,'MiT Strom Pipeline'!R38,"")</f>
        <v>offered</v>
      </c>
      <c r="J107" s="29">
        <f>IF(((('MiT Strom Pipeline'!R38="offered")+('MiT Strom Pipeline'!R38="to be offered")+('MiT Strom Pipeline'!R38="on hold"))*('MiT Strom Pipeline'!B38&lt;&gt;""))&gt;0,IF(ISNUMBER('MiT Strom Pipeline'!S38),'MiT Strom Pipeline'!S38,""),"")</f>
        <v>0.5</v>
      </c>
      <c r="K107" s="27" t="str">
        <f>IF(((('MiT Strom Pipeline'!R38="offered")+('MiT Strom Pipeline'!R38="to be offered")+('MiT Strom Pipeline'!R38="on hold"))*('MiT Strom Pipeline'!B38&lt;&gt;""))&gt;0,IF(LEN('MiT Strom Pipeline'!V38)&gt;0,LEFT('MiT Strom Pipeline'!V38,55),""),"")</f>
        <v>Kunde Telefon Kontaktiert und Vor Ort 
Besichtigung und</v>
      </c>
      <c r="L107" s="22" t="n"/>
      <c r="M107" s="22" t="n"/>
      <c r="N107" s="22" t="n"/>
      <c r="O107" s="22" t="n"/>
      <c r="P107" s="22" t="n"/>
      <c r="Q107" s="22" t="n"/>
      <c r="R107" s="22" t="n"/>
      <c r="S107" s="22" t="n"/>
    </row>
    <row r="108" ht="15.75" customHeight="1">
      <c r="A108" s="26">
        <f>IF(((('MiT Strom Pipeline'!R39="offered")+('MiT Strom Pipeline'!R39="to be offered")+('MiT Strom Pipeline'!R39="on hold"))*('MiT Strom Pipeline'!B39&lt;&gt;""))&gt;0,IF(ISNUMBER('MiT Strom Pipeline'!A39),'MiT Strom Pipeline'!A39,""),"")</f>
        <v>27</v>
      </c>
      <c r="B108" s="27" t="str">
        <f>IF(((('MiT Strom Pipeline'!R39="offered")+('MiT Strom Pipeline'!R39="to be offered")+('MiT Strom Pipeline'!R39="on hold"))*('MiT Strom Pipeline'!B39&lt;&gt;""))&gt;0,IF('MiT Strom Pipeline'!B39="","",'MiT Strom Pipeline'!B39),"")</f>
        <v>Rimus &amp; Sstrada</v>
      </c>
      <c r="C108" s="27" t="str">
        <f>IF(((('MiT Strom Pipeline'!R39="offered")+('MiT Strom Pipeline'!R39="to be offered")+('MiT Strom Pipeline'!R39="on hold"))*('MiT Strom Pipeline'!B39&lt;&gt;""))&gt;0,IF('MiT Strom Pipeline'!C39="","",'MiT Strom Pipeline'!C39),"")</f>
        <v>SH</v>
      </c>
      <c r="D108" s="27" t="str">
        <f>IF(((('MiT Strom Pipeline'!R39="offered")+('MiT Strom Pipeline'!R39="to be offered")+('MiT Strom Pipeline'!R39="on hold"))*('MiT Strom Pipeline'!B39&lt;&gt;""))&gt;0,IF('MiT Strom Pipeline'!D39="","",'MiT Strom Pipeline'!D39),"")</f>
        <v>Industrie</v>
      </c>
      <c r="E108" s="27" t="str">
        <f>IF(((('MiT Strom Pipeline'!R39="offered")+('MiT Strom Pipeline'!R39="to be offered")+('MiT Strom Pipeline'!R39="on hold"))*('MiT Strom Pipeline'!B39&lt;&gt;""))&gt;0,IF('MiT Strom Pipeline'!H39="","",'MiT Strom Pipeline'!H39),"")</f>
        <v>tbd</v>
      </c>
      <c r="F108" s="27" t="str">
        <f>IF(((('MiT Strom Pipeline'!R39="offered")+('MiT Strom Pipeline'!R39="to be offered")+('MiT Strom Pipeline'!R39="on hold"))*('MiT Strom Pipeline'!B39&lt;&gt;""))&gt;0,IF('MiT Strom Pipeline'!E39="","",'MiT Strom Pipeline'!E39),"")</f>
        <v>1,5 MWh Large BESS</v>
      </c>
      <c r="G108" s="28">
        <f>IF(((('MiT Strom Pipeline'!R39="offered")+('MiT Strom Pipeline'!R39="to be offered")+('MiT Strom Pipeline'!R39="on hold"))*('MiT Strom Pipeline'!B39&lt;&gt;""))&gt;0,IF(ISNUMBER('MiT Strom Pipeline'!I39),'MiT Strom Pipeline'!I39,0),"")</f>
        <v>1307430</v>
      </c>
      <c r="H108" s="28">
        <f>IF(((('MiT Strom Pipeline'!R39="offered")+('MiT Strom Pipeline'!R39="to be offered")+('MiT Strom Pipeline'!R39="on hold"))*('MiT Strom Pipeline'!B39&lt;&gt;""))&gt;0,IF(ISNUMBER('MiT Strom Pipeline'!Q39),'MiT Strom Pipeline'!Q39,0),"")</f>
        <v>653715</v>
      </c>
      <c r="I108" s="27" t="str">
        <f>IF(((('MiT Strom Pipeline'!R39="offered")+('MiT Strom Pipeline'!R39="to be offered")+('MiT Strom Pipeline'!R39="on hold"))*('MiT Strom Pipeline'!B39&lt;&gt;""))&gt;0,'MiT Strom Pipeline'!R39,"")</f>
        <v>offered</v>
      </c>
      <c r="J108" s="29">
        <f>IF(((('MiT Strom Pipeline'!R39="offered")+('MiT Strom Pipeline'!R39="to be offered")+('MiT Strom Pipeline'!R39="on hold"))*('MiT Strom Pipeline'!B39&lt;&gt;""))&gt;0,IF(ISNUMBER('MiT Strom Pipeline'!S39),'MiT Strom Pipeline'!S39,""),"")</f>
        <v>0.5</v>
      </c>
      <c r="K108" s="27" t="str">
        <f>IF(((('MiT Strom Pipeline'!R39="offered")+('MiT Strom Pipeline'!R39="to be offered")+('MiT Strom Pipeline'!R39="on hold"))*('MiT Strom Pipeline'!B39&lt;&gt;""))&gt;0,IF(LEN('MiT Strom Pipeline'!V39)&gt;0,LEFT('MiT Strom Pipeline'!V39,55),""),"")</f>
        <v>Kunde Telefon Kontaktiert und Vor Ort 
Besichtigung und</v>
      </c>
      <c r="L108" s="22" t="n"/>
      <c r="M108" s="22" t="n"/>
      <c r="N108" s="22" t="n"/>
      <c r="O108" s="22" t="n"/>
      <c r="P108" s="22" t="n"/>
      <c r="Q108" s="22" t="n"/>
      <c r="R108" s="22" t="n"/>
      <c r="S108" s="22" t="n"/>
    </row>
    <row r="109" ht="15.75" customHeight="1">
      <c r="A109" s="26">
        <f>IF(((('MiT Strom Pipeline'!R40="offered")+('MiT Strom Pipeline'!R40="to be offered")+('MiT Strom Pipeline'!R40="on hold"))*('MiT Strom Pipeline'!B40&lt;&gt;""))&gt;0,IF(ISNUMBER('MiT Strom Pipeline'!A40),'MiT Strom Pipeline'!A40,""),"")</f>
        <v>34</v>
      </c>
      <c r="B109" s="27" t="str">
        <f>IF(((('MiT Strom Pipeline'!R40="offered")+('MiT Strom Pipeline'!R40="to be offered")+('MiT Strom Pipeline'!R40="on hold"))*('MiT Strom Pipeline'!B40&lt;&gt;""))&gt;0,IF('MiT Strom Pipeline'!B40="","",'MiT Strom Pipeline'!B40),"")</f>
        <v>Creabeton</v>
      </c>
      <c r="C109" s="27" t="str">
        <f>IF(((('MiT Strom Pipeline'!R40="offered")+('MiT Strom Pipeline'!R40="to be offered")+('MiT Strom Pipeline'!R40="on hold"))*('MiT Strom Pipeline'!B40&lt;&gt;""))&gt;0,IF('MiT Strom Pipeline'!C40="","",'MiT Strom Pipeline'!C40),"")</f>
        <v>BE</v>
      </c>
      <c r="D109" s="27" t="str">
        <f>IF(((('MiT Strom Pipeline'!R40="offered")+('MiT Strom Pipeline'!R40="to be offered")+('MiT Strom Pipeline'!R40="on hold"))*('MiT Strom Pipeline'!B40&lt;&gt;""))&gt;0,IF('MiT Strom Pipeline'!D40="","",'MiT Strom Pipeline'!D40),"")</f>
        <v>Infrastruktur / Bau</v>
      </c>
      <c r="E109" s="27" t="str">
        <f>IF(((('MiT Strom Pipeline'!R40="offered")+('MiT Strom Pipeline'!R40="to be offered")+('MiT Strom Pipeline'!R40="on hold"))*('MiT Strom Pipeline'!B40&lt;&gt;""))&gt;0,IF('MiT Strom Pipeline'!H40="","",'MiT Strom Pipeline'!H40),"")</f>
        <v>Juli</v>
      </c>
      <c r="F109" s="27" t="str">
        <f>IF(((('MiT Strom Pipeline'!R40="offered")+('MiT Strom Pipeline'!R40="to be offered")+('MiT Strom Pipeline'!R40="on hold"))*('MiT Strom Pipeline'!B40&lt;&gt;""))&gt;0,IF('MiT Strom Pipeline'!E40="","",'MiT Strom Pipeline'!E40),"")</f>
        <v>100 kVA Generator</v>
      </c>
      <c r="G109" s="28">
        <f>IF(((('MiT Strom Pipeline'!R40="offered")+('MiT Strom Pipeline'!R40="to be offered")+('MiT Strom Pipeline'!R40="on hold"))*('MiT Strom Pipeline'!B40&lt;&gt;""))&gt;0,IF(ISNUMBER('MiT Strom Pipeline'!I40),'MiT Strom Pipeline'!I40,0),"")</f>
        <v>3232.41</v>
      </c>
      <c r="H109" s="28">
        <f>IF(((('MiT Strom Pipeline'!R40="offered")+('MiT Strom Pipeline'!R40="to be offered")+('MiT Strom Pipeline'!R40="on hold"))*('MiT Strom Pipeline'!B40&lt;&gt;""))&gt;0,IF(ISNUMBER('MiT Strom Pipeline'!Q40),'MiT Strom Pipeline'!Q40,0),"")</f>
        <v>1616.205</v>
      </c>
      <c r="I109" s="27" t="str">
        <f>IF(((('MiT Strom Pipeline'!R40="offered")+('MiT Strom Pipeline'!R40="to be offered")+('MiT Strom Pipeline'!R40="on hold"))*('MiT Strom Pipeline'!B40&lt;&gt;""))&gt;0,'MiT Strom Pipeline'!R40,"")</f>
        <v>offered</v>
      </c>
      <c r="J109" s="29">
        <f>IF(((('MiT Strom Pipeline'!R40="offered")+('MiT Strom Pipeline'!R40="to be offered")+('MiT Strom Pipeline'!R40="on hold"))*('MiT Strom Pipeline'!B40&lt;&gt;""))&gt;0,IF(ISNUMBER('MiT Strom Pipeline'!S40),'MiT Strom Pipeline'!S40,""),"")</f>
        <v>0.5</v>
      </c>
      <c r="K109" s="27" t="str">
        <f>IF(((('MiT Strom Pipeline'!R40="offered")+('MiT Strom Pipeline'!R40="to be offered")+('MiT Strom Pipeline'!R40="on hold"))*('MiT Strom Pipeline'!B40&lt;&gt;""))&gt;0,IF(LEN('MiT Strom Pipeline'!V40)&gt;0,LEFT('MiT Strom Pipeline'!V40,55),""),"")</f>
        <v>Kunde angeschrieben, Warten auf Rückmeldung</v>
      </c>
      <c r="L109" s="22" t="n"/>
      <c r="M109" s="22" t="n"/>
      <c r="N109" s="22" t="n"/>
      <c r="O109" s="22" t="n"/>
      <c r="P109" s="22" t="n"/>
      <c r="Q109" s="22" t="n"/>
      <c r="R109" s="22" t="n"/>
      <c r="S109" s="22" t="n"/>
    </row>
    <row r="110" ht="15.75" customHeight="1">
      <c r="A110" s="26">
        <f>IF(((('MiT Strom Pipeline'!R41="offered")+('MiT Strom Pipeline'!R41="to be offered")+('MiT Strom Pipeline'!R41="on hold"))*('MiT Strom Pipeline'!B41&lt;&gt;""))&gt;0,IF(ISNUMBER('MiT Strom Pipeline'!A41),'MiT Strom Pipeline'!A41,""),"")</f>
        <v/>
      </c>
      <c r="B110" s="27">
        <f>IF(((('MiT Strom Pipeline'!R41="offered")+('MiT Strom Pipeline'!R41="to be offered")+('MiT Strom Pipeline'!R41="on hold"))*('MiT Strom Pipeline'!B41&lt;&gt;""))&gt;0,IF('MiT Strom Pipeline'!B41="","",'MiT Strom Pipeline'!B41),"")</f>
        <v/>
      </c>
      <c r="C110" s="27">
        <f>IF(((('MiT Strom Pipeline'!R41="offered")+('MiT Strom Pipeline'!R41="to be offered")+('MiT Strom Pipeline'!R41="on hold"))*('MiT Strom Pipeline'!B41&lt;&gt;""))&gt;0,IF('MiT Strom Pipeline'!C41="","",'MiT Strom Pipeline'!C41),"")</f>
        <v/>
      </c>
      <c r="D110" s="27">
        <f>IF(((('MiT Strom Pipeline'!R41="offered")+('MiT Strom Pipeline'!R41="to be offered")+('MiT Strom Pipeline'!R41="on hold"))*('MiT Strom Pipeline'!B41&lt;&gt;""))&gt;0,IF('MiT Strom Pipeline'!D41="","",'MiT Strom Pipeline'!D41),"")</f>
        <v/>
      </c>
      <c r="E110" s="27">
        <f>IF(((('MiT Strom Pipeline'!R41="offered")+('MiT Strom Pipeline'!R41="to be offered")+('MiT Strom Pipeline'!R41="on hold"))*('MiT Strom Pipeline'!B41&lt;&gt;""))&gt;0,IF('MiT Strom Pipeline'!H41="","",'MiT Strom Pipeline'!H41),"")</f>
        <v/>
      </c>
      <c r="F110" s="27">
        <f>IF(((('MiT Strom Pipeline'!R41="offered")+('MiT Strom Pipeline'!R41="to be offered")+('MiT Strom Pipeline'!R41="on hold"))*('MiT Strom Pipeline'!B41&lt;&gt;""))&gt;0,IF('MiT Strom Pipeline'!E41="","",'MiT Strom Pipeline'!E41),"")</f>
        <v/>
      </c>
      <c r="G110" s="28">
        <f>IF(((('MiT Strom Pipeline'!R41="offered")+('MiT Strom Pipeline'!R41="to be offered")+('MiT Strom Pipeline'!R41="on hold"))*('MiT Strom Pipeline'!B41&lt;&gt;""))&gt;0,IF(ISNUMBER('MiT Strom Pipeline'!I41),'MiT Strom Pipeline'!I41,0),"")</f>
        <v/>
      </c>
      <c r="H110" s="28">
        <f>IF(((('MiT Strom Pipeline'!R41="offered")+('MiT Strom Pipeline'!R41="to be offered")+('MiT Strom Pipeline'!R41="on hold"))*('MiT Strom Pipeline'!B41&lt;&gt;""))&gt;0,IF(ISNUMBER('MiT Strom Pipeline'!Q41),'MiT Strom Pipeline'!Q41,0),"")</f>
        <v/>
      </c>
      <c r="I110" s="27">
        <f>IF(((('MiT Strom Pipeline'!R41="offered")+('MiT Strom Pipeline'!R41="to be offered")+('MiT Strom Pipeline'!R41="on hold"))*('MiT Strom Pipeline'!B41&lt;&gt;""))&gt;0,'MiT Strom Pipeline'!R41,"")</f>
        <v/>
      </c>
      <c r="J110" s="29">
        <f>IF(((('MiT Strom Pipeline'!R41="offered")+('MiT Strom Pipeline'!R41="to be offered")+('MiT Strom Pipeline'!R41="on hold"))*('MiT Strom Pipeline'!B41&lt;&gt;""))&gt;0,IF(ISNUMBER('MiT Strom Pipeline'!S41),'MiT Strom Pipeline'!S41,""),"")</f>
        <v/>
      </c>
      <c r="K110" s="27">
        <f>IF(((('MiT Strom Pipeline'!R41="offered")+('MiT Strom Pipeline'!R41="to be offered")+('MiT Strom Pipeline'!R41="on hold"))*('MiT Strom Pipeline'!B41&lt;&gt;""))&gt;0,IF(LEN('MiT Strom Pipeline'!V41)&gt;0,LEFT('MiT Strom Pipeline'!V41,55),""),"")</f>
        <v/>
      </c>
      <c r="L110" s="22" t="n"/>
      <c r="M110" s="22" t="n"/>
      <c r="N110" s="22" t="n"/>
      <c r="O110" s="22" t="n"/>
      <c r="P110" s="22" t="n"/>
      <c r="Q110" s="22" t="n"/>
      <c r="R110" s="22" t="n"/>
      <c r="S110" s="22" t="n"/>
    </row>
    <row r="111" ht="15.75" customHeight="1">
      <c r="A111" s="26">
        <f>IF(((('MiT Strom Pipeline'!R42="offered")+('MiT Strom Pipeline'!R42="to be offered")+('MiT Strom Pipeline'!R42="on hold"))*('MiT Strom Pipeline'!B42&lt;&gt;""))&gt;0,IF(ISNUMBER('MiT Strom Pipeline'!A42),'MiT Strom Pipeline'!A42,""),"")</f>
        <v>38</v>
      </c>
      <c r="B111" s="27" t="str">
        <f>IF(((('MiT Strom Pipeline'!R42="offered")+('MiT Strom Pipeline'!R42="to be offered")+('MiT Strom Pipeline'!R42="on hold"))*('MiT Strom Pipeline'!B42&lt;&gt;""))&gt;0,IF('MiT Strom Pipeline'!B42="","",'MiT Strom Pipeline'!B42),"")</f>
        <v>Linde Gas Schweiz AG</v>
      </c>
      <c r="C111" s="27" t="str">
        <f>IF(((('MiT Strom Pipeline'!R42="offered")+('MiT Strom Pipeline'!R42="to be offered")+('MiT Strom Pipeline'!R42="on hold"))*('MiT Strom Pipeline'!B42&lt;&gt;""))&gt;0,IF('MiT Strom Pipeline'!C42="","",'MiT Strom Pipeline'!C42),"")</f>
        <v>LU</v>
      </c>
      <c r="D111" s="27" t="str">
        <f>IF(((('MiT Strom Pipeline'!R42="offered")+('MiT Strom Pipeline'!R42="to be offered")+('MiT Strom Pipeline'!R42="on hold"))*('MiT Strom Pipeline'!B42&lt;&gt;""))&gt;0,IF('MiT Strom Pipeline'!D42="","",'MiT Strom Pipeline'!D42),"")</f>
        <v>Industrie</v>
      </c>
      <c r="E111" s="192" t="str">
        <f>IF(((('MiT Strom Pipeline'!R42="offered")+('MiT Strom Pipeline'!R42="to be offered")+('MiT Strom Pipeline'!R42="on hold"))*('MiT Strom Pipeline'!B42&lt;&gt;""))&gt;0,IF('MiT Strom Pipeline'!H42="","",'MiT Strom Pipeline'!H42),"")</f>
        <v>Jan</v>
      </c>
      <c r="F111" s="27" t="str">
        <f>IF(((('MiT Strom Pipeline'!R42="offered")+('MiT Strom Pipeline'!R42="to be offered")+('MiT Strom Pipeline'!R42="on hold"))*('MiT Strom Pipeline'!B42&lt;&gt;""))&gt;0,IF('MiT Strom Pipeline'!E42="","",'MiT Strom Pipeline'!E42),"")</f>
        <v>60 kVA Generator</v>
      </c>
      <c r="G111" s="28">
        <f>IF(((('MiT Strom Pipeline'!R42="offered")+('MiT Strom Pipeline'!R42="to be offered")+('MiT Strom Pipeline'!R42="on hold"))*('MiT Strom Pipeline'!B42&lt;&gt;""))&gt;0,IF(ISNUMBER('MiT Strom Pipeline'!I42),'MiT Strom Pipeline'!I42,0),"")</f>
        <v>3686.2</v>
      </c>
      <c r="H111" s="28">
        <f>IF(((('MiT Strom Pipeline'!R42="offered")+('MiT Strom Pipeline'!R42="to be offered")+('MiT Strom Pipeline'!R42="on hold"))*('MiT Strom Pipeline'!B42&lt;&gt;""))&gt;0,IF(ISNUMBER('MiT Strom Pipeline'!Q42),'MiT Strom Pipeline'!Q42,0),"")</f>
        <v>1843.1</v>
      </c>
      <c r="I111" s="27" t="str">
        <f>IF(((('MiT Strom Pipeline'!R42="offered")+('MiT Strom Pipeline'!R42="to be offered")+('MiT Strom Pipeline'!R42="on hold"))*('MiT Strom Pipeline'!B42&lt;&gt;""))&gt;0,'MiT Strom Pipeline'!R42,"")</f>
        <v>offered</v>
      </c>
      <c r="J111" s="29">
        <f>IF(((('MiT Strom Pipeline'!R42="offered")+('MiT Strom Pipeline'!R42="to be offered")+('MiT Strom Pipeline'!R42="on hold"))*('MiT Strom Pipeline'!B42&lt;&gt;""))&gt;0,IF(ISNUMBER('MiT Strom Pipeline'!S42),'MiT Strom Pipeline'!S42,""),"")</f>
        <v>0.5</v>
      </c>
      <c r="K111" s="27">
        <f>IF(((('MiT Strom Pipeline'!R42="offered")+('MiT Strom Pipeline'!R42="to be offered")+('MiT Strom Pipeline'!R42="on hold"))*('MiT Strom Pipeline'!B42&lt;&gt;""))&gt;0,IF(LEN('MiT Strom Pipeline'!V42)&gt;0,LEFT('MiT Strom Pipeline'!V42,55),""),"")</f>
        <v/>
      </c>
      <c r="L111" s="22" t="n"/>
      <c r="M111" s="22" t="n"/>
      <c r="N111" s="22" t="n"/>
      <c r="O111" s="22" t="n"/>
      <c r="P111" s="22" t="n"/>
      <c r="Q111" s="22" t="n"/>
      <c r="R111" s="22" t="n"/>
      <c r="S111" s="22" t="n"/>
    </row>
    <row r="112" ht="15.75" customHeight="1">
      <c r="A112" s="26">
        <f>IF(((('MiT Strom Pipeline'!R43="offered")+('MiT Strom Pipeline'!R43="to be offered")+('MiT Strom Pipeline'!R43="on hold"))*('MiT Strom Pipeline'!B43&lt;&gt;""))&gt;0,IF(ISNUMBER('MiT Strom Pipeline'!A43),'MiT Strom Pipeline'!A43,""),"")</f>
        <v>39</v>
      </c>
      <c r="B112" s="27" t="str">
        <f>IF(((('MiT Strom Pipeline'!R43="offered")+('MiT Strom Pipeline'!R43="to be offered")+('MiT Strom Pipeline'!R43="on hold"))*('MiT Strom Pipeline'!B43&lt;&gt;""))&gt;0,IF('MiT Strom Pipeline'!B43="","",'MiT Strom Pipeline'!B43),"")</f>
        <v>Baumeler Leitungsbau AG</v>
      </c>
      <c r="C112" s="27" t="str">
        <f>IF(((('MiT Strom Pipeline'!R43="offered")+('MiT Strom Pipeline'!R43="to be offered")+('MiT Strom Pipeline'!R43="on hold"))*('MiT Strom Pipeline'!B43&lt;&gt;""))&gt;0,IF('MiT Strom Pipeline'!C43="","",'MiT Strom Pipeline'!C43),"")</f>
        <v>LU</v>
      </c>
      <c r="D112" s="27" t="str">
        <f>IF(((('MiT Strom Pipeline'!R43="offered")+('MiT Strom Pipeline'!R43="to be offered")+('MiT Strom Pipeline'!R43="on hold"))*('MiT Strom Pipeline'!B43&lt;&gt;""))&gt;0,IF('MiT Strom Pipeline'!D43="","",'MiT Strom Pipeline'!D43),"")</f>
        <v>Industrie</v>
      </c>
      <c r="E112" s="192" t="str">
        <f>IF(((('MiT Strom Pipeline'!R43="offered")+('MiT Strom Pipeline'!R43="to be offered")+('MiT Strom Pipeline'!R43="on hold"))*('MiT Strom Pipeline'!B43&lt;&gt;""))&gt;0,IF('MiT Strom Pipeline'!H43="","",'MiT Strom Pipeline'!H43),"")</f>
        <v>Juli</v>
      </c>
      <c r="F112" s="27" t="str">
        <f>IF(((('MiT Strom Pipeline'!R43="offered")+('MiT Strom Pipeline'!R43="to be offered")+('MiT Strom Pipeline'!R43="on hold"))*('MiT Strom Pipeline'!B43&lt;&gt;""))&gt;0,IF('MiT Strom Pipeline'!E43="","",'MiT Strom Pipeline'!E43),"")</f>
        <v>600 kVA </v>
      </c>
      <c r="G112" s="28">
        <f>IF(((('MiT Strom Pipeline'!R43="offered")+('MiT Strom Pipeline'!R43="to be offered")+('MiT Strom Pipeline'!R43="on hold"))*('MiT Strom Pipeline'!B43&lt;&gt;""))&gt;0,IF(ISNUMBER('MiT Strom Pipeline'!I43),'MiT Strom Pipeline'!I43,0),"")</f>
        <v>8722.81</v>
      </c>
      <c r="H112" s="28">
        <f>IF(((('MiT Strom Pipeline'!R43="offered")+('MiT Strom Pipeline'!R43="to be offered")+('MiT Strom Pipeline'!R43="on hold"))*('MiT Strom Pipeline'!B43&lt;&gt;""))&gt;0,IF(ISNUMBER('MiT Strom Pipeline'!Q43),'MiT Strom Pipeline'!Q43,0),"")</f>
        <v>4361.405</v>
      </c>
      <c r="I112" s="27" t="str">
        <f>IF(((('MiT Strom Pipeline'!R43="offered")+('MiT Strom Pipeline'!R43="to be offered")+('MiT Strom Pipeline'!R43="on hold"))*('MiT Strom Pipeline'!B43&lt;&gt;""))&gt;0,'MiT Strom Pipeline'!R43,"")</f>
        <v>offered</v>
      </c>
      <c r="J112" s="29">
        <f>IF(((('MiT Strom Pipeline'!R43="offered")+('MiT Strom Pipeline'!R43="to be offered")+('MiT Strom Pipeline'!R43="on hold"))*('MiT Strom Pipeline'!B43&lt;&gt;""))&gt;0,IF(ISNUMBER('MiT Strom Pipeline'!S43),'MiT Strom Pipeline'!S43,""),"")</f>
        <v>0.5</v>
      </c>
      <c r="K112" s="27" t="str">
        <f>IF(((('MiT Strom Pipeline'!R43="offered")+('MiT Strom Pipeline'!R43="to be offered")+('MiT Strom Pipeline'!R43="on hold"))*('MiT Strom Pipeline'!B43&lt;&gt;""))&gt;0,IF(LEN('MiT Strom Pipeline'!V43)&gt;0,LEFT('MiT Strom Pipeline'!V43,55),""),"")</f>
        <v>Kunde angeschrieben, Offerte erstellt, Kunde hat Offert</v>
      </c>
      <c r="L112" s="22" t="n"/>
      <c r="M112" s="22" t="n"/>
      <c r="N112" s="22" t="n"/>
      <c r="O112" s="22" t="n"/>
      <c r="P112" s="22" t="n"/>
      <c r="Q112" s="22" t="n"/>
      <c r="R112" s="22" t="n"/>
      <c r="S112" s="22" t="n"/>
    </row>
    <row r="113" ht="15.75" customHeight="1">
      <c r="A113" s="26">
        <f>IF(((('MiT Strom Pipeline'!R44="offered")+('MiT Strom Pipeline'!R44="to be offered")+('MiT Strom Pipeline'!R44="on hold"))*('MiT Strom Pipeline'!B44&lt;&gt;""))&gt;0,IF(ISNUMBER('MiT Strom Pipeline'!A44),'MiT Strom Pipeline'!A44,""),"")</f>
        <v/>
      </c>
      <c r="B113" s="27">
        <f>IF(((('MiT Strom Pipeline'!R44="offered")+('MiT Strom Pipeline'!R44="to be offered")+('MiT Strom Pipeline'!R44="on hold"))*('MiT Strom Pipeline'!B44&lt;&gt;""))&gt;0,IF('MiT Strom Pipeline'!B44="","",'MiT Strom Pipeline'!B44),"")</f>
        <v/>
      </c>
      <c r="C113" s="27">
        <f>IF(((('MiT Strom Pipeline'!R44="offered")+('MiT Strom Pipeline'!R44="to be offered")+('MiT Strom Pipeline'!R44="on hold"))*('MiT Strom Pipeline'!B44&lt;&gt;""))&gt;0,IF('MiT Strom Pipeline'!C44="","",'MiT Strom Pipeline'!C44),"")</f>
        <v/>
      </c>
      <c r="D113" s="27">
        <f>IF(((('MiT Strom Pipeline'!R44="offered")+('MiT Strom Pipeline'!R44="to be offered")+('MiT Strom Pipeline'!R44="on hold"))*('MiT Strom Pipeline'!B44&lt;&gt;""))&gt;0,IF('MiT Strom Pipeline'!D44="","",'MiT Strom Pipeline'!D44),"")</f>
        <v/>
      </c>
      <c r="E113" s="27">
        <f>IF(((('MiT Strom Pipeline'!R44="offered")+('MiT Strom Pipeline'!R44="to be offered")+('MiT Strom Pipeline'!R44="on hold"))*('MiT Strom Pipeline'!B44&lt;&gt;""))&gt;0,IF('MiT Strom Pipeline'!H44="","",'MiT Strom Pipeline'!H44),"")</f>
        <v/>
      </c>
      <c r="F113" s="27">
        <f>IF(((('MiT Strom Pipeline'!R44="offered")+('MiT Strom Pipeline'!R44="to be offered")+('MiT Strom Pipeline'!R44="on hold"))*('MiT Strom Pipeline'!B44&lt;&gt;""))&gt;0,IF('MiT Strom Pipeline'!E44="","",'MiT Strom Pipeline'!E44),"")</f>
        <v/>
      </c>
      <c r="G113" s="28">
        <f>IF(((('MiT Strom Pipeline'!R44="offered")+('MiT Strom Pipeline'!R44="to be offered")+('MiT Strom Pipeline'!R44="on hold"))*('MiT Strom Pipeline'!B44&lt;&gt;""))&gt;0,IF(ISNUMBER('MiT Strom Pipeline'!I44),'MiT Strom Pipeline'!I44,0),"")</f>
        <v/>
      </c>
      <c r="H113" s="28">
        <f>IF(((('MiT Strom Pipeline'!R44="offered")+('MiT Strom Pipeline'!R44="to be offered")+('MiT Strom Pipeline'!R44="on hold"))*('MiT Strom Pipeline'!B44&lt;&gt;""))&gt;0,IF(ISNUMBER('MiT Strom Pipeline'!Q44),'MiT Strom Pipeline'!Q44,0),"")</f>
        <v/>
      </c>
      <c r="I113" s="27">
        <f>IF(((('MiT Strom Pipeline'!R44="offered")+('MiT Strom Pipeline'!R44="to be offered")+('MiT Strom Pipeline'!R44="on hold"))*('MiT Strom Pipeline'!B44&lt;&gt;""))&gt;0,'MiT Strom Pipeline'!R44,"")</f>
        <v/>
      </c>
      <c r="J113" s="29">
        <f>IF(((('MiT Strom Pipeline'!R44="offered")+('MiT Strom Pipeline'!R44="to be offered")+('MiT Strom Pipeline'!R44="on hold"))*('MiT Strom Pipeline'!B44&lt;&gt;""))&gt;0,IF(ISNUMBER('MiT Strom Pipeline'!S44),'MiT Strom Pipeline'!S44,""),"")</f>
        <v/>
      </c>
      <c r="K113" s="27">
        <f>IF(((('MiT Strom Pipeline'!R44="offered")+('MiT Strom Pipeline'!R44="to be offered")+('MiT Strom Pipeline'!R44="on hold"))*('MiT Strom Pipeline'!B44&lt;&gt;""))&gt;0,IF(LEN('MiT Strom Pipeline'!V44)&gt;0,LEFT('MiT Strom Pipeline'!V44,55),""),"")</f>
        <v/>
      </c>
      <c r="L113" s="22" t="n"/>
      <c r="M113" s="22" t="n"/>
      <c r="N113" s="22" t="n"/>
      <c r="O113" s="22" t="n"/>
      <c r="P113" s="22" t="n"/>
      <c r="Q113" s="22" t="n"/>
      <c r="R113" s="22" t="n"/>
      <c r="S113" s="22" t="n"/>
    </row>
    <row r="114" ht="15.75" customHeight="1">
      <c r="A114" s="26">
        <f>IF(((('MiT Strom Pipeline'!R45="offered")+('MiT Strom Pipeline'!R45="to be offered")+('MiT Strom Pipeline'!R45="on hold"))*('MiT Strom Pipeline'!B45&lt;&gt;""))&gt;0,IF(ISNUMBER('MiT Strom Pipeline'!A45),'MiT Strom Pipeline'!A45,""),"")</f>
        <v/>
      </c>
      <c r="B114" s="27">
        <f>IF(((('MiT Strom Pipeline'!R45="offered")+('MiT Strom Pipeline'!R45="to be offered")+('MiT Strom Pipeline'!R45="on hold"))*('MiT Strom Pipeline'!B45&lt;&gt;""))&gt;0,IF('MiT Strom Pipeline'!B45="","",'MiT Strom Pipeline'!B45),"")</f>
        <v/>
      </c>
      <c r="C114" s="27">
        <f>IF(((('MiT Strom Pipeline'!R45="offered")+('MiT Strom Pipeline'!R45="to be offered")+('MiT Strom Pipeline'!R45="on hold"))*('MiT Strom Pipeline'!B45&lt;&gt;""))&gt;0,IF('MiT Strom Pipeline'!C45="","",'MiT Strom Pipeline'!C45),"")</f>
        <v/>
      </c>
      <c r="D114" s="27">
        <f>IF(((('MiT Strom Pipeline'!R45="offered")+('MiT Strom Pipeline'!R45="to be offered")+('MiT Strom Pipeline'!R45="on hold"))*('MiT Strom Pipeline'!B45&lt;&gt;""))&gt;0,IF('MiT Strom Pipeline'!D45="","",'MiT Strom Pipeline'!D45),"")</f>
        <v/>
      </c>
      <c r="E114" s="191">
        <f>IF(((('MiT Strom Pipeline'!R45="offered")+('MiT Strom Pipeline'!R45="to be offered")+('MiT Strom Pipeline'!R45="on hold"))*('MiT Strom Pipeline'!B45&lt;&gt;""))&gt;0,IF('MiT Strom Pipeline'!H45="","",'MiT Strom Pipeline'!H45),"")</f>
        <v/>
      </c>
      <c r="F114" s="27">
        <f>IF(((('MiT Strom Pipeline'!R45="offered")+('MiT Strom Pipeline'!R45="to be offered")+('MiT Strom Pipeline'!R45="on hold"))*('MiT Strom Pipeline'!B45&lt;&gt;""))&gt;0,IF('MiT Strom Pipeline'!E45="","",'MiT Strom Pipeline'!E45),"")</f>
        <v/>
      </c>
      <c r="G114" s="28">
        <f>IF(((('MiT Strom Pipeline'!R45="offered")+('MiT Strom Pipeline'!R45="to be offered")+('MiT Strom Pipeline'!R45="on hold"))*('MiT Strom Pipeline'!B45&lt;&gt;""))&gt;0,IF(ISNUMBER('MiT Strom Pipeline'!I45),'MiT Strom Pipeline'!I45,0),"")</f>
        <v/>
      </c>
      <c r="H114" s="28">
        <f>IF(((('MiT Strom Pipeline'!R45="offered")+('MiT Strom Pipeline'!R45="to be offered")+('MiT Strom Pipeline'!R45="on hold"))*('MiT Strom Pipeline'!B45&lt;&gt;""))&gt;0,IF(ISNUMBER('MiT Strom Pipeline'!Q45),'MiT Strom Pipeline'!Q45,0),"")</f>
        <v/>
      </c>
      <c r="I114" s="27">
        <f>IF(((('MiT Strom Pipeline'!R45="offered")+('MiT Strom Pipeline'!R45="to be offered")+('MiT Strom Pipeline'!R45="on hold"))*('MiT Strom Pipeline'!B45&lt;&gt;""))&gt;0,'MiT Strom Pipeline'!R45,"")</f>
        <v/>
      </c>
      <c r="J114" s="29">
        <f>IF(((('MiT Strom Pipeline'!R45="offered")+('MiT Strom Pipeline'!R45="to be offered")+('MiT Strom Pipeline'!R45="on hold"))*('MiT Strom Pipeline'!B45&lt;&gt;""))&gt;0,IF(ISNUMBER('MiT Strom Pipeline'!S45),'MiT Strom Pipeline'!S45,""),"")</f>
        <v/>
      </c>
      <c r="K114" s="27">
        <f>IF(((('MiT Strom Pipeline'!R45="offered")+('MiT Strom Pipeline'!R45="to be offered")+('MiT Strom Pipeline'!R45="on hold"))*('MiT Strom Pipeline'!B45&lt;&gt;""))&gt;0,IF(LEN('MiT Strom Pipeline'!V45)&gt;0,LEFT('MiT Strom Pipeline'!V45,55),""),"")</f>
        <v/>
      </c>
      <c r="L114" s="22" t="n"/>
      <c r="M114" s="22" t="n"/>
      <c r="N114" s="22" t="n"/>
      <c r="O114" s="22" t="n"/>
      <c r="P114" s="22" t="n"/>
      <c r="Q114" s="22" t="n"/>
      <c r="R114" s="22" t="n"/>
      <c r="S114" s="22" t="n"/>
    </row>
    <row r="115" ht="15.75" customHeight="1">
      <c r="A115" s="26">
        <f>IF(((('MiT Strom Pipeline'!R46="offered")+('MiT Strom Pipeline'!R46="to be offered")+('MiT Strom Pipeline'!R46="on hold"))*('MiT Strom Pipeline'!B46&lt;&gt;""))&gt;0,IF(ISNUMBER('MiT Strom Pipeline'!A46),'MiT Strom Pipeline'!A46,""),"")</f>
        <v/>
      </c>
      <c r="B115" s="27">
        <f>IF(((('MiT Strom Pipeline'!R46="offered")+('MiT Strom Pipeline'!R46="to be offered")+('MiT Strom Pipeline'!R46="on hold"))*('MiT Strom Pipeline'!B46&lt;&gt;""))&gt;0,IF('MiT Strom Pipeline'!B46="","",'MiT Strom Pipeline'!B46),"")</f>
        <v/>
      </c>
      <c r="C115" s="27">
        <f>IF(((('MiT Strom Pipeline'!R46="offered")+('MiT Strom Pipeline'!R46="to be offered")+('MiT Strom Pipeline'!R46="on hold"))*('MiT Strom Pipeline'!B46&lt;&gt;""))&gt;0,IF('MiT Strom Pipeline'!C46="","",'MiT Strom Pipeline'!C46),"")</f>
        <v/>
      </c>
      <c r="D115" s="27">
        <f>IF(((('MiT Strom Pipeline'!R46="offered")+('MiT Strom Pipeline'!R46="to be offered")+('MiT Strom Pipeline'!R46="on hold"))*('MiT Strom Pipeline'!B46&lt;&gt;""))&gt;0,IF('MiT Strom Pipeline'!D46="","",'MiT Strom Pipeline'!D46),"")</f>
        <v/>
      </c>
      <c r="E115" s="27">
        <f>IF(((('MiT Strom Pipeline'!R46="offered")+('MiT Strom Pipeline'!R46="to be offered")+('MiT Strom Pipeline'!R46="on hold"))*('MiT Strom Pipeline'!B46&lt;&gt;""))&gt;0,IF('MiT Strom Pipeline'!H46="","",'MiT Strom Pipeline'!H46),"")</f>
        <v/>
      </c>
      <c r="F115" s="27">
        <f>IF(((('MiT Strom Pipeline'!R46="offered")+('MiT Strom Pipeline'!R46="to be offered")+('MiT Strom Pipeline'!R46="on hold"))*('MiT Strom Pipeline'!B46&lt;&gt;""))&gt;0,IF('MiT Strom Pipeline'!E46="","",'MiT Strom Pipeline'!E46),"")</f>
        <v/>
      </c>
      <c r="G115" s="28">
        <f>IF(((('MiT Strom Pipeline'!R46="offered")+('MiT Strom Pipeline'!R46="to be offered")+('MiT Strom Pipeline'!R46="on hold"))*('MiT Strom Pipeline'!B46&lt;&gt;""))&gt;0,IF(ISNUMBER('MiT Strom Pipeline'!I46),'MiT Strom Pipeline'!I46,0),"")</f>
        <v/>
      </c>
      <c r="H115" s="28">
        <f>IF(((('MiT Strom Pipeline'!R46="offered")+('MiT Strom Pipeline'!R46="to be offered")+('MiT Strom Pipeline'!R46="on hold"))*('MiT Strom Pipeline'!B46&lt;&gt;""))&gt;0,IF(ISNUMBER('MiT Strom Pipeline'!Q46),'MiT Strom Pipeline'!Q46,0),"")</f>
        <v/>
      </c>
      <c r="I115" s="27">
        <f>IF(((('MiT Strom Pipeline'!R46="offered")+('MiT Strom Pipeline'!R46="to be offered")+('MiT Strom Pipeline'!R46="on hold"))*('MiT Strom Pipeline'!B46&lt;&gt;""))&gt;0,'MiT Strom Pipeline'!R46,"")</f>
        <v/>
      </c>
      <c r="J115" s="29">
        <f>IF(((('MiT Strom Pipeline'!R46="offered")+('MiT Strom Pipeline'!R46="to be offered")+('MiT Strom Pipeline'!R46="on hold"))*('MiT Strom Pipeline'!B46&lt;&gt;""))&gt;0,IF(ISNUMBER('MiT Strom Pipeline'!S46),'MiT Strom Pipeline'!S46,""),"")</f>
        <v/>
      </c>
      <c r="K115" s="27">
        <f>IF(((('MiT Strom Pipeline'!R46="offered")+('MiT Strom Pipeline'!R46="to be offered")+('MiT Strom Pipeline'!R46="on hold"))*('MiT Strom Pipeline'!B46&lt;&gt;""))&gt;0,IF(LEN('MiT Strom Pipeline'!V46)&gt;0,LEFT('MiT Strom Pipeline'!V46,55),""),"")</f>
        <v/>
      </c>
      <c r="L115" s="22" t="n"/>
      <c r="M115" s="22" t="n"/>
      <c r="N115" s="22" t="n"/>
      <c r="O115" s="22" t="n"/>
      <c r="P115" s="22" t="n"/>
      <c r="Q115" s="22" t="n"/>
      <c r="R115" s="22" t="n"/>
      <c r="S115" s="22" t="n"/>
    </row>
    <row r="116" ht="15.75" customHeight="1">
      <c r="A116" s="26">
        <f>IF(((('MiT Strom Pipeline'!R47="offered")+('MiT Strom Pipeline'!R47="to be offered")+('MiT Strom Pipeline'!R47="on hold"))*('MiT Strom Pipeline'!B47&lt;&gt;""))&gt;0,IF(ISNUMBER('MiT Strom Pipeline'!A47),'MiT Strom Pipeline'!A47,""),"")</f>
        <v/>
      </c>
      <c r="B116" s="27">
        <f>IF(((('MiT Strom Pipeline'!R47="offered")+('MiT Strom Pipeline'!R47="to be offered")+('MiT Strom Pipeline'!R47="on hold"))*('MiT Strom Pipeline'!B47&lt;&gt;""))&gt;0,IF('MiT Strom Pipeline'!B47="","",'MiT Strom Pipeline'!B47),"")</f>
        <v/>
      </c>
      <c r="C116" s="27">
        <f>IF(((('MiT Strom Pipeline'!R47="offered")+('MiT Strom Pipeline'!R47="to be offered")+('MiT Strom Pipeline'!R47="on hold"))*('MiT Strom Pipeline'!B47&lt;&gt;""))&gt;0,IF('MiT Strom Pipeline'!C47="","",'MiT Strom Pipeline'!C47),"")</f>
        <v/>
      </c>
      <c r="D116" s="27">
        <f>IF(((('MiT Strom Pipeline'!R47="offered")+('MiT Strom Pipeline'!R47="to be offered")+('MiT Strom Pipeline'!R47="on hold"))*('MiT Strom Pipeline'!B47&lt;&gt;""))&gt;0,IF('MiT Strom Pipeline'!D47="","",'MiT Strom Pipeline'!D47),"")</f>
        <v/>
      </c>
      <c r="E116" s="191">
        <f>IF(((('MiT Strom Pipeline'!R47="offered")+('MiT Strom Pipeline'!R47="to be offered")+('MiT Strom Pipeline'!R47="on hold"))*('MiT Strom Pipeline'!B47&lt;&gt;""))&gt;0,IF('MiT Strom Pipeline'!H47="","",'MiT Strom Pipeline'!H47),"")</f>
        <v/>
      </c>
      <c r="F116" s="27">
        <f>IF(((('MiT Strom Pipeline'!R47="offered")+('MiT Strom Pipeline'!R47="to be offered")+('MiT Strom Pipeline'!R47="on hold"))*('MiT Strom Pipeline'!B47&lt;&gt;""))&gt;0,IF('MiT Strom Pipeline'!E47="","",'MiT Strom Pipeline'!E47),"")</f>
        <v/>
      </c>
      <c r="G116" s="28">
        <f>IF(((('MiT Strom Pipeline'!R47="offered")+('MiT Strom Pipeline'!R47="to be offered")+('MiT Strom Pipeline'!R47="on hold"))*('MiT Strom Pipeline'!B47&lt;&gt;""))&gt;0,IF(ISNUMBER('MiT Strom Pipeline'!I47),'MiT Strom Pipeline'!I47,0),"")</f>
        <v/>
      </c>
      <c r="H116" s="28">
        <f>IF(((('MiT Strom Pipeline'!R47="offered")+('MiT Strom Pipeline'!R47="to be offered")+('MiT Strom Pipeline'!R47="on hold"))*('MiT Strom Pipeline'!B47&lt;&gt;""))&gt;0,IF(ISNUMBER('MiT Strom Pipeline'!Q47),'MiT Strom Pipeline'!Q47,0),"")</f>
        <v/>
      </c>
      <c r="I116" s="27">
        <f>IF(((('MiT Strom Pipeline'!R47="offered")+('MiT Strom Pipeline'!R47="to be offered")+('MiT Strom Pipeline'!R47="on hold"))*('MiT Strom Pipeline'!B47&lt;&gt;""))&gt;0,'MiT Strom Pipeline'!R47,"")</f>
        <v/>
      </c>
      <c r="J116" s="29">
        <f>IF(((('MiT Strom Pipeline'!R47="offered")+('MiT Strom Pipeline'!R47="to be offered")+('MiT Strom Pipeline'!R47="on hold"))*('MiT Strom Pipeline'!B47&lt;&gt;""))&gt;0,IF(ISNUMBER('MiT Strom Pipeline'!S47),'MiT Strom Pipeline'!S47,""),"")</f>
        <v/>
      </c>
      <c r="K116" s="27">
        <f>IF(((('MiT Strom Pipeline'!R47="offered")+('MiT Strom Pipeline'!R47="to be offered")+('MiT Strom Pipeline'!R47="on hold"))*('MiT Strom Pipeline'!B47&lt;&gt;""))&gt;0,IF(LEN('MiT Strom Pipeline'!V47)&gt;0,LEFT('MiT Strom Pipeline'!V47,55),""),"")</f>
        <v/>
      </c>
      <c r="L116" s="22" t="n"/>
      <c r="M116" s="22" t="n"/>
      <c r="N116" s="22" t="n"/>
      <c r="O116" s="22" t="n"/>
      <c r="P116" s="22" t="n"/>
      <c r="Q116" s="22" t="n"/>
      <c r="R116" s="22" t="n"/>
      <c r="S116" s="22" t="n"/>
    </row>
    <row r="117" ht="15.75" customHeight="1">
      <c r="A117" s="26">
        <f>IF(((('MiT Strom Pipeline'!R48="offered")+('MiT Strom Pipeline'!R48="to be offered")+('MiT Strom Pipeline'!R48="on hold"))*('MiT Strom Pipeline'!B48&lt;&gt;""))&gt;0,IF(ISNUMBER('MiT Strom Pipeline'!A48),'MiT Strom Pipeline'!A48,""),"")</f>
        <v/>
      </c>
      <c r="B117" s="27">
        <f>IF(((('MiT Strom Pipeline'!R48="offered")+('MiT Strom Pipeline'!R48="to be offered")+('MiT Strom Pipeline'!R48="on hold"))*('MiT Strom Pipeline'!B48&lt;&gt;""))&gt;0,IF('MiT Strom Pipeline'!B48="","",'MiT Strom Pipeline'!B48),"")</f>
        <v/>
      </c>
      <c r="C117" s="27">
        <f>IF(((('MiT Strom Pipeline'!R48="offered")+('MiT Strom Pipeline'!R48="to be offered")+('MiT Strom Pipeline'!R48="on hold"))*('MiT Strom Pipeline'!B48&lt;&gt;""))&gt;0,IF('MiT Strom Pipeline'!C48="","",'MiT Strom Pipeline'!C48),"")</f>
        <v/>
      </c>
      <c r="D117" s="27">
        <f>IF(((('MiT Strom Pipeline'!R48="offered")+('MiT Strom Pipeline'!R48="to be offered")+('MiT Strom Pipeline'!R48="on hold"))*('MiT Strom Pipeline'!B48&lt;&gt;""))&gt;0,IF('MiT Strom Pipeline'!D48="","",'MiT Strom Pipeline'!D48),"")</f>
        <v/>
      </c>
      <c r="E117" s="27">
        <f>IF(((('MiT Strom Pipeline'!R48="offered")+('MiT Strom Pipeline'!R48="to be offered")+('MiT Strom Pipeline'!R48="on hold"))*('MiT Strom Pipeline'!B48&lt;&gt;""))&gt;0,IF('MiT Strom Pipeline'!H48="","",'MiT Strom Pipeline'!H48),"")</f>
        <v/>
      </c>
      <c r="F117" s="27">
        <f>IF(((('MiT Strom Pipeline'!R48="offered")+('MiT Strom Pipeline'!R48="to be offered")+('MiT Strom Pipeline'!R48="on hold"))*('MiT Strom Pipeline'!B48&lt;&gt;""))&gt;0,IF('MiT Strom Pipeline'!E48="","",'MiT Strom Pipeline'!E48),"")</f>
        <v/>
      </c>
      <c r="G117" s="28">
        <f>IF(((('MiT Strom Pipeline'!R48="offered")+('MiT Strom Pipeline'!R48="to be offered")+('MiT Strom Pipeline'!R48="on hold"))*('MiT Strom Pipeline'!B48&lt;&gt;""))&gt;0,IF(ISNUMBER('MiT Strom Pipeline'!I48),'MiT Strom Pipeline'!I48,0),"")</f>
        <v/>
      </c>
      <c r="H117" s="28">
        <f>IF(((('MiT Strom Pipeline'!R48="offered")+('MiT Strom Pipeline'!R48="to be offered")+('MiT Strom Pipeline'!R48="on hold"))*('MiT Strom Pipeline'!B48&lt;&gt;""))&gt;0,IF(ISNUMBER('MiT Strom Pipeline'!Q48),'MiT Strom Pipeline'!Q48,0),"")</f>
        <v/>
      </c>
      <c r="I117" s="27">
        <f>IF(((('MiT Strom Pipeline'!R48="offered")+('MiT Strom Pipeline'!R48="to be offered")+('MiT Strom Pipeline'!R48="on hold"))*('MiT Strom Pipeline'!B48&lt;&gt;""))&gt;0,'MiT Strom Pipeline'!R48,"")</f>
        <v/>
      </c>
      <c r="J117" s="29">
        <f>IF(((('MiT Strom Pipeline'!R48="offered")+('MiT Strom Pipeline'!R48="to be offered")+('MiT Strom Pipeline'!R48="on hold"))*('MiT Strom Pipeline'!B48&lt;&gt;""))&gt;0,IF(ISNUMBER('MiT Strom Pipeline'!S48),'MiT Strom Pipeline'!S48,""),"")</f>
        <v/>
      </c>
      <c r="K117" s="27">
        <f>IF(((('MiT Strom Pipeline'!R48="offered")+('MiT Strom Pipeline'!R48="to be offered")+('MiT Strom Pipeline'!R48="on hold"))*('MiT Strom Pipeline'!B48&lt;&gt;""))&gt;0,IF(LEN('MiT Strom Pipeline'!V48)&gt;0,LEFT('MiT Strom Pipeline'!V48,55),""),"")</f>
        <v/>
      </c>
      <c r="L117" s="22" t="n"/>
      <c r="M117" s="22" t="n"/>
      <c r="N117" s="22" t="n"/>
      <c r="O117" s="22" t="n"/>
      <c r="P117" s="22" t="n"/>
      <c r="Q117" s="22" t="n"/>
      <c r="R117" s="22" t="n"/>
      <c r="S117" s="22" t="n"/>
    </row>
    <row r="118" ht="15.75" customHeight="1">
      <c r="A118" s="26">
        <f>IF(((('MiT Strom Pipeline'!R49="offered")+('MiT Strom Pipeline'!R49="to be offered")+('MiT Strom Pipeline'!R49="on hold"))*('MiT Strom Pipeline'!B49&lt;&gt;""))&gt;0,IF(ISNUMBER('MiT Strom Pipeline'!A49),'MiT Strom Pipeline'!A49,""),"")</f>
        <v/>
      </c>
      <c r="B118" s="27">
        <f>IF(((('MiT Strom Pipeline'!R49="offered")+('MiT Strom Pipeline'!R49="to be offered")+('MiT Strom Pipeline'!R49="on hold"))*('MiT Strom Pipeline'!B49&lt;&gt;""))&gt;0,IF('MiT Strom Pipeline'!B49="","",'MiT Strom Pipeline'!B49),"")</f>
        <v/>
      </c>
      <c r="C118" s="27">
        <f>IF(((('MiT Strom Pipeline'!R49="offered")+('MiT Strom Pipeline'!R49="to be offered")+('MiT Strom Pipeline'!R49="on hold"))*('MiT Strom Pipeline'!B49&lt;&gt;""))&gt;0,IF('MiT Strom Pipeline'!C49="","",'MiT Strom Pipeline'!C49),"")</f>
        <v/>
      </c>
      <c r="D118" s="27">
        <f>IF(((('MiT Strom Pipeline'!R49="offered")+('MiT Strom Pipeline'!R49="to be offered")+('MiT Strom Pipeline'!R49="on hold"))*('MiT Strom Pipeline'!B49&lt;&gt;""))&gt;0,IF('MiT Strom Pipeline'!D49="","",'MiT Strom Pipeline'!D49),"")</f>
        <v/>
      </c>
      <c r="E118" s="27">
        <f>IF(((('MiT Strom Pipeline'!R49="offered")+('MiT Strom Pipeline'!R49="to be offered")+('MiT Strom Pipeline'!R49="on hold"))*('MiT Strom Pipeline'!B49&lt;&gt;""))&gt;0,IF('MiT Strom Pipeline'!H49="","",'MiT Strom Pipeline'!H49),"")</f>
        <v/>
      </c>
      <c r="F118" s="27">
        <f>IF(((('MiT Strom Pipeline'!R49="offered")+('MiT Strom Pipeline'!R49="to be offered")+('MiT Strom Pipeline'!R49="on hold"))*('MiT Strom Pipeline'!B49&lt;&gt;""))&gt;0,IF('MiT Strom Pipeline'!E49="","",'MiT Strom Pipeline'!E49),"")</f>
        <v/>
      </c>
      <c r="G118" s="28">
        <f>IF(((('MiT Strom Pipeline'!R49="offered")+('MiT Strom Pipeline'!R49="to be offered")+('MiT Strom Pipeline'!R49="on hold"))*('MiT Strom Pipeline'!B49&lt;&gt;""))&gt;0,IF(ISNUMBER('MiT Strom Pipeline'!I49),'MiT Strom Pipeline'!I49,0),"")</f>
        <v/>
      </c>
      <c r="H118" s="28">
        <f>IF(((('MiT Strom Pipeline'!R49="offered")+('MiT Strom Pipeline'!R49="to be offered")+('MiT Strom Pipeline'!R49="on hold"))*('MiT Strom Pipeline'!B49&lt;&gt;""))&gt;0,IF(ISNUMBER('MiT Strom Pipeline'!Q49),'MiT Strom Pipeline'!Q49,0),"")</f>
        <v/>
      </c>
      <c r="I118" s="27">
        <f>IF(((('MiT Strom Pipeline'!R49="offered")+('MiT Strom Pipeline'!R49="to be offered")+('MiT Strom Pipeline'!R49="on hold"))*('MiT Strom Pipeline'!B49&lt;&gt;""))&gt;0,'MiT Strom Pipeline'!R49,"")</f>
        <v/>
      </c>
      <c r="J118" s="29">
        <f>IF(((('MiT Strom Pipeline'!R49="offered")+('MiT Strom Pipeline'!R49="to be offered")+('MiT Strom Pipeline'!R49="on hold"))*('MiT Strom Pipeline'!B49&lt;&gt;""))&gt;0,IF(ISNUMBER('MiT Strom Pipeline'!S49),'MiT Strom Pipeline'!S49,""),"")</f>
        <v/>
      </c>
      <c r="K118" s="27">
        <f>IF(((('MiT Strom Pipeline'!R49="offered")+('MiT Strom Pipeline'!R49="to be offered")+('MiT Strom Pipeline'!R49="on hold"))*('MiT Strom Pipeline'!B49&lt;&gt;""))&gt;0,IF(LEN('MiT Strom Pipeline'!V49)&gt;0,LEFT('MiT Strom Pipeline'!V49,55),""),"")</f>
        <v/>
      </c>
      <c r="L118" s="22" t="n"/>
      <c r="M118" s="22" t="n"/>
      <c r="N118" s="22" t="n"/>
      <c r="O118" s="22" t="n"/>
      <c r="P118" s="22" t="n"/>
      <c r="Q118" s="22" t="n"/>
      <c r="R118" s="22" t="n"/>
      <c r="S118" s="22" t="n"/>
    </row>
    <row r="119" ht="15.75" customHeight="1">
      <c r="A119" s="26">
        <f>IF(((('MiT Strom Pipeline'!R50="offered")+('MiT Strom Pipeline'!R50="to be offered")+('MiT Strom Pipeline'!R50="on hold"))*('MiT Strom Pipeline'!B50&lt;&gt;""))&gt;0,IF(ISNUMBER('MiT Strom Pipeline'!A50),'MiT Strom Pipeline'!A50,""),"")</f>
        <v/>
      </c>
      <c r="B119" s="27">
        <f>IF(((('MiT Strom Pipeline'!R50="offered")+('MiT Strom Pipeline'!R50="to be offered")+('MiT Strom Pipeline'!R50="on hold"))*('MiT Strom Pipeline'!B50&lt;&gt;""))&gt;0,IF('MiT Strom Pipeline'!B50="","",'MiT Strom Pipeline'!B50),"")</f>
        <v/>
      </c>
      <c r="C119" s="27">
        <f>IF(((('MiT Strom Pipeline'!R50="offered")+('MiT Strom Pipeline'!R50="to be offered")+('MiT Strom Pipeline'!R50="on hold"))*('MiT Strom Pipeline'!B50&lt;&gt;""))&gt;0,IF('MiT Strom Pipeline'!C50="","",'MiT Strom Pipeline'!C50),"")</f>
        <v/>
      </c>
      <c r="D119" s="27">
        <f>IF(((('MiT Strom Pipeline'!R50="offered")+('MiT Strom Pipeline'!R50="to be offered")+('MiT Strom Pipeline'!R50="on hold"))*('MiT Strom Pipeline'!B50&lt;&gt;""))&gt;0,IF('MiT Strom Pipeline'!D50="","",'MiT Strom Pipeline'!D50),"")</f>
        <v/>
      </c>
      <c r="E119" s="27">
        <f>IF(((('MiT Strom Pipeline'!R50="offered")+('MiT Strom Pipeline'!R50="to be offered")+('MiT Strom Pipeline'!R50="on hold"))*('MiT Strom Pipeline'!B50&lt;&gt;""))&gt;0,IF('MiT Strom Pipeline'!H50="","",'MiT Strom Pipeline'!H50),"")</f>
        <v/>
      </c>
      <c r="F119" s="27">
        <f>IF(((('MiT Strom Pipeline'!R50="offered")+('MiT Strom Pipeline'!R50="to be offered")+('MiT Strom Pipeline'!R50="on hold"))*('MiT Strom Pipeline'!B50&lt;&gt;""))&gt;0,IF('MiT Strom Pipeline'!E50="","",'MiT Strom Pipeline'!E50),"")</f>
        <v/>
      </c>
      <c r="G119" s="28">
        <f>IF(((('MiT Strom Pipeline'!R50="offered")+('MiT Strom Pipeline'!R50="to be offered")+('MiT Strom Pipeline'!R50="on hold"))*('MiT Strom Pipeline'!B50&lt;&gt;""))&gt;0,IF(ISNUMBER('MiT Strom Pipeline'!I50),'MiT Strom Pipeline'!I50,0),"")</f>
        <v/>
      </c>
      <c r="H119" s="28">
        <f>IF(((('MiT Strom Pipeline'!R50="offered")+('MiT Strom Pipeline'!R50="to be offered")+('MiT Strom Pipeline'!R50="on hold"))*('MiT Strom Pipeline'!B50&lt;&gt;""))&gt;0,IF(ISNUMBER('MiT Strom Pipeline'!Q50),'MiT Strom Pipeline'!Q50,0),"")</f>
        <v/>
      </c>
      <c r="I119" s="27">
        <f>IF(((('MiT Strom Pipeline'!R50="offered")+('MiT Strom Pipeline'!R50="to be offered")+('MiT Strom Pipeline'!R50="on hold"))*('MiT Strom Pipeline'!B50&lt;&gt;""))&gt;0,'MiT Strom Pipeline'!R50,"")</f>
        <v/>
      </c>
      <c r="J119" s="29">
        <f>IF(((('MiT Strom Pipeline'!R50="offered")+('MiT Strom Pipeline'!R50="to be offered")+('MiT Strom Pipeline'!R50="on hold"))*('MiT Strom Pipeline'!B50&lt;&gt;""))&gt;0,IF(ISNUMBER('MiT Strom Pipeline'!S50),'MiT Strom Pipeline'!S50,""),"")</f>
        <v/>
      </c>
      <c r="K119" s="27">
        <f>IF(((('MiT Strom Pipeline'!R50="offered")+('MiT Strom Pipeline'!R50="to be offered")+('MiT Strom Pipeline'!R50="on hold"))*('MiT Strom Pipeline'!B50&lt;&gt;""))&gt;0,IF(LEN('MiT Strom Pipeline'!V50)&gt;0,LEFT('MiT Strom Pipeline'!V50,55),""),"")</f>
        <v/>
      </c>
      <c r="L119" s="22" t="n"/>
      <c r="M119" s="22" t="n"/>
      <c r="N119" s="22" t="n"/>
      <c r="O119" s="22" t="n"/>
      <c r="P119" s="22" t="n"/>
      <c r="Q119" s="22" t="n"/>
      <c r="R119" s="22" t="n"/>
      <c r="S119" s="22" t="n"/>
    </row>
    <row r="120" ht="15.75" customHeight="1">
      <c r="A120" s="26">
        <f>IF(((('MiT Strom Pipeline'!R51="offered")+('MiT Strom Pipeline'!R51="to be offered")+('MiT Strom Pipeline'!R51="on hold"))*('MiT Strom Pipeline'!B51&lt;&gt;""))&gt;0,IF(ISNUMBER('MiT Strom Pipeline'!A51),'MiT Strom Pipeline'!A51,""),"")</f>
        <v/>
      </c>
      <c r="B120" s="27">
        <f>IF(((('MiT Strom Pipeline'!R51="offered")+('MiT Strom Pipeline'!R51="to be offered")+('MiT Strom Pipeline'!R51="on hold"))*('MiT Strom Pipeline'!B51&lt;&gt;""))&gt;0,IF('MiT Strom Pipeline'!B51="","",'MiT Strom Pipeline'!B51),"")</f>
        <v/>
      </c>
      <c r="C120" s="27">
        <f>IF(((('MiT Strom Pipeline'!R51="offered")+('MiT Strom Pipeline'!R51="to be offered")+('MiT Strom Pipeline'!R51="on hold"))*('MiT Strom Pipeline'!B51&lt;&gt;""))&gt;0,IF('MiT Strom Pipeline'!C51="","",'MiT Strom Pipeline'!C51),"")</f>
        <v/>
      </c>
      <c r="D120" s="27">
        <f>IF(((('MiT Strom Pipeline'!R51="offered")+('MiT Strom Pipeline'!R51="to be offered")+('MiT Strom Pipeline'!R51="on hold"))*('MiT Strom Pipeline'!B51&lt;&gt;""))&gt;0,IF('MiT Strom Pipeline'!D51="","",'MiT Strom Pipeline'!D51),"")</f>
        <v/>
      </c>
      <c r="E120" s="27">
        <f>IF(((('MiT Strom Pipeline'!R51="offered")+('MiT Strom Pipeline'!R51="to be offered")+('MiT Strom Pipeline'!R51="on hold"))*('MiT Strom Pipeline'!B51&lt;&gt;""))&gt;0,IF('MiT Strom Pipeline'!H51="","",'MiT Strom Pipeline'!H51),"")</f>
        <v/>
      </c>
      <c r="F120" s="27">
        <f>IF(((('MiT Strom Pipeline'!R51="offered")+('MiT Strom Pipeline'!R51="to be offered")+('MiT Strom Pipeline'!R51="on hold"))*('MiT Strom Pipeline'!B51&lt;&gt;""))&gt;0,IF('MiT Strom Pipeline'!E51="","",'MiT Strom Pipeline'!E51),"")</f>
        <v/>
      </c>
      <c r="G120" s="28">
        <f>IF(((('MiT Strom Pipeline'!R51="offered")+('MiT Strom Pipeline'!R51="to be offered")+('MiT Strom Pipeline'!R51="on hold"))*('MiT Strom Pipeline'!B51&lt;&gt;""))&gt;0,IF(ISNUMBER('MiT Strom Pipeline'!I51),'MiT Strom Pipeline'!I51,0),"")</f>
        <v/>
      </c>
      <c r="H120" s="28">
        <f>IF(((('MiT Strom Pipeline'!R51="offered")+('MiT Strom Pipeline'!R51="to be offered")+('MiT Strom Pipeline'!R51="on hold"))*('MiT Strom Pipeline'!B51&lt;&gt;""))&gt;0,IF(ISNUMBER('MiT Strom Pipeline'!Q51),'MiT Strom Pipeline'!Q51,0),"")</f>
        <v/>
      </c>
      <c r="I120" s="27">
        <f>IF(((('MiT Strom Pipeline'!R51="offered")+('MiT Strom Pipeline'!R51="to be offered")+('MiT Strom Pipeline'!R51="on hold"))*('MiT Strom Pipeline'!B51&lt;&gt;""))&gt;0,'MiT Strom Pipeline'!R51,"")</f>
        <v/>
      </c>
      <c r="J120" s="29">
        <f>IF(((('MiT Strom Pipeline'!R51="offered")+('MiT Strom Pipeline'!R51="to be offered")+('MiT Strom Pipeline'!R51="on hold"))*('MiT Strom Pipeline'!B51&lt;&gt;""))&gt;0,IF(ISNUMBER('MiT Strom Pipeline'!S51),'MiT Strom Pipeline'!S51,""),"")</f>
        <v/>
      </c>
      <c r="K120" s="27">
        <f>IF(((('MiT Strom Pipeline'!R51="offered")+('MiT Strom Pipeline'!R51="to be offered")+('MiT Strom Pipeline'!R51="on hold"))*('MiT Strom Pipeline'!B51&lt;&gt;""))&gt;0,IF(LEN('MiT Strom Pipeline'!V51)&gt;0,LEFT('MiT Strom Pipeline'!V51,55),""),"")</f>
        <v/>
      </c>
      <c r="L120" s="22" t="n"/>
      <c r="M120" s="22" t="n"/>
      <c r="N120" s="22" t="n"/>
      <c r="O120" s="22" t="n"/>
      <c r="P120" s="22" t="n"/>
      <c r="Q120" s="22" t="n"/>
      <c r="R120" s="22" t="n"/>
      <c r="S120" s="22" t="n"/>
    </row>
    <row r="121" ht="15.75" customHeight="1">
      <c r="A121" s="26">
        <f>IF(((('MiT Strom Pipeline'!R52="offered")+('MiT Strom Pipeline'!R52="to be offered")+('MiT Strom Pipeline'!R52="on hold"))*('MiT Strom Pipeline'!B52&lt;&gt;""))&gt;0,IF(ISNUMBER('MiT Strom Pipeline'!A52),'MiT Strom Pipeline'!A52,""),"")</f>
        <v/>
      </c>
      <c r="B121" s="27">
        <f>IF(((('MiT Strom Pipeline'!R52="offered")+('MiT Strom Pipeline'!R52="to be offered")+('MiT Strom Pipeline'!R52="on hold"))*('MiT Strom Pipeline'!B52&lt;&gt;""))&gt;0,IF('MiT Strom Pipeline'!B52="","",'MiT Strom Pipeline'!B52),"")</f>
        <v/>
      </c>
      <c r="C121" s="27">
        <f>IF(((('MiT Strom Pipeline'!R52="offered")+('MiT Strom Pipeline'!R52="to be offered")+('MiT Strom Pipeline'!R52="on hold"))*('MiT Strom Pipeline'!B52&lt;&gt;""))&gt;0,IF('MiT Strom Pipeline'!C52="","",'MiT Strom Pipeline'!C52),"")</f>
        <v/>
      </c>
      <c r="D121" s="27">
        <f>IF(((('MiT Strom Pipeline'!R52="offered")+('MiT Strom Pipeline'!R52="to be offered")+('MiT Strom Pipeline'!R52="on hold"))*('MiT Strom Pipeline'!B52&lt;&gt;""))&gt;0,IF('MiT Strom Pipeline'!D52="","",'MiT Strom Pipeline'!D52),"")</f>
        <v/>
      </c>
      <c r="E121" s="27">
        <f>IF(((('MiT Strom Pipeline'!R52="offered")+('MiT Strom Pipeline'!R52="to be offered")+('MiT Strom Pipeline'!R52="on hold"))*('MiT Strom Pipeline'!B52&lt;&gt;""))&gt;0,IF('MiT Strom Pipeline'!H52="","",'MiT Strom Pipeline'!H52),"")</f>
        <v/>
      </c>
      <c r="F121" s="27">
        <f>IF(((('MiT Strom Pipeline'!R52="offered")+('MiT Strom Pipeline'!R52="to be offered")+('MiT Strom Pipeline'!R52="on hold"))*('MiT Strom Pipeline'!B52&lt;&gt;""))&gt;0,IF('MiT Strom Pipeline'!E52="","",'MiT Strom Pipeline'!E52),"")</f>
        <v/>
      </c>
      <c r="G121" s="28">
        <f>IF(((('MiT Strom Pipeline'!R52="offered")+('MiT Strom Pipeline'!R52="to be offered")+('MiT Strom Pipeline'!R52="on hold"))*('MiT Strom Pipeline'!B52&lt;&gt;""))&gt;0,IF(ISNUMBER('MiT Strom Pipeline'!I52),'MiT Strom Pipeline'!I52,0),"")</f>
        <v/>
      </c>
      <c r="H121" s="28">
        <f>IF(((('MiT Strom Pipeline'!R52="offered")+('MiT Strom Pipeline'!R52="to be offered")+('MiT Strom Pipeline'!R52="on hold"))*('MiT Strom Pipeline'!B52&lt;&gt;""))&gt;0,IF(ISNUMBER('MiT Strom Pipeline'!Q52),'MiT Strom Pipeline'!Q52,0),"")</f>
        <v/>
      </c>
      <c r="I121" s="27">
        <f>IF(((('MiT Strom Pipeline'!R52="offered")+('MiT Strom Pipeline'!R52="to be offered")+('MiT Strom Pipeline'!R52="on hold"))*('MiT Strom Pipeline'!B52&lt;&gt;""))&gt;0,'MiT Strom Pipeline'!R52,"")</f>
        <v/>
      </c>
      <c r="J121" s="29">
        <f>IF(((('MiT Strom Pipeline'!R52="offered")+('MiT Strom Pipeline'!R52="to be offered")+('MiT Strom Pipeline'!R52="on hold"))*('MiT Strom Pipeline'!B52&lt;&gt;""))&gt;0,IF(ISNUMBER('MiT Strom Pipeline'!S52),'MiT Strom Pipeline'!S52,""),"")</f>
        <v/>
      </c>
      <c r="K121" s="27">
        <f>IF(((('MiT Strom Pipeline'!R52="offered")+('MiT Strom Pipeline'!R52="to be offered")+('MiT Strom Pipeline'!R52="on hold"))*('MiT Strom Pipeline'!B52&lt;&gt;""))&gt;0,IF(LEN('MiT Strom Pipeline'!V52)&gt;0,LEFT('MiT Strom Pipeline'!V52,55),""),"")</f>
        <v/>
      </c>
      <c r="L121" s="22" t="n"/>
      <c r="M121" s="22" t="n"/>
      <c r="N121" s="22" t="n"/>
      <c r="O121" s="22" t="n"/>
      <c r="P121" s="22" t="n"/>
      <c r="Q121" s="22" t="n"/>
      <c r="R121" s="22" t="n"/>
      <c r="S121" s="22" t="n"/>
    </row>
    <row r="122" ht="15.75" customHeight="1">
      <c r="A122" s="26">
        <f>IF(((('MiT Strom Pipeline'!R53="offered")+('MiT Strom Pipeline'!R53="to be offered")+('MiT Strom Pipeline'!R53="on hold"))*('MiT Strom Pipeline'!B53&lt;&gt;""))&gt;0,IF(ISNUMBER('MiT Strom Pipeline'!A53),'MiT Strom Pipeline'!A53,""),"")</f>
        <v>43</v>
      </c>
      <c r="B122" s="27" t="str">
        <f>IF(((('MiT Strom Pipeline'!R53="offered")+('MiT Strom Pipeline'!R53="to be offered")+('MiT Strom Pipeline'!R53="on hold"))*('MiT Strom Pipeline'!B53&lt;&gt;""))&gt;0,IF('MiT Strom Pipeline'!B53="","",'MiT Strom Pipeline'!B53),"")</f>
        <v>Equans Switzerland Kloten</v>
      </c>
      <c r="C122" s="27" t="str">
        <f>IF(((('MiT Strom Pipeline'!R53="offered")+('MiT Strom Pipeline'!R53="to be offered")+('MiT Strom Pipeline'!R53="on hold"))*('MiT Strom Pipeline'!B53&lt;&gt;""))&gt;0,IF('MiT Strom Pipeline'!C53="","",'MiT Strom Pipeline'!C53),"")</f>
        <v>ZH</v>
      </c>
      <c r="D122" s="27" t="str">
        <f>IF(((('MiT Strom Pipeline'!R53="offered")+('MiT Strom Pipeline'!R53="to be offered")+('MiT Strom Pipeline'!R53="on hold"))*('MiT Strom Pipeline'!B53&lt;&gt;""))&gt;0,IF('MiT Strom Pipeline'!D53="","",'MiT Strom Pipeline'!D53),"")</f>
        <v>Industrie</v>
      </c>
      <c r="E122" s="27" t="str">
        <f>IF(((('MiT Strom Pipeline'!R53="offered")+('MiT Strom Pipeline'!R53="to be offered")+('MiT Strom Pipeline'!R53="on hold"))*('MiT Strom Pipeline'!B53&lt;&gt;""))&gt;0,IF('MiT Strom Pipeline'!H53="","",'MiT Strom Pipeline'!H53),"")</f>
        <v>Dez</v>
      </c>
      <c r="F122" s="27" t="str">
        <f>IF(((('MiT Strom Pipeline'!R53="offered")+('MiT Strom Pipeline'!R53="to be offered")+('MiT Strom Pipeline'!R53="on hold"))*('MiT Strom Pipeline'!B53&lt;&gt;""))&gt;0,IF('MiT Strom Pipeline'!E53="","",'MiT Strom Pipeline'!E53),"")</f>
        <v>600 kVA</v>
      </c>
      <c r="G122" s="28">
        <f>IF(((('MiT Strom Pipeline'!R53="offered")+('MiT Strom Pipeline'!R53="to be offered")+('MiT Strom Pipeline'!R53="on hold"))*('MiT Strom Pipeline'!B53&lt;&gt;""))&gt;0,IF(ISNUMBER('MiT Strom Pipeline'!I53),'MiT Strom Pipeline'!I53,0),"")</f>
        <v>224236.15</v>
      </c>
      <c r="H122" s="28">
        <f>IF(((('MiT Strom Pipeline'!R53="offered")+('MiT Strom Pipeline'!R53="to be offered")+('MiT Strom Pipeline'!R53="on hold"))*('MiT Strom Pipeline'!B53&lt;&gt;""))&gt;0,IF(ISNUMBER('MiT Strom Pipeline'!Q53),'MiT Strom Pipeline'!Q53,0),"")</f>
        <v>112118.075</v>
      </c>
      <c r="I122" s="27" t="str">
        <f>IF(((('MiT Strom Pipeline'!R53="offered")+('MiT Strom Pipeline'!R53="to be offered")+('MiT Strom Pipeline'!R53="on hold"))*('MiT Strom Pipeline'!B53&lt;&gt;""))&gt;0,'MiT Strom Pipeline'!R53,"")</f>
        <v>offered</v>
      </c>
      <c r="J122" s="29">
        <f>IF(((('MiT Strom Pipeline'!R53="offered")+('MiT Strom Pipeline'!R53="to be offered")+('MiT Strom Pipeline'!R53="on hold"))*('MiT Strom Pipeline'!B53&lt;&gt;""))&gt;0,IF(ISNUMBER('MiT Strom Pipeline'!S53),'MiT Strom Pipeline'!S53,""),"")</f>
        <v>0.5</v>
      </c>
      <c r="K122" s="27" t="str">
        <f>IF(((('MiT Strom Pipeline'!R53="offered")+('MiT Strom Pipeline'!R53="to be offered")+('MiT Strom Pipeline'!R53="on hold"))*('MiT Strom Pipeline'!B53&lt;&gt;""))&gt;0,IF(LEN('MiT Strom Pipeline'!V53)&gt;0,LEFT('MiT Strom Pipeline'!V53,55),""),"")</f>
        <v>Kunde angeschrieben, Offerte erstellt, Kunde hat Offert</v>
      </c>
      <c r="L122" s="22" t="n"/>
      <c r="M122" s="22" t="n"/>
      <c r="N122" s="22" t="n"/>
      <c r="O122" s="22" t="n"/>
      <c r="P122" s="22" t="n"/>
      <c r="Q122" s="22" t="n"/>
      <c r="R122" s="22" t="n"/>
      <c r="S122" s="22" t="n"/>
    </row>
    <row r="123" ht="15.75" customHeight="1">
      <c r="A123" s="26">
        <f>IF(((('MiT Strom Pipeline'!R54="offered")+('MiT Strom Pipeline'!R54="to be offered")+('MiT Strom Pipeline'!R54="on hold"))*('MiT Strom Pipeline'!B54&lt;&gt;""))&gt;0,IF(ISNUMBER('MiT Strom Pipeline'!A54),'MiT Strom Pipeline'!A54,""),"")</f>
        <v>44</v>
      </c>
      <c r="B123" s="27" t="str">
        <f>IF(((('MiT Strom Pipeline'!R54="offered")+('MiT Strom Pipeline'!R54="to be offered")+('MiT Strom Pipeline'!R54="on hold"))*('MiT Strom Pipeline'!B54&lt;&gt;""))&gt;0,IF('MiT Strom Pipeline'!B54="","",'MiT Strom Pipeline'!B54),"")</f>
        <v>Equans Switzerland Kloten</v>
      </c>
      <c r="C123" s="27" t="str">
        <f>IF(((('MiT Strom Pipeline'!R54="offered")+('MiT Strom Pipeline'!R54="to be offered")+('MiT Strom Pipeline'!R54="on hold"))*('MiT Strom Pipeline'!B54&lt;&gt;""))&gt;0,IF('MiT Strom Pipeline'!C54="","",'MiT Strom Pipeline'!C54),"")</f>
        <v>ZH</v>
      </c>
      <c r="D123" s="27" t="str">
        <f>IF(((('MiT Strom Pipeline'!R54="offered")+('MiT Strom Pipeline'!R54="to be offered")+('MiT Strom Pipeline'!R54="on hold"))*('MiT Strom Pipeline'!B54&lt;&gt;""))&gt;0,IF('MiT Strom Pipeline'!D54="","",'MiT Strom Pipeline'!D54),"")</f>
        <v>Industrie</v>
      </c>
      <c r="E123" s="27" t="str">
        <f>IF(((('MiT Strom Pipeline'!R54="offered")+('MiT Strom Pipeline'!R54="to be offered")+('MiT Strom Pipeline'!R54="on hold"))*('MiT Strom Pipeline'!B54&lt;&gt;""))&gt;0,IF('MiT Strom Pipeline'!H54="","",'MiT Strom Pipeline'!H54),"")</f>
        <v>Juli</v>
      </c>
      <c r="F123" s="27" t="str">
        <f>IF(((('MiT Strom Pipeline'!R54="offered")+('MiT Strom Pipeline'!R54="to be offered")+('MiT Strom Pipeline'!R54="on hold"))*('MiT Strom Pipeline'!B54&lt;&gt;""))&gt;0,IF('MiT Strom Pipeline'!E54="","",'MiT Strom Pipeline'!E54),"")</f>
        <v>300 kVA</v>
      </c>
      <c r="G123" s="28">
        <f>IF(((('MiT Strom Pipeline'!R54="offered")+('MiT Strom Pipeline'!R54="to be offered")+('MiT Strom Pipeline'!R54="on hold"))*('MiT Strom Pipeline'!B54&lt;&gt;""))&gt;0,IF(ISNUMBER('MiT Strom Pipeline'!I54),'MiT Strom Pipeline'!I54,0),"")</f>
        <v>31077.89</v>
      </c>
      <c r="H123" s="28">
        <f>IF(((('MiT Strom Pipeline'!R54="offered")+('MiT Strom Pipeline'!R54="to be offered")+('MiT Strom Pipeline'!R54="on hold"))*('MiT Strom Pipeline'!B54&lt;&gt;""))&gt;0,IF(ISNUMBER('MiT Strom Pipeline'!Q54),'MiT Strom Pipeline'!Q54,0),"")</f>
        <v>15538.945</v>
      </c>
      <c r="I123" s="27" t="str">
        <f>IF(((('MiT Strom Pipeline'!R54="offered")+('MiT Strom Pipeline'!R54="to be offered")+('MiT Strom Pipeline'!R54="on hold"))*('MiT Strom Pipeline'!B54&lt;&gt;""))&gt;0,'MiT Strom Pipeline'!R54,"")</f>
        <v>offered</v>
      </c>
      <c r="J123" s="29">
        <f>IF(((('MiT Strom Pipeline'!R54="offered")+('MiT Strom Pipeline'!R54="to be offered")+('MiT Strom Pipeline'!R54="on hold"))*('MiT Strom Pipeline'!B54&lt;&gt;""))&gt;0,IF(ISNUMBER('MiT Strom Pipeline'!S54),'MiT Strom Pipeline'!S54,""),"")</f>
        <v>0.5</v>
      </c>
      <c r="K123" s="27" t="str">
        <f>IF(((('MiT Strom Pipeline'!R54="offered")+('MiT Strom Pipeline'!R54="to be offered")+('MiT Strom Pipeline'!R54="on hold"))*('MiT Strom Pipeline'!B54&lt;&gt;""))&gt;0,IF(LEN('MiT Strom Pipeline'!V54)&gt;0,LEFT('MiT Strom Pipeline'!V54,55),""),"")</f>
        <v>Kunde angeschrieben, Offerte erstellt, Kunde hat Offert</v>
      </c>
      <c r="L123" s="22" t="n"/>
      <c r="M123" s="22" t="n"/>
      <c r="N123" s="22" t="n"/>
      <c r="O123" s="22" t="n"/>
      <c r="P123" s="22" t="n"/>
      <c r="Q123" s="22" t="n"/>
      <c r="R123" s="22" t="n"/>
      <c r="S123" s="22" t="n"/>
    </row>
    <row r="124" ht="15.75" customHeight="1">
      <c r="A124" s="26">
        <f>IF(((('MiT Strom Pipeline'!R55="offered")+('MiT Strom Pipeline'!R55="to be offered")+('MiT Strom Pipeline'!R55="on hold"))*('MiT Strom Pipeline'!B55&lt;&gt;""))&gt;0,IF(ISNUMBER('MiT Strom Pipeline'!A55),'MiT Strom Pipeline'!A55,""),"")</f>
        <v>45</v>
      </c>
      <c r="B124" s="27" t="str">
        <f>IF(((('MiT Strom Pipeline'!R55="offered")+('MiT Strom Pipeline'!R55="to be offered")+('MiT Strom Pipeline'!R55="on hold"))*('MiT Strom Pipeline'!B55&lt;&gt;""))&gt;0,IF('MiT Strom Pipeline'!B55="","",'MiT Strom Pipeline'!B55),"")</f>
        <v>ETAVIS Basel</v>
      </c>
      <c r="C124" s="27" t="str">
        <f>IF(((('MiT Strom Pipeline'!R55="offered")+('MiT Strom Pipeline'!R55="to be offered")+('MiT Strom Pipeline'!R55="on hold"))*('MiT Strom Pipeline'!B55&lt;&gt;""))&gt;0,IF('MiT Strom Pipeline'!C55="","",'MiT Strom Pipeline'!C55),"")</f>
        <v>BS</v>
      </c>
      <c r="D124" s="27" t="str">
        <f>IF(((('MiT Strom Pipeline'!R55="offered")+('MiT Strom Pipeline'!R55="to be offered")+('MiT Strom Pipeline'!R55="on hold"))*('MiT Strom Pipeline'!B55&lt;&gt;""))&gt;0,IF('MiT Strom Pipeline'!D55="","",'MiT Strom Pipeline'!D55),"")</f>
        <v>Elektroinstallation</v>
      </c>
      <c r="E124" s="27" t="str">
        <f>IF(((('MiT Strom Pipeline'!R55="offered")+('MiT Strom Pipeline'!R55="to be offered")+('MiT Strom Pipeline'!R55="on hold"))*('MiT Strom Pipeline'!B55&lt;&gt;""))&gt;0,IF('MiT Strom Pipeline'!H55="","",'MiT Strom Pipeline'!H55),"")</f>
        <v>Juli</v>
      </c>
      <c r="F124" s="27" t="str">
        <f>IF(((('MiT Strom Pipeline'!R55="offered")+('MiT Strom Pipeline'!R55="to be offered")+('MiT Strom Pipeline'!R55="on hold"))*('MiT Strom Pipeline'!B55&lt;&gt;""))&gt;0,IF('MiT Strom Pipeline'!E55="","",'MiT Strom Pipeline'!E55),"")</f>
        <v>300 kVA</v>
      </c>
      <c r="G124" s="28">
        <f>IF(((('MiT Strom Pipeline'!R55="offered")+('MiT Strom Pipeline'!R55="to be offered")+('MiT Strom Pipeline'!R55="on hold"))*('MiT Strom Pipeline'!B55&lt;&gt;""))&gt;0,IF(ISNUMBER('MiT Strom Pipeline'!I55),'MiT Strom Pipeline'!I55,0),"")</f>
        <v>13866.21</v>
      </c>
      <c r="H124" s="28">
        <f>IF(((('MiT Strom Pipeline'!R55="offered")+('MiT Strom Pipeline'!R55="to be offered")+('MiT Strom Pipeline'!R55="on hold"))*('MiT Strom Pipeline'!B55&lt;&gt;""))&gt;0,IF(ISNUMBER('MiT Strom Pipeline'!Q55),'MiT Strom Pipeline'!Q55,0),"")</f>
        <v>6933.105</v>
      </c>
      <c r="I124" s="27" t="str">
        <f>IF(((('MiT Strom Pipeline'!R55="offered")+('MiT Strom Pipeline'!R55="to be offered")+('MiT Strom Pipeline'!R55="on hold"))*('MiT Strom Pipeline'!B55&lt;&gt;""))&gt;0,'MiT Strom Pipeline'!R55,"")</f>
        <v>offered</v>
      </c>
      <c r="J124" s="29">
        <f>IF(((('MiT Strom Pipeline'!R55="offered")+('MiT Strom Pipeline'!R55="to be offered")+('MiT Strom Pipeline'!R55="on hold"))*('MiT Strom Pipeline'!B55&lt;&gt;""))&gt;0,IF(ISNUMBER('MiT Strom Pipeline'!S55),'MiT Strom Pipeline'!S55,""),"")</f>
        <v>0.5</v>
      </c>
      <c r="K124" s="27" t="str">
        <f>IF(((('MiT Strom Pipeline'!R55="offered")+('MiT Strom Pipeline'!R55="to be offered")+('MiT Strom Pipeline'!R55="on hold"))*('MiT Strom Pipeline'!B55&lt;&gt;""))&gt;0,IF(LEN('MiT Strom Pipeline'!V55)&gt;0,LEFT('MiT Strom Pipeline'!V55,55),""),"")</f>
        <v>Kunde angeschrieben, Offerte erstellt, Kunde hat Offert</v>
      </c>
      <c r="L124" s="22" t="n"/>
      <c r="M124" s="22" t="n"/>
      <c r="N124" s="22" t="n"/>
      <c r="O124" s="22" t="n"/>
      <c r="P124" s="22" t="n"/>
      <c r="Q124" s="22" t="n"/>
      <c r="R124" s="22" t="n"/>
      <c r="S124" s="22" t="n"/>
    </row>
    <row r="125" ht="15.75" customHeight="1">
      <c r="A125" s="26">
        <f>IF(((('MiT Strom Pipeline'!R56="offered")+('MiT Strom Pipeline'!R56="to be offered")+('MiT Strom Pipeline'!R56="on hold"))*('MiT Strom Pipeline'!B56&lt;&gt;""))&gt;0,IF(ISNUMBER('MiT Strom Pipeline'!A56),'MiT Strom Pipeline'!A56,""),"")</f>
        <v/>
      </c>
      <c r="B125" s="27">
        <f>IF(((('MiT Strom Pipeline'!R56="offered")+('MiT Strom Pipeline'!R56="to be offered")+('MiT Strom Pipeline'!R56="on hold"))*('MiT Strom Pipeline'!B56&lt;&gt;""))&gt;0,IF('MiT Strom Pipeline'!B56="","",'MiT Strom Pipeline'!B56),"")</f>
        <v/>
      </c>
      <c r="C125" s="27">
        <f>IF(((('MiT Strom Pipeline'!R56="offered")+('MiT Strom Pipeline'!R56="to be offered")+('MiT Strom Pipeline'!R56="on hold"))*('MiT Strom Pipeline'!B56&lt;&gt;""))&gt;0,IF('MiT Strom Pipeline'!C56="","",'MiT Strom Pipeline'!C56),"")</f>
        <v/>
      </c>
      <c r="D125" s="27">
        <f>IF(((('MiT Strom Pipeline'!R56="offered")+('MiT Strom Pipeline'!R56="to be offered")+('MiT Strom Pipeline'!R56="on hold"))*('MiT Strom Pipeline'!B56&lt;&gt;""))&gt;0,IF('MiT Strom Pipeline'!D56="","",'MiT Strom Pipeline'!D56),"")</f>
        <v/>
      </c>
      <c r="E125" s="27">
        <f>IF(((('MiT Strom Pipeline'!R56="offered")+('MiT Strom Pipeline'!R56="to be offered")+('MiT Strom Pipeline'!R56="on hold"))*('MiT Strom Pipeline'!B56&lt;&gt;""))&gt;0,IF('MiT Strom Pipeline'!H56="","",'MiT Strom Pipeline'!H56),"")</f>
        <v/>
      </c>
      <c r="F125" s="27">
        <f>IF(((('MiT Strom Pipeline'!R56="offered")+('MiT Strom Pipeline'!R56="to be offered")+('MiT Strom Pipeline'!R56="on hold"))*('MiT Strom Pipeline'!B56&lt;&gt;""))&gt;0,IF('MiT Strom Pipeline'!E56="","",'MiT Strom Pipeline'!E56),"")</f>
        <v/>
      </c>
      <c r="G125" s="28">
        <f>IF(((('MiT Strom Pipeline'!R56="offered")+('MiT Strom Pipeline'!R56="to be offered")+('MiT Strom Pipeline'!R56="on hold"))*('MiT Strom Pipeline'!B56&lt;&gt;""))&gt;0,IF(ISNUMBER('MiT Strom Pipeline'!I56),'MiT Strom Pipeline'!I56,0),"")</f>
        <v/>
      </c>
      <c r="H125" s="28">
        <f>IF(((('MiT Strom Pipeline'!R56="offered")+('MiT Strom Pipeline'!R56="to be offered")+('MiT Strom Pipeline'!R56="on hold"))*('MiT Strom Pipeline'!B56&lt;&gt;""))&gt;0,IF(ISNUMBER('MiT Strom Pipeline'!Q56),'MiT Strom Pipeline'!Q56,0),"")</f>
        <v/>
      </c>
      <c r="I125" s="27">
        <f>IF(((('MiT Strom Pipeline'!R56="offered")+('MiT Strom Pipeline'!R56="to be offered")+('MiT Strom Pipeline'!R56="on hold"))*('MiT Strom Pipeline'!B56&lt;&gt;""))&gt;0,'MiT Strom Pipeline'!R56,"")</f>
        <v/>
      </c>
      <c r="J125" s="29">
        <f>IF(((('MiT Strom Pipeline'!R56="offered")+('MiT Strom Pipeline'!R56="to be offered")+('MiT Strom Pipeline'!R56="on hold"))*('MiT Strom Pipeline'!B56&lt;&gt;""))&gt;0,IF(ISNUMBER('MiT Strom Pipeline'!S56),'MiT Strom Pipeline'!S56,""),"")</f>
        <v/>
      </c>
      <c r="K125" s="27">
        <f>IF(((('MiT Strom Pipeline'!R56="offered")+('MiT Strom Pipeline'!R56="to be offered")+('MiT Strom Pipeline'!R56="on hold"))*('MiT Strom Pipeline'!B56&lt;&gt;""))&gt;0,IF(LEN('MiT Strom Pipeline'!V56)&gt;0,LEFT('MiT Strom Pipeline'!V56,55),""),"")</f>
        <v/>
      </c>
      <c r="L125" s="22" t="n"/>
      <c r="M125" s="22" t="n"/>
      <c r="N125" s="22" t="n"/>
      <c r="O125" s="22" t="n"/>
      <c r="P125" s="22" t="n"/>
      <c r="Q125" s="22" t="n"/>
      <c r="R125" s="22" t="n"/>
      <c r="S125" s="22" t="n"/>
    </row>
    <row r="126" ht="15.75" customHeight="1">
      <c r="A126" s="26">
        <f>IF(((('MiT Strom Pipeline'!R57="offered")+('MiT Strom Pipeline'!R57="to be offered")+('MiT Strom Pipeline'!R57="on hold"))*('MiT Strom Pipeline'!B57&lt;&gt;""))&gt;0,IF(ISNUMBER('MiT Strom Pipeline'!A57),'MiT Strom Pipeline'!A57,""),"")</f>
        <v/>
      </c>
      <c r="B126" s="27">
        <f>IF(((('MiT Strom Pipeline'!R57="offered")+('MiT Strom Pipeline'!R57="to be offered")+('MiT Strom Pipeline'!R57="on hold"))*('MiT Strom Pipeline'!B57&lt;&gt;""))&gt;0,IF('MiT Strom Pipeline'!B57="","",'MiT Strom Pipeline'!B57),"")</f>
        <v/>
      </c>
      <c r="C126" s="27">
        <f>IF(((('MiT Strom Pipeline'!R57="offered")+('MiT Strom Pipeline'!R57="to be offered")+('MiT Strom Pipeline'!R57="on hold"))*('MiT Strom Pipeline'!B57&lt;&gt;""))&gt;0,IF('MiT Strom Pipeline'!C57="","",'MiT Strom Pipeline'!C57),"")</f>
        <v/>
      </c>
      <c r="D126" s="27">
        <f>IF(((('MiT Strom Pipeline'!R57="offered")+('MiT Strom Pipeline'!R57="to be offered")+('MiT Strom Pipeline'!R57="on hold"))*('MiT Strom Pipeline'!B57&lt;&gt;""))&gt;0,IF('MiT Strom Pipeline'!D57="","",'MiT Strom Pipeline'!D57),"")</f>
        <v/>
      </c>
      <c r="E126" s="27">
        <f>IF(((('MiT Strom Pipeline'!R57="offered")+('MiT Strom Pipeline'!R57="to be offered")+('MiT Strom Pipeline'!R57="on hold"))*('MiT Strom Pipeline'!B57&lt;&gt;""))&gt;0,IF('MiT Strom Pipeline'!H57="","",'MiT Strom Pipeline'!H57),"")</f>
        <v/>
      </c>
      <c r="F126" s="27">
        <f>IF(((('MiT Strom Pipeline'!R57="offered")+('MiT Strom Pipeline'!R57="to be offered")+('MiT Strom Pipeline'!R57="on hold"))*('MiT Strom Pipeline'!B57&lt;&gt;""))&gt;0,IF('MiT Strom Pipeline'!E57="","",'MiT Strom Pipeline'!E57),"")</f>
        <v/>
      </c>
      <c r="G126" s="28">
        <f>IF(((('MiT Strom Pipeline'!R57="offered")+('MiT Strom Pipeline'!R57="to be offered")+('MiT Strom Pipeline'!R57="on hold"))*('MiT Strom Pipeline'!B57&lt;&gt;""))&gt;0,IF(ISNUMBER('MiT Strom Pipeline'!I57),'MiT Strom Pipeline'!I57,0),"")</f>
        <v/>
      </c>
      <c r="H126" s="28">
        <f>IF(((('MiT Strom Pipeline'!R57="offered")+('MiT Strom Pipeline'!R57="to be offered")+('MiT Strom Pipeline'!R57="on hold"))*('MiT Strom Pipeline'!B57&lt;&gt;""))&gt;0,IF(ISNUMBER('MiT Strom Pipeline'!Q57),'MiT Strom Pipeline'!Q57,0),"")</f>
        <v/>
      </c>
      <c r="I126" s="27">
        <f>IF(((('MiT Strom Pipeline'!R57="offered")+('MiT Strom Pipeline'!R57="to be offered")+('MiT Strom Pipeline'!R57="on hold"))*('MiT Strom Pipeline'!B57&lt;&gt;""))&gt;0,'MiT Strom Pipeline'!R57,"")</f>
        <v/>
      </c>
      <c r="J126" s="29">
        <f>IF(((('MiT Strom Pipeline'!R57="offered")+('MiT Strom Pipeline'!R57="to be offered")+('MiT Strom Pipeline'!R57="on hold"))*('MiT Strom Pipeline'!B57&lt;&gt;""))&gt;0,IF(ISNUMBER('MiT Strom Pipeline'!S57),'MiT Strom Pipeline'!S57,""),"")</f>
        <v/>
      </c>
      <c r="K126" s="27">
        <f>IF(((('MiT Strom Pipeline'!R57="offered")+('MiT Strom Pipeline'!R57="to be offered")+('MiT Strom Pipeline'!R57="on hold"))*('MiT Strom Pipeline'!B57&lt;&gt;""))&gt;0,IF(LEN('MiT Strom Pipeline'!V57)&gt;0,LEFT('MiT Strom Pipeline'!V57,55),""),"")</f>
        <v/>
      </c>
      <c r="L126" s="22" t="n"/>
      <c r="M126" s="22" t="n"/>
      <c r="N126" s="22" t="n"/>
      <c r="O126" s="22" t="n"/>
      <c r="P126" s="22" t="n"/>
      <c r="Q126" s="22" t="n"/>
      <c r="R126" s="22" t="n"/>
      <c r="S126" s="22" t="n"/>
    </row>
    <row r="127" ht="15.75" customHeight="1">
      <c r="A127" s="26">
        <f>IF(((('MiT Strom Pipeline'!R58="offered")+('MiT Strom Pipeline'!R58="to be offered")+('MiT Strom Pipeline'!R58="on hold"))*('MiT Strom Pipeline'!B58&lt;&gt;""))&gt;0,IF(ISNUMBER('MiT Strom Pipeline'!A58),'MiT Strom Pipeline'!A58,""),"")</f>
        <v>48</v>
      </c>
      <c r="B127" s="27" t="str">
        <f>IF(((('MiT Strom Pipeline'!R58="offered")+('MiT Strom Pipeline'!R58="to be offered")+('MiT Strom Pipeline'!R58="on hold"))*('MiT Strom Pipeline'!B58&lt;&gt;""))&gt;0,IF('MiT Strom Pipeline'!B58="","",'MiT Strom Pipeline'!B58),"")</f>
        <v>Coutaz CVS SA</v>
      </c>
      <c r="C127" s="27" t="str">
        <f>IF(((('MiT Strom Pipeline'!R58="offered")+('MiT Strom Pipeline'!R58="to be offered")+('MiT Strom Pipeline'!R58="on hold"))*('MiT Strom Pipeline'!B58&lt;&gt;""))&gt;0,IF('MiT Strom Pipeline'!C58="","",'MiT Strom Pipeline'!C58),"")</f>
        <v>VS</v>
      </c>
      <c r="D127" s="27" t="str">
        <f>IF(((('MiT Strom Pipeline'!R58="offered")+('MiT Strom Pipeline'!R58="to be offered")+('MiT Strom Pipeline'!R58="on hold"))*('MiT Strom Pipeline'!B58&lt;&gt;""))&gt;0,IF('MiT Strom Pipeline'!D58="","",'MiT Strom Pipeline'!D58),"")</f>
        <v>EVU</v>
      </c>
      <c r="E127" s="27" t="str">
        <f>IF(((('MiT Strom Pipeline'!R58="offered")+('MiT Strom Pipeline'!R58="to be offered")+('MiT Strom Pipeline'!R58="on hold"))*('MiT Strom Pipeline'!B58&lt;&gt;""))&gt;0,IF('MiT Strom Pipeline'!H58="","",'MiT Strom Pipeline'!H58),"")</f>
        <v>Okt</v>
      </c>
      <c r="F127" s="27" t="str">
        <f>IF(((('MiT Strom Pipeline'!R58="offered")+('MiT Strom Pipeline'!R58="to be offered")+('MiT Strom Pipeline'!R58="on hold"))*('MiT Strom Pipeline'!B58&lt;&gt;""))&gt;0,IF('MiT Strom Pipeline'!E58="","",'MiT Strom Pipeline'!E58),"")</f>
        <v>600 kVA, 200 kVA</v>
      </c>
      <c r="G127" s="28">
        <f>IF(((('MiT Strom Pipeline'!R58="offered")+('MiT Strom Pipeline'!R58="to be offered")+('MiT Strom Pipeline'!R58="on hold"))*('MiT Strom Pipeline'!B58&lt;&gt;""))&gt;0,IF(ISNUMBER('MiT Strom Pipeline'!I58),'MiT Strom Pipeline'!I58,0),"")</f>
        <v>190701.37</v>
      </c>
      <c r="H127" s="28">
        <f>IF(((('MiT Strom Pipeline'!R58="offered")+('MiT Strom Pipeline'!R58="to be offered")+('MiT Strom Pipeline'!R58="on hold"))*('MiT Strom Pipeline'!B58&lt;&gt;""))&gt;0,IF(ISNUMBER('MiT Strom Pipeline'!Q58),'MiT Strom Pipeline'!Q58,0),"")</f>
        <v>95350.685</v>
      </c>
      <c r="I127" s="27" t="str">
        <f>IF(((('MiT Strom Pipeline'!R58="offered")+('MiT Strom Pipeline'!R58="to be offered")+('MiT Strom Pipeline'!R58="on hold"))*('MiT Strom Pipeline'!B58&lt;&gt;""))&gt;0,'MiT Strom Pipeline'!R58,"")</f>
        <v>offered</v>
      </c>
      <c r="J127" s="29">
        <f>IF(((('MiT Strom Pipeline'!R58="offered")+('MiT Strom Pipeline'!R58="to be offered")+('MiT Strom Pipeline'!R58="on hold"))*('MiT Strom Pipeline'!B58&lt;&gt;""))&gt;0,IF(ISNUMBER('MiT Strom Pipeline'!S58),'MiT Strom Pipeline'!S58,""),"")</f>
        <v>0.5</v>
      </c>
      <c r="K127" s="27" t="str">
        <f>IF(((('MiT Strom Pipeline'!R58="offered")+('MiT Strom Pipeline'!R58="to be offered")+('MiT Strom Pipeline'!R58="on hold"))*('MiT Strom Pipeline'!B58&lt;&gt;""))&gt;0,IF(LEN('MiT Strom Pipeline'!V58)&gt;0,LEFT('MiT Strom Pipeline'!V58,55),""),"")</f>
        <v>Kunde angeschrieben, Offerte erstellt, Kunde hat Offert</v>
      </c>
      <c r="L127" s="22" t="n"/>
      <c r="M127" s="22" t="n"/>
      <c r="N127" s="22" t="n"/>
      <c r="O127" s="22" t="n"/>
      <c r="P127" s="22" t="n"/>
      <c r="Q127" s="22" t="n"/>
      <c r="R127" s="22" t="n"/>
      <c r="S127" s="22" t="n"/>
    </row>
    <row r="128" ht="15.75" customHeight="1">
      <c r="A128" s="26">
        <f>IF(((('MiT Strom Pipeline'!R59="offered")+('MiT Strom Pipeline'!R59="to be offered")+('MiT Strom Pipeline'!R59="on hold"))*('MiT Strom Pipeline'!B59&lt;&gt;""))&gt;0,IF(ISNUMBER('MiT Strom Pipeline'!A59),'MiT Strom Pipeline'!A59,""),"")</f>
        <v>49</v>
      </c>
      <c r="B128" s="27" t="str">
        <f>IF(((('MiT Strom Pipeline'!R59="offered")+('MiT Strom Pipeline'!R59="to be offered")+('MiT Strom Pipeline'!R59="on hold"))*('MiT Strom Pipeline'!B59&lt;&gt;""))&gt;0,IF('MiT Strom Pipeline'!B59="","",'MiT Strom Pipeline'!B59),"")</f>
        <v>Romand Energei SA</v>
      </c>
      <c r="C128" s="27" t="str">
        <f>IF(((('MiT Strom Pipeline'!R59="offered")+('MiT Strom Pipeline'!R59="to be offered")+('MiT Strom Pipeline'!R59="on hold"))*('MiT Strom Pipeline'!B59&lt;&gt;""))&gt;0,IF('MiT Strom Pipeline'!C59="","",'MiT Strom Pipeline'!C59),"")</f>
        <v>VS</v>
      </c>
      <c r="D128" s="27" t="str">
        <f>IF(((('MiT Strom Pipeline'!R59="offered")+('MiT Strom Pipeline'!R59="to be offered")+('MiT Strom Pipeline'!R59="on hold"))*('MiT Strom Pipeline'!B59&lt;&gt;""))&gt;0,IF('MiT Strom Pipeline'!D59="","",'MiT Strom Pipeline'!D59),"")</f>
        <v>EVU</v>
      </c>
      <c r="E128" s="27" t="str">
        <f>IF(((('MiT Strom Pipeline'!R59="offered")+('MiT Strom Pipeline'!R59="to be offered")+('MiT Strom Pipeline'!R59="on hold"))*('MiT Strom Pipeline'!B59&lt;&gt;""))&gt;0,IF('MiT Strom Pipeline'!H59="","",'MiT Strom Pipeline'!H59),"")</f>
        <v>Aug</v>
      </c>
      <c r="F128" s="27" t="str">
        <f>IF(((('MiT Strom Pipeline'!R59="offered")+('MiT Strom Pipeline'!R59="to be offered")+('MiT Strom Pipeline'!R59="on hold"))*('MiT Strom Pipeline'!B59&lt;&gt;""))&gt;0,IF('MiT Strom Pipeline'!E59="","",'MiT Strom Pipeline'!E59),"")</f>
        <v>600 kVA</v>
      </c>
      <c r="G128" s="28">
        <f>IF(((('MiT Strom Pipeline'!R59="offered")+('MiT Strom Pipeline'!R59="to be offered")+('MiT Strom Pipeline'!R59="on hold"))*('MiT Strom Pipeline'!B59&lt;&gt;""))&gt;0,IF(ISNUMBER('MiT Strom Pipeline'!I59),'MiT Strom Pipeline'!I59,0),"")</f>
        <v>32467.62</v>
      </c>
      <c r="H128" s="28">
        <f>IF(((('MiT Strom Pipeline'!R59="offered")+('MiT Strom Pipeline'!R59="to be offered")+('MiT Strom Pipeline'!R59="on hold"))*('MiT Strom Pipeline'!B59&lt;&gt;""))&gt;0,IF(ISNUMBER('MiT Strom Pipeline'!Q59),'MiT Strom Pipeline'!Q59,0),"")</f>
        <v>16233.81</v>
      </c>
      <c r="I128" s="27" t="str">
        <f>IF(((('MiT Strom Pipeline'!R59="offered")+('MiT Strom Pipeline'!R59="to be offered")+('MiT Strom Pipeline'!R59="on hold"))*('MiT Strom Pipeline'!B59&lt;&gt;""))&gt;0,'MiT Strom Pipeline'!R59,"")</f>
        <v>offered</v>
      </c>
      <c r="J128" s="29">
        <f>IF(((('MiT Strom Pipeline'!R59="offered")+('MiT Strom Pipeline'!R59="to be offered")+('MiT Strom Pipeline'!R59="on hold"))*('MiT Strom Pipeline'!B59&lt;&gt;""))&gt;0,IF(ISNUMBER('MiT Strom Pipeline'!S59),'MiT Strom Pipeline'!S59,""),"")</f>
        <v>0.5</v>
      </c>
      <c r="K128" s="27" t="str">
        <f>IF(((('MiT Strom Pipeline'!R59="offered")+('MiT Strom Pipeline'!R59="to be offered")+('MiT Strom Pipeline'!R59="on hold"))*('MiT Strom Pipeline'!B59&lt;&gt;""))&gt;0,IF(LEN('MiT Strom Pipeline'!V59)&gt;0,LEFT('MiT Strom Pipeline'!V59,55),""),"")</f>
        <v>Kunde angeschrieben, Offerte erstellt, Kunde hat Offert</v>
      </c>
      <c r="L128" s="22" t="n"/>
      <c r="M128" s="22" t="n"/>
      <c r="N128" s="22" t="n"/>
      <c r="O128" s="22" t="n"/>
      <c r="P128" s="22" t="n"/>
      <c r="Q128" s="22" t="n"/>
      <c r="R128" s="22" t="n"/>
      <c r="S128" s="22" t="n"/>
    </row>
    <row r="129" ht="15.75" customHeight="1">
      <c r="A129" s="26">
        <f>IF(((('MiT Strom Pipeline'!R60="offered")+('MiT Strom Pipeline'!R60="to be offered")+('MiT Strom Pipeline'!R60="on hold"))*('MiT Strom Pipeline'!B60&lt;&gt;""))&gt;0,IF(ISNUMBER('MiT Strom Pipeline'!A60),'MiT Strom Pipeline'!A60,""),"")</f>
        <v>50</v>
      </c>
      <c r="B129" s="27" t="str">
        <f>IF(((('MiT Strom Pipeline'!R60="offered")+('MiT Strom Pipeline'!R60="to be offered")+('MiT Strom Pipeline'!R60="on hold"))*('MiT Strom Pipeline'!B60&lt;&gt;""))&gt;0,IF('MiT Strom Pipeline'!B60="","",'MiT Strom Pipeline'!B60),"")</f>
        <v>EIDG AMT Agroscope</v>
      </c>
      <c r="C129" s="27" t="str">
        <f>IF(((('MiT Strom Pipeline'!R60="offered")+('MiT Strom Pipeline'!R60="to be offered")+('MiT Strom Pipeline'!R60="on hold"))*('MiT Strom Pipeline'!B60&lt;&gt;""))&gt;0,IF('MiT Strom Pipeline'!C60="","",'MiT Strom Pipeline'!C60),"")</f>
        <v>ZH</v>
      </c>
      <c r="D129" s="27" t="str">
        <f>IF(((('MiT Strom Pipeline'!R60="offered")+('MiT Strom Pipeline'!R60="to be offered")+('MiT Strom Pipeline'!R60="on hold"))*('MiT Strom Pipeline'!B60&lt;&gt;""))&gt;0,IF('MiT Strom Pipeline'!D60="","",'MiT Strom Pipeline'!D60),"")</f>
        <v>Forschung</v>
      </c>
      <c r="E129" s="27" t="str">
        <f>IF(((('MiT Strom Pipeline'!R60="offered")+('MiT Strom Pipeline'!R60="to be offered")+('MiT Strom Pipeline'!R60="on hold"))*('MiT Strom Pipeline'!B60&lt;&gt;""))&gt;0,IF('MiT Strom Pipeline'!H60="","",'MiT Strom Pipeline'!H60),"")</f>
        <v>Aug</v>
      </c>
      <c r="F129" s="27" t="str">
        <f>IF(((('MiT Strom Pipeline'!R60="offered")+('MiT Strom Pipeline'!R60="to be offered")+('MiT Strom Pipeline'!R60="on hold"))*('MiT Strom Pipeline'!B60&lt;&gt;""))&gt;0,IF('MiT Strom Pipeline'!E60="","",'MiT Strom Pipeline'!E60),"")</f>
        <v>450 kVA</v>
      </c>
      <c r="G129" s="28">
        <f>IF(((('MiT Strom Pipeline'!R60="offered")+('MiT Strom Pipeline'!R60="to be offered")+('MiT Strom Pipeline'!R60="on hold"))*('MiT Strom Pipeline'!B60&lt;&gt;""))&gt;0,IF(ISNUMBER('MiT Strom Pipeline'!I60),'MiT Strom Pipeline'!I60,0),"")</f>
        <v>5257.44</v>
      </c>
      <c r="H129" s="28">
        <f>IF(((('MiT Strom Pipeline'!R60="offered")+('MiT Strom Pipeline'!R60="to be offered")+('MiT Strom Pipeline'!R60="on hold"))*('MiT Strom Pipeline'!B60&lt;&gt;""))&gt;0,IF(ISNUMBER('MiT Strom Pipeline'!Q60),'MiT Strom Pipeline'!Q60,0),"")</f>
        <v>2628.72</v>
      </c>
      <c r="I129" s="27" t="str">
        <f>IF(((('MiT Strom Pipeline'!R60="offered")+('MiT Strom Pipeline'!R60="to be offered")+('MiT Strom Pipeline'!R60="on hold"))*('MiT Strom Pipeline'!B60&lt;&gt;""))&gt;0,'MiT Strom Pipeline'!R60,"")</f>
        <v>offered</v>
      </c>
      <c r="J129" s="29">
        <f>IF(((('MiT Strom Pipeline'!R60="offered")+('MiT Strom Pipeline'!R60="to be offered")+('MiT Strom Pipeline'!R60="on hold"))*('MiT Strom Pipeline'!B60&lt;&gt;""))&gt;0,IF(ISNUMBER('MiT Strom Pipeline'!S60),'MiT Strom Pipeline'!S60,""),"")</f>
        <v>0.5</v>
      </c>
      <c r="K129" s="27" t="str">
        <f>IF(((('MiT Strom Pipeline'!R60="offered")+('MiT Strom Pipeline'!R60="to be offered")+('MiT Strom Pipeline'!R60="on hold"))*('MiT Strom Pipeline'!B60&lt;&gt;""))&gt;0,IF(LEN('MiT Strom Pipeline'!V60)&gt;0,LEFT('MiT Strom Pipeline'!V60,55),""),"")</f>
        <v>Kunde angeschrieben, Offerte erstellt, Kunde hat Offert</v>
      </c>
      <c r="L129" s="22" t="n"/>
      <c r="M129" s="22" t="n"/>
      <c r="N129" s="22" t="n"/>
      <c r="O129" s="22" t="n"/>
      <c r="P129" s="22" t="n"/>
      <c r="Q129" s="22" t="n"/>
      <c r="R129" s="22" t="n"/>
      <c r="S129" s="22" t="n"/>
    </row>
    <row r="130" ht="15.75" customHeight="1">
      <c r="A130" s="26">
        <f>IF(((('MiT Strom Pipeline'!R61="offered")+('MiT Strom Pipeline'!R61="to be offered")+('MiT Strom Pipeline'!R61="on hold"))*('MiT Strom Pipeline'!B61&lt;&gt;""))&gt;0,IF(ISNUMBER('MiT Strom Pipeline'!A61),'MiT Strom Pipeline'!A61,""),"")</f>
        <v/>
      </c>
      <c r="B130" s="27">
        <f>IF(((('MiT Strom Pipeline'!R61="offered")+('MiT Strom Pipeline'!R61="to be offered")+('MiT Strom Pipeline'!R61="on hold"))*('MiT Strom Pipeline'!B61&lt;&gt;""))&gt;0,IF('MiT Strom Pipeline'!B61="","",'MiT Strom Pipeline'!B61),"")</f>
        <v/>
      </c>
      <c r="C130" s="27">
        <f>IF(((('MiT Strom Pipeline'!R61="offered")+('MiT Strom Pipeline'!R61="to be offered")+('MiT Strom Pipeline'!R61="on hold"))*('MiT Strom Pipeline'!B61&lt;&gt;""))&gt;0,IF('MiT Strom Pipeline'!C61="","",'MiT Strom Pipeline'!C61),"")</f>
        <v/>
      </c>
      <c r="D130" s="27">
        <f>IF(((('MiT Strom Pipeline'!R61="offered")+('MiT Strom Pipeline'!R61="to be offered")+('MiT Strom Pipeline'!R61="on hold"))*('MiT Strom Pipeline'!B61&lt;&gt;""))&gt;0,IF('MiT Strom Pipeline'!D61="","",'MiT Strom Pipeline'!D61),"")</f>
        <v/>
      </c>
      <c r="E130" s="27">
        <f>IF(((('MiT Strom Pipeline'!R61="offered")+('MiT Strom Pipeline'!R61="to be offered")+('MiT Strom Pipeline'!R61="on hold"))*('MiT Strom Pipeline'!B61&lt;&gt;""))&gt;0,IF('MiT Strom Pipeline'!H61="","",'MiT Strom Pipeline'!H61),"")</f>
        <v/>
      </c>
      <c r="F130" s="27">
        <f>IF(((('MiT Strom Pipeline'!R61="offered")+('MiT Strom Pipeline'!R61="to be offered")+('MiT Strom Pipeline'!R61="on hold"))*('MiT Strom Pipeline'!B61&lt;&gt;""))&gt;0,IF('MiT Strom Pipeline'!E61="","",'MiT Strom Pipeline'!E61),"")</f>
        <v/>
      </c>
      <c r="G130" s="28">
        <f>IF(((('MiT Strom Pipeline'!R61="offered")+('MiT Strom Pipeline'!R61="to be offered")+('MiT Strom Pipeline'!R61="on hold"))*('MiT Strom Pipeline'!B61&lt;&gt;""))&gt;0,IF(ISNUMBER('MiT Strom Pipeline'!I61),'MiT Strom Pipeline'!I61,0),"")</f>
        <v/>
      </c>
      <c r="H130" s="28">
        <f>IF(((('MiT Strom Pipeline'!R61="offered")+('MiT Strom Pipeline'!R61="to be offered")+('MiT Strom Pipeline'!R61="on hold"))*('MiT Strom Pipeline'!B61&lt;&gt;""))&gt;0,IF(ISNUMBER('MiT Strom Pipeline'!Q61),'MiT Strom Pipeline'!Q61,0),"")</f>
        <v/>
      </c>
      <c r="I130" s="27">
        <f>IF(((('MiT Strom Pipeline'!R61="offered")+('MiT Strom Pipeline'!R61="to be offered")+('MiT Strom Pipeline'!R61="on hold"))*('MiT Strom Pipeline'!B61&lt;&gt;""))&gt;0,'MiT Strom Pipeline'!R61,"")</f>
        <v/>
      </c>
      <c r="J130" s="29">
        <f>IF(((('MiT Strom Pipeline'!R61="offered")+('MiT Strom Pipeline'!R61="to be offered")+('MiT Strom Pipeline'!R61="on hold"))*('MiT Strom Pipeline'!B61&lt;&gt;""))&gt;0,IF(ISNUMBER('MiT Strom Pipeline'!S61),'MiT Strom Pipeline'!S61,""),"")</f>
        <v/>
      </c>
      <c r="K130" s="27">
        <f>IF(((('MiT Strom Pipeline'!R61="offered")+('MiT Strom Pipeline'!R61="to be offered")+('MiT Strom Pipeline'!R61="on hold"))*('MiT Strom Pipeline'!B61&lt;&gt;""))&gt;0,IF(LEN('MiT Strom Pipeline'!V61)&gt;0,LEFT('MiT Strom Pipeline'!V61,55),""),"")</f>
        <v/>
      </c>
      <c r="L130" s="22" t="n"/>
      <c r="M130" s="22" t="n"/>
      <c r="N130" s="22" t="n"/>
      <c r="O130" s="22" t="n"/>
      <c r="P130" s="22" t="n"/>
      <c r="Q130" s="22" t="n"/>
      <c r="R130" s="22" t="n"/>
      <c r="S130" s="22" t="n"/>
    </row>
    <row r="131" ht="15.75" customHeight="1">
      <c r="A131" s="26">
        <f>IF(((('MiT Strom Pipeline'!R62="offered")+('MiT Strom Pipeline'!R62="to be offered")+('MiT Strom Pipeline'!R62="on hold"))*('MiT Strom Pipeline'!B62&lt;&gt;""))&gt;0,IF(ISNUMBER('MiT Strom Pipeline'!A62),'MiT Strom Pipeline'!A62,""),"")</f>
        <v/>
      </c>
      <c r="B131" s="27">
        <f>IF(((('MiT Strom Pipeline'!R62="offered")+('MiT Strom Pipeline'!R62="to be offered")+('MiT Strom Pipeline'!R62="on hold"))*('MiT Strom Pipeline'!B62&lt;&gt;""))&gt;0,IF('MiT Strom Pipeline'!B62="","",'MiT Strom Pipeline'!B62),"")</f>
        <v/>
      </c>
      <c r="C131" s="27">
        <f>IF(((('MiT Strom Pipeline'!R62="offered")+('MiT Strom Pipeline'!R62="to be offered")+('MiT Strom Pipeline'!R62="on hold"))*('MiT Strom Pipeline'!B62&lt;&gt;""))&gt;0,IF('MiT Strom Pipeline'!C62="","",'MiT Strom Pipeline'!C62),"")</f>
        <v/>
      </c>
      <c r="D131" s="27">
        <f>IF(((('MiT Strom Pipeline'!R62="offered")+('MiT Strom Pipeline'!R62="to be offered")+('MiT Strom Pipeline'!R62="on hold"))*('MiT Strom Pipeline'!B62&lt;&gt;""))&gt;0,IF('MiT Strom Pipeline'!D62="","",'MiT Strom Pipeline'!D62),"")</f>
        <v/>
      </c>
      <c r="E131" s="27">
        <f>IF(((('MiT Strom Pipeline'!R62="offered")+('MiT Strom Pipeline'!R62="to be offered")+('MiT Strom Pipeline'!R62="on hold"))*('MiT Strom Pipeline'!B62&lt;&gt;""))&gt;0,IF('MiT Strom Pipeline'!H62="","",'MiT Strom Pipeline'!H62),"")</f>
        <v/>
      </c>
      <c r="F131" s="27">
        <f>IF(((('MiT Strom Pipeline'!R62="offered")+('MiT Strom Pipeline'!R62="to be offered")+('MiT Strom Pipeline'!R62="on hold"))*('MiT Strom Pipeline'!B62&lt;&gt;""))&gt;0,IF('MiT Strom Pipeline'!E62="","",'MiT Strom Pipeline'!E62),"")</f>
        <v/>
      </c>
      <c r="G131" s="28">
        <f>IF(((('MiT Strom Pipeline'!R62="offered")+('MiT Strom Pipeline'!R62="to be offered")+('MiT Strom Pipeline'!R62="on hold"))*('MiT Strom Pipeline'!B62&lt;&gt;""))&gt;0,IF(ISNUMBER('MiT Strom Pipeline'!I62),'MiT Strom Pipeline'!I62,0),"")</f>
        <v/>
      </c>
      <c r="H131" s="28">
        <f>IF(((('MiT Strom Pipeline'!R62="offered")+('MiT Strom Pipeline'!R62="to be offered")+('MiT Strom Pipeline'!R62="on hold"))*('MiT Strom Pipeline'!B62&lt;&gt;""))&gt;0,IF(ISNUMBER('MiT Strom Pipeline'!Q62),'MiT Strom Pipeline'!Q62,0),"")</f>
        <v/>
      </c>
      <c r="I131" s="27">
        <f>IF(((('MiT Strom Pipeline'!R62="offered")+('MiT Strom Pipeline'!R62="to be offered")+('MiT Strom Pipeline'!R62="on hold"))*('MiT Strom Pipeline'!B62&lt;&gt;""))&gt;0,'MiT Strom Pipeline'!R62,"")</f>
        <v/>
      </c>
      <c r="J131" s="29">
        <f>IF(((('MiT Strom Pipeline'!R62="offered")+('MiT Strom Pipeline'!R62="to be offered")+('MiT Strom Pipeline'!R62="on hold"))*('MiT Strom Pipeline'!B62&lt;&gt;""))&gt;0,IF(ISNUMBER('MiT Strom Pipeline'!S62),'MiT Strom Pipeline'!S62,""),"")</f>
        <v/>
      </c>
      <c r="K131" s="27">
        <f>IF(((('MiT Strom Pipeline'!R62="offered")+('MiT Strom Pipeline'!R62="to be offered")+('MiT Strom Pipeline'!R62="on hold"))*('MiT Strom Pipeline'!B62&lt;&gt;""))&gt;0,IF(LEN('MiT Strom Pipeline'!V62)&gt;0,LEFT('MiT Strom Pipeline'!V62,55),""),"")</f>
        <v/>
      </c>
      <c r="L131" s="22" t="n"/>
      <c r="M131" s="22" t="n"/>
      <c r="N131" s="22" t="n"/>
      <c r="O131" s="22" t="n"/>
      <c r="P131" s="22" t="n"/>
      <c r="Q131" s="22" t="n"/>
      <c r="R131" s="22" t="n"/>
      <c r="S131" s="22" t="n"/>
    </row>
    <row r="132" ht="15.75" customHeight="1">
      <c r="A132" s="26">
        <f>IF(((('MiT Strom Pipeline'!R63="offered")+('MiT Strom Pipeline'!R63="to be offered")+('MiT Strom Pipeline'!R63="on hold"))*('MiT Strom Pipeline'!B63&lt;&gt;""))&gt;0,IF(ISNUMBER('MiT Strom Pipeline'!A63),'MiT Strom Pipeline'!A63,""),"")</f>
        <v/>
      </c>
      <c r="B132" s="27">
        <f>IF(((('MiT Strom Pipeline'!R63="offered")+('MiT Strom Pipeline'!R63="to be offered")+('MiT Strom Pipeline'!R63="on hold"))*('MiT Strom Pipeline'!B63&lt;&gt;""))&gt;0,IF('MiT Strom Pipeline'!B63="","",'MiT Strom Pipeline'!B63),"")</f>
        <v/>
      </c>
      <c r="C132" s="27">
        <f>IF(((('MiT Strom Pipeline'!R63="offered")+('MiT Strom Pipeline'!R63="to be offered")+('MiT Strom Pipeline'!R63="on hold"))*('MiT Strom Pipeline'!B63&lt;&gt;""))&gt;0,IF('MiT Strom Pipeline'!C63="","",'MiT Strom Pipeline'!C63),"")</f>
        <v/>
      </c>
      <c r="D132" s="27">
        <f>IF(((('MiT Strom Pipeline'!R63="offered")+('MiT Strom Pipeline'!R63="to be offered")+('MiT Strom Pipeline'!R63="on hold"))*('MiT Strom Pipeline'!B63&lt;&gt;""))&gt;0,IF('MiT Strom Pipeline'!D63="","",'MiT Strom Pipeline'!D63),"")</f>
        <v/>
      </c>
      <c r="E132" s="27">
        <f>IF(((('MiT Strom Pipeline'!R63="offered")+('MiT Strom Pipeline'!R63="to be offered")+('MiT Strom Pipeline'!R63="on hold"))*('MiT Strom Pipeline'!B63&lt;&gt;""))&gt;0,IF('MiT Strom Pipeline'!H63="","",'MiT Strom Pipeline'!H63),"")</f>
        <v/>
      </c>
      <c r="F132" s="27">
        <f>IF(((('MiT Strom Pipeline'!R63="offered")+('MiT Strom Pipeline'!R63="to be offered")+('MiT Strom Pipeline'!R63="on hold"))*('MiT Strom Pipeline'!B63&lt;&gt;""))&gt;0,IF('MiT Strom Pipeline'!E63="","",'MiT Strom Pipeline'!E63),"")</f>
        <v/>
      </c>
      <c r="G132" s="28">
        <f>IF(((('MiT Strom Pipeline'!R63="offered")+('MiT Strom Pipeline'!R63="to be offered")+('MiT Strom Pipeline'!R63="on hold"))*('MiT Strom Pipeline'!B63&lt;&gt;""))&gt;0,IF(ISNUMBER('MiT Strom Pipeline'!I63),'MiT Strom Pipeline'!I63,0),"")</f>
        <v/>
      </c>
      <c r="H132" s="28">
        <f>IF(((('MiT Strom Pipeline'!R63="offered")+('MiT Strom Pipeline'!R63="to be offered")+('MiT Strom Pipeline'!R63="on hold"))*('MiT Strom Pipeline'!B63&lt;&gt;""))&gt;0,IF(ISNUMBER('MiT Strom Pipeline'!Q63),'MiT Strom Pipeline'!Q63,0),"")</f>
        <v/>
      </c>
      <c r="I132" s="27">
        <f>IF(((('MiT Strom Pipeline'!R63="offered")+('MiT Strom Pipeline'!R63="to be offered")+('MiT Strom Pipeline'!R63="on hold"))*('MiT Strom Pipeline'!B63&lt;&gt;""))&gt;0,'MiT Strom Pipeline'!R63,"")</f>
        <v/>
      </c>
      <c r="J132" s="29">
        <f>IF(((('MiT Strom Pipeline'!R63="offered")+('MiT Strom Pipeline'!R63="to be offered")+('MiT Strom Pipeline'!R63="on hold"))*('MiT Strom Pipeline'!B63&lt;&gt;""))&gt;0,IF(ISNUMBER('MiT Strom Pipeline'!S63),'MiT Strom Pipeline'!S63,""),"")</f>
        <v/>
      </c>
      <c r="K132" s="27">
        <f>IF(((('MiT Strom Pipeline'!R63="offered")+('MiT Strom Pipeline'!R63="to be offered")+('MiT Strom Pipeline'!R63="on hold"))*('MiT Strom Pipeline'!B63&lt;&gt;""))&gt;0,IF(LEN('MiT Strom Pipeline'!V63)&gt;0,LEFT('MiT Strom Pipeline'!V63,55),""),"")</f>
        <v/>
      </c>
      <c r="L132" s="22" t="n"/>
      <c r="M132" s="22" t="n"/>
      <c r="N132" s="22" t="n"/>
      <c r="O132" s="22" t="n"/>
      <c r="P132" s="22" t="n"/>
      <c r="Q132" s="22" t="n"/>
      <c r="R132" s="22" t="n"/>
      <c r="S132" s="22" t="n"/>
    </row>
    <row r="133" ht="15.75" customHeight="1">
      <c r="A133" s="26">
        <f>IF(((('MiT Strom Pipeline'!R64="offered")+('MiT Strom Pipeline'!R64="to be offered")+('MiT Strom Pipeline'!R64="on hold"))*('MiT Strom Pipeline'!B64&lt;&gt;""))&gt;0,IF(ISNUMBER('MiT Strom Pipeline'!A64),'MiT Strom Pipeline'!A64,""),"")</f>
        <v/>
      </c>
      <c r="B133" s="27">
        <f>IF(((('MiT Strom Pipeline'!R64="offered")+('MiT Strom Pipeline'!R64="to be offered")+('MiT Strom Pipeline'!R64="on hold"))*('MiT Strom Pipeline'!B64&lt;&gt;""))&gt;0,IF('MiT Strom Pipeline'!B64="","",'MiT Strom Pipeline'!B64),"")</f>
        <v/>
      </c>
      <c r="C133" s="27">
        <f>IF(((('MiT Strom Pipeline'!R64="offered")+('MiT Strom Pipeline'!R64="to be offered")+('MiT Strom Pipeline'!R64="on hold"))*('MiT Strom Pipeline'!B64&lt;&gt;""))&gt;0,IF('MiT Strom Pipeline'!C64="","",'MiT Strom Pipeline'!C64),"")</f>
        <v/>
      </c>
      <c r="D133" s="27">
        <f>IF(((('MiT Strom Pipeline'!R64="offered")+('MiT Strom Pipeline'!R64="to be offered")+('MiT Strom Pipeline'!R64="on hold"))*('MiT Strom Pipeline'!B64&lt;&gt;""))&gt;0,IF('MiT Strom Pipeline'!D64="","",'MiT Strom Pipeline'!D64),"")</f>
        <v/>
      </c>
      <c r="E133" s="27">
        <f>IF(((('MiT Strom Pipeline'!R64="offered")+('MiT Strom Pipeline'!R64="to be offered")+('MiT Strom Pipeline'!R64="on hold"))*('MiT Strom Pipeline'!B64&lt;&gt;""))&gt;0,IF('MiT Strom Pipeline'!H64="","",'MiT Strom Pipeline'!H64),"")</f>
        <v/>
      </c>
      <c r="F133" s="27">
        <f>IF(((('MiT Strom Pipeline'!R64="offered")+('MiT Strom Pipeline'!R64="to be offered")+('MiT Strom Pipeline'!R64="on hold"))*('MiT Strom Pipeline'!B64&lt;&gt;""))&gt;0,IF('MiT Strom Pipeline'!E64="","",'MiT Strom Pipeline'!E64),"")</f>
        <v/>
      </c>
      <c r="G133" s="28">
        <f>IF(((('MiT Strom Pipeline'!R64="offered")+('MiT Strom Pipeline'!R64="to be offered")+('MiT Strom Pipeline'!R64="on hold"))*('MiT Strom Pipeline'!B64&lt;&gt;""))&gt;0,IF(ISNUMBER('MiT Strom Pipeline'!I64),'MiT Strom Pipeline'!I64,0),"")</f>
        <v/>
      </c>
      <c r="H133" s="28">
        <f>IF(((('MiT Strom Pipeline'!R64="offered")+('MiT Strom Pipeline'!R64="to be offered")+('MiT Strom Pipeline'!R64="on hold"))*('MiT Strom Pipeline'!B64&lt;&gt;""))&gt;0,IF(ISNUMBER('MiT Strom Pipeline'!Q64),'MiT Strom Pipeline'!Q64,0),"")</f>
        <v/>
      </c>
      <c r="I133" s="27">
        <f>IF(((('MiT Strom Pipeline'!R64="offered")+('MiT Strom Pipeline'!R64="to be offered")+('MiT Strom Pipeline'!R64="on hold"))*('MiT Strom Pipeline'!B64&lt;&gt;""))&gt;0,'MiT Strom Pipeline'!R64,"")</f>
        <v/>
      </c>
      <c r="J133" s="29">
        <f>IF(((('MiT Strom Pipeline'!R64="offered")+('MiT Strom Pipeline'!R64="to be offered")+('MiT Strom Pipeline'!R64="on hold"))*('MiT Strom Pipeline'!B64&lt;&gt;""))&gt;0,IF(ISNUMBER('MiT Strom Pipeline'!S64),'MiT Strom Pipeline'!S64,""),"")</f>
        <v/>
      </c>
      <c r="K133" s="27">
        <f>IF(((('MiT Strom Pipeline'!R64="offered")+('MiT Strom Pipeline'!R64="to be offered")+('MiT Strom Pipeline'!R64="on hold"))*('MiT Strom Pipeline'!B64&lt;&gt;""))&gt;0,IF(LEN('MiT Strom Pipeline'!V64)&gt;0,LEFT('MiT Strom Pipeline'!V64,55),""),"")</f>
        <v/>
      </c>
      <c r="L133" s="22" t="n"/>
      <c r="M133" s="22" t="n"/>
      <c r="N133" s="22" t="n"/>
      <c r="O133" s="22" t="n"/>
      <c r="P133" s="22" t="n"/>
      <c r="Q133" s="22" t="n"/>
      <c r="R133" s="22" t="n"/>
      <c r="S133" s="22" t="n"/>
    </row>
    <row r="134" ht="15.75" customHeight="1">
      <c r="A134" s="26">
        <f>IF(((('MiT Strom Pipeline'!R65="offered")+('MiT Strom Pipeline'!R65="to be offered")+('MiT Strom Pipeline'!R65="on hold"))*('MiT Strom Pipeline'!B65&lt;&gt;""))&gt;0,IF(ISNUMBER('MiT Strom Pipeline'!A65),'MiT Strom Pipeline'!A65,""),"")</f>
        <v/>
      </c>
      <c r="B134" s="27">
        <f>IF(((('MiT Strom Pipeline'!R65="offered")+('MiT Strom Pipeline'!R65="to be offered")+('MiT Strom Pipeline'!R65="on hold"))*('MiT Strom Pipeline'!B65&lt;&gt;""))&gt;0,IF('MiT Strom Pipeline'!B65="","",'MiT Strom Pipeline'!B65),"")</f>
        <v/>
      </c>
      <c r="C134" s="27">
        <f>IF(((('MiT Strom Pipeline'!R65="offered")+('MiT Strom Pipeline'!R65="to be offered")+('MiT Strom Pipeline'!R65="on hold"))*('MiT Strom Pipeline'!B65&lt;&gt;""))&gt;0,IF('MiT Strom Pipeline'!C65="","",'MiT Strom Pipeline'!C65),"")</f>
        <v/>
      </c>
      <c r="D134" s="27">
        <f>IF(((('MiT Strom Pipeline'!R65="offered")+('MiT Strom Pipeline'!R65="to be offered")+('MiT Strom Pipeline'!R65="on hold"))*('MiT Strom Pipeline'!B65&lt;&gt;""))&gt;0,IF('MiT Strom Pipeline'!D65="","",'MiT Strom Pipeline'!D65),"")</f>
        <v/>
      </c>
      <c r="E134" s="27">
        <f>IF(((('MiT Strom Pipeline'!R65="offered")+('MiT Strom Pipeline'!R65="to be offered")+('MiT Strom Pipeline'!R65="on hold"))*('MiT Strom Pipeline'!B65&lt;&gt;""))&gt;0,IF('MiT Strom Pipeline'!H65="","",'MiT Strom Pipeline'!H65),"")</f>
        <v/>
      </c>
      <c r="F134" s="27">
        <f>IF(((('MiT Strom Pipeline'!R65="offered")+('MiT Strom Pipeline'!R65="to be offered")+('MiT Strom Pipeline'!R65="on hold"))*('MiT Strom Pipeline'!B65&lt;&gt;""))&gt;0,IF('MiT Strom Pipeline'!E65="","",'MiT Strom Pipeline'!E65),"")</f>
        <v/>
      </c>
      <c r="G134" s="28">
        <f>IF(((('MiT Strom Pipeline'!R65="offered")+('MiT Strom Pipeline'!R65="to be offered")+('MiT Strom Pipeline'!R65="on hold"))*('MiT Strom Pipeline'!B65&lt;&gt;""))&gt;0,IF(ISNUMBER('MiT Strom Pipeline'!I65),'MiT Strom Pipeline'!I65,0),"")</f>
        <v/>
      </c>
      <c r="H134" s="28">
        <f>IF(((('MiT Strom Pipeline'!R65="offered")+('MiT Strom Pipeline'!R65="to be offered")+('MiT Strom Pipeline'!R65="on hold"))*('MiT Strom Pipeline'!B65&lt;&gt;""))&gt;0,IF(ISNUMBER('MiT Strom Pipeline'!Q65),'MiT Strom Pipeline'!Q65,0),"")</f>
        <v/>
      </c>
      <c r="I134" s="27">
        <f>IF(((('MiT Strom Pipeline'!R65="offered")+('MiT Strom Pipeline'!R65="to be offered")+('MiT Strom Pipeline'!R65="on hold"))*('MiT Strom Pipeline'!B65&lt;&gt;""))&gt;0,'MiT Strom Pipeline'!R65,"")</f>
        <v/>
      </c>
      <c r="J134" s="29">
        <f>IF(((('MiT Strom Pipeline'!R65="offered")+('MiT Strom Pipeline'!R65="to be offered")+('MiT Strom Pipeline'!R65="on hold"))*('MiT Strom Pipeline'!B65&lt;&gt;""))&gt;0,IF(ISNUMBER('MiT Strom Pipeline'!S65),'MiT Strom Pipeline'!S65,""),"")</f>
        <v/>
      </c>
      <c r="K134" s="27">
        <f>IF(((('MiT Strom Pipeline'!R65="offered")+('MiT Strom Pipeline'!R65="to be offered")+('MiT Strom Pipeline'!R65="on hold"))*('MiT Strom Pipeline'!B65&lt;&gt;""))&gt;0,IF(LEN('MiT Strom Pipeline'!V65)&gt;0,LEFT('MiT Strom Pipeline'!V65,55),""),"")</f>
        <v/>
      </c>
      <c r="L134" s="22" t="n"/>
      <c r="M134" s="22" t="n"/>
      <c r="N134" s="22" t="n"/>
      <c r="O134" s="22" t="n"/>
      <c r="P134" s="22" t="n"/>
      <c r="Q134" s="22" t="n"/>
      <c r="R134" s="22" t="n"/>
      <c r="S134" s="22" t="n"/>
    </row>
    <row r="135" ht="21.75" customHeight="1">
      <c r="A135" s="26">
        <f>IF(((('MiT Strom Pipeline'!R66="offered")+('MiT Strom Pipeline'!R66="to be offered")+('MiT Strom Pipeline'!R66="on hold"))*('MiT Strom Pipeline'!B66&lt;&gt;""))&gt;0,IF(ISNUMBER('MiT Strom Pipeline'!A66),'MiT Strom Pipeline'!A66,""),"")</f>
        <v/>
      </c>
      <c r="B135" s="27">
        <f>IF(((('MiT Strom Pipeline'!R66="offered")+('MiT Strom Pipeline'!R66="to be offered")+('MiT Strom Pipeline'!R66="on hold"))*('MiT Strom Pipeline'!B66&lt;&gt;""))&gt;0,IF('MiT Strom Pipeline'!B66="","",'MiT Strom Pipeline'!B66),"")</f>
        <v/>
      </c>
      <c r="C135" s="27">
        <f>IF(((('MiT Strom Pipeline'!R66="offered")+('MiT Strom Pipeline'!R66="to be offered")+('MiT Strom Pipeline'!R66="on hold"))*('MiT Strom Pipeline'!B66&lt;&gt;""))&gt;0,IF('MiT Strom Pipeline'!C66="","",'MiT Strom Pipeline'!C66),"")</f>
        <v/>
      </c>
      <c r="D135" s="27">
        <f>IF(((('MiT Strom Pipeline'!R66="offered")+('MiT Strom Pipeline'!R66="to be offered")+('MiT Strom Pipeline'!R66="on hold"))*('MiT Strom Pipeline'!B66&lt;&gt;""))&gt;0,IF('MiT Strom Pipeline'!D66="","",'MiT Strom Pipeline'!D66),"")</f>
        <v/>
      </c>
      <c r="E135" s="27">
        <f>IF(((('MiT Strom Pipeline'!R66="offered")+('MiT Strom Pipeline'!R66="to be offered")+('MiT Strom Pipeline'!R66="on hold"))*('MiT Strom Pipeline'!B66&lt;&gt;""))&gt;0,IF('MiT Strom Pipeline'!H66="","",'MiT Strom Pipeline'!H66),"")</f>
        <v/>
      </c>
      <c r="F135" s="27">
        <f>IF(((('MiT Strom Pipeline'!R66="offered")+('MiT Strom Pipeline'!R66="to be offered")+('MiT Strom Pipeline'!R66="on hold"))*('MiT Strom Pipeline'!B66&lt;&gt;""))&gt;0,IF('MiT Strom Pipeline'!E66="","",'MiT Strom Pipeline'!E66),"")</f>
        <v/>
      </c>
      <c r="G135" s="28">
        <f>IF(((('MiT Strom Pipeline'!R66="offered")+('MiT Strom Pipeline'!R66="to be offered")+('MiT Strom Pipeline'!R66="on hold"))*('MiT Strom Pipeline'!B66&lt;&gt;""))&gt;0,IF(ISNUMBER('MiT Strom Pipeline'!I66),'MiT Strom Pipeline'!I66,0),"")</f>
        <v/>
      </c>
      <c r="H135" s="28">
        <f>IF(((('MiT Strom Pipeline'!R66="offered")+('MiT Strom Pipeline'!R66="to be offered")+('MiT Strom Pipeline'!R66="on hold"))*('MiT Strom Pipeline'!B66&lt;&gt;""))&gt;0,IF(ISNUMBER('MiT Strom Pipeline'!Q66),'MiT Strom Pipeline'!Q66,0),"")</f>
        <v/>
      </c>
      <c r="I135" s="27">
        <f>IF(((('MiT Strom Pipeline'!R66="offered")+('MiT Strom Pipeline'!R66="to be offered")+('MiT Strom Pipeline'!R66="on hold"))*('MiT Strom Pipeline'!B66&lt;&gt;""))&gt;0,'MiT Strom Pipeline'!R66,"")</f>
        <v/>
      </c>
      <c r="J135" s="29">
        <f>IF(((('MiT Strom Pipeline'!R66="offered")+('MiT Strom Pipeline'!R66="to be offered")+('MiT Strom Pipeline'!R66="on hold"))*('MiT Strom Pipeline'!B66&lt;&gt;""))&gt;0,IF(ISNUMBER('MiT Strom Pipeline'!S66),'MiT Strom Pipeline'!S66,""),"")</f>
        <v/>
      </c>
      <c r="K135" s="27">
        <f>IF(((('MiT Strom Pipeline'!R66="offered")+('MiT Strom Pipeline'!R66="to be offered")+('MiT Strom Pipeline'!R66="on hold"))*('MiT Strom Pipeline'!B66&lt;&gt;""))&gt;0,IF(LEN('MiT Strom Pipeline'!V66)&gt;0,LEFT('MiT Strom Pipeline'!V66,55),""),"")</f>
        <v/>
      </c>
      <c r="L135" s="22" t="n"/>
      <c r="M135" s="22" t="n"/>
      <c r="N135" s="22" t="n"/>
      <c r="O135" s="22" t="n"/>
      <c r="P135" s="22" t="n"/>
      <c r="Q135" s="22" t="n"/>
      <c r="R135" s="22" t="n"/>
      <c r="S135" s="22" t="n"/>
    </row>
    <row r="136" ht="18.75" customHeight="1">
      <c r="A136" s="26">
        <f>IF(((('MiT Strom Pipeline'!R67="offered")+('MiT Strom Pipeline'!R67="to be offered")+('MiT Strom Pipeline'!R67="on hold"))*('MiT Strom Pipeline'!B67&lt;&gt;""))&gt;0,IF(ISNUMBER('MiT Strom Pipeline'!A67),'MiT Strom Pipeline'!A67,""),"")</f>
        <v/>
      </c>
      <c r="B136" s="27">
        <f>IF(((('MiT Strom Pipeline'!R67="offered")+('MiT Strom Pipeline'!R67="to be offered")+('MiT Strom Pipeline'!R67="on hold"))*('MiT Strom Pipeline'!B67&lt;&gt;""))&gt;0,IF('MiT Strom Pipeline'!B67="","",'MiT Strom Pipeline'!B67),"")</f>
        <v/>
      </c>
      <c r="C136" s="27">
        <f>IF(((('MiT Strom Pipeline'!R67="offered")+('MiT Strom Pipeline'!R67="to be offered")+('MiT Strom Pipeline'!R67="on hold"))*('MiT Strom Pipeline'!B67&lt;&gt;""))&gt;0,IF('MiT Strom Pipeline'!C67="","",'MiT Strom Pipeline'!C67),"")</f>
        <v/>
      </c>
      <c r="D136" s="27">
        <f>IF(((('MiT Strom Pipeline'!R67="offered")+('MiT Strom Pipeline'!R67="to be offered")+('MiT Strom Pipeline'!R67="on hold"))*('MiT Strom Pipeline'!B67&lt;&gt;""))&gt;0,IF('MiT Strom Pipeline'!D67="","",'MiT Strom Pipeline'!D67),"")</f>
        <v/>
      </c>
      <c r="E136" s="27">
        <f>IF(((('MiT Strom Pipeline'!R67="offered")+('MiT Strom Pipeline'!R67="to be offered")+('MiT Strom Pipeline'!R67="on hold"))*('MiT Strom Pipeline'!B67&lt;&gt;""))&gt;0,IF('MiT Strom Pipeline'!H67="","",'MiT Strom Pipeline'!H67),"")</f>
        <v/>
      </c>
      <c r="F136" s="27">
        <f>IF(((('MiT Strom Pipeline'!R67="offered")+('MiT Strom Pipeline'!R67="to be offered")+('MiT Strom Pipeline'!R67="on hold"))*('MiT Strom Pipeline'!B67&lt;&gt;""))&gt;0,IF('MiT Strom Pipeline'!E67="","",'MiT Strom Pipeline'!E67),"")</f>
        <v/>
      </c>
      <c r="G136" s="28">
        <f>IF(((('MiT Strom Pipeline'!R67="offered")+('MiT Strom Pipeline'!R67="to be offered")+('MiT Strom Pipeline'!R67="on hold"))*('MiT Strom Pipeline'!B67&lt;&gt;""))&gt;0,IF(ISNUMBER('MiT Strom Pipeline'!I67),'MiT Strom Pipeline'!I67,0),"")</f>
        <v/>
      </c>
      <c r="H136" s="28">
        <f>IF(((('MiT Strom Pipeline'!R67="offered")+('MiT Strom Pipeline'!R67="to be offered")+('MiT Strom Pipeline'!R67="on hold"))*('MiT Strom Pipeline'!B67&lt;&gt;""))&gt;0,IF(ISNUMBER('MiT Strom Pipeline'!Q67),'MiT Strom Pipeline'!Q67,0),"")</f>
        <v/>
      </c>
      <c r="I136" s="27">
        <f>IF(((('MiT Strom Pipeline'!R67="offered")+('MiT Strom Pipeline'!R67="to be offered")+('MiT Strom Pipeline'!R67="on hold"))*('MiT Strom Pipeline'!B67&lt;&gt;""))&gt;0,'MiT Strom Pipeline'!R67,"")</f>
        <v/>
      </c>
      <c r="J136" s="29">
        <f>IF(((('MiT Strom Pipeline'!R67="offered")+('MiT Strom Pipeline'!R67="to be offered")+('MiT Strom Pipeline'!R67="on hold"))*('MiT Strom Pipeline'!B67&lt;&gt;""))&gt;0,IF(ISNUMBER('MiT Strom Pipeline'!S67),'MiT Strom Pipeline'!S67,""),"")</f>
        <v/>
      </c>
      <c r="K136" s="27">
        <f>IF(((('MiT Strom Pipeline'!R67="offered")+('MiT Strom Pipeline'!R67="to be offered")+('MiT Strom Pipeline'!R67="on hold"))*('MiT Strom Pipeline'!B67&lt;&gt;""))&gt;0,IF(LEN('MiT Strom Pipeline'!V67)&gt;0,LEFT('MiT Strom Pipeline'!V67,55),""),"")</f>
        <v/>
      </c>
      <c r="L136" s="22" t="n"/>
      <c r="M136" s="22" t="n"/>
      <c r="N136" s="22" t="n"/>
      <c r="O136" s="22" t="n"/>
      <c r="P136" s="22" t="n"/>
      <c r="Q136" s="22" t="n"/>
      <c r="R136" s="22" t="n"/>
      <c r="S136" s="22" t="n"/>
    </row>
    <row r="137" ht="24" customHeight="1">
      <c r="A137" s="142" t="inlineStr">
        <is>
          <t>🎯  3. OPPORTUNITÄT — Qualifizierte Leads</t>
        </is>
      </c>
      <c r="B137" s="189" t="n"/>
      <c r="C137" s="189" t="n"/>
      <c r="D137" s="189" t="n"/>
      <c r="E137" s="189" t="n"/>
      <c r="F137" s="189" t="n"/>
      <c r="G137" s="189" t="n"/>
      <c r="H137" s="189" t="n"/>
      <c r="I137" s="189" t="n"/>
      <c r="J137" s="189" t="n"/>
      <c r="K137" s="190" t="n"/>
      <c r="L137" s="22" t="n"/>
      <c r="M137" s="22" t="n"/>
      <c r="N137" s="22" t="n"/>
      <c r="O137" s="22" t="n"/>
      <c r="P137" s="22" t="n"/>
      <c r="Q137" s="22" t="n"/>
      <c r="R137" s="22" t="n"/>
      <c r="S137" s="22" t="n"/>
    </row>
    <row r="138" ht="19.5" customHeight="1">
      <c r="A138" s="25" t="inlineStr">
        <is>
          <t>#</t>
        </is>
      </c>
      <c r="B138" s="25" t="inlineStr">
        <is>
          <t>Kunde / Unternehmen</t>
        </is>
      </c>
      <c r="C138" s="25" t="inlineStr">
        <is>
          <t>Kt.</t>
        </is>
      </c>
      <c r="D138" s="25" t="inlineStr">
        <is>
          <t>Segment</t>
        </is>
      </c>
      <c r="E138" s="25" t="inlineStr">
        <is>
          <t>Start</t>
        </is>
      </c>
      <c r="F138" s="25" t="inlineStr">
        <is>
          <t>Leistung / Fleet</t>
        </is>
      </c>
      <c r="G138" s="25" t="inlineStr">
        <is>
          <t>Volumen CHF</t>
        </is>
      </c>
      <c r="H138" s="25" t="inlineStr">
        <is>
          <t>Gew.Wert CHF</t>
        </is>
      </c>
      <c r="I138" s="25" t="inlineStr">
        <is>
          <t>Status</t>
        </is>
      </c>
      <c r="J138" s="25" t="inlineStr">
        <is>
          <t>Wahr.%</t>
        </is>
      </c>
      <c r="K138" s="25" t="inlineStr">
        <is>
          <t>Nächster Schritt</t>
        </is>
      </c>
      <c r="L138" s="22" t="n"/>
      <c r="M138" s="22" t="n"/>
      <c r="N138" s="22" t="n"/>
      <c r="O138" s="22" t="n"/>
      <c r="P138" s="22" t="n"/>
      <c r="Q138" s="22" t="n"/>
      <c r="R138" s="22" t="n"/>
      <c r="S138" s="22" t="n"/>
    </row>
    <row r="139" ht="15.75" customHeight="1">
      <c r="A139" s="26">
        <f>IF(((('MiT Strom Pipeline'!R6="follow-up")+('MiT Strom Pipeline'!R6="Evaluation")+('MiT Strom Pipeline'!R6="tbd")+('MiT Strom Pipeline'!R6="In evaluation"))*('MiT Strom Pipeline'!B6&lt;&gt;""))&gt;0,IF(ISNUMBER('MiT Strom Pipeline'!A6),'MiT Strom Pipeline'!A6,""),"")</f>
        <v>6</v>
      </c>
      <c r="B139" s="27" t="str">
        <f>IF(((('MiT Strom Pipeline'!R6="follow-up")+('MiT Strom Pipeline'!R6="Evaluation")+('MiT Strom Pipeline'!R6="tbd")+('MiT Strom Pipeline'!R6="In evaluation"))*('MiT Strom Pipeline'!B6&lt;&gt;""))&gt;0,IF('MiT Strom Pipeline'!B6="","",'MiT Strom Pipeline'!B6),"")</f>
        <v>Wincasa Solothurn</v>
      </c>
      <c r="C139" s="27" t="str">
        <f>IF(((('MiT Strom Pipeline'!R6="follow-up")+('MiT Strom Pipeline'!R6="Evaluation")+('MiT Strom Pipeline'!R6="tbd")+('MiT Strom Pipeline'!R6="In evaluation"))*('MiT Strom Pipeline'!B6&lt;&gt;""))&gt;0,IF('MiT Strom Pipeline'!C6="","",'MiT Strom Pipeline'!C6),"")</f>
        <v>SO</v>
      </c>
      <c r="D139" s="27" t="str">
        <f>IF(((('MiT Strom Pipeline'!R6="follow-up")+('MiT Strom Pipeline'!R6="Evaluation")+('MiT Strom Pipeline'!R6="tbd")+('MiT Strom Pipeline'!R6="In evaluation"))*('MiT Strom Pipeline'!B6&lt;&gt;""))&gt;0,IF('MiT Strom Pipeline'!D6="","",'MiT Strom Pipeline'!D6),"")</f>
        <v>Immobilien / FM</v>
      </c>
      <c r="E139" s="27" t="str">
        <f>IF(((('MiT Strom Pipeline'!R6="follow-up")+('MiT Strom Pipeline'!R6="Evaluation")+('MiT Strom Pipeline'!R6="tbd")+('MiT Strom Pipeline'!R6="In evaluation"))*('MiT Strom Pipeline'!B6&lt;&gt;""))&gt;0,IF('MiT Strom Pipeline'!H6="","",'MiT Strom Pipeline'!H6),"")</f>
        <v>Mai</v>
      </c>
      <c r="F139" s="27" t="str">
        <f>IF(((('MiT Strom Pipeline'!R6="follow-up")+('MiT Strom Pipeline'!R6="Evaluation")+('MiT Strom Pipeline'!R6="tbd")+('MiT Strom Pipeline'!R6="In evaluation"))*('MiT Strom Pipeline'!B6&lt;&gt;""))&gt;0,IF('MiT Strom Pipeline'!E6="","",'MiT Strom Pipeline'!E6),"")</f>
        <v>BESS 1 MWh</v>
      </c>
      <c r="G139" s="28">
        <f>IF(((('MiT Strom Pipeline'!R6="follow-up")+('MiT Strom Pipeline'!R6="Evaluation")+('MiT Strom Pipeline'!R6="tbd")+('MiT Strom Pipeline'!R6="In evaluation"))*('MiT Strom Pipeline'!B6&lt;&gt;""))&gt;0,IF(ISNUMBER('MiT Strom Pipeline'!I6),'MiT Strom Pipeline'!I6,0),"")</f>
        <v>390000</v>
      </c>
      <c r="H139" s="28">
        <f>IF(((('MiT Strom Pipeline'!R6="follow-up")+('MiT Strom Pipeline'!R6="Evaluation")+('MiT Strom Pipeline'!R6="tbd")+('MiT Strom Pipeline'!R6="In evaluation"))*('MiT Strom Pipeline'!B6&lt;&gt;""))&gt;0,IF(ISNUMBER('MiT Strom Pipeline'!Q6),'MiT Strom Pipeline'!Q6,0),"")</f>
        <v>195000</v>
      </c>
      <c r="I139" s="27" t="str">
        <f>IF(((('MiT Strom Pipeline'!R6="follow-up")+('MiT Strom Pipeline'!R6="Evaluation")+('MiT Strom Pipeline'!R6="tbd")+('MiT Strom Pipeline'!R6="In evaluation"))*('MiT Strom Pipeline'!B6&lt;&gt;""))&gt;0,'MiT Strom Pipeline'!R6,"")</f>
        <v>follow-up</v>
      </c>
      <c r="J139" s="29">
        <f>IF(((('MiT Strom Pipeline'!R6="follow-up")+('MiT Strom Pipeline'!R6="Evaluation")+('MiT Strom Pipeline'!R6="tbd")+('MiT Strom Pipeline'!R6="In evaluation"))*('MiT Strom Pipeline'!B6&lt;&gt;""))&gt;0,IF(ISNUMBER('MiT Strom Pipeline'!S6),'MiT Strom Pipeline'!S6,""),"")</f>
        <v>0.5</v>
      </c>
      <c r="K139" s="27" t="str">
        <f>IF(((('MiT Strom Pipeline'!R6="follow-up")+('MiT Strom Pipeline'!R6="Evaluation")+('MiT Strom Pipeline'!R6="tbd")+('MiT Strom Pipeline'!R6="In evaluation"))*('MiT Strom Pipeline'!B6&lt;&gt;""))&gt;0,IF(LEN('MiT Strom Pipeline'!V6)&gt;0,LEFT('MiT Strom Pipeline'!V6,55),""),"")</f>
        <v>Entscheider-Meeting anfordern, Businesscase Energie-ROI</v>
      </c>
      <c r="L139" s="22" t="n"/>
      <c r="M139" s="22" t="n"/>
      <c r="N139" s="22" t="n"/>
      <c r="O139" s="22" t="n"/>
      <c r="P139" s="22" t="n"/>
      <c r="Q139" s="22" t="n"/>
      <c r="R139" s="22" t="n"/>
      <c r="S139" s="22" t="n"/>
    </row>
    <row r="140" ht="15.75" customHeight="1">
      <c r="A140" s="26">
        <f>IF(((('MiT Strom Pipeline'!R7="follow-up")+('MiT Strom Pipeline'!R7="Evaluation")+('MiT Strom Pipeline'!R7="tbd")+('MiT Strom Pipeline'!R7="In evaluation"))*('MiT Strom Pipeline'!B7&lt;&gt;""))&gt;0,IF(ISNUMBER('MiT Strom Pipeline'!A7),'MiT Strom Pipeline'!A7,""),"")</f>
        <v/>
      </c>
      <c r="B140" s="27">
        <f>IF(((('MiT Strom Pipeline'!R7="follow-up")+('MiT Strom Pipeline'!R7="Evaluation")+('MiT Strom Pipeline'!R7="tbd")+('MiT Strom Pipeline'!R7="In evaluation"))*('MiT Strom Pipeline'!B7&lt;&gt;""))&gt;0,IF('MiT Strom Pipeline'!B7="","",'MiT Strom Pipeline'!B7),"")</f>
        <v/>
      </c>
      <c r="C140" s="27">
        <f>IF(((('MiT Strom Pipeline'!R7="follow-up")+('MiT Strom Pipeline'!R7="Evaluation")+('MiT Strom Pipeline'!R7="tbd")+('MiT Strom Pipeline'!R7="In evaluation"))*('MiT Strom Pipeline'!B7&lt;&gt;""))&gt;0,IF('MiT Strom Pipeline'!C7="","",'MiT Strom Pipeline'!C7),"")</f>
        <v/>
      </c>
      <c r="D140" s="27">
        <f>IF(((('MiT Strom Pipeline'!R7="follow-up")+('MiT Strom Pipeline'!R7="Evaluation")+('MiT Strom Pipeline'!R7="tbd")+('MiT Strom Pipeline'!R7="In evaluation"))*('MiT Strom Pipeline'!B7&lt;&gt;""))&gt;0,IF('MiT Strom Pipeline'!D7="","",'MiT Strom Pipeline'!D7),"")</f>
        <v/>
      </c>
      <c r="E140" s="27">
        <f>IF(((('MiT Strom Pipeline'!R7="follow-up")+('MiT Strom Pipeline'!R7="Evaluation")+('MiT Strom Pipeline'!R7="tbd")+('MiT Strom Pipeline'!R7="In evaluation"))*('MiT Strom Pipeline'!B7&lt;&gt;""))&gt;0,IF('MiT Strom Pipeline'!H7="","",'MiT Strom Pipeline'!H7),"")</f>
        <v/>
      </c>
      <c r="F140" s="27">
        <f>IF(((('MiT Strom Pipeline'!R7="follow-up")+('MiT Strom Pipeline'!R7="Evaluation")+('MiT Strom Pipeline'!R7="tbd")+('MiT Strom Pipeline'!R7="In evaluation"))*('MiT Strom Pipeline'!B7&lt;&gt;""))&gt;0,IF('MiT Strom Pipeline'!E7="","",'MiT Strom Pipeline'!E7),"")</f>
        <v/>
      </c>
      <c r="G140" s="28">
        <f>IF(((('MiT Strom Pipeline'!R7="follow-up")+('MiT Strom Pipeline'!R7="Evaluation")+('MiT Strom Pipeline'!R7="tbd")+('MiT Strom Pipeline'!R7="In evaluation"))*('MiT Strom Pipeline'!B7&lt;&gt;""))&gt;0,IF(ISNUMBER('MiT Strom Pipeline'!I7),'MiT Strom Pipeline'!I7,0),"")</f>
        <v/>
      </c>
      <c r="H140" s="28">
        <f>IF(((('MiT Strom Pipeline'!R7="follow-up")+('MiT Strom Pipeline'!R7="Evaluation")+('MiT Strom Pipeline'!R7="tbd")+('MiT Strom Pipeline'!R7="In evaluation"))*('MiT Strom Pipeline'!B7&lt;&gt;""))&gt;0,IF(ISNUMBER('MiT Strom Pipeline'!Q7),'MiT Strom Pipeline'!Q7,0),"")</f>
        <v/>
      </c>
      <c r="I140" s="27">
        <f>IF(((('MiT Strom Pipeline'!R7="follow-up")+('MiT Strom Pipeline'!R7="Evaluation")+('MiT Strom Pipeline'!R7="tbd")+('MiT Strom Pipeline'!R7="In evaluation"))*('MiT Strom Pipeline'!B7&lt;&gt;""))&gt;0,'MiT Strom Pipeline'!R7,"")</f>
        <v/>
      </c>
      <c r="J140" s="29">
        <f>IF(((('MiT Strom Pipeline'!R7="follow-up")+('MiT Strom Pipeline'!R7="Evaluation")+('MiT Strom Pipeline'!R7="tbd")+('MiT Strom Pipeline'!R7="In evaluation"))*('MiT Strom Pipeline'!B7&lt;&gt;""))&gt;0,IF(ISNUMBER('MiT Strom Pipeline'!S7),'MiT Strom Pipeline'!S7,""),"")</f>
        <v/>
      </c>
      <c r="K140" s="27">
        <f>IF(((('MiT Strom Pipeline'!R7="follow-up")+('MiT Strom Pipeline'!R7="Evaluation")+('MiT Strom Pipeline'!R7="tbd")+('MiT Strom Pipeline'!R7="In evaluation"))*('MiT Strom Pipeline'!B7&lt;&gt;""))&gt;0,IF(LEN('MiT Strom Pipeline'!V7)&gt;0,LEFT('MiT Strom Pipeline'!V7,55),""),"")</f>
        <v/>
      </c>
      <c r="L140" s="22" t="n"/>
      <c r="M140" s="22" t="n"/>
      <c r="N140" s="22" t="n"/>
      <c r="O140" s="22" t="n"/>
      <c r="P140" s="22" t="n"/>
      <c r="Q140" s="22" t="n"/>
      <c r="R140" s="22" t="n"/>
      <c r="S140" s="22" t="n"/>
    </row>
    <row r="141" ht="15.75" customHeight="1">
      <c r="A141" s="26">
        <f>IF(((('MiT Strom Pipeline'!R8="follow-up")+('MiT Strom Pipeline'!R8="Evaluation")+('MiT Strom Pipeline'!R8="tbd")+('MiT Strom Pipeline'!R8="In evaluation"))*('MiT Strom Pipeline'!B8&lt;&gt;""))&gt;0,IF(ISNUMBER('MiT Strom Pipeline'!A8),'MiT Strom Pipeline'!A8,""),"")</f>
        <v/>
      </c>
      <c r="B141" s="27">
        <f>IF(((('MiT Strom Pipeline'!R8="follow-up")+('MiT Strom Pipeline'!R8="Evaluation")+('MiT Strom Pipeline'!R8="tbd")+('MiT Strom Pipeline'!R8="In evaluation"))*('MiT Strom Pipeline'!B8&lt;&gt;""))&gt;0,IF('MiT Strom Pipeline'!B8="","",'MiT Strom Pipeline'!B8),"")</f>
        <v/>
      </c>
      <c r="C141" s="27">
        <f>IF(((('MiT Strom Pipeline'!R8="follow-up")+('MiT Strom Pipeline'!R8="Evaluation")+('MiT Strom Pipeline'!R8="tbd")+('MiT Strom Pipeline'!R8="In evaluation"))*('MiT Strom Pipeline'!B8&lt;&gt;""))&gt;0,IF('MiT Strom Pipeline'!C8="","",'MiT Strom Pipeline'!C8),"")</f>
        <v/>
      </c>
      <c r="D141" s="27">
        <f>IF(((('MiT Strom Pipeline'!R8="follow-up")+('MiT Strom Pipeline'!R8="Evaluation")+('MiT Strom Pipeline'!R8="tbd")+('MiT Strom Pipeline'!R8="In evaluation"))*('MiT Strom Pipeline'!B8&lt;&gt;""))&gt;0,IF('MiT Strom Pipeline'!D8="","",'MiT Strom Pipeline'!D8),"")</f>
        <v/>
      </c>
      <c r="E141" s="27">
        <f>IF(((('MiT Strom Pipeline'!R8="follow-up")+('MiT Strom Pipeline'!R8="Evaluation")+('MiT Strom Pipeline'!R8="tbd")+('MiT Strom Pipeline'!R8="In evaluation"))*('MiT Strom Pipeline'!B8&lt;&gt;""))&gt;0,IF('MiT Strom Pipeline'!H8="","",'MiT Strom Pipeline'!H8),"")</f>
        <v/>
      </c>
      <c r="F141" s="27">
        <f>IF(((('MiT Strom Pipeline'!R8="follow-up")+('MiT Strom Pipeline'!R8="Evaluation")+('MiT Strom Pipeline'!R8="tbd")+('MiT Strom Pipeline'!R8="In evaluation"))*('MiT Strom Pipeline'!B8&lt;&gt;""))&gt;0,IF('MiT Strom Pipeline'!E8="","",'MiT Strom Pipeline'!E8),"")</f>
        <v/>
      </c>
      <c r="G141" s="28">
        <f>IF(((('MiT Strom Pipeline'!R8="follow-up")+('MiT Strom Pipeline'!R8="Evaluation")+('MiT Strom Pipeline'!R8="tbd")+('MiT Strom Pipeline'!R8="In evaluation"))*('MiT Strom Pipeline'!B8&lt;&gt;""))&gt;0,IF(ISNUMBER('MiT Strom Pipeline'!I8),'MiT Strom Pipeline'!I8,0),"")</f>
        <v/>
      </c>
      <c r="H141" s="28">
        <f>IF(((('MiT Strom Pipeline'!R8="follow-up")+('MiT Strom Pipeline'!R8="Evaluation")+('MiT Strom Pipeline'!R8="tbd")+('MiT Strom Pipeline'!R8="In evaluation"))*('MiT Strom Pipeline'!B8&lt;&gt;""))&gt;0,IF(ISNUMBER('MiT Strom Pipeline'!Q8),'MiT Strom Pipeline'!Q8,0),"")</f>
        <v/>
      </c>
      <c r="I141" s="27">
        <f>IF(((('MiT Strom Pipeline'!R8="follow-up")+('MiT Strom Pipeline'!R8="Evaluation")+('MiT Strom Pipeline'!R8="tbd")+('MiT Strom Pipeline'!R8="In evaluation"))*('MiT Strom Pipeline'!B8&lt;&gt;""))&gt;0,'MiT Strom Pipeline'!R8,"")</f>
        <v/>
      </c>
      <c r="J141" s="29">
        <f>IF(((('MiT Strom Pipeline'!R8="follow-up")+('MiT Strom Pipeline'!R8="Evaluation")+('MiT Strom Pipeline'!R8="tbd")+('MiT Strom Pipeline'!R8="In evaluation"))*('MiT Strom Pipeline'!B8&lt;&gt;""))&gt;0,IF(ISNUMBER('MiT Strom Pipeline'!S8),'MiT Strom Pipeline'!S8,""),"")</f>
        <v/>
      </c>
      <c r="K141" s="27">
        <f>IF(((('MiT Strom Pipeline'!R8="follow-up")+('MiT Strom Pipeline'!R8="Evaluation")+('MiT Strom Pipeline'!R8="tbd")+('MiT Strom Pipeline'!R8="In evaluation"))*('MiT Strom Pipeline'!B8&lt;&gt;""))&gt;0,IF(LEN('MiT Strom Pipeline'!V8)&gt;0,LEFT('MiT Strom Pipeline'!V8,55),""),"")</f>
        <v/>
      </c>
      <c r="L141" s="22" t="n"/>
      <c r="M141" s="22" t="n"/>
      <c r="N141" s="22" t="n"/>
      <c r="O141" s="22" t="n"/>
      <c r="P141" s="22" t="n"/>
      <c r="Q141" s="22" t="n"/>
      <c r="R141" s="22" t="n"/>
      <c r="S141" s="22" t="n"/>
    </row>
    <row r="142" ht="15.75" customHeight="1">
      <c r="A142" s="26">
        <f>IF(((('MiT Strom Pipeline'!R9="follow-up")+('MiT Strom Pipeline'!R9="Evaluation")+('MiT Strom Pipeline'!R9="tbd")+('MiT Strom Pipeline'!R9="In evaluation"))*('MiT Strom Pipeline'!B9&lt;&gt;""))&gt;0,IF(ISNUMBER('MiT Strom Pipeline'!A9),'MiT Strom Pipeline'!A9,""),"")</f>
        <v/>
      </c>
      <c r="B142" s="27">
        <f>IF(((('MiT Strom Pipeline'!R9="follow-up")+('MiT Strom Pipeline'!R9="Evaluation")+('MiT Strom Pipeline'!R9="tbd")+('MiT Strom Pipeline'!R9="In evaluation"))*('MiT Strom Pipeline'!B9&lt;&gt;""))&gt;0,IF('MiT Strom Pipeline'!B9="","",'MiT Strom Pipeline'!B9),"")</f>
        <v/>
      </c>
      <c r="C142" s="27">
        <f>IF(((('MiT Strom Pipeline'!R9="follow-up")+('MiT Strom Pipeline'!R9="Evaluation")+('MiT Strom Pipeline'!R9="tbd")+('MiT Strom Pipeline'!R9="In evaluation"))*('MiT Strom Pipeline'!B9&lt;&gt;""))&gt;0,IF('MiT Strom Pipeline'!C9="","",'MiT Strom Pipeline'!C9),"")</f>
        <v/>
      </c>
      <c r="D142" s="27">
        <f>IF(((('MiT Strom Pipeline'!R9="follow-up")+('MiT Strom Pipeline'!R9="Evaluation")+('MiT Strom Pipeline'!R9="tbd")+('MiT Strom Pipeline'!R9="In evaluation"))*('MiT Strom Pipeline'!B9&lt;&gt;""))&gt;0,IF('MiT Strom Pipeline'!D9="","",'MiT Strom Pipeline'!D9),"")</f>
        <v/>
      </c>
      <c r="E142" s="27">
        <f>IF(((('MiT Strom Pipeline'!R9="follow-up")+('MiT Strom Pipeline'!R9="Evaluation")+('MiT Strom Pipeline'!R9="tbd")+('MiT Strom Pipeline'!R9="In evaluation"))*('MiT Strom Pipeline'!B9&lt;&gt;""))&gt;0,IF('MiT Strom Pipeline'!H9="","",'MiT Strom Pipeline'!H9),"")</f>
        <v/>
      </c>
      <c r="F142" s="27">
        <f>IF(((('MiT Strom Pipeline'!R9="follow-up")+('MiT Strom Pipeline'!R9="Evaluation")+('MiT Strom Pipeline'!R9="tbd")+('MiT Strom Pipeline'!R9="In evaluation"))*('MiT Strom Pipeline'!B9&lt;&gt;""))&gt;0,IF('MiT Strom Pipeline'!E9="","",'MiT Strom Pipeline'!E9),"")</f>
        <v/>
      </c>
      <c r="G142" s="28">
        <f>IF(((('MiT Strom Pipeline'!R9="follow-up")+('MiT Strom Pipeline'!R9="Evaluation")+('MiT Strom Pipeline'!R9="tbd")+('MiT Strom Pipeline'!R9="In evaluation"))*('MiT Strom Pipeline'!B9&lt;&gt;""))&gt;0,IF(ISNUMBER('MiT Strom Pipeline'!I9),'MiT Strom Pipeline'!I9,0),"")</f>
        <v/>
      </c>
      <c r="H142" s="28">
        <f>IF(((('MiT Strom Pipeline'!R9="follow-up")+('MiT Strom Pipeline'!R9="Evaluation")+('MiT Strom Pipeline'!R9="tbd")+('MiT Strom Pipeline'!R9="In evaluation"))*('MiT Strom Pipeline'!B9&lt;&gt;""))&gt;0,IF(ISNUMBER('MiT Strom Pipeline'!Q9),'MiT Strom Pipeline'!Q9,0),"")</f>
        <v/>
      </c>
      <c r="I142" s="27">
        <f>IF(((('MiT Strom Pipeline'!R9="follow-up")+('MiT Strom Pipeline'!R9="Evaluation")+('MiT Strom Pipeline'!R9="tbd")+('MiT Strom Pipeline'!R9="In evaluation"))*('MiT Strom Pipeline'!B9&lt;&gt;""))&gt;0,'MiT Strom Pipeline'!R9,"")</f>
        <v/>
      </c>
      <c r="J142" s="29">
        <f>IF(((('MiT Strom Pipeline'!R9="follow-up")+('MiT Strom Pipeline'!R9="Evaluation")+('MiT Strom Pipeline'!R9="tbd")+('MiT Strom Pipeline'!R9="In evaluation"))*('MiT Strom Pipeline'!B9&lt;&gt;""))&gt;0,IF(ISNUMBER('MiT Strom Pipeline'!S9),'MiT Strom Pipeline'!S9,""),"")</f>
        <v/>
      </c>
      <c r="K142" s="27">
        <f>IF(((('MiT Strom Pipeline'!R9="follow-up")+('MiT Strom Pipeline'!R9="Evaluation")+('MiT Strom Pipeline'!R9="tbd")+('MiT Strom Pipeline'!R9="In evaluation"))*('MiT Strom Pipeline'!B9&lt;&gt;""))&gt;0,IF(LEN('MiT Strom Pipeline'!V9)&gt;0,LEFT('MiT Strom Pipeline'!V9,55),""),"")</f>
        <v/>
      </c>
      <c r="L142" s="22" t="n"/>
      <c r="M142" s="22" t="n"/>
      <c r="N142" s="22" t="n"/>
      <c r="O142" s="22" t="n"/>
      <c r="P142" s="22" t="n"/>
      <c r="Q142" s="22" t="n"/>
      <c r="R142" s="22" t="n"/>
      <c r="S142" s="22" t="n"/>
    </row>
    <row r="143" ht="15.75" customHeight="1">
      <c r="A143" s="26">
        <f>IF(((('MiT Strom Pipeline'!R10="follow-up")+('MiT Strom Pipeline'!R10="Evaluation")+('MiT Strom Pipeline'!R10="tbd")+('MiT Strom Pipeline'!R10="In evaluation"))*('MiT Strom Pipeline'!B10&lt;&gt;""))&gt;0,IF(ISNUMBER('MiT Strom Pipeline'!A10),'MiT Strom Pipeline'!A10,""),"")</f>
        <v/>
      </c>
      <c r="B143" s="27">
        <f>IF(((('MiT Strom Pipeline'!R10="follow-up")+('MiT Strom Pipeline'!R10="Evaluation")+('MiT Strom Pipeline'!R10="tbd")+('MiT Strom Pipeline'!R10="In evaluation"))*('MiT Strom Pipeline'!B10&lt;&gt;""))&gt;0,IF('MiT Strom Pipeline'!B10="","",'MiT Strom Pipeline'!B10),"")</f>
        <v/>
      </c>
      <c r="C143" s="27">
        <f>IF(((('MiT Strom Pipeline'!R10="follow-up")+('MiT Strom Pipeline'!R10="Evaluation")+('MiT Strom Pipeline'!R10="tbd")+('MiT Strom Pipeline'!R10="In evaluation"))*('MiT Strom Pipeline'!B10&lt;&gt;""))&gt;0,IF('MiT Strom Pipeline'!C10="","",'MiT Strom Pipeline'!C10),"")</f>
        <v/>
      </c>
      <c r="D143" s="27">
        <f>IF(((('MiT Strom Pipeline'!R10="follow-up")+('MiT Strom Pipeline'!R10="Evaluation")+('MiT Strom Pipeline'!R10="tbd")+('MiT Strom Pipeline'!R10="In evaluation"))*('MiT Strom Pipeline'!B10&lt;&gt;""))&gt;0,IF('MiT Strom Pipeline'!D10="","",'MiT Strom Pipeline'!D10),"")</f>
        <v/>
      </c>
      <c r="E143" s="27">
        <f>IF(((('MiT Strom Pipeline'!R10="follow-up")+('MiT Strom Pipeline'!R10="Evaluation")+('MiT Strom Pipeline'!R10="tbd")+('MiT Strom Pipeline'!R10="In evaluation"))*('MiT Strom Pipeline'!B10&lt;&gt;""))&gt;0,IF('MiT Strom Pipeline'!H10="","",'MiT Strom Pipeline'!H10),"")</f>
        <v/>
      </c>
      <c r="F143" s="27">
        <f>IF(((('MiT Strom Pipeline'!R10="follow-up")+('MiT Strom Pipeline'!R10="Evaluation")+('MiT Strom Pipeline'!R10="tbd")+('MiT Strom Pipeline'!R10="In evaluation"))*('MiT Strom Pipeline'!B10&lt;&gt;""))&gt;0,IF('MiT Strom Pipeline'!E10="","",'MiT Strom Pipeline'!E10),"")</f>
        <v/>
      </c>
      <c r="G143" s="28">
        <f>IF(((('MiT Strom Pipeline'!R10="follow-up")+('MiT Strom Pipeline'!R10="Evaluation")+('MiT Strom Pipeline'!R10="tbd")+('MiT Strom Pipeline'!R10="In evaluation"))*('MiT Strom Pipeline'!B10&lt;&gt;""))&gt;0,IF(ISNUMBER('MiT Strom Pipeline'!I10),'MiT Strom Pipeline'!I10,0),"")</f>
        <v/>
      </c>
      <c r="H143" s="28">
        <f>IF(((('MiT Strom Pipeline'!R10="follow-up")+('MiT Strom Pipeline'!R10="Evaluation")+('MiT Strom Pipeline'!R10="tbd")+('MiT Strom Pipeline'!R10="In evaluation"))*('MiT Strom Pipeline'!B10&lt;&gt;""))&gt;0,IF(ISNUMBER('MiT Strom Pipeline'!Q10),'MiT Strom Pipeline'!Q10,0),"")</f>
        <v/>
      </c>
      <c r="I143" s="27">
        <f>IF(((('MiT Strom Pipeline'!R10="follow-up")+('MiT Strom Pipeline'!R10="Evaluation")+('MiT Strom Pipeline'!R10="tbd")+('MiT Strom Pipeline'!R10="In evaluation"))*('MiT Strom Pipeline'!B10&lt;&gt;""))&gt;0,'MiT Strom Pipeline'!R10,"")</f>
        <v/>
      </c>
      <c r="J143" s="29">
        <f>IF(((('MiT Strom Pipeline'!R10="follow-up")+('MiT Strom Pipeline'!R10="Evaluation")+('MiT Strom Pipeline'!R10="tbd")+('MiT Strom Pipeline'!R10="In evaluation"))*('MiT Strom Pipeline'!B10&lt;&gt;""))&gt;0,IF(ISNUMBER('MiT Strom Pipeline'!S10),'MiT Strom Pipeline'!S10,""),"")</f>
        <v/>
      </c>
      <c r="K143" s="27">
        <f>IF(((('MiT Strom Pipeline'!R10="follow-up")+('MiT Strom Pipeline'!R10="Evaluation")+('MiT Strom Pipeline'!R10="tbd")+('MiT Strom Pipeline'!R10="In evaluation"))*('MiT Strom Pipeline'!B10&lt;&gt;""))&gt;0,IF(LEN('MiT Strom Pipeline'!V10)&gt;0,LEFT('MiT Strom Pipeline'!V10,55),""),"")</f>
        <v/>
      </c>
      <c r="L143" s="22" t="n"/>
      <c r="M143" s="22" t="n"/>
      <c r="N143" s="22" t="n"/>
      <c r="O143" s="22" t="n"/>
      <c r="P143" s="22" t="n"/>
      <c r="Q143" s="22" t="n"/>
      <c r="R143" s="22" t="n"/>
      <c r="S143" s="22" t="n"/>
    </row>
    <row r="144" ht="15.75" customHeight="1">
      <c r="A144" s="26">
        <f>IF(((('MiT Strom Pipeline'!R11="follow-up")+('MiT Strom Pipeline'!R11="Evaluation")+('MiT Strom Pipeline'!R11="tbd")+('MiT Strom Pipeline'!R11="In evaluation"))*('MiT Strom Pipeline'!B11&lt;&gt;""))&gt;0,IF(ISNUMBER('MiT Strom Pipeline'!A11),'MiT Strom Pipeline'!A11,""),"")</f>
        <v/>
      </c>
      <c r="B144" s="27">
        <f>IF(((('MiT Strom Pipeline'!R11="follow-up")+('MiT Strom Pipeline'!R11="Evaluation")+('MiT Strom Pipeline'!R11="tbd")+('MiT Strom Pipeline'!R11="In evaluation"))*('MiT Strom Pipeline'!B11&lt;&gt;""))&gt;0,IF('MiT Strom Pipeline'!B11="","",'MiT Strom Pipeline'!B11),"")</f>
        <v/>
      </c>
      <c r="C144" s="27">
        <f>IF(((('MiT Strom Pipeline'!R11="follow-up")+('MiT Strom Pipeline'!R11="Evaluation")+('MiT Strom Pipeline'!R11="tbd")+('MiT Strom Pipeline'!R11="In evaluation"))*('MiT Strom Pipeline'!B11&lt;&gt;""))&gt;0,IF('MiT Strom Pipeline'!C11="","",'MiT Strom Pipeline'!C11),"")</f>
        <v/>
      </c>
      <c r="D144" s="27">
        <f>IF(((('MiT Strom Pipeline'!R11="follow-up")+('MiT Strom Pipeline'!R11="Evaluation")+('MiT Strom Pipeline'!R11="tbd")+('MiT Strom Pipeline'!R11="In evaluation"))*('MiT Strom Pipeline'!B11&lt;&gt;""))&gt;0,IF('MiT Strom Pipeline'!D11="","",'MiT Strom Pipeline'!D11),"")</f>
        <v/>
      </c>
      <c r="E144" s="27">
        <f>IF(((('MiT Strom Pipeline'!R11="follow-up")+('MiT Strom Pipeline'!R11="Evaluation")+('MiT Strom Pipeline'!R11="tbd")+('MiT Strom Pipeline'!R11="In evaluation"))*('MiT Strom Pipeline'!B11&lt;&gt;""))&gt;0,IF('MiT Strom Pipeline'!H11="","",'MiT Strom Pipeline'!H11),"")</f>
        <v/>
      </c>
      <c r="F144" s="27">
        <f>IF(((('MiT Strom Pipeline'!R11="follow-up")+('MiT Strom Pipeline'!R11="Evaluation")+('MiT Strom Pipeline'!R11="tbd")+('MiT Strom Pipeline'!R11="In evaluation"))*('MiT Strom Pipeline'!B11&lt;&gt;""))&gt;0,IF('MiT Strom Pipeline'!E11="","",'MiT Strom Pipeline'!E11),"")</f>
        <v/>
      </c>
      <c r="G144" s="28">
        <f>IF(((('MiT Strom Pipeline'!R11="follow-up")+('MiT Strom Pipeline'!R11="Evaluation")+('MiT Strom Pipeline'!R11="tbd")+('MiT Strom Pipeline'!R11="In evaluation"))*('MiT Strom Pipeline'!B11&lt;&gt;""))&gt;0,IF(ISNUMBER('MiT Strom Pipeline'!I11),'MiT Strom Pipeline'!I11,0),"")</f>
        <v/>
      </c>
      <c r="H144" s="28">
        <f>IF(((('MiT Strom Pipeline'!R11="follow-up")+('MiT Strom Pipeline'!R11="Evaluation")+('MiT Strom Pipeline'!R11="tbd")+('MiT Strom Pipeline'!R11="In evaluation"))*('MiT Strom Pipeline'!B11&lt;&gt;""))&gt;0,IF(ISNUMBER('MiT Strom Pipeline'!Q11),'MiT Strom Pipeline'!Q11,0),"")</f>
        <v/>
      </c>
      <c r="I144" s="27">
        <f>IF(((('MiT Strom Pipeline'!R11="follow-up")+('MiT Strom Pipeline'!R11="Evaluation")+('MiT Strom Pipeline'!R11="tbd")+('MiT Strom Pipeline'!R11="In evaluation"))*('MiT Strom Pipeline'!B11&lt;&gt;""))&gt;0,'MiT Strom Pipeline'!R11,"")</f>
        <v/>
      </c>
      <c r="J144" s="29">
        <f>IF(((('MiT Strom Pipeline'!R11="follow-up")+('MiT Strom Pipeline'!R11="Evaluation")+('MiT Strom Pipeline'!R11="tbd")+('MiT Strom Pipeline'!R11="In evaluation"))*('MiT Strom Pipeline'!B11&lt;&gt;""))&gt;0,IF(ISNUMBER('MiT Strom Pipeline'!S11),'MiT Strom Pipeline'!S11,""),"")</f>
        <v/>
      </c>
      <c r="K144" s="27">
        <f>IF(((('MiT Strom Pipeline'!R11="follow-up")+('MiT Strom Pipeline'!R11="Evaluation")+('MiT Strom Pipeline'!R11="tbd")+('MiT Strom Pipeline'!R11="In evaluation"))*('MiT Strom Pipeline'!B11&lt;&gt;""))&gt;0,IF(LEN('MiT Strom Pipeline'!V11)&gt;0,LEFT('MiT Strom Pipeline'!V11,55),""),"")</f>
        <v/>
      </c>
      <c r="L144" s="22" t="n"/>
      <c r="M144" s="22" t="n"/>
      <c r="N144" s="22" t="n"/>
      <c r="O144" s="22" t="n"/>
      <c r="P144" s="22" t="n"/>
      <c r="Q144" s="22" t="n"/>
      <c r="R144" s="22" t="n"/>
      <c r="S144" s="22" t="n"/>
    </row>
    <row r="145" ht="15.75" customHeight="1">
      <c r="A145" s="26">
        <f>IF(((('MiT Strom Pipeline'!R12="follow-up")+('MiT Strom Pipeline'!R12="Evaluation")+('MiT Strom Pipeline'!R12="tbd")+('MiT Strom Pipeline'!R12="In evaluation"))*('MiT Strom Pipeline'!B12&lt;&gt;""))&gt;0,IF(ISNUMBER('MiT Strom Pipeline'!A12),'MiT Strom Pipeline'!A12,""),"")</f>
        <v/>
      </c>
      <c r="B145" s="27">
        <f>IF(((('MiT Strom Pipeline'!R12="follow-up")+('MiT Strom Pipeline'!R12="Evaluation")+('MiT Strom Pipeline'!R12="tbd")+('MiT Strom Pipeline'!R12="In evaluation"))*('MiT Strom Pipeline'!B12&lt;&gt;""))&gt;0,IF('MiT Strom Pipeline'!B12="","",'MiT Strom Pipeline'!B12),"")</f>
        <v/>
      </c>
      <c r="C145" s="27">
        <f>IF(((('MiT Strom Pipeline'!R12="follow-up")+('MiT Strom Pipeline'!R12="Evaluation")+('MiT Strom Pipeline'!R12="tbd")+('MiT Strom Pipeline'!R12="In evaluation"))*('MiT Strom Pipeline'!B12&lt;&gt;""))&gt;0,IF('MiT Strom Pipeline'!C12="","",'MiT Strom Pipeline'!C12),"")</f>
        <v/>
      </c>
      <c r="D145" s="27">
        <f>IF(((('MiT Strom Pipeline'!R12="follow-up")+('MiT Strom Pipeline'!R12="Evaluation")+('MiT Strom Pipeline'!R12="tbd")+('MiT Strom Pipeline'!R12="In evaluation"))*('MiT Strom Pipeline'!B12&lt;&gt;""))&gt;0,IF('MiT Strom Pipeline'!D12="","",'MiT Strom Pipeline'!D12),"")</f>
        <v/>
      </c>
      <c r="E145" s="27">
        <f>IF(((('MiT Strom Pipeline'!R12="follow-up")+('MiT Strom Pipeline'!R12="Evaluation")+('MiT Strom Pipeline'!R12="tbd")+('MiT Strom Pipeline'!R12="In evaluation"))*('MiT Strom Pipeline'!B12&lt;&gt;""))&gt;0,IF('MiT Strom Pipeline'!H12="","",'MiT Strom Pipeline'!H12),"")</f>
        <v/>
      </c>
      <c r="F145" s="27">
        <f>IF(((('MiT Strom Pipeline'!R12="follow-up")+('MiT Strom Pipeline'!R12="Evaluation")+('MiT Strom Pipeline'!R12="tbd")+('MiT Strom Pipeline'!R12="In evaluation"))*('MiT Strom Pipeline'!B12&lt;&gt;""))&gt;0,IF('MiT Strom Pipeline'!E12="","",'MiT Strom Pipeline'!E12),"")</f>
        <v/>
      </c>
      <c r="G145" s="28">
        <f>IF(((('MiT Strom Pipeline'!R12="follow-up")+('MiT Strom Pipeline'!R12="Evaluation")+('MiT Strom Pipeline'!R12="tbd")+('MiT Strom Pipeline'!R12="In evaluation"))*('MiT Strom Pipeline'!B12&lt;&gt;""))&gt;0,IF(ISNUMBER('MiT Strom Pipeline'!I12),'MiT Strom Pipeline'!I12,0),"")</f>
        <v/>
      </c>
      <c r="H145" s="28">
        <f>IF(((('MiT Strom Pipeline'!R12="follow-up")+('MiT Strom Pipeline'!R12="Evaluation")+('MiT Strom Pipeline'!R12="tbd")+('MiT Strom Pipeline'!R12="In evaluation"))*('MiT Strom Pipeline'!B12&lt;&gt;""))&gt;0,IF(ISNUMBER('MiT Strom Pipeline'!Q12),'MiT Strom Pipeline'!Q12,0),"")</f>
        <v/>
      </c>
      <c r="I145" s="27">
        <f>IF(((('MiT Strom Pipeline'!R12="follow-up")+('MiT Strom Pipeline'!R12="Evaluation")+('MiT Strom Pipeline'!R12="tbd")+('MiT Strom Pipeline'!R12="In evaluation"))*('MiT Strom Pipeline'!B12&lt;&gt;""))&gt;0,'MiT Strom Pipeline'!R12,"")</f>
        <v/>
      </c>
      <c r="J145" s="29">
        <f>IF(((('MiT Strom Pipeline'!R12="follow-up")+('MiT Strom Pipeline'!R12="Evaluation")+('MiT Strom Pipeline'!R12="tbd")+('MiT Strom Pipeline'!R12="In evaluation"))*('MiT Strom Pipeline'!B12&lt;&gt;""))&gt;0,IF(ISNUMBER('MiT Strom Pipeline'!S12),'MiT Strom Pipeline'!S12,""),"")</f>
        <v/>
      </c>
      <c r="K145" s="27">
        <f>IF(((('MiT Strom Pipeline'!R12="follow-up")+('MiT Strom Pipeline'!R12="Evaluation")+('MiT Strom Pipeline'!R12="tbd")+('MiT Strom Pipeline'!R12="In evaluation"))*('MiT Strom Pipeline'!B12&lt;&gt;""))&gt;0,IF(LEN('MiT Strom Pipeline'!V12)&gt;0,LEFT('MiT Strom Pipeline'!V12,55),""),"")</f>
        <v/>
      </c>
      <c r="L145" s="22" t="n"/>
      <c r="M145" s="22" t="n"/>
      <c r="N145" s="22" t="n"/>
      <c r="O145" s="22" t="n"/>
      <c r="P145" s="22" t="n"/>
      <c r="Q145" s="22" t="n"/>
      <c r="R145" s="22" t="n"/>
      <c r="S145" s="22" t="n"/>
    </row>
    <row r="146" ht="15.75" customHeight="1">
      <c r="A146" s="26">
        <f>IF(((('MiT Strom Pipeline'!R13="follow-up")+('MiT Strom Pipeline'!R13="Evaluation")+('MiT Strom Pipeline'!R13="tbd")+('MiT Strom Pipeline'!R13="In evaluation"))*('MiT Strom Pipeline'!B13&lt;&gt;""))&gt;0,IF(ISNUMBER('MiT Strom Pipeline'!A13),'MiT Strom Pipeline'!A13,""),"")</f>
        <v/>
      </c>
      <c r="B146" s="27">
        <f>IF(((('MiT Strom Pipeline'!R13="follow-up")+('MiT Strom Pipeline'!R13="Evaluation")+('MiT Strom Pipeline'!R13="tbd")+('MiT Strom Pipeline'!R13="In evaluation"))*('MiT Strom Pipeline'!B13&lt;&gt;""))&gt;0,IF('MiT Strom Pipeline'!B13="","",'MiT Strom Pipeline'!B13),"")</f>
        <v/>
      </c>
      <c r="C146" s="27">
        <f>IF(((('MiT Strom Pipeline'!R13="follow-up")+('MiT Strom Pipeline'!R13="Evaluation")+('MiT Strom Pipeline'!R13="tbd")+('MiT Strom Pipeline'!R13="In evaluation"))*('MiT Strom Pipeline'!B13&lt;&gt;""))&gt;0,IF('MiT Strom Pipeline'!C13="","",'MiT Strom Pipeline'!C13),"")</f>
        <v/>
      </c>
      <c r="D146" s="27">
        <f>IF(((('MiT Strom Pipeline'!R13="follow-up")+('MiT Strom Pipeline'!R13="Evaluation")+('MiT Strom Pipeline'!R13="tbd")+('MiT Strom Pipeline'!R13="In evaluation"))*('MiT Strom Pipeline'!B13&lt;&gt;""))&gt;0,IF('MiT Strom Pipeline'!D13="","",'MiT Strom Pipeline'!D13),"")</f>
        <v/>
      </c>
      <c r="E146" s="27">
        <f>IF(((('MiT Strom Pipeline'!R13="follow-up")+('MiT Strom Pipeline'!R13="Evaluation")+('MiT Strom Pipeline'!R13="tbd")+('MiT Strom Pipeline'!R13="In evaluation"))*('MiT Strom Pipeline'!B13&lt;&gt;""))&gt;0,IF('MiT Strom Pipeline'!H13="","",'MiT Strom Pipeline'!H13),"")</f>
        <v/>
      </c>
      <c r="F146" s="27">
        <f>IF(((('MiT Strom Pipeline'!R13="follow-up")+('MiT Strom Pipeline'!R13="Evaluation")+('MiT Strom Pipeline'!R13="tbd")+('MiT Strom Pipeline'!R13="In evaluation"))*('MiT Strom Pipeline'!B13&lt;&gt;""))&gt;0,IF('MiT Strom Pipeline'!E13="","",'MiT Strom Pipeline'!E13),"")</f>
        <v/>
      </c>
      <c r="G146" s="28">
        <f>IF(((('MiT Strom Pipeline'!R13="follow-up")+('MiT Strom Pipeline'!R13="Evaluation")+('MiT Strom Pipeline'!R13="tbd")+('MiT Strom Pipeline'!R13="In evaluation"))*('MiT Strom Pipeline'!B13&lt;&gt;""))&gt;0,IF(ISNUMBER('MiT Strom Pipeline'!I13),'MiT Strom Pipeline'!I13,0),"")</f>
        <v/>
      </c>
      <c r="H146" s="28">
        <f>IF(((('MiT Strom Pipeline'!R13="follow-up")+('MiT Strom Pipeline'!R13="Evaluation")+('MiT Strom Pipeline'!R13="tbd")+('MiT Strom Pipeline'!R13="In evaluation"))*('MiT Strom Pipeline'!B13&lt;&gt;""))&gt;0,IF(ISNUMBER('MiT Strom Pipeline'!Q13),'MiT Strom Pipeline'!Q13,0),"")</f>
        <v/>
      </c>
      <c r="I146" s="27">
        <f>IF(((('MiT Strom Pipeline'!R13="follow-up")+('MiT Strom Pipeline'!R13="Evaluation")+('MiT Strom Pipeline'!R13="tbd")+('MiT Strom Pipeline'!R13="In evaluation"))*('MiT Strom Pipeline'!B13&lt;&gt;""))&gt;0,'MiT Strom Pipeline'!R13,"")</f>
        <v/>
      </c>
      <c r="J146" s="29">
        <f>IF(((('MiT Strom Pipeline'!R13="follow-up")+('MiT Strom Pipeline'!R13="Evaluation")+('MiT Strom Pipeline'!R13="tbd")+('MiT Strom Pipeline'!R13="In evaluation"))*('MiT Strom Pipeline'!B13&lt;&gt;""))&gt;0,IF(ISNUMBER('MiT Strom Pipeline'!S13),'MiT Strom Pipeline'!S13,""),"")</f>
        <v/>
      </c>
      <c r="K146" s="27">
        <f>IF(((('MiT Strom Pipeline'!R13="follow-up")+('MiT Strom Pipeline'!R13="Evaluation")+('MiT Strom Pipeline'!R13="tbd")+('MiT Strom Pipeline'!R13="In evaluation"))*('MiT Strom Pipeline'!B13&lt;&gt;""))&gt;0,IF(LEN('MiT Strom Pipeline'!V13)&gt;0,LEFT('MiT Strom Pipeline'!V13,55),""),"")</f>
        <v/>
      </c>
      <c r="L146" s="22" t="n"/>
      <c r="M146" s="22" t="n"/>
      <c r="N146" s="22" t="n"/>
      <c r="O146" s="22" t="n"/>
      <c r="P146" s="22" t="n"/>
      <c r="Q146" s="22" t="n"/>
      <c r="R146" s="22" t="n"/>
      <c r="S146" s="22" t="n"/>
    </row>
    <row r="147" ht="15.75" customHeight="1">
      <c r="A147" s="26">
        <f>IF(((('MiT Strom Pipeline'!R14="follow-up")+('MiT Strom Pipeline'!R14="Evaluation")+('MiT Strom Pipeline'!R14="tbd")+('MiT Strom Pipeline'!R14="In evaluation"))*('MiT Strom Pipeline'!B14&lt;&gt;""))&gt;0,IF(ISNUMBER('MiT Strom Pipeline'!A14),'MiT Strom Pipeline'!A14,""),"")</f>
        <v/>
      </c>
      <c r="B147" s="27">
        <f>IF(((('MiT Strom Pipeline'!R14="follow-up")+('MiT Strom Pipeline'!R14="Evaluation")+('MiT Strom Pipeline'!R14="tbd")+('MiT Strom Pipeline'!R14="In evaluation"))*('MiT Strom Pipeline'!B14&lt;&gt;""))&gt;0,IF('MiT Strom Pipeline'!B14="","",'MiT Strom Pipeline'!B14),"")</f>
        <v/>
      </c>
      <c r="C147" s="27">
        <f>IF(((('MiT Strom Pipeline'!R14="follow-up")+('MiT Strom Pipeline'!R14="Evaluation")+('MiT Strom Pipeline'!R14="tbd")+('MiT Strom Pipeline'!R14="In evaluation"))*('MiT Strom Pipeline'!B14&lt;&gt;""))&gt;0,IF('MiT Strom Pipeline'!C14="","",'MiT Strom Pipeline'!C14),"")</f>
        <v/>
      </c>
      <c r="D147" s="27">
        <f>IF(((('MiT Strom Pipeline'!R14="follow-up")+('MiT Strom Pipeline'!R14="Evaluation")+('MiT Strom Pipeline'!R14="tbd")+('MiT Strom Pipeline'!R14="In evaluation"))*('MiT Strom Pipeline'!B14&lt;&gt;""))&gt;0,IF('MiT Strom Pipeline'!D14="","",'MiT Strom Pipeline'!D14),"")</f>
        <v/>
      </c>
      <c r="E147" s="27">
        <f>IF(((('MiT Strom Pipeline'!R14="follow-up")+('MiT Strom Pipeline'!R14="Evaluation")+('MiT Strom Pipeline'!R14="tbd")+('MiT Strom Pipeline'!R14="In evaluation"))*('MiT Strom Pipeline'!B14&lt;&gt;""))&gt;0,IF('MiT Strom Pipeline'!H14="","",'MiT Strom Pipeline'!H14),"")</f>
        <v/>
      </c>
      <c r="F147" s="27">
        <f>IF(((('MiT Strom Pipeline'!R14="follow-up")+('MiT Strom Pipeline'!R14="Evaluation")+('MiT Strom Pipeline'!R14="tbd")+('MiT Strom Pipeline'!R14="In evaluation"))*('MiT Strom Pipeline'!B14&lt;&gt;""))&gt;0,IF('MiT Strom Pipeline'!E14="","",'MiT Strom Pipeline'!E14),"")</f>
        <v/>
      </c>
      <c r="G147" s="28">
        <f>IF(((('MiT Strom Pipeline'!R14="follow-up")+('MiT Strom Pipeline'!R14="Evaluation")+('MiT Strom Pipeline'!R14="tbd")+('MiT Strom Pipeline'!R14="In evaluation"))*('MiT Strom Pipeline'!B14&lt;&gt;""))&gt;0,IF(ISNUMBER('MiT Strom Pipeline'!I14),'MiT Strom Pipeline'!I14,0),"")</f>
        <v/>
      </c>
      <c r="H147" s="28">
        <f>IF(((('MiT Strom Pipeline'!R14="follow-up")+('MiT Strom Pipeline'!R14="Evaluation")+('MiT Strom Pipeline'!R14="tbd")+('MiT Strom Pipeline'!R14="In evaluation"))*('MiT Strom Pipeline'!B14&lt;&gt;""))&gt;0,IF(ISNUMBER('MiT Strom Pipeline'!Q14),'MiT Strom Pipeline'!Q14,0),"")</f>
        <v/>
      </c>
      <c r="I147" s="27">
        <f>IF(((('MiT Strom Pipeline'!R14="follow-up")+('MiT Strom Pipeline'!R14="Evaluation")+('MiT Strom Pipeline'!R14="tbd")+('MiT Strom Pipeline'!R14="In evaluation"))*('MiT Strom Pipeline'!B14&lt;&gt;""))&gt;0,'MiT Strom Pipeline'!R14,"")</f>
        <v/>
      </c>
      <c r="J147" s="29">
        <f>IF(((('MiT Strom Pipeline'!R14="follow-up")+('MiT Strom Pipeline'!R14="Evaluation")+('MiT Strom Pipeline'!R14="tbd")+('MiT Strom Pipeline'!R14="In evaluation"))*('MiT Strom Pipeline'!B14&lt;&gt;""))&gt;0,IF(ISNUMBER('MiT Strom Pipeline'!S14),'MiT Strom Pipeline'!S14,""),"")</f>
        <v/>
      </c>
      <c r="K147" s="27">
        <f>IF(((('MiT Strom Pipeline'!R14="follow-up")+('MiT Strom Pipeline'!R14="Evaluation")+('MiT Strom Pipeline'!R14="tbd")+('MiT Strom Pipeline'!R14="In evaluation"))*('MiT Strom Pipeline'!B14&lt;&gt;""))&gt;0,IF(LEN('MiT Strom Pipeline'!V14)&gt;0,LEFT('MiT Strom Pipeline'!V14,55),""),"")</f>
        <v/>
      </c>
      <c r="L147" s="22" t="n"/>
      <c r="M147" s="22" t="n"/>
      <c r="N147" s="22" t="n"/>
      <c r="O147" s="22" t="n"/>
      <c r="P147" s="22" t="n"/>
      <c r="Q147" s="22" t="n"/>
      <c r="R147" s="22" t="n"/>
      <c r="S147" s="22" t="n"/>
    </row>
    <row r="148" ht="15.75" customHeight="1">
      <c r="A148" s="26">
        <f>IF(((('MiT Strom Pipeline'!R15="follow-up")+('MiT Strom Pipeline'!R15="Evaluation")+('MiT Strom Pipeline'!R15="tbd")+('MiT Strom Pipeline'!R15="In evaluation"))*('MiT Strom Pipeline'!B15&lt;&gt;""))&gt;0,IF(ISNUMBER('MiT Strom Pipeline'!A15),'MiT Strom Pipeline'!A15,""),"")</f>
        <v/>
      </c>
      <c r="B148" s="27">
        <f>IF(((('MiT Strom Pipeline'!R15="follow-up")+('MiT Strom Pipeline'!R15="Evaluation")+('MiT Strom Pipeline'!R15="tbd")+('MiT Strom Pipeline'!R15="In evaluation"))*('MiT Strom Pipeline'!B15&lt;&gt;""))&gt;0,IF('MiT Strom Pipeline'!B15="","",'MiT Strom Pipeline'!B15),"")</f>
        <v/>
      </c>
      <c r="C148" s="27">
        <f>IF(((('MiT Strom Pipeline'!R15="follow-up")+('MiT Strom Pipeline'!R15="Evaluation")+('MiT Strom Pipeline'!R15="tbd")+('MiT Strom Pipeline'!R15="In evaluation"))*('MiT Strom Pipeline'!B15&lt;&gt;""))&gt;0,IF('MiT Strom Pipeline'!C15="","",'MiT Strom Pipeline'!C15),"")</f>
        <v/>
      </c>
      <c r="D148" s="27">
        <f>IF(((('MiT Strom Pipeline'!R15="follow-up")+('MiT Strom Pipeline'!R15="Evaluation")+('MiT Strom Pipeline'!R15="tbd")+('MiT Strom Pipeline'!R15="In evaluation"))*('MiT Strom Pipeline'!B15&lt;&gt;""))&gt;0,IF('MiT Strom Pipeline'!D15="","",'MiT Strom Pipeline'!D15),"")</f>
        <v/>
      </c>
      <c r="E148" s="27">
        <f>IF(((('MiT Strom Pipeline'!R15="follow-up")+('MiT Strom Pipeline'!R15="Evaluation")+('MiT Strom Pipeline'!R15="tbd")+('MiT Strom Pipeline'!R15="In evaluation"))*('MiT Strom Pipeline'!B15&lt;&gt;""))&gt;0,IF('MiT Strom Pipeline'!H15="","",'MiT Strom Pipeline'!H15),"")</f>
        <v/>
      </c>
      <c r="F148" s="27">
        <f>IF(((('MiT Strom Pipeline'!R15="follow-up")+('MiT Strom Pipeline'!R15="Evaluation")+('MiT Strom Pipeline'!R15="tbd")+('MiT Strom Pipeline'!R15="In evaluation"))*('MiT Strom Pipeline'!B15&lt;&gt;""))&gt;0,IF('MiT Strom Pipeline'!E15="","",'MiT Strom Pipeline'!E15),"")</f>
        <v/>
      </c>
      <c r="G148" s="28">
        <f>IF(((('MiT Strom Pipeline'!R15="follow-up")+('MiT Strom Pipeline'!R15="Evaluation")+('MiT Strom Pipeline'!R15="tbd")+('MiT Strom Pipeline'!R15="In evaluation"))*('MiT Strom Pipeline'!B15&lt;&gt;""))&gt;0,IF(ISNUMBER('MiT Strom Pipeline'!I15),'MiT Strom Pipeline'!I15,0),"")</f>
        <v/>
      </c>
      <c r="H148" s="28">
        <f>IF(((('MiT Strom Pipeline'!R15="follow-up")+('MiT Strom Pipeline'!R15="Evaluation")+('MiT Strom Pipeline'!R15="tbd")+('MiT Strom Pipeline'!R15="In evaluation"))*('MiT Strom Pipeline'!B15&lt;&gt;""))&gt;0,IF(ISNUMBER('MiT Strom Pipeline'!Q15),'MiT Strom Pipeline'!Q15,0),"")</f>
        <v/>
      </c>
      <c r="I148" s="27">
        <f>IF(((('MiT Strom Pipeline'!R15="follow-up")+('MiT Strom Pipeline'!R15="Evaluation")+('MiT Strom Pipeline'!R15="tbd")+('MiT Strom Pipeline'!R15="In evaluation"))*('MiT Strom Pipeline'!B15&lt;&gt;""))&gt;0,'MiT Strom Pipeline'!R15,"")</f>
        <v/>
      </c>
      <c r="J148" s="29">
        <f>IF(((('MiT Strom Pipeline'!R15="follow-up")+('MiT Strom Pipeline'!R15="Evaluation")+('MiT Strom Pipeline'!R15="tbd")+('MiT Strom Pipeline'!R15="In evaluation"))*('MiT Strom Pipeline'!B15&lt;&gt;""))&gt;0,IF(ISNUMBER('MiT Strom Pipeline'!S15),'MiT Strom Pipeline'!S15,""),"")</f>
        <v/>
      </c>
      <c r="K148" s="27">
        <f>IF(((('MiT Strom Pipeline'!R15="follow-up")+('MiT Strom Pipeline'!R15="Evaluation")+('MiT Strom Pipeline'!R15="tbd")+('MiT Strom Pipeline'!R15="In evaluation"))*('MiT Strom Pipeline'!B15&lt;&gt;""))&gt;0,IF(LEN('MiT Strom Pipeline'!V15)&gt;0,LEFT('MiT Strom Pipeline'!V15,55),""),"")</f>
        <v/>
      </c>
      <c r="L148" s="22" t="n"/>
      <c r="M148" s="22" t="n"/>
      <c r="N148" s="22" t="n"/>
      <c r="O148" s="22" t="n"/>
      <c r="P148" s="22" t="n"/>
      <c r="Q148" s="22" t="n"/>
      <c r="R148" s="22" t="n"/>
      <c r="S148" s="22" t="n"/>
    </row>
    <row r="149" ht="15.75" customHeight="1">
      <c r="A149" s="26">
        <f>IF(((('MiT Strom Pipeline'!R16="follow-up")+('MiT Strom Pipeline'!R16="Evaluation")+('MiT Strom Pipeline'!R16="tbd")+('MiT Strom Pipeline'!R16="In evaluation"))*('MiT Strom Pipeline'!B16&lt;&gt;""))&gt;0,IF(ISNUMBER('MiT Strom Pipeline'!A16),'MiT Strom Pipeline'!A16,""),"")</f>
        <v/>
      </c>
      <c r="B149" s="27">
        <f>IF(((('MiT Strom Pipeline'!R16="follow-up")+('MiT Strom Pipeline'!R16="Evaluation")+('MiT Strom Pipeline'!R16="tbd")+('MiT Strom Pipeline'!R16="In evaluation"))*('MiT Strom Pipeline'!B16&lt;&gt;""))&gt;0,IF('MiT Strom Pipeline'!B16="","",'MiT Strom Pipeline'!B16),"")</f>
        <v/>
      </c>
      <c r="C149" s="27">
        <f>IF(((('MiT Strom Pipeline'!R16="follow-up")+('MiT Strom Pipeline'!R16="Evaluation")+('MiT Strom Pipeline'!R16="tbd")+('MiT Strom Pipeline'!R16="In evaluation"))*('MiT Strom Pipeline'!B16&lt;&gt;""))&gt;0,IF('MiT Strom Pipeline'!C16="","",'MiT Strom Pipeline'!C16),"")</f>
        <v/>
      </c>
      <c r="D149" s="27">
        <f>IF(((('MiT Strom Pipeline'!R16="follow-up")+('MiT Strom Pipeline'!R16="Evaluation")+('MiT Strom Pipeline'!R16="tbd")+('MiT Strom Pipeline'!R16="In evaluation"))*('MiT Strom Pipeline'!B16&lt;&gt;""))&gt;0,IF('MiT Strom Pipeline'!D16="","",'MiT Strom Pipeline'!D16),"")</f>
        <v/>
      </c>
      <c r="E149" s="27">
        <f>IF(((('MiT Strom Pipeline'!R16="follow-up")+('MiT Strom Pipeline'!R16="Evaluation")+('MiT Strom Pipeline'!R16="tbd")+('MiT Strom Pipeline'!R16="In evaluation"))*('MiT Strom Pipeline'!B16&lt;&gt;""))&gt;0,IF('MiT Strom Pipeline'!H16="","",'MiT Strom Pipeline'!H16),"")</f>
        <v/>
      </c>
      <c r="F149" s="27">
        <f>IF(((('MiT Strom Pipeline'!R16="follow-up")+('MiT Strom Pipeline'!R16="Evaluation")+('MiT Strom Pipeline'!R16="tbd")+('MiT Strom Pipeline'!R16="In evaluation"))*('MiT Strom Pipeline'!B16&lt;&gt;""))&gt;0,IF('MiT Strom Pipeline'!E16="","",'MiT Strom Pipeline'!E16),"")</f>
        <v/>
      </c>
      <c r="G149" s="28">
        <f>IF(((('MiT Strom Pipeline'!R16="follow-up")+('MiT Strom Pipeline'!R16="Evaluation")+('MiT Strom Pipeline'!R16="tbd")+('MiT Strom Pipeline'!R16="In evaluation"))*('MiT Strom Pipeline'!B16&lt;&gt;""))&gt;0,IF(ISNUMBER('MiT Strom Pipeline'!I16),'MiT Strom Pipeline'!I16,0),"")</f>
        <v/>
      </c>
      <c r="H149" s="28">
        <f>IF(((('MiT Strom Pipeline'!R16="follow-up")+('MiT Strom Pipeline'!R16="Evaluation")+('MiT Strom Pipeline'!R16="tbd")+('MiT Strom Pipeline'!R16="In evaluation"))*('MiT Strom Pipeline'!B16&lt;&gt;""))&gt;0,IF(ISNUMBER('MiT Strom Pipeline'!Q16),'MiT Strom Pipeline'!Q16,0),"")</f>
        <v/>
      </c>
      <c r="I149" s="27">
        <f>IF(((('MiT Strom Pipeline'!R16="follow-up")+('MiT Strom Pipeline'!R16="Evaluation")+('MiT Strom Pipeline'!R16="tbd")+('MiT Strom Pipeline'!R16="In evaluation"))*('MiT Strom Pipeline'!B16&lt;&gt;""))&gt;0,'MiT Strom Pipeline'!R16,"")</f>
        <v/>
      </c>
      <c r="J149" s="29">
        <f>IF(((('MiT Strom Pipeline'!R16="follow-up")+('MiT Strom Pipeline'!R16="Evaluation")+('MiT Strom Pipeline'!R16="tbd")+('MiT Strom Pipeline'!R16="In evaluation"))*('MiT Strom Pipeline'!B16&lt;&gt;""))&gt;0,IF(ISNUMBER('MiT Strom Pipeline'!S16),'MiT Strom Pipeline'!S16,""),"")</f>
        <v/>
      </c>
      <c r="K149" s="27">
        <f>IF(((('MiT Strom Pipeline'!R16="follow-up")+('MiT Strom Pipeline'!R16="Evaluation")+('MiT Strom Pipeline'!R16="tbd")+('MiT Strom Pipeline'!R16="In evaluation"))*('MiT Strom Pipeline'!B16&lt;&gt;""))&gt;0,IF(LEN('MiT Strom Pipeline'!V16)&gt;0,LEFT('MiT Strom Pipeline'!V16,55),""),"")</f>
        <v/>
      </c>
      <c r="L149" s="22" t="n"/>
      <c r="M149" s="22" t="n"/>
      <c r="N149" s="22" t="n"/>
      <c r="O149" s="22" t="n"/>
      <c r="P149" s="22" t="n"/>
      <c r="Q149" s="22" t="n"/>
      <c r="R149" s="22" t="n"/>
      <c r="S149" s="22" t="n"/>
    </row>
    <row r="150" ht="15.75" customHeight="1">
      <c r="A150" s="26">
        <f>IF(((('MiT Strom Pipeline'!R17="follow-up")+('MiT Strom Pipeline'!R17="Evaluation")+('MiT Strom Pipeline'!R17="tbd")+('MiT Strom Pipeline'!R17="In evaluation"))*('MiT Strom Pipeline'!B17&lt;&gt;""))&gt;0,IF(ISNUMBER('MiT Strom Pipeline'!A17),'MiT Strom Pipeline'!A17,""),"")</f>
        <v/>
      </c>
      <c r="B150" s="27">
        <f>IF(((('MiT Strom Pipeline'!R17="follow-up")+('MiT Strom Pipeline'!R17="Evaluation")+('MiT Strom Pipeline'!R17="tbd")+('MiT Strom Pipeline'!R17="In evaluation"))*('MiT Strom Pipeline'!B17&lt;&gt;""))&gt;0,IF('MiT Strom Pipeline'!B17="","",'MiT Strom Pipeline'!B17),"")</f>
        <v/>
      </c>
      <c r="C150" s="27">
        <f>IF(((('MiT Strom Pipeline'!R17="follow-up")+('MiT Strom Pipeline'!R17="Evaluation")+('MiT Strom Pipeline'!R17="tbd")+('MiT Strom Pipeline'!R17="In evaluation"))*('MiT Strom Pipeline'!B17&lt;&gt;""))&gt;0,IF('MiT Strom Pipeline'!C17="","",'MiT Strom Pipeline'!C17),"")</f>
        <v/>
      </c>
      <c r="D150" s="27">
        <f>IF(((('MiT Strom Pipeline'!R17="follow-up")+('MiT Strom Pipeline'!R17="Evaluation")+('MiT Strom Pipeline'!R17="tbd")+('MiT Strom Pipeline'!R17="In evaluation"))*('MiT Strom Pipeline'!B17&lt;&gt;""))&gt;0,IF('MiT Strom Pipeline'!D17="","",'MiT Strom Pipeline'!D17),"")</f>
        <v/>
      </c>
      <c r="E150" s="27">
        <f>IF(((('MiT Strom Pipeline'!R17="follow-up")+('MiT Strom Pipeline'!R17="Evaluation")+('MiT Strom Pipeline'!R17="tbd")+('MiT Strom Pipeline'!R17="In evaluation"))*('MiT Strom Pipeline'!B17&lt;&gt;""))&gt;0,IF('MiT Strom Pipeline'!H17="","",'MiT Strom Pipeline'!H17),"")</f>
        <v/>
      </c>
      <c r="F150" s="27">
        <f>IF(((('MiT Strom Pipeline'!R17="follow-up")+('MiT Strom Pipeline'!R17="Evaluation")+('MiT Strom Pipeline'!R17="tbd")+('MiT Strom Pipeline'!R17="In evaluation"))*('MiT Strom Pipeline'!B17&lt;&gt;""))&gt;0,IF('MiT Strom Pipeline'!E17="","",'MiT Strom Pipeline'!E17),"")</f>
        <v/>
      </c>
      <c r="G150" s="28">
        <f>IF(((('MiT Strom Pipeline'!R17="follow-up")+('MiT Strom Pipeline'!R17="Evaluation")+('MiT Strom Pipeline'!R17="tbd")+('MiT Strom Pipeline'!R17="In evaluation"))*('MiT Strom Pipeline'!B17&lt;&gt;""))&gt;0,IF(ISNUMBER('MiT Strom Pipeline'!I17),'MiT Strom Pipeline'!I17,0),"")</f>
        <v/>
      </c>
      <c r="H150" s="28">
        <f>IF(((('MiT Strom Pipeline'!R17="follow-up")+('MiT Strom Pipeline'!R17="Evaluation")+('MiT Strom Pipeline'!R17="tbd")+('MiT Strom Pipeline'!R17="In evaluation"))*('MiT Strom Pipeline'!B17&lt;&gt;""))&gt;0,IF(ISNUMBER('MiT Strom Pipeline'!Q17),'MiT Strom Pipeline'!Q17,0),"")</f>
        <v/>
      </c>
      <c r="I150" s="27">
        <f>IF(((('MiT Strom Pipeline'!R17="follow-up")+('MiT Strom Pipeline'!R17="Evaluation")+('MiT Strom Pipeline'!R17="tbd")+('MiT Strom Pipeline'!R17="In evaluation"))*('MiT Strom Pipeline'!B17&lt;&gt;""))&gt;0,'MiT Strom Pipeline'!R17,"")</f>
        <v/>
      </c>
      <c r="J150" s="29">
        <f>IF(((('MiT Strom Pipeline'!R17="follow-up")+('MiT Strom Pipeline'!R17="Evaluation")+('MiT Strom Pipeline'!R17="tbd")+('MiT Strom Pipeline'!R17="In evaluation"))*('MiT Strom Pipeline'!B17&lt;&gt;""))&gt;0,IF(ISNUMBER('MiT Strom Pipeline'!S17),'MiT Strom Pipeline'!S17,""),"")</f>
        <v/>
      </c>
      <c r="K150" s="27">
        <f>IF(((('MiT Strom Pipeline'!R17="follow-up")+('MiT Strom Pipeline'!R17="Evaluation")+('MiT Strom Pipeline'!R17="tbd")+('MiT Strom Pipeline'!R17="In evaluation"))*('MiT Strom Pipeline'!B17&lt;&gt;""))&gt;0,IF(LEN('MiT Strom Pipeline'!V17)&gt;0,LEFT('MiT Strom Pipeline'!V17,55),""),"")</f>
        <v/>
      </c>
      <c r="L150" s="22" t="n"/>
      <c r="M150" s="22" t="n"/>
      <c r="N150" s="22" t="n"/>
      <c r="O150" s="22" t="n"/>
      <c r="P150" s="22" t="n"/>
      <c r="Q150" s="22" t="n"/>
      <c r="R150" s="22" t="n"/>
      <c r="S150" s="22" t="n"/>
    </row>
    <row r="151" ht="15.75" customHeight="1">
      <c r="A151" s="26">
        <f>IF(((('MiT Strom Pipeline'!R18="follow-up")+('MiT Strom Pipeline'!R18="Evaluation")+('MiT Strom Pipeline'!R18="tbd")+('MiT Strom Pipeline'!R18="In evaluation"))*('MiT Strom Pipeline'!B18&lt;&gt;""))&gt;0,IF(ISNUMBER('MiT Strom Pipeline'!A18),'MiT Strom Pipeline'!A18,""),"")</f>
        <v>13</v>
      </c>
      <c r="B151" s="27" t="str">
        <f>IF(((('MiT Strom Pipeline'!R18="follow-up")+('MiT Strom Pipeline'!R18="Evaluation")+('MiT Strom Pipeline'!R18="tbd")+('MiT Strom Pipeline'!R18="In evaluation"))*('MiT Strom Pipeline'!B18&lt;&gt;""))&gt;0,IF('MiT Strom Pipeline'!B18="","",'MiT Strom Pipeline'!B18),"")</f>
        <v>Proxima Fusion AG</v>
      </c>
      <c r="C151" s="27" t="str">
        <f>IF(((('MiT Strom Pipeline'!R18="follow-up")+('MiT Strom Pipeline'!R18="Evaluation")+('MiT Strom Pipeline'!R18="tbd")+('MiT Strom Pipeline'!R18="In evaluation"))*('MiT Strom Pipeline'!B18&lt;&gt;""))&gt;0,IF('MiT Strom Pipeline'!C18="","",'MiT Strom Pipeline'!C18),"")</f>
        <v>ZH</v>
      </c>
      <c r="D151" s="27" t="str">
        <f>IF(((('MiT Strom Pipeline'!R18="follow-up")+('MiT Strom Pipeline'!R18="Evaluation")+('MiT Strom Pipeline'!R18="tbd")+('MiT Strom Pipeline'!R18="In evaluation"))*('MiT Strom Pipeline'!B18&lt;&gt;""))&gt;0,IF('MiT Strom Pipeline'!D18="","",'MiT Strom Pipeline'!D18),"")</f>
        <v>Forschung / Hightech</v>
      </c>
      <c r="E151" s="27" t="str">
        <f>IF(((('MiT Strom Pipeline'!R18="follow-up")+('MiT Strom Pipeline'!R18="Evaluation")+('MiT Strom Pipeline'!R18="tbd")+('MiT Strom Pipeline'!R18="In evaluation"))*('MiT Strom Pipeline'!B18&lt;&gt;""))&gt;0,IF('MiT Strom Pipeline'!H18="","",'MiT Strom Pipeline'!H18),"")</f>
        <v>Juli</v>
      </c>
      <c r="F151" s="27" t="str">
        <f>IF(((('MiT Strom Pipeline'!R18="follow-up")+('MiT Strom Pipeline'!R18="Evaluation")+('MiT Strom Pipeline'!R18="tbd")+('MiT Strom Pipeline'!R18="In evaluation"))*('MiT Strom Pipeline'!B18&lt;&gt;""))&gt;0,IF('MiT Strom Pipeline'!E18="","",'MiT Strom Pipeline'!E18),"")</f>
        <v>BESS 1 MWh</v>
      </c>
      <c r="G151" s="28">
        <f>IF(((('MiT Strom Pipeline'!R18="follow-up")+('MiT Strom Pipeline'!R18="Evaluation")+('MiT Strom Pipeline'!R18="tbd")+('MiT Strom Pipeline'!R18="In evaluation"))*('MiT Strom Pipeline'!B18&lt;&gt;""))&gt;0,IF(ISNUMBER('MiT Strom Pipeline'!I18),'MiT Strom Pipeline'!I18,0),"")</f>
        <v>365003</v>
      </c>
      <c r="H151" s="28">
        <f>IF(((('MiT Strom Pipeline'!R18="follow-up")+('MiT Strom Pipeline'!R18="Evaluation")+('MiT Strom Pipeline'!R18="tbd")+('MiT Strom Pipeline'!R18="In evaluation"))*('MiT Strom Pipeline'!B18&lt;&gt;""))&gt;0,IF(ISNUMBER('MiT Strom Pipeline'!Q18),'MiT Strom Pipeline'!Q18,0),"")</f>
        <v>182501.5</v>
      </c>
      <c r="I151" s="27" t="str">
        <f>IF(((('MiT Strom Pipeline'!R18="follow-up")+('MiT Strom Pipeline'!R18="Evaluation")+('MiT Strom Pipeline'!R18="tbd")+('MiT Strom Pipeline'!R18="In evaluation"))*('MiT Strom Pipeline'!B18&lt;&gt;""))&gt;0,'MiT Strom Pipeline'!R18,"")</f>
        <v>follow-up</v>
      </c>
      <c r="J151" s="29">
        <f>IF(((('MiT Strom Pipeline'!R18="follow-up")+('MiT Strom Pipeline'!R18="Evaluation")+('MiT Strom Pipeline'!R18="tbd")+('MiT Strom Pipeline'!R18="In evaluation"))*('MiT Strom Pipeline'!B18&lt;&gt;""))&gt;0,IF(ISNUMBER('MiT Strom Pipeline'!S18),'MiT Strom Pipeline'!S18,""),"")</f>
        <v>0.5</v>
      </c>
      <c r="K151" s="27" t="str">
        <f>IF(((('MiT Strom Pipeline'!R18="follow-up")+('MiT Strom Pipeline'!R18="Evaluation")+('MiT Strom Pipeline'!R18="tbd")+('MiT Strom Pipeline'!R18="In evaluation"))*('MiT Strom Pipeline'!B18&lt;&gt;""))&gt;0,IF(LEN('MiT Strom Pipeline'!V18)&gt;0,LEFT('MiT Strom Pipeline'!V18,55),""),"")</f>
        <v>Technisches Gespräch – USV + PQ-Anforderungen klären, K</v>
      </c>
      <c r="L151" s="22" t="n"/>
      <c r="M151" s="22" t="n"/>
      <c r="N151" s="22" t="n"/>
      <c r="O151" s="22" t="n"/>
      <c r="P151" s="22" t="n"/>
      <c r="Q151" s="22" t="n"/>
      <c r="R151" s="22" t="n"/>
      <c r="S151" s="22" t="n"/>
    </row>
    <row r="152" ht="15.75" customHeight="1">
      <c r="A152" s="26">
        <f>IF(((('MiT Strom Pipeline'!R19="follow-up")+('MiT Strom Pipeline'!R19="Evaluation")+('MiT Strom Pipeline'!R19="tbd")+('MiT Strom Pipeline'!R19="In evaluation"))*('MiT Strom Pipeline'!B19&lt;&gt;""))&gt;0,IF(ISNUMBER('MiT Strom Pipeline'!A19),'MiT Strom Pipeline'!A19,""),"")</f>
        <v>25</v>
      </c>
      <c r="B152" s="27" t="str">
        <f>IF(((('MiT Strom Pipeline'!R19="follow-up")+('MiT Strom Pipeline'!R19="Evaluation")+('MiT Strom Pipeline'!R19="tbd")+('MiT Strom Pipeline'!R19="In evaluation"))*('MiT Strom Pipeline'!B19&lt;&gt;""))&gt;0,IF('MiT Strom Pipeline'!B19="","",'MiT Strom Pipeline'!B19),"")</f>
        <v>Reto EKAG</v>
      </c>
      <c r="C152" s="27" t="str">
        <f>IF(((('MiT Strom Pipeline'!R19="follow-up")+('MiT Strom Pipeline'!R19="Evaluation")+('MiT Strom Pipeline'!R19="tbd")+('MiT Strom Pipeline'!R19="In evaluation"))*('MiT Strom Pipeline'!B19&lt;&gt;""))&gt;0,IF('MiT Strom Pipeline'!C19="","",'MiT Strom Pipeline'!C19),"")</f>
        <v>AG</v>
      </c>
      <c r="D152" s="27" t="str">
        <f>IF(((('MiT Strom Pipeline'!R19="follow-up")+('MiT Strom Pipeline'!R19="Evaluation")+('MiT Strom Pipeline'!R19="tbd")+('MiT Strom Pipeline'!R19="In evaluation"))*('MiT Strom Pipeline'!B19&lt;&gt;""))&gt;0,IF('MiT Strom Pipeline'!D19="","",'MiT Strom Pipeline'!D19),"")</f>
        <v>Elektroinstallation</v>
      </c>
      <c r="E152" s="27" t="str">
        <f>IF(((('MiT Strom Pipeline'!R19="follow-up")+('MiT Strom Pipeline'!R19="Evaluation")+('MiT Strom Pipeline'!R19="tbd")+('MiT Strom Pipeline'!R19="In evaluation"))*('MiT Strom Pipeline'!B19&lt;&gt;""))&gt;0,IF('MiT Strom Pipeline'!H19="","",'MiT Strom Pipeline'!H19),"")</f>
        <v>Okt</v>
      </c>
      <c r="F152" s="27" t="str">
        <f>IF(((('MiT Strom Pipeline'!R19="follow-up")+('MiT Strom Pipeline'!R19="Evaluation")+('MiT Strom Pipeline'!R19="tbd")+('MiT Strom Pipeline'!R19="In evaluation"))*('MiT Strom Pipeline'!B19&lt;&gt;""))&gt;0,IF('MiT Strom Pipeline'!E19="","",'MiT Strom Pipeline'!E19),"")</f>
        <v>Option B 1x 6 kVA Trafo, 1x 3000 kVA Trafo, 1x 6000 kVA Lastbank, 1x 3300 kVA Lastbank</v>
      </c>
      <c r="G152" s="28">
        <f>IF(((('MiT Strom Pipeline'!R19="follow-up")+('MiT Strom Pipeline'!R19="Evaluation")+('MiT Strom Pipeline'!R19="tbd")+('MiT Strom Pipeline'!R19="In evaluation"))*('MiT Strom Pipeline'!B19&lt;&gt;""))&gt;0,IF(ISNUMBER('MiT Strom Pipeline'!I19),'MiT Strom Pipeline'!I19,0),"")</f>
        <v>57249.54</v>
      </c>
      <c r="H152" s="28">
        <f>IF(((('MiT Strom Pipeline'!R19="follow-up")+('MiT Strom Pipeline'!R19="Evaluation")+('MiT Strom Pipeline'!R19="tbd")+('MiT Strom Pipeline'!R19="In evaluation"))*('MiT Strom Pipeline'!B19&lt;&gt;""))&gt;0,IF(ISNUMBER('MiT Strom Pipeline'!Q19),'MiT Strom Pipeline'!Q19,0),"")</f>
        <v>40074.678</v>
      </c>
      <c r="I152" s="27" t="str">
        <f>IF(((('MiT Strom Pipeline'!R19="follow-up")+('MiT Strom Pipeline'!R19="Evaluation")+('MiT Strom Pipeline'!R19="tbd")+('MiT Strom Pipeline'!R19="In evaluation"))*('MiT Strom Pipeline'!B19&lt;&gt;""))&gt;0,'MiT Strom Pipeline'!R19,"")</f>
        <v>Evaluation</v>
      </c>
      <c r="J152" s="29">
        <f>IF(((('MiT Strom Pipeline'!R19="follow-up")+('MiT Strom Pipeline'!R19="Evaluation")+('MiT Strom Pipeline'!R19="tbd")+('MiT Strom Pipeline'!R19="In evaluation"))*('MiT Strom Pipeline'!B19&lt;&gt;""))&gt;0,IF(ISNUMBER('MiT Strom Pipeline'!S19),'MiT Strom Pipeline'!S19,""),"")</f>
        <v>0.7</v>
      </c>
      <c r="K152" s="27" t="str">
        <f>IF(((('MiT Strom Pipeline'!R19="follow-up")+('MiT Strom Pipeline'!R19="Evaluation")+('MiT Strom Pipeline'!R19="tbd")+('MiT Strom Pipeline'!R19="In evaluation"))*('MiT Strom Pipeline'!B19&lt;&gt;""))&gt;0,IF(LEN('MiT Strom Pipeline'!V19)&gt;0,LEFT('MiT Strom Pipeline'!V19,55),""),"")</f>
        <v>Kunde Telefon Kontaktiert und Vor Ort 
Besichtigung und</v>
      </c>
      <c r="L152" s="22" t="n"/>
      <c r="M152" s="22" t="n"/>
      <c r="N152" s="22" t="n"/>
      <c r="O152" s="22" t="n"/>
      <c r="P152" s="22" t="n"/>
      <c r="Q152" s="22" t="n"/>
      <c r="R152" s="22" t="n"/>
      <c r="S152" s="22" t="n"/>
    </row>
    <row r="153" ht="15.75" customHeight="1">
      <c r="A153" s="26">
        <f>IF(((('MiT Strom Pipeline'!R20="follow-up")+('MiT Strom Pipeline'!R20="Evaluation")+('MiT Strom Pipeline'!R20="tbd")+('MiT Strom Pipeline'!R20="In evaluation"))*('MiT Strom Pipeline'!B20&lt;&gt;""))&gt;0,IF(ISNUMBER('MiT Strom Pipeline'!A20),'MiT Strom Pipeline'!A20,""),"")</f>
        <v>25</v>
      </c>
      <c r="B153" s="27" t="str">
        <f>IF(((('MiT Strom Pipeline'!R20="follow-up")+('MiT Strom Pipeline'!R20="Evaluation")+('MiT Strom Pipeline'!R20="tbd")+('MiT Strom Pipeline'!R20="In evaluation"))*('MiT Strom Pipeline'!B20&lt;&gt;""))&gt;0,IF('MiT Strom Pipeline'!B20="","",'MiT Strom Pipeline'!B20),"")</f>
        <v>Reto EKAG</v>
      </c>
      <c r="C153" s="27" t="str">
        <f>IF(((('MiT Strom Pipeline'!R20="follow-up")+('MiT Strom Pipeline'!R20="Evaluation")+('MiT Strom Pipeline'!R20="tbd")+('MiT Strom Pipeline'!R20="In evaluation"))*('MiT Strom Pipeline'!B20&lt;&gt;""))&gt;0,IF('MiT Strom Pipeline'!C20="","",'MiT Strom Pipeline'!C20),"")</f>
        <v>AG</v>
      </c>
      <c r="D153" s="27" t="str">
        <f>IF(((('MiT Strom Pipeline'!R20="follow-up")+('MiT Strom Pipeline'!R20="Evaluation")+('MiT Strom Pipeline'!R20="tbd")+('MiT Strom Pipeline'!R20="In evaluation"))*('MiT Strom Pipeline'!B20&lt;&gt;""))&gt;0,IF('MiT Strom Pipeline'!D20="","",'MiT Strom Pipeline'!D20),"")</f>
        <v>Elektroinstallation</v>
      </c>
      <c r="E153" s="27" t="str">
        <f>IF(((('MiT Strom Pipeline'!R20="follow-up")+('MiT Strom Pipeline'!R20="Evaluation")+('MiT Strom Pipeline'!R20="tbd")+('MiT Strom Pipeline'!R20="In evaluation"))*('MiT Strom Pipeline'!B20&lt;&gt;""))&gt;0,IF('MiT Strom Pipeline'!H20="","",'MiT Strom Pipeline'!H20),"")</f>
        <v>Okt</v>
      </c>
      <c r="F153" s="27" t="str">
        <f>IF(((('MiT Strom Pipeline'!R20="follow-up")+('MiT Strom Pipeline'!R20="Evaluation")+('MiT Strom Pipeline'!R20="tbd")+('MiT Strom Pipeline'!R20="In evaluation"))*('MiT Strom Pipeline'!B20&lt;&gt;""))&gt;0,IF('MiT Strom Pipeline'!E20="","",'MiT Strom Pipeline'!E20),"")</f>
        <v>MS Kabel 95mm</v>
      </c>
      <c r="G153" s="28">
        <f>IF(((('MiT Strom Pipeline'!R20="follow-up")+('MiT Strom Pipeline'!R20="Evaluation")+('MiT Strom Pipeline'!R20="tbd")+('MiT Strom Pipeline'!R20="In evaluation"))*('MiT Strom Pipeline'!B20&lt;&gt;""))&gt;0,IF(ISNUMBER('MiT Strom Pipeline'!I20),'MiT Strom Pipeline'!I20,0),"")</f>
        <v>15664.18</v>
      </c>
      <c r="H153" s="28">
        <f>IF(((('MiT Strom Pipeline'!R20="follow-up")+('MiT Strom Pipeline'!R20="Evaluation")+('MiT Strom Pipeline'!R20="tbd")+('MiT Strom Pipeline'!R20="In evaluation"))*('MiT Strom Pipeline'!B20&lt;&gt;""))&gt;0,IF(ISNUMBER('MiT Strom Pipeline'!Q20),'MiT Strom Pipeline'!Q20,0),"")</f>
        <v>10964.926</v>
      </c>
      <c r="I153" s="27" t="str">
        <f>IF(((('MiT Strom Pipeline'!R20="follow-up")+('MiT Strom Pipeline'!R20="Evaluation")+('MiT Strom Pipeline'!R20="tbd")+('MiT Strom Pipeline'!R20="In evaluation"))*('MiT Strom Pipeline'!B20&lt;&gt;""))&gt;0,'MiT Strom Pipeline'!R20,"")</f>
        <v>Evaluation</v>
      </c>
      <c r="J153" s="29">
        <f>IF(((('MiT Strom Pipeline'!R20="follow-up")+('MiT Strom Pipeline'!R20="Evaluation")+('MiT Strom Pipeline'!R20="tbd")+('MiT Strom Pipeline'!R20="In evaluation"))*('MiT Strom Pipeline'!B20&lt;&gt;""))&gt;0,IF(ISNUMBER('MiT Strom Pipeline'!S20),'MiT Strom Pipeline'!S20,""),"")</f>
        <v>0.7</v>
      </c>
      <c r="K153" s="27" t="str">
        <f>IF(((('MiT Strom Pipeline'!R20="follow-up")+('MiT Strom Pipeline'!R20="Evaluation")+('MiT Strom Pipeline'!R20="tbd")+('MiT Strom Pipeline'!R20="In evaluation"))*('MiT Strom Pipeline'!B20&lt;&gt;""))&gt;0,IF(LEN('MiT Strom Pipeline'!V20)&gt;0,LEFT('MiT Strom Pipeline'!V20,55),""),"")</f>
        <v>Kunde Telefon Kontaktiert und Vor Ort 
Besichtigung und</v>
      </c>
      <c r="L153" s="22" t="n"/>
      <c r="M153" s="22" t="n"/>
      <c r="N153" s="22" t="n"/>
      <c r="O153" s="22" t="n"/>
      <c r="P153" s="22" t="n"/>
      <c r="Q153" s="22" t="n"/>
      <c r="R153" s="22" t="n"/>
      <c r="S153" s="22" t="n"/>
    </row>
    <row r="154" ht="15.75" customHeight="1">
      <c r="A154" s="26">
        <f>IF(((('MiT Strom Pipeline'!R21="follow-up")+('MiT Strom Pipeline'!R21="Evaluation")+('MiT Strom Pipeline'!R21="tbd")+('MiT Strom Pipeline'!R21="In evaluation"))*('MiT Strom Pipeline'!B21&lt;&gt;""))&gt;0,IF(ISNUMBER('MiT Strom Pipeline'!A21),'MiT Strom Pipeline'!A21,""),"")</f>
        <v/>
      </c>
      <c r="B154" s="27">
        <f>IF(((('MiT Strom Pipeline'!R21="follow-up")+('MiT Strom Pipeline'!R21="Evaluation")+('MiT Strom Pipeline'!R21="tbd")+('MiT Strom Pipeline'!R21="In evaluation"))*('MiT Strom Pipeline'!B21&lt;&gt;""))&gt;0,IF('MiT Strom Pipeline'!B21="","",'MiT Strom Pipeline'!B21),"")</f>
        <v/>
      </c>
      <c r="C154" s="27">
        <f>IF(((('MiT Strom Pipeline'!R21="follow-up")+('MiT Strom Pipeline'!R21="Evaluation")+('MiT Strom Pipeline'!R21="tbd")+('MiT Strom Pipeline'!R21="In evaluation"))*('MiT Strom Pipeline'!B21&lt;&gt;""))&gt;0,IF('MiT Strom Pipeline'!C21="","",'MiT Strom Pipeline'!C21),"")</f>
        <v/>
      </c>
      <c r="D154" s="27">
        <f>IF(((('MiT Strom Pipeline'!R21="follow-up")+('MiT Strom Pipeline'!R21="Evaluation")+('MiT Strom Pipeline'!R21="tbd")+('MiT Strom Pipeline'!R21="In evaluation"))*('MiT Strom Pipeline'!B21&lt;&gt;""))&gt;0,IF('MiT Strom Pipeline'!D21="","",'MiT Strom Pipeline'!D21),"")</f>
        <v/>
      </c>
      <c r="E154" s="27">
        <f>IF(((('MiT Strom Pipeline'!R21="follow-up")+('MiT Strom Pipeline'!R21="Evaluation")+('MiT Strom Pipeline'!R21="tbd")+('MiT Strom Pipeline'!R21="In evaluation"))*('MiT Strom Pipeline'!B21&lt;&gt;""))&gt;0,IF('MiT Strom Pipeline'!H21="","",'MiT Strom Pipeline'!H21),"")</f>
        <v/>
      </c>
      <c r="F154" s="27">
        <f>IF(((('MiT Strom Pipeline'!R21="follow-up")+('MiT Strom Pipeline'!R21="Evaluation")+('MiT Strom Pipeline'!R21="tbd")+('MiT Strom Pipeline'!R21="In evaluation"))*('MiT Strom Pipeline'!B21&lt;&gt;""))&gt;0,IF('MiT Strom Pipeline'!E21="","",'MiT Strom Pipeline'!E21),"")</f>
        <v/>
      </c>
      <c r="G154" s="28">
        <f>IF(((('MiT Strom Pipeline'!R21="follow-up")+('MiT Strom Pipeline'!R21="Evaluation")+('MiT Strom Pipeline'!R21="tbd")+('MiT Strom Pipeline'!R21="In evaluation"))*('MiT Strom Pipeline'!B21&lt;&gt;""))&gt;0,IF(ISNUMBER('MiT Strom Pipeline'!I21),'MiT Strom Pipeline'!I21,0),"")</f>
        <v/>
      </c>
      <c r="H154" s="28">
        <f>IF(((('MiT Strom Pipeline'!R21="follow-up")+('MiT Strom Pipeline'!R21="Evaluation")+('MiT Strom Pipeline'!R21="tbd")+('MiT Strom Pipeline'!R21="In evaluation"))*('MiT Strom Pipeline'!B21&lt;&gt;""))&gt;0,IF(ISNUMBER('MiT Strom Pipeline'!Q21),'MiT Strom Pipeline'!Q21,0),"")</f>
        <v/>
      </c>
      <c r="I154" s="27">
        <f>IF(((('MiT Strom Pipeline'!R21="follow-up")+('MiT Strom Pipeline'!R21="Evaluation")+('MiT Strom Pipeline'!R21="tbd")+('MiT Strom Pipeline'!R21="In evaluation"))*('MiT Strom Pipeline'!B21&lt;&gt;""))&gt;0,'MiT Strom Pipeline'!R21,"")</f>
        <v/>
      </c>
      <c r="J154" s="29">
        <f>IF(((('MiT Strom Pipeline'!R21="follow-up")+('MiT Strom Pipeline'!R21="Evaluation")+('MiT Strom Pipeline'!R21="tbd")+('MiT Strom Pipeline'!R21="In evaluation"))*('MiT Strom Pipeline'!B21&lt;&gt;""))&gt;0,IF(ISNUMBER('MiT Strom Pipeline'!S21),'MiT Strom Pipeline'!S21,""),"")</f>
        <v/>
      </c>
      <c r="K154" s="27">
        <f>IF(((('MiT Strom Pipeline'!R21="follow-up")+('MiT Strom Pipeline'!R21="Evaluation")+('MiT Strom Pipeline'!R21="tbd")+('MiT Strom Pipeline'!R21="In evaluation"))*('MiT Strom Pipeline'!B21&lt;&gt;""))&gt;0,IF(LEN('MiT Strom Pipeline'!V21)&gt;0,LEFT('MiT Strom Pipeline'!V21,55),""),"")</f>
        <v/>
      </c>
      <c r="L154" s="22" t="n"/>
      <c r="M154" s="22" t="n"/>
      <c r="N154" s="22" t="n"/>
      <c r="O154" s="22" t="n"/>
      <c r="P154" s="22" t="n"/>
      <c r="Q154" s="22" t="n"/>
      <c r="R154" s="22" t="n"/>
      <c r="S154" s="22" t="n"/>
    </row>
    <row r="155" ht="15.75" customHeight="1">
      <c r="A155" s="26">
        <f>IF(((('MiT Strom Pipeline'!R22="follow-up")+('MiT Strom Pipeline'!R22="Evaluation")+('MiT Strom Pipeline'!R22="tbd")+('MiT Strom Pipeline'!R22="In evaluation"))*('MiT Strom Pipeline'!B22&lt;&gt;""))&gt;0,IF(ISNUMBER('MiT Strom Pipeline'!A22),'MiT Strom Pipeline'!A22,""),"")</f>
        <v/>
      </c>
      <c r="B155" s="27">
        <f>IF(((('MiT Strom Pipeline'!R22="follow-up")+('MiT Strom Pipeline'!R22="Evaluation")+('MiT Strom Pipeline'!R22="tbd")+('MiT Strom Pipeline'!R22="In evaluation"))*('MiT Strom Pipeline'!B22&lt;&gt;""))&gt;0,IF('MiT Strom Pipeline'!B22="","",'MiT Strom Pipeline'!B22),"")</f>
        <v/>
      </c>
      <c r="C155" s="27">
        <f>IF(((('MiT Strom Pipeline'!R22="follow-up")+('MiT Strom Pipeline'!R22="Evaluation")+('MiT Strom Pipeline'!R22="tbd")+('MiT Strom Pipeline'!R22="In evaluation"))*('MiT Strom Pipeline'!B22&lt;&gt;""))&gt;0,IF('MiT Strom Pipeline'!C22="","",'MiT Strom Pipeline'!C22),"")</f>
        <v/>
      </c>
      <c r="D155" s="27">
        <f>IF(((('MiT Strom Pipeline'!R22="follow-up")+('MiT Strom Pipeline'!R22="Evaluation")+('MiT Strom Pipeline'!R22="tbd")+('MiT Strom Pipeline'!R22="In evaluation"))*('MiT Strom Pipeline'!B22&lt;&gt;""))&gt;0,IF('MiT Strom Pipeline'!D22="","",'MiT Strom Pipeline'!D22),"")</f>
        <v/>
      </c>
      <c r="E155" s="27">
        <f>IF(((('MiT Strom Pipeline'!R22="follow-up")+('MiT Strom Pipeline'!R22="Evaluation")+('MiT Strom Pipeline'!R22="tbd")+('MiT Strom Pipeline'!R22="In evaluation"))*('MiT Strom Pipeline'!B22&lt;&gt;""))&gt;0,IF('MiT Strom Pipeline'!H22="","",'MiT Strom Pipeline'!H22),"")</f>
        <v/>
      </c>
      <c r="F155" s="27">
        <f>IF(((('MiT Strom Pipeline'!R22="follow-up")+('MiT Strom Pipeline'!R22="Evaluation")+('MiT Strom Pipeline'!R22="tbd")+('MiT Strom Pipeline'!R22="In evaluation"))*('MiT Strom Pipeline'!B22&lt;&gt;""))&gt;0,IF('MiT Strom Pipeline'!E22="","",'MiT Strom Pipeline'!E22),"")</f>
        <v/>
      </c>
      <c r="G155" s="28">
        <f>IF(((('MiT Strom Pipeline'!R22="follow-up")+('MiT Strom Pipeline'!R22="Evaluation")+('MiT Strom Pipeline'!R22="tbd")+('MiT Strom Pipeline'!R22="In evaluation"))*('MiT Strom Pipeline'!B22&lt;&gt;""))&gt;0,IF(ISNUMBER('MiT Strom Pipeline'!I22),'MiT Strom Pipeline'!I22,0),"")</f>
        <v/>
      </c>
      <c r="H155" s="28">
        <f>IF(((('MiT Strom Pipeline'!R22="follow-up")+('MiT Strom Pipeline'!R22="Evaluation")+('MiT Strom Pipeline'!R22="tbd")+('MiT Strom Pipeline'!R22="In evaluation"))*('MiT Strom Pipeline'!B22&lt;&gt;""))&gt;0,IF(ISNUMBER('MiT Strom Pipeline'!Q22),'MiT Strom Pipeline'!Q22,0),"")</f>
        <v/>
      </c>
      <c r="I155" s="27">
        <f>IF(((('MiT Strom Pipeline'!R22="follow-up")+('MiT Strom Pipeline'!R22="Evaluation")+('MiT Strom Pipeline'!R22="tbd")+('MiT Strom Pipeline'!R22="In evaluation"))*('MiT Strom Pipeline'!B22&lt;&gt;""))&gt;0,'MiT Strom Pipeline'!R22,"")</f>
        <v/>
      </c>
      <c r="J155" s="29">
        <f>IF(((('MiT Strom Pipeline'!R22="follow-up")+('MiT Strom Pipeline'!R22="Evaluation")+('MiT Strom Pipeline'!R22="tbd")+('MiT Strom Pipeline'!R22="In evaluation"))*('MiT Strom Pipeline'!B22&lt;&gt;""))&gt;0,IF(ISNUMBER('MiT Strom Pipeline'!S22),'MiT Strom Pipeline'!S22,""),"")</f>
        <v/>
      </c>
      <c r="K155" s="27">
        <f>IF(((('MiT Strom Pipeline'!R22="follow-up")+('MiT Strom Pipeline'!R22="Evaluation")+('MiT Strom Pipeline'!R22="tbd")+('MiT Strom Pipeline'!R22="In evaluation"))*('MiT Strom Pipeline'!B22&lt;&gt;""))&gt;0,IF(LEN('MiT Strom Pipeline'!V22)&gt;0,LEFT('MiT Strom Pipeline'!V22,55),""),"")</f>
        <v/>
      </c>
      <c r="L155" s="22" t="n"/>
      <c r="M155" s="22" t="n"/>
      <c r="N155" s="22" t="n"/>
      <c r="O155" s="22" t="n"/>
      <c r="P155" s="22" t="n"/>
      <c r="Q155" s="22" t="n"/>
      <c r="R155" s="22" t="n"/>
      <c r="S155" s="22" t="n"/>
    </row>
    <row r="156" ht="15.75" customHeight="1">
      <c r="A156" s="26">
        <f>IF(((('MiT Strom Pipeline'!R23="follow-up")+('MiT Strom Pipeline'!R23="Evaluation")+('MiT Strom Pipeline'!R23="tbd")+('MiT Strom Pipeline'!R23="In evaluation"))*('MiT Strom Pipeline'!B23&lt;&gt;""))&gt;0,IF(ISNUMBER('MiT Strom Pipeline'!A23),'MiT Strom Pipeline'!A23,""),"")</f>
        <v/>
      </c>
      <c r="B156" s="27">
        <f>IF(((('MiT Strom Pipeline'!R23="follow-up")+('MiT Strom Pipeline'!R23="Evaluation")+('MiT Strom Pipeline'!R23="tbd")+('MiT Strom Pipeline'!R23="In evaluation"))*('MiT Strom Pipeline'!B23&lt;&gt;""))&gt;0,IF('MiT Strom Pipeline'!B23="","",'MiT Strom Pipeline'!B23),"")</f>
        <v/>
      </c>
      <c r="C156" s="27">
        <f>IF(((('MiT Strom Pipeline'!R23="follow-up")+('MiT Strom Pipeline'!R23="Evaluation")+('MiT Strom Pipeline'!R23="tbd")+('MiT Strom Pipeline'!R23="In evaluation"))*('MiT Strom Pipeline'!B23&lt;&gt;""))&gt;0,IF('MiT Strom Pipeline'!C23="","",'MiT Strom Pipeline'!C23),"")</f>
        <v/>
      </c>
      <c r="D156" s="27">
        <f>IF(((('MiT Strom Pipeline'!R23="follow-up")+('MiT Strom Pipeline'!R23="Evaluation")+('MiT Strom Pipeline'!R23="tbd")+('MiT Strom Pipeline'!R23="In evaluation"))*('MiT Strom Pipeline'!B23&lt;&gt;""))&gt;0,IF('MiT Strom Pipeline'!D23="","",'MiT Strom Pipeline'!D23),"")</f>
        <v/>
      </c>
      <c r="E156" s="27">
        <f>IF(((('MiT Strom Pipeline'!R23="follow-up")+('MiT Strom Pipeline'!R23="Evaluation")+('MiT Strom Pipeline'!R23="tbd")+('MiT Strom Pipeline'!R23="In evaluation"))*('MiT Strom Pipeline'!B23&lt;&gt;""))&gt;0,IF('MiT Strom Pipeline'!H23="","",'MiT Strom Pipeline'!H23),"")</f>
        <v/>
      </c>
      <c r="F156" s="27">
        <f>IF(((('MiT Strom Pipeline'!R23="follow-up")+('MiT Strom Pipeline'!R23="Evaluation")+('MiT Strom Pipeline'!R23="tbd")+('MiT Strom Pipeline'!R23="In evaluation"))*('MiT Strom Pipeline'!B23&lt;&gt;""))&gt;0,IF('MiT Strom Pipeline'!E23="","",'MiT Strom Pipeline'!E23),"")</f>
        <v/>
      </c>
      <c r="G156" s="28">
        <f>IF(((('MiT Strom Pipeline'!R23="follow-up")+('MiT Strom Pipeline'!R23="Evaluation")+('MiT Strom Pipeline'!R23="tbd")+('MiT Strom Pipeline'!R23="In evaluation"))*('MiT Strom Pipeline'!B23&lt;&gt;""))&gt;0,IF(ISNUMBER('MiT Strom Pipeline'!I23),'MiT Strom Pipeline'!I23,0),"")</f>
        <v/>
      </c>
      <c r="H156" s="28">
        <f>IF(((('MiT Strom Pipeline'!R23="follow-up")+('MiT Strom Pipeline'!R23="Evaluation")+('MiT Strom Pipeline'!R23="tbd")+('MiT Strom Pipeline'!R23="In evaluation"))*('MiT Strom Pipeline'!B23&lt;&gt;""))&gt;0,IF(ISNUMBER('MiT Strom Pipeline'!Q23),'MiT Strom Pipeline'!Q23,0),"")</f>
        <v/>
      </c>
      <c r="I156" s="27">
        <f>IF(((('MiT Strom Pipeline'!R23="follow-up")+('MiT Strom Pipeline'!R23="Evaluation")+('MiT Strom Pipeline'!R23="tbd")+('MiT Strom Pipeline'!R23="In evaluation"))*('MiT Strom Pipeline'!B23&lt;&gt;""))&gt;0,'MiT Strom Pipeline'!R23,"")</f>
        <v/>
      </c>
      <c r="J156" s="29">
        <f>IF(((('MiT Strom Pipeline'!R23="follow-up")+('MiT Strom Pipeline'!R23="Evaluation")+('MiT Strom Pipeline'!R23="tbd")+('MiT Strom Pipeline'!R23="In evaluation"))*('MiT Strom Pipeline'!B23&lt;&gt;""))&gt;0,IF(ISNUMBER('MiT Strom Pipeline'!S23),'MiT Strom Pipeline'!S23,""),"")</f>
        <v/>
      </c>
      <c r="K156" s="27">
        <f>IF(((('MiT Strom Pipeline'!R23="follow-up")+('MiT Strom Pipeline'!R23="Evaluation")+('MiT Strom Pipeline'!R23="tbd")+('MiT Strom Pipeline'!R23="In evaluation"))*('MiT Strom Pipeline'!B23&lt;&gt;""))&gt;0,IF(LEN('MiT Strom Pipeline'!V23)&gt;0,LEFT('MiT Strom Pipeline'!V23,55),""),"")</f>
        <v/>
      </c>
      <c r="L156" s="22" t="n"/>
      <c r="M156" s="22" t="n"/>
      <c r="N156" s="22" t="n"/>
      <c r="O156" s="22" t="n"/>
      <c r="P156" s="22" t="n"/>
      <c r="Q156" s="22" t="n"/>
      <c r="R156" s="22" t="n"/>
      <c r="S156" s="22" t="n"/>
    </row>
    <row r="157" ht="15.75" customHeight="1">
      <c r="A157" s="26">
        <f>IF(((('MiT Strom Pipeline'!R24="follow-up")+('MiT Strom Pipeline'!R24="Evaluation")+('MiT Strom Pipeline'!R24="tbd")+('MiT Strom Pipeline'!R24="In evaluation"))*('MiT Strom Pipeline'!B24&lt;&gt;""))&gt;0,IF(ISNUMBER('MiT Strom Pipeline'!A24),'MiT Strom Pipeline'!A24,""),"")</f>
        <v/>
      </c>
      <c r="B157" s="27">
        <f>IF(((('MiT Strom Pipeline'!R24="follow-up")+('MiT Strom Pipeline'!R24="Evaluation")+('MiT Strom Pipeline'!R24="tbd")+('MiT Strom Pipeline'!R24="In evaluation"))*('MiT Strom Pipeline'!B24&lt;&gt;""))&gt;0,IF('MiT Strom Pipeline'!B24="","",'MiT Strom Pipeline'!B24),"")</f>
        <v/>
      </c>
      <c r="C157" s="27">
        <f>IF(((('MiT Strom Pipeline'!R24="follow-up")+('MiT Strom Pipeline'!R24="Evaluation")+('MiT Strom Pipeline'!R24="tbd")+('MiT Strom Pipeline'!R24="In evaluation"))*('MiT Strom Pipeline'!B24&lt;&gt;""))&gt;0,IF('MiT Strom Pipeline'!C24="","",'MiT Strom Pipeline'!C24),"")</f>
        <v/>
      </c>
      <c r="D157" s="27">
        <f>IF(((('MiT Strom Pipeline'!R24="follow-up")+('MiT Strom Pipeline'!R24="Evaluation")+('MiT Strom Pipeline'!R24="tbd")+('MiT Strom Pipeline'!R24="In evaluation"))*('MiT Strom Pipeline'!B24&lt;&gt;""))&gt;0,IF('MiT Strom Pipeline'!D24="","",'MiT Strom Pipeline'!D24),"")</f>
        <v/>
      </c>
      <c r="E157" s="27">
        <f>IF(((('MiT Strom Pipeline'!R24="follow-up")+('MiT Strom Pipeline'!R24="Evaluation")+('MiT Strom Pipeline'!R24="tbd")+('MiT Strom Pipeline'!R24="In evaluation"))*('MiT Strom Pipeline'!B24&lt;&gt;""))&gt;0,IF('MiT Strom Pipeline'!H24="","",'MiT Strom Pipeline'!H24),"")</f>
        <v/>
      </c>
      <c r="F157" s="27">
        <f>IF(((('MiT Strom Pipeline'!R24="follow-up")+('MiT Strom Pipeline'!R24="Evaluation")+('MiT Strom Pipeline'!R24="tbd")+('MiT Strom Pipeline'!R24="In evaluation"))*('MiT Strom Pipeline'!B24&lt;&gt;""))&gt;0,IF('MiT Strom Pipeline'!E24="","",'MiT Strom Pipeline'!E24),"")</f>
        <v/>
      </c>
      <c r="G157" s="28">
        <f>IF(((('MiT Strom Pipeline'!R24="follow-up")+('MiT Strom Pipeline'!R24="Evaluation")+('MiT Strom Pipeline'!R24="tbd")+('MiT Strom Pipeline'!R24="In evaluation"))*('MiT Strom Pipeline'!B24&lt;&gt;""))&gt;0,IF(ISNUMBER('MiT Strom Pipeline'!I24),'MiT Strom Pipeline'!I24,0),"")</f>
        <v/>
      </c>
      <c r="H157" s="28">
        <f>IF(((('MiT Strom Pipeline'!R24="follow-up")+('MiT Strom Pipeline'!R24="Evaluation")+('MiT Strom Pipeline'!R24="tbd")+('MiT Strom Pipeline'!R24="In evaluation"))*('MiT Strom Pipeline'!B24&lt;&gt;""))&gt;0,IF(ISNUMBER('MiT Strom Pipeline'!Q24),'MiT Strom Pipeline'!Q24,0),"")</f>
        <v/>
      </c>
      <c r="I157" s="27">
        <f>IF(((('MiT Strom Pipeline'!R24="follow-up")+('MiT Strom Pipeline'!R24="Evaluation")+('MiT Strom Pipeline'!R24="tbd")+('MiT Strom Pipeline'!R24="In evaluation"))*('MiT Strom Pipeline'!B24&lt;&gt;""))&gt;0,'MiT Strom Pipeline'!R24,"")</f>
        <v/>
      </c>
      <c r="J157" s="29">
        <f>IF(((('MiT Strom Pipeline'!R24="follow-up")+('MiT Strom Pipeline'!R24="Evaluation")+('MiT Strom Pipeline'!R24="tbd")+('MiT Strom Pipeline'!R24="In evaluation"))*('MiT Strom Pipeline'!B24&lt;&gt;""))&gt;0,IF(ISNUMBER('MiT Strom Pipeline'!S24),'MiT Strom Pipeline'!S24,""),"")</f>
        <v/>
      </c>
      <c r="K157" s="27">
        <f>IF(((('MiT Strom Pipeline'!R24="follow-up")+('MiT Strom Pipeline'!R24="Evaluation")+('MiT Strom Pipeline'!R24="tbd")+('MiT Strom Pipeline'!R24="In evaluation"))*('MiT Strom Pipeline'!B24&lt;&gt;""))&gt;0,IF(LEN('MiT Strom Pipeline'!V24)&gt;0,LEFT('MiT Strom Pipeline'!V24,55),""),"")</f>
        <v/>
      </c>
      <c r="L157" s="22" t="n"/>
      <c r="M157" s="22" t="n"/>
      <c r="N157" s="22" t="n"/>
      <c r="O157" s="22" t="n"/>
      <c r="P157" s="22" t="n"/>
      <c r="Q157" s="22" t="n"/>
      <c r="R157" s="22" t="n"/>
      <c r="S157" s="22" t="n"/>
    </row>
    <row r="158" ht="15.75" customHeight="1">
      <c r="A158" s="26">
        <f>IF(((('MiT Strom Pipeline'!R25="follow-up")+('MiT Strom Pipeline'!R25="Evaluation")+('MiT Strom Pipeline'!R25="tbd")+('MiT Strom Pipeline'!R25="In evaluation"))*('MiT Strom Pipeline'!B25&lt;&gt;""))&gt;0,IF(ISNUMBER('MiT Strom Pipeline'!A25),'MiT Strom Pipeline'!A25,""),"")</f>
        <v/>
      </c>
      <c r="B158" s="27">
        <f>IF(((('MiT Strom Pipeline'!R25="follow-up")+('MiT Strom Pipeline'!R25="Evaluation")+('MiT Strom Pipeline'!R25="tbd")+('MiT Strom Pipeline'!R25="In evaluation"))*('MiT Strom Pipeline'!B25&lt;&gt;""))&gt;0,IF('MiT Strom Pipeline'!B25="","",'MiT Strom Pipeline'!B25),"")</f>
        <v/>
      </c>
      <c r="C158" s="27">
        <f>IF(((('MiT Strom Pipeline'!R25="follow-up")+('MiT Strom Pipeline'!R25="Evaluation")+('MiT Strom Pipeline'!R25="tbd")+('MiT Strom Pipeline'!R25="In evaluation"))*('MiT Strom Pipeline'!B25&lt;&gt;""))&gt;0,IF('MiT Strom Pipeline'!C25="","",'MiT Strom Pipeline'!C25),"")</f>
        <v/>
      </c>
      <c r="D158" s="27">
        <f>IF(((('MiT Strom Pipeline'!R25="follow-up")+('MiT Strom Pipeline'!R25="Evaluation")+('MiT Strom Pipeline'!R25="tbd")+('MiT Strom Pipeline'!R25="In evaluation"))*('MiT Strom Pipeline'!B25&lt;&gt;""))&gt;0,IF('MiT Strom Pipeline'!D25="","",'MiT Strom Pipeline'!D25),"")</f>
        <v/>
      </c>
      <c r="E158" s="27">
        <f>IF(((('MiT Strom Pipeline'!R25="follow-up")+('MiT Strom Pipeline'!R25="Evaluation")+('MiT Strom Pipeline'!R25="tbd")+('MiT Strom Pipeline'!R25="In evaluation"))*('MiT Strom Pipeline'!B25&lt;&gt;""))&gt;0,IF('MiT Strom Pipeline'!H25="","",'MiT Strom Pipeline'!H25),"")</f>
        <v/>
      </c>
      <c r="F158" s="27">
        <f>IF(((('MiT Strom Pipeline'!R25="follow-up")+('MiT Strom Pipeline'!R25="Evaluation")+('MiT Strom Pipeline'!R25="tbd")+('MiT Strom Pipeline'!R25="In evaluation"))*('MiT Strom Pipeline'!B25&lt;&gt;""))&gt;0,IF('MiT Strom Pipeline'!E25="","",'MiT Strom Pipeline'!E25),"")</f>
        <v/>
      </c>
      <c r="G158" s="28">
        <f>IF(((('MiT Strom Pipeline'!R25="follow-up")+('MiT Strom Pipeline'!R25="Evaluation")+('MiT Strom Pipeline'!R25="tbd")+('MiT Strom Pipeline'!R25="In evaluation"))*('MiT Strom Pipeline'!B25&lt;&gt;""))&gt;0,IF(ISNUMBER('MiT Strom Pipeline'!I25),'MiT Strom Pipeline'!I25,0),"")</f>
        <v/>
      </c>
      <c r="H158" s="28">
        <f>IF(((('MiT Strom Pipeline'!R25="follow-up")+('MiT Strom Pipeline'!R25="Evaluation")+('MiT Strom Pipeline'!R25="tbd")+('MiT Strom Pipeline'!R25="In evaluation"))*('MiT Strom Pipeline'!B25&lt;&gt;""))&gt;0,IF(ISNUMBER('MiT Strom Pipeline'!Q25),'MiT Strom Pipeline'!Q25,0),"")</f>
        <v/>
      </c>
      <c r="I158" s="27">
        <f>IF(((('MiT Strom Pipeline'!R25="follow-up")+('MiT Strom Pipeline'!R25="Evaluation")+('MiT Strom Pipeline'!R25="tbd")+('MiT Strom Pipeline'!R25="In evaluation"))*('MiT Strom Pipeline'!B25&lt;&gt;""))&gt;0,'MiT Strom Pipeline'!R25,"")</f>
        <v/>
      </c>
      <c r="J158" s="29">
        <f>IF(((('MiT Strom Pipeline'!R25="follow-up")+('MiT Strom Pipeline'!R25="Evaluation")+('MiT Strom Pipeline'!R25="tbd")+('MiT Strom Pipeline'!R25="In evaluation"))*('MiT Strom Pipeline'!B25&lt;&gt;""))&gt;0,IF(ISNUMBER('MiT Strom Pipeline'!S25),'MiT Strom Pipeline'!S25,""),"")</f>
        <v/>
      </c>
      <c r="K158" s="27">
        <f>IF(((('MiT Strom Pipeline'!R25="follow-up")+('MiT Strom Pipeline'!R25="Evaluation")+('MiT Strom Pipeline'!R25="tbd")+('MiT Strom Pipeline'!R25="In evaluation"))*('MiT Strom Pipeline'!B25&lt;&gt;""))&gt;0,IF(LEN('MiT Strom Pipeline'!V25)&gt;0,LEFT('MiT Strom Pipeline'!V25,55),""),"")</f>
        <v/>
      </c>
      <c r="L158" s="22" t="n"/>
      <c r="M158" s="22" t="n"/>
      <c r="N158" s="22" t="n"/>
      <c r="O158" s="22" t="n"/>
      <c r="P158" s="22" t="n"/>
      <c r="Q158" s="22" t="n"/>
      <c r="R158" s="22" t="n"/>
      <c r="S158" s="22" t="n"/>
    </row>
    <row r="159" ht="15.75" customHeight="1">
      <c r="A159" s="26">
        <f>IF(((('MiT Strom Pipeline'!R26="follow-up")+('MiT Strom Pipeline'!R26="Evaluation")+('MiT Strom Pipeline'!R26="tbd")+('MiT Strom Pipeline'!R26="In evaluation"))*('MiT Strom Pipeline'!B26&lt;&gt;""))&gt;0,IF(ISNUMBER('MiT Strom Pipeline'!A26),'MiT Strom Pipeline'!A26,""),"")</f>
        <v/>
      </c>
      <c r="B159" s="27">
        <f>IF(((('MiT Strom Pipeline'!R26="follow-up")+('MiT Strom Pipeline'!R26="Evaluation")+('MiT Strom Pipeline'!R26="tbd")+('MiT Strom Pipeline'!R26="In evaluation"))*('MiT Strom Pipeline'!B26&lt;&gt;""))&gt;0,IF('MiT Strom Pipeline'!B26="","",'MiT Strom Pipeline'!B26),"")</f>
        <v/>
      </c>
      <c r="C159" s="27">
        <f>IF(((('MiT Strom Pipeline'!R26="follow-up")+('MiT Strom Pipeline'!R26="Evaluation")+('MiT Strom Pipeline'!R26="tbd")+('MiT Strom Pipeline'!R26="In evaluation"))*('MiT Strom Pipeline'!B26&lt;&gt;""))&gt;0,IF('MiT Strom Pipeline'!C26="","",'MiT Strom Pipeline'!C26),"")</f>
        <v/>
      </c>
      <c r="D159" s="27">
        <f>IF(((('MiT Strom Pipeline'!R26="follow-up")+('MiT Strom Pipeline'!R26="Evaluation")+('MiT Strom Pipeline'!R26="tbd")+('MiT Strom Pipeline'!R26="In evaluation"))*('MiT Strom Pipeline'!B26&lt;&gt;""))&gt;0,IF('MiT Strom Pipeline'!D26="","",'MiT Strom Pipeline'!D26),"")</f>
        <v/>
      </c>
      <c r="E159" s="27">
        <f>IF(((('MiT Strom Pipeline'!R26="follow-up")+('MiT Strom Pipeline'!R26="Evaluation")+('MiT Strom Pipeline'!R26="tbd")+('MiT Strom Pipeline'!R26="In evaluation"))*('MiT Strom Pipeline'!B26&lt;&gt;""))&gt;0,IF('MiT Strom Pipeline'!H26="","",'MiT Strom Pipeline'!H26),"")</f>
        <v/>
      </c>
      <c r="F159" s="27">
        <f>IF(((('MiT Strom Pipeline'!R26="follow-up")+('MiT Strom Pipeline'!R26="Evaluation")+('MiT Strom Pipeline'!R26="tbd")+('MiT Strom Pipeline'!R26="In evaluation"))*('MiT Strom Pipeline'!B26&lt;&gt;""))&gt;0,IF('MiT Strom Pipeline'!E26="","",'MiT Strom Pipeline'!E26),"")</f>
        <v/>
      </c>
      <c r="G159" s="28">
        <f>IF(((('MiT Strom Pipeline'!R26="follow-up")+('MiT Strom Pipeline'!R26="Evaluation")+('MiT Strom Pipeline'!R26="tbd")+('MiT Strom Pipeline'!R26="In evaluation"))*('MiT Strom Pipeline'!B26&lt;&gt;""))&gt;0,IF(ISNUMBER('MiT Strom Pipeline'!I26),'MiT Strom Pipeline'!I26,0),"")</f>
        <v/>
      </c>
      <c r="H159" s="28">
        <f>IF(((('MiT Strom Pipeline'!R26="follow-up")+('MiT Strom Pipeline'!R26="Evaluation")+('MiT Strom Pipeline'!R26="tbd")+('MiT Strom Pipeline'!R26="In evaluation"))*('MiT Strom Pipeline'!B26&lt;&gt;""))&gt;0,IF(ISNUMBER('MiT Strom Pipeline'!Q26),'MiT Strom Pipeline'!Q26,0),"")</f>
        <v/>
      </c>
      <c r="I159" s="27">
        <f>IF(((('MiT Strom Pipeline'!R26="follow-up")+('MiT Strom Pipeline'!R26="Evaluation")+('MiT Strom Pipeline'!R26="tbd")+('MiT Strom Pipeline'!R26="In evaluation"))*('MiT Strom Pipeline'!B26&lt;&gt;""))&gt;0,'MiT Strom Pipeline'!R26,"")</f>
        <v/>
      </c>
      <c r="J159" s="29">
        <f>IF(((('MiT Strom Pipeline'!R26="follow-up")+('MiT Strom Pipeline'!R26="Evaluation")+('MiT Strom Pipeline'!R26="tbd")+('MiT Strom Pipeline'!R26="In evaluation"))*('MiT Strom Pipeline'!B26&lt;&gt;""))&gt;0,IF(ISNUMBER('MiT Strom Pipeline'!S26),'MiT Strom Pipeline'!S26,""),"")</f>
        <v/>
      </c>
      <c r="K159" s="27">
        <f>IF(((('MiT Strom Pipeline'!R26="follow-up")+('MiT Strom Pipeline'!R26="Evaluation")+('MiT Strom Pipeline'!R26="tbd")+('MiT Strom Pipeline'!R26="In evaluation"))*('MiT Strom Pipeline'!B26&lt;&gt;""))&gt;0,IF(LEN('MiT Strom Pipeline'!V26)&gt;0,LEFT('MiT Strom Pipeline'!V26,55),""),"")</f>
        <v/>
      </c>
      <c r="L159" s="22" t="n"/>
      <c r="M159" s="22" t="n"/>
      <c r="N159" s="22" t="n"/>
      <c r="O159" s="22" t="n"/>
      <c r="P159" s="22" t="n"/>
      <c r="Q159" s="22" t="n"/>
      <c r="R159" s="22" t="n"/>
      <c r="S159" s="22" t="n"/>
    </row>
    <row r="160" ht="15.75" customHeight="1">
      <c r="A160" s="26">
        <f>IF(((('MiT Strom Pipeline'!R27="follow-up")+('MiT Strom Pipeline'!R27="Evaluation")+('MiT Strom Pipeline'!R27="tbd")+('MiT Strom Pipeline'!R27="In evaluation"))*('MiT Strom Pipeline'!B27&lt;&gt;""))&gt;0,IF(ISNUMBER('MiT Strom Pipeline'!A27),'MiT Strom Pipeline'!A27,""),"")</f>
        <v/>
      </c>
      <c r="B160" s="27">
        <f>IF(((('MiT Strom Pipeline'!R27="follow-up")+('MiT Strom Pipeline'!R27="Evaluation")+('MiT Strom Pipeline'!R27="tbd")+('MiT Strom Pipeline'!R27="In evaluation"))*('MiT Strom Pipeline'!B27&lt;&gt;""))&gt;0,IF('MiT Strom Pipeline'!B27="","",'MiT Strom Pipeline'!B27),"")</f>
        <v/>
      </c>
      <c r="C160" s="27">
        <f>IF(((('MiT Strom Pipeline'!R27="follow-up")+('MiT Strom Pipeline'!R27="Evaluation")+('MiT Strom Pipeline'!R27="tbd")+('MiT Strom Pipeline'!R27="In evaluation"))*('MiT Strom Pipeline'!B27&lt;&gt;""))&gt;0,IF('MiT Strom Pipeline'!C27="","",'MiT Strom Pipeline'!C27),"")</f>
        <v/>
      </c>
      <c r="D160" s="27">
        <f>IF(((('MiT Strom Pipeline'!R27="follow-up")+('MiT Strom Pipeline'!R27="Evaluation")+('MiT Strom Pipeline'!R27="tbd")+('MiT Strom Pipeline'!R27="In evaluation"))*('MiT Strom Pipeline'!B27&lt;&gt;""))&gt;0,IF('MiT Strom Pipeline'!D27="","",'MiT Strom Pipeline'!D27),"")</f>
        <v/>
      </c>
      <c r="E160" s="27">
        <f>IF(((('MiT Strom Pipeline'!R27="follow-up")+('MiT Strom Pipeline'!R27="Evaluation")+('MiT Strom Pipeline'!R27="tbd")+('MiT Strom Pipeline'!R27="In evaluation"))*('MiT Strom Pipeline'!B27&lt;&gt;""))&gt;0,IF('MiT Strom Pipeline'!H27="","",'MiT Strom Pipeline'!H27),"")</f>
        <v/>
      </c>
      <c r="F160" s="27">
        <f>IF(((('MiT Strom Pipeline'!R27="follow-up")+('MiT Strom Pipeline'!R27="Evaluation")+('MiT Strom Pipeline'!R27="tbd")+('MiT Strom Pipeline'!R27="In evaluation"))*('MiT Strom Pipeline'!B27&lt;&gt;""))&gt;0,IF('MiT Strom Pipeline'!E27="","",'MiT Strom Pipeline'!E27),"")</f>
        <v/>
      </c>
      <c r="G160" s="28">
        <f>IF(((('MiT Strom Pipeline'!R27="follow-up")+('MiT Strom Pipeline'!R27="Evaluation")+('MiT Strom Pipeline'!R27="tbd")+('MiT Strom Pipeline'!R27="In evaluation"))*('MiT Strom Pipeline'!B27&lt;&gt;""))&gt;0,IF(ISNUMBER('MiT Strom Pipeline'!I27),'MiT Strom Pipeline'!I27,0),"")</f>
        <v/>
      </c>
      <c r="H160" s="28">
        <f>IF(((('MiT Strom Pipeline'!R27="follow-up")+('MiT Strom Pipeline'!R27="Evaluation")+('MiT Strom Pipeline'!R27="tbd")+('MiT Strom Pipeline'!R27="In evaluation"))*('MiT Strom Pipeline'!B27&lt;&gt;""))&gt;0,IF(ISNUMBER('MiT Strom Pipeline'!Q27),'MiT Strom Pipeline'!Q27,0),"")</f>
        <v/>
      </c>
      <c r="I160" s="27">
        <f>IF(((('MiT Strom Pipeline'!R27="follow-up")+('MiT Strom Pipeline'!R27="Evaluation")+('MiT Strom Pipeline'!R27="tbd")+('MiT Strom Pipeline'!R27="In evaluation"))*('MiT Strom Pipeline'!B27&lt;&gt;""))&gt;0,'MiT Strom Pipeline'!R27,"")</f>
        <v/>
      </c>
      <c r="J160" s="29">
        <f>IF(((('MiT Strom Pipeline'!R27="follow-up")+('MiT Strom Pipeline'!R27="Evaluation")+('MiT Strom Pipeline'!R27="tbd")+('MiT Strom Pipeline'!R27="In evaluation"))*('MiT Strom Pipeline'!B27&lt;&gt;""))&gt;0,IF(ISNUMBER('MiT Strom Pipeline'!S27),'MiT Strom Pipeline'!S27,""),"")</f>
        <v/>
      </c>
      <c r="K160" s="27">
        <f>IF(((('MiT Strom Pipeline'!R27="follow-up")+('MiT Strom Pipeline'!R27="Evaluation")+('MiT Strom Pipeline'!R27="tbd")+('MiT Strom Pipeline'!R27="In evaluation"))*('MiT Strom Pipeline'!B27&lt;&gt;""))&gt;0,IF(LEN('MiT Strom Pipeline'!V27)&gt;0,LEFT('MiT Strom Pipeline'!V27,55),""),"")</f>
        <v/>
      </c>
      <c r="L160" s="22" t="n"/>
      <c r="M160" s="22" t="n"/>
      <c r="N160" s="22" t="n"/>
      <c r="O160" s="22" t="n"/>
      <c r="P160" s="22" t="n"/>
      <c r="Q160" s="22" t="n"/>
      <c r="R160" s="22" t="n"/>
      <c r="S160" s="22" t="n"/>
    </row>
    <row r="161" ht="15.75" customHeight="1">
      <c r="A161" s="26">
        <f>IF(((('MiT Strom Pipeline'!R28="follow-up")+('MiT Strom Pipeline'!R28="Evaluation")+('MiT Strom Pipeline'!R28="tbd")+('MiT Strom Pipeline'!R28="In evaluation"))*('MiT Strom Pipeline'!B28&lt;&gt;""))&gt;0,IF(ISNUMBER('MiT Strom Pipeline'!A28),'MiT Strom Pipeline'!A28,""),"")</f>
        <v>8</v>
      </c>
      <c r="B161" s="27" t="str">
        <f>IF(((('MiT Strom Pipeline'!R28="follow-up")+('MiT Strom Pipeline'!R28="Evaluation")+('MiT Strom Pipeline'!R28="tbd")+('MiT Strom Pipeline'!R28="In evaluation"))*('MiT Strom Pipeline'!B28&lt;&gt;""))&gt;0,IF('MiT Strom Pipeline'!B28="","",'MiT Strom Pipeline'!B28),"")</f>
        <v>Sade CGTH (Schweiz)</v>
      </c>
      <c r="C161" s="27" t="str">
        <f>IF(((('MiT Strom Pipeline'!R28="follow-up")+('MiT Strom Pipeline'!R28="Evaluation")+('MiT Strom Pipeline'!R28="tbd")+('MiT Strom Pipeline'!R28="In evaluation"))*('MiT Strom Pipeline'!B28&lt;&gt;""))&gt;0,IF('MiT Strom Pipeline'!C28="","",'MiT Strom Pipeline'!C28),"")</f>
        <v>GE</v>
      </c>
      <c r="D161" s="27" t="str">
        <f>IF(((('MiT Strom Pipeline'!R28="follow-up")+('MiT Strom Pipeline'!R28="Evaluation")+('MiT Strom Pipeline'!R28="tbd")+('MiT Strom Pipeline'!R28="In evaluation"))*('MiT Strom Pipeline'!B28&lt;&gt;""))&gt;0,IF('MiT Strom Pipeline'!D28="","",'MiT Strom Pipeline'!D28),"")</f>
        <v>Infrastruktur / Bau</v>
      </c>
      <c r="E161" s="27" t="str">
        <f>IF(((('MiT Strom Pipeline'!R28="follow-up")+('MiT Strom Pipeline'!R28="Evaluation")+('MiT Strom Pipeline'!R28="tbd")+('MiT Strom Pipeline'!R28="In evaluation"))*('MiT Strom Pipeline'!B28&lt;&gt;""))&gt;0,IF('MiT Strom Pipeline'!H28="","",'MiT Strom Pipeline'!H28),"")</f>
        <v>April</v>
      </c>
      <c r="F161" s="27" t="str">
        <f>IF(((('MiT Strom Pipeline'!R28="follow-up")+('MiT Strom Pipeline'!R28="Evaluation")+('MiT Strom Pipeline'!R28="tbd")+('MiT Strom Pipeline'!R28="In evaluation"))*('MiT Strom Pipeline'!B28&lt;&gt;""))&gt;0,IF('MiT Strom Pipeline'!E28="","",'MiT Strom Pipeline'!E28),"")</f>
        <v>750 kVA Generator</v>
      </c>
      <c r="G161" s="28">
        <f>IF(((('MiT Strom Pipeline'!R28="follow-up")+('MiT Strom Pipeline'!R28="Evaluation")+('MiT Strom Pipeline'!R28="tbd")+('MiT Strom Pipeline'!R28="In evaluation"))*('MiT Strom Pipeline'!B28&lt;&gt;""))&gt;0,IF(ISNUMBER('MiT Strom Pipeline'!I28),'MiT Strom Pipeline'!I28,0),"")</f>
        <v>38885</v>
      </c>
      <c r="H161" s="28">
        <f>IF(((('MiT Strom Pipeline'!R28="follow-up")+('MiT Strom Pipeline'!R28="Evaluation")+('MiT Strom Pipeline'!R28="tbd")+('MiT Strom Pipeline'!R28="In evaluation"))*('MiT Strom Pipeline'!B28&lt;&gt;""))&gt;0,IF(ISNUMBER('MiT Strom Pipeline'!Q28),'MiT Strom Pipeline'!Q28,0),"")</f>
        <v>19442.5</v>
      </c>
      <c r="I161" s="27" t="str">
        <f>IF(((('MiT Strom Pipeline'!R28="follow-up")+('MiT Strom Pipeline'!R28="Evaluation")+('MiT Strom Pipeline'!R28="tbd")+('MiT Strom Pipeline'!R28="In evaluation"))*('MiT Strom Pipeline'!B28&lt;&gt;""))&gt;0,'MiT Strom Pipeline'!R28,"")</f>
        <v>follow-up</v>
      </c>
      <c r="J161" s="29">
        <f>IF(((('MiT Strom Pipeline'!R28="follow-up")+('MiT Strom Pipeline'!R28="Evaluation")+('MiT Strom Pipeline'!R28="tbd")+('MiT Strom Pipeline'!R28="In evaluation"))*('MiT Strom Pipeline'!B28&lt;&gt;""))&gt;0,IF(ISNUMBER('MiT Strom Pipeline'!S28),'MiT Strom Pipeline'!S28,""),"")</f>
        <v>0.5</v>
      </c>
      <c r="K161" s="27" t="str">
        <f>IF(((('MiT Strom Pipeline'!R28="follow-up")+('MiT Strom Pipeline'!R28="Evaluation")+('MiT Strom Pipeline'!R28="tbd")+('MiT Strom Pipeline'!R28="In evaluation"))*('MiT Strom Pipeline'!B28&lt;&gt;""))&gt;0,IF(LEN('MiT Strom Pipeline'!V28)&gt;0,LEFT('MiT Strom Pipeline'!V28,55),""),"")</f>
        <v>Auftragsbestätigung anfordern – Entscheid steht bevor</v>
      </c>
      <c r="L161" s="22" t="n"/>
      <c r="M161" s="22" t="n"/>
      <c r="N161" s="22" t="n"/>
      <c r="O161" s="22" t="n"/>
      <c r="P161" s="22" t="n"/>
      <c r="Q161" s="22" t="n"/>
      <c r="R161" s="22" t="n"/>
      <c r="S161" s="22" t="n"/>
    </row>
    <row r="162" ht="15.75" customHeight="1">
      <c r="A162" s="26">
        <f>IF(((('MiT Strom Pipeline'!R29="follow-up")+('MiT Strom Pipeline'!R29="Evaluation")+('MiT Strom Pipeline'!R29="tbd")+('MiT Strom Pipeline'!R29="In evaluation"))*('MiT Strom Pipeline'!B29&lt;&gt;""))&gt;0,IF(ISNUMBER('MiT Strom Pipeline'!A29),'MiT Strom Pipeline'!A29,""),"")</f>
        <v/>
      </c>
      <c r="B162" s="27">
        <f>IF(((('MiT Strom Pipeline'!R29="follow-up")+('MiT Strom Pipeline'!R29="Evaluation")+('MiT Strom Pipeline'!R29="tbd")+('MiT Strom Pipeline'!R29="In evaluation"))*('MiT Strom Pipeline'!B29&lt;&gt;""))&gt;0,IF('MiT Strom Pipeline'!B29="","",'MiT Strom Pipeline'!B29),"")</f>
        <v/>
      </c>
      <c r="C162" s="27">
        <f>IF(((('MiT Strom Pipeline'!R29="follow-up")+('MiT Strom Pipeline'!R29="Evaluation")+('MiT Strom Pipeline'!R29="tbd")+('MiT Strom Pipeline'!R29="In evaluation"))*('MiT Strom Pipeline'!B29&lt;&gt;""))&gt;0,IF('MiT Strom Pipeline'!C29="","",'MiT Strom Pipeline'!C29),"")</f>
        <v/>
      </c>
      <c r="D162" s="27">
        <f>IF(((('MiT Strom Pipeline'!R29="follow-up")+('MiT Strom Pipeline'!R29="Evaluation")+('MiT Strom Pipeline'!R29="tbd")+('MiT Strom Pipeline'!R29="In evaluation"))*('MiT Strom Pipeline'!B29&lt;&gt;""))&gt;0,IF('MiT Strom Pipeline'!D29="","",'MiT Strom Pipeline'!D29),"")</f>
        <v/>
      </c>
      <c r="E162" s="27">
        <f>IF(((('MiT Strom Pipeline'!R29="follow-up")+('MiT Strom Pipeline'!R29="Evaluation")+('MiT Strom Pipeline'!R29="tbd")+('MiT Strom Pipeline'!R29="In evaluation"))*('MiT Strom Pipeline'!B29&lt;&gt;""))&gt;0,IF('MiT Strom Pipeline'!H29="","",'MiT Strom Pipeline'!H29),"")</f>
        <v/>
      </c>
      <c r="F162" s="27">
        <f>IF(((('MiT Strom Pipeline'!R29="follow-up")+('MiT Strom Pipeline'!R29="Evaluation")+('MiT Strom Pipeline'!R29="tbd")+('MiT Strom Pipeline'!R29="In evaluation"))*('MiT Strom Pipeline'!B29&lt;&gt;""))&gt;0,IF('MiT Strom Pipeline'!E29="","",'MiT Strom Pipeline'!E29),"")</f>
        <v/>
      </c>
      <c r="G162" s="28">
        <f>IF(((('MiT Strom Pipeline'!R29="follow-up")+('MiT Strom Pipeline'!R29="Evaluation")+('MiT Strom Pipeline'!R29="tbd")+('MiT Strom Pipeline'!R29="In evaluation"))*('MiT Strom Pipeline'!B29&lt;&gt;""))&gt;0,IF(ISNUMBER('MiT Strom Pipeline'!I29),'MiT Strom Pipeline'!I29,0),"")</f>
        <v/>
      </c>
      <c r="H162" s="28">
        <f>IF(((('MiT Strom Pipeline'!R29="follow-up")+('MiT Strom Pipeline'!R29="Evaluation")+('MiT Strom Pipeline'!R29="tbd")+('MiT Strom Pipeline'!R29="In evaluation"))*('MiT Strom Pipeline'!B29&lt;&gt;""))&gt;0,IF(ISNUMBER('MiT Strom Pipeline'!Q29),'MiT Strom Pipeline'!Q29,0),"")</f>
        <v/>
      </c>
      <c r="I162" s="27">
        <f>IF(((('MiT Strom Pipeline'!R29="follow-up")+('MiT Strom Pipeline'!R29="Evaluation")+('MiT Strom Pipeline'!R29="tbd")+('MiT Strom Pipeline'!R29="In evaluation"))*('MiT Strom Pipeline'!B29&lt;&gt;""))&gt;0,'MiT Strom Pipeline'!R29,"")</f>
        <v/>
      </c>
      <c r="J162" s="29">
        <f>IF(((('MiT Strom Pipeline'!R29="follow-up")+('MiT Strom Pipeline'!R29="Evaluation")+('MiT Strom Pipeline'!R29="tbd")+('MiT Strom Pipeline'!R29="In evaluation"))*('MiT Strom Pipeline'!B29&lt;&gt;""))&gt;0,IF(ISNUMBER('MiT Strom Pipeline'!S29),'MiT Strom Pipeline'!S29,""),"")</f>
        <v/>
      </c>
      <c r="K162" s="27">
        <f>IF(((('MiT Strom Pipeline'!R29="follow-up")+('MiT Strom Pipeline'!R29="Evaluation")+('MiT Strom Pipeline'!R29="tbd")+('MiT Strom Pipeline'!R29="In evaluation"))*('MiT Strom Pipeline'!B29&lt;&gt;""))&gt;0,IF(LEN('MiT Strom Pipeline'!V29)&gt;0,LEFT('MiT Strom Pipeline'!V29,55),""),"")</f>
        <v/>
      </c>
      <c r="L162" s="22" t="n"/>
      <c r="M162" s="22" t="n"/>
      <c r="N162" s="22" t="n"/>
      <c r="O162" s="22" t="n"/>
      <c r="P162" s="22" t="n"/>
      <c r="Q162" s="22" t="n"/>
      <c r="R162" s="22" t="n"/>
      <c r="S162" s="22" t="n"/>
    </row>
    <row r="163" ht="15.75" customHeight="1">
      <c r="A163" s="26">
        <f>IF(((('MiT Strom Pipeline'!R30="follow-up")+('MiT Strom Pipeline'!R30="Evaluation")+('MiT Strom Pipeline'!R30="tbd")+('MiT Strom Pipeline'!R30="In evaluation"))*('MiT Strom Pipeline'!B30&lt;&gt;""))&gt;0,IF(ISNUMBER('MiT Strom Pipeline'!A30),'MiT Strom Pipeline'!A30,""),"")</f>
        <v/>
      </c>
      <c r="B163" s="27">
        <f>IF(((('MiT Strom Pipeline'!R30="follow-up")+('MiT Strom Pipeline'!R30="Evaluation")+('MiT Strom Pipeline'!R30="tbd")+('MiT Strom Pipeline'!R30="In evaluation"))*('MiT Strom Pipeline'!B30&lt;&gt;""))&gt;0,IF('MiT Strom Pipeline'!B30="","",'MiT Strom Pipeline'!B30),"")</f>
        <v/>
      </c>
      <c r="C163" s="27">
        <f>IF(((('MiT Strom Pipeline'!R30="follow-up")+('MiT Strom Pipeline'!R30="Evaluation")+('MiT Strom Pipeline'!R30="tbd")+('MiT Strom Pipeline'!R30="In evaluation"))*('MiT Strom Pipeline'!B30&lt;&gt;""))&gt;0,IF('MiT Strom Pipeline'!C30="","",'MiT Strom Pipeline'!C30),"")</f>
        <v/>
      </c>
      <c r="D163" s="27">
        <f>IF(((('MiT Strom Pipeline'!R30="follow-up")+('MiT Strom Pipeline'!R30="Evaluation")+('MiT Strom Pipeline'!R30="tbd")+('MiT Strom Pipeline'!R30="In evaluation"))*('MiT Strom Pipeline'!B30&lt;&gt;""))&gt;0,IF('MiT Strom Pipeline'!D30="","",'MiT Strom Pipeline'!D30),"")</f>
        <v/>
      </c>
      <c r="E163" s="27">
        <f>IF(((('MiT Strom Pipeline'!R30="follow-up")+('MiT Strom Pipeline'!R30="Evaluation")+('MiT Strom Pipeline'!R30="tbd")+('MiT Strom Pipeline'!R30="In evaluation"))*('MiT Strom Pipeline'!B30&lt;&gt;""))&gt;0,IF('MiT Strom Pipeline'!H30="","",'MiT Strom Pipeline'!H30),"")</f>
        <v/>
      </c>
      <c r="F163" s="27">
        <f>IF(((('MiT Strom Pipeline'!R30="follow-up")+('MiT Strom Pipeline'!R30="Evaluation")+('MiT Strom Pipeline'!R30="tbd")+('MiT Strom Pipeline'!R30="In evaluation"))*('MiT Strom Pipeline'!B30&lt;&gt;""))&gt;0,IF('MiT Strom Pipeline'!E30="","",'MiT Strom Pipeline'!E30),"")</f>
        <v/>
      </c>
      <c r="G163" s="28">
        <f>IF(((('MiT Strom Pipeline'!R30="follow-up")+('MiT Strom Pipeline'!R30="Evaluation")+('MiT Strom Pipeline'!R30="tbd")+('MiT Strom Pipeline'!R30="In evaluation"))*('MiT Strom Pipeline'!B30&lt;&gt;""))&gt;0,IF(ISNUMBER('MiT Strom Pipeline'!I30),'MiT Strom Pipeline'!I30,0),"")</f>
        <v/>
      </c>
      <c r="H163" s="28">
        <f>IF(((('MiT Strom Pipeline'!R30="follow-up")+('MiT Strom Pipeline'!R30="Evaluation")+('MiT Strom Pipeline'!R30="tbd")+('MiT Strom Pipeline'!R30="In evaluation"))*('MiT Strom Pipeline'!B30&lt;&gt;""))&gt;0,IF(ISNUMBER('MiT Strom Pipeline'!Q30),'MiT Strom Pipeline'!Q30,0),"")</f>
        <v/>
      </c>
      <c r="I163" s="27">
        <f>IF(((('MiT Strom Pipeline'!R30="follow-up")+('MiT Strom Pipeline'!R30="Evaluation")+('MiT Strom Pipeline'!R30="tbd")+('MiT Strom Pipeline'!R30="In evaluation"))*('MiT Strom Pipeline'!B30&lt;&gt;""))&gt;0,'MiT Strom Pipeline'!R30,"")</f>
        <v/>
      </c>
      <c r="J163" s="29">
        <f>IF(((('MiT Strom Pipeline'!R30="follow-up")+('MiT Strom Pipeline'!R30="Evaluation")+('MiT Strom Pipeline'!R30="tbd")+('MiT Strom Pipeline'!R30="In evaluation"))*('MiT Strom Pipeline'!B30&lt;&gt;""))&gt;0,IF(ISNUMBER('MiT Strom Pipeline'!S30),'MiT Strom Pipeline'!S30,""),"")</f>
        <v/>
      </c>
      <c r="K163" s="27">
        <f>IF(((('MiT Strom Pipeline'!R30="follow-up")+('MiT Strom Pipeline'!R30="Evaluation")+('MiT Strom Pipeline'!R30="tbd")+('MiT Strom Pipeline'!R30="In evaluation"))*('MiT Strom Pipeline'!B30&lt;&gt;""))&gt;0,IF(LEN('MiT Strom Pipeline'!V30)&gt;0,LEFT('MiT Strom Pipeline'!V30,55),""),"")</f>
        <v/>
      </c>
      <c r="L163" s="22" t="n"/>
      <c r="M163" s="22" t="n"/>
      <c r="N163" s="22" t="n"/>
      <c r="O163" s="22" t="n"/>
      <c r="P163" s="22" t="n"/>
      <c r="Q163" s="22" t="n"/>
      <c r="R163" s="22" t="n"/>
      <c r="S163" s="22" t="n"/>
    </row>
    <row r="164" ht="15.75" customHeight="1">
      <c r="A164" s="26">
        <f>IF(((('MiT Strom Pipeline'!R31="follow-up")+('MiT Strom Pipeline'!R31="Evaluation")+('MiT Strom Pipeline'!R31="tbd")+('MiT Strom Pipeline'!R31="In evaluation"))*('MiT Strom Pipeline'!B31&lt;&gt;""))&gt;0,IF(ISNUMBER('MiT Strom Pipeline'!A31),'MiT Strom Pipeline'!A31,""),"")</f>
        <v/>
      </c>
      <c r="B164" s="27">
        <f>IF(((('MiT Strom Pipeline'!R31="follow-up")+('MiT Strom Pipeline'!R31="Evaluation")+('MiT Strom Pipeline'!R31="tbd")+('MiT Strom Pipeline'!R31="In evaluation"))*('MiT Strom Pipeline'!B31&lt;&gt;""))&gt;0,IF('MiT Strom Pipeline'!B31="","",'MiT Strom Pipeline'!B31),"")</f>
        <v/>
      </c>
      <c r="C164" s="27">
        <f>IF(((('MiT Strom Pipeline'!R31="follow-up")+('MiT Strom Pipeline'!R31="Evaluation")+('MiT Strom Pipeline'!R31="tbd")+('MiT Strom Pipeline'!R31="In evaluation"))*('MiT Strom Pipeline'!B31&lt;&gt;""))&gt;0,IF('MiT Strom Pipeline'!C31="","",'MiT Strom Pipeline'!C31),"")</f>
        <v/>
      </c>
      <c r="D164" s="27">
        <f>IF(((('MiT Strom Pipeline'!R31="follow-up")+('MiT Strom Pipeline'!R31="Evaluation")+('MiT Strom Pipeline'!R31="tbd")+('MiT Strom Pipeline'!R31="In evaluation"))*('MiT Strom Pipeline'!B31&lt;&gt;""))&gt;0,IF('MiT Strom Pipeline'!D31="","",'MiT Strom Pipeline'!D31),"")</f>
        <v/>
      </c>
      <c r="E164" s="27">
        <f>IF(((('MiT Strom Pipeline'!R31="follow-up")+('MiT Strom Pipeline'!R31="Evaluation")+('MiT Strom Pipeline'!R31="tbd")+('MiT Strom Pipeline'!R31="In evaluation"))*('MiT Strom Pipeline'!B31&lt;&gt;""))&gt;0,IF('MiT Strom Pipeline'!H31="","",'MiT Strom Pipeline'!H31),"")</f>
        <v/>
      </c>
      <c r="F164" s="27">
        <f>IF(((('MiT Strom Pipeline'!R31="follow-up")+('MiT Strom Pipeline'!R31="Evaluation")+('MiT Strom Pipeline'!R31="tbd")+('MiT Strom Pipeline'!R31="In evaluation"))*('MiT Strom Pipeline'!B31&lt;&gt;""))&gt;0,IF('MiT Strom Pipeline'!E31="","",'MiT Strom Pipeline'!E31),"")</f>
        <v/>
      </c>
      <c r="G164" s="28">
        <f>IF(((('MiT Strom Pipeline'!R31="follow-up")+('MiT Strom Pipeline'!R31="Evaluation")+('MiT Strom Pipeline'!R31="tbd")+('MiT Strom Pipeline'!R31="In evaluation"))*('MiT Strom Pipeline'!B31&lt;&gt;""))&gt;0,IF(ISNUMBER('MiT Strom Pipeline'!I31),'MiT Strom Pipeline'!I31,0),"")</f>
        <v/>
      </c>
      <c r="H164" s="28">
        <f>IF(((('MiT Strom Pipeline'!R31="follow-up")+('MiT Strom Pipeline'!R31="Evaluation")+('MiT Strom Pipeline'!R31="tbd")+('MiT Strom Pipeline'!R31="In evaluation"))*('MiT Strom Pipeline'!B31&lt;&gt;""))&gt;0,IF(ISNUMBER('MiT Strom Pipeline'!Q31),'MiT Strom Pipeline'!Q31,0),"")</f>
        <v/>
      </c>
      <c r="I164" s="27">
        <f>IF(((('MiT Strom Pipeline'!R31="follow-up")+('MiT Strom Pipeline'!R31="Evaluation")+('MiT Strom Pipeline'!R31="tbd")+('MiT Strom Pipeline'!R31="In evaluation"))*('MiT Strom Pipeline'!B31&lt;&gt;""))&gt;0,'MiT Strom Pipeline'!R31,"")</f>
        <v/>
      </c>
      <c r="J164" s="29">
        <f>IF(((('MiT Strom Pipeline'!R31="follow-up")+('MiT Strom Pipeline'!R31="Evaluation")+('MiT Strom Pipeline'!R31="tbd")+('MiT Strom Pipeline'!R31="In evaluation"))*('MiT Strom Pipeline'!B31&lt;&gt;""))&gt;0,IF(ISNUMBER('MiT Strom Pipeline'!S31),'MiT Strom Pipeline'!S31,""),"")</f>
        <v/>
      </c>
      <c r="K164" s="27">
        <f>IF(((('MiT Strom Pipeline'!R31="follow-up")+('MiT Strom Pipeline'!R31="Evaluation")+('MiT Strom Pipeline'!R31="tbd")+('MiT Strom Pipeline'!R31="In evaluation"))*('MiT Strom Pipeline'!B31&lt;&gt;""))&gt;0,IF(LEN('MiT Strom Pipeline'!V31)&gt;0,LEFT('MiT Strom Pipeline'!V31,55),""),"")</f>
        <v/>
      </c>
      <c r="L164" s="22" t="n"/>
      <c r="M164" s="22" t="n"/>
      <c r="N164" s="22" t="n"/>
      <c r="O164" s="22" t="n"/>
      <c r="P164" s="22" t="n"/>
      <c r="Q164" s="22" t="n"/>
      <c r="R164" s="22" t="n"/>
      <c r="S164" s="22" t="n"/>
    </row>
    <row r="165" ht="15.75" customHeight="1">
      <c r="A165" s="26">
        <f>IF(((('MiT Strom Pipeline'!R32="follow-up")+('MiT Strom Pipeline'!R32="Evaluation")+('MiT Strom Pipeline'!R32="tbd")+('MiT Strom Pipeline'!R32="In evaluation"))*('MiT Strom Pipeline'!B32&lt;&gt;""))&gt;0,IF(ISNUMBER('MiT Strom Pipeline'!A32),'MiT Strom Pipeline'!A32,""),"")</f>
        <v/>
      </c>
      <c r="B165" s="27">
        <f>IF(((('MiT Strom Pipeline'!R32="follow-up")+('MiT Strom Pipeline'!R32="Evaluation")+('MiT Strom Pipeline'!R32="tbd")+('MiT Strom Pipeline'!R32="In evaluation"))*('MiT Strom Pipeline'!B32&lt;&gt;""))&gt;0,IF('MiT Strom Pipeline'!B32="","",'MiT Strom Pipeline'!B32),"")</f>
        <v/>
      </c>
      <c r="C165" s="27">
        <f>IF(((('MiT Strom Pipeline'!R32="follow-up")+('MiT Strom Pipeline'!R32="Evaluation")+('MiT Strom Pipeline'!R32="tbd")+('MiT Strom Pipeline'!R32="In evaluation"))*('MiT Strom Pipeline'!B32&lt;&gt;""))&gt;0,IF('MiT Strom Pipeline'!C32="","",'MiT Strom Pipeline'!C32),"")</f>
        <v/>
      </c>
      <c r="D165" s="27">
        <f>IF(((('MiT Strom Pipeline'!R32="follow-up")+('MiT Strom Pipeline'!R32="Evaluation")+('MiT Strom Pipeline'!R32="tbd")+('MiT Strom Pipeline'!R32="In evaluation"))*('MiT Strom Pipeline'!B32&lt;&gt;""))&gt;0,IF('MiT Strom Pipeline'!D32="","",'MiT Strom Pipeline'!D32),"")</f>
        <v/>
      </c>
      <c r="E165" s="27">
        <f>IF(((('MiT Strom Pipeline'!R32="follow-up")+('MiT Strom Pipeline'!R32="Evaluation")+('MiT Strom Pipeline'!R32="tbd")+('MiT Strom Pipeline'!R32="In evaluation"))*('MiT Strom Pipeline'!B32&lt;&gt;""))&gt;0,IF('MiT Strom Pipeline'!H32="","",'MiT Strom Pipeline'!H32),"")</f>
        <v/>
      </c>
      <c r="F165" s="27">
        <f>IF(((('MiT Strom Pipeline'!R32="follow-up")+('MiT Strom Pipeline'!R32="Evaluation")+('MiT Strom Pipeline'!R32="tbd")+('MiT Strom Pipeline'!R32="In evaluation"))*('MiT Strom Pipeline'!B32&lt;&gt;""))&gt;0,IF('MiT Strom Pipeline'!E32="","",'MiT Strom Pipeline'!E32),"")</f>
        <v/>
      </c>
      <c r="G165" s="28">
        <f>IF(((('MiT Strom Pipeline'!R32="follow-up")+('MiT Strom Pipeline'!R32="Evaluation")+('MiT Strom Pipeline'!R32="tbd")+('MiT Strom Pipeline'!R32="In evaluation"))*('MiT Strom Pipeline'!B32&lt;&gt;""))&gt;0,IF(ISNUMBER('MiT Strom Pipeline'!I32),'MiT Strom Pipeline'!I32,0),"")</f>
        <v/>
      </c>
      <c r="H165" s="28">
        <f>IF(((('MiT Strom Pipeline'!R32="follow-up")+('MiT Strom Pipeline'!R32="Evaluation")+('MiT Strom Pipeline'!R32="tbd")+('MiT Strom Pipeline'!R32="In evaluation"))*('MiT Strom Pipeline'!B32&lt;&gt;""))&gt;0,IF(ISNUMBER('MiT Strom Pipeline'!Q32),'MiT Strom Pipeline'!Q32,0),"")</f>
        <v/>
      </c>
      <c r="I165" s="27">
        <f>IF(((('MiT Strom Pipeline'!R32="follow-up")+('MiT Strom Pipeline'!R32="Evaluation")+('MiT Strom Pipeline'!R32="tbd")+('MiT Strom Pipeline'!R32="In evaluation"))*('MiT Strom Pipeline'!B32&lt;&gt;""))&gt;0,'MiT Strom Pipeline'!R32,"")</f>
        <v/>
      </c>
      <c r="J165" s="29">
        <f>IF(((('MiT Strom Pipeline'!R32="follow-up")+('MiT Strom Pipeline'!R32="Evaluation")+('MiT Strom Pipeline'!R32="tbd")+('MiT Strom Pipeline'!R32="In evaluation"))*('MiT Strom Pipeline'!B32&lt;&gt;""))&gt;0,IF(ISNUMBER('MiT Strom Pipeline'!S32),'MiT Strom Pipeline'!S32,""),"")</f>
        <v/>
      </c>
      <c r="K165" s="27">
        <f>IF(((('MiT Strom Pipeline'!R32="follow-up")+('MiT Strom Pipeline'!R32="Evaluation")+('MiT Strom Pipeline'!R32="tbd")+('MiT Strom Pipeline'!R32="In evaluation"))*('MiT Strom Pipeline'!B32&lt;&gt;""))&gt;0,IF(LEN('MiT Strom Pipeline'!V32)&gt;0,LEFT('MiT Strom Pipeline'!V32,55),""),"")</f>
        <v/>
      </c>
      <c r="L165" s="22" t="n"/>
      <c r="M165" s="22" t="n"/>
      <c r="N165" s="22" t="n"/>
      <c r="O165" s="22" t="n"/>
      <c r="P165" s="22" t="n"/>
      <c r="Q165" s="22" t="n"/>
      <c r="R165" s="22" t="n"/>
      <c r="S165" s="22" t="n"/>
    </row>
    <row r="166" ht="15.75" customHeight="1">
      <c r="A166" s="26">
        <f>IF(((('MiT Strom Pipeline'!R33="follow-up")+('MiT Strom Pipeline'!R33="Evaluation")+('MiT Strom Pipeline'!R33="tbd")+('MiT Strom Pipeline'!R33="In evaluation"))*('MiT Strom Pipeline'!B33&lt;&gt;""))&gt;0,IF(ISNUMBER('MiT Strom Pipeline'!A33),'MiT Strom Pipeline'!A33,""),"")</f>
        <v/>
      </c>
      <c r="B166" s="27">
        <f>IF(((('MiT Strom Pipeline'!R33="follow-up")+('MiT Strom Pipeline'!R33="Evaluation")+('MiT Strom Pipeline'!R33="tbd")+('MiT Strom Pipeline'!R33="In evaluation"))*('MiT Strom Pipeline'!B33&lt;&gt;""))&gt;0,IF('MiT Strom Pipeline'!B33="","",'MiT Strom Pipeline'!B33),"")</f>
        <v/>
      </c>
      <c r="C166" s="27">
        <f>IF(((('MiT Strom Pipeline'!R33="follow-up")+('MiT Strom Pipeline'!R33="Evaluation")+('MiT Strom Pipeline'!R33="tbd")+('MiT Strom Pipeline'!R33="In evaluation"))*('MiT Strom Pipeline'!B33&lt;&gt;""))&gt;0,IF('MiT Strom Pipeline'!C33="","",'MiT Strom Pipeline'!C33),"")</f>
        <v/>
      </c>
      <c r="D166" s="27">
        <f>IF(((('MiT Strom Pipeline'!R33="follow-up")+('MiT Strom Pipeline'!R33="Evaluation")+('MiT Strom Pipeline'!R33="tbd")+('MiT Strom Pipeline'!R33="In evaluation"))*('MiT Strom Pipeline'!B33&lt;&gt;""))&gt;0,IF('MiT Strom Pipeline'!D33="","",'MiT Strom Pipeline'!D33),"")</f>
        <v/>
      </c>
      <c r="E166" s="27">
        <f>IF(((('MiT Strom Pipeline'!R33="follow-up")+('MiT Strom Pipeline'!R33="Evaluation")+('MiT Strom Pipeline'!R33="tbd")+('MiT Strom Pipeline'!R33="In evaluation"))*('MiT Strom Pipeline'!B33&lt;&gt;""))&gt;0,IF('MiT Strom Pipeline'!H33="","",'MiT Strom Pipeline'!H33),"")</f>
        <v/>
      </c>
      <c r="F166" s="27">
        <f>IF(((('MiT Strom Pipeline'!R33="follow-up")+('MiT Strom Pipeline'!R33="Evaluation")+('MiT Strom Pipeline'!R33="tbd")+('MiT Strom Pipeline'!R33="In evaluation"))*('MiT Strom Pipeline'!B33&lt;&gt;""))&gt;0,IF('MiT Strom Pipeline'!E33="","",'MiT Strom Pipeline'!E33),"")</f>
        <v/>
      </c>
      <c r="G166" s="28">
        <f>IF(((('MiT Strom Pipeline'!R33="follow-up")+('MiT Strom Pipeline'!R33="Evaluation")+('MiT Strom Pipeline'!R33="tbd")+('MiT Strom Pipeline'!R33="In evaluation"))*('MiT Strom Pipeline'!B33&lt;&gt;""))&gt;0,IF(ISNUMBER('MiT Strom Pipeline'!I33),'MiT Strom Pipeline'!I33,0),"")</f>
        <v/>
      </c>
      <c r="H166" s="28">
        <f>IF(((('MiT Strom Pipeline'!R33="follow-up")+('MiT Strom Pipeline'!R33="Evaluation")+('MiT Strom Pipeline'!R33="tbd")+('MiT Strom Pipeline'!R33="In evaluation"))*('MiT Strom Pipeline'!B33&lt;&gt;""))&gt;0,IF(ISNUMBER('MiT Strom Pipeline'!Q33),'MiT Strom Pipeline'!Q33,0),"")</f>
        <v/>
      </c>
      <c r="I166" s="27">
        <f>IF(((('MiT Strom Pipeline'!R33="follow-up")+('MiT Strom Pipeline'!R33="Evaluation")+('MiT Strom Pipeline'!R33="tbd")+('MiT Strom Pipeline'!R33="In evaluation"))*('MiT Strom Pipeline'!B33&lt;&gt;""))&gt;0,'MiT Strom Pipeline'!R33,"")</f>
        <v/>
      </c>
      <c r="J166" s="29">
        <f>IF(((('MiT Strom Pipeline'!R33="follow-up")+('MiT Strom Pipeline'!R33="Evaluation")+('MiT Strom Pipeline'!R33="tbd")+('MiT Strom Pipeline'!R33="In evaluation"))*('MiT Strom Pipeline'!B33&lt;&gt;""))&gt;0,IF(ISNUMBER('MiT Strom Pipeline'!S33),'MiT Strom Pipeline'!S33,""),"")</f>
        <v/>
      </c>
      <c r="K166" s="27">
        <f>IF(((('MiT Strom Pipeline'!R33="follow-up")+('MiT Strom Pipeline'!R33="Evaluation")+('MiT Strom Pipeline'!R33="tbd")+('MiT Strom Pipeline'!R33="In evaluation"))*('MiT Strom Pipeline'!B33&lt;&gt;""))&gt;0,IF(LEN('MiT Strom Pipeline'!V33)&gt;0,LEFT('MiT Strom Pipeline'!V33,55),""),"")</f>
        <v/>
      </c>
      <c r="L166" s="22" t="n"/>
      <c r="M166" s="22" t="n"/>
      <c r="N166" s="22" t="n"/>
      <c r="O166" s="22" t="n"/>
      <c r="P166" s="22" t="n"/>
      <c r="Q166" s="22" t="n"/>
      <c r="R166" s="22" t="n"/>
      <c r="S166" s="22" t="n"/>
    </row>
    <row r="167" ht="15.75" customHeight="1">
      <c r="A167" s="26">
        <f>IF(((('MiT Strom Pipeline'!R34="follow-up")+('MiT Strom Pipeline'!R34="Evaluation")+('MiT Strom Pipeline'!R34="tbd")+('MiT Strom Pipeline'!R34="In evaluation"))*('MiT Strom Pipeline'!B34&lt;&gt;""))&gt;0,IF(ISNUMBER('MiT Strom Pipeline'!A34),'MiT Strom Pipeline'!A34,""),"")</f>
        <v/>
      </c>
      <c r="B167" s="27">
        <f>IF(((('MiT Strom Pipeline'!R34="follow-up")+('MiT Strom Pipeline'!R34="Evaluation")+('MiT Strom Pipeline'!R34="tbd")+('MiT Strom Pipeline'!R34="In evaluation"))*('MiT Strom Pipeline'!B34&lt;&gt;""))&gt;0,IF('MiT Strom Pipeline'!B34="","",'MiT Strom Pipeline'!B34),"")</f>
        <v/>
      </c>
      <c r="C167" s="27">
        <f>IF(((('MiT Strom Pipeline'!R34="follow-up")+('MiT Strom Pipeline'!R34="Evaluation")+('MiT Strom Pipeline'!R34="tbd")+('MiT Strom Pipeline'!R34="In evaluation"))*('MiT Strom Pipeline'!B34&lt;&gt;""))&gt;0,IF('MiT Strom Pipeline'!C34="","",'MiT Strom Pipeline'!C34),"")</f>
        <v/>
      </c>
      <c r="D167" s="27">
        <f>IF(((('MiT Strom Pipeline'!R34="follow-up")+('MiT Strom Pipeline'!R34="Evaluation")+('MiT Strom Pipeline'!R34="tbd")+('MiT Strom Pipeline'!R34="In evaluation"))*('MiT Strom Pipeline'!B34&lt;&gt;""))&gt;0,IF('MiT Strom Pipeline'!D34="","",'MiT Strom Pipeline'!D34),"")</f>
        <v/>
      </c>
      <c r="E167" s="27">
        <f>IF(((('MiT Strom Pipeline'!R34="follow-up")+('MiT Strom Pipeline'!R34="Evaluation")+('MiT Strom Pipeline'!R34="tbd")+('MiT Strom Pipeline'!R34="In evaluation"))*('MiT Strom Pipeline'!B34&lt;&gt;""))&gt;0,IF('MiT Strom Pipeline'!H34="","",'MiT Strom Pipeline'!H34),"")</f>
        <v/>
      </c>
      <c r="F167" s="27">
        <f>IF(((('MiT Strom Pipeline'!R34="follow-up")+('MiT Strom Pipeline'!R34="Evaluation")+('MiT Strom Pipeline'!R34="tbd")+('MiT Strom Pipeline'!R34="In evaluation"))*('MiT Strom Pipeline'!B34&lt;&gt;""))&gt;0,IF('MiT Strom Pipeline'!E34="","",'MiT Strom Pipeline'!E34),"")</f>
        <v/>
      </c>
      <c r="G167" s="28">
        <f>IF(((('MiT Strom Pipeline'!R34="follow-up")+('MiT Strom Pipeline'!R34="Evaluation")+('MiT Strom Pipeline'!R34="tbd")+('MiT Strom Pipeline'!R34="In evaluation"))*('MiT Strom Pipeline'!B34&lt;&gt;""))&gt;0,IF(ISNUMBER('MiT Strom Pipeline'!I34),'MiT Strom Pipeline'!I34,0),"")</f>
        <v/>
      </c>
      <c r="H167" s="28">
        <f>IF(((('MiT Strom Pipeline'!R34="follow-up")+('MiT Strom Pipeline'!R34="Evaluation")+('MiT Strom Pipeline'!R34="tbd")+('MiT Strom Pipeline'!R34="In evaluation"))*('MiT Strom Pipeline'!B34&lt;&gt;""))&gt;0,IF(ISNUMBER('MiT Strom Pipeline'!Q34),'MiT Strom Pipeline'!Q34,0),"")</f>
        <v/>
      </c>
      <c r="I167" s="27">
        <f>IF(((('MiT Strom Pipeline'!R34="follow-up")+('MiT Strom Pipeline'!R34="Evaluation")+('MiT Strom Pipeline'!R34="tbd")+('MiT Strom Pipeline'!R34="In evaluation"))*('MiT Strom Pipeline'!B34&lt;&gt;""))&gt;0,'MiT Strom Pipeline'!R34,"")</f>
        <v/>
      </c>
      <c r="J167" s="29">
        <f>IF(((('MiT Strom Pipeline'!R34="follow-up")+('MiT Strom Pipeline'!R34="Evaluation")+('MiT Strom Pipeline'!R34="tbd")+('MiT Strom Pipeline'!R34="In evaluation"))*('MiT Strom Pipeline'!B34&lt;&gt;""))&gt;0,IF(ISNUMBER('MiT Strom Pipeline'!S34),'MiT Strom Pipeline'!S34,""),"")</f>
        <v/>
      </c>
      <c r="K167" s="27">
        <f>IF(((('MiT Strom Pipeline'!R34="follow-up")+('MiT Strom Pipeline'!R34="Evaluation")+('MiT Strom Pipeline'!R34="tbd")+('MiT Strom Pipeline'!R34="In evaluation"))*('MiT Strom Pipeline'!B34&lt;&gt;""))&gt;0,IF(LEN('MiT Strom Pipeline'!V34)&gt;0,LEFT('MiT Strom Pipeline'!V34,55),""),"")</f>
        <v/>
      </c>
      <c r="L167" s="22" t="n"/>
      <c r="M167" s="22" t="n"/>
      <c r="N167" s="22" t="n"/>
      <c r="O167" s="22" t="n"/>
      <c r="P167" s="22" t="n"/>
      <c r="Q167" s="22" t="n"/>
      <c r="R167" s="22" t="n"/>
      <c r="S167" s="22" t="n"/>
    </row>
    <row r="168" ht="15.75" customHeight="1">
      <c r="A168" s="26">
        <f>IF(((('MiT Strom Pipeline'!R35="follow-up")+('MiT Strom Pipeline'!R35="Evaluation")+('MiT Strom Pipeline'!R35="tbd")+('MiT Strom Pipeline'!R35="In evaluation"))*('MiT Strom Pipeline'!B35&lt;&gt;""))&gt;0,IF(ISNUMBER('MiT Strom Pipeline'!A35),'MiT Strom Pipeline'!A35,""),"")</f>
        <v/>
      </c>
      <c r="B168" s="27">
        <f>IF(((('MiT Strom Pipeline'!R35="follow-up")+('MiT Strom Pipeline'!R35="Evaluation")+('MiT Strom Pipeline'!R35="tbd")+('MiT Strom Pipeline'!R35="In evaluation"))*('MiT Strom Pipeline'!B35&lt;&gt;""))&gt;0,IF('MiT Strom Pipeline'!B35="","",'MiT Strom Pipeline'!B35),"")</f>
        <v/>
      </c>
      <c r="C168" s="27">
        <f>IF(((('MiT Strom Pipeline'!R35="follow-up")+('MiT Strom Pipeline'!R35="Evaluation")+('MiT Strom Pipeline'!R35="tbd")+('MiT Strom Pipeline'!R35="In evaluation"))*('MiT Strom Pipeline'!B35&lt;&gt;""))&gt;0,IF('MiT Strom Pipeline'!C35="","",'MiT Strom Pipeline'!C35),"")</f>
        <v/>
      </c>
      <c r="D168" s="27">
        <f>IF(((('MiT Strom Pipeline'!R35="follow-up")+('MiT Strom Pipeline'!R35="Evaluation")+('MiT Strom Pipeline'!R35="tbd")+('MiT Strom Pipeline'!R35="In evaluation"))*('MiT Strom Pipeline'!B35&lt;&gt;""))&gt;0,IF('MiT Strom Pipeline'!D35="","",'MiT Strom Pipeline'!D35),"")</f>
        <v/>
      </c>
      <c r="E168" s="27">
        <f>IF(((('MiT Strom Pipeline'!R35="follow-up")+('MiT Strom Pipeline'!R35="Evaluation")+('MiT Strom Pipeline'!R35="tbd")+('MiT Strom Pipeline'!R35="In evaluation"))*('MiT Strom Pipeline'!B35&lt;&gt;""))&gt;0,IF('MiT Strom Pipeline'!H35="","",'MiT Strom Pipeline'!H35),"")</f>
        <v/>
      </c>
      <c r="F168" s="27">
        <f>IF(((('MiT Strom Pipeline'!R35="follow-up")+('MiT Strom Pipeline'!R35="Evaluation")+('MiT Strom Pipeline'!R35="tbd")+('MiT Strom Pipeline'!R35="In evaluation"))*('MiT Strom Pipeline'!B35&lt;&gt;""))&gt;0,IF('MiT Strom Pipeline'!E35="","",'MiT Strom Pipeline'!E35),"")</f>
        <v/>
      </c>
      <c r="G168" s="28">
        <f>IF(((('MiT Strom Pipeline'!R35="follow-up")+('MiT Strom Pipeline'!R35="Evaluation")+('MiT Strom Pipeline'!R35="tbd")+('MiT Strom Pipeline'!R35="In evaluation"))*('MiT Strom Pipeline'!B35&lt;&gt;""))&gt;0,IF(ISNUMBER('MiT Strom Pipeline'!I35),'MiT Strom Pipeline'!I35,0),"")</f>
        <v/>
      </c>
      <c r="H168" s="28">
        <f>IF(((('MiT Strom Pipeline'!R35="follow-up")+('MiT Strom Pipeline'!R35="Evaluation")+('MiT Strom Pipeline'!R35="tbd")+('MiT Strom Pipeline'!R35="In evaluation"))*('MiT Strom Pipeline'!B35&lt;&gt;""))&gt;0,IF(ISNUMBER('MiT Strom Pipeline'!Q35),'MiT Strom Pipeline'!Q35,0),"")</f>
        <v/>
      </c>
      <c r="I168" s="27">
        <f>IF(((('MiT Strom Pipeline'!R35="follow-up")+('MiT Strom Pipeline'!R35="Evaluation")+('MiT Strom Pipeline'!R35="tbd")+('MiT Strom Pipeline'!R35="In evaluation"))*('MiT Strom Pipeline'!B35&lt;&gt;""))&gt;0,'MiT Strom Pipeline'!R35,"")</f>
        <v/>
      </c>
      <c r="J168" s="29">
        <f>IF(((('MiT Strom Pipeline'!R35="follow-up")+('MiT Strom Pipeline'!R35="Evaluation")+('MiT Strom Pipeline'!R35="tbd")+('MiT Strom Pipeline'!R35="In evaluation"))*('MiT Strom Pipeline'!B35&lt;&gt;""))&gt;0,IF(ISNUMBER('MiT Strom Pipeline'!S35),'MiT Strom Pipeline'!S35,""),"")</f>
        <v/>
      </c>
      <c r="K168" s="27">
        <f>IF(((('MiT Strom Pipeline'!R35="follow-up")+('MiT Strom Pipeline'!R35="Evaluation")+('MiT Strom Pipeline'!R35="tbd")+('MiT Strom Pipeline'!R35="In evaluation"))*('MiT Strom Pipeline'!B35&lt;&gt;""))&gt;0,IF(LEN('MiT Strom Pipeline'!V35)&gt;0,LEFT('MiT Strom Pipeline'!V35,55),""),"")</f>
        <v/>
      </c>
      <c r="L168" s="22" t="n"/>
      <c r="M168" s="22" t="n"/>
      <c r="N168" s="22" t="n"/>
      <c r="O168" s="22" t="n"/>
      <c r="P168" s="22" t="n"/>
      <c r="Q168" s="22" t="n"/>
      <c r="R168" s="22" t="n"/>
      <c r="S168" s="22" t="n"/>
    </row>
    <row r="169" ht="15.75" customHeight="1">
      <c r="A169" s="26">
        <f>IF(((('MiT Strom Pipeline'!R36="follow-up")+('MiT Strom Pipeline'!R36="Evaluation")+('MiT Strom Pipeline'!R36="tbd")+('MiT Strom Pipeline'!R36="In evaluation"))*('MiT Strom Pipeline'!B36&lt;&gt;""))&gt;0,IF(ISNUMBER('MiT Strom Pipeline'!A36),'MiT Strom Pipeline'!A36,""),"")</f>
        <v/>
      </c>
      <c r="B169" s="27">
        <f>IF(((('MiT Strom Pipeline'!R36="follow-up")+('MiT Strom Pipeline'!R36="Evaluation")+('MiT Strom Pipeline'!R36="tbd")+('MiT Strom Pipeline'!R36="In evaluation"))*('MiT Strom Pipeline'!B36&lt;&gt;""))&gt;0,IF('MiT Strom Pipeline'!B36="","",'MiT Strom Pipeline'!B36),"")</f>
        <v/>
      </c>
      <c r="C169" s="27">
        <f>IF(((('MiT Strom Pipeline'!R36="follow-up")+('MiT Strom Pipeline'!R36="Evaluation")+('MiT Strom Pipeline'!R36="tbd")+('MiT Strom Pipeline'!R36="In evaluation"))*('MiT Strom Pipeline'!B36&lt;&gt;""))&gt;0,IF('MiT Strom Pipeline'!C36="","",'MiT Strom Pipeline'!C36),"")</f>
        <v/>
      </c>
      <c r="D169" s="27">
        <f>IF(((('MiT Strom Pipeline'!R36="follow-up")+('MiT Strom Pipeline'!R36="Evaluation")+('MiT Strom Pipeline'!R36="tbd")+('MiT Strom Pipeline'!R36="In evaluation"))*('MiT Strom Pipeline'!B36&lt;&gt;""))&gt;0,IF('MiT Strom Pipeline'!D36="","",'MiT Strom Pipeline'!D36),"")</f>
        <v/>
      </c>
      <c r="E169" s="27">
        <f>IF(((('MiT Strom Pipeline'!R36="follow-up")+('MiT Strom Pipeline'!R36="Evaluation")+('MiT Strom Pipeline'!R36="tbd")+('MiT Strom Pipeline'!R36="In evaluation"))*('MiT Strom Pipeline'!B36&lt;&gt;""))&gt;0,IF('MiT Strom Pipeline'!H36="","",'MiT Strom Pipeline'!H36),"")</f>
        <v/>
      </c>
      <c r="F169" s="27">
        <f>IF(((('MiT Strom Pipeline'!R36="follow-up")+('MiT Strom Pipeline'!R36="Evaluation")+('MiT Strom Pipeline'!R36="tbd")+('MiT Strom Pipeline'!R36="In evaluation"))*('MiT Strom Pipeline'!B36&lt;&gt;""))&gt;0,IF('MiT Strom Pipeline'!E36="","",'MiT Strom Pipeline'!E36),"")</f>
        <v/>
      </c>
      <c r="G169" s="28">
        <f>IF(((('MiT Strom Pipeline'!R36="follow-up")+('MiT Strom Pipeline'!R36="Evaluation")+('MiT Strom Pipeline'!R36="tbd")+('MiT Strom Pipeline'!R36="In evaluation"))*('MiT Strom Pipeline'!B36&lt;&gt;""))&gt;0,IF(ISNUMBER('MiT Strom Pipeline'!I36),'MiT Strom Pipeline'!I36,0),"")</f>
        <v/>
      </c>
      <c r="H169" s="28">
        <f>IF(((('MiT Strom Pipeline'!R36="follow-up")+('MiT Strom Pipeline'!R36="Evaluation")+('MiT Strom Pipeline'!R36="tbd")+('MiT Strom Pipeline'!R36="In evaluation"))*('MiT Strom Pipeline'!B36&lt;&gt;""))&gt;0,IF(ISNUMBER('MiT Strom Pipeline'!Q36),'MiT Strom Pipeline'!Q36,0),"")</f>
        <v/>
      </c>
      <c r="I169" s="27">
        <f>IF(((('MiT Strom Pipeline'!R36="follow-up")+('MiT Strom Pipeline'!R36="Evaluation")+('MiT Strom Pipeline'!R36="tbd")+('MiT Strom Pipeline'!R36="In evaluation"))*('MiT Strom Pipeline'!B36&lt;&gt;""))&gt;0,'MiT Strom Pipeline'!R36,"")</f>
        <v/>
      </c>
      <c r="J169" s="29">
        <f>IF(((('MiT Strom Pipeline'!R36="follow-up")+('MiT Strom Pipeline'!R36="Evaluation")+('MiT Strom Pipeline'!R36="tbd")+('MiT Strom Pipeline'!R36="In evaluation"))*('MiT Strom Pipeline'!B36&lt;&gt;""))&gt;0,IF(ISNUMBER('MiT Strom Pipeline'!S36),'MiT Strom Pipeline'!S36,""),"")</f>
        <v/>
      </c>
      <c r="K169" s="27">
        <f>IF(((('MiT Strom Pipeline'!R36="follow-up")+('MiT Strom Pipeline'!R36="Evaluation")+('MiT Strom Pipeline'!R36="tbd")+('MiT Strom Pipeline'!R36="In evaluation"))*('MiT Strom Pipeline'!B36&lt;&gt;""))&gt;0,IF(LEN('MiT Strom Pipeline'!V36)&gt;0,LEFT('MiT Strom Pipeline'!V36,55),""),"")</f>
        <v/>
      </c>
      <c r="L169" s="22" t="n"/>
      <c r="M169" s="22" t="n"/>
      <c r="N169" s="22" t="n"/>
      <c r="O169" s="22" t="n"/>
      <c r="P169" s="22" t="n"/>
      <c r="Q169" s="22" t="n"/>
      <c r="R169" s="22" t="n"/>
      <c r="S169" s="22" t="n"/>
    </row>
    <row r="170" ht="15.75" customHeight="1">
      <c r="A170" s="26">
        <f>IF(((('MiT Strom Pipeline'!R37="follow-up")+('MiT Strom Pipeline'!R37="Evaluation")+('MiT Strom Pipeline'!R37="tbd")+('MiT Strom Pipeline'!R37="In evaluation"))*('MiT Strom Pipeline'!B37&lt;&gt;""))&gt;0,IF(ISNUMBER('MiT Strom Pipeline'!A37),'MiT Strom Pipeline'!A37,""),"")</f>
        <v/>
      </c>
      <c r="B170" s="27">
        <f>IF(((('MiT Strom Pipeline'!R37="follow-up")+('MiT Strom Pipeline'!R37="Evaluation")+('MiT Strom Pipeline'!R37="tbd")+('MiT Strom Pipeline'!R37="In evaluation"))*('MiT Strom Pipeline'!B37&lt;&gt;""))&gt;0,IF('MiT Strom Pipeline'!B37="","",'MiT Strom Pipeline'!B37),"")</f>
        <v/>
      </c>
      <c r="C170" s="27">
        <f>IF(((('MiT Strom Pipeline'!R37="follow-up")+('MiT Strom Pipeline'!R37="Evaluation")+('MiT Strom Pipeline'!R37="tbd")+('MiT Strom Pipeline'!R37="In evaluation"))*('MiT Strom Pipeline'!B37&lt;&gt;""))&gt;0,IF('MiT Strom Pipeline'!C37="","",'MiT Strom Pipeline'!C37),"")</f>
        <v/>
      </c>
      <c r="D170" s="27">
        <f>IF(((('MiT Strom Pipeline'!R37="follow-up")+('MiT Strom Pipeline'!R37="Evaluation")+('MiT Strom Pipeline'!R37="tbd")+('MiT Strom Pipeline'!R37="In evaluation"))*('MiT Strom Pipeline'!B37&lt;&gt;""))&gt;0,IF('MiT Strom Pipeline'!D37="","",'MiT Strom Pipeline'!D37),"")</f>
        <v/>
      </c>
      <c r="E170" s="27">
        <f>IF(((('MiT Strom Pipeline'!R37="follow-up")+('MiT Strom Pipeline'!R37="Evaluation")+('MiT Strom Pipeline'!R37="tbd")+('MiT Strom Pipeline'!R37="In evaluation"))*('MiT Strom Pipeline'!B37&lt;&gt;""))&gt;0,IF('MiT Strom Pipeline'!H37="","",'MiT Strom Pipeline'!H37),"")</f>
        <v/>
      </c>
      <c r="F170" s="27">
        <f>IF(((('MiT Strom Pipeline'!R37="follow-up")+('MiT Strom Pipeline'!R37="Evaluation")+('MiT Strom Pipeline'!R37="tbd")+('MiT Strom Pipeline'!R37="In evaluation"))*('MiT Strom Pipeline'!B37&lt;&gt;""))&gt;0,IF('MiT Strom Pipeline'!E37="","",'MiT Strom Pipeline'!E37),"")</f>
        <v/>
      </c>
      <c r="G170" s="28">
        <f>IF(((('MiT Strom Pipeline'!R37="follow-up")+('MiT Strom Pipeline'!R37="Evaluation")+('MiT Strom Pipeline'!R37="tbd")+('MiT Strom Pipeline'!R37="In evaluation"))*('MiT Strom Pipeline'!B37&lt;&gt;""))&gt;0,IF(ISNUMBER('MiT Strom Pipeline'!I37),'MiT Strom Pipeline'!I37,0),"")</f>
        <v/>
      </c>
      <c r="H170" s="28">
        <f>IF(((('MiT Strom Pipeline'!R37="follow-up")+('MiT Strom Pipeline'!R37="Evaluation")+('MiT Strom Pipeline'!R37="tbd")+('MiT Strom Pipeline'!R37="In evaluation"))*('MiT Strom Pipeline'!B37&lt;&gt;""))&gt;0,IF(ISNUMBER('MiT Strom Pipeline'!Q37),'MiT Strom Pipeline'!Q37,0),"")</f>
        <v/>
      </c>
      <c r="I170" s="27">
        <f>IF(((('MiT Strom Pipeline'!R37="follow-up")+('MiT Strom Pipeline'!R37="Evaluation")+('MiT Strom Pipeline'!R37="tbd")+('MiT Strom Pipeline'!R37="In evaluation"))*('MiT Strom Pipeline'!B37&lt;&gt;""))&gt;0,'MiT Strom Pipeline'!R37,"")</f>
        <v/>
      </c>
      <c r="J170" s="29">
        <f>IF(((('MiT Strom Pipeline'!R37="follow-up")+('MiT Strom Pipeline'!R37="Evaluation")+('MiT Strom Pipeline'!R37="tbd")+('MiT Strom Pipeline'!R37="In evaluation"))*('MiT Strom Pipeline'!B37&lt;&gt;""))&gt;0,IF(ISNUMBER('MiT Strom Pipeline'!S37),'MiT Strom Pipeline'!S37,""),"")</f>
        <v/>
      </c>
      <c r="K170" s="27">
        <f>IF(((('MiT Strom Pipeline'!R37="follow-up")+('MiT Strom Pipeline'!R37="Evaluation")+('MiT Strom Pipeline'!R37="tbd")+('MiT Strom Pipeline'!R37="In evaluation"))*('MiT Strom Pipeline'!B37&lt;&gt;""))&gt;0,IF(LEN('MiT Strom Pipeline'!V37)&gt;0,LEFT('MiT Strom Pipeline'!V37,55),""),"")</f>
        <v/>
      </c>
      <c r="L170" s="22" t="n"/>
      <c r="M170" s="22" t="n"/>
      <c r="N170" s="22" t="n"/>
      <c r="O170" s="22" t="n"/>
      <c r="P170" s="22" t="n"/>
      <c r="Q170" s="22" t="n"/>
      <c r="R170" s="22" t="n"/>
      <c r="S170" s="22" t="n"/>
    </row>
    <row r="171" ht="15.75" customHeight="1">
      <c r="A171" s="26">
        <f>IF(((('MiT Strom Pipeline'!R38="follow-up")+('MiT Strom Pipeline'!R38="Evaluation")+('MiT Strom Pipeline'!R38="tbd")+('MiT Strom Pipeline'!R38="In evaluation"))*('MiT Strom Pipeline'!B38&lt;&gt;""))&gt;0,IF(ISNUMBER('MiT Strom Pipeline'!A38),'MiT Strom Pipeline'!A38,""),"")</f>
        <v/>
      </c>
      <c r="B171" s="27">
        <f>IF(((('MiT Strom Pipeline'!R38="follow-up")+('MiT Strom Pipeline'!R38="Evaluation")+('MiT Strom Pipeline'!R38="tbd")+('MiT Strom Pipeline'!R38="In evaluation"))*('MiT Strom Pipeline'!B38&lt;&gt;""))&gt;0,IF('MiT Strom Pipeline'!B38="","",'MiT Strom Pipeline'!B38),"")</f>
        <v/>
      </c>
      <c r="C171" s="27">
        <f>IF(((('MiT Strom Pipeline'!R38="follow-up")+('MiT Strom Pipeline'!R38="Evaluation")+('MiT Strom Pipeline'!R38="tbd")+('MiT Strom Pipeline'!R38="In evaluation"))*('MiT Strom Pipeline'!B38&lt;&gt;""))&gt;0,IF('MiT Strom Pipeline'!C38="","",'MiT Strom Pipeline'!C38),"")</f>
        <v/>
      </c>
      <c r="D171" s="27">
        <f>IF(((('MiT Strom Pipeline'!R38="follow-up")+('MiT Strom Pipeline'!R38="Evaluation")+('MiT Strom Pipeline'!R38="tbd")+('MiT Strom Pipeline'!R38="In evaluation"))*('MiT Strom Pipeline'!B38&lt;&gt;""))&gt;0,IF('MiT Strom Pipeline'!D38="","",'MiT Strom Pipeline'!D38),"")</f>
        <v/>
      </c>
      <c r="E171" s="192">
        <f>IF(((('MiT Strom Pipeline'!R38="follow-up")+('MiT Strom Pipeline'!R38="Evaluation")+('MiT Strom Pipeline'!R38="tbd")+('MiT Strom Pipeline'!R38="In evaluation"))*('MiT Strom Pipeline'!B38&lt;&gt;""))&gt;0,IF('MiT Strom Pipeline'!H38="","",'MiT Strom Pipeline'!H38),"")</f>
        <v/>
      </c>
      <c r="F171" s="27">
        <f>IF(((('MiT Strom Pipeline'!R38="follow-up")+('MiT Strom Pipeline'!R38="Evaluation")+('MiT Strom Pipeline'!R38="tbd")+('MiT Strom Pipeline'!R38="In evaluation"))*('MiT Strom Pipeline'!B38&lt;&gt;""))&gt;0,IF('MiT Strom Pipeline'!E38="","",'MiT Strom Pipeline'!E38),"")</f>
        <v/>
      </c>
      <c r="G171" s="28">
        <f>IF(((('MiT Strom Pipeline'!R38="follow-up")+('MiT Strom Pipeline'!R38="Evaluation")+('MiT Strom Pipeline'!R38="tbd")+('MiT Strom Pipeline'!R38="In evaluation"))*('MiT Strom Pipeline'!B38&lt;&gt;""))&gt;0,IF(ISNUMBER('MiT Strom Pipeline'!I38),'MiT Strom Pipeline'!I38,0),"")</f>
        <v/>
      </c>
      <c r="H171" s="28">
        <f>IF(((('MiT Strom Pipeline'!R38="follow-up")+('MiT Strom Pipeline'!R38="Evaluation")+('MiT Strom Pipeline'!R38="tbd")+('MiT Strom Pipeline'!R38="In evaluation"))*('MiT Strom Pipeline'!B38&lt;&gt;""))&gt;0,IF(ISNUMBER('MiT Strom Pipeline'!Q38),'MiT Strom Pipeline'!Q38,0),"")</f>
        <v/>
      </c>
      <c r="I171" s="27">
        <f>IF(((('MiT Strom Pipeline'!R38="follow-up")+('MiT Strom Pipeline'!R38="Evaluation")+('MiT Strom Pipeline'!R38="tbd")+('MiT Strom Pipeline'!R38="In evaluation"))*('MiT Strom Pipeline'!B38&lt;&gt;""))&gt;0,'MiT Strom Pipeline'!R38,"")</f>
        <v/>
      </c>
      <c r="J171" s="29">
        <f>IF(((('MiT Strom Pipeline'!R38="follow-up")+('MiT Strom Pipeline'!R38="Evaluation")+('MiT Strom Pipeline'!R38="tbd")+('MiT Strom Pipeline'!R38="In evaluation"))*('MiT Strom Pipeline'!B38&lt;&gt;""))&gt;0,IF(ISNUMBER('MiT Strom Pipeline'!S38),'MiT Strom Pipeline'!S38,""),"")</f>
        <v/>
      </c>
      <c r="K171" s="27">
        <f>IF(((('MiT Strom Pipeline'!R38="follow-up")+('MiT Strom Pipeline'!R38="Evaluation")+('MiT Strom Pipeline'!R38="tbd")+('MiT Strom Pipeline'!R38="In evaluation"))*('MiT Strom Pipeline'!B38&lt;&gt;""))&gt;0,IF(LEN('MiT Strom Pipeline'!V38)&gt;0,LEFT('MiT Strom Pipeline'!V38,55),""),"")</f>
        <v/>
      </c>
      <c r="L171" s="22" t="n"/>
      <c r="M171" s="22" t="n"/>
      <c r="N171" s="22" t="n"/>
      <c r="O171" s="22" t="n"/>
      <c r="P171" s="22" t="n"/>
      <c r="Q171" s="22" t="n"/>
      <c r="R171" s="22" t="n"/>
      <c r="S171" s="22" t="n"/>
    </row>
    <row r="172" ht="15.75" customHeight="1">
      <c r="A172" s="26">
        <f>IF(((('MiT Strom Pipeline'!R39="follow-up")+('MiT Strom Pipeline'!R39="Evaluation")+('MiT Strom Pipeline'!R39="tbd")+('MiT Strom Pipeline'!R39="In evaluation"))*('MiT Strom Pipeline'!B39&lt;&gt;""))&gt;0,IF(ISNUMBER('MiT Strom Pipeline'!A39),'MiT Strom Pipeline'!A39,""),"")</f>
        <v/>
      </c>
      <c r="B172" s="27">
        <f>IF(((('MiT Strom Pipeline'!R39="follow-up")+('MiT Strom Pipeline'!R39="Evaluation")+('MiT Strom Pipeline'!R39="tbd")+('MiT Strom Pipeline'!R39="In evaluation"))*('MiT Strom Pipeline'!B39&lt;&gt;""))&gt;0,IF('MiT Strom Pipeline'!B39="","",'MiT Strom Pipeline'!B39),"")</f>
        <v/>
      </c>
      <c r="C172" s="27">
        <f>IF(((('MiT Strom Pipeline'!R39="follow-up")+('MiT Strom Pipeline'!R39="Evaluation")+('MiT Strom Pipeline'!R39="tbd")+('MiT Strom Pipeline'!R39="In evaluation"))*('MiT Strom Pipeline'!B39&lt;&gt;""))&gt;0,IF('MiT Strom Pipeline'!C39="","",'MiT Strom Pipeline'!C39),"")</f>
        <v/>
      </c>
      <c r="D172" s="27">
        <f>IF(((('MiT Strom Pipeline'!R39="follow-up")+('MiT Strom Pipeline'!R39="Evaluation")+('MiT Strom Pipeline'!R39="tbd")+('MiT Strom Pipeline'!R39="In evaluation"))*('MiT Strom Pipeline'!B39&lt;&gt;""))&gt;0,IF('MiT Strom Pipeline'!D39="","",'MiT Strom Pipeline'!D39),"")</f>
        <v/>
      </c>
      <c r="E172" s="27">
        <f>IF(((('MiT Strom Pipeline'!R39="follow-up")+('MiT Strom Pipeline'!R39="Evaluation")+('MiT Strom Pipeline'!R39="tbd")+('MiT Strom Pipeline'!R39="In evaluation"))*('MiT Strom Pipeline'!B39&lt;&gt;""))&gt;0,IF('MiT Strom Pipeline'!H39="","",'MiT Strom Pipeline'!H39),"")</f>
        <v/>
      </c>
      <c r="F172" s="27">
        <f>IF(((('MiT Strom Pipeline'!R39="follow-up")+('MiT Strom Pipeline'!R39="Evaluation")+('MiT Strom Pipeline'!R39="tbd")+('MiT Strom Pipeline'!R39="In evaluation"))*('MiT Strom Pipeline'!B39&lt;&gt;""))&gt;0,IF('MiT Strom Pipeline'!E39="","",'MiT Strom Pipeline'!E39),"")</f>
        <v/>
      </c>
      <c r="G172" s="28">
        <f>IF(((('MiT Strom Pipeline'!R39="follow-up")+('MiT Strom Pipeline'!R39="Evaluation")+('MiT Strom Pipeline'!R39="tbd")+('MiT Strom Pipeline'!R39="In evaluation"))*('MiT Strom Pipeline'!B39&lt;&gt;""))&gt;0,IF(ISNUMBER('MiT Strom Pipeline'!I39),'MiT Strom Pipeline'!I39,0),"")</f>
        <v/>
      </c>
      <c r="H172" s="28">
        <f>IF(((('MiT Strom Pipeline'!R39="follow-up")+('MiT Strom Pipeline'!R39="Evaluation")+('MiT Strom Pipeline'!R39="tbd")+('MiT Strom Pipeline'!R39="In evaluation"))*('MiT Strom Pipeline'!B39&lt;&gt;""))&gt;0,IF(ISNUMBER('MiT Strom Pipeline'!Q39),'MiT Strom Pipeline'!Q39,0),"")</f>
        <v/>
      </c>
      <c r="I172" s="27">
        <f>IF(((('MiT Strom Pipeline'!R39="follow-up")+('MiT Strom Pipeline'!R39="Evaluation")+('MiT Strom Pipeline'!R39="tbd")+('MiT Strom Pipeline'!R39="In evaluation"))*('MiT Strom Pipeline'!B39&lt;&gt;""))&gt;0,'MiT Strom Pipeline'!R39,"")</f>
        <v/>
      </c>
      <c r="J172" s="29">
        <f>IF(((('MiT Strom Pipeline'!R39="follow-up")+('MiT Strom Pipeline'!R39="Evaluation")+('MiT Strom Pipeline'!R39="tbd")+('MiT Strom Pipeline'!R39="In evaluation"))*('MiT Strom Pipeline'!B39&lt;&gt;""))&gt;0,IF(ISNUMBER('MiT Strom Pipeline'!S39),'MiT Strom Pipeline'!S39,""),"")</f>
        <v/>
      </c>
      <c r="K172" s="27">
        <f>IF(((('MiT Strom Pipeline'!R39="follow-up")+('MiT Strom Pipeline'!R39="Evaluation")+('MiT Strom Pipeline'!R39="tbd")+('MiT Strom Pipeline'!R39="In evaluation"))*('MiT Strom Pipeline'!B39&lt;&gt;""))&gt;0,IF(LEN('MiT Strom Pipeline'!V39)&gt;0,LEFT('MiT Strom Pipeline'!V39,55),""),"")</f>
        <v/>
      </c>
      <c r="L172" s="22" t="n"/>
      <c r="M172" s="22" t="n"/>
      <c r="N172" s="22" t="n"/>
      <c r="O172" s="22" t="n"/>
      <c r="P172" s="22" t="n"/>
      <c r="Q172" s="22" t="n"/>
      <c r="R172" s="22" t="n"/>
      <c r="S172" s="22" t="n"/>
    </row>
    <row r="173" ht="15.75" customHeight="1">
      <c r="A173" s="26">
        <f>IF(((('MiT Strom Pipeline'!R40="follow-up")+('MiT Strom Pipeline'!R40="Evaluation")+('MiT Strom Pipeline'!R40="tbd")+('MiT Strom Pipeline'!R40="In evaluation"))*('MiT Strom Pipeline'!B40&lt;&gt;""))&gt;0,IF(ISNUMBER('MiT Strom Pipeline'!A40),'MiT Strom Pipeline'!A40,""),"")</f>
        <v/>
      </c>
      <c r="B173" s="27">
        <f>IF(((('MiT Strom Pipeline'!R40="follow-up")+('MiT Strom Pipeline'!R40="Evaluation")+('MiT Strom Pipeline'!R40="tbd")+('MiT Strom Pipeline'!R40="In evaluation"))*('MiT Strom Pipeline'!B40&lt;&gt;""))&gt;0,IF('MiT Strom Pipeline'!B40="","",'MiT Strom Pipeline'!B40),"")</f>
        <v/>
      </c>
      <c r="C173" s="27">
        <f>IF(((('MiT Strom Pipeline'!R40="follow-up")+('MiT Strom Pipeline'!R40="Evaluation")+('MiT Strom Pipeline'!R40="tbd")+('MiT Strom Pipeline'!R40="In evaluation"))*('MiT Strom Pipeline'!B40&lt;&gt;""))&gt;0,IF('MiT Strom Pipeline'!C40="","",'MiT Strom Pipeline'!C40),"")</f>
        <v/>
      </c>
      <c r="D173" s="27">
        <f>IF(((('MiT Strom Pipeline'!R40="follow-up")+('MiT Strom Pipeline'!R40="Evaluation")+('MiT Strom Pipeline'!R40="tbd")+('MiT Strom Pipeline'!R40="In evaluation"))*('MiT Strom Pipeline'!B40&lt;&gt;""))&gt;0,IF('MiT Strom Pipeline'!D40="","",'MiT Strom Pipeline'!D40),"")</f>
        <v/>
      </c>
      <c r="E173" s="27">
        <f>IF(((('MiT Strom Pipeline'!R40="follow-up")+('MiT Strom Pipeline'!R40="Evaluation")+('MiT Strom Pipeline'!R40="tbd")+('MiT Strom Pipeline'!R40="In evaluation"))*('MiT Strom Pipeline'!B40&lt;&gt;""))&gt;0,IF('MiT Strom Pipeline'!H40="","",'MiT Strom Pipeline'!H40),"")</f>
        <v/>
      </c>
      <c r="F173" s="27">
        <f>IF(((('MiT Strom Pipeline'!R40="follow-up")+('MiT Strom Pipeline'!R40="Evaluation")+('MiT Strom Pipeline'!R40="tbd")+('MiT Strom Pipeline'!R40="In evaluation"))*('MiT Strom Pipeline'!B40&lt;&gt;""))&gt;0,IF('MiT Strom Pipeline'!E40="","",'MiT Strom Pipeline'!E40),"")</f>
        <v/>
      </c>
      <c r="G173" s="28">
        <f>IF(((('MiT Strom Pipeline'!R40="follow-up")+('MiT Strom Pipeline'!R40="Evaluation")+('MiT Strom Pipeline'!R40="tbd")+('MiT Strom Pipeline'!R40="In evaluation"))*('MiT Strom Pipeline'!B40&lt;&gt;""))&gt;0,IF(ISNUMBER('MiT Strom Pipeline'!I40),'MiT Strom Pipeline'!I40,0),"")</f>
        <v/>
      </c>
      <c r="H173" s="28">
        <f>IF(((('MiT Strom Pipeline'!R40="follow-up")+('MiT Strom Pipeline'!R40="Evaluation")+('MiT Strom Pipeline'!R40="tbd")+('MiT Strom Pipeline'!R40="In evaluation"))*('MiT Strom Pipeline'!B40&lt;&gt;""))&gt;0,IF(ISNUMBER('MiT Strom Pipeline'!Q40),'MiT Strom Pipeline'!Q40,0),"")</f>
        <v/>
      </c>
      <c r="I173" s="27">
        <f>IF(((('MiT Strom Pipeline'!R40="follow-up")+('MiT Strom Pipeline'!R40="Evaluation")+('MiT Strom Pipeline'!R40="tbd")+('MiT Strom Pipeline'!R40="In evaluation"))*('MiT Strom Pipeline'!B40&lt;&gt;""))&gt;0,'MiT Strom Pipeline'!R40,"")</f>
        <v/>
      </c>
      <c r="J173" s="29">
        <f>IF(((('MiT Strom Pipeline'!R40="follow-up")+('MiT Strom Pipeline'!R40="Evaluation")+('MiT Strom Pipeline'!R40="tbd")+('MiT Strom Pipeline'!R40="In evaluation"))*('MiT Strom Pipeline'!B40&lt;&gt;""))&gt;0,IF(ISNUMBER('MiT Strom Pipeline'!S40),'MiT Strom Pipeline'!S40,""),"")</f>
        <v/>
      </c>
      <c r="K173" s="27">
        <f>IF(((('MiT Strom Pipeline'!R40="follow-up")+('MiT Strom Pipeline'!R40="Evaluation")+('MiT Strom Pipeline'!R40="tbd")+('MiT Strom Pipeline'!R40="In evaluation"))*('MiT Strom Pipeline'!B40&lt;&gt;""))&gt;0,IF(LEN('MiT Strom Pipeline'!V40)&gt;0,LEFT('MiT Strom Pipeline'!V40,55),""),"")</f>
        <v/>
      </c>
      <c r="L173" s="22" t="n"/>
      <c r="M173" s="22" t="n"/>
      <c r="N173" s="22" t="n"/>
      <c r="O173" s="22" t="n"/>
      <c r="P173" s="22" t="n"/>
      <c r="Q173" s="22" t="n"/>
      <c r="R173" s="22" t="n"/>
      <c r="S173" s="22" t="n"/>
    </row>
    <row r="174" ht="15.75" customHeight="1">
      <c r="A174" s="26">
        <f>IF(((('MiT Strom Pipeline'!R41="follow-up")+('MiT Strom Pipeline'!R41="Evaluation")+('MiT Strom Pipeline'!R41="tbd")+('MiT Strom Pipeline'!R41="In evaluation"))*('MiT Strom Pipeline'!B41&lt;&gt;""))&gt;0,IF(ISNUMBER('MiT Strom Pipeline'!A41),'MiT Strom Pipeline'!A41,""),"")</f>
        <v/>
      </c>
      <c r="B174" s="27">
        <f>IF(((('MiT Strom Pipeline'!R41="follow-up")+('MiT Strom Pipeline'!R41="Evaluation")+('MiT Strom Pipeline'!R41="tbd")+('MiT Strom Pipeline'!R41="In evaluation"))*('MiT Strom Pipeline'!B41&lt;&gt;""))&gt;0,IF('MiT Strom Pipeline'!B41="","",'MiT Strom Pipeline'!B41),"")</f>
        <v/>
      </c>
      <c r="C174" s="27">
        <f>IF(((('MiT Strom Pipeline'!R41="follow-up")+('MiT Strom Pipeline'!R41="Evaluation")+('MiT Strom Pipeline'!R41="tbd")+('MiT Strom Pipeline'!R41="In evaluation"))*('MiT Strom Pipeline'!B41&lt;&gt;""))&gt;0,IF('MiT Strom Pipeline'!C41="","",'MiT Strom Pipeline'!C41),"")</f>
        <v/>
      </c>
      <c r="D174" s="27">
        <f>IF(((('MiT Strom Pipeline'!R41="follow-up")+('MiT Strom Pipeline'!R41="Evaluation")+('MiT Strom Pipeline'!R41="tbd")+('MiT Strom Pipeline'!R41="In evaluation"))*('MiT Strom Pipeline'!B41&lt;&gt;""))&gt;0,IF('MiT Strom Pipeline'!D41="","",'MiT Strom Pipeline'!D41),"")</f>
        <v/>
      </c>
      <c r="E174" s="27">
        <f>IF(((('MiT Strom Pipeline'!R41="follow-up")+('MiT Strom Pipeline'!R41="Evaluation")+('MiT Strom Pipeline'!R41="tbd")+('MiT Strom Pipeline'!R41="In evaluation"))*('MiT Strom Pipeline'!B41&lt;&gt;""))&gt;0,IF('MiT Strom Pipeline'!H41="","",'MiT Strom Pipeline'!H41),"")</f>
        <v/>
      </c>
      <c r="F174" s="27">
        <f>IF(((('MiT Strom Pipeline'!R41="follow-up")+('MiT Strom Pipeline'!R41="Evaluation")+('MiT Strom Pipeline'!R41="tbd")+('MiT Strom Pipeline'!R41="In evaluation"))*('MiT Strom Pipeline'!B41&lt;&gt;""))&gt;0,IF('MiT Strom Pipeline'!E41="","",'MiT Strom Pipeline'!E41),"")</f>
        <v/>
      </c>
      <c r="G174" s="28">
        <f>IF(((('MiT Strom Pipeline'!R41="follow-up")+('MiT Strom Pipeline'!R41="Evaluation")+('MiT Strom Pipeline'!R41="tbd")+('MiT Strom Pipeline'!R41="In evaluation"))*('MiT Strom Pipeline'!B41&lt;&gt;""))&gt;0,IF(ISNUMBER('MiT Strom Pipeline'!I41),'MiT Strom Pipeline'!I41,0),"")</f>
        <v/>
      </c>
      <c r="H174" s="28">
        <f>IF(((('MiT Strom Pipeline'!R41="follow-up")+('MiT Strom Pipeline'!R41="Evaluation")+('MiT Strom Pipeline'!R41="tbd")+('MiT Strom Pipeline'!R41="In evaluation"))*('MiT Strom Pipeline'!B41&lt;&gt;""))&gt;0,IF(ISNUMBER('MiT Strom Pipeline'!Q41),'MiT Strom Pipeline'!Q41,0),"")</f>
        <v/>
      </c>
      <c r="I174" s="27">
        <f>IF(((('MiT Strom Pipeline'!R41="follow-up")+('MiT Strom Pipeline'!R41="Evaluation")+('MiT Strom Pipeline'!R41="tbd")+('MiT Strom Pipeline'!R41="In evaluation"))*('MiT Strom Pipeline'!B41&lt;&gt;""))&gt;0,'MiT Strom Pipeline'!R41,"")</f>
        <v/>
      </c>
      <c r="J174" s="29">
        <f>IF(((('MiT Strom Pipeline'!R41="follow-up")+('MiT Strom Pipeline'!R41="Evaluation")+('MiT Strom Pipeline'!R41="tbd")+('MiT Strom Pipeline'!R41="In evaluation"))*('MiT Strom Pipeline'!B41&lt;&gt;""))&gt;0,IF(ISNUMBER('MiT Strom Pipeline'!S41),'MiT Strom Pipeline'!S41,""),"")</f>
        <v/>
      </c>
      <c r="K174" s="27">
        <f>IF(((('MiT Strom Pipeline'!R41="follow-up")+('MiT Strom Pipeline'!R41="Evaluation")+('MiT Strom Pipeline'!R41="tbd")+('MiT Strom Pipeline'!R41="In evaluation"))*('MiT Strom Pipeline'!B41&lt;&gt;""))&gt;0,IF(LEN('MiT Strom Pipeline'!V41)&gt;0,LEFT('MiT Strom Pipeline'!V41,55),""),"")</f>
        <v/>
      </c>
      <c r="L174" s="22" t="n"/>
      <c r="M174" s="22" t="n"/>
      <c r="N174" s="22" t="n"/>
      <c r="O174" s="22" t="n"/>
      <c r="P174" s="22" t="n"/>
      <c r="Q174" s="22" t="n"/>
      <c r="R174" s="22" t="n"/>
      <c r="S174" s="22" t="n"/>
    </row>
    <row r="175" ht="15.75" customHeight="1">
      <c r="A175" s="26">
        <f>IF(((('MiT Strom Pipeline'!R42="follow-up")+('MiT Strom Pipeline'!R42="Evaluation")+('MiT Strom Pipeline'!R42="tbd")+('MiT Strom Pipeline'!R42="In evaluation"))*('MiT Strom Pipeline'!B42&lt;&gt;""))&gt;0,IF(ISNUMBER('MiT Strom Pipeline'!A42),'MiT Strom Pipeline'!A42,""),"")</f>
        <v/>
      </c>
      <c r="B175" s="27">
        <f>IF(((('MiT Strom Pipeline'!R42="follow-up")+('MiT Strom Pipeline'!R42="Evaluation")+('MiT Strom Pipeline'!R42="tbd")+('MiT Strom Pipeline'!R42="In evaluation"))*('MiT Strom Pipeline'!B42&lt;&gt;""))&gt;0,IF('MiT Strom Pipeline'!B42="","",'MiT Strom Pipeline'!B42),"")</f>
        <v/>
      </c>
      <c r="C175" s="27">
        <f>IF(((('MiT Strom Pipeline'!R42="follow-up")+('MiT Strom Pipeline'!R42="Evaluation")+('MiT Strom Pipeline'!R42="tbd")+('MiT Strom Pipeline'!R42="In evaluation"))*('MiT Strom Pipeline'!B42&lt;&gt;""))&gt;0,IF('MiT Strom Pipeline'!C42="","",'MiT Strom Pipeline'!C42),"")</f>
        <v/>
      </c>
      <c r="D175" s="27">
        <f>IF(((('MiT Strom Pipeline'!R42="follow-up")+('MiT Strom Pipeline'!R42="Evaluation")+('MiT Strom Pipeline'!R42="tbd")+('MiT Strom Pipeline'!R42="In evaluation"))*('MiT Strom Pipeline'!B42&lt;&gt;""))&gt;0,IF('MiT Strom Pipeline'!D42="","",'MiT Strom Pipeline'!D42),"")</f>
        <v/>
      </c>
      <c r="E175" s="27">
        <f>IF(((('MiT Strom Pipeline'!R42="follow-up")+('MiT Strom Pipeline'!R42="Evaluation")+('MiT Strom Pipeline'!R42="tbd")+('MiT Strom Pipeline'!R42="In evaluation"))*('MiT Strom Pipeline'!B42&lt;&gt;""))&gt;0,IF('MiT Strom Pipeline'!H42="","",'MiT Strom Pipeline'!H42),"")</f>
        <v/>
      </c>
      <c r="F175" s="27">
        <f>IF(((('MiT Strom Pipeline'!R42="follow-up")+('MiT Strom Pipeline'!R42="Evaluation")+('MiT Strom Pipeline'!R42="tbd")+('MiT Strom Pipeline'!R42="In evaluation"))*('MiT Strom Pipeline'!B42&lt;&gt;""))&gt;0,IF('MiT Strom Pipeline'!E42="","",'MiT Strom Pipeline'!E42),"")</f>
        <v/>
      </c>
      <c r="G175" s="28">
        <f>IF(((('MiT Strom Pipeline'!R42="follow-up")+('MiT Strom Pipeline'!R42="Evaluation")+('MiT Strom Pipeline'!R42="tbd")+('MiT Strom Pipeline'!R42="In evaluation"))*('MiT Strom Pipeline'!B42&lt;&gt;""))&gt;0,IF(ISNUMBER('MiT Strom Pipeline'!I42),'MiT Strom Pipeline'!I42,0),"")</f>
        <v/>
      </c>
      <c r="H175" s="28">
        <f>IF(((('MiT Strom Pipeline'!R42="follow-up")+('MiT Strom Pipeline'!R42="Evaluation")+('MiT Strom Pipeline'!R42="tbd")+('MiT Strom Pipeline'!R42="In evaluation"))*('MiT Strom Pipeline'!B42&lt;&gt;""))&gt;0,IF(ISNUMBER('MiT Strom Pipeline'!Q42),'MiT Strom Pipeline'!Q42,0),"")</f>
        <v/>
      </c>
      <c r="I175" s="27">
        <f>IF(((('MiT Strom Pipeline'!R42="follow-up")+('MiT Strom Pipeline'!R42="Evaluation")+('MiT Strom Pipeline'!R42="tbd")+('MiT Strom Pipeline'!R42="In evaluation"))*('MiT Strom Pipeline'!B42&lt;&gt;""))&gt;0,'MiT Strom Pipeline'!R42,"")</f>
        <v/>
      </c>
      <c r="J175" s="29">
        <f>IF(((('MiT Strom Pipeline'!R42="follow-up")+('MiT Strom Pipeline'!R42="Evaluation")+('MiT Strom Pipeline'!R42="tbd")+('MiT Strom Pipeline'!R42="In evaluation"))*('MiT Strom Pipeline'!B42&lt;&gt;""))&gt;0,IF(ISNUMBER('MiT Strom Pipeline'!S42),'MiT Strom Pipeline'!S42,""),"")</f>
        <v/>
      </c>
      <c r="K175" s="27">
        <f>IF(((('MiT Strom Pipeline'!R42="follow-up")+('MiT Strom Pipeline'!R42="Evaluation")+('MiT Strom Pipeline'!R42="tbd")+('MiT Strom Pipeline'!R42="In evaluation"))*('MiT Strom Pipeline'!B42&lt;&gt;""))&gt;0,IF(LEN('MiT Strom Pipeline'!V42)&gt;0,LEFT('MiT Strom Pipeline'!V42,55),""),"")</f>
        <v/>
      </c>
      <c r="L175" s="22" t="n"/>
      <c r="M175" s="22" t="n"/>
      <c r="N175" s="22" t="n"/>
      <c r="O175" s="22" t="n"/>
      <c r="P175" s="22" t="n"/>
      <c r="Q175" s="22" t="n"/>
      <c r="R175" s="22" t="n"/>
      <c r="S175" s="22" t="n"/>
    </row>
    <row r="176" ht="15.75" customHeight="1">
      <c r="A176" s="26">
        <f>IF(((('MiT Strom Pipeline'!R43="follow-up")+('MiT Strom Pipeline'!R43="Evaluation")+('MiT Strom Pipeline'!R43="tbd")+('MiT Strom Pipeline'!R43="In evaluation"))*('MiT Strom Pipeline'!B43&lt;&gt;""))&gt;0,IF(ISNUMBER('MiT Strom Pipeline'!A43),'MiT Strom Pipeline'!A43,""),"")</f>
        <v/>
      </c>
      <c r="B176" s="27">
        <f>IF(((('MiT Strom Pipeline'!R43="follow-up")+('MiT Strom Pipeline'!R43="Evaluation")+('MiT Strom Pipeline'!R43="tbd")+('MiT Strom Pipeline'!R43="In evaluation"))*('MiT Strom Pipeline'!B43&lt;&gt;""))&gt;0,IF('MiT Strom Pipeline'!B43="","",'MiT Strom Pipeline'!B43),"")</f>
        <v/>
      </c>
      <c r="C176" s="27">
        <f>IF(((('MiT Strom Pipeline'!R43="follow-up")+('MiT Strom Pipeline'!R43="Evaluation")+('MiT Strom Pipeline'!R43="tbd")+('MiT Strom Pipeline'!R43="In evaluation"))*('MiT Strom Pipeline'!B43&lt;&gt;""))&gt;0,IF('MiT Strom Pipeline'!C43="","",'MiT Strom Pipeline'!C43),"")</f>
        <v/>
      </c>
      <c r="D176" s="27">
        <f>IF(((('MiT Strom Pipeline'!R43="follow-up")+('MiT Strom Pipeline'!R43="Evaluation")+('MiT Strom Pipeline'!R43="tbd")+('MiT Strom Pipeline'!R43="In evaluation"))*('MiT Strom Pipeline'!B43&lt;&gt;""))&gt;0,IF('MiT Strom Pipeline'!D43="","",'MiT Strom Pipeline'!D43),"")</f>
        <v/>
      </c>
      <c r="E176" s="27">
        <f>IF(((('MiT Strom Pipeline'!R43="follow-up")+('MiT Strom Pipeline'!R43="Evaluation")+('MiT Strom Pipeline'!R43="tbd")+('MiT Strom Pipeline'!R43="In evaluation"))*('MiT Strom Pipeline'!B43&lt;&gt;""))&gt;0,IF('MiT Strom Pipeline'!H43="","",'MiT Strom Pipeline'!H43),"")</f>
        <v/>
      </c>
      <c r="F176" s="27">
        <f>IF(((('MiT Strom Pipeline'!R43="follow-up")+('MiT Strom Pipeline'!R43="Evaluation")+('MiT Strom Pipeline'!R43="tbd")+('MiT Strom Pipeline'!R43="In evaluation"))*('MiT Strom Pipeline'!B43&lt;&gt;""))&gt;0,IF('MiT Strom Pipeline'!E43="","",'MiT Strom Pipeline'!E43),"")</f>
        <v/>
      </c>
      <c r="G176" s="28">
        <f>IF(((('MiT Strom Pipeline'!R43="follow-up")+('MiT Strom Pipeline'!R43="Evaluation")+('MiT Strom Pipeline'!R43="tbd")+('MiT Strom Pipeline'!R43="In evaluation"))*('MiT Strom Pipeline'!B43&lt;&gt;""))&gt;0,IF(ISNUMBER('MiT Strom Pipeline'!I43),'MiT Strom Pipeline'!I43,0),"")</f>
        <v/>
      </c>
      <c r="H176" s="28">
        <f>IF(((('MiT Strom Pipeline'!R43="follow-up")+('MiT Strom Pipeline'!R43="Evaluation")+('MiT Strom Pipeline'!R43="tbd")+('MiT Strom Pipeline'!R43="In evaluation"))*('MiT Strom Pipeline'!B43&lt;&gt;""))&gt;0,IF(ISNUMBER('MiT Strom Pipeline'!Q43),'MiT Strom Pipeline'!Q43,0),"")</f>
        <v/>
      </c>
      <c r="I176" s="27">
        <f>IF(((('MiT Strom Pipeline'!R43="follow-up")+('MiT Strom Pipeline'!R43="Evaluation")+('MiT Strom Pipeline'!R43="tbd")+('MiT Strom Pipeline'!R43="In evaluation"))*('MiT Strom Pipeline'!B43&lt;&gt;""))&gt;0,'MiT Strom Pipeline'!R43,"")</f>
        <v/>
      </c>
      <c r="J176" s="29">
        <f>IF(((('MiT Strom Pipeline'!R43="follow-up")+('MiT Strom Pipeline'!R43="Evaluation")+('MiT Strom Pipeline'!R43="tbd")+('MiT Strom Pipeline'!R43="In evaluation"))*('MiT Strom Pipeline'!B43&lt;&gt;""))&gt;0,IF(ISNUMBER('MiT Strom Pipeline'!S43),'MiT Strom Pipeline'!S43,""),"")</f>
        <v/>
      </c>
      <c r="K176" s="27">
        <f>IF(((('MiT Strom Pipeline'!R43="follow-up")+('MiT Strom Pipeline'!R43="Evaluation")+('MiT Strom Pipeline'!R43="tbd")+('MiT Strom Pipeline'!R43="In evaluation"))*('MiT Strom Pipeline'!B43&lt;&gt;""))&gt;0,IF(LEN('MiT Strom Pipeline'!V43)&gt;0,LEFT('MiT Strom Pipeline'!V43,55),""),"")</f>
        <v/>
      </c>
      <c r="L176" s="22" t="n"/>
      <c r="M176" s="22" t="n"/>
      <c r="N176" s="22" t="n"/>
      <c r="O176" s="22" t="n"/>
      <c r="P176" s="22" t="n"/>
      <c r="Q176" s="22" t="n"/>
      <c r="R176" s="22" t="n"/>
      <c r="S176" s="22" t="n"/>
    </row>
    <row r="177" ht="15.75" customHeight="1">
      <c r="A177" s="26">
        <f>IF(((('MiT Strom Pipeline'!R44="follow-up")+('MiT Strom Pipeline'!R44="Evaluation")+('MiT Strom Pipeline'!R44="tbd")+('MiT Strom Pipeline'!R44="In evaluation"))*('MiT Strom Pipeline'!B44&lt;&gt;""))&gt;0,IF(ISNUMBER('MiT Strom Pipeline'!A44),'MiT Strom Pipeline'!A44,""),"")</f>
        <v>41</v>
      </c>
      <c r="B177" s="27" t="str">
        <f>IF(((('MiT Strom Pipeline'!R44="follow-up")+('MiT Strom Pipeline'!R44="Evaluation")+('MiT Strom Pipeline'!R44="tbd")+('MiT Strom Pipeline'!R44="In evaluation"))*('MiT Strom Pipeline'!B44&lt;&gt;""))&gt;0,IF('MiT Strom Pipeline'!B44="","",'MiT Strom Pipeline'!B44),"")</f>
        <v>Verein Street Parade Zürich</v>
      </c>
      <c r="C177" s="27" t="str">
        <f>IF(((('MiT Strom Pipeline'!R44="follow-up")+('MiT Strom Pipeline'!R44="Evaluation")+('MiT Strom Pipeline'!R44="tbd")+('MiT Strom Pipeline'!R44="In evaluation"))*('MiT Strom Pipeline'!B44&lt;&gt;""))&gt;0,IF('MiT Strom Pipeline'!C44="","",'MiT Strom Pipeline'!C44),"")</f>
        <v>ZH</v>
      </c>
      <c r="D177" s="27" t="str">
        <f>IF(((('MiT Strom Pipeline'!R44="follow-up")+('MiT Strom Pipeline'!R44="Evaluation")+('MiT Strom Pipeline'!R44="tbd")+('MiT Strom Pipeline'!R44="In evaluation"))*('MiT Strom Pipeline'!B44&lt;&gt;""))&gt;0,IF('MiT Strom Pipeline'!D44="","",'MiT Strom Pipeline'!D44),"")</f>
        <v>Event</v>
      </c>
      <c r="E177" s="27" t="str">
        <f>IF(((('MiT Strom Pipeline'!R44="follow-up")+('MiT Strom Pipeline'!R44="Evaluation")+('MiT Strom Pipeline'!R44="tbd")+('MiT Strom Pipeline'!R44="In evaluation"))*('MiT Strom Pipeline'!B44&lt;&gt;""))&gt;0,IF('MiT Strom Pipeline'!H44="","",'MiT Strom Pipeline'!H44),"")</f>
        <v>Aug</v>
      </c>
      <c r="F177" s="27" t="str">
        <f>IF(((('MiT Strom Pipeline'!R44="follow-up")+('MiT Strom Pipeline'!R44="Evaluation")+('MiT Strom Pipeline'!R44="tbd")+('MiT Strom Pipeline'!R44="In evaluation"))*('MiT Strom Pipeline'!B44&lt;&gt;""))&gt;0,IF('MiT Strom Pipeline'!E44="","",'MiT Strom Pipeline'!E44),"")</f>
        <v>100 kVA </v>
      </c>
      <c r="G177" s="28">
        <f>IF(((('MiT Strom Pipeline'!R44="follow-up")+('MiT Strom Pipeline'!R44="Evaluation")+('MiT Strom Pipeline'!R44="tbd")+('MiT Strom Pipeline'!R44="In evaluation"))*('MiT Strom Pipeline'!B44&lt;&gt;""))&gt;0,IF(ISNUMBER('MiT Strom Pipeline'!I44),'MiT Strom Pipeline'!I44,0),"")</f>
        <v>3760.04</v>
      </c>
      <c r="H177" s="28">
        <f>IF(((('MiT Strom Pipeline'!R44="follow-up")+('MiT Strom Pipeline'!R44="Evaluation")+('MiT Strom Pipeline'!R44="tbd")+('MiT Strom Pipeline'!R44="In evaluation"))*('MiT Strom Pipeline'!B44&lt;&gt;""))&gt;0,IF(ISNUMBER('MiT Strom Pipeline'!Q44),'MiT Strom Pipeline'!Q44,0),"")</f>
        <v>1880.02</v>
      </c>
      <c r="I177" s="27" t="str">
        <f>IF(((('MiT Strom Pipeline'!R44="follow-up")+('MiT Strom Pipeline'!R44="Evaluation")+('MiT Strom Pipeline'!R44="tbd")+('MiT Strom Pipeline'!R44="In evaluation"))*('MiT Strom Pipeline'!B44&lt;&gt;""))&gt;0,'MiT Strom Pipeline'!R44,"")</f>
        <v>In evaluation</v>
      </c>
      <c r="J177" s="29">
        <f>IF(((('MiT Strom Pipeline'!R44="follow-up")+('MiT Strom Pipeline'!R44="Evaluation")+('MiT Strom Pipeline'!R44="tbd")+('MiT Strom Pipeline'!R44="In evaluation"))*('MiT Strom Pipeline'!B44&lt;&gt;""))&gt;0,IF(ISNUMBER('MiT Strom Pipeline'!S44),'MiT Strom Pipeline'!S44,""),"")</f>
        <v>0.5</v>
      </c>
      <c r="K177" s="27" t="str">
        <f>IF(((('MiT Strom Pipeline'!R44="follow-up")+('MiT Strom Pipeline'!R44="Evaluation")+('MiT Strom Pipeline'!R44="tbd")+('MiT Strom Pipeline'!R44="In evaluation"))*('MiT Strom Pipeline'!B44&lt;&gt;""))&gt;0,IF(LEN('MiT Strom Pipeline'!V44)&gt;0,LEFT('MiT Strom Pipeline'!V44,55),""),"")</f>
        <v>Kunde angeschrieben, Offerte erstellt, Kunde hat Offert</v>
      </c>
      <c r="L177" s="22" t="n"/>
      <c r="M177" s="22" t="n"/>
      <c r="N177" s="22" t="n"/>
      <c r="O177" s="22" t="n"/>
      <c r="P177" s="22" t="n"/>
      <c r="Q177" s="22" t="n"/>
      <c r="R177" s="22" t="n"/>
      <c r="S177" s="22" t="n"/>
    </row>
    <row r="178" ht="15.75" customHeight="1">
      <c r="A178" s="26">
        <f>IF(((('MiT Strom Pipeline'!R45="follow-up")+('MiT Strom Pipeline'!R45="Evaluation")+('MiT Strom Pipeline'!R45="tbd")+('MiT Strom Pipeline'!R45="In evaluation"))*('MiT Strom Pipeline'!B45&lt;&gt;""))&gt;0,IF(ISNUMBER('MiT Strom Pipeline'!A45),'MiT Strom Pipeline'!A45,""),"")</f>
        <v/>
      </c>
      <c r="B178" s="27">
        <f>IF(((('MiT Strom Pipeline'!R45="follow-up")+('MiT Strom Pipeline'!R45="Evaluation")+('MiT Strom Pipeline'!R45="tbd")+('MiT Strom Pipeline'!R45="In evaluation"))*('MiT Strom Pipeline'!B45&lt;&gt;""))&gt;0,IF('MiT Strom Pipeline'!B45="","",'MiT Strom Pipeline'!B45),"")</f>
        <v/>
      </c>
      <c r="C178" s="27">
        <f>IF(((('MiT Strom Pipeline'!R45="follow-up")+('MiT Strom Pipeline'!R45="Evaluation")+('MiT Strom Pipeline'!R45="tbd")+('MiT Strom Pipeline'!R45="In evaluation"))*('MiT Strom Pipeline'!B45&lt;&gt;""))&gt;0,IF('MiT Strom Pipeline'!C45="","",'MiT Strom Pipeline'!C45),"")</f>
        <v/>
      </c>
      <c r="D178" s="27">
        <f>IF(((('MiT Strom Pipeline'!R45="follow-up")+('MiT Strom Pipeline'!R45="Evaluation")+('MiT Strom Pipeline'!R45="tbd")+('MiT Strom Pipeline'!R45="In evaluation"))*('MiT Strom Pipeline'!B45&lt;&gt;""))&gt;0,IF('MiT Strom Pipeline'!D45="","",'MiT Strom Pipeline'!D45),"")</f>
        <v/>
      </c>
      <c r="E178" s="27">
        <f>IF(((('MiT Strom Pipeline'!R45="follow-up")+('MiT Strom Pipeline'!R45="Evaluation")+('MiT Strom Pipeline'!R45="tbd")+('MiT Strom Pipeline'!R45="In evaluation"))*('MiT Strom Pipeline'!B45&lt;&gt;""))&gt;0,IF('MiT Strom Pipeline'!H45="","",'MiT Strom Pipeline'!H45),"")</f>
        <v/>
      </c>
      <c r="F178" s="27">
        <f>IF(((('MiT Strom Pipeline'!R45="follow-up")+('MiT Strom Pipeline'!R45="Evaluation")+('MiT Strom Pipeline'!R45="tbd")+('MiT Strom Pipeline'!R45="In evaluation"))*('MiT Strom Pipeline'!B45&lt;&gt;""))&gt;0,IF('MiT Strom Pipeline'!E45="","",'MiT Strom Pipeline'!E45),"")</f>
        <v/>
      </c>
      <c r="G178" s="28">
        <f>IF(((('MiT Strom Pipeline'!R45="follow-up")+('MiT Strom Pipeline'!R45="Evaluation")+('MiT Strom Pipeline'!R45="tbd")+('MiT Strom Pipeline'!R45="In evaluation"))*('MiT Strom Pipeline'!B45&lt;&gt;""))&gt;0,IF(ISNUMBER('MiT Strom Pipeline'!I45),'MiT Strom Pipeline'!I45,0),"")</f>
        <v/>
      </c>
      <c r="H178" s="28">
        <f>IF(((('MiT Strom Pipeline'!R45="follow-up")+('MiT Strom Pipeline'!R45="Evaluation")+('MiT Strom Pipeline'!R45="tbd")+('MiT Strom Pipeline'!R45="In evaluation"))*('MiT Strom Pipeline'!B45&lt;&gt;""))&gt;0,IF(ISNUMBER('MiT Strom Pipeline'!Q45),'MiT Strom Pipeline'!Q45,0),"")</f>
        <v/>
      </c>
      <c r="I178" s="27">
        <f>IF(((('MiT Strom Pipeline'!R45="follow-up")+('MiT Strom Pipeline'!R45="Evaluation")+('MiT Strom Pipeline'!R45="tbd")+('MiT Strom Pipeline'!R45="In evaluation"))*('MiT Strom Pipeline'!B45&lt;&gt;""))&gt;0,'MiT Strom Pipeline'!R45,"")</f>
        <v/>
      </c>
      <c r="J178" s="29">
        <f>IF(((('MiT Strom Pipeline'!R45="follow-up")+('MiT Strom Pipeline'!R45="Evaluation")+('MiT Strom Pipeline'!R45="tbd")+('MiT Strom Pipeline'!R45="In evaluation"))*('MiT Strom Pipeline'!B45&lt;&gt;""))&gt;0,IF(ISNUMBER('MiT Strom Pipeline'!S45),'MiT Strom Pipeline'!S45,""),"")</f>
        <v/>
      </c>
      <c r="K178" s="27">
        <f>IF(((('MiT Strom Pipeline'!R45="follow-up")+('MiT Strom Pipeline'!R45="Evaluation")+('MiT Strom Pipeline'!R45="tbd")+('MiT Strom Pipeline'!R45="In evaluation"))*('MiT Strom Pipeline'!B45&lt;&gt;""))&gt;0,IF(LEN('MiT Strom Pipeline'!V45)&gt;0,LEFT('MiT Strom Pipeline'!V45,55),""),"")</f>
        <v/>
      </c>
      <c r="L178" s="22" t="n"/>
      <c r="M178" s="22" t="n"/>
      <c r="N178" s="22" t="n"/>
      <c r="O178" s="22" t="n"/>
      <c r="P178" s="22" t="n"/>
      <c r="Q178" s="22" t="n"/>
      <c r="R178" s="22" t="n"/>
      <c r="S178" s="22" t="n"/>
    </row>
    <row r="179" ht="15.75" customHeight="1">
      <c r="A179" s="26">
        <f>IF(((('MiT Strom Pipeline'!R46="follow-up")+('MiT Strom Pipeline'!R46="Evaluation")+('MiT Strom Pipeline'!R46="tbd")+('MiT Strom Pipeline'!R46="In evaluation"))*('MiT Strom Pipeline'!B46&lt;&gt;""))&gt;0,IF(ISNUMBER('MiT Strom Pipeline'!A46),'MiT Strom Pipeline'!A46,""),"")</f>
        <v>9</v>
      </c>
      <c r="B179" s="27" t="str">
        <f>IF(((('MiT Strom Pipeline'!R46="follow-up")+('MiT Strom Pipeline'!R46="Evaluation")+('MiT Strom Pipeline'!R46="tbd")+('MiT Strom Pipeline'!R46="In evaluation"))*('MiT Strom Pipeline'!B46&lt;&gt;""))&gt;0,IF('MiT Strom Pipeline'!B46="","",'MiT Strom Pipeline'!B46),"")</f>
        <v>Badermetaux Sàrl (Schweiz)</v>
      </c>
      <c r="C179" s="27" t="str">
        <f>IF(((('MiT Strom Pipeline'!R46="follow-up")+('MiT Strom Pipeline'!R46="Evaluation")+('MiT Strom Pipeline'!R46="tbd")+('MiT Strom Pipeline'!R46="In evaluation"))*('MiT Strom Pipeline'!B46&lt;&gt;""))&gt;0,IF('MiT Strom Pipeline'!C46="","",'MiT Strom Pipeline'!C46),"")</f>
        <v>ZH</v>
      </c>
      <c r="D179" s="27" t="str">
        <f>IF(((('MiT Strom Pipeline'!R46="follow-up")+('MiT Strom Pipeline'!R46="Evaluation")+('MiT Strom Pipeline'!R46="tbd")+('MiT Strom Pipeline'!R46="In evaluation"))*('MiT Strom Pipeline'!B46&lt;&gt;""))&gt;0,IF('MiT Strom Pipeline'!D46="","",'MiT Strom Pipeline'!D46),"")</f>
        <v>Industrie / Metall</v>
      </c>
      <c r="E179" s="27" t="str">
        <f>IF(((('MiT Strom Pipeline'!R46="follow-up")+('MiT Strom Pipeline'!R46="Evaluation")+('MiT Strom Pipeline'!R46="tbd")+('MiT Strom Pipeline'!R46="In evaluation"))*('MiT Strom Pipeline'!B46&lt;&gt;""))&gt;0,IF('MiT Strom Pipeline'!H46="","",'MiT Strom Pipeline'!H46),"")</f>
        <v>Mai</v>
      </c>
      <c r="F179" s="27" t="str">
        <f>IF(((('MiT Strom Pipeline'!R46="follow-up")+('MiT Strom Pipeline'!R46="Evaluation")+('MiT Strom Pipeline'!R46="tbd")+('MiT Strom Pipeline'!R46="In evaluation"))*('MiT Strom Pipeline'!B46&lt;&gt;""))&gt;0,IF('MiT Strom Pipeline'!E46="","",'MiT Strom Pipeline'!E46),"")</f>
        <v>600 kVA Langzeitmiete</v>
      </c>
      <c r="G179" s="28">
        <f>IF(((('MiT Strom Pipeline'!R46="follow-up")+('MiT Strom Pipeline'!R46="Evaluation")+('MiT Strom Pipeline'!R46="tbd")+('MiT Strom Pipeline'!R46="In evaluation"))*('MiT Strom Pipeline'!B46&lt;&gt;""))&gt;0,IF(ISNUMBER('MiT Strom Pipeline'!I46),'MiT Strom Pipeline'!I46,0),"")</f>
        <v>500000</v>
      </c>
      <c r="H179" s="28">
        <f>IF(((('MiT Strom Pipeline'!R46="follow-up")+('MiT Strom Pipeline'!R46="Evaluation")+('MiT Strom Pipeline'!R46="tbd")+('MiT Strom Pipeline'!R46="In evaluation"))*('MiT Strom Pipeline'!B46&lt;&gt;""))&gt;0,IF(ISNUMBER('MiT Strom Pipeline'!Q46),'MiT Strom Pipeline'!Q46,0),"")</f>
        <v>50000</v>
      </c>
      <c r="I179" s="27" t="str">
        <f>IF(((('MiT Strom Pipeline'!R46="follow-up")+('MiT Strom Pipeline'!R46="Evaluation")+('MiT Strom Pipeline'!R46="tbd")+('MiT Strom Pipeline'!R46="In evaluation"))*('MiT Strom Pipeline'!B46&lt;&gt;""))&gt;0,'MiT Strom Pipeline'!R46,"")</f>
        <v>follow-up</v>
      </c>
      <c r="J179" s="29">
        <f>IF(((('MiT Strom Pipeline'!R46="follow-up")+('MiT Strom Pipeline'!R46="Evaluation")+('MiT Strom Pipeline'!R46="tbd")+('MiT Strom Pipeline'!R46="In evaluation"))*('MiT Strom Pipeline'!B46&lt;&gt;""))&gt;0,IF(ISNUMBER('MiT Strom Pipeline'!S46),'MiT Strom Pipeline'!S46,""),"")</f>
        <v>0.1</v>
      </c>
      <c r="K179" s="27" t="str">
        <f>IF(((('MiT Strom Pipeline'!R46="follow-up")+('MiT Strom Pipeline'!R46="Evaluation")+('MiT Strom Pipeline'!R46="tbd")+('MiT Strom Pipeline'!R46="In evaluation"))*('MiT Strom Pipeline'!B46&lt;&gt;""))&gt;0,IF(LEN('MiT Strom Pipeline'!V46)&gt;0,LEFT('MiT Strom Pipeline'!V46,55),""),"")</f>
        <v>PQ-Analyse + Langzeitkonzept vorlegen</v>
      </c>
      <c r="L179" s="22" t="n"/>
      <c r="M179" s="22" t="n"/>
      <c r="N179" s="22" t="n"/>
      <c r="O179" s="22" t="n"/>
      <c r="P179" s="22" t="n"/>
      <c r="Q179" s="22" t="n"/>
      <c r="R179" s="22" t="n"/>
      <c r="S179" s="22" t="n"/>
    </row>
    <row r="180" ht="15.75" customHeight="1">
      <c r="A180" s="26">
        <f>IF(((('MiT Strom Pipeline'!R47="follow-up")+('MiT Strom Pipeline'!R47="Evaluation")+('MiT Strom Pipeline'!R47="tbd")+('MiT Strom Pipeline'!R47="In evaluation"))*('MiT Strom Pipeline'!B47&lt;&gt;""))&gt;0,IF(ISNUMBER('MiT Strom Pipeline'!A47),'MiT Strom Pipeline'!A47,""),"")</f>
        <v/>
      </c>
      <c r="B180" s="27">
        <f>IF(((('MiT Strom Pipeline'!R47="follow-up")+('MiT Strom Pipeline'!R47="Evaluation")+('MiT Strom Pipeline'!R47="tbd")+('MiT Strom Pipeline'!R47="In evaluation"))*('MiT Strom Pipeline'!B47&lt;&gt;""))&gt;0,IF('MiT Strom Pipeline'!B47="","",'MiT Strom Pipeline'!B47),"")</f>
        <v/>
      </c>
      <c r="C180" s="27">
        <f>IF(((('MiT Strom Pipeline'!R47="follow-up")+('MiT Strom Pipeline'!R47="Evaluation")+('MiT Strom Pipeline'!R47="tbd")+('MiT Strom Pipeline'!R47="In evaluation"))*('MiT Strom Pipeline'!B47&lt;&gt;""))&gt;0,IF('MiT Strom Pipeline'!C47="","",'MiT Strom Pipeline'!C47),"")</f>
        <v/>
      </c>
      <c r="D180" s="27">
        <f>IF(((('MiT Strom Pipeline'!R47="follow-up")+('MiT Strom Pipeline'!R47="Evaluation")+('MiT Strom Pipeline'!R47="tbd")+('MiT Strom Pipeline'!R47="In evaluation"))*('MiT Strom Pipeline'!B47&lt;&gt;""))&gt;0,IF('MiT Strom Pipeline'!D47="","",'MiT Strom Pipeline'!D47),"")</f>
        <v/>
      </c>
      <c r="E180" s="27">
        <f>IF(((('MiT Strom Pipeline'!R47="follow-up")+('MiT Strom Pipeline'!R47="Evaluation")+('MiT Strom Pipeline'!R47="tbd")+('MiT Strom Pipeline'!R47="In evaluation"))*('MiT Strom Pipeline'!B47&lt;&gt;""))&gt;0,IF('MiT Strom Pipeline'!H47="","",'MiT Strom Pipeline'!H47),"")</f>
        <v/>
      </c>
      <c r="F180" s="27">
        <f>IF(((('MiT Strom Pipeline'!R47="follow-up")+('MiT Strom Pipeline'!R47="Evaluation")+('MiT Strom Pipeline'!R47="tbd")+('MiT Strom Pipeline'!R47="In evaluation"))*('MiT Strom Pipeline'!B47&lt;&gt;""))&gt;0,IF('MiT Strom Pipeline'!E47="","",'MiT Strom Pipeline'!E47),"")</f>
        <v/>
      </c>
      <c r="G180" s="28">
        <f>IF(((('MiT Strom Pipeline'!R47="follow-up")+('MiT Strom Pipeline'!R47="Evaluation")+('MiT Strom Pipeline'!R47="tbd")+('MiT Strom Pipeline'!R47="In evaluation"))*('MiT Strom Pipeline'!B47&lt;&gt;""))&gt;0,IF(ISNUMBER('MiT Strom Pipeline'!I47),'MiT Strom Pipeline'!I47,0),"")</f>
        <v/>
      </c>
      <c r="H180" s="28">
        <f>IF(((('MiT Strom Pipeline'!R47="follow-up")+('MiT Strom Pipeline'!R47="Evaluation")+('MiT Strom Pipeline'!R47="tbd")+('MiT Strom Pipeline'!R47="In evaluation"))*('MiT Strom Pipeline'!B47&lt;&gt;""))&gt;0,IF(ISNUMBER('MiT Strom Pipeline'!Q47),'MiT Strom Pipeline'!Q47,0),"")</f>
        <v/>
      </c>
      <c r="I180" s="27">
        <f>IF(((('MiT Strom Pipeline'!R47="follow-up")+('MiT Strom Pipeline'!R47="Evaluation")+('MiT Strom Pipeline'!R47="tbd")+('MiT Strom Pipeline'!R47="In evaluation"))*('MiT Strom Pipeline'!B47&lt;&gt;""))&gt;0,'MiT Strom Pipeline'!R47,"")</f>
        <v/>
      </c>
      <c r="J180" s="29">
        <f>IF(((('MiT Strom Pipeline'!R47="follow-up")+('MiT Strom Pipeline'!R47="Evaluation")+('MiT Strom Pipeline'!R47="tbd")+('MiT Strom Pipeline'!R47="In evaluation"))*('MiT Strom Pipeline'!B47&lt;&gt;""))&gt;0,IF(ISNUMBER('MiT Strom Pipeline'!S47),'MiT Strom Pipeline'!S47,""),"")</f>
        <v/>
      </c>
      <c r="K180" s="27">
        <f>IF(((('MiT Strom Pipeline'!R47="follow-up")+('MiT Strom Pipeline'!R47="Evaluation")+('MiT Strom Pipeline'!R47="tbd")+('MiT Strom Pipeline'!R47="In evaluation"))*('MiT Strom Pipeline'!B47&lt;&gt;""))&gt;0,IF(LEN('MiT Strom Pipeline'!V47)&gt;0,LEFT('MiT Strom Pipeline'!V47,55),""),"")</f>
        <v/>
      </c>
      <c r="L180" s="22" t="n"/>
      <c r="M180" s="22" t="n"/>
      <c r="N180" s="22" t="n"/>
      <c r="O180" s="22" t="n"/>
      <c r="P180" s="22" t="n"/>
      <c r="Q180" s="22" t="n"/>
      <c r="R180" s="22" t="n"/>
      <c r="S180" s="22" t="n"/>
    </row>
    <row r="181" ht="15.75" customHeight="1">
      <c r="A181" s="26">
        <f>IF(((('MiT Strom Pipeline'!R48="follow-up")+('MiT Strom Pipeline'!R48="Evaluation")+('MiT Strom Pipeline'!R48="tbd")+('MiT Strom Pipeline'!R48="In evaluation"))*('MiT Strom Pipeline'!B48&lt;&gt;""))&gt;0,IF(ISNUMBER('MiT Strom Pipeline'!A48),'MiT Strom Pipeline'!A48,""),"")</f>
        <v/>
      </c>
      <c r="B181" s="27">
        <f>IF(((('MiT Strom Pipeline'!R48="follow-up")+('MiT Strom Pipeline'!R48="Evaluation")+('MiT Strom Pipeline'!R48="tbd")+('MiT Strom Pipeline'!R48="In evaluation"))*('MiT Strom Pipeline'!B48&lt;&gt;""))&gt;0,IF('MiT Strom Pipeline'!B48="","",'MiT Strom Pipeline'!B48),"")</f>
        <v/>
      </c>
      <c r="C181" s="27">
        <f>IF(((('MiT Strom Pipeline'!R48="follow-up")+('MiT Strom Pipeline'!R48="Evaluation")+('MiT Strom Pipeline'!R48="tbd")+('MiT Strom Pipeline'!R48="In evaluation"))*('MiT Strom Pipeline'!B48&lt;&gt;""))&gt;0,IF('MiT Strom Pipeline'!C48="","",'MiT Strom Pipeline'!C48),"")</f>
        <v/>
      </c>
      <c r="D181" s="27">
        <f>IF(((('MiT Strom Pipeline'!R48="follow-up")+('MiT Strom Pipeline'!R48="Evaluation")+('MiT Strom Pipeline'!R48="tbd")+('MiT Strom Pipeline'!R48="In evaluation"))*('MiT Strom Pipeline'!B48&lt;&gt;""))&gt;0,IF('MiT Strom Pipeline'!D48="","",'MiT Strom Pipeline'!D48),"")</f>
        <v/>
      </c>
      <c r="E181" s="191">
        <f>IF(((('MiT Strom Pipeline'!R48="follow-up")+('MiT Strom Pipeline'!R48="Evaluation")+('MiT Strom Pipeline'!R48="tbd")+('MiT Strom Pipeline'!R48="In evaluation"))*('MiT Strom Pipeline'!B48&lt;&gt;""))&gt;0,IF('MiT Strom Pipeline'!H48="","",'MiT Strom Pipeline'!H48),"")</f>
        <v/>
      </c>
      <c r="F181" s="27">
        <f>IF(((('MiT Strom Pipeline'!R48="follow-up")+('MiT Strom Pipeline'!R48="Evaluation")+('MiT Strom Pipeline'!R48="tbd")+('MiT Strom Pipeline'!R48="In evaluation"))*('MiT Strom Pipeline'!B48&lt;&gt;""))&gt;0,IF('MiT Strom Pipeline'!E48="","",'MiT Strom Pipeline'!E48),"")</f>
        <v/>
      </c>
      <c r="G181" s="28">
        <f>IF(((('MiT Strom Pipeline'!R48="follow-up")+('MiT Strom Pipeline'!R48="Evaluation")+('MiT Strom Pipeline'!R48="tbd")+('MiT Strom Pipeline'!R48="In evaluation"))*('MiT Strom Pipeline'!B48&lt;&gt;""))&gt;0,IF(ISNUMBER('MiT Strom Pipeline'!I48),'MiT Strom Pipeline'!I48,0),"")</f>
        <v/>
      </c>
      <c r="H181" s="28">
        <f>IF(((('MiT Strom Pipeline'!R48="follow-up")+('MiT Strom Pipeline'!R48="Evaluation")+('MiT Strom Pipeline'!R48="tbd")+('MiT Strom Pipeline'!R48="In evaluation"))*('MiT Strom Pipeline'!B48&lt;&gt;""))&gt;0,IF(ISNUMBER('MiT Strom Pipeline'!Q48),'MiT Strom Pipeline'!Q48,0),"")</f>
        <v/>
      </c>
      <c r="I181" s="27">
        <f>IF(((('MiT Strom Pipeline'!R48="follow-up")+('MiT Strom Pipeline'!R48="Evaluation")+('MiT Strom Pipeline'!R48="tbd")+('MiT Strom Pipeline'!R48="In evaluation"))*('MiT Strom Pipeline'!B48&lt;&gt;""))&gt;0,'MiT Strom Pipeline'!R48,"")</f>
        <v/>
      </c>
      <c r="J181" s="29">
        <f>IF(((('MiT Strom Pipeline'!R48="follow-up")+('MiT Strom Pipeline'!R48="Evaluation")+('MiT Strom Pipeline'!R48="tbd")+('MiT Strom Pipeline'!R48="In evaluation"))*('MiT Strom Pipeline'!B48&lt;&gt;""))&gt;0,IF(ISNUMBER('MiT Strom Pipeline'!S48),'MiT Strom Pipeline'!S48,""),"")</f>
        <v/>
      </c>
      <c r="K181" s="27">
        <f>IF(((('MiT Strom Pipeline'!R48="follow-up")+('MiT Strom Pipeline'!R48="Evaluation")+('MiT Strom Pipeline'!R48="tbd")+('MiT Strom Pipeline'!R48="In evaluation"))*('MiT Strom Pipeline'!B48&lt;&gt;""))&gt;0,IF(LEN('MiT Strom Pipeline'!V48)&gt;0,LEFT('MiT Strom Pipeline'!V48,55),""),"")</f>
        <v/>
      </c>
      <c r="L181" s="22" t="n"/>
      <c r="M181" s="22" t="n"/>
      <c r="N181" s="22" t="n"/>
      <c r="O181" s="22" t="n"/>
      <c r="P181" s="22" t="n"/>
      <c r="Q181" s="22" t="n"/>
      <c r="R181" s="22" t="n"/>
      <c r="S181" s="22" t="n"/>
    </row>
    <row r="182" ht="15.75" customHeight="1">
      <c r="A182" s="26">
        <f>IF(((('MiT Strom Pipeline'!R49="follow-up")+('MiT Strom Pipeline'!R49="Evaluation")+('MiT Strom Pipeline'!R49="tbd")+('MiT Strom Pipeline'!R49="In evaluation"))*('MiT Strom Pipeline'!B49&lt;&gt;""))&gt;0,IF(ISNUMBER('MiT Strom Pipeline'!A49),'MiT Strom Pipeline'!A49,""),"")</f>
        <v/>
      </c>
      <c r="B182" s="27">
        <f>IF(((('MiT Strom Pipeline'!R49="follow-up")+('MiT Strom Pipeline'!R49="Evaluation")+('MiT Strom Pipeline'!R49="tbd")+('MiT Strom Pipeline'!R49="In evaluation"))*('MiT Strom Pipeline'!B49&lt;&gt;""))&gt;0,IF('MiT Strom Pipeline'!B49="","",'MiT Strom Pipeline'!B49),"")</f>
        <v/>
      </c>
      <c r="C182" s="27">
        <f>IF(((('MiT Strom Pipeline'!R49="follow-up")+('MiT Strom Pipeline'!R49="Evaluation")+('MiT Strom Pipeline'!R49="tbd")+('MiT Strom Pipeline'!R49="In evaluation"))*('MiT Strom Pipeline'!B49&lt;&gt;""))&gt;0,IF('MiT Strom Pipeline'!C49="","",'MiT Strom Pipeline'!C49),"")</f>
        <v/>
      </c>
      <c r="D182" s="27">
        <f>IF(((('MiT Strom Pipeline'!R49="follow-up")+('MiT Strom Pipeline'!R49="Evaluation")+('MiT Strom Pipeline'!R49="tbd")+('MiT Strom Pipeline'!R49="In evaluation"))*('MiT Strom Pipeline'!B49&lt;&gt;""))&gt;0,IF('MiT Strom Pipeline'!D49="","",'MiT Strom Pipeline'!D49),"")</f>
        <v/>
      </c>
      <c r="E182" s="191">
        <f>IF(((('MiT Strom Pipeline'!R49="follow-up")+('MiT Strom Pipeline'!R49="Evaluation")+('MiT Strom Pipeline'!R49="tbd")+('MiT Strom Pipeline'!R49="In evaluation"))*('MiT Strom Pipeline'!B49&lt;&gt;""))&gt;0,IF('MiT Strom Pipeline'!H49="","",'MiT Strom Pipeline'!H49),"")</f>
        <v/>
      </c>
      <c r="F182" s="27">
        <f>IF(((('MiT Strom Pipeline'!R49="follow-up")+('MiT Strom Pipeline'!R49="Evaluation")+('MiT Strom Pipeline'!R49="tbd")+('MiT Strom Pipeline'!R49="In evaluation"))*('MiT Strom Pipeline'!B49&lt;&gt;""))&gt;0,IF('MiT Strom Pipeline'!E49="","",'MiT Strom Pipeline'!E49),"")</f>
        <v/>
      </c>
      <c r="G182" s="28">
        <f>IF(((('MiT Strom Pipeline'!R49="follow-up")+('MiT Strom Pipeline'!R49="Evaluation")+('MiT Strom Pipeline'!R49="tbd")+('MiT Strom Pipeline'!R49="In evaluation"))*('MiT Strom Pipeline'!B49&lt;&gt;""))&gt;0,IF(ISNUMBER('MiT Strom Pipeline'!I49),'MiT Strom Pipeline'!I49,0),"")</f>
        <v/>
      </c>
      <c r="H182" s="28">
        <f>IF(((('MiT Strom Pipeline'!R49="follow-up")+('MiT Strom Pipeline'!R49="Evaluation")+('MiT Strom Pipeline'!R49="tbd")+('MiT Strom Pipeline'!R49="In evaluation"))*('MiT Strom Pipeline'!B49&lt;&gt;""))&gt;0,IF(ISNUMBER('MiT Strom Pipeline'!Q49),'MiT Strom Pipeline'!Q49,0),"")</f>
        <v/>
      </c>
      <c r="I182" s="27">
        <f>IF(((('MiT Strom Pipeline'!R49="follow-up")+('MiT Strom Pipeline'!R49="Evaluation")+('MiT Strom Pipeline'!R49="tbd")+('MiT Strom Pipeline'!R49="In evaluation"))*('MiT Strom Pipeline'!B49&lt;&gt;""))&gt;0,'MiT Strom Pipeline'!R49,"")</f>
        <v/>
      </c>
      <c r="J182" s="29">
        <f>IF(((('MiT Strom Pipeline'!R49="follow-up")+('MiT Strom Pipeline'!R49="Evaluation")+('MiT Strom Pipeline'!R49="tbd")+('MiT Strom Pipeline'!R49="In evaluation"))*('MiT Strom Pipeline'!B49&lt;&gt;""))&gt;0,IF(ISNUMBER('MiT Strom Pipeline'!S49),'MiT Strom Pipeline'!S49,""),"")</f>
        <v/>
      </c>
      <c r="K182" s="27">
        <f>IF(((('MiT Strom Pipeline'!R49="follow-up")+('MiT Strom Pipeline'!R49="Evaluation")+('MiT Strom Pipeline'!R49="tbd")+('MiT Strom Pipeline'!R49="In evaluation"))*('MiT Strom Pipeline'!B49&lt;&gt;""))&gt;0,IF(LEN('MiT Strom Pipeline'!V49)&gt;0,LEFT('MiT Strom Pipeline'!V49,55),""),"")</f>
        <v/>
      </c>
      <c r="L182" s="22" t="n"/>
      <c r="M182" s="22" t="n"/>
      <c r="N182" s="22" t="n"/>
      <c r="O182" s="22" t="n"/>
      <c r="P182" s="22" t="n"/>
      <c r="Q182" s="22" t="n"/>
      <c r="R182" s="22" t="n"/>
      <c r="S182" s="22" t="n"/>
    </row>
    <row r="183" ht="15.75" customHeight="1">
      <c r="A183" s="26">
        <f>IF(((('MiT Strom Pipeline'!R50="follow-up")+('MiT Strom Pipeline'!R50="Evaluation")+('MiT Strom Pipeline'!R50="tbd")+('MiT Strom Pipeline'!R50="In evaluation"))*('MiT Strom Pipeline'!B50&lt;&gt;""))&gt;0,IF(ISNUMBER('MiT Strom Pipeline'!A50),'MiT Strom Pipeline'!A50,""),"")</f>
        <v/>
      </c>
      <c r="B183" s="27">
        <f>IF(((('MiT Strom Pipeline'!R50="follow-up")+('MiT Strom Pipeline'!R50="Evaluation")+('MiT Strom Pipeline'!R50="tbd")+('MiT Strom Pipeline'!R50="In evaluation"))*('MiT Strom Pipeline'!B50&lt;&gt;""))&gt;0,IF('MiT Strom Pipeline'!B50="","",'MiT Strom Pipeline'!B50),"")</f>
        <v/>
      </c>
      <c r="C183" s="27">
        <f>IF(((('MiT Strom Pipeline'!R50="follow-up")+('MiT Strom Pipeline'!R50="Evaluation")+('MiT Strom Pipeline'!R50="tbd")+('MiT Strom Pipeline'!R50="In evaluation"))*('MiT Strom Pipeline'!B50&lt;&gt;""))&gt;0,IF('MiT Strom Pipeline'!C50="","",'MiT Strom Pipeline'!C50),"")</f>
        <v/>
      </c>
      <c r="D183" s="27">
        <f>IF(((('MiT Strom Pipeline'!R50="follow-up")+('MiT Strom Pipeline'!R50="Evaluation")+('MiT Strom Pipeline'!R50="tbd")+('MiT Strom Pipeline'!R50="In evaluation"))*('MiT Strom Pipeline'!B50&lt;&gt;""))&gt;0,IF('MiT Strom Pipeline'!D50="","",'MiT Strom Pipeline'!D50),"")</f>
        <v/>
      </c>
      <c r="E183" s="191">
        <f>IF(((('MiT Strom Pipeline'!R50="follow-up")+('MiT Strom Pipeline'!R50="Evaluation")+('MiT Strom Pipeline'!R50="tbd")+('MiT Strom Pipeline'!R50="In evaluation"))*('MiT Strom Pipeline'!B50&lt;&gt;""))&gt;0,IF('MiT Strom Pipeline'!H50="","",'MiT Strom Pipeline'!H50),"")</f>
        <v/>
      </c>
      <c r="F183" s="27">
        <f>IF(((('MiT Strom Pipeline'!R50="follow-up")+('MiT Strom Pipeline'!R50="Evaluation")+('MiT Strom Pipeline'!R50="tbd")+('MiT Strom Pipeline'!R50="In evaluation"))*('MiT Strom Pipeline'!B50&lt;&gt;""))&gt;0,IF('MiT Strom Pipeline'!E50="","",'MiT Strom Pipeline'!E50),"")</f>
        <v/>
      </c>
      <c r="G183" s="28">
        <f>IF(((('MiT Strom Pipeline'!R50="follow-up")+('MiT Strom Pipeline'!R50="Evaluation")+('MiT Strom Pipeline'!R50="tbd")+('MiT Strom Pipeline'!R50="In evaluation"))*('MiT Strom Pipeline'!B50&lt;&gt;""))&gt;0,IF(ISNUMBER('MiT Strom Pipeline'!I50),'MiT Strom Pipeline'!I50,0),"")</f>
        <v/>
      </c>
      <c r="H183" s="28">
        <f>IF(((('MiT Strom Pipeline'!R50="follow-up")+('MiT Strom Pipeline'!R50="Evaluation")+('MiT Strom Pipeline'!R50="tbd")+('MiT Strom Pipeline'!R50="In evaluation"))*('MiT Strom Pipeline'!B50&lt;&gt;""))&gt;0,IF(ISNUMBER('MiT Strom Pipeline'!Q50),'MiT Strom Pipeline'!Q50,0),"")</f>
        <v/>
      </c>
      <c r="I183" s="27">
        <f>IF(((('MiT Strom Pipeline'!R50="follow-up")+('MiT Strom Pipeline'!R50="Evaluation")+('MiT Strom Pipeline'!R50="tbd")+('MiT Strom Pipeline'!R50="In evaluation"))*('MiT Strom Pipeline'!B50&lt;&gt;""))&gt;0,'MiT Strom Pipeline'!R50,"")</f>
        <v/>
      </c>
      <c r="J183" s="29">
        <f>IF(((('MiT Strom Pipeline'!R50="follow-up")+('MiT Strom Pipeline'!R50="Evaluation")+('MiT Strom Pipeline'!R50="tbd")+('MiT Strom Pipeline'!R50="In evaluation"))*('MiT Strom Pipeline'!B50&lt;&gt;""))&gt;0,IF(ISNUMBER('MiT Strom Pipeline'!S50),'MiT Strom Pipeline'!S50,""),"")</f>
        <v/>
      </c>
      <c r="K183" s="27">
        <f>IF(((('MiT Strom Pipeline'!R50="follow-up")+('MiT Strom Pipeline'!R50="Evaluation")+('MiT Strom Pipeline'!R50="tbd")+('MiT Strom Pipeline'!R50="In evaluation"))*('MiT Strom Pipeline'!B50&lt;&gt;""))&gt;0,IF(LEN('MiT Strom Pipeline'!V50)&gt;0,LEFT('MiT Strom Pipeline'!V50,55),""),"")</f>
        <v/>
      </c>
      <c r="L183" s="22" t="n"/>
      <c r="M183" s="22" t="n"/>
      <c r="N183" s="22" t="n"/>
      <c r="O183" s="22" t="n"/>
      <c r="P183" s="22" t="n"/>
      <c r="Q183" s="22" t="n"/>
      <c r="R183" s="22" t="n"/>
      <c r="S183" s="22" t="n"/>
    </row>
    <row r="184" ht="15.75" customHeight="1">
      <c r="A184" s="26">
        <f>IF(((('MiT Strom Pipeline'!R51="follow-up")+('MiT Strom Pipeline'!R51="Evaluation")+('MiT Strom Pipeline'!R51="tbd")+('MiT Strom Pipeline'!R51="In evaluation"))*('MiT Strom Pipeline'!B51&lt;&gt;""))&gt;0,IF(ISNUMBER('MiT Strom Pipeline'!A51),'MiT Strom Pipeline'!A51,""),"")</f>
        <v>32</v>
      </c>
      <c r="B184" s="27" t="str">
        <f>IF(((('MiT Strom Pipeline'!R51="follow-up")+('MiT Strom Pipeline'!R51="Evaluation")+('MiT Strom Pipeline'!R51="tbd")+('MiT Strom Pipeline'!R51="In evaluation"))*('MiT Strom Pipeline'!B51&lt;&gt;""))&gt;0,IF('MiT Strom Pipeline'!B51="","",'MiT Strom Pipeline'!B51),"")</f>
        <v>WSP</v>
      </c>
      <c r="C184" s="27" t="str">
        <f>IF(((('MiT Strom Pipeline'!R51="follow-up")+('MiT Strom Pipeline'!R51="Evaluation")+('MiT Strom Pipeline'!R51="tbd")+('MiT Strom Pipeline'!R51="In evaluation"))*('MiT Strom Pipeline'!B51&lt;&gt;""))&gt;0,IF('MiT Strom Pipeline'!C51="","",'MiT Strom Pipeline'!C51),"")</f>
        <v>VD</v>
      </c>
      <c r="D184" s="27" t="str">
        <f>IF(((('MiT Strom Pipeline'!R51="follow-up")+('MiT Strom Pipeline'!R51="Evaluation")+('MiT Strom Pipeline'!R51="tbd")+('MiT Strom Pipeline'!R51="In evaluation"))*('MiT Strom Pipeline'!B51&lt;&gt;""))&gt;0,IF('MiT Strom Pipeline'!D51="","",'MiT Strom Pipeline'!D51),"")</f>
        <v>Industrie</v>
      </c>
      <c r="E184" s="191" t="str">
        <f>IF(((('MiT Strom Pipeline'!R51="follow-up")+('MiT Strom Pipeline'!R51="Evaluation")+('MiT Strom Pipeline'!R51="tbd")+('MiT Strom Pipeline'!R51="In evaluation"))*('MiT Strom Pipeline'!B51&lt;&gt;""))&gt;0,IF('MiT Strom Pipeline'!H51="","",'MiT Strom Pipeline'!H51),"")</f>
        <v>tbd</v>
      </c>
      <c r="F184" s="27" t="str">
        <f>IF(((('MiT Strom Pipeline'!R51="follow-up")+('MiT Strom Pipeline'!R51="Evaluation")+('MiT Strom Pipeline'!R51="tbd")+('MiT Strom Pipeline'!R51="In evaluation"))*('MiT Strom Pipeline'!B51&lt;&gt;""))&gt;0,IF('MiT Strom Pipeline'!E51="","",'MiT Strom Pipeline'!E51),"")</f>
        <v>tbd</v>
      </c>
      <c r="G184" s="28">
        <f>IF(((('MiT Strom Pipeline'!R51="follow-up")+('MiT Strom Pipeline'!R51="Evaluation")+('MiT Strom Pipeline'!R51="tbd")+('MiT Strom Pipeline'!R51="In evaluation"))*('MiT Strom Pipeline'!B51&lt;&gt;""))&gt;0,IF(ISNUMBER('MiT Strom Pipeline'!I51),'MiT Strom Pipeline'!I51,0),"")</f>
        <v>0</v>
      </c>
      <c r="H184" s="28">
        <f>IF(((('MiT Strom Pipeline'!R51="follow-up")+('MiT Strom Pipeline'!R51="Evaluation")+('MiT Strom Pipeline'!R51="tbd")+('MiT Strom Pipeline'!R51="In evaluation"))*('MiT Strom Pipeline'!B51&lt;&gt;""))&gt;0,IF(ISNUMBER('MiT Strom Pipeline'!Q51),'MiT Strom Pipeline'!Q51,0),"")</f>
        <v>0</v>
      </c>
      <c r="I184" s="27" t="str">
        <f>IF(((('MiT Strom Pipeline'!R51="follow-up")+('MiT Strom Pipeline'!R51="Evaluation")+('MiT Strom Pipeline'!R51="tbd")+('MiT Strom Pipeline'!R51="In evaluation"))*('MiT Strom Pipeline'!B51&lt;&gt;""))&gt;0,'MiT Strom Pipeline'!R51,"")</f>
        <v>tbd</v>
      </c>
      <c r="J184" s="29">
        <f>IF(((('MiT Strom Pipeline'!R51="follow-up")+('MiT Strom Pipeline'!R51="Evaluation")+('MiT Strom Pipeline'!R51="tbd")+('MiT Strom Pipeline'!R51="In evaluation"))*('MiT Strom Pipeline'!B51&lt;&gt;""))&gt;0,IF(ISNUMBER('MiT Strom Pipeline'!S51),'MiT Strom Pipeline'!S51,""),"")</f>
        <v>0</v>
      </c>
      <c r="K184" s="27" t="str">
        <f>IF(((('MiT Strom Pipeline'!R51="follow-up")+('MiT Strom Pipeline'!R51="Evaluation")+('MiT Strom Pipeline'!R51="tbd")+('MiT Strom Pipeline'!R51="In evaluation"))*('MiT Strom Pipeline'!B51&lt;&gt;""))&gt;0,IF(LEN('MiT Strom Pipeline'!V51)&gt;0,LEFT('MiT Strom Pipeline'!V51,55),""),"")</f>
        <v>Kunde angeschrieben, Telefoniert noch kein bedarf</v>
      </c>
      <c r="L184" s="22" t="n"/>
      <c r="M184" s="22" t="n"/>
      <c r="N184" s="22" t="n"/>
      <c r="O184" s="22" t="n"/>
      <c r="P184" s="22" t="n"/>
      <c r="Q184" s="22" t="n"/>
      <c r="R184" s="22" t="n"/>
      <c r="S184" s="22" t="n"/>
    </row>
    <row r="185" ht="15.75" customHeight="1">
      <c r="A185" s="26">
        <f>IF(((('MiT Strom Pipeline'!R52="follow-up")+('MiT Strom Pipeline'!R52="Evaluation")+('MiT Strom Pipeline'!R52="tbd")+('MiT Strom Pipeline'!R52="In evaluation"))*('MiT Strom Pipeline'!B52&lt;&gt;""))&gt;0,IF(ISNUMBER('MiT Strom Pipeline'!A52),'MiT Strom Pipeline'!A52,""),"")</f>
        <v>42</v>
      </c>
      <c r="B185" s="27" t="str">
        <f>IF(((('MiT Strom Pipeline'!R52="follow-up")+('MiT Strom Pipeline'!R52="Evaluation")+('MiT Strom Pipeline'!R52="tbd")+('MiT Strom Pipeline'!R52="In evaluation"))*('MiT Strom Pipeline'!B52&lt;&gt;""))&gt;0,IF('MiT Strom Pipeline'!B52="","",'MiT Strom Pipeline'!B52),"")</f>
        <v>SMT</v>
      </c>
      <c r="C185" s="27" t="str">
        <f>IF(((('MiT Strom Pipeline'!R52="follow-up")+('MiT Strom Pipeline'!R52="Evaluation")+('MiT Strom Pipeline'!R52="tbd")+('MiT Strom Pipeline'!R52="In evaluation"))*('MiT Strom Pipeline'!B52&lt;&gt;""))&gt;0,IF('MiT Strom Pipeline'!C52="","",'MiT Strom Pipeline'!C52),"")</f>
        <v>ZH</v>
      </c>
      <c r="D185" s="27" t="str">
        <f>IF(((('MiT Strom Pipeline'!R52="follow-up")+('MiT Strom Pipeline'!R52="Evaluation")+('MiT Strom Pipeline'!R52="tbd")+('MiT Strom Pipeline'!R52="In evaluation"))*('MiT Strom Pipeline'!B52&lt;&gt;""))&gt;0,IF('MiT Strom Pipeline'!D52="","",'MiT Strom Pipeline'!D52),"")</f>
        <v>Industrie</v>
      </c>
      <c r="E185" s="191" t="str">
        <f>IF(((('MiT Strom Pipeline'!R52="follow-up")+('MiT Strom Pipeline'!R52="Evaluation")+('MiT Strom Pipeline'!R52="tbd")+('MiT Strom Pipeline'!R52="In evaluation"))*('MiT Strom Pipeline'!B52&lt;&gt;""))&gt;0,IF('MiT Strom Pipeline'!H52="","",'MiT Strom Pipeline'!H52),"")</f>
        <v>Aug</v>
      </c>
      <c r="F185" s="27" t="str">
        <f>IF(((('MiT Strom Pipeline'!R52="follow-up")+('MiT Strom Pipeline'!R52="Evaluation")+('MiT Strom Pipeline'!R52="tbd")+('MiT Strom Pipeline'!R52="In evaluation"))*('MiT Strom Pipeline'!B52&lt;&gt;""))&gt;0,IF('MiT Strom Pipeline'!E52="","",'MiT Strom Pipeline'!E52),"")</f>
        <v>1000 kVA</v>
      </c>
      <c r="G185" s="28">
        <f>IF(((('MiT Strom Pipeline'!R52="follow-up")+('MiT Strom Pipeline'!R52="Evaluation")+('MiT Strom Pipeline'!R52="tbd")+('MiT Strom Pipeline'!R52="In evaluation"))*('MiT Strom Pipeline'!B52&lt;&gt;""))&gt;0,IF(ISNUMBER('MiT Strom Pipeline'!I52),'MiT Strom Pipeline'!I52,0),"")</f>
        <v>6772.8</v>
      </c>
      <c r="H185" s="28">
        <f>IF(((('MiT Strom Pipeline'!R52="follow-up")+('MiT Strom Pipeline'!R52="Evaluation")+('MiT Strom Pipeline'!R52="tbd")+('MiT Strom Pipeline'!R52="In evaluation"))*('MiT Strom Pipeline'!B52&lt;&gt;""))&gt;0,IF(ISNUMBER('MiT Strom Pipeline'!Q52),'MiT Strom Pipeline'!Q52,0),"")</f>
        <v>4740.96</v>
      </c>
      <c r="I185" s="27" t="str">
        <f>IF(((('MiT Strom Pipeline'!R52="follow-up")+('MiT Strom Pipeline'!R52="Evaluation")+('MiT Strom Pipeline'!R52="tbd")+('MiT Strom Pipeline'!R52="In evaluation"))*('MiT Strom Pipeline'!B52&lt;&gt;""))&gt;0,'MiT Strom Pipeline'!R52,"")</f>
        <v>Evaluation</v>
      </c>
      <c r="J185" s="29">
        <f>IF(((('MiT Strom Pipeline'!R52="follow-up")+('MiT Strom Pipeline'!R52="Evaluation")+('MiT Strom Pipeline'!R52="tbd")+('MiT Strom Pipeline'!R52="In evaluation"))*('MiT Strom Pipeline'!B52&lt;&gt;""))&gt;0,IF(ISNUMBER('MiT Strom Pipeline'!S52),'MiT Strom Pipeline'!S52,""),"")</f>
        <v>0.7</v>
      </c>
      <c r="K185" s="27" t="str">
        <f>IF(((('MiT Strom Pipeline'!R52="follow-up")+('MiT Strom Pipeline'!R52="Evaluation")+('MiT Strom Pipeline'!R52="tbd")+('MiT Strom Pipeline'!R52="In evaluation"))*('MiT Strom Pipeline'!B52&lt;&gt;""))&gt;0,IF(LEN('MiT Strom Pipeline'!V52)&gt;0,LEFT('MiT Strom Pipeline'!V52,55),""),"")</f>
        <v>Kunde angeschrieben, Offerte erstellt, Kunde hat Offert</v>
      </c>
      <c r="L185" s="22" t="n"/>
      <c r="M185" s="22" t="n"/>
      <c r="N185" s="22" t="n"/>
      <c r="O185" s="22" t="n"/>
      <c r="P185" s="22" t="n"/>
      <c r="Q185" s="22" t="n"/>
      <c r="R185" s="22" t="n"/>
      <c r="S185" s="22" t="n"/>
    </row>
    <row r="186" ht="15.75" customHeight="1">
      <c r="A186" s="26">
        <f>IF(((('MiT Strom Pipeline'!R53="follow-up")+('MiT Strom Pipeline'!R53="Evaluation")+('MiT Strom Pipeline'!R53="tbd")+('MiT Strom Pipeline'!R53="In evaluation"))*('MiT Strom Pipeline'!B53&lt;&gt;""))&gt;0,IF(ISNUMBER('MiT Strom Pipeline'!A53),'MiT Strom Pipeline'!A53,""),"")</f>
        <v/>
      </c>
      <c r="B186" s="27">
        <f>IF(((('MiT Strom Pipeline'!R53="follow-up")+('MiT Strom Pipeline'!R53="Evaluation")+('MiT Strom Pipeline'!R53="tbd")+('MiT Strom Pipeline'!R53="In evaluation"))*('MiT Strom Pipeline'!B53&lt;&gt;""))&gt;0,IF('MiT Strom Pipeline'!B53="","",'MiT Strom Pipeline'!B53),"")</f>
        <v/>
      </c>
      <c r="C186" s="27">
        <f>IF(((('MiT Strom Pipeline'!R53="follow-up")+('MiT Strom Pipeline'!R53="Evaluation")+('MiT Strom Pipeline'!R53="tbd")+('MiT Strom Pipeline'!R53="In evaluation"))*('MiT Strom Pipeline'!B53&lt;&gt;""))&gt;0,IF('MiT Strom Pipeline'!C53="","",'MiT Strom Pipeline'!C53),"")</f>
        <v/>
      </c>
      <c r="D186" s="27">
        <f>IF(((('MiT Strom Pipeline'!R53="follow-up")+('MiT Strom Pipeline'!R53="Evaluation")+('MiT Strom Pipeline'!R53="tbd")+('MiT Strom Pipeline'!R53="In evaluation"))*('MiT Strom Pipeline'!B53&lt;&gt;""))&gt;0,IF('MiT Strom Pipeline'!D53="","",'MiT Strom Pipeline'!D53),"")</f>
        <v/>
      </c>
      <c r="E186" s="191">
        <f>IF(((('MiT Strom Pipeline'!R53="follow-up")+('MiT Strom Pipeline'!R53="Evaluation")+('MiT Strom Pipeline'!R53="tbd")+('MiT Strom Pipeline'!R53="In evaluation"))*('MiT Strom Pipeline'!B53&lt;&gt;""))&gt;0,IF('MiT Strom Pipeline'!H53="","",'MiT Strom Pipeline'!H53),"")</f>
        <v/>
      </c>
      <c r="F186" s="27">
        <f>IF(((('MiT Strom Pipeline'!R53="follow-up")+('MiT Strom Pipeline'!R53="Evaluation")+('MiT Strom Pipeline'!R53="tbd")+('MiT Strom Pipeline'!R53="In evaluation"))*('MiT Strom Pipeline'!B53&lt;&gt;""))&gt;0,IF('MiT Strom Pipeline'!E53="","",'MiT Strom Pipeline'!E53),"")</f>
        <v/>
      </c>
      <c r="G186" s="28">
        <f>IF(((('MiT Strom Pipeline'!R53="follow-up")+('MiT Strom Pipeline'!R53="Evaluation")+('MiT Strom Pipeline'!R53="tbd")+('MiT Strom Pipeline'!R53="In evaluation"))*('MiT Strom Pipeline'!B53&lt;&gt;""))&gt;0,IF(ISNUMBER('MiT Strom Pipeline'!I53),'MiT Strom Pipeline'!I53,0),"")</f>
        <v/>
      </c>
      <c r="H186" s="28">
        <f>IF(((('MiT Strom Pipeline'!R53="follow-up")+('MiT Strom Pipeline'!R53="Evaluation")+('MiT Strom Pipeline'!R53="tbd")+('MiT Strom Pipeline'!R53="In evaluation"))*('MiT Strom Pipeline'!B53&lt;&gt;""))&gt;0,IF(ISNUMBER('MiT Strom Pipeline'!Q53),'MiT Strom Pipeline'!Q53,0),"")</f>
        <v/>
      </c>
      <c r="I186" s="27">
        <f>IF(((('MiT Strom Pipeline'!R53="follow-up")+('MiT Strom Pipeline'!R53="Evaluation")+('MiT Strom Pipeline'!R53="tbd")+('MiT Strom Pipeline'!R53="In evaluation"))*('MiT Strom Pipeline'!B53&lt;&gt;""))&gt;0,'MiT Strom Pipeline'!R53,"")</f>
        <v/>
      </c>
      <c r="J186" s="29">
        <f>IF(((('MiT Strom Pipeline'!R53="follow-up")+('MiT Strom Pipeline'!R53="Evaluation")+('MiT Strom Pipeline'!R53="tbd")+('MiT Strom Pipeline'!R53="In evaluation"))*('MiT Strom Pipeline'!B53&lt;&gt;""))&gt;0,IF(ISNUMBER('MiT Strom Pipeline'!S53),'MiT Strom Pipeline'!S53,""),"")</f>
        <v/>
      </c>
      <c r="K186" s="27">
        <f>IF(((('MiT Strom Pipeline'!R53="follow-up")+('MiT Strom Pipeline'!R53="Evaluation")+('MiT Strom Pipeline'!R53="tbd")+('MiT Strom Pipeline'!R53="In evaluation"))*('MiT Strom Pipeline'!B53&lt;&gt;""))&gt;0,IF(LEN('MiT Strom Pipeline'!V53)&gt;0,LEFT('MiT Strom Pipeline'!V53,55),""),"")</f>
        <v/>
      </c>
      <c r="L186" s="22" t="n"/>
      <c r="M186" s="22" t="n"/>
      <c r="N186" s="22" t="n"/>
      <c r="O186" s="22" t="n"/>
      <c r="P186" s="22" t="n"/>
      <c r="Q186" s="22" t="n"/>
      <c r="R186" s="22" t="n"/>
      <c r="S186" s="22" t="n"/>
    </row>
    <row r="187" ht="15.75" customHeight="1">
      <c r="A187" s="26">
        <f>IF(((('MiT Strom Pipeline'!R54="follow-up")+('MiT Strom Pipeline'!R54="Evaluation")+('MiT Strom Pipeline'!R54="tbd")+('MiT Strom Pipeline'!R54="In evaluation"))*('MiT Strom Pipeline'!B54&lt;&gt;""))&gt;0,IF(ISNUMBER('MiT Strom Pipeline'!A54),'MiT Strom Pipeline'!A54,""),"")</f>
        <v/>
      </c>
      <c r="B187" s="27">
        <f>IF(((('MiT Strom Pipeline'!R54="follow-up")+('MiT Strom Pipeline'!R54="Evaluation")+('MiT Strom Pipeline'!R54="tbd")+('MiT Strom Pipeline'!R54="In evaluation"))*('MiT Strom Pipeline'!B54&lt;&gt;""))&gt;0,IF('MiT Strom Pipeline'!B54="","",'MiT Strom Pipeline'!B54),"")</f>
        <v/>
      </c>
      <c r="C187" s="27">
        <f>IF(((('MiT Strom Pipeline'!R54="follow-up")+('MiT Strom Pipeline'!R54="Evaluation")+('MiT Strom Pipeline'!R54="tbd")+('MiT Strom Pipeline'!R54="In evaluation"))*('MiT Strom Pipeline'!B54&lt;&gt;""))&gt;0,IF('MiT Strom Pipeline'!C54="","",'MiT Strom Pipeline'!C54),"")</f>
        <v/>
      </c>
      <c r="D187" s="27">
        <f>IF(((('MiT Strom Pipeline'!R54="follow-up")+('MiT Strom Pipeline'!R54="Evaluation")+('MiT Strom Pipeline'!R54="tbd")+('MiT Strom Pipeline'!R54="In evaluation"))*('MiT Strom Pipeline'!B54&lt;&gt;""))&gt;0,IF('MiT Strom Pipeline'!D54="","",'MiT Strom Pipeline'!D54),"")</f>
        <v/>
      </c>
      <c r="E187" s="191">
        <f>IF(((('MiT Strom Pipeline'!R54="follow-up")+('MiT Strom Pipeline'!R54="Evaluation")+('MiT Strom Pipeline'!R54="tbd")+('MiT Strom Pipeline'!R54="In evaluation"))*('MiT Strom Pipeline'!B54&lt;&gt;""))&gt;0,IF('MiT Strom Pipeline'!H54="","",'MiT Strom Pipeline'!H54),"")</f>
        <v/>
      </c>
      <c r="F187" s="27">
        <f>IF(((('MiT Strom Pipeline'!R54="follow-up")+('MiT Strom Pipeline'!R54="Evaluation")+('MiT Strom Pipeline'!R54="tbd")+('MiT Strom Pipeline'!R54="In evaluation"))*('MiT Strom Pipeline'!B54&lt;&gt;""))&gt;0,IF('MiT Strom Pipeline'!E54="","",'MiT Strom Pipeline'!E54),"")</f>
        <v/>
      </c>
      <c r="G187" s="28">
        <f>IF(((('MiT Strom Pipeline'!R54="follow-up")+('MiT Strom Pipeline'!R54="Evaluation")+('MiT Strom Pipeline'!R54="tbd")+('MiT Strom Pipeline'!R54="In evaluation"))*('MiT Strom Pipeline'!B54&lt;&gt;""))&gt;0,IF(ISNUMBER('MiT Strom Pipeline'!I54),'MiT Strom Pipeline'!I54,0),"")</f>
        <v/>
      </c>
      <c r="H187" s="28">
        <f>IF(((('MiT Strom Pipeline'!R54="follow-up")+('MiT Strom Pipeline'!R54="Evaluation")+('MiT Strom Pipeline'!R54="tbd")+('MiT Strom Pipeline'!R54="In evaluation"))*('MiT Strom Pipeline'!B54&lt;&gt;""))&gt;0,IF(ISNUMBER('MiT Strom Pipeline'!Q54),'MiT Strom Pipeline'!Q54,0),"")</f>
        <v/>
      </c>
      <c r="I187" s="27">
        <f>IF(((('MiT Strom Pipeline'!R54="follow-up")+('MiT Strom Pipeline'!R54="Evaluation")+('MiT Strom Pipeline'!R54="tbd")+('MiT Strom Pipeline'!R54="In evaluation"))*('MiT Strom Pipeline'!B54&lt;&gt;""))&gt;0,'MiT Strom Pipeline'!R54,"")</f>
        <v/>
      </c>
      <c r="J187" s="29">
        <f>IF(((('MiT Strom Pipeline'!R54="follow-up")+('MiT Strom Pipeline'!R54="Evaluation")+('MiT Strom Pipeline'!R54="tbd")+('MiT Strom Pipeline'!R54="In evaluation"))*('MiT Strom Pipeline'!B54&lt;&gt;""))&gt;0,IF(ISNUMBER('MiT Strom Pipeline'!S54),'MiT Strom Pipeline'!S54,""),"")</f>
        <v/>
      </c>
      <c r="K187" s="27">
        <f>IF(((('MiT Strom Pipeline'!R54="follow-up")+('MiT Strom Pipeline'!R54="Evaluation")+('MiT Strom Pipeline'!R54="tbd")+('MiT Strom Pipeline'!R54="In evaluation"))*('MiT Strom Pipeline'!B54&lt;&gt;""))&gt;0,IF(LEN('MiT Strom Pipeline'!V54)&gt;0,LEFT('MiT Strom Pipeline'!V54,55),""),"")</f>
        <v/>
      </c>
      <c r="L187" s="22" t="n"/>
      <c r="M187" s="22" t="n"/>
      <c r="N187" s="22" t="n"/>
      <c r="O187" s="22" t="n"/>
      <c r="P187" s="22" t="n"/>
      <c r="Q187" s="22" t="n"/>
      <c r="R187" s="22" t="n"/>
      <c r="S187" s="22" t="n"/>
    </row>
    <row r="188" ht="15.75" customHeight="1">
      <c r="A188" s="26">
        <f>IF(((('MiT Strom Pipeline'!R55="follow-up")+('MiT Strom Pipeline'!R55="Evaluation")+('MiT Strom Pipeline'!R55="tbd")+('MiT Strom Pipeline'!R55="In evaluation"))*('MiT Strom Pipeline'!B55&lt;&gt;""))&gt;0,IF(ISNUMBER('MiT Strom Pipeline'!A55),'MiT Strom Pipeline'!A55,""),"")</f>
        <v/>
      </c>
      <c r="B188" s="27">
        <f>IF(((('MiT Strom Pipeline'!R55="follow-up")+('MiT Strom Pipeline'!R55="Evaluation")+('MiT Strom Pipeline'!R55="tbd")+('MiT Strom Pipeline'!R55="In evaluation"))*('MiT Strom Pipeline'!B55&lt;&gt;""))&gt;0,IF('MiT Strom Pipeline'!B55="","",'MiT Strom Pipeline'!B55),"")</f>
        <v/>
      </c>
      <c r="C188" s="27">
        <f>IF(((('MiT Strom Pipeline'!R55="follow-up")+('MiT Strom Pipeline'!R55="Evaluation")+('MiT Strom Pipeline'!R55="tbd")+('MiT Strom Pipeline'!R55="In evaluation"))*('MiT Strom Pipeline'!B55&lt;&gt;""))&gt;0,IF('MiT Strom Pipeline'!C55="","",'MiT Strom Pipeline'!C55),"")</f>
        <v/>
      </c>
      <c r="D188" s="27">
        <f>IF(((('MiT Strom Pipeline'!R55="follow-up")+('MiT Strom Pipeline'!R55="Evaluation")+('MiT Strom Pipeline'!R55="tbd")+('MiT Strom Pipeline'!R55="In evaluation"))*('MiT Strom Pipeline'!B55&lt;&gt;""))&gt;0,IF('MiT Strom Pipeline'!D55="","",'MiT Strom Pipeline'!D55),"")</f>
        <v/>
      </c>
      <c r="E188" s="191">
        <f>IF(((('MiT Strom Pipeline'!R55="follow-up")+('MiT Strom Pipeline'!R55="Evaluation")+('MiT Strom Pipeline'!R55="tbd")+('MiT Strom Pipeline'!R55="In evaluation"))*('MiT Strom Pipeline'!B55&lt;&gt;""))&gt;0,IF('MiT Strom Pipeline'!H55="","",'MiT Strom Pipeline'!H55),"")</f>
        <v/>
      </c>
      <c r="F188" s="27">
        <f>IF(((('MiT Strom Pipeline'!R55="follow-up")+('MiT Strom Pipeline'!R55="Evaluation")+('MiT Strom Pipeline'!R55="tbd")+('MiT Strom Pipeline'!R55="In evaluation"))*('MiT Strom Pipeline'!B55&lt;&gt;""))&gt;0,IF('MiT Strom Pipeline'!E55="","",'MiT Strom Pipeline'!E55),"")</f>
        <v/>
      </c>
      <c r="G188" s="28">
        <f>IF(((('MiT Strom Pipeline'!R55="follow-up")+('MiT Strom Pipeline'!R55="Evaluation")+('MiT Strom Pipeline'!R55="tbd")+('MiT Strom Pipeline'!R55="In evaluation"))*('MiT Strom Pipeline'!B55&lt;&gt;""))&gt;0,IF(ISNUMBER('MiT Strom Pipeline'!I55),'MiT Strom Pipeline'!I55,0),"")</f>
        <v/>
      </c>
      <c r="H188" s="28">
        <f>IF(((('MiT Strom Pipeline'!R55="follow-up")+('MiT Strom Pipeline'!R55="Evaluation")+('MiT Strom Pipeline'!R55="tbd")+('MiT Strom Pipeline'!R55="In evaluation"))*('MiT Strom Pipeline'!B55&lt;&gt;""))&gt;0,IF(ISNUMBER('MiT Strom Pipeline'!Q55),'MiT Strom Pipeline'!Q55,0),"")</f>
        <v/>
      </c>
      <c r="I188" s="27">
        <f>IF(((('MiT Strom Pipeline'!R55="follow-up")+('MiT Strom Pipeline'!R55="Evaluation")+('MiT Strom Pipeline'!R55="tbd")+('MiT Strom Pipeline'!R55="In evaluation"))*('MiT Strom Pipeline'!B55&lt;&gt;""))&gt;0,'MiT Strom Pipeline'!R55,"")</f>
        <v/>
      </c>
      <c r="J188" s="29">
        <f>IF(((('MiT Strom Pipeline'!R55="follow-up")+('MiT Strom Pipeline'!R55="Evaluation")+('MiT Strom Pipeline'!R55="tbd")+('MiT Strom Pipeline'!R55="In evaluation"))*('MiT Strom Pipeline'!B55&lt;&gt;""))&gt;0,IF(ISNUMBER('MiT Strom Pipeline'!S55),'MiT Strom Pipeline'!S55,""),"")</f>
        <v/>
      </c>
      <c r="K188" s="27">
        <f>IF(((('MiT Strom Pipeline'!R55="follow-up")+('MiT Strom Pipeline'!R55="Evaluation")+('MiT Strom Pipeline'!R55="tbd")+('MiT Strom Pipeline'!R55="In evaluation"))*('MiT Strom Pipeline'!B55&lt;&gt;""))&gt;0,IF(LEN('MiT Strom Pipeline'!V55)&gt;0,LEFT('MiT Strom Pipeline'!V55,55),""),"")</f>
        <v/>
      </c>
      <c r="L188" s="22" t="n"/>
      <c r="M188" s="22" t="n"/>
      <c r="N188" s="22" t="n"/>
      <c r="O188" s="22" t="n"/>
      <c r="P188" s="22" t="n"/>
      <c r="Q188" s="22" t="n"/>
      <c r="R188" s="22" t="n"/>
      <c r="S188" s="22" t="n"/>
    </row>
    <row r="189" ht="15.75" customHeight="1">
      <c r="A189" s="26">
        <f>IF(((('MiT Strom Pipeline'!R56="follow-up")+('MiT Strom Pipeline'!R56="Evaluation")+('MiT Strom Pipeline'!R56="tbd")+('MiT Strom Pipeline'!R56="In evaluation"))*('MiT Strom Pipeline'!B56&lt;&gt;""))&gt;0,IF(ISNUMBER('MiT Strom Pipeline'!A56),'MiT Strom Pipeline'!A56,""),"")</f>
        <v/>
      </c>
      <c r="B189" s="27">
        <f>IF(((('MiT Strom Pipeline'!R56="follow-up")+('MiT Strom Pipeline'!R56="Evaluation")+('MiT Strom Pipeline'!R56="tbd")+('MiT Strom Pipeline'!R56="In evaluation"))*('MiT Strom Pipeline'!B56&lt;&gt;""))&gt;0,IF('MiT Strom Pipeline'!B56="","",'MiT Strom Pipeline'!B56),"")</f>
        <v/>
      </c>
      <c r="C189" s="27">
        <f>IF(((('MiT Strom Pipeline'!R56="follow-up")+('MiT Strom Pipeline'!R56="Evaluation")+('MiT Strom Pipeline'!R56="tbd")+('MiT Strom Pipeline'!R56="In evaluation"))*('MiT Strom Pipeline'!B56&lt;&gt;""))&gt;0,IF('MiT Strom Pipeline'!C56="","",'MiT Strom Pipeline'!C56),"")</f>
        <v/>
      </c>
      <c r="D189" s="27">
        <f>IF(((('MiT Strom Pipeline'!R56="follow-up")+('MiT Strom Pipeline'!R56="Evaluation")+('MiT Strom Pipeline'!R56="tbd")+('MiT Strom Pipeline'!R56="In evaluation"))*('MiT Strom Pipeline'!B56&lt;&gt;""))&gt;0,IF('MiT Strom Pipeline'!D56="","",'MiT Strom Pipeline'!D56),"")</f>
        <v/>
      </c>
      <c r="E189" s="191">
        <f>IF(((('MiT Strom Pipeline'!R56="follow-up")+('MiT Strom Pipeline'!R56="Evaluation")+('MiT Strom Pipeline'!R56="tbd")+('MiT Strom Pipeline'!R56="In evaluation"))*('MiT Strom Pipeline'!B56&lt;&gt;""))&gt;0,IF('MiT Strom Pipeline'!H56="","",'MiT Strom Pipeline'!H56),"")</f>
        <v/>
      </c>
      <c r="F189" s="27">
        <f>IF(((('MiT Strom Pipeline'!R56="follow-up")+('MiT Strom Pipeline'!R56="Evaluation")+('MiT Strom Pipeline'!R56="tbd")+('MiT Strom Pipeline'!R56="In evaluation"))*('MiT Strom Pipeline'!B56&lt;&gt;""))&gt;0,IF('MiT Strom Pipeline'!E56="","",'MiT Strom Pipeline'!E56),"")</f>
        <v/>
      </c>
      <c r="G189" s="28">
        <f>IF(((('MiT Strom Pipeline'!R56="follow-up")+('MiT Strom Pipeline'!R56="Evaluation")+('MiT Strom Pipeline'!R56="tbd")+('MiT Strom Pipeline'!R56="In evaluation"))*('MiT Strom Pipeline'!B56&lt;&gt;""))&gt;0,IF(ISNUMBER('MiT Strom Pipeline'!I56),'MiT Strom Pipeline'!I56,0),"")</f>
        <v/>
      </c>
      <c r="H189" s="28">
        <f>IF(((('MiT Strom Pipeline'!R56="follow-up")+('MiT Strom Pipeline'!R56="Evaluation")+('MiT Strom Pipeline'!R56="tbd")+('MiT Strom Pipeline'!R56="In evaluation"))*('MiT Strom Pipeline'!B56&lt;&gt;""))&gt;0,IF(ISNUMBER('MiT Strom Pipeline'!Q56),'MiT Strom Pipeline'!Q56,0),"")</f>
        <v/>
      </c>
      <c r="I189" s="27">
        <f>IF(((('MiT Strom Pipeline'!R56="follow-up")+('MiT Strom Pipeline'!R56="Evaluation")+('MiT Strom Pipeline'!R56="tbd")+('MiT Strom Pipeline'!R56="In evaluation"))*('MiT Strom Pipeline'!B56&lt;&gt;""))&gt;0,'MiT Strom Pipeline'!R56,"")</f>
        <v/>
      </c>
      <c r="J189" s="29">
        <f>IF(((('MiT Strom Pipeline'!R56="follow-up")+('MiT Strom Pipeline'!R56="Evaluation")+('MiT Strom Pipeline'!R56="tbd")+('MiT Strom Pipeline'!R56="In evaluation"))*('MiT Strom Pipeline'!B56&lt;&gt;""))&gt;0,IF(ISNUMBER('MiT Strom Pipeline'!S56),'MiT Strom Pipeline'!S56,""),"")</f>
        <v/>
      </c>
      <c r="K189" s="27">
        <f>IF(((('MiT Strom Pipeline'!R56="follow-up")+('MiT Strom Pipeline'!R56="Evaluation")+('MiT Strom Pipeline'!R56="tbd")+('MiT Strom Pipeline'!R56="In evaluation"))*('MiT Strom Pipeline'!B56&lt;&gt;""))&gt;0,IF(LEN('MiT Strom Pipeline'!V56)&gt;0,LEFT('MiT Strom Pipeline'!V56,55),""),"")</f>
        <v/>
      </c>
      <c r="L189" s="22" t="n"/>
      <c r="M189" s="22" t="n"/>
      <c r="N189" s="22" t="n"/>
      <c r="O189" s="22" t="n"/>
      <c r="P189" s="22" t="n"/>
      <c r="Q189" s="22" t="n"/>
      <c r="R189" s="22" t="n"/>
      <c r="S189" s="22" t="n"/>
    </row>
    <row r="190" ht="15.75" customHeight="1">
      <c r="A190" s="26">
        <f>IF(((('MiT Strom Pipeline'!R57="follow-up")+('MiT Strom Pipeline'!R57="Evaluation")+('MiT Strom Pipeline'!R57="tbd")+('MiT Strom Pipeline'!R57="In evaluation"))*('MiT Strom Pipeline'!B57&lt;&gt;""))&gt;0,IF(ISNUMBER('MiT Strom Pipeline'!A57),'MiT Strom Pipeline'!A57,""),"")</f>
        <v/>
      </c>
      <c r="B190" s="27">
        <f>IF(((('MiT Strom Pipeline'!R57="follow-up")+('MiT Strom Pipeline'!R57="Evaluation")+('MiT Strom Pipeline'!R57="tbd")+('MiT Strom Pipeline'!R57="In evaluation"))*('MiT Strom Pipeline'!B57&lt;&gt;""))&gt;0,IF('MiT Strom Pipeline'!B57="","",'MiT Strom Pipeline'!B57),"")</f>
        <v/>
      </c>
      <c r="C190" s="27">
        <f>IF(((('MiT Strom Pipeline'!R57="follow-up")+('MiT Strom Pipeline'!R57="Evaluation")+('MiT Strom Pipeline'!R57="tbd")+('MiT Strom Pipeline'!R57="In evaluation"))*('MiT Strom Pipeline'!B57&lt;&gt;""))&gt;0,IF('MiT Strom Pipeline'!C57="","",'MiT Strom Pipeline'!C57),"")</f>
        <v/>
      </c>
      <c r="D190" s="27">
        <f>IF(((('MiT Strom Pipeline'!R57="follow-up")+('MiT Strom Pipeline'!R57="Evaluation")+('MiT Strom Pipeline'!R57="tbd")+('MiT Strom Pipeline'!R57="In evaluation"))*('MiT Strom Pipeline'!B57&lt;&gt;""))&gt;0,IF('MiT Strom Pipeline'!D57="","",'MiT Strom Pipeline'!D57),"")</f>
        <v/>
      </c>
      <c r="E190" s="191">
        <f>IF(((('MiT Strom Pipeline'!R57="follow-up")+('MiT Strom Pipeline'!R57="Evaluation")+('MiT Strom Pipeline'!R57="tbd")+('MiT Strom Pipeline'!R57="In evaluation"))*('MiT Strom Pipeline'!B57&lt;&gt;""))&gt;0,IF('MiT Strom Pipeline'!H57="","",'MiT Strom Pipeline'!H57),"")</f>
        <v/>
      </c>
      <c r="F190" s="27">
        <f>IF(((('MiT Strom Pipeline'!R57="follow-up")+('MiT Strom Pipeline'!R57="Evaluation")+('MiT Strom Pipeline'!R57="tbd")+('MiT Strom Pipeline'!R57="In evaluation"))*('MiT Strom Pipeline'!B57&lt;&gt;""))&gt;0,IF('MiT Strom Pipeline'!E57="","",'MiT Strom Pipeline'!E57),"")</f>
        <v/>
      </c>
      <c r="G190" s="28">
        <f>IF(((('MiT Strom Pipeline'!R57="follow-up")+('MiT Strom Pipeline'!R57="Evaluation")+('MiT Strom Pipeline'!R57="tbd")+('MiT Strom Pipeline'!R57="In evaluation"))*('MiT Strom Pipeline'!B57&lt;&gt;""))&gt;0,IF(ISNUMBER('MiT Strom Pipeline'!I57),'MiT Strom Pipeline'!I57,0),"")</f>
        <v/>
      </c>
      <c r="H190" s="28">
        <f>IF(((('MiT Strom Pipeline'!R57="follow-up")+('MiT Strom Pipeline'!R57="Evaluation")+('MiT Strom Pipeline'!R57="tbd")+('MiT Strom Pipeline'!R57="In evaluation"))*('MiT Strom Pipeline'!B57&lt;&gt;""))&gt;0,IF(ISNUMBER('MiT Strom Pipeline'!Q57),'MiT Strom Pipeline'!Q57,0),"")</f>
        <v/>
      </c>
      <c r="I190" s="27">
        <f>IF(((('MiT Strom Pipeline'!R57="follow-up")+('MiT Strom Pipeline'!R57="Evaluation")+('MiT Strom Pipeline'!R57="tbd")+('MiT Strom Pipeline'!R57="In evaluation"))*('MiT Strom Pipeline'!B57&lt;&gt;""))&gt;0,'MiT Strom Pipeline'!R57,"")</f>
        <v/>
      </c>
      <c r="J190" s="29">
        <f>IF(((('MiT Strom Pipeline'!R57="follow-up")+('MiT Strom Pipeline'!R57="Evaluation")+('MiT Strom Pipeline'!R57="tbd")+('MiT Strom Pipeline'!R57="In evaluation"))*('MiT Strom Pipeline'!B57&lt;&gt;""))&gt;0,IF(ISNUMBER('MiT Strom Pipeline'!S57),'MiT Strom Pipeline'!S57,""),"")</f>
        <v/>
      </c>
      <c r="K190" s="27">
        <f>IF(((('MiT Strom Pipeline'!R57="follow-up")+('MiT Strom Pipeline'!R57="Evaluation")+('MiT Strom Pipeline'!R57="tbd")+('MiT Strom Pipeline'!R57="In evaluation"))*('MiT Strom Pipeline'!B57&lt;&gt;""))&gt;0,IF(LEN('MiT Strom Pipeline'!V57)&gt;0,LEFT('MiT Strom Pipeline'!V57,55),""),"")</f>
        <v/>
      </c>
      <c r="L190" s="22" t="n"/>
      <c r="M190" s="22" t="n"/>
      <c r="N190" s="22" t="n"/>
      <c r="O190" s="22" t="n"/>
      <c r="P190" s="22" t="n"/>
      <c r="Q190" s="22" t="n"/>
      <c r="R190" s="22" t="n"/>
      <c r="S190" s="22" t="n"/>
    </row>
    <row r="191" ht="15.75" customHeight="1">
      <c r="A191" s="26">
        <f>IF(((('MiT Strom Pipeline'!R58="follow-up")+('MiT Strom Pipeline'!R58="Evaluation")+('MiT Strom Pipeline'!R58="tbd")+('MiT Strom Pipeline'!R58="In evaluation"))*('MiT Strom Pipeline'!B58&lt;&gt;""))&gt;0,IF(ISNUMBER('MiT Strom Pipeline'!A58),'MiT Strom Pipeline'!A58,""),"")</f>
        <v/>
      </c>
      <c r="B191" s="27">
        <f>IF(((('MiT Strom Pipeline'!R58="follow-up")+('MiT Strom Pipeline'!R58="Evaluation")+('MiT Strom Pipeline'!R58="tbd")+('MiT Strom Pipeline'!R58="In evaluation"))*('MiT Strom Pipeline'!B58&lt;&gt;""))&gt;0,IF('MiT Strom Pipeline'!B58="","",'MiT Strom Pipeline'!B58),"")</f>
        <v/>
      </c>
      <c r="C191" s="27">
        <f>IF(((('MiT Strom Pipeline'!R58="follow-up")+('MiT Strom Pipeline'!R58="Evaluation")+('MiT Strom Pipeline'!R58="tbd")+('MiT Strom Pipeline'!R58="In evaluation"))*('MiT Strom Pipeline'!B58&lt;&gt;""))&gt;0,IF('MiT Strom Pipeline'!C58="","",'MiT Strom Pipeline'!C58),"")</f>
        <v/>
      </c>
      <c r="D191" s="27">
        <f>IF(((('MiT Strom Pipeline'!R58="follow-up")+('MiT Strom Pipeline'!R58="Evaluation")+('MiT Strom Pipeline'!R58="tbd")+('MiT Strom Pipeline'!R58="In evaluation"))*('MiT Strom Pipeline'!B58&lt;&gt;""))&gt;0,IF('MiT Strom Pipeline'!D58="","",'MiT Strom Pipeline'!D58),"")</f>
        <v/>
      </c>
      <c r="E191" s="191">
        <f>IF(((('MiT Strom Pipeline'!R58="follow-up")+('MiT Strom Pipeline'!R58="Evaluation")+('MiT Strom Pipeline'!R58="tbd")+('MiT Strom Pipeline'!R58="In evaluation"))*('MiT Strom Pipeline'!B58&lt;&gt;""))&gt;0,IF('MiT Strom Pipeline'!H58="","",'MiT Strom Pipeline'!H58),"")</f>
        <v/>
      </c>
      <c r="F191" s="27">
        <f>IF(((('MiT Strom Pipeline'!R58="follow-up")+('MiT Strom Pipeline'!R58="Evaluation")+('MiT Strom Pipeline'!R58="tbd")+('MiT Strom Pipeline'!R58="In evaluation"))*('MiT Strom Pipeline'!B58&lt;&gt;""))&gt;0,IF('MiT Strom Pipeline'!E58="","",'MiT Strom Pipeline'!E58),"")</f>
        <v/>
      </c>
      <c r="G191" s="28">
        <f>IF(((('MiT Strom Pipeline'!R58="follow-up")+('MiT Strom Pipeline'!R58="Evaluation")+('MiT Strom Pipeline'!R58="tbd")+('MiT Strom Pipeline'!R58="In evaluation"))*('MiT Strom Pipeline'!B58&lt;&gt;""))&gt;0,IF(ISNUMBER('MiT Strom Pipeline'!I58),'MiT Strom Pipeline'!I58,0),"")</f>
        <v/>
      </c>
      <c r="H191" s="28">
        <f>IF(((('MiT Strom Pipeline'!R58="follow-up")+('MiT Strom Pipeline'!R58="Evaluation")+('MiT Strom Pipeline'!R58="tbd")+('MiT Strom Pipeline'!R58="In evaluation"))*('MiT Strom Pipeline'!B58&lt;&gt;""))&gt;0,IF(ISNUMBER('MiT Strom Pipeline'!Q58),'MiT Strom Pipeline'!Q58,0),"")</f>
        <v/>
      </c>
      <c r="I191" s="27">
        <f>IF(((('MiT Strom Pipeline'!R58="follow-up")+('MiT Strom Pipeline'!R58="Evaluation")+('MiT Strom Pipeline'!R58="tbd")+('MiT Strom Pipeline'!R58="In evaluation"))*('MiT Strom Pipeline'!B58&lt;&gt;""))&gt;0,'MiT Strom Pipeline'!R58,"")</f>
        <v/>
      </c>
      <c r="J191" s="29">
        <f>IF(((('MiT Strom Pipeline'!R58="follow-up")+('MiT Strom Pipeline'!R58="Evaluation")+('MiT Strom Pipeline'!R58="tbd")+('MiT Strom Pipeline'!R58="In evaluation"))*('MiT Strom Pipeline'!B58&lt;&gt;""))&gt;0,IF(ISNUMBER('MiT Strom Pipeline'!S58),'MiT Strom Pipeline'!S58,""),"")</f>
        <v/>
      </c>
      <c r="K191" s="27">
        <f>IF(((('MiT Strom Pipeline'!R58="follow-up")+('MiT Strom Pipeline'!R58="Evaluation")+('MiT Strom Pipeline'!R58="tbd")+('MiT Strom Pipeline'!R58="In evaluation"))*('MiT Strom Pipeline'!B58&lt;&gt;""))&gt;0,IF(LEN('MiT Strom Pipeline'!V58)&gt;0,LEFT('MiT Strom Pipeline'!V58,55),""),"")</f>
        <v/>
      </c>
      <c r="L191" s="22" t="n"/>
      <c r="M191" s="22" t="n"/>
      <c r="N191" s="22" t="n"/>
      <c r="O191" s="22" t="n"/>
      <c r="P191" s="22" t="n"/>
      <c r="Q191" s="22" t="n"/>
      <c r="R191" s="22" t="n"/>
      <c r="S191" s="22" t="n"/>
    </row>
    <row r="192" ht="15.75" customHeight="1">
      <c r="A192" s="26">
        <f>IF(((('MiT Strom Pipeline'!R59="follow-up")+('MiT Strom Pipeline'!R59="Evaluation")+('MiT Strom Pipeline'!R59="tbd")+('MiT Strom Pipeline'!R59="In evaluation"))*('MiT Strom Pipeline'!B59&lt;&gt;""))&gt;0,IF(ISNUMBER('MiT Strom Pipeline'!A59),'MiT Strom Pipeline'!A59,""),"")</f>
        <v/>
      </c>
      <c r="B192" s="27">
        <f>IF(((('MiT Strom Pipeline'!R59="follow-up")+('MiT Strom Pipeline'!R59="Evaluation")+('MiT Strom Pipeline'!R59="tbd")+('MiT Strom Pipeline'!R59="In evaluation"))*('MiT Strom Pipeline'!B59&lt;&gt;""))&gt;0,IF('MiT Strom Pipeline'!B59="","",'MiT Strom Pipeline'!B59),"")</f>
        <v/>
      </c>
      <c r="C192" s="27">
        <f>IF(((('MiT Strom Pipeline'!R59="follow-up")+('MiT Strom Pipeline'!R59="Evaluation")+('MiT Strom Pipeline'!R59="tbd")+('MiT Strom Pipeline'!R59="In evaluation"))*('MiT Strom Pipeline'!B59&lt;&gt;""))&gt;0,IF('MiT Strom Pipeline'!C59="","",'MiT Strom Pipeline'!C59),"")</f>
        <v/>
      </c>
      <c r="D192" s="27">
        <f>IF(((('MiT Strom Pipeline'!R59="follow-up")+('MiT Strom Pipeline'!R59="Evaluation")+('MiT Strom Pipeline'!R59="tbd")+('MiT Strom Pipeline'!R59="In evaluation"))*('MiT Strom Pipeline'!B59&lt;&gt;""))&gt;0,IF('MiT Strom Pipeline'!D59="","",'MiT Strom Pipeline'!D59),"")</f>
        <v/>
      </c>
      <c r="E192" s="27">
        <f>IF(((('MiT Strom Pipeline'!R59="follow-up")+('MiT Strom Pipeline'!R59="Evaluation")+('MiT Strom Pipeline'!R59="tbd")+('MiT Strom Pipeline'!R59="In evaluation"))*('MiT Strom Pipeline'!B59&lt;&gt;""))&gt;0,IF('MiT Strom Pipeline'!H59="","",'MiT Strom Pipeline'!H59),"")</f>
        <v/>
      </c>
      <c r="F192" s="27">
        <f>IF(((('MiT Strom Pipeline'!R59="follow-up")+('MiT Strom Pipeline'!R59="Evaluation")+('MiT Strom Pipeline'!R59="tbd")+('MiT Strom Pipeline'!R59="In evaluation"))*('MiT Strom Pipeline'!B59&lt;&gt;""))&gt;0,IF('MiT Strom Pipeline'!E59="","",'MiT Strom Pipeline'!E59),"")</f>
        <v/>
      </c>
      <c r="G192" s="28">
        <f>IF(((('MiT Strom Pipeline'!R59="follow-up")+('MiT Strom Pipeline'!R59="Evaluation")+('MiT Strom Pipeline'!R59="tbd")+('MiT Strom Pipeline'!R59="In evaluation"))*('MiT Strom Pipeline'!B59&lt;&gt;""))&gt;0,IF(ISNUMBER('MiT Strom Pipeline'!I59),'MiT Strom Pipeline'!I59,0),"")</f>
        <v/>
      </c>
      <c r="H192" s="28">
        <f>IF(((('MiT Strom Pipeline'!R59="follow-up")+('MiT Strom Pipeline'!R59="Evaluation")+('MiT Strom Pipeline'!R59="tbd")+('MiT Strom Pipeline'!R59="In evaluation"))*('MiT Strom Pipeline'!B59&lt;&gt;""))&gt;0,IF(ISNUMBER('MiT Strom Pipeline'!Q59),'MiT Strom Pipeline'!Q59,0),"")</f>
        <v/>
      </c>
      <c r="I192" s="27">
        <f>IF(((('MiT Strom Pipeline'!R59="follow-up")+('MiT Strom Pipeline'!R59="Evaluation")+('MiT Strom Pipeline'!R59="tbd")+('MiT Strom Pipeline'!R59="In evaluation"))*('MiT Strom Pipeline'!B59&lt;&gt;""))&gt;0,'MiT Strom Pipeline'!R59,"")</f>
        <v/>
      </c>
      <c r="J192" s="29">
        <f>IF(((('MiT Strom Pipeline'!R59="follow-up")+('MiT Strom Pipeline'!R59="Evaluation")+('MiT Strom Pipeline'!R59="tbd")+('MiT Strom Pipeline'!R59="In evaluation"))*('MiT Strom Pipeline'!B59&lt;&gt;""))&gt;0,IF(ISNUMBER('MiT Strom Pipeline'!S59),'MiT Strom Pipeline'!S59,""),"")</f>
        <v/>
      </c>
      <c r="K192" s="27">
        <f>IF(((('MiT Strom Pipeline'!R59="follow-up")+('MiT Strom Pipeline'!R59="Evaluation")+('MiT Strom Pipeline'!R59="tbd")+('MiT Strom Pipeline'!R59="In evaluation"))*('MiT Strom Pipeline'!B59&lt;&gt;""))&gt;0,IF(LEN('MiT Strom Pipeline'!V59)&gt;0,LEFT('MiT Strom Pipeline'!V59,55),""),"")</f>
        <v/>
      </c>
      <c r="L192" s="22" t="n"/>
      <c r="M192" s="22" t="n"/>
      <c r="N192" s="22" t="n"/>
      <c r="O192" s="22" t="n"/>
      <c r="P192" s="22" t="n"/>
      <c r="Q192" s="22" t="n"/>
      <c r="R192" s="22" t="n"/>
      <c r="S192" s="22" t="n"/>
    </row>
    <row r="193" ht="15.75" customHeight="1">
      <c r="A193" s="26">
        <f>IF(((('MiT Strom Pipeline'!R60="follow-up")+('MiT Strom Pipeline'!R60="Evaluation")+('MiT Strom Pipeline'!R60="tbd")+('MiT Strom Pipeline'!R60="In evaluation"))*('MiT Strom Pipeline'!B60&lt;&gt;""))&gt;0,IF(ISNUMBER('MiT Strom Pipeline'!A60),'MiT Strom Pipeline'!A60,""),"")</f>
        <v/>
      </c>
      <c r="B193" s="27">
        <f>IF(((('MiT Strom Pipeline'!R60="follow-up")+('MiT Strom Pipeline'!R60="Evaluation")+('MiT Strom Pipeline'!R60="tbd")+('MiT Strom Pipeline'!R60="In evaluation"))*('MiT Strom Pipeline'!B60&lt;&gt;""))&gt;0,IF('MiT Strom Pipeline'!B60="","",'MiT Strom Pipeline'!B60),"")</f>
        <v/>
      </c>
      <c r="C193" s="27">
        <f>IF(((('MiT Strom Pipeline'!R60="follow-up")+('MiT Strom Pipeline'!R60="Evaluation")+('MiT Strom Pipeline'!R60="tbd")+('MiT Strom Pipeline'!R60="In evaluation"))*('MiT Strom Pipeline'!B60&lt;&gt;""))&gt;0,IF('MiT Strom Pipeline'!C60="","",'MiT Strom Pipeline'!C60),"")</f>
        <v/>
      </c>
      <c r="D193" s="27">
        <f>IF(((('MiT Strom Pipeline'!R60="follow-up")+('MiT Strom Pipeline'!R60="Evaluation")+('MiT Strom Pipeline'!R60="tbd")+('MiT Strom Pipeline'!R60="In evaluation"))*('MiT Strom Pipeline'!B60&lt;&gt;""))&gt;0,IF('MiT Strom Pipeline'!D60="","",'MiT Strom Pipeline'!D60),"")</f>
        <v/>
      </c>
      <c r="E193" s="27">
        <f>IF(((('MiT Strom Pipeline'!R60="follow-up")+('MiT Strom Pipeline'!R60="Evaluation")+('MiT Strom Pipeline'!R60="tbd")+('MiT Strom Pipeline'!R60="In evaluation"))*('MiT Strom Pipeline'!B60&lt;&gt;""))&gt;0,IF('MiT Strom Pipeline'!H60="","",'MiT Strom Pipeline'!H60),"")</f>
        <v/>
      </c>
      <c r="F193" s="27">
        <f>IF(((('MiT Strom Pipeline'!R60="follow-up")+('MiT Strom Pipeline'!R60="Evaluation")+('MiT Strom Pipeline'!R60="tbd")+('MiT Strom Pipeline'!R60="In evaluation"))*('MiT Strom Pipeline'!B60&lt;&gt;""))&gt;0,IF('MiT Strom Pipeline'!E60="","",'MiT Strom Pipeline'!E60),"")</f>
        <v/>
      </c>
      <c r="G193" s="28">
        <f>IF(((('MiT Strom Pipeline'!R60="follow-up")+('MiT Strom Pipeline'!R60="Evaluation")+('MiT Strom Pipeline'!R60="tbd")+('MiT Strom Pipeline'!R60="In evaluation"))*('MiT Strom Pipeline'!B60&lt;&gt;""))&gt;0,IF(ISNUMBER('MiT Strom Pipeline'!I60),'MiT Strom Pipeline'!I60,0),"")</f>
        <v/>
      </c>
      <c r="H193" s="28">
        <f>IF(((('MiT Strom Pipeline'!R60="follow-up")+('MiT Strom Pipeline'!R60="Evaluation")+('MiT Strom Pipeline'!R60="tbd")+('MiT Strom Pipeline'!R60="In evaluation"))*('MiT Strom Pipeline'!B60&lt;&gt;""))&gt;0,IF(ISNUMBER('MiT Strom Pipeline'!Q60),'MiT Strom Pipeline'!Q60,0),"")</f>
        <v/>
      </c>
      <c r="I193" s="27">
        <f>IF(((('MiT Strom Pipeline'!R60="follow-up")+('MiT Strom Pipeline'!R60="Evaluation")+('MiT Strom Pipeline'!R60="tbd")+('MiT Strom Pipeline'!R60="In evaluation"))*('MiT Strom Pipeline'!B60&lt;&gt;""))&gt;0,'MiT Strom Pipeline'!R60,"")</f>
        <v/>
      </c>
      <c r="J193" s="29">
        <f>IF(((('MiT Strom Pipeline'!R60="follow-up")+('MiT Strom Pipeline'!R60="Evaluation")+('MiT Strom Pipeline'!R60="tbd")+('MiT Strom Pipeline'!R60="In evaluation"))*('MiT Strom Pipeline'!B60&lt;&gt;""))&gt;0,IF(ISNUMBER('MiT Strom Pipeline'!S60),'MiT Strom Pipeline'!S60,""),"")</f>
        <v/>
      </c>
      <c r="K193" s="27">
        <f>IF(((('MiT Strom Pipeline'!R60="follow-up")+('MiT Strom Pipeline'!R60="Evaluation")+('MiT Strom Pipeline'!R60="tbd")+('MiT Strom Pipeline'!R60="In evaluation"))*('MiT Strom Pipeline'!B60&lt;&gt;""))&gt;0,IF(LEN('MiT Strom Pipeline'!V60)&gt;0,LEFT('MiT Strom Pipeline'!V60,55),""),"")</f>
        <v/>
      </c>
      <c r="L193" s="22" t="n"/>
      <c r="M193" s="22" t="n"/>
      <c r="N193" s="22" t="n"/>
      <c r="O193" s="22" t="n"/>
      <c r="P193" s="22" t="n"/>
      <c r="Q193" s="22" t="n"/>
      <c r="R193" s="22" t="n"/>
      <c r="S193" s="22" t="n"/>
    </row>
    <row r="194" ht="15.75" customHeight="1">
      <c r="A194" s="26">
        <f>IF(((('MiT Strom Pipeline'!R61="follow-up")+('MiT Strom Pipeline'!R61="Evaluation")+('MiT Strom Pipeline'!R61="tbd")+('MiT Strom Pipeline'!R61="In evaluation"))*('MiT Strom Pipeline'!B61&lt;&gt;""))&gt;0,IF(ISNUMBER('MiT Strom Pipeline'!A61),'MiT Strom Pipeline'!A61,""),"")</f>
        <v/>
      </c>
      <c r="B194" s="27">
        <f>IF(((('MiT Strom Pipeline'!R61="follow-up")+('MiT Strom Pipeline'!R61="Evaluation")+('MiT Strom Pipeline'!R61="tbd")+('MiT Strom Pipeline'!R61="In evaluation"))*('MiT Strom Pipeline'!B61&lt;&gt;""))&gt;0,IF('MiT Strom Pipeline'!B61="","",'MiT Strom Pipeline'!B61),"")</f>
        <v/>
      </c>
      <c r="C194" s="27">
        <f>IF(((('MiT Strom Pipeline'!R61="follow-up")+('MiT Strom Pipeline'!R61="Evaluation")+('MiT Strom Pipeline'!R61="tbd")+('MiT Strom Pipeline'!R61="In evaluation"))*('MiT Strom Pipeline'!B61&lt;&gt;""))&gt;0,IF('MiT Strom Pipeline'!C61="","",'MiT Strom Pipeline'!C61),"")</f>
        <v/>
      </c>
      <c r="D194" s="27">
        <f>IF(((('MiT Strom Pipeline'!R61="follow-up")+('MiT Strom Pipeline'!R61="Evaluation")+('MiT Strom Pipeline'!R61="tbd")+('MiT Strom Pipeline'!R61="In evaluation"))*('MiT Strom Pipeline'!B61&lt;&gt;""))&gt;0,IF('MiT Strom Pipeline'!D61="","",'MiT Strom Pipeline'!D61),"")</f>
        <v/>
      </c>
      <c r="E194" s="27">
        <f>IF(((('MiT Strom Pipeline'!R61="follow-up")+('MiT Strom Pipeline'!R61="Evaluation")+('MiT Strom Pipeline'!R61="tbd")+('MiT Strom Pipeline'!R61="In evaluation"))*('MiT Strom Pipeline'!B61&lt;&gt;""))&gt;0,IF('MiT Strom Pipeline'!H61="","",'MiT Strom Pipeline'!H61),"")</f>
        <v/>
      </c>
      <c r="F194" s="27">
        <f>IF(((('MiT Strom Pipeline'!R61="follow-up")+('MiT Strom Pipeline'!R61="Evaluation")+('MiT Strom Pipeline'!R61="tbd")+('MiT Strom Pipeline'!R61="In evaluation"))*('MiT Strom Pipeline'!B61&lt;&gt;""))&gt;0,IF('MiT Strom Pipeline'!E61="","",'MiT Strom Pipeline'!E61),"")</f>
        <v/>
      </c>
      <c r="G194" s="28">
        <f>IF(((('MiT Strom Pipeline'!R61="follow-up")+('MiT Strom Pipeline'!R61="Evaluation")+('MiT Strom Pipeline'!R61="tbd")+('MiT Strom Pipeline'!R61="In evaluation"))*('MiT Strom Pipeline'!B61&lt;&gt;""))&gt;0,IF(ISNUMBER('MiT Strom Pipeline'!I61),'MiT Strom Pipeline'!I61,0),"")</f>
        <v/>
      </c>
      <c r="H194" s="28">
        <f>IF(((('MiT Strom Pipeline'!R61="follow-up")+('MiT Strom Pipeline'!R61="Evaluation")+('MiT Strom Pipeline'!R61="tbd")+('MiT Strom Pipeline'!R61="In evaluation"))*('MiT Strom Pipeline'!B61&lt;&gt;""))&gt;0,IF(ISNUMBER('MiT Strom Pipeline'!Q61),'MiT Strom Pipeline'!Q61,0),"")</f>
        <v/>
      </c>
      <c r="I194" s="27">
        <f>IF(((('MiT Strom Pipeline'!R61="follow-up")+('MiT Strom Pipeline'!R61="Evaluation")+('MiT Strom Pipeline'!R61="tbd")+('MiT Strom Pipeline'!R61="In evaluation"))*('MiT Strom Pipeline'!B61&lt;&gt;""))&gt;0,'MiT Strom Pipeline'!R61,"")</f>
        <v/>
      </c>
      <c r="J194" s="29">
        <f>IF(((('MiT Strom Pipeline'!R61="follow-up")+('MiT Strom Pipeline'!R61="Evaluation")+('MiT Strom Pipeline'!R61="tbd")+('MiT Strom Pipeline'!R61="In evaluation"))*('MiT Strom Pipeline'!B61&lt;&gt;""))&gt;0,IF(ISNUMBER('MiT Strom Pipeline'!S61),'MiT Strom Pipeline'!S61,""),"")</f>
        <v/>
      </c>
      <c r="K194" s="27">
        <f>IF(((('MiT Strom Pipeline'!R61="follow-up")+('MiT Strom Pipeline'!R61="Evaluation")+('MiT Strom Pipeline'!R61="tbd")+('MiT Strom Pipeline'!R61="In evaluation"))*('MiT Strom Pipeline'!B61&lt;&gt;""))&gt;0,IF(LEN('MiT Strom Pipeline'!V61)&gt;0,LEFT('MiT Strom Pipeline'!V61,55),""),"")</f>
        <v/>
      </c>
      <c r="L194" s="22" t="n"/>
      <c r="M194" s="22" t="n"/>
      <c r="N194" s="22" t="n"/>
      <c r="O194" s="22" t="n"/>
      <c r="P194" s="22" t="n"/>
      <c r="Q194" s="22" t="n"/>
      <c r="R194" s="22" t="n"/>
      <c r="S194" s="22" t="n"/>
    </row>
    <row r="195" ht="15.75" customHeight="1">
      <c r="A195" s="26">
        <f>IF(((('MiT Strom Pipeline'!R62="follow-up")+('MiT Strom Pipeline'!R62="Evaluation")+('MiT Strom Pipeline'!R62="tbd")+('MiT Strom Pipeline'!R62="In evaluation"))*('MiT Strom Pipeline'!B62&lt;&gt;""))&gt;0,IF(ISNUMBER('MiT Strom Pipeline'!A62),'MiT Strom Pipeline'!A62,""),"")</f>
        <v/>
      </c>
      <c r="B195" s="27">
        <f>IF(((('MiT Strom Pipeline'!R62="follow-up")+('MiT Strom Pipeline'!R62="Evaluation")+('MiT Strom Pipeline'!R62="tbd")+('MiT Strom Pipeline'!R62="In evaluation"))*('MiT Strom Pipeline'!B62&lt;&gt;""))&gt;0,IF('MiT Strom Pipeline'!B62="","",'MiT Strom Pipeline'!B62),"")</f>
        <v/>
      </c>
      <c r="C195" s="27">
        <f>IF(((('MiT Strom Pipeline'!R62="follow-up")+('MiT Strom Pipeline'!R62="Evaluation")+('MiT Strom Pipeline'!R62="tbd")+('MiT Strom Pipeline'!R62="In evaluation"))*('MiT Strom Pipeline'!B62&lt;&gt;""))&gt;0,IF('MiT Strom Pipeline'!C62="","",'MiT Strom Pipeline'!C62),"")</f>
        <v/>
      </c>
      <c r="D195" s="27">
        <f>IF(((('MiT Strom Pipeline'!R62="follow-up")+('MiT Strom Pipeline'!R62="Evaluation")+('MiT Strom Pipeline'!R62="tbd")+('MiT Strom Pipeline'!R62="In evaluation"))*('MiT Strom Pipeline'!B62&lt;&gt;""))&gt;0,IF('MiT Strom Pipeline'!D62="","",'MiT Strom Pipeline'!D62),"")</f>
        <v/>
      </c>
      <c r="E195" s="27">
        <f>IF(((('MiT Strom Pipeline'!R62="follow-up")+('MiT Strom Pipeline'!R62="Evaluation")+('MiT Strom Pipeline'!R62="tbd")+('MiT Strom Pipeline'!R62="In evaluation"))*('MiT Strom Pipeline'!B62&lt;&gt;""))&gt;0,IF('MiT Strom Pipeline'!H62="","",'MiT Strom Pipeline'!H62),"")</f>
        <v/>
      </c>
      <c r="F195" s="27">
        <f>IF(((('MiT Strom Pipeline'!R62="follow-up")+('MiT Strom Pipeline'!R62="Evaluation")+('MiT Strom Pipeline'!R62="tbd")+('MiT Strom Pipeline'!R62="In evaluation"))*('MiT Strom Pipeline'!B62&lt;&gt;""))&gt;0,IF('MiT Strom Pipeline'!E62="","",'MiT Strom Pipeline'!E62),"")</f>
        <v/>
      </c>
      <c r="G195" s="28">
        <f>IF(((('MiT Strom Pipeline'!R62="follow-up")+('MiT Strom Pipeline'!R62="Evaluation")+('MiT Strom Pipeline'!R62="tbd")+('MiT Strom Pipeline'!R62="In evaluation"))*('MiT Strom Pipeline'!B62&lt;&gt;""))&gt;0,IF(ISNUMBER('MiT Strom Pipeline'!I62),'MiT Strom Pipeline'!I62,0),"")</f>
        <v/>
      </c>
      <c r="H195" s="28">
        <f>IF(((('MiT Strom Pipeline'!R62="follow-up")+('MiT Strom Pipeline'!R62="Evaluation")+('MiT Strom Pipeline'!R62="tbd")+('MiT Strom Pipeline'!R62="In evaluation"))*('MiT Strom Pipeline'!B62&lt;&gt;""))&gt;0,IF(ISNUMBER('MiT Strom Pipeline'!Q62),'MiT Strom Pipeline'!Q62,0),"")</f>
        <v/>
      </c>
      <c r="I195" s="27">
        <f>IF(((('MiT Strom Pipeline'!R62="follow-up")+('MiT Strom Pipeline'!R62="Evaluation")+('MiT Strom Pipeline'!R62="tbd")+('MiT Strom Pipeline'!R62="In evaluation"))*('MiT Strom Pipeline'!B62&lt;&gt;""))&gt;0,'MiT Strom Pipeline'!R62,"")</f>
        <v/>
      </c>
      <c r="J195" s="29">
        <f>IF(((('MiT Strom Pipeline'!R62="follow-up")+('MiT Strom Pipeline'!R62="Evaluation")+('MiT Strom Pipeline'!R62="tbd")+('MiT Strom Pipeline'!R62="In evaluation"))*('MiT Strom Pipeline'!B62&lt;&gt;""))&gt;0,IF(ISNUMBER('MiT Strom Pipeline'!S62),'MiT Strom Pipeline'!S62,""),"")</f>
        <v/>
      </c>
      <c r="K195" s="27">
        <f>IF(((('MiT Strom Pipeline'!R62="follow-up")+('MiT Strom Pipeline'!R62="Evaluation")+('MiT Strom Pipeline'!R62="tbd")+('MiT Strom Pipeline'!R62="In evaluation"))*('MiT Strom Pipeline'!B62&lt;&gt;""))&gt;0,IF(LEN('MiT Strom Pipeline'!V62)&gt;0,LEFT('MiT Strom Pipeline'!V62,55),""),"")</f>
        <v/>
      </c>
      <c r="L195" s="22" t="n"/>
      <c r="M195" s="22" t="n"/>
      <c r="N195" s="22" t="n"/>
      <c r="O195" s="22" t="n"/>
      <c r="P195" s="22" t="n"/>
      <c r="Q195" s="22" t="n"/>
      <c r="R195" s="22" t="n"/>
      <c r="S195" s="22" t="n"/>
    </row>
    <row r="196" ht="15.75" customHeight="1">
      <c r="A196" s="26">
        <f>IF(((('MiT Strom Pipeline'!R63="follow-up")+('MiT Strom Pipeline'!R63="Evaluation")+('MiT Strom Pipeline'!R63="tbd")+('MiT Strom Pipeline'!R63="In evaluation"))*('MiT Strom Pipeline'!B63&lt;&gt;""))&gt;0,IF(ISNUMBER('MiT Strom Pipeline'!A63),'MiT Strom Pipeline'!A63,""),"")</f>
        <v/>
      </c>
      <c r="B196" s="27">
        <f>IF(((('MiT Strom Pipeline'!R63="follow-up")+('MiT Strom Pipeline'!R63="Evaluation")+('MiT Strom Pipeline'!R63="tbd")+('MiT Strom Pipeline'!R63="In evaluation"))*('MiT Strom Pipeline'!B63&lt;&gt;""))&gt;0,IF('MiT Strom Pipeline'!B63="","",'MiT Strom Pipeline'!B63),"")</f>
        <v/>
      </c>
      <c r="C196" s="27">
        <f>IF(((('MiT Strom Pipeline'!R63="follow-up")+('MiT Strom Pipeline'!R63="Evaluation")+('MiT Strom Pipeline'!R63="tbd")+('MiT Strom Pipeline'!R63="In evaluation"))*('MiT Strom Pipeline'!B63&lt;&gt;""))&gt;0,IF('MiT Strom Pipeline'!C63="","",'MiT Strom Pipeline'!C63),"")</f>
        <v/>
      </c>
      <c r="D196" s="27">
        <f>IF(((('MiT Strom Pipeline'!R63="follow-up")+('MiT Strom Pipeline'!R63="Evaluation")+('MiT Strom Pipeline'!R63="tbd")+('MiT Strom Pipeline'!R63="In evaluation"))*('MiT Strom Pipeline'!B63&lt;&gt;""))&gt;0,IF('MiT Strom Pipeline'!D63="","",'MiT Strom Pipeline'!D63),"")</f>
        <v/>
      </c>
      <c r="E196" s="27">
        <f>IF(((('MiT Strom Pipeline'!R63="follow-up")+('MiT Strom Pipeline'!R63="Evaluation")+('MiT Strom Pipeline'!R63="tbd")+('MiT Strom Pipeline'!R63="In evaluation"))*('MiT Strom Pipeline'!B63&lt;&gt;""))&gt;0,IF('MiT Strom Pipeline'!H63="","",'MiT Strom Pipeline'!H63),"")</f>
        <v/>
      </c>
      <c r="F196" s="27">
        <f>IF(((('MiT Strom Pipeline'!R63="follow-up")+('MiT Strom Pipeline'!R63="Evaluation")+('MiT Strom Pipeline'!R63="tbd")+('MiT Strom Pipeline'!R63="In evaluation"))*('MiT Strom Pipeline'!B63&lt;&gt;""))&gt;0,IF('MiT Strom Pipeline'!E63="","",'MiT Strom Pipeline'!E63),"")</f>
        <v/>
      </c>
      <c r="G196" s="28">
        <f>IF(((('MiT Strom Pipeline'!R63="follow-up")+('MiT Strom Pipeline'!R63="Evaluation")+('MiT Strom Pipeline'!R63="tbd")+('MiT Strom Pipeline'!R63="In evaluation"))*('MiT Strom Pipeline'!B63&lt;&gt;""))&gt;0,IF(ISNUMBER('MiT Strom Pipeline'!I63),'MiT Strom Pipeline'!I63,0),"")</f>
        <v/>
      </c>
      <c r="H196" s="28">
        <f>IF(((('MiT Strom Pipeline'!R63="follow-up")+('MiT Strom Pipeline'!R63="Evaluation")+('MiT Strom Pipeline'!R63="tbd")+('MiT Strom Pipeline'!R63="In evaluation"))*('MiT Strom Pipeline'!B63&lt;&gt;""))&gt;0,IF(ISNUMBER('MiT Strom Pipeline'!Q63),'MiT Strom Pipeline'!Q63,0),"")</f>
        <v/>
      </c>
      <c r="I196" s="27">
        <f>IF(((('MiT Strom Pipeline'!R63="follow-up")+('MiT Strom Pipeline'!R63="Evaluation")+('MiT Strom Pipeline'!R63="tbd")+('MiT Strom Pipeline'!R63="In evaluation"))*('MiT Strom Pipeline'!B63&lt;&gt;""))&gt;0,'MiT Strom Pipeline'!R63,"")</f>
        <v/>
      </c>
      <c r="J196" s="29">
        <f>IF(((('MiT Strom Pipeline'!R63="follow-up")+('MiT Strom Pipeline'!R63="Evaluation")+('MiT Strom Pipeline'!R63="tbd")+('MiT Strom Pipeline'!R63="In evaluation"))*('MiT Strom Pipeline'!B63&lt;&gt;""))&gt;0,IF(ISNUMBER('MiT Strom Pipeline'!S63),'MiT Strom Pipeline'!S63,""),"")</f>
        <v/>
      </c>
      <c r="K196" s="27">
        <f>IF(((('MiT Strom Pipeline'!R63="follow-up")+('MiT Strom Pipeline'!R63="Evaluation")+('MiT Strom Pipeline'!R63="tbd")+('MiT Strom Pipeline'!R63="In evaluation"))*('MiT Strom Pipeline'!B63&lt;&gt;""))&gt;0,IF(LEN('MiT Strom Pipeline'!V63)&gt;0,LEFT('MiT Strom Pipeline'!V63,55),""),"")</f>
        <v/>
      </c>
      <c r="L196" s="22" t="n"/>
      <c r="M196" s="22" t="n"/>
      <c r="N196" s="22" t="n"/>
      <c r="O196" s="22" t="n"/>
      <c r="P196" s="22" t="n"/>
      <c r="Q196" s="22" t="n"/>
      <c r="R196" s="22" t="n"/>
      <c r="S196" s="22" t="n"/>
    </row>
    <row r="197" ht="15.75" customHeight="1">
      <c r="A197" s="26">
        <f>IF(((('MiT Strom Pipeline'!R64="follow-up")+('MiT Strom Pipeline'!R64="Evaluation")+('MiT Strom Pipeline'!R64="tbd")+('MiT Strom Pipeline'!R64="In evaluation"))*('MiT Strom Pipeline'!B64&lt;&gt;""))&gt;0,IF(ISNUMBER('MiT Strom Pipeline'!A64),'MiT Strom Pipeline'!A64,""),"")</f>
        <v/>
      </c>
      <c r="B197" s="27">
        <f>IF(((('MiT Strom Pipeline'!R64="follow-up")+('MiT Strom Pipeline'!R64="Evaluation")+('MiT Strom Pipeline'!R64="tbd")+('MiT Strom Pipeline'!R64="In evaluation"))*('MiT Strom Pipeline'!B64&lt;&gt;""))&gt;0,IF('MiT Strom Pipeline'!B64="","",'MiT Strom Pipeline'!B64),"")</f>
        <v/>
      </c>
      <c r="C197" s="27">
        <f>IF(((('MiT Strom Pipeline'!R64="follow-up")+('MiT Strom Pipeline'!R64="Evaluation")+('MiT Strom Pipeline'!R64="tbd")+('MiT Strom Pipeline'!R64="In evaluation"))*('MiT Strom Pipeline'!B64&lt;&gt;""))&gt;0,IF('MiT Strom Pipeline'!C64="","",'MiT Strom Pipeline'!C64),"")</f>
        <v/>
      </c>
      <c r="D197" s="27">
        <f>IF(((('MiT Strom Pipeline'!R64="follow-up")+('MiT Strom Pipeline'!R64="Evaluation")+('MiT Strom Pipeline'!R64="tbd")+('MiT Strom Pipeline'!R64="In evaluation"))*('MiT Strom Pipeline'!B64&lt;&gt;""))&gt;0,IF('MiT Strom Pipeline'!D64="","",'MiT Strom Pipeline'!D64),"")</f>
        <v/>
      </c>
      <c r="E197" s="27">
        <f>IF(((('MiT Strom Pipeline'!R64="follow-up")+('MiT Strom Pipeline'!R64="Evaluation")+('MiT Strom Pipeline'!R64="tbd")+('MiT Strom Pipeline'!R64="In evaluation"))*('MiT Strom Pipeline'!B64&lt;&gt;""))&gt;0,IF('MiT Strom Pipeline'!H64="","",'MiT Strom Pipeline'!H64),"")</f>
        <v/>
      </c>
      <c r="F197" s="27">
        <f>IF(((('MiT Strom Pipeline'!R64="follow-up")+('MiT Strom Pipeline'!R64="Evaluation")+('MiT Strom Pipeline'!R64="tbd")+('MiT Strom Pipeline'!R64="In evaluation"))*('MiT Strom Pipeline'!B64&lt;&gt;""))&gt;0,IF('MiT Strom Pipeline'!E64="","",'MiT Strom Pipeline'!E64),"")</f>
        <v/>
      </c>
      <c r="G197" s="28">
        <f>IF(((('MiT Strom Pipeline'!R64="follow-up")+('MiT Strom Pipeline'!R64="Evaluation")+('MiT Strom Pipeline'!R64="tbd")+('MiT Strom Pipeline'!R64="In evaluation"))*('MiT Strom Pipeline'!B64&lt;&gt;""))&gt;0,IF(ISNUMBER('MiT Strom Pipeline'!I64),'MiT Strom Pipeline'!I64,0),"")</f>
        <v/>
      </c>
      <c r="H197" s="28">
        <f>IF(((('MiT Strom Pipeline'!R64="follow-up")+('MiT Strom Pipeline'!R64="Evaluation")+('MiT Strom Pipeline'!R64="tbd")+('MiT Strom Pipeline'!R64="In evaluation"))*('MiT Strom Pipeline'!B64&lt;&gt;""))&gt;0,IF(ISNUMBER('MiT Strom Pipeline'!Q64),'MiT Strom Pipeline'!Q64,0),"")</f>
        <v/>
      </c>
      <c r="I197" s="27">
        <f>IF(((('MiT Strom Pipeline'!R64="follow-up")+('MiT Strom Pipeline'!R64="Evaluation")+('MiT Strom Pipeline'!R64="tbd")+('MiT Strom Pipeline'!R64="In evaluation"))*('MiT Strom Pipeline'!B64&lt;&gt;""))&gt;0,'MiT Strom Pipeline'!R64,"")</f>
        <v/>
      </c>
      <c r="J197" s="29">
        <f>IF(((('MiT Strom Pipeline'!R64="follow-up")+('MiT Strom Pipeline'!R64="Evaluation")+('MiT Strom Pipeline'!R64="tbd")+('MiT Strom Pipeline'!R64="In evaluation"))*('MiT Strom Pipeline'!B64&lt;&gt;""))&gt;0,IF(ISNUMBER('MiT Strom Pipeline'!S64),'MiT Strom Pipeline'!S64,""),"")</f>
        <v/>
      </c>
      <c r="K197" s="27">
        <f>IF(((('MiT Strom Pipeline'!R64="follow-up")+('MiT Strom Pipeline'!R64="Evaluation")+('MiT Strom Pipeline'!R64="tbd")+('MiT Strom Pipeline'!R64="In evaluation"))*('MiT Strom Pipeline'!B64&lt;&gt;""))&gt;0,IF(LEN('MiT Strom Pipeline'!V64)&gt;0,LEFT('MiT Strom Pipeline'!V64,55),""),"")</f>
        <v/>
      </c>
      <c r="L197" s="22" t="n"/>
      <c r="M197" s="22" t="n"/>
      <c r="N197" s="22" t="n"/>
      <c r="O197" s="22" t="n"/>
      <c r="P197" s="22" t="n"/>
      <c r="Q197" s="22" t="n"/>
      <c r="R197" s="22" t="n"/>
      <c r="S197" s="22" t="n"/>
    </row>
    <row r="198" ht="15.75" customHeight="1">
      <c r="A198" s="26">
        <f>IF(((('MiT Strom Pipeline'!R65="follow-up")+('MiT Strom Pipeline'!R65="Evaluation")+('MiT Strom Pipeline'!R65="tbd")+('MiT Strom Pipeline'!R65="In evaluation"))*('MiT Strom Pipeline'!B65&lt;&gt;""))&gt;0,IF(ISNUMBER('MiT Strom Pipeline'!A65),'MiT Strom Pipeline'!A65,""),"")</f>
        <v/>
      </c>
      <c r="B198" s="27">
        <f>IF(((('MiT Strom Pipeline'!R65="follow-up")+('MiT Strom Pipeline'!R65="Evaluation")+('MiT Strom Pipeline'!R65="tbd")+('MiT Strom Pipeline'!R65="In evaluation"))*('MiT Strom Pipeline'!B65&lt;&gt;""))&gt;0,IF('MiT Strom Pipeline'!B65="","",'MiT Strom Pipeline'!B65),"")</f>
        <v/>
      </c>
      <c r="C198" s="27">
        <f>IF(((('MiT Strom Pipeline'!R65="follow-up")+('MiT Strom Pipeline'!R65="Evaluation")+('MiT Strom Pipeline'!R65="tbd")+('MiT Strom Pipeline'!R65="In evaluation"))*('MiT Strom Pipeline'!B65&lt;&gt;""))&gt;0,IF('MiT Strom Pipeline'!C65="","",'MiT Strom Pipeline'!C65),"")</f>
        <v/>
      </c>
      <c r="D198" s="27">
        <f>IF(((('MiT Strom Pipeline'!R65="follow-up")+('MiT Strom Pipeline'!R65="Evaluation")+('MiT Strom Pipeline'!R65="tbd")+('MiT Strom Pipeline'!R65="In evaluation"))*('MiT Strom Pipeline'!B65&lt;&gt;""))&gt;0,IF('MiT Strom Pipeline'!D65="","",'MiT Strom Pipeline'!D65),"")</f>
        <v/>
      </c>
      <c r="E198" s="27">
        <f>IF(((('MiT Strom Pipeline'!R65="follow-up")+('MiT Strom Pipeline'!R65="Evaluation")+('MiT Strom Pipeline'!R65="tbd")+('MiT Strom Pipeline'!R65="In evaluation"))*('MiT Strom Pipeline'!B65&lt;&gt;""))&gt;0,IF('MiT Strom Pipeline'!H65="","",'MiT Strom Pipeline'!H65),"")</f>
        <v/>
      </c>
      <c r="F198" s="27">
        <f>IF(((('MiT Strom Pipeline'!R65="follow-up")+('MiT Strom Pipeline'!R65="Evaluation")+('MiT Strom Pipeline'!R65="tbd")+('MiT Strom Pipeline'!R65="In evaluation"))*('MiT Strom Pipeline'!B65&lt;&gt;""))&gt;0,IF('MiT Strom Pipeline'!E65="","",'MiT Strom Pipeline'!E65),"")</f>
        <v/>
      </c>
      <c r="G198" s="28">
        <f>IF(((('MiT Strom Pipeline'!R65="follow-up")+('MiT Strom Pipeline'!R65="Evaluation")+('MiT Strom Pipeline'!R65="tbd")+('MiT Strom Pipeline'!R65="In evaluation"))*('MiT Strom Pipeline'!B65&lt;&gt;""))&gt;0,IF(ISNUMBER('MiT Strom Pipeline'!I65),'MiT Strom Pipeline'!I65,0),"")</f>
        <v/>
      </c>
      <c r="H198" s="28">
        <f>IF(((('MiT Strom Pipeline'!R65="follow-up")+('MiT Strom Pipeline'!R65="Evaluation")+('MiT Strom Pipeline'!R65="tbd")+('MiT Strom Pipeline'!R65="In evaluation"))*('MiT Strom Pipeline'!B65&lt;&gt;""))&gt;0,IF(ISNUMBER('MiT Strom Pipeline'!Q65),'MiT Strom Pipeline'!Q65,0),"")</f>
        <v/>
      </c>
      <c r="I198" s="27">
        <f>IF(((('MiT Strom Pipeline'!R65="follow-up")+('MiT Strom Pipeline'!R65="Evaluation")+('MiT Strom Pipeline'!R65="tbd")+('MiT Strom Pipeline'!R65="In evaluation"))*('MiT Strom Pipeline'!B65&lt;&gt;""))&gt;0,'MiT Strom Pipeline'!R65,"")</f>
        <v/>
      </c>
      <c r="J198" s="29">
        <f>IF(((('MiT Strom Pipeline'!R65="follow-up")+('MiT Strom Pipeline'!R65="Evaluation")+('MiT Strom Pipeline'!R65="tbd")+('MiT Strom Pipeline'!R65="In evaluation"))*('MiT Strom Pipeline'!B65&lt;&gt;""))&gt;0,IF(ISNUMBER('MiT Strom Pipeline'!S65),'MiT Strom Pipeline'!S65,""),"")</f>
        <v/>
      </c>
      <c r="K198" s="27">
        <f>IF(((('MiT Strom Pipeline'!R65="follow-up")+('MiT Strom Pipeline'!R65="Evaluation")+('MiT Strom Pipeline'!R65="tbd")+('MiT Strom Pipeline'!R65="In evaluation"))*('MiT Strom Pipeline'!B65&lt;&gt;""))&gt;0,IF(LEN('MiT Strom Pipeline'!V65)&gt;0,LEFT('MiT Strom Pipeline'!V65,55),""),"")</f>
        <v/>
      </c>
      <c r="L198" s="22" t="n"/>
      <c r="M198" s="22" t="n"/>
      <c r="N198" s="22" t="n"/>
      <c r="O198" s="22" t="n"/>
      <c r="P198" s="22" t="n"/>
      <c r="Q198" s="22" t="n"/>
      <c r="R198" s="22" t="n"/>
      <c r="S198" s="22" t="n"/>
    </row>
    <row r="199" ht="21.75" customHeight="1">
      <c r="A199" s="26">
        <f>IF(((('MiT Strom Pipeline'!R66="follow-up")+('MiT Strom Pipeline'!R66="Evaluation")+('MiT Strom Pipeline'!R66="tbd")+('MiT Strom Pipeline'!R66="In evaluation"))*('MiT Strom Pipeline'!B66&lt;&gt;""))&gt;0,IF(ISNUMBER('MiT Strom Pipeline'!A66),'MiT Strom Pipeline'!A66,""),"")</f>
        <v/>
      </c>
      <c r="B199" s="27">
        <f>IF(((('MiT Strom Pipeline'!R66="follow-up")+('MiT Strom Pipeline'!R66="Evaluation")+('MiT Strom Pipeline'!R66="tbd")+('MiT Strom Pipeline'!R66="In evaluation"))*('MiT Strom Pipeline'!B66&lt;&gt;""))&gt;0,IF('MiT Strom Pipeline'!B66="","",'MiT Strom Pipeline'!B66),"")</f>
        <v/>
      </c>
      <c r="C199" s="27">
        <f>IF(((('MiT Strom Pipeline'!R66="follow-up")+('MiT Strom Pipeline'!R66="Evaluation")+('MiT Strom Pipeline'!R66="tbd")+('MiT Strom Pipeline'!R66="In evaluation"))*('MiT Strom Pipeline'!B66&lt;&gt;""))&gt;0,IF('MiT Strom Pipeline'!C66="","",'MiT Strom Pipeline'!C66),"")</f>
        <v/>
      </c>
      <c r="D199" s="27">
        <f>IF(((('MiT Strom Pipeline'!R66="follow-up")+('MiT Strom Pipeline'!R66="Evaluation")+('MiT Strom Pipeline'!R66="tbd")+('MiT Strom Pipeline'!R66="In evaluation"))*('MiT Strom Pipeline'!B66&lt;&gt;""))&gt;0,IF('MiT Strom Pipeline'!D66="","",'MiT Strom Pipeline'!D66),"")</f>
        <v/>
      </c>
      <c r="E199" s="27">
        <f>IF(((('MiT Strom Pipeline'!R66="follow-up")+('MiT Strom Pipeline'!R66="Evaluation")+('MiT Strom Pipeline'!R66="tbd")+('MiT Strom Pipeline'!R66="In evaluation"))*('MiT Strom Pipeline'!B66&lt;&gt;""))&gt;0,IF('MiT Strom Pipeline'!H66="","",'MiT Strom Pipeline'!H66),"")</f>
        <v/>
      </c>
      <c r="F199" s="27">
        <f>IF(((('MiT Strom Pipeline'!R66="follow-up")+('MiT Strom Pipeline'!R66="Evaluation")+('MiT Strom Pipeline'!R66="tbd")+('MiT Strom Pipeline'!R66="In evaluation"))*('MiT Strom Pipeline'!B66&lt;&gt;""))&gt;0,IF('MiT Strom Pipeline'!E66="","",'MiT Strom Pipeline'!E66),"")</f>
        <v/>
      </c>
      <c r="G199" s="28">
        <f>IF(((('MiT Strom Pipeline'!R66="follow-up")+('MiT Strom Pipeline'!R66="Evaluation")+('MiT Strom Pipeline'!R66="tbd")+('MiT Strom Pipeline'!R66="In evaluation"))*('MiT Strom Pipeline'!B66&lt;&gt;""))&gt;0,IF(ISNUMBER('MiT Strom Pipeline'!I66),'MiT Strom Pipeline'!I66,0),"")</f>
        <v/>
      </c>
      <c r="H199" s="28">
        <f>IF(((('MiT Strom Pipeline'!R66="follow-up")+('MiT Strom Pipeline'!R66="Evaluation")+('MiT Strom Pipeline'!R66="tbd")+('MiT Strom Pipeline'!R66="In evaluation"))*('MiT Strom Pipeline'!B66&lt;&gt;""))&gt;0,IF(ISNUMBER('MiT Strom Pipeline'!Q66),'MiT Strom Pipeline'!Q66,0),"")</f>
        <v/>
      </c>
      <c r="I199" s="27">
        <f>IF(((('MiT Strom Pipeline'!R66="follow-up")+('MiT Strom Pipeline'!R66="Evaluation")+('MiT Strom Pipeline'!R66="tbd")+('MiT Strom Pipeline'!R66="In evaluation"))*('MiT Strom Pipeline'!B66&lt;&gt;""))&gt;0,'MiT Strom Pipeline'!R66,"")</f>
        <v/>
      </c>
      <c r="J199" s="29">
        <f>IF(((('MiT Strom Pipeline'!R66="follow-up")+('MiT Strom Pipeline'!R66="Evaluation")+('MiT Strom Pipeline'!R66="tbd")+('MiT Strom Pipeline'!R66="In evaluation"))*('MiT Strom Pipeline'!B66&lt;&gt;""))&gt;0,IF(ISNUMBER('MiT Strom Pipeline'!S66),'MiT Strom Pipeline'!S66,""),"")</f>
        <v/>
      </c>
      <c r="K199" s="27">
        <f>IF(((('MiT Strom Pipeline'!R66="follow-up")+('MiT Strom Pipeline'!R66="Evaluation")+('MiT Strom Pipeline'!R66="tbd")+('MiT Strom Pipeline'!R66="In evaluation"))*('MiT Strom Pipeline'!B66&lt;&gt;""))&gt;0,IF(LEN('MiT Strom Pipeline'!V66)&gt;0,LEFT('MiT Strom Pipeline'!V66,55),""),"")</f>
        <v/>
      </c>
      <c r="L199" s="22" t="n"/>
      <c r="M199" s="22" t="n"/>
      <c r="N199" s="22" t="n"/>
      <c r="O199" s="22" t="n"/>
      <c r="P199" s="22" t="n"/>
      <c r="Q199" s="22" t="n"/>
      <c r="R199" s="22" t="n"/>
      <c r="S199" s="22" t="n"/>
    </row>
    <row r="200" ht="3.75" customHeight="1">
      <c r="A200" s="26">
        <f>IF(((('MiT Strom Pipeline'!R67="follow-up")+('MiT Strom Pipeline'!R67="Evaluation")+('MiT Strom Pipeline'!R67="tbd")+('MiT Strom Pipeline'!R67="In evaluation"))*('MiT Strom Pipeline'!B67&lt;&gt;""))&gt;0,IF(ISNUMBER('MiT Strom Pipeline'!A67),'MiT Strom Pipeline'!A67,""),"")</f>
        <v/>
      </c>
      <c r="B200" s="27">
        <f>IF(((('MiT Strom Pipeline'!R67="follow-up")+('MiT Strom Pipeline'!R67="Evaluation")+('MiT Strom Pipeline'!R67="tbd")+('MiT Strom Pipeline'!R67="In evaluation"))*('MiT Strom Pipeline'!B67&lt;&gt;""))&gt;0,IF('MiT Strom Pipeline'!B67="","",'MiT Strom Pipeline'!B67),"")</f>
        <v/>
      </c>
      <c r="C200" s="27">
        <f>IF(((('MiT Strom Pipeline'!R67="follow-up")+('MiT Strom Pipeline'!R67="Evaluation")+('MiT Strom Pipeline'!R67="tbd")+('MiT Strom Pipeline'!R67="In evaluation"))*('MiT Strom Pipeline'!B67&lt;&gt;""))&gt;0,IF('MiT Strom Pipeline'!C67="","",'MiT Strom Pipeline'!C67),"")</f>
        <v/>
      </c>
      <c r="D200" s="27">
        <f>IF(((('MiT Strom Pipeline'!R67="follow-up")+('MiT Strom Pipeline'!R67="Evaluation")+('MiT Strom Pipeline'!R67="tbd")+('MiT Strom Pipeline'!R67="In evaluation"))*('MiT Strom Pipeline'!B67&lt;&gt;""))&gt;0,IF('MiT Strom Pipeline'!D67="","",'MiT Strom Pipeline'!D67),"")</f>
        <v/>
      </c>
      <c r="E200" s="27">
        <f>IF(((('MiT Strom Pipeline'!R67="follow-up")+('MiT Strom Pipeline'!R67="Evaluation")+('MiT Strom Pipeline'!R67="tbd")+('MiT Strom Pipeline'!R67="In evaluation"))*('MiT Strom Pipeline'!B67&lt;&gt;""))&gt;0,IF('MiT Strom Pipeline'!H67="","",'MiT Strom Pipeline'!H67),"")</f>
        <v/>
      </c>
      <c r="F200" s="27">
        <f>IF(((('MiT Strom Pipeline'!R67="follow-up")+('MiT Strom Pipeline'!R67="Evaluation")+('MiT Strom Pipeline'!R67="tbd")+('MiT Strom Pipeline'!R67="In evaluation"))*('MiT Strom Pipeline'!B67&lt;&gt;""))&gt;0,IF('MiT Strom Pipeline'!E67="","",'MiT Strom Pipeline'!E67),"")</f>
        <v/>
      </c>
      <c r="G200" s="28">
        <f>IF(((('MiT Strom Pipeline'!R67="follow-up")+('MiT Strom Pipeline'!R67="Evaluation")+('MiT Strom Pipeline'!R67="tbd")+('MiT Strom Pipeline'!R67="In evaluation"))*('MiT Strom Pipeline'!B67&lt;&gt;""))&gt;0,IF(ISNUMBER('MiT Strom Pipeline'!I67),'MiT Strom Pipeline'!I67,0),"")</f>
        <v/>
      </c>
      <c r="H200" s="28">
        <f>IF(((('MiT Strom Pipeline'!R67="follow-up")+('MiT Strom Pipeline'!R67="Evaluation")+('MiT Strom Pipeline'!R67="tbd")+('MiT Strom Pipeline'!R67="In evaluation"))*('MiT Strom Pipeline'!B67&lt;&gt;""))&gt;0,IF(ISNUMBER('MiT Strom Pipeline'!Q67),'MiT Strom Pipeline'!Q67,0),"")</f>
        <v/>
      </c>
      <c r="I200" s="27">
        <f>IF(((('MiT Strom Pipeline'!R67="follow-up")+('MiT Strom Pipeline'!R67="Evaluation")+('MiT Strom Pipeline'!R67="tbd")+('MiT Strom Pipeline'!R67="In evaluation"))*('MiT Strom Pipeline'!B67&lt;&gt;""))&gt;0,'MiT Strom Pipeline'!R67,"")</f>
        <v/>
      </c>
      <c r="J200" s="29">
        <f>IF(((('MiT Strom Pipeline'!R67="follow-up")+('MiT Strom Pipeline'!R67="Evaluation")+('MiT Strom Pipeline'!R67="tbd")+('MiT Strom Pipeline'!R67="In evaluation"))*('MiT Strom Pipeline'!B67&lt;&gt;""))&gt;0,IF(ISNUMBER('MiT Strom Pipeline'!S67),'MiT Strom Pipeline'!S67,""),"")</f>
        <v/>
      </c>
      <c r="K200" s="27">
        <f>IF(((('MiT Strom Pipeline'!R67="follow-up")+('MiT Strom Pipeline'!R67="Evaluation")+('MiT Strom Pipeline'!R67="tbd")+('MiT Strom Pipeline'!R67="In evaluation"))*('MiT Strom Pipeline'!B67&lt;&gt;""))&gt;0,IF(LEN('MiT Strom Pipeline'!V67)&gt;0,LEFT('MiT Strom Pipeline'!V67,55),""),"")</f>
        <v/>
      </c>
      <c r="L200" s="22" t="n"/>
      <c r="M200" s="22" t="n"/>
      <c r="N200" s="22" t="n"/>
      <c r="O200" s="22" t="n"/>
      <c r="P200" s="22" t="n"/>
      <c r="Q200" s="22" t="n"/>
      <c r="R200" s="22" t="n"/>
      <c r="S200" s="22" t="n"/>
    </row>
    <row r="201" ht="27.75" customHeight="1">
      <c r="A201" s="143" t="inlineStr">
        <is>
          <t>📊  GESAMTTOTAL — Aktive Pipeline (exkl. Declined / LOST)</t>
        </is>
      </c>
      <c r="B201" s="189" t="n"/>
      <c r="C201" s="189" t="n"/>
      <c r="D201" s="189" t="n"/>
      <c r="E201" s="190" t="n"/>
      <c r="F201" s="33">
        <f>SUMIFS('MiT Strom Pipeline'!I$6:I$860,'MiT Strom Pipeline'!R$6:R$860,"WON")+SUMIFS('MiT Strom Pipeline'!I$6:I$860,'MiT Strom Pipeline'!R$6:R$860,"offered")+SUMIFS('MiT Strom Pipeline'!I$6:I$860,'MiT Strom Pipeline'!R$6:R$860,"to be offered")+SUMIFS('MiT Strom Pipeline'!I$6:I$860,'MiT Strom Pipeline'!R$6:R$860,"on hold")+SUMIFS('MiT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5631696.2</v>
      </c>
      <c r="G201" s="45" t="n"/>
      <c r="H201" s="34" t="n"/>
      <c r="I201" s="34" t="n"/>
      <c r="J201" s="35" t="n"/>
      <c r="L201" s="22" t="n"/>
      <c r="M201" s="22" t="n"/>
      <c r="N201" s="22" t="n"/>
      <c r="O201" s="22" t="n"/>
      <c r="P201" s="22" t="n"/>
      <c r="Q201" s="22" t="n"/>
      <c r="R201" s="22" t="n"/>
      <c r="S201" s="22" t="n"/>
    </row>
    <row r="202" ht="18" customHeight="1">
      <c r="A202" s="138" t="inlineStr">
        <is>
          <t xml:space="preserve">  → WON</t>
        </is>
      </c>
      <c r="F202" s="36">
        <f>SUMIFS('MiT Strom Pipeline'!I$6:I$860,'MiT Strom Pipeline'!R$6:R$860,"WON")</f>
        <v>694803.69</v>
      </c>
      <c r="G202" s="47" t="n"/>
      <c r="H202" s="37" t="n"/>
      <c r="I202" s="37" t="n"/>
      <c r="J202" s="38" t="n"/>
      <c r="L202" s="22" t="n"/>
      <c r="M202" s="22" t="n"/>
      <c r="N202" s="22" t="n"/>
      <c r="O202" s="22" t="n"/>
      <c r="P202" s="22" t="n"/>
      <c r="Q202" s="22" t="n"/>
      <c r="R202" s="22" t="n"/>
      <c r="S202" s="22" t="n"/>
    </row>
    <row r="203" ht="18" customHeight="1">
      <c r="A203" s="138" t="inlineStr">
        <is>
          <t xml:space="preserve">  → Offerte</t>
        </is>
      </c>
      <c r="F203" s="39">
        <f>SUMIFS('MiT Strom Pipeline'!I$6:I$860,'MiT Strom Pipeline'!R$6:R$860,"offered")+SUMIFS('MiT Strom Pipeline'!I$6:I$860,'MiT Strom Pipeline'!R$6:R$860,"to be offered")+SUMIFS('MiT Strom Pipeline'!I$6:I$860,'MiT Strom Pipeline'!R$6:R$860,"on hold")</f>
        <v>3559557.95</v>
      </c>
      <c r="G203" s="47" t="n"/>
      <c r="H203" s="37" t="n"/>
      <c r="I203" s="37" t="n"/>
      <c r="J203" s="38" t="n"/>
      <c r="L203" s="22" t="n"/>
      <c r="M203" s="22" t="n"/>
      <c r="N203" s="22" t="n"/>
      <c r="O203" s="22" t="n"/>
      <c r="P203" s="22" t="n"/>
      <c r="Q203" s="22" t="n"/>
      <c r="R203" s="22" t="n"/>
      <c r="S203" s="22" t="n"/>
    </row>
    <row r="204" ht="18" customHeight="1">
      <c r="A204" s="138" t="inlineStr">
        <is>
          <t xml:space="preserve">  → Opportunität</t>
        </is>
      </c>
      <c r="F204" s="40">
        <f>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1377334.56</v>
      </c>
      <c r="G204" s="47" t="n"/>
      <c r="H204" s="37" t="n"/>
      <c r="I204" s="37" t="n"/>
      <c r="J204" s="38" t="n"/>
      <c r="L204" s="22" t="n"/>
      <c r="M204" s="22" t="n"/>
      <c r="N204" s="22" t="n"/>
      <c r="O204" s="22" t="n"/>
      <c r="P204" s="22" t="n"/>
      <c r="Q204" s="22" t="n"/>
      <c r="R204" s="22" t="n"/>
      <c r="S204" s="22" t="n"/>
    </row>
    <row r="205" ht="15" customHeight="1">
      <c r="D205" s="41" t="n"/>
      <c r="E205" s="41" t="n"/>
      <c r="J205" s="41" t="n"/>
      <c r="L205" s="22" t="n"/>
      <c r="M205" s="22" t="n"/>
      <c r="N205" s="22" t="n"/>
      <c r="O205" s="22" t="n"/>
      <c r="P205" s="22" t="n"/>
      <c r="Q205" s="22" t="n"/>
      <c r="R205" s="22" t="n"/>
      <c r="S205" s="22" t="n"/>
    </row>
    <row r="206" ht="13.5" customHeight="1">
      <c r="A206" s="139" t="str">
        <f>"Stand: "&amp;TEXT(TODAY(),"DD.MM.YYYY")&amp;"  |  Burak Ücöz  |  Mobil in Time AG – An Aggreko Company  |  VERTRAULICH"</f>
        <v>Stand: 13.07.2026  |  Burak Ücöz  |  Mobil in Time AG – An Aggreko Company  |  VERTRAULICH</v>
      </c>
      <c r="L206" s="22" t="n"/>
      <c r="M206" s="22" t="n"/>
      <c r="N206" s="22" t="n"/>
      <c r="O206" s="22" t="n"/>
      <c r="P206" s="22" t="n"/>
      <c r="Q206" s="22" t="n"/>
      <c r="R206" s="22" t="n"/>
      <c r="S206" s="22" t="n"/>
    </row>
    <row r="207" ht="15" customHeight="1">
      <c r="L207" s="22" t="n"/>
      <c r="M207" s="22" t="n"/>
      <c r="N207" s="22" t="n"/>
      <c r="O207" s="22" t="n"/>
      <c r="P207" s="22" t="n"/>
      <c r="Q207" s="22" t="n"/>
      <c r="R207" s="22" t="n"/>
      <c r="S207" s="22" t="n"/>
    </row>
    <row r="208" ht="15" customHeight="1">
      <c r="L208" s="22" t="n"/>
      <c r="M208" s="22" t="n"/>
      <c r="N208" s="22" t="n"/>
      <c r="O208" s="22" t="n"/>
      <c r="P208" s="22" t="n"/>
      <c r="Q208" s="22" t="n"/>
      <c r="R208" s="22" t="n"/>
      <c r="S208" s="22" t="n"/>
    </row>
    <row r="209" ht="15" customHeight="1">
      <c r="L209" s="22" t="n"/>
      <c r="M209" s="22" t="n"/>
      <c r="N209" s="22" t="n"/>
      <c r="O209" s="22" t="n"/>
      <c r="P209" s="22" t="n"/>
      <c r="Q209" s="22" t="n"/>
      <c r="R209" s="22" t="n"/>
      <c r="S209" s="22" t="n"/>
    </row>
    <row r="210" ht="15" customHeight="1">
      <c r="L210" s="22" t="n"/>
      <c r="M210" s="22" t="n"/>
      <c r="N210" s="22" t="n"/>
      <c r="O210" s="22" t="n"/>
      <c r="P210" s="22" t="n"/>
      <c r="Q210" s="22" t="n"/>
      <c r="R210" s="22" t="n"/>
      <c r="S210" s="22" t="n"/>
    </row>
    <row r="211" ht="15" customHeight="1">
      <c r="L211" s="22" t="n"/>
      <c r="M211" s="22" t="n"/>
      <c r="N211" s="22" t="n"/>
      <c r="O211" s="22" t="n"/>
      <c r="P211" s="22" t="n"/>
      <c r="Q211" s="22" t="n"/>
      <c r="R211" s="22" t="n"/>
      <c r="S211" s="22" t="n"/>
    </row>
    <row r="212" ht="15" customHeight="1">
      <c r="L212" s="22" t="n"/>
      <c r="M212" s="22" t="n"/>
      <c r="N212" s="22" t="n"/>
      <c r="O212" s="22" t="n"/>
      <c r="P212" s="22" t="n"/>
      <c r="Q212" s="22" t="n"/>
      <c r="R212" s="22" t="n"/>
      <c r="S212" s="22" t="n"/>
    </row>
    <row r="213" ht="15" customHeight="1">
      <c r="L213" s="22" t="n"/>
      <c r="M213" s="22" t="n"/>
      <c r="N213" s="22" t="n"/>
      <c r="O213" s="22" t="n"/>
      <c r="P213" s="22" t="n"/>
      <c r="Q213" s="22" t="n"/>
      <c r="R213" s="22" t="n"/>
      <c r="S213" s="22" t="n"/>
    </row>
    <row r="214" ht="15" customHeight="1">
      <c r="L214" s="22" t="n"/>
      <c r="M214" s="22" t="n"/>
      <c r="N214" s="22" t="n"/>
      <c r="O214" s="22" t="n"/>
      <c r="P214" s="22" t="n"/>
      <c r="Q214" s="22" t="n"/>
      <c r="R214" s="22" t="n"/>
      <c r="S214" s="22" t="n"/>
    </row>
    <row r="215" ht="15" customHeight="1">
      <c r="L215" s="22" t="n"/>
      <c r="M215" s="22" t="n"/>
      <c r="N215" s="22" t="n"/>
      <c r="O215" s="22" t="n"/>
      <c r="P215" s="22" t="n"/>
      <c r="Q215" s="22" t="n"/>
      <c r="R215" s="22" t="n"/>
      <c r="S215" s="22" t="n"/>
    </row>
    <row r="216" ht="15" customHeight="1">
      <c r="L216" s="22" t="n"/>
      <c r="M216" s="22" t="n"/>
      <c r="N216" s="22" t="n"/>
      <c r="O216" s="22" t="n"/>
      <c r="P216" s="22" t="n"/>
      <c r="Q216" s="22" t="n"/>
      <c r="R216" s="22" t="n"/>
      <c r="S216" s="22" t="n"/>
    </row>
    <row r="217" ht="15" customHeight="1">
      <c r="L217" s="22" t="n"/>
      <c r="M217" s="22" t="n"/>
      <c r="N217" s="22" t="n"/>
      <c r="O217" s="22" t="n"/>
      <c r="P217" s="22" t="n"/>
      <c r="Q217" s="22" t="n"/>
      <c r="R217" s="22" t="n"/>
      <c r="S217" s="22" t="n"/>
    </row>
    <row r="218" ht="15" customHeight="1">
      <c r="L218" s="22" t="n"/>
      <c r="M218" s="22" t="n"/>
      <c r="N218" s="22" t="n"/>
      <c r="O218" s="22" t="n"/>
      <c r="P218" s="22" t="n"/>
      <c r="Q218" s="22" t="n"/>
      <c r="R218" s="22" t="n"/>
      <c r="S218" s="22" t="n"/>
    </row>
    <row r="219" ht="15" customHeight="1">
      <c r="L219" s="22" t="n"/>
      <c r="M219" s="22" t="n"/>
      <c r="N219" s="22" t="n"/>
      <c r="O219" s="22" t="n"/>
      <c r="P219" s="22" t="n"/>
      <c r="Q219" s="22" t="n"/>
      <c r="R219" s="22" t="n"/>
      <c r="S219" s="22" t="n"/>
    </row>
  </sheetData>
  <autoFilter ref="A10:K72"/>
  <mergeCells count="23">
    <mergeCell ref="A201:E201"/>
    <mergeCell ref="A206:J206"/>
    <mergeCell ref="A73:K73"/>
    <mergeCell ref="D7:F7"/>
    <mergeCell ref="A1:K1"/>
    <mergeCell ref="G7:H7"/>
    <mergeCell ref="A5:C5"/>
    <mergeCell ref="I5:K5"/>
    <mergeCell ref="A137:K137"/>
    <mergeCell ref="G6:H6"/>
    <mergeCell ref="I7:K7"/>
    <mergeCell ref="A3:K3"/>
    <mergeCell ref="A204:E204"/>
    <mergeCell ref="D5:F5"/>
    <mergeCell ref="A2:K2"/>
    <mergeCell ref="G5:H5"/>
    <mergeCell ref="A203:E203"/>
    <mergeCell ref="I6:K6"/>
    <mergeCell ref="A6:C6"/>
    <mergeCell ref="A202:E202"/>
    <mergeCell ref="A7:C7"/>
    <mergeCell ref="D6:F6"/>
    <mergeCell ref="A9:K9"/>
  </mergeCells>
  <conditionalFormatting sqref="I11:I200">
    <cfRule type="cellIs" priority="1" operator="equal" dxfId="9" stopIfTrue="1">
      <formula>"WON"</formula>
    </cfRule>
    <cfRule type="cellIs" priority="2" operator="equal" dxfId="8" stopIfTrue="1">
      <formula>"offered"</formula>
    </cfRule>
    <cfRule type="cellIs" priority="3" operator="equal" dxfId="7" stopIfTrue="1">
      <formula>"to be offered"</formula>
    </cfRule>
    <cfRule type="cellIs" priority="4" operator="equal" dxfId="6" stopIfTrue="1">
      <formula>"follow-up"</formula>
    </cfRule>
    <cfRule type="cellIs" priority="5" operator="equal" dxfId="4" stopIfTrue="1">
      <formula>"Evaluation"</formula>
    </cfRule>
    <cfRule type="cellIs" priority="6" operator="equal" dxfId="4" stopIfTrue="1">
      <formula>"In evaluation"</formula>
    </cfRule>
    <cfRule type="cellIs" priority="7" operator="equal" dxfId="3" stopIfTrue="1">
      <formula>"on hold"</formula>
    </cfRule>
    <cfRule type="cellIs" priority="8" operator="equal" dxfId="2" stopIfTrue="1">
      <formula>"tbd"</formula>
    </cfRule>
    <cfRule type="cellIs" priority="9" operator="equal" dxfId="1" stopIfTrue="1">
      <formula>"LOST"</formula>
    </cfRule>
    <cfRule type="cellIs" priority="10" operator="equal" dxfId="0" stopIfTrue="1">
      <formula>"Declined"</formula>
    </cfRule>
  </conditionalFormatting>
  <printOptions horizontalCentered="1"/>
  <pageMargins left="0.3" right="0.3" top="0.5" bottom="0.5" header="0.2" footer="0.2"/>
  <pageSetup orientation="landscape" paperSize="9" fitToHeight="0" horizontalDpi="300" verticalDpi="300"/>
  <headerFooter>
    <oddHeader>&amp;C&amp;"Calibri,Bold"&amp;14 MiT Strom Schweiz — Dashboard</oddHeader>
    <oddFooter>&amp;LMobil in Time AG · An Aggreko Company&amp;RSeite &amp;P von &amp;N</oddFooter>
    <evenHeader/>
    <evenFooter/>
    <firstHeader/>
    <firstFooter/>
  </headerFooter>
  <rowBreaks count="2" manualBreakCount="2">
    <brk id="72" min="0" max="16383" man="1"/>
    <brk id="136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F57C00"/>
    <outlinePr summaryBelow="1" summaryRight="1"/>
    <pageSetUpPr fitToPage="1"/>
  </sheetPr>
  <dimension ref="A1:R100"/>
  <sheetViews>
    <sheetView showGridLines="0" topLeftCell="A9" zoomScale="85" zoomScaleNormal="85" workbookViewId="0">
      <selection activeCell="A1" sqref="A1"/>
    </sheetView>
  </sheetViews>
  <sheetFormatPr baseColWidth="8" defaultColWidth="8.5703125" defaultRowHeight="15"/>
  <cols>
    <col width="11" customWidth="1" min="1" max="18"/>
  </cols>
  <sheetData>
    <row r="1" ht="31.5" customHeight="1">
      <c r="A1" s="157" t="inlineStr">
        <is>
          <t>📊  MiT Strom Schweiz — Diagramme &amp; Visualisierungen</t>
        </is>
      </c>
    </row>
    <row r="2" ht="15.75" customHeight="1">
      <c r="A2" s="168" t="inlineStr">
        <is>
          <t xml:space="preserve">  Auto-Update aus «MiT Strom Pipeline» — keine Datenpflege hier nötig</t>
        </is>
      </c>
    </row>
    <row r="3" ht="15.75" customHeight="1"/>
    <row r="4" ht="15.75" customHeight="1">
      <c r="A4" s="50" t="inlineStr">
        <is>
          <t>📊 Status-Verteilung (Anzahl)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50" t="inlineStr">
        <is>
          <t>💰 Status nach Volumen CHF</t>
        </is>
      </c>
      <c r="K4" s="22" t="n"/>
      <c r="L4" s="22" t="n"/>
      <c r="M4" s="22" t="n"/>
      <c r="N4" s="22" t="n"/>
      <c r="O4" s="22" t="n"/>
      <c r="P4" s="22" t="n"/>
      <c r="Q4" s="22" t="n"/>
      <c r="R4" s="22" t="n"/>
    </row>
    <row r="5" ht="15.75" customHeight="1">
      <c r="A5" s="22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</row>
    <row r="6" ht="15.75" customHeight="1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</row>
    <row r="7" ht="15.75" customHeight="1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</row>
    <row r="8" ht="15.75" customHeight="1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</row>
    <row r="9" ht="15.75" customHeight="1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</row>
    <row r="10" ht="15.75" customHeight="1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</row>
    <row r="11" ht="15.75" customHeight="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</row>
    <row r="12" ht="15.75" customHeight="1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</row>
    <row r="13" ht="15.75" customHeight="1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</row>
    <row r="14" ht="15.75" customHeight="1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</row>
    <row r="15" ht="15.75" customHeight="1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</row>
    <row r="16" ht="15.75" customHeight="1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</row>
    <row r="17" ht="15.75" customHeight="1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</row>
    <row r="18" ht="15.75" customHeight="1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</row>
    <row r="19" ht="15.75" customHeight="1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</row>
    <row r="20" ht="15.75" customHeight="1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</row>
    <row r="21" ht="15.75" customHeight="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</row>
    <row r="22" ht="7.5" customHeight="1">
      <c r="A22" s="22" t="n"/>
      <c r="B22" s="22" t="n"/>
      <c r="C22" s="23" t="n"/>
      <c r="D22" s="22" t="n"/>
      <c r="E22" s="22" t="n"/>
      <c r="F22" s="23" t="n"/>
      <c r="G22" s="22" t="n"/>
      <c r="H22" s="22" t="n"/>
      <c r="I22" s="22" t="n"/>
      <c r="J22" s="23" t="n"/>
      <c r="K22" s="22" t="n"/>
      <c r="L22" s="22" t="n"/>
      <c r="M22" s="22" t="n"/>
      <c r="N22" s="22" t="n"/>
      <c r="O22" s="22" t="n"/>
      <c r="P22" s="22" t="n"/>
      <c r="Q22" s="22" t="n"/>
      <c r="R22" s="22" t="n"/>
    </row>
    <row r="23" ht="7.5" customHeight="1">
      <c r="A23" s="22" t="n"/>
      <c r="B23" s="22" t="n"/>
      <c r="C23" s="23" t="n"/>
      <c r="D23" s="22" t="n"/>
      <c r="E23" s="22" t="n"/>
      <c r="F23" s="23" t="n"/>
      <c r="G23" s="22" t="n"/>
      <c r="H23" s="22" t="n"/>
      <c r="I23" s="22" t="n"/>
      <c r="J23" s="23" t="n"/>
      <c r="K23" s="22" t="n"/>
      <c r="L23" s="22" t="n"/>
      <c r="M23" s="22" t="n"/>
      <c r="N23" s="22" t="n"/>
      <c r="O23" s="22" t="n"/>
      <c r="P23" s="22" t="n"/>
      <c r="Q23" s="22" t="n"/>
      <c r="R23" s="22" t="n"/>
    </row>
    <row r="24" ht="15.75" customHeight="1">
      <c r="B24" s="22" t="n"/>
      <c r="C24" s="23" t="n"/>
      <c r="D24" s="22" t="n"/>
      <c r="E24" s="22" t="n"/>
      <c r="F24" s="23" t="n"/>
      <c r="G24" s="22" t="n"/>
      <c r="H24" s="22" t="n"/>
      <c r="I24" s="22" t="n"/>
      <c r="M24" s="22" t="n"/>
      <c r="N24" s="22" t="n"/>
      <c r="O24" s="22" t="n"/>
      <c r="P24" s="22" t="n"/>
      <c r="Q24" s="22" t="n"/>
      <c r="R24" s="22" t="n"/>
    </row>
    <row r="25" ht="15.75" customHeight="1">
      <c r="A25" s="22" t="n"/>
      <c r="B25" s="22" t="n"/>
      <c r="C25" s="23" t="n"/>
      <c r="D25" s="22" t="n"/>
      <c r="E25" s="22" t="n"/>
      <c r="F25" s="23" t="n"/>
      <c r="G25" s="22" t="n"/>
      <c r="H25" s="22" t="n"/>
      <c r="I25" s="22" t="n"/>
      <c r="J25" s="23" t="n"/>
      <c r="K25" s="22" t="n"/>
      <c r="L25" s="22" t="n"/>
      <c r="M25" s="22" t="n"/>
      <c r="N25" s="22" t="n"/>
      <c r="O25" s="22" t="n"/>
      <c r="P25" s="22" t="n"/>
      <c r="Q25" s="22" t="n"/>
      <c r="R25" s="22" t="n"/>
    </row>
    <row r="26" ht="15.75" customHeight="1">
      <c r="A26" s="22" t="n"/>
      <c r="B26" s="22" t="n"/>
      <c r="C26" s="23" t="n"/>
      <c r="D26" s="22" t="n"/>
      <c r="E26" s="22" t="n"/>
      <c r="F26" s="23" t="n"/>
      <c r="G26" s="22" t="n"/>
      <c r="H26" s="22" t="n"/>
      <c r="I26" s="22" t="n"/>
      <c r="J26" s="23" t="n"/>
      <c r="K26" s="22" t="n"/>
      <c r="L26" s="22" t="n"/>
      <c r="M26" s="22" t="n"/>
      <c r="N26" s="22" t="n"/>
      <c r="O26" s="22" t="n"/>
      <c r="P26" s="22" t="n"/>
      <c r="Q26" s="22" t="n"/>
      <c r="R26" s="22" t="n"/>
    </row>
    <row r="27" ht="15.75" customHeight="1">
      <c r="A27" s="22" t="n"/>
      <c r="B27" s="22" t="n"/>
      <c r="C27" s="23" t="n"/>
      <c r="D27" s="22" t="n"/>
      <c r="E27" s="22" t="n"/>
      <c r="F27" s="23" t="n"/>
      <c r="G27" s="22" t="n"/>
      <c r="H27" s="22" t="n"/>
      <c r="I27" s="22" t="n"/>
      <c r="J27" s="23" t="n"/>
      <c r="K27" s="22" t="n"/>
      <c r="L27" s="22" t="n"/>
      <c r="M27" s="22" t="n"/>
      <c r="N27" s="22" t="n"/>
      <c r="O27" s="22" t="n"/>
      <c r="P27" s="22" t="n"/>
      <c r="Q27" s="22" t="n"/>
      <c r="R27" s="22" t="n"/>
    </row>
    <row r="28" ht="15.75" customHeight="1">
      <c r="A28" s="50" t="inlineStr">
        <is>
          <t>🗺  Volumen nach Kanton</t>
        </is>
      </c>
      <c r="B28" s="22" t="n"/>
      <c r="C28" s="23" t="n"/>
      <c r="D28" s="22" t="n"/>
      <c r="E28" s="22" t="n"/>
      <c r="F28" s="23" t="n"/>
      <c r="G28" s="22" t="n"/>
      <c r="H28" s="22" t="n"/>
      <c r="I28" s="22" t="n"/>
      <c r="J28" s="51" t="inlineStr">
        <is>
          <t>🏭 Volumen nach Segment</t>
        </is>
      </c>
      <c r="K28" s="22" t="n"/>
      <c r="L28" s="22" t="n"/>
      <c r="M28" s="22" t="n"/>
      <c r="N28" s="22" t="n"/>
      <c r="O28" s="22" t="n"/>
      <c r="P28" s="22" t="n"/>
      <c r="Q28" s="22" t="n"/>
      <c r="R28" s="22" t="n"/>
    </row>
    <row r="29" ht="15.75" customHeight="1">
      <c r="A29" s="22" t="n"/>
      <c r="B29" s="22" t="n"/>
      <c r="C29" s="23" t="n"/>
      <c r="D29" s="22" t="n"/>
      <c r="E29" s="22" t="n"/>
      <c r="F29" s="23" t="n"/>
      <c r="G29" s="22" t="n"/>
      <c r="H29" s="22" t="n"/>
      <c r="I29" s="22" t="n"/>
      <c r="J29" s="23" t="n"/>
      <c r="K29" s="22" t="n"/>
      <c r="L29" s="22" t="n"/>
      <c r="M29" s="22" t="n"/>
      <c r="N29" s="22" t="n"/>
      <c r="O29" s="22" t="n"/>
      <c r="P29" s="22" t="n"/>
      <c r="Q29" s="22" t="n"/>
      <c r="R29" s="22" t="n"/>
    </row>
    <row r="30" ht="15.75" customHeight="1">
      <c r="A30" s="22" t="n"/>
      <c r="B30" s="22" t="n"/>
      <c r="C30" s="23" t="n"/>
      <c r="D30" s="22" t="n"/>
      <c r="E30" s="22" t="n"/>
      <c r="F30" s="23" t="n"/>
      <c r="G30" s="22" t="n"/>
      <c r="H30" s="22" t="n"/>
      <c r="I30" s="22" t="n"/>
      <c r="J30" s="23" t="n"/>
      <c r="K30" s="22" t="n"/>
      <c r="L30" s="22" t="n"/>
      <c r="M30" s="22" t="n"/>
      <c r="N30" s="22" t="n"/>
      <c r="O30" s="22" t="n"/>
      <c r="P30" s="22" t="n"/>
      <c r="Q30" s="22" t="n"/>
      <c r="R30" s="22" t="n"/>
    </row>
    <row r="31" ht="15.75" customHeight="1">
      <c r="A31" s="22" t="n"/>
      <c r="B31" s="22" t="n"/>
      <c r="C31" s="23" t="n"/>
      <c r="D31" s="22" t="n"/>
      <c r="E31" s="22" t="n"/>
      <c r="F31" s="23" t="n"/>
      <c r="G31" s="22" t="n"/>
      <c r="H31" s="22" t="n"/>
      <c r="I31" s="22" t="n"/>
      <c r="J31" s="23" t="n"/>
      <c r="K31" s="22" t="n"/>
      <c r="L31" s="22" t="n"/>
      <c r="M31" s="22" t="n"/>
      <c r="N31" s="22" t="n"/>
      <c r="O31" s="22" t="n"/>
      <c r="P31" s="22" t="n"/>
      <c r="Q31" s="22" t="n"/>
      <c r="R31" s="22" t="n"/>
    </row>
    <row r="32" ht="15.75" customHeight="1">
      <c r="A32" s="22" t="n"/>
      <c r="B32" s="22" t="n"/>
      <c r="C32" s="22" t="n"/>
      <c r="D32" s="22" t="n"/>
      <c r="E32" s="22" t="n"/>
      <c r="F32" s="23" t="n"/>
      <c r="G32" s="22" t="n"/>
      <c r="H32" s="22" t="n"/>
      <c r="I32" s="22" t="n"/>
      <c r="J32" s="23" t="n"/>
      <c r="K32" s="22" t="n"/>
      <c r="L32" s="22" t="n"/>
      <c r="M32" s="22" t="n"/>
      <c r="N32" s="22" t="n"/>
      <c r="O32" s="22" t="n"/>
      <c r="P32" s="22" t="n"/>
      <c r="Q32" s="22" t="n"/>
      <c r="R32" s="22" t="n"/>
    </row>
    <row r="33" ht="15.75" customHeight="1">
      <c r="A33" s="22" t="n"/>
      <c r="B33" s="22" t="n"/>
      <c r="C33" s="22" t="n"/>
      <c r="D33" s="22" t="n"/>
      <c r="E33" s="22" t="n"/>
      <c r="F33" s="23" t="n"/>
      <c r="G33" s="22" t="n"/>
      <c r="H33" s="22" t="n"/>
      <c r="I33" s="22" t="n"/>
      <c r="J33" s="23" t="n"/>
      <c r="K33" s="22" t="n"/>
      <c r="L33" s="22" t="n"/>
      <c r="M33" s="22" t="n"/>
      <c r="N33" s="22" t="n"/>
      <c r="O33" s="22" t="n"/>
      <c r="P33" s="22" t="n"/>
      <c r="Q33" s="22" t="n"/>
      <c r="R33" s="22" t="n"/>
    </row>
    <row r="34" ht="15.75" customHeight="1">
      <c r="A34" s="22" t="n"/>
      <c r="B34" s="22" t="n"/>
      <c r="C34" s="22" t="n"/>
      <c r="D34" s="22" t="n"/>
      <c r="E34" s="22" t="n"/>
      <c r="F34" s="23" t="n"/>
      <c r="G34" s="22" t="n"/>
      <c r="H34" s="22" t="n"/>
      <c r="I34" s="22" t="n"/>
      <c r="J34" s="23" t="n"/>
      <c r="K34" s="22" t="n"/>
      <c r="L34" s="22" t="n"/>
      <c r="M34" s="22" t="n"/>
      <c r="N34" s="22" t="n"/>
      <c r="O34" s="22" t="n"/>
      <c r="P34" s="22" t="n"/>
      <c r="Q34" s="22" t="n"/>
      <c r="R34" s="22" t="n"/>
    </row>
    <row r="35" ht="15.75" customHeight="1">
      <c r="A35" s="22" t="n"/>
      <c r="B35" s="22" t="n"/>
      <c r="C35" s="22" t="n"/>
      <c r="D35" s="22" t="n"/>
      <c r="E35" s="22" t="n"/>
      <c r="F35" s="23" t="n"/>
      <c r="G35" s="22" t="n"/>
      <c r="H35" s="22" t="n"/>
      <c r="I35" s="22" t="n"/>
      <c r="J35" s="23" t="n"/>
      <c r="K35" s="22" t="n"/>
      <c r="L35" s="22" t="n"/>
      <c r="M35" s="22" t="n"/>
      <c r="N35" s="22" t="n"/>
      <c r="O35" s="22" t="n"/>
      <c r="P35" s="22" t="n"/>
      <c r="Q35" s="22" t="n"/>
      <c r="R35" s="22" t="n"/>
    </row>
    <row r="36" ht="15.75" customHeight="1">
      <c r="A36" s="22" t="n"/>
      <c r="B36" s="22" t="n"/>
      <c r="C36" s="22" t="n"/>
      <c r="D36" s="22" t="n"/>
      <c r="E36" s="22" t="n"/>
      <c r="F36" s="23" t="n"/>
      <c r="G36" s="22" t="n"/>
      <c r="H36" s="22" t="n"/>
      <c r="I36" s="22" t="n"/>
      <c r="J36" s="23" t="n"/>
      <c r="K36" s="22" t="n"/>
      <c r="L36" s="22" t="n"/>
      <c r="M36" s="22" t="n"/>
      <c r="N36" s="22" t="n"/>
      <c r="O36" s="22" t="n"/>
      <c r="P36" s="22" t="n"/>
      <c r="Q36" s="22" t="n"/>
      <c r="R36" s="22" t="n"/>
    </row>
    <row r="37" ht="15.75" customHeight="1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3" t="n"/>
      <c r="K37" s="22" t="n"/>
      <c r="L37" s="22" t="n"/>
      <c r="M37" s="22" t="n"/>
      <c r="N37" s="22" t="n"/>
      <c r="O37" s="22" t="n"/>
      <c r="P37" s="22" t="n"/>
      <c r="Q37" s="22" t="n"/>
      <c r="R37" s="22" t="n"/>
    </row>
    <row r="38" ht="15.75" customHeight="1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3" t="n"/>
      <c r="K38" s="22" t="n"/>
      <c r="L38" s="22" t="n"/>
      <c r="M38" s="22" t="n"/>
      <c r="N38" s="22" t="n"/>
      <c r="O38" s="22" t="n"/>
      <c r="P38" s="22" t="n"/>
      <c r="Q38" s="22" t="n"/>
      <c r="R38" s="22" t="n"/>
    </row>
    <row r="39" ht="15.75" customHeight="1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3" t="n"/>
      <c r="K39" s="22" t="n"/>
      <c r="L39" s="22" t="n"/>
      <c r="M39" s="22" t="n"/>
      <c r="N39" s="22" t="n"/>
      <c r="O39" s="22" t="n"/>
      <c r="P39" s="22" t="n"/>
      <c r="Q39" s="22" t="n"/>
      <c r="R39" s="22" t="n"/>
    </row>
    <row r="40" ht="15.75" customHeight="1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3" t="n"/>
      <c r="K40" s="22" t="n"/>
      <c r="L40" s="22" t="n"/>
      <c r="M40" s="22" t="n"/>
      <c r="N40" s="22" t="n"/>
      <c r="O40" s="22" t="n"/>
      <c r="P40" s="22" t="n"/>
      <c r="Q40" s="22" t="n"/>
      <c r="R40" s="22" t="n"/>
    </row>
    <row r="41" ht="15.75" customHeight="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3" t="n"/>
      <c r="K41" s="22" t="n"/>
      <c r="L41" s="22" t="n"/>
      <c r="M41" s="22" t="n"/>
      <c r="N41" s="22" t="n"/>
      <c r="O41" s="22" t="n"/>
      <c r="P41" s="22" t="n"/>
      <c r="Q41" s="22" t="n"/>
      <c r="R41" s="22" t="n"/>
    </row>
    <row r="42" ht="15.75" customHeight="1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3" t="n"/>
      <c r="K42" s="22" t="n"/>
      <c r="L42" s="22" t="n"/>
      <c r="M42" s="22" t="n"/>
      <c r="N42" s="22" t="n"/>
      <c r="O42" s="22" t="n"/>
      <c r="P42" s="22" t="n"/>
      <c r="Q42" s="22" t="n"/>
      <c r="R42" s="22" t="n"/>
    </row>
    <row r="43" ht="15.75" customHeight="1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3" t="n"/>
      <c r="K43" s="22" t="n"/>
      <c r="L43" s="22" t="n"/>
      <c r="M43" s="22" t="n"/>
      <c r="N43" s="22" t="n"/>
      <c r="O43" s="22" t="n"/>
      <c r="P43" s="22" t="n"/>
      <c r="Q43" s="22" t="n"/>
      <c r="R43" s="22" t="n"/>
    </row>
    <row r="44" ht="15" customHeight="1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3" t="n"/>
      <c r="K44" s="22" t="n"/>
      <c r="L44" s="22" t="n"/>
      <c r="M44" s="22" t="n"/>
      <c r="N44" s="22" t="n"/>
      <c r="O44" s="22" t="n"/>
      <c r="P44" s="22" t="n"/>
      <c r="Q44" s="22" t="n"/>
      <c r="R44" s="22" t="n"/>
    </row>
    <row r="45" ht="15" customHeight="1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3" t="n"/>
      <c r="K45" s="22" t="n"/>
      <c r="L45" s="22" t="n"/>
      <c r="M45" s="22" t="n"/>
      <c r="N45" s="22" t="n"/>
      <c r="O45" s="22" t="n"/>
      <c r="P45" s="22" t="n"/>
      <c r="Q45" s="22" t="n"/>
      <c r="R45" s="22" t="n"/>
    </row>
    <row r="46" ht="15" customHeight="1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</row>
    <row r="47" ht="15" customHeight="1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</row>
    <row r="48" ht="15" customHeight="1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</row>
    <row r="49" ht="15" customHeight="1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</row>
    <row r="50" ht="15" customHeight="1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</row>
    <row r="51" ht="15" customHeight="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</row>
    <row r="52" ht="15" customHeight="1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</row>
    <row r="53" ht="15" customHeight="1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</row>
    <row r="54" ht="15" customHeight="1">
      <c r="A54" s="22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</row>
    <row r="55" ht="15" customHeight="1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</row>
    <row r="56" ht="15" customHeight="1">
      <c r="A56" s="22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</row>
    <row r="57" ht="15" customHeight="1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</row>
    <row r="58" ht="15" customHeight="1">
      <c r="A58" s="22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</row>
    <row r="59" ht="15" customHeight="1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</row>
    <row r="60" ht="15" customHeight="1">
      <c r="A60" s="22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</row>
    <row r="61" ht="15" customHeight="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</row>
    <row r="62" ht="15" customHeight="1">
      <c r="A62" s="22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</row>
    <row r="63" ht="15" customHeight="1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</row>
    <row r="64" ht="15" customHeight="1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</row>
    <row r="65" ht="15" customHeight="1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</row>
    <row r="66" ht="15" customHeight="1">
      <c r="A66" s="22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</row>
    <row r="67" ht="15" customHeight="1">
      <c r="A67" s="22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</row>
    <row r="68" ht="15" customHeight="1">
      <c r="A68" s="22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</row>
    <row r="69" ht="15" customHeight="1">
      <c r="A69" s="22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</row>
    <row r="70" ht="15" customHeight="1">
      <c r="A70" s="22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</row>
    <row r="71" ht="15" customHeight="1">
      <c r="A71" s="22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</row>
    <row r="72" ht="15" customHeight="1">
      <c r="A72" s="22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</row>
    <row r="73" ht="15" customHeight="1">
      <c r="A73" s="22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</row>
    <row r="74" ht="15" customHeight="1">
      <c r="A74" s="22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</row>
    <row r="75" ht="15" customHeight="1">
      <c r="A75" s="22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</row>
    <row r="76" ht="15" customHeight="1">
      <c r="A76" s="22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</row>
    <row r="77" ht="15" customHeight="1">
      <c r="A77" s="22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</row>
    <row r="78" ht="15" customHeight="1">
      <c r="A78" s="22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</row>
    <row r="79" ht="15" customHeight="1">
      <c r="A79" s="22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</row>
    <row r="80" ht="15" customHeight="1">
      <c r="A80" s="22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</row>
    <row r="81" ht="15" customHeight="1">
      <c r="A81" s="22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</row>
    <row r="82" ht="15" customHeight="1">
      <c r="A82" s="22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</row>
    <row r="83" ht="15" customHeight="1">
      <c r="A83" s="22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</row>
    <row r="84" ht="15" customHeight="1">
      <c r="A84" s="22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</row>
    <row r="85" ht="15" customHeight="1">
      <c r="A85" s="22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</row>
    <row r="86" ht="15" customHeight="1">
      <c r="A86" s="22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</row>
    <row r="87" ht="15" customHeight="1">
      <c r="A87" s="22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</row>
    <row r="88" ht="15" customHeight="1">
      <c r="A88" s="22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</row>
    <row r="89" ht="15" customHeight="1">
      <c r="A89" s="22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</row>
    <row r="90" ht="15" customHeight="1">
      <c r="A90" s="22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</row>
    <row r="91" ht="15" customHeight="1">
      <c r="A91" s="22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</row>
    <row r="92" ht="15" customHeight="1">
      <c r="A92" s="22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</row>
    <row r="93" ht="15" customHeight="1">
      <c r="A93" s="22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</row>
    <row r="94" ht="15" customHeight="1">
      <c r="A94" s="22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</row>
    <row r="95" ht="15" customHeight="1">
      <c r="A95" s="22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</row>
    <row r="96" ht="15" customHeight="1">
      <c r="A96" s="22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</row>
    <row r="97" ht="15" customHeight="1">
      <c r="A97" s="22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</row>
    <row r="98" ht="15" customHeight="1">
      <c r="A98" s="22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</row>
    <row r="99" ht="15" customHeight="1">
      <c r="A99" s="22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</row>
    <row r="100" ht="15" customHeight="1">
      <c r="A100" s="22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</row>
  </sheetData>
  <mergeCells count="2">
    <mergeCell ref="A2:R2"/>
    <mergeCell ref="A1:R1"/>
  </mergeCells>
  <printOptions horizontalCentered="1" verticalCentered="1"/>
  <pageMargins left="0.3" right="0.3" top="0.5" bottom="0.5" header="0.2" footer="0.2"/>
  <pageSetup orientation="landscape" paperSize="9" horizontalDpi="300" verticalDpi="300"/>
  <headerFooter>
    <oddHeader>&amp;C&amp;"Calibri,Bold"&amp;14 MiT Strom Schweiz — Visualisierungen</oddHeader>
    <oddFooter>&amp;R&amp;P/&amp;N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555555"/>
    <outlinePr summaryBelow="1" summaryRight="1"/>
    <pageSetUpPr fitToPage="1"/>
  </sheetPr>
  <dimension ref="A1:AA861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8" defaultColWidth="9.140625" defaultRowHeight="15"/>
  <cols>
    <col width="4" customWidth="1" min="1" max="1"/>
    <col width="28.28515625" customWidth="1" min="2" max="2"/>
    <col width="6" customWidth="1" min="3" max="3"/>
    <col width="18" customWidth="1" min="4" max="4"/>
    <col width="20" customWidth="1" min="5" max="5"/>
    <col width="19.7109375" customWidth="1" min="6" max="6"/>
    <col width="9" customWidth="1" min="7" max="7"/>
    <col width="10" customWidth="1" min="8" max="8"/>
    <col width="11" customWidth="1" min="9" max="9"/>
    <col width="12" customWidth="1" min="10" max="10"/>
    <col width="11.28515625" customWidth="1" min="11" max="11"/>
    <col width="10.5703125" customWidth="1" min="12" max="12"/>
    <col width="12" customWidth="1" min="14" max="14"/>
    <col width="8" customWidth="1" min="16" max="16"/>
    <col width="13" customWidth="1" min="17" max="17"/>
    <col width="14" customWidth="1" min="18" max="18"/>
    <col width="8" customWidth="1" min="19" max="19"/>
    <col width="15" customWidth="1" min="20" max="20"/>
    <col width="20.85546875" customWidth="1" min="21" max="21"/>
    <col width="97.140625" customWidth="1" min="22" max="22"/>
    <col width="12" customWidth="1" min="23" max="23"/>
    <col width="97.140625" customWidth="1" min="24" max="24"/>
    <col hidden="1" width="13" customWidth="1" min="25" max="25"/>
    <col hidden="1" width="13" customWidth="1" min="26" max="26"/>
    <col hidden="1" width="13" customWidth="1" min="27" max="27"/>
  </cols>
  <sheetData>
    <row r="1" ht="36" customHeight="1">
      <c r="A1" s="103" t="inlineStr">
        <is>
          <t>⚡  MiT Strom Schweiz — Pipeline &amp; Deal Tracking  |  Mobil in Time AG – An Aggreko Company</t>
        </is>
      </c>
    </row>
    <row r="2" ht="15.75" customHeight="1">
      <c r="A2" s="105" t="inlineStr">
        <is>
          <t xml:space="preserve">  ✏️  Nur in diesem Sheet Daten erfassen — Dashboard, CEO Report und Kantone aktualisieren sich automatisch.</t>
        </is>
      </c>
    </row>
    <row r="3" ht="4.5" customHeight="1">
      <c r="A3" s="172" t="n"/>
    </row>
    <row r="4" ht="25.5" customHeight="1">
      <c r="A4" s="107" t="inlineStr">
        <is>
          <t>✅  WON Umsatz</t>
        </is>
      </c>
      <c r="C4" s="194">
        <f>SUMIFS(I$6:I$860,R$6:R$860,"WON")</f>
        <v>694803.69</v>
      </c>
      <c r="G4" s="109" t="inlineStr">
        <is>
          <t>📋  Anzahl Deals (aktiv)</t>
        </is>
      </c>
      <c r="I4" s="195">
        <f>COUNTIF(R$6:R$860,"WON")+COUNTIF(R$6:R$860,"offered")+COUNTIF(R$6:R$860,"to be offered")+COUNTIF(R$6:R$860,"on hold")+COUNTIF(R$6:R$860,"follow-up")+COUNTIF(R$6:R$860,"Evaluation")+COUNTIF(R$6:R$860,"tbd")+COUNTIF(R$6:R$860,"In evaluation")</f>
        <v>35</v>
      </c>
      <c r="M4" s="112" t="inlineStr">
        <is>
          <t>💼  Offene Pipeline</t>
        </is>
      </c>
      <c r="O4" s="196">
        <f>SUMIFS(I$6:I$860,R$6:R$860,"offered")+SUMIFS(I$6:I$860,R$6:R$860,"to be offered")+SUMIFS(I$6:I$860,R$6:R$860,"on hold")</f>
        <v>3559557.95</v>
      </c>
      <c r="S4" s="113" t="inlineStr">
        <is>
          <t>⚖️  Gewichteter Wert</t>
        </is>
      </c>
      <c r="U4" s="114">
        <f>SUM(Q$6:Q$860)</f>
        <v>3075202.442</v>
      </c>
    </row>
    <row r="5" ht="36" customHeight="1">
      <c r="A5" s="52" t="inlineStr">
        <is>
          <t>#</t>
        </is>
      </c>
      <c r="B5" s="52" t="inlineStr">
        <is>
          <t>Kunde / Unternehmen</t>
        </is>
      </c>
      <c r="C5" s="52" t="inlineStr">
        <is>
          <t>Kt.</t>
        </is>
      </c>
      <c r="D5" s="52" t="inlineStr">
        <is>
          <t>Segment</t>
        </is>
      </c>
      <c r="E5" s="52" t="inlineStr">
        <is>
          <t>Leistung / Fleet</t>
        </is>
      </c>
      <c r="F5" s="52" t="inlineStr">
        <is>
          <t>kW</t>
        </is>
      </c>
      <c r="G5" s="52" t="inlineStr">
        <is>
          <t>Dauer</t>
        </is>
      </c>
      <c r="H5" s="197" t="inlineStr">
        <is>
          <t>Start</t>
        </is>
      </c>
      <c r="I5" s="53" t="inlineStr">
        <is>
          <t>Volumen
CHF</t>
        </is>
      </c>
      <c r="J5" s="53" t="inlineStr">
        <is>
          <t>Equip.
CHF</t>
        </is>
      </c>
      <c r="K5" s="53" t="inlineStr">
        <is>
          <t>Transport
CHF</t>
        </is>
      </c>
      <c r="L5" s="53" t="inlineStr">
        <is>
          <t>Treibst.
CHF</t>
        </is>
      </c>
      <c r="M5" s="53" t="inlineStr">
        <is>
          <t>Technik.
CHF</t>
        </is>
      </c>
      <c r="N5" s="53" t="inlineStr">
        <is>
          <t>Übrige / MwSt 8.1%
CHF</t>
        </is>
      </c>
      <c r="O5" s="53" t="inlineStr">
        <is>
          <t>Marge
CHF</t>
        </is>
      </c>
      <c r="P5" s="52" t="inlineStr">
        <is>
          <t>Marge
%</t>
        </is>
      </c>
      <c r="Q5" s="53" t="inlineStr">
        <is>
          <t>Gew.Wert
CHF</t>
        </is>
      </c>
      <c r="R5" s="52" t="inlineStr">
        <is>
          <t>Status</t>
        </is>
      </c>
      <c r="S5" s="52" t="inlineStr">
        <is>
          <t>Wahr.
%</t>
        </is>
      </c>
      <c r="T5" s="52" t="inlineStr">
        <is>
          <t>Akquise
Typ</t>
        </is>
      </c>
      <c r="U5" s="52" t="inlineStr">
        <is>
          <t>USP-Argument</t>
        </is>
      </c>
      <c r="V5" s="52" t="inlineStr">
        <is>
          <t>Nächster Schritt</t>
        </is>
      </c>
      <c r="W5" s="52" t="inlineStr">
        <is>
          <t>Follow-Up</t>
        </is>
      </c>
      <c r="X5" s="52" t="inlineStr">
        <is>
          <t>Notiz intern</t>
        </is>
      </c>
      <c r="Z5" s="54" t="inlineStr">
        <is>
          <t>_WON_Sort</t>
        </is>
      </c>
      <c r="AA5" s="54" t="inlineStr">
        <is>
          <t>_I_Num</t>
        </is>
      </c>
    </row>
    <row r="6" ht="30" customHeight="1">
      <c r="A6" s="198" t="n">
        <v>6</v>
      </c>
      <c r="B6" s="199" t="inlineStr">
        <is>
          <t>Wincasa Solothurn</t>
        </is>
      </c>
      <c r="C6" s="198" t="inlineStr">
        <is>
          <t>SO</t>
        </is>
      </c>
      <c r="D6" s="200" t="inlineStr">
        <is>
          <t>Immobilien / FM</t>
        </is>
      </c>
      <c r="E6" s="200" t="inlineStr">
        <is>
          <t>BESS 1 MWh</t>
        </is>
      </c>
      <c r="F6" s="201" t="n">
        <v>1000</v>
      </c>
      <c r="G6" s="198" t="n">
        <v>365</v>
      </c>
      <c r="H6" s="202" t="inlineStr">
        <is>
          <t>Mai</t>
        </is>
      </c>
      <c r="I6" s="201" t="n">
        <v>390000</v>
      </c>
      <c r="J6" s="201" t="n">
        <v>240000</v>
      </c>
      <c r="K6" s="201" t="n">
        <v>6000</v>
      </c>
      <c r="L6" s="201" t="n">
        <v>0</v>
      </c>
      <c r="M6" s="201" t="n">
        <v>18000</v>
      </c>
      <c r="N6" s="201" t="n">
        <v>8000</v>
      </c>
      <c r="O6" s="201">
        <f>IF(ISNUMBER(I6),I6-SUM(J6:N6),"")</f>
        <v>118000</v>
      </c>
      <c r="P6" s="203">
        <f>IFERROR(IF(AND(ISNUMBER(O6),ISNUMBER(I6),I6&lt;&gt;0),O6/I6,""),"")</f>
        <v>0.302564102564103</v>
      </c>
      <c r="Q6" s="201">
        <f>IF(AND(ISNUMBER(I6),ISNUMBER(S6)),I6*IF(S6&lt;=1,S6,S6/100),IF(OR(I6&lt;&gt;"",S6&lt;&gt;""),"tbd",""))</f>
        <v>195000</v>
      </c>
      <c r="R6" s="204" t="inlineStr">
        <is>
          <t>follow-up</t>
        </is>
      </c>
      <c r="S6" s="205" t="n">
        <v>0.5</v>
      </c>
      <c r="T6" s="199" t="inlineStr">
        <is>
          <t>Kalt (Burak)</t>
        </is>
      </c>
      <c r="U6" s="200" t="inlineStr">
        <is>
          <t>BESS-Hybridlösung, Energiekostensenkung</t>
        </is>
      </c>
      <c r="V6" s="200" t="inlineStr">
        <is>
          <t>Entscheider-Meeting anfordern, Businesscase Energie-ROI</t>
        </is>
      </c>
      <c r="W6" s="198" t="inlineStr">
        <is>
          <t>Juni</t>
        </is>
      </c>
      <c r="X6" s="200" t="inlineStr">
        <is>
          <t>Grösster offener Lead – Geduld + ROI-Argumentation</t>
        </is>
      </c>
      <c r="Z6">
        <f>IF(AND(R6="WON",ISNUMBER(I6)),AA6,"")</f>
        <v/>
      </c>
      <c r="AA6">
        <f>IFERROR(I6*1,0)</f>
        <v>390000</v>
      </c>
    </row>
    <row r="7" ht="30" customHeight="1">
      <c r="A7" s="198" t="n">
        <v>12</v>
      </c>
      <c r="B7" s="199" t="inlineStr">
        <is>
          <t>Show-Concept.ch AG</t>
        </is>
      </c>
      <c r="C7" s="198" t="inlineStr">
        <is>
          <t>ZH</t>
        </is>
      </c>
      <c r="D7" s="200" t="inlineStr">
        <is>
          <t>Events / Medien</t>
        </is>
      </c>
      <c r="E7" s="200" t="inlineStr">
        <is>
          <t>200 kW Lastbank</t>
        </is>
      </c>
      <c r="F7" s="201" t="n">
        <v>200</v>
      </c>
      <c r="G7" s="198" t="inlineStr">
        <is>
          <t>tbd</t>
        </is>
      </c>
      <c r="H7" s="202" t="inlineStr">
        <is>
          <t>tbd</t>
        </is>
      </c>
      <c r="I7" s="201" t="n">
        <v>0</v>
      </c>
      <c r="J7" s="201" t="n">
        <v>0</v>
      </c>
      <c r="K7" s="201" t="n">
        <v>0</v>
      </c>
      <c r="L7" s="201" t="n">
        <v>0</v>
      </c>
      <c r="M7" s="201" t="n">
        <v>0</v>
      </c>
      <c r="N7" s="201" t="n">
        <v>0</v>
      </c>
      <c r="O7" s="201">
        <f>IF(ISNUMBER(I7),I7-SUM(J7:N7),"")</f>
        <v>0</v>
      </c>
      <c r="P7" s="203">
        <f>IFERROR(IF(AND(ISNUMBER(O7),ISNUMBER(I7),I7&lt;&gt;0),O7/I7,""),"")</f>
        <v/>
      </c>
      <c r="Q7" s="201">
        <f>IF(AND(ISNUMBER(I7),ISNUMBER(S7)),I7*IF(S7&lt;=1,S7,S7/100),IF(OR(I7&lt;&gt;"",S7&lt;&gt;""),"tbd",""))</f>
        <v>0</v>
      </c>
      <c r="R7" s="204" t="inlineStr">
        <is>
          <t>Declined</t>
        </is>
      </c>
      <c r="S7" s="205" t="n">
        <v>0</v>
      </c>
      <c r="T7" s="199" t="inlineStr">
        <is>
          <t>Kalt (Burak)</t>
        </is>
      </c>
      <c r="U7" s="200" t="inlineStr">
        <is>
          <t>Lastbank-Testing – Spezialprodukt MiT</t>
        </is>
      </c>
      <c r="V7" s="200" t="inlineStr">
        <is>
          <t>Use-Case klären – Lastbank oder Generator?</t>
        </is>
      </c>
      <c r="W7" s="198" t="inlineStr">
        <is>
          <t>Juni</t>
        </is>
      </c>
      <c r="X7" s="200" t="inlineStr">
        <is>
          <t>Spezialanfrage – konkreten Bedarf erst verstehen</t>
        </is>
      </c>
      <c r="Z7">
        <f>IF(AND(R7="WON",ISNUMBER(I7)),AA7,"")</f>
        <v/>
      </c>
      <c r="AA7">
        <f>IFERROR(I7*1,0)</f>
        <v>0</v>
      </c>
    </row>
    <row r="8" ht="30" customHeight="1">
      <c r="A8" s="198" t="n">
        <v>15</v>
      </c>
      <c r="B8" s="199" t="inlineStr">
        <is>
          <t>Gotthard Base Tunnel</t>
        </is>
      </c>
      <c r="C8" s="198" t="inlineStr">
        <is>
          <t>UR</t>
        </is>
      </c>
      <c r="D8" s="200" t="inlineStr">
        <is>
          <t>Infrastruktur / Bahn</t>
        </is>
      </c>
      <c r="E8" s="200" t="inlineStr">
        <is>
          <t>Grossanlage tbd</t>
        </is>
      </c>
      <c r="F8" s="206" t="n"/>
      <c r="G8" s="198" t="inlineStr">
        <is>
          <t>Jahre</t>
        </is>
      </c>
      <c r="H8" s="202" t="inlineStr">
        <is>
          <t>tbd</t>
        </is>
      </c>
      <c r="I8" s="201" t="n">
        <v>0</v>
      </c>
      <c r="J8" s="201" t="n">
        <v>0</v>
      </c>
      <c r="K8" s="201" t="n">
        <v>0</v>
      </c>
      <c r="L8" s="201" t="n">
        <v>0</v>
      </c>
      <c r="M8" s="201" t="n">
        <v>0</v>
      </c>
      <c r="N8" s="201" t="n">
        <v>0</v>
      </c>
      <c r="O8" s="201">
        <f>IF(ISNUMBER(I8),I8-SUM(J8:N8),"")</f>
        <v>0</v>
      </c>
      <c r="P8" s="203">
        <f>IFERROR(IF(AND(ISNUMBER(O8),ISNUMBER(I8),I8&lt;&gt;0),O8/I8,""),"")</f>
        <v/>
      </c>
      <c r="Q8" s="201">
        <f>IF(AND(ISNUMBER(I8),ISNUMBER(S8)),I8*IF(S8&lt;=1,S8,S8/100),IF(OR(I8&lt;&gt;"",S8&lt;&gt;""),"tbd",""))</f>
        <v>0</v>
      </c>
      <c r="R8" s="204" t="inlineStr">
        <is>
          <t>on hold</t>
        </is>
      </c>
      <c r="S8" s="205" t="n">
        <v>0.1</v>
      </c>
      <c r="T8" s="199" t="inlineStr">
        <is>
          <t>Kalt (Burak)</t>
        </is>
      </c>
      <c r="U8" s="200" t="inlineStr">
        <is>
          <t>NEA-Pflicht, kritische Infra (NIV Art. 13)</t>
        </is>
      </c>
      <c r="V8" s="200" t="inlineStr">
        <is>
          <t>Stakeholder identifizieren – AlpTransit/SBB kontaktieren</t>
        </is>
      </c>
      <c r="W8" s="198" t="inlineStr">
        <is>
          <t>Juni</t>
        </is>
      </c>
      <c r="X8" s="200" t="inlineStr">
        <is>
          <t>Langfristig strategisch – Türöffner Bahnbereich</t>
        </is>
      </c>
      <c r="Z8">
        <f>IF(AND(R8="WON",ISNUMBER(I8)),AA8,"")</f>
        <v/>
      </c>
      <c r="AA8">
        <f>IFERROR(I8*1,0)</f>
        <v>0</v>
      </c>
    </row>
    <row r="9" ht="30" customHeight="1">
      <c r="A9" s="198" t="n">
        <v>1</v>
      </c>
      <c r="B9" s="199" t="inlineStr">
        <is>
          <t>Ice Hockey Championship</t>
        </is>
      </c>
      <c r="C9" s="198" t="inlineStr">
        <is>
          <t>ZH</t>
        </is>
      </c>
      <c r="D9" s="200" t="inlineStr">
        <is>
          <t>Events &amp; Sport</t>
        </is>
      </c>
      <c r="E9" s="200" t="inlineStr">
        <is>
          <t>2×600+2×200 kVA</t>
        </is>
      </c>
      <c r="F9" s="201" t="n">
        <v>1600</v>
      </c>
      <c r="G9" s="198" t="n">
        <v>28</v>
      </c>
      <c r="H9" s="202" t="inlineStr">
        <is>
          <t>Mai</t>
        </is>
      </c>
      <c r="I9" s="201" t="n">
        <v>310000</v>
      </c>
      <c r="J9" s="201" t="n">
        <v>195000</v>
      </c>
      <c r="K9" s="201" t="n">
        <v>8000</v>
      </c>
      <c r="L9" s="201" t="n">
        <v>12000</v>
      </c>
      <c r="M9" s="201" t="n">
        <v>15000</v>
      </c>
      <c r="N9" s="201" t="n">
        <v>5000</v>
      </c>
      <c r="O9" s="201">
        <f>IF(ISNUMBER(I9),I9-SUM(J9:N9),"")</f>
        <v>75000</v>
      </c>
      <c r="P9" s="203">
        <f>IFERROR(IF(AND(ISNUMBER(O9),ISNUMBER(I9),I9&lt;&gt;0),O9/I9,""),"")</f>
        <v>0.241935483870968</v>
      </c>
      <c r="Q9" s="201">
        <f>IF(AND(ISNUMBER(I9),ISNUMBER(S9)),I9*IF(S9&lt;=1,S9,S9/100),IF(OR(I9&lt;&gt;"",S9&lt;&gt;""),"tbd",""))</f>
        <v>310000</v>
      </c>
      <c r="R9" s="204" t="inlineStr">
        <is>
          <t>WON</t>
        </is>
      </c>
      <c r="S9" s="205" t="n">
        <v>1</v>
      </c>
      <c r="T9" s="199" t="inlineStr">
        <is>
          <t>Warm – Aggreko</t>
        </is>
      </c>
      <c r="U9" s="200" t="inlineStr">
        <is>
          <t>Aggreko Event-Power + Redundanz</t>
        </is>
      </c>
      <c r="V9" s="200" t="inlineStr">
        <is>
          <t>✅ Einsatzplanung läuft – Logistik finalisieren</t>
        </is>
      </c>
      <c r="W9" s="198" t="inlineStr">
        <is>
          <t>–</t>
        </is>
      </c>
      <c r="X9" s="200" t="inlineStr">
        <is>
          <t>Grossreferenz CH Events – öffentlich nutzbar</t>
        </is>
      </c>
      <c r="Z9">
        <f>IF(AND(R9="WON",ISNUMBER(I9)),AA9,"")</f>
        <v>310000</v>
      </c>
      <c r="AA9">
        <f>IFERROR(I9*1,0)</f>
        <v>310000</v>
      </c>
    </row>
    <row r="10" ht="30" customHeight="1">
      <c r="A10" s="198" t="n">
        <v>2</v>
      </c>
      <c r="B10" s="199" t="inlineStr">
        <is>
          <t>Oerlikon Metco Wohlen</t>
        </is>
      </c>
      <c r="C10" s="198" t="inlineStr">
        <is>
          <t>AG</t>
        </is>
      </c>
      <c r="D10" s="200" t="inlineStr">
        <is>
          <t>Industrie / Oberfläche</t>
        </is>
      </c>
      <c r="E10" s="200" t="inlineStr">
        <is>
          <t>240 kVA Generator</t>
        </is>
      </c>
      <c r="F10" s="201" t="n">
        <v>240</v>
      </c>
      <c r="G10" s="198" t="n">
        <v>21</v>
      </c>
      <c r="H10" s="202" t="inlineStr">
        <is>
          <t>April</t>
        </is>
      </c>
      <c r="I10" s="201" t="n">
        <v>13100</v>
      </c>
      <c r="J10" s="201" t="n">
        <v>7500</v>
      </c>
      <c r="K10" s="201" t="n">
        <v>800</v>
      </c>
      <c r="L10" s="201" t="n">
        <v>600</v>
      </c>
      <c r="M10" s="201" t="n">
        <v>900</v>
      </c>
      <c r="N10" s="201" t="n">
        <v>300</v>
      </c>
      <c r="O10" s="201">
        <f>IF(ISNUMBER(I10),I10-SUM(J10:N10),"")</f>
        <v>3000</v>
      </c>
      <c r="P10" s="203">
        <f>IFERROR(IF(AND(ISNUMBER(O10),ISNUMBER(I10),I10&lt;&gt;0),O10/I10,""),"")</f>
        <v>0.229007633587786</v>
      </c>
      <c r="Q10" s="201">
        <f>IF(AND(ISNUMBER(I10),ISNUMBER(S10)),I10*IF(S10&lt;=1,S10,S10/100),IF(OR(I10&lt;&gt;"",S10&lt;&gt;""),"tbd",""))</f>
        <v>13100</v>
      </c>
      <c r="R10" s="204" t="inlineStr">
        <is>
          <t>WON</t>
        </is>
      </c>
      <c r="S10" s="205" t="n">
        <v>1</v>
      </c>
      <c r="T10" s="199" t="inlineStr">
        <is>
          <t>Kalt (Burak)</t>
        </is>
      </c>
      <c r="U10" s="200" t="inlineStr">
        <is>
          <t>Schnelle Lieferung 24/7</t>
        </is>
      </c>
      <c r="V10" s="200" t="inlineStr">
        <is>
          <t>✅ Abgeschlossen – Invoice prüfen, Referenz sichern</t>
        </is>
      </c>
      <c r="W10" s="198" t="inlineStr">
        <is>
          <t>–</t>
        </is>
      </c>
      <c r="X10" s="200" t="inlineStr">
        <is>
          <t>Erste Referenz Kanton AG</t>
        </is>
      </c>
      <c r="Z10">
        <f>IF(AND(R10="WON",ISNUMBER(I10)),AA10,"")</f>
        <v>13100</v>
      </c>
      <c r="AA10">
        <f>IFERROR(I10*1,0)</f>
        <v>13100</v>
      </c>
    </row>
    <row r="11" ht="30" customHeight="1">
      <c r="A11" s="198" t="n">
        <v>7</v>
      </c>
      <c r="B11" s="199" t="inlineStr">
        <is>
          <t>Avia Volt Suisse AG</t>
        </is>
      </c>
      <c r="C11" s="198" t="inlineStr">
        <is>
          <t>ZH</t>
        </is>
      </c>
      <c r="D11" s="200" t="inlineStr">
        <is>
          <t>EVU / Energie</t>
        </is>
      </c>
      <c r="E11" s="200" t="inlineStr">
        <is>
          <t>5×200 kVA Generator</t>
        </is>
      </c>
      <c r="F11" s="201" t="n">
        <v>1000</v>
      </c>
      <c r="G11" s="198" t="n">
        <v>30</v>
      </c>
      <c r="H11" s="207" t="inlineStr">
        <is>
          <t>Mai</t>
        </is>
      </c>
      <c r="I11" s="201" t="n">
        <v>41000</v>
      </c>
      <c r="J11" s="201" t="n">
        <v>24000</v>
      </c>
      <c r="K11" s="201" t="n">
        <v>2000</v>
      </c>
      <c r="L11" s="201" t="n">
        <v>2500</v>
      </c>
      <c r="M11" s="201" t="n">
        <v>3000</v>
      </c>
      <c r="N11" s="201" t="n">
        <v>500</v>
      </c>
      <c r="O11" s="201">
        <f>IF(ISNUMBER(I11),I11-SUM(J11:N11),"")</f>
        <v>9000</v>
      </c>
      <c r="P11" s="203">
        <f>IFERROR(IF(AND(ISNUMBER(O11),ISNUMBER(I11),I11&lt;&gt;0),O11/I11,""),"")</f>
        <v>0.219512195121951</v>
      </c>
      <c r="Q11" s="201">
        <f>IF(AND(ISNUMBER(I11),ISNUMBER(S11)),I11*IF(S11&lt;=1,S11,S11/100),IF(OR(I11&lt;&gt;"",S11&lt;&gt;""),"tbd",""))</f>
        <v>0</v>
      </c>
      <c r="R11" s="204" t="inlineStr">
        <is>
          <t>Declined</t>
        </is>
      </c>
      <c r="S11" s="205" t="n">
        <v>0</v>
      </c>
      <c r="T11" s="199" t="inlineStr">
        <is>
          <t>Warm</t>
        </is>
      </c>
      <c r="U11" s="200" t="inlineStr">
        <is>
          <t>PQ-Monitoring inkl. – einzigartig in CH</t>
        </is>
      </c>
      <c r="V11" s="200" t="inlineStr">
        <is>
          <t>Angebotspräsentation Termin diese Woche</t>
        </is>
      </c>
      <c r="W11" s="198" t="inlineStr">
        <is>
          <t>Juni</t>
        </is>
      </c>
      <c r="X11" s="200" t="inlineStr">
        <is>
          <t>EVU mit PQ-Bedarf – USP passt perfekt, Kunde hat kein bedarf zur Zeit</t>
        </is>
      </c>
      <c r="Z11">
        <f>IF(AND(R11="WON",ISNUMBER(I11)),AA11,"")</f>
        <v/>
      </c>
      <c r="AA11">
        <f>IFERROR(I11*1,0)</f>
        <v>41000</v>
      </c>
    </row>
    <row r="12" ht="30" customHeight="1">
      <c r="A12" s="198" t="n">
        <v>3</v>
      </c>
      <c r="B12" s="199" t="inlineStr">
        <is>
          <t>Siemens</t>
        </is>
      </c>
      <c r="C12" s="198" t="inlineStr">
        <is>
          <t>ZH</t>
        </is>
      </c>
      <c r="D12" s="200" t="inlineStr">
        <is>
          <t>Industrie / Elektro</t>
        </is>
      </c>
      <c r="E12" s="200" t="inlineStr">
        <is>
          <t>600 kVA Generator</t>
        </is>
      </c>
      <c r="F12" s="201" t="n">
        <v>600</v>
      </c>
      <c r="G12" s="198" t="n">
        <v>21</v>
      </c>
      <c r="H12" s="202" t="inlineStr">
        <is>
          <t>tbd</t>
        </is>
      </c>
      <c r="I12" s="201" t="n">
        <v>10000</v>
      </c>
      <c r="J12" s="201" t="n">
        <v>0</v>
      </c>
      <c r="K12" s="201" t="n">
        <v>0</v>
      </c>
      <c r="L12" s="201" t="n">
        <v>0</v>
      </c>
      <c r="M12" s="201" t="n">
        <v>0</v>
      </c>
      <c r="N12" s="201" t="n">
        <v>0</v>
      </c>
      <c r="O12" s="201">
        <f>IF(ISNUMBER(I12),I12-SUM(J12:N12),"")</f>
        <v>10000</v>
      </c>
      <c r="P12" s="203">
        <f>IFERROR(IF(AND(ISNUMBER(O12),ISNUMBER(I12),I12&lt;&gt;0),O12/I12,""),"")</f>
        <v>1</v>
      </c>
      <c r="Q12" s="201">
        <f>IF(AND(ISNUMBER(I12),ISNUMBER(S12)),I12*IF(S12&lt;=1,S12,S12/100),IF(OR(I12&lt;&gt;"",S12&lt;&gt;""),"tbd",""))</f>
        <v>10000</v>
      </c>
      <c r="R12" s="204" t="inlineStr">
        <is>
          <t>WON</t>
        </is>
      </c>
      <c r="S12" s="205" t="n">
        <v>1</v>
      </c>
      <c r="T12" s="199" t="inlineStr">
        <is>
          <t>Warm</t>
        </is>
      </c>
      <c r="U12" s="200" t="inlineStr">
        <is>
          <t>Aggreko-Backbone + Verfügbarkeit</t>
        </is>
      </c>
      <c r="V12" s="200" t="inlineStr">
        <is>
          <t>✅ Referenzschreiben anfordern</t>
        </is>
      </c>
      <c r="W12" s="198" t="inlineStr">
        <is>
          <t>–</t>
        </is>
      </c>
      <c r="X12" s="200" t="inlineStr">
        <is>
          <t>Referenz Industriebereich – sehr wertvoll</t>
        </is>
      </c>
      <c r="Z12">
        <f>IF(AND(R12="WON",ISNUMBER(I12)),AA12,"")</f>
        <v>10000</v>
      </c>
      <c r="AA12">
        <f>IFERROR(I12*1,0)</f>
        <v>10000</v>
      </c>
    </row>
    <row r="13" ht="30" customHeight="1">
      <c r="A13" s="198" t="n">
        <v>4</v>
      </c>
      <c r="B13" s="199" t="inlineStr">
        <is>
          <t>Stagelight – OpenAir Frauenfeld</t>
        </is>
      </c>
      <c r="C13" s="198" t="inlineStr">
        <is>
          <t>TG</t>
        </is>
      </c>
      <c r="D13" s="200" t="inlineStr">
        <is>
          <t>Events &amp; Kultur</t>
        </is>
      </c>
      <c r="E13" s="200" t="inlineStr">
        <is>
          <t>~500 kVA Generator</t>
        </is>
      </c>
      <c r="F13" s="201" t="n">
        <v>500</v>
      </c>
      <c r="G13" s="198" t="n">
        <v>14</v>
      </c>
      <c r="H13" s="202" t="inlineStr">
        <is>
          <t>Juli</t>
        </is>
      </c>
      <c r="I13" s="201" t="n">
        <v>150000</v>
      </c>
      <c r="J13" s="201" t="n">
        <v>88000</v>
      </c>
      <c r="K13" s="201" t="n">
        <v>4500</v>
      </c>
      <c r="L13" s="201" t="n">
        <v>7000</v>
      </c>
      <c r="M13" s="201" t="n">
        <v>9000</v>
      </c>
      <c r="N13" s="201" t="n">
        <v>2000</v>
      </c>
      <c r="O13" s="201">
        <f>IF(ISNUMBER(I13),I13-SUM(J13:N13),"")</f>
        <v>39500</v>
      </c>
      <c r="P13" s="203">
        <f>IFERROR(IF(AND(ISNUMBER(O13),ISNUMBER(I13),I13&lt;&gt;0),O13/I13,""),"")</f>
        <v>0.263333333333333</v>
      </c>
      <c r="Q13" s="201">
        <f>IF(AND(ISNUMBER(I13),ISNUMBER(S13)),I13*IF(S13&lt;=1,S13,S13/100),IF(OR(I13&lt;&gt;"",S13&lt;&gt;""),"tbd",""))</f>
        <v>150000</v>
      </c>
      <c r="R13" s="204" t="inlineStr">
        <is>
          <t>WON</t>
        </is>
      </c>
      <c r="S13" s="205" t="n">
        <v>1</v>
      </c>
      <c r="T13" s="199" t="inlineStr">
        <is>
          <t>Warm – Aggreko</t>
        </is>
      </c>
      <c r="U13" s="200" t="inlineStr">
        <is>
          <t>Reaktionszeit &lt; 24h, Zuverlässigkeit</t>
        </is>
      </c>
      <c r="V13" s="200" t="inlineStr">
        <is>
          <t>Follow-up + Vertragsverhandlung initiieren</t>
        </is>
      </c>
      <c r="W13" s="198" t="inlineStr">
        <is>
          <t>Juni</t>
        </is>
      </c>
      <c r="X13" s="200" t="inlineStr">
        <is>
          <t>OpenAir Festival – jährlich → Rahmenvertrag prüfen, Nicht umgehen den Ansprechpartner, Teams Meeting mit Aggreko Deutschland</t>
        </is>
      </c>
      <c r="Z13">
        <f>IF(AND(R13="WON",ISNUMBER(I13)),AA13,"")</f>
        <v>150000</v>
      </c>
      <c r="AA13">
        <f>IFERROR(I13*1,0)</f>
        <v>150000</v>
      </c>
    </row>
    <row r="14" ht="30" customHeight="1">
      <c r="A14" s="198" t="n">
        <v>10</v>
      </c>
      <c r="B14" s="199" t="inlineStr">
        <is>
          <t>Murg Flums Energie</t>
        </is>
      </c>
      <c r="C14" s="198" t="inlineStr">
        <is>
          <t>SG</t>
        </is>
      </c>
      <c r="D14" s="200" t="inlineStr">
        <is>
          <t>EVU / Energie</t>
        </is>
      </c>
      <c r="E14" s="200" t="inlineStr">
        <is>
          <t>250 kVA Generator</t>
        </is>
      </c>
      <c r="F14" s="201" t="n">
        <v>250</v>
      </c>
      <c r="G14" s="198" t="n">
        <v>365</v>
      </c>
      <c r="H14" s="202" t="inlineStr">
        <is>
          <t>Auf Abruf</t>
        </is>
      </c>
      <c r="I14" s="201" t="n">
        <v>96658.69</v>
      </c>
      <c r="J14" s="201" t="n">
        <v>83232</v>
      </c>
      <c r="K14" s="201" t="n">
        <v>3100</v>
      </c>
      <c r="L14" s="201" t="n">
        <v>0</v>
      </c>
      <c r="M14" s="201" t="n">
        <v>870</v>
      </c>
      <c r="N14" s="201" t="n">
        <v>2214</v>
      </c>
      <c r="O14" s="201">
        <f>IF(ISNUMBER(I14),I14-SUM(J14:N14),"")</f>
        <v>7242.69</v>
      </c>
      <c r="P14" s="203">
        <f>IFERROR(IF(AND(ISNUMBER(O14),ISNUMBER(I14),I14&lt;&gt;0),O14/I14,""),"")</f>
        <v>0.0749305623736469</v>
      </c>
      <c r="Q14" s="201">
        <f>IF(AND(ISNUMBER(I14),ISNUMBER(S14)),I14*IF(S14&lt;=1,S14,S14/100),IF(OR(I14&lt;&gt;"",S14&lt;&gt;""),"tbd",""))</f>
        <v>96658.69</v>
      </c>
      <c r="R14" s="204" t="inlineStr">
        <is>
          <t>WON</t>
        </is>
      </c>
      <c r="S14" s="205" t="n">
        <v>1</v>
      </c>
      <c r="T14" s="199" t="inlineStr">
        <is>
          <t>Kalt (Burak)</t>
        </is>
      </c>
      <c r="U14" s="200" t="inlineStr">
        <is>
          <t>PQ-Expertise, NIV Art. 13 Compliance</t>
        </is>
      </c>
      <c r="V14" s="200" t="inlineStr">
        <is>
          <t>Bedarfsanalyse, NEA-Konzept vorschlagen, Termin vor Ort, Termin vor Ort wahrgenommen</t>
        </is>
      </c>
      <c r="W14" s="198" t="inlineStr">
        <is>
          <t>Juni</t>
        </is>
      </c>
      <c r="X14" s="200" t="inlineStr">
        <is>
          <t>EVU SG – NEA-Bedarf qualifizieren, Alles ermittelt und Konzept erstellt und nur noch Offerte schicken mit dem Konzept</t>
        </is>
      </c>
      <c r="Z14">
        <f>IF(AND(R14="WON",ISNUMBER(I14)),AA14,"")</f>
        <v>96658.69</v>
      </c>
      <c r="AA14">
        <f>IFERROR(I14*1,0)</f>
        <v>96658.69</v>
      </c>
    </row>
    <row r="15" ht="30" customHeight="1">
      <c r="A15" s="198" t="n">
        <v>21</v>
      </c>
      <c r="B15" s="199" t="inlineStr">
        <is>
          <t>X-Event</t>
        </is>
      </c>
      <c r="C15" s="198" t="inlineStr">
        <is>
          <t>SH</t>
        </is>
      </c>
      <c r="D15" s="200" t="inlineStr">
        <is>
          <t>Events / Medien</t>
        </is>
      </c>
      <c r="E15" s="200" t="inlineStr">
        <is>
          <t>100 kVA Generator</t>
        </is>
      </c>
      <c r="F15" s="201" t="n">
        <v>150</v>
      </c>
      <c r="G15" s="198" t="n">
        <v>1</v>
      </c>
      <c r="H15" s="202" t="inlineStr">
        <is>
          <t>Juni</t>
        </is>
      </c>
      <c r="I15" s="201" t="inlineStr">
        <is>
          <t>Sponsoring</t>
        </is>
      </c>
      <c r="J15" s="201" t="inlineStr">
        <is>
          <t>Sponsoring</t>
        </is>
      </c>
      <c r="K15" s="201" t="inlineStr">
        <is>
          <t>Sponsoring</t>
        </is>
      </c>
      <c r="L15" s="201" t="inlineStr">
        <is>
          <t>Sponsoring</t>
        </is>
      </c>
      <c r="M15" s="201" t="inlineStr">
        <is>
          <t>Sponsoring</t>
        </is>
      </c>
      <c r="N15" s="201" t="inlineStr">
        <is>
          <t>Sponsoring</t>
        </is>
      </c>
      <c r="O15" s="201">
        <f>IF(ISNUMBER(I15),I15-SUM(J15:N15),"")</f>
        <v/>
      </c>
      <c r="P15" s="203">
        <f>IFERROR(IF(AND(ISNUMBER(O15),ISNUMBER(I15),I15&lt;&gt;0),O15/I15,""),"")</f>
        <v/>
      </c>
      <c r="Q15" s="201" t="str">
        <f>IF(AND(ISNUMBER(I15),ISNUMBER(S15)),I15*IF(S15&lt;=1,S15,S15/100),IF(OR(I15&lt;&gt;"",S15&lt;&gt;""),"tbd",""))</f>
        <v>tbd</v>
      </c>
      <c r="R15" s="204" t="inlineStr">
        <is>
          <t>WON</t>
        </is>
      </c>
      <c r="S15" s="205" t="n">
        <v>1</v>
      </c>
      <c r="T15" s="199" t="inlineStr">
        <is>
          <t>Kalt (Burak)</t>
        </is>
      </c>
      <c r="U15" s="200" t="inlineStr">
        <is>
          <t>Flexibilität, kleines Setup schnell verfügbar</t>
        </is>
      </c>
      <c r="V15" s="200" t="inlineStr">
        <is>
          <t>Kunde Telefon Kontaktiert und Vor Ort 
Besichtigung und Aufbauort</t>
        </is>
      </c>
      <c r="W15" s="198" t="inlineStr">
        <is>
          <t>Juni</t>
        </is>
      </c>
      <c r="X15" s="200" t="inlineStr">
        <is>
          <t>Kunde hat Angebot angenommen, im Gegenzug Starte er eine Social Media Kampagne für uns und sind jetzt ein Partner für seine Events</t>
        </is>
      </c>
      <c r="Z15">
        <f>IF(AND(R15="WON",ISNUMBER(I15)),AA15,"")</f>
        <v/>
      </c>
      <c r="AA15">
        <f>IFERROR(I15*1,0)</f>
        <v>0</v>
      </c>
    </row>
    <row r="16" ht="30" customHeight="1">
      <c r="A16" s="198" t="n">
        <v>33</v>
      </c>
      <c r="B16" s="199" t="inlineStr">
        <is>
          <t>Oerlikon Metco Wohlen</t>
        </is>
      </c>
      <c r="C16" s="198" t="inlineStr">
        <is>
          <t>AG</t>
        </is>
      </c>
      <c r="D16" s="200" t="inlineStr">
        <is>
          <t>Industrie</t>
        </is>
      </c>
      <c r="E16" s="200" t="inlineStr">
        <is>
          <t>300 kVA</t>
        </is>
      </c>
      <c r="F16" s="206" t="n">
        <v>300</v>
      </c>
      <c r="G16" s="198" t="n">
        <v>365</v>
      </c>
      <c r="H16" s="202" t="inlineStr">
        <is>
          <t>August</t>
        </is>
      </c>
      <c r="I16" s="201" t="n">
        <v>193598.12</v>
      </c>
      <c r="J16" s="201" t="n">
        <v>173039.2</v>
      </c>
      <c r="K16" s="201" t="n">
        <v>2950</v>
      </c>
      <c r="L16" s="201" t="n">
        <v>0</v>
      </c>
      <c r="M16" s="201" t="n">
        <v>1232.5</v>
      </c>
      <c r="N16" s="201">
        <f>370+1500</f>
        <v>1870</v>
      </c>
      <c r="O16" s="201">
        <f>IF(ISNUMBER(I16),I16-SUM(J16:N16),"")</f>
        <v>14506.42</v>
      </c>
      <c r="P16" s="203">
        <f>IFERROR(IF(AND(ISNUMBER(O16),ISNUMBER(I16),I16&lt;&gt;0),O16/I16,""),"")</f>
        <v>0.0749305830035952</v>
      </c>
      <c r="Q16" s="201">
        <f>IF(AND(ISNUMBER(I16),ISNUMBER(S16)),I16*IF(S16&lt;=1,S16,S16/100),IF(OR(I16&lt;&gt;"",S16&lt;&gt;""),"tbd",""))</f>
        <v>154878.496</v>
      </c>
      <c r="R16" s="204" t="inlineStr">
        <is>
          <t>offered</t>
        </is>
      </c>
      <c r="S16" s="205" t="n">
        <v>0.8</v>
      </c>
      <c r="T16" s="199" t="inlineStr">
        <is>
          <t>Kalt (Burak)</t>
        </is>
      </c>
      <c r="U16" s="200" t="inlineStr">
        <is>
          <t>USV + PQ-Monitoring für Präzisionsanlagen</t>
        </is>
      </c>
      <c r="V16" s="200" t="inlineStr">
        <is>
          <t>Kunde wahr sehr Zufrieden mit dem 1. Auftrag und im Anschluss Folgeauftrag durch meine Aktivät</t>
        </is>
      </c>
      <c r="W16" s="198" t="inlineStr">
        <is>
          <t>Juni</t>
        </is>
      </c>
      <c r="X16" s="200" t="inlineStr">
        <is>
          <t>Kunde angeschrieben, Kundentermin vor Ort in Juni 26, Termin Perfekt, Kunde benötigt Offerte, Kunde hat Offerte erhalteny, Kunde muss nur noch unterschreiben</t>
        </is>
      </c>
      <c r="Z16">
        <f>IF(AND(R16="WON",ISNUMBER(I16)),AA16,"")</f>
        <v/>
      </c>
      <c r="AA16">
        <f>IFERROR(I16*1,0)</f>
        <v>193598.12</v>
      </c>
    </row>
    <row r="17" ht="30" customHeight="1">
      <c r="A17" s="198" t="n">
        <v>33</v>
      </c>
      <c r="B17" s="199" t="inlineStr">
        <is>
          <t>Oerlikon Metco Wohlen</t>
        </is>
      </c>
      <c r="C17" s="198" t="inlineStr">
        <is>
          <t>AG</t>
        </is>
      </c>
      <c r="D17" s="200" t="inlineStr">
        <is>
          <t>Industrie</t>
        </is>
      </c>
      <c r="E17" s="200" t="inlineStr">
        <is>
          <t>Kaltwasser 100 kW</t>
        </is>
      </c>
      <c r="F17" s="206" t="inlineStr">
        <is>
          <t>100 kW</t>
        </is>
      </c>
      <c r="G17" s="198" t="n">
        <v>365</v>
      </c>
      <c r="H17" s="202" t="inlineStr">
        <is>
          <t>August</t>
        </is>
      </c>
      <c r="I17" s="201" t="n">
        <v>74902.11</v>
      </c>
      <c r="J17" s="201" t="n">
        <v>56475.04</v>
      </c>
      <c r="K17" s="201" t="n">
        <v>1800</v>
      </c>
      <c r="L17" s="201" t="n">
        <v>0</v>
      </c>
      <c r="M17" s="201" t="n">
        <v>0</v>
      </c>
      <c r="N17" s="201" t="n">
        <v>5691.99</v>
      </c>
      <c r="O17" s="201">
        <f>IF(ISNUMBER(I17),I17-SUM(J17:N17),"")</f>
        <v>10935.08</v>
      </c>
      <c r="P17" s="203">
        <f>IFERROR(IF(AND(ISNUMBER(O17),ISNUMBER(I17),I17&lt;&gt;0),O17/I17,""),"")</f>
        <v>0.145991614922464</v>
      </c>
      <c r="Q17" s="201">
        <f>IF(AND(ISNUMBER(I17),ISNUMBER(S17)),I17*IF(S17&lt;=1,S17,S17/100),IF(OR(I17&lt;&gt;"",S17&lt;&gt;""),"tbd",""))</f>
        <v>59921.688</v>
      </c>
      <c r="R17" s="204" t="inlineStr">
        <is>
          <t>offered</t>
        </is>
      </c>
      <c r="S17" s="205" t="n">
        <v>0.8</v>
      </c>
      <c r="T17" s="199" t="inlineStr">
        <is>
          <t>Kalt (Burak)</t>
        </is>
      </c>
      <c r="U17" s="200" t="inlineStr">
        <is>
          <t>USV + PQ-Monitoring für Präzisionsanlagen</t>
        </is>
      </c>
      <c r="V17" s="200" t="inlineStr">
        <is>
          <t>Kunde wahr sehr Zufrieden mit dem 1. Auftrag und im Anschluss Folgeauftrag durch meine Aktivät</t>
        </is>
      </c>
      <c r="W17" s="198" t="inlineStr">
        <is>
          <t>Juni</t>
        </is>
      </c>
      <c r="X17" s="200" t="inlineStr">
        <is>
          <t>Kunde angeschrieben, Kundentermin vor Ort in Juni 26, Termin Perfekt, Kunde benötigt Offerte, Kunde hat Offerte erhalteny, Kunde muss nur noch unterschreiben</t>
        </is>
      </c>
      <c r="Z17">
        <f>IF(AND(R17="WON",ISNUMBER(I17)),AA17,"")</f>
        <v/>
      </c>
      <c r="AA17">
        <f>IFERROR(I17*1,0)</f>
        <v>74902.11</v>
      </c>
    </row>
    <row r="18" ht="30" customHeight="1">
      <c r="A18" s="198" t="n">
        <v>13</v>
      </c>
      <c r="B18" s="199" t="inlineStr">
        <is>
          <t>Proxima Fusion AG</t>
        </is>
      </c>
      <c r="C18" s="198" t="inlineStr">
        <is>
          <t>ZH</t>
        </is>
      </c>
      <c r="D18" s="200" t="inlineStr">
        <is>
          <t>Forschung / Hightech</t>
        </is>
      </c>
      <c r="E18" s="200" t="inlineStr">
        <is>
          <t>BESS 1 MWh</t>
        </is>
      </c>
      <c r="F18" s="201" t="n">
        <v>1000</v>
      </c>
      <c r="G18" s="198" t="n">
        <v>365</v>
      </c>
      <c r="H18" s="202" t="inlineStr">
        <is>
          <t>Juli</t>
        </is>
      </c>
      <c r="I18" s="201" t="n">
        <v>365003</v>
      </c>
      <c r="J18" s="201" t="n">
        <v>326376</v>
      </c>
      <c r="K18" s="201" t="n">
        <v>6900</v>
      </c>
      <c r="L18" s="201" t="n">
        <v>0</v>
      </c>
      <c r="M18" s="201" t="n">
        <v>1160</v>
      </c>
      <c r="N18" s="201" t="n">
        <v>480</v>
      </c>
      <c r="O18" s="201">
        <f>IF(ISNUMBER(I18),I18-SUM(J18:N18),"")</f>
        <v>30087</v>
      </c>
      <c r="P18" s="203">
        <f>IFERROR(IF(AND(ISNUMBER(O18),ISNUMBER(I18),I18&lt;&gt;0),O18/I18,""),"")</f>
        <v>0.0824294594838947</v>
      </c>
      <c r="Q18" s="201">
        <f>IF(AND(ISNUMBER(I18),ISNUMBER(S18)),I18*IF(S18&lt;=1,S18,S18/100),IF(OR(I18&lt;&gt;"",S18&lt;&gt;""),"tbd",""))</f>
        <v>182501.5</v>
      </c>
      <c r="R18" s="204" t="inlineStr">
        <is>
          <t>follow-up</t>
        </is>
      </c>
      <c r="S18" s="205" t="n">
        <v>0.5</v>
      </c>
      <c r="T18" s="199" t="inlineStr">
        <is>
          <t>Kalt (Burak)</t>
        </is>
      </c>
      <c r="U18" s="200" t="inlineStr">
        <is>
          <t>USV + PQ-Monitoring für Präzisionsanlagen</t>
        </is>
      </c>
      <c r="V18" s="200" t="inlineStr">
        <is>
          <t>Technisches Gespräch – USV + PQ-Anforderungen klären, Kunde hat Angebot und Technische Ausführung erhalten warten auf Feedback</t>
        </is>
      </c>
      <c r="W18" s="198" t="inlineStr">
        <is>
          <t>Juni</t>
        </is>
      </c>
      <c r="X18" s="200" t="inlineStr">
        <is>
          <t>Fusionsforschung – sehr sensibler Strombedarf</t>
        </is>
      </c>
      <c r="Z18">
        <f>IF(AND(R18="WON",ISNUMBER(I18)),AA18,"")</f>
        <v/>
      </c>
      <c r="AA18">
        <f>IFERROR(I18*1,0)</f>
        <v>365003</v>
      </c>
    </row>
    <row r="19" ht="60" customHeight="1">
      <c r="A19" s="198" t="n">
        <v>25</v>
      </c>
      <c r="B19" s="199" t="inlineStr">
        <is>
          <t>Reto EKAG</t>
        </is>
      </c>
      <c r="C19" s="198" t="inlineStr">
        <is>
          <t>AG</t>
        </is>
      </c>
      <c r="D19" s="200" t="inlineStr">
        <is>
          <t>Elektroinstallation</t>
        </is>
      </c>
      <c r="E19" s="200" t="inlineStr">
        <is>
          <t>Option B 1x 6 kVA Trafo, 1x 3000 kVA Trafo, 1x 6000 kVA Lastbank, 1x 3300 kVA Lastbank</t>
        </is>
      </c>
      <c r="F19" s="206" t="inlineStr">
        <is>
          <t>9000 kVA + 9300 kVA</t>
        </is>
      </c>
      <c r="G19" s="198" t="n">
        <v>21</v>
      </c>
      <c r="H19" s="202" t="inlineStr">
        <is>
          <t>Okt</t>
        </is>
      </c>
      <c r="I19" s="201" t="n">
        <v>57249.54</v>
      </c>
      <c r="J19" s="201" t="n">
        <v>46525.57</v>
      </c>
      <c r="K19" s="201" t="n">
        <v>4000</v>
      </c>
      <c r="L19" s="201" t="n">
        <v>0</v>
      </c>
      <c r="M19" s="201" t="n">
        <v>24000</v>
      </c>
      <c r="N19" s="201">
        <f>IF(ISNUMBER(I19),ROUND(I19-I19/1.081,2),"")</f>
        <v>4289.74</v>
      </c>
      <c r="O19" s="201">
        <f>IF(ISNUMBER(I19),I19-SUM(J19:N19),"")</f>
        <v>-21565.77</v>
      </c>
      <c r="P19" s="203">
        <f>IFERROR(IF(AND(ISNUMBER(O19),ISNUMBER(I19),I19&lt;&gt;0),O19/I19,""),"")</f>
        <v>-0.376697699230422</v>
      </c>
      <c r="Q19" s="201">
        <f>IF(AND(ISNUMBER(I19),ISNUMBER(S19)),I19*IF(S19&lt;=1,S19,S19/100),IF(OR(I19&lt;&gt;"",S19&lt;&gt;""),"tbd",""))</f>
        <v>40074.678</v>
      </c>
      <c r="R19" s="204" t="inlineStr">
        <is>
          <t>Evaluation</t>
        </is>
      </c>
      <c r="S19" s="205" t="n">
        <v>0.7</v>
      </c>
      <c r="T19" s="199" t="inlineStr">
        <is>
          <t>Warm – Aggreko</t>
        </is>
      </c>
      <c r="U19" s="200" t="inlineStr">
        <is>
          <t>USV + PQ-Monitoring für Präzisionsanlagen</t>
        </is>
      </c>
      <c r="V19" s="200" t="inlineStr">
        <is>
          <t>Kunde Telefon Kontaktiert und Vor Ort 
Besichtigung und Aufbauort</t>
        </is>
      </c>
      <c r="W19" s="198" t="inlineStr">
        <is>
          <t>Juli</t>
        </is>
      </c>
      <c r="X19" s="200" t="inlineStr">
        <is>
          <t>Kunde angeschrieben, Kundentermin vor Ort in Mai 26, Termin Perfekt, Kunde benötigt Offerte, Kunde hat Offerte erhalten, Kunde hat sich für uns entschieden, Kunde muss die Offerte noch unterschreiben</t>
        </is>
      </c>
      <c r="Z19">
        <f>IF(AND(R19="WON",ISNUMBER(I19)),AA19,"")</f>
        <v/>
      </c>
      <c r="AA19">
        <f>IFERROR(I19*1,0)</f>
        <v>57249.54</v>
      </c>
    </row>
    <row r="20" ht="24" customHeight="1">
      <c r="A20" s="198" t="n">
        <v>25</v>
      </c>
      <c r="B20" s="199" t="inlineStr">
        <is>
          <t>Reto EKAG</t>
        </is>
      </c>
      <c r="C20" s="198" t="inlineStr">
        <is>
          <t>AG</t>
        </is>
      </c>
      <c r="D20" s="200" t="inlineStr">
        <is>
          <t>Elektroinstallation</t>
        </is>
      </c>
      <c r="E20" s="200" t="inlineStr">
        <is>
          <t>MS Kabel 95mm</t>
        </is>
      </c>
      <c r="F20" s="206" t="inlineStr">
        <is>
          <t>Kabel 95mm</t>
        </is>
      </c>
      <c r="G20" s="198" t="n">
        <v>21</v>
      </c>
      <c r="H20" s="202" t="inlineStr">
        <is>
          <t>Okt</t>
        </is>
      </c>
      <c r="I20" s="201" t="n">
        <v>15664.18</v>
      </c>
      <c r="J20" s="201">
        <f>3635.52+8340.93</f>
        <v>11976.45</v>
      </c>
      <c r="K20" s="201" t="n">
        <v>2496</v>
      </c>
      <c r="L20" s="201" t="n">
        <v>0</v>
      </c>
      <c r="M20" s="201" t="n">
        <v>0</v>
      </c>
      <c r="N20" s="201">
        <f>IF(ISNUMBER(I20),ROUND(I20-I20/1.081,2),"")</f>
        <v>1173.73</v>
      </c>
      <c r="O20" s="201">
        <f>IF(ISNUMBER(I20),I20-SUM(J20:N20),"")</f>
        <v>18</v>
      </c>
      <c r="P20" s="203">
        <f>IFERROR(IF(AND(ISNUMBER(O20),ISNUMBER(I20),I20&lt;&gt;0),O20/I20,""),"")</f>
        <v>0.00114911856222285</v>
      </c>
      <c r="Q20" s="201">
        <f>IF(AND(ISNUMBER(I20),ISNUMBER(S20)),I20*IF(S20&lt;=1,S20,S20/100),IF(OR(I20&lt;&gt;"",S20&lt;&gt;""),"tbd",""))</f>
        <v>10964.926</v>
      </c>
      <c r="R20" s="204" t="inlineStr">
        <is>
          <t>Evaluation</t>
        </is>
      </c>
      <c r="S20" s="205" t="n">
        <v>0.7</v>
      </c>
      <c r="T20" s="199" t="inlineStr">
        <is>
          <t>Warm – Aggreko</t>
        </is>
      </c>
      <c r="U20" s="200" t="inlineStr">
        <is>
          <t>USV + PQ-Monitoring für Präzisionsanlagen</t>
        </is>
      </c>
      <c r="V20" s="200" t="inlineStr">
        <is>
          <t>Kunde Telefon Kontaktiert und Vor Ort 
Besichtigung und Aufbauort</t>
        </is>
      </c>
      <c r="W20" s="198" t="inlineStr">
        <is>
          <t>Juli</t>
        </is>
      </c>
      <c r="X20" s="200" t="inlineStr">
        <is>
          <t>Kunde angeschrieben, Kundentermin vor Ort in Mai 26, Termin Perfekt, Kunde benötigt Offerte, Kunde hat Offerte erhalten, Kunde hat sich für uns entschieden, Kunde muss die Offerte noch unterschreiben</t>
        </is>
      </c>
      <c r="Z20">
        <f>IF(AND(R20="WON",ISNUMBER(I20)),AA20,"")</f>
        <v/>
      </c>
      <c r="AA20">
        <f>IFERROR(I20*1,0)</f>
        <v>15664.18</v>
      </c>
    </row>
    <row r="21" ht="30" customHeight="1">
      <c r="A21" s="198" t="n">
        <v>28</v>
      </c>
      <c r="B21" s="199" t="inlineStr">
        <is>
          <t>WEF</t>
        </is>
      </c>
      <c r="C21" s="198" t="inlineStr">
        <is>
          <t>GR</t>
        </is>
      </c>
      <c r="D21" s="200" t="inlineStr">
        <is>
          <t>Event</t>
        </is>
      </c>
      <c r="E21" s="200" t="inlineStr">
        <is>
          <t>1500 kVA, 600 kVA, 450 kVA, 450 kVA</t>
        </is>
      </c>
      <c r="F21" s="201" t="inlineStr">
        <is>
          <t>3000 kVA</t>
        </is>
      </c>
      <c r="G21" s="198" t="n">
        <v>28</v>
      </c>
      <c r="H21" s="202" t="inlineStr">
        <is>
          <t>Jan</t>
        </is>
      </c>
      <c r="I21" s="201" t="n">
        <v>77325.62</v>
      </c>
      <c r="J21" s="201" t="n">
        <v>54334.56</v>
      </c>
      <c r="K21" s="201" t="inlineStr">
        <is>
          <t>tbd</t>
        </is>
      </c>
      <c r="L21" s="201" t="n">
        <v>0</v>
      </c>
      <c r="M21" s="201" t="n">
        <v>10353</v>
      </c>
      <c r="N21" s="201" t="n">
        <v>6844</v>
      </c>
      <c r="O21" s="201">
        <f>IF(ISNUMBER(I21),I21-SUM(J21:N21),"")</f>
        <v>5794.06</v>
      </c>
      <c r="P21" s="203">
        <f>IFERROR(IF(AND(ISNUMBER(O21),ISNUMBER(I21),I21&lt;&gt;0),O21/I21,""),"")</f>
        <v>0.0749306633428869</v>
      </c>
      <c r="Q21" s="201">
        <f>IF(AND(ISNUMBER(I21),ISNUMBER(S21)),I21*IF(S21&lt;=1,S21,S21/100),IF(OR(I21&lt;&gt;"",S21&lt;&gt;""),"tbd",""))</f>
        <v>54127.934</v>
      </c>
      <c r="R21" s="204" t="inlineStr">
        <is>
          <t>offered</t>
        </is>
      </c>
      <c r="S21" s="205" t="n">
        <v>0.7</v>
      </c>
      <c r="T21" s="199" t="inlineStr">
        <is>
          <t>Inbound</t>
        </is>
      </c>
      <c r="U21" s="200" t="inlineStr">
        <is>
          <t>Schnelle Lieferung 24/7</t>
        </is>
      </c>
      <c r="V21" s="208" t="inlineStr">
        <is>
          <t>Offerte erstellt, Stefan hat die Offerte bekommen, Stefan muss alles weitere klären mit den Kunden</t>
        </is>
      </c>
      <c r="W21" s="209" t="inlineStr">
        <is>
          <t>Juni (Stefan)</t>
        </is>
      </c>
      <c r="X21" s="200" t="inlineStr">
        <is>
          <t>Anfrage von Stefan über kontakt, Kunde braucht Offerte und wir müssen in der Range bei 85K Chf bleiben, Wir sind unter 80K CHF</t>
        </is>
      </c>
      <c r="Z21">
        <f>IF(AND(R21="WON",ISNUMBER(I21)),AA21,"")</f>
        <v/>
      </c>
      <c r="AA21">
        <f>IFERROR(I21*1,0)</f>
        <v>77325.62</v>
      </c>
    </row>
    <row r="22" ht="36" customHeight="1">
      <c r="A22" s="198" t="n">
        <v>29</v>
      </c>
      <c r="B22" s="199" t="inlineStr">
        <is>
          <t>Gampeln</t>
        </is>
      </c>
      <c r="C22" s="198" t="inlineStr">
        <is>
          <t>VS</t>
        </is>
      </c>
      <c r="D22" s="200" t="inlineStr">
        <is>
          <t>Event</t>
        </is>
      </c>
      <c r="E22" s="200" t="inlineStr">
        <is>
          <t>6x300 kVA, 10x200 kVA, 1x100 kVA Generator</t>
        </is>
      </c>
      <c r="F22" s="206" t="inlineStr">
        <is>
          <t>3900 kVA</t>
        </is>
      </c>
      <c r="G22" s="198" t="n">
        <v>3</v>
      </c>
      <c r="H22" s="202" t="inlineStr">
        <is>
          <t>Aug</t>
        </is>
      </c>
      <c r="I22" s="201" t="n">
        <v>115045</v>
      </c>
      <c r="J22" s="201" t="n">
        <v>48865</v>
      </c>
      <c r="K22" s="201" t="n">
        <v>59800</v>
      </c>
      <c r="L22" s="201" t="n">
        <v>0</v>
      </c>
      <c r="M22" s="201" t="n">
        <v>6380</v>
      </c>
      <c r="N22" s="201" t="n">
        <v>0</v>
      </c>
      <c r="O22" s="201">
        <f>IF(ISNUMBER(I22),I22-SUM(J22:N22),"")</f>
        <v>0</v>
      </c>
      <c r="P22" s="203">
        <f>IFERROR(IF(AND(ISNUMBER(O22),ISNUMBER(I22),I22&lt;&gt;0),O22/I22,""),"")</f>
        <v>0</v>
      </c>
      <c r="Q22" s="201">
        <f>IF(AND(ISNUMBER(I22),ISNUMBER(S22)),I22*IF(S22&lt;=1,S22,S22/100),IF(OR(I22&lt;&gt;"",S22&lt;&gt;""),"tbd",""))</f>
        <v>115045</v>
      </c>
      <c r="R22" s="204" t="inlineStr">
        <is>
          <t>WON</t>
        </is>
      </c>
      <c r="S22" s="205" t="n">
        <v>1</v>
      </c>
      <c r="T22" s="199" t="inlineStr">
        <is>
          <t>Warm</t>
        </is>
      </c>
      <c r="U22" s="200" t="inlineStr">
        <is>
          <t>USV + PQ-Monitoring für Präzisionsanlagen</t>
        </is>
      </c>
      <c r="V22" s="200" t="inlineStr">
        <is>
          <t>Kunde angeschrieben, Kunde besucht, Kunde zufrieden mit der Vorarbeit, Transportkosten zu hoch</t>
        </is>
      </c>
      <c r="W22" s="198" t="inlineStr">
        <is>
          <t>Juni</t>
        </is>
      </c>
      <c r="X22" s="200" t="inlineStr">
        <is>
          <t>Preis klären wegen Transport</t>
        </is>
      </c>
      <c r="Z22">
        <f>IF(AND(R22="WON",ISNUMBER(I22)),AA22,"")</f>
        <v>115045</v>
      </c>
      <c r="AA22">
        <f>IFERROR(I22*1,0)</f>
        <v>115045</v>
      </c>
    </row>
    <row r="23" ht="30" customHeight="1">
      <c r="A23" s="198" t="n">
        <v>16</v>
      </c>
      <c r="B23" s="199" t="inlineStr">
        <is>
          <t>Etavis Gossenbacher AG</t>
        </is>
      </c>
      <c r="C23" s="198" t="inlineStr">
        <is>
          <t>ZH</t>
        </is>
      </c>
      <c r="D23" s="200" t="inlineStr">
        <is>
          <t>Elektroinstallation</t>
        </is>
      </c>
      <c r="E23" s="200" t="inlineStr">
        <is>
          <t>30 kVA USV/Generator</t>
        </is>
      </c>
      <c r="F23" s="201" t="n">
        <v>30</v>
      </c>
      <c r="G23" s="198" t="n">
        <v>90</v>
      </c>
      <c r="H23" s="198" t="inlineStr">
        <is>
          <t>tbd</t>
        </is>
      </c>
      <c r="I23" s="201" t="n">
        <v>0</v>
      </c>
      <c r="J23" s="201" t="n">
        <v>0</v>
      </c>
      <c r="K23" s="201" t="n">
        <v>0</v>
      </c>
      <c r="L23" s="201" t="n">
        <v>0</v>
      </c>
      <c r="M23" s="201" t="n">
        <v>0</v>
      </c>
      <c r="N23" s="201" t="n">
        <v>0</v>
      </c>
      <c r="O23" s="201">
        <f>IF(ISNUMBER(I23),I23-SUM(J23:N23),"")</f>
        <v>0</v>
      </c>
      <c r="P23" s="203">
        <f>IFERROR(IF(AND(ISNUMBER(O23),ISNUMBER(I23),I23&lt;&gt;0),O23/I23,""),"")</f>
        <v/>
      </c>
      <c r="Q23" s="201">
        <f>IF(AND(ISNUMBER(I23),ISNUMBER(S23)),I23*IF(S23&lt;=1,S23,S23/100),IF(OR(I23&lt;&gt;"",S23&lt;&gt;""),"tbd",""))</f>
        <v>0</v>
      </c>
      <c r="R23" s="204" t="inlineStr">
        <is>
          <t>Declined</t>
        </is>
      </c>
      <c r="S23" s="205" t="n">
        <v>0</v>
      </c>
      <c r="T23" s="199" t="inlineStr">
        <is>
          <t>Kalt (Burak)</t>
        </is>
      </c>
      <c r="U23" s="200" t="inlineStr">
        <is>
          <t>Flexibilität, kleines Setup schnell verfügbar</t>
        </is>
      </c>
      <c r="V23" s="200" t="inlineStr">
        <is>
          <t>Erstkontakt vertiefen – Bedarf qualifizieren, Kein bedarf mehr</t>
        </is>
      </c>
      <c r="W23" s="198" t="inlineStr">
        <is>
          <t>Juni</t>
        </is>
      </c>
      <c r="X23" s="200" t="inlineStr">
        <is>
          <t>Erstkontakt vertiefen – Bedarf qualifizieren, Kein bedarf mehr</t>
        </is>
      </c>
      <c r="Z23">
        <f>IF(AND(R23="WON",ISNUMBER(I23)),AA23,"")</f>
        <v/>
      </c>
      <c r="AA23">
        <f>IFERROR(I23*1,0)</f>
        <v>0</v>
      </c>
    </row>
    <row r="24" ht="30" customHeight="1">
      <c r="A24" s="198" t="n">
        <v>17</v>
      </c>
      <c r="B24" s="199" t="inlineStr">
        <is>
          <t>MAS ETH Architektur</t>
        </is>
      </c>
      <c r="C24" s="198" t="inlineStr">
        <is>
          <t>ZH</t>
        </is>
      </c>
      <c r="D24" s="200" t="inlineStr">
        <is>
          <t>Bildung / Forschung</t>
        </is>
      </c>
      <c r="E24" s="200" t="inlineStr">
        <is>
          <t>tbd</t>
        </is>
      </c>
      <c r="F24" s="206" t="n"/>
      <c r="G24" s="198" t="inlineStr">
        <is>
          <t>tbd</t>
        </is>
      </c>
      <c r="H24" s="198" t="inlineStr">
        <is>
          <t>tbd</t>
        </is>
      </c>
      <c r="I24" s="201" t="n">
        <v>0</v>
      </c>
      <c r="J24" s="201" t="n">
        <v>0</v>
      </c>
      <c r="K24" s="201" t="n">
        <v>0</v>
      </c>
      <c r="L24" s="201" t="n">
        <v>0</v>
      </c>
      <c r="M24" s="201" t="n">
        <v>0</v>
      </c>
      <c r="N24" s="201" t="n">
        <v>0</v>
      </c>
      <c r="O24" s="201">
        <f>IF(ISNUMBER(I24),I24-SUM(J24:N24),"")</f>
        <v>0</v>
      </c>
      <c r="P24" s="203">
        <f>IFERROR(IF(AND(ISNUMBER(O24),ISNUMBER(I24),I24&lt;&gt;0),O24/I24,""),"")</f>
        <v/>
      </c>
      <c r="Q24" s="201">
        <f>IF(AND(ISNUMBER(I24),ISNUMBER(S24)),I24*IF(S24&lt;=1,S24,S24/100),IF(OR(I24&lt;&gt;"",S24&lt;&gt;""),"tbd",""))</f>
        <v>0</v>
      </c>
      <c r="R24" s="204" t="inlineStr">
        <is>
          <t>Declined</t>
        </is>
      </c>
      <c r="S24" s="205" t="n">
        <v>0</v>
      </c>
      <c r="T24" s="199" t="inlineStr">
        <is>
          <t>Kalt (Burak)</t>
        </is>
      </c>
      <c r="U24" s="200" t="inlineStr">
        <is>
          <t>tbd</t>
        </is>
      </c>
      <c r="V24" s="200" t="inlineStr">
        <is>
          <t>Erstkontakt vertiefen – Bedarf qualifizieren, Kein bedarf mehr</t>
        </is>
      </c>
      <c r="W24" s="198" t="inlineStr">
        <is>
          <t>Juni</t>
        </is>
      </c>
      <c r="X24" s="200" t="inlineStr">
        <is>
          <t>Erstkontakt vertiefen – Bedarf qualifizieren, Kein bedarf mehr</t>
        </is>
      </c>
      <c r="Z24">
        <f>IF(AND(R24="WON",ISNUMBER(I24)),AA24,"")</f>
        <v/>
      </c>
      <c r="AA24">
        <f>IFERROR(I24*1,0)</f>
        <v>0</v>
      </c>
    </row>
    <row r="25" ht="30" customHeight="1">
      <c r="A25" s="198" t="n">
        <v>18</v>
      </c>
      <c r="B25" s="199" t="inlineStr">
        <is>
          <t>FIP ISA</t>
        </is>
      </c>
      <c r="C25" s="198" t="inlineStr">
        <is>
          <t>tbd</t>
        </is>
      </c>
      <c r="D25" s="200" t="inlineStr">
        <is>
          <t>tbd</t>
        </is>
      </c>
      <c r="E25" s="200" t="inlineStr">
        <is>
          <t>tbd</t>
        </is>
      </c>
      <c r="F25" s="206" t="n"/>
      <c r="G25" s="198" t="inlineStr">
        <is>
          <t>tbd</t>
        </is>
      </c>
      <c r="H25" s="198" t="inlineStr">
        <is>
          <t>tbd</t>
        </is>
      </c>
      <c r="I25" s="201" t="n"/>
      <c r="J25" s="201" t="n"/>
      <c r="K25" s="201" t="n"/>
      <c r="L25" s="201" t="n">
        <v>0</v>
      </c>
      <c r="M25" s="201" t="n"/>
      <c r="N25" s="201">
        <f>IF(ISNUMBER(I25),ROUND(I25-I25/1.081,2),"")</f>
        <v/>
      </c>
      <c r="O25" s="201">
        <f>IF(ISNUMBER(I25),I25-SUM(J25:N25),"")</f>
        <v/>
      </c>
      <c r="P25" s="203">
        <f>IFERROR(IF(AND(ISNUMBER(O25),ISNUMBER(I25),I25&lt;&gt;0),O25/I25,""),"")</f>
        <v/>
      </c>
      <c r="Q25" s="201" t="str">
        <f>IF(AND(ISNUMBER(I25),ISNUMBER(S25)),I25*IF(S25&lt;=1,S25,S25/100),IF(OR(I25&lt;&gt;"",S25&lt;&gt;""),"tbd",""))</f>
        <v>tbd</v>
      </c>
      <c r="R25" s="204" t="inlineStr">
        <is>
          <t>Declined</t>
        </is>
      </c>
      <c r="S25" s="205" t="n">
        <v>0</v>
      </c>
      <c r="T25" s="199" t="inlineStr">
        <is>
          <t>Kalt (Burak)</t>
        </is>
      </c>
      <c r="U25" s="200" t="inlineStr">
        <is>
          <t>tbd</t>
        </is>
      </c>
      <c r="V25" s="200" t="inlineStr">
        <is>
          <t>Erstkontakt vertiefen – Bedarf qualifizieren, Kein bedarf mehr</t>
        </is>
      </c>
      <c r="W25" s="198" t="inlineStr">
        <is>
          <t>Juni</t>
        </is>
      </c>
      <c r="X25" s="200" t="inlineStr">
        <is>
          <t>Erstkontakt vertiefen – Bedarf qualifizieren, Kein bedarf mehr</t>
        </is>
      </c>
      <c r="Z25">
        <f>IF(AND(R25="WON",ISNUMBER(I25)),AA25,"")</f>
        <v/>
      </c>
      <c r="AA25">
        <f>IFERROR(I25*1,0)</f>
        <v>0</v>
      </c>
    </row>
    <row r="26" ht="30" customHeight="1">
      <c r="A26" s="198" t="n">
        <v>19</v>
      </c>
      <c r="B26" s="199" t="inlineStr">
        <is>
          <t>AKSA Würenlos</t>
        </is>
      </c>
      <c r="C26" s="198" t="inlineStr">
        <is>
          <t>AG</t>
        </is>
      </c>
      <c r="D26" s="200" t="inlineStr">
        <is>
          <t>Industrie / Generatoren</t>
        </is>
      </c>
      <c r="E26" s="200" t="inlineStr">
        <is>
          <t>1500 kVA Generator</t>
        </is>
      </c>
      <c r="F26" s="201" t="n">
        <v>1500</v>
      </c>
      <c r="G26" s="198" t="n">
        <v>19</v>
      </c>
      <c r="H26" s="207" t="inlineStr">
        <is>
          <t>April</t>
        </is>
      </c>
      <c r="I26" s="201" t="n">
        <v>48950</v>
      </c>
      <c r="J26" s="201" t="n">
        <v>0</v>
      </c>
      <c r="K26" s="201" t="n">
        <v>0</v>
      </c>
      <c r="L26" s="201" t="n">
        <v>0</v>
      </c>
      <c r="M26" s="201" t="n">
        <v>0</v>
      </c>
      <c r="N26" s="201" t="n">
        <v>0</v>
      </c>
      <c r="O26" s="201">
        <f>IF(ISNUMBER(I26),I26-SUM(J26:N26),"")</f>
        <v>48950</v>
      </c>
      <c r="P26" s="203">
        <f>IFERROR(IF(AND(ISNUMBER(O26),ISNUMBER(I26),I26&lt;&gt;0),O26/I26,""),"")</f>
        <v>1</v>
      </c>
      <c r="Q26" s="201">
        <f>IF(AND(ISNUMBER(I26),ISNUMBER(S26)),I26*IF(S26&lt;=1,S26,S26/100),IF(OR(I26&lt;&gt;"",S26&lt;&gt;""),"tbd",""))</f>
        <v>0</v>
      </c>
      <c r="R26" s="204" t="inlineStr">
        <is>
          <t>Declined</t>
        </is>
      </c>
      <c r="S26" s="205" t="n">
        <v>0</v>
      </c>
      <c r="T26" s="199" t="inlineStr">
        <is>
          <t>Kalt (Burak)</t>
        </is>
      </c>
      <c r="U26" s="200" t="inlineStr">
        <is>
          <t>–</t>
        </is>
      </c>
      <c r="V26" s="200" t="inlineStr">
        <is>
          <t>Kunden angeschrieben 27.04.2026</t>
        </is>
      </c>
      <c r="W26" s="198" t="inlineStr">
        <is>
          <t>Juni</t>
        </is>
      </c>
      <c r="X26" s="200" t="inlineStr">
        <is>
          <t>Wirtschaftlich nicht tragbar laut Kunde / Warten auf Rückmeldung</t>
        </is>
      </c>
      <c r="Z26">
        <f>IF(AND(R26="WON",ISNUMBER(I26)),AA26,"")</f>
        <v/>
      </c>
      <c r="AA26">
        <f>IFERROR(I26*1,0)</f>
        <v>48950</v>
      </c>
    </row>
    <row r="27" ht="30" customHeight="1">
      <c r="A27" s="198" t="n">
        <v>20</v>
      </c>
      <c r="B27" s="199" t="inlineStr">
        <is>
          <t>Holinger</t>
        </is>
      </c>
      <c r="C27" s="198" t="inlineStr">
        <is>
          <t>BE</t>
        </is>
      </c>
      <c r="D27" s="200" t="inlineStr">
        <is>
          <t>Ingenieure / Planung</t>
        </is>
      </c>
      <c r="E27" s="200" t="inlineStr">
        <is>
          <t>250 kVA Generator</t>
        </is>
      </c>
      <c r="F27" s="201" t="n">
        <v>250</v>
      </c>
      <c r="G27" s="198" t="n">
        <v>90</v>
      </c>
      <c r="H27" s="207" t="inlineStr">
        <is>
          <t>Mai</t>
        </is>
      </c>
      <c r="I27" s="201" t="n">
        <v>39000</v>
      </c>
      <c r="J27" s="201" t="n"/>
      <c r="K27" s="201" t="n"/>
      <c r="L27" s="201" t="n">
        <v>0</v>
      </c>
      <c r="M27" s="201" t="n"/>
      <c r="N27" s="201">
        <f>IF(ISNUMBER(I27),ROUND(I27-I27/1.081,2),"")</f>
        <v>2922.29</v>
      </c>
      <c r="O27" s="201">
        <f>IF(ISNUMBER(I27),I27-SUM(J27:N27),"")</f>
        <v>36077.71</v>
      </c>
      <c r="P27" s="203">
        <f>IFERROR(IF(AND(ISNUMBER(O27),ISNUMBER(I27),I27&lt;&gt;0),O27/I27,""),"")</f>
        <v>0.925069487179487</v>
      </c>
      <c r="Q27" s="201">
        <f>IF(AND(ISNUMBER(I27),ISNUMBER(S27)),I27*IF(S27&lt;=1,S27,S27/100),IF(OR(I27&lt;&gt;"",S27&lt;&gt;""),"tbd",""))</f>
        <v>0</v>
      </c>
      <c r="R27" s="204" t="inlineStr">
        <is>
          <t>LOST</t>
        </is>
      </c>
      <c r="S27" s="205" t="n">
        <v>0</v>
      </c>
      <c r="T27" s="199" t="inlineStr">
        <is>
          <t>Kalt (Burak)</t>
        </is>
      </c>
      <c r="U27" s="200" t="inlineStr">
        <is>
          <t>–</t>
        </is>
      </c>
      <c r="V27" s="200" t="inlineStr">
        <is>
          <t>❌ Closed – in 12 Monaten wieder kontaktieren</t>
        </is>
      </c>
      <c r="W27" s="198" t="inlineStr">
        <is>
          <t>Juni</t>
        </is>
      </c>
      <c r="X27" s="200" t="inlineStr">
        <is>
          <t>Bauherr Entscheid gegen MiT – kein Preisproblem</t>
        </is>
      </c>
      <c r="Z27">
        <f>IF(AND(R27="WON",ISNUMBER(I27)),AA27,"")</f>
        <v/>
      </c>
      <c r="AA27">
        <f>IFERROR(I27*1,0)</f>
        <v>39000</v>
      </c>
    </row>
    <row r="28" ht="30" customHeight="1">
      <c r="A28" s="198" t="n">
        <v>8</v>
      </c>
      <c r="B28" s="199" t="inlineStr">
        <is>
          <t>Sade CGTH (Schweiz)</t>
        </is>
      </c>
      <c r="C28" s="198" t="inlineStr">
        <is>
          <t>GE</t>
        </is>
      </c>
      <c r="D28" s="200" t="inlineStr">
        <is>
          <t>Infrastruktur / Bau</t>
        </is>
      </c>
      <c r="E28" s="200" t="inlineStr">
        <is>
          <t>750 kVA Generator</t>
        </is>
      </c>
      <c r="F28" s="201" t="n">
        <v>750</v>
      </c>
      <c r="G28" s="198" t="n">
        <v>42</v>
      </c>
      <c r="H28" s="202" t="inlineStr">
        <is>
          <t>April</t>
        </is>
      </c>
      <c r="I28" s="201" t="n">
        <v>38885</v>
      </c>
      <c r="J28" s="201" t="n">
        <v>22000</v>
      </c>
      <c r="K28" s="201" t="n">
        <v>2500</v>
      </c>
      <c r="L28" s="201" t="n">
        <v>3500</v>
      </c>
      <c r="M28" s="201" t="n">
        <v>3000</v>
      </c>
      <c r="N28" s="201" t="n">
        <v>800</v>
      </c>
      <c r="O28" s="201">
        <f>IF(ISNUMBER(I28),I28-SUM(J28:N28),"")</f>
        <v>7085</v>
      </c>
      <c r="P28" s="203">
        <f>IFERROR(IF(AND(ISNUMBER(O28),ISNUMBER(I28),I28&lt;&gt;0),O28/I28,""),"")</f>
        <v>0.182203934679182</v>
      </c>
      <c r="Q28" s="201">
        <f>IF(AND(ISNUMBER(I28),ISNUMBER(S28)),I28*IF(S28&lt;=1,S28,S28/100),IF(OR(I28&lt;&gt;"",S28&lt;&gt;""),"tbd",""))</f>
        <v>19442.5</v>
      </c>
      <c r="R28" s="204" t="inlineStr">
        <is>
          <t>follow-up</t>
        </is>
      </c>
      <c r="S28" s="205" t="n">
        <v>0.5</v>
      </c>
      <c r="T28" s="199" t="inlineStr">
        <is>
          <t>Kalt (Burak)</t>
        </is>
      </c>
      <c r="U28" s="200" t="inlineStr">
        <is>
          <t>24/7 Service, Aggreko-Zuverlässigkeit</t>
        </is>
      </c>
      <c r="V28" s="200" t="inlineStr">
        <is>
          <t>Auftragsbestätigung anfordern – Entscheid steht bevor</t>
        </is>
      </c>
      <c r="W28" s="198" t="inlineStr">
        <is>
          <t>Juni</t>
        </is>
      </c>
      <c r="X28" s="200" t="inlineStr">
        <is>
          <t>Infrastrukturprojekt Romandie – Türöffner GE/VD</t>
        </is>
      </c>
      <c r="Z28">
        <f>IF(AND(R28="WON",ISNUMBER(I28)),AA28,"")</f>
        <v/>
      </c>
      <c r="AA28">
        <f>IFERROR(I28*1,0)</f>
        <v>38885</v>
      </c>
    </row>
    <row r="29" ht="30" customHeight="1">
      <c r="A29" s="198" t="n">
        <v>22</v>
      </c>
      <c r="B29" s="199" t="inlineStr">
        <is>
          <t>Coolworld Rentals</t>
        </is>
      </c>
      <c r="C29" s="198" t="inlineStr">
        <is>
          <t>SH</t>
        </is>
      </c>
      <c r="D29" s="200" t="inlineStr">
        <is>
          <t>Kühlung / Konkurrenz</t>
        </is>
      </c>
      <c r="E29" s="200" t="inlineStr">
        <is>
          <t>400 kVA Generator</t>
        </is>
      </c>
      <c r="F29" s="201" t="n">
        <v>400</v>
      </c>
      <c r="G29" s="198" t="n">
        <v>21</v>
      </c>
      <c r="H29" s="207" t="inlineStr">
        <is>
          <t>Juli</t>
        </is>
      </c>
      <c r="I29" s="201" t="n">
        <v>12572.63</v>
      </c>
      <c r="J29" s="201">
        <f>6763.05+672+168</f>
        <v>7603.05</v>
      </c>
      <c r="K29" s="201" t="n">
        <v>3000</v>
      </c>
      <c r="L29" s="201" t="n">
        <v>0</v>
      </c>
      <c r="M29" s="201" t="n">
        <v>870</v>
      </c>
      <c r="N29" s="201">
        <f>IF(ISNUMBER(I29),ROUND(I29-I29/1.081,2),"")</f>
        <v>942.07</v>
      </c>
      <c r="O29" s="201">
        <f>IF(ISNUMBER(I29),I29-SUM(J29:N29),"")</f>
        <v>157.51</v>
      </c>
      <c r="P29" s="203">
        <f>IFERROR(IF(AND(ISNUMBER(O29),ISNUMBER(I29),I29&lt;&gt;0),O29/I29,""),"")</f>
        <v>0.0125280072665783</v>
      </c>
      <c r="Q29" s="201">
        <f>IF(AND(ISNUMBER(I29),ISNUMBER(S29)),I29*IF(S29&lt;=1,S29,S29/100),IF(OR(I29&lt;&gt;"",S29&lt;&gt;""),"tbd",""))</f>
        <v>0</v>
      </c>
      <c r="R29" s="204" t="inlineStr">
        <is>
          <t>LOST</t>
        </is>
      </c>
      <c r="S29" s="205" t="n">
        <v>0</v>
      </c>
      <c r="T29" s="199" t="inlineStr">
        <is>
          <t>Kalt (Burak)</t>
        </is>
      </c>
      <c r="U29" s="200" t="inlineStr">
        <is>
          <t>Flexibilität, Einfaches Setup</t>
        </is>
      </c>
      <c r="V29" s="208" t="inlineStr">
        <is>
          <t>Email Kontaktiert, Telefoniert, Warten auf Rückmeldung erneut, Kunde braucht kein Power mehr, Absage so</t>
        </is>
      </c>
      <c r="W29" s="198" t="inlineStr">
        <is>
          <t>Juni</t>
        </is>
      </c>
      <c r="X29" s="200" t="inlineStr">
        <is>
          <t>Kunde klärt ab und meldet sich was der Kunde sagt</t>
        </is>
      </c>
      <c r="Z29">
        <f>IF(AND(R29="WON",ISNUMBER(I29)),AA29,"")</f>
        <v/>
      </c>
      <c r="AA29">
        <f>IFERROR(I29*1,0)</f>
        <v>12572.63</v>
      </c>
    </row>
    <row r="30" ht="30" customHeight="1">
      <c r="A30" s="198" t="n">
        <v>23</v>
      </c>
      <c r="B30" s="199" t="inlineStr">
        <is>
          <t>Etavis Chur</t>
        </is>
      </c>
      <c r="C30" s="198" t="inlineStr">
        <is>
          <t>GR</t>
        </is>
      </c>
      <c r="D30" s="200" t="inlineStr">
        <is>
          <t>Elektroinstallation</t>
        </is>
      </c>
      <c r="E30" s="200" t="inlineStr">
        <is>
          <t>30 kVA Generator</t>
        </is>
      </c>
      <c r="F30" s="201" t="n">
        <v>30</v>
      </c>
      <c r="G30" s="198" t="inlineStr">
        <is>
          <t>tbd</t>
        </is>
      </c>
      <c r="H30" s="198" t="inlineStr">
        <is>
          <t>tbd</t>
        </is>
      </c>
      <c r="I30" s="201" t="n">
        <v>0</v>
      </c>
      <c r="J30" s="201" t="n">
        <v>0</v>
      </c>
      <c r="K30" s="201" t="n">
        <v>0</v>
      </c>
      <c r="L30" s="201" t="n">
        <v>0</v>
      </c>
      <c r="M30" s="201" t="n">
        <v>0</v>
      </c>
      <c r="N30" s="201" t="n">
        <v>0</v>
      </c>
      <c r="O30" s="201">
        <f>IF(ISNUMBER(I30),I30-SUM(J30:N30),"")</f>
        <v>0</v>
      </c>
      <c r="P30" s="203">
        <f>IFERROR(IF(AND(ISNUMBER(O30),ISNUMBER(I30),I30&lt;&gt;0),O30/I30,""),"")</f>
        <v/>
      </c>
      <c r="Q30" s="201">
        <f>IF(AND(ISNUMBER(I30),ISNUMBER(S30)),I30*IF(S30&lt;=1,S30,S30/100),IF(OR(I30&lt;&gt;"",S30&lt;&gt;""),"tbd",""))</f>
        <v>0</v>
      </c>
      <c r="R30" s="204" t="inlineStr">
        <is>
          <t>Declined</t>
        </is>
      </c>
      <c r="S30" s="205" t="n">
        <v>0</v>
      </c>
      <c r="T30" s="199" t="inlineStr">
        <is>
          <t>Warm – Aggreko</t>
        </is>
      </c>
      <c r="U30" s="200" t="n"/>
      <c r="V30" s="200" t="inlineStr">
        <is>
          <t>Email Kontaktiert</t>
        </is>
      </c>
      <c r="W30" s="198" t="inlineStr">
        <is>
          <t>Juni</t>
        </is>
      </c>
      <c r="X30" s="200" t="inlineStr">
        <is>
          <t>Kunde angeschrieben</t>
        </is>
      </c>
      <c r="Z30">
        <f>IF(AND(R30="WON",ISNUMBER(I30)),AA30,"")</f>
        <v/>
      </c>
      <c r="AA30">
        <f>IFERROR(I30*1,0)</f>
        <v>0</v>
      </c>
    </row>
    <row r="31" ht="30" customHeight="1">
      <c r="A31" s="198" t="n">
        <v>24</v>
      </c>
      <c r="B31" s="199" t="inlineStr">
        <is>
          <t>Wetzikon</t>
        </is>
      </c>
      <c r="C31" s="198" t="inlineStr">
        <is>
          <t>ZH</t>
        </is>
      </c>
      <c r="D31" s="200" t="inlineStr">
        <is>
          <t>Gemeinde</t>
        </is>
      </c>
      <c r="E31" s="200" t="inlineStr">
        <is>
          <t>tbd (PQ-kritisch)</t>
        </is>
      </c>
      <c r="F31" s="206" t="inlineStr">
        <is>
          <t>tbd</t>
        </is>
      </c>
      <c r="G31" s="198" t="inlineStr">
        <is>
          <t>tbd</t>
        </is>
      </c>
      <c r="H31" s="198" t="inlineStr">
        <is>
          <t>tbd</t>
        </is>
      </c>
      <c r="I31" s="201" t="n"/>
      <c r="J31" s="201" t="n"/>
      <c r="K31" s="201" t="n"/>
      <c r="L31" s="201" t="n">
        <v>0</v>
      </c>
      <c r="M31" s="201" t="n"/>
      <c r="N31" s="201">
        <f>IF(ISNUMBER(I31),ROUND(I31-I31/1.081,2),"")</f>
        <v/>
      </c>
      <c r="O31" s="201">
        <f>IF(ISNUMBER(I31),I31-SUM(J31:N31),"")</f>
        <v/>
      </c>
      <c r="P31" s="203">
        <f>IFERROR(IF(AND(ISNUMBER(O31),ISNUMBER(I31),I31&lt;&gt;0),O31/I31,""),"")</f>
        <v/>
      </c>
      <c r="Q31" s="201" t="str">
        <f>IF(AND(ISNUMBER(I31),ISNUMBER(S31)),I31*IF(S31&lt;=1,S31,S31/100),IF(OR(I31&lt;&gt;"",S31&lt;&gt;""),"tbd",""))</f>
        <v>tbd</v>
      </c>
      <c r="R31" s="204" t="inlineStr">
        <is>
          <t>LOST</t>
        </is>
      </c>
      <c r="S31" s="205" t="n">
        <v>0</v>
      </c>
      <c r="T31" s="199" t="inlineStr">
        <is>
          <t>Warm – Aggreko</t>
        </is>
      </c>
      <c r="U31" s="200" t="inlineStr">
        <is>
          <t>Machbarkeitsstudei</t>
        </is>
      </c>
      <c r="V31" s="200" t="inlineStr">
        <is>
          <t>Email Kontaktiert</t>
        </is>
      </c>
      <c r="W31" s="198" t="inlineStr">
        <is>
          <t>Juni</t>
        </is>
      </c>
      <c r="X31" s="200" t="inlineStr">
        <is>
          <t>Kunde angeschrieben</t>
        </is>
      </c>
      <c r="Z31">
        <f>IF(AND(R31="WON",ISNUMBER(I31)),AA31,"")</f>
        <v/>
      </c>
      <c r="AA31">
        <f>IFERROR(I31*1,0)</f>
        <v>0</v>
      </c>
    </row>
    <row r="32" ht="36" customHeight="1">
      <c r="A32" s="198" t="n">
        <v>11</v>
      </c>
      <c r="B32" s="199" t="inlineStr">
        <is>
          <t>Burkhalter Technics AG</t>
        </is>
      </c>
      <c r="C32" s="198" t="inlineStr">
        <is>
          <t>ZH</t>
        </is>
      </c>
      <c r="D32" s="200" t="inlineStr">
        <is>
          <t>Elektroinstallation</t>
        </is>
      </c>
      <c r="E32" s="200" t="inlineStr">
        <is>
          <t>150 kVA Generator</t>
        </is>
      </c>
      <c r="F32" s="201" t="n">
        <v>150</v>
      </c>
      <c r="G32" s="198" t="n">
        <v>14</v>
      </c>
      <c r="H32" s="202" t="inlineStr">
        <is>
          <t>Mai</t>
        </is>
      </c>
      <c r="I32" s="201" t="n">
        <v>0</v>
      </c>
      <c r="J32" s="201" t="n">
        <v>0</v>
      </c>
      <c r="K32" s="201" t="n">
        <v>0</v>
      </c>
      <c r="L32" s="201" t="n">
        <v>0</v>
      </c>
      <c r="M32" s="201" t="n">
        <v>0</v>
      </c>
      <c r="N32" s="201" t="n">
        <v>0</v>
      </c>
      <c r="O32" s="201">
        <f>IF(ISNUMBER(I32),I32-SUM(J32:N32),"")</f>
        <v>0</v>
      </c>
      <c r="P32" s="203">
        <f>IFERROR(IF(AND(ISNUMBER(O32),ISNUMBER(I32),I32&lt;&gt;0),O32/I32,""),"")</f>
        <v/>
      </c>
      <c r="Q32" s="201">
        <f>IF(AND(ISNUMBER(I32),ISNUMBER(S32)),I32*IF(S32&lt;=1,S32,S32/100),IF(OR(I32&lt;&gt;"",S32&lt;&gt;""),"tbd",""))</f>
        <v>0</v>
      </c>
      <c r="R32" s="204" t="inlineStr">
        <is>
          <t>Declined</t>
        </is>
      </c>
      <c r="S32" s="205" t="n">
        <v>0</v>
      </c>
      <c r="T32" s="199" t="inlineStr">
        <is>
          <t>Warm – CBM</t>
        </is>
      </c>
      <c r="U32" s="200" t="inlineStr">
        <is>
          <t>Bestehende Beziehung, schnelle Lieferung</t>
        </is>
      </c>
      <c r="V32" s="200" t="inlineStr">
        <is>
          <t>Angebot finalisieren – CBM-Beziehung nutzen, Abrufbereit und Vertrag unterschreiben</t>
        </is>
      </c>
      <c r="W32" s="198" t="inlineStr">
        <is>
          <t>Juni</t>
        </is>
      </c>
      <c r="X32" s="200" t="inlineStr">
        <is>
          <t>Bekannt aus CBM – Cross-Sell PQ-Monitoring möglich</t>
        </is>
      </c>
      <c r="Z32">
        <f>IF(AND(R32="WON",ISNUMBER(I32)),AA32,"")</f>
        <v/>
      </c>
      <c r="AA32">
        <f>IFERROR(I32*1,0)</f>
        <v>0</v>
      </c>
    </row>
    <row r="33" ht="24" customHeight="1">
      <c r="A33" s="198" t="n">
        <v>14</v>
      </c>
      <c r="B33" s="199" t="inlineStr">
        <is>
          <t>Trafag AG</t>
        </is>
      </c>
      <c r="C33" s="198" t="inlineStr">
        <is>
          <t>ZH</t>
        </is>
      </c>
      <c r="D33" s="200" t="inlineStr">
        <is>
          <t>Industrie / Messtechnik</t>
        </is>
      </c>
      <c r="E33" s="200" t="inlineStr">
        <is>
          <t>450 kVA Generator</t>
        </is>
      </c>
      <c r="F33" s="201" t="n">
        <v>450</v>
      </c>
      <c r="G33" s="198" t="inlineStr">
        <is>
          <t>tbd</t>
        </is>
      </c>
      <c r="H33" s="202" t="inlineStr">
        <is>
          <t>tbd</t>
        </is>
      </c>
      <c r="I33" s="201" t="n">
        <v>17300</v>
      </c>
      <c r="J33" s="201" t="n">
        <v>0</v>
      </c>
      <c r="K33" s="201" t="n">
        <v>0</v>
      </c>
      <c r="L33" s="201" t="n">
        <v>0</v>
      </c>
      <c r="M33" s="201" t="n">
        <v>0</v>
      </c>
      <c r="N33" s="201" t="n">
        <v>0</v>
      </c>
      <c r="O33" s="201">
        <f>IF(ISNUMBER(I33),I33-SUM(J33:N33),"")</f>
        <v>17300</v>
      </c>
      <c r="P33" s="203">
        <f>IFERROR(IF(AND(ISNUMBER(O33),ISNUMBER(I33),I33&lt;&gt;0),O33/I33,""),"")</f>
        <v>1</v>
      </c>
      <c r="Q33" s="201">
        <f>IF(AND(ISNUMBER(I33),ISNUMBER(S33)),I33*IF(S33&lt;=1,S33,S33/100),IF(OR(I33&lt;&gt;"",S33&lt;&gt;""),"tbd",""))</f>
        <v>8650</v>
      </c>
      <c r="R33" s="204" t="inlineStr">
        <is>
          <t>offered</t>
        </is>
      </c>
      <c r="S33" s="205" t="n">
        <v>0.5</v>
      </c>
      <c r="T33" s="199" t="inlineStr">
        <is>
          <t>Kalt (Burak)</t>
        </is>
      </c>
      <c r="U33" s="200" t="inlineStr">
        <is>
          <t>PQ-zertifiziert für sensible Messtechnik</t>
        </is>
      </c>
      <c r="V33" s="200" t="inlineStr">
        <is>
          <t>Angebot vorbereiten – PQ-Argument für Messtechnik, Stefanie Hintermann kontaktieren für weiteren Ablauf, Kontakt aufgenommen und warten für die Zusage / Preisklärung</t>
        </is>
      </c>
      <c r="W33" s="198" t="inlineStr">
        <is>
          <t>Juni</t>
        </is>
      </c>
      <c r="X33" s="200" t="inlineStr">
        <is>
          <t>Messtechnikhersteller – PQ-Argument optimal, Kunde hat alle Daten und Offerten</t>
        </is>
      </c>
      <c r="Z33">
        <f>IF(AND(R33="WON",ISNUMBER(I33)),AA33,"")</f>
        <v/>
      </c>
      <c r="AA33">
        <f>IFERROR(I33*1,0)</f>
        <v>17300</v>
      </c>
    </row>
    <row r="34" ht="30" customHeight="1">
      <c r="A34" s="198" t="n">
        <v>26</v>
      </c>
      <c r="B34" s="199" t="inlineStr">
        <is>
          <t>OST Fachhochschule</t>
        </is>
      </c>
      <c r="C34" s="198" t="inlineStr">
        <is>
          <t>SG</t>
        </is>
      </c>
      <c r="D34" s="200" t="inlineStr">
        <is>
          <t>Hochschule</t>
        </is>
      </c>
      <c r="E34" s="200" t="inlineStr">
        <is>
          <t>200 kVA Lastbank</t>
        </is>
      </c>
      <c r="F34" s="201" t="n">
        <v>200</v>
      </c>
      <c r="G34" s="202" t="inlineStr">
        <is>
          <t>tbd</t>
        </is>
      </c>
      <c r="H34" s="202" t="inlineStr">
        <is>
          <t>tbd</t>
        </is>
      </c>
      <c r="I34" s="201" t="n">
        <v>0</v>
      </c>
      <c r="J34" s="201" t="n">
        <v>0</v>
      </c>
      <c r="K34" s="201" t="n">
        <v>0</v>
      </c>
      <c r="L34" s="201" t="n">
        <v>0</v>
      </c>
      <c r="M34" s="201" t="n">
        <v>0</v>
      </c>
      <c r="N34" s="201" t="n">
        <v>0</v>
      </c>
      <c r="O34" s="201">
        <f>IF(ISNUMBER(I34),I34-SUM(J34:N34),"")</f>
        <v>0</v>
      </c>
      <c r="P34" s="203">
        <f>IFERROR(IF(AND(ISNUMBER(O34),ISNUMBER(I34),I34&lt;&gt;0),O34/I34,""),"")</f>
        <v/>
      </c>
      <c r="Q34" s="201">
        <f>IF(AND(ISNUMBER(I34),ISNUMBER(S34)),I34*IF(S34&lt;=1,S34,S34/100),IF(OR(I34&lt;&gt;"",S34&lt;&gt;""),"tbd",""))</f>
        <v>0</v>
      </c>
      <c r="R34" s="204" t="inlineStr">
        <is>
          <t>Declined</t>
        </is>
      </c>
      <c r="S34" s="205" t="n">
        <v>0</v>
      </c>
      <c r="T34" s="199" t="inlineStr">
        <is>
          <t>Warm – Aggreko</t>
        </is>
      </c>
      <c r="U34" s="200" t="inlineStr">
        <is>
          <t>Flexibilität, Einfaches Setup</t>
        </is>
      </c>
      <c r="V34" s="200" t="inlineStr">
        <is>
          <t>Email Kontaktiert, Telefoniert, Kunde hat kein bedarf mehr</t>
        </is>
      </c>
      <c r="W34" s="198" t="inlineStr">
        <is>
          <t>Juni</t>
        </is>
      </c>
      <c r="X34" s="200" t="inlineStr">
        <is>
          <t>Kunde angeschrieben, Kunde aus altem Netzwerk bekannt von CMB-Zeiten, Kunde hat kein Bedarf mehr</t>
        </is>
      </c>
      <c r="Z34">
        <f>IF(AND(R34="WON",ISNUMBER(I34)),AA34,"")</f>
        <v/>
      </c>
      <c r="AA34">
        <f>IFERROR(I34*1,0)</f>
        <v>0</v>
      </c>
    </row>
    <row r="35" ht="30" customHeight="1">
      <c r="A35" s="198" t="n">
        <v>14</v>
      </c>
      <c r="B35" s="199" t="inlineStr">
        <is>
          <t>Trafag AG</t>
        </is>
      </c>
      <c r="C35" s="198" t="inlineStr">
        <is>
          <t>ZH</t>
        </is>
      </c>
      <c r="D35" s="200" t="inlineStr">
        <is>
          <t>Industrie / Messtechnik</t>
        </is>
      </c>
      <c r="E35" s="200" t="inlineStr">
        <is>
          <t>BESS 500 kVA</t>
        </is>
      </c>
      <c r="F35" s="201" t="n">
        <v>450</v>
      </c>
      <c r="G35" s="198" t="inlineStr">
        <is>
          <t>tbd</t>
        </is>
      </c>
      <c r="H35" s="202" t="inlineStr">
        <is>
          <t>tbd</t>
        </is>
      </c>
      <c r="I35" s="201" t="n">
        <v>21025</v>
      </c>
      <c r="J35" s="201" t="n">
        <v>0</v>
      </c>
      <c r="K35" s="201" t="n">
        <v>0</v>
      </c>
      <c r="L35" s="201" t="n">
        <v>0</v>
      </c>
      <c r="M35" s="201" t="n">
        <v>0</v>
      </c>
      <c r="N35" s="201" t="n">
        <v>0</v>
      </c>
      <c r="O35" s="201">
        <f>IF(ISNUMBER(I35),I35-SUM(J35:N35),"")</f>
        <v>21025</v>
      </c>
      <c r="P35" s="203">
        <f>IFERROR(IF(AND(ISNUMBER(O35),ISNUMBER(I35),I35&lt;&gt;0),O35/I35,""),"")</f>
        <v>1</v>
      </c>
      <c r="Q35" s="201">
        <f>IF(AND(ISNUMBER(I35),ISNUMBER(S35)),I35*IF(S35&lt;=1,S35,S35/100),IF(OR(I35&lt;&gt;"",S35&lt;&gt;""),"tbd",""))</f>
        <v>10512.5</v>
      </c>
      <c r="R35" s="204" t="inlineStr">
        <is>
          <t>offered</t>
        </is>
      </c>
      <c r="S35" s="205" t="n">
        <v>0.5</v>
      </c>
      <c r="T35" s="199" t="inlineStr">
        <is>
          <t>Kalt (Burak)</t>
        </is>
      </c>
      <c r="U35" s="200" t="inlineStr">
        <is>
          <t>PQ-zertifiziert für sensible Messtechnik</t>
        </is>
      </c>
      <c r="V35" s="200" t="inlineStr">
        <is>
          <t>Angebot vorbereiten – PQ-Argument für Messtechnik, Stefanie Hintermann kontaktieren für weiteren Ablauf, Kontakt aufgenommen und warten für die Zusage / Preisklärung</t>
        </is>
      </c>
      <c r="W35" s="198" t="inlineStr">
        <is>
          <t>Juni</t>
        </is>
      </c>
      <c r="X35" s="200" t="inlineStr">
        <is>
          <t>Messtechnikhersteller – PQ-Argument optimal, Kunde hat alle Daten und Offerten</t>
        </is>
      </c>
      <c r="Z35">
        <f>IF(AND(R35="WON",ISNUMBER(I35)),AA35,"")</f>
        <v/>
      </c>
      <c r="AA35">
        <f>IFERROR(I35*1,0)</f>
        <v>21025</v>
      </c>
    </row>
    <row r="36" ht="30" customHeight="1">
      <c r="A36" s="198" t="n">
        <v>14</v>
      </c>
      <c r="B36" s="199" t="inlineStr">
        <is>
          <t>Trafag AG</t>
        </is>
      </c>
      <c r="C36" s="198" t="inlineStr">
        <is>
          <t>ZH</t>
        </is>
      </c>
      <c r="D36" s="200" t="inlineStr">
        <is>
          <t>Industrie / Messtechnik</t>
        </is>
      </c>
      <c r="E36" s="200" t="inlineStr">
        <is>
          <t>Kombi 450 kVA Generator / BESS 500 kVA</t>
        </is>
      </c>
      <c r="F36" s="201" t="n">
        <v>450</v>
      </c>
      <c r="G36" s="198" t="inlineStr">
        <is>
          <t>tbd</t>
        </is>
      </c>
      <c r="H36" s="202" t="inlineStr">
        <is>
          <t>tbd</t>
        </is>
      </c>
      <c r="I36" s="201" t="n">
        <v>37444</v>
      </c>
      <c r="J36" s="201" t="n">
        <v>0</v>
      </c>
      <c r="K36" s="201" t="n">
        <v>0</v>
      </c>
      <c r="L36" s="201" t="n">
        <v>0</v>
      </c>
      <c r="M36" s="201" t="n">
        <v>0</v>
      </c>
      <c r="N36" s="201" t="n">
        <v>0</v>
      </c>
      <c r="O36" s="201">
        <f>IF(ISNUMBER(I36),I36-SUM(J36:N36),"")</f>
        <v>37444</v>
      </c>
      <c r="P36" s="203">
        <f>IFERROR(IF(AND(ISNUMBER(O36),ISNUMBER(I36),I36&lt;&gt;0),O36/I36,""),"")</f>
        <v>1</v>
      </c>
      <c r="Q36" s="201">
        <f>IF(AND(ISNUMBER(I36),ISNUMBER(S36)),I36*IF(S36&lt;=1,S36,S36/100),IF(OR(I36&lt;&gt;"",S36&lt;&gt;""),"tbd",""))</f>
        <v>18722</v>
      </c>
      <c r="R36" s="204" t="inlineStr">
        <is>
          <t>offered</t>
        </is>
      </c>
      <c r="S36" s="205" t="n">
        <v>0.5</v>
      </c>
      <c r="T36" s="199" t="inlineStr">
        <is>
          <t>Kalt (Burak)</t>
        </is>
      </c>
      <c r="U36" s="200" t="inlineStr">
        <is>
          <t>PQ-zertifiziert für sensible Messtechnik</t>
        </is>
      </c>
      <c r="V36" s="200" t="inlineStr">
        <is>
          <t>Angebot vorbereiten – PQ-Argument für Messtechnik, Stefanie Hintermann kontaktieren für weiteren Ablauf, Kontakt aufgenommen und warten für die Zusage / Preisklärung</t>
        </is>
      </c>
      <c r="W36" s="198" t="inlineStr">
        <is>
          <t>Juni</t>
        </is>
      </c>
      <c r="X36" s="200" t="inlineStr">
        <is>
          <t>Messtechnikhersteller – PQ-Argument optimal, Kunde hat alle Daten und Offerten</t>
        </is>
      </c>
      <c r="Z36">
        <f>IF(AND(R36="WON",ISNUMBER(I36)),AA36,"")</f>
        <v/>
      </c>
      <c r="AA36">
        <f>IFERROR(I36*1,0)</f>
        <v>37444</v>
      </c>
    </row>
    <row r="37" ht="30" customHeight="1">
      <c r="A37" s="198" t="n">
        <v>27</v>
      </c>
      <c r="B37" s="199" t="inlineStr">
        <is>
          <t>Rimus &amp; Sstrada</t>
        </is>
      </c>
      <c r="C37" s="198" t="inlineStr">
        <is>
          <t>SH</t>
        </is>
      </c>
      <c r="D37" s="200" t="inlineStr">
        <is>
          <t>Industrie</t>
        </is>
      </c>
      <c r="E37" s="200" t="inlineStr">
        <is>
          <t>500 kWh Small BESS</t>
        </is>
      </c>
      <c r="F37" s="206" t="inlineStr">
        <is>
          <t>500 kWh</t>
        </is>
      </c>
      <c r="G37" s="198" t="inlineStr">
        <is>
          <t>inf</t>
        </is>
      </c>
      <c r="H37" s="202" t="inlineStr">
        <is>
          <t>tbd</t>
        </is>
      </c>
      <c r="I37" s="201">
        <f>416100+7665+2190</f>
        <v>425955</v>
      </c>
      <c r="J37" s="201" t="n">
        <v>416100</v>
      </c>
      <c r="K37" s="201" t="n">
        <v>7620</v>
      </c>
      <c r="L37" s="201" t="n">
        <v>0</v>
      </c>
      <c r="M37" s="201" t="n">
        <v>0</v>
      </c>
      <c r="N37" s="201" t="n">
        <v>0</v>
      </c>
      <c r="O37" s="201">
        <f>IF(ISNUMBER(I37),I37-SUM(J37:N37),"")</f>
        <v>2235</v>
      </c>
      <c r="P37" s="203">
        <f>IFERROR(IF(AND(ISNUMBER(O37),ISNUMBER(I37),I37&lt;&gt;0),O37/I37,""),"")</f>
        <v>0.00524703313730324</v>
      </c>
      <c r="Q37" s="201">
        <f>IF(AND(ISNUMBER(I37),ISNUMBER(S37)),I37*IF(S37&lt;=1,S37,S37/100),IF(OR(I37&lt;&gt;"",S37&lt;&gt;""),"tbd",""))</f>
        <v>212977.5</v>
      </c>
      <c r="R37" s="204" t="inlineStr">
        <is>
          <t>offered</t>
        </is>
      </c>
      <c r="S37" s="205" t="n">
        <v>0.5</v>
      </c>
      <c r="T37" s="199" t="inlineStr">
        <is>
          <t>Inbound</t>
        </is>
      </c>
      <c r="U37" s="200" t="inlineStr">
        <is>
          <t>USV + PQ-Monitoring für Präzisionsanlagen</t>
        </is>
      </c>
      <c r="V37" s="200" t="inlineStr">
        <is>
          <t>Kunde Telefon Kontaktiert und Vor Ort 
Besichtigung und Aufbauort</t>
        </is>
      </c>
      <c r="W37" s="198" t="inlineStr">
        <is>
          <t>Juni</t>
        </is>
      </c>
      <c r="X37" s="200" t="inlineStr">
        <is>
          <t>Kunde angeschrieben, Kundentermin vor Ort in Mai 26, Termin Perfekt, Kunde benötigt Offerte, Kunde hat Offerte erhalten</t>
        </is>
      </c>
      <c r="Z37">
        <f>IF(AND(R37="WON",ISNUMBER(I37)),AA37,"")</f>
        <v/>
      </c>
      <c r="AA37">
        <f>IFERROR(I37*1,0)</f>
        <v>425955</v>
      </c>
    </row>
    <row r="38" ht="30" customHeight="1">
      <c r="A38" s="198" t="n">
        <v>27</v>
      </c>
      <c r="B38" s="199" t="inlineStr">
        <is>
          <t>Rimus &amp; Sstrada</t>
        </is>
      </c>
      <c r="C38" s="198" t="inlineStr">
        <is>
          <t>SH</t>
        </is>
      </c>
      <c r="D38" s="200" t="inlineStr">
        <is>
          <t>Industrie</t>
        </is>
      </c>
      <c r="E38" s="200" t="inlineStr">
        <is>
          <t>1 MWh Medium BESS</t>
        </is>
      </c>
      <c r="F38" s="206" t="inlineStr">
        <is>
          <t>1 MWh</t>
        </is>
      </c>
      <c r="G38" s="198" t="inlineStr">
        <is>
          <t>inf</t>
        </is>
      </c>
      <c r="H38" s="202" t="inlineStr">
        <is>
          <t>tbd</t>
        </is>
      </c>
      <c r="I38" s="201">
        <f>873810+15330+2190</f>
        <v>891330</v>
      </c>
      <c r="J38" s="201" t="n">
        <v>873810</v>
      </c>
      <c r="K38" s="201" t="n">
        <v>7620</v>
      </c>
      <c r="L38" s="201" t="n">
        <v>0</v>
      </c>
      <c r="M38" s="201" t="n">
        <v>0</v>
      </c>
      <c r="N38" s="201" t="n">
        <v>0</v>
      </c>
      <c r="O38" s="201">
        <f>IF(ISNUMBER(I38),I38-SUM(J38:N38),"")</f>
        <v>9900</v>
      </c>
      <c r="P38" s="203">
        <f>IFERROR(IF(AND(ISNUMBER(O38),ISNUMBER(I38),I38&lt;&gt;0),O38/I38,""),"")</f>
        <v>0.0111069974083673</v>
      </c>
      <c r="Q38" s="201">
        <f>IF(AND(ISNUMBER(I38),ISNUMBER(S38)),I38*IF(S38&lt;=1,S38,S38/100),IF(OR(I38&lt;&gt;"",S38&lt;&gt;""),"tbd",""))</f>
        <v>445665</v>
      </c>
      <c r="R38" s="204" t="inlineStr">
        <is>
          <t>offered</t>
        </is>
      </c>
      <c r="S38" s="205" t="n">
        <v>0.5</v>
      </c>
      <c r="T38" s="199" t="inlineStr">
        <is>
          <t>Inbound</t>
        </is>
      </c>
      <c r="U38" s="200" t="inlineStr">
        <is>
          <t>USV + PQ-Monitoring für Präzisionsanlagen</t>
        </is>
      </c>
      <c r="V38" s="200" t="inlineStr">
        <is>
          <t>Kunde Telefon Kontaktiert und Vor Ort 
Besichtigung und Aufbauort</t>
        </is>
      </c>
      <c r="W38" s="198" t="inlineStr">
        <is>
          <t>Juni</t>
        </is>
      </c>
      <c r="X38" s="200" t="inlineStr">
        <is>
          <t>Kunde angeschrieben, Kundentermin vor Ort in Mai 26, Termin Perfekt, Kunde benötigt Offerte, Kunde hat Offerte erhalten</t>
        </is>
      </c>
      <c r="Z38">
        <f>IF(AND(R38="WON",ISNUMBER(I38)),AA38,"")</f>
        <v/>
      </c>
      <c r="AA38">
        <f>IFERROR(I38*1,0)</f>
        <v>891330</v>
      </c>
    </row>
    <row r="39" ht="24" customHeight="1">
      <c r="A39" s="198" t="n">
        <v>27</v>
      </c>
      <c r="B39" s="199" t="inlineStr">
        <is>
          <t>Rimus &amp; Sstrada</t>
        </is>
      </c>
      <c r="C39" s="198" t="inlineStr">
        <is>
          <t>SH</t>
        </is>
      </c>
      <c r="D39" s="200" t="inlineStr">
        <is>
          <t>Industrie</t>
        </is>
      </c>
      <c r="E39" s="200" t="inlineStr">
        <is>
          <t>1,5 MWh Large BESS</t>
        </is>
      </c>
      <c r="F39" s="206" t="inlineStr">
        <is>
          <t>1,5 MWh</t>
        </is>
      </c>
      <c r="G39" s="198" t="inlineStr">
        <is>
          <t>inf</t>
        </is>
      </c>
      <c r="H39" s="202" t="inlineStr">
        <is>
          <t>tbd</t>
        </is>
      </c>
      <c r="I39" s="201">
        <f>1289910+15330+2190</f>
        <v>1307430</v>
      </c>
      <c r="J39" s="201" t="n">
        <v>1289910</v>
      </c>
      <c r="K39" s="201" t="n">
        <v>7620</v>
      </c>
      <c r="L39" s="201" t="n">
        <v>0</v>
      </c>
      <c r="M39" s="201" t="n">
        <v>0</v>
      </c>
      <c r="N39" s="201" t="n">
        <v>0</v>
      </c>
      <c r="O39" s="201">
        <f>IF(ISNUMBER(I39),I39-SUM(J39:N39),"")</f>
        <v>9900</v>
      </c>
      <c r="P39" s="203">
        <f>IFERROR(IF(AND(ISNUMBER(O39),ISNUMBER(I39),I39&lt;&gt;0),O39/I39,""),"")</f>
        <v>0.00757210711089695</v>
      </c>
      <c r="Q39" s="201">
        <f>IF(AND(ISNUMBER(I39),ISNUMBER(S39)),I39*IF(S39&lt;=1,S39,S39/100),IF(OR(I39&lt;&gt;"",S39&lt;&gt;""),"tbd",""))</f>
        <v>653715</v>
      </c>
      <c r="R39" s="204" t="inlineStr">
        <is>
          <t>offered</t>
        </is>
      </c>
      <c r="S39" s="205" t="n">
        <v>0.5</v>
      </c>
      <c r="T39" s="199" t="inlineStr">
        <is>
          <t>Inbound</t>
        </is>
      </c>
      <c r="U39" s="200" t="inlineStr">
        <is>
          <t>USV + PQ-Monitoring für Präzisionsanlagen</t>
        </is>
      </c>
      <c r="V39" s="200" t="inlineStr">
        <is>
          <t>Kunde Telefon Kontaktiert und Vor Ort 
Besichtigung und Aufbauort</t>
        </is>
      </c>
      <c r="W39" s="198" t="inlineStr">
        <is>
          <t>Juni</t>
        </is>
      </c>
      <c r="X39" s="200" t="inlineStr">
        <is>
          <t>Kunde angeschrieben, Kundentermin vor Ort in Mai 26, Termin Perfekt, Kunde benötigt Offerte, Kunde hat Offerte erhalten</t>
        </is>
      </c>
      <c r="Z39">
        <f>IF(AND(R39="WON",ISNUMBER(I39)),AA39,"")</f>
        <v/>
      </c>
      <c r="AA39">
        <f>IFERROR(I39*1,0)</f>
        <v>1307430</v>
      </c>
    </row>
    <row r="40" ht="30" customHeight="1">
      <c r="A40" s="198" t="n">
        <v>34</v>
      </c>
      <c r="B40" s="199" t="inlineStr">
        <is>
          <t>Creabeton</t>
        </is>
      </c>
      <c r="C40" s="198" t="inlineStr">
        <is>
          <t>BE</t>
        </is>
      </c>
      <c r="D40" s="200" t="inlineStr">
        <is>
          <t>Infrastruktur / Bau</t>
        </is>
      </c>
      <c r="E40" s="200" t="inlineStr">
        <is>
          <t>100 kVA Generator</t>
        </is>
      </c>
      <c r="F40" s="206" t="inlineStr">
        <is>
          <t>100 kVA</t>
        </is>
      </c>
      <c r="G40" s="198" t="n">
        <v>4</v>
      </c>
      <c r="H40" s="202" t="inlineStr">
        <is>
          <t>Juli</t>
        </is>
      </c>
      <c r="I40" s="201" t="n">
        <v>3232.41</v>
      </c>
      <c r="J40" s="201">
        <f>435.2+102.4</f>
        <v>537.6</v>
      </c>
      <c r="K40" s="201" t="n">
        <v>1300</v>
      </c>
      <c r="L40" s="201" t="n">
        <v>0</v>
      </c>
      <c r="M40" s="201">
        <f>725+57.6</f>
        <v>782.6</v>
      </c>
      <c r="N40" s="201">
        <f>IF(ISNUMBER(I40),ROUND(I40-I40/1.081,2),"")</f>
        <v>242.21</v>
      </c>
      <c r="O40" s="201">
        <f>IF(ISNUMBER(I40),I40-SUM(J40:N40),"")</f>
        <v>370</v>
      </c>
      <c r="P40" s="203">
        <f>IFERROR(IF(AND(ISNUMBER(O40),ISNUMBER(I40),I40&lt;&gt;0),O40/I40,""),"")</f>
        <v>0.114465677311975</v>
      </c>
      <c r="Q40" s="201">
        <f>IF(AND(ISNUMBER(I40),ISNUMBER(S40)),I40*IF(S40&lt;=1,S40,S40/100),IF(OR(I40&lt;&gt;"",S40&lt;&gt;""),"tbd",""))</f>
        <v>1616.205</v>
      </c>
      <c r="R40" s="204" t="inlineStr">
        <is>
          <t>offered</t>
        </is>
      </c>
      <c r="S40" s="205" t="n">
        <v>0.5</v>
      </c>
      <c r="T40" s="199" t="inlineStr">
        <is>
          <t>Warm</t>
        </is>
      </c>
      <c r="U40" s="200" t="inlineStr">
        <is>
          <t>USV + PQ-Monitoring für Präzisionsanlagen</t>
        </is>
      </c>
      <c r="V40" s="200" t="inlineStr">
        <is>
          <t>Kunde angeschrieben, Warten auf Rückmeldung</t>
        </is>
      </c>
      <c r="W40" s="198" t="inlineStr">
        <is>
          <t>Juni</t>
        </is>
      </c>
      <c r="X40" s="200" t="inlineStr">
        <is>
          <t>Kunde angeschrieben, Warten auf Rückmeldung</t>
        </is>
      </c>
      <c r="Z40">
        <f>IF(AND(R40="WON",ISNUMBER(I40)),AA40,"")</f>
        <v/>
      </c>
      <c r="AA40">
        <f>IFERROR(I40*1,0)</f>
        <v>3232.41</v>
      </c>
    </row>
    <row r="41" ht="30" customHeight="1">
      <c r="A41" s="198" t="n">
        <v>36</v>
      </c>
      <c r="B41" s="210" t="inlineStr">
        <is>
          <t>Basler Haustechnik AG</t>
        </is>
      </c>
      <c r="C41" s="209" t="inlineStr">
        <is>
          <t>BE</t>
        </is>
      </c>
      <c r="D41" s="200" t="inlineStr">
        <is>
          <t>Infrastruktur / Bau</t>
        </is>
      </c>
      <c r="E41" s="208" t="inlineStr">
        <is>
          <t>45 kWH Batterie</t>
        </is>
      </c>
      <c r="F41" s="211" t="inlineStr">
        <is>
          <t>45 kWH</t>
        </is>
      </c>
      <c r="G41" s="198" t="n">
        <v>28</v>
      </c>
      <c r="H41" s="212" t="inlineStr">
        <is>
          <t>Juni</t>
        </is>
      </c>
      <c r="I41" s="201" t="n">
        <v>8574.709999999999</v>
      </c>
      <c r="J41" s="201" t="n">
        <v>3427.2</v>
      </c>
      <c r="K41" s="201" t="n">
        <v>3200</v>
      </c>
      <c r="L41" s="201" t="n">
        <v>0</v>
      </c>
      <c r="M41" s="201" t="n">
        <v>1305</v>
      </c>
      <c r="N41" s="201">
        <f>IF(ISNUMBER(I41),ROUND(I41-I41/1.081,2),"")</f>
        <v>642.51</v>
      </c>
      <c r="O41" s="201">
        <f>IF(ISNUMBER(I41),I41-SUM(J41:N41),"")</f>
        <v>0</v>
      </c>
      <c r="P41" s="203">
        <f>IFERROR(IF(AND(ISNUMBER(O41),ISNUMBER(I41),I41&lt;&gt;0),O41/I41,""),"")</f>
        <v>0</v>
      </c>
      <c r="Q41" s="201">
        <f>IF(AND(ISNUMBER(I41),ISNUMBER(S41)),I41*IF(S41&lt;=1,S41,S41/100),IF(OR(I41&lt;&gt;"",S41&lt;&gt;""),"tbd",""))</f>
        <v>0</v>
      </c>
      <c r="R41" s="204" t="inlineStr">
        <is>
          <t>LOST</t>
        </is>
      </c>
      <c r="S41" s="205" t="n">
        <v>0</v>
      </c>
      <c r="T41" s="210" t="inlineStr">
        <is>
          <t>Warm</t>
        </is>
      </c>
      <c r="U41" s="200" t="inlineStr">
        <is>
          <t>USV + PQ-Monitoring für Präzisionsanlagen</t>
        </is>
      </c>
      <c r="V41" s="208" t="inlineStr">
        <is>
          <t>Kunde angeschrieben, Offerte erstellt, Kunde hat Offerte bekommen, Warten auf Rückmeldung</t>
        </is>
      </c>
      <c r="W41" s="209" t="inlineStr">
        <is>
          <t>Juni</t>
        </is>
      </c>
      <c r="X41" s="208" t="inlineStr">
        <is>
          <t>Kunde angeschrieben, Offerte erstellt, Kunde hat Offerte bekommen, Warten auf Rückmeldung</t>
        </is>
      </c>
      <c r="Z41">
        <f>IF(AND(R41="WON",ISNUMBER(I41)),AA41,"")</f>
        <v/>
      </c>
      <c r="AA41">
        <f>IFERROR(I41*1,0)</f>
        <v>8574.71</v>
      </c>
    </row>
    <row r="42" ht="30" customHeight="1">
      <c r="A42" s="198" t="n">
        <v>38</v>
      </c>
      <c r="B42" s="210" t="inlineStr">
        <is>
          <t>Linde Gas Schweiz AG</t>
        </is>
      </c>
      <c r="C42" s="209" t="inlineStr">
        <is>
          <t>LU</t>
        </is>
      </c>
      <c r="D42" s="200" t="inlineStr">
        <is>
          <t>Industrie</t>
        </is>
      </c>
      <c r="E42" s="208" t="inlineStr">
        <is>
          <t>60 kVA Generator</t>
        </is>
      </c>
      <c r="F42" s="211" t="inlineStr">
        <is>
          <t>60 kVA</t>
        </is>
      </c>
      <c r="G42" s="198" t="n">
        <v>7</v>
      </c>
      <c r="H42" s="202" t="inlineStr">
        <is>
          <t>Jan</t>
        </is>
      </c>
      <c r="I42" s="201" t="n">
        <v>3686.2</v>
      </c>
      <c r="J42" s="201">
        <f>699.3+21.6+12.6+18.9+6.3+44.1</f>
        <v>802.8</v>
      </c>
      <c r="K42" s="201" t="n">
        <v>1200</v>
      </c>
      <c r="L42" s="201" t="n">
        <v>0</v>
      </c>
      <c r="M42" s="201">
        <f>1160+67.2</f>
        <v>1227.2</v>
      </c>
      <c r="N42" s="201">
        <f>IF(ISNUMBER(I42),ROUND(I42-I42/1.081,2),"")</f>
        <v>276.21</v>
      </c>
      <c r="O42" s="201">
        <f>IF(ISNUMBER(I42),I42-SUM(J42:N42),"")</f>
        <v>179.99</v>
      </c>
      <c r="P42" s="203">
        <f>IFERROR(IF(AND(ISNUMBER(O42),ISNUMBER(I42),I42&lt;&gt;0),O42/I42,""),"")</f>
        <v>0.0488280614182627</v>
      </c>
      <c r="Q42" s="201">
        <f>IF(AND(ISNUMBER(I42),ISNUMBER(S42)),I42*IF(S42&lt;=1,S42,S42/100),IF(OR(I42&lt;&gt;"",S42&lt;&gt;""),"tbd",""))</f>
        <v>1843.1</v>
      </c>
      <c r="R42" s="204" t="inlineStr">
        <is>
          <t>offered</t>
        </is>
      </c>
      <c r="S42" s="205" t="n">
        <v>0.5</v>
      </c>
      <c r="T42" s="210" t="inlineStr">
        <is>
          <t>Warm</t>
        </is>
      </c>
      <c r="U42" s="200" t="inlineStr">
        <is>
          <t>USV + PQ-Monitoring für Präzisionsanlagen</t>
        </is>
      </c>
      <c r="V42" s="213" t="n"/>
      <c r="W42" s="209" t="inlineStr">
        <is>
          <t>Juni</t>
        </is>
      </c>
      <c r="X42" s="208" t="inlineStr">
        <is>
          <t>Kunde angeschrieben, Offerte erstellt, Kunde hat Offerte bekommen, Warten auf Rückmeldung</t>
        </is>
      </c>
      <c r="Z42">
        <f>IF(AND(R42="WON",ISNUMBER(I42)),AA42,"")</f>
        <v/>
      </c>
      <c r="AA42">
        <f>IFERROR(I42*1,0)</f>
        <v>3686.2</v>
      </c>
    </row>
    <row r="43" ht="30" customHeight="1">
      <c r="A43" s="198" t="n">
        <v>39</v>
      </c>
      <c r="B43" s="199" t="inlineStr">
        <is>
          <t>Baumeler Leitungsbau AG</t>
        </is>
      </c>
      <c r="C43" s="198" t="inlineStr">
        <is>
          <t>LU</t>
        </is>
      </c>
      <c r="D43" s="199" t="inlineStr">
        <is>
          <t>Industrie</t>
        </is>
      </c>
      <c r="E43" s="199" t="inlineStr">
        <is>
          <t xml:space="preserve">600 kVA </t>
        </is>
      </c>
      <c r="F43" s="201" t="inlineStr">
        <is>
          <t>600 kVA</t>
        </is>
      </c>
      <c r="G43" s="198" t="n">
        <v>2</v>
      </c>
      <c r="H43" s="202" t="inlineStr">
        <is>
          <t>Juli</t>
        </is>
      </c>
      <c r="I43" s="201" t="n">
        <v>8722.809999999999</v>
      </c>
      <c r="J43" s="201">
        <f>633.6+364.8+51.2</f>
        <v>1049.6</v>
      </c>
      <c r="K43" s="201" t="n">
        <v>2200</v>
      </c>
      <c r="L43" s="201" t="n">
        <v>0</v>
      </c>
      <c r="M43" s="201" t="n">
        <v>1450</v>
      </c>
      <c r="N43" s="201">
        <f>IF(ISNUMBER(I43),ROUND(I43-I43/1.081,2),"")</f>
        <v>653.61</v>
      </c>
      <c r="O43" s="201">
        <f>IF(ISNUMBER(I43),I43-SUM(J43:N43),"")</f>
        <v>3369.6</v>
      </c>
      <c r="P43" s="203">
        <f>IFERROR(IF(AND(ISNUMBER(O43),ISNUMBER(I43),I43&lt;&gt;0),O43/I43,""),"")</f>
        <v>0.386297534854021</v>
      </c>
      <c r="Q43" s="201">
        <f>IF(AND(ISNUMBER(I43),ISNUMBER(S43)),I43*IF(S43&lt;=1,S43,S43/100),IF(OR(I43&lt;&gt;"",S43&lt;&gt;""),"tbd",""))</f>
        <v>4361.405</v>
      </c>
      <c r="R43" s="204" t="inlineStr">
        <is>
          <t>offered</t>
        </is>
      </c>
      <c r="S43" s="205" t="n">
        <v>0.5</v>
      </c>
      <c r="T43" s="199" t="inlineStr">
        <is>
          <t>Warm</t>
        </is>
      </c>
      <c r="U43" s="200" t="inlineStr">
        <is>
          <t>USV + PQ-Monitoring für Präzisionsanlagen</t>
        </is>
      </c>
      <c r="V43" s="210" t="inlineStr">
        <is>
          <t>Kunde angeschrieben, Offerte erstellt, Kunde hat Offerte bekommen, Warten auf Rückmeldung</t>
        </is>
      </c>
      <c r="W43" s="198" t="inlineStr">
        <is>
          <t>Juni</t>
        </is>
      </c>
      <c r="X43" s="208" t="inlineStr">
        <is>
          <t>Kunde angeschrieben, Offerte erstellt, Kunde hat Offerte bekommen, Warten auf Rückmeldung</t>
        </is>
      </c>
      <c r="Z43">
        <f>IF(AND(R43="WON",ISNUMBER(I43)),AA43,"")</f>
        <v/>
      </c>
      <c r="AA43">
        <f>IFERROR(I43*1,0)</f>
        <v>8722.81</v>
      </c>
    </row>
    <row r="44" ht="30" customHeight="1">
      <c r="A44" s="198" t="n">
        <v>41</v>
      </c>
      <c r="B44" s="199" t="inlineStr">
        <is>
          <t>Verein Street Parade Zürich</t>
        </is>
      </c>
      <c r="C44" s="198" t="inlineStr">
        <is>
          <t>ZH</t>
        </is>
      </c>
      <c r="D44" s="199" t="inlineStr">
        <is>
          <t>Event</t>
        </is>
      </c>
      <c r="E44" s="199" t="inlineStr">
        <is>
          <t xml:space="preserve">100 kVA </t>
        </is>
      </c>
      <c r="F44" s="201" t="inlineStr">
        <is>
          <t>100 kVA</t>
        </is>
      </c>
      <c r="G44" s="198" t="n">
        <v>7</v>
      </c>
      <c r="H44" s="202" t="inlineStr">
        <is>
          <t>Aug</t>
        </is>
      </c>
      <c r="I44" s="201" t="n">
        <v>3760.04</v>
      </c>
      <c r="J44" s="201">
        <f>666.4+73.5+78.4+14.7+78.4+4.9</f>
        <v>916.3</v>
      </c>
      <c r="K44" s="201" t="n">
        <v>1500</v>
      </c>
      <c r="L44" s="201" t="n">
        <v>0</v>
      </c>
      <c r="M44" s="201">
        <f>192+870</f>
        <v>1062</v>
      </c>
      <c r="N44" s="201">
        <f>IF(ISNUMBER(I44),ROUND(I44-I44/1.081,2),"")</f>
        <v>281.74</v>
      </c>
      <c r="O44" s="201">
        <f>IF(ISNUMBER(I44),I44-SUM(J44:N44),"")</f>
        <v>0</v>
      </c>
      <c r="P44" s="203">
        <f>IFERROR(IF(AND(ISNUMBER(O44),ISNUMBER(I44),I44&lt;&gt;0),O44/I44,""),"")</f>
        <v>0</v>
      </c>
      <c r="Q44" s="201">
        <f>IF(AND(ISNUMBER(I44),ISNUMBER(S44)),I44*IF(S44&lt;=1,S44,S44/100),IF(OR(I44&lt;&gt;"",S44&lt;&gt;""),"tbd",""))</f>
        <v>1880.02</v>
      </c>
      <c r="R44" s="204" t="inlineStr">
        <is>
          <t>In evaluation</t>
        </is>
      </c>
      <c r="S44" s="205" t="n">
        <v>0.5</v>
      </c>
      <c r="T44" s="199" t="inlineStr">
        <is>
          <t>Kalt (Burak)</t>
        </is>
      </c>
      <c r="U44" s="200" t="inlineStr">
        <is>
          <t>USV + PQ-Monitoring für Präzisionsanlagen</t>
        </is>
      </c>
      <c r="V44" s="210" t="inlineStr">
        <is>
          <t>Kunde angeschrieben, Offerte erstellt, Kunde hat Offerte bekommen, Warten auf Rückmeldung</t>
        </is>
      </c>
      <c r="W44" s="198" t="inlineStr">
        <is>
          <t xml:space="preserve">Juni </t>
        </is>
      </c>
      <c r="X44" s="210" t="inlineStr">
        <is>
          <t>Kunde angeschrieben, Offerte erstellt, Kunde hat Offerte bekommen, Warten auf Rückmeldung</t>
        </is>
      </c>
      <c r="Z44">
        <f>IF(AND(R44="WON",ISNUMBER(I44)),AA44,"")</f>
        <v/>
      </c>
      <c r="AA44">
        <f>IFERROR(I44*1,0)</f>
        <v>3760.04</v>
      </c>
    </row>
    <row r="45" ht="30" customHeight="1">
      <c r="A45" s="198" t="n">
        <v>35</v>
      </c>
      <c r="B45" s="199" t="inlineStr">
        <is>
          <t>Holzplaner GmbH</t>
        </is>
      </c>
      <c r="C45" s="198" t="inlineStr">
        <is>
          <t>BE</t>
        </is>
      </c>
      <c r="D45" s="200" t="inlineStr">
        <is>
          <t>Infrastruktur / Bau</t>
        </is>
      </c>
      <c r="E45" s="200" t="inlineStr">
        <is>
          <t>90 kWH Batterie</t>
        </is>
      </c>
      <c r="F45" s="201" t="inlineStr">
        <is>
          <t>90 kWH</t>
        </is>
      </c>
      <c r="G45" s="198" t="n">
        <v>6</v>
      </c>
      <c r="H45" s="207" t="inlineStr">
        <is>
          <t>Juni</t>
        </is>
      </c>
      <c r="I45" s="201" t="n">
        <v>7205</v>
      </c>
      <c r="J45" s="201">
        <f>1132.8+57.6+90</f>
        <v>1280.4</v>
      </c>
      <c r="K45" s="201" t="n">
        <v>3500</v>
      </c>
      <c r="L45" s="201" t="n">
        <v>0</v>
      </c>
      <c r="M45" s="201" t="n">
        <v>1885</v>
      </c>
      <c r="N45" s="201">
        <f>IF(ISNUMBER(I45),ROUND(I45-I45/1.081,2),"")</f>
        <v>539.88</v>
      </c>
      <c r="O45" s="201">
        <f>IF(ISNUMBER(I45),I45-SUM(J45:N45),"")</f>
        <v>-0.279999999999745</v>
      </c>
      <c r="P45" s="203">
        <f>IFERROR(IF(AND(ISNUMBER(O45),ISNUMBER(I45),I45&lt;&gt;0),O45/I45,""),"")</f>
        <v>-3.8861901457286E-05</v>
      </c>
      <c r="Q45" s="201">
        <f>IF(AND(ISNUMBER(I45),ISNUMBER(S45)),I45*IF(S45&lt;=1,S45,S45/100),IF(OR(I45&lt;&gt;"",S45&lt;&gt;""),"tbd",""))</f>
        <v>0</v>
      </c>
      <c r="R45" s="204" t="inlineStr">
        <is>
          <t>LOST</t>
        </is>
      </c>
      <c r="S45" s="205" t="n">
        <v>0</v>
      </c>
      <c r="T45" s="199" t="inlineStr">
        <is>
          <t>Warm</t>
        </is>
      </c>
      <c r="U45" s="200" t="inlineStr">
        <is>
          <t>USV + PQ-Monitoring für Präzisionsanlagen</t>
        </is>
      </c>
      <c r="V45" s="200" t="inlineStr">
        <is>
          <t>Kunde angeschrieben, Offerte erstellt, Kunde hat Offerte bekommen, Transportkosten zu Hoch daher die Absage</t>
        </is>
      </c>
      <c r="W45" s="198" t="inlineStr">
        <is>
          <t>Juni</t>
        </is>
      </c>
      <c r="X45" s="200" t="inlineStr">
        <is>
          <t>Kunde angeschrieben, Offerte erstellt, Kunde hat Offerte bekommen, Transportkosten zu Hoch daher die Absage</t>
        </is>
      </c>
      <c r="Z45">
        <f>IF(AND(R45="WON",ISNUMBER(I45)),AA45,"")</f>
        <v/>
      </c>
      <c r="AA45">
        <f>IFERROR(I45*1,0)</f>
        <v>7205</v>
      </c>
    </row>
    <row r="46" ht="30" customHeight="1">
      <c r="A46" s="198" t="n">
        <v>9</v>
      </c>
      <c r="B46" s="199" t="inlineStr">
        <is>
          <t>Badermetaux Sàrl (Schweiz)</t>
        </is>
      </c>
      <c r="C46" s="198" t="inlineStr">
        <is>
          <t>ZH</t>
        </is>
      </c>
      <c r="D46" s="200" t="inlineStr">
        <is>
          <t>Industrie / Metall</t>
        </is>
      </c>
      <c r="E46" s="200" t="inlineStr">
        <is>
          <t>600 kVA Langzeitmiete</t>
        </is>
      </c>
      <c r="F46" s="201" t="n">
        <v>600</v>
      </c>
      <c r="G46" s="198" t="inlineStr">
        <is>
          <t>5 Jahre</t>
        </is>
      </c>
      <c r="H46" s="202" t="inlineStr">
        <is>
          <t>Mai</t>
        </is>
      </c>
      <c r="I46" s="201" t="n">
        <v>500000</v>
      </c>
      <c r="J46" s="201" t="n">
        <v>300000</v>
      </c>
      <c r="K46" s="201" t="n">
        <v>5000</v>
      </c>
      <c r="L46" s="201" t="n">
        <v>25000</v>
      </c>
      <c r="M46" s="201" t="n">
        <v>30000</v>
      </c>
      <c r="N46" s="201" t="n">
        <v>10000</v>
      </c>
      <c r="O46" s="201">
        <f>IF(ISNUMBER(I46),I46-SUM(J46:N46),"")</f>
        <v>130000</v>
      </c>
      <c r="P46" s="203">
        <f>IFERROR(IF(AND(ISNUMBER(O46),ISNUMBER(I46),I46&lt;&gt;0),O46/I46,""),"")</f>
        <v>0.26</v>
      </c>
      <c r="Q46" s="201">
        <f>IF(AND(ISNUMBER(I46),ISNUMBER(S46)),I46*IF(S46&lt;=1,S46,S46/100),IF(OR(I46&lt;&gt;"",S46&lt;&gt;""),"tbd",""))</f>
        <v>50000</v>
      </c>
      <c r="R46" s="204" t="inlineStr">
        <is>
          <t>follow-up</t>
        </is>
      </c>
      <c r="S46" s="205" t="n">
        <v>0.1</v>
      </c>
      <c r="T46" s="199" t="inlineStr">
        <is>
          <t>Kalt (Burak)</t>
        </is>
      </c>
      <c r="U46" s="200" t="inlineStr">
        <is>
          <t>EN 50160-Zertifizierung, all-inclusive</t>
        </is>
      </c>
      <c r="V46" s="200" t="inlineStr">
        <is>
          <t>PQ-Analyse + Langzeitkonzept vorlegen</t>
        </is>
      </c>
      <c r="W46" s="198" t="inlineStr">
        <is>
          <t>Juni</t>
        </is>
      </c>
      <c r="X46" s="200" t="inlineStr">
        <is>
          <t>500k CHF Potenzial – langer Zyklus, jetzt Vertrauen aufbauen</t>
        </is>
      </c>
      <c r="Z46">
        <f>IF(AND(R46="WON",ISNUMBER(I46)),AA46,"")</f>
        <v/>
      </c>
      <c r="AA46">
        <f>IFERROR(I46*1,0)</f>
        <v>500000</v>
      </c>
    </row>
    <row r="47" ht="30" customHeight="1">
      <c r="A47" s="198" t="n">
        <v>37</v>
      </c>
      <c r="B47" s="210" t="inlineStr">
        <is>
          <t>Swisspro AG</t>
        </is>
      </c>
      <c r="C47" s="209" t="inlineStr">
        <is>
          <t>ZH</t>
        </is>
      </c>
      <c r="D47" s="200" t="inlineStr">
        <is>
          <t>Elektroinstallation</t>
        </is>
      </c>
      <c r="E47" s="208" t="inlineStr">
        <is>
          <t>30 kVA Generator</t>
        </is>
      </c>
      <c r="F47" s="211" t="inlineStr">
        <is>
          <t>30 kVA</t>
        </is>
      </c>
      <c r="G47" s="198" t="n">
        <v>4</v>
      </c>
      <c r="H47" s="207" t="inlineStr">
        <is>
          <t>Juli</t>
        </is>
      </c>
      <c r="I47" s="201" t="n">
        <v>6365.35</v>
      </c>
      <c r="J47" s="201">
        <f>320.4+10.8+25.2+115.2</f>
        <v>471.6</v>
      </c>
      <c r="K47" s="201" t="n">
        <v>2400</v>
      </c>
      <c r="L47" s="201" t="n">
        <v>0</v>
      </c>
      <c r="M47" s="201">
        <f>1740+1276.8</f>
        <v>3016.8</v>
      </c>
      <c r="N47" s="201">
        <f>IF(ISNUMBER(I47),ROUND(I47-I47/1.081,2),"")</f>
        <v>476.96</v>
      </c>
      <c r="O47" s="201">
        <f>IF(ISNUMBER(I47),I47-SUM(J47:N47),"")</f>
        <v>-0.0100000000002183</v>
      </c>
      <c r="P47" s="203">
        <f>IFERROR(IF(AND(ISNUMBER(O47),ISNUMBER(I47),I47&lt;&gt;0),O47/I47,""),"")</f>
        <v>-1.5710055221187E-06</v>
      </c>
      <c r="Q47" s="201">
        <f>IF(AND(ISNUMBER(I47),ISNUMBER(S47)),I47*IF(S47&lt;=1,S47,S47/100),IF(OR(I47&lt;&gt;"",S47&lt;&gt;""),"tbd",""))</f>
        <v>0</v>
      </c>
      <c r="R47" s="204" t="inlineStr">
        <is>
          <t>LOST</t>
        </is>
      </c>
      <c r="S47" s="205" t="n">
        <v>0</v>
      </c>
      <c r="T47" s="210" t="inlineStr">
        <is>
          <t>Warm</t>
        </is>
      </c>
      <c r="U47" s="200" t="inlineStr">
        <is>
          <t>USV + PQ-Monitoring für Präzisionsanlagen</t>
        </is>
      </c>
      <c r="V47" s="200" t="inlineStr">
        <is>
          <t>Kunde angeschrieben, Offerte erstellt, Kunde hat Offerte bekommen, Transportkosten zu Hoch daher die Absage</t>
        </is>
      </c>
      <c r="W47" s="209" t="inlineStr">
        <is>
          <t>Juni</t>
        </is>
      </c>
      <c r="X47" s="200" t="inlineStr">
        <is>
          <t>Kunde angeschrieben, Offerte erstellt, Kunde hat Offerte bekommen, Transportkosten zu Hoch daher die Absage</t>
        </is>
      </c>
      <c r="Z47">
        <f>IF(AND(R47="WON",ISNUMBER(I47)),AA47,"")</f>
        <v/>
      </c>
      <c r="AA47">
        <f>IFERROR(I47*1,0)</f>
        <v>6365.35</v>
      </c>
    </row>
    <row r="48" ht="30" customHeight="1">
      <c r="A48" s="198" t="n">
        <v>30</v>
      </c>
      <c r="B48" s="199" t="inlineStr">
        <is>
          <t>Nestle</t>
        </is>
      </c>
      <c r="C48" s="198" t="inlineStr">
        <is>
          <t>BE</t>
        </is>
      </c>
      <c r="D48" s="200" t="inlineStr">
        <is>
          <t>Industrie</t>
        </is>
      </c>
      <c r="E48" s="200" t="inlineStr">
        <is>
          <t>tbd</t>
        </is>
      </c>
      <c r="F48" s="206" t="inlineStr">
        <is>
          <t>tbd</t>
        </is>
      </c>
      <c r="G48" s="198" t="inlineStr">
        <is>
          <t>tbd</t>
        </is>
      </c>
      <c r="H48" s="198" t="inlineStr">
        <is>
          <t>tbd</t>
        </is>
      </c>
      <c r="I48" s="201" t="inlineStr">
        <is>
          <t>tbd</t>
        </is>
      </c>
      <c r="J48" s="201" t="inlineStr">
        <is>
          <t>tbd</t>
        </is>
      </c>
      <c r="K48" s="201" t="inlineStr">
        <is>
          <t>tbd</t>
        </is>
      </c>
      <c r="L48" s="201" t="n">
        <v>0</v>
      </c>
      <c r="M48" s="201" t="inlineStr">
        <is>
          <t>tbd</t>
        </is>
      </c>
      <c r="N48" s="201">
        <f>IF(ISNUMBER(I48),ROUND(I48-I48/1.081,2),"")</f>
        <v/>
      </c>
      <c r="O48" s="201">
        <f>IF(ISNUMBER(I48),I48-SUM(J48:N48),"")</f>
        <v/>
      </c>
      <c r="P48" s="203">
        <f>IFERROR(IF(AND(ISNUMBER(O48),ISNUMBER(I48),I48&lt;&gt;0),O48/I48,""),"")</f>
        <v/>
      </c>
      <c r="Q48" s="201" t="str">
        <f>IF(AND(ISNUMBER(I48),ISNUMBER(S48)),I48*IF(S48&lt;=1,S48,S48/100),IF(OR(I48&lt;&gt;"",S48&lt;&gt;""),"tbd",""))</f>
        <v>tbd</v>
      </c>
      <c r="R48" s="204" t="inlineStr">
        <is>
          <t>Declined</t>
        </is>
      </c>
      <c r="S48" s="205" t="n">
        <v>0</v>
      </c>
      <c r="T48" s="199" t="inlineStr">
        <is>
          <t>Warm – Aggreko</t>
        </is>
      </c>
      <c r="U48" s="200" t="inlineStr">
        <is>
          <t>USV + PQ-Monitoring für Präzisionsanlagen</t>
        </is>
      </c>
      <c r="V48" s="214" t="inlineStr">
        <is>
          <t>Kunde angeschrieben, Telefoniert noch kein bedarf</t>
        </is>
      </c>
      <c r="W48" s="198" t="inlineStr">
        <is>
          <t>Juni</t>
        </is>
      </c>
      <c r="X48" s="200" t="inlineStr">
        <is>
          <t>Kunde angeschrieben, Telefoniert noch kein bedarf</t>
        </is>
      </c>
      <c r="Z48">
        <f>IF(AND(R48="WON",ISNUMBER(I48)),AA48,"")</f>
        <v/>
      </c>
      <c r="AA48">
        <f>IFERROR(I48*1,0)</f>
        <v>0</v>
      </c>
    </row>
    <row r="49" ht="24" customHeight="1">
      <c r="A49" s="198" t="n">
        <v>31</v>
      </c>
      <c r="B49" s="199" t="inlineStr">
        <is>
          <t>VD</t>
        </is>
      </c>
      <c r="C49" s="198" t="inlineStr">
        <is>
          <t>VD</t>
        </is>
      </c>
      <c r="D49" s="200" t="inlineStr">
        <is>
          <t>Industrie</t>
        </is>
      </c>
      <c r="E49" s="200" t="inlineStr">
        <is>
          <t>tbd</t>
        </is>
      </c>
      <c r="F49" s="206" t="inlineStr">
        <is>
          <t>tbd</t>
        </is>
      </c>
      <c r="G49" s="198" t="inlineStr">
        <is>
          <t>tbd</t>
        </is>
      </c>
      <c r="H49" s="202" t="inlineStr">
        <is>
          <t>tbd</t>
        </is>
      </c>
      <c r="I49" s="201" t="inlineStr">
        <is>
          <t>tbd</t>
        </is>
      </c>
      <c r="J49" s="201" t="inlineStr">
        <is>
          <t>tbd</t>
        </is>
      </c>
      <c r="K49" s="201" t="inlineStr">
        <is>
          <t>tbd</t>
        </is>
      </c>
      <c r="L49" s="201" t="n">
        <v>0</v>
      </c>
      <c r="M49" s="201" t="inlineStr">
        <is>
          <t>tbd</t>
        </is>
      </c>
      <c r="N49" s="201">
        <f>IF(ISNUMBER(I49),ROUND(I49-I49/1.081,2),"")</f>
        <v/>
      </c>
      <c r="O49" s="201">
        <f>IF(ISNUMBER(I49),I49-SUM(J49:N49),"")</f>
        <v/>
      </c>
      <c r="P49" s="203">
        <f>IFERROR(IF(AND(ISNUMBER(O49),ISNUMBER(I49),I49&lt;&gt;0),O49/I49,""),"")</f>
        <v/>
      </c>
      <c r="Q49" s="201" t="str">
        <f>IF(AND(ISNUMBER(I49),ISNUMBER(S49)),I49*IF(S49&lt;=1,S49,S49/100),IF(OR(I49&lt;&gt;"",S49&lt;&gt;""),"tbd",""))</f>
        <v>tbd</v>
      </c>
      <c r="R49" s="204" t="inlineStr">
        <is>
          <t>Declined</t>
        </is>
      </c>
      <c r="S49" s="205" t="n">
        <v>0</v>
      </c>
      <c r="T49" s="199" t="inlineStr">
        <is>
          <t>Warm – Aggreko</t>
        </is>
      </c>
      <c r="U49" s="200" t="inlineStr">
        <is>
          <t>USV + PQ-Monitoring für Präzisionsanlagen</t>
        </is>
      </c>
      <c r="V49" s="200" t="inlineStr">
        <is>
          <t>Kunde angeschrieben, Telefoniert noch kein bedarf</t>
        </is>
      </c>
      <c r="W49" s="198" t="inlineStr">
        <is>
          <t>Juni</t>
        </is>
      </c>
      <c r="X49" s="200" t="inlineStr">
        <is>
          <t>Kunde angeschrieben, Telefoniert noch kein bedarf</t>
        </is>
      </c>
      <c r="Z49">
        <f>IF(AND(R49="WON",ISNUMBER(I49)),AA49,"")</f>
        <v/>
      </c>
      <c r="AA49">
        <f>IFERROR(I49*1,0)</f>
        <v>0</v>
      </c>
    </row>
    <row r="50" ht="24" customHeight="1">
      <c r="A50" s="198" t="n">
        <v>40</v>
      </c>
      <c r="B50" s="199" t="inlineStr">
        <is>
          <t>Equans Switzerland St.Galln</t>
        </is>
      </c>
      <c r="C50" s="198" t="inlineStr">
        <is>
          <t>SG</t>
        </is>
      </c>
      <c r="D50" s="200" t="inlineStr">
        <is>
          <t>Elektroinstallation</t>
        </is>
      </c>
      <c r="E50" s="199" t="inlineStr">
        <is>
          <t>150 kVA</t>
        </is>
      </c>
      <c r="F50" s="201" t="inlineStr">
        <is>
          <t>150 kVA</t>
        </is>
      </c>
      <c r="G50" s="198" t="n">
        <v>4</v>
      </c>
      <c r="H50" s="207" t="inlineStr">
        <is>
          <t>Mai</t>
        </is>
      </c>
      <c r="I50" s="201" t="n">
        <v>4533.93</v>
      </c>
      <c r="J50" s="201">
        <f>649.8</f>
        <v>649.8</v>
      </c>
      <c r="K50" s="201" t="n">
        <v>1650</v>
      </c>
      <c r="L50" s="201" t="n">
        <v>0</v>
      </c>
      <c r="M50" s="201">
        <f>1160+734.4</f>
        <v>1894.4</v>
      </c>
      <c r="N50" s="201">
        <f>IF(ISNUMBER(I50),ROUND(I50-I50/1.081,2),"")</f>
        <v>339.73</v>
      </c>
      <c r="O50" s="201">
        <f>IF(ISNUMBER(I50),I50-SUM(J50:N50),"")</f>
        <v>0</v>
      </c>
      <c r="P50" s="203">
        <f>IFERROR(IF(AND(ISNUMBER(O50),ISNUMBER(I50),I50&lt;&gt;0),O50/I50,""),"")</f>
        <v>0</v>
      </c>
      <c r="Q50" s="201">
        <f>IF(AND(ISNUMBER(I50),ISNUMBER(S50)),I50*IF(S50&lt;=1,S50,S50/100),IF(OR(I50&lt;&gt;"",S50&lt;&gt;""),"tbd",""))</f>
        <v>0</v>
      </c>
      <c r="R50" s="204" t="inlineStr">
        <is>
          <t>LOST</t>
        </is>
      </c>
      <c r="S50" s="205" t="n">
        <v>0</v>
      </c>
      <c r="T50" s="199" t="inlineStr">
        <is>
          <t xml:space="preserve">Warm </t>
        </is>
      </c>
      <c r="U50" s="200" t="inlineStr">
        <is>
          <t>USV + PQ-Monitoring für Präzisionsanlagen</t>
        </is>
      </c>
      <c r="V50" s="210" t="inlineStr">
        <is>
          <t>Kunde angeschrieben, Offerte erstellt, Kunde hat Offerte bekommen, Transportkosten zu Hoch daher die Absage</t>
        </is>
      </c>
      <c r="W50" s="198" t="inlineStr">
        <is>
          <t>Mai</t>
        </is>
      </c>
      <c r="X50" s="210" t="inlineStr">
        <is>
          <t>Kunde angeschrieben, Offerte erstellt, Kunde hat Offerte bekommen, Transportkosten zu Hoch daher die Absage</t>
        </is>
      </c>
      <c r="Z50">
        <f>IF(AND(R50="WON",ISNUMBER(I50)),AA50,"")</f>
        <v/>
      </c>
      <c r="AA50">
        <f>IFERROR(I50*1,0)</f>
        <v>4533.93</v>
      </c>
    </row>
    <row r="51" ht="24" customHeight="1">
      <c r="A51" s="198" t="n">
        <v>32</v>
      </c>
      <c r="B51" s="199" t="inlineStr">
        <is>
          <t>WSP</t>
        </is>
      </c>
      <c r="C51" s="198" t="inlineStr">
        <is>
          <t>VD</t>
        </is>
      </c>
      <c r="D51" s="200" t="inlineStr">
        <is>
          <t>Industrie</t>
        </is>
      </c>
      <c r="E51" s="200" t="inlineStr">
        <is>
          <t>tbd</t>
        </is>
      </c>
      <c r="F51" s="206" t="inlineStr">
        <is>
          <t>tbd</t>
        </is>
      </c>
      <c r="G51" s="198" t="inlineStr">
        <is>
          <t>tbd</t>
        </is>
      </c>
      <c r="H51" s="202" t="inlineStr">
        <is>
          <t>tbd</t>
        </is>
      </c>
      <c r="I51" s="201" t="inlineStr">
        <is>
          <t>tbd</t>
        </is>
      </c>
      <c r="J51" s="201" t="inlineStr">
        <is>
          <t>tbd</t>
        </is>
      </c>
      <c r="K51" s="201" t="inlineStr">
        <is>
          <t>tbd</t>
        </is>
      </c>
      <c r="L51" s="201" t="n">
        <v>0</v>
      </c>
      <c r="M51" s="201" t="inlineStr">
        <is>
          <t>tbd</t>
        </is>
      </c>
      <c r="N51" s="201">
        <f>IF(ISNUMBER(I51),ROUND(I51-I51/1.081,2),"")</f>
        <v/>
      </c>
      <c r="O51" s="201">
        <f>IF(ISNUMBER(I51),I51-SUM(J51:N51),"")</f>
        <v/>
      </c>
      <c r="P51" s="203">
        <f>IFERROR(IF(AND(ISNUMBER(O51),ISNUMBER(I51),I51&lt;&gt;0),O51/I51,""),"")</f>
        <v/>
      </c>
      <c r="Q51" s="201" t="str">
        <f>IF(AND(ISNUMBER(I51),ISNUMBER(S51)),I51*IF(S51&lt;=1,S51,S51/100),IF(OR(I51&lt;&gt;"",S51&lt;&gt;""),"tbd",""))</f>
        <v>tbd</v>
      </c>
      <c r="R51" s="204" t="inlineStr">
        <is>
          <t>tbd</t>
        </is>
      </c>
      <c r="S51" s="205" t="n">
        <v>0</v>
      </c>
      <c r="T51" s="199" t="inlineStr">
        <is>
          <t>Warm – Aggreko</t>
        </is>
      </c>
      <c r="U51" s="200" t="inlineStr">
        <is>
          <t>USV + PQ-Monitoring für Präzisionsanlagen</t>
        </is>
      </c>
      <c r="V51" s="200" t="inlineStr">
        <is>
          <t>Kunde angeschrieben, Telefoniert noch kein bedarf</t>
        </is>
      </c>
      <c r="W51" s="198" t="inlineStr">
        <is>
          <t>Juni</t>
        </is>
      </c>
      <c r="X51" s="200" t="inlineStr">
        <is>
          <t>Kunde angeschrieben, Telefoniert noch kein bedarf</t>
        </is>
      </c>
      <c r="Z51">
        <f>IF(AND(R51="WON",ISNUMBER(I51)),AA51,"")</f>
        <v/>
      </c>
      <c r="AA51">
        <f>IFERROR(I51*1,0)</f>
        <v>0</v>
      </c>
    </row>
    <row r="52" ht="24" customHeight="1">
      <c r="A52" s="198" t="n">
        <v>42</v>
      </c>
      <c r="B52" s="199" t="inlineStr">
        <is>
          <t>SMT</t>
        </is>
      </c>
      <c r="C52" s="198" t="inlineStr">
        <is>
          <t>ZH</t>
        </is>
      </c>
      <c r="D52" s="199" t="inlineStr">
        <is>
          <t>Industrie</t>
        </is>
      </c>
      <c r="E52" s="199" t="inlineStr">
        <is>
          <t>1000 kVA</t>
        </is>
      </c>
      <c r="F52" s="201" t="inlineStr">
        <is>
          <t>1000 kVA</t>
        </is>
      </c>
      <c r="G52" s="198" t="n">
        <v>4</v>
      </c>
      <c r="H52" s="202" t="inlineStr">
        <is>
          <t>Aug</t>
        </is>
      </c>
      <c r="I52" s="201" t="n">
        <v>6772.8</v>
      </c>
      <c r="J52" s="201" t="n">
        <v>3834</v>
      </c>
      <c r="K52" s="201" t="n">
        <v>1800</v>
      </c>
      <c r="L52" s="201" t="n">
        <v>0</v>
      </c>
      <c r="M52" s="201" t="n">
        <v>1138.8</v>
      </c>
      <c r="N52" s="201" t="n">
        <v>0</v>
      </c>
      <c r="O52" s="201">
        <f>IF(ISNUMBER(I52),I52-SUM(J52:N52),"")</f>
        <v>0</v>
      </c>
      <c r="P52" s="203">
        <f>IFERROR(IF(AND(ISNUMBER(O52),ISNUMBER(I52),I52&lt;&gt;0),O52/I52,""),"")</f>
        <v>0</v>
      </c>
      <c r="Q52" s="201">
        <f>IF(AND(ISNUMBER(I52),ISNUMBER(S52)),I52*IF(S52&lt;=1,S52,S52/100),IF(OR(I52&lt;&gt;"",S52&lt;&gt;""),"tbd",""))</f>
        <v>4740.96</v>
      </c>
      <c r="R52" s="204" t="inlineStr">
        <is>
          <t>Evaluation</t>
        </is>
      </c>
      <c r="S52" s="205" t="n">
        <v>0.7</v>
      </c>
      <c r="T52" s="199" t="inlineStr">
        <is>
          <t>Warm – Aggreko</t>
        </is>
      </c>
      <c r="U52" s="200" t="inlineStr">
        <is>
          <t>USV + PQ-Monitoring für Präzisionsanlagen</t>
        </is>
      </c>
      <c r="V52" s="200" t="inlineStr">
        <is>
          <t>Kunde angeschrieben, Offerte erstellt, Kunde hat Offerte bekommen</t>
        </is>
      </c>
      <c r="W52" s="198" t="inlineStr">
        <is>
          <t>August</t>
        </is>
      </c>
      <c r="X52" s="200" t="inlineStr">
        <is>
          <t>Kunde angeschrieben</t>
        </is>
      </c>
      <c r="Z52">
        <f>IF(AND(R52="WON",ISNUMBER(I52)),AA52,"")</f>
        <v/>
      </c>
      <c r="AA52">
        <f>IFERROR(I52*1,0)</f>
        <v>6772.8</v>
      </c>
    </row>
    <row r="53" ht="24" customHeight="1">
      <c r="A53" s="198" t="n">
        <v>43</v>
      </c>
      <c r="B53" s="199" t="inlineStr">
        <is>
          <t>Equans Switzerland Kloten</t>
        </is>
      </c>
      <c r="C53" s="198" t="inlineStr">
        <is>
          <t>ZH</t>
        </is>
      </c>
      <c r="D53" s="199" t="inlineStr">
        <is>
          <t>Industrie</t>
        </is>
      </c>
      <c r="E53" s="199" t="inlineStr">
        <is>
          <t>600 kVA</t>
        </is>
      </c>
      <c r="F53" s="201" t="inlineStr">
        <is>
          <t>600 kVA</t>
        </is>
      </c>
      <c r="G53" s="198" t="n">
        <v>480</v>
      </c>
      <c r="H53" s="202" t="inlineStr">
        <is>
          <t>Dez</t>
        </is>
      </c>
      <c r="I53" s="201" t="n">
        <v>224236.15</v>
      </c>
      <c r="J53" s="201" t="n">
        <v>204672</v>
      </c>
      <c r="K53" s="201" t="n">
        <v>1700</v>
      </c>
      <c r="L53" s="201" t="n">
        <v>0</v>
      </c>
      <c r="M53" s="201">
        <f>870+192</f>
        <v>1062</v>
      </c>
      <c r="N53" s="201">
        <f>IF(ISNUMBER(I53),ROUND(I53-I53/1.081,2),"")</f>
        <v>16802.15</v>
      </c>
      <c r="O53" s="201">
        <f>IF(ISNUMBER(I53),I53-SUM(J53:N53),"")</f>
        <v>0</v>
      </c>
      <c r="P53" s="203">
        <f>IFERROR(IF(AND(ISNUMBER(O53),ISNUMBER(I53),I53&lt;&gt;0),O53/I53,""),"")</f>
        <v>0</v>
      </c>
      <c r="Q53" s="201">
        <f>IF(AND(ISNUMBER(I53),ISNUMBER(S53)),I53*IF(S53&lt;=1,S53,S53/100),IF(OR(I53&lt;&gt;"",S53&lt;&gt;""),"tbd",""))</f>
        <v>112118.075</v>
      </c>
      <c r="R53" s="204" t="inlineStr">
        <is>
          <t>offered</t>
        </is>
      </c>
      <c r="S53" s="205" t="n">
        <v>0.5</v>
      </c>
      <c r="T53" s="199" t="inlineStr">
        <is>
          <t>Kalt (Burak)</t>
        </is>
      </c>
      <c r="U53" s="200" t="inlineStr">
        <is>
          <t>USV + PQ-Monitoring für Präzisionsanlagen</t>
        </is>
      </c>
      <c r="V53" s="200" t="inlineStr">
        <is>
          <t>Kunde angeschrieben, Offerte erstellt, Kunde hat Offerte bekommen</t>
        </is>
      </c>
      <c r="W53" s="198" t="inlineStr">
        <is>
          <t>Oktober</t>
        </is>
      </c>
      <c r="X53" s="200" t="inlineStr">
        <is>
          <t>Kunde angeschrieben</t>
        </is>
      </c>
      <c r="Z53">
        <f>IF(AND(R53="WON",ISNUMBER(I53)),AA53,"")</f>
        <v/>
      </c>
      <c r="AA53">
        <f>IFERROR(I53*1,0)</f>
        <v>224236.15</v>
      </c>
    </row>
    <row r="54" ht="24" customHeight="1">
      <c r="A54" s="198" t="n">
        <v>44</v>
      </c>
      <c r="B54" s="199" t="inlineStr">
        <is>
          <t>Equans Switzerland Kloten</t>
        </is>
      </c>
      <c r="C54" s="198" t="inlineStr">
        <is>
          <t>ZH</t>
        </is>
      </c>
      <c r="D54" s="199" t="inlineStr">
        <is>
          <t>Industrie</t>
        </is>
      </c>
      <c r="E54" s="199" t="inlineStr">
        <is>
          <t>300 kVA</t>
        </is>
      </c>
      <c r="F54" s="201" t="inlineStr">
        <is>
          <t>300 kVA</t>
        </is>
      </c>
      <c r="G54" s="198" t="n">
        <v>66</v>
      </c>
      <c r="H54" s="202" t="inlineStr">
        <is>
          <t>Juli</t>
        </is>
      </c>
      <c r="I54" s="201" t="n">
        <v>31077.89</v>
      </c>
      <c r="J54" s="201" t="n">
        <v>26030.4</v>
      </c>
      <c r="K54" s="201" t="n">
        <v>1700</v>
      </c>
      <c r="L54" s="201" t="n">
        <v>0</v>
      </c>
      <c r="M54" s="201" t="n">
        <v>1018.8</v>
      </c>
      <c r="N54" s="201">
        <f>IF(ISNUMBER(I54),ROUND(I54-I54/1.081,2),"")</f>
        <v>2328.69</v>
      </c>
      <c r="O54" s="201">
        <f>IF(ISNUMBER(I54),I54-SUM(J54:N54),"")</f>
        <v>0</v>
      </c>
      <c r="P54" s="203">
        <f>IFERROR(IF(AND(ISNUMBER(O54),ISNUMBER(I54),I54&lt;&gt;0),O54/I54,""),"")</f>
        <v>0</v>
      </c>
      <c r="Q54" s="201">
        <f>IF(AND(ISNUMBER(I54),ISNUMBER(S54)),I54*IF(S54&lt;=1,S54,S54/100),IF(OR(I54&lt;&gt;"",S54&lt;&gt;""),"tbd",""))</f>
        <v>15538.945</v>
      </c>
      <c r="R54" s="204" t="inlineStr">
        <is>
          <t>offered</t>
        </is>
      </c>
      <c r="S54" s="205" t="n">
        <v>0.5</v>
      </c>
      <c r="T54" s="199" t="inlineStr">
        <is>
          <t>Kalt (Burak)</t>
        </is>
      </c>
      <c r="U54" s="200" t="inlineStr">
        <is>
          <t>USV + PQ-Monitoring für Präzisionsanlagen</t>
        </is>
      </c>
      <c r="V54" s="200" t="inlineStr">
        <is>
          <t>Kunde angeschrieben, Offerte erstellt, Kunde hat Offerte bekommen</t>
        </is>
      </c>
      <c r="W54" s="198" t="inlineStr">
        <is>
          <t>Oktober</t>
        </is>
      </c>
      <c r="X54" s="200" t="inlineStr">
        <is>
          <t>Kunde angeschrieben</t>
        </is>
      </c>
      <c r="Z54">
        <f>IF(AND(R54="WON",ISNUMBER(I54)),AA54,"")</f>
        <v/>
      </c>
      <c r="AA54">
        <f>IFERROR(I54*1,0)</f>
        <v>31077.89</v>
      </c>
    </row>
    <row r="55" ht="24" customHeight="1">
      <c r="A55" s="198" t="n">
        <v>45</v>
      </c>
      <c r="B55" s="199" t="inlineStr">
        <is>
          <t>ETAVIS Basel</t>
        </is>
      </c>
      <c r="C55" s="198" t="inlineStr">
        <is>
          <t>BS</t>
        </is>
      </c>
      <c r="D55" s="199" t="inlineStr">
        <is>
          <t>Elektroinstallation</t>
        </is>
      </c>
      <c r="E55" s="199" t="inlineStr">
        <is>
          <t>300 kVA</t>
        </is>
      </c>
      <c r="F55" s="201" t="inlineStr">
        <is>
          <t>300 kVA</t>
        </is>
      </c>
      <c r="G55" s="198" t="n">
        <v>14</v>
      </c>
      <c r="H55" s="202" t="inlineStr">
        <is>
          <t>Juli</t>
        </is>
      </c>
      <c r="I55" s="201" t="n">
        <v>13866.21</v>
      </c>
      <c r="J55" s="201">
        <f>3515.4+2835+336+1512+420</f>
        <v>8618.4</v>
      </c>
      <c r="K55" s="201" t="n">
        <v>2400</v>
      </c>
      <c r="L55" s="201" t="n">
        <v>0</v>
      </c>
      <c r="M55" s="201">
        <f>1228.8+580</f>
        <v>1808.8</v>
      </c>
      <c r="N55" s="201">
        <f>IF(ISNUMBER(I55),ROUND(I55-I55/1.081,2),"")</f>
        <v>1039</v>
      </c>
      <c r="O55" s="201">
        <f>IF(ISNUMBER(I55),I55-SUM(J55:N55),"")</f>
        <v>0.0100000000002183</v>
      </c>
      <c r="P55" s="203">
        <f>IFERROR(IF(AND(ISNUMBER(O55),ISNUMBER(I55),I55&lt;&gt;0),O55/I55,""),"")</f>
        <v>7.21177596489472E-07</v>
      </c>
      <c r="Q55" s="201">
        <f>IF(AND(ISNUMBER(I55),ISNUMBER(S55)),I55*IF(S55&lt;=1,S55,S55/100),IF(OR(I55&lt;&gt;"",S55&lt;&gt;""),"tbd",""))</f>
        <v>6933.105</v>
      </c>
      <c r="R55" s="204" t="inlineStr">
        <is>
          <t>offered</t>
        </is>
      </c>
      <c r="S55" s="205" t="n">
        <v>0.5</v>
      </c>
      <c r="T55" s="199" t="inlineStr">
        <is>
          <t>Kalt (Burak)</t>
        </is>
      </c>
      <c r="U55" s="200" t="inlineStr">
        <is>
          <t>USV + PQ-Monitoring für Präzisionsanlagen</t>
        </is>
      </c>
      <c r="V55" s="200" t="inlineStr">
        <is>
          <t>Kunde angeschrieben, Offerte erstellt, Kunde hat Offerte bekommen</t>
        </is>
      </c>
      <c r="W55" s="198" t="inlineStr">
        <is>
          <t>Juli</t>
        </is>
      </c>
      <c r="X55" s="200" t="inlineStr">
        <is>
          <t>Kunde angeschrieben</t>
        </is>
      </c>
      <c r="Z55">
        <f>IF(AND(R55="WON",ISNUMBER(I55)),AA55,"")</f>
        <v/>
      </c>
      <c r="AA55">
        <f>IFERROR(I55*1,0)</f>
        <v>13866.21</v>
      </c>
    </row>
    <row r="56" ht="24" customHeight="1">
      <c r="A56" s="198" t="n">
        <v>46</v>
      </c>
      <c r="B56" s="199" t="inlineStr">
        <is>
          <t>Verein ANIMALZ</t>
        </is>
      </c>
      <c r="C56" s="198" t="inlineStr">
        <is>
          <t>SO</t>
        </is>
      </c>
      <c r="D56" s="199" t="inlineStr">
        <is>
          <t>Festival</t>
        </is>
      </c>
      <c r="E56" s="199" t="inlineStr">
        <is>
          <t>100 kVA</t>
        </is>
      </c>
      <c r="F56" s="201" t="inlineStr">
        <is>
          <t>100 kVA</t>
        </is>
      </c>
      <c r="G56" s="198" t="n">
        <v>7</v>
      </c>
      <c r="H56" s="202" t="inlineStr">
        <is>
          <t>Aug</t>
        </is>
      </c>
      <c r="I56" s="201" t="n">
        <v>750.65</v>
      </c>
      <c r="J56" s="201" t="n">
        <v>695.5</v>
      </c>
      <c r="K56" s="201" t="n">
        <v>0</v>
      </c>
      <c r="L56" s="201" t="n">
        <v>0</v>
      </c>
      <c r="M56" s="201" t="n">
        <v>0</v>
      </c>
      <c r="N56" s="201">
        <f>IF(ISNUMBER(I56),ROUND(I56-I56/1.081,2),"")</f>
        <v>56.25</v>
      </c>
      <c r="O56" s="201">
        <f>IF(ISNUMBER(I56),I56-SUM(J56:N56),"")</f>
        <v>-1.10000000000002</v>
      </c>
      <c r="P56" s="203">
        <f>IFERROR(IF(AND(ISNUMBER(O56),ISNUMBER(I56),I56&lt;&gt;0),O56/I56,""),"")</f>
        <v>-0.0014653966562313</v>
      </c>
      <c r="Q56" s="201">
        <f>IF(AND(ISNUMBER(I56),ISNUMBER(S56)),I56*IF(S56&lt;=1,S56,S56/100),IF(OR(I56&lt;&gt;"",S56&lt;&gt;""),"tbd",""))</f>
        <v>0</v>
      </c>
      <c r="R56" s="204" t="inlineStr">
        <is>
          <t>Declined</t>
        </is>
      </c>
      <c r="S56" s="205" t="n">
        <v>0</v>
      </c>
      <c r="T56" s="199" t="inlineStr">
        <is>
          <t>Kalt (Burak)</t>
        </is>
      </c>
      <c r="U56" s="200" t="inlineStr">
        <is>
          <t>USV + PQ-Monitoring für Präzisionsanlagen</t>
        </is>
      </c>
      <c r="V56" s="200" t="inlineStr">
        <is>
          <t>Kunde angeschrieben, Offerte erstellt, Kunde hat Offerte bekommen, Abgesagt Transport zu Aufwendig für ihn</t>
        </is>
      </c>
      <c r="W56" s="198" t="inlineStr">
        <is>
          <t>Juli</t>
        </is>
      </c>
      <c r="X56" s="200" t="inlineStr">
        <is>
          <t>Kunde angeschrieben, Angerufen, Abgesagt</t>
        </is>
      </c>
      <c r="Z56">
        <f>IF(AND(R56="WON",ISNUMBER(I56)),AA56,"")</f>
        <v/>
      </c>
      <c r="AA56">
        <f>IFERROR(I56*1,0)</f>
        <v>750.65</v>
      </c>
    </row>
    <row r="57" ht="24" customHeight="1">
      <c r="A57" s="198" t="n">
        <v>47</v>
      </c>
      <c r="B57" s="199" t="inlineStr">
        <is>
          <t>Neuber Sounds GmbH</t>
        </is>
      </c>
      <c r="C57" s="198" t="inlineStr">
        <is>
          <t>TG</t>
        </is>
      </c>
      <c r="D57" s="199" t="inlineStr">
        <is>
          <t>Veranstaltung</t>
        </is>
      </c>
      <c r="E57" s="199" t="inlineStr">
        <is>
          <t xml:space="preserve">30 kVA </t>
        </is>
      </c>
      <c r="F57" s="201" t="inlineStr">
        <is>
          <t>30 kVA</t>
        </is>
      </c>
      <c r="G57" s="198" t="n">
        <v>3</v>
      </c>
      <c r="H57" s="202" t="inlineStr">
        <is>
          <t>Juli</t>
        </is>
      </c>
      <c r="I57" s="201" t="n">
        <v>5328.36</v>
      </c>
      <c r="J57" s="201" t="n">
        <v>789.9</v>
      </c>
      <c r="K57" s="201" t="n">
        <v>2000</v>
      </c>
      <c r="L57" s="201" t="n">
        <v>0</v>
      </c>
      <c r="M57" s="201">
        <f>1160+979.2</f>
        <v>2139.2</v>
      </c>
      <c r="N57" s="201">
        <f>IF(ISNUMBER(I57),ROUND(I57-I57/1.081,2),"")</f>
        <v>399.26</v>
      </c>
      <c r="O57" s="201">
        <f>IF(ISNUMBER(I57),I57-SUM(J57:N57),"")</f>
        <v>0</v>
      </c>
      <c r="P57" s="203">
        <f>IFERROR(IF(AND(ISNUMBER(O57),ISNUMBER(I57),I57&lt;&gt;0),O57/I57,""),"")</f>
        <v>0</v>
      </c>
      <c r="Q57" s="201">
        <f>IF(AND(ISNUMBER(I57),ISNUMBER(S57)),I57*IF(S57&lt;=1,S57,S57/100),IF(OR(I57&lt;&gt;"",S57&lt;&gt;""),"tbd",""))</f>
        <v>0</v>
      </c>
      <c r="R57" s="204" t="inlineStr">
        <is>
          <t>Declined</t>
        </is>
      </c>
      <c r="S57" s="205" t="n">
        <v>0</v>
      </c>
      <c r="T57" s="199" t="inlineStr">
        <is>
          <t>Kalt (Burak)</t>
        </is>
      </c>
      <c r="U57" s="200" t="inlineStr">
        <is>
          <t>USV + PQ-Monitoring für Präzisionsanlagen</t>
        </is>
      </c>
      <c r="V57" s="200" t="inlineStr">
        <is>
          <t>Kunde angeschrieben, Offerte erstellt, Kunde hat Offerte bekommen, Abgesagt Transport kosten zu hoch</t>
        </is>
      </c>
      <c r="W57" s="198" t="inlineStr">
        <is>
          <t>Juli</t>
        </is>
      </c>
      <c r="X57" s="200" t="inlineStr">
        <is>
          <t>Kunde angeschrieben, Angerufen, Abgesagt</t>
        </is>
      </c>
      <c r="Z57">
        <f>IF(AND(R57="WON",ISNUMBER(I57)),AA57,"")</f>
        <v/>
      </c>
      <c r="AA57">
        <f>IFERROR(I57*1,0)</f>
        <v>5328.36</v>
      </c>
    </row>
    <row r="58" ht="24" customHeight="1">
      <c r="A58" s="198" t="n">
        <v>48</v>
      </c>
      <c r="B58" s="199" t="inlineStr">
        <is>
          <t>Coutaz CVS SA</t>
        </is>
      </c>
      <c r="C58" s="198" t="inlineStr">
        <is>
          <t>VS</t>
        </is>
      </c>
      <c r="D58" s="199" t="inlineStr">
        <is>
          <t>EVU</t>
        </is>
      </c>
      <c r="E58" s="199" t="inlineStr">
        <is>
          <t>600 kVA, 200 kVA</t>
        </is>
      </c>
      <c r="F58" s="201" t="inlineStr">
        <is>
          <t>800 kVA</t>
        </is>
      </c>
      <c r="G58" s="198" t="n">
        <v>180</v>
      </c>
      <c r="H58" s="202" t="inlineStr">
        <is>
          <t>Okt</t>
        </is>
      </c>
      <c r="I58" s="201" t="n">
        <v>190701.37</v>
      </c>
      <c r="J58" s="201">
        <f>64152+30618+10854+43416+10368</f>
        <v>159408</v>
      </c>
      <c r="K58" s="201" t="n">
        <v>4700</v>
      </c>
      <c r="L58" s="201" t="n">
        <v>0</v>
      </c>
      <c r="M58" s="201" t="n">
        <v>1450</v>
      </c>
      <c r="N58" s="201">
        <f>IF(ISNUMBER(I58),ROUND(I58-I58/1.081,2),"")</f>
        <v>14289.37</v>
      </c>
      <c r="O58" s="201">
        <f>IF(ISNUMBER(I58),I58-SUM(J58:N58),"")</f>
        <v>10854</v>
      </c>
      <c r="P58" s="203">
        <f>IFERROR(IF(AND(ISNUMBER(O58),ISNUMBER(I58),I58&lt;&gt;0),O58/I58,""),"")</f>
        <v>0.0569162140785879</v>
      </c>
      <c r="Q58" s="201">
        <f>IF(AND(ISNUMBER(I58),ISNUMBER(S58)),I58*IF(S58&lt;=1,S58,S58/100),IF(OR(I58&lt;&gt;"",S58&lt;&gt;""),"tbd",""))</f>
        <v>95350.685</v>
      </c>
      <c r="R58" s="204" t="inlineStr">
        <is>
          <t>offered</t>
        </is>
      </c>
      <c r="S58" s="205" t="n">
        <v>0.5</v>
      </c>
      <c r="T58" s="199" t="inlineStr">
        <is>
          <t>Warm – Aggreko</t>
        </is>
      </c>
      <c r="U58" s="200" t="inlineStr">
        <is>
          <t>USV + PQ-Monitoring für Präzisionsanlagen</t>
        </is>
      </c>
      <c r="V58" s="200" t="inlineStr">
        <is>
          <t>Kunde angeschrieben, Offerte erstellt, Kunde hat Offerte bekommen</t>
        </is>
      </c>
      <c r="W58" s="198" t="inlineStr">
        <is>
          <t>Juli</t>
        </is>
      </c>
      <c r="X58" s="200" t="inlineStr">
        <is>
          <t>Kunde angeschrieben</t>
        </is>
      </c>
      <c r="Z58">
        <f>IF(AND(R58="WON",ISNUMBER(I58)),AA58,"")</f>
        <v/>
      </c>
      <c r="AA58">
        <f>IFERROR(I58*1,0)</f>
        <v>190701.37</v>
      </c>
    </row>
    <row r="59" ht="24" customHeight="1">
      <c r="A59" s="198" t="n">
        <v>49</v>
      </c>
      <c r="B59" s="199" t="inlineStr">
        <is>
          <t>Romand Energei SA</t>
        </is>
      </c>
      <c r="C59" s="198" t="inlineStr">
        <is>
          <t>VS</t>
        </is>
      </c>
      <c r="D59" s="200" t="inlineStr">
        <is>
          <t>EVU</t>
        </is>
      </c>
      <c r="E59" s="200" t="inlineStr">
        <is>
          <t>600 kVA</t>
        </is>
      </c>
      <c r="F59" s="201" t="inlineStr">
        <is>
          <t>600 kVA</t>
        </is>
      </c>
      <c r="G59" s="198" t="n">
        <v>12</v>
      </c>
      <c r="H59" s="202" t="inlineStr">
        <is>
          <t>Aug</t>
        </is>
      </c>
      <c r="I59" s="201" t="n">
        <v>32467.62</v>
      </c>
      <c r="J59" s="201">
        <f>8553.6+691.2+7775+2592+3888</f>
        <v>23499.8</v>
      </c>
      <c r="K59" s="201" t="n">
        <v>2800</v>
      </c>
      <c r="L59" s="201" t="n">
        <v>0</v>
      </c>
      <c r="M59" s="201" t="n">
        <v>2864</v>
      </c>
      <c r="N59" s="201">
        <f>IF(ISNUMBER(I59),ROUND(I59-I59/1.081,2),"")</f>
        <v>2432.82</v>
      </c>
      <c r="O59" s="201">
        <f>IF(ISNUMBER(I59),I59-SUM(J59:N59),"")</f>
        <v>870.999999999996</v>
      </c>
      <c r="P59" s="203">
        <f>IFERROR(IF(AND(ISNUMBER(O59),ISNUMBER(I59),I59&lt;&gt;0),O59/I59,""),"")</f>
        <v>0.0268267276751421</v>
      </c>
      <c r="Q59" s="201">
        <f>IF(AND(ISNUMBER(I59),ISNUMBER(S59)),I59*IF(S59&lt;=1,S59,S59/100),IF(OR(I59&lt;&gt;"",S59&lt;&gt;""),"tbd",""))</f>
        <v>16233.81</v>
      </c>
      <c r="R59" s="204" t="inlineStr">
        <is>
          <t>offered</t>
        </is>
      </c>
      <c r="S59" s="205" t="n">
        <v>0.5</v>
      </c>
      <c r="T59" s="199" t="inlineStr">
        <is>
          <t>Warm – Aggreko</t>
        </is>
      </c>
      <c r="U59" s="200" t="inlineStr">
        <is>
          <t>USV + PQ-Monitoring für Präzisionsanlagen</t>
        </is>
      </c>
      <c r="V59" s="200" t="inlineStr">
        <is>
          <t>Kunde angeschrieben, Offerte erstellt, Kunde hat Offerte bekommen</t>
        </is>
      </c>
      <c r="W59" s="198" t="inlineStr">
        <is>
          <t>Juli</t>
        </is>
      </c>
      <c r="X59" s="200" t="inlineStr">
        <is>
          <t>Kunde angeschrieben</t>
        </is>
      </c>
      <c r="Z59">
        <f>IF(AND(R59="WON",ISNUMBER(I59)),AA59,"")</f>
        <v/>
      </c>
      <c r="AA59">
        <f>IFERROR(I59*1,0)</f>
        <v>32467.62</v>
      </c>
    </row>
    <row r="60" ht="15" customHeight="1">
      <c r="A60" s="198" t="n">
        <v>50</v>
      </c>
      <c r="B60" s="199" t="inlineStr">
        <is>
          <t>EIDG AMT Agroscope</t>
        </is>
      </c>
      <c r="C60" s="198" t="inlineStr">
        <is>
          <t>ZH</t>
        </is>
      </c>
      <c r="D60" s="200" t="inlineStr">
        <is>
          <t>Forschung</t>
        </is>
      </c>
      <c r="E60" s="200" t="inlineStr">
        <is>
          <t>450 kVA</t>
        </is>
      </c>
      <c r="F60" s="201" t="inlineStr">
        <is>
          <t>450 kVA</t>
        </is>
      </c>
      <c r="G60" s="198" t="n">
        <v>7</v>
      </c>
      <c r="H60" s="202" t="inlineStr">
        <is>
          <t>Aug</t>
        </is>
      </c>
      <c r="I60" s="201" t="n">
        <v>5257.44</v>
      </c>
      <c r="J60" s="201">
        <f>2135.7+189</f>
        <v>2324.7</v>
      </c>
      <c r="K60" s="201" t="n">
        <v>1400</v>
      </c>
      <c r="L60" s="201" t="n">
        <v>0</v>
      </c>
      <c r="M60" s="201">
        <f>870+268.8</f>
        <v>1138.8</v>
      </c>
      <c r="N60" s="201">
        <f>IF(ISNUMBER(I60),ROUND(I60-I60/1.081,2),"")</f>
        <v>393.94</v>
      </c>
      <c r="O60" s="201">
        <f>IF(ISNUMBER(I60),I60-SUM(J60:N60),"")</f>
        <v>0</v>
      </c>
      <c r="P60" s="203">
        <f>IFERROR(IF(AND(ISNUMBER(O60),ISNUMBER(I60),I60&lt;&gt;0),O60/I60,""),"")</f>
        <v>0</v>
      </c>
      <c r="Q60" s="201">
        <f>IF(AND(ISNUMBER(I60),ISNUMBER(S60)),I60*IF(S60&lt;=1,S60,S60/100),IF(OR(I60&lt;&gt;"",S60&lt;&gt;""),"tbd",""))</f>
        <v>2628.72</v>
      </c>
      <c r="R60" s="204" t="inlineStr">
        <is>
          <t>offered</t>
        </is>
      </c>
      <c r="S60" s="205" t="n">
        <v>0.5</v>
      </c>
      <c r="T60" s="199" t="inlineStr">
        <is>
          <t>Kalt (Mauro)</t>
        </is>
      </c>
      <c r="U60" s="200" t="inlineStr">
        <is>
          <t>USV + PQ-Monitoring für Präzisionsanlagen</t>
        </is>
      </c>
      <c r="V60" s="200" t="inlineStr">
        <is>
          <t>Kunde angeschrieben, Offerte erstellt, Kunde hat Offerte bekommen</t>
        </is>
      </c>
      <c r="W60" s="198" t="inlineStr">
        <is>
          <t>Juli</t>
        </is>
      </c>
      <c r="X60" s="200" t="inlineStr">
        <is>
          <t>Kunde angeschrieben</t>
        </is>
      </c>
      <c r="Z60">
        <f>IF(AND(R60="WON",ISNUMBER(I60)),AA60,"")</f>
        <v/>
      </c>
      <c r="AA60">
        <f>IFERROR(I60*1,0)</f>
        <v>5257.44</v>
      </c>
    </row>
    <row r="61" ht="15" customHeight="1">
      <c r="A61" s="198" t="n"/>
      <c r="B61" s="199" t="n"/>
      <c r="C61" s="198" t="n"/>
      <c r="D61" s="200" t="n"/>
      <c r="E61" s="200" t="n"/>
      <c r="F61" s="201" t="n"/>
      <c r="G61" s="198" t="n"/>
      <c r="H61" s="202" t="n"/>
      <c r="I61" s="201" t="n"/>
      <c r="J61" s="201" t="n"/>
      <c r="K61" s="201" t="n"/>
      <c r="L61" s="201" t="n"/>
      <c r="M61" s="201" t="n"/>
      <c r="N61" s="201">
        <f>IF(ISNUMBER(I61),ROUND(I61-I61/1.081,2),"")</f>
        <v/>
      </c>
      <c r="O61" s="201">
        <f>IF(ISNUMBER(I61),I61-SUM(J61:N61),"")</f>
        <v/>
      </c>
      <c r="P61" s="203">
        <f>IFERROR(IF(AND(ISNUMBER(O61),ISNUMBER(I61),I61&lt;&gt;0),O61/I61,""),"")</f>
        <v/>
      </c>
      <c r="Q61" s="201">
        <f>IF(AND(ISNUMBER(I61),ISNUMBER(S61)),I61*IF(S61&lt;=1,S61,S61/100),IF(OR(I61&lt;&gt;"",S61&lt;&gt;""),"tbd",""))</f>
        <v/>
      </c>
      <c r="R61" s="204" t="n"/>
      <c r="S61" s="205" t="n"/>
      <c r="T61" s="199" t="n"/>
      <c r="U61" s="200" t="n"/>
      <c r="V61" s="200" t="n"/>
      <c r="W61" s="198" t="n"/>
      <c r="X61" s="200" t="n"/>
      <c r="Z61">
        <f>IF(AND(R61="WON",ISNUMBER(I61)),AA61,"")</f>
        <v/>
      </c>
      <c r="AA61">
        <f>IFERROR(I61*1,0)</f>
        <v>0</v>
      </c>
    </row>
    <row r="62" ht="15" customHeight="1">
      <c r="A62" s="198" t="n"/>
      <c r="B62" s="199" t="n"/>
      <c r="C62" s="198" t="n"/>
      <c r="D62" s="200" t="n"/>
      <c r="E62" s="200" t="n"/>
      <c r="F62" s="201" t="n"/>
      <c r="G62" s="198" t="n"/>
      <c r="H62" s="202" t="n"/>
      <c r="I62" s="201" t="n"/>
      <c r="J62" s="201" t="n"/>
      <c r="K62" s="201" t="n"/>
      <c r="L62" s="201" t="n"/>
      <c r="M62" s="201" t="n"/>
      <c r="N62" s="201">
        <f>IF(ISNUMBER(I62),ROUND(I62-I62/1.081,2),"")</f>
        <v/>
      </c>
      <c r="O62" s="201">
        <f>IF(ISNUMBER(I62),I62-SUM(J62:N62),"")</f>
        <v/>
      </c>
      <c r="P62" s="203">
        <f>IFERROR(IF(AND(ISNUMBER(O62),ISNUMBER(I62),I62&lt;&gt;0),O62/I62,""),"")</f>
        <v/>
      </c>
      <c r="Q62" s="201">
        <f>IF(AND(ISNUMBER(I62),ISNUMBER(S62)),I62*IF(S62&lt;=1,S62,S62/100),IF(OR(I62&lt;&gt;"",S62&lt;&gt;""),"tbd",""))</f>
        <v/>
      </c>
      <c r="R62" s="204" t="n"/>
      <c r="S62" s="205" t="n"/>
      <c r="T62" s="199" t="n"/>
      <c r="U62" s="200" t="n"/>
      <c r="V62" s="200" t="n"/>
      <c r="W62" s="198" t="n"/>
      <c r="X62" s="200" t="n"/>
      <c r="Z62">
        <f>IF(AND(R62="WON",ISNUMBER(I62)),AA62,"")</f>
        <v/>
      </c>
      <c r="AA62">
        <f>IFERROR(I62*1,0)</f>
        <v>0</v>
      </c>
    </row>
    <row r="63" ht="15" customHeight="1">
      <c r="A63" s="198" t="n"/>
      <c r="B63" s="199" t="n"/>
      <c r="C63" s="198" t="n"/>
      <c r="D63" s="200" t="n"/>
      <c r="E63" s="200" t="n"/>
      <c r="F63" s="201" t="n"/>
      <c r="G63" s="198" t="n"/>
      <c r="H63" s="202" t="n"/>
      <c r="I63" s="201" t="n"/>
      <c r="J63" s="201" t="n"/>
      <c r="K63" s="201" t="n"/>
      <c r="L63" s="201" t="n"/>
      <c r="M63" s="201" t="n"/>
      <c r="N63" s="201">
        <f>IF(ISNUMBER(I63),ROUND(I63-I63/1.081,2),"")</f>
        <v/>
      </c>
      <c r="O63" s="201">
        <f>IF(ISNUMBER(I63),I63-SUM(J63:N63),"")</f>
        <v/>
      </c>
      <c r="P63" s="203">
        <f>IFERROR(IF(AND(ISNUMBER(O63),ISNUMBER(I63),I63&lt;&gt;0),O63/I63,""),"")</f>
        <v/>
      </c>
      <c r="Q63" s="201">
        <f>IF(AND(ISNUMBER(I63),ISNUMBER(S63)),I63*IF(S63&lt;=1,S63,S63/100),IF(OR(I63&lt;&gt;"",S63&lt;&gt;""),"tbd",""))</f>
        <v/>
      </c>
      <c r="R63" s="204" t="n"/>
      <c r="S63" s="205" t="n"/>
      <c r="T63" s="199" t="n"/>
      <c r="U63" s="200" t="n"/>
      <c r="V63" s="200" t="n"/>
      <c r="W63" s="198" t="n"/>
      <c r="X63" s="200" t="n"/>
      <c r="Z63">
        <f>IF(AND(R63="WON",ISNUMBER(I63)),AA63,"")</f>
        <v/>
      </c>
      <c r="AA63">
        <f>IFERROR(I63*1,0)</f>
        <v>0</v>
      </c>
    </row>
    <row r="64" ht="15" customHeight="1">
      <c r="A64" s="198" t="n"/>
      <c r="B64" s="199" t="n"/>
      <c r="C64" s="198" t="n"/>
      <c r="D64" s="200" t="n"/>
      <c r="E64" s="200" t="n"/>
      <c r="F64" s="201" t="n"/>
      <c r="G64" s="198" t="n"/>
      <c r="H64" s="202" t="n"/>
      <c r="I64" s="201" t="n"/>
      <c r="J64" s="201" t="n"/>
      <c r="K64" s="201" t="n"/>
      <c r="L64" s="201" t="n"/>
      <c r="M64" s="201" t="n"/>
      <c r="N64" s="201">
        <f>IF(ISNUMBER(I64),ROUND(I64-I64/1.081,2),"")</f>
        <v/>
      </c>
      <c r="O64" s="201">
        <f>IF(ISNUMBER(I64),I64-SUM(J64:N64),"")</f>
        <v/>
      </c>
      <c r="P64" s="203">
        <f>IFERROR(IF(AND(ISNUMBER(O64),ISNUMBER(I64),I64&lt;&gt;0),O64/I64,""),"")</f>
        <v/>
      </c>
      <c r="Q64" s="201">
        <f>IF(AND(ISNUMBER(I64),ISNUMBER(S64)),I64*IF(S64&lt;=1,S64,S64/100),IF(OR(I64&lt;&gt;"",S64&lt;&gt;""),"tbd",""))</f>
        <v/>
      </c>
      <c r="R64" s="204" t="n"/>
      <c r="S64" s="205" t="n"/>
      <c r="T64" s="199" t="n"/>
      <c r="U64" s="200" t="n"/>
      <c r="V64" s="200" t="n"/>
      <c r="W64" s="198" t="n"/>
      <c r="X64" s="200" t="n"/>
      <c r="Z64">
        <f>IF(AND(R64="WON",ISNUMBER(I64)),AA64,"")</f>
        <v/>
      </c>
      <c r="AA64">
        <f>IFERROR(I64*1,0)</f>
        <v>0</v>
      </c>
    </row>
    <row r="65" ht="15" customHeight="1">
      <c r="A65" s="198" t="n"/>
      <c r="B65" s="199" t="n"/>
      <c r="C65" s="198" t="n"/>
      <c r="D65" s="200" t="n"/>
      <c r="E65" s="200" t="n"/>
      <c r="F65" s="201" t="n"/>
      <c r="G65" s="198" t="n"/>
      <c r="H65" s="202" t="n"/>
      <c r="I65" s="201" t="n"/>
      <c r="J65" s="201" t="n"/>
      <c r="K65" s="201" t="n"/>
      <c r="L65" s="201" t="n"/>
      <c r="M65" s="201" t="n"/>
      <c r="N65" s="201">
        <f>IF(ISNUMBER(I65),ROUND(I65-I65/1.081,2),"")</f>
        <v/>
      </c>
      <c r="O65" s="201">
        <f>IF(ISNUMBER(I65),I65-SUM(J65:N65),"")</f>
        <v/>
      </c>
      <c r="P65" s="203">
        <f>IFERROR(IF(AND(ISNUMBER(O65),ISNUMBER(I65),I65&lt;&gt;0),O65/I65,""),"")</f>
        <v/>
      </c>
      <c r="Q65" s="201">
        <f>IF(AND(ISNUMBER(I65),ISNUMBER(S65)),I65*IF(S65&lt;=1,S65,S65/100),IF(OR(I65&lt;&gt;"",S65&lt;&gt;""),"tbd",""))</f>
        <v/>
      </c>
      <c r="R65" s="204" t="n"/>
      <c r="S65" s="205" t="n"/>
      <c r="T65" s="199" t="n"/>
      <c r="U65" s="200" t="n"/>
      <c r="V65" s="200" t="n"/>
      <c r="W65" s="198" t="n"/>
      <c r="X65" s="200" t="n"/>
      <c r="Z65">
        <f>IF(AND(R65="WON",ISNUMBER(I65)),AA65,"")</f>
        <v/>
      </c>
      <c r="AA65">
        <f>IFERROR(I65*1,0)</f>
        <v>0</v>
      </c>
    </row>
    <row r="66" ht="15" customHeight="1">
      <c r="A66" s="198" t="n"/>
      <c r="B66" s="199" t="n"/>
      <c r="C66" s="198" t="n"/>
      <c r="D66" s="200" t="n"/>
      <c r="E66" s="200" t="n"/>
      <c r="F66" s="201" t="n"/>
      <c r="G66" s="198" t="n"/>
      <c r="H66" s="202" t="n"/>
      <c r="I66" s="201" t="n"/>
      <c r="J66" s="201" t="n"/>
      <c r="K66" s="201" t="n"/>
      <c r="L66" s="201" t="n"/>
      <c r="M66" s="201" t="n"/>
      <c r="N66" s="201">
        <f>IF(ISNUMBER(I66),ROUND(I66-I66/1.081,2),"")</f>
        <v/>
      </c>
      <c r="O66" s="201">
        <f>IF(ISNUMBER(I66),I66-SUM(J66:N66),"")</f>
        <v/>
      </c>
      <c r="P66" s="203">
        <f>IFERROR(IF(AND(ISNUMBER(O66),ISNUMBER(I66),I66&lt;&gt;0),O66/I66,""),"")</f>
        <v/>
      </c>
      <c r="Q66" s="201">
        <f>IF(AND(ISNUMBER(I66),ISNUMBER(S66)),I66*IF(S66&lt;=1,S66,S66/100),IF(OR(I66&lt;&gt;"",S66&lt;&gt;""),"tbd",""))</f>
        <v/>
      </c>
      <c r="R66" s="204" t="n"/>
      <c r="S66" s="205" t="n"/>
      <c r="T66" s="199" t="n"/>
      <c r="U66" s="200" t="n"/>
      <c r="V66" s="200" t="n"/>
      <c r="W66" s="198" t="n"/>
      <c r="X66" s="200" t="n"/>
      <c r="Z66">
        <f>IF(AND(R66="WON",ISNUMBER(I66)),AA66,"")</f>
        <v/>
      </c>
      <c r="AA66">
        <f>IFERROR(I66*1,0)</f>
        <v>0</v>
      </c>
    </row>
    <row r="67" ht="15" customHeight="1">
      <c r="A67" s="198" t="n"/>
      <c r="B67" s="199" t="n"/>
      <c r="C67" s="198" t="n"/>
      <c r="D67" s="200" t="n"/>
      <c r="E67" s="200" t="n"/>
      <c r="F67" s="201" t="n"/>
      <c r="G67" s="198" t="n"/>
      <c r="H67" s="202" t="n"/>
      <c r="I67" s="201" t="n"/>
      <c r="J67" s="201" t="n"/>
      <c r="K67" s="201" t="n"/>
      <c r="L67" s="201" t="n"/>
      <c r="M67" s="201" t="n"/>
      <c r="N67" s="201">
        <f>IF(ISNUMBER(I67),ROUND(I67-I67/1.081,2),"")</f>
        <v/>
      </c>
      <c r="O67" s="201">
        <f>IF(ISNUMBER(I67),I67-SUM(J67:N67),"")</f>
        <v/>
      </c>
      <c r="P67" s="203">
        <f>IFERROR(IF(AND(ISNUMBER(O67),ISNUMBER(I67),I67&lt;&gt;0),O67/I67,""),"")</f>
        <v/>
      </c>
      <c r="Q67" s="201">
        <f>IF(AND(ISNUMBER(I67),ISNUMBER(S67)),I67*IF(S67&lt;=1,S67,S67/100),IF(OR(I67&lt;&gt;"",S67&lt;&gt;""),"tbd",""))</f>
        <v/>
      </c>
      <c r="R67" s="204" t="n"/>
      <c r="S67" s="205" t="n"/>
      <c r="T67" s="199" t="n"/>
      <c r="U67" s="200" t="n"/>
      <c r="V67" s="200" t="n"/>
      <c r="W67" s="198" t="n"/>
      <c r="X67" s="200" t="n"/>
      <c r="Z67">
        <f>IF(AND(R67="WON",ISNUMBER(I67)),AA67,"")</f>
        <v/>
      </c>
      <c r="AA67">
        <f>IFERROR(I67*1,0)</f>
        <v>0</v>
      </c>
    </row>
    <row r="68" ht="15" customHeight="1">
      <c r="A68" s="198" t="n"/>
      <c r="B68" s="199" t="n"/>
      <c r="C68" s="198" t="n"/>
      <c r="D68" s="200" t="n"/>
      <c r="E68" s="200" t="n"/>
      <c r="F68" s="201" t="n"/>
      <c r="G68" s="198" t="n"/>
      <c r="H68" s="202" t="n"/>
      <c r="I68" s="201" t="n"/>
      <c r="J68" s="201" t="n"/>
      <c r="K68" s="201" t="n"/>
      <c r="L68" s="201" t="n"/>
      <c r="M68" s="201" t="n"/>
      <c r="N68" s="201">
        <f>IF(ISNUMBER(I68),ROUND(I68-I68/1.081,2),"")</f>
        <v/>
      </c>
      <c r="O68" s="201">
        <f>IF(ISNUMBER(I68),I68-SUM(J68:N68),"")</f>
        <v/>
      </c>
      <c r="P68" s="203">
        <f>IFERROR(IF(AND(ISNUMBER(O68),ISNUMBER(I68),I68&lt;&gt;0),O68/I68,""),"")</f>
        <v/>
      </c>
      <c r="Q68" s="201">
        <f>IF(AND(ISNUMBER(I68),ISNUMBER(S68)),I68*IF(S68&lt;=1,S68,S68/100),IF(OR(I68&lt;&gt;"",S68&lt;&gt;""),"tbd",""))</f>
        <v/>
      </c>
      <c r="R68" s="204" t="n"/>
      <c r="S68" s="205" t="n"/>
      <c r="T68" s="199" t="n"/>
      <c r="U68" s="200" t="n"/>
      <c r="V68" s="200" t="n"/>
      <c r="W68" s="198" t="n"/>
      <c r="X68" s="200" t="n"/>
      <c r="Z68">
        <f>IF(AND(R68="WON",ISNUMBER(I68)),AA68,"")</f>
        <v/>
      </c>
      <c r="AA68">
        <f>IFERROR(I68*1,0)</f>
        <v>0</v>
      </c>
    </row>
    <row r="69" ht="15" customHeight="1">
      <c r="A69" s="198" t="n"/>
      <c r="B69" s="199" t="n"/>
      <c r="C69" s="198" t="n"/>
      <c r="D69" s="200" t="n"/>
      <c r="E69" s="200" t="n"/>
      <c r="F69" s="201" t="n"/>
      <c r="G69" s="198" t="n"/>
      <c r="H69" s="202" t="n"/>
      <c r="I69" s="201" t="n"/>
      <c r="J69" s="201" t="n"/>
      <c r="K69" s="201" t="n"/>
      <c r="L69" s="201" t="n"/>
      <c r="M69" s="201" t="n"/>
      <c r="N69" s="201">
        <f>IF(ISNUMBER(I69),ROUND(I69-I69/1.081,2),"")</f>
        <v/>
      </c>
      <c r="O69" s="201">
        <f>IF(ISNUMBER(I69),I69-SUM(J69:N69),"")</f>
        <v/>
      </c>
      <c r="P69" s="203">
        <f>IFERROR(IF(AND(ISNUMBER(O69),ISNUMBER(I69),I69&lt;&gt;0),O69/I69,""),"")</f>
        <v/>
      </c>
      <c r="Q69" s="201">
        <f>IF(AND(ISNUMBER(I69),ISNUMBER(S69)),I69*IF(S69&lt;=1,S69,S69/100),IF(OR(I69&lt;&gt;"",S69&lt;&gt;""),"tbd",""))</f>
        <v/>
      </c>
      <c r="R69" s="204" t="n"/>
      <c r="S69" s="205" t="n"/>
      <c r="T69" s="199" t="n"/>
      <c r="U69" s="200" t="n"/>
      <c r="V69" s="200" t="n"/>
      <c r="W69" s="198" t="n"/>
      <c r="X69" s="200" t="n"/>
      <c r="Z69">
        <f>IF(AND(R69="WON",ISNUMBER(I69)),AA69,"")</f>
        <v/>
      </c>
      <c r="AA69">
        <f>IFERROR(I69*1,0)</f>
        <v>0</v>
      </c>
    </row>
    <row r="70" ht="15" customHeight="1">
      <c r="A70" s="198" t="n"/>
      <c r="B70" s="199" t="n"/>
      <c r="C70" s="198" t="n"/>
      <c r="D70" s="200" t="n"/>
      <c r="E70" s="200" t="n"/>
      <c r="F70" s="201" t="n"/>
      <c r="G70" s="198" t="n"/>
      <c r="H70" s="202" t="n"/>
      <c r="I70" s="201" t="n"/>
      <c r="J70" s="201" t="n"/>
      <c r="K70" s="201" t="n"/>
      <c r="L70" s="201" t="n"/>
      <c r="M70" s="201" t="n"/>
      <c r="N70" s="201">
        <f>IF(ISNUMBER(I70),ROUND(I70-I70/1.081,2),"")</f>
        <v/>
      </c>
      <c r="O70" s="201">
        <f>IF(ISNUMBER(I70),I70-SUM(J70:N70),"")</f>
        <v/>
      </c>
      <c r="P70" s="203">
        <f>IFERROR(IF(AND(ISNUMBER(O70),ISNUMBER(I70),I70&lt;&gt;0),O70/I70,""),"")</f>
        <v/>
      </c>
      <c r="Q70" s="201">
        <f>IF(AND(ISNUMBER(I70),ISNUMBER(S70)),I70*IF(S70&lt;=1,S70,S70/100),IF(OR(I70&lt;&gt;"",S70&lt;&gt;""),"tbd",""))</f>
        <v/>
      </c>
      <c r="R70" s="204" t="n"/>
      <c r="S70" s="205" t="n"/>
      <c r="T70" s="199" t="n"/>
      <c r="U70" s="200" t="n"/>
      <c r="V70" s="200" t="n"/>
      <c r="W70" s="198" t="n"/>
      <c r="X70" s="200" t="n"/>
      <c r="Z70">
        <f>IF(AND(R70="WON",ISNUMBER(I70)),AA70,"")</f>
        <v/>
      </c>
      <c r="AA70">
        <f>IFERROR(I70*1,0)</f>
        <v>0</v>
      </c>
    </row>
    <row r="71" ht="15" customHeight="1">
      <c r="A71" s="198" t="n"/>
      <c r="B71" s="199" t="n"/>
      <c r="C71" s="198" t="n"/>
      <c r="D71" s="200" t="n"/>
      <c r="E71" s="200" t="n"/>
      <c r="F71" s="201" t="n"/>
      <c r="G71" s="198" t="n"/>
      <c r="H71" s="202" t="n"/>
      <c r="I71" s="201" t="n"/>
      <c r="J71" s="201" t="n"/>
      <c r="K71" s="201" t="n"/>
      <c r="L71" s="201" t="n"/>
      <c r="M71" s="201" t="n"/>
      <c r="N71" s="201">
        <f>IF(ISNUMBER(I71),ROUND(I71-I71/1.081,2),"")</f>
        <v/>
      </c>
      <c r="O71" s="201">
        <f>IF(ISNUMBER(I71),I71-SUM(J71:N71),"")</f>
        <v/>
      </c>
      <c r="P71" s="203">
        <f>IFERROR(IF(AND(ISNUMBER(O71),ISNUMBER(I71),I71&lt;&gt;0),O71/I71,""),"")</f>
        <v/>
      </c>
      <c r="Q71" s="201">
        <f>IF(AND(ISNUMBER(I71),ISNUMBER(S71)),I71*IF(S71&lt;=1,S71,S71/100),IF(OR(I71&lt;&gt;"",S71&lt;&gt;""),"tbd",""))</f>
        <v/>
      </c>
      <c r="R71" s="204" t="n"/>
      <c r="S71" s="205" t="n"/>
      <c r="T71" s="199" t="n"/>
      <c r="U71" s="200" t="n"/>
      <c r="V71" s="200" t="n"/>
      <c r="W71" s="198" t="n"/>
      <c r="X71" s="200" t="n"/>
      <c r="Z71">
        <f>IF(AND(R71="WON",ISNUMBER(I71)),AA71,"")</f>
        <v/>
      </c>
      <c r="AA71">
        <f>IFERROR(I71*1,0)</f>
        <v>0</v>
      </c>
    </row>
    <row r="72" ht="15" customHeight="1">
      <c r="A72" s="198" t="n"/>
      <c r="B72" s="199" t="n"/>
      <c r="C72" s="198" t="n"/>
      <c r="D72" s="200" t="n"/>
      <c r="E72" s="200" t="n"/>
      <c r="F72" s="201" t="n"/>
      <c r="G72" s="198" t="n"/>
      <c r="H72" s="202" t="n"/>
      <c r="I72" s="201" t="n"/>
      <c r="J72" s="201" t="n"/>
      <c r="K72" s="201" t="n"/>
      <c r="L72" s="201" t="n"/>
      <c r="M72" s="201" t="n"/>
      <c r="N72" s="201">
        <f>IF(ISNUMBER(I72),ROUND(I72-I72/1.081,2),"")</f>
        <v/>
      </c>
      <c r="O72" s="201">
        <f>IF(ISNUMBER(I72),I72-SUM(J72:N72),"")</f>
        <v/>
      </c>
      <c r="P72" s="203">
        <f>IFERROR(IF(AND(ISNUMBER(O72),ISNUMBER(I72),I72&lt;&gt;0),O72/I72,""),"")</f>
        <v/>
      </c>
      <c r="Q72" s="201">
        <f>IF(AND(ISNUMBER(I72),ISNUMBER(S72)),I72*IF(S72&lt;=1,S72,S72/100),IF(OR(I72&lt;&gt;"",S72&lt;&gt;""),"tbd",""))</f>
        <v/>
      </c>
      <c r="R72" s="204" t="n"/>
      <c r="S72" s="205" t="n"/>
      <c r="T72" s="199" t="n"/>
      <c r="U72" s="200" t="n"/>
      <c r="V72" s="200" t="n"/>
      <c r="W72" s="198" t="n"/>
      <c r="X72" s="200" t="n"/>
      <c r="Z72">
        <f>IF(AND(R72="WON",ISNUMBER(I72)),AA72,"")</f>
        <v/>
      </c>
      <c r="AA72">
        <f>IFERROR(I72*1,0)</f>
        <v>0</v>
      </c>
    </row>
    <row r="73" ht="15" customHeight="1">
      <c r="A73" s="198" t="n"/>
      <c r="B73" s="199" t="n"/>
      <c r="C73" s="198" t="n"/>
      <c r="D73" s="200" t="n"/>
      <c r="E73" s="200" t="n"/>
      <c r="F73" s="201" t="n"/>
      <c r="G73" s="198" t="n"/>
      <c r="H73" s="202" t="n"/>
      <c r="I73" s="201" t="n"/>
      <c r="J73" s="201" t="n"/>
      <c r="K73" s="201" t="n"/>
      <c r="L73" s="201" t="n"/>
      <c r="M73" s="201" t="n"/>
      <c r="N73" s="201">
        <f>IF(ISNUMBER(I73),ROUND(I73-I73/1.081,2),"")</f>
        <v/>
      </c>
      <c r="O73" s="201">
        <f>IF(ISNUMBER(I73),I73-SUM(J73:N73),"")</f>
        <v/>
      </c>
      <c r="P73" s="203">
        <f>IFERROR(IF(AND(ISNUMBER(O73),ISNUMBER(I73),I73&lt;&gt;0),O73/I73,""),"")</f>
        <v/>
      </c>
      <c r="Q73" s="201">
        <f>IF(AND(ISNUMBER(I73),ISNUMBER(S73)),I73*IF(S73&lt;=1,S73,S73/100),IF(OR(I73&lt;&gt;"",S73&lt;&gt;""),"tbd",""))</f>
        <v/>
      </c>
      <c r="R73" s="204" t="n"/>
      <c r="S73" s="205" t="n"/>
      <c r="T73" s="199" t="n"/>
      <c r="U73" s="200" t="n"/>
      <c r="V73" s="200" t="n"/>
      <c r="W73" s="198" t="n"/>
      <c r="X73" s="200" t="n"/>
      <c r="Z73">
        <f>IF(AND(R73="WON",ISNUMBER(I73)),AA73,"")</f>
        <v/>
      </c>
      <c r="AA73">
        <f>IFERROR(I73*1,0)</f>
        <v>0</v>
      </c>
    </row>
    <row r="74" ht="15" customHeight="1">
      <c r="A74" s="198" t="n"/>
      <c r="B74" s="199" t="n"/>
      <c r="C74" s="198" t="n"/>
      <c r="D74" s="200" t="n"/>
      <c r="E74" s="200" t="n"/>
      <c r="F74" s="201" t="n"/>
      <c r="G74" s="198" t="n"/>
      <c r="H74" s="202" t="n"/>
      <c r="I74" s="201" t="n"/>
      <c r="J74" s="201" t="n"/>
      <c r="K74" s="201" t="n"/>
      <c r="L74" s="201" t="n"/>
      <c r="M74" s="201" t="n"/>
      <c r="N74" s="201">
        <f>IF(ISNUMBER(I74),ROUND(I74-I74/1.081,2),"")</f>
        <v/>
      </c>
      <c r="O74" s="201">
        <f>IF(ISNUMBER(I74),I74-SUM(J74:N74),"")</f>
        <v/>
      </c>
      <c r="P74" s="203">
        <f>IFERROR(IF(AND(ISNUMBER(O74),ISNUMBER(I74),I74&lt;&gt;0),O74/I74,""),"")</f>
        <v/>
      </c>
      <c r="Q74" s="201">
        <f>IF(AND(ISNUMBER(I74),ISNUMBER(S74)),I74*IF(S74&lt;=1,S74,S74/100),IF(OR(I74&lt;&gt;"",S74&lt;&gt;""),"tbd",""))</f>
        <v/>
      </c>
      <c r="R74" s="204" t="n"/>
      <c r="S74" s="205" t="n"/>
      <c r="T74" s="199" t="n"/>
      <c r="U74" s="200" t="n"/>
      <c r="V74" s="200" t="n"/>
      <c r="W74" s="198" t="n"/>
      <c r="X74" s="200" t="n"/>
      <c r="Z74">
        <f>IF(AND(R74="WON",ISNUMBER(I74)),AA74,"")</f>
        <v/>
      </c>
      <c r="AA74">
        <f>IFERROR(I74*1,0)</f>
        <v>0</v>
      </c>
    </row>
    <row r="75" ht="15" customHeight="1">
      <c r="A75" s="198" t="n"/>
      <c r="B75" s="199" t="n"/>
      <c r="C75" s="198" t="n"/>
      <c r="D75" s="200" t="n"/>
      <c r="E75" s="200" t="n"/>
      <c r="F75" s="201" t="n"/>
      <c r="G75" s="198" t="n"/>
      <c r="H75" s="202" t="n"/>
      <c r="I75" s="201" t="n"/>
      <c r="J75" s="201" t="n"/>
      <c r="K75" s="201" t="n"/>
      <c r="L75" s="201" t="n"/>
      <c r="M75" s="201" t="n"/>
      <c r="N75" s="201">
        <f>IF(ISNUMBER(I75),ROUND(I75-I75/1.081,2),"")</f>
        <v/>
      </c>
      <c r="O75" s="201">
        <f>IF(ISNUMBER(I75),I75-SUM(J75:N75),"")</f>
        <v/>
      </c>
      <c r="P75" s="203">
        <f>IFERROR(IF(AND(ISNUMBER(O75),ISNUMBER(I75),I75&lt;&gt;0),O75/I75,""),"")</f>
        <v/>
      </c>
      <c r="Q75" s="201">
        <f>IF(AND(ISNUMBER(I75),ISNUMBER(S75)),I75*IF(S75&lt;=1,S75,S75/100),IF(OR(I75&lt;&gt;"",S75&lt;&gt;""),"tbd",""))</f>
        <v/>
      </c>
      <c r="R75" s="204" t="n"/>
      <c r="S75" s="205" t="n"/>
      <c r="T75" s="199" t="n"/>
      <c r="U75" s="200" t="n"/>
      <c r="V75" s="200" t="n"/>
      <c r="W75" s="198" t="n"/>
      <c r="X75" s="200" t="n"/>
      <c r="Z75">
        <f>IF(AND(R75="WON",ISNUMBER(I75)),AA75,"")</f>
        <v/>
      </c>
      <c r="AA75">
        <f>IFERROR(I75*1,0)</f>
        <v>0</v>
      </c>
    </row>
    <row r="76" ht="15" customHeight="1">
      <c r="A76" s="198" t="n"/>
      <c r="B76" s="199" t="n"/>
      <c r="C76" s="198" t="n"/>
      <c r="D76" s="200" t="n"/>
      <c r="E76" s="200" t="n"/>
      <c r="F76" s="201" t="n"/>
      <c r="G76" s="198" t="n"/>
      <c r="H76" s="202" t="n"/>
      <c r="I76" s="201" t="n"/>
      <c r="J76" s="201" t="n"/>
      <c r="K76" s="201" t="n"/>
      <c r="L76" s="201" t="n"/>
      <c r="M76" s="201" t="n"/>
      <c r="N76" s="201">
        <f>IF(ISNUMBER(I76),ROUND(I76-I76/1.081,2),"")</f>
        <v/>
      </c>
      <c r="O76" s="201">
        <f>IF(ISNUMBER(I76),I76-SUM(J76:N76),"")</f>
        <v/>
      </c>
      <c r="P76" s="203">
        <f>IFERROR(IF(AND(ISNUMBER(O76),ISNUMBER(I76),I76&lt;&gt;0),O76/I76,""),"")</f>
        <v/>
      </c>
      <c r="Q76" s="201">
        <f>IF(AND(ISNUMBER(I76),ISNUMBER(S76)),I76*IF(S76&lt;=1,S76,S76/100),IF(OR(I76&lt;&gt;"",S76&lt;&gt;""),"tbd",""))</f>
        <v/>
      </c>
      <c r="R76" s="204" t="n"/>
      <c r="S76" s="205" t="n"/>
      <c r="T76" s="199" t="n"/>
      <c r="U76" s="200" t="n"/>
      <c r="V76" s="200" t="n"/>
      <c r="W76" s="198" t="n"/>
      <c r="X76" s="200" t="n"/>
      <c r="Z76">
        <f>IF(AND(R76="WON",ISNUMBER(I76)),AA76,"")</f>
        <v/>
      </c>
      <c r="AA76">
        <f>IFERROR(I76*1,0)</f>
        <v>0</v>
      </c>
    </row>
    <row r="77" ht="15" customHeight="1">
      <c r="A77" s="198" t="n"/>
      <c r="B77" s="199" t="n"/>
      <c r="C77" s="198" t="n"/>
      <c r="D77" s="200" t="n"/>
      <c r="E77" s="200" t="n"/>
      <c r="F77" s="201" t="n"/>
      <c r="G77" s="198" t="n"/>
      <c r="H77" s="202" t="n"/>
      <c r="I77" s="201" t="n"/>
      <c r="J77" s="201" t="n"/>
      <c r="K77" s="201" t="n"/>
      <c r="L77" s="201" t="n"/>
      <c r="M77" s="201" t="n"/>
      <c r="N77" s="201">
        <f>IF(ISNUMBER(I77),ROUND(I77-I77/1.081,2),"")</f>
        <v/>
      </c>
      <c r="O77" s="201">
        <f>IF(ISNUMBER(I77),I77-SUM(J77:N77),"")</f>
        <v/>
      </c>
      <c r="P77" s="203">
        <f>IFERROR(IF(AND(ISNUMBER(O77),ISNUMBER(I77),I77&lt;&gt;0),O77/I77,""),"")</f>
        <v/>
      </c>
      <c r="Q77" s="201">
        <f>IF(AND(ISNUMBER(I77),ISNUMBER(S77)),I77*IF(S77&lt;=1,S77,S77/100),IF(OR(I77&lt;&gt;"",S77&lt;&gt;""),"tbd",""))</f>
        <v/>
      </c>
      <c r="R77" s="204" t="n"/>
      <c r="S77" s="205" t="n"/>
      <c r="T77" s="199" t="n"/>
      <c r="U77" s="200" t="n"/>
      <c r="V77" s="200" t="n"/>
      <c r="W77" s="198" t="n"/>
      <c r="X77" s="200" t="n"/>
      <c r="Z77">
        <f>IF(AND(R77="WON",ISNUMBER(I77)),AA77,"")</f>
        <v/>
      </c>
      <c r="AA77">
        <f>IFERROR(I77*1,0)</f>
        <v>0</v>
      </c>
    </row>
    <row r="78" ht="15" customHeight="1">
      <c r="A78" s="198" t="n"/>
      <c r="B78" s="199" t="n"/>
      <c r="C78" s="198" t="n"/>
      <c r="D78" s="200" t="n"/>
      <c r="E78" s="200" t="n"/>
      <c r="F78" s="201" t="n"/>
      <c r="G78" s="198" t="n"/>
      <c r="H78" s="202" t="n"/>
      <c r="I78" s="201" t="n"/>
      <c r="J78" s="201" t="n"/>
      <c r="K78" s="201" t="n"/>
      <c r="L78" s="201" t="n"/>
      <c r="M78" s="201" t="n"/>
      <c r="N78" s="201">
        <f>IF(ISNUMBER(I78),ROUND(I78-I78/1.081,2),"")</f>
        <v/>
      </c>
      <c r="O78" s="201">
        <f>IF(ISNUMBER(I78),I78-SUM(J78:N78),"")</f>
        <v/>
      </c>
      <c r="P78" s="203">
        <f>IFERROR(IF(AND(ISNUMBER(O78),ISNUMBER(I78),I78&lt;&gt;0),O78/I78,""),"")</f>
        <v/>
      </c>
      <c r="Q78" s="201">
        <f>IF(AND(ISNUMBER(I78),ISNUMBER(S78)),I78*IF(S78&lt;=1,S78,S78/100),IF(OR(I78&lt;&gt;"",S78&lt;&gt;""),"tbd",""))</f>
        <v/>
      </c>
      <c r="R78" s="204" t="n"/>
      <c r="S78" s="205" t="n"/>
      <c r="T78" s="199" t="n"/>
      <c r="U78" s="200" t="n"/>
      <c r="V78" s="200" t="n"/>
      <c r="W78" s="198" t="n"/>
      <c r="X78" s="200" t="n"/>
      <c r="Z78">
        <f>IF(AND(R78="WON",ISNUMBER(I78)),AA78,"")</f>
        <v/>
      </c>
      <c r="AA78">
        <f>IFERROR(I78*1,0)</f>
        <v>0</v>
      </c>
    </row>
    <row r="79" ht="15" customHeight="1">
      <c r="A79" s="198" t="n"/>
      <c r="B79" s="199" t="n"/>
      <c r="C79" s="198" t="n"/>
      <c r="D79" s="200" t="n"/>
      <c r="E79" s="200" t="n"/>
      <c r="F79" s="201" t="n"/>
      <c r="G79" s="198" t="n"/>
      <c r="H79" s="202" t="n"/>
      <c r="I79" s="201" t="n"/>
      <c r="J79" s="201" t="n"/>
      <c r="K79" s="201" t="n"/>
      <c r="L79" s="201" t="n"/>
      <c r="M79" s="201" t="n"/>
      <c r="N79" s="201">
        <f>IF(ISNUMBER(I79),ROUND(I79-I79/1.081,2),"")</f>
        <v/>
      </c>
      <c r="O79" s="201">
        <f>IF(ISNUMBER(I79),I79-SUM(J79:N79),"")</f>
        <v/>
      </c>
      <c r="P79" s="203">
        <f>IFERROR(IF(AND(ISNUMBER(O79),ISNUMBER(I79),I79&lt;&gt;0),O79/I79,""),"")</f>
        <v/>
      </c>
      <c r="Q79" s="201">
        <f>IF(AND(ISNUMBER(I79),ISNUMBER(S79)),I79*IF(S79&lt;=1,S79,S79/100),IF(OR(I79&lt;&gt;"",S79&lt;&gt;""),"tbd",""))</f>
        <v/>
      </c>
      <c r="R79" s="204" t="n"/>
      <c r="S79" s="205" t="n"/>
      <c r="T79" s="199" t="n"/>
      <c r="U79" s="200" t="n"/>
      <c r="V79" s="200" t="n"/>
      <c r="W79" s="198" t="n"/>
      <c r="X79" s="200" t="n"/>
      <c r="Z79">
        <f>IF(AND(R79="WON",ISNUMBER(I79)),AA79,"")</f>
        <v/>
      </c>
      <c r="AA79">
        <f>IFERROR(I79*1,0)</f>
        <v>0</v>
      </c>
    </row>
    <row r="80" ht="15" customHeight="1">
      <c r="A80" s="198" t="n"/>
      <c r="B80" s="199" t="n"/>
      <c r="C80" s="198" t="n"/>
      <c r="D80" s="200" t="n"/>
      <c r="E80" s="200" t="n"/>
      <c r="F80" s="201" t="n"/>
      <c r="G80" s="198" t="n"/>
      <c r="H80" s="202" t="n"/>
      <c r="I80" s="201" t="n"/>
      <c r="J80" s="201" t="n"/>
      <c r="K80" s="201" t="n"/>
      <c r="L80" s="201" t="n"/>
      <c r="M80" s="201" t="n"/>
      <c r="N80" s="201">
        <f>IF(ISNUMBER(I80),ROUND(I80-I80/1.081,2),"")</f>
        <v/>
      </c>
      <c r="O80" s="201">
        <f>IF(ISNUMBER(I80),I80-SUM(J80:N80),"")</f>
        <v/>
      </c>
      <c r="P80" s="203">
        <f>IFERROR(IF(AND(ISNUMBER(O80),ISNUMBER(I80),I80&lt;&gt;0),O80/I80,""),"")</f>
        <v/>
      </c>
      <c r="Q80" s="201">
        <f>IF(AND(ISNUMBER(I80),ISNUMBER(S80)),I80*IF(S80&lt;=1,S80,S80/100),IF(OR(I80&lt;&gt;"",S80&lt;&gt;""),"tbd",""))</f>
        <v/>
      </c>
      <c r="R80" s="204" t="n"/>
      <c r="S80" s="205" t="n"/>
      <c r="T80" s="199" t="n"/>
      <c r="U80" s="200" t="n"/>
      <c r="V80" s="200" t="n"/>
      <c r="W80" s="198" t="n"/>
      <c r="X80" s="200" t="n"/>
      <c r="Z80">
        <f>IF(AND(R80="WON",ISNUMBER(I80)),AA80,"")</f>
        <v/>
      </c>
      <c r="AA80">
        <f>IFERROR(I80*1,0)</f>
        <v>0</v>
      </c>
    </row>
    <row r="81" ht="15" customHeight="1">
      <c r="A81" s="198" t="n"/>
      <c r="B81" s="199" t="n"/>
      <c r="C81" s="198" t="n"/>
      <c r="D81" s="200" t="n"/>
      <c r="E81" s="200" t="n"/>
      <c r="F81" s="201" t="n"/>
      <c r="G81" s="198" t="n"/>
      <c r="H81" s="202" t="n"/>
      <c r="I81" s="201" t="n"/>
      <c r="J81" s="201" t="n"/>
      <c r="K81" s="201" t="n"/>
      <c r="L81" s="201" t="n"/>
      <c r="M81" s="201" t="n"/>
      <c r="N81" s="201">
        <f>IF(ISNUMBER(I81),ROUND(I81-I81/1.081,2),"")</f>
        <v/>
      </c>
      <c r="O81" s="201">
        <f>IF(ISNUMBER(I81),I81-SUM(J81:N81),"")</f>
        <v/>
      </c>
      <c r="P81" s="203">
        <f>IFERROR(IF(AND(ISNUMBER(O81),ISNUMBER(I81),I81&lt;&gt;0),O81/I81,""),"")</f>
        <v/>
      </c>
      <c r="Q81" s="201">
        <f>IF(AND(ISNUMBER(I81),ISNUMBER(S81)),I81*IF(S81&lt;=1,S81,S81/100),IF(OR(I81&lt;&gt;"",S81&lt;&gt;""),"tbd",""))</f>
        <v/>
      </c>
      <c r="R81" s="204" t="n"/>
      <c r="S81" s="205" t="n"/>
      <c r="T81" s="199" t="n"/>
      <c r="U81" s="200" t="n"/>
      <c r="V81" s="200" t="n"/>
      <c r="W81" s="198" t="n"/>
      <c r="X81" s="200" t="n"/>
      <c r="Z81">
        <f>IF(AND(R81="WON",ISNUMBER(I81)),AA81,"")</f>
        <v/>
      </c>
      <c r="AA81">
        <f>IFERROR(I81*1,0)</f>
        <v>0</v>
      </c>
    </row>
    <row r="82" ht="15" customHeight="1">
      <c r="A82" s="198" t="n"/>
      <c r="B82" s="199" t="n"/>
      <c r="C82" s="198" t="n"/>
      <c r="D82" s="200" t="n"/>
      <c r="E82" s="200" t="n"/>
      <c r="F82" s="201" t="n"/>
      <c r="G82" s="198" t="n"/>
      <c r="H82" s="202" t="n"/>
      <c r="I82" s="201" t="n"/>
      <c r="J82" s="201" t="n"/>
      <c r="K82" s="201" t="n"/>
      <c r="L82" s="201" t="n"/>
      <c r="M82" s="201" t="n"/>
      <c r="N82" s="201">
        <f>IF(ISNUMBER(I82),ROUND(I82-I82/1.081,2),"")</f>
        <v/>
      </c>
      <c r="O82" s="201">
        <f>IF(ISNUMBER(I82),I82-SUM(J82:N82),"")</f>
        <v/>
      </c>
      <c r="P82" s="203">
        <f>IFERROR(IF(AND(ISNUMBER(O82),ISNUMBER(I82),I82&lt;&gt;0),O82/I82,""),"")</f>
        <v/>
      </c>
      <c r="Q82" s="201">
        <f>IF(AND(ISNUMBER(I82),ISNUMBER(S82)),I82*IF(S82&lt;=1,S82,S82/100),IF(OR(I82&lt;&gt;"",S82&lt;&gt;""),"tbd",""))</f>
        <v/>
      </c>
      <c r="R82" s="204" t="n"/>
      <c r="S82" s="205" t="n"/>
      <c r="T82" s="199" t="n"/>
      <c r="U82" s="200" t="n"/>
      <c r="V82" s="200" t="n"/>
      <c r="W82" s="198" t="n"/>
      <c r="X82" s="200" t="n"/>
      <c r="Z82">
        <f>IF(AND(R82="WON",ISNUMBER(I82)),AA82,"")</f>
        <v/>
      </c>
      <c r="AA82">
        <f>IFERROR(I82*1,0)</f>
        <v>0</v>
      </c>
    </row>
    <row r="83" ht="15" customHeight="1">
      <c r="A83" s="198" t="n"/>
      <c r="B83" s="199" t="n"/>
      <c r="C83" s="198" t="n"/>
      <c r="D83" s="200" t="n"/>
      <c r="E83" s="200" t="n"/>
      <c r="F83" s="201" t="n"/>
      <c r="G83" s="198" t="n"/>
      <c r="H83" s="202" t="n"/>
      <c r="I83" s="201" t="n"/>
      <c r="J83" s="201" t="n"/>
      <c r="K83" s="201" t="n"/>
      <c r="L83" s="201" t="n"/>
      <c r="M83" s="201" t="n"/>
      <c r="N83" s="201">
        <f>IF(ISNUMBER(I83),ROUND(I83-I83/1.081,2),"")</f>
        <v/>
      </c>
      <c r="O83" s="201">
        <f>IF(ISNUMBER(I83),I83-SUM(J83:N83),"")</f>
        <v/>
      </c>
      <c r="P83" s="203">
        <f>IFERROR(IF(AND(ISNUMBER(O83),ISNUMBER(I83),I83&lt;&gt;0),O83/I83,""),"")</f>
        <v/>
      </c>
      <c r="Q83" s="201">
        <f>IF(AND(ISNUMBER(I83),ISNUMBER(S83)),I83*IF(S83&lt;=1,S83,S83/100),IF(OR(I83&lt;&gt;"",S83&lt;&gt;""),"tbd",""))</f>
        <v/>
      </c>
      <c r="R83" s="204" t="n"/>
      <c r="S83" s="205" t="n"/>
      <c r="T83" s="199" t="n"/>
      <c r="U83" s="200" t="n"/>
      <c r="V83" s="200" t="n"/>
      <c r="W83" s="198" t="n"/>
      <c r="X83" s="200" t="n"/>
      <c r="Z83">
        <f>IF(AND(R83="WON",ISNUMBER(I83)),AA83,"")</f>
        <v/>
      </c>
      <c r="AA83">
        <f>IFERROR(I83*1,0)</f>
        <v>0</v>
      </c>
    </row>
    <row r="84" ht="15" customHeight="1">
      <c r="A84" s="198" t="n"/>
      <c r="B84" s="199" t="n"/>
      <c r="C84" s="198" t="n"/>
      <c r="D84" s="200" t="n"/>
      <c r="E84" s="200" t="n"/>
      <c r="F84" s="201" t="n"/>
      <c r="G84" s="198" t="n"/>
      <c r="H84" s="202" t="n"/>
      <c r="I84" s="201" t="n"/>
      <c r="J84" s="201" t="n"/>
      <c r="K84" s="201" t="n"/>
      <c r="L84" s="201" t="n"/>
      <c r="M84" s="201" t="n"/>
      <c r="N84" s="201">
        <f>IF(ISNUMBER(I84),ROUND(I84-I84/1.081,2),"")</f>
        <v/>
      </c>
      <c r="O84" s="201">
        <f>IF(ISNUMBER(I84),I84-SUM(J84:N84),"")</f>
        <v/>
      </c>
      <c r="P84" s="203">
        <f>IFERROR(IF(AND(ISNUMBER(O84),ISNUMBER(I84),I84&lt;&gt;0),O84/I84,""),"")</f>
        <v/>
      </c>
      <c r="Q84" s="201">
        <f>IF(AND(ISNUMBER(I84),ISNUMBER(S84)),I84*IF(S84&lt;=1,S84,S84/100),IF(OR(I84&lt;&gt;"",S84&lt;&gt;""),"tbd",""))</f>
        <v/>
      </c>
      <c r="R84" s="204" t="n"/>
      <c r="S84" s="205" t="n"/>
      <c r="T84" s="199" t="n"/>
      <c r="U84" s="200" t="n"/>
      <c r="V84" s="200" t="n"/>
      <c r="W84" s="198" t="n"/>
      <c r="X84" s="200" t="n"/>
      <c r="Z84">
        <f>IF(AND(R84="WON",ISNUMBER(I84)),AA84,"")</f>
        <v/>
      </c>
      <c r="AA84">
        <f>IFERROR(I84*1,0)</f>
        <v>0</v>
      </c>
    </row>
    <row r="85" ht="15" customHeight="1">
      <c r="A85" s="198" t="n"/>
      <c r="B85" s="199" t="n"/>
      <c r="C85" s="198" t="n"/>
      <c r="D85" s="200" t="n"/>
      <c r="E85" s="200" t="n"/>
      <c r="F85" s="201" t="n"/>
      <c r="G85" s="198" t="n"/>
      <c r="H85" s="202" t="n"/>
      <c r="I85" s="201" t="n"/>
      <c r="J85" s="201" t="n"/>
      <c r="K85" s="201" t="n"/>
      <c r="L85" s="201" t="n"/>
      <c r="M85" s="201" t="n"/>
      <c r="N85" s="201">
        <f>IF(ISNUMBER(I85),ROUND(I85-I85/1.081,2),"")</f>
        <v/>
      </c>
      <c r="O85" s="201">
        <f>IF(ISNUMBER(I85),I85-SUM(J85:N85),"")</f>
        <v/>
      </c>
      <c r="P85" s="203">
        <f>IFERROR(IF(AND(ISNUMBER(O85),ISNUMBER(I85),I85&lt;&gt;0),O85/I85,""),"")</f>
        <v/>
      </c>
      <c r="Q85" s="201">
        <f>IF(AND(ISNUMBER(I85),ISNUMBER(S85)),I85*IF(S85&lt;=1,S85,S85/100),IF(OR(I85&lt;&gt;"",S85&lt;&gt;""),"tbd",""))</f>
        <v/>
      </c>
      <c r="R85" s="204" t="n"/>
      <c r="S85" s="205" t="n"/>
      <c r="T85" s="199" t="n"/>
      <c r="U85" s="200" t="n"/>
      <c r="V85" s="200" t="n"/>
      <c r="W85" s="198" t="n"/>
      <c r="X85" s="200" t="n"/>
      <c r="Z85">
        <f>IF(AND(R85="WON",ISNUMBER(I85)),AA85,"")</f>
        <v/>
      </c>
      <c r="AA85">
        <f>IFERROR(I85*1,0)</f>
        <v>0</v>
      </c>
    </row>
    <row r="86" ht="15" customHeight="1">
      <c r="A86" s="198" t="n"/>
      <c r="B86" s="199" t="n"/>
      <c r="C86" s="198" t="n"/>
      <c r="D86" s="200" t="n"/>
      <c r="E86" s="200" t="n"/>
      <c r="F86" s="201" t="n"/>
      <c r="G86" s="198" t="n"/>
      <c r="H86" s="202" t="n"/>
      <c r="I86" s="201" t="n"/>
      <c r="J86" s="201" t="n"/>
      <c r="K86" s="201" t="n"/>
      <c r="L86" s="201" t="n"/>
      <c r="M86" s="201" t="n"/>
      <c r="N86" s="201">
        <f>IF(ISNUMBER(I86),ROUND(I86-I86/1.081,2),"")</f>
        <v/>
      </c>
      <c r="O86" s="201">
        <f>IF(ISNUMBER(I86),I86-SUM(J86:N86),"")</f>
        <v/>
      </c>
      <c r="P86" s="203">
        <f>IFERROR(IF(AND(ISNUMBER(O86),ISNUMBER(I86),I86&lt;&gt;0),O86/I86,""),"")</f>
        <v/>
      </c>
      <c r="Q86" s="201">
        <f>IF(AND(ISNUMBER(I86),ISNUMBER(S86)),I86*IF(S86&lt;=1,S86,S86/100),IF(OR(I86&lt;&gt;"",S86&lt;&gt;""),"tbd",""))</f>
        <v/>
      </c>
      <c r="R86" s="204" t="n"/>
      <c r="S86" s="205" t="n"/>
      <c r="T86" s="199" t="n"/>
      <c r="U86" s="200" t="n"/>
      <c r="V86" s="200" t="n"/>
      <c r="W86" s="198" t="n"/>
      <c r="X86" s="200" t="n"/>
      <c r="Z86">
        <f>IF(AND(R86="WON",ISNUMBER(I86)),AA86,"")</f>
        <v/>
      </c>
      <c r="AA86">
        <f>IFERROR(I86*1,0)</f>
        <v>0</v>
      </c>
    </row>
    <row r="87" ht="15" customHeight="1">
      <c r="A87" s="198" t="n"/>
      <c r="B87" s="199" t="n"/>
      <c r="C87" s="198" t="n"/>
      <c r="D87" s="200" t="n"/>
      <c r="E87" s="200" t="n"/>
      <c r="F87" s="201" t="n"/>
      <c r="G87" s="198" t="n"/>
      <c r="H87" s="202" t="n"/>
      <c r="I87" s="201" t="n"/>
      <c r="J87" s="201" t="n"/>
      <c r="K87" s="201" t="n"/>
      <c r="L87" s="201" t="n"/>
      <c r="M87" s="201" t="n"/>
      <c r="N87" s="201">
        <f>IF(ISNUMBER(I87),ROUND(I87-I87/1.081,2),"")</f>
        <v/>
      </c>
      <c r="O87" s="201">
        <f>IF(ISNUMBER(I87),I87-SUM(J87:N87),"")</f>
        <v/>
      </c>
      <c r="P87" s="203">
        <f>IFERROR(IF(AND(ISNUMBER(O87),ISNUMBER(I87),I87&lt;&gt;0),O87/I87,""),"")</f>
        <v/>
      </c>
      <c r="Q87" s="201">
        <f>IF(AND(ISNUMBER(I87),ISNUMBER(S87)),I87*IF(S87&lt;=1,S87,S87/100),IF(OR(I87&lt;&gt;"",S87&lt;&gt;""),"tbd",""))</f>
        <v/>
      </c>
      <c r="R87" s="204" t="n"/>
      <c r="S87" s="205" t="n"/>
      <c r="T87" s="199" t="n"/>
      <c r="U87" s="200" t="n"/>
      <c r="V87" s="200" t="n"/>
      <c r="W87" s="198" t="n"/>
      <c r="X87" s="200" t="n"/>
      <c r="Z87">
        <f>IF(AND(R87="WON",ISNUMBER(I87)),AA87,"")</f>
        <v/>
      </c>
      <c r="AA87">
        <f>IFERROR(I87*1,0)</f>
        <v>0</v>
      </c>
    </row>
    <row r="88" ht="15" customHeight="1">
      <c r="A88" s="198" t="n"/>
      <c r="B88" s="199" t="n"/>
      <c r="C88" s="198" t="n"/>
      <c r="D88" s="200" t="n"/>
      <c r="E88" s="200" t="n"/>
      <c r="F88" s="201" t="n"/>
      <c r="G88" s="198" t="n"/>
      <c r="H88" s="202" t="n"/>
      <c r="I88" s="201" t="n"/>
      <c r="J88" s="201" t="n"/>
      <c r="K88" s="201" t="n"/>
      <c r="L88" s="201" t="n"/>
      <c r="M88" s="201" t="n"/>
      <c r="N88" s="201">
        <f>IF(ISNUMBER(I88),ROUND(I88-I88/1.081,2),"")</f>
        <v/>
      </c>
      <c r="O88" s="201">
        <f>IF(ISNUMBER(I88),I88-SUM(J88:N88),"")</f>
        <v/>
      </c>
      <c r="P88" s="203">
        <f>IFERROR(IF(AND(ISNUMBER(O88),ISNUMBER(I88),I88&lt;&gt;0),O88/I88,""),"")</f>
        <v/>
      </c>
      <c r="Q88" s="201">
        <f>IF(AND(ISNUMBER(I88),ISNUMBER(S88)),I88*IF(S88&lt;=1,S88,S88/100),IF(OR(I88&lt;&gt;"",S88&lt;&gt;""),"tbd",""))</f>
        <v/>
      </c>
      <c r="R88" s="204" t="n"/>
      <c r="S88" s="205" t="n"/>
      <c r="T88" s="199" t="n"/>
      <c r="U88" s="200" t="n"/>
      <c r="V88" s="200" t="n"/>
      <c r="W88" s="198" t="n"/>
      <c r="X88" s="200" t="n"/>
      <c r="Z88">
        <f>IF(AND(R88="WON",ISNUMBER(I88)),AA88,"")</f>
        <v/>
      </c>
      <c r="AA88">
        <f>IFERROR(I88*1,0)</f>
        <v>0</v>
      </c>
    </row>
    <row r="89" ht="15" customHeight="1">
      <c r="A89" s="198" t="n"/>
      <c r="B89" s="199" t="n"/>
      <c r="C89" s="198" t="n"/>
      <c r="D89" s="200" t="n"/>
      <c r="E89" s="200" t="n"/>
      <c r="F89" s="201" t="n"/>
      <c r="G89" s="198" t="n"/>
      <c r="H89" s="202" t="n"/>
      <c r="I89" s="201" t="n"/>
      <c r="J89" s="201" t="n"/>
      <c r="K89" s="201" t="n"/>
      <c r="L89" s="201" t="n"/>
      <c r="M89" s="201" t="n"/>
      <c r="N89" s="201">
        <f>IF(ISNUMBER(I89),ROUND(I89-I89/1.081,2),"")</f>
        <v/>
      </c>
      <c r="O89" s="201">
        <f>IF(ISNUMBER(I89),I89-SUM(J89:N89),"")</f>
        <v/>
      </c>
      <c r="P89" s="203">
        <f>IFERROR(IF(AND(ISNUMBER(O89),ISNUMBER(I89),I89&lt;&gt;0),O89/I89,""),"")</f>
        <v/>
      </c>
      <c r="Q89" s="201">
        <f>IF(AND(ISNUMBER(I89),ISNUMBER(S89)),I89*IF(S89&lt;=1,S89,S89/100),IF(OR(I89&lt;&gt;"",S89&lt;&gt;""),"tbd",""))</f>
        <v/>
      </c>
      <c r="R89" s="204" t="n"/>
      <c r="S89" s="205" t="n"/>
      <c r="T89" s="199" t="n"/>
      <c r="U89" s="200" t="n"/>
      <c r="V89" s="200" t="n"/>
      <c r="W89" s="198" t="n"/>
      <c r="X89" s="200" t="n"/>
      <c r="Z89">
        <f>IF(AND(R89="WON",ISNUMBER(I89)),AA89,"")</f>
        <v/>
      </c>
      <c r="AA89">
        <f>IFERROR(I89*1,0)</f>
        <v>0</v>
      </c>
    </row>
    <row r="90" ht="15" customHeight="1">
      <c r="A90" s="198" t="n"/>
      <c r="B90" s="199" t="n"/>
      <c r="C90" s="198" t="n"/>
      <c r="D90" s="200" t="n"/>
      <c r="E90" s="200" t="n"/>
      <c r="F90" s="201" t="n"/>
      <c r="G90" s="198" t="n"/>
      <c r="H90" s="202" t="n"/>
      <c r="I90" s="201" t="n"/>
      <c r="J90" s="201" t="n"/>
      <c r="K90" s="201" t="n"/>
      <c r="L90" s="201" t="n"/>
      <c r="M90" s="201" t="n"/>
      <c r="N90" s="201">
        <f>IF(ISNUMBER(I90),ROUND(I90-I90/1.081,2),"")</f>
        <v/>
      </c>
      <c r="O90" s="201">
        <f>IF(ISNUMBER(I90),I90-SUM(J90:N90),"")</f>
        <v/>
      </c>
      <c r="P90" s="203">
        <f>IFERROR(IF(AND(ISNUMBER(O90),ISNUMBER(I90),I90&lt;&gt;0),O90/I90,""),"")</f>
        <v/>
      </c>
      <c r="Q90" s="201">
        <f>IF(AND(ISNUMBER(I90),ISNUMBER(S90)),I90*IF(S90&lt;=1,S90,S90/100),IF(OR(I90&lt;&gt;"",S90&lt;&gt;""),"tbd",""))</f>
        <v/>
      </c>
      <c r="R90" s="204" t="n"/>
      <c r="S90" s="205" t="n"/>
      <c r="T90" s="199" t="n"/>
      <c r="U90" s="200" t="n"/>
      <c r="V90" s="200" t="n"/>
      <c r="W90" s="198" t="n"/>
      <c r="X90" s="200" t="n"/>
      <c r="Z90">
        <f>IF(AND(R90="WON",ISNUMBER(I90)),AA90,"")</f>
        <v/>
      </c>
      <c r="AA90">
        <f>IFERROR(I90*1,0)</f>
        <v>0</v>
      </c>
    </row>
    <row r="91" ht="15" customHeight="1">
      <c r="A91" s="198" t="n"/>
      <c r="B91" s="199" t="n"/>
      <c r="C91" s="198" t="n"/>
      <c r="D91" s="200" t="n"/>
      <c r="E91" s="200" t="n"/>
      <c r="F91" s="201" t="n"/>
      <c r="G91" s="198" t="n"/>
      <c r="H91" s="202" t="n"/>
      <c r="I91" s="201" t="n"/>
      <c r="J91" s="201" t="n"/>
      <c r="K91" s="201" t="n"/>
      <c r="L91" s="201" t="n"/>
      <c r="M91" s="201" t="n"/>
      <c r="N91" s="201">
        <f>IF(ISNUMBER(I91),ROUND(I91-I91/1.081,2),"")</f>
        <v/>
      </c>
      <c r="O91" s="201">
        <f>IF(ISNUMBER(I91),I91-SUM(J91:N91),"")</f>
        <v/>
      </c>
      <c r="P91" s="203">
        <f>IFERROR(IF(AND(ISNUMBER(O91),ISNUMBER(I91),I91&lt;&gt;0),O91/I91,""),"")</f>
        <v/>
      </c>
      <c r="Q91" s="201">
        <f>IF(AND(ISNUMBER(I91),ISNUMBER(S91)),I91*IF(S91&lt;=1,S91,S91/100),IF(OR(I91&lt;&gt;"",S91&lt;&gt;""),"tbd",""))</f>
        <v/>
      </c>
      <c r="R91" s="204" t="n"/>
      <c r="S91" s="205" t="n"/>
      <c r="T91" s="199" t="n"/>
      <c r="U91" s="200" t="n"/>
      <c r="V91" s="200" t="n"/>
      <c r="W91" s="198" t="n"/>
      <c r="X91" s="200" t="n"/>
      <c r="Z91">
        <f>IF(AND(R91="WON",ISNUMBER(I91)),AA91,"")</f>
        <v/>
      </c>
      <c r="AA91">
        <f>IFERROR(I91*1,0)</f>
        <v>0</v>
      </c>
    </row>
    <row r="92" ht="15" customHeight="1">
      <c r="A92" s="198" t="n"/>
      <c r="B92" s="199" t="n"/>
      <c r="C92" s="198" t="n"/>
      <c r="D92" s="200" t="n"/>
      <c r="E92" s="200" t="n"/>
      <c r="F92" s="201" t="n"/>
      <c r="G92" s="198" t="n"/>
      <c r="H92" s="202" t="n"/>
      <c r="I92" s="201" t="n"/>
      <c r="J92" s="201" t="n"/>
      <c r="K92" s="201" t="n"/>
      <c r="L92" s="201" t="n"/>
      <c r="M92" s="201" t="n"/>
      <c r="N92" s="201">
        <f>IF(ISNUMBER(I92),ROUND(I92-I92/1.081,2),"")</f>
        <v/>
      </c>
      <c r="O92" s="201">
        <f>IF(ISNUMBER(I92),I92-SUM(J92:N92),"")</f>
        <v/>
      </c>
      <c r="P92" s="203">
        <f>IFERROR(IF(AND(ISNUMBER(O92),ISNUMBER(I92),I92&lt;&gt;0),O92/I92,""),"")</f>
        <v/>
      </c>
      <c r="Q92" s="201">
        <f>IF(AND(ISNUMBER(I92),ISNUMBER(S92)),I92*IF(S92&lt;=1,S92,S92/100),IF(OR(I92&lt;&gt;"",S92&lt;&gt;""),"tbd",""))</f>
        <v/>
      </c>
      <c r="R92" s="204" t="n"/>
      <c r="S92" s="205" t="n"/>
      <c r="T92" s="199" t="n"/>
      <c r="U92" s="200" t="n"/>
      <c r="V92" s="200" t="n"/>
      <c r="W92" s="198" t="n"/>
      <c r="X92" s="200" t="n"/>
      <c r="Z92">
        <f>IF(AND(R92="WON",ISNUMBER(I92)),AA92,"")</f>
        <v/>
      </c>
      <c r="AA92">
        <f>IFERROR(I92*1,0)</f>
        <v>0</v>
      </c>
    </row>
    <row r="93" ht="15" customHeight="1">
      <c r="A93" s="198" t="n"/>
      <c r="B93" s="199" t="n"/>
      <c r="C93" s="198" t="n"/>
      <c r="D93" s="200" t="n"/>
      <c r="E93" s="200" t="n"/>
      <c r="F93" s="201" t="n"/>
      <c r="G93" s="198" t="n"/>
      <c r="H93" s="202" t="n"/>
      <c r="I93" s="201" t="n"/>
      <c r="J93" s="201" t="n"/>
      <c r="K93" s="201" t="n"/>
      <c r="L93" s="201" t="n"/>
      <c r="M93" s="201" t="n"/>
      <c r="N93" s="201">
        <f>IF(ISNUMBER(I93),ROUND(I93-I93/1.081,2),"")</f>
        <v/>
      </c>
      <c r="O93" s="201">
        <f>IF(ISNUMBER(I93),I93-SUM(J93:N93),"")</f>
        <v/>
      </c>
      <c r="P93" s="203">
        <f>IFERROR(IF(AND(ISNUMBER(O93),ISNUMBER(I93),I93&lt;&gt;0),O93/I93,""),"")</f>
        <v/>
      </c>
      <c r="Q93" s="201">
        <f>IF(AND(ISNUMBER(I93),ISNUMBER(S93)),I93*IF(S93&lt;=1,S93,S93/100),IF(OR(I93&lt;&gt;"",S93&lt;&gt;""),"tbd",""))</f>
        <v/>
      </c>
      <c r="R93" s="204" t="n"/>
      <c r="S93" s="205" t="n"/>
      <c r="T93" s="199" t="n"/>
      <c r="U93" s="200" t="n"/>
      <c r="V93" s="200" t="n"/>
      <c r="W93" s="198" t="n"/>
      <c r="X93" s="200" t="n"/>
      <c r="Z93">
        <f>IF(AND(R93="WON",ISNUMBER(I93)),AA93,"")</f>
        <v/>
      </c>
      <c r="AA93">
        <f>IFERROR(I93*1,0)</f>
        <v>0</v>
      </c>
    </row>
    <row r="94" ht="15" customHeight="1">
      <c r="A94" s="198" t="n"/>
      <c r="B94" s="199" t="n"/>
      <c r="C94" s="198" t="n"/>
      <c r="D94" s="200" t="n"/>
      <c r="E94" s="200" t="n"/>
      <c r="F94" s="201" t="n"/>
      <c r="G94" s="198" t="n"/>
      <c r="H94" s="202" t="n"/>
      <c r="I94" s="201" t="n"/>
      <c r="J94" s="201" t="n"/>
      <c r="K94" s="201" t="n"/>
      <c r="L94" s="201" t="n"/>
      <c r="M94" s="201" t="n"/>
      <c r="N94" s="201">
        <f>IF(ISNUMBER(I94),ROUND(I94-I94/1.081,2),"")</f>
        <v/>
      </c>
      <c r="O94" s="201">
        <f>IF(ISNUMBER(I94),I94-SUM(J94:N94),"")</f>
        <v/>
      </c>
      <c r="P94" s="203">
        <f>IFERROR(IF(AND(ISNUMBER(O94),ISNUMBER(I94),I94&lt;&gt;0),O94/I94,""),"")</f>
        <v/>
      </c>
      <c r="Q94" s="201">
        <f>IF(AND(ISNUMBER(I94),ISNUMBER(S94)),I94*IF(S94&lt;=1,S94,S94/100),IF(OR(I94&lt;&gt;"",S94&lt;&gt;""),"tbd",""))</f>
        <v/>
      </c>
      <c r="R94" s="204" t="n"/>
      <c r="S94" s="205" t="n"/>
      <c r="T94" s="199" t="n"/>
      <c r="U94" s="200" t="n"/>
      <c r="V94" s="200" t="n"/>
      <c r="W94" s="198" t="n"/>
      <c r="X94" s="200" t="n"/>
      <c r="Z94">
        <f>IF(AND(R94="WON",ISNUMBER(I94)),AA94,"")</f>
        <v/>
      </c>
      <c r="AA94">
        <f>IFERROR(I94*1,0)</f>
        <v>0</v>
      </c>
    </row>
    <row r="95" ht="15" customHeight="1">
      <c r="A95" s="198" t="n"/>
      <c r="B95" s="199" t="n"/>
      <c r="C95" s="198" t="n"/>
      <c r="D95" s="200" t="n"/>
      <c r="E95" s="200" t="n"/>
      <c r="F95" s="201" t="n"/>
      <c r="G95" s="198" t="n"/>
      <c r="H95" s="202" t="n"/>
      <c r="I95" s="201" t="n"/>
      <c r="J95" s="201" t="n"/>
      <c r="K95" s="201" t="n"/>
      <c r="L95" s="201" t="n"/>
      <c r="M95" s="201" t="n"/>
      <c r="N95" s="201">
        <f>IF(ISNUMBER(I95),ROUND(I95-I95/1.081,2),"")</f>
        <v/>
      </c>
      <c r="O95" s="201">
        <f>IF(ISNUMBER(I95),I95-SUM(J95:N95),"")</f>
        <v/>
      </c>
      <c r="P95" s="203">
        <f>IFERROR(IF(AND(ISNUMBER(O95),ISNUMBER(I95),I95&lt;&gt;0),O95/I95,""),"")</f>
        <v/>
      </c>
      <c r="Q95" s="201">
        <f>IF(AND(ISNUMBER(I95),ISNUMBER(S95)),I95*IF(S95&lt;=1,S95,S95/100),IF(OR(I95&lt;&gt;"",S95&lt;&gt;""),"tbd",""))</f>
        <v/>
      </c>
      <c r="R95" s="204" t="n"/>
      <c r="S95" s="205" t="n"/>
      <c r="T95" s="199" t="n"/>
      <c r="U95" s="200" t="n"/>
      <c r="V95" s="200" t="n"/>
      <c r="W95" s="198" t="n"/>
      <c r="X95" s="200" t="n"/>
      <c r="Z95">
        <f>IF(AND(R95="WON",ISNUMBER(I95)),AA95,"")</f>
        <v/>
      </c>
      <c r="AA95">
        <f>IFERROR(I95*1,0)</f>
        <v>0</v>
      </c>
    </row>
    <row r="96" ht="15" customHeight="1">
      <c r="A96" s="198" t="n"/>
      <c r="B96" s="199" t="n"/>
      <c r="C96" s="198" t="n"/>
      <c r="D96" s="200" t="n"/>
      <c r="E96" s="200" t="n"/>
      <c r="F96" s="201" t="n"/>
      <c r="G96" s="198" t="n"/>
      <c r="H96" s="202" t="n"/>
      <c r="I96" s="201" t="n"/>
      <c r="J96" s="201" t="n"/>
      <c r="K96" s="201" t="n"/>
      <c r="L96" s="201" t="n"/>
      <c r="M96" s="201" t="n"/>
      <c r="N96" s="201">
        <f>IF(ISNUMBER(I96),ROUND(I96-I96/1.081,2),"")</f>
        <v/>
      </c>
      <c r="O96" s="201">
        <f>IF(ISNUMBER(I96),I96-SUM(J96:N96),"")</f>
        <v/>
      </c>
      <c r="P96" s="203">
        <f>IFERROR(IF(AND(ISNUMBER(O96),ISNUMBER(I96),I96&lt;&gt;0),O96/I96,""),"")</f>
        <v/>
      </c>
      <c r="Q96" s="201">
        <f>IF(AND(ISNUMBER(I96),ISNUMBER(S96)),I96*IF(S96&lt;=1,S96,S96/100),IF(OR(I96&lt;&gt;"",S96&lt;&gt;""),"tbd",""))</f>
        <v/>
      </c>
      <c r="R96" s="204" t="n"/>
      <c r="S96" s="205" t="n"/>
      <c r="T96" s="199" t="n"/>
      <c r="U96" s="200" t="n"/>
      <c r="V96" s="200" t="n"/>
      <c r="W96" s="198" t="n"/>
      <c r="X96" s="200" t="n"/>
      <c r="Z96">
        <f>IF(AND(R96="WON",ISNUMBER(I96)),AA96,"")</f>
        <v/>
      </c>
      <c r="AA96">
        <f>IFERROR(I96*1,0)</f>
        <v>0</v>
      </c>
    </row>
    <row r="97" ht="15" customHeight="1">
      <c r="A97" s="198" t="n"/>
      <c r="B97" s="199" t="n"/>
      <c r="C97" s="198" t="n"/>
      <c r="D97" s="200" t="n"/>
      <c r="E97" s="200" t="n"/>
      <c r="F97" s="201" t="n"/>
      <c r="G97" s="198" t="n"/>
      <c r="H97" s="202" t="n"/>
      <c r="I97" s="201" t="n"/>
      <c r="J97" s="201" t="n"/>
      <c r="K97" s="201" t="n"/>
      <c r="L97" s="201" t="n"/>
      <c r="M97" s="201" t="n"/>
      <c r="N97" s="201">
        <f>IF(ISNUMBER(I97),ROUND(I97-I97/1.081,2),"")</f>
        <v/>
      </c>
      <c r="O97" s="201">
        <f>IF(ISNUMBER(I97),I97-SUM(J97:N97),"")</f>
        <v/>
      </c>
      <c r="P97" s="203">
        <f>IFERROR(IF(AND(ISNUMBER(O97),ISNUMBER(I97),I97&lt;&gt;0),O97/I97,""),"")</f>
        <v/>
      </c>
      <c r="Q97" s="201">
        <f>IF(AND(ISNUMBER(I97),ISNUMBER(S97)),I97*IF(S97&lt;=1,S97,S97/100),IF(OR(I97&lt;&gt;"",S97&lt;&gt;""),"tbd",""))</f>
        <v/>
      </c>
      <c r="R97" s="204" t="n"/>
      <c r="S97" s="205" t="n"/>
      <c r="T97" s="199" t="n"/>
      <c r="U97" s="200" t="n"/>
      <c r="V97" s="200" t="n"/>
      <c r="W97" s="198" t="n"/>
      <c r="X97" s="200" t="n"/>
      <c r="Z97">
        <f>IF(AND(R97="WON",ISNUMBER(I97)),AA97,"")</f>
        <v/>
      </c>
      <c r="AA97">
        <f>IFERROR(I97*1,0)</f>
        <v>0</v>
      </c>
    </row>
    <row r="98" ht="15" customHeight="1">
      <c r="A98" s="198" t="n"/>
      <c r="B98" s="199" t="n"/>
      <c r="C98" s="198" t="n"/>
      <c r="D98" s="200" t="n"/>
      <c r="E98" s="200" t="n"/>
      <c r="F98" s="201" t="n"/>
      <c r="G98" s="198" t="n"/>
      <c r="H98" s="202" t="n"/>
      <c r="I98" s="201" t="n"/>
      <c r="J98" s="201" t="n"/>
      <c r="K98" s="201" t="n"/>
      <c r="L98" s="201" t="n"/>
      <c r="M98" s="201" t="n"/>
      <c r="N98" s="201">
        <f>IF(ISNUMBER(I98),ROUND(I98-I98/1.081,2),"")</f>
        <v/>
      </c>
      <c r="O98" s="201">
        <f>IF(ISNUMBER(I98),I98-SUM(J98:N98),"")</f>
        <v/>
      </c>
      <c r="P98" s="203">
        <f>IFERROR(IF(AND(ISNUMBER(O98),ISNUMBER(I98),I98&lt;&gt;0),O98/I98,""),"")</f>
        <v/>
      </c>
      <c r="Q98" s="201">
        <f>IF(AND(ISNUMBER(I98),ISNUMBER(S98)),I98*IF(S98&lt;=1,S98,S98/100),IF(OR(I98&lt;&gt;"",S98&lt;&gt;""),"tbd",""))</f>
        <v/>
      </c>
      <c r="R98" s="204" t="n"/>
      <c r="S98" s="205" t="n"/>
      <c r="T98" s="199" t="n"/>
      <c r="U98" s="200" t="n"/>
      <c r="V98" s="200" t="n"/>
      <c r="W98" s="198" t="n"/>
      <c r="X98" s="200" t="n"/>
      <c r="Z98">
        <f>IF(AND(R98="WON",ISNUMBER(I98)),AA98,"")</f>
        <v/>
      </c>
      <c r="AA98">
        <f>IFERROR(I98*1,0)</f>
        <v>0</v>
      </c>
    </row>
    <row r="99" ht="15" customHeight="1">
      <c r="A99" s="198" t="n"/>
      <c r="B99" s="199" t="n"/>
      <c r="C99" s="198" t="n"/>
      <c r="D99" s="200" t="n"/>
      <c r="E99" s="200" t="n"/>
      <c r="F99" s="201" t="n"/>
      <c r="G99" s="198" t="n"/>
      <c r="H99" s="202" t="n"/>
      <c r="I99" s="201" t="n"/>
      <c r="J99" s="201" t="n"/>
      <c r="K99" s="201" t="n"/>
      <c r="L99" s="201" t="n"/>
      <c r="M99" s="201" t="n"/>
      <c r="N99" s="201">
        <f>IF(ISNUMBER(I99),ROUND(I99-I99/1.081,2),"")</f>
        <v/>
      </c>
      <c r="O99" s="201">
        <f>IF(ISNUMBER(I99),I99-SUM(J99:N99),"")</f>
        <v/>
      </c>
      <c r="P99" s="203">
        <f>IFERROR(IF(AND(ISNUMBER(O99),ISNUMBER(I99),I99&lt;&gt;0),O99/I99,""),"")</f>
        <v/>
      </c>
      <c r="Q99" s="201">
        <f>IF(AND(ISNUMBER(I99),ISNUMBER(S99)),I99*IF(S99&lt;=1,S99,S99/100),IF(OR(I99&lt;&gt;"",S99&lt;&gt;""),"tbd",""))</f>
        <v/>
      </c>
      <c r="R99" s="204" t="n"/>
      <c r="S99" s="205" t="n"/>
      <c r="T99" s="199" t="n"/>
      <c r="U99" s="200" t="n"/>
      <c r="V99" s="200" t="n"/>
      <c r="W99" s="198" t="n"/>
      <c r="X99" s="200" t="n"/>
      <c r="Z99">
        <f>IF(AND(R99="WON",ISNUMBER(I99)),AA99,"")</f>
        <v/>
      </c>
      <c r="AA99">
        <f>IFERROR(I99*1,0)</f>
        <v>0</v>
      </c>
    </row>
    <row r="100" ht="15" customHeight="1">
      <c r="A100" s="198" t="n"/>
      <c r="B100" s="199" t="n"/>
      <c r="C100" s="198" t="n"/>
      <c r="D100" s="200" t="n"/>
      <c r="E100" s="200" t="n"/>
      <c r="F100" s="201" t="n"/>
      <c r="G100" s="198" t="n"/>
      <c r="H100" s="202" t="n"/>
      <c r="I100" s="201" t="n"/>
      <c r="J100" s="201" t="n"/>
      <c r="K100" s="201" t="n"/>
      <c r="L100" s="201" t="n"/>
      <c r="M100" s="201" t="n"/>
      <c r="N100" s="201">
        <f>IF(ISNUMBER(I100),ROUND(I100-I100/1.081,2),"")</f>
        <v/>
      </c>
      <c r="O100" s="201">
        <f>IF(ISNUMBER(I100),I100-SUM(J100:N100),"")</f>
        <v/>
      </c>
      <c r="P100" s="203">
        <f>IFERROR(IF(AND(ISNUMBER(O100),ISNUMBER(I100),I100&lt;&gt;0),O100/I100,""),"")</f>
        <v/>
      </c>
      <c r="Q100" s="201">
        <f>IF(AND(ISNUMBER(I100),ISNUMBER(S100)),I100*IF(S100&lt;=1,S100,S100/100),IF(OR(I100&lt;&gt;"",S100&lt;&gt;""),"tbd",""))</f>
        <v/>
      </c>
      <c r="R100" s="204" t="n"/>
      <c r="S100" s="205" t="n"/>
      <c r="T100" s="199" t="n"/>
      <c r="U100" s="200" t="n"/>
      <c r="V100" s="200" t="n"/>
      <c r="W100" s="198" t="n"/>
      <c r="X100" s="200" t="n"/>
      <c r="Z100">
        <f>IF(AND(R100="WON",ISNUMBER(I100)),AA100,"")</f>
        <v/>
      </c>
      <c r="AA100">
        <f>IFERROR(I100*1,0)</f>
        <v>0</v>
      </c>
    </row>
    <row r="101" ht="15" customHeight="1">
      <c r="A101" s="198" t="n"/>
      <c r="B101" s="199" t="n"/>
      <c r="C101" s="198" t="n"/>
      <c r="D101" s="200" t="n"/>
      <c r="E101" s="200" t="n"/>
      <c r="F101" s="201" t="n"/>
      <c r="G101" s="198" t="n"/>
      <c r="H101" s="202" t="n"/>
      <c r="I101" s="201" t="n"/>
      <c r="J101" s="201" t="n"/>
      <c r="K101" s="201" t="n"/>
      <c r="L101" s="201" t="n"/>
      <c r="M101" s="201" t="n"/>
      <c r="N101" s="201">
        <f>IF(ISNUMBER(I101),ROUND(I101-I101/1.081,2),"")</f>
        <v/>
      </c>
      <c r="O101" s="201">
        <f>IF(ISNUMBER(I101),I101-SUM(J101:N101),"")</f>
        <v/>
      </c>
      <c r="P101" s="203">
        <f>IFERROR(IF(AND(ISNUMBER(O101),ISNUMBER(I101),I101&lt;&gt;0),O101/I101,""),"")</f>
        <v/>
      </c>
      <c r="Q101" s="201">
        <f>IF(AND(ISNUMBER(I101),ISNUMBER(S101)),I101*IF(S101&lt;=1,S101,S101/100),IF(OR(I101&lt;&gt;"",S101&lt;&gt;""),"tbd",""))</f>
        <v/>
      </c>
      <c r="R101" s="204" t="n"/>
      <c r="S101" s="205" t="n"/>
      <c r="T101" s="199" t="n"/>
      <c r="U101" s="200" t="n"/>
      <c r="V101" s="200" t="n"/>
      <c r="W101" s="198" t="n"/>
      <c r="X101" s="200" t="n"/>
      <c r="Z101">
        <f>IF(AND(R101="WON",ISNUMBER(I101)),AA101,"")</f>
        <v/>
      </c>
      <c r="AA101">
        <f>IFERROR(I101*1,0)</f>
        <v>0</v>
      </c>
    </row>
    <row r="102" ht="15" customHeight="1">
      <c r="A102" s="198" t="n"/>
      <c r="B102" s="199" t="n"/>
      <c r="C102" s="198" t="n"/>
      <c r="D102" s="200" t="n"/>
      <c r="E102" s="200" t="n"/>
      <c r="F102" s="201" t="n"/>
      <c r="G102" s="198" t="n"/>
      <c r="H102" s="202" t="n"/>
      <c r="I102" s="201" t="n"/>
      <c r="J102" s="201" t="n"/>
      <c r="K102" s="201" t="n"/>
      <c r="L102" s="201" t="n"/>
      <c r="M102" s="201" t="n"/>
      <c r="N102" s="201">
        <f>IF(ISNUMBER(I102),ROUND(I102-I102/1.081,2),"")</f>
        <v/>
      </c>
      <c r="O102" s="201">
        <f>IF(ISNUMBER(I102),I102-SUM(J102:N102),"")</f>
        <v/>
      </c>
      <c r="P102" s="203">
        <f>IFERROR(IF(AND(ISNUMBER(O102),ISNUMBER(I102),I102&lt;&gt;0),O102/I102,""),"")</f>
        <v/>
      </c>
      <c r="Q102" s="201">
        <f>IF(AND(ISNUMBER(I102),ISNUMBER(S102)),I102*IF(S102&lt;=1,S102,S102/100),IF(OR(I102&lt;&gt;"",S102&lt;&gt;""),"tbd",""))</f>
        <v/>
      </c>
      <c r="R102" s="204" t="n"/>
      <c r="S102" s="205" t="n"/>
      <c r="T102" s="199" t="n"/>
      <c r="U102" s="200" t="n"/>
      <c r="V102" s="200" t="n"/>
      <c r="W102" s="198" t="n"/>
      <c r="X102" s="200" t="n"/>
      <c r="Z102">
        <f>IF(AND(R102="WON",ISNUMBER(I102)),AA102,"")</f>
        <v/>
      </c>
      <c r="AA102">
        <f>IFERROR(I102*1,0)</f>
        <v>0</v>
      </c>
    </row>
    <row r="103" ht="15" customHeight="1">
      <c r="A103" s="198" t="n"/>
      <c r="B103" s="199" t="n"/>
      <c r="C103" s="198" t="n"/>
      <c r="D103" s="200" t="n"/>
      <c r="E103" s="200" t="n"/>
      <c r="F103" s="201" t="n"/>
      <c r="G103" s="198" t="n"/>
      <c r="H103" s="202" t="n"/>
      <c r="I103" s="201" t="n"/>
      <c r="J103" s="201" t="n"/>
      <c r="K103" s="201" t="n"/>
      <c r="L103" s="201" t="n"/>
      <c r="M103" s="201" t="n"/>
      <c r="N103" s="201">
        <f>IF(ISNUMBER(I103),ROUND(I103-I103/1.081,2),"")</f>
        <v/>
      </c>
      <c r="O103" s="201">
        <f>IF(ISNUMBER(I103),I103-SUM(J103:N103),"")</f>
        <v/>
      </c>
      <c r="P103" s="203">
        <f>IFERROR(IF(AND(ISNUMBER(O103),ISNUMBER(I103),I103&lt;&gt;0),O103/I103,""),"")</f>
        <v/>
      </c>
      <c r="Q103" s="201">
        <f>IF(AND(ISNUMBER(I103),ISNUMBER(S103)),I103*IF(S103&lt;=1,S103,S103/100),IF(OR(I103&lt;&gt;"",S103&lt;&gt;""),"tbd",""))</f>
        <v/>
      </c>
      <c r="R103" s="204" t="n"/>
      <c r="S103" s="205" t="n"/>
      <c r="T103" s="199" t="n"/>
      <c r="U103" s="200" t="n"/>
      <c r="V103" s="200" t="n"/>
      <c r="W103" s="198" t="n"/>
      <c r="X103" s="200" t="n"/>
      <c r="Z103">
        <f>IF(AND(R103="WON",ISNUMBER(I103)),AA103,"")</f>
        <v/>
      </c>
      <c r="AA103">
        <f>IFERROR(I103*1,0)</f>
        <v>0</v>
      </c>
    </row>
    <row r="104" ht="15" customHeight="1">
      <c r="A104" s="198" t="n"/>
      <c r="B104" s="199" t="n"/>
      <c r="C104" s="198" t="n"/>
      <c r="D104" s="200" t="n"/>
      <c r="E104" s="200" t="n"/>
      <c r="F104" s="201" t="n"/>
      <c r="G104" s="198" t="n"/>
      <c r="H104" s="202" t="n"/>
      <c r="I104" s="201" t="n"/>
      <c r="J104" s="201" t="n"/>
      <c r="K104" s="201" t="n"/>
      <c r="L104" s="201" t="n"/>
      <c r="M104" s="201" t="n"/>
      <c r="N104" s="201">
        <f>IF(ISNUMBER(I104),ROUND(I104-I104/1.081,2),"")</f>
        <v/>
      </c>
      <c r="O104" s="201">
        <f>IF(ISNUMBER(I104),I104-SUM(J104:N104),"")</f>
        <v/>
      </c>
      <c r="P104" s="203">
        <f>IFERROR(IF(AND(ISNUMBER(O104),ISNUMBER(I104),I104&lt;&gt;0),O104/I104,""),"")</f>
        <v/>
      </c>
      <c r="Q104" s="201">
        <f>IF(AND(ISNUMBER(I104),ISNUMBER(S104)),I104*IF(S104&lt;=1,S104,S104/100),IF(OR(I104&lt;&gt;"",S104&lt;&gt;""),"tbd",""))</f>
        <v/>
      </c>
      <c r="R104" s="204" t="n"/>
      <c r="S104" s="205" t="n"/>
      <c r="T104" s="199" t="n"/>
      <c r="U104" s="200" t="n"/>
      <c r="V104" s="200" t="n"/>
      <c r="W104" s="198" t="n"/>
      <c r="X104" s="200" t="n"/>
      <c r="Z104">
        <f>IF(AND(R104="WON",ISNUMBER(I104)),AA104,"")</f>
        <v/>
      </c>
      <c r="AA104">
        <f>IFERROR(I104*1,0)</f>
        <v>0</v>
      </c>
    </row>
    <row r="105" ht="15" customHeight="1">
      <c r="A105" s="198" t="n"/>
      <c r="B105" s="199" t="n"/>
      <c r="C105" s="198" t="n"/>
      <c r="D105" s="200" t="n"/>
      <c r="E105" s="200" t="n"/>
      <c r="F105" s="201" t="n"/>
      <c r="G105" s="198" t="n"/>
      <c r="H105" s="202" t="n"/>
      <c r="I105" s="201" t="n"/>
      <c r="J105" s="201" t="n"/>
      <c r="K105" s="201" t="n"/>
      <c r="L105" s="201" t="n"/>
      <c r="M105" s="201" t="n"/>
      <c r="N105" s="201">
        <f>IF(ISNUMBER(I105),ROUND(I105-I105/1.081,2),"")</f>
        <v/>
      </c>
      <c r="O105" s="201">
        <f>IF(ISNUMBER(I105),I105-SUM(J105:N105),"")</f>
        <v/>
      </c>
      <c r="P105" s="203">
        <f>IFERROR(IF(AND(ISNUMBER(O105),ISNUMBER(I105),I105&lt;&gt;0),O105/I105,""),"")</f>
        <v/>
      </c>
      <c r="Q105" s="201">
        <f>IF(AND(ISNUMBER(I105),ISNUMBER(S105)),I105*IF(S105&lt;=1,S105,S105/100),IF(OR(I105&lt;&gt;"",S105&lt;&gt;""),"tbd",""))</f>
        <v/>
      </c>
      <c r="R105" s="204" t="n"/>
      <c r="S105" s="205" t="n"/>
      <c r="T105" s="199" t="n"/>
      <c r="U105" s="200" t="n"/>
      <c r="V105" s="200" t="n"/>
      <c r="W105" s="198" t="n"/>
      <c r="X105" s="200" t="n"/>
      <c r="Z105">
        <f>IF(AND(R105="WON",ISNUMBER(I105)),AA105,"")</f>
        <v/>
      </c>
      <c r="AA105">
        <f>IFERROR(I105*1,0)</f>
        <v>0</v>
      </c>
    </row>
    <row r="106" ht="15" customHeight="1">
      <c r="A106" s="198" t="n"/>
      <c r="B106" s="199" t="n"/>
      <c r="C106" s="198" t="n"/>
      <c r="D106" s="200" t="n"/>
      <c r="E106" s="200" t="n"/>
      <c r="F106" s="201" t="n"/>
      <c r="G106" s="198" t="n"/>
      <c r="H106" s="202" t="n"/>
      <c r="I106" s="201" t="n"/>
      <c r="J106" s="201" t="n"/>
      <c r="K106" s="201" t="n"/>
      <c r="L106" s="201" t="n"/>
      <c r="M106" s="201" t="n"/>
      <c r="N106" s="201">
        <f>IF(ISNUMBER(I106),ROUND(I106-I106/1.081,2),"")</f>
        <v/>
      </c>
      <c r="O106" s="201">
        <f>IF(ISNUMBER(I106),I106-SUM(J106:N106),"")</f>
        <v/>
      </c>
      <c r="P106" s="203">
        <f>IFERROR(IF(AND(ISNUMBER(O106),ISNUMBER(I106),I106&lt;&gt;0),O106/I106,""),"")</f>
        <v/>
      </c>
      <c r="Q106" s="201">
        <f>IF(AND(ISNUMBER(I106),ISNUMBER(S106)),I106*IF(S106&lt;=1,S106,S106/100),IF(OR(I106&lt;&gt;"",S106&lt;&gt;""),"tbd",""))</f>
        <v/>
      </c>
      <c r="R106" s="204" t="n"/>
      <c r="S106" s="205" t="n"/>
      <c r="T106" s="199" t="n"/>
      <c r="U106" s="200" t="n"/>
      <c r="V106" s="200" t="n"/>
      <c r="W106" s="198" t="n"/>
      <c r="X106" s="200" t="n"/>
      <c r="Z106">
        <f>IF(AND(R106="WON",ISNUMBER(I106)),AA106,"")</f>
        <v/>
      </c>
      <c r="AA106">
        <f>IFERROR(I106*1,0)</f>
        <v>0</v>
      </c>
    </row>
    <row r="107" ht="15" customHeight="1">
      <c r="A107" s="198" t="n"/>
      <c r="B107" s="199" t="n"/>
      <c r="C107" s="198" t="n"/>
      <c r="D107" s="200" t="n"/>
      <c r="E107" s="200" t="n"/>
      <c r="F107" s="201" t="n"/>
      <c r="G107" s="198" t="n"/>
      <c r="H107" s="202" t="n"/>
      <c r="I107" s="201" t="n"/>
      <c r="J107" s="201" t="n"/>
      <c r="K107" s="201" t="n"/>
      <c r="L107" s="201" t="n"/>
      <c r="M107" s="201" t="n"/>
      <c r="N107" s="201">
        <f>IF(ISNUMBER(I107),ROUND(I107-I107/1.081,2),"")</f>
        <v/>
      </c>
      <c r="O107" s="201">
        <f>IF(ISNUMBER(I107),I107-SUM(J107:N107),"")</f>
        <v/>
      </c>
      <c r="P107" s="203">
        <f>IFERROR(IF(AND(ISNUMBER(O107),ISNUMBER(I107),I107&lt;&gt;0),O107/I107,""),"")</f>
        <v/>
      </c>
      <c r="Q107" s="201">
        <f>IF(AND(ISNUMBER(I107),ISNUMBER(S107)),I107*IF(S107&lt;=1,S107,S107/100),IF(OR(I107&lt;&gt;"",S107&lt;&gt;""),"tbd",""))</f>
        <v/>
      </c>
      <c r="R107" s="204" t="n"/>
      <c r="S107" s="205" t="n"/>
      <c r="T107" s="199" t="n"/>
      <c r="U107" s="200" t="n"/>
      <c r="V107" s="200" t="n"/>
      <c r="W107" s="198" t="n"/>
      <c r="X107" s="200" t="n"/>
      <c r="Z107">
        <f>IF(AND(R107="WON",ISNUMBER(I107)),AA107,"")</f>
        <v/>
      </c>
      <c r="AA107">
        <f>IFERROR(I107*1,0)</f>
        <v>0</v>
      </c>
    </row>
    <row r="108" ht="15" customHeight="1">
      <c r="A108" s="198" t="n"/>
      <c r="B108" s="199" t="n"/>
      <c r="C108" s="198" t="n"/>
      <c r="D108" s="200" t="n"/>
      <c r="E108" s="200" t="n"/>
      <c r="F108" s="201" t="n"/>
      <c r="G108" s="198" t="n"/>
      <c r="H108" s="202" t="n"/>
      <c r="I108" s="201" t="n"/>
      <c r="J108" s="201" t="n"/>
      <c r="K108" s="201" t="n"/>
      <c r="L108" s="201" t="n"/>
      <c r="M108" s="201" t="n"/>
      <c r="N108" s="201">
        <f>IF(ISNUMBER(I108),ROUND(I108-I108/1.081,2),"")</f>
        <v/>
      </c>
      <c r="O108" s="201">
        <f>IF(ISNUMBER(I108),I108-SUM(J108:N108),"")</f>
        <v/>
      </c>
      <c r="P108" s="203">
        <f>IFERROR(IF(AND(ISNUMBER(O108),ISNUMBER(I108),I108&lt;&gt;0),O108/I108,""),"")</f>
        <v/>
      </c>
      <c r="Q108" s="201">
        <f>IF(AND(ISNUMBER(I108),ISNUMBER(S108)),I108*IF(S108&lt;=1,S108,S108/100),IF(OR(I108&lt;&gt;"",S108&lt;&gt;""),"tbd",""))</f>
        <v/>
      </c>
      <c r="R108" s="204" t="n"/>
      <c r="S108" s="205" t="n"/>
      <c r="T108" s="199" t="n"/>
      <c r="U108" s="200" t="n"/>
      <c r="V108" s="200" t="n"/>
      <c r="W108" s="198" t="n"/>
      <c r="X108" s="200" t="n"/>
      <c r="Z108">
        <f>IF(AND(R108="WON",ISNUMBER(I108)),AA108,"")</f>
        <v/>
      </c>
      <c r="AA108">
        <f>IFERROR(I108*1,0)</f>
        <v>0</v>
      </c>
    </row>
    <row r="109" ht="15" customHeight="1">
      <c r="A109" s="198" t="n"/>
      <c r="B109" s="199" t="n"/>
      <c r="C109" s="198" t="n"/>
      <c r="D109" s="200" t="n"/>
      <c r="E109" s="200" t="n"/>
      <c r="F109" s="201" t="n"/>
      <c r="G109" s="198" t="n"/>
      <c r="H109" s="202" t="n"/>
      <c r="I109" s="201" t="n"/>
      <c r="J109" s="201" t="n"/>
      <c r="K109" s="201" t="n"/>
      <c r="L109" s="201" t="n"/>
      <c r="M109" s="201" t="n"/>
      <c r="N109" s="201">
        <f>IF(ISNUMBER(I109),ROUND(I109-I109/1.081,2),"")</f>
        <v/>
      </c>
      <c r="O109" s="201">
        <f>IF(ISNUMBER(I109),I109-SUM(J109:N109),"")</f>
        <v/>
      </c>
      <c r="P109" s="203">
        <f>IFERROR(IF(AND(ISNUMBER(O109),ISNUMBER(I109),I109&lt;&gt;0),O109/I109,""),"")</f>
        <v/>
      </c>
      <c r="Q109" s="201">
        <f>IF(AND(ISNUMBER(I109),ISNUMBER(S109)),I109*IF(S109&lt;=1,S109,S109/100),IF(OR(I109&lt;&gt;"",S109&lt;&gt;""),"tbd",""))</f>
        <v/>
      </c>
      <c r="R109" s="204" t="n"/>
      <c r="S109" s="205" t="n"/>
      <c r="T109" s="199" t="n"/>
      <c r="U109" s="200" t="n"/>
      <c r="V109" s="200" t="n"/>
      <c r="W109" s="198" t="n"/>
      <c r="X109" s="200" t="n"/>
      <c r="Z109">
        <f>IF(AND(R109="WON",ISNUMBER(I109)),AA109,"")</f>
        <v/>
      </c>
      <c r="AA109">
        <f>IFERROR(I109*1,0)</f>
        <v>0</v>
      </c>
    </row>
    <row r="110" ht="15" customHeight="1">
      <c r="A110" s="198" t="n"/>
      <c r="B110" s="199" t="n"/>
      <c r="C110" s="198" t="n"/>
      <c r="D110" s="200" t="n"/>
      <c r="E110" s="200" t="n"/>
      <c r="F110" s="201" t="n"/>
      <c r="G110" s="198" t="n"/>
      <c r="H110" s="202" t="n"/>
      <c r="I110" s="201" t="n"/>
      <c r="J110" s="201" t="n"/>
      <c r="K110" s="201" t="n"/>
      <c r="L110" s="201" t="n"/>
      <c r="M110" s="201" t="n"/>
      <c r="N110" s="201">
        <f>IF(ISNUMBER(I110),ROUND(I110-I110/1.081,2),"")</f>
        <v/>
      </c>
      <c r="O110" s="201">
        <f>IF(ISNUMBER(I110),I110-SUM(J110:N110),"")</f>
        <v/>
      </c>
      <c r="P110" s="203">
        <f>IFERROR(IF(AND(ISNUMBER(O110),ISNUMBER(I110),I110&lt;&gt;0),O110/I110,""),"")</f>
        <v/>
      </c>
      <c r="Q110" s="201">
        <f>IF(AND(ISNUMBER(I110),ISNUMBER(S110)),I110*IF(S110&lt;=1,S110,S110/100),IF(OR(I110&lt;&gt;"",S110&lt;&gt;""),"tbd",""))</f>
        <v/>
      </c>
      <c r="R110" s="204" t="n"/>
      <c r="S110" s="205" t="n"/>
      <c r="T110" s="199" t="n"/>
      <c r="U110" s="200" t="n"/>
      <c r="V110" s="200" t="n"/>
      <c r="W110" s="198" t="n"/>
      <c r="X110" s="200" t="n"/>
      <c r="Z110">
        <f>IF(AND(R110="WON",ISNUMBER(I110)),AA110,"")</f>
        <v/>
      </c>
      <c r="AA110">
        <f>IFERROR(I110*1,0)</f>
        <v>0</v>
      </c>
    </row>
    <row r="111" ht="15" customHeight="1">
      <c r="A111" s="198" t="n"/>
      <c r="B111" s="199" t="n"/>
      <c r="C111" s="198" t="n"/>
      <c r="D111" s="200" t="n"/>
      <c r="E111" s="200" t="n"/>
      <c r="F111" s="201" t="n"/>
      <c r="G111" s="198" t="n"/>
      <c r="H111" s="202" t="n"/>
      <c r="I111" s="201" t="n"/>
      <c r="J111" s="201" t="n"/>
      <c r="K111" s="201" t="n"/>
      <c r="L111" s="201" t="n"/>
      <c r="M111" s="201" t="n"/>
      <c r="N111" s="201">
        <f>IF(ISNUMBER(I111),ROUND(I111-I111/1.081,2),"")</f>
        <v/>
      </c>
      <c r="O111" s="201">
        <f>IF(ISNUMBER(I111),I111-SUM(J111:N111),"")</f>
        <v/>
      </c>
      <c r="P111" s="203">
        <f>IFERROR(IF(AND(ISNUMBER(O111),ISNUMBER(I111),I111&lt;&gt;0),O111/I111,""),"")</f>
        <v/>
      </c>
      <c r="Q111" s="201">
        <f>IF(AND(ISNUMBER(I111),ISNUMBER(S111)),I111*IF(S111&lt;=1,S111,S111/100),IF(OR(I111&lt;&gt;"",S111&lt;&gt;""),"tbd",""))</f>
        <v/>
      </c>
      <c r="R111" s="204" t="n"/>
      <c r="S111" s="205" t="n"/>
      <c r="T111" s="199" t="n"/>
      <c r="U111" s="200" t="n"/>
      <c r="V111" s="200" t="n"/>
      <c r="W111" s="198" t="n"/>
      <c r="X111" s="200" t="n"/>
      <c r="Z111">
        <f>IF(AND(R111="WON",ISNUMBER(I111)),AA111,"")</f>
        <v/>
      </c>
      <c r="AA111">
        <f>IFERROR(I111*1,0)</f>
        <v>0</v>
      </c>
    </row>
    <row r="112" ht="15" customHeight="1">
      <c r="A112" s="198" t="n"/>
      <c r="B112" s="199" t="n"/>
      <c r="C112" s="198" t="n"/>
      <c r="D112" s="200" t="n"/>
      <c r="E112" s="200" t="n"/>
      <c r="F112" s="201" t="n"/>
      <c r="G112" s="198" t="n"/>
      <c r="H112" s="202" t="n"/>
      <c r="I112" s="201" t="n"/>
      <c r="J112" s="201" t="n"/>
      <c r="K112" s="201" t="n"/>
      <c r="L112" s="201" t="n"/>
      <c r="M112" s="201" t="n"/>
      <c r="N112" s="201">
        <f>IF(ISNUMBER(I112),ROUND(I112-I112/1.081,2),"")</f>
        <v/>
      </c>
      <c r="O112" s="201">
        <f>IF(ISNUMBER(I112),I112-SUM(J112:N112),"")</f>
        <v/>
      </c>
      <c r="P112" s="203">
        <f>IFERROR(IF(AND(ISNUMBER(O112),ISNUMBER(I112),I112&lt;&gt;0),O112/I112,""),"")</f>
        <v/>
      </c>
      <c r="Q112" s="201">
        <f>IF(AND(ISNUMBER(I112),ISNUMBER(S112)),I112*IF(S112&lt;=1,S112,S112/100),IF(OR(I112&lt;&gt;"",S112&lt;&gt;""),"tbd",""))</f>
        <v/>
      </c>
      <c r="R112" s="204" t="n"/>
      <c r="S112" s="205" t="n"/>
      <c r="T112" s="199" t="n"/>
      <c r="U112" s="200" t="n"/>
      <c r="V112" s="200" t="n"/>
      <c r="W112" s="198" t="n"/>
      <c r="X112" s="200" t="n"/>
      <c r="Z112">
        <f>IF(AND(R112="WON",ISNUMBER(I112)),AA112,"")</f>
        <v/>
      </c>
      <c r="AA112">
        <f>IFERROR(I112*1,0)</f>
        <v>0</v>
      </c>
    </row>
    <row r="113" ht="15" customHeight="1">
      <c r="A113" s="198" t="n"/>
      <c r="B113" s="199" t="n"/>
      <c r="C113" s="198" t="n"/>
      <c r="D113" s="200" t="n"/>
      <c r="E113" s="200" t="n"/>
      <c r="F113" s="201" t="n"/>
      <c r="G113" s="198" t="n"/>
      <c r="H113" s="202" t="n"/>
      <c r="I113" s="201" t="n"/>
      <c r="J113" s="201" t="n"/>
      <c r="K113" s="201" t="n"/>
      <c r="L113" s="201" t="n"/>
      <c r="M113" s="201" t="n"/>
      <c r="N113" s="201">
        <f>IF(ISNUMBER(I113),ROUND(I113-I113/1.081,2),"")</f>
        <v/>
      </c>
      <c r="O113" s="201">
        <f>IF(ISNUMBER(I113),I113-SUM(J113:N113),"")</f>
        <v/>
      </c>
      <c r="P113" s="203">
        <f>IFERROR(IF(AND(ISNUMBER(O113),ISNUMBER(I113),I113&lt;&gt;0),O113/I113,""),"")</f>
        <v/>
      </c>
      <c r="Q113" s="201">
        <f>IF(AND(ISNUMBER(I113),ISNUMBER(S113)),I113*IF(S113&lt;=1,S113,S113/100),IF(OR(I113&lt;&gt;"",S113&lt;&gt;""),"tbd",""))</f>
        <v/>
      </c>
      <c r="R113" s="204" t="n"/>
      <c r="S113" s="205" t="n"/>
      <c r="T113" s="199" t="n"/>
      <c r="U113" s="200" t="n"/>
      <c r="V113" s="200" t="n"/>
      <c r="W113" s="198" t="n"/>
      <c r="X113" s="200" t="n"/>
      <c r="Z113">
        <f>IF(AND(R113="WON",ISNUMBER(I113)),AA113,"")</f>
        <v/>
      </c>
      <c r="AA113">
        <f>IFERROR(I113*1,0)</f>
        <v>0</v>
      </c>
    </row>
    <row r="114" ht="15" customHeight="1">
      <c r="A114" s="198" t="n"/>
      <c r="B114" s="199" t="n"/>
      <c r="C114" s="198" t="n"/>
      <c r="D114" s="200" t="n"/>
      <c r="E114" s="200" t="n"/>
      <c r="F114" s="201" t="n"/>
      <c r="G114" s="198" t="n"/>
      <c r="H114" s="202" t="n"/>
      <c r="I114" s="201" t="n"/>
      <c r="J114" s="201" t="n"/>
      <c r="K114" s="201" t="n"/>
      <c r="L114" s="201" t="n"/>
      <c r="M114" s="201" t="n"/>
      <c r="N114" s="201">
        <f>IF(ISNUMBER(I114),ROUND(I114-I114/1.081,2),"")</f>
        <v/>
      </c>
      <c r="O114" s="201">
        <f>IF(ISNUMBER(I114),I114-SUM(J114:N114),"")</f>
        <v/>
      </c>
      <c r="P114" s="203">
        <f>IFERROR(IF(AND(ISNUMBER(O114),ISNUMBER(I114),I114&lt;&gt;0),O114/I114,""),"")</f>
        <v/>
      </c>
      <c r="Q114" s="201">
        <f>IF(AND(ISNUMBER(I114),ISNUMBER(S114)),I114*IF(S114&lt;=1,S114,S114/100),IF(OR(I114&lt;&gt;"",S114&lt;&gt;""),"tbd",""))</f>
        <v/>
      </c>
      <c r="R114" s="204" t="n"/>
      <c r="S114" s="205" t="n"/>
      <c r="T114" s="199" t="n"/>
      <c r="U114" s="200" t="n"/>
      <c r="V114" s="200" t="n"/>
      <c r="W114" s="198" t="n"/>
      <c r="X114" s="200" t="n"/>
      <c r="Z114">
        <f>IF(AND(R114="WON",ISNUMBER(I114)),AA114,"")</f>
        <v/>
      </c>
      <c r="AA114">
        <f>IFERROR(I114*1,0)</f>
        <v>0</v>
      </c>
    </row>
    <row r="115" ht="15" customHeight="1">
      <c r="A115" s="198" t="n"/>
      <c r="B115" s="199" t="n"/>
      <c r="C115" s="198" t="n"/>
      <c r="D115" s="200" t="n"/>
      <c r="E115" s="200" t="n"/>
      <c r="F115" s="201" t="n"/>
      <c r="G115" s="198" t="n"/>
      <c r="H115" s="202" t="n"/>
      <c r="I115" s="201" t="n"/>
      <c r="J115" s="201" t="n"/>
      <c r="K115" s="201" t="n"/>
      <c r="L115" s="201" t="n"/>
      <c r="M115" s="201" t="n"/>
      <c r="N115" s="201">
        <f>IF(ISNUMBER(I115),ROUND(I115-I115/1.081,2),"")</f>
        <v/>
      </c>
      <c r="O115" s="201">
        <f>IF(ISNUMBER(I115),I115-SUM(J115:N115),"")</f>
        <v/>
      </c>
      <c r="P115" s="203">
        <f>IFERROR(IF(AND(ISNUMBER(O115),ISNUMBER(I115),I115&lt;&gt;0),O115/I115,""),"")</f>
        <v/>
      </c>
      <c r="Q115" s="201">
        <f>IF(AND(ISNUMBER(I115),ISNUMBER(S115)),I115*IF(S115&lt;=1,S115,S115/100),IF(OR(I115&lt;&gt;"",S115&lt;&gt;""),"tbd",""))</f>
        <v/>
      </c>
      <c r="R115" s="204" t="n"/>
      <c r="S115" s="205" t="n"/>
      <c r="T115" s="199" t="n"/>
      <c r="U115" s="200" t="n"/>
      <c r="V115" s="200" t="n"/>
      <c r="W115" s="198" t="n"/>
      <c r="X115" s="200" t="n"/>
      <c r="Z115">
        <f>IF(AND(R115="WON",ISNUMBER(I115)),AA115,"")</f>
        <v/>
      </c>
      <c r="AA115">
        <f>IFERROR(I115*1,0)</f>
        <v>0</v>
      </c>
    </row>
    <row r="116" ht="15" customHeight="1">
      <c r="A116" s="198" t="n"/>
      <c r="B116" s="199" t="n"/>
      <c r="C116" s="198" t="n"/>
      <c r="D116" s="200" t="n"/>
      <c r="E116" s="200" t="n"/>
      <c r="F116" s="201" t="n"/>
      <c r="G116" s="198" t="n"/>
      <c r="H116" s="202" t="n"/>
      <c r="I116" s="201" t="n"/>
      <c r="J116" s="201" t="n"/>
      <c r="K116" s="201" t="n"/>
      <c r="L116" s="201" t="n"/>
      <c r="M116" s="201" t="n"/>
      <c r="N116" s="201">
        <f>IF(ISNUMBER(I116),ROUND(I116-I116/1.081,2),"")</f>
        <v/>
      </c>
      <c r="O116" s="201">
        <f>IF(ISNUMBER(I116),I116-SUM(J116:N116),"")</f>
        <v/>
      </c>
      <c r="P116" s="203">
        <f>IFERROR(IF(AND(ISNUMBER(O116),ISNUMBER(I116),I116&lt;&gt;0),O116/I116,""),"")</f>
        <v/>
      </c>
      <c r="Q116" s="201">
        <f>IF(AND(ISNUMBER(I116),ISNUMBER(S116)),I116*IF(S116&lt;=1,S116,S116/100),IF(OR(I116&lt;&gt;"",S116&lt;&gt;""),"tbd",""))</f>
        <v/>
      </c>
      <c r="R116" s="204" t="n"/>
      <c r="S116" s="205" t="n"/>
      <c r="T116" s="199" t="n"/>
      <c r="U116" s="200" t="n"/>
      <c r="V116" s="200" t="n"/>
      <c r="W116" s="198" t="n"/>
      <c r="X116" s="200" t="n"/>
      <c r="Z116">
        <f>IF(AND(R116="WON",ISNUMBER(I116)),AA116,"")</f>
        <v/>
      </c>
      <c r="AA116">
        <f>IFERROR(I116*1,0)</f>
        <v>0</v>
      </c>
    </row>
    <row r="117" ht="15" customHeight="1">
      <c r="A117" s="198" t="n"/>
      <c r="B117" s="199" t="n"/>
      <c r="C117" s="198" t="n"/>
      <c r="D117" s="200" t="n"/>
      <c r="E117" s="200" t="n"/>
      <c r="F117" s="201" t="n"/>
      <c r="G117" s="198" t="n"/>
      <c r="H117" s="202" t="n"/>
      <c r="I117" s="201" t="n"/>
      <c r="J117" s="201" t="n"/>
      <c r="K117" s="201" t="n"/>
      <c r="L117" s="201" t="n"/>
      <c r="M117" s="201" t="n"/>
      <c r="N117" s="201">
        <f>IF(ISNUMBER(I117),ROUND(I117-I117/1.081,2),"")</f>
        <v/>
      </c>
      <c r="O117" s="201">
        <f>IF(ISNUMBER(I117),I117-SUM(J117:N117),"")</f>
        <v/>
      </c>
      <c r="P117" s="203">
        <f>IFERROR(IF(AND(ISNUMBER(O117),ISNUMBER(I117),I117&lt;&gt;0),O117/I117,""),"")</f>
        <v/>
      </c>
      <c r="Q117" s="201">
        <f>IF(AND(ISNUMBER(I117),ISNUMBER(S117)),I117*IF(S117&lt;=1,S117,S117/100),IF(OR(I117&lt;&gt;"",S117&lt;&gt;""),"tbd",""))</f>
        <v/>
      </c>
      <c r="R117" s="204" t="n"/>
      <c r="S117" s="205" t="n"/>
      <c r="T117" s="199" t="n"/>
      <c r="U117" s="200" t="n"/>
      <c r="V117" s="200" t="n"/>
      <c r="W117" s="198" t="n"/>
      <c r="X117" s="200" t="n"/>
      <c r="Z117">
        <f>IF(AND(R117="WON",ISNUMBER(I117)),AA117,"")</f>
        <v/>
      </c>
      <c r="AA117">
        <f>IFERROR(I117*1,0)</f>
        <v>0</v>
      </c>
    </row>
    <row r="118" ht="15" customHeight="1">
      <c r="A118" s="198" t="n"/>
      <c r="B118" s="199" t="n"/>
      <c r="C118" s="198" t="n"/>
      <c r="D118" s="200" t="n"/>
      <c r="E118" s="200" t="n"/>
      <c r="F118" s="201" t="n"/>
      <c r="G118" s="198" t="n"/>
      <c r="H118" s="202" t="n"/>
      <c r="I118" s="201" t="n"/>
      <c r="J118" s="201" t="n"/>
      <c r="K118" s="201" t="n"/>
      <c r="L118" s="201" t="n"/>
      <c r="M118" s="201" t="n"/>
      <c r="N118" s="201">
        <f>IF(ISNUMBER(I118),ROUND(I118-I118/1.081,2),"")</f>
        <v/>
      </c>
      <c r="O118" s="201">
        <f>IF(ISNUMBER(I118),I118-SUM(J118:N118),"")</f>
        <v/>
      </c>
      <c r="P118" s="203">
        <f>IFERROR(IF(AND(ISNUMBER(O118),ISNUMBER(I118),I118&lt;&gt;0),O118/I118,""),"")</f>
        <v/>
      </c>
      <c r="Q118" s="201">
        <f>IF(AND(ISNUMBER(I118),ISNUMBER(S118)),I118*IF(S118&lt;=1,S118,S118/100),IF(OR(I118&lt;&gt;"",S118&lt;&gt;""),"tbd",""))</f>
        <v/>
      </c>
      <c r="R118" s="204" t="n"/>
      <c r="S118" s="205" t="n"/>
      <c r="T118" s="199" t="n"/>
      <c r="U118" s="200" t="n"/>
      <c r="V118" s="200" t="n"/>
      <c r="W118" s="198" t="n"/>
      <c r="X118" s="200" t="n"/>
      <c r="Z118">
        <f>IF(AND(R118="WON",ISNUMBER(I118)),AA118,"")</f>
        <v/>
      </c>
      <c r="AA118">
        <f>IFERROR(I118*1,0)</f>
        <v>0</v>
      </c>
    </row>
    <row r="119" ht="15" customHeight="1">
      <c r="A119" s="198" t="n"/>
      <c r="B119" s="199" t="n"/>
      <c r="C119" s="198" t="n"/>
      <c r="D119" s="200" t="n"/>
      <c r="E119" s="200" t="n"/>
      <c r="F119" s="201" t="n"/>
      <c r="G119" s="198" t="n"/>
      <c r="H119" s="202" t="n"/>
      <c r="I119" s="201" t="n"/>
      <c r="J119" s="201" t="n"/>
      <c r="K119" s="201" t="n"/>
      <c r="L119" s="201" t="n"/>
      <c r="M119" s="201" t="n"/>
      <c r="N119" s="201">
        <f>IF(ISNUMBER(I119),ROUND(I119-I119/1.081,2),"")</f>
        <v/>
      </c>
      <c r="O119" s="201">
        <f>IF(ISNUMBER(I119),I119-SUM(J119:N119),"")</f>
        <v/>
      </c>
      <c r="P119" s="203">
        <f>IFERROR(IF(AND(ISNUMBER(O119),ISNUMBER(I119),I119&lt;&gt;0),O119/I119,""),"")</f>
        <v/>
      </c>
      <c r="Q119" s="201">
        <f>IF(AND(ISNUMBER(I119),ISNUMBER(S119)),I119*IF(S119&lt;=1,S119,S119/100),IF(OR(I119&lt;&gt;"",S119&lt;&gt;""),"tbd",""))</f>
        <v/>
      </c>
      <c r="R119" s="204" t="n"/>
      <c r="S119" s="205" t="n"/>
      <c r="T119" s="199" t="n"/>
      <c r="U119" s="200" t="n"/>
      <c r="V119" s="200" t="n"/>
      <c r="W119" s="198" t="n"/>
      <c r="X119" s="200" t="n"/>
      <c r="Z119">
        <f>IF(AND(R119="WON",ISNUMBER(I119)),AA119,"")</f>
        <v/>
      </c>
      <c r="AA119">
        <f>IFERROR(I119*1,0)</f>
        <v>0</v>
      </c>
    </row>
    <row r="120" ht="15" customHeight="1">
      <c r="A120" s="198" t="n"/>
      <c r="B120" s="199" t="n"/>
      <c r="C120" s="198" t="n"/>
      <c r="D120" s="200" t="n"/>
      <c r="E120" s="200" t="n"/>
      <c r="F120" s="201" t="n"/>
      <c r="G120" s="198" t="n"/>
      <c r="H120" s="202" t="n"/>
      <c r="I120" s="201" t="n"/>
      <c r="J120" s="201" t="n"/>
      <c r="K120" s="201" t="n"/>
      <c r="L120" s="201" t="n"/>
      <c r="M120" s="201" t="n"/>
      <c r="N120" s="201">
        <f>IF(ISNUMBER(I120),ROUND(I120-I120/1.081,2),"")</f>
        <v/>
      </c>
      <c r="O120" s="201">
        <f>IF(ISNUMBER(I120),I120-SUM(J120:N120),"")</f>
        <v/>
      </c>
      <c r="P120" s="203">
        <f>IFERROR(IF(AND(ISNUMBER(O120),ISNUMBER(I120),I120&lt;&gt;0),O120/I120,""),"")</f>
        <v/>
      </c>
      <c r="Q120" s="201">
        <f>IF(AND(ISNUMBER(I120),ISNUMBER(S120)),I120*IF(S120&lt;=1,S120,S120/100),IF(OR(I120&lt;&gt;"",S120&lt;&gt;""),"tbd",""))</f>
        <v/>
      </c>
      <c r="R120" s="204" t="n"/>
      <c r="S120" s="205" t="n"/>
      <c r="T120" s="199" t="n"/>
      <c r="U120" s="200" t="n"/>
      <c r="V120" s="200" t="n"/>
      <c r="W120" s="198" t="n"/>
      <c r="X120" s="200" t="n"/>
      <c r="Z120">
        <f>IF(AND(R120="WON",ISNUMBER(I120)),AA120,"")</f>
        <v/>
      </c>
      <c r="AA120">
        <f>IFERROR(I120*1,0)</f>
        <v>0</v>
      </c>
    </row>
    <row r="121" ht="15" customHeight="1">
      <c r="I121" s="215" t="n"/>
      <c r="J121" s="215" t="n"/>
      <c r="K121" s="215" t="n"/>
      <c r="L121" s="215" t="n"/>
      <c r="M121" s="215" t="n"/>
      <c r="N121" s="215">
        <f>IF(ISNUMBER(I121),ROUND(I121-I121/1.081,2),"")</f>
        <v/>
      </c>
      <c r="O121" s="215">
        <f>IF(ISNUMBER(I121),I121-SUM(J121:N121),"")</f>
        <v/>
      </c>
      <c r="P121" s="216">
        <f>IFERROR(IF(AND(ISNUMBER(O121),ISNUMBER(I121),I121&lt;&gt;0),O121/I121,""),"")</f>
        <v/>
      </c>
      <c r="Q121" s="215">
        <f>IF(AND(ISNUMBER(I121),ISNUMBER(S121)),I121*IF(S121&lt;=1,S121,S121/100),IF(OR(I121&lt;&gt;"",S121&lt;&gt;""),"tbd",""))</f>
        <v/>
      </c>
      <c r="S121" s="217" t="n"/>
      <c r="Z121">
        <f>IF(AND(R121="WON",ISNUMBER(I121)),AA121,"")</f>
        <v/>
      </c>
      <c r="AA121">
        <f>IFERROR(I121*1,0)</f>
        <v>0</v>
      </c>
    </row>
    <row r="122" ht="15" customHeight="1">
      <c r="I122" s="215" t="n"/>
      <c r="J122" s="215" t="n"/>
      <c r="K122" s="215" t="n"/>
      <c r="L122" s="215" t="n"/>
      <c r="M122" s="215" t="n"/>
      <c r="N122" s="215">
        <f>IF(ISNUMBER(I122),ROUND(I122-I122/1.081,2),"")</f>
        <v/>
      </c>
      <c r="O122" s="215">
        <f>IF(ISNUMBER(I122),I122-SUM(J122:N122),"")</f>
        <v/>
      </c>
      <c r="P122" s="216">
        <f>IFERROR(IF(AND(ISNUMBER(O122),ISNUMBER(I122),I122&lt;&gt;0),O122/I122,""),"")</f>
        <v/>
      </c>
      <c r="Q122" s="215">
        <f>IF(AND(ISNUMBER(I122),ISNUMBER(S122)),I122*IF(S122&lt;=1,S122,S122/100),IF(OR(I122&lt;&gt;"",S122&lt;&gt;""),"tbd",""))</f>
        <v/>
      </c>
      <c r="S122" s="217" t="n"/>
      <c r="Z122">
        <f>IF(AND(R122="WON",ISNUMBER(I122)),AA122,"")</f>
        <v/>
      </c>
      <c r="AA122">
        <f>IFERROR(I122*1,0)</f>
        <v>0</v>
      </c>
    </row>
    <row r="123" ht="15" customHeight="1">
      <c r="I123" s="215" t="n"/>
      <c r="J123" s="215" t="n"/>
      <c r="K123" s="215" t="n"/>
      <c r="L123" s="215" t="n"/>
      <c r="M123" s="215" t="n"/>
      <c r="N123" s="215">
        <f>IF(ISNUMBER(I123),ROUND(I123-I123/1.081,2),"")</f>
        <v/>
      </c>
      <c r="O123" s="215">
        <f>IF(ISNUMBER(I123),I123-SUM(J123:N123),"")</f>
        <v/>
      </c>
      <c r="P123" s="216">
        <f>IFERROR(IF(AND(ISNUMBER(O123),ISNUMBER(I123),I123&lt;&gt;0),O123/I123,""),"")</f>
        <v/>
      </c>
      <c r="Q123" s="215">
        <f>IF(AND(ISNUMBER(I123),ISNUMBER(S123)),I123*IF(S123&lt;=1,S123,S123/100),IF(OR(I123&lt;&gt;"",S123&lt;&gt;""),"tbd",""))</f>
        <v/>
      </c>
      <c r="S123" s="217" t="n"/>
      <c r="Z123">
        <f>IF(AND(R123="WON",ISNUMBER(I123)),AA123,"")</f>
        <v/>
      </c>
      <c r="AA123">
        <f>IFERROR(I123*1,0)</f>
        <v>0</v>
      </c>
    </row>
    <row r="124" ht="15" customHeight="1">
      <c r="I124" s="215" t="n"/>
      <c r="J124" s="215" t="n"/>
      <c r="K124" s="215" t="n"/>
      <c r="L124" s="215" t="n"/>
      <c r="M124" s="215" t="n"/>
      <c r="N124" s="215">
        <f>IF(ISNUMBER(I124),ROUND(I124-I124/1.081,2),"")</f>
        <v/>
      </c>
      <c r="O124" s="215">
        <f>IF(ISNUMBER(I124),I124-SUM(J124:N124),"")</f>
        <v/>
      </c>
      <c r="P124" s="216">
        <f>IFERROR(IF(AND(ISNUMBER(O124),ISNUMBER(I124),I124&lt;&gt;0),O124/I124,""),"")</f>
        <v/>
      </c>
      <c r="Q124" s="215">
        <f>IF(AND(ISNUMBER(I124),ISNUMBER(S124)),I124*IF(S124&lt;=1,S124,S124/100),IF(OR(I124&lt;&gt;"",S124&lt;&gt;""),"tbd",""))</f>
        <v/>
      </c>
      <c r="S124" s="217" t="n"/>
      <c r="Z124">
        <f>IF(AND(R124="WON",ISNUMBER(I124)),AA124,"")</f>
        <v/>
      </c>
      <c r="AA124">
        <f>IFERROR(I124*1,0)</f>
        <v>0</v>
      </c>
    </row>
    <row r="125" ht="15" customHeight="1">
      <c r="I125" s="215" t="n"/>
      <c r="J125" s="215" t="n"/>
      <c r="K125" s="215" t="n"/>
      <c r="L125" s="215" t="n"/>
      <c r="M125" s="215" t="n"/>
      <c r="N125" s="215">
        <f>IF(ISNUMBER(I125),ROUND(I125-I125/1.081,2),"")</f>
        <v/>
      </c>
      <c r="O125" s="215">
        <f>IF(ISNUMBER(I125),I125-SUM(J125:N125),"")</f>
        <v/>
      </c>
      <c r="P125" s="216">
        <f>IFERROR(IF(AND(ISNUMBER(O125),ISNUMBER(I125),I125&lt;&gt;0),O125/I125,""),"")</f>
        <v/>
      </c>
      <c r="Q125" s="215">
        <f>IF(AND(ISNUMBER(I125),ISNUMBER(S125)),I125*IF(S125&lt;=1,S125,S125/100),IF(OR(I125&lt;&gt;"",S125&lt;&gt;""),"tbd",""))</f>
        <v/>
      </c>
      <c r="S125" s="217" t="n"/>
      <c r="Z125">
        <f>IF(AND(R125="WON",ISNUMBER(I125)),AA125,"")</f>
        <v/>
      </c>
      <c r="AA125">
        <f>IFERROR(I125*1,0)</f>
        <v>0</v>
      </c>
    </row>
    <row r="126" ht="15" customHeight="1">
      <c r="I126" s="215" t="n"/>
      <c r="J126" s="215" t="n"/>
      <c r="K126" s="215" t="n"/>
      <c r="L126" s="215" t="n"/>
      <c r="M126" s="215" t="n"/>
      <c r="N126" s="215">
        <f>IF(ISNUMBER(I126),ROUND(I126-I126/1.081,2),"")</f>
        <v/>
      </c>
      <c r="O126" s="215">
        <f>IF(ISNUMBER(I126),I126-SUM(J126:N126),"")</f>
        <v/>
      </c>
      <c r="P126" s="216">
        <f>IFERROR(IF(AND(ISNUMBER(O126),ISNUMBER(I126),I126&lt;&gt;0),O126/I126,""),"")</f>
        <v/>
      </c>
      <c r="Q126" s="215">
        <f>IF(AND(ISNUMBER(I126),ISNUMBER(S126)),I126*IF(S126&lt;=1,S126,S126/100),IF(OR(I126&lt;&gt;"",S126&lt;&gt;""),"tbd",""))</f>
        <v/>
      </c>
      <c r="S126" s="217" t="n"/>
      <c r="Z126">
        <f>IF(AND(R126="WON",ISNUMBER(I126)),AA126,"")</f>
        <v/>
      </c>
      <c r="AA126">
        <f>IFERROR(I126*1,0)</f>
        <v>0</v>
      </c>
    </row>
    <row r="127" ht="15" customHeight="1">
      <c r="I127" s="215" t="n"/>
      <c r="J127" s="215" t="n"/>
      <c r="K127" s="215" t="n"/>
      <c r="L127" s="215" t="n"/>
      <c r="M127" s="215" t="n"/>
      <c r="N127" s="215">
        <f>IF(ISNUMBER(I127),ROUND(I127-I127/1.081,2),"")</f>
        <v/>
      </c>
      <c r="O127" s="215">
        <f>IF(ISNUMBER(I127),I127-SUM(J127:N127),"")</f>
        <v/>
      </c>
      <c r="P127" s="216">
        <f>IFERROR(IF(AND(ISNUMBER(O127),ISNUMBER(I127),I127&lt;&gt;0),O127/I127,""),"")</f>
        <v/>
      </c>
      <c r="Q127" s="215">
        <f>IF(AND(ISNUMBER(I127),ISNUMBER(S127)),I127*IF(S127&lt;=1,S127,S127/100),IF(OR(I127&lt;&gt;"",S127&lt;&gt;""),"tbd",""))</f>
        <v/>
      </c>
      <c r="S127" s="217" t="n"/>
      <c r="Z127">
        <f>IF(AND(R127="WON",ISNUMBER(I127)),AA127,"")</f>
        <v/>
      </c>
      <c r="AA127">
        <f>IFERROR(I127*1,0)</f>
        <v>0</v>
      </c>
    </row>
    <row r="128" ht="15" customHeight="1">
      <c r="I128" s="215" t="n"/>
      <c r="J128" s="215" t="n"/>
      <c r="K128" s="215" t="n"/>
      <c r="L128" s="215" t="n"/>
      <c r="M128" s="215" t="n"/>
      <c r="N128" s="215">
        <f>IF(ISNUMBER(I128),ROUND(I128-I128/1.081,2),"")</f>
        <v/>
      </c>
      <c r="O128" s="215">
        <f>IF(ISNUMBER(I128),I128-SUM(J128:N128),"")</f>
        <v/>
      </c>
      <c r="P128" s="216">
        <f>IFERROR(IF(AND(ISNUMBER(O128),ISNUMBER(I128),I128&lt;&gt;0),O128/I128,""),"")</f>
        <v/>
      </c>
      <c r="Q128" s="215">
        <f>IF(AND(ISNUMBER(I128),ISNUMBER(S128)),I128*IF(S128&lt;=1,S128,S128/100),IF(OR(I128&lt;&gt;"",S128&lt;&gt;""),"tbd",""))</f>
        <v/>
      </c>
      <c r="S128" s="217" t="n"/>
      <c r="Z128">
        <f>IF(AND(R128="WON",ISNUMBER(I128)),AA128,"")</f>
        <v/>
      </c>
      <c r="AA128">
        <f>IFERROR(I128*1,0)</f>
        <v>0</v>
      </c>
    </row>
    <row r="129" ht="15" customHeight="1">
      <c r="I129" s="215" t="n"/>
      <c r="J129" s="215" t="n"/>
      <c r="K129" s="215" t="n"/>
      <c r="L129" s="215" t="n"/>
      <c r="M129" s="215" t="n"/>
      <c r="N129" s="215">
        <f>IF(ISNUMBER(I129),ROUND(I129-I129/1.081,2),"")</f>
        <v/>
      </c>
      <c r="O129" s="215">
        <f>IF(ISNUMBER(I129),I129-SUM(J129:N129),"")</f>
        <v/>
      </c>
      <c r="P129" s="216">
        <f>IFERROR(IF(AND(ISNUMBER(O129),ISNUMBER(I129),I129&lt;&gt;0),O129/I129,""),"")</f>
        <v/>
      </c>
      <c r="Q129" s="215">
        <f>IF(AND(ISNUMBER(I129),ISNUMBER(S129)),I129*IF(S129&lt;=1,S129,S129/100),IF(OR(I129&lt;&gt;"",S129&lt;&gt;""),"tbd",""))</f>
        <v/>
      </c>
      <c r="S129" s="217" t="n"/>
      <c r="Z129">
        <f>IF(AND(R129="WON",ISNUMBER(I129)),AA129,"")</f>
        <v/>
      </c>
      <c r="AA129">
        <f>IFERROR(I129*1,0)</f>
        <v>0</v>
      </c>
    </row>
    <row r="130" ht="15" customHeight="1">
      <c r="I130" s="215" t="n"/>
      <c r="J130" s="215" t="n"/>
      <c r="K130" s="215" t="n"/>
      <c r="L130" s="215" t="n"/>
      <c r="M130" s="215" t="n"/>
      <c r="N130" s="215">
        <f>IF(ISNUMBER(I130),ROUND(I130-I130/1.081,2),"")</f>
        <v/>
      </c>
      <c r="O130" s="215">
        <f>IF(ISNUMBER(I130),I130-SUM(J130:N130),"")</f>
        <v/>
      </c>
      <c r="P130" s="216">
        <f>IFERROR(IF(AND(ISNUMBER(O130),ISNUMBER(I130),I130&lt;&gt;0),O130/I130,""),"")</f>
        <v/>
      </c>
      <c r="Q130" s="215">
        <f>IF(AND(ISNUMBER(I130),ISNUMBER(S130)),I130*IF(S130&lt;=1,S130,S130/100),IF(OR(I130&lt;&gt;"",S130&lt;&gt;""),"tbd",""))</f>
        <v/>
      </c>
      <c r="S130" s="217" t="n"/>
      <c r="Z130">
        <f>IF(AND(R130="WON",ISNUMBER(I130)),AA130,"")</f>
        <v/>
      </c>
      <c r="AA130">
        <f>IFERROR(I130*1,0)</f>
        <v>0</v>
      </c>
    </row>
    <row r="131" ht="15" customHeight="1">
      <c r="I131" s="215" t="n"/>
      <c r="J131" s="215" t="n"/>
      <c r="K131" s="215" t="n"/>
      <c r="L131" s="215" t="n"/>
      <c r="M131" s="215" t="n"/>
      <c r="N131" s="215">
        <f>IF(ISNUMBER(I131),ROUND(I131-I131/1.081,2),"")</f>
        <v/>
      </c>
      <c r="O131" s="215">
        <f>IF(ISNUMBER(I131),I131-SUM(J131:N131),"")</f>
        <v/>
      </c>
      <c r="P131" s="216">
        <f>IFERROR(IF(AND(ISNUMBER(O131),ISNUMBER(I131),I131&lt;&gt;0),O131/I131,""),"")</f>
        <v/>
      </c>
      <c r="Q131" s="215">
        <f>IF(AND(ISNUMBER(I131),ISNUMBER(S131)),I131*IF(S131&lt;=1,S131,S131/100),IF(OR(I131&lt;&gt;"",S131&lt;&gt;""),"tbd",""))</f>
        <v/>
      </c>
      <c r="S131" s="217" t="n"/>
      <c r="Z131">
        <f>IF(AND(R131="WON",ISNUMBER(I131)),AA131,"")</f>
        <v/>
      </c>
      <c r="AA131">
        <f>IFERROR(I131*1,0)</f>
        <v>0</v>
      </c>
    </row>
    <row r="132" ht="15" customHeight="1">
      <c r="I132" s="215" t="n"/>
      <c r="J132" s="215" t="n"/>
      <c r="K132" s="215" t="n"/>
      <c r="L132" s="215" t="n"/>
      <c r="M132" s="215" t="n"/>
      <c r="N132" s="215">
        <f>IF(ISNUMBER(I132),ROUND(I132-I132/1.081,2),"")</f>
        <v/>
      </c>
      <c r="O132" s="215">
        <f>IF(ISNUMBER(I132),I132-SUM(J132:N132),"")</f>
        <v/>
      </c>
      <c r="P132" s="216">
        <f>IFERROR(IF(AND(ISNUMBER(O132),ISNUMBER(I132),I132&lt;&gt;0),O132/I132,""),"")</f>
        <v/>
      </c>
      <c r="Q132" s="215">
        <f>IF(AND(ISNUMBER(I132),ISNUMBER(S132)),I132*IF(S132&lt;=1,S132,S132/100),IF(OR(I132&lt;&gt;"",S132&lt;&gt;""),"tbd",""))</f>
        <v/>
      </c>
      <c r="S132" s="217" t="n"/>
      <c r="Z132">
        <f>IF(AND(R132="WON",ISNUMBER(I132)),AA132,"")</f>
        <v/>
      </c>
      <c r="AA132">
        <f>IFERROR(I132*1,0)</f>
        <v>0</v>
      </c>
    </row>
    <row r="133" ht="15" customHeight="1">
      <c r="I133" s="215" t="n"/>
      <c r="J133" s="215" t="n"/>
      <c r="K133" s="215" t="n"/>
      <c r="L133" s="215" t="n"/>
      <c r="M133" s="215" t="n"/>
      <c r="N133" s="215">
        <f>IF(ISNUMBER(I133),ROUND(I133-I133/1.081,2),"")</f>
        <v/>
      </c>
      <c r="O133" s="215">
        <f>IF(ISNUMBER(I133),I133-SUM(J133:N133),"")</f>
        <v/>
      </c>
      <c r="P133" s="216">
        <f>IFERROR(IF(AND(ISNUMBER(O133),ISNUMBER(I133),I133&lt;&gt;0),O133/I133,""),"")</f>
        <v/>
      </c>
      <c r="Q133" s="215">
        <f>IF(AND(ISNUMBER(I133),ISNUMBER(S133)),I133*IF(S133&lt;=1,S133,S133/100),IF(OR(I133&lt;&gt;"",S133&lt;&gt;""),"tbd",""))</f>
        <v/>
      </c>
      <c r="S133" s="217" t="n"/>
      <c r="Z133">
        <f>IF(AND(R133="WON",ISNUMBER(I133)),AA133,"")</f>
        <v/>
      </c>
      <c r="AA133">
        <f>IFERROR(I133*1,0)</f>
        <v>0</v>
      </c>
    </row>
    <row r="134" ht="15" customHeight="1">
      <c r="I134" s="215" t="n"/>
      <c r="J134" s="215" t="n"/>
      <c r="K134" s="215" t="n"/>
      <c r="L134" s="215" t="n"/>
      <c r="M134" s="215" t="n"/>
      <c r="N134" s="215">
        <f>IF(ISNUMBER(I134),ROUND(I134-I134/1.081,2),"")</f>
        <v/>
      </c>
      <c r="O134" s="215">
        <f>IF(ISNUMBER(I134),I134-SUM(J134:N134),"")</f>
        <v/>
      </c>
      <c r="P134" s="216">
        <f>IFERROR(IF(AND(ISNUMBER(O134),ISNUMBER(I134),I134&lt;&gt;0),O134/I134,""),"")</f>
        <v/>
      </c>
      <c r="Q134" s="215">
        <f>IF(AND(ISNUMBER(I134),ISNUMBER(S134)),I134*IF(S134&lt;=1,S134,S134/100),IF(OR(I134&lt;&gt;"",S134&lt;&gt;""),"tbd",""))</f>
        <v/>
      </c>
      <c r="S134" s="217" t="n"/>
      <c r="Z134">
        <f>IF(AND(R134="WON",ISNUMBER(I134)),AA134,"")</f>
        <v/>
      </c>
      <c r="AA134">
        <f>IFERROR(I134*1,0)</f>
        <v>0</v>
      </c>
    </row>
    <row r="135" ht="15" customHeight="1">
      <c r="I135" s="215" t="n"/>
      <c r="J135" s="215" t="n"/>
      <c r="K135" s="215" t="n"/>
      <c r="L135" s="215" t="n"/>
      <c r="M135" s="215" t="n"/>
      <c r="N135" s="215">
        <f>IF(ISNUMBER(I135),ROUND(I135-I135/1.081,2),"")</f>
        <v/>
      </c>
      <c r="O135" s="215">
        <f>IF(ISNUMBER(I135),I135-SUM(J135:N135),"")</f>
        <v/>
      </c>
      <c r="P135" s="216">
        <f>IFERROR(IF(AND(ISNUMBER(O135),ISNUMBER(I135),I135&lt;&gt;0),O135/I135,""),"")</f>
        <v/>
      </c>
      <c r="Q135" s="215">
        <f>IF(AND(ISNUMBER(I135),ISNUMBER(S135)),I135*IF(S135&lt;=1,S135,S135/100),IF(OR(I135&lt;&gt;"",S135&lt;&gt;""),"tbd",""))</f>
        <v/>
      </c>
      <c r="S135" s="217" t="n"/>
      <c r="Z135">
        <f>IF(AND(R135="WON",ISNUMBER(I135)),AA135,"")</f>
        <v/>
      </c>
      <c r="AA135">
        <f>IFERROR(I135*1,0)</f>
        <v>0</v>
      </c>
    </row>
    <row r="136" ht="15" customHeight="1">
      <c r="I136" s="215" t="n"/>
      <c r="J136" s="215" t="n"/>
      <c r="K136" s="215" t="n"/>
      <c r="L136" s="215" t="n"/>
      <c r="M136" s="215" t="n"/>
      <c r="N136" s="215">
        <f>IF(ISNUMBER(I136),ROUND(I136-I136/1.081,2),"")</f>
        <v/>
      </c>
      <c r="O136" s="215">
        <f>IF(ISNUMBER(I136),I136-SUM(J136:N136),"")</f>
        <v/>
      </c>
      <c r="P136" s="216">
        <f>IFERROR(IF(AND(ISNUMBER(O136),ISNUMBER(I136),I136&lt;&gt;0),O136/I136,""),"")</f>
        <v/>
      </c>
      <c r="Q136" s="215">
        <f>IF(AND(ISNUMBER(I136),ISNUMBER(S136)),I136*IF(S136&lt;=1,S136,S136/100),IF(OR(I136&lt;&gt;"",S136&lt;&gt;""),"tbd",""))</f>
        <v/>
      </c>
      <c r="S136" s="217" t="n"/>
      <c r="Z136">
        <f>IF(AND(R136="WON",ISNUMBER(I136)),AA136,"")</f>
        <v/>
      </c>
      <c r="AA136">
        <f>IFERROR(I136*1,0)</f>
        <v>0</v>
      </c>
    </row>
    <row r="137" ht="15" customHeight="1">
      <c r="I137" s="215" t="n"/>
      <c r="J137" s="215" t="n"/>
      <c r="K137" s="215" t="n"/>
      <c r="L137" s="215" t="n"/>
      <c r="M137" s="215" t="n"/>
      <c r="N137" s="215">
        <f>IF(ISNUMBER(I137),ROUND(I137-I137/1.081,2),"")</f>
        <v/>
      </c>
      <c r="O137" s="215">
        <f>IF(ISNUMBER(I137),I137-SUM(J137:N137),"")</f>
        <v/>
      </c>
      <c r="P137" s="216">
        <f>IFERROR(IF(AND(ISNUMBER(O137),ISNUMBER(I137),I137&lt;&gt;0),O137/I137,""),"")</f>
        <v/>
      </c>
      <c r="Q137" s="215">
        <f>IF(AND(ISNUMBER(I137),ISNUMBER(S137)),I137*IF(S137&lt;=1,S137,S137/100),IF(OR(I137&lt;&gt;"",S137&lt;&gt;""),"tbd",""))</f>
        <v/>
      </c>
      <c r="S137" s="217" t="n"/>
      <c r="Z137">
        <f>IF(AND(R137="WON",ISNUMBER(I137)),AA137,"")</f>
        <v/>
      </c>
      <c r="AA137">
        <f>IFERROR(I137*1,0)</f>
        <v>0</v>
      </c>
    </row>
    <row r="138" ht="15" customHeight="1">
      <c r="I138" s="215" t="n"/>
      <c r="J138" s="215" t="n"/>
      <c r="K138" s="215" t="n"/>
      <c r="L138" s="215" t="n"/>
      <c r="M138" s="215" t="n"/>
      <c r="N138" s="215">
        <f>IF(ISNUMBER(I138),ROUND(I138-I138/1.081,2),"")</f>
        <v/>
      </c>
      <c r="O138" s="215">
        <f>IF(ISNUMBER(I138),I138-SUM(J138:N138),"")</f>
        <v/>
      </c>
      <c r="P138" s="216">
        <f>IFERROR(IF(AND(ISNUMBER(O138),ISNUMBER(I138),I138&lt;&gt;0),O138/I138,""),"")</f>
        <v/>
      </c>
      <c r="Q138" s="215">
        <f>IF(AND(ISNUMBER(I138),ISNUMBER(S138)),I138*IF(S138&lt;=1,S138,S138/100),IF(OR(I138&lt;&gt;"",S138&lt;&gt;""),"tbd",""))</f>
        <v/>
      </c>
      <c r="S138" s="217" t="n"/>
      <c r="Z138">
        <f>IF(AND(R138="WON",ISNUMBER(I138)),AA138,"")</f>
        <v/>
      </c>
      <c r="AA138">
        <f>IFERROR(I138*1,0)</f>
        <v>0</v>
      </c>
    </row>
    <row r="139" ht="15" customHeight="1">
      <c r="I139" s="215" t="n"/>
      <c r="J139" s="215" t="n"/>
      <c r="K139" s="215" t="n"/>
      <c r="L139" s="215" t="n"/>
      <c r="M139" s="215" t="n"/>
      <c r="N139" s="215">
        <f>IF(ISNUMBER(I139),ROUND(I139-I139/1.081,2),"")</f>
        <v/>
      </c>
      <c r="O139" s="215">
        <f>IF(ISNUMBER(I139),I139-SUM(J139:N139),"")</f>
        <v/>
      </c>
      <c r="P139" s="216">
        <f>IFERROR(IF(AND(ISNUMBER(O139),ISNUMBER(I139),I139&lt;&gt;0),O139/I139,""),"")</f>
        <v/>
      </c>
      <c r="Q139" s="215">
        <f>IF(AND(ISNUMBER(I139),ISNUMBER(S139)),I139*IF(S139&lt;=1,S139,S139/100),IF(OR(I139&lt;&gt;"",S139&lt;&gt;""),"tbd",""))</f>
        <v/>
      </c>
      <c r="S139" s="217" t="n"/>
      <c r="Z139">
        <f>IF(AND(R139="WON",ISNUMBER(I139)),AA139,"")</f>
        <v/>
      </c>
      <c r="AA139">
        <f>IFERROR(I139*1,0)</f>
        <v>0</v>
      </c>
    </row>
    <row r="140" ht="15" customHeight="1">
      <c r="I140" s="215" t="n"/>
      <c r="J140" s="215" t="n"/>
      <c r="K140" s="215" t="n"/>
      <c r="L140" s="215" t="n"/>
      <c r="M140" s="215" t="n"/>
      <c r="N140" s="215">
        <f>IF(ISNUMBER(I140),ROUND(I140-I140/1.081,2),"")</f>
        <v/>
      </c>
      <c r="O140" s="215">
        <f>IF(ISNUMBER(I140),I140-SUM(J140:N140),"")</f>
        <v/>
      </c>
      <c r="P140" s="216">
        <f>IFERROR(IF(AND(ISNUMBER(O140),ISNUMBER(I140),I140&lt;&gt;0),O140/I140,""),"")</f>
        <v/>
      </c>
      <c r="Q140" s="215">
        <f>IF(AND(ISNUMBER(I140),ISNUMBER(S140)),I140*IF(S140&lt;=1,S140,S140/100),IF(OR(I140&lt;&gt;"",S140&lt;&gt;""),"tbd",""))</f>
        <v/>
      </c>
      <c r="S140" s="217" t="n"/>
      <c r="Z140">
        <f>IF(AND(R140="WON",ISNUMBER(I140)),AA140,"")</f>
        <v/>
      </c>
      <c r="AA140">
        <f>IFERROR(I140*1,0)</f>
        <v>0</v>
      </c>
    </row>
    <row r="141" ht="15" customHeight="1">
      <c r="I141" s="215" t="n"/>
      <c r="J141" s="215" t="n"/>
      <c r="K141" s="215" t="n"/>
      <c r="L141" s="215" t="n"/>
      <c r="M141" s="215" t="n"/>
      <c r="N141" s="215">
        <f>IF(ISNUMBER(I141),ROUND(I141-I141/1.081,2),"")</f>
        <v/>
      </c>
      <c r="O141" s="215">
        <f>IF(ISNUMBER(I141),I141-SUM(J141:N141),"")</f>
        <v/>
      </c>
      <c r="P141" s="216">
        <f>IFERROR(IF(AND(ISNUMBER(O141),ISNUMBER(I141),I141&lt;&gt;0),O141/I141,""),"")</f>
        <v/>
      </c>
      <c r="Q141" s="215">
        <f>IF(AND(ISNUMBER(I141),ISNUMBER(S141)),I141*IF(S141&lt;=1,S141,S141/100),IF(OR(I141&lt;&gt;"",S141&lt;&gt;""),"tbd",""))</f>
        <v/>
      </c>
      <c r="S141" s="217" t="n"/>
      <c r="Z141">
        <f>IF(AND(R141="WON",ISNUMBER(I141)),AA141,"")</f>
        <v/>
      </c>
      <c r="AA141">
        <f>IFERROR(I141*1,0)</f>
        <v>0</v>
      </c>
    </row>
    <row r="142" ht="15" customHeight="1">
      <c r="I142" s="215" t="n"/>
      <c r="J142" s="215" t="n"/>
      <c r="K142" s="215" t="n"/>
      <c r="L142" s="215" t="n"/>
      <c r="M142" s="215" t="n"/>
      <c r="N142" s="215">
        <f>IF(ISNUMBER(I142),ROUND(I142-I142/1.081,2),"")</f>
        <v/>
      </c>
      <c r="O142" s="215">
        <f>IF(ISNUMBER(I142),I142-SUM(J142:N142),"")</f>
        <v/>
      </c>
      <c r="P142" s="216">
        <f>IFERROR(IF(AND(ISNUMBER(O142),ISNUMBER(I142),I142&lt;&gt;0),O142/I142,""),"")</f>
        <v/>
      </c>
      <c r="Q142" s="215">
        <f>IF(AND(ISNUMBER(I142),ISNUMBER(S142)),I142*IF(S142&lt;=1,S142,S142/100),IF(OR(I142&lt;&gt;"",S142&lt;&gt;""),"tbd",""))</f>
        <v/>
      </c>
      <c r="S142" s="217" t="n"/>
      <c r="Z142">
        <f>IF(AND(R142="WON",ISNUMBER(I142)),AA142,"")</f>
        <v/>
      </c>
      <c r="AA142">
        <f>IFERROR(I142*1,0)</f>
        <v>0</v>
      </c>
    </row>
    <row r="143" ht="15" customHeight="1">
      <c r="I143" s="215" t="n"/>
      <c r="J143" s="215" t="n"/>
      <c r="K143" s="215" t="n"/>
      <c r="L143" s="215" t="n"/>
      <c r="M143" s="215" t="n"/>
      <c r="N143" s="215">
        <f>IF(ISNUMBER(I143),ROUND(I143-I143/1.081,2),"")</f>
        <v/>
      </c>
      <c r="O143" s="215">
        <f>IF(ISNUMBER(I143),I143-SUM(J143:N143),"")</f>
        <v/>
      </c>
      <c r="P143" s="216">
        <f>IFERROR(IF(AND(ISNUMBER(O143),ISNUMBER(I143),I143&lt;&gt;0),O143/I143,""),"")</f>
        <v/>
      </c>
      <c r="Q143" s="215">
        <f>IF(AND(ISNUMBER(I143),ISNUMBER(S143)),I143*IF(S143&lt;=1,S143,S143/100),IF(OR(I143&lt;&gt;"",S143&lt;&gt;""),"tbd",""))</f>
        <v/>
      </c>
      <c r="S143" s="217" t="n"/>
      <c r="Z143">
        <f>IF(AND(R143="WON",ISNUMBER(I143)),AA143,"")</f>
        <v/>
      </c>
      <c r="AA143">
        <f>IFERROR(I143*1,0)</f>
        <v>0</v>
      </c>
    </row>
    <row r="144" ht="15" customHeight="1">
      <c r="I144" s="215" t="n"/>
      <c r="J144" s="215" t="n"/>
      <c r="K144" s="215" t="n"/>
      <c r="L144" s="215" t="n"/>
      <c r="M144" s="215" t="n"/>
      <c r="N144" s="215">
        <f>IF(ISNUMBER(I144),ROUND(I144-I144/1.081,2),"")</f>
        <v/>
      </c>
      <c r="O144" s="215">
        <f>IF(ISNUMBER(I144),I144-SUM(J144:N144),"")</f>
        <v/>
      </c>
      <c r="P144" s="216">
        <f>IFERROR(IF(AND(ISNUMBER(O144),ISNUMBER(I144),I144&lt;&gt;0),O144/I144,""),"")</f>
        <v/>
      </c>
      <c r="Q144" s="215">
        <f>IF(AND(ISNUMBER(I144),ISNUMBER(S144)),I144*IF(S144&lt;=1,S144,S144/100),IF(OR(I144&lt;&gt;"",S144&lt;&gt;""),"tbd",""))</f>
        <v/>
      </c>
      <c r="S144" s="217" t="n"/>
      <c r="Z144">
        <f>IF(AND(R144="WON",ISNUMBER(I144)),AA144,"")</f>
        <v/>
      </c>
      <c r="AA144">
        <f>IFERROR(I144*1,0)</f>
        <v>0</v>
      </c>
    </row>
    <row r="145" ht="15" customHeight="1">
      <c r="I145" s="215" t="n"/>
      <c r="J145" s="215" t="n"/>
      <c r="K145" s="215" t="n"/>
      <c r="L145" s="215" t="n"/>
      <c r="M145" s="215" t="n"/>
      <c r="N145" s="215">
        <f>IF(ISNUMBER(I145),ROUND(I145-I145/1.081,2),"")</f>
        <v/>
      </c>
      <c r="O145" s="215">
        <f>IF(ISNUMBER(I145),I145-SUM(J145:N145),"")</f>
        <v/>
      </c>
      <c r="P145" s="216">
        <f>IFERROR(IF(AND(ISNUMBER(O145),ISNUMBER(I145),I145&lt;&gt;0),O145/I145,""),"")</f>
        <v/>
      </c>
      <c r="Q145" s="215">
        <f>IF(AND(ISNUMBER(I145),ISNUMBER(S145)),I145*IF(S145&lt;=1,S145,S145/100),IF(OR(I145&lt;&gt;"",S145&lt;&gt;""),"tbd",""))</f>
        <v/>
      </c>
      <c r="S145" s="217" t="n"/>
      <c r="Z145">
        <f>IF(AND(R145="WON",ISNUMBER(I145)),AA145,"")</f>
        <v/>
      </c>
      <c r="AA145">
        <f>IFERROR(I145*1,0)</f>
        <v>0</v>
      </c>
    </row>
    <row r="146" ht="15" customHeight="1">
      <c r="I146" s="215" t="n"/>
      <c r="J146" s="215" t="n"/>
      <c r="K146" s="215" t="n"/>
      <c r="L146" s="215" t="n"/>
      <c r="M146" s="215" t="n"/>
      <c r="N146" s="215">
        <f>IF(ISNUMBER(I146),ROUND(I146-I146/1.081,2),"")</f>
        <v/>
      </c>
      <c r="O146" s="215">
        <f>IF(ISNUMBER(I146),I146-SUM(J146:N146),"")</f>
        <v/>
      </c>
      <c r="P146" s="216">
        <f>IFERROR(IF(AND(ISNUMBER(O146),ISNUMBER(I146),I146&lt;&gt;0),O146/I146,""),"")</f>
        <v/>
      </c>
      <c r="Q146" s="215">
        <f>IF(AND(ISNUMBER(I146),ISNUMBER(S146)),I146*IF(S146&lt;=1,S146,S146/100),IF(OR(I146&lt;&gt;"",S146&lt;&gt;""),"tbd",""))</f>
        <v/>
      </c>
      <c r="S146" s="217" t="n"/>
      <c r="Z146">
        <f>IF(AND(R146="WON",ISNUMBER(I146)),AA146,"")</f>
        <v/>
      </c>
      <c r="AA146">
        <f>IFERROR(I146*1,0)</f>
        <v>0</v>
      </c>
    </row>
    <row r="147" ht="15" customHeight="1">
      <c r="I147" s="215" t="n"/>
      <c r="J147" s="215" t="n"/>
      <c r="K147" s="215" t="n"/>
      <c r="L147" s="215" t="n"/>
      <c r="M147" s="215" t="n"/>
      <c r="N147" s="215">
        <f>IF(ISNUMBER(I147),ROUND(I147-I147/1.081,2),"")</f>
        <v/>
      </c>
      <c r="O147" s="215">
        <f>IF(ISNUMBER(I147),I147-SUM(J147:N147),"")</f>
        <v/>
      </c>
      <c r="P147" s="216">
        <f>IFERROR(IF(AND(ISNUMBER(O147),ISNUMBER(I147),I147&lt;&gt;0),O147/I147,""),"")</f>
        <v/>
      </c>
      <c r="Q147" s="215">
        <f>IF(AND(ISNUMBER(I147),ISNUMBER(S147)),I147*IF(S147&lt;=1,S147,S147/100),IF(OR(I147&lt;&gt;"",S147&lt;&gt;""),"tbd",""))</f>
        <v/>
      </c>
      <c r="S147" s="217" t="n"/>
      <c r="Z147">
        <f>IF(AND(R147="WON",ISNUMBER(I147)),AA147,"")</f>
        <v/>
      </c>
      <c r="AA147">
        <f>IFERROR(I147*1,0)</f>
        <v>0</v>
      </c>
    </row>
    <row r="148" ht="15" customHeight="1">
      <c r="I148" s="215" t="n"/>
      <c r="J148" s="215" t="n"/>
      <c r="K148" s="215" t="n"/>
      <c r="L148" s="215" t="n"/>
      <c r="M148" s="215" t="n"/>
      <c r="N148" s="215">
        <f>IF(ISNUMBER(I148),ROUND(I148-I148/1.081,2),"")</f>
        <v/>
      </c>
      <c r="O148" s="215">
        <f>IF(ISNUMBER(I148),I148-SUM(J148:N148),"")</f>
        <v/>
      </c>
      <c r="P148" s="216">
        <f>IFERROR(IF(AND(ISNUMBER(O148),ISNUMBER(I148),I148&lt;&gt;0),O148/I148,""),"")</f>
        <v/>
      </c>
      <c r="Q148" s="215">
        <f>IF(AND(ISNUMBER(I148),ISNUMBER(S148)),I148*IF(S148&lt;=1,S148,S148/100),IF(OR(I148&lt;&gt;"",S148&lt;&gt;""),"tbd",""))</f>
        <v/>
      </c>
      <c r="S148" s="217" t="n"/>
      <c r="Z148">
        <f>IF(AND(R148="WON",ISNUMBER(I148)),AA148,"")</f>
        <v/>
      </c>
      <c r="AA148">
        <f>IFERROR(I148*1,0)</f>
        <v>0</v>
      </c>
    </row>
    <row r="149" ht="15" customHeight="1">
      <c r="I149" s="215" t="n"/>
      <c r="J149" s="215" t="n"/>
      <c r="K149" s="215" t="n"/>
      <c r="L149" s="215" t="n"/>
      <c r="M149" s="215" t="n"/>
      <c r="N149" s="215">
        <f>IF(ISNUMBER(I149),ROUND(I149-I149/1.081,2),"")</f>
        <v/>
      </c>
      <c r="O149" s="215">
        <f>IF(ISNUMBER(I149),I149-SUM(J149:N149),"")</f>
        <v/>
      </c>
      <c r="P149" s="216">
        <f>IFERROR(IF(AND(ISNUMBER(O149),ISNUMBER(I149),I149&lt;&gt;0),O149/I149,""),"")</f>
        <v/>
      </c>
      <c r="Q149" s="215">
        <f>IF(AND(ISNUMBER(I149),ISNUMBER(S149)),I149*IF(S149&lt;=1,S149,S149/100),IF(OR(I149&lt;&gt;"",S149&lt;&gt;""),"tbd",""))</f>
        <v/>
      </c>
      <c r="S149" s="217" t="n"/>
      <c r="Z149">
        <f>IF(AND(R149="WON",ISNUMBER(I149)),AA149,"")</f>
        <v/>
      </c>
      <c r="AA149">
        <f>IFERROR(I149*1,0)</f>
        <v>0</v>
      </c>
    </row>
    <row r="150" ht="15" customHeight="1">
      <c r="I150" s="215" t="n"/>
      <c r="J150" s="215" t="n"/>
      <c r="K150" s="215" t="n"/>
      <c r="L150" s="215" t="n"/>
      <c r="M150" s="215" t="n"/>
      <c r="N150" s="215">
        <f>IF(ISNUMBER(I150),ROUND(I150-I150/1.081,2),"")</f>
        <v/>
      </c>
      <c r="O150" s="215">
        <f>IF(ISNUMBER(I150),I150-SUM(J150:N150),"")</f>
        <v/>
      </c>
      <c r="P150" s="216">
        <f>IFERROR(IF(AND(ISNUMBER(O150),ISNUMBER(I150),I150&lt;&gt;0),O150/I150,""),"")</f>
        <v/>
      </c>
      <c r="Q150" s="215">
        <f>IF(AND(ISNUMBER(I150),ISNUMBER(S150)),I150*IF(S150&lt;=1,S150,S150/100),IF(OR(I150&lt;&gt;"",S150&lt;&gt;""),"tbd",""))</f>
        <v/>
      </c>
      <c r="S150" s="217" t="n"/>
      <c r="Z150">
        <f>IF(AND(R150="WON",ISNUMBER(I150)),AA150,"")</f>
        <v/>
      </c>
      <c r="AA150">
        <f>IFERROR(I150*1,0)</f>
        <v>0</v>
      </c>
    </row>
    <row r="151" ht="15" customHeight="1">
      <c r="I151" s="215" t="n"/>
      <c r="J151" s="215" t="n"/>
      <c r="K151" s="215" t="n"/>
      <c r="L151" s="215" t="n"/>
      <c r="M151" s="215" t="n"/>
      <c r="N151" s="215">
        <f>IF(ISNUMBER(I151),ROUND(I151-I151/1.081,2),"")</f>
        <v/>
      </c>
      <c r="O151" s="215">
        <f>IF(ISNUMBER(I151),I151-SUM(J151:N151),"")</f>
        <v/>
      </c>
      <c r="P151" s="216">
        <f>IFERROR(IF(AND(ISNUMBER(O151),ISNUMBER(I151),I151&lt;&gt;0),O151/I151,""),"")</f>
        <v/>
      </c>
      <c r="Q151" s="215">
        <f>IF(AND(ISNUMBER(I151),ISNUMBER(S151)),I151*IF(S151&lt;=1,S151,S151/100),IF(OR(I151&lt;&gt;"",S151&lt;&gt;""),"tbd",""))</f>
        <v/>
      </c>
      <c r="S151" s="217" t="n"/>
      <c r="Z151">
        <f>IF(AND(R151="WON",ISNUMBER(I151)),AA151,"")</f>
        <v/>
      </c>
      <c r="AA151">
        <f>IFERROR(I151*1,0)</f>
        <v>0</v>
      </c>
    </row>
    <row r="152" ht="15" customHeight="1">
      <c r="I152" s="215" t="n"/>
      <c r="J152" s="215" t="n"/>
      <c r="K152" s="215" t="n"/>
      <c r="L152" s="215" t="n"/>
      <c r="M152" s="215" t="n"/>
      <c r="N152" s="215">
        <f>IF(ISNUMBER(I152),ROUND(I152-I152/1.081,2),"")</f>
        <v/>
      </c>
      <c r="O152" s="215">
        <f>IF(ISNUMBER(I152),I152-SUM(J152:N152),"")</f>
        <v/>
      </c>
      <c r="P152" s="216">
        <f>IFERROR(IF(AND(ISNUMBER(O152),ISNUMBER(I152),I152&lt;&gt;0),O152/I152,""),"")</f>
        <v/>
      </c>
      <c r="Q152" s="215">
        <f>IF(AND(ISNUMBER(I152),ISNUMBER(S152)),I152*IF(S152&lt;=1,S152,S152/100),IF(OR(I152&lt;&gt;"",S152&lt;&gt;""),"tbd",""))</f>
        <v/>
      </c>
      <c r="S152" s="217" t="n"/>
      <c r="Z152">
        <f>IF(AND(R152="WON",ISNUMBER(I152)),AA152,"")</f>
        <v/>
      </c>
      <c r="AA152">
        <f>IFERROR(I152*1,0)</f>
        <v>0</v>
      </c>
    </row>
    <row r="153" ht="15" customHeight="1">
      <c r="I153" s="215" t="n"/>
      <c r="J153" s="215" t="n"/>
      <c r="K153" s="215" t="n"/>
      <c r="L153" s="215" t="n"/>
      <c r="M153" s="215" t="n"/>
      <c r="N153" s="215">
        <f>IF(ISNUMBER(I153),ROUND(I153-I153/1.081,2),"")</f>
        <v/>
      </c>
      <c r="O153" s="215">
        <f>IF(ISNUMBER(I153),I153-SUM(J153:N153),"")</f>
        <v/>
      </c>
      <c r="P153" s="216">
        <f>IFERROR(IF(AND(ISNUMBER(O153),ISNUMBER(I153),I153&lt;&gt;0),O153/I153,""),"")</f>
        <v/>
      </c>
      <c r="Q153" s="215">
        <f>IF(AND(ISNUMBER(I153),ISNUMBER(S153)),I153*IF(S153&lt;=1,S153,S153/100),IF(OR(I153&lt;&gt;"",S153&lt;&gt;""),"tbd",""))</f>
        <v/>
      </c>
      <c r="S153" s="217" t="n"/>
      <c r="Z153">
        <f>IF(AND(R153="WON",ISNUMBER(I153)),AA153,"")</f>
        <v/>
      </c>
      <c r="AA153">
        <f>IFERROR(I153*1,0)</f>
        <v>0</v>
      </c>
    </row>
    <row r="154" ht="15" customHeight="1">
      <c r="I154" s="215" t="n"/>
      <c r="J154" s="215" t="n"/>
      <c r="K154" s="215" t="n"/>
      <c r="L154" s="215" t="n"/>
      <c r="M154" s="215" t="n"/>
      <c r="N154" s="215">
        <f>IF(ISNUMBER(I154),ROUND(I154-I154/1.081,2),"")</f>
        <v/>
      </c>
      <c r="O154" s="215">
        <f>IF(ISNUMBER(I154),I154-SUM(J154:N154),"")</f>
        <v/>
      </c>
      <c r="P154" s="216">
        <f>IFERROR(IF(AND(ISNUMBER(O154),ISNUMBER(I154),I154&lt;&gt;0),O154/I154,""),"")</f>
        <v/>
      </c>
      <c r="Q154" s="215">
        <f>IF(AND(ISNUMBER(I154),ISNUMBER(S154)),I154*IF(S154&lt;=1,S154,S154/100),IF(OR(I154&lt;&gt;"",S154&lt;&gt;""),"tbd",""))</f>
        <v/>
      </c>
      <c r="S154" s="217" t="n"/>
      <c r="Z154">
        <f>IF(AND(R154="WON",ISNUMBER(I154)),AA154,"")</f>
        <v/>
      </c>
      <c r="AA154">
        <f>IFERROR(I154*1,0)</f>
        <v>0</v>
      </c>
    </row>
    <row r="155" ht="15" customHeight="1">
      <c r="I155" s="215" t="n"/>
      <c r="J155" s="215" t="n"/>
      <c r="K155" s="215" t="n"/>
      <c r="L155" s="215" t="n"/>
      <c r="M155" s="215" t="n"/>
      <c r="N155" s="215">
        <f>IF(ISNUMBER(I155),ROUND(I155-I155/1.081,2),"")</f>
        <v/>
      </c>
      <c r="O155" s="215">
        <f>IF(ISNUMBER(I155),I155-SUM(J155:N155),"")</f>
        <v/>
      </c>
      <c r="P155" s="216">
        <f>IFERROR(IF(AND(ISNUMBER(O155),ISNUMBER(I155),I155&lt;&gt;0),O155/I155,""),"")</f>
        <v/>
      </c>
      <c r="Q155" s="215">
        <f>IF(AND(ISNUMBER(I155),ISNUMBER(S155)),I155*IF(S155&lt;=1,S155,S155/100),IF(OR(I155&lt;&gt;"",S155&lt;&gt;""),"tbd",""))</f>
        <v/>
      </c>
      <c r="S155" s="217" t="n"/>
      <c r="Z155">
        <f>IF(AND(R155="WON",ISNUMBER(I155)),AA155,"")</f>
        <v/>
      </c>
      <c r="AA155">
        <f>IFERROR(I155*1,0)</f>
        <v>0</v>
      </c>
    </row>
    <row r="156" ht="15" customHeight="1">
      <c r="I156" s="215" t="n"/>
      <c r="J156" s="215" t="n"/>
      <c r="K156" s="215" t="n"/>
      <c r="L156" s="215" t="n"/>
      <c r="M156" s="215" t="n"/>
      <c r="N156" s="215">
        <f>IF(ISNUMBER(I156),ROUND(I156-I156/1.081,2),"")</f>
        <v/>
      </c>
      <c r="O156" s="215">
        <f>IF(ISNUMBER(I156),I156-SUM(J156:N156),"")</f>
        <v/>
      </c>
      <c r="P156" s="216">
        <f>IFERROR(IF(AND(ISNUMBER(O156),ISNUMBER(I156),I156&lt;&gt;0),O156/I156,""),"")</f>
        <v/>
      </c>
      <c r="Q156" s="215">
        <f>IF(AND(ISNUMBER(I156),ISNUMBER(S156)),I156*IF(S156&lt;=1,S156,S156/100),IF(OR(I156&lt;&gt;"",S156&lt;&gt;""),"tbd",""))</f>
        <v/>
      </c>
      <c r="S156" s="217" t="n"/>
      <c r="Z156">
        <f>IF(AND(R156="WON",ISNUMBER(I156)),AA156,"")</f>
        <v/>
      </c>
      <c r="AA156">
        <f>IFERROR(I156*1,0)</f>
        <v>0</v>
      </c>
    </row>
    <row r="157" ht="15" customHeight="1">
      <c r="I157" s="215" t="n"/>
      <c r="J157" s="215" t="n"/>
      <c r="K157" s="215" t="n"/>
      <c r="L157" s="215" t="n"/>
      <c r="M157" s="215" t="n"/>
      <c r="N157" s="215">
        <f>IF(ISNUMBER(I157),ROUND(I157-I157/1.081,2),"")</f>
        <v/>
      </c>
      <c r="O157" s="215">
        <f>IF(ISNUMBER(I157),I157-SUM(J157:N157),"")</f>
        <v/>
      </c>
      <c r="P157" s="216">
        <f>IFERROR(IF(AND(ISNUMBER(O157),ISNUMBER(I157),I157&lt;&gt;0),O157/I157,""),"")</f>
        <v/>
      </c>
      <c r="Q157" s="215">
        <f>IF(AND(ISNUMBER(I157),ISNUMBER(S157)),I157*IF(S157&lt;=1,S157,S157/100),IF(OR(I157&lt;&gt;"",S157&lt;&gt;""),"tbd",""))</f>
        <v/>
      </c>
      <c r="S157" s="217" t="n"/>
      <c r="Z157">
        <f>IF(AND(R157="WON",ISNUMBER(I157)),AA157,"")</f>
        <v/>
      </c>
      <c r="AA157">
        <f>IFERROR(I157*1,0)</f>
        <v>0</v>
      </c>
    </row>
    <row r="158" ht="15" customHeight="1">
      <c r="I158" s="215" t="n"/>
      <c r="J158" s="215" t="n"/>
      <c r="K158" s="215" t="n"/>
      <c r="L158" s="215" t="n"/>
      <c r="M158" s="215" t="n"/>
      <c r="N158" s="215">
        <f>IF(ISNUMBER(I158),ROUND(I158-I158/1.081,2),"")</f>
        <v/>
      </c>
      <c r="O158" s="215">
        <f>IF(ISNUMBER(I158),I158-SUM(J158:N158),"")</f>
        <v/>
      </c>
      <c r="P158" s="216">
        <f>IFERROR(IF(AND(ISNUMBER(O158),ISNUMBER(I158),I158&lt;&gt;0),O158/I158,""),"")</f>
        <v/>
      </c>
      <c r="Q158" s="215">
        <f>IF(AND(ISNUMBER(I158),ISNUMBER(S158)),I158*IF(S158&lt;=1,S158,S158/100),IF(OR(I158&lt;&gt;"",S158&lt;&gt;""),"tbd",""))</f>
        <v/>
      </c>
      <c r="S158" s="217" t="n"/>
      <c r="Z158">
        <f>IF(AND(R158="WON",ISNUMBER(I158)),AA158,"")</f>
        <v/>
      </c>
      <c r="AA158">
        <f>IFERROR(I158*1,0)</f>
        <v>0</v>
      </c>
    </row>
    <row r="159" ht="15" customHeight="1">
      <c r="I159" s="215" t="n"/>
      <c r="J159" s="215" t="n"/>
      <c r="K159" s="215" t="n"/>
      <c r="L159" s="215" t="n"/>
      <c r="M159" s="215" t="n"/>
      <c r="N159" s="215">
        <f>IF(ISNUMBER(I159),ROUND(I159-I159/1.081,2),"")</f>
        <v/>
      </c>
      <c r="O159" s="215">
        <f>IF(ISNUMBER(I159),I159-SUM(J159:N159),"")</f>
        <v/>
      </c>
      <c r="P159" s="216">
        <f>IFERROR(IF(AND(ISNUMBER(O159),ISNUMBER(I159),I159&lt;&gt;0),O159/I159,""),"")</f>
        <v/>
      </c>
      <c r="Q159" s="215">
        <f>IF(AND(ISNUMBER(I159),ISNUMBER(S159)),I159*IF(S159&lt;=1,S159,S159/100),IF(OR(I159&lt;&gt;"",S159&lt;&gt;""),"tbd",""))</f>
        <v/>
      </c>
      <c r="S159" s="217" t="n"/>
      <c r="Z159">
        <f>IF(AND(R159="WON",ISNUMBER(I159)),AA159,"")</f>
        <v/>
      </c>
      <c r="AA159">
        <f>IFERROR(I159*1,0)</f>
        <v>0</v>
      </c>
    </row>
    <row r="160" ht="15" customHeight="1">
      <c r="I160" s="215" t="n"/>
      <c r="J160" s="215" t="n"/>
      <c r="K160" s="215" t="n"/>
      <c r="L160" s="215" t="n"/>
      <c r="M160" s="215" t="n"/>
      <c r="N160" s="215">
        <f>IF(ISNUMBER(I160),ROUND(I160-I160/1.081,2),"")</f>
        <v/>
      </c>
      <c r="O160" s="215">
        <f>IF(ISNUMBER(I160),I160-SUM(J160:N160),"")</f>
        <v/>
      </c>
      <c r="P160" s="216">
        <f>IFERROR(IF(AND(ISNUMBER(O160),ISNUMBER(I160),I160&lt;&gt;0),O160/I160,""),"")</f>
        <v/>
      </c>
      <c r="Q160" s="215">
        <f>IF(AND(ISNUMBER(I160),ISNUMBER(S160)),I160*IF(S160&lt;=1,S160,S160/100),IF(OR(I160&lt;&gt;"",S160&lt;&gt;""),"tbd",""))</f>
        <v/>
      </c>
      <c r="S160" s="217" t="n"/>
      <c r="Z160">
        <f>IF(AND(R160="WON",ISNUMBER(I160)),AA160,"")</f>
        <v/>
      </c>
      <c r="AA160">
        <f>IFERROR(I160*1,0)</f>
        <v>0</v>
      </c>
    </row>
    <row r="161" ht="15" customHeight="1">
      <c r="I161" s="215" t="n"/>
      <c r="J161" s="215" t="n"/>
      <c r="K161" s="215" t="n"/>
      <c r="L161" s="215" t="n"/>
      <c r="M161" s="215" t="n"/>
      <c r="N161" s="215">
        <f>IF(ISNUMBER(I161),ROUND(I161-I161/1.081,2),"")</f>
        <v/>
      </c>
      <c r="O161" s="215">
        <f>IF(ISNUMBER(I161),I161-SUM(J161:N161),"")</f>
        <v/>
      </c>
      <c r="P161" s="216">
        <f>IFERROR(IF(AND(ISNUMBER(O161),ISNUMBER(I161),I161&lt;&gt;0),O161/I161,""),"")</f>
        <v/>
      </c>
      <c r="Q161" s="215">
        <f>IF(AND(ISNUMBER(I161),ISNUMBER(S161)),I161*IF(S161&lt;=1,S161,S161/100),IF(OR(I161&lt;&gt;"",S161&lt;&gt;""),"tbd",""))</f>
        <v/>
      </c>
      <c r="S161" s="217" t="n"/>
      <c r="Z161">
        <f>IF(AND(R161="WON",ISNUMBER(I161)),AA161,"")</f>
        <v/>
      </c>
      <c r="AA161">
        <f>IFERROR(I161*1,0)</f>
        <v>0</v>
      </c>
    </row>
    <row r="162" ht="15" customHeight="1">
      <c r="I162" s="215" t="n"/>
      <c r="J162" s="215" t="n"/>
      <c r="K162" s="215" t="n"/>
      <c r="L162" s="215" t="n"/>
      <c r="M162" s="215" t="n"/>
      <c r="N162" s="215">
        <f>IF(ISNUMBER(I162),ROUND(I162-I162/1.081,2),"")</f>
        <v/>
      </c>
      <c r="O162" s="215">
        <f>IF(ISNUMBER(I162),I162-SUM(J162:N162),"")</f>
        <v/>
      </c>
      <c r="P162" s="216">
        <f>IFERROR(IF(AND(ISNUMBER(O162),ISNUMBER(I162),I162&lt;&gt;0),O162/I162,""),"")</f>
        <v/>
      </c>
      <c r="Q162" s="215">
        <f>IF(AND(ISNUMBER(I162),ISNUMBER(S162)),I162*IF(S162&lt;=1,S162,S162/100),IF(OR(I162&lt;&gt;"",S162&lt;&gt;""),"tbd",""))</f>
        <v/>
      </c>
      <c r="S162" s="217" t="n"/>
      <c r="Z162">
        <f>IF(AND(R162="WON",ISNUMBER(I162)),AA162,"")</f>
        <v/>
      </c>
      <c r="AA162">
        <f>IFERROR(I162*1,0)</f>
        <v>0</v>
      </c>
    </row>
    <row r="163" ht="15" customHeight="1">
      <c r="I163" s="215" t="n"/>
      <c r="J163" s="215" t="n"/>
      <c r="K163" s="215" t="n"/>
      <c r="L163" s="215" t="n"/>
      <c r="M163" s="215" t="n"/>
      <c r="N163" s="215">
        <f>IF(ISNUMBER(I163),ROUND(I163-I163/1.081,2),"")</f>
        <v/>
      </c>
      <c r="O163" s="215">
        <f>IF(ISNUMBER(I163),I163-SUM(J163:N163),"")</f>
        <v/>
      </c>
      <c r="P163" s="216">
        <f>IFERROR(IF(AND(ISNUMBER(O163),ISNUMBER(I163),I163&lt;&gt;0),O163/I163,""),"")</f>
        <v/>
      </c>
      <c r="Q163" s="215">
        <f>IF(AND(ISNUMBER(I163),ISNUMBER(S163)),I163*IF(S163&lt;=1,S163,S163/100),IF(OR(I163&lt;&gt;"",S163&lt;&gt;""),"tbd",""))</f>
        <v/>
      </c>
      <c r="S163" s="217" t="n"/>
      <c r="Z163">
        <f>IF(AND(R163="WON",ISNUMBER(I163)),AA163,"")</f>
        <v/>
      </c>
      <c r="AA163">
        <f>IFERROR(I163*1,0)</f>
        <v>0</v>
      </c>
    </row>
    <row r="164" ht="15" customHeight="1">
      <c r="I164" s="215" t="n"/>
      <c r="J164" s="215" t="n"/>
      <c r="K164" s="215" t="n"/>
      <c r="L164" s="215" t="n"/>
      <c r="M164" s="215" t="n"/>
      <c r="N164" s="215">
        <f>IF(ISNUMBER(I164),ROUND(I164-I164/1.081,2),"")</f>
        <v/>
      </c>
      <c r="O164" s="215">
        <f>IF(ISNUMBER(I164),I164-SUM(J164:N164),"")</f>
        <v/>
      </c>
      <c r="P164" s="216">
        <f>IFERROR(IF(AND(ISNUMBER(O164),ISNUMBER(I164),I164&lt;&gt;0),O164/I164,""),"")</f>
        <v/>
      </c>
      <c r="Q164" s="215">
        <f>IF(AND(ISNUMBER(I164),ISNUMBER(S164)),I164*IF(S164&lt;=1,S164,S164/100),IF(OR(I164&lt;&gt;"",S164&lt;&gt;""),"tbd",""))</f>
        <v/>
      </c>
      <c r="S164" s="217" t="n"/>
      <c r="Z164">
        <f>IF(AND(R164="WON",ISNUMBER(I164)),AA164,"")</f>
        <v/>
      </c>
      <c r="AA164">
        <f>IFERROR(I164*1,0)</f>
        <v>0</v>
      </c>
    </row>
    <row r="165" ht="15" customHeight="1">
      <c r="I165" s="215" t="n"/>
      <c r="J165" s="215" t="n"/>
      <c r="K165" s="215" t="n"/>
      <c r="L165" s="215" t="n"/>
      <c r="M165" s="215" t="n"/>
      <c r="N165" s="215">
        <f>IF(ISNUMBER(I165),ROUND(I165-I165/1.081,2),"")</f>
        <v/>
      </c>
      <c r="O165" s="215">
        <f>IF(ISNUMBER(I165),I165-SUM(J165:N165),"")</f>
        <v/>
      </c>
      <c r="P165" s="216">
        <f>IFERROR(IF(AND(ISNUMBER(O165),ISNUMBER(I165),I165&lt;&gt;0),O165/I165,""),"")</f>
        <v/>
      </c>
      <c r="Q165" s="215">
        <f>IF(AND(ISNUMBER(I165),ISNUMBER(S165)),I165*IF(S165&lt;=1,S165,S165/100),IF(OR(I165&lt;&gt;"",S165&lt;&gt;""),"tbd",""))</f>
        <v/>
      </c>
      <c r="S165" s="217" t="n"/>
      <c r="Z165">
        <f>IF(AND(R165="WON",ISNUMBER(I165)),AA165,"")</f>
        <v/>
      </c>
      <c r="AA165">
        <f>IFERROR(I165*1,0)</f>
        <v>0</v>
      </c>
    </row>
    <row r="166" ht="15" customHeight="1">
      <c r="I166" s="215" t="n"/>
      <c r="J166" s="215" t="n"/>
      <c r="K166" s="215" t="n"/>
      <c r="L166" s="215" t="n"/>
      <c r="M166" s="215" t="n"/>
      <c r="N166" s="215">
        <f>IF(ISNUMBER(I166),ROUND(I166-I166/1.081,2),"")</f>
        <v/>
      </c>
      <c r="O166" s="215">
        <f>IF(ISNUMBER(I166),I166-SUM(J166:N166),"")</f>
        <v/>
      </c>
      <c r="P166" s="216">
        <f>IFERROR(IF(AND(ISNUMBER(O166),ISNUMBER(I166),I166&lt;&gt;0),O166/I166,""),"")</f>
        <v/>
      </c>
      <c r="Q166" s="215">
        <f>IF(AND(ISNUMBER(I166),ISNUMBER(S166)),I166*IF(S166&lt;=1,S166,S166/100),IF(OR(I166&lt;&gt;"",S166&lt;&gt;""),"tbd",""))</f>
        <v/>
      </c>
      <c r="S166" s="217" t="n"/>
      <c r="Z166">
        <f>IF(AND(R166="WON",ISNUMBER(I166)),AA166,"")</f>
        <v/>
      </c>
      <c r="AA166">
        <f>IFERROR(I166*1,0)</f>
        <v>0</v>
      </c>
    </row>
    <row r="167" ht="15" customHeight="1">
      <c r="I167" s="215" t="n"/>
      <c r="J167" s="215" t="n"/>
      <c r="K167" s="215" t="n"/>
      <c r="L167" s="215" t="n"/>
      <c r="M167" s="215" t="n"/>
      <c r="N167" s="215">
        <f>IF(ISNUMBER(I167),ROUND(I167-I167/1.081,2),"")</f>
        <v/>
      </c>
      <c r="O167" s="215">
        <f>IF(ISNUMBER(I167),I167-SUM(J167:N167),"")</f>
        <v/>
      </c>
      <c r="P167" s="216">
        <f>IFERROR(IF(AND(ISNUMBER(O167),ISNUMBER(I167),I167&lt;&gt;0),O167/I167,""),"")</f>
        <v/>
      </c>
      <c r="Q167" s="215">
        <f>IF(AND(ISNUMBER(I167),ISNUMBER(S167)),I167*IF(S167&lt;=1,S167,S167/100),IF(OR(I167&lt;&gt;"",S167&lt;&gt;""),"tbd",""))</f>
        <v/>
      </c>
      <c r="S167" s="217" t="n"/>
      <c r="Z167">
        <f>IF(AND(R167="WON",ISNUMBER(I167)),AA167,"")</f>
        <v/>
      </c>
      <c r="AA167">
        <f>IFERROR(I167*1,0)</f>
        <v>0</v>
      </c>
    </row>
    <row r="168" ht="15" customHeight="1">
      <c r="I168" s="215" t="n"/>
      <c r="J168" s="215" t="n"/>
      <c r="K168" s="215" t="n"/>
      <c r="L168" s="215" t="n"/>
      <c r="M168" s="215" t="n"/>
      <c r="N168" s="215">
        <f>IF(ISNUMBER(I168),ROUND(I168-I168/1.081,2),"")</f>
        <v/>
      </c>
      <c r="O168" s="215">
        <f>IF(ISNUMBER(I168),I168-SUM(J168:N168),"")</f>
        <v/>
      </c>
      <c r="P168" s="216">
        <f>IFERROR(IF(AND(ISNUMBER(O168),ISNUMBER(I168),I168&lt;&gt;0),O168/I168,""),"")</f>
        <v/>
      </c>
      <c r="Q168" s="215">
        <f>IF(AND(ISNUMBER(I168),ISNUMBER(S168)),I168*IF(S168&lt;=1,S168,S168/100),IF(OR(I168&lt;&gt;"",S168&lt;&gt;""),"tbd",""))</f>
        <v/>
      </c>
      <c r="S168" s="217" t="n"/>
      <c r="Z168">
        <f>IF(AND(R168="WON",ISNUMBER(I168)),AA168,"")</f>
        <v/>
      </c>
      <c r="AA168">
        <f>IFERROR(I168*1,0)</f>
        <v>0</v>
      </c>
    </row>
    <row r="169" ht="15" customHeight="1">
      <c r="I169" s="215" t="n"/>
      <c r="J169" s="215" t="n"/>
      <c r="K169" s="215" t="n"/>
      <c r="L169" s="215" t="n"/>
      <c r="M169" s="215" t="n"/>
      <c r="N169" s="215">
        <f>IF(ISNUMBER(I169),ROUND(I169-I169/1.081,2),"")</f>
        <v/>
      </c>
      <c r="O169" s="215">
        <f>IF(ISNUMBER(I169),I169-SUM(J169:N169),"")</f>
        <v/>
      </c>
      <c r="P169" s="216">
        <f>IFERROR(IF(AND(ISNUMBER(O169),ISNUMBER(I169),I169&lt;&gt;0),O169/I169,""),"")</f>
        <v/>
      </c>
      <c r="Q169" s="215">
        <f>IF(AND(ISNUMBER(I169),ISNUMBER(S169)),I169*IF(S169&lt;=1,S169,S169/100),IF(OR(I169&lt;&gt;"",S169&lt;&gt;""),"tbd",""))</f>
        <v/>
      </c>
      <c r="S169" s="217" t="n"/>
      <c r="Z169">
        <f>IF(AND(R169="WON",ISNUMBER(I169)),AA169,"")</f>
        <v/>
      </c>
      <c r="AA169">
        <f>IFERROR(I169*1,0)</f>
        <v>0</v>
      </c>
    </row>
    <row r="170" ht="15" customHeight="1">
      <c r="I170" s="215" t="n"/>
      <c r="J170" s="215" t="n"/>
      <c r="K170" s="215" t="n"/>
      <c r="L170" s="215" t="n"/>
      <c r="M170" s="215" t="n"/>
      <c r="N170" s="215">
        <f>IF(ISNUMBER(I170),ROUND(I170-I170/1.081,2),"")</f>
        <v/>
      </c>
      <c r="O170" s="215">
        <f>IF(ISNUMBER(I170),I170-SUM(J170:N170),"")</f>
        <v/>
      </c>
      <c r="P170" s="216">
        <f>IFERROR(IF(AND(ISNUMBER(O170),ISNUMBER(I170),I170&lt;&gt;0),O170/I170,""),"")</f>
        <v/>
      </c>
      <c r="Q170" s="215">
        <f>IF(AND(ISNUMBER(I170),ISNUMBER(S170)),I170*IF(S170&lt;=1,S170,S170/100),IF(OR(I170&lt;&gt;"",S170&lt;&gt;""),"tbd",""))</f>
        <v/>
      </c>
      <c r="S170" s="217" t="n"/>
      <c r="Z170">
        <f>IF(AND(R170="WON",ISNUMBER(I170)),AA170,"")</f>
        <v/>
      </c>
      <c r="AA170">
        <f>IFERROR(I170*1,0)</f>
        <v>0</v>
      </c>
    </row>
    <row r="171" ht="15" customHeight="1">
      <c r="I171" s="215" t="n"/>
      <c r="J171" s="215" t="n"/>
      <c r="K171" s="215" t="n"/>
      <c r="L171" s="215" t="n"/>
      <c r="M171" s="215" t="n"/>
      <c r="N171" s="215">
        <f>IF(ISNUMBER(I171),ROUND(I171-I171/1.081,2),"")</f>
        <v/>
      </c>
      <c r="O171" s="215">
        <f>IF(ISNUMBER(I171),I171-SUM(J171:N171),"")</f>
        <v/>
      </c>
      <c r="P171" s="216">
        <f>IFERROR(IF(AND(ISNUMBER(O171),ISNUMBER(I171),I171&lt;&gt;0),O171/I171,""),"")</f>
        <v/>
      </c>
      <c r="Q171" s="215">
        <f>IF(AND(ISNUMBER(I171),ISNUMBER(S171)),I171*IF(S171&lt;=1,S171,S171/100),IF(OR(I171&lt;&gt;"",S171&lt;&gt;""),"tbd",""))</f>
        <v/>
      </c>
      <c r="S171" s="217" t="n"/>
      <c r="Z171">
        <f>IF(AND(R171="WON",ISNUMBER(I171)),AA171,"")</f>
        <v/>
      </c>
      <c r="AA171">
        <f>IFERROR(I171*1,0)</f>
        <v>0</v>
      </c>
    </row>
    <row r="172" ht="15" customHeight="1">
      <c r="I172" s="215" t="n"/>
      <c r="J172" s="215" t="n"/>
      <c r="K172" s="215" t="n"/>
      <c r="L172" s="215" t="n"/>
      <c r="M172" s="215" t="n"/>
      <c r="N172" s="215">
        <f>IF(ISNUMBER(I172),ROUND(I172-I172/1.081,2),"")</f>
        <v/>
      </c>
      <c r="O172" s="215">
        <f>IF(ISNUMBER(I172),I172-SUM(J172:N172),"")</f>
        <v/>
      </c>
      <c r="P172" s="216">
        <f>IFERROR(IF(AND(ISNUMBER(O172),ISNUMBER(I172),I172&lt;&gt;0),O172/I172,""),"")</f>
        <v/>
      </c>
      <c r="Q172" s="215">
        <f>IF(AND(ISNUMBER(I172),ISNUMBER(S172)),I172*IF(S172&lt;=1,S172,S172/100),IF(OR(I172&lt;&gt;"",S172&lt;&gt;""),"tbd",""))</f>
        <v/>
      </c>
      <c r="S172" s="217" t="n"/>
      <c r="Z172">
        <f>IF(AND(R172="WON",ISNUMBER(I172)),AA172,"")</f>
        <v/>
      </c>
      <c r="AA172">
        <f>IFERROR(I172*1,0)</f>
        <v>0</v>
      </c>
    </row>
    <row r="173" ht="15" customHeight="1">
      <c r="I173" s="215" t="n"/>
      <c r="J173" s="215" t="n"/>
      <c r="K173" s="215" t="n"/>
      <c r="L173" s="215" t="n"/>
      <c r="M173" s="215" t="n"/>
      <c r="N173" s="215">
        <f>IF(ISNUMBER(I173),ROUND(I173-I173/1.081,2),"")</f>
        <v/>
      </c>
      <c r="O173" s="215">
        <f>IF(ISNUMBER(I173),I173-SUM(J173:N173),"")</f>
        <v/>
      </c>
      <c r="P173" s="216">
        <f>IFERROR(IF(AND(ISNUMBER(O173),ISNUMBER(I173),I173&lt;&gt;0),O173/I173,""),"")</f>
        <v/>
      </c>
      <c r="Q173" s="215">
        <f>IF(AND(ISNUMBER(I173),ISNUMBER(S173)),I173*IF(S173&lt;=1,S173,S173/100),IF(OR(I173&lt;&gt;"",S173&lt;&gt;""),"tbd",""))</f>
        <v/>
      </c>
      <c r="S173" s="217" t="n"/>
      <c r="Z173">
        <f>IF(AND(R173="WON",ISNUMBER(I173)),AA173,"")</f>
        <v/>
      </c>
      <c r="AA173">
        <f>IFERROR(I173*1,0)</f>
        <v>0</v>
      </c>
    </row>
    <row r="174" ht="15" customHeight="1">
      <c r="I174" s="215" t="n"/>
      <c r="J174" s="215" t="n"/>
      <c r="K174" s="215" t="n"/>
      <c r="L174" s="215" t="n"/>
      <c r="M174" s="215" t="n"/>
      <c r="N174" s="215">
        <f>IF(ISNUMBER(I174),ROUND(I174-I174/1.081,2),"")</f>
        <v/>
      </c>
      <c r="O174" s="215">
        <f>IF(ISNUMBER(I174),I174-SUM(J174:N174),"")</f>
        <v/>
      </c>
      <c r="P174" s="216">
        <f>IFERROR(IF(AND(ISNUMBER(O174),ISNUMBER(I174),I174&lt;&gt;0),O174/I174,""),"")</f>
        <v/>
      </c>
      <c r="Q174" s="215">
        <f>IF(AND(ISNUMBER(I174),ISNUMBER(S174)),I174*IF(S174&lt;=1,S174,S174/100),IF(OR(I174&lt;&gt;"",S174&lt;&gt;""),"tbd",""))</f>
        <v/>
      </c>
      <c r="S174" s="217" t="n"/>
      <c r="Z174">
        <f>IF(AND(R174="WON",ISNUMBER(I174)),AA174,"")</f>
        <v/>
      </c>
      <c r="AA174">
        <f>IFERROR(I174*1,0)</f>
        <v>0</v>
      </c>
    </row>
    <row r="175" ht="15" customHeight="1">
      <c r="I175" s="215" t="n"/>
      <c r="J175" s="215" t="n"/>
      <c r="K175" s="215" t="n"/>
      <c r="L175" s="215" t="n"/>
      <c r="M175" s="215" t="n"/>
      <c r="N175" s="215">
        <f>IF(ISNUMBER(I175),ROUND(I175-I175/1.081,2),"")</f>
        <v/>
      </c>
      <c r="O175" s="215">
        <f>IF(ISNUMBER(I175),I175-SUM(J175:N175),"")</f>
        <v/>
      </c>
      <c r="P175" s="216">
        <f>IFERROR(IF(AND(ISNUMBER(O175),ISNUMBER(I175),I175&lt;&gt;0),O175/I175,""),"")</f>
        <v/>
      </c>
      <c r="Q175" s="215">
        <f>IF(AND(ISNUMBER(I175),ISNUMBER(S175)),I175*IF(S175&lt;=1,S175,S175/100),IF(OR(I175&lt;&gt;"",S175&lt;&gt;""),"tbd",""))</f>
        <v/>
      </c>
      <c r="S175" s="217" t="n"/>
      <c r="Z175">
        <f>IF(AND(R175="WON",ISNUMBER(I175)),AA175,"")</f>
        <v/>
      </c>
      <c r="AA175">
        <f>IFERROR(I175*1,0)</f>
        <v>0</v>
      </c>
    </row>
    <row r="176" ht="15" customHeight="1">
      <c r="I176" s="215" t="n"/>
      <c r="J176" s="215" t="n"/>
      <c r="K176" s="215" t="n"/>
      <c r="L176" s="215" t="n"/>
      <c r="M176" s="215" t="n"/>
      <c r="N176" s="215">
        <f>IF(ISNUMBER(I176),ROUND(I176-I176/1.081,2),"")</f>
        <v/>
      </c>
      <c r="O176" s="215">
        <f>IF(ISNUMBER(I176),I176-SUM(J176:N176),"")</f>
        <v/>
      </c>
      <c r="P176" s="216">
        <f>IFERROR(IF(AND(ISNUMBER(O176),ISNUMBER(I176),I176&lt;&gt;0),O176/I176,""),"")</f>
        <v/>
      </c>
      <c r="Q176" s="215">
        <f>IF(AND(ISNUMBER(I176),ISNUMBER(S176)),I176*IF(S176&lt;=1,S176,S176/100),IF(OR(I176&lt;&gt;"",S176&lt;&gt;""),"tbd",""))</f>
        <v/>
      </c>
      <c r="S176" s="217" t="n"/>
      <c r="Z176">
        <f>IF(AND(R176="WON",ISNUMBER(I176)),AA176,"")</f>
        <v/>
      </c>
      <c r="AA176">
        <f>IFERROR(I176*1,0)</f>
        <v>0</v>
      </c>
    </row>
    <row r="177" ht="15" customHeight="1">
      <c r="I177" s="215" t="n"/>
      <c r="J177" s="215" t="n"/>
      <c r="K177" s="215" t="n"/>
      <c r="L177" s="215" t="n"/>
      <c r="M177" s="215" t="n"/>
      <c r="N177" s="215">
        <f>IF(ISNUMBER(I177),ROUND(I177-I177/1.081,2),"")</f>
        <v/>
      </c>
      <c r="O177" s="215">
        <f>IF(ISNUMBER(I177),I177-SUM(J177:N177),"")</f>
        <v/>
      </c>
      <c r="P177" s="216">
        <f>IFERROR(IF(AND(ISNUMBER(O177),ISNUMBER(I177),I177&lt;&gt;0),O177/I177,""),"")</f>
        <v/>
      </c>
      <c r="Q177" s="215">
        <f>IF(AND(ISNUMBER(I177),ISNUMBER(S177)),I177*IF(S177&lt;=1,S177,S177/100),IF(OR(I177&lt;&gt;"",S177&lt;&gt;""),"tbd",""))</f>
        <v/>
      </c>
      <c r="S177" s="217" t="n"/>
      <c r="Z177">
        <f>IF(AND(R177="WON",ISNUMBER(I177)),AA177,"")</f>
        <v/>
      </c>
      <c r="AA177">
        <f>IFERROR(I177*1,0)</f>
        <v>0</v>
      </c>
    </row>
    <row r="178" ht="15" customHeight="1">
      <c r="I178" s="215" t="n"/>
      <c r="J178" s="215" t="n"/>
      <c r="K178" s="215" t="n"/>
      <c r="L178" s="215" t="n"/>
      <c r="M178" s="215" t="n"/>
      <c r="N178" s="215">
        <f>IF(ISNUMBER(I178),ROUND(I178-I178/1.081,2),"")</f>
        <v/>
      </c>
      <c r="O178" s="215">
        <f>IF(ISNUMBER(I178),I178-SUM(J178:N178),"")</f>
        <v/>
      </c>
      <c r="P178" s="216">
        <f>IFERROR(IF(AND(ISNUMBER(O178),ISNUMBER(I178),I178&lt;&gt;0),O178/I178,""),"")</f>
        <v/>
      </c>
      <c r="Q178" s="215">
        <f>IF(AND(ISNUMBER(I178),ISNUMBER(S178)),I178*IF(S178&lt;=1,S178,S178/100),IF(OR(I178&lt;&gt;"",S178&lt;&gt;""),"tbd",""))</f>
        <v/>
      </c>
      <c r="S178" s="217" t="n"/>
      <c r="Z178">
        <f>IF(AND(R178="WON",ISNUMBER(I178)),AA178,"")</f>
        <v/>
      </c>
      <c r="AA178">
        <f>IFERROR(I178*1,0)</f>
        <v>0</v>
      </c>
    </row>
    <row r="179" ht="15" customHeight="1">
      <c r="I179" s="215" t="n"/>
      <c r="J179" s="215" t="n"/>
      <c r="K179" s="215" t="n"/>
      <c r="L179" s="215" t="n"/>
      <c r="M179" s="215" t="n"/>
      <c r="N179" s="215">
        <f>IF(ISNUMBER(I179),ROUND(I179-I179/1.081,2),"")</f>
        <v/>
      </c>
      <c r="O179" s="215">
        <f>IF(ISNUMBER(I179),I179-SUM(J179:N179),"")</f>
        <v/>
      </c>
      <c r="P179" s="216">
        <f>IFERROR(IF(AND(ISNUMBER(O179),ISNUMBER(I179),I179&lt;&gt;0),O179/I179,""),"")</f>
        <v/>
      </c>
      <c r="Q179" s="215">
        <f>IF(AND(ISNUMBER(I179),ISNUMBER(S179)),I179*IF(S179&lt;=1,S179,S179/100),IF(OR(I179&lt;&gt;"",S179&lt;&gt;""),"tbd",""))</f>
        <v/>
      </c>
      <c r="S179" s="217" t="n"/>
      <c r="Z179">
        <f>IF(AND(R179="WON",ISNUMBER(I179)),AA179,"")</f>
        <v/>
      </c>
      <c r="AA179">
        <f>IFERROR(I179*1,0)</f>
        <v>0</v>
      </c>
    </row>
    <row r="180" ht="15" customHeight="1">
      <c r="I180" s="215" t="n"/>
      <c r="J180" s="215" t="n"/>
      <c r="K180" s="215" t="n"/>
      <c r="L180" s="215" t="n"/>
      <c r="M180" s="215" t="n"/>
      <c r="N180" s="215">
        <f>IF(ISNUMBER(I180),ROUND(I180-I180/1.081,2),"")</f>
        <v/>
      </c>
      <c r="O180" s="215">
        <f>IF(ISNUMBER(I180),I180-SUM(J180:N180),"")</f>
        <v/>
      </c>
      <c r="P180" s="216">
        <f>IFERROR(IF(AND(ISNUMBER(O180),ISNUMBER(I180),I180&lt;&gt;0),O180/I180,""),"")</f>
        <v/>
      </c>
      <c r="Q180" s="215">
        <f>IF(AND(ISNUMBER(I180),ISNUMBER(S180)),I180*IF(S180&lt;=1,S180,S180/100),IF(OR(I180&lt;&gt;"",S180&lt;&gt;""),"tbd",""))</f>
        <v/>
      </c>
      <c r="S180" s="217" t="n"/>
      <c r="Z180">
        <f>IF(AND(R180="WON",ISNUMBER(I180)),AA180,"")</f>
        <v/>
      </c>
      <c r="AA180">
        <f>IFERROR(I180*1,0)</f>
        <v>0</v>
      </c>
    </row>
    <row r="181" ht="15" customHeight="1">
      <c r="I181" s="215" t="n"/>
      <c r="J181" s="215" t="n"/>
      <c r="K181" s="215" t="n"/>
      <c r="L181" s="215" t="n"/>
      <c r="M181" s="215" t="n"/>
      <c r="N181" s="215">
        <f>IF(ISNUMBER(I181),ROUND(I181-I181/1.081,2),"")</f>
        <v/>
      </c>
      <c r="O181" s="215">
        <f>IF(ISNUMBER(I181),I181-SUM(J181:N181),"")</f>
        <v/>
      </c>
      <c r="P181" s="216">
        <f>IFERROR(IF(AND(ISNUMBER(O181),ISNUMBER(I181),I181&lt;&gt;0),O181/I181,""),"")</f>
        <v/>
      </c>
      <c r="Q181" s="215">
        <f>IF(AND(ISNUMBER(I181),ISNUMBER(S181)),I181*IF(S181&lt;=1,S181,S181/100),IF(OR(I181&lt;&gt;"",S181&lt;&gt;""),"tbd",""))</f>
        <v/>
      </c>
      <c r="S181" s="217" t="n"/>
      <c r="Z181">
        <f>IF(AND(R181="WON",ISNUMBER(I181)),AA181,"")</f>
        <v/>
      </c>
      <c r="AA181">
        <f>IFERROR(I181*1,0)</f>
        <v>0</v>
      </c>
    </row>
    <row r="182" ht="15" customHeight="1">
      <c r="I182" s="215" t="n"/>
      <c r="J182" s="215" t="n"/>
      <c r="K182" s="215" t="n"/>
      <c r="L182" s="215" t="n"/>
      <c r="M182" s="215" t="n"/>
      <c r="N182" s="215">
        <f>IF(ISNUMBER(I182),ROUND(I182-I182/1.081,2),"")</f>
        <v/>
      </c>
      <c r="O182" s="215">
        <f>IF(ISNUMBER(I182),I182-SUM(J182:N182),"")</f>
        <v/>
      </c>
      <c r="P182" s="216">
        <f>IFERROR(IF(AND(ISNUMBER(O182),ISNUMBER(I182),I182&lt;&gt;0),O182/I182,""),"")</f>
        <v/>
      </c>
      <c r="Q182" s="215">
        <f>IF(AND(ISNUMBER(I182),ISNUMBER(S182)),I182*IF(S182&lt;=1,S182,S182/100),IF(OR(I182&lt;&gt;"",S182&lt;&gt;""),"tbd",""))</f>
        <v/>
      </c>
      <c r="S182" s="217" t="n"/>
      <c r="Z182">
        <f>IF(AND(R182="WON",ISNUMBER(I182)),AA182,"")</f>
        <v/>
      </c>
      <c r="AA182">
        <f>IFERROR(I182*1,0)</f>
        <v>0</v>
      </c>
    </row>
    <row r="183" ht="15" customHeight="1">
      <c r="I183" s="215" t="n"/>
      <c r="J183" s="215" t="n"/>
      <c r="K183" s="215" t="n"/>
      <c r="L183" s="215" t="n"/>
      <c r="M183" s="215" t="n"/>
      <c r="N183" s="215">
        <f>IF(ISNUMBER(I183),ROUND(I183-I183/1.081,2),"")</f>
        <v/>
      </c>
      <c r="O183" s="215">
        <f>IF(ISNUMBER(I183),I183-SUM(J183:N183),"")</f>
        <v/>
      </c>
      <c r="P183" s="216">
        <f>IFERROR(IF(AND(ISNUMBER(O183),ISNUMBER(I183),I183&lt;&gt;0),O183/I183,""),"")</f>
        <v/>
      </c>
      <c r="Q183" s="215">
        <f>IF(AND(ISNUMBER(I183),ISNUMBER(S183)),I183*IF(S183&lt;=1,S183,S183/100),IF(OR(I183&lt;&gt;"",S183&lt;&gt;""),"tbd",""))</f>
        <v/>
      </c>
      <c r="S183" s="217" t="n"/>
      <c r="Z183">
        <f>IF(AND(R183="WON",ISNUMBER(I183)),AA183,"")</f>
        <v/>
      </c>
      <c r="AA183">
        <f>IFERROR(I183*1,0)</f>
        <v>0</v>
      </c>
    </row>
    <row r="184" ht="15" customHeight="1">
      <c r="I184" s="215" t="n"/>
      <c r="J184" s="215" t="n"/>
      <c r="K184" s="215" t="n"/>
      <c r="L184" s="215" t="n"/>
      <c r="M184" s="215" t="n"/>
      <c r="N184" s="215">
        <f>IF(ISNUMBER(I184),ROUND(I184-I184/1.081,2),"")</f>
        <v/>
      </c>
      <c r="O184" s="215">
        <f>IF(ISNUMBER(I184),I184-SUM(J184:N184),"")</f>
        <v/>
      </c>
      <c r="P184" s="216">
        <f>IFERROR(IF(AND(ISNUMBER(O184),ISNUMBER(I184),I184&lt;&gt;0),O184/I184,""),"")</f>
        <v/>
      </c>
      <c r="Q184" s="215">
        <f>IF(AND(ISNUMBER(I184),ISNUMBER(S184)),I184*IF(S184&lt;=1,S184,S184/100),IF(OR(I184&lt;&gt;"",S184&lt;&gt;""),"tbd",""))</f>
        <v/>
      </c>
      <c r="S184" s="217" t="n"/>
      <c r="Z184">
        <f>IF(AND(R184="WON",ISNUMBER(I184)),AA184,"")</f>
        <v/>
      </c>
      <c r="AA184">
        <f>IFERROR(I184*1,0)</f>
        <v>0</v>
      </c>
    </row>
    <row r="185" ht="15" customHeight="1">
      <c r="I185" s="215" t="n"/>
      <c r="J185" s="215" t="n"/>
      <c r="K185" s="215" t="n"/>
      <c r="L185" s="215" t="n"/>
      <c r="M185" s="215" t="n"/>
      <c r="N185" s="215">
        <f>IF(ISNUMBER(I185),ROUND(I185-I185/1.081,2),"")</f>
        <v/>
      </c>
      <c r="O185" s="215">
        <f>IF(ISNUMBER(I185),I185-SUM(J185:N185),"")</f>
        <v/>
      </c>
      <c r="P185" s="216">
        <f>IFERROR(IF(AND(ISNUMBER(O185),ISNUMBER(I185),I185&lt;&gt;0),O185/I185,""),"")</f>
        <v/>
      </c>
      <c r="Q185" s="215">
        <f>IF(AND(ISNUMBER(I185),ISNUMBER(S185)),I185*IF(S185&lt;=1,S185,S185/100),IF(OR(I185&lt;&gt;"",S185&lt;&gt;""),"tbd",""))</f>
        <v/>
      </c>
      <c r="S185" s="217" t="n"/>
      <c r="Z185">
        <f>IF(AND(R185="WON",ISNUMBER(I185)),AA185,"")</f>
        <v/>
      </c>
      <c r="AA185">
        <f>IFERROR(I185*1,0)</f>
        <v>0</v>
      </c>
    </row>
    <row r="186" ht="15" customHeight="1">
      <c r="I186" s="215" t="n"/>
      <c r="J186" s="215" t="n"/>
      <c r="K186" s="215" t="n"/>
      <c r="L186" s="215" t="n"/>
      <c r="M186" s="215" t="n"/>
      <c r="N186" s="215">
        <f>IF(ISNUMBER(I186),ROUND(I186-I186/1.081,2),"")</f>
        <v/>
      </c>
      <c r="O186" s="215">
        <f>IF(ISNUMBER(I186),I186-SUM(J186:N186),"")</f>
        <v/>
      </c>
      <c r="P186" s="216">
        <f>IFERROR(IF(AND(ISNUMBER(O186),ISNUMBER(I186),I186&lt;&gt;0),O186/I186,""),"")</f>
        <v/>
      </c>
      <c r="Q186" s="215">
        <f>IF(AND(ISNUMBER(I186),ISNUMBER(S186)),I186*IF(S186&lt;=1,S186,S186/100),IF(OR(I186&lt;&gt;"",S186&lt;&gt;""),"tbd",""))</f>
        <v/>
      </c>
      <c r="S186" s="217" t="n"/>
      <c r="Z186">
        <f>IF(AND(R186="WON",ISNUMBER(I186)),AA186,"")</f>
        <v/>
      </c>
      <c r="AA186">
        <f>IFERROR(I186*1,0)</f>
        <v>0</v>
      </c>
    </row>
    <row r="187" ht="15" customHeight="1">
      <c r="I187" s="215" t="n"/>
      <c r="J187" s="215" t="n"/>
      <c r="K187" s="215" t="n"/>
      <c r="L187" s="215" t="n"/>
      <c r="M187" s="215" t="n"/>
      <c r="N187" s="215">
        <f>IF(ISNUMBER(I187),ROUND(I187-I187/1.081,2),"")</f>
        <v/>
      </c>
      <c r="O187" s="215">
        <f>IF(ISNUMBER(I187),I187-SUM(J187:N187),"")</f>
        <v/>
      </c>
      <c r="P187" s="216">
        <f>IFERROR(IF(AND(ISNUMBER(O187),ISNUMBER(I187),I187&lt;&gt;0),O187/I187,""),"")</f>
        <v/>
      </c>
      <c r="Q187" s="215">
        <f>IF(AND(ISNUMBER(I187),ISNUMBER(S187)),I187*IF(S187&lt;=1,S187,S187/100),IF(OR(I187&lt;&gt;"",S187&lt;&gt;""),"tbd",""))</f>
        <v/>
      </c>
      <c r="S187" s="217" t="n"/>
      <c r="Z187">
        <f>IF(AND(R187="WON",ISNUMBER(I187)),AA187,"")</f>
        <v/>
      </c>
      <c r="AA187">
        <f>IFERROR(I187*1,0)</f>
        <v>0</v>
      </c>
    </row>
    <row r="188" ht="15" customHeight="1">
      <c r="I188" s="215" t="n"/>
      <c r="J188" s="215" t="n"/>
      <c r="K188" s="215" t="n"/>
      <c r="L188" s="215" t="n"/>
      <c r="M188" s="215" t="n"/>
      <c r="N188" s="215">
        <f>IF(ISNUMBER(I188),ROUND(I188-I188/1.081,2),"")</f>
        <v/>
      </c>
      <c r="O188" s="215">
        <f>IF(ISNUMBER(I188),I188-SUM(J188:N188),"")</f>
        <v/>
      </c>
      <c r="P188" s="216">
        <f>IFERROR(IF(AND(ISNUMBER(O188),ISNUMBER(I188),I188&lt;&gt;0),O188/I188,""),"")</f>
        <v/>
      </c>
      <c r="Q188" s="215">
        <f>IF(AND(ISNUMBER(I188),ISNUMBER(S188)),I188*IF(S188&lt;=1,S188,S188/100),IF(OR(I188&lt;&gt;"",S188&lt;&gt;""),"tbd",""))</f>
        <v/>
      </c>
      <c r="S188" s="217" t="n"/>
      <c r="Z188">
        <f>IF(AND(R188="WON",ISNUMBER(I188)),AA188,"")</f>
        <v/>
      </c>
      <c r="AA188">
        <f>IFERROR(I188*1,0)</f>
        <v>0</v>
      </c>
    </row>
    <row r="189" ht="15" customHeight="1">
      <c r="I189" s="215" t="n"/>
      <c r="J189" s="215" t="n"/>
      <c r="K189" s="215" t="n"/>
      <c r="L189" s="215" t="n"/>
      <c r="M189" s="215" t="n"/>
      <c r="N189" s="215">
        <f>IF(ISNUMBER(I189),ROUND(I189-I189/1.081,2),"")</f>
        <v/>
      </c>
      <c r="O189" s="215">
        <f>IF(ISNUMBER(I189),I189-SUM(J189:N189),"")</f>
        <v/>
      </c>
      <c r="P189" s="216">
        <f>IFERROR(IF(AND(ISNUMBER(O189),ISNUMBER(I189),I189&lt;&gt;0),O189/I189,""),"")</f>
        <v/>
      </c>
      <c r="Q189" s="215">
        <f>IF(AND(ISNUMBER(I189),ISNUMBER(S189)),I189*IF(S189&lt;=1,S189,S189/100),IF(OR(I189&lt;&gt;"",S189&lt;&gt;""),"tbd",""))</f>
        <v/>
      </c>
      <c r="S189" s="217" t="n"/>
      <c r="Z189">
        <f>IF(AND(R189="WON",ISNUMBER(I189)),AA189,"")</f>
        <v/>
      </c>
      <c r="AA189">
        <f>IFERROR(I189*1,0)</f>
        <v>0</v>
      </c>
    </row>
    <row r="190" ht="15" customHeight="1">
      <c r="I190" s="215" t="n"/>
      <c r="J190" s="215" t="n"/>
      <c r="K190" s="215" t="n"/>
      <c r="L190" s="215" t="n"/>
      <c r="M190" s="215" t="n"/>
      <c r="N190" s="215">
        <f>IF(ISNUMBER(I190),ROUND(I190-I190/1.081,2),"")</f>
        <v/>
      </c>
      <c r="O190" s="215">
        <f>IF(ISNUMBER(I190),I190-SUM(J190:N190),"")</f>
        <v/>
      </c>
      <c r="P190" s="216">
        <f>IFERROR(IF(AND(ISNUMBER(O190),ISNUMBER(I190),I190&lt;&gt;0),O190/I190,""),"")</f>
        <v/>
      </c>
      <c r="Q190" s="215">
        <f>IF(AND(ISNUMBER(I190),ISNUMBER(S190)),I190*IF(S190&lt;=1,S190,S190/100),IF(OR(I190&lt;&gt;"",S190&lt;&gt;""),"tbd",""))</f>
        <v/>
      </c>
      <c r="S190" s="217" t="n"/>
      <c r="Z190">
        <f>IF(AND(R190="WON",ISNUMBER(I190)),AA190,"")</f>
        <v/>
      </c>
      <c r="AA190">
        <f>IFERROR(I190*1,0)</f>
        <v>0</v>
      </c>
    </row>
    <row r="191" ht="15" customHeight="1">
      <c r="I191" s="215" t="n"/>
      <c r="J191" s="215" t="n"/>
      <c r="K191" s="215" t="n"/>
      <c r="L191" s="215" t="n"/>
      <c r="M191" s="215" t="n"/>
      <c r="N191" s="215">
        <f>IF(ISNUMBER(I191),ROUND(I191-I191/1.081,2),"")</f>
        <v/>
      </c>
      <c r="O191" s="215">
        <f>IF(ISNUMBER(I191),I191-SUM(J191:N191),"")</f>
        <v/>
      </c>
      <c r="P191" s="216">
        <f>IFERROR(IF(AND(ISNUMBER(O191),ISNUMBER(I191),I191&lt;&gt;0),O191/I191,""),"")</f>
        <v/>
      </c>
      <c r="Q191" s="215">
        <f>IF(AND(ISNUMBER(I191),ISNUMBER(S191)),I191*IF(S191&lt;=1,S191,S191/100),IF(OR(I191&lt;&gt;"",S191&lt;&gt;""),"tbd",""))</f>
        <v/>
      </c>
      <c r="S191" s="217" t="n"/>
      <c r="Z191">
        <f>IF(AND(R191="WON",ISNUMBER(I191)),AA191,"")</f>
        <v/>
      </c>
      <c r="AA191">
        <f>IFERROR(I191*1,0)</f>
        <v>0</v>
      </c>
    </row>
    <row r="192" ht="15" customHeight="1">
      <c r="I192" s="215" t="n"/>
      <c r="J192" s="215" t="n"/>
      <c r="K192" s="215" t="n"/>
      <c r="L192" s="215" t="n"/>
      <c r="M192" s="215" t="n"/>
      <c r="N192" s="215">
        <f>IF(ISNUMBER(I192),ROUND(I192-I192/1.081,2),"")</f>
        <v/>
      </c>
      <c r="O192" s="215">
        <f>IF(ISNUMBER(I192),I192-SUM(J192:N192),"")</f>
        <v/>
      </c>
      <c r="P192" s="216">
        <f>IFERROR(IF(AND(ISNUMBER(O192),ISNUMBER(I192),I192&lt;&gt;0),O192/I192,""),"")</f>
        <v/>
      </c>
      <c r="Q192" s="215">
        <f>IF(AND(ISNUMBER(I192),ISNUMBER(S192)),I192*IF(S192&lt;=1,S192,S192/100),IF(OR(I192&lt;&gt;"",S192&lt;&gt;""),"tbd",""))</f>
        <v/>
      </c>
      <c r="S192" s="217" t="n"/>
      <c r="Z192">
        <f>IF(AND(R192="WON",ISNUMBER(I192)),AA192,"")</f>
        <v/>
      </c>
      <c r="AA192">
        <f>IFERROR(I192*1,0)</f>
        <v>0</v>
      </c>
    </row>
    <row r="193" ht="15" customHeight="1">
      <c r="I193" s="215" t="n"/>
      <c r="J193" s="215" t="n"/>
      <c r="K193" s="215" t="n"/>
      <c r="L193" s="215" t="n"/>
      <c r="M193" s="215" t="n"/>
      <c r="N193" s="215">
        <f>IF(ISNUMBER(I193),ROUND(I193-I193/1.081,2),"")</f>
        <v/>
      </c>
      <c r="O193" s="215">
        <f>IF(ISNUMBER(I193),I193-SUM(J193:N193),"")</f>
        <v/>
      </c>
      <c r="P193" s="216">
        <f>IFERROR(IF(AND(ISNUMBER(O193),ISNUMBER(I193),I193&lt;&gt;0),O193/I193,""),"")</f>
        <v/>
      </c>
      <c r="Q193" s="215">
        <f>IF(AND(ISNUMBER(I193),ISNUMBER(S193)),I193*IF(S193&lt;=1,S193,S193/100),IF(OR(I193&lt;&gt;"",S193&lt;&gt;""),"tbd",""))</f>
        <v/>
      </c>
      <c r="S193" s="217" t="n"/>
      <c r="Z193">
        <f>IF(AND(R193="WON",ISNUMBER(I193)),AA193,"")</f>
        <v/>
      </c>
      <c r="AA193">
        <f>IFERROR(I193*1,0)</f>
        <v>0</v>
      </c>
    </row>
    <row r="194" ht="15" customHeight="1">
      <c r="I194" s="215" t="n"/>
      <c r="J194" s="215" t="n"/>
      <c r="K194" s="215" t="n"/>
      <c r="L194" s="215" t="n"/>
      <c r="M194" s="215" t="n"/>
      <c r="N194" s="215">
        <f>IF(ISNUMBER(I194),ROUND(I194-I194/1.081,2),"")</f>
        <v/>
      </c>
      <c r="O194" s="215">
        <f>IF(ISNUMBER(I194),I194-SUM(J194:N194),"")</f>
        <v/>
      </c>
      <c r="P194" s="216">
        <f>IFERROR(IF(AND(ISNUMBER(O194),ISNUMBER(I194),I194&lt;&gt;0),O194/I194,""),"")</f>
        <v/>
      </c>
      <c r="Q194" s="215">
        <f>IF(AND(ISNUMBER(I194),ISNUMBER(S194)),I194*IF(S194&lt;=1,S194,S194/100),IF(OR(I194&lt;&gt;"",S194&lt;&gt;""),"tbd",""))</f>
        <v/>
      </c>
      <c r="S194" s="217" t="n"/>
      <c r="Z194">
        <f>IF(AND(R194="WON",ISNUMBER(I194)),AA194,"")</f>
        <v/>
      </c>
      <c r="AA194">
        <f>IFERROR(I194*1,0)</f>
        <v>0</v>
      </c>
    </row>
    <row r="195" ht="15" customHeight="1">
      <c r="I195" s="215" t="n"/>
      <c r="J195" s="215" t="n"/>
      <c r="K195" s="215" t="n"/>
      <c r="L195" s="215" t="n"/>
      <c r="M195" s="215" t="n"/>
      <c r="N195" s="215">
        <f>IF(ISNUMBER(I195),ROUND(I195-I195/1.081,2),"")</f>
        <v/>
      </c>
      <c r="O195" s="215">
        <f>IF(ISNUMBER(I195),I195-SUM(J195:N195),"")</f>
        <v/>
      </c>
      <c r="P195" s="216">
        <f>IFERROR(IF(AND(ISNUMBER(O195),ISNUMBER(I195),I195&lt;&gt;0),O195/I195,""),"")</f>
        <v/>
      </c>
      <c r="Q195" s="215">
        <f>IF(AND(ISNUMBER(I195),ISNUMBER(S195)),I195*IF(S195&lt;=1,S195,S195/100),IF(OR(I195&lt;&gt;"",S195&lt;&gt;""),"tbd",""))</f>
        <v/>
      </c>
      <c r="S195" s="217" t="n"/>
      <c r="Z195">
        <f>IF(AND(R195="WON",ISNUMBER(I195)),AA195,"")</f>
        <v/>
      </c>
      <c r="AA195">
        <f>IFERROR(I195*1,0)</f>
        <v>0</v>
      </c>
    </row>
    <row r="196" ht="15" customHeight="1">
      <c r="I196" s="215" t="n"/>
      <c r="J196" s="215" t="n"/>
      <c r="K196" s="215" t="n"/>
      <c r="L196" s="215" t="n"/>
      <c r="M196" s="215" t="n"/>
      <c r="N196" s="215">
        <f>IF(ISNUMBER(I196),ROUND(I196-I196/1.081,2),"")</f>
        <v/>
      </c>
      <c r="O196" s="215">
        <f>IF(ISNUMBER(I196),I196-SUM(J196:N196),"")</f>
        <v/>
      </c>
      <c r="P196" s="216">
        <f>IFERROR(IF(AND(ISNUMBER(O196),ISNUMBER(I196),I196&lt;&gt;0),O196/I196,""),"")</f>
        <v/>
      </c>
      <c r="Q196" s="215">
        <f>IF(AND(ISNUMBER(I196),ISNUMBER(S196)),I196*IF(S196&lt;=1,S196,S196/100),IF(OR(I196&lt;&gt;"",S196&lt;&gt;""),"tbd",""))</f>
        <v/>
      </c>
      <c r="S196" s="217" t="n"/>
      <c r="Z196">
        <f>IF(AND(R196="WON",ISNUMBER(I196)),AA196,"")</f>
        <v/>
      </c>
      <c r="AA196">
        <f>IFERROR(I196*1,0)</f>
        <v>0</v>
      </c>
    </row>
    <row r="197" ht="15" customHeight="1">
      <c r="I197" s="215" t="n"/>
      <c r="J197" s="215" t="n"/>
      <c r="K197" s="215" t="n"/>
      <c r="L197" s="215" t="n"/>
      <c r="M197" s="215" t="n"/>
      <c r="N197" s="215">
        <f>IF(ISNUMBER(I197),ROUND(I197-I197/1.081,2),"")</f>
        <v/>
      </c>
      <c r="O197" s="215">
        <f>IF(ISNUMBER(I197),I197-SUM(J197:N197),"")</f>
        <v/>
      </c>
      <c r="P197" s="216">
        <f>IFERROR(IF(AND(ISNUMBER(O197),ISNUMBER(I197),I197&lt;&gt;0),O197/I197,""),"")</f>
        <v/>
      </c>
      <c r="Q197" s="215">
        <f>IF(AND(ISNUMBER(I197),ISNUMBER(S197)),I197*IF(S197&lt;=1,S197,S197/100),IF(OR(I197&lt;&gt;"",S197&lt;&gt;""),"tbd",""))</f>
        <v/>
      </c>
      <c r="S197" s="217" t="n"/>
      <c r="Z197">
        <f>IF(AND(R197="WON",ISNUMBER(I197)),AA197,"")</f>
        <v/>
      </c>
      <c r="AA197">
        <f>IFERROR(I197*1,0)</f>
        <v>0</v>
      </c>
    </row>
    <row r="198" ht="15" customHeight="1">
      <c r="I198" s="215" t="n"/>
      <c r="J198" s="215" t="n"/>
      <c r="K198" s="215" t="n"/>
      <c r="L198" s="215" t="n"/>
      <c r="M198" s="215" t="n"/>
      <c r="N198" s="215">
        <f>IF(ISNUMBER(I198),ROUND(I198-I198/1.081,2),"")</f>
        <v/>
      </c>
      <c r="O198" s="215">
        <f>IF(ISNUMBER(I198),I198-SUM(J198:N198),"")</f>
        <v/>
      </c>
      <c r="P198" s="216">
        <f>IFERROR(IF(AND(ISNUMBER(O198),ISNUMBER(I198),I198&lt;&gt;0),O198/I198,""),"")</f>
        <v/>
      </c>
      <c r="Q198" s="215">
        <f>IF(AND(ISNUMBER(I198),ISNUMBER(S198)),I198*IF(S198&lt;=1,S198,S198/100),IF(OR(I198&lt;&gt;"",S198&lt;&gt;""),"tbd",""))</f>
        <v/>
      </c>
      <c r="S198" s="217" t="n"/>
      <c r="Z198">
        <f>IF(AND(R198="WON",ISNUMBER(I198)),AA198,"")</f>
        <v/>
      </c>
      <c r="AA198">
        <f>IFERROR(I198*1,0)</f>
        <v>0</v>
      </c>
    </row>
    <row r="199" ht="15" customHeight="1">
      <c r="I199" s="215" t="n"/>
      <c r="J199" s="215" t="n"/>
      <c r="K199" s="215" t="n"/>
      <c r="L199" s="215" t="n"/>
      <c r="M199" s="215" t="n"/>
      <c r="N199" s="215">
        <f>IF(ISNUMBER(I199),ROUND(I199-I199/1.081,2),"")</f>
        <v/>
      </c>
      <c r="O199" s="215">
        <f>IF(ISNUMBER(I199),I199-SUM(J199:N199),"")</f>
        <v/>
      </c>
      <c r="P199" s="216">
        <f>IFERROR(IF(AND(ISNUMBER(O199),ISNUMBER(I199),I199&lt;&gt;0),O199/I199,""),"")</f>
        <v/>
      </c>
      <c r="Q199" s="215">
        <f>IF(AND(ISNUMBER(I199),ISNUMBER(S199)),I199*IF(S199&lt;=1,S199,S199/100),IF(OR(I199&lt;&gt;"",S199&lt;&gt;""),"tbd",""))</f>
        <v/>
      </c>
      <c r="S199" s="217" t="n"/>
      <c r="Z199">
        <f>IF(AND(R199="WON",ISNUMBER(I199)),AA199,"")</f>
        <v/>
      </c>
      <c r="AA199">
        <f>IFERROR(I199*1,0)</f>
        <v>0</v>
      </c>
    </row>
    <row r="200" ht="15" customHeight="1">
      <c r="I200" s="215" t="n"/>
      <c r="J200" s="215" t="n"/>
      <c r="K200" s="215" t="n"/>
      <c r="L200" s="215" t="n"/>
      <c r="M200" s="215" t="n"/>
      <c r="N200" s="215">
        <f>IF(ISNUMBER(I200),ROUND(I200-I200/1.081,2),"")</f>
        <v/>
      </c>
      <c r="O200" s="215">
        <f>IF(ISNUMBER(I200),I200-SUM(J200:N200),"")</f>
        <v/>
      </c>
      <c r="P200" s="216">
        <f>IFERROR(IF(AND(ISNUMBER(O200),ISNUMBER(I200),I200&lt;&gt;0),O200/I200,""),"")</f>
        <v/>
      </c>
      <c r="Q200" s="215">
        <f>IF(AND(ISNUMBER(I200),ISNUMBER(S200)),I200*IF(S200&lt;=1,S200,S200/100),IF(OR(I200&lt;&gt;"",S200&lt;&gt;""),"tbd",""))</f>
        <v/>
      </c>
      <c r="S200" s="217" t="n"/>
      <c r="Z200">
        <f>IF(AND(R200="WON",ISNUMBER(I200)),AA200,"")</f>
        <v/>
      </c>
      <c r="AA200">
        <f>IFERROR(I200*1,0)</f>
        <v>0</v>
      </c>
    </row>
    <row r="201" ht="15" customHeight="1">
      <c r="I201" s="215" t="n"/>
      <c r="J201" s="215" t="n"/>
      <c r="K201" s="215" t="n"/>
      <c r="L201" s="215" t="n"/>
      <c r="M201" s="215" t="n"/>
      <c r="N201" s="215">
        <f>IF(ISNUMBER(I201),ROUND(I201-I201/1.081,2),"")</f>
        <v/>
      </c>
      <c r="O201" s="215">
        <f>IF(ISNUMBER(I201),I201-SUM(J201:N201),"")</f>
        <v/>
      </c>
      <c r="P201" s="216">
        <f>IFERROR(IF(AND(ISNUMBER(O201),ISNUMBER(I201),I201&lt;&gt;0),O201/I201,""),"")</f>
        <v/>
      </c>
      <c r="Q201" s="215">
        <f>IF(AND(ISNUMBER(I201),ISNUMBER(S201)),I201*IF(S201&lt;=1,S201,S201/100),IF(OR(I201&lt;&gt;"",S201&lt;&gt;""),"tbd",""))</f>
        <v/>
      </c>
      <c r="S201" s="217" t="n"/>
      <c r="Z201">
        <f>IF(AND(R201="WON",ISNUMBER(I201)),AA201,"")</f>
        <v/>
      </c>
      <c r="AA201">
        <f>IFERROR(I201*1,0)</f>
        <v>0</v>
      </c>
    </row>
    <row r="202" ht="15" customHeight="1">
      <c r="I202" s="215" t="n"/>
      <c r="J202" s="215" t="n"/>
      <c r="K202" s="215" t="n"/>
      <c r="L202" s="215" t="n"/>
      <c r="M202" s="215" t="n"/>
      <c r="N202" s="215">
        <f>IF(ISNUMBER(I202),ROUND(I202-I202/1.081,2),"")</f>
        <v/>
      </c>
      <c r="O202" s="215">
        <f>IF(ISNUMBER(I202),I202-SUM(J202:N202),"")</f>
        <v/>
      </c>
      <c r="P202" s="216">
        <f>IFERROR(IF(AND(ISNUMBER(O202),ISNUMBER(I202),I202&lt;&gt;0),O202/I202,""),"")</f>
        <v/>
      </c>
      <c r="Q202" s="215">
        <f>IF(AND(ISNUMBER(I202),ISNUMBER(S202)),I202*IF(S202&lt;=1,S202,S202/100),IF(OR(I202&lt;&gt;"",S202&lt;&gt;""),"tbd",""))</f>
        <v/>
      </c>
      <c r="S202" s="217" t="n"/>
      <c r="Z202">
        <f>IF(AND(R202="WON",ISNUMBER(I202)),AA202,"")</f>
        <v/>
      </c>
      <c r="AA202">
        <f>IFERROR(I202*1,0)</f>
        <v>0</v>
      </c>
    </row>
    <row r="203" ht="15" customHeight="1">
      <c r="I203" s="215" t="n"/>
      <c r="J203" s="215" t="n"/>
      <c r="K203" s="215" t="n"/>
      <c r="L203" s="215" t="n"/>
      <c r="M203" s="215" t="n"/>
      <c r="N203" s="215">
        <f>IF(ISNUMBER(I203),ROUND(I203-I203/1.081,2),"")</f>
        <v/>
      </c>
      <c r="O203" s="215">
        <f>IF(ISNUMBER(I203),I203-SUM(J203:N203),"")</f>
        <v/>
      </c>
      <c r="P203" s="216">
        <f>IFERROR(IF(AND(ISNUMBER(O203),ISNUMBER(I203),I203&lt;&gt;0),O203/I203,""),"")</f>
        <v/>
      </c>
      <c r="Q203" s="215">
        <f>IF(AND(ISNUMBER(I203),ISNUMBER(S203)),I203*IF(S203&lt;=1,S203,S203/100),IF(OR(I203&lt;&gt;"",S203&lt;&gt;""),"tbd",""))</f>
        <v/>
      </c>
      <c r="S203" s="217" t="n"/>
      <c r="Z203">
        <f>IF(AND(R203="WON",ISNUMBER(I203)),AA203,"")</f>
        <v/>
      </c>
      <c r="AA203">
        <f>IFERROR(I203*1,0)</f>
        <v>0</v>
      </c>
    </row>
    <row r="204" ht="15" customHeight="1">
      <c r="I204" s="215" t="n"/>
      <c r="J204" s="215" t="n"/>
      <c r="K204" s="215" t="n"/>
      <c r="L204" s="215" t="n"/>
      <c r="M204" s="215" t="n"/>
      <c r="N204" s="215">
        <f>IF(ISNUMBER(I204),ROUND(I204-I204/1.081,2),"")</f>
        <v/>
      </c>
      <c r="O204" s="215">
        <f>IF(ISNUMBER(I204),I204-SUM(J204:N204),"")</f>
        <v/>
      </c>
      <c r="P204" s="216">
        <f>IFERROR(IF(AND(ISNUMBER(O204),ISNUMBER(I204),I204&lt;&gt;0),O204/I204,""),"")</f>
        <v/>
      </c>
      <c r="Q204" s="215">
        <f>IF(AND(ISNUMBER(I204),ISNUMBER(S204)),I204*IF(S204&lt;=1,S204,S204/100),IF(OR(I204&lt;&gt;"",S204&lt;&gt;""),"tbd",""))</f>
        <v/>
      </c>
      <c r="S204" s="217" t="n"/>
      <c r="Z204">
        <f>IF(AND(R204="WON",ISNUMBER(I204)),AA204,"")</f>
        <v/>
      </c>
      <c r="AA204">
        <f>IFERROR(I204*1,0)</f>
        <v>0</v>
      </c>
    </row>
    <row r="205" ht="15" customHeight="1">
      <c r="I205" s="215" t="n"/>
      <c r="J205" s="215" t="n"/>
      <c r="K205" s="215" t="n"/>
      <c r="L205" s="215" t="n"/>
      <c r="M205" s="215" t="n"/>
      <c r="N205" s="215">
        <f>IF(ISNUMBER(I205),ROUND(I205-I205/1.081,2),"")</f>
        <v/>
      </c>
      <c r="O205" s="215">
        <f>IF(ISNUMBER(I205),I205-SUM(J205:N205),"")</f>
        <v/>
      </c>
      <c r="P205" s="216">
        <f>IFERROR(IF(AND(ISNUMBER(O205),ISNUMBER(I205),I205&lt;&gt;0),O205/I205,""),"")</f>
        <v/>
      </c>
      <c r="Q205" s="215">
        <f>IF(AND(ISNUMBER(I205),ISNUMBER(S205)),I205*IF(S205&lt;=1,S205,S205/100),IF(OR(I205&lt;&gt;"",S205&lt;&gt;""),"tbd",""))</f>
        <v/>
      </c>
      <c r="S205" s="217" t="n"/>
      <c r="Z205">
        <f>IF(AND(R205="WON",ISNUMBER(I205)),AA205,"")</f>
        <v/>
      </c>
      <c r="AA205">
        <f>IFERROR(I205*1,0)</f>
        <v>0</v>
      </c>
    </row>
    <row r="206" ht="15" customHeight="1">
      <c r="I206" s="215" t="n"/>
      <c r="J206" s="215" t="n"/>
      <c r="K206" s="215" t="n"/>
      <c r="L206" s="215" t="n"/>
      <c r="M206" s="215" t="n"/>
      <c r="N206" s="215">
        <f>IF(ISNUMBER(I206),ROUND(I206-I206/1.081,2),"")</f>
        <v/>
      </c>
      <c r="O206" s="215">
        <f>IF(ISNUMBER(I206),I206-SUM(J206:N206),"")</f>
        <v/>
      </c>
      <c r="P206" s="216">
        <f>IFERROR(IF(AND(ISNUMBER(O206),ISNUMBER(I206),I206&lt;&gt;0),O206/I206,""),"")</f>
        <v/>
      </c>
      <c r="Q206" s="215">
        <f>IF(AND(ISNUMBER(I206),ISNUMBER(S206)),I206*IF(S206&lt;=1,S206,S206/100),IF(OR(I206&lt;&gt;"",S206&lt;&gt;""),"tbd",""))</f>
        <v/>
      </c>
      <c r="S206" s="217" t="n"/>
      <c r="Z206">
        <f>IF(AND(R206="WON",ISNUMBER(I206)),AA206,"")</f>
        <v/>
      </c>
      <c r="AA206">
        <f>IFERROR(I206*1,0)</f>
        <v>0</v>
      </c>
    </row>
    <row r="207" ht="15" customHeight="1">
      <c r="I207" s="215" t="n"/>
      <c r="J207" s="215" t="n"/>
      <c r="K207" s="215" t="n"/>
      <c r="L207" s="215" t="n"/>
      <c r="M207" s="215" t="n"/>
      <c r="N207" s="215">
        <f>IF(ISNUMBER(I207),ROUND(I207-I207/1.081,2),"")</f>
        <v/>
      </c>
      <c r="O207" s="215">
        <f>IF(ISNUMBER(I207),I207-SUM(J207:N207),"")</f>
        <v/>
      </c>
      <c r="P207" s="216">
        <f>IFERROR(IF(AND(ISNUMBER(O207),ISNUMBER(I207),I207&lt;&gt;0),O207/I207,""),"")</f>
        <v/>
      </c>
      <c r="Q207" s="215">
        <f>IF(AND(ISNUMBER(I207),ISNUMBER(S207)),I207*IF(S207&lt;=1,S207,S207/100),IF(OR(I207&lt;&gt;"",S207&lt;&gt;""),"tbd",""))</f>
        <v/>
      </c>
      <c r="S207" s="217" t="n"/>
      <c r="Z207">
        <f>IF(AND(R207="WON",ISNUMBER(I207)),AA207,"")</f>
        <v/>
      </c>
      <c r="AA207">
        <f>IFERROR(I207*1,0)</f>
        <v>0</v>
      </c>
    </row>
    <row r="208" ht="15" customHeight="1">
      <c r="I208" s="215" t="n"/>
      <c r="J208" s="215" t="n"/>
      <c r="K208" s="215" t="n"/>
      <c r="L208" s="215" t="n"/>
      <c r="M208" s="215" t="n"/>
      <c r="N208" s="215">
        <f>IF(ISNUMBER(I208),ROUND(I208-I208/1.081,2),"")</f>
        <v/>
      </c>
      <c r="O208" s="215">
        <f>IF(ISNUMBER(I208),I208-SUM(J208:N208),"")</f>
        <v/>
      </c>
      <c r="P208" s="216">
        <f>IFERROR(IF(AND(ISNUMBER(O208),ISNUMBER(I208),I208&lt;&gt;0),O208/I208,""),"")</f>
        <v/>
      </c>
      <c r="Q208" s="215">
        <f>IF(AND(ISNUMBER(I208),ISNUMBER(S208)),I208*IF(S208&lt;=1,S208,S208/100),IF(OR(I208&lt;&gt;"",S208&lt;&gt;""),"tbd",""))</f>
        <v/>
      </c>
      <c r="S208" s="217" t="n"/>
      <c r="Z208">
        <f>IF(AND(R208="WON",ISNUMBER(I208)),AA208,"")</f>
        <v/>
      </c>
      <c r="AA208">
        <f>IFERROR(I208*1,0)</f>
        <v>0</v>
      </c>
    </row>
    <row r="209" ht="15" customHeight="1">
      <c r="I209" s="215" t="n"/>
      <c r="J209" s="215" t="n"/>
      <c r="K209" s="215" t="n"/>
      <c r="L209" s="215" t="n"/>
      <c r="M209" s="215" t="n"/>
      <c r="N209" s="215">
        <f>IF(ISNUMBER(I209),ROUND(I209-I209/1.081,2),"")</f>
        <v/>
      </c>
      <c r="O209" s="215">
        <f>IF(ISNUMBER(I209),I209-SUM(J209:N209),"")</f>
        <v/>
      </c>
      <c r="P209" s="216">
        <f>IFERROR(IF(AND(ISNUMBER(O209),ISNUMBER(I209),I209&lt;&gt;0),O209/I209,""),"")</f>
        <v/>
      </c>
      <c r="Q209" s="215">
        <f>IF(AND(ISNUMBER(I209),ISNUMBER(S209)),I209*IF(S209&lt;=1,S209,S209/100),IF(OR(I209&lt;&gt;"",S209&lt;&gt;""),"tbd",""))</f>
        <v/>
      </c>
      <c r="S209" s="217" t="n"/>
      <c r="Z209">
        <f>IF(AND(R209="WON",ISNUMBER(I209)),AA209,"")</f>
        <v/>
      </c>
      <c r="AA209">
        <f>IFERROR(I209*1,0)</f>
        <v>0</v>
      </c>
    </row>
    <row r="210" ht="15" customHeight="1">
      <c r="I210" s="215" t="n"/>
      <c r="J210" s="215" t="n"/>
      <c r="K210" s="215" t="n"/>
      <c r="L210" s="215" t="n"/>
      <c r="M210" s="215" t="n"/>
      <c r="N210" s="215">
        <f>IF(ISNUMBER(I210),ROUND(I210-I210/1.081,2),"")</f>
        <v/>
      </c>
      <c r="O210" s="215">
        <f>IF(ISNUMBER(I210),I210-SUM(J210:N210),"")</f>
        <v/>
      </c>
      <c r="P210" s="216">
        <f>IFERROR(IF(AND(ISNUMBER(O210),ISNUMBER(I210),I210&lt;&gt;0),O210/I210,""),"")</f>
        <v/>
      </c>
      <c r="Q210" s="215">
        <f>IF(AND(ISNUMBER(I210),ISNUMBER(S210)),I210*IF(S210&lt;=1,S210,S210/100),IF(OR(I210&lt;&gt;"",S210&lt;&gt;""),"tbd",""))</f>
        <v/>
      </c>
      <c r="S210" s="217" t="n"/>
      <c r="Z210">
        <f>IF(AND(R210="WON",ISNUMBER(I210)),AA210,"")</f>
        <v/>
      </c>
      <c r="AA210">
        <f>IFERROR(I210*1,0)</f>
        <v>0</v>
      </c>
    </row>
    <row r="211" ht="15" customHeight="1">
      <c r="I211" s="215" t="n"/>
      <c r="J211" s="215" t="n"/>
      <c r="K211" s="215" t="n"/>
      <c r="L211" s="215" t="n"/>
      <c r="M211" s="215" t="n"/>
      <c r="N211" s="215">
        <f>IF(ISNUMBER(I211),ROUND(I211-I211/1.081,2),"")</f>
        <v/>
      </c>
      <c r="O211" s="215">
        <f>IF(ISNUMBER(I211),I211-SUM(J211:N211),"")</f>
        <v/>
      </c>
      <c r="P211" s="216">
        <f>IFERROR(IF(AND(ISNUMBER(O211),ISNUMBER(I211),I211&lt;&gt;0),O211/I211,""),"")</f>
        <v/>
      </c>
      <c r="Q211" s="215">
        <f>IF(AND(ISNUMBER(I211),ISNUMBER(S211)),I211*IF(S211&lt;=1,S211,S211/100),IF(OR(I211&lt;&gt;"",S211&lt;&gt;""),"tbd",""))</f>
        <v/>
      </c>
      <c r="S211" s="217" t="n"/>
      <c r="Z211">
        <f>IF(AND(R211="WON",ISNUMBER(I211)),AA211,"")</f>
        <v/>
      </c>
      <c r="AA211">
        <f>IFERROR(I211*1,0)</f>
        <v>0</v>
      </c>
    </row>
    <row r="212" ht="15" customHeight="1">
      <c r="I212" s="215" t="n"/>
      <c r="J212" s="215" t="n"/>
      <c r="K212" s="215" t="n"/>
      <c r="L212" s="215" t="n"/>
      <c r="M212" s="215" t="n"/>
      <c r="N212" s="215">
        <f>IF(ISNUMBER(I212),ROUND(I212-I212/1.081,2),"")</f>
        <v/>
      </c>
      <c r="O212" s="215">
        <f>IF(ISNUMBER(I212),I212-SUM(J212:N212),"")</f>
        <v/>
      </c>
      <c r="P212" s="216">
        <f>IFERROR(IF(AND(ISNUMBER(O212),ISNUMBER(I212),I212&lt;&gt;0),O212/I212,""),"")</f>
        <v/>
      </c>
      <c r="Q212" s="215">
        <f>IF(AND(ISNUMBER(I212),ISNUMBER(S212)),I212*IF(S212&lt;=1,S212,S212/100),IF(OR(I212&lt;&gt;"",S212&lt;&gt;""),"tbd",""))</f>
        <v/>
      </c>
      <c r="S212" s="217" t="n"/>
      <c r="Z212">
        <f>IF(AND(R212="WON",ISNUMBER(I212)),AA212,"")</f>
        <v/>
      </c>
      <c r="AA212">
        <f>IFERROR(I212*1,0)</f>
        <v>0</v>
      </c>
    </row>
    <row r="213" ht="15" customHeight="1">
      <c r="I213" s="215" t="n"/>
      <c r="J213" s="215" t="n"/>
      <c r="K213" s="215" t="n"/>
      <c r="L213" s="215" t="n"/>
      <c r="M213" s="215" t="n"/>
      <c r="N213" s="215">
        <f>IF(ISNUMBER(I213),ROUND(I213-I213/1.081,2),"")</f>
        <v/>
      </c>
      <c r="O213" s="215">
        <f>IF(ISNUMBER(I213),I213-SUM(J213:N213),"")</f>
        <v/>
      </c>
      <c r="P213" s="216">
        <f>IFERROR(IF(AND(ISNUMBER(O213),ISNUMBER(I213),I213&lt;&gt;0),O213/I213,""),"")</f>
        <v/>
      </c>
      <c r="Q213" s="215">
        <f>IF(AND(ISNUMBER(I213),ISNUMBER(S213)),I213*IF(S213&lt;=1,S213,S213/100),IF(OR(I213&lt;&gt;"",S213&lt;&gt;""),"tbd",""))</f>
        <v/>
      </c>
      <c r="S213" s="217" t="n"/>
      <c r="Z213">
        <f>IF(AND(R213="WON",ISNUMBER(I213)),AA213,"")</f>
        <v/>
      </c>
      <c r="AA213">
        <f>IFERROR(I213*1,0)</f>
        <v>0</v>
      </c>
    </row>
    <row r="214" ht="15" customHeight="1">
      <c r="I214" s="215" t="n"/>
      <c r="J214" s="215" t="n"/>
      <c r="K214" s="215" t="n"/>
      <c r="L214" s="215" t="n"/>
      <c r="M214" s="215" t="n"/>
      <c r="N214" s="215">
        <f>IF(ISNUMBER(I214),ROUND(I214-I214/1.081,2),"")</f>
        <v/>
      </c>
      <c r="O214" s="215">
        <f>IF(ISNUMBER(I214),I214-SUM(J214:N214),"")</f>
        <v/>
      </c>
      <c r="P214" s="216">
        <f>IFERROR(IF(AND(ISNUMBER(O214),ISNUMBER(I214),I214&lt;&gt;0),O214/I214,""),"")</f>
        <v/>
      </c>
      <c r="Q214" s="215">
        <f>IF(AND(ISNUMBER(I214),ISNUMBER(S214)),I214*IF(S214&lt;=1,S214,S214/100),IF(OR(I214&lt;&gt;"",S214&lt;&gt;""),"tbd",""))</f>
        <v/>
      </c>
      <c r="S214" s="217" t="n"/>
      <c r="Z214">
        <f>IF(AND(R214="WON",ISNUMBER(I214)),AA214,"")</f>
        <v/>
      </c>
      <c r="AA214">
        <f>IFERROR(I214*1,0)</f>
        <v>0</v>
      </c>
    </row>
    <row r="215" ht="15" customHeight="1">
      <c r="I215" s="215" t="n"/>
      <c r="J215" s="215" t="n"/>
      <c r="K215" s="215" t="n"/>
      <c r="L215" s="215" t="n"/>
      <c r="M215" s="215" t="n"/>
      <c r="N215" s="215">
        <f>IF(ISNUMBER(I215),ROUND(I215-I215/1.081,2),"")</f>
        <v/>
      </c>
      <c r="O215" s="215">
        <f>IF(ISNUMBER(I215),I215-SUM(J215:N215),"")</f>
        <v/>
      </c>
      <c r="P215" s="216">
        <f>IFERROR(IF(AND(ISNUMBER(O215),ISNUMBER(I215),I215&lt;&gt;0),O215/I215,""),"")</f>
        <v/>
      </c>
      <c r="Q215" s="215">
        <f>IF(AND(ISNUMBER(I215),ISNUMBER(S215)),I215*IF(S215&lt;=1,S215,S215/100),IF(OR(I215&lt;&gt;"",S215&lt;&gt;""),"tbd",""))</f>
        <v/>
      </c>
      <c r="S215" s="217" t="n"/>
      <c r="Z215">
        <f>IF(AND(R215="WON",ISNUMBER(I215)),AA215,"")</f>
        <v/>
      </c>
      <c r="AA215">
        <f>IFERROR(I215*1,0)</f>
        <v>0</v>
      </c>
    </row>
    <row r="216" ht="15" customHeight="1">
      <c r="I216" s="215" t="n"/>
      <c r="J216" s="215" t="n"/>
      <c r="K216" s="215" t="n"/>
      <c r="L216" s="215" t="n"/>
      <c r="M216" s="215" t="n"/>
      <c r="N216" s="215">
        <f>IF(ISNUMBER(I216),ROUND(I216-I216/1.081,2),"")</f>
        <v/>
      </c>
      <c r="O216" s="215">
        <f>IF(ISNUMBER(I216),I216-SUM(J216:N216),"")</f>
        <v/>
      </c>
      <c r="P216" s="216">
        <f>IFERROR(IF(AND(ISNUMBER(O216),ISNUMBER(I216),I216&lt;&gt;0),O216/I216,""),"")</f>
        <v/>
      </c>
      <c r="Q216" s="215">
        <f>IF(AND(ISNUMBER(I216),ISNUMBER(S216)),I216*IF(S216&lt;=1,S216,S216/100),IF(OR(I216&lt;&gt;"",S216&lt;&gt;""),"tbd",""))</f>
        <v/>
      </c>
      <c r="S216" s="217" t="n"/>
      <c r="Z216">
        <f>IF(AND(R216="WON",ISNUMBER(I216)),AA216,"")</f>
        <v/>
      </c>
      <c r="AA216">
        <f>IFERROR(I216*1,0)</f>
        <v>0</v>
      </c>
    </row>
    <row r="217" ht="15" customHeight="1">
      <c r="I217" s="215" t="n"/>
      <c r="J217" s="215" t="n"/>
      <c r="K217" s="215" t="n"/>
      <c r="L217" s="215" t="n"/>
      <c r="M217" s="215" t="n"/>
      <c r="N217" s="215">
        <f>IF(ISNUMBER(I217),ROUND(I217-I217/1.081,2),"")</f>
        <v/>
      </c>
      <c r="O217" s="215">
        <f>IF(ISNUMBER(I217),I217-SUM(J217:N217),"")</f>
        <v/>
      </c>
      <c r="P217" s="216">
        <f>IFERROR(IF(AND(ISNUMBER(O217),ISNUMBER(I217),I217&lt;&gt;0),O217/I217,""),"")</f>
        <v/>
      </c>
      <c r="Q217" s="215">
        <f>IF(AND(ISNUMBER(I217),ISNUMBER(S217)),I217*IF(S217&lt;=1,S217,S217/100),IF(OR(I217&lt;&gt;"",S217&lt;&gt;""),"tbd",""))</f>
        <v/>
      </c>
      <c r="S217" s="217" t="n"/>
      <c r="Z217">
        <f>IF(AND(R217="WON",ISNUMBER(I217)),AA217,"")</f>
        <v/>
      </c>
      <c r="AA217">
        <f>IFERROR(I217*1,0)</f>
        <v>0</v>
      </c>
    </row>
    <row r="218" ht="15" customHeight="1">
      <c r="I218" s="215" t="n"/>
      <c r="J218" s="215" t="n"/>
      <c r="K218" s="215" t="n"/>
      <c r="L218" s="215" t="n"/>
      <c r="M218" s="215" t="n"/>
      <c r="N218" s="215">
        <f>IF(ISNUMBER(I218),ROUND(I218-I218/1.081,2),"")</f>
        <v/>
      </c>
      <c r="O218" s="215">
        <f>IF(ISNUMBER(I218),I218-SUM(J218:N218),"")</f>
        <v/>
      </c>
      <c r="P218" s="216">
        <f>IFERROR(IF(AND(ISNUMBER(O218),ISNUMBER(I218),I218&lt;&gt;0),O218/I218,""),"")</f>
        <v/>
      </c>
      <c r="Q218" s="215">
        <f>IF(AND(ISNUMBER(I218),ISNUMBER(S218)),I218*IF(S218&lt;=1,S218,S218/100),IF(OR(I218&lt;&gt;"",S218&lt;&gt;""),"tbd",""))</f>
        <v/>
      </c>
      <c r="S218" s="217" t="n"/>
      <c r="Z218">
        <f>IF(AND(R218="WON",ISNUMBER(I218)),AA218,"")</f>
        <v/>
      </c>
      <c r="AA218">
        <f>IFERROR(I218*1,0)</f>
        <v>0</v>
      </c>
    </row>
    <row r="219" ht="15" customHeight="1">
      <c r="I219" s="215" t="n"/>
      <c r="J219" s="215" t="n"/>
      <c r="K219" s="215" t="n"/>
      <c r="L219" s="215" t="n"/>
      <c r="M219" s="215" t="n"/>
      <c r="N219" s="215">
        <f>IF(ISNUMBER(I219),ROUND(I219-I219/1.081,2),"")</f>
        <v/>
      </c>
      <c r="O219" s="215">
        <f>IF(ISNUMBER(I219),I219-SUM(J219:N219),"")</f>
        <v/>
      </c>
      <c r="P219" s="216">
        <f>IFERROR(IF(AND(ISNUMBER(O219),ISNUMBER(I219),I219&lt;&gt;0),O219/I219,""),"")</f>
        <v/>
      </c>
      <c r="Q219" s="215">
        <f>IF(AND(ISNUMBER(I219),ISNUMBER(S219)),I219*IF(S219&lt;=1,S219,S219/100),IF(OR(I219&lt;&gt;"",S219&lt;&gt;""),"tbd",""))</f>
        <v/>
      </c>
      <c r="S219" s="217" t="n"/>
      <c r="Z219">
        <f>IF(AND(R219="WON",ISNUMBER(I219)),AA219,"")</f>
        <v/>
      </c>
      <c r="AA219">
        <f>IFERROR(I219*1,0)</f>
        <v>0</v>
      </c>
    </row>
    <row r="220" ht="15" customHeight="1">
      <c r="I220" s="215" t="n"/>
      <c r="J220" s="215" t="n"/>
      <c r="K220" s="215" t="n"/>
      <c r="L220" s="215" t="n"/>
      <c r="M220" s="215" t="n"/>
      <c r="N220" s="215">
        <f>IF(ISNUMBER(I220),ROUND(I220-I220/1.081,2),"")</f>
        <v/>
      </c>
      <c r="O220" s="215">
        <f>IF(ISNUMBER(I220),I220-SUM(J220:N220),"")</f>
        <v/>
      </c>
      <c r="P220" s="216">
        <f>IFERROR(IF(AND(ISNUMBER(O220),ISNUMBER(I220),I220&lt;&gt;0),O220/I220,""),"")</f>
        <v/>
      </c>
      <c r="Q220" s="215">
        <f>IF(AND(ISNUMBER(I220),ISNUMBER(S220)),I220*IF(S220&lt;=1,S220,S220/100),IF(OR(I220&lt;&gt;"",S220&lt;&gt;""),"tbd",""))</f>
        <v/>
      </c>
      <c r="S220" s="217" t="n"/>
      <c r="Z220">
        <f>IF(AND(R220="WON",ISNUMBER(I220)),AA220,"")</f>
        <v/>
      </c>
      <c r="AA220">
        <f>IFERROR(I220*1,0)</f>
        <v>0</v>
      </c>
    </row>
    <row r="221" ht="15" customHeight="1">
      <c r="I221" s="215" t="n"/>
      <c r="J221" s="215" t="n"/>
      <c r="K221" s="215" t="n"/>
      <c r="L221" s="215" t="n"/>
      <c r="M221" s="215" t="n"/>
      <c r="N221" s="215">
        <f>IF(ISNUMBER(I221),ROUND(I221-I221/1.081,2),"")</f>
        <v/>
      </c>
      <c r="O221" s="215">
        <f>IF(ISNUMBER(I221),I221-SUM(J221:N221),"")</f>
        <v/>
      </c>
      <c r="P221" s="216">
        <f>IFERROR(IF(AND(ISNUMBER(O221),ISNUMBER(I221),I221&lt;&gt;0),O221/I221,""),"")</f>
        <v/>
      </c>
      <c r="Q221" s="215">
        <f>IF(AND(ISNUMBER(I221),ISNUMBER(S221)),I221*IF(S221&lt;=1,S221,S221/100),IF(OR(I221&lt;&gt;"",S221&lt;&gt;""),"tbd",""))</f>
        <v/>
      </c>
      <c r="S221" s="217" t="n"/>
      <c r="Z221">
        <f>IF(AND(R221="WON",ISNUMBER(I221)),AA221,"")</f>
        <v/>
      </c>
      <c r="AA221">
        <f>IFERROR(I221*1,0)</f>
        <v>0</v>
      </c>
    </row>
    <row r="222" ht="15" customHeight="1">
      <c r="I222" s="215" t="n"/>
      <c r="J222" s="215" t="n"/>
      <c r="K222" s="215" t="n"/>
      <c r="L222" s="215" t="n"/>
      <c r="M222" s="215" t="n"/>
      <c r="N222" s="215">
        <f>IF(ISNUMBER(I222),ROUND(I222-I222/1.081,2),"")</f>
        <v/>
      </c>
      <c r="O222" s="215">
        <f>IF(ISNUMBER(I222),I222-SUM(J222:N222),"")</f>
        <v/>
      </c>
      <c r="P222" s="216">
        <f>IFERROR(IF(AND(ISNUMBER(O222),ISNUMBER(I222),I222&lt;&gt;0),O222/I222,""),"")</f>
        <v/>
      </c>
      <c r="Q222" s="215">
        <f>IF(AND(ISNUMBER(I222),ISNUMBER(S222)),I222*IF(S222&lt;=1,S222,S222/100),IF(OR(I222&lt;&gt;"",S222&lt;&gt;""),"tbd",""))</f>
        <v/>
      </c>
      <c r="S222" s="217" t="n"/>
      <c r="Z222">
        <f>IF(AND(R222="WON",ISNUMBER(I222)),AA222,"")</f>
        <v/>
      </c>
      <c r="AA222">
        <f>IFERROR(I222*1,0)</f>
        <v>0</v>
      </c>
    </row>
    <row r="223" ht="15" customHeight="1">
      <c r="I223" s="215" t="n"/>
      <c r="J223" s="215" t="n"/>
      <c r="K223" s="215" t="n"/>
      <c r="L223" s="215" t="n"/>
      <c r="M223" s="215" t="n"/>
      <c r="N223" s="215">
        <f>IF(ISNUMBER(I223),ROUND(I223-I223/1.081,2),"")</f>
        <v/>
      </c>
      <c r="O223" s="215">
        <f>IF(ISNUMBER(I223),I223-SUM(J223:N223),"")</f>
        <v/>
      </c>
      <c r="P223" s="216">
        <f>IFERROR(IF(AND(ISNUMBER(O223),ISNUMBER(I223),I223&lt;&gt;0),O223/I223,""),"")</f>
        <v/>
      </c>
      <c r="Q223" s="215">
        <f>IF(AND(ISNUMBER(I223),ISNUMBER(S223)),I223*IF(S223&lt;=1,S223,S223/100),IF(OR(I223&lt;&gt;"",S223&lt;&gt;""),"tbd",""))</f>
        <v/>
      </c>
      <c r="S223" s="217" t="n"/>
      <c r="Z223">
        <f>IF(AND(R223="WON",ISNUMBER(I223)),AA223,"")</f>
        <v/>
      </c>
      <c r="AA223">
        <f>IFERROR(I223*1,0)</f>
        <v>0</v>
      </c>
    </row>
    <row r="224" ht="15" customHeight="1">
      <c r="I224" s="215" t="n"/>
      <c r="J224" s="215" t="n"/>
      <c r="K224" s="215" t="n"/>
      <c r="L224" s="215" t="n"/>
      <c r="M224" s="215" t="n"/>
      <c r="N224" s="215">
        <f>IF(ISNUMBER(I224),ROUND(I224-I224/1.081,2),"")</f>
        <v/>
      </c>
      <c r="O224" s="215">
        <f>IF(ISNUMBER(I224),I224-SUM(J224:N224),"")</f>
        <v/>
      </c>
      <c r="P224" s="216">
        <f>IFERROR(IF(AND(ISNUMBER(O224),ISNUMBER(I224),I224&lt;&gt;0),O224/I224,""),"")</f>
        <v/>
      </c>
      <c r="Q224" s="215">
        <f>IF(AND(ISNUMBER(I224),ISNUMBER(S224)),I224*IF(S224&lt;=1,S224,S224/100),IF(OR(I224&lt;&gt;"",S224&lt;&gt;""),"tbd",""))</f>
        <v/>
      </c>
      <c r="S224" s="217" t="n"/>
      <c r="Z224">
        <f>IF(AND(R224="WON",ISNUMBER(I224)),AA224,"")</f>
        <v/>
      </c>
      <c r="AA224">
        <f>IFERROR(I224*1,0)</f>
        <v>0</v>
      </c>
    </row>
    <row r="225" ht="15" customHeight="1">
      <c r="I225" s="215" t="n"/>
      <c r="J225" s="215" t="n"/>
      <c r="K225" s="215" t="n"/>
      <c r="L225" s="215" t="n"/>
      <c r="M225" s="215" t="n"/>
      <c r="N225" s="215">
        <f>IF(ISNUMBER(I225),ROUND(I225-I225/1.081,2),"")</f>
        <v/>
      </c>
      <c r="O225" s="215">
        <f>IF(ISNUMBER(I225),I225-SUM(J225:N225),"")</f>
        <v/>
      </c>
      <c r="P225" s="216">
        <f>IFERROR(IF(AND(ISNUMBER(O225),ISNUMBER(I225),I225&lt;&gt;0),O225/I225,""),"")</f>
        <v/>
      </c>
      <c r="Q225" s="215">
        <f>IF(AND(ISNUMBER(I225),ISNUMBER(S225)),I225*IF(S225&lt;=1,S225,S225/100),IF(OR(I225&lt;&gt;"",S225&lt;&gt;""),"tbd",""))</f>
        <v/>
      </c>
      <c r="S225" s="217" t="n"/>
      <c r="Z225">
        <f>IF(AND(R225="WON",ISNUMBER(I225)),AA225,"")</f>
        <v/>
      </c>
      <c r="AA225">
        <f>IFERROR(I225*1,0)</f>
        <v>0</v>
      </c>
    </row>
    <row r="226" ht="15" customHeight="1">
      <c r="I226" s="215" t="n"/>
      <c r="J226" s="215" t="n"/>
      <c r="K226" s="215" t="n"/>
      <c r="L226" s="215" t="n"/>
      <c r="M226" s="215" t="n"/>
      <c r="N226" s="215">
        <f>IF(ISNUMBER(I226),ROUND(I226-I226/1.081,2),"")</f>
        <v/>
      </c>
      <c r="O226" s="215">
        <f>IF(ISNUMBER(I226),I226-SUM(J226:N226),"")</f>
        <v/>
      </c>
      <c r="P226" s="216">
        <f>IFERROR(IF(AND(ISNUMBER(O226),ISNUMBER(I226),I226&lt;&gt;0),O226/I226,""),"")</f>
        <v/>
      </c>
      <c r="Q226" s="215">
        <f>IF(AND(ISNUMBER(I226),ISNUMBER(S226)),I226*IF(S226&lt;=1,S226,S226/100),IF(OR(I226&lt;&gt;"",S226&lt;&gt;""),"tbd",""))</f>
        <v/>
      </c>
      <c r="S226" s="217" t="n"/>
      <c r="Z226">
        <f>IF(AND(R226="WON",ISNUMBER(I226)),AA226,"")</f>
        <v/>
      </c>
      <c r="AA226">
        <f>IFERROR(I226*1,0)</f>
        <v>0</v>
      </c>
    </row>
    <row r="227" ht="15" customHeight="1">
      <c r="I227" s="215" t="n"/>
      <c r="J227" s="215" t="n"/>
      <c r="K227" s="215" t="n"/>
      <c r="L227" s="215" t="n"/>
      <c r="M227" s="215" t="n"/>
      <c r="N227" s="215">
        <f>IF(ISNUMBER(I227),ROUND(I227-I227/1.081,2),"")</f>
        <v/>
      </c>
      <c r="O227" s="215">
        <f>IF(ISNUMBER(I227),I227-SUM(J227:N227),"")</f>
        <v/>
      </c>
      <c r="P227" s="216">
        <f>IFERROR(IF(AND(ISNUMBER(O227),ISNUMBER(I227),I227&lt;&gt;0),O227/I227,""),"")</f>
        <v/>
      </c>
      <c r="Q227" s="215">
        <f>IF(AND(ISNUMBER(I227),ISNUMBER(S227)),I227*IF(S227&lt;=1,S227,S227/100),IF(OR(I227&lt;&gt;"",S227&lt;&gt;""),"tbd",""))</f>
        <v/>
      </c>
      <c r="S227" s="217" t="n"/>
      <c r="Z227">
        <f>IF(AND(R227="WON",ISNUMBER(I227)),AA227,"")</f>
        <v/>
      </c>
      <c r="AA227">
        <f>IFERROR(I227*1,0)</f>
        <v>0</v>
      </c>
    </row>
    <row r="228" ht="15" customHeight="1">
      <c r="I228" s="215" t="n"/>
      <c r="J228" s="215" t="n"/>
      <c r="K228" s="215" t="n"/>
      <c r="L228" s="215" t="n"/>
      <c r="M228" s="215" t="n"/>
      <c r="N228" s="215">
        <f>IF(ISNUMBER(I228),ROUND(I228-I228/1.081,2),"")</f>
        <v/>
      </c>
      <c r="O228" s="215">
        <f>IF(ISNUMBER(I228),I228-SUM(J228:N228),"")</f>
        <v/>
      </c>
      <c r="P228" s="216">
        <f>IFERROR(IF(AND(ISNUMBER(O228),ISNUMBER(I228),I228&lt;&gt;0),O228/I228,""),"")</f>
        <v/>
      </c>
      <c r="Q228" s="215">
        <f>IF(AND(ISNUMBER(I228),ISNUMBER(S228)),I228*IF(S228&lt;=1,S228,S228/100),IF(OR(I228&lt;&gt;"",S228&lt;&gt;""),"tbd",""))</f>
        <v/>
      </c>
      <c r="S228" s="217" t="n"/>
      <c r="Z228">
        <f>IF(AND(R228="WON",ISNUMBER(I228)),AA228,"")</f>
        <v/>
      </c>
      <c r="AA228">
        <f>IFERROR(I228*1,0)</f>
        <v>0</v>
      </c>
    </row>
    <row r="229" ht="15" customHeight="1">
      <c r="I229" s="215" t="n"/>
      <c r="J229" s="215" t="n"/>
      <c r="K229" s="215" t="n"/>
      <c r="L229" s="215" t="n"/>
      <c r="M229" s="215" t="n"/>
      <c r="N229" s="215">
        <f>IF(ISNUMBER(I229),ROUND(I229-I229/1.081,2),"")</f>
        <v/>
      </c>
      <c r="O229" s="215">
        <f>IF(ISNUMBER(I229),I229-SUM(J229:N229),"")</f>
        <v/>
      </c>
      <c r="P229" s="216">
        <f>IFERROR(IF(AND(ISNUMBER(O229),ISNUMBER(I229),I229&lt;&gt;0),O229/I229,""),"")</f>
        <v/>
      </c>
      <c r="Q229" s="215">
        <f>IF(AND(ISNUMBER(I229),ISNUMBER(S229)),I229*IF(S229&lt;=1,S229,S229/100),IF(OR(I229&lt;&gt;"",S229&lt;&gt;""),"tbd",""))</f>
        <v/>
      </c>
      <c r="S229" s="217" t="n"/>
      <c r="Z229">
        <f>IF(AND(R229="WON",ISNUMBER(I229)),AA229,"")</f>
        <v/>
      </c>
      <c r="AA229">
        <f>IFERROR(I229*1,0)</f>
        <v>0</v>
      </c>
    </row>
    <row r="230" ht="15" customHeight="1">
      <c r="I230" s="215" t="n"/>
      <c r="J230" s="215" t="n"/>
      <c r="K230" s="215" t="n"/>
      <c r="L230" s="215" t="n"/>
      <c r="M230" s="215" t="n"/>
      <c r="N230" s="215">
        <f>IF(ISNUMBER(I230),ROUND(I230-I230/1.081,2),"")</f>
        <v/>
      </c>
      <c r="O230" s="215">
        <f>IF(ISNUMBER(I230),I230-SUM(J230:N230),"")</f>
        <v/>
      </c>
      <c r="P230" s="216">
        <f>IFERROR(IF(AND(ISNUMBER(O230),ISNUMBER(I230),I230&lt;&gt;0),O230/I230,""),"")</f>
        <v/>
      </c>
      <c r="Q230" s="215">
        <f>IF(AND(ISNUMBER(I230),ISNUMBER(S230)),I230*IF(S230&lt;=1,S230,S230/100),IF(OR(I230&lt;&gt;"",S230&lt;&gt;""),"tbd",""))</f>
        <v/>
      </c>
      <c r="S230" s="217" t="n"/>
      <c r="Z230">
        <f>IF(AND(R230="WON",ISNUMBER(I230)),AA230,"")</f>
        <v/>
      </c>
      <c r="AA230">
        <f>IFERROR(I230*1,0)</f>
        <v>0</v>
      </c>
    </row>
    <row r="231" ht="15" customHeight="1">
      <c r="I231" s="215" t="n"/>
      <c r="J231" s="215" t="n"/>
      <c r="K231" s="215" t="n"/>
      <c r="L231" s="215" t="n"/>
      <c r="M231" s="215" t="n"/>
      <c r="N231" s="215">
        <f>IF(ISNUMBER(I231),ROUND(I231-I231/1.081,2),"")</f>
        <v/>
      </c>
      <c r="O231" s="215">
        <f>IF(ISNUMBER(I231),I231-SUM(J231:N231),"")</f>
        <v/>
      </c>
      <c r="P231" s="216">
        <f>IFERROR(IF(AND(ISNUMBER(O231),ISNUMBER(I231),I231&lt;&gt;0),O231/I231,""),"")</f>
        <v/>
      </c>
      <c r="Q231" s="215">
        <f>IF(AND(ISNUMBER(I231),ISNUMBER(S231)),I231*IF(S231&lt;=1,S231,S231/100),IF(OR(I231&lt;&gt;"",S231&lt;&gt;""),"tbd",""))</f>
        <v/>
      </c>
      <c r="S231" s="217" t="n"/>
      <c r="Z231">
        <f>IF(AND(R231="WON",ISNUMBER(I231)),AA231,"")</f>
        <v/>
      </c>
      <c r="AA231">
        <f>IFERROR(I231*1,0)</f>
        <v>0</v>
      </c>
    </row>
    <row r="232" ht="15" customHeight="1">
      <c r="I232" s="215" t="n"/>
      <c r="J232" s="215" t="n"/>
      <c r="K232" s="215" t="n"/>
      <c r="L232" s="215" t="n"/>
      <c r="M232" s="215" t="n"/>
      <c r="N232" s="215">
        <f>IF(ISNUMBER(I232),ROUND(I232-I232/1.081,2),"")</f>
        <v/>
      </c>
      <c r="O232" s="215">
        <f>IF(ISNUMBER(I232),I232-SUM(J232:N232),"")</f>
        <v/>
      </c>
      <c r="P232" s="216">
        <f>IFERROR(IF(AND(ISNUMBER(O232),ISNUMBER(I232),I232&lt;&gt;0),O232/I232,""),"")</f>
        <v/>
      </c>
      <c r="Q232" s="215">
        <f>IF(AND(ISNUMBER(I232),ISNUMBER(S232)),I232*IF(S232&lt;=1,S232,S232/100),IF(OR(I232&lt;&gt;"",S232&lt;&gt;""),"tbd",""))</f>
        <v/>
      </c>
      <c r="S232" s="217" t="n"/>
      <c r="Z232">
        <f>IF(AND(R232="WON",ISNUMBER(I232)),AA232,"")</f>
        <v/>
      </c>
      <c r="AA232">
        <f>IFERROR(I232*1,0)</f>
        <v>0</v>
      </c>
    </row>
    <row r="233" ht="15" customHeight="1">
      <c r="I233" s="215" t="n"/>
      <c r="J233" s="215" t="n"/>
      <c r="K233" s="215" t="n"/>
      <c r="L233" s="215" t="n"/>
      <c r="M233" s="215" t="n"/>
      <c r="N233" s="215">
        <f>IF(ISNUMBER(I233),ROUND(I233-I233/1.081,2),"")</f>
        <v/>
      </c>
      <c r="O233" s="215">
        <f>IF(ISNUMBER(I233),I233-SUM(J233:N233),"")</f>
        <v/>
      </c>
      <c r="P233" s="216">
        <f>IFERROR(IF(AND(ISNUMBER(O233),ISNUMBER(I233),I233&lt;&gt;0),O233/I233,""),"")</f>
        <v/>
      </c>
      <c r="Q233" s="215">
        <f>IF(AND(ISNUMBER(I233),ISNUMBER(S233)),I233*IF(S233&lt;=1,S233,S233/100),IF(OR(I233&lt;&gt;"",S233&lt;&gt;""),"tbd",""))</f>
        <v/>
      </c>
      <c r="S233" s="217" t="n"/>
      <c r="Z233">
        <f>IF(AND(R233="WON",ISNUMBER(I233)),AA233,"")</f>
        <v/>
      </c>
      <c r="AA233">
        <f>IFERROR(I233*1,0)</f>
        <v>0</v>
      </c>
    </row>
    <row r="234" ht="15" customHeight="1">
      <c r="I234" s="215" t="n"/>
      <c r="J234" s="215" t="n"/>
      <c r="K234" s="215" t="n"/>
      <c r="L234" s="215" t="n"/>
      <c r="M234" s="215" t="n"/>
      <c r="N234" s="215">
        <f>IF(ISNUMBER(I234),ROUND(I234-I234/1.081,2),"")</f>
        <v/>
      </c>
      <c r="O234" s="215">
        <f>IF(ISNUMBER(I234),I234-SUM(J234:N234),"")</f>
        <v/>
      </c>
      <c r="P234" s="216">
        <f>IFERROR(IF(AND(ISNUMBER(O234),ISNUMBER(I234),I234&lt;&gt;0),O234/I234,""),"")</f>
        <v/>
      </c>
      <c r="Q234" s="215">
        <f>IF(AND(ISNUMBER(I234),ISNUMBER(S234)),I234*IF(S234&lt;=1,S234,S234/100),IF(OR(I234&lt;&gt;"",S234&lt;&gt;""),"tbd",""))</f>
        <v/>
      </c>
      <c r="S234" s="217" t="n"/>
      <c r="Z234">
        <f>IF(AND(R234="WON",ISNUMBER(I234)),AA234,"")</f>
        <v/>
      </c>
      <c r="AA234">
        <f>IFERROR(I234*1,0)</f>
        <v>0</v>
      </c>
    </row>
    <row r="235" ht="15" customHeight="1">
      <c r="I235" s="215" t="n"/>
      <c r="J235" s="215" t="n"/>
      <c r="K235" s="215" t="n"/>
      <c r="L235" s="215" t="n"/>
      <c r="M235" s="215" t="n"/>
      <c r="N235" s="215">
        <f>IF(ISNUMBER(I235),ROUND(I235-I235/1.081,2),"")</f>
        <v/>
      </c>
      <c r="O235" s="215">
        <f>IF(ISNUMBER(I235),I235-SUM(J235:N235),"")</f>
        <v/>
      </c>
      <c r="P235" s="216">
        <f>IFERROR(IF(AND(ISNUMBER(O235),ISNUMBER(I235),I235&lt;&gt;0),O235/I235,""),"")</f>
        <v/>
      </c>
      <c r="Q235" s="215">
        <f>IF(AND(ISNUMBER(I235),ISNUMBER(S235)),I235*IF(S235&lt;=1,S235,S235/100),IF(OR(I235&lt;&gt;"",S235&lt;&gt;""),"tbd",""))</f>
        <v/>
      </c>
      <c r="S235" s="217" t="n"/>
      <c r="Z235">
        <f>IF(AND(R235="WON",ISNUMBER(I235)),AA235,"")</f>
        <v/>
      </c>
      <c r="AA235">
        <f>IFERROR(I235*1,0)</f>
        <v>0</v>
      </c>
    </row>
    <row r="236" ht="15" customHeight="1">
      <c r="I236" s="215" t="n"/>
      <c r="J236" s="215" t="n"/>
      <c r="K236" s="215" t="n"/>
      <c r="L236" s="215" t="n"/>
      <c r="M236" s="215" t="n"/>
      <c r="N236" s="215">
        <f>IF(ISNUMBER(I236),ROUND(I236-I236/1.081,2),"")</f>
        <v/>
      </c>
      <c r="O236" s="215">
        <f>IF(ISNUMBER(I236),I236-SUM(J236:N236),"")</f>
        <v/>
      </c>
      <c r="P236" s="216">
        <f>IFERROR(IF(AND(ISNUMBER(O236),ISNUMBER(I236),I236&lt;&gt;0),O236/I236,""),"")</f>
        <v/>
      </c>
      <c r="Q236" s="215">
        <f>IF(AND(ISNUMBER(I236),ISNUMBER(S236)),I236*IF(S236&lt;=1,S236,S236/100),IF(OR(I236&lt;&gt;"",S236&lt;&gt;""),"tbd",""))</f>
        <v/>
      </c>
      <c r="S236" s="217" t="n"/>
      <c r="Z236">
        <f>IF(AND(R236="WON",ISNUMBER(I236)),AA236,"")</f>
        <v/>
      </c>
      <c r="AA236">
        <f>IFERROR(I236*1,0)</f>
        <v>0</v>
      </c>
    </row>
    <row r="237" ht="15" customHeight="1">
      <c r="I237" s="215" t="n"/>
      <c r="J237" s="215" t="n"/>
      <c r="K237" s="215" t="n"/>
      <c r="L237" s="215" t="n"/>
      <c r="M237" s="215" t="n"/>
      <c r="N237" s="215">
        <f>IF(ISNUMBER(I237),ROUND(I237-I237/1.081,2),"")</f>
        <v/>
      </c>
      <c r="O237" s="215">
        <f>IF(ISNUMBER(I237),I237-SUM(J237:N237),"")</f>
        <v/>
      </c>
      <c r="P237" s="216">
        <f>IFERROR(IF(AND(ISNUMBER(O237),ISNUMBER(I237),I237&lt;&gt;0),O237/I237,""),"")</f>
        <v/>
      </c>
      <c r="Q237" s="215">
        <f>IF(AND(ISNUMBER(I237),ISNUMBER(S237)),I237*IF(S237&lt;=1,S237,S237/100),IF(OR(I237&lt;&gt;"",S237&lt;&gt;""),"tbd",""))</f>
        <v/>
      </c>
      <c r="S237" s="217" t="n"/>
      <c r="Z237">
        <f>IF(AND(R237="WON",ISNUMBER(I237)),AA237,"")</f>
        <v/>
      </c>
      <c r="AA237">
        <f>IFERROR(I237*1,0)</f>
        <v>0</v>
      </c>
    </row>
    <row r="238" ht="15" customHeight="1">
      <c r="I238" s="215" t="n"/>
      <c r="J238" s="215" t="n"/>
      <c r="K238" s="215" t="n"/>
      <c r="L238" s="215" t="n"/>
      <c r="M238" s="215" t="n"/>
      <c r="N238" s="215">
        <f>IF(ISNUMBER(I238),ROUND(I238-I238/1.081,2),"")</f>
        <v/>
      </c>
      <c r="O238" s="215">
        <f>IF(ISNUMBER(I238),I238-SUM(J238:N238),"")</f>
        <v/>
      </c>
      <c r="P238" s="216">
        <f>IFERROR(IF(AND(ISNUMBER(O238),ISNUMBER(I238),I238&lt;&gt;0),O238/I238,""),"")</f>
        <v/>
      </c>
      <c r="Q238" s="215">
        <f>IF(AND(ISNUMBER(I238),ISNUMBER(S238)),I238*IF(S238&lt;=1,S238,S238/100),IF(OR(I238&lt;&gt;"",S238&lt;&gt;""),"tbd",""))</f>
        <v/>
      </c>
      <c r="S238" s="217" t="n"/>
      <c r="Z238">
        <f>IF(AND(R238="WON",ISNUMBER(I238)),AA238,"")</f>
        <v/>
      </c>
      <c r="AA238">
        <f>IFERROR(I238*1,0)</f>
        <v>0</v>
      </c>
    </row>
    <row r="239" ht="15" customHeight="1">
      <c r="I239" s="215" t="n"/>
      <c r="J239" s="215" t="n"/>
      <c r="K239" s="215" t="n"/>
      <c r="L239" s="215" t="n"/>
      <c r="M239" s="215" t="n"/>
      <c r="N239" s="215">
        <f>IF(ISNUMBER(I239),ROUND(I239-I239/1.081,2),"")</f>
        <v/>
      </c>
      <c r="O239" s="215">
        <f>IF(ISNUMBER(I239),I239-SUM(J239:N239),"")</f>
        <v/>
      </c>
      <c r="P239" s="216">
        <f>IFERROR(IF(AND(ISNUMBER(O239),ISNUMBER(I239),I239&lt;&gt;0),O239/I239,""),"")</f>
        <v/>
      </c>
      <c r="Q239" s="215">
        <f>IF(AND(ISNUMBER(I239),ISNUMBER(S239)),I239*IF(S239&lt;=1,S239,S239/100),IF(OR(I239&lt;&gt;"",S239&lt;&gt;""),"tbd",""))</f>
        <v/>
      </c>
      <c r="S239" s="217" t="n"/>
      <c r="Z239">
        <f>IF(AND(R239="WON",ISNUMBER(I239)),AA239,"")</f>
        <v/>
      </c>
      <c r="AA239">
        <f>IFERROR(I239*1,0)</f>
        <v>0</v>
      </c>
    </row>
    <row r="240" ht="15" customHeight="1">
      <c r="I240" s="215" t="n"/>
      <c r="J240" s="215" t="n"/>
      <c r="K240" s="215" t="n"/>
      <c r="L240" s="215" t="n"/>
      <c r="M240" s="215" t="n"/>
      <c r="N240" s="215">
        <f>IF(ISNUMBER(I240),ROUND(I240-I240/1.081,2),"")</f>
        <v/>
      </c>
      <c r="O240" s="215">
        <f>IF(ISNUMBER(I240),I240-SUM(J240:N240),"")</f>
        <v/>
      </c>
      <c r="P240" s="216">
        <f>IFERROR(IF(AND(ISNUMBER(O240),ISNUMBER(I240),I240&lt;&gt;0),O240/I240,""),"")</f>
        <v/>
      </c>
      <c r="Q240" s="215">
        <f>IF(AND(ISNUMBER(I240),ISNUMBER(S240)),I240*IF(S240&lt;=1,S240,S240/100),IF(OR(I240&lt;&gt;"",S240&lt;&gt;""),"tbd",""))</f>
        <v/>
      </c>
      <c r="S240" s="217" t="n"/>
      <c r="Z240">
        <f>IF(AND(R240="WON",ISNUMBER(I240)),AA240,"")</f>
        <v/>
      </c>
      <c r="AA240">
        <f>IFERROR(I240*1,0)</f>
        <v>0</v>
      </c>
    </row>
    <row r="241" ht="15" customHeight="1">
      <c r="I241" s="215" t="n"/>
      <c r="J241" s="215" t="n"/>
      <c r="K241" s="215" t="n"/>
      <c r="L241" s="215" t="n"/>
      <c r="M241" s="215" t="n"/>
      <c r="N241" s="215">
        <f>IF(ISNUMBER(I241),ROUND(I241-I241/1.081,2),"")</f>
        <v/>
      </c>
      <c r="O241" s="215">
        <f>IF(ISNUMBER(I241),I241-SUM(J241:N241),"")</f>
        <v/>
      </c>
      <c r="P241" s="216">
        <f>IFERROR(IF(AND(ISNUMBER(O241),ISNUMBER(I241),I241&lt;&gt;0),O241/I241,""),"")</f>
        <v/>
      </c>
      <c r="Q241" s="215">
        <f>IF(AND(ISNUMBER(I241),ISNUMBER(S241)),I241*IF(S241&lt;=1,S241,S241/100),IF(OR(I241&lt;&gt;"",S241&lt;&gt;""),"tbd",""))</f>
        <v/>
      </c>
      <c r="S241" s="217" t="n"/>
      <c r="Z241">
        <f>IF(AND(R241="WON",ISNUMBER(I241)),AA241,"")</f>
        <v/>
      </c>
      <c r="AA241">
        <f>IFERROR(I241*1,0)</f>
        <v>0</v>
      </c>
    </row>
    <row r="242" ht="15" customHeight="1">
      <c r="I242" s="215" t="n"/>
      <c r="J242" s="215" t="n"/>
      <c r="K242" s="215" t="n"/>
      <c r="L242" s="215" t="n"/>
      <c r="M242" s="215" t="n"/>
      <c r="N242" s="215">
        <f>IF(ISNUMBER(I242),ROUND(I242-I242/1.081,2),"")</f>
        <v/>
      </c>
      <c r="O242" s="215">
        <f>IF(ISNUMBER(I242),I242-SUM(J242:N242),"")</f>
        <v/>
      </c>
      <c r="P242" s="216">
        <f>IFERROR(IF(AND(ISNUMBER(O242),ISNUMBER(I242),I242&lt;&gt;0),O242/I242,""),"")</f>
        <v/>
      </c>
      <c r="Q242" s="215">
        <f>IF(AND(ISNUMBER(I242),ISNUMBER(S242)),I242*IF(S242&lt;=1,S242,S242/100),IF(OR(I242&lt;&gt;"",S242&lt;&gt;""),"tbd",""))</f>
        <v/>
      </c>
      <c r="S242" s="217" t="n"/>
      <c r="Z242">
        <f>IF(AND(R242="WON",ISNUMBER(I242)),AA242,"")</f>
        <v/>
      </c>
      <c r="AA242">
        <f>IFERROR(I242*1,0)</f>
        <v>0</v>
      </c>
    </row>
    <row r="243" ht="15" customHeight="1">
      <c r="I243" s="215" t="n"/>
      <c r="J243" s="215" t="n"/>
      <c r="K243" s="215" t="n"/>
      <c r="L243" s="215" t="n"/>
      <c r="M243" s="215" t="n"/>
      <c r="N243" s="215">
        <f>IF(ISNUMBER(I243),ROUND(I243-I243/1.081,2),"")</f>
        <v/>
      </c>
      <c r="O243" s="215">
        <f>IF(ISNUMBER(I243),I243-SUM(J243:N243),"")</f>
        <v/>
      </c>
      <c r="P243" s="216">
        <f>IFERROR(IF(AND(ISNUMBER(O243),ISNUMBER(I243),I243&lt;&gt;0),O243/I243,""),"")</f>
        <v/>
      </c>
      <c r="Q243" s="215">
        <f>IF(AND(ISNUMBER(I243),ISNUMBER(S243)),I243*IF(S243&lt;=1,S243,S243/100),IF(OR(I243&lt;&gt;"",S243&lt;&gt;""),"tbd",""))</f>
        <v/>
      </c>
      <c r="S243" s="217" t="n"/>
      <c r="Z243">
        <f>IF(AND(R243="WON",ISNUMBER(I243)),AA243,"")</f>
        <v/>
      </c>
      <c r="AA243">
        <f>IFERROR(I243*1,0)</f>
        <v>0</v>
      </c>
    </row>
    <row r="244" ht="15" customHeight="1">
      <c r="I244" s="215" t="n"/>
      <c r="J244" s="215" t="n"/>
      <c r="K244" s="215" t="n"/>
      <c r="L244" s="215" t="n"/>
      <c r="M244" s="215" t="n"/>
      <c r="N244" s="215">
        <f>IF(ISNUMBER(I244),ROUND(I244-I244/1.081,2),"")</f>
        <v/>
      </c>
      <c r="O244" s="215">
        <f>IF(ISNUMBER(I244),I244-SUM(J244:N244),"")</f>
        <v/>
      </c>
      <c r="P244" s="216">
        <f>IFERROR(IF(AND(ISNUMBER(O244),ISNUMBER(I244),I244&lt;&gt;0),O244/I244,""),"")</f>
        <v/>
      </c>
      <c r="Q244" s="215">
        <f>IF(AND(ISNUMBER(I244),ISNUMBER(S244)),I244*IF(S244&lt;=1,S244,S244/100),IF(OR(I244&lt;&gt;"",S244&lt;&gt;""),"tbd",""))</f>
        <v/>
      </c>
      <c r="S244" s="217" t="n"/>
      <c r="Z244">
        <f>IF(AND(R244="WON",ISNUMBER(I244)),AA244,"")</f>
        <v/>
      </c>
      <c r="AA244">
        <f>IFERROR(I244*1,0)</f>
        <v>0</v>
      </c>
    </row>
    <row r="245" ht="15" customHeight="1">
      <c r="I245" s="215" t="n"/>
      <c r="J245" s="215" t="n"/>
      <c r="K245" s="215" t="n"/>
      <c r="L245" s="215" t="n"/>
      <c r="M245" s="215" t="n"/>
      <c r="N245" s="215">
        <f>IF(ISNUMBER(I245),ROUND(I245-I245/1.081,2),"")</f>
        <v/>
      </c>
      <c r="O245" s="215">
        <f>IF(ISNUMBER(I245),I245-SUM(J245:N245),"")</f>
        <v/>
      </c>
      <c r="P245" s="216">
        <f>IFERROR(IF(AND(ISNUMBER(O245),ISNUMBER(I245),I245&lt;&gt;0),O245/I245,""),"")</f>
        <v/>
      </c>
      <c r="Q245" s="215">
        <f>IF(AND(ISNUMBER(I245),ISNUMBER(S245)),I245*IF(S245&lt;=1,S245,S245/100),IF(OR(I245&lt;&gt;"",S245&lt;&gt;""),"tbd",""))</f>
        <v/>
      </c>
      <c r="S245" s="217" t="n"/>
      <c r="Z245">
        <f>IF(AND(R245="WON",ISNUMBER(I245)),AA245,"")</f>
        <v/>
      </c>
      <c r="AA245">
        <f>IFERROR(I245*1,0)</f>
        <v>0</v>
      </c>
    </row>
    <row r="246" ht="15" customHeight="1">
      <c r="I246" s="215" t="n"/>
      <c r="J246" s="215" t="n"/>
      <c r="K246" s="215" t="n"/>
      <c r="L246" s="215" t="n"/>
      <c r="M246" s="215" t="n"/>
      <c r="N246" s="215">
        <f>IF(ISNUMBER(I246),ROUND(I246-I246/1.081,2),"")</f>
        <v/>
      </c>
      <c r="O246" s="215">
        <f>IF(ISNUMBER(I246),I246-SUM(J246:N246),"")</f>
        <v/>
      </c>
      <c r="P246" s="216">
        <f>IFERROR(IF(AND(ISNUMBER(O246),ISNUMBER(I246),I246&lt;&gt;0),O246/I246,""),"")</f>
        <v/>
      </c>
      <c r="Q246" s="215">
        <f>IF(AND(ISNUMBER(I246),ISNUMBER(S246)),I246*IF(S246&lt;=1,S246,S246/100),IF(OR(I246&lt;&gt;"",S246&lt;&gt;""),"tbd",""))</f>
        <v/>
      </c>
      <c r="S246" s="217" t="n"/>
      <c r="Z246">
        <f>IF(AND(R246="WON",ISNUMBER(I246)),AA246,"")</f>
        <v/>
      </c>
      <c r="AA246">
        <f>IFERROR(I246*1,0)</f>
        <v>0</v>
      </c>
    </row>
    <row r="247" ht="15" customHeight="1">
      <c r="I247" s="215" t="n"/>
      <c r="J247" s="215" t="n"/>
      <c r="K247" s="215" t="n"/>
      <c r="L247" s="215" t="n"/>
      <c r="M247" s="215" t="n"/>
      <c r="N247" s="215">
        <f>IF(ISNUMBER(I247),ROUND(I247-I247/1.081,2),"")</f>
        <v/>
      </c>
      <c r="O247" s="215">
        <f>IF(ISNUMBER(I247),I247-SUM(J247:N247),"")</f>
        <v/>
      </c>
      <c r="P247" s="216">
        <f>IFERROR(IF(AND(ISNUMBER(O247),ISNUMBER(I247),I247&lt;&gt;0),O247/I247,""),"")</f>
        <v/>
      </c>
      <c r="Q247" s="215">
        <f>IF(AND(ISNUMBER(I247),ISNUMBER(S247)),I247*IF(S247&lt;=1,S247,S247/100),IF(OR(I247&lt;&gt;"",S247&lt;&gt;""),"tbd",""))</f>
        <v/>
      </c>
      <c r="S247" s="217" t="n"/>
      <c r="Z247">
        <f>IF(AND(R247="WON",ISNUMBER(I247)),AA247,"")</f>
        <v/>
      </c>
      <c r="AA247">
        <f>IFERROR(I247*1,0)</f>
        <v>0</v>
      </c>
    </row>
    <row r="248" ht="15" customHeight="1">
      <c r="I248" s="215" t="n"/>
      <c r="J248" s="215" t="n"/>
      <c r="K248" s="215" t="n"/>
      <c r="L248" s="215" t="n"/>
      <c r="M248" s="215" t="n"/>
      <c r="N248" s="215">
        <f>IF(ISNUMBER(I248),ROUND(I248-I248/1.081,2),"")</f>
        <v/>
      </c>
      <c r="O248" s="215">
        <f>IF(ISNUMBER(I248),I248-SUM(J248:N248),"")</f>
        <v/>
      </c>
      <c r="P248" s="216">
        <f>IFERROR(IF(AND(ISNUMBER(O248),ISNUMBER(I248),I248&lt;&gt;0),O248/I248,""),"")</f>
        <v/>
      </c>
      <c r="Q248" s="215">
        <f>IF(AND(ISNUMBER(I248),ISNUMBER(S248)),I248*IF(S248&lt;=1,S248,S248/100),IF(OR(I248&lt;&gt;"",S248&lt;&gt;""),"tbd",""))</f>
        <v/>
      </c>
      <c r="S248" s="217" t="n"/>
      <c r="Z248">
        <f>IF(AND(R248="WON",ISNUMBER(I248)),AA248,"")</f>
        <v/>
      </c>
      <c r="AA248">
        <f>IFERROR(I248*1,0)</f>
        <v>0</v>
      </c>
    </row>
    <row r="249" ht="15" customHeight="1">
      <c r="I249" s="215" t="n"/>
      <c r="J249" s="215" t="n"/>
      <c r="K249" s="215" t="n"/>
      <c r="L249" s="215" t="n"/>
      <c r="M249" s="215" t="n"/>
      <c r="N249" s="215">
        <f>IF(ISNUMBER(I249),ROUND(I249-I249/1.081,2),"")</f>
        <v/>
      </c>
      <c r="O249" s="215">
        <f>IF(ISNUMBER(I249),I249-SUM(J249:N249),"")</f>
        <v/>
      </c>
      <c r="P249" s="216">
        <f>IFERROR(IF(AND(ISNUMBER(O249),ISNUMBER(I249),I249&lt;&gt;0),O249/I249,""),"")</f>
        <v/>
      </c>
      <c r="Q249" s="215">
        <f>IF(AND(ISNUMBER(I249),ISNUMBER(S249)),I249*IF(S249&lt;=1,S249,S249/100),IF(OR(I249&lt;&gt;"",S249&lt;&gt;""),"tbd",""))</f>
        <v/>
      </c>
      <c r="S249" s="217" t="n"/>
      <c r="Z249">
        <f>IF(AND(R249="WON",ISNUMBER(I249)),AA249,"")</f>
        <v/>
      </c>
      <c r="AA249">
        <f>IFERROR(I249*1,0)</f>
        <v>0</v>
      </c>
    </row>
    <row r="250" ht="15" customHeight="1">
      <c r="I250" s="215" t="n"/>
      <c r="J250" s="215" t="n"/>
      <c r="K250" s="215" t="n"/>
      <c r="L250" s="215" t="n"/>
      <c r="M250" s="215" t="n"/>
      <c r="N250" s="215">
        <f>IF(ISNUMBER(I250),ROUND(I250-I250/1.081,2),"")</f>
        <v/>
      </c>
      <c r="O250" s="215">
        <f>IF(ISNUMBER(I250),I250-SUM(J250:N250),"")</f>
        <v/>
      </c>
      <c r="P250" s="216">
        <f>IFERROR(IF(AND(ISNUMBER(O250),ISNUMBER(I250),I250&lt;&gt;0),O250/I250,""),"")</f>
        <v/>
      </c>
      <c r="Q250" s="215">
        <f>IF(AND(ISNUMBER(I250),ISNUMBER(S250)),I250*IF(S250&lt;=1,S250,S250/100),IF(OR(I250&lt;&gt;"",S250&lt;&gt;""),"tbd",""))</f>
        <v/>
      </c>
      <c r="S250" s="217" t="n"/>
      <c r="Z250">
        <f>IF(AND(R250="WON",ISNUMBER(I250)),AA250,"")</f>
        <v/>
      </c>
      <c r="AA250">
        <f>IFERROR(I250*1,0)</f>
        <v>0</v>
      </c>
    </row>
    <row r="251" ht="15" customHeight="1">
      <c r="I251" s="215" t="n"/>
      <c r="J251" s="215" t="n"/>
      <c r="K251" s="215" t="n"/>
      <c r="L251" s="215" t="n"/>
      <c r="M251" s="215" t="n"/>
      <c r="N251" s="215">
        <f>IF(ISNUMBER(I251),ROUND(I251-I251/1.081,2),"")</f>
        <v/>
      </c>
      <c r="O251" s="215">
        <f>IF(ISNUMBER(I251),I251-SUM(J251:N251),"")</f>
        <v/>
      </c>
      <c r="P251" s="216">
        <f>IFERROR(IF(AND(ISNUMBER(O251),ISNUMBER(I251),I251&lt;&gt;0),O251/I251,""),"")</f>
        <v/>
      </c>
      <c r="Q251" s="215">
        <f>IF(AND(ISNUMBER(I251),ISNUMBER(S251)),I251*IF(S251&lt;=1,S251,S251/100),IF(OR(I251&lt;&gt;"",S251&lt;&gt;""),"tbd",""))</f>
        <v/>
      </c>
      <c r="S251" s="217" t="n"/>
      <c r="Z251">
        <f>IF(AND(R251="WON",ISNUMBER(I251)),AA251,"")</f>
        <v/>
      </c>
      <c r="AA251">
        <f>IFERROR(I251*1,0)</f>
        <v>0</v>
      </c>
    </row>
    <row r="252" ht="15" customHeight="1">
      <c r="I252" s="215" t="n"/>
      <c r="J252" s="215" t="n"/>
      <c r="K252" s="215" t="n"/>
      <c r="L252" s="215" t="n"/>
      <c r="M252" s="215" t="n"/>
      <c r="N252" s="215">
        <f>IF(ISNUMBER(I252),ROUND(I252-I252/1.081,2),"")</f>
        <v/>
      </c>
      <c r="O252" s="215">
        <f>IF(ISNUMBER(I252),I252-SUM(J252:N252),"")</f>
        <v/>
      </c>
      <c r="P252" s="216">
        <f>IFERROR(IF(AND(ISNUMBER(O252),ISNUMBER(I252),I252&lt;&gt;0),O252/I252,""),"")</f>
        <v/>
      </c>
      <c r="Q252" s="215">
        <f>IF(AND(ISNUMBER(I252),ISNUMBER(S252)),I252*IF(S252&lt;=1,S252,S252/100),IF(OR(I252&lt;&gt;"",S252&lt;&gt;""),"tbd",""))</f>
        <v/>
      </c>
      <c r="S252" s="217" t="n"/>
      <c r="Z252">
        <f>IF(AND(R252="WON",ISNUMBER(I252)),AA252,"")</f>
        <v/>
      </c>
      <c r="AA252">
        <f>IFERROR(I252*1,0)</f>
        <v>0</v>
      </c>
    </row>
    <row r="253" ht="15" customHeight="1">
      <c r="I253" s="215" t="n"/>
      <c r="J253" s="215" t="n"/>
      <c r="K253" s="215" t="n"/>
      <c r="L253" s="215" t="n"/>
      <c r="M253" s="215" t="n"/>
      <c r="N253" s="215">
        <f>IF(ISNUMBER(I253),ROUND(I253-I253/1.081,2),"")</f>
        <v/>
      </c>
      <c r="O253" s="215">
        <f>IF(ISNUMBER(I253),I253-SUM(J253:N253),"")</f>
        <v/>
      </c>
      <c r="P253" s="216">
        <f>IFERROR(IF(AND(ISNUMBER(O253),ISNUMBER(I253),I253&lt;&gt;0),O253/I253,""),"")</f>
        <v/>
      </c>
      <c r="Q253" s="215">
        <f>IF(AND(ISNUMBER(I253),ISNUMBER(S253)),I253*IF(S253&lt;=1,S253,S253/100),IF(OR(I253&lt;&gt;"",S253&lt;&gt;""),"tbd",""))</f>
        <v/>
      </c>
      <c r="S253" s="217" t="n"/>
      <c r="Z253">
        <f>IF(AND(R253="WON",ISNUMBER(I253)),AA253,"")</f>
        <v/>
      </c>
      <c r="AA253">
        <f>IFERROR(I253*1,0)</f>
        <v>0</v>
      </c>
    </row>
    <row r="254" ht="15" customHeight="1">
      <c r="I254" s="215" t="n"/>
      <c r="J254" s="215" t="n"/>
      <c r="K254" s="215" t="n"/>
      <c r="L254" s="215" t="n"/>
      <c r="M254" s="215" t="n"/>
      <c r="N254" s="215">
        <f>IF(ISNUMBER(I254),ROUND(I254-I254/1.081,2),"")</f>
        <v/>
      </c>
      <c r="O254" s="215">
        <f>IF(ISNUMBER(I254),I254-SUM(J254:N254),"")</f>
        <v/>
      </c>
      <c r="P254" s="216">
        <f>IFERROR(IF(AND(ISNUMBER(O254),ISNUMBER(I254),I254&lt;&gt;0),O254/I254,""),"")</f>
        <v/>
      </c>
      <c r="Q254" s="215">
        <f>IF(AND(ISNUMBER(I254),ISNUMBER(S254)),I254*IF(S254&lt;=1,S254,S254/100),IF(OR(I254&lt;&gt;"",S254&lt;&gt;""),"tbd",""))</f>
        <v/>
      </c>
      <c r="S254" s="217" t="n"/>
      <c r="Z254">
        <f>IF(AND(R254="WON",ISNUMBER(I254)),AA254,"")</f>
        <v/>
      </c>
      <c r="AA254">
        <f>IFERROR(I254*1,0)</f>
        <v>0</v>
      </c>
    </row>
    <row r="255" ht="15" customHeight="1">
      <c r="I255" s="215" t="n"/>
      <c r="J255" s="215" t="n"/>
      <c r="K255" s="215" t="n"/>
      <c r="L255" s="215" t="n"/>
      <c r="M255" s="215" t="n"/>
      <c r="N255" s="215">
        <f>IF(ISNUMBER(I255),ROUND(I255-I255/1.081,2),"")</f>
        <v/>
      </c>
      <c r="O255" s="215">
        <f>IF(ISNUMBER(I255),I255-SUM(J255:N255),"")</f>
        <v/>
      </c>
      <c r="P255" s="216">
        <f>IFERROR(IF(AND(ISNUMBER(O255),ISNUMBER(I255),I255&lt;&gt;0),O255/I255,""),"")</f>
        <v/>
      </c>
      <c r="Q255" s="215">
        <f>IF(AND(ISNUMBER(I255),ISNUMBER(S255)),I255*IF(S255&lt;=1,S255,S255/100),IF(OR(I255&lt;&gt;"",S255&lt;&gt;""),"tbd",""))</f>
        <v/>
      </c>
      <c r="S255" s="217" t="n"/>
      <c r="Z255">
        <f>IF(AND(R255="WON",ISNUMBER(I255)),AA255,"")</f>
        <v/>
      </c>
      <c r="AA255">
        <f>IFERROR(I255*1,0)</f>
        <v>0</v>
      </c>
    </row>
    <row r="256" ht="15" customHeight="1">
      <c r="I256" s="215" t="n"/>
      <c r="J256" s="215" t="n"/>
      <c r="K256" s="215" t="n"/>
      <c r="L256" s="215" t="n"/>
      <c r="M256" s="215" t="n"/>
      <c r="N256" s="215">
        <f>IF(ISNUMBER(I256),ROUND(I256-I256/1.081,2),"")</f>
        <v/>
      </c>
      <c r="O256" s="215">
        <f>IF(ISNUMBER(I256),I256-SUM(J256:N256),"")</f>
        <v/>
      </c>
      <c r="P256" s="216">
        <f>IFERROR(IF(AND(ISNUMBER(O256),ISNUMBER(I256),I256&lt;&gt;0),O256/I256,""),"")</f>
        <v/>
      </c>
      <c r="Q256" s="215">
        <f>IF(AND(ISNUMBER(I256),ISNUMBER(S256)),I256*IF(S256&lt;=1,S256,S256/100),IF(OR(I256&lt;&gt;"",S256&lt;&gt;""),"tbd",""))</f>
        <v/>
      </c>
      <c r="S256" s="217" t="n"/>
      <c r="Z256">
        <f>IF(AND(R256="WON",ISNUMBER(I256)),AA256,"")</f>
        <v/>
      </c>
      <c r="AA256">
        <f>IFERROR(I256*1,0)</f>
        <v>0</v>
      </c>
    </row>
    <row r="257" ht="15" customHeight="1">
      <c r="I257" s="215" t="n"/>
      <c r="J257" s="215" t="n"/>
      <c r="K257" s="215" t="n"/>
      <c r="L257" s="215" t="n"/>
      <c r="M257" s="215" t="n"/>
      <c r="N257" s="215">
        <f>IF(ISNUMBER(I257),ROUND(I257-I257/1.081,2),"")</f>
        <v/>
      </c>
      <c r="O257" s="215">
        <f>IF(ISNUMBER(I257),I257-SUM(J257:N257),"")</f>
        <v/>
      </c>
      <c r="P257" s="216">
        <f>IFERROR(IF(AND(ISNUMBER(O257),ISNUMBER(I257),I257&lt;&gt;0),O257/I257,""),"")</f>
        <v/>
      </c>
      <c r="Q257" s="215">
        <f>IF(AND(ISNUMBER(I257),ISNUMBER(S257)),I257*IF(S257&lt;=1,S257,S257/100),IF(OR(I257&lt;&gt;"",S257&lt;&gt;""),"tbd",""))</f>
        <v/>
      </c>
      <c r="S257" s="217" t="n"/>
      <c r="Z257">
        <f>IF(AND(R257="WON",ISNUMBER(I257)),AA257,"")</f>
        <v/>
      </c>
      <c r="AA257">
        <f>IFERROR(I257*1,0)</f>
        <v>0</v>
      </c>
    </row>
    <row r="258" ht="15" customHeight="1">
      <c r="I258" s="215" t="n"/>
      <c r="J258" s="215" t="n"/>
      <c r="K258" s="215" t="n"/>
      <c r="L258" s="215" t="n"/>
      <c r="M258" s="215" t="n"/>
      <c r="N258" s="215">
        <f>IF(ISNUMBER(I258),ROUND(I258-I258/1.081,2),"")</f>
        <v/>
      </c>
      <c r="O258" s="215">
        <f>IF(ISNUMBER(I258),I258-SUM(J258:N258),"")</f>
        <v/>
      </c>
      <c r="P258" s="216">
        <f>IFERROR(IF(AND(ISNUMBER(O258),ISNUMBER(I258),I258&lt;&gt;0),O258/I258,""),"")</f>
        <v/>
      </c>
      <c r="Q258" s="215">
        <f>IF(AND(ISNUMBER(I258),ISNUMBER(S258)),I258*IF(S258&lt;=1,S258,S258/100),IF(OR(I258&lt;&gt;"",S258&lt;&gt;""),"tbd",""))</f>
        <v/>
      </c>
      <c r="S258" s="217" t="n"/>
      <c r="Z258">
        <f>IF(AND(R258="WON",ISNUMBER(I258)),AA258,"")</f>
        <v/>
      </c>
      <c r="AA258">
        <f>IFERROR(I258*1,0)</f>
        <v>0</v>
      </c>
    </row>
    <row r="259" ht="15" customHeight="1">
      <c r="I259" s="215" t="n"/>
      <c r="J259" s="215" t="n"/>
      <c r="K259" s="215" t="n"/>
      <c r="L259" s="215" t="n"/>
      <c r="M259" s="215" t="n"/>
      <c r="N259" s="215">
        <f>IF(ISNUMBER(I259),ROUND(I259-I259/1.081,2),"")</f>
        <v/>
      </c>
      <c r="O259" s="215">
        <f>IF(ISNUMBER(I259),I259-SUM(J259:N259),"")</f>
        <v/>
      </c>
      <c r="P259" s="216">
        <f>IFERROR(IF(AND(ISNUMBER(O259),ISNUMBER(I259),I259&lt;&gt;0),O259/I259,""),"")</f>
        <v/>
      </c>
      <c r="Q259" s="215">
        <f>IF(AND(ISNUMBER(I259),ISNUMBER(S259)),I259*IF(S259&lt;=1,S259,S259/100),IF(OR(I259&lt;&gt;"",S259&lt;&gt;""),"tbd",""))</f>
        <v/>
      </c>
      <c r="S259" s="217" t="n"/>
      <c r="Z259">
        <f>IF(AND(R259="WON",ISNUMBER(I259)),AA259,"")</f>
        <v/>
      </c>
      <c r="AA259">
        <f>IFERROR(I259*1,0)</f>
        <v>0</v>
      </c>
    </row>
    <row r="260" ht="15" customHeight="1">
      <c r="I260" s="215" t="n"/>
      <c r="J260" s="215" t="n"/>
      <c r="K260" s="215" t="n"/>
      <c r="L260" s="215" t="n"/>
      <c r="M260" s="215" t="n"/>
      <c r="N260" s="215">
        <f>IF(ISNUMBER(I260),ROUND(I260-I260/1.081,2),"")</f>
        <v/>
      </c>
      <c r="O260" s="215">
        <f>IF(ISNUMBER(I260),I260-SUM(J260:N260),"")</f>
        <v/>
      </c>
      <c r="P260" s="216">
        <f>IFERROR(IF(AND(ISNUMBER(O260),ISNUMBER(I260),I260&lt;&gt;0),O260/I260,""),"")</f>
        <v/>
      </c>
      <c r="Q260" s="215">
        <f>IF(AND(ISNUMBER(I260),ISNUMBER(S260)),I260*IF(S260&lt;=1,S260,S260/100),IF(OR(I260&lt;&gt;"",S260&lt;&gt;""),"tbd",""))</f>
        <v/>
      </c>
      <c r="S260" s="217" t="n"/>
      <c r="Z260">
        <f>IF(AND(R260="WON",ISNUMBER(I260)),AA260,"")</f>
        <v/>
      </c>
      <c r="AA260">
        <f>IFERROR(I260*1,0)</f>
        <v>0</v>
      </c>
    </row>
    <row r="261" ht="15" customHeight="1">
      <c r="I261" s="215" t="n"/>
      <c r="J261" s="215" t="n"/>
      <c r="K261" s="215" t="n"/>
      <c r="L261" s="215" t="n"/>
      <c r="M261" s="215" t="n"/>
      <c r="N261" s="215">
        <f>IF(ISNUMBER(I261),ROUND(I261-I261/1.081,2),"")</f>
        <v/>
      </c>
      <c r="O261" s="215">
        <f>IF(ISNUMBER(I261),I261-SUM(J261:N261),"")</f>
        <v/>
      </c>
      <c r="P261" s="216">
        <f>IFERROR(IF(AND(ISNUMBER(O261),ISNUMBER(I261),I261&lt;&gt;0),O261/I261,""),"")</f>
        <v/>
      </c>
      <c r="Q261" s="215">
        <f>IF(AND(ISNUMBER(I261),ISNUMBER(S261)),I261*IF(S261&lt;=1,S261,S261/100),IF(OR(I261&lt;&gt;"",S261&lt;&gt;""),"tbd",""))</f>
        <v/>
      </c>
      <c r="S261" s="217" t="n"/>
      <c r="Z261">
        <f>IF(AND(R261="WON",ISNUMBER(I261)),AA261,"")</f>
        <v/>
      </c>
      <c r="AA261">
        <f>IFERROR(I261*1,0)</f>
        <v>0</v>
      </c>
    </row>
    <row r="262" ht="15" customHeight="1">
      <c r="I262" s="215" t="n"/>
      <c r="J262" s="215" t="n"/>
      <c r="K262" s="215" t="n"/>
      <c r="L262" s="215" t="n"/>
      <c r="M262" s="215" t="n"/>
      <c r="N262" s="215">
        <f>IF(ISNUMBER(I262),ROUND(I262-I262/1.081,2),"")</f>
        <v/>
      </c>
      <c r="O262" s="215">
        <f>IF(ISNUMBER(I262),I262-SUM(J262:N262),"")</f>
        <v/>
      </c>
      <c r="P262" s="216">
        <f>IFERROR(IF(AND(ISNUMBER(O262),ISNUMBER(I262),I262&lt;&gt;0),O262/I262,""),"")</f>
        <v/>
      </c>
      <c r="Q262" s="215">
        <f>IF(AND(ISNUMBER(I262),ISNUMBER(S262)),I262*IF(S262&lt;=1,S262,S262/100),IF(OR(I262&lt;&gt;"",S262&lt;&gt;""),"tbd",""))</f>
        <v/>
      </c>
      <c r="S262" s="217" t="n"/>
      <c r="Z262">
        <f>IF(AND(R262="WON",ISNUMBER(I262)),AA262,"")</f>
        <v/>
      </c>
      <c r="AA262">
        <f>IFERROR(I262*1,0)</f>
        <v>0</v>
      </c>
    </row>
    <row r="263" ht="15" customHeight="1">
      <c r="I263" s="215" t="n"/>
      <c r="J263" s="215" t="n"/>
      <c r="K263" s="215" t="n"/>
      <c r="L263" s="215" t="n"/>
      <c r="M263" s="215" t="n"/>
      <c r="N263" s="215">
        <f>IF(ISNUMBER(I263),ROUND(I263-I263/1.081,2),"")</f>
        <v/>
      </c>
      <c r="O263" s="215">
        <f>IF(ISNUMBER(I263),I263-SUM(J263:N263),"")</f>
        <v/>
      </c>
      <c r="P263" s="216">
        <f>IFERROR(IF(AND(ISNUMBER(O263),ISNUMBER(I263),I263&lt;&gt;0),O263/I263,""),"")</f>
        <v/>
      </c>
      <c r="Q263" s="215">
        <f>IF(AND(ISNUMBER(I263),ISNUMBER(S263)),I263*IF(S263&lt;=1,S263,S263/100),IF(OR(I263&lt;&gt;"",S263&lt;&gt;""),"tbd",""))</f>
        <v/>
      </c>
      <c r="S263" s="217" t="n"/>
      <c r="Z263">
        <f>IF(AND(R263="WON",ISNUMBER(I263)),AA263,"")</f>
        <v/>
      </c>
      <c r="AA263">
        <f>IFERROR(I263*1,0)</f>
        <v>0</v>
      </c>
    </row>
    <row r="264" ht="15" customHeight="1">
      <c r="I264" s="215" t="n"/>
      <c r="J264" s="215" t="n"/>
      <c r="K264" s="215" t="n"/>
      <c r="L264" s="215" t="n"/>
      <c r="M264" s="215" t="n"/>
      <c r="N264" s="215">
        <f>IF(ISNUMBER(I264),ROUND(I264-I264/1.081,2),"")</f>
        <v/>
      </c>
      <c r="O264" s="215">
        <f>IF(ISNUMBER(I264),I264-SUM(J264:N264),"")</f>
        <v/>
      </c>
      <c r="P264" s="216">
        <f>IFERROR(IF(AND(ISNUMBER(O264),ISNUMBER(I264),I264&lt;&gt;0),O264/I264,""),"")</f>
        <v/>
      </c>
      <c r="Q264" s="215">
        <f>IF(AND(ISNUMBER(I264),ISNUMBER(S264)),I264*IF(S264&lt;=1,S264,S264/100),IF(OR(I264&lt;&gt;"",S264&lt;&gt;""),"tbd",""))</f>
        <v/>
      </c>
      <c r="S264" s="217" t="n"/>
      <c r="Z264">
        <f>IF(AND(R264="WON",ISNUMBER(I264)),AA264,"")</f>
        <v/>
      </c>
      <c r="AA264">
        <f>IFERROR(I264*1,0)</f>
        <v>0</v>
      </c>
    </row>
    <row r="265" ht="15" customHeight="1">
      <c r="I265" s="215" t="n"/>
      <c r="J265" s="215" t="n"/>
      <c r="K265" s="215" t="n"/>
      <c r="L265" s="215" t="n"/>
      <c r="M265" s="215" t="n"/>
      <c r="N265" s="215">
        <f>IF(ISNUMBER(I265),ROUND(I265-I265/1.081,2),"")</f>
        <v/>
      </c>
      <c r="O265" s="215">
        <f>IF(ISNUMBER(I265),I265-SUM(J265:N265),"")</f>
        <v/>
      </c>
      <c r="P265" s="216">
        <f>IFERROR(IF(AND(ISNUMBER(O265),ISNUMBER(I265),I265&lt;&gt;0),O265/I265,""),"")</f>
        <v/>
      </c>
      <c r="Q265" s="215">
        <f>IF(AND(ISNUMBER(I265),ISNUMBER(S265)),I265*IF(S265&lt;=1,S265,S265/100),IF(OR(I265&lt;&gt;"",S265&lt;&gt;""),"tbd",""))</f>
        <v/>
      </c>
      <c r="S265" s="217" t="n"/>
      <c r="Z265">
        <f>IF(AND(R265="WON",ISNUMBER(I265)),AA265,"")</f>
        <v/>
      </c>
      <c r="AA265">
        <f>IFERROR(I265*1,0)</f>
        <v>0</v>
      </c>
    </row>
    <row r="266" ht="15" customHeight="1">
      <c r="I266" s="215" t="n"/>
      <c r="J266" s="215" t="n"/>
      <c r="K266" s="215" t="n"/>
      <c r="L266" s="215" t="n"/>
      <c r="M266" s="215" t="n"/>
      <c r="N266" s="215">
        <f>IF(ISNUMBER(I266),ROUND(I266-I266/1.081,2),"")</f>
        <v/>
      </c>
      <c r="O266" s="215">
        <f>IF(ISNUMBER(I266),I266-SUM(J266:N266),"")</f>
        <v/>
      </c>
      <c r="P266" s="216">
        <f>IFERROR(IF(AND(ISNUMBER(O266),ISNUMBER(I266),I266&lt;&gt;0),O266/I266,""),"")</f>
        <v/>
      </c>
      <c r="Q266" s="215">
        <f>IF(AND(ISNUMBER(I266),ISNUMBER(S266)),I266*IF(S266&lt;=1,S266,S266/100),IF(OR(I266&lt;&gt;"",S266&lt;&gt;""),"tbd",""))</f>
        <v/>
      </c>
      <c r="S266" s="217" t="n"/>
      <c r="Z266">
        <f>IF(AND(R266="WON",ISNUMBER(I266)),AA266,"")</f>
        <v/>
      </c>
      <c r="AA266">
        <f>IFERROR(I266*1,0)</f>
        <v>0</v>
      </c>
    </row>
    <row r="267" ht="15" customHeight="1">
      <c r="I267" s="215" t="n"/>
      <c r="J267" s="215" t="n"/>
      <c r="K267" s="215" t="n"/>
      <c r="L267" s="215" t="n"/>
      <c r="M267" s="215" t="n"/>
      <c r="N267" s="215">
        <f>IF(ISNUMBER(I267),ROUND(I267-I267/1.081,2),"")</f>
        <v/>
      </c>
      <c r="O267" s="215">
        <f>IF(ISNUMBER(I267),I267-SUM(J267:N267),"")</f>
        <v/>
      </c>
      <c r="P267" s="216">
        <f>IFERROR(IF(AND(ISNUMBER(O267),ISNUMBER(I267),I267&lt;&gt;0),O267/I267,""),"")</f>
        <v/>
      </c>
      <c r="Q267" s="215">
        <f>IF(AND(ISNUMBER(I267),ISNUMBER(S267)),I267*IF(S267&lt;=1,S267,S267/100),IF(OR(I267&lt;&gt;"",S267&lt;&gt;""),"tbd",""))</f>
        <v/>
      </c>
      <c r="S267" s="217" t="n"/>
      <c r="Z267">
        <f>IF(AND(R267="WON",ISNUMBER(I267)),AA267,"")</f>
        <v/>
      </c>
      <c r="AA267">
        <f>IFERROR(I267*1,0)</f>
        <v>0</v>
      </c>
    </row>
    <row r="268" ht="15" customHeight="1">
      <c r="I268" s="215" t="n"/>
      <c r="J268" s="215" t="n"/>
      <c r="K268" s="215" t="n"/>
      <c r="L268" s="215" t="n"/>
      <c r="M268" s="215" t="n"/>
      <c r="N268" s="215">
        <f>IF(ISNUMBER(I268),ROUND(I268-I268/1.081,2),"")</f>
        <v/>
      </c>
      <c r="O268" s="215">
        <f>IF(ISNUMBER(I268),I268-SUM(J268:N268),"")</f>
        <v/>
      </c>
      <c r="P268" s="216">
        <f>IFERROR(IF(AND(ISNUMBER(O268),ISNUMBER(I268),I268&lt;&gt;0),O268/I268,""),"")</f>
        <v/>
      </c>
      <c r="Q268" s="215">
        <f>IF(AND(ISNUMBER(I268),ISNUMBER(S268)),I268*IF(S268&lt;=1,S268,S268/100),IF(OR(I268&lt;&gt;"",S268&lt;&gt;""),"tbd",""))</f>
        <v/>
      </c>
      <c r="S268" s="217" t="n"/>
      <c r="Z268">
        <f>IF(AND(R268="WON",ISNUMBER(I268)),AA268,"")</f>
        <v/>
      </c>
      <c r="AA268">
        <f>IFERROR(I268*1,0)</f>
        <v>0</v>
      </c>
    </row>
    <row r="269" ht="15" customHeight="1">
      <c r="I269" s="215" t="n"/>
      <c r="J269" s="215" t="n"/>
      <c r="K269" s="215" t="n"/>
      <c r="L269" s="215" t="n"/>
      <c r="M269" s="215" t="n"/>
      <c r="N269" s="215">
        <f>IF(ISNUMBER(I269),ROUND(I269-I269/1.081,2),"")</f>
        <v/>
      </c>
      <c r="O269" s="215">
        <f>IF(ISNUMBER(I269),I269-SUM(J269:N269),"")</f>
        <v/>
      </c>
      <c r="P269" s="216">
        <f>IFERROR(IF(AND(ISNUMBER(O269),ISNUMBER(I269),I269&lt;&gt;0),O269/I269,""),"")</f>
        <v/>
      </c>
      <c r="Q269" s="215">
        <f>IF(AND(ISNUMBER(I269),ISNUMBER(S269)),I269*IF(S269&lt;=1,S269,S269/100),IF(OR(I269&lt;&gt;"",S269&lt;&gt;""),"tbd",""))</f>
        <v/>
      </c>
      <c r="S269" s="217" t="n"/>
      <c r="Z269">
        <f>IF(AND(R269="WON",ISNUMBER(I269)),AA269,"")</f>
        <v/>
      </c>
      <c r="AA269">
        <f>IFERROR(I269*1,0)</f>
        <v>0</v>
      </c>
    </row>
    <row r="270" ht="15" customHeight="1">
      <c r="I270" s="215" t="n"/>
      <c r="J270" s="215" t="n"/>
      <c r="K270" s="215" t="n"/>
      <c r="L270" s="215" t="n"/>
      <c r="M270" s="215" t="n"/>
      <c r="N270" s="215">
        <f>IF(ISNUMBER(I270),ROUND(I270-I270/1.081,2),"")</f>
        <v/>
      </c>
      <c r="O270" s="215">
        <f>IF(ISNUMBER(I270),I270-SUM(J270:N270),"")</f>
        <v/>
      </c>
      <c r="P270" s="216">
        <f>IFERROR(IF(AND(ISNUMBER(O270),ISNUMBER(I270),I270&lt;&gt;0),O270/I270,""),"")</f>
        <v/>
      </c>
      <c r="Q270" s="215">
        <f>IF(AND(ISNUMBER(I270),ISNUMBER(S270)),I270*IF(S270&lt;=1,S270,S270/100),IF(OR(I270&lt;&gt;"",S270&lt;&gt;""),"tbd",""))</f>
        <v/>
      </c>
      <c r="S270" s="217" t="n"/>
      <c r="Z270">
        <f>IF(AND(R270="WON",ISNUMBER(I270)),AA270,"")</f>
        <v/>
      </c>
      <c r="AA270">
        <f>IFERROR(I270*1,0)</f>
        <v>0</v>
      </c>
    </row>
    <row r="271" ht="15" customHeight="1">
      <c r="I271" s="215" t="n"/>
      <c r="J271" s="215" t="n"/>
      <c r="K271" s="215" t="n"/>
      <c r="L271" s="215" t="n"/>
      <c r="M271" s="215" t="n"/>
      <c r="N271" s="215">
        <f>IF(ISNUMBER(I271),ROUND(I271-I271/1.081,2),"")</f>
        <v/>
      </c>
      <c r="O271" s="215">
        <f>IF(ISNUMBER(I271),I271-SUM(J271:N271),"")</f>
        <v/>
      </c>
      <c r="P271" s="216">
        <f>IFERROR(IF(AND(ISNUMBER(O271),ISNUMBER(I271),I271&lt;&gt;0),O271/I271,""),"")</f>
        <v/>
      </c>
      <c r="Q271" s="215">
        <f>IF(AND(ISNUMBER(I271),ISNUMBER(S271)),I271*IF(S271&lt;=1,S271,S271/100),IF(OR(I271&lt;&gt;"",S271&lt;&gt;""),"tbd",""))</f>
        <v/>
      </c>
      <c r="S271" s="217" t="n"/>
      <c r="Z271">
        <f>IF(AND(R271="WON",ISNUMBER(I271)),AA271,"")</f>
        <v/>
      </c>
      <c r="AA271">
        <f>IFERROR(I271*1,0)</f>
        <v>0</v>
      </c>
    </row>
    <row r="272" ht="15" customHeight="1">
      <c r="I272" s="215" t="n"/>
      <c r="J272" s="215" t="n"/>
      <c r="K272" s="215" t="n"/>
      <c r="L272" s="215" t="n"/>
      <c r="M272" s="215" t="n"/>
      <c r="N272" s="215">
        <f>IF(ISNUMBER(I272),ROUND(I272-I272/1.081,2),"")</f>
        <v/>
      </c>
      <c r="O272" s="215">
        <f>IF(ISNUMBER(I272),I272-SUM(J272:N272),"")</f>
        <v/>
      </c>
      <c r="P272" s="216">
        <f>IFERROR(IF(AND(ISNUMBER(O272),ISNUMBER(I272),I272&lt;&gt;0),O272/I272,""),"")</f>
        <v/>
      </c>
      <c r="Q272" s="215">
        <f>IF(AND(ISNUMBER(I272),ISNUMBER(S272)),I272*IF(S272&lt;=1,S272,S272/100),IF(OR(I272&lt;&gt;"",S272&lt;&gt;""),"tbd",""))</f>
        <v/>
      </c>
      <c r="S272" s="217" t="n"/>
      <c r="Z272">
        <f>IF(AND(R272="WON",ISNUMBER(I272)),AA272,"")</f>
        <v/>
      </c>
      <c r="AA272">
        <f>IFERROR(I272*1,0)</f>
        <v>0</v>
      </c>
    </row>
    <row r="273" ht="15" customHeight="1">
      <c r="I273" s="215" t="n"/>
      <c r="J273" s="215" t="n"/>
      <c r="K273" s="215" t="n"/>
      <c r="L273" s="215" t="n"/>
      <c r="M273" s="215" t="n"/>
      <c r="N273" s="215">
        <f>IF(ISNUMBER(I273),ROUND(I273-I273/1.081,2),"")</f>
        <v/>
      </c>
      <c r="O273" s="215">
        <f>IF(ISNUMBER(I273),I273-SUM(J273:N273),"")</f>
        <v/>
      </c>
      <c r="P273" s="216">
        <f>IFERROR(IF(AND(ISNUMBER(O273),ISNUMBER(I273),I273&lt;&gt;0),O273/I273,""),"")</f>
        <v/>
      </c>
      <c r="Q273" s="215">
        <f>IF(AND(ISNUMBER(I273),ISNUMBER(S273)),I273*IF(S273&lt;=1,S273,S273/100),IF(OR(I273&lt;&gt;"",S273&lt;&gt;""),"tbd",""))</f>
        <v/>
      </c>
      <c r="S273" s="217" t="n"/>
      <c r="Z273">
        <f>IF(AND(R273="WON",ISNUMBER(I273)),AA273,"")</f>
        <v/>
      </c>
      <c r="AA273">
        <f>IFERROR(I273*1,0)</f>
        <v>0</v>
      </c>
    </row>
    <row r="274" ht="15" customHeight="1">
      <c r="I274" s="215" t="n"/>
      <c r="J274" s="215" t="n"/>
      <c r="K274" s="215" t="n"/>
      <c r="L274" s="215" t="n"/>
      <c r="M274" s="215" t="n"/>
      <c r="N274" s="215">
        <f>IF(ISNUMBER(I274),ROUND(I274-I274/1.081,2),"")</f>
        <v/>
      </c>
      <c r="O274" s="215">
        <f>IF(ISNUMBER(I274),I274-SUM(J274:N274),"")</f>
        <v/>
      </c>
      <c r="P274" s="216">
        <f>IFERROR(IF(AND(ISNUMBER(O274),ISNUMBER(I274),I274&lt;&gt;0),O274/I274,""),"")</f>
        <v/>
      </c>
      <c r="Q274" s="215">
        <f>IF(AND(ISNUMBER(I274),ISNUMBER(S274)),I274*IF(S274&lt;=1,S274,S274/100),IF(OR(I274&lt;&gt;"",S274&lt;&gt;""),"tbd",""))</f>
        <v/>
      </c>
      <c r="S274" s="217" t="n"/>
      <c r="Z274">
        <f>IF(AND(R274="WON",ISNUMBER(I274)),AA274,"")</f>
        <v/>
      </c>
      <c r="AA274">
        <f>IFERROR(I274*1,0)</f>
        <v>0</v>
      </c>
    </row>
    <row r="275" ht="15" customHeight="1">
      <c r="I275" s="215" t="n"/>
      <c r="J275" s="215" t="n"/>
      <c r="K275" s="215" t="n"/>
      <c r="L275" s="215" t="n"/>
      <c r="M275" s="215" t="n"/>
      <c r="N275" s="215">
        <f>IF(ISNUMBER(I275),ROUND(I275-I275/1.081,2),"")</f>
        <v/>
      </c>
      <c r="O275" s="215">
        <f>IF(ISNUMBER(I275),I275-SUM(J275:N275),"")</f>
        <v/>
      </c>
      <c r="P275" s="216">
        <f>IFERROR(IF(AND(ISNUMBER(O275),ISNUMBER(I275),I275&lt;&gt;0),O275/I275,""),"")</f>
        <v/>
      </c>
      <c r="Q275" s="215">
        <f>IF(AND(ISNUMBER(I275),ISNUMBER(S275)),I275*IF(S275&lt;=1,S275,S275/100),IF(OR(I275&lt;&gt;"",S275&lt;&gt;""),"tbd",""))</f>
        <v/>
      </c>
      <c r="S275" s="217" t="n"/>
      <c r="Z275">
        <f>IF(AND(R275="WON",ISNUMBER(I275)),AA275,"")</f>
        <v/>
      </c>
      <c r="AA275">
        <f>IFERROR(I275*1,0)</f>
        <v>0</v>
      </c>
    </row>
    <row r="276" ht="15" customHeight="1">
      <c r="I276" s="215" t="n"/>
      <c r="J276" s="215" t="n"/>
      <c r="K276" s="215" t="n"/>
      <c r="L276" s="215" t="n"/>
      <c r="M276" s="215" t="n"/>
      <c r="N276" s="215">
        <f>IF(ISNUMBER(I276),ROUND(I276-I276/1.081,2),"")</f>
        <v/>
      </c>
      <c r="O276" s="215">
        <f>IF(ISNUMBER(I276),I276-SUM(J276:N276),"")</f>
        <v/>
      </c>
      <c r="P276" s="216">
        <f>IFERROR(IF(AND(ISNUMBER(O276),ISNUMBER(I276),I276&lt;&gt;0),O276/I276,""),"")</f>
        <v/>
      </c>
      <c r="Q276" s="215">
        <f>IF(AND(ISNUMBER(I276),ISNUMBER(S276)),I276*IF(S276&lt;=1,S276,S276/100),IF(OR(I276&lt;&gt;"",S276&lt;&gt;""),"tbd",""))</f>
        <v/>
      </c>
      <c r="S276" s="217" t="n"/>
      <c r="Z276">
        <f>IF(AND(R276="WON",ISNUMBER(I276)),AA276,"")</f>
        <v/>
      </c>
      <c r="AA276">
        <f>IFERROR(I276*1,0)</f>
        <v>0</v>
      </c>
    </row>
    <row r="277" ht="15" customHeight="1">
      <c r="I277" s="215" t="n"/>
      <c r="J277" s="215" t="n"/>
      <c r="K277" s="215" t="n"/>
      <c r="L277" s="215" t="n"/>
      <c r="M277" s="215" t="n"/>
      <c r="N277" s="215">
        <f>IF(ISNUMBER(I277),ROUND(I277-I277/1.081,2),"")</f>
        <v/>
      </c>
      <c r="O277" s="215">
        <f>IF(ISNUMBER(I277),I277-SUM(J277:N277),"")</f>
        <v/>
      </c>
      <c r="P277" s="216">
        <f>IFERROR(IF(AND(ISNUMBER(O277),ISNUMBER(I277),I277&lt;&gt;0),O277/I277,""),"")</f>
        <v/>
      </c>
      <c r="Q277" s="215">
        <f>IF(AND(ISNUMBER(I277),ISNUMBER(S277)),I277*IF(S277&lt;=1,S277,S277/100),IF(OR(I277&lt;&gt;"",S277&lt;&gt;""),"tbd",""))</f>
        <v/>
      </c>
      <c r="S277" s="217" t="n"/>
      <c r="Z277">
        <f>IF(AND(R277="WON",ISNUMBER(I277)),AA277,"")</f>
        <v/>
      </c>
      <c r="AA277">
        <f>IFERROR(I277*1,0)</f>
        <v>0</v>
      </c>
    </row>
    <row r="278" ht="15" customHeight="1">
      <c r="I278" s="215" t="n"/>
      <c r="J278" s="215" t="n"/>
      <c r="K278" s="215" t="n"/>
      <c r="L278" s="215" t="n"/>
      <c r="M278" s="215" t="n"/>
      <c r="N278" s="215">
        <f>IF(ISNUMBER(I278),ROUND(I278-I278/1.081,2),"")</f>
        <v/>
      </c>
      <c r="O278" s="215">
        <f>IF(ISNUMBER(I278),I278-SUM(J278:N278),"")</f>
        <v/>
      </c>
      <c r="P278" s="216">
        <f>IFERROR(IF(AND(ISNUMBER(O278),ISNUMBER(I278),I278&lt;&gt;0),O278/I278,""),"")</f>
        <v/>
      </c>
      <c r="Q278" s="215">
        <f>IF(AND(ISNUMBER(I278),ISNUMBER(S278)),I278*IF(S278&lt;=1,S278,S278/100),IF(OR(I278&lt;&gt;"",S278&lt;&gt;""),"tbd",""))</f>
        <v/>
      </c>
      <c r="S278" s="217" t="n"/>
      <c r="Z278">
        <f>IF(AND(R278="WON",ISNUMBER(I278)),AA278,"")</f>
        <v/>
      </c>
      <c r="AA278">
        <f>IFERROR(I278*1,0)</f>
        <v>0</v>
      </c>
    </row>
    <row r="279" ht="15" customHeight="1">
      <c r="I279" s="215" t="n"/>
      <c r="J279" s="215" t="n"/>
      <c r="K279" s="215" t="n"/>
      <c r="L279" s="215" t="n"/>
      <c r="M279" s="215" t="n"/>
      <c r="N279" s="215">
        <f>IF(ISNUMBER(I279),ROUND(I279-I279/1.081,2),"")</f>
        <v/>
      </c>
      <c r="O279" s="215">
        <f>IF(ISNUMBER(I279),I279-SUM(J279:N279),"")</f>
        <v/>
      </c>
      <c r="P279" s="216">
        <f>IFERROR(IF(AND(ISNUMBER(O279),ISNUMBER(I279),I279&lt;&gt;0),O279/I279,""),"")</f>
        <v/>
      </c>
      <c r="Q279" s="215">
        <f>IF(AND(ISNUMBER(I279),ISNUMBER(S279)),I279*IF(S279&lt;=1,S279,S279/100),IF(OR(I279&lt;&gt;"",S279&lt;&gt;""),"tbd",""))</f>
        <v/>
      </c>
      <c r="S279" s="217" t="n"/>
      <c r="Z279">
        <f>IF(AND(R279="WON",ISNUMBER(I279)),AA279,"")</f>
        <v/>
      </c>
      <c r="AA279">
        <f>IFERROR(I279*1,0)</f>
        <v>0</v>
      </c>
    </row>
    <row r="280" ht="15" customHeight="1">
      <c r="I280" s="215" t="n"/>
      <c r="J280" s="215" t="n"/>
      <c r="K280" s="215" t="n"/>
      <c r="L280" s="215" t="n"/>
      <c r="M280" s="215" t="n"/>
      <c r="N280" s="215">
        <f>IF(ISNUMBER(I280),ROUND(I280-I280/1.081,2),"")</f>
        <v/>
      </c>
      <c r="O280" s="215">
        <f>IF(ISNUMBER(I280),I280-SUM(J280:N280),"")</f>
        <v/>
      </c>
      <c r="P280" s="216">
        <f>IFERROR(IF(AND(ISNUMBER(O280),ISNUMBER(I280),I280&lt;&gt;0),O280/I280,""),"")</f>
        <v/>
      </c>
      <c r="Q280" s="215">
        <f>IF(AND(ISNUMBER(I280),ISNUMBER(S280)),I280*IF(S280&lt;=1,S280,S280/100),IF(OR(I280&lt;&gt;"",S280&lt;&gt;""),"tbd",""))</f>
        <v/>
      </c>
      <c r="S280" s="217" t="n"/>
      <c r="Z280">
        <f>IF(AND(R280="WON",ISNUMBER(I280)),AA280,"")</f>
        <v/>
      </c>
      <c r="AA280">
        <f>IFERROR(I280*1,0)</f>
        <v>0</v>
      </c>
    </row>
    <row r="281" ht="15" customHeight="1">
      <c r="I281" s="215" t="n"/>
      <c r="J281" s="215" t="n"/>
      <c r="K281" s="215" t="n"/>
      <c r="L281" s="215" t="n"/>
      <c r="M281" s="215" t="n"/>
      <c r="N281" s="215">
        <f>IF(ISNUMBER(I281),ROUND(I281-I281/1.081,2),"")</f>
        <v/>
      </c>
      <c r="O281" s="215">
        <f>IF(ISNUMBER(I281),I281-SUM(J281:N281),"")</f>
        <v/>
      </c>
      <c r="P281" s="216">
        <f>IFERROR(IF(AND(ISNUMBER(O281),ISNUMBER(I281),I281&lt;&gt;0),O281/I281,""),"")</f>
        <v/>
      </c>
      <c r="Q281" s="215">
        <f>IF(AND(ISNUMBER(I281),ISNUMBER(S281)),I281*IF(S281&lt;=1,S281,S281/100),IF(OR(I281&lt;&gt;"",S281&lt;&gt;""),"tbd",""))</f>
        <v/>
      </c>
      <c r="S281" s="217" t="n"/>
      <c r="Z281">
        <f>IF(AND(R281="WON",ISNUMBER(I281)),AA281,"")</f>
        <v/>
      </c>
      <c r="AA281">
        <f>IFERROR(I281*1,0)</f>
        <v>0</v>
      </c>
    </row>
    <row r="282" ht="15" customHeight="1">
      <c r="I282" s="215" t="n"/>
      <c r="J282" s="215" t="n"/>
      <c r="K282" s="215" t="n"/>
      <c r="L282" s="215" t="n"/>
      <c r="M282" s="215" t="n"/>
      <c r="N282" s="215">
        <f>IF(ISNUMBER(I282),ROUND(I282-I282/1.081,2),"")</f>
        <v/>
      </c>
      <c r="O282" s="215">
        <f>IF(ISNUMBER(I282),I282-SUM(J282:N282),"")</f>
        <v/>
      </c>
      <c r="P282" s="216">
        <f>IFERROR(IF(AND(ISNUMBER(O282),ISNUMBER(I282),I282&lt;&gt;0),O282/I282,""),"")</f>
        <v/>
      </c>
      <c r="Q282" s="215">
        <f>IF(AND(ISNUMBER(I282),ISNUMBER(S282)),I282*IF(S282&lt;=1,S282,S282/100),IF(OR(I282&lt;&gt;"",S282&lt;&gt;""),"tbd",""))</f>
        <v/>
      </c>
      <c r="S282" s="217" t="n"/>
      <c r="Z282">
        <f>IF(AND(R282="WON",ISNUMBER(I282)),AA282,"")</f>
        <v/>
      </c>
      <c r="AA282">
        <f>IFERROR(I282*1,0)</f>
        <v>0</v>
      </c>
    </row>
    <row r="283" ht="15" customHeight="1">
      <c r="I283" s="215" t="n"/>
      <c r="J283" s="215" t="n"/>
      <c r="K283" s="215" t="n"/>
      <c r="L283" s="215" t="n"/>
      <c r="M283" s="215" t="n"/>
      <c r="N283" s="215">
        <f>IF(ISNUMBER(I283),ROUND(I283-I283/1.081,2),"")</f>
        <v/>
      </c>
      <c r="O283" s="215">
        <f>IF(ISNUMBER(I283),I283-SUM(J283:N283),"")</f>
        <v/>
      </c>
      <c r="P283" s="216">
        <f>IFERROR(IF(AND(ISNUMBER(O283),ISNUMBER(I283),I283&lt;&gt;0),O283/I283,""),"")</f>
        <v/>
      </c>
      <c r="Q283" s="215">
        <f>IF(AND(ISNUMBER(I283),ISNUMBER(S283)),I283*IF(S283&lt;=1,S283,S283/100),IF(OR(I283&lt;&gt;"",S283&lt;&gt;""),"tbd",""))</f>
        <v/>
      </c>
      <c r="S283" s="217" t="n"/>
      <c r="Z283">
        <f>IF(AND(R283="WON",ISNUMBER(I283)),AA283,"")</f>
        <v/>
      </c>
      <c r="AA283">
        <f>IFERROR(I283*1,0)</f>
        <v>0</v>
      </c>
    </row>
    <row r="284" ht="15" customHeight="1">
      <c r="I284" s="215" t="n"/>
      <c r="J284" s="215" t="n"/>
      <c r="K284" s="215" t="n"/>
      <c r="L284" s="215" t="n"/>
      <c r="M284" s="215" t="n"/>
      <c r="N284" s="215">
        <f>IF(ISNUMBER(I284),ROUND(I284-I284/1.081,2),"")</f>
        <v/>
      </c>
      <c r="O284" s="215">
        <f>IF(ISNUMBER(I284),I284-SUM(J284:N284),"")</f>
        <v/>
      </c>
      <c r="P284" s="216">
        <f>IFERROR(IF(AND(ISNUMBER(O284),ISNUMBER(I284),I284&lt;&gt;0),O284/I284,""),"")</f>
        <v/>
      </c>
      <c r="Q284" s="215">
        <f>IF(AND(ISNUMBER(I284),ISNUMBER(S284)),I284*IF(S284&lt;=1,S284,S284/100),IF(OR(I284&lt;&gt;"",S284&lt;&gt;""),"tbd",""))</f>
        <v/>
      </c>
      <c r="S284" s="217" t="n"/>
      <c r="Z284">
        <f>IF(AND(R284="WON",ISNUMBER(I284)),AA284,"")</f>
        <v/>
      </c>
      <c r="AA284">
        <f>IFERROR(I284*1,0)</f>
        <v>0</v>
      </c>
    </row>
    <row r="285" ht="15" customHeight="1">
      <c r="I285" s="215" t="n"/>
      <c r="J285" s="215" t="n"/>
      <c r="K285" s="215" t="n"/>
      <c r="L285" s="215" t="n"/>
      <c r="M285" s="215" t="n"/>
      <c r="N285" s="215">
        <f>IF(ISNUMBER(I285),ROUND(I285-I285/1.081,2),"")</f>
        <v/>
      </c>
      <c r="O285" s="215">
        <f>IF(ISNUMBER(I285),I285-SUM(J285:N285),"")</f>
        <v/>
      </c>
      <c r="P285" s="216">
        <f>IFERROR(IF(AND(ISNUMBER(O285),ISNUMBER(I285),I285&lt;&gt;0),O285/I285,""),"")</f>
        <v/>
      </c>
      <c r="Q285" s="215">
        <f>IF(AND(ISNUMBER(I285),ISNUMBER(S285)),I285*IF(S285&lt;=1,S285,S285/100),IF(OR(I285&lt;&gt;"",S285&lt;&gt;""),"tbd",""))</f>
        <v/>
      </c>
      <c r="S285" s="217" t="n"/>
      <c r="Z285">
        <f>IF(AND(R285="WON",ISNUMBER(I285)),AA285,"")</f>
        <v/>
      </c>
      <c r="AA285">
        <f>IFERROR(I285*1,0)</f>
        <v>0</v>
      </c>
    </row>
    <row r="286" ht="15" customHeight="1">
      <c r="I286" s="215" t="n"/>
      <c r="J286" s="215" t="n"/>
      <c r="K286" s="215" t="n"/>
      <c r="L286" s="215" t="n"/>
      <c r="M286" s="215" t="n"/>
      <c r="N286" s="215">
        <f>IF(ISNUMBER(I286),ROUND(I286-I286/1.081,2),"")</f>
        <v/>
      </c>
      <c r="O286" s="215">
        <f>IF(ISNUMBER(I286),I286-SUM(J286:N286),"")</f>
        <v/>
      </c>
      <c r="P286" s="216">
        <f>IFERROR(IF(AND(ISNUMBER(O286),ISNUMBER(I286),I286&lt;&gt;0),O286/I286,""),"")</f>
        <v/>
      </c>
      <c r="Q286" s="215">
        <f>IF(AND(ISNUMBER(I286),ISNUMBER(S286)),I286*IF(S286&lt;=1,S286,S286/100),IF(OR(I286&lt;&gt;"",S286&lt;&gt;""),"tbd",""))</f>
        <v/>
      </c>
      <c r="S286" s="217" t="n"/>
      <c r="Z286">
        <f>IF(AND(R286="WON",ISNUMBER(I286)),AA286,"")</f>
        <v/>
      </c>
      <c r="AA286">
        <f>IFERROR(I286*1,0)</f>
        <v>0</v>
      </c>
    </row>
    <row r="287" ht="15" customHeight="1">
      <c r="I287" s="215" t="n"/>
      <c r="J287" s="215" t="n"/>
      <c r="K287" s="215" t="n"/>
      <c r="L287" s="215" t="n"/>
      <c r="M287" s="215" t="n"/>
      <c r="N287" s="215">
        <f>IF(ISNUMBER(I287),ROUND(I287-I287/1.081,2),"")</f>
        <v/>
      </c>
      <c r="O287" s="215">
        <f>IF(ISNUMBER(I287),I287-SUM(J287:N287),"")</f>
        <v/>
      </c>
      <c r="P287" s="216">
        <f>IFERROR(IF(AND(ISNUMBER(O287),ISNUMBER(I287),I287&lt;&gt;0),O287/I287,""),"")</f>
        <v/>
      </c>
      <c r="Q287" s="215">
        <f>IF(AND(ISNUMBER(I287),ISNUMBER(S287)),I287*IF(S287&lt;=1,S287,S287/100),IF(OR(I287&lt;&gt;"",S287&lt;&gt;""),"tbd",""))</f>
        <v/>
      </c>
      <c r="S287" s="217" t="n"/>
      <c r="Z287">
        <f>IF(AND(R287="WON",ISNUMBER(I287)),AA287,"")</f>
        <v/>
      </c>
      <c r="AA287">
        <f>IFERROR(I287*1,0)</f>
        <v>0</v>
      </c>
    </row>
    <row r="288" ht="15" customHeight="1">
      <c r="I288" s="215" t="n"/>
      <c r="J288" s="215" t="n"/>
      <c r="K288" s="215" t="n"/>
      <c r="L288" s="215" t="n"/>
      <c r="M288" s="215" t="n"/>
      <c r="N288" s="215">
        <f>IF(ISNUMBER(I288),ROUND(I288-I288/1.081,2),"")</f>
        <v/>
      </c>
      <c r="O288" s="215">
        <f>IF(ISNUMBER(I288),I288-SUM(J288:N288),"")</f>
        <v/>
      </c>
      <c r="P288" s="216">
        <f>IFERROR(IF(AND(ISNUMBER(O288),ISNUMBER(I288),I288&lt;&gt;0),O288/I288,""),"")</f>
        <v/>
      </c>
      <c r="Q288" s="215">
        <f>IF(AND(ISNUMBER(I288),ISNUMBER(S288)),I288*IF(S288&lt;=1,S288,S288/100),IF(OR(I288&lt;&gt;"",S288&lt;&gt;""),"tbd",""))</f>
        <v/>
      </c>
      <c r="S288" s="217" t="n"/>
      <c r="Z288">
        <f>IF(AND(R288="WON",ISNUMBER(I288)),AA288,"")</f>
        <v/>
      </c>
      <c r="AA288">
        <f>IFERROR(I288*1,0)</f>
        <v>0</v>
      </c>
    </row>
    <row r="289" ht="15" customHeight="1">
      <c r="I289" s="215" t="n"/>
      <c r="J289" s="215" t="n"/>
      <c r="K289" s="215" t="n"/>
      <c r="L289" s="215" t="n"/>
      <c r="M289" s="215" t="n"/>
      <c r="N289" s="215">
        <f>IF(ISNUMBER(I289),ROUND(I289-I289/1.081,2),"")</f>
        <v/>
      </c>
      <c r="O289" s="215">
        <f>IF(ISNUMBER(I289),I289-SUM(J289:N289),"")</f>
        <v/>
      </c>
      <c r="P289" s="216">
        <f>IFERROR(IF(AND(ISNUMBER(O289),ISNUMBER(I289),I289&lt;&gt;0),O289/I289,""),"")</f>
        <v/>
      </c>
      <c r="Q289" s="215">
        <f>IF(AND(ISNUMBER(I289),ISNUMBER(S289)),I289*IF(S289&lt;=1,S289,S289/100),IF(OR(I289&lt;&gt;"",S289&lt;&gt;""),"tbd",""))</f>
        <v/>
      </c>
      <c r="S289" s="217" t="n"/>
      <c r="Z289">
        <f>IF(AND(R289="WON",ISNUMBER(I289)),AA289,"")</f>
        <v/>
      </c>
      <c r="AA289">
        <f>IFERROR(I289*1,0)</f>
        <v>0</v>
      </c>
    </row>
    <row r="290" ht="15" customHeight="1">
      <c r="I290" s="215" t="n"/>
      <c r="J290" s="215" t="n"/>
      <c r="K290" s="215" t="n"/>
      <c r="L290" s="215" t="n"/>
      <c r="M290" s="215" t="n"/>
      <c r="N290" s="215">
        <f>IF(ISNUMBER(I290),ROUND(I290-I290/1.081,2),"")</f>
        <v/>
      </c>
      <c r="O290" s="215">
        <f>IF(ISNUMBER(I290),I290-SUM(J290:N290),"")</f>
        <v/>
      </c>
      <c r="P290" s="216">
        <f>IFERROR(IF(AND(ISNUMBER(O290),ISNUMBER(I290),I290&lt;&gt;0),O290/I290,""),"")</f>
        <v/>
      </c>
      <c r="Q290" s="215">
        <f>IF(AND(ISNUMBER(I290),ISNUMBER(S290)),I290*IF(S290&lt;=1,S290,S290/100),IF(OR(I290&lt;&gt;"",S290&lt;&gt;""),"tbd",""))</f>
        <v/>
      </c>
      <c r="S290" s="217" t="n"/>
      <c r="Z290">
        <f>IF(AND(R290="WON",ISNUMBER(I290)),AA290,"")</f>
        <v/>
      </c>
      <c r="AA290">
        <f>IFERROR(I290*1,0)</f>
        <v>0</v>
      </c>
    </row>
    <row r="291" ht="15" customHeight="1">
      <c r="I291" s="215" t="n"/>
      <c r="J291" s="215" t="n"/>
      <c r="K291" s="215" t="n"/>
      <c r="L291" s="215" t="n"/>
      <c r="M291" s="215" t="n"/>
      <c r="N291" s="215">
        <f>IF(ISNUMBER(I291),ROUND(I291-I291/1.081,2),"")</f>
        <v/>
      </c>
      <c r="O291" s="215">
        <f>IF(ISNUMBER(I291),I291-SUM(J291:N291),"")</f>
        <v/>
      </c>
      <c r="P291" s="216">
        <f>IFERROR(IF(AND(ISNUMBER(O291),ISNUMBER(I291),I291&lt;&gt;0),O291/I291,""),"")</f>
        <v/>
      </c>
      <c r="Q291" s="215">
        <f>IF(AND(ISNUMBER(I291),ISNUMBER(S291)),I291*IF(S291&lt;=1,S291,S291/100),IF(OR(I291&lt;&gt;"",S291&lt;&gt;""),"tbd",""))</f>
        <v/>
      </c>
      <c r="S291" s="217" t="n"/>
      <c r="Z291">
        <f>IF(AND(R291="WON",ISNUMBER(I291)),AA291,"")</f>
        <v/>
      </c>
      <c r="AA291">
        <f>IFERROR(I291*1,0)</f>
        <v>0</v>
      </c>
    </row>
    <row r="292" ht="15" customHeight="1">
      <c r="I292" s="215" t="n"/>
      <c r="J292" s="215" t="n"/>
      <c r="K292" s="215" t="n"/>
      <c r="L292" s="215" t="n"/>
      <c r="M292" s="215" t="n"/>
      <c r="N292" s="215">
        <f>IF(ISNUMBER(I292),ROUND(I292-I292/1.081,2),"")</f>
        <v/>
      </c>
      <c r="O292" s="215">
        <f>IF(ISNUMBER(I292),I292-SUM(J292:N292),"")</f>
        <v/>
      </c>
      <c r="P292" s="216">
        <f>IFERROR(IF(AND(ISNUMBER(O292),ISNUMBER(I292),I292&lt;&gt;0),O292/I292,""),"")</f>
        <v/>
      </c>
      <c r="Q292" s="215">
        <f>IF(AND(ISNUMBER(I292),ISNUMBER(S292)),I292*IF(S292&lt;=1,S292,S292/100),IF(OR(I292&lt;&gt;"",S292&lt;&gt;""),"tbd",""))</f>
        <v/>
      </c>
      <c r="S292" s="217" t="n"/>
      <c r="Z292">
        <f>IF(AND(R292="WON",ISNUMBER(I292)),AA292,"")</f>
        <v/>
      </c>
      <c r="AA292">
        <f>IFERROR(I292*1,0)</f>
        <v>0</v>
      </c>
    </row>
    <row r="293" ht="15" customHeight="1">
      <c r="I293" s="215" t="n"/>
      <c r="J293" s="215" t="n"/>
      <c r="K293" s="215" t="n"/>
      <c r="L293" s="215" t="n"/>
      <c r="M293" s="215" t="n"/>
      <c r="N293" s="215">
        <f>IF(ISNUMBER(I293),ROUND(I293-I293/1.081,2),"")</f>
        <v/>
      </c>
      <c r="O293" s="215">
        <f>IF(ISNUMBER(I293),I293-SUM(J293:N293),"")</f>
        <v/>
      </c>
      <c r="P293" s="216">
        <f>IFERROR(IF(AND(ISNUMBER(O293),ISNUMBER(I293),I293&lt;&gt;0),O293/I293,""),"")</f>
        <v/>
      </c>
      <c r="Q293" s="215">
        <f>IF(AND(ISNUMBER(I293),ISNUMBER(S293)),I293*IF(S293&lt;=1,S293,S293/100),IF(OR(I293&lt;&gt;"",S293&lt;&gt;""),"tbd",""))</f>
        <v/>
      </c>
      <c r="S293" s="217" t="n"/>
      <c r="Z293">
        <f>IF(AND(R293="WON",ISNUMBER(I293)),AA293,"")</f>
        <v/>
      </c>
      <c r="AA293">
        <f>IFERROR(I293*1,0)</f>
        <v>0</v>
      </c>
    </row>
    <row r="294" ht="15" customHeight="1">
      <c r="I294" s="215" t="n"/>
      <c r="J294" s="215" t="n"/>
      <c r="K294" s="215" t="n"/>
      <c r="L294" s="215" t="n"/>
      <c r="M294" s="215" t="n"/>
      <c r="N294" s="215">
        <f>IF(ISNUMBER(I294),ROUND(I294-I294/1.081,2),"")</f>
        <v/>
      </c>
      <c r="O294" s="215">
        <f>IF(ISNUMBER(I294),I294-SUM(J294:N294),"")</f>
        <v/>
      </c>
      <c r="P294" s="216">
        <f>IFERROR(IF(AND(ISNUMBER(O294),ISNUMBER(I294),I294&lt;&gt;0),O294/I294,""),"")</f>
        <v/>
      </c>
      <c r="Q294" s="215">
        <f>IF(AND(ISNUMBER(I294),ISNUMBER(S294)),I294*IF(S294&lt;=1,S294,S294/100),IF(OR(I294&lt;&gt;"",S294&lt;&gt;""),"tbd",""))</f>
        <v/>
      </c>
      <c r="S294" s="217" t="n"/>
      <c r="Z294">
        <f>IF(AND(R294="WON",ISNUMBER(I294)),AA294,"")</f>
        <v/>
      </c>
      <c r="AA294">
        <f>IFERROR(I294*1,0)</f>
        <v>0</v>
      </c>
    </row>
    <row r="295" ht="15" customHeight="1">
      <c r="I295" s="215" t="n"/>
      <c r="J295" s="215" t="n"/>
      <c r="K295" s="215" t="n"/>
      <c r="L295" s="215" t="n"/>
      <c r="M295" s="215" t="n"/>
      <c r="N295" s="215">
        <f>IF(ISNUMBER(I295),ROUND(I295-I295/1.081,2),"")</f>
        <v/>
      </c>
      <c r="O295" s="215">
        <f>IF(ISNUMBER(I295),I295-SUM(J295:N295),"")</f>
        <v/>
      </c>
      <c r="P295" s="216">
        <f>IFERROR(IF(AND(ISNUMBER(O295),ISNUMBER(I295),I295&lt;&gt;0),O295/I295,""),"")</f>
        <v/>
      </c>
      <c r="Q295" s="215">
        <f>IF(AND(ISNUMBER(I295),ISNUMBER(S295)),I295*IF(S295&lt;=1,S295,S295/100),IF(OR(I295&lt;&gt;"",S295&lt;&gt;""),"tbd",""))</f>
        <v/>
      </c>
      <c r="S295" s="217" t="n"/>
      <c r="Z295">
        <f>IF(AND(R295="WON",ISNUMBER(I295)),AA295,"")</f>
        <v/>
      </c>
      <c r="AA295">
        <f>IFERROR(I295*1,0)</f>
        <v>0</v>
      </c>
    </row>
    <row r="296" ht="15" customHeight="1">
      <c r="I296" s="215" t="n"/>
      <c r="J296" s="215" t="n"/>
      <c r="K296" s="215" t="n"/>
      <c r="L296" s="215" t="n"/>
      <c r="M296" s="215" t="n"/>
      <c r="N296" s="215">
        <f>IF(ISNUMBER(I296),ROUND(I296-I296/1.081,2),"")</f>
        <v/>
      </c>
      <c r="O296" s="215">
        <f>IF(ISNUMBER(I296),I296-SUM(J296:N296),"")</f>
        <v/>
      </c>
      <c r="P296" s="216">
        <f>IFERROR(IF(AND(ISNUMBER(O296),ISNUMBER(I296),I296&lt;&gt;0),O296/I296,""),"")</f>
        <v/>
      </c>
      <c r="Q296" s="215">
        <f>IF(AND(ISNUMBER(I296),ISNUMBER(S296)),I296*IF(S296&lt;=1,S296,S296/100),IF(OR(I296&lt;&gt;"",S296&lt;&gt;""),"tbd",""))</f>
        <v/>
      </c>
      <c r="S296" s="217" t="n"/>
      <c r="Z296">
        <f>IF(AND(R296="WON",ISNUMBER(I296)),AA296,"")</f>
        <v/>
      </c>
      <c r="AA296">
        <f>IFERROR(I296*1,0)</f>
        <v>0</v>
      </c>
    </row>
    <row r="297" ht="15" customHeight="1">
      <c r="I297" s="215" t="n"/>
      <c r="J297" s="215" t="n"/>
      <c r="K297" s="215" t="n"/>
      <c r="L297" s="215" t="n"/>
      <c r="M297" s="215" t="n"/>
      <c r="N297" s="215">
        <f>IF(ISNUMBER(I297),ROUND(I297-I297/1.081,2),"")</f>
        <v/>
      </c>
      <c r="O297" s="215">
        <f>IF(ISNUMBER(I297),I297-SUM(J297:N297),"")</f>
        <v/>
      </c>
      <c r="P297" s="216">
        <f>IFERROR(IF(AND(ISNUMBER(O297),ISNUMBER(I297),I297&lt;&gt;0),O297/I297,""),"")</f>
        <v/>
      </c>
      <c r="Q297" s="215">
        <f>IF(AND(ISNUMBER(I297),ISNUMBER(S297)),I297*IF(S297&lt;=1,S297,S297/100),IF(OR(I297&lt;&gt;"",S297&lt;&gt;""),"tbd",""))</f>
        <v/>
      </c>
      <c r="S297" s="217" t="n"/>
      <c r="Z297">
        <f>IF(AND(R297="WON",ISNUMBER(I297)),AA297,"")</f>
        <v/>
      </c>
      <c r="AA297">
        <f>IFERROR(I297*1,0)</f>
        <v>0</v>
      </c>
    </row>
    <row r="298" ht="15" customHeight="1">
      <c r="I298" s="215" t="n"/>
      <c r="J298" s="215" t="n"/>
      <c r="K298" s="215" t="n"/>
      <c r="L298" s="215" t="n"/>
      <c r="M298" s="215" t="n"/>
      <c r="N298" s="215">
        <f>IF(ISNUMBER(I298),ROUND(I298-I298/1.081,2),"")</f>
        <v/>
      </c>
      <c r="O298" s="215">
        <f>IF(ISNUMBER(I298),I298-SUM(J298:N298),"")</f>
        <v/>
      </c>
      <c r="P298" s="216">
        <f>IFERROR(IF(AND(ISNUMBER(O298),ISNUMBER(I298),I298&lt;&gt;0),O298/I298,""),"")</f>
        <v/>
      </c>
      <c r="Q298" s="215">
        <f>IF(AND(ISNUMBER(I298),ISNUMBER(S298)),I298*IF(S298&lt;=1,S298,S298/100),IF(OR(I298&lt;&gt;"",S298&lt;&gt;""),"tbd",""))</f>
        <v/>
      </c>
      <c r="S298" s="217" t="n"/>
      <c r="Z298">
        <f>IF(AND(R298="WON",ISNUMBER(I298)),AA298,"")</f>
        <v/>
      </c>
      <c r="AA298">
        <f>IFERROR(I298*1,0)</f>
        <v>0</v>
      </c>
    </row>
    <row r="299" ht="15" customHeight="1">
      <c r="I299" s="215" t="n"/>
      <c r="J299" s="215" t="n"/>
      <c r="K299" s="215" t="n"/>
      <c r="L299" s="215" t="n"/>
      <c r="M299" s="215" t="n"/>
      <c r="N299" s="215">
        <f>IF(ISNUMBER(I299),ROUND(I299-I299/1.081,2),"")</f>
        <v/>
      </c>
      <c r="O299" s="215">
        <f>IF(ISNUMBER(I299),I299-SUM(J299:N299),"")</f>
        <v/>
      </c>
      <c r="P299" s="216">
        <f>IFERROR(IF(AND(ISNUMBER(O299),ISNUMBER(I299),I299&lt;&gt;0),O299/I299,""),"")</f>
        <v/>
      </c>
      <c r="Q299" s="215">
        <f>IF(AND(ISNUMBER(I299),ISNUMBER(S299)),I299*IF(S299&lt;=1,S299,S299/100),IF(OR(I299&lt;&gt;"",S299&lt;&gt;""),"tbd",""))</f>
        <v/>
      </c>
      <c r="S299" s="217" t="n"/>
      <c r="Z299">
        <f>IF(AND(R299="WON",ISNUMBER(I299)),AA299,"")</f>
        <v/>
      </c>
      <c r="AA299">
        <f>IFERROR(I299*1,0)</f>
        <v>0</v>
      </c>
    </row>
    <row r="300" ht="15" customHeight="1">
      <c r="I300" s="215" t="n"/>
      <c r="J300" s="215" t="n"/>
      <c r="K300" s="215" t="n"/>
      <c r="L300" s="215" t="n"/>
      <c r="M300" s="215" t="n"/>
      <c r="N300" s="215">
        <f>IF(ISNUMBER(I300),ROUND(I300-I300/1.081,2),"")</f>
        <v/>
      </c>
      <c r="O300" s="215">
        <f>IF(ISNUMBER(I300),I300-SUM(J300:N300),"")</f>
        <v/>
      </c>
      <c r="P300" s="216">
        <f>IFERROR(IF(AND(ISNUMBER(O300),ISNUMBER(I300),I300&lt;&gt;0),O300/I300,""),"")</f>
        <v/>
      </c>
      <c r="Q300" s="215">
        <f>IF(AND(ISNUMBER(I300),ISNUMBER(S300)),I300*IF(S300&lt;=1,S300,S300/100),IF(OR(I300&lt;&gt;"",S300&lt;&gt;""),"tbd",""))</f>
        <v/>
      </c>
      <c r="S300" s="217" t="n"/>
      <c r="Z300">
        <f>IF(AND(R300="WON",ISNUMBER(I300)),AA300,"")</f>
        <v/>
      </c>
      <c r="AA300">
        <f>IFERROR(I300*1,0)</f>
        <v>0</v>
      </c>
    </row>
    <row r="301" ht="15" customHeight="1">
      <c r="I301" s="215" t="n"/>
      <c r="J301" s="215" t="n"/>
      <c r="K301" s="215" t="n"/>
      <c r="L301" s="215" t="n"/>
      <c r="M301" s="215" t="n"/>
      <c r="N301" s="215">
        <f>IF(ISNUMBER(I301),ROUND(I301-I301/1.081,2),"")</f>
        <v/>
      </c>
      <c r="O301" s="215">
        <f>IF(ISNUMBER(I301),I301-SUM(J301:N301),"")</f>
        <v/>
      </c>
      <c r="P301" s="216">
        <f>IFERROR(IF(AND(ISNUMBER(O301),ISNUMBER(I301),I301&lt;&gt;0),O301/I301,""),"")</f>
        <v/>
      </c>
      <c r="Q301" s="215">
        <f>IF(AND(ISNUMBER(I301),ISNUMBER(S301)),I301*IF(S301&lt;=1,S301,S301/100),IF(OR(I301&lt;&gt;"",S301&lt;&gt;""),"tbd",""))</f>
        <v/>
      </c>
      <c r="S301" s="217" t="n"/>
      <c r="Z301">
        <f>IF(AND(R301="WON",ISNUMBER(I301)),AA301,"")</f>
        <v/>
      </c>
      <c r="AA301">
        <f>IFERROR(I301*1,0)</f>
        <v>0</v>
      </c>
    </row>
    <row r="302" ht="15" customHeight="1">
      <c r="I302" s="215" t="n"/>
      <c r="J302" s="215" t="n"/>
      <c r="K302" s="215" t="n"/>
      <c r="L302" s="215" t="n"/>
      <c r="M302" s="215" t="n"/>
      <c r="N302" s="215">
        <f>IF(ISNUMBER(I302),ROUND(I302-I302/1.081,2),"")</f>
        <v/>
      </c>
      <c r="O302" s="215">
        <f>IF(ISNUMBER(I302),I302-SUM(J302:N302),"")</f>
        <v/>
      </c>
      <c r="P302" s="216">
        <f>IFERROR(IF(AND(ISNUMBER(O302),ISNUMBER(I302),I302&lt;&gt;0),O302/I302,""),"")</f>
        <v/>
      </c>
      <c r="Q302" s="215">
        <f>IF(AND(ISNUMBER(I302),ISNUMBER(S302)),I302*IF(S302&lt;=1,S302,S302/100),IF(OR(I302&lt;&gt;"",S302&lt;&gt;""),"tbd",""))</f>
        <v/>
      </c>
      <c r="S302" s="217" t="n"/>
      <c r="Z302">
        <f>IF(AND(R302="WON",ISNUMBER(I302)),AA302,"")</f>
        <v/>
      </c>
      <c r="AA302">
        <f>IFERROR(I302*1,0)</f>
        <v>0</v>
      </c>
    </row>
    <row r="303" ht="15" customHeight="1">
      <c r="I303" s="215" t="n"/>
      <c r="J303" s="215" t="n"/>
      <c r="K303" s="215" t="n"/>
      <c r="L303" s="215" t="n"/>
      <c r="M303" s="215" t="n"/>
      <c r="N303" s="215">
        <f>IF(ISNUMBER(I303),ROUND(I303-I303/1.081,2),"")</f>
        <v/>
      </c>
      <c r="O303" s="215">
        <f>IF(ISNUMBER(I303),I303-SUM(J303:N303),"")</f>
        <v/>
      </c>
      <c r="P303" s="216">
        <f>IFERROR(IF(AND(ISNUMBER(O303),ISNUMBER(I303),I303&lt;&gt;0),O303/I303,""),"")</f>
        <v/>
      </c>
      <c r="Q303" s="215">
        <f>IF(AND(ISNUMBER(I303),ISNUMBER(S303)),I303*IF(S303&lt;=1,S303,S303/100),IF(OR(I303&lt;&gt;"",S303&lt;&gt;""),"tbd",""))</f>
        <v/>
      </c>
      <c r="S303" s="217" t="n"/>
      <c r="Z303">
        <f>IF(AND(R303="WON",ISNUMBER(I303)),AA303,"")</f>
        <v/>
      </c>
      <c r="AA303">
        <f>IFERROR(I303*1,0)</f>
        <v>0</v>
      </c>
    </row>
    <row r="304" ht="15" customHeight="1">
      <c r="I304" s="215" t="n"/>
      <c r="J304" s="215" t="n"/>
      <c r="K304" s="215" t="n"/>
      <c r="L304" s="215" t="n"/>
      <c r="M304" s="215" t="n"/>
      <c r="N304" s="215">
        <f>IF(ISNUMBER(I304),ROUND(I304-I304/1.081,2),"")</f>
        <v/>
      </c>
      <c r="O304" s="215">
        <f>IF(ISNUMBER(I304),I304-SUM(J304:N304),"")</f>
        <v/>
      </c>
      <c r="P304" s="216">
        <f>IFERROR(IF(AND(ISNUMBER(O304),ISNUMBER(I304),I304&lt;&gt;0),O304/I304,""),"")</f>
        <v/>
      </c>
      <c r="Q304" s="215">
        <f>IF(AND(ISNUMBER(I304),ISNUMBER(S304)),I304*IF(S304&lt;=1,S304,S304/100),IF(OR(I304&lt;&gt;"",S304&lt;&gt;""),"tbd",""))</f>
        <v/>
      </c>
      <c r="S304" s="217" t="n"/>
      <c r="Z304">
        <f>IF(AND(R304="WON",ISNUMBER(I304)),AA304,"")</f>
        <v/>
      </c>
      <c r="AA304">
        <f>IFERROR(I304*1,0)</f>
        <v>0</v>
      </c>
    </row>
    <row r="305" ht="15" customHeight="1">
      <c r="I305" s="215" t="n"/>
      <c r="J305" s="215" t="n"/>
      <c r="K305" s="215" t="n"/>
      <c r="L305" s="215" t="n"/>
      <c r="M305" s="215" t="n"/>
      <c r="N305" s="215">
        <f>IF(ISNUMBER(I305),ROUND(I305-I305/1.081,2),"")</f>
        <v/>
      </c>
      <c r="O305" s="215">
        <f>IF(ISNUMBER(I305),I305-SUM(J305:N305),"")</f>
        <v/>
      </c>
      <c r="P305" s="216">
        <f>IFERROR(IF(AND(ISNUMBER(O305),ISNUMBER(I305),I305&lt;&gt;0),O305/I305,""),"")</f>
        <v/>
      </c>
      <c r="Q305" s="215">
        <f>IF(AND(ISNUMBER(I305),ISNUMBER(S305)),I305*IF(S305&lt;=1,S305,S305/100),IF(OR(I305&lt;&gt;"",S305&lt;&gt;""),"tbd",""))</f>
        <v/>
      </c>
      <c r="S305" s="217" t="n"/>
      <c r="Z305">
        <f>IF(AND(R305="WON",ISNUMBER(I305)),AA305,"")</f>
        <v/>
      </c>
      <c r="AA305">
        <f>IFERROR(I305*1,0)</f>
        <v>0</v>
      </c>
    </row>
    <row r="306" ht="15" customHeight="1">
      <c r="I306" s="215" t="n"/>
      <c r="J306" s="215" t="n"/>
      <c r="K306" s="215" t="n"/>
      <c r="L306" s="215" t="n"/>
      <c r="M306" s="215" t="n"/>
      <c r="N306" s="215">
        <f>IF(ISNUMBER(I306),ROUND(I306-I306/1.081,2),"")</f>
        <v/>
      </c>
      <c r="O306" s="215">
        <f>IF(ISNUMBER(I306),I306-SUM(J306:N306),"")</f>
        <v/>
      </c>
      <c r="P306" s="216">
        <f>IFERROR(IF(AND(ISNUMBER(O306),ISNUMBER(I306),I306&lt;&gt;0),O306/I306,""),"")</f>
        <v/>
      </c>
      <c r="Q306" s="215">
        <f>IF(AND(ISNUMBER(I306),ISNUMBER(S306)),I306*IF(S306&lt;=1,S306,S306/100),IF(OR(I306&lt;&gt;"",S306&lt;&gt;""),"tbd",""))</f>
        <v/>
      </c>
      <c r="S306" s="217" t="n"/>
      <c r="Z306">
        <f>IF(AND(R306="WON",ISNUMBER(I306)),AA306,"")</f>
        <v/>
      </c>
      <c r="AA306">
        <f>IFERROR(I306*1,0)</f>
        <v>0</v>
      </c>
    </row>
    <row r="307" ht="15" customHeight="1">
      <c r="I307" s="215" t="n"/>
      <c r="J307" s="215" t="n"/>
      <c r="K307" s="215" t="n"/>
      <c r="L307" s="215" t="n"/>
      <c r="M307" s="215" t="n"/>
      <c r="N307" s="215">
        <f>IF(ISNUMBER(I307),ROUND(I307-I307/1.081,2),"")</f>
        <v/>
      </c>
      <c r="O307" s="215">
        <f>IF(ISNUMBER(I307),I307-SUM(J307:N307),"")</f>
        <v/>
      </c>
      <c r="P307" s="216">
        <f>IFERROR(IF(AND(ISNUMBER(O307),ISNUMBER(I307),I307&lt;&gt;0),O307/I307,""),"")</f>
        <v/>
      </c>
      <c r="Q307" s="215">
        <f>IF(AND(ISNUMBER(I307),ISNUMBER(S307)),I307*IF(S307&lt;=1,S307,S307/100),IF(OR(I307&lt;&gt;"",S307&lt;&gt;""),"tbd",""))</f>
        <v/>
      </c>
      <c r="S307" s="217" t="n"/>
      <c r="Z307">
        <f>IF(AND(R307="WON",ISNUMBER(I307)),AA307,"")</f>
        <v/>
      </c>
      <c r="AA307">
        <f>IFERROR(I307*1,0)</f>
        <v>0</v>
      </c>
    </row>
    <row r="308" ht="15" customHeight="1">
      <c r="I308" s="215" t="n"/>
      <c r="J308" s="215" t="n"/>
      <c r="K308" s="215" t="n"/>
      <c r="L308" s="215" t="n"/>
      <c r="M308" s="215" t="n"/>
      <c r="N308" s="215">
        <f>IF(ISNUMBER(I308),ROUND(I308-I308/1.081,2),"")</f>
        <v/>
      </c>
      <c r="O308" s="215">
        <f>IF(ISNUMBER(I308),I308-SUM(J308:N308),"")</f>
        <v/>
      </c>
      <c r="P308" s="216">
        <f>IFERROR(IF(AND(ISNUMBER(O308),ISNUMBER(I308),I308&lt;&gt;0),O308/I308,""),"")</f>
        <v/>
      </c>
      <c r="Q308" s="215">
        <f>IF(AND(ISNUMBER(I308),ISNUMBER(S308)),I308*IF(S308&lt;=1,S308,S308/100),IF(OR(I308&lt;&gt;"",S308&lt;&gt;""),"tbd",""))</f>
        <v/>
      </c>
      <c r="S308" s="217" t="n"/>
      <c r="Z308">
        <f>IF(AND(R308="WON",ISNUMBER(I308)),AA308,"")</f>
        <v/>
      </c>
      <c r="AA308">
        <f>IFERROR(I308*1,0)</f>
        <v>0</v>
      </c>
    </row>
    <row r="309" ht="15" customHeight="1">
      <c r="I309" s="215" t="n"/>
      <c r="J309" s="215" t="n"/>
      <c r="K309" s="215" t="n"/>
      <c r="L309" s="215" t="n"/>
      <c r="M309" s="215" t="n"/>
      <c r="N309" s="215">
        <f>IF(ISNUMBER(I309),ROUND(I309-I309/1.081,2),"")</f>
        <v/>
      </c>
      <c r="O309" s="215">
        <f>IF(ISNUMBER(I309),I309-SUM(J309:N309),"")</f>
        <v/>
      </c>
      <c r="P309" s="216">
        <f>IFERROR(IF(AND(ISNUMBER(O309),ISNUMBER(I309),I309&lt;&gt;0),O309/I309,""),"")</f>
        <v/>
      </c>
      <c r="Q309" s="215">
        <f>IF(AND(ISNUMBER(I309),ISNUMBER(S309)),I309*IF(S309&lt;=1,S309,S309/100),IF(OR(I309&lt;&gt;"",S309&lt;&gt;""),"tbd",""))</f>
        <v/>
      </c>
      <c r="S309" s="217" t="n"/>
      <c r="Z309">
        <f>IF(AND(R309="WON",ISNUMBER(I309)),AA309,"")</f>
        <v/>
      </c>
      <c r="AA309">
        <f>IFERROR(I309*1,0)</f>
        <v>0</v>
      </c>
    </row>
    <row r="310" ht="15" customHeight="1">
      <c r="I310" s="215" t="n"/>
      <c r="J310" s="215" t="n"/>
      <c r="K310" s="215" t="n"/>
      <c r="L310" s="215" t="n"/>
      <c r="M310" s="215" t="n"/>
      <c r="N310" s="215">
        <f>IF(ISNUMBER(I310),ROUND(I310-I310/1.081,2),"")</f>
        <v/>
      </c>
      <c r="O310" s="215">
        <f>IF(ISNUMBER(I310),I310-SUM(J310:N310),"")</f>
        <v/>
      </c>
      <c r="P310" s="216">
        <f>IFERROR(IF(AND(ISNUMBER(O310),ISNUMBER(I310),I310&lt;&gt;0),O310/I310,""),"")</f>
        <v/>
      </c>
      <c r="Q310" s="215">
        <f>IF(AND(ISNUMBER(I310),ISNUMBER(S310)),I310*IF(S310&lt;=1,S310,S310/100),IF(OR(I310&lt;&gt;"",S310&lt;&gt;""),"tbd",""))</f>
        <v/>
      </c>
      <c r="S310" s="217" t="n"/>
      <c r="Z310">
        <f>IF(AND(R310="WON",ISNUMBER(I310)),AA310,"")</f>
        <v/>
      </c>
      <c r="AA310">
        <f>IFERROR(I310*1,0)</f>
        <v>0</v>
      </c>
    </row>
    <row r="311" ht="15" customHeight="1">
      <c r="I311" s="215" t="n"/>
      <c r="J311" s="215" t="n"/>
      <c r="K311" s="215" t="n"/>
      <c r="L311" s="215" t="n"/>
      <c r="M311" s="215" t="n"/>
      <c r="N311" s="215">
        <f>IF(ISNUMBER(I311),ROUND(I311-I311/1.081,2),"")</f>
        <v/>
      </c>
      <c r="O311" s="215">
        <f>IF(ISNUMBER(I311),I311-SUM(J311:N311),"")</f>
        <v/>
      </c>
      <c r="P311" s="216">
        <f>IFERROR(IF(AND(ISNUMBER(O311),ISNUMBER(I311),I311&lt;&gt;0),O311/I311,""),"")</f>
        <v/>
      </c>
      <c r="Q311" s="215">
        <f>IF(AND(ISNUMBER(I311),ISNUMBER(S311)),I311*IF(S311&lt;=1,S311,S311/100),IF(OR(I311&lt;&gt;"",S311&lt;&gt;""),"tbd",""))</f>
        <v/>
      </c>
      <c r="S311" s="217" t="n"/>
      <c r="Z311">
        <f>IF(AND(R311="WON",ISNUMBER(I311)),AA311,"")</f>
        <v/>
      </c>
      <c r="AA311">
        <f>IFERROR(I311*1,0)</f>
        <v>0</v>
      </c>
    </row>
    <row r="312" ht="15" customHeight="1">
      <c r="I312" s="215" t="n"/>
      <c r="J312" s="215" t="n"/>
      <c r="K312" s="215" t="n"/>
      <c r="L312" s="215" t="n"/>
      <c r="M312" s="215" t="n"/>
      <c r="N312" s="215">
        <f>IF(ISNUMBER(I312),ROUND(I312-I312/1.081,2),"")</f>
        <v/>
      </c>
      <c r="O312" s="215">
        <f>IF(ISNUMBER(I312),I312-SUM(J312:N312),"")</f>
        <v/>
      </c>
      <c r="P312" s="216">
        <f>IFERROR(IF(AND(ISNUMBER(O312),ISNUMBER(I312),I312&lt;&gt;0),O312/I312,""),"")</f>
        <v/>
      </c>
      <c r="Q312" s="215">
        <f>IF(AND(ISNUMBER(I312),ISNUMBER(S312)),I312*IF(S312&lt;=1,S312,S312/100),IF(OR(I312&lt;&gt;"",S312&lt;&gt;""),"tbd",""))</f>
        <v/>
      </c>
      <c r="S312" s="217" t="n"/>
      <c r="Z312">
        <f>IF(AND(R312="WON",ISNUMBER(I312)),AA312,"")</f>
        <v/>
      </c>
      <c r="AA312">
        <f>IFERROR(I312*1,0)</f>
        <v>0</v>
      </c>
    </row>
    <row r="313" ht="15" customHeight="1">
      <c r="I313" s="215" t="n"/>
      <c r="J313" s="215" t="n"/>
      <c r="K313" s="215" t="n"/>
      <c r="L313" s="215" t="n"/>
      <c r="M313" s="215" t="n"/>
      <c r="N313" s="215">
        <f>IF(ISNUMBER(I313),ROUND(I313-I313/1.081,2),"")</f>
        <v/>
      </c>
      <c r="O313" s="215">
        <f>IF(ISNUMBER(I313),I313-SUM(J313:N313),"")</f>
        <v/>
      </c>
      <c r="P313" s="216">
        <f>IFERROR(IF(AND(ISNUMBER(O313),ISNUMBER(I313),I313&lt;&gt;0),O313/I313,""),"")</f>
        <v/>
      </c>
      <c r="Q313" s="215">
        <f>IF(AND(ISNUMBER(I313),ISNUMBER(S313)),I313*IF(S313&lt;=1,S313,S313/100),IF(OR(I313&lt;&gt;"",S313&lt;&gt;""),"tbd",""))</f>
        <v/>
      </c>
      <c r="S313" s="217" t="n"/>
      <c r="Z313">
        <f>IF(AND(R313="WON",ISNUMBER(I313)),AA313,"")</f>
        <v/>
      </c>
      <c r="AA313">
        <f>IFERROR(I313*1,0)</f>
        <v>0</v>
      </c>
    </row>
    <row r="314" ht="15" customHeight="1">
      <c r="I314" s="215" t="n"/>
      <c r="J314" s="215" t="n"/>
      <c r="K314" s="215" t="n"/>
      <c r="L314" s="215" t="n"/>
      <c r="M314" s="215" t="n"/>
      <c r="N314" s="215">
        <f>IF(ISNUMBER(I314),ROUND(I314-I314/1.081,2),"")</f>
        <v/>
      </c>
      <c r="O314" s="215">
        <f>IF(ISNUMBER(I314),I314-SUM(J314:N314),"")</f>
        <v/>
      </c>
      <c r="P314" s="216">
        <f>IFERROR(IF(AND(ISNUMBER(O314),ISNUMBER(I314),I314&lt;&gt;0),O314/I314,""),"")</f>
        <v/>
      </c>
      <c r="Q314" s="215">
        <f>IF(AND(ISNUMBER(I314),ISNUMBER(S314)),I314*IF(S314&lt;=1,S314,S314/100),IF(OR(I314&lt;&gt;"",S314&lt;&gt;""),"tbd",""))</f>
        <v/>
      </c>
      <c r="S314" s="217" t="n"/>
      <c r="Z314">
        <f>IF(AND(R314="WON",ISNUMBER(I314)),AA314,"")</f>
        <v/>
      </c>
      <c r="AA314">
        <f>IFERROR(I314*1,0)</f>
        <v>0</v>
      </c>
    </row>
    <row r="315" ht="15" customHeight="1">
      <c r="I315" s="215" t="n"/>
      <c r="J315" s="215" t="n"/>
      <c r="K315" s="215" t="n"/>
      <c r="L315" s="215" t="n"/>
      <c r="M315" s="215" t="n"/>
      <c r="N315" s="215">
        <f>IF(ISNUMBER(I315),ROUND(I315-I315/1.081,2),"")</f>
        <v/>
      </c>
      <c r="O315" s="215">
        <f>IF(ISNUMBER(I315),I315-SUM(J315:N315),"")</f>
        <v/>
      </c>
      <c r="P315" s="216">
        <f>IFERROR(IF(AND(ISNUMBER(O315),ISNUMBER(I315),I315&lt;&gt;0),O315/I315,""),"")</f>
        <v/>
      </c>
      <c r="Q315" s="215">
        <f>IF(AND(ISNUMBER(I315),ISNUMBER(S315)),I315*IF(S315&lt;=1,S315,S315/100),IF(OR(I315&lt;&gt;"",S315&lt;&gt;""),"tbd",""))</f>
        <v/>
      </c>
      <c r="S315" s="217" t="n"/>
      <c r="Z315">
        <f>IF(AND(R315="WON",ISNUMBER(I315)),AA315,"")</f>
        <v/>
      </c>
      <c r="AA315">
        <f>IFERROR(I315*1,0)</f>
        <v>0</v>
      </c>
    </row>
    <row r="316" ht="15" customHeight="1">
      <c r="I316" s="215" t="n"/>
      <c r="J316" s="215" t="n"/>
      <c r="K316" s="215" t="n"/>
      <c r="L316" s="215" t="n"/>
      <c r="M316" s="215" t="n"/>
      <c r="N316" s="215">
        <f>IF(ISNUMBER(I316),ROUND(I316-I316/1.081,2),"")</f>
        <v/>
      </c>
      <c r="O316" s="215">
        <f>IF(ISNUMBER(I316),I316-SUM(J316:N316),"")</f>
        <v/>
      </c>
      <c r="P316" s="216">
        <f>IFERROR(IF(AND(ISNUMBER(O316),ISNUMBER(I316),I316&lt;&gt;0),O316/I316,""),"")</f>
        <v/>
      </c>
      <c r="Q316" s="215">
        <f>IF(AND(ISNUMBER(I316),ISNUMBER(S316)),I316*IF(S316&lt;=1,S316,S316/100),IF(OR(I316&lt;&gt;"",S316&lt;&gt;""),"tbd",""))</f>
        <v/>
      </c>
      <c r="S316" s="217" t="n"/>
      <c r="Z316">
        <f>IF(AND(R316="WON",ISNUMBER(I316)),AA316,"")</f>
        <v/>
      </c>
      <c r="AA316">
        <f>IFERROR(I316*1,0)</f>
        <v>0</v>
      </c>
    </row>
    <row r="317" ht="15" customHeight="1">
      <c r="I317" s="215" t="n"/>
      <c r="J317" s="215" t="n"/>
      <c r="K317" s="215" t="n"/>
      <c r="L317" s="215" t="n"/>
      <c r="M317" s="215" t="n"/>
      <c r="N317" s="215">
        <f>IF(ISNUMBER(I317),ROUND(I317-I317/1.081,2),"")</f>
        <v/>
      </c>
      <c r="O317" s="215">
        <f>IF(ISNUMBER(I317),I317-SUM(J317:N317),"")</f>
        <v/>
      </c>
      <c r="P317" s="216">
        <f>IFERROR(IF(AND(ISNUMBER(O317),ISNUMBER(I317),I317&lt;&gt;0),O317/I317,""),"")</f>
        <v/>
      </c>
      <c r="Q317" s="215">
        <f>IF(AND(ISNUMBER(I317),ISNUMBER(S317)),I317*IF(S317&lt;=1,S317,S317/100),IF(OR(I317&lt;&gt;"",S317&lt;&gt;""),"tbd",""))</f>
        <v/>
      </c>
      <c r="S317" s="217" t="n"/>
      <c r="Z317">
        <f>IF(AND(R317="WON",ISNUMBER(I317)),AA317,"")</f>
        <v/>
      </c>
      <c r="AA317">
        <f>IFERROR(I317*1,0)</f>
        <v>0</v>
      </c>
    </row>
    <row r="318" ht="15" customHeight="1">
      <c r="I318" s="215" t="n"/>
      <c r="J318" s="215" t="n"/>
      <c r="K318" s="215" t="n"/>
      <c r="L318" s="215" t="n"/>
      <c r="M318" s="215" t="n"/>
      <c r="N318" s="215">
        <f>IF(ISNUMBER(I318),ROUND(I318-I318/1.081,2),"")</f>
        <v/>
      </c>
      <c r="O318" s="215">
        <f>IF(ISNUMBER(I318),I318-SUM(J318:N318),"")</f>
        <v/>
      </c>
      <c r="P318" s="216">
        <f>IFERROR(IF(AND(ISNUMBER(O318),ISNUMBER(I318),I318&lt;&gt;0),O318/I318,""),"")</f>
        <v/>
      </c>
      <c r="Q318" s="215">
        <f>IF(AND(ISNUMBER(I318),ISNUMBER(S318)),I318*IF(S318&lt;=1,S318,S318/100),IF(OR(I318&lt;&gt;"",S318&lt;&gt;""),"tbd",""))</f>
        <v/>
      </c>
      <c r="S318" s="217" t="n"/>
      <c r="Z318">
        <f>IF(AND(R318="WON",ISNUMBER(I318)),AA318,"")</f>
        <v/>
      </c>
      <c r="AA318">
        <f>IFERROR(I318*1,0)</f>
        <v>0</v>
      </c>
    </row>
    <row r="319" ht="15" customHeight="1">
      <c r="I319" s="215" t="n"/>
      <c r="J319" s="215" t="n"/>
      <c r="K319" s="215" t="n"/>
      <c r="L319" s="215" t="n"/>
      <c r="M319" s="215" t="n"/>
      <c r="N319" s="215">
        <f>IF(ISNUMBER(I319),ROUND(I319-I319/1.081,2),"")</f>
        <v/>
      </c>
      <c r="O319" s="215">
        <f>IF(ISNUMBER(I319),I319-SUM(J319:N319),"")</f>
        <v/>
      </c>
      <c r="P319" s="216">
        <f>IFERROR(IF(AND(ISNUMBER(O319),ISNUMBER(I319),I319&lt;&gt;0),O319/I319,""),"")</f>
        <v/>
      </c>
      <c r="Q319" s="215">
        <f>IF(AND(ISNUMBER(I319),ISNUMBER(S319)),I319*IF(S319&lt;=1,S319,S319/100),IF(OR(I319&lt;&gt;"",S319&lt;&gt;""),"tbd",""))</f>
        <v/>
      </c>
      <c r="S319" s="217" t="n"/>
      <c r="Z319">
        <f>IF(AND(R319="WON",ISNUMBER(I319)),AA319,"")</f>
        <v/>
      </c>
      <c r="AA319">
        <f>IFERROR(I319*1,0)</f>
        <v>0</v>
      </c>
    </row>
    <row r="320" ht="15" customHeight="1">
      <c r="I320" s="215" t="n"/>
      <c r="J320" s="215" t="n"/>
      <c r="K320" s="215" t="n"/>
      <c r="L320" s="215" t="n"/>
      <c r="M320" s="215" t="n"/>
      <c r="N320" s="215">
        <f>IF(ISNUMBER(I320),ROUND(I320-I320/1.081,2),"")</f>
        <v/>
      </c>
      <c r="O320" s="215">
        <f>IF(ISNUMBER(I320),I320-SUM(J320:N320),"")</f>
        <v/>
      </c>
      <c r="P320" s="216">
        <f>IFERROR(IF(AND(ISNUMBER(O320),ISNUMBER(I320),I320&lt;&gt;0),O320/I320,""),"")</f>
        <v/>
      </c>
      <c r="Q320" s="215">
        <f>IF(AND(ISNUMBER(I320),ISNUMBER(S320)),I320*IF(S320&lt;=1,S320,S320/100),IF(OR(I320&lt;&gt;"",S320&lt;&gt;""),"tbd",""))</f>
        <v/>
      </c>
      <c r="S320" s="217" t="n"/>
      <c r="Z320">
        <f>IF(AND(R320="WON",ISNUMBER(I320)),AA320,"")</f>
        <v/>
      </c>
      <c r="AA320">
        <f>IFERROR(I320*1,0)</f>
        <v>0</v>
      </c>
    </row>
    <row r="321" ht="15" customHeight="1">
      <c r="I321" s="215" t="n"/>
      <c r="J321" s="215" t="n"/>
      <c r="K321" s="215" t="n"/>
      <c r="L321" s="215" t="n"/>
      <c r="M321" s="215" t="n"/>
      <c r="N321" s="215">
        <f>IF(ISNUMBER(I321),ROUND(I321-I321/1.081,2),"")</f>
        <v/>
      </c>
      <c r="O321" s="215">
        <f>IF(ISNUMBER(I321),I321-SUM(J321:N321),"")</f>
        <v/>
      </c>
      <c r="P321" s="216">
        <f>IFERROR(IF(AND(ISNUMBER(O321),ISNUMBER(I321),I321&lt;&gt;0),O321/I321,""),"")</f>
        <v/>
      </c>
      <c r="Q321" s="215">
        <f>IF(AND(ISNUMBER(I321),ISNUMBER(S321)),I321*IF(S321&lt;=1,S321,S321/100),IF(OR(I321&lt;&gt;"",S321&lt;&gt;""),"tbd",""))</f>
        <v/>
      </c>
      <c r="S321" s="217" t="n"/>
      <c r="Z321">
        <f>IF(AND(R321="WON",ISNUMBER(I321)),AA321,"")</f>
        <v/>
      </c>
      <c r="AA321">
        <f>IFERROR(I321*1,0)</f>
        <v>0</v>
      </c>
    </row>
    <row r="322" ht="15" customHeight="1">
      <c r="I322" s="215" t="n"/>
      <c r="J322" s="215" t="n"/>
      <c r="K322" s="215" t="n"/>
      <c r="L322" s="215" t="n"/>
      <c r="M322" s="215" t="n"/>
      <c r="N322" s="215">
        <f>IF(ISNUMBER(I322),ROUND(I322-I322/1.081,2),"")</f>
        <v/>
      </c>
      <c r="O322" s="215">
        <f>IF(ISNUMBER(I322),I322-SUM(J322:N322),"")</f>
        <v/>
      </c>
      <c r="P322" s="216">
        <f>IFERROR(IF(AND(ISNUMBER(O322),ISNUMBER(I322),I322&lt;&gt;0),O322/I322,""),"")</f>
        <v/>
      </c>
      <c r="Q322" s="215">
        <f>IF(AND(ISNUMBER(I322),ISNUMBER(S322)),I322*IF(S322&lt;=1,S322,S322/100),IF(OR(I322&lt;&gt;"",S322&lt;&gt;""),"tbd",""))</f>
        <v/>
      </c>
      <c r="S322" s="217" t="n"/>
      <c r="Z322">
        <f>IF(AND(R322="WON",ISNUMBER(I322)),AA322,"")</f>
        <v/>
      </c>
      <c r="AA322">
        <f>IFERROR(I322*1,0)</f>
        <v>0</v>
      </c>
    </row>
    <row r="323" ht="15" customHeight="1">
      <c r="I323" s="215" t="n"/>
      <c r="J323" s="215" t="n"/>
      <c r="K323" s="215" t="n"/>
      <c r="L323" s="215" t="n"/>
      <c r="M323" s="215" t="n"/>
      <c r="N323" s="215">
        <f>IF(ISNUMBER(I323),ROUND(I323-I323/1.081,2),"")</f>
        <v/>
      </c>
      <c r="O323" s="215">
        <f>IF(ISNUMBER(I323),I323-SUM(J323:N323),"")</f>
        <v/>
      </c>
      <c r="P323" s="216">
        <f>IFERROR(IF(AND(ISNUMBER(O323),ISNUMBER(I323),I323&lt;&gt;0),O323/I323,""),"")</f>
        <v/>
      </c>
      <c r="Q323" s="215">
        <f>IF(AND(ISNUMBER(I323),ISNUMBER(S323)),I323*IF(S323&lt;=1,S323,S323/100),IF(OR(I323&lt;&gt;"",S323&lt;&gt;""),"tbd",""))</f>
        <v/>
      </c>
      <c r="S323" s="217" t="n"/>
      <c r="Z323">
        <f>IF(AND(R323="WON",ISNUMBER(I323)),AA323,"")</f>
        <v/>
      </c>
      <c r="AA323">
        <f>IFERROR(I323*1,0)</f>
        <v>0</v>
      </c>
    </row>
    <row r="324" ht="15" customHeight="1">
      <c r="I324" s="215" t="n"/>
      <c r="J324" s="215" t="n"/>
      <c r="K324" s="215" t="n"/>
      <c r="L324" s="215" t="n"/>
      <c r="M324" s="215" t="n"/>
      <c r="N324" s="215">
        <f>IF(ISNUMBER(I324),ROUND(I324-I324/1.081,2),"")</f>
        <v/>
      </c>
      <c r="O324" s="215">
        <f>IF(ISNUMBER(I324),I324-SUM(J324:N324),"")</f>
        <v/>
      </c>
      <c r="P324" s="216">
        <f>IFERROR(IF(AND(ISNUMBER(O324),ISNUMBER(I324),I324&lt;&gt;0),O324/I324,""),"")</f>
        <v/>
      </c>
      <c r="Q324" s="215">
        <f>IF(AND(ISNUMBER(I324),ISNUMBER(S324)),I324*IF(S324&lt;=1,S324,S324/100),IF(OR(I324&lt;&gt;"",S324&lt;&gt;""),"tbd",""))</f>
        <v/>
      </c>
      <c r="S324" s="217" t="n"/>
      <c r="Z324">
        <f>IF(AND(R324="WON",ISNUMBER(I324)),AA324,"")</f>
        <v/>
      </c>
      <c r="AA324">
        <f>IFERROR(I324*1,0)</f>
        <v>0</v>
      </c>
    </row>
    <row r="325" ht="15" customHeight="1">
      <c r="I325" s="215" t="n"/>
      <c r="J325" s="215" t="n"/>
      <c r="K325" s="215" t="n"/>
      <c r="L325" s="215" t="n"/>
      <c r="M325" s="215" t="n"/>
      <c r="N325" s="215">
        <f>IF(ISNUMBER(I325),ROUND(I325-I325/1.081,2),"")</f>
        <v/>
      </c>
      <c r="O325" s="215">
        <f>IF(ISNUMBER(I325),I325-SUM(J325:N325),"")</f>
        <v/>
      </c>
      <c r="P325" s="216">
        <f>IFERROR(IF(AND(ISNUMBER(O325),ISNUMBER(I325),I325&lt;&gt;0),O325/I325,""),"")</f>
        <v/>
      </c>
      <c r="Q325" s="215">
        <f>IF(AND(ISNUMBER(I325),ISNUMBER(S325)),I325*IF(S325&lt;=1,S325,S325/100),IF(OR(I325&lt;&gt;"",S325&lt;&gt;""),"tbd",""))</f>
        <v/>
      </c>
      <c r="S325" s="217" t="n"/>
      <c r="Z325">
        <f>IF(AND(R325="WON",ISNUMBER(I325)),AA325,"")</f>
        <v/>
      </c>
      <c r="AA325">
        <f>IFERROR(I325*1,0)</f>
        <v>0</v>
      </c>
    </row>
    <row r="326" ht="15" customHeight="1">
      <c r="I326" s="215" t="n"/>
      <c r="J326" s="215" t="n"/>
      <c r="K326" s="215" t="n"/>
      <c r="L326" s="215" t="n"/>
      <c r="M326" s="215" t="n"/>
      <c r="N326" s="215">
        <f>IF(ISNUMBER(I326),ROUND(I326-I326/1.081,2),"")</f>
        <v/>
      </c>
      <c r="O326" s="215">
        <f>IF(ISNUMBER(I326),I326-SUM(J326:N326),"")</f>
        <v/>
      </c>
      <c r="P326" s="216">
        <f>IFERROR(IF(AND(ISNUMBER(O326),ISNUMBER(I326),I326&lt;&gt;0),O326/I326,""),"")</f>
        <v/>
      </c>
      <c r="Q326" s="215">
        <f>IF(AND(ISNUMBER(I326),ISNUMBER(S326)),I326*IF(S326&lt;=1,S326,S326/100),IF(OR(I326&lt;&gt;"",S326&lt;&gt;""),"tbd",""))</f>
        <v/>
      </c>
      <c r="S326" s="217" t="n"/>
      <c r="Z326">
        <f>IF(AND(R326="WON",ISNUMBER(I326)),AA326,"")</f>
        <v/>
      </c>
      <c r="AA326">
        <f>IFERROR(I326*1,0)</f>
        <v>0</v>
      </c>
    </row>
    <row r="327" ht="15" customHeight="1">
      <c r="I327" s="215" t="n"/>
      <c r="J327" s="215" t="n"/>
      <c r="K327" s="215" t="n"/>
      <c r="L327" s="215" t="n"/>
      <c r="M327" s="215" t="n"/>
      <c r="N327" s="215">
        <f>IF(ISNUMBER(I327),ROUND(I327-I327/1.081,2),"")</f>
        <v/>
      </c>
      <c r="O327" s="215">
        <f>IF(ISNUMBER(I327),I327-SUM(J327:N327),"")</f>
        <v/>
      </c>
      <c r="P327" s="216">
        <f>IFERROR(IF(AND(ISNUMBER(O327),ISNUMBER(I327),I327&lt;&gt;0),O327/I327,""),"")</f>
        <v/>
      </c>
      <c r="Q327" s="215">
        <f>IF(AND(ISNUMBER(I327),ISNUMBER(S327)),I327*IF(S327&lt;=1,S327,S327/100),IF(OR(I327&lt;&gt;"",S327&lt;&gt;""),"tbd",""))</f>
        <v/>
      </c>
      <c r="S327" s="217" t="n"/>
      <c r="Z327">
        <f>IF(AND(R327="WON",ISNUMBER(I327)),AA327,"")</f>
        <v/>
      </c>
      <c r="AA327">
        <f>IFERROR(I327*1,0)</f>
        <v>0</v>
      </c>
    </row>
    <row r="328" ht="15" customHeight="1">
      <c r="I328" s="215" t="n"/>
      <c r="J328" s="215" t="n"/>
      <c r="K328" s="215" t="n"/>
      <c r="L328" s="215" t="n"/>
      <c r="M328" s="215" t="n"/>
      <c r="N328" s="215">
        <f>IF(ISNUMBER(I328),ROUND(I328-I328/1.081,2),"")</f>
        <v/>
      </c>
      <c r="O328" s="215">
        <f>IF(ISNUMBER(I328),I328-SUM(J328:N328),"")</f>
        <v/>
      </c>
      <c r="P328" s="216">
        <f>IFERROR(IF(AND(ISNUMBER(O328),ISNUMBER(I328),I328&lt;&gt;0),O328/I328,""),"")</f>
        <v/>
      </c>
      <c r="Q328" s="215">
        <f>IF(AND(ISNUMBER(I328),ISNUMBER(S328)),I328*IF(S328&lt;=1,S328,S328/100),IF(OR(I328&lt;&gt;"",S328&lt;&gt;""),"tbd",""))</f>
        <v/>
      </c>
      <c r="S328" s="217" t="n"/>
      <c r="Z328">
        <f>IF(AND(R328="WON",ISNUMBER(I328)),AA328,"")</f>
        <v/>
      </c>
      <c r="AA328">
        <f>IFERROR(I328*1,0)</f>
        <v>0</v>
      </c>
    </row>
    <row r="329" ht="15" customHeight="1">
      <c r="I329" s="215" t="n"/>
      <c r="J329" s="215" t="n"/>
      <c r="K329" s="215" t="n"/>
      <c r="L329" s="215" t="n"/>
      <c r="M329" s="215" t="n"/>
      <c r="N329" s="215">
        <f>IF(ISNUMBER(I329),ROUND(I329-I329/1.081,2),"")</f>
        <v/>
      </c>
      <c r="O329" s="215">
        <f>IF(ISNUMBER(I329),I329-SUM(J329:N329),"")</f>
        <v/>
      </c>
      <c r="P329" s="216">
        <f>IFERROR(IF(AND(ISNUMBER(O329),ISNUMBER(I329),I329&lt;&gt;0),O329/I329,""),"")</f>
        <v/>
      </c>
      <c r="Q329" s="215">
        <f>IF(AND(ISNUMBER(I329),ISNUMBER(S329)),I329*IF(S329&lt;=1,S329,S329/100),IF(OR(I329&lt;&gt;"",S329&lt;&gt;""),"tbd",""))</f>
        <v/>
      </c>
      <c r="S329" s="217" t="n"/>
      <c r="Z329">
        <f>IF(AND(R329="WON",ISNUMBER(I329)),AA329,"")</f>
        <v/>
      </c>
      <c r="AA329">
        <f>IFERROR(I329*1,0)</f>
        <v>0</v>
      </c>
    </row>
    <row r="330" ht="15" customHeight="1">
      <c r="I330" s="215" t="n"/>
      <c r="J330" s="215" t="n"/>
      <c r="K330" s="215" t="n"/>
      <c r="L330" s="215" t="n"/>
      <c r="M330" s="215" t="n"/>
      <c r="N330" s="215">
        <f>IF(ISNUMBER(I330),ROUND(I330-I330/1.081,2),"")</f>
        <v/>
      </c>
      <c r="O330" s="215">
        <f>IF(ISNUMBER(I330),I330-SUM(J330:N330),"")</f>
        <v/>
      </c>
      <c r="P330" s="216">
        <f>IFERROR(IF(AND(ISNUMBER(O330),ISNUMBER(I330),I330&lt;&gt;0),O330/I330,""),"")</f>
        <v/>
      </c>
      <c r="Q330" s="215">
        <f>IF(AND(ISNUMBER(I330),ISNUMBER(S330)),I330*IF(S330&lt;=1,S330,S330/100),IF(OR(I330&lt;&gt;"",S330&lt;&gt;""),"tbd",""))</f>
        <v/>
      </c>
      <c r="S330" s="217" t="n"/>
      <c r="Z330">
        <f>IF(AND(R330="WON",ISNUMBER(I330)),AA330,"")</f>
        <v/>
      </c>
      <c r="AA330">
        <f>IFERROR(I330*1,0)</f>
        <v>0</v>
      </c>
    </row>
    <row r="331" ht="15" customHeight="1">
      <c r="I331" s="215" t="n"/>
      <c r="J331" s="215" t="n"/>
      <c r="K331" s="215" t="n"/>
      <c r="L331" s="215" t="n"/>
      <c r="M331" s="215" t="n"/>
      <c r="N331" s="215">
        <f>IF(ISNUMBER(I331),ROUND(I331-I331/1.081,2),"")</f>
        <v/>
      </c>
      <c r="O331" s="215">
        <f>IF(ISNUMBER(I331),I331-SUM(J331:N331),"")</f>
        <v/>
      </c>
      <c r="P331" s="216">
        <f>IFERROR(IF(AND(ISNUMBER(O331),ISNUMBER(I331),I331&lt;&gt;0),O331/I331,""),"")</f>
        <v/>
      </c>
      <c r="Q331" s="215">
        <f>IF(AND(ISNUMBER(I331),ISNUMBER(S331)),I331*IF(S331&lt;=1,S331,S331/100),IF(OR(I331&lt;&gt;"",S331&lt;&gt;""),"tbd",""))</f>
        <v/>
      </c>
      <c r="S331" s="217" t="n"/>
      <c r="Z331">
        <f>IF(AND(R331="WON",ISNUMBER(I331)),AA331,"")</f>
        <v/>
      </c>
      <c r="AA331">
        <f>IFERROR(I331*1,0)</f>
        <v>0</v>
      </c>
    </row>
    <row r="332" ht="15" customHeight="1">
      <c r="I332" s="215" t="n"/>
      <c r="J332" s="215" t="n"/>
      <c r="K332" s="215" t="n"/>
      <c r="L332" s="215" t="n"/>
      <c r="M332" s="215" t="n"/>
      <c r="N332" s="215">
        <f>IF(ISNUMBER(I332),ROUND(I332-I332/1.081,2),"")</f>
        <v/>
      </c>
      <c r="O332" s="215">
        <f>IF(ISNUMBER(I332),I332-SUM(J332:N332),"")</f>
        <v/>
      </c>
      <c r="P332" s="216">
        <f>IFERROR(IF(AND(ISNUMBER(O332),ISNUMBER(I332),I332&lt;&gt;0),O332/I332,""),"")</f>
        <v/>
      </c>
      <c r="Q332" s="215">
        <f>IF(AND(ISNUMBER(I332),ISNUMBER(S332)),I332*IF(S332&lt;=1,S332,S332/100),IF(OR(I332&lt;&gt;"",S332&lt;&gt;""),"tbd",""))</f>
        <v/>
      </c>
      <c r="S332" s="217" t="n"/>
      <c r="Z332">
        <f>IF(AND(R332="WON",ISNUMBER(I332)),AA332,"")</f>
        <v/>
      </c>
      <c r="AA332">
        <f>IFERROR(I332*1,0)</f>
        <v>0</v>
      </c>
    </row>
    <row r="333" ht="15" customHeight="1">
      <c r="I333" s="215" t="n"/>
      <c r="J333" s="215" t="n"/>
      <c r="K333" s="215" t="n"/>
      <c r="L333" s="215" t="n"/>
      <c r="M333" s="215" t="n"/>
      <c r="N333" s="215">
        <f>IF(ISNUMBER(I333),ROUND(I333-I333/1.081,2),"")</f>
        <v/>
      </c>
      <c r="O333" s="215">
        <f>IF(ISNUMBER(I333),I333-SUM(J333:N333),"")</f>
        <v/>
      </c>
      <c r="P333" s="216">
        <f>IFERROR(IF(AND(ISNUMBER(O333),ISNUMBER(I333),I333&lt;&gt;0),O333/I333,""),"")</f>
        <v/>
      </c>
      <c r="Q333" s="215">
        <f>IF(AND(ISNUMBER(I333),ISNUMBER(S333)),I333*IF(S333&lt;=1,S333,S333/100),IF(OR(I333&lt;&gt;"",S333&lt;&gt;""),"tbd",""))</f>
        <v/>
      </c>
      <c r="S333" s="217" t="n"/>
      <c r="Z333">
        <f>IF(AND(R333="WON",ISNUMBER(I333)),AA333,"")</f>
        <v/>
      </c>
      <c r="AA333">
        <f>IFERROR(I333*1,0)</f>
        <v>0</v>
      </c>
    </row>
    <row r="334" ht="15" customHeight="1">
      <c r="I334" s="215" t="n"/>
      <c r="J334" s="215" t="n"/>
      <c r="K334" s="215" t="n"/>
      <c r="L334" s="215" t="n"/>
      <c r="M334" s="215" t="n"/>
      <c r="N334" s="215">
        <f>IF(ISNUMBER(I334),ROUND(I334-I334/1.081,2),"")</f>
        <v/>
      </c>
      <c r="O334" s="215">
        <f>IF(ISNUMBER(I334),I334-SUM(J334:N334),"")</f>
        <v/>
      </c>
      <c r="P334" s="216">
        <f>IFERROR(IF(AND(ISNUMBER(O334),ISNUMBER(I334),I334&lt;&gt;0),O334/I334,""),"")</f>
        <v/>
      </c>
      <c r="Q334" s="215">
        <f>IF(AND(ISNUMBER(I334),ISNUMBER(S334)),I334*IF(S334&lt;=1,S334,S334/100),IF(OR(I334&lt;&gt;"",S334&lt;&gt;""),"tbd",""))</f>
        <v/>
      </c>
      <c r="S334" s="217" t="n"/>
      <c r="Z334">
        <f>IF(AND(R334="WON",ISNUMBER(I334)),AA334,"")</f>
        <v/>
      </c>
      <c r="AA334">
        <f>IFERROR(I334*1,0)</f>
        <v>0</v>
      </c>
    </row>
    <row r="335" ht="15" customHeight="1">
      <c r="I335" s="215" t="n"/>
      <c r="J335" s="215" t="n"/>
      <c r="K335" s="215" t="n"/>
      <c r="L335" s="215" t="n"/>
      <c r="M335" s="215" t="n"/>
      <c r="N335" s="215">
        <f>IF(ISNUMBER(I335),ROUND(I335-I335/1.081,2),"")</f>
        <v/>
      </c>
      <c r="O335" s="215">
        <f>IF(ISNUMBER(I335),I335-SUM(J335:N335),"")</f>
        <v/>
      </c>
      <c r="P335" s="216">
        <f>IFERROR(IF(AND(ISNUMBER(O335),ISNUMBER(I335),I335&lt;&gt;0),O335/I335,""),"")</f>
        <v/>
      </c>
      <c r="Q335" s="215">
        <f>IF(AND(ISNUMBER(I335),ISNUMBER(S335)),I335*IF(S335&lt;=1,S335,S335/100),IF(OR(I335&lt;&gt;"",S335&lt;&gt;""),"tbd",""))</f>
        <v/>
      </c>
      <c r="S335" s="217" t="n"/>
      <c r="Z335">
        <f>IF(AND(R335="WON",ISNUMBER(I335)),AA335,"")</f>
        <v/>
      </c>
      <c r="AA335">
        <f>IFERROR(I335*1,0)</f>
        <v>0</v>
      </c>
    </row>
    <row r="336" ht="15" customHeight="1">
      <c r="I336" s="215" t="n"/>
      <c r="J336" s="215" t="n"/>
      <c r="K336" s="215" t="n"/>
      <c r="L336" s="215" t="n"/>
      <c r="M336" s="215" t="n"/>
      <c r="N336" s="215">
        <f>IF(ISNUMBER(I336),ROUND(I336-I336/1.081,2),"")</f>
        <v/>
      </c>
      <c r="O336" s="215">
        <f>IF(ISNUMBER(I336),I336-SUM(J336:N336),"")</f>
        <v/>
      </c>
      <c r="P336" s="216">
        <f>IFERROR(IF(AND(ISNUMBER(O336),ISNUMBER(I336),I336&lt;&gt;0),O336/I336,""),"")</f>
        <v/>
      </c>
      <c r="Q336" s="215">
        <f>IF(AND(ISNUMBER(I336),ISNUMBER(S336)),I336*IF(S336&lt;=1,S336,S336/100),IF(OR(I336&lt;&gt;"",S336&lt;&gt;""),"tbd",""))</f>
        <v/>
      </c>
      <c r="S336" s="217" t="n"/>
      <c r="Z336">
        <f>IF(AND(R336="WON",ISNUMBER(I336)),AA336,"")</f>
        <v/>
      </c>
      <c r="AA336">
        <f>IFERROR(I336*1,0)</f>
        <v>0</v>
      </c>
    </row>
    <row r="337" ht="15" customHeight="1">
      <c r="I337" s="215" t="n"/>
      <c r="J337" s="215" t="n"/>
      <c r="K337" s="215" t="n"/>
      <c r="L337" s="215" t="n"/>
      <c r="M337" s="215" t="n"/>
      <c r="N337" s="215">
        <f>IF(ISNUMBER(I337),ROUND(I337-I337/1.081,2),"")</f>
        <v/>
      </c>
      <c r="O337" s="215">
        <f>IF(ISNUMBER(I337),I337-SUM(J337:N337),"")</f>
        <v/>
      </c>
      <c r="P337" s="216">
        <f>IFERROR(IF(AND(ISNUMBER(O337),ISNUMBER(I337),I337&lt;&gt;0),O337/I337,""),"")</f>
        <v/>
      </c>
      <c r="Q337" s="215">
        <f>IF(AND(ISNUMBER(I337),ISNUMBER(S337)),I337*IF(S337&lt;=1,S337,S337/100),IF(OR(I337&lt;&gt;"",S337&lt;&gt;""),"tbd",""))</f>
        <v/>
      </c>
      <c r="S337" s="217" t="n"/>
      <c r="Z337">
        <f>IF(AND(R337="WON",ISNUMBER(I337)),AA337,"")</f>
        <v/>
      </c>
      <c r="AA337">
        <f>IFERROR(I337*1,0)</f>
        <v>0</v>
      </c>
    </row>
    <row r="338" ht="15" customHeight="1">
      <c r="I338" s="215" t="n"/>
      <c r="J338" s="215" t="n"/>
      <c r="K338" s="215" t="n"/>
      <c r="L338" s="215" t="n"/>
      <c r="M338" s="215" t="n"/>
      <c r="N338" s="215">
        <f>IF(ISNUMBER(I338),ROUND(I338-I338/1.081,2),"")</f>
        <v/>
      </c>
      <c r="O338" s="215">
        <f>IF(ISNUMBER(I338),I338-SUM(J338:N338),"")</f>
        <v/>
      </c>
      <c r="P338" s="216">
        <f>IFERROR(IF(AND(ISNUMBER(O338),ISNUMBER(I338),I338&lt;&gt;0),O338/I338,""),"")</f>
        <v/>
      </c>
      <c r="Q338" s="215">
        <f>IF(AND(ISNUMBER(I338),ISNUMBER(S338)),I338*IF(S338&lt;=1,S338,S338/100),IF(OR(I338&lt;&gt;"",S338&lt;&gt;""),"tbd",""))</f>
        <v/>
      </c>
      <c r="S338" s="217" t="n"/>
      <c r="Z338">
        <f>IF(AND(R338="WON",ISNUMBER(I338)),AA338,"")</f>
        <v/>
      </c>
      <c r="AA338">
        <f>IFERROR(I338*1,0)</f>
        <v>0</v>
      </c>
    </row>
    <row r="339" ht="15" customHeight="1">
      <c r="I339" s="215" t="n"/>
      <c r="J339" s="215" t="n"/>
      <c r="K339" s="215" t="n"/>
      <c r="L339" s="215" t="n"/>
      <c r="M339" s="215" t="n"/>
      <c r="N339" s="215">
        <f>IF(ISNUMBER(I339),ROUND(I339-I339/1.081,2),"")</f>
        <v/>
      </c>
      <c r="O339" s="215">
        <f>IF(ISNUMBER(I339),I339-SUM(J339:N339),"")</f>
        <v/>
      </c>
      <c r="P339" s="216">
        <f>IFERROR(IF(AND(ISNUMBER(O339),ISNUMBER(I339),I339&lt;&gt;0),O339/I339,""),"")</f>
        <v/>
      </c>
      <c r="Q339" s="215">
        <f>IF(AND(ISNUMBER(I339),ISNUMBER(S339)),I339*IF(S339&lt;=1,S339,S339/100),IF(OR(I339&lt;&gt;"",S339&lt;&gt;""),"tbd",""))</f>
        <v/>
      </c>
      <c r="S339" s="217" t="n"/>
      <c r="Z339">
        <f>IF(AND(R339="WON",ISNUMBER(I339)),AA339,"")</f>
        <v/>
      </c>
      <c r="AA339">
        <f>IFERROR(I339*1,0)</f>
        <v>0</v>
      </c>
    </row>
    <row r="340" ht="15" customHeight="1">
      <c r="I340" s="215" t="n"/>
      <c r="J340" s="215" t="n"/>
      <c r="K340" s="215" t="n"/>
      <c r="L340" s="215" t="n"/>
      <c r="M340" s="215" t="n"/>
      <c r="N340" s="215">
        <f>IF(ISNUMBER(I340),ROUND(I340-I340/1.081,2),"")</f>
        <v/>
      </c>
      <c r="O340" s="215">
        <f>IF(ISNUMBER(I340),I340-SUM(J340:N340),"")</f>
        <v/>
      </c>
      <c r="P340" s="216">
        <f>IFERROR(IF(AND(ISNUMBER(O340),ISNUMBER(I340),I340&lt;&gt;0),O340/I340,""),"")</f>
        <v/>
      </c>
      <c r="Q340" s="215">
        <f>IF(AND(ISNUMBER(I340),ISNUMBER(S340)),I340*IF(S340&lt;=1,S340,S340/100),IF(OR(I340&lt;&gt;"",S340&lt;&gt;""),"tbd",""))</f>
        <v/>
      </c>
      <c r="S340" s="217" t="n"/>
      <c r="Z340">
        <f>IF(AND(R340="WON",ISNUMBER(I340)),AA340,"")</f>
        <v/>
      </c>
      <c r="AA340">
        <f>IFERROR(I340*1,0)</f>
        <v>0</v>
      </c>
    </row>
    <row r="341" ht="15" customHeight="1">
      <c r="I341" s="215" t="n"/>
      <c r="J341" s="215" t="n"/>
      <c r="K341" s="215" t="n"/>
      <c r="L341" s="215" t="n"/>
      <c r="M341" s="215" t="n"/>
      <c r="N341" s="215">
        <f>IF(ISNUMBER(I341),ROUND(I341-I341/1.081,2),"")</f>
        <v/>
      </c>
      <c r="O341" s="215">
        <f>IF(ISNUMBER(I341),I341-SUM(J341:N341),"")</f>
        <v/>
      </c>
      <c r="P341" s="216">
        <f>IFERROR(IF(AND(ISNUMBER(O341),ISNUMBER(I341),I341&lt;&gt;0),O341/I341,""),"")</f>
        <v/>
      </c>
      <c r="Q341" s="215">
        <f>IF(AND(ISNUMBER(I341),ISNUMBER(S341)),I341*IF(S341&lt;=1,S341,S341/100),IF(OR(I341&lt;&gt;"",S341&lt;&gt;""),"tbd",""))</f>
        <v/>
      </c>
      <c r="S341" s="217" t="n"/>
      <c r="Z341">
        <f>IF(AND(R341="WON",ISNUMBER(I341)),AA341,"")</f>
        <v/>
      </c>
      <c r="AA341">
        <f>IFERROR(I341*1,0)</f>
        <v>0</v>
      </c>
    </row>
    <row r="342" ht="15" customHeight="1">
      <c r="I342" s="215" t="n"/>
      <c r="J342" s="215" t="n"/>
      <c r="K342" s="215" t="n"/>
      <c r="L342" s="215" t="n"/>
      <c r="M342" s="215" t="n"/>
      <c r="N342" s="215">
        <f>IF(ISNUMBER(I342),ROUND(I342-I342/1.081,2),"")</f>
        <v/>
      </c>
      <c r="O342" s="215">
        <f>IF(ISNUMBER(I342),I342-SUM(J342:N342),"")</f>
        <v/>
      </c>
      <c r="P342" s="216">
        <f>IFERROR(IF(AND(ISNUMBER(O342),ISNUMBER(I342),I342&lt;&gt;0),O342/I342,""),"")</f>
        <v/>
      </c>
      <c r="Q342" s="215">
        <f>IF(AND(ISNUMBER(I342),ISNUMBER(S342)),I342*IF(S342&lt;=1,S342,S342/100),IF(OR(I342&lt;&gt;"",S342&lt;&gt;""),"tbd",""))</f>
        <v/>
      </c>
      <c r="S342" s="217" t="n"/>
      <c r="Z342">
        <f>IF(AND(R342="WON",ISNUMBER(I342)),AA342,"")</f>
        <v/>
      </c>
      <c r="AA342">
        <f>IFERROR(I342*1,0)</f>
        <v>0</v>
      </c>
    </row>
    <row r="343" ht="15" customHeight="1">
      <c r="I343" s="215" t="n"/>
      <c r="J343" s="215" t="n"/>
      <c r="K343" s="215" t="n"/>
      <c r="L343" s="215" t="n"/>
      <c r="M343" s="215" t="n"/>
      <c r="N343" s="215">
        <f>IF(ISNUMBER(I343),ROUND(I343-I343/1.081,2),"")</f>
        <v/>
      </c>
      <c r="O343" s="215">
        <f>IF(ISNUMBER(I343),I343-SUM(J343:N343),"")</f>
        <v/>
      </c>
      <c r="P343" s="216">
        <f>IFERROR(IF(AND(ISNUMBER(O343),ISNUMBER(I343),I343&lt;&gt;0),O343/I343,""),"")</f>
        <v/>
      </c>
      <c r="Q343" s="215">
        <f>IF(AND(ISNUMBER(I343),ISNUMBER(S343)),I343*IF(S343&lt;=1,S343,S343/100),IF(OR(I343&lt;&gt;"",S343&lt;&gt;""),"tbd",""))</f>
        <v/>
      </c>
      <c r="S343" s="217" t="n"/>
      <c r="Z343">
        <f>IF(AND(R343="WON",ISNUMBER(I343)),AA343,"")</f>
        <v/>
      </c>
      <c r="AA343">
        <f>IFERROR(I343*1,0)</f>
        <v>0</v>
      </c>
    </row>
    <row r="344" ht="15" customHeight="1">
      <c r="I344" s="215" t="n"/>
      <c r="J344" s="215" t="n"/>
      <c r="K344" s="215" t="n"/>
      <c r="L344" s="215" t="n"/>
      <c r="M344" s="215" t="n"/>
      <c r="N344" s="215">
        <f>IF(ISNUMBER(I344),ROUND(I344-I344/1.081,2),"")</f>
        <v/>
      </c>
      <c r="O344" s="215">
        <f>IF(ISNUMBER(I344),I344-SUM(J344:N344),"")</f>
        <v/>
      </c>
      <c r="P344" s="216">
        <f>IFERROR(IF(AND(ISNUMBER(O344),ISNUMBER(I344),I344&lt;&gt;0),O344/I344,""),"")</f>
        <v/>
      </c>
      <c r="Q344" s="215">
        <f>IF(AND(ISNUMBER(I344),ISNUMBER(S344)),I344*IF(S344&lt;=1,S344,S344/100),IF(OR(I344&lt;&gt;"",S344&lt;&gt;""),"tbd",""))</f>
        <v/>
      </c>
      <c r="S344" s="217" t="n"/>
      <c r="Z344">
        <f>IF(AND(R344="WON",ISNUMBER(I344)),AA344,"")</f>
        <v/>
      </c>
      <c r="AA344">
        <f>IFERROR(I344*1,0)</f>
        <v>0</v>
      </c>
    </row>
    <row r="345" ht="15" customHeight="1">
      <c r="I345" s="215" t="n"/>
      <c r="J345" s="215" t="n"/>
      <c r="K345" s="215" t="n"/>
      <c r="L345" s="215" t="n"/>
      <c r="M345" s="215" t="n"/>
      <c r="N345" s="215">
        <f>IF(ISNUMBER(I345),ROUND(I345-I345/1.081,2),"")</f>
        <v/>
      </c>
      <c r="O345" s="215">
        <f>IF(ISNUMBER(I345),I345-SUM(J345:N345),"")</f>
        <v/>
      </c>
      <c r="P345" s="216">
        <f>IFERROR(IF(AND(ISNUMBER(O345),ISNUMBER(I345),I345&lt;&gt;0),O345/I345,""),"")</f>
        <v/>
      </c>
      <c r="Q345" s="215">
        <f>IF(AND(ISNUMBER(I345),ISNUMBER(S345)),I345*IF(S345&lt;=1,S345,S345/100),IF(OR(I345&lt;&gt;"",S345&lt;&gt;""),"tbd",""))</f>
        <v/>
      </c>
      <c r="S345" s="217" t="n"/>
      <c r="Z345">
        <f>IF(AND(R345="WON",ISNUMBER(I345)),AA345,"")</f>
        <v/>
      </c>
      <c r="AA345">
        <f>IFERROR(I345*1,0)</f>
        <v>0</v>
      </c>
    </row>
    <row r="346" ht="15" customHeight="1">
      <c r="I346" s="215" t="n"/>
      <c r="J346" s="215" t="n"/>
      <c r="K346" s="215" t="n"/>
      <c r="L346" s="215" t="n"/>
      <c r="M346" s="215" t="n"/>
      <c r="N346" s="215">
        <f>IF(ISNUMBER(I346),ROUND(I346-I346/1.081,2),"")</f>
        <v/>
      </c>
      <c r="O346" s="215">
        <f>IF(ISNUMBER(I346),I346-SUM(J346:N346),"")</f>
        <v/>
      </c>
      <c r="P346" s="216">
        <f>IFERROR(IF(AND(ISNUMBER(O346),ISNUMBER(I346),I346&lt;&gt;0),O346/I346,""),"")</f>
        <v/>
      </c>
      <c r="Q346" s="215">
        <f>IF(AND(ISNUMBER(I346),ISNUMBER(S346)),I346*IF(S346&lt;=1,S346,S346/100),IF(OR(I346&lt;&gt;"",S346&lt;&gt;""),"tbd",""))</f>
        <v/>
      </c>
      <c r="S346" s="217" t="n"/>
      <c r="Z346">
        <f>IF(AND(R346="WON",ISNUMBER(I346)),AA346,"")</f>
        <v/>
      </c>
      <c r="AA346">
        <f>IFERROR(I346*1,0)</f>
        <v>0</v>
      </c>
    </row>
    <row r="347" ht="15" customHeight="1">
      <c r="I347" s="215" t="n"/>
      <c r="J347" s="215" t="n"/>
      <c r="K347" s="215" t="n"/>
      <c r="L347" s="215" t="n"/>
      <c r="M347" s="215" t="n"/>
      <c r="N347" s="215">
        <f>IF(ISNUMBER(I347),ROUND(I347-I347/1.081,2),"")</f>
        <v/>
      </c>
      <c r="O347" s="215">
        <f>IF(ISNUMBER(I347),I347-SUM(J347:N347),"")</f>
        <v/>
      </c>
      <c r="P347" s="216">
        <f>IFERROR(IF(AND(ISNUMBER(O347),ISNUMBER(I347),I347&lt;&gt;0),O347/I347,""),"")</f>
        <v/>
      </c>
      <c r="Q347" s="215">
        <f>IF(AND(ISNUMBER(I347),ISNUMBER(S347)),I347*IF(S347&lt;=1,S347,S347/100),IF(OR(I347&lt;&gt;"",S347&lt;&gt;""),"tbd",""))</f>
        <v/>
      </c>
      <c r="S347" s="217" t="n"/>
      <c r="Z347">
        <f>IF(AND(R347="WON",ISNUMBER(I347)),AA347,"")</f>
        <v/>
      </c>
      <c r="AA347">
        <f>IFERROR(I347*1,0)</f>
        <v>0</v>
      </c>
    </row>
    <row r="348" ht="15" customHeight="1">
      <c r="I348" s="215" t="n"/>
      <c r="J348" s="215" t="n"/>
      <c r="K348" s="215" t="n"/>
      <c r="L348" s="215" t="n"/>
      <c r="M348" s="215" t="n"/>
      <c r="N348" s="215">
        <f>IF(ISNUMBER(I348),ROUND(I348-I348/1.081,2),"")</f>
        <v/>
      </c>
      <c r="O348" s="215">
        <f>IF(ISNUMBER(I348),I348-SUM(J348:N348),"")</f>
        <v/>
      </c>
      <c r="P348" s="216">
        <f>IFERROR(IF(AND(ISNUMBER(O348),ISNUMBER(I348),I348&lt;&gt;0),O348/I348,""),"")</f>
        <v/>
      </c>
      <c r="Q348" s="215">
        <f>IF(AND(ISNUMBER(I348),ISNUMBER(S348)),I348*IF(S348&lt;=1,S348,S348/100),IF(OR(I348&lt;&gt;"",S348&lt;&gt;""),"tbd",""))</f>
        <v/>
      </c>
      <c r="S348" s="217" t="n"/>
      <c r="Z348">
        <f>IF(AND(R348="WON",ISNUMBER(I348)),AA348,"")</f>
        <v/>
      </c>
      <c r="AA348">
        <f>IFERROR(I348*1,0)</f>
        <v>0</v>
      </c>
    </row>
    <row r="349" ht="15" customHeight="1">
      <c r="I349" s="215" t="n"/>
      <c r="J349" s="215" t="n"/>
      <c r="K349" s="215" t="n"/>
      <c r="L349" s="215" t="n"/>
      <c r="M349" s="215" t="n"/>
      <c r="N349" s="215">
        <f>IF(ISNUMBER(I349),ROUND(I349-I349/1.081,2),"")</f>
        <v/>
      </c>
      <c r="O349" s="215">
        <f>IF(ISNUMBER(I349),I349-SUM(J349:N349),"")</f>
        <v/>
      </c>
      <c r="P349" s="216">
        <f>IFERROR(IF(AND(ISNUMBER(O349),ISNUMBER(I349),I349&lt;&gt;0),O349/I349,""),"")</f>
        <v/>
      </c>
      <c r="Q349" s="215">
        <f>IF(AND(ISNUMBER(I349),ISNUMBER(S349)),I349*IF(S349&lt;=1,S349,S349/100),IF(OR(I349&lt;&gt;"",S349&lt;&gt;""),"tbd",""))</f>
        <v/>
      </c>
      <c r="S349" s="217" t="n"/>
      <c r="Z349">
        <f>IF(AND(R349="WON",ISNUMBER(I349)),AA349,"")</f>
        <v/>
      </c>
      <c r="AA349">
        <f>IFERROR(I349*1,0)</f>
        <v>0</v>
      </c>
    </row>
    <row r="350" ht="15" customHeight="1">
      <c r="I350" s="215" t="n"/>
      <c r="J350" s="215" t="n"/>
      <c r="K350" s="215" t="n"/>
      <c r="L350" s="215" t="n"/>
      <c r="M350" s="215" t="n"/>
      <c r="N350" s="215">
        <f>IF(ISNUMBER(I350),ROUND(I350-I350/1.081,2),"")</f>
        <v/>
      </c>
      <c r="O350" s="215">
        <f>IF(ISNUMBER(I350),I350-SUM(J350:N350),"")</f>
        <v/>
      </c>
      <c r="P350" s="216">
        <f>IFERROR(IF(AND(ISNUMBER(O350),ISNUMBER(I350),I350&lt;&gt;0),O350/I350,""),"")</f>
        <v/>
      </c>
      <c r="Q350" s="215">
        <f>IF(AND(ISNUMBER(I350),ISNUMBER(S350)),I350*IF(S350&lt;=1,S350,S350/100),IF(OR(I350&lt;&gt;"",S350&lt;&gt;""),"tbd",""))</f>
        <v/>
      </c>
      <c r="S350" s="217" t="n"/>
      <c r="Z350">
        <f>IF(AND(R350="WON",ISNUMBER(I350)),AA350,"")</f>
        <v/>
      </c>
      <c r="AA350">
        <f>IFERROR(I350*1,0)</f>
        <v>0</v>
      </c>
    </row>
    <row r="351" ht="15" customHeight="1">
      <c r="I351" s="215" t="n"/>
      <c r="J351" s="215" t="n"/>
      <c r="K351" s="215" t="n"/>
      <c r="L351" s="215" t="n"/>
      <c r="M351" s="215" t="n"/>
      <c r="N351" s="215">
        <f>IF(ISNUMBER(I351),ROUND(I351-I351/1.081,2),"")</f>
        <v/>
      </c>
      <c r="O351" s="215">
        <f>IF(ISNUMBER(I351),I351-SUM(J351:N351),"")</f>
        <v/>
      </c>
      <c r="P351" s="216">
        <f>IFERROR(IF(AND(ISNUMBER(O351),ISNUMBER(I351),I351&lt;&gt;0),O351/I351,""),"")</f>
        <v/>
      </c>
      <c r="Q351" s="215">
        <f>IF(AND(ISNUMBER(I351),ISNUMBER(S351)),I351*IF(S351&lt;=1,S351,S351/100),IF(OR(I351&lt;&gt;"",S351&lt;&gt;""),"tbd",""))</f>
        <v/>
      </c>
      <c r="S351" s="217" t="n"/>
      <c r="Z351">
        <f>IF(AND(R351="WON",ISNUMBER(I351)),AA351,"")</f>
        <v/>
      </c>
      <c r="AA351">
        <f>IFERROR(I351*1,0)</f>
        <v>0</v>
      </c>
    </row>
    <row r="352" ht="15" customHeight="1">
      <c r="I352" s="215" t="n"/>
      <c r="J352" s="215" t="n"/>
      <c r="K352" s="215" t="n"/>
      <c r="L352" s="215" t="n"/>
      <c r="M352" s="215" t="n"/>
      <c r="N352" s="215">
        <f>IF(ISNUMBER(I352),ROUND(I352-I352/1.081,2),"")</f>
        <v/>
      </c>
      <c r="O352" s="215">
        <f>IF(ISNUMBER(I352),I352-SUM(J352:N352),"")</f>
        <v/>
      </c>
      <c r="P352" s="216">
        <f>IFERROR(IF(AND(ISNUMBER(O352),ISNUMBER(I352),I352&lt;&gt;0),O352/I352,""),"")</f>
        <v/>
      </c>
      <c r="Q352" s="215">
        <f>IF(AND(ISNUMBER(I352),ISNUMBER(S352)),I352*IF(S352&lt;=1,S352,S352/100),IF(OR(I352&lt;&gt;"",S352&lt;&gt;""),"tbd",""))</f>
        <v/>
      </c>
      <c r="S352" s="217" t="n"/>
      <c r="Z352">
        <f>IF(AND(R352="WON",ISNUMBER(I352)),AA352,"")</f>
        <v/>
      </c>
      <c r="AA352">
        <f>IFERROR(I352*1,0)</f>
        <v>0</v>
      </c>
    </row>
    <row r="353" ht="15" customHeight="1">
      <c r="I353" s="215" t="n"/>
      <c r="J353" s="215" t="n"/>
      <c r="K353" s="215" t="n"/>
      <c r="L353" s="215" t="n"/>
      <c r="M353" s="215" t="n"/>
      <c r="N353" s="215">
        <f>IF(ISNUMBER(I353),ROUND(I353-I353/1.081,2),"")</f>
        <v/>
      </c>
      <c r="O353" s="215">
        <f>IF(ISNUMBER(I353),I353-SUM(J353:N353),"")</f>
        <v/>
      </c>
      <c r="P353" s="216">
        <f>IFERROR(IF(AND(ISNUMBER(O353),ISNUMBER(I353),I353&lt;&gt;0),O353/I353,""),"")</f>
        <v/>
      </c>
      <c r="Q353" s="215">
        <f>IF(AND(ISNUMBER(I353),ISNUMBER(S353)),I353*IF(S353&lt;=1,S353,S353/100),IF(OR(I353&lt;&gt;"",S353&lt;&gt;""),"tbd",""))</f>
        <v/>
      </c>
      <c r="S353" s="217" t="n"/>
      <c r="Z353">
        <f>IF(AND(R353="WON",ISNUMBER(I353)),AA353,"")</f>
        <v/>
      </c>
      <c r="AA353">
        <f>IFERROR(I353*1,0)</f>
        <v>0</v>
      </c>
    </row>
    <row r="354" ht="15" customHeight="1">
      <c r="I354" s="215" t="n"/>
      <c r="J354" s="215" t="n"/>
      <c r="K354" s="215" t="n"/>
      <c r="L354" s="215" t="n"/>
      <c r="M354" s="215" t="n"/>
      <c r="N354" s="215">
        <f>IF(ISNUMBER(I354),ROUND(I354-I354/1.081,2),"")</f>
        <v/>
      </c>
      <c r="O354" s="215">
        <f>IF(ISNUMBER(I354),I354-SUM(J354:N354),"")</f>
        <v/>
      </c>
      <c r="P354" s="216">
        <f>IFERROR(IF(AND(ISNUMBER(O354),ISNUMBER(I354),I354&lt;&gt;0),O354/I354,""),"")</f>
        <v/>
      </c>
      <c r="Q354" s="215">
        <f>IF(AND(ISNUMBER(I354),ISNUMBER(S354)),I354*IF(S354&lt;=1,S354,S354/100),IF(OR(I354&lt;&gt;"",S354&lt;&gt;""),"tbd",""))</f>
        <v/>
      </c>
      <c r="S354" s="217" t="n"/>
      <c r="Z354">
        <f>IF(AND(R354="WON",ISNUMBER(I354)),AA354,"")</f>
        <v/>
      </c>
      <c r="AA354">
        <f>IFERROR(I354*1,0)</f>
        <v>0</v>
      </c>
    </row>
    <row r="355" ht="15" customHeight="1">
      <c r="I355" s="215" t="n"/>
      <c r="J355" s="215" t="n"/>
      <c r="K355" s="215" t="n"/>
      <c r="L355" s="215" t="n"/>
      <c r="M355" s="215" t="n"/>
      <c r="N355" s="215">
        <f>IF(ISNUMBER(I355),ROUND(I355-I355/1.081,2),"")</f>
        <v/>
      </c>
      <c r="O355" s="215">
        <f>IF(ISNUMBER(I355),I355-SUM(J355:N355),"")</f>
        <v/>
      </c>
      <c r="P355" s="216">
        <f>IFERROR(IF(AND(ISNUMBER(O355),ISNUMBER(I355),I355&lt;&gt;0),O355/I355,""),"")</f>
        <v/>
      </c>
      <c r="Q355" s="215">
        <f>IF(AND(ISNUMBER(I355),ISNUMBER(S355)),I355*IF(S355&lt;=1,S355,S355/100),IF(OR(I355&lt;&gt;"",S355&lt;&gt;""),"tbd",""))</f>
        <v/>
      </c>
      <c r="S355" s="217" t="n"/>
      <c r="Z355">
        <f>IF(AND(R355="WON",ISNUMBER(I355)),AA355,"")</f>
        <v/>
      </c>
      <c r="AA355">
        <f>IFERROR(I355*1,0)</f>
        <v>0</v>
      </c>
    </row>
    <row r="356" ht="15" customHeight="1">
      <c r="I356" s="215" t="n"/>
      <c r="J356" s="215" t="n"/>
      <c r="K356" s="215" t="n"/>
      <c r="L356" s="215" t="n"/>
      <c r="M356" s="215" t="n"/>
      <c r="N356" s="215">
        <f>IF(ISNUMBER(I356),ROUND(I356-I356/1.081,2),"")</f>
        <v/>
      </c>
      <c r="O356" s="215">
        <f>IF(ISNUMBER(I356),I356-SUM(J356:N356),"")</f>
        <v/>
      </c>
      <c r="P356" s="216">
        <f>IFERROR(IF(AND(ISNUMBER(O356),ISNUMBER(I356),I356&lt;&gt;0),O356/I356,""),"")</f>
        <v/>
      </c>
      <c r="Q356" s="215">
        <f>IF(AND(ISNUMBER(I356),ISNUMBER(S356)),I356*IF(S356&lt;=1,S356,S356/100),IF(OR(I356&lt;&gt;"",S356&lt;&gt;""),"tbd",""))</f>
        <v/>
      </c>
      <c r="S356" s="217" t="n"/>
      <c r="Z356">
        <f>IF(AND(R356="WON",ISNUMBER(I356)),AA356,"")</f>
        <v/>
      </c>
      <c r="AA356">
        <f>IFERROR(I356*1,0)</f>
        <v>0</v>
      </c>
    </row>
    <row r="357" ht="15" customHeight="1">
      <c r="I357" s="215" t="n"/>
      <c r="J357" s="215" t="n"/>
      <c r="K357" s="215" t="n"/>
      <c r="L357" s="215" t="n"/>
      <c r="M357" s="215" t="n"/>
      <c r="N357" s="215">
        <f>IF(ISNUMBER(I357),ROUND(I357-I357/1.081,2),"")</f>
        <v/>
      </c>
      <c r="O357" s="215">
        <f>IF(ISNUMBER(I357),I357-SUM(J357:N357),"")</f>
        <v/>
      </c>
      <c r="P357" s="216">
        <f>IFERROR(IF(AND(ISNUMBER(O357),ISNUMBER(I357),I357&lt;&gt;0),O357/I357,""),"")</f>
        <v/>
      </c>
      <c r="Q357" s="215">
        <f>IF(AND(ISNUMBER(I357),ISNUMBER(S357)),I357*IF(S357&lt;=1,S357,S357/100),IF(OR(I357&lt;&gt;"",S357&lt;&gt;""),"tbd",""))</f>
        <v/>
      </c>
      <c r="S357" s="217" t="n"/>
      <c r="Z357">
        <f>IF(AND(R357="WON",ISNUMBER(I357)),AA357,"")</f>
        <v/>
      </c>
      <c r="AA357">
        <f>IFERROR(I357*1,0)</f>
        <v>0</v>
      </c>
    </row>
    <row r="358" ht="15" customHeight="1">
      <c r="I358" s="215" t="n"/>
      <c r="J358" s="215" t="n"/>
      <c r="K358" s="215" t="n"/>
      <c r="L358" s="215" t="n"/>
      <c r="M358" s="215" t="n"/>
      <c r="N358" s="215">
        <f>IF(ISNUMBER(I358),ROUND(I358-I358/1.081,2),"")</f>
        <v/>
      </c>
      <c r="O358" s="215">
        <f>IF(ISNUMBER(I358),I358-SUM(J358:N358),"")</f>
        <v/>
      </c>
      <c r="P358" s="216">
        <f>IFERROR(IF(AND(ISNUMBER(O358),ISNUMBER(I358),I358&lt;&gt;0),O358/I358,""),"")</f>
        <v/>
      </c>
      <c r="Q358" s="215">
        <f>IF(AND(ISNUMBER(I358),ISNUMBER(S358)),I358*IF(S358&lt;=1,S358,S358/100),IF(OR(I358&lt;&gt;"",S358&lt;&gt;""),"tbd",""))</f>
        <v/>
      </c>
      <c r="S358" s="217" t="n"/>
      <c r="Z358">
        <f>IF(AND(R358="WON",ISNUMBER(I358)),AA358,"")</f>
        <v/>
      </c>
      <c r="AA358">
        <f>IFERROR(I358*1,0)</f>
        <v>0</v>
      </c>
    </row>
    <row r="359" ht="15" customHeight="1">
      <c r="I359" s="215" t="n"/>
      <c r="J359" s="215" t="n"/>
      <c r="K359" s="215" t="n"/>
      <c r="L359" s="215" t="n"/>
      <c r="M359" s="215" t="n"/>
      <c r="N359" s="215">
        <f>IF(ISNUMBER(I359),ROUND(I359-I359/1.081,2),"")</f>
        <v/>
      </c>
      <c r="O359" s="215">
        <f>IF(ISNUMBER(I359),I359-SUM(J359:N359),"")</f>
        <v/>
      </c>
      <c r="P359" s="216">
        <f>IFERROR(IF(AND(ISNUMBER(O359),ISNUMBER(I359),I359&lt;&gt;0),O359/I359,""),"")</f>
        <v/>
      </c>
      <c r="Q359" s="215">
        <f>IF(AND(ISNUMBER(I359),ISNUMBER(S359)),I359*IF(S359&lt;=1,S359,S359/100),IF(OR(I359&lt;&gt;"",S359&lt;&gt;""),"tbd",""))</f>
        <v/>
      </c>
      <c r="S359" s="217" t="n"/>
      <c r="Z359">
        <f>IF(AND(R359="WON",ISNUMBER(I359)),AA359,"")</f>
        <v/>
      </c>
      <c r="AA359">
        <f>IFERROR(I359*1,0)</f>
        <v>0</v>
      </c>
    </row>
    <row r="360" ht="15" customHeight="1">
      <c r="I360" s="215" t="n"/>
      <c r="J360" s="215" t="n"/>
      <c r="K360" s="215" t="n"/>
      <c r="L360" s="215" t="n"/>
      <c r="M360" s="215" t="n"/>
      <c r="N360" s="215">
        <f>IF(ISNUMBER(I360),ROUND(I360-I360/1.081,2),"")</f>
        <v/>
      </c>
      <c r="O360" s="215">
        <f>IF(ISNUMBER(I360),I360-SUM(J360:N360),"")</f>
        <v/>
      </c>
      <c r="P360" s="216">
        <f>IFERROR(IF(AND(ISNUMBER(O360),ISNUMBER(I360),I360&lt;&gt;0),O360/I360,""),"")</f>
        <v/>
      </c>
      <c r="Q360" s="215">
        <f>IF(AND(ISNUMBER(I360),ISNUMBER(S360)),I360*IF(S360&lt;=1,S360,S360/100),IF(OR(I360&lt;&gt;"",S360&lt;&gt;""),"tbd",""))</f>
        <v/>
      </c>
      <c r="S360" s="217" t="n"/>
      <c r="Z360">
        <f>IF(AND(R360="WON",ISNUMBER(I360)),AA360,"")</f>
        <v/>
      </c>
      <c r="AA360">
        <f>IFERROR(I360*1,0)</f>
        <v>0</v>
      </c>
    </row>
    <row r="361" ht="15" customHeight="1">
      <c r="I361" s="215" t="n"/>
      <c r="J361" s="215" t="n"/>
      <c r="K361" s="215" t="n"/>
      <c r="L361" s="215" t="n"/>
      <c r="M361" s="215" t="n"/>
      <c r="N361" s="215">
        <f>IF(ISNUMBER(I361),ROUND(I361-I361/1.081,2),"")</f>
        <v/>
      </c>
      <c r="O361" s="215">
        <f>IF(ISNUMBER(I361),I361-SUM(J361:N361),"")</f>
        <v/>
      </c>
      <c r="P361" s="216">
        <f>IFERROR(IF(AND(ISNUMBER(O361),ISNUMBER(I361),I361&lt;&gt;0),O361/I361,""),"")</f>
        <v/>
      </c>
      <c r="Q361" s="215">
        <f>IF(AND(ISNUMBER(I361),ISNUMBER(S361)),I361*IF(S361&lt;=1,S361,S361/100),IF(OR(I361&lt;&gt;"",S361&lt;&gt;""),"tbd",""))</f>
        <v/>
      </c>
      <c r="S361" s="217" t="n"/>
      <c r="Z361">
        <f>IF(AND(R361="WON",ISNUMBER(I361)),AA361,"")</f>
        <v/>
      </c>
      <c r="AA361">
        <f>IFERROR(I361*1,0)</f>
        <v>0</v>
      </c>
    </row>
    <row r="362" ht="15" customHeight="1">
      <c r="I362" s="215" t="n"/>
      <c r="J362" s="215" t="n"/>
      <c r="K362" s="215" t="n"/>
      <c r="L362" s="215" t="n"/>
      <c r="M362" s="215" t="n"/>
      <c r="N362" s="215">
        <f>IF(ISNUMBER(I362),ROUND(I362-I362/1.081,2),"")</f>
        <v/>
      </c>
      <c r="O362" s="215">
        <f>IF(ISNUMBER(I362),I362-SUM(J362:N362),"")</f>
        <v/>
      </c>
      <c r="P362" s="216">
        <f>IFERROR(IF(AND(ISNUMBER(O362),ISNUMBER(I362),I362&lt;&gt;0),O362/I362,""),"")</f>
        <v/>
      </c>
      <c r="Q362" s="215">
        <f>IF(AND(ISNUMBER(I362),ISNUMBER(S362)),I362*IF(S362&lt;=1,S362,S362/100),IF(OR(I362&lt;&gt;"",S362&lt;&gt;""),"tbd",""))</f>
        <v/>
      </c>
      <c r="S362" s="217" t="n"/>
      <c r="Z362">
        <f>IF(AND(R362="WON",ISNUMBER(I362)),AA362,"")</f>
        <v/>
      </c>
      <c r="AA362">
        <f>IFERROR(I362*1,0)</f>
        <v>0</v>
      </c>
    </row>
    <row r="363" ht="15" customHeight="1">
      <c r="I363" s="215" t="n"/>
      <c r="J363" s="215" t="n"/>
      <c r="K363" s="215" t="n"/>
      <c r="L363" s="215" t="n"/>
      <c r="M363" s="215" t="n"/>
      <c r="N363" s="215">
        <f>IF(ISNUMBER(I363),ROUND(I363-I363/1.081,2),"")</f>
        <v/>
      </c>
      <c r="O363" s="215">
        <f>IF(ISNUMBER(I363),I363-SUM(J363:N363),"")</f>
        <v/>
      </c>
      <c r="P363" s="216">
        <f>IFERROR(IF(AND(ISNUMBER(O363),ISNUMBER(I363),I363&lt;&gt;0),O363/I363,""),"")</f>
        <v/>
      </c>
      <c r="Q363" s="215">
        <f>IF(AND(ISNUMBER(I363),ISNUMBER(S363)),I363*IF(S363&lt;=1,S363,S363/100),IF(OR(I363&lt;&gt;"",S363&lt;&gt;""),"tbd",""))</f>
        <v/>
      </c>
      <c r="S363" s="217" t="n"/>
      <c r="Z363">
        <f>IF(AND(R363="WON",ISNUMBER(I363)),AA363,"")</f>
        <v/>
      </c>
      <c r="AA363">
        <f>IFERROR(I363*1,0)</f>
        <v>0</v>
      </c>
    </row>
    <row r="364" ht="15" customHeight="1">
      <c r="I364" s="215" t="n"/>
      <c r="J364" s="215" t="n"/>
      <c r="K364" s="215" t="n"/>
      <c r="L364" s="215" t="n"/>
      <c r="M364" s="215" t="n"/>
      <c r="N364" s="215">
        <f>IF(ISNUMBER(I364),ROUND(I364-I364/1.081,2),"")</f>
        <v/>
      </c>
      <c r="O364" s="215">
        <f>IF(ISNUMBER(I364),I364-SUM(J364:N364),"")</f>
        <v/>
      </c>
      <c r="P364" s="216">
        <f>IFERROR(IF(AND(ISNUMBER(O364),ISNUMBER(I364),I364&lt;&gt;0),O364/I364,""),"")</f>
        <v/>
      </c>
      <c r="Q364" s="215">
        <f>IF(AND(ISNUMBER(I364),ISNUMBER(S364)),I364*IF(S364&lt;=1,S364,S364/100),IF(OR(I364&lt;&gt;"",S364&lt;&gt;""),"tbd",""))</f>
        <v/>
      </c>
      <c r="S364" s="217" t="n"/>
      <c r="Z364">
        <f>IF(AND(R364="WON",ISNUMBER(I364)),AA364,"")</f>
        <v/>
      </c>
      <c r="AA364">
        <f>IFERROR(I364*1,0)</f>
        <v>0</v>
      </c>
    </row>
    <row r="365" ht="15" customHeight="1">
      <c r="I365" s="215" t="n"/>
      <c r="J365" s="215" t="n"/>
      <c r="K365" s="215" t="n"/>
      <c r="L365" s="215" t="n"/>
      <c r="M365" s="215" t="n"/>
      <c r="N365" s="215">
        <f>IF(ISNUMBER(I365),ROUND(I365-I365/1.081,2),"")</f>
        <v/>
      </c>
      <c r="O365" s="215">
        <f>IF(ISNUMBER(I365),I365-SUM(J365:N365),"")</f>
        <v/>
      </c>
      <c r="P365" s="216">
        <f>IFERROR(IF(AND(ISNUMBER(O365),ISNUMBER(I365),I365&lt;&gt;0),O365/I365,""),"")</f>
        <v/>
      </c>
      <c r="Q365" s="215">
        <f>IF(AND(ISNUMBER(I365),ISNUMBER(S365)),I365*IF(S365&lt;=1,S365,S365/100),IF(OR(I365&lt;&gt;"",S365&lt;&gt;""),"tbd",""))</f>
        <v/>
      </c>
      <c r="S365" s="217" t="n"/>
      <c r="Z365">
        <f>IF(AND(R365="WON",ISNUMBER(I365)),AA365,"")</f>
        <v/>
      </c>
      <c r="AA365">
        <f>IFERROR(I365*1,0)</f>
        <v>0</v>
      </c>
    </row>
    <row r="366" ht="15" customHeight="1">
      <c r="I366" s="215" t="n"/>
      <c r="J366" s="215" t="n"/>
      <c r="K366" s="215" t="n"/>
      <c r="L366" s="215" t="n"/>
      <c r="M366" s="215" t="n"/>
      <c r="N366" s="215">
        <f>IF(ISNUMBER(I366),ROUND(I366-I366/1.081,2),"")</f>
        <v/>
      </c>
      <c r="O366" s="215">
        <f>IF(ISNUMBER(I366),I366-SUM(J366:N366),"")</f>
        <v/>
      </c>
      <c r="P366" s="216">
        <f>IFERROR(IF(AND(ISNUMBER(O366),ISNUMBER(I366),I366&lt;&gt;0),O366/I366,""),"")</f>
        <v/>
      </c>
      <c r="Q366" s="215">
        <f>IF(AND(ISNUMBER(I366),ISNUMBER(S366)),I366*IF(S366&lt;=1,S366,S366/100),IF(OR(I366&lt;&gt;"",S366&lt;&gt;""),"tbd",""))</f>
        <v/>
      </c>
      <c r="S366" s="217" t="n"/>
      <c r="Z366">
        <f>IF(AND(R366="WON",ISNUMBER(I366)),AA366,"")</f>
        <v/>
      </c>
      <c r="AA366">
        <f>IFERROR(I366*1,0)</f>
        <v>0</v>
      </c>
    </row>
    <row r="367" ht="15" customHeight="1">
      <c r="I367" s="215" t="n"/>
      <c r="J367" s="215" t="n"/>
      <c r="K367" s="215" t="n"/>
      <c r="L367" s="215" t="n"/>
      <c r="M367" s="215" t="n"/>
      <c r="N367" s="215">
        <f>IF(ISNUMBER(I367),ROUND(I367-I367/1.081,2),"")</f>
        <v/>
      </c>
      <c r="O367" s="215">
        <f>IF(ISNUMBER(I367),I367-SUM(J367:N367),"")</f>
        <v/>
      </c>
      <c r="P367" s="216">
        <f>IFERROR(IF(AND(ISNUMBER(O367),ISNUMBER(I367),I367&lt;&gt;0),O367/I367,""),"")</f>
        <v/>
      </c>
      <c r="Q367" s="215">
        <f>IF(AND(ISNUMBER(I367),ISNUMBER(S367)),I367*IF(S367&lt;=1,S367,S367/100),IF(OR(I367&lt;&gt;"",S367&lt;&gt;""),"tbd",""))</f>
        <v/>
      </c>
      <c r="S367" s="217" t="n"/>
      <c r="Z367">
        <f>IF(AND(R367="WON",ISNUMBER(I367)),AA367,"")</f>
        <v/>
      </c>
      <c r="AA367">
        <f>IFERROR(I367*1,0)</f>
        <v>0</v>
      </c>
    </row>
    <row r="368" ht="15" customHeight="1">
      <c r="I368" s="215" t="n"/>
      <c r="J368" s="215" t="n"/>
      <c r="K368" s="215" t="n"/>
      <c r="L368" s="215" t="n"/>
      <c r="M368" s="215" t="n"/>
      <c r="N368" s="215">
        <f>IF(ISNUMBER(I368),ROUND(I368-I368/1.081,2),"")</f>
        <v/>
      </c>
      <c r="O368" s="215">
        <f>IF(ISNUMBER(I368),I368-SUM(J368:N368),"")</f>
        <v/>
      </c>
      <c r="P368" s="216">
        <f>IFERROR(IF(AND(ISNUMBER(O368),ISNUMBER(I368),I368&lt;&gt;0),O368/I368,""),"")</f>
        <v/>
      </c>
      <c r="Q368" s="215">
        <f>IF(AND(ISNUMBER(I368),ISNUMBER(S368)),I368*IF(S368&lt;=1,S368,S368/100),IF(OR(I368&lt;&gt;"",S368&lt;&gt;""),"tbd",""))</f>
        <v/>
      </c>
      <c r="S368" s="217" t="n"/>
      <c r="Z368">
        <f>IF(AND(R368="WON",ISNUMBER(I368)),AA368,"")</f>
        <v/>
      </c>
      <c r="AA368">
        <f>IFERROR(I368*1,0)</f>
        <v>0</v>
      </c>
    </row>
    <row r="369" ht="15" customHeight="1">
      <c r="I369" s="215" t="n"/>
      <c r="J369" s="215" t="n"/>
      <c r="K369" s="215" t="n"/>
      <c r="L369" s="215" t="n"/>
      <c r="M369" s="215" t="n"/>
      <c r="N369" s="215">
        <f>IF(ISNUMBER(I369),ROUND(I369-I369/1.081,2),"")</f>
        <v/>
      </c>
      <c r="O369" s="215">
        <f>IF(ISNUMBER(I369),I369-SUM(J369:N369),"")</f>
        <v/>
      </c>
      <c r="P369" s="216">
        <f>IFERROR(IF(AND(ISNUMBER(O369),ISNUMBER(I369),I369&lt;&gt;0),O369/I369,""),"")</f>
        <v/>
      </c>
      <c r="Q369" s="215">
        <f>IF(AND(ISNUMBER(I369),ISNUMBER(S369)),I369*IF(S369&lt;=1,S369,S369/100),IF(OR(I369&lt;&gt;"",S369&lt;&gt;""),"tbd",""))</f>
        <v/>
      </c>
      <c r="S369" s="217" t="n"/>
      <c r="Z369">
        <f>IF(AND(R369="WON",ISNUMBER(I369)),AA369,"")</f>
        <v/>
      </c>
      <c r="AA369">
        <f>IFERROR(I369*1,0)</f>
        <v>0</v>
      </c>
    </row>
    <row r="370" ht="15" customHeight="1">
      <c r="I370" s="215" t="n"/>
      <c r="J370" s="215" t="n"/>
      <c r="K370" s="215" t="n"/>
      <c r="L370" s="215" t="n"/>
      <c r="M370" s="215" t="n"/>
      <c r="N370" s="215">
        <f>IF(ISNUMBER(I370),ROUND(I370-I370/1.081,2),"")</f>
        <v/>
      </c>
      <c r="O370" s="215">
        <f>IF(ISNUMBER(I370),I370-SUM(J370:N370),"")</f>
        <v/>
      </c>
      <c r="P370" s="216">
        <f>IFERROR(IF(AND(ISNUMBER(O370),ISNUMBER(I370),I370&lt;&gt;0),O370/I370,""),"")</f>
        <v/>
      </c>
      <c r="Q370" s="215">
        <f>IF(AND(ISNUMBER(I370),ISNUMBER(S370)),I370*IF(S370&lt;=1,S370,S370/100),IF(OR(I370&lt;&gt;"",S370&lt;&gt;""),"tbd",""))</f>
        <v/>
      </c>
      <c r="S370" s="217" t="n"/>
      <c r="Z370">
        <f>IF(AND(R370="WON",ISNUMBER(I370)),AA370,"")</f>
        <v/>
      </c>
      <c r="AA370">
        <f>IFERROR(I370*1,0)</f>
        <v>0</v>
      </c>
    </row>
    <row r="371" ht="15" customHeight="1">
      <c r="I371" s="215" t="n"/>
      <c r="J371" s="215" t="n"/>
      <c r="K371" s="215" t="n"/>
      <c r="L371" s="215" t="n"/>
      <c r="M371" s="215" t="n"/>
      <c r="N371" s="215">
        <f>IF(ISNUMBER(I371),ROUND(I371-I371/1.081,2),"")</f>
        <v/>
      </c>
      <c r="O371" s="215">
        <f>IF(ISNUMBER(I371),I371-SUM(J371:N371),"")</f>
        <v/>
      </c>
      <c r="P371" s="216">
        <f>IFERROR(IF(AND(ISNUMBER(O371),ISNUMBER(I371),I371&lt;&gt;0),O371/I371,""),"")</f>
        <v/>
      </c>
      <c r="Q371" s="215">
        <f>IF(AND(ISNUMBER(I371),ISNUMBER(S371)),I371*IF(S371&lt;=1,S371,S371/100),IF(OR(I371&lt;&gt;"",S371&lt;&gt;""),"tbd",""))</f>
        <v/>
      </c>
      <c r="S371" s="217" t="n"/>
      <c r="Z371">
        <f>IF(AND(R371="WON",ISNUMBER(I371)),AA371,"")</f>
        <v/>
      </c>
      <c r="AA371">
        <f>IFERROR(I371*1,0)</f>
        <v>0</v>
      </c>
    </row>
    <row r="372" ht="15" customHeight="1">
      <c r="I372" s="215" t="n"/>
      <c r="J372" s="215" t="n"/>
      <c r="K372" s="215" t="n"/>
      <c r="L372" s="215" t="n"/>
      <c r="M372" s="215" t="n"/>
      <c r="N372" s="215">
        <f>IF(ISNUMBER(I372),ROUND(I372-I372/1.081,2),"")</f>
        <v/>
      </c>
      <c r="O372" s="215">
        <f>IF(ISNUMBER(I372),I372-SUM(J372:N372),"")</f>
        <v/>
      </c>
      <c r="P372" s="216">
        <f>IFERROR(IF(AND(ISNUMBER(O372),ISNUMBER(I372),I372&lt;&gt;0),O372/I372,""),"")</f>
        <v/>
      </c>
      <c r="Q372" s="215">
        <f>IF(AND(ISNUMBER(I372),ISNUMBER(S372)),I372*IF(S372&lt;=1,S372,S372/100),IF(OR(I372&lt;&gt;"",S372&lt;&gt;""),"tbd",""))</f>
        <v/>
      </c>
      <c r="S372" s="217" t="n"/>
      <c r="Z372">
        <f>IF(AND(R372="WON",ISNUMBER(I372)),AA372,"")</f>
        <v/>
      </c>
      <c r="AA372">
        <f>IFERROR(I372*1,0)</f>
        <v>0</v>
      </c>
    </row>
    <row r="373" ht="15" customHeight="1">
      <c r="I373" s="215" t="n"/>
      <c r="J373" s="215" t="n"/>
      <c r="K373" s="215" t="n"/>
      <c r="L373" s="215" t="n"/>
      <c r="M373" s="215" t="n"/>
      <c r="N373" s="215">
        <f>IF(ISNUMBER(I373),ROUND(I373-I373/1.081,2),"")</f>
        <v/>
      </c>
      <c r="O373" s="215">
        <f>IF(ISNUMBER(I373),I373-SUM(J373:N373),"")</f>
        <v/>
      </c>
      <c r="P373" s="216">
        <f>IFERROR(IF(AND(ISNUMBER(O373),ISNUMBER(I373),I373&lt;&gt;0),O373/I373,""),"")</f>
        <v/>
      </c>
      <c r="Q373" s="215">
        <f>IF(AND(ISNUMBER(I373),ISNUMBER(S373)),I373*IF(S373&lt;=1,S373,S373/100),IF(OR(I373&lt;&gt;"",S373&lt;&gt;""),"tbd",""))</f>
        <v/>
      </c>
      <c r="S373" s="217" t="n"/>
      <c r="Z373">
        <f>IF(AND(R373="WON",ISNUMBER(I373)),AA373,"")</f>
        <v/>
      </c>
      <c r="AA373">
        <f>IFERROR(I373*1,0)</f>
        <v>0</v>
      </c>
    </row>
    <row r="374" ht="15" customHeight="1">
      <c r="I374" s="215" t="n"/>
      <c r="J374" s="215" t="n"/>
      <c r="K374" s="215" t="n"/>
      <c r="L374" s="215" t="n"/>
      <c r="M374" s="215" t="n"/>
      <c r="N374" s="215">
        <f>IF(ISNUMBER(I374),ROUND(I374-I374/1.081,2),"")</f>
        <v/>
      </c>
      <c r="O374" s="215">
        <f>IF(ISNUMBER(I374),I374-SUM(J374:N374),"")</f>
        <v/>
      </c>
      <c r="P374" s="216">
        <f>IFERROR(IF(AND(ISNUMBER(O374),ISNUMBER(I374),I374&lt;&gt;0),O374/I374,""),"")</f>
        <v/>
      </c>
      <c r="Q374" s="215">
        <f>IF(AND(ISNUMBER(I374),ISNUMBER(S374)),I374*IF(S374&lt;=1,S374,S374/100),IF(OR(I374&lt;&gt;"",S374&lt;&gt;""),"tbd",""))</f>
        <v/>
      </c>
      <c r="S374" s="217" t="n"/>
      <c r="Z374">
        <f>IF(AND(R374="WON",ISNUMBER(I374)),AA374,"")</f>
        <v/>
      </c>
      <c r="AA374">
        <f>IFERROR(I374*1,0)</f>
        <v>0</v>
      </c>
    </row>
    <row r="375" ht="15" customHeight="1">
      <c r="I375" s="215" t="n"/>
      <c r="J375" s="215" t="n"/>
      <c r="K375" s="215" t="n"/>
      <c r="L375" s="215" t="n"/>
      <c r="M375" s="215" t="n"/>
      <c r="N375" s="215">
        <f>IF(ISNUMBER(I375),ROUND(I375-I375/1.081,2),"")</f>
        <v/>
      </c>
      <c r="O375" s="215">
        <f>IF(ISNUMBER(I375),I375-SUM(J375:N375),"")</f>
        <v/>
      </c>
      <c r="P375" s="216">
        <f>IFERROR(IF(AND(ISNUMBER(O375),ISNUMBER(I375),I375&lt;&gt;0),O375/I375,""),"")</f>
        <v/>
      </c>
      <c r="Q375" s="215">
        <f>IF(AND(ISNUMBER(I375),ISNUMBER(S375)),I375*IF(S375&lt;=1,S375,S375/100),IF(OR(I375&lt;&gt;"",S375&lt;&gt;""),"tbd",""))</f>
        <v/>
      </c>
      <c r="S375" s="217" t="n"/>
      <c r="Z375">
        <f>IF(AND(R375="WON",ISNUMBER(I375)),AA375,"")</f>
        <v/>
      </c>
      <c r="AA375">
        <f>IFERROR(I375*1,0)</f>
        <v>0</v>
      </c>
    </row>
    <row r="376" ht="15" customHeight="1">
      <c r="I376" s="215" t="n"/>
      <c r="J376" s="215" t="n"/>
      <c r="K376" s="215" t="n"/>
      <c r="L376" s="215" t="n"/>
      <c r="M376" s="215" t="n"/>
      <c r="N376" s="215">
        <f>IF(ISNUMBER(I376),ROUND(I376-I376/1.081,2),"")</f>
        <v/>
      </c>
      <c r="O376" s="215">
        <f>IF(ISNUMBER(I376),I376-SUM(J376:N376),"")</f>
        <v/>
      </c>
      <c r="P376" s="216">
        <f>IFERROR(IF(AND(ISNUMBER(O376),ISNUMBER(I376),I376&lt;&gt;0),O376/I376,""),"")</f>
        <v/>
      </c>
      <c r="Q376" s="215">
        <f>IF(AND(ISNUMBER(I376),ISNUMBER(S376)),I376*IF(S376&lt;=1,S376,S376/100),IF(OR(I376&lt;&gt;"",S376&lt;&gt;""),"tbd",""))</f>
        <v/>
      </c>
      <c r="S376" s="217" t="n"/>
      <c r="Z376">
        <f>IF(AND(R376="WON",ISNUMBER(I376)),AA376,"")</f>
        <v/>
      </c>
      <c r="AA376">
        <f>IFERROR(I376*1,0)</f>
        <v>0</v>
      </c>
    </row>
    <row r="377" ht="15" customHeight="1">
      <c r="I377" s="215" t="n"/>
      <c r="J377" s="215" t="n"/>
      <c r="K377" s="215" t="n"/>
      <c r="L377" s="215" t="n"/>
      <c r="M377" s="215" t="n"/>
      <c r="N377" s="215">
        <f>IF(ISNUMBER(I377),ROUND(I377-I377/1.081,2),"")</f>
        <v/>
      </c>
      <c r="O377" s="215">
        <f>IF(ISNUMBER(I377),I377-SUM(J377:N377),"")</f>
        <v/>
      </c>
      <c r="P377" s="216">
        <f>IFERROR(IF(AND(ISNUMBER(O377),ISNUMBER(I377),I377&lt;&gt;0),O377/I377,""),"")</f>
        <v/>
      </c>
      <c r="Q377" s="215">
        <f>IF(AND(ISNUMBER(I377),ISNUMBER(S377)),I377*IF(S377&lt;=1,S377,S377/100),IF(OR(I377&lt;&gt;"",S377&lt;&gt;""),"tbd",""))</f>
        <v/>
      </c>
      <c r="S377" s="217" t="n"/>
      <c r="Z377">
        <f>IF(AND(R377="WON",ISNUMBER(I377)),AA377,"")</f>
        <v/>
      </c>
      <c r="AA377">
        <f>IFERROR(I377*1,0)</f>
        <v>0</v>
      </c>
    </row>
    <row r="378" ht="15" customHeight="1">
      <c r="I378" s="215" t="n"/>
      <c r="J378" s="215" t="n"/>
      <c r="K378" s="215" t="n"/>
      <c r="L378" s="215" t="n"/>
      <c r="M378" s="215" t="n"/>
      <c r="N378" s="215">
        <f>IF(ISNUMBER(I378),ROUND(I378-I378/1.081,2),"")</f>
        <v/>
      </c>
      <c r="O378" s="215">
        <f>IF(ISNUMBER(I378),I378-SUM(J378:N378),"")</f>
        <v/>
      </c>
      <c r="P378" s="216">
        <f>IFERROR(IF(AND(ISNUMBER(O378),ISNUMBER(I378),I378&lt;&gt;0),O378/I378,""),"")</f>
        <v/>
      </c>
      <c r="Q378" s="215">
        <f>IF(AND(ISNUMBER(I378),ISNUMBER(S378)),I378*IF(S378&lt;=1,S378,S378/100),IF(OR(I378&lt;&gt;"",S378&lt;&gt;""),"tbd",""))</f>
        <v/>
      </c>
      <c r="S378" s="217" t="n"/>
      <c r="Z378">
        <f>IF(AND(R378="WON",ISNUMBER(I378)),AA378,"")</f>
        <v/>
      </c>
      <c r="AA378">
        <f>IFERROR(I378*1,0)</f>
        <v>0</v>
      </c>
    </row>
    <row r="379" ht="15" customHeight="1">
      <c r="I379" s="215" t="n"/>
      <c r="J379" s="215" t="n"/>
      <c r="K379" s="215" t="n"/>
      <c r="L379" s="215" t="n"/>
      <c r="M379" s="215" t="n"/>
      <c r="N379" s="215">
        <f>IF(ISNUMBER(I379),ROUND(I379-I379/1.081,2),"")</f>
        <v/>
      </c>
      <c r="O379" s="215">
        <f>IF(ISNUMBER(I379),I379-SUM(J379:N379),"")</f>
        <v/>
      </c>
      <c r="P379" s="216">
        <f>IFERROR(IF(AND(ISNUMBER(O379),ISNUMBER(I379),I379&lt;&gt;0),O379/I379,""),"")</f>
        <v/>
      </c>
      <c r="Q379" s="215">
        <f>IF(AND(ISNUMBER(I379),ISNUMBER(S379)),I379*IF(S379&lt;=1,S379,S379/100),IF(OR(I379&lt;&gt;"",S379&lt;&gt;""),"tbd",""))</f>
        <v/>
      </c>
      <c r="S379" s="217" t="n"/>
      <c r="Z379">
        <f>IF(AND(R379="WON",ISNUMBER(I379)),AA379,"")</f>
        <v/>
      </c>
      <c r="AA379">
        <f>IFERROR(I379*1,0)</f>
        <v>0</v>
      </c>
    </row>
    <row r="380" ht="15" customHeight="1">
      <c r="I380" s="215" t="n"/>
      <c r="J380" s="215" t="n"/>
      <c r="K380" s="215" t="n"/>
      <c r="L380" s="215" t="n"/>
      <c r="M380" s="215" t="n"/>
      <c r="N380" s="215">
        <f>IF(ISNUMBER(I380),ROUND(I380-I380/1.081,2),"")</f>
        <v/>
      </c>
      <c r="O380" s="215">
        <f>IF(ISNUMBER(I380),I380-SUM(J380:N380),"")</f>
        <v/>
      </c>
      <c r="P380" s="216">
        <f>IFERROR(IF(AND(ISNUMBER(O380),ISNUMBER(I380),I380&lt;&gt;0),O380/I380,""),"")</f>
        <v/>
      </c>
      <c r="Q380" s="215">
        <f>IF(AND(ISNUMBER(I380),ISNUMBER(S380)),I380*IF(S380&lt;=1,S380,S380/100),IF(OR(I380&lt;&gt;"",S380&lt;&gt;""),"tbd",""))</f>
        <v/>
      </c>
      <c r="S380" s="217" t="n"/>
      <c r="Z380">
        <f>IF(AND(R380="WON",ISNUMBER(I380)),AA380,"")</f>
        <v/>
      </c>
      <c r="AA380">
        <f>IFERROR(I380*1,0)</f>
        <v>0</v>
      </c>
    </row>
    <row r="381" ht="15" customHeight="1">
      <c r="I381" s="215" t="n"/>
      <c r="J381" s="215" t="n"/>
      <c r="K381" s="215" t="n"/>
      <c r="L381" s="215" t="n"/>
      <c r="M381" s="215" t="n"/>
      <c r="N381" s="215">
        <f>IF(ISNUMBER(I381),ROUND(I381-I381/1.081,2),"")</f>
        <v/>
      </c>
      <c r="O381" s="215">
        <f>IF(ISNUMBER(I381),I381-SUM(J381:N381),"")</f>
        <v/>
      </c>
      <c r="P381" s="216">
        <f>IFERROR(IF(AND(ISNUMBER(O381),ISNUMBER(I381),I381&lt;&gt;0),O381/I381,""),"")</f>
        <v/>
      </c>
      <c r="Q381" s="215">
        <f>IF(AND(ISNUMBER(I381),ISNUMBER(S381)),I381*IF(S381&lt;=1,S381,S381/100),IF(OR(I381&lt;&gt;"",S381&lt;&gt;""),"tbd",""))</f>
        <v/>
      </c>
      <c r="S381" s="217" t="n"/>
      <c r="Z381">
        <f>IF(AND(R381="WON",ISNUMBER(I381)),AA381,"")</f>
        <v/>
      </c>
      <c r="AA381">
        <f>IFERROR(I381*1,0)</f>
        <v>0</v>
      </c>
    </row>
    <row r="382" ht="15" customHeight="1">
      <c r="I382" s="215" t="n"/>
      <c r="J382" s="215" t="n"/>
      <c r="K382" s="215" t="n"/>
      <c r="L382" s="215" t="n"/>
      <c r="M382" s="215" t="n"/>
      <c r="N382" s="215">
        <f>IF(ISNUMBER(I382),ROUND(I382-I382/1.081,2),"")</f>
        <v/>
      </c>
      <c r="O382" s="215">
        <f>IF(ISNUMBER(I382),I382-SUM(J382:N382),"")</f>
        <v/>
      </c>
      <c r="P382" s="216">
        <f>IFERROR(IF(AND(ISNUMBER(O382),ISNUMBER(I382),I382&lt;&gt;0),O382/I382,""),"")</f>
        <v/>
      </c>
      <c r="Q382" s="215">
        <f>IF(AND(ISNUMBER(I382),ISNUMBER(S382)),I382*IF(S382&lt;=1,S382,S382/100),IF(OR(I382&lt;&gt;"",S382&lt;&gt;""),"tbd",""))</f>
        <v/>
      </c>
      <c r="S382" s="217" t="n"/>
      <c r="Z382">
        <f>IF(AND(R382="WON",ISNUMBER(I382)),AA382,"")</f>
        <v/>
      </c>
      <c r="AA382">
        <f>IFERROR(I382*1,0)</f>
        <v>0</v>
      </c>
    </row>
    <row r="383" ht="15" customHeight="1">
      <c r="I383" s="215" t="n"/>
      <c r="J383" s="215" t="n"/>
      <c r="K383" s="215" t="n"/>
      <c r="L383" s="215" t="n"/>
      <c r="M383" s="215" t="n"/>
      <c r="N383" s="215">
        <f>IF(ISNUMBER(I383),ROUND(I383-I383/1.081,2),"")</f>
        <v/>
      </c>
      <c r="O383" s="215">
        <f>IF(ISNUMBER(I383),I383-SUM(J383:N383),"")</f>
        <v/>
      </c>
      <c r="P383" s="216">
        <f>IFERROR(IF(AND(ISNUMBER(O383),ISNUMBER(I383),I383&lt;&gt;0),O383/I383,""),"")</f>
        <v/>
      </c>
      <c r="Q383" s="215">
        <f>IF(AND(ISNUMBER(I383),ISNUMBER(S383)),I383*IF(S383&lt;=1,S383,S383/100),IF(OR(I383&lt;&gt;"",S383&lt;&gt;""),"tbd",""))</f>
        <v/>
      </c>
      <c r="S383" s="217" t="n"/>
      <c r="Z383">
        <f>IF(AND(R383="WON",ISNUMBER(I383)),AA383,"")</f>
        <v/>
      </c>
      <c r="AA383">
        <f>IFERROR(I383*1,0)</f>
        <v>0</v>
      </c>
    </row>
    <row r="384" ht="15" customHeight="1">
      <c r="I384" s="215" t="n"/>
      <c r="J384" s="215" t="n"/>
      <c r="K384" s="215" t="n"/>
      <c r="L384" s="215" t="n"/>
      <c r="M384" s="215" t="n"/>
      <c r="N384" s="215">
        <f>IF(ISNUMBER(I384),ROUND(I384-I384/1.081,2),"")</f>
        <v/>
      </c>
      <c r="O384" s="215">
        <f>IF(ISNUMBER(I384),I384-SUM(J384:N384),"")</f>
        <v/>
      </c>
      <c r="P384" s="216">
        <f>IFERROR(IF(AND(ISNUMBER(O384),ISNUMBER(I384),I384&lt;&gt;0),O384/I384,""),"")</f>
        <v/>
      </c>
      <c r="Q384" s="215">
        <f>IF(AND(ISNUMBER(I384),ISNUMBER(S384)),I384*IF(S384&lt;=1,S384,S384/100),IF(OR(I384&lt;&gt;"",S384&lt;&gt;""),"tbd",""))</f>
        <v/>
      </c>
      <c r="S384" s="217" t="n"/>
      <c r="Z384">
        <f>IF(AND(R384="WON",ISNUMBER(I384)),AA384,"")</f>
        <v/>
      </c>
      <c r="AA384">
        <f>IFERROR(I384*1,0)</f>
        <v>0</v>
      </c>
    </row>
    <row r="385" ht="15" customHeight="1">
      <c r="I385" s="215" t="n"/>
      <c r="J385" s="215" t="n"/>
      <c r="K385" s="215" t="n"/>
      <c r="L385" s="215" t="n"/>
      <c r="M385" s="215" t="n"/>
      <c r="N385" s="215">
        <f>IF(ISNUMBER(I385),ROUND(I385-I385/1.081,2),"")</f>
        <v/>
      </c>
      <c r="O385" s="215">
        <f>IF(ISNUMBER(I385),I385-SUM(J385:N385),"")</f>
        <v/>
      </c>
      <c r="P385" s="216">
        <f>IFERROR(IF(AND(ISNUMBER(O385),ISNUMBER(I385),I385&lt;&gt;0),O385/I385,""),"")</f>
        <v/>
      </c>
      <c r="Q385" s="215">
        <f>IF(AND(ISNUMBER(I385),ISNUMBER(S385)),I385*IF(S385&lt;=1,S385,S385/100),IF(OR(I385&lt;&gt;"",S385&lt;&gt;""),"tbd",""))</f>
        <v/>
      </c>
      <c r="S385" s="217" t="n"/>
      <c r="Z385">
        <f>IF(AND(R385="WON",ISNUMBER(I385)),AA385,"")</f>
        <v/>
      </c>
      <c r="AA385">
        <f>IFERROR(I385*1,0)</f>
        <v>0</v>
      </c>
    </row>
    <row r="386" ht="15" customHeight="1">
      <c r="I386" s="215" t="n"/>
      <c r="J386" s="215" t="n"/>
      <c r="K386" s="215" t="n"/>
      <c r="L386" s="215" t="n"/>
      <c r="M386" s="215" t="n"/>
      <c r="N386" s="215">
        <f>IF(ISNUMBER(I386),ROUND(I386-I386/1.081,2),"")</f>
        <v/>
      </c>
      <c r="O386" s="215">
        <f>IF(ISNUMBER(I386),I386-SUM(J386:N386),"")</f>
        <v/>
      </c>
      <c r="P386" s="216">
        <f>IFERROR(IF(AND(ISNUMBER(O386),ISNUMBER(I386),I386&lt;&gt;0),O386/I386,""),"")</f>
        <v/>
      </c>
      <c r="Q386" s="215">
        <f>IF(AND(ISNUMBER(I386),ISNUMBER(S386)),I386*IF(S386&lt;=1,S386,S386/100),IF(OR(I386&lt;&gt;"",S386&lt;&gt;""),"tbd",""))</f>
        <v/>
      </c>
      <c r="S386" s="217" t="n"/>
      <c r="Z386">
        <f>IF(AND(R386="WON",ISNUMBER(I386)),AA386,"")</f>
        <v/>
      </c>
      <c r="AA386">
        <f>IFERROR(I386*1,0)</f>
        <v>0</v>
      </c>
    </row>
    <row r="387" ht="15" customHeight="1">
      <c r="I387" s="215" t="n"/>
      <c r="J387" s="215" t="n"/>
      <c r="K387" s="215" t="n"/>
      <c r="L387" s="215" t="n"/>
      <c r="M387" s="215" t="n"/>
      <c r="N387" s="215">
        <f>IF(ISNUMBER(I387),ROUND(I387-I387/1.081,2),"")</f>
        <v/>
      </c>
      <c r="O387" s="215">
        <f>IF(ISNUMBER(I387),I387-SUM(J387:N387),"")</f>
        <v/>
      </c>
      <c r="P387" s="216">
        <f>IFERROR(IF(AND(ISNUMBER(O387),ISNUMBER(I387),I387&lt;&gt;0),O387/I387,""),"")</f>
        <v/>
      </c>
      <c r="Q387" s="215">
        <f>IF(AND(ISNUMBER(I387),ISNUMBER(S387)),I387*IF(S387&lt;=1,S387,S387/100),IF(OR(I387&lt;&gt;"",S387&lt;&gt;""),"tbd",""))</f>
        <v/>
      </c>
      <c r="S387" s="217" t="n"/>
      <c r="Z387">
        <f>IF(AND(R387="WON",ISNUMBER(I387)),AA387,"")</f>
        <v/>
      </c>
      <c r="AA387">
        <f>IFERROR(I387*1,0)</f>
        <v>0</v>
      </c>
    </row>
    <row r="388" ht="15" customHeight="1">
      <c r="I388" s="215" t="n"/>
      <c r="J388" s="215" t="n"/>
      <c r="K388" s="215" t="n"/>
      <c r="L388" s="215" t="n"/>
      <c r="M388" s="215" t="n"/>
      <c r="N388" s="215">
        <f>IF(ISNUMBER(I388),ROUND(I388-I388/1.081,2),"")</f>
        <v/>
      </c>
      <c r="O388" s="215">
        <f>IF(ISNUMBER(I388),I388-SUM(J388:N388),"")</f>
        <v/>
      </c>
      <c r="P388" s="216">
        <f>IFERROR(IF(AND(ISNUMBER(O388),ISNUMBER(I388),I388&lt;&gt;0),O388/I388,""),"")</f>
        <v/>
      </c>
      <c r="Q388" s="215">
        <f>IF(AND(ISNUMBER(I388),ISNUMBER(S388)),I388*IF(S388&lt;=1,S388,S388/100),IF(OR(I388&lt;&gt;"",S388&lt;&gt;""),"tbd",""))</f>
        <v/>
      </c>
      <c r="S388" s="217" t="n"/>
      <c r="Z388">
        <f>IF(AND(R388="WON",ISNUMBER(I388)),AA388,"")</f>
        <v/>
      </c>
      <c r="AA388">
        <f>IFERROR(I388*1,0)</f>
        <v>0</v>
      </c>
    </row>
    <row r="389" ht="15" customHeight="1">
      <c r="I389" s="215" t="n"/>
      <c r="J389" s="215" t="n"/>
      <c r="K389" s="215" t="n"/>
      <c r="L389" s="215" t="n"/>
      <c r="M389" s="215" t="n"/>
      <c r="N389" s="215">
        <f>IF(ISNUMBER(I389),ROUND(I389-I389/1.081,2),"")</f>
        <v/>
      </c>
      <c r="O389" s="215">
        <f>IF(ISNUMBER(I389),I389-SUM(J389:N389),"")</f>
        <v/>
      </c>
      <c r="P389" s="216">
        <f>IFERROR(IF(AND(ISNUMBER(O389),ISNUMBER(I389),I389&lt;&gt;0),O389/I389,""),"")</f>
        <v/>
      </c>
      <c r="Q389" s="215">
        <f>IF(AND(ISNUMBER(I389),ISNUMBER(S389)),I389*IF(S389&lt;=1,S389,S389/100),IF(OR(I389&lt;&gt;"",S389&lt;&gt;""),"tbd",""))</f>
        <v/>
      </c>
      <c r="S389" s="217" t="n"/>
      <c r="Z389">
        <f>IF(AND(R389="WON",ISNUMBER(I389)),AA389,"")</f>
        <v/>
      </c>
      <c r="AA389">
        <f>IFERROR(I389*1,0)</f>
        <v>0</v>
      </c>
    </row>
    <row r="390" ht="15" customHeight="1">
      <c r="I390" s="215" t="n"/>
      <c r="J390" s="215" t="n"/>
      <c r="K390" s="215" t="n"/>
      <c r="L390" s="215" t="n"/>
      <c r="M390" s="215" t="n"/>
      <c r="N390" s="215">
        <f>IF(ISNUMBER(I390),ROUND(I390-I390/1.081,2),"")</f>
        <v/>
      </c>
      <c r="O390" s="215">
        <f>IF(ISNUMBER(I390),I390-SUM(J390:N390),"")</f>
        <v/>
      </c>
      <c r="P390" s="216">
        <f>IFERROR(IF(AND(ISNUMBER(O390),ISNUMBER(I390),I390&lt;&gt;0),O390/I390,""),"")</f>
        <v/>
      </c>
      <c r="Q390" s="215">
        <f>IF(AND(ISNUMBER(I390),ISNUMBER(S390)),I390*IF(S390&lt;=1,S390,S390/100),IF(OR(I390&lt;&gt;"",S390&lt;&gt;""),"tbd",""))</f>
        <v/>
      </c>
      <c r="S390" s="217" t="n"/>
      <c r="Z390">
        <f>IF(AND(R390="WON",ISNUMBER(I390)),AA390,"")</f>
        <v/>
      </c>
      <c r="AA390">
        <f>IFERROR(I390*1,0)</f>
        <v>0</v>
      </c>
    </row>
    <row r="391" ht="15" customHeight="1">
      <c r="I391" s="215" t="n"/>
      <c r="J391" s="215" t="n"/>
      <c r="K391" s="215" t="n"/>
      <c r="L391" s="215" t="n"/>
      <c r="M391" s="215" t="n"/>
      <c r="N391" s="215">
        <f>IF(ISNUMBER(I391),ROUND(I391-I391/1.081,2),"")</f>
        <v/>
      </c>
      <c r="O391" s="215">
        <f>IF(ISNUMBER(I391),I391-SUM(J391:N391),"")</f>
        <v/>
      </c>
      <c r="P391" s="216">
        <f>IFERROR(IF(AND(ISNUMBER(O391),ISNUMBER(I391),I391&lt;&gt;0),O391/I391,""),"")</f>
        <v/>
      </c>
      <c r="Q391" s="215">
        <f>IF(AND(ISNUMBER(I391),ISNUMBER(S391)),I391*IF(S391&lt;=1,S391,S391/100),IF(OR(I391&lt;&gt;"",S391&lt;&gt;""),"tbd",""))</f>
        <v/>
      </c>
      <c r="S391" s="217" t="n"/>
      <c r="Z391">
        <f>IF(AND(R391="WON",ISNUMBER(I391)),AA391,"")</f>
        <v/>
      </c>
      <c r="AA391">
        <f>IFERROR(I391*1,0)</f>
        <v>0</v>
      </c>
    </row>
    <row r="392" ht="15" customHeight="1">
      <c r="I392" s="215" t="n"/>
      <c r="J392" s="215" t="n"/>
      <c r="K392" s="215" t="n"/>
      <c r="L392" s="215" t="n"/>
      <c r="M392" s="215" t="n"/>
      <c r="N392" s="215">
        <f>IF(ISNUMBER(I392),ROUND(I392-I392/1.081,2),"")</f>
        <v/>
      </c>
      <c r="O392" s="215">
        <f>IF(ISNUMBER(I392),I392-SUM(J392:N392),"")</f>
        <v/>
      </c>
      <c r="P392" s="216">
        <f>IFERROR(IF(AND(ISNUMBER(O392),ISNUMBER(I392),I392&lt;&gt;0),O392/I392,""),"")</f>
        <v/>
      </c>
      <c r="Q392" s="215">
        <f>IF(AND(ISNUMBER(I392),ISNUMBER(S392)),I392*IF(S392&lt;=1,S392,S392/100),IF(OR(I392&lt;&gt;"",S392&lt;&gt;""),"tbd",""))</f>
        <v/>
      </c>
      <c r="S392" s="217" t="n"/>
      <c r="Z392">
        <f>IF(AND(R392="WON",ISNUMBER(I392)),AA392,"")</f>
        <v/>
      </c>
      <c r="AA392">
        <f>IFERROR(I392*1,0)</f>
        <v>0</v>
      </c>
    </row>
    <row r="393" ht="15" customHeight="1">
      <c r="I393" s="215" t="n"/>
      <c r="J393" s="215" t="n"/>
      <c r="K393" s="215" t="n"/>
      <c r="L393" s="215" t="n"/>
      <c r="M393" s="215" t="n"/>
      <c r="N393" s="215">
        <f>IF(ISNUMBER(I393),ROUND(I393-I393/1.081,2),"")</f>
        <v/>
      </c>
      <c r="O393" s="215">
        <f>IF(ISNUMBER(I393),I393-SUM(J393:N393),"")</f>
        <v/>
      </c>
      <c r="P393" s="216">
        <f>IFERROR(IF(AND(ISNUMBER(O393),ISNUMBER(I393),I393&lt;&gt;0),O393/I393,""),"")</f>
        <v/>
      </c>
      <c r="Q393" s="215">
        <f>IF(AND(ISNUMBER(I393),ISNUMBER(S393)),I393*IF(S393&lt;=1,S393,S393/100),IF(OR(I393&lt;&gt;"",S393&lt;&gt;""),"tbd",""))</f>
        <v/>
      </c>
      <c r="S393" s="217" t="n"/>
      <c r="Z393">
        <f>IF(AND(R393="WON",ISNUMBER(I393)),AA393,"")</f>
        <v/>
      </c>
      <c r="AA393">
        <f>IFERROR(I393*1,0)</f>
        <v>0</v>
      </c>
    </row>
    <row r="394" ht="15" customHeight="1">
      <c r="I394" s="215" t="n"/>
      <c r="J394" s="215" t="n"/>
      <c r="K394" s="215" t="n"/>
      <c r="L394" s="215" t="n"/>
      <c r="M394" s="215" t="n"/>
      <c r="N394" s="215">
        <f>IF(ISNUMBER(I394),ROUND(I394-I394/1.081,2),"")</f>
        <v/>
      </c>
      <c r="O394" s="215">
        <f>IF(ISNUMBER(I394),I394-SUM(J394:N394),"")</f>
        <v/>
      </c>
      <c r="P394" s="216">
        <f>IFERROR(IF(AND(ISNUMBER(O394),ISNUMBER(I394),I394&lt;&gt;0),O394/I394,""),"")</f>
        <v/>
      </c>
      <c r="Q394" s="215">
        <f>IF(AND(ISNUMBER(I394),ISNUMBER(S394)),I394*IF(S394&lt;=1,S394,S394/100),IF(OR(I394&lt;&gt;"",S394&lt;&gt;""),"tbd",""))</f>
        <v/>
      </c>
      <c r="S394" s="217" t="n"/>
      <c r="Z394">
        <f>IF(AND(R394="WON",ISNUMBER(I394)),AA394,"")</f>
        <v/>
      </c>
      <c r="AA394">
        <f>IFERROR(I394*1,0)</f>
        <v>0</v>
      </c>
    </row>
    <row r="395" ht="15" customHeight="1">
      <c r="I395" s="215" t="n"/>
      <c r="J395" s="215" t="n"/>
      <c r="K395" s="215" t="n"/>
      <c r="L395" s="215" t="n"/>
      <c r="M395" s="215" t="n"/>
      <c r="N395" s="215">
        <f>IF(ISNUMBER(I395),ROUND(I395-I395/1.081,2),"")</f>
        <v/>
      </c>
      <c r="O395" s="215">
        <f>IF(ISNUMBER(I395),I395-SUM(J395:N395),"")</f>
        <v/>
      </c>
      <c r="P395" s="216">
        <f>IFERROR(IF(AND(ISNUMBER(O395),ISNUMBER(I395),I395&lt;&gt;0),O395/I395,""),"")</f>
        <v/>
      </c>
      <c r="Q395" s="215">
        <f>IF(AND(ISNUMBER(I395),ISNUMBER(S395)),I395*IF(S395&lt;=1,S395,S395/100),IF(OR(I395&lt;&gt;"",S395&lt;&gt;""),"tbd",""))</f>
        <v/>
      </c>
      <c r="S395" s="217" t="n"/>
      <c r="Z395">
        <f>IF(AND(R395="WON",ISNUMBER(I395)),AA395,"")</f>
        <v/>
      </c>
      <c r="AA395">
        <f>IFERROR(I395*1,0)</f>
        <v>0</v>
      </c>
    </row>
    <row r="396" ht="15" customHeight="1">
      <c r="I396" s="215" t="n"/>
      <c r="J396" s="215" t="n"/>
      <c r="K396" s="215" t="n"/>
      <c r="L396" s="215" t="n"/>
      <c r="M396" s="215" t="n"/>
      <c r="N396" s="215">
        <f>IF(ISNUMBER(I396),ROUND(I396-I396/1.081,2),"")</f>
        <v/>
      </c>
      <c r="O396" s="215">
        <f>IF(ISNUMBER(I396),I396-SUM(J396:N396),"")</f>
        <v/>
      </c>
      <c r="P396" s="216">
        <f>IFERROR(IF(AND(ISNUMBER(O396),ISNUMBER(I396),I396&lt;&gt;0),O396/I396,""),"")</f>
        <v/>
      </c>
      <c r="Q396" s="215">
        <f>IF(AND(ISNUMBER(I396),ISNUMBER(S396)),I396*IF(S396&lt;=1,S396,S396/100),IF(OR(I396&lt;&gt;"",S396&lt;&gt;""),"tbd",""))</f>
        <v/>
      </c>
      <c r="S396" s="217" t="n"/>
      <c r="Z396">
        <f>IF(AND(R396="WON",ISNUMBER(I396)),AA396,"")</f>
        <v/>
      </c>
      <c r="AA396">
        <f>IFERROR(I396*1,0)</f>
        <v>0</v>
      </c>
    </row>
    <row r="397" ht="15" customHeight="1">
      <c r="I397" s="215" t="n"/>
      <c r="J397" s="215" t="n"/>
      <c r="K397" s="215" t="n"/>
      <c r="L397" s="215" t="n"/>
      <c r="M397" s="215" t="n"/>
      <c r="N397" s="215">
        <f>IF(ISNUMBER(I397),ROUND(I397-I397/1.081,2),"")</f>
        <v/>
      </c>
      <c r="O397" s="215">
        <f>IF(ISNUMBER(I397),I397-SUM(J397:N397),"")</f>
        <v/>
      </c>
      <c r="P397" s="216">
        <f>IFERROR(IF(AND(ISNUMBER(O397),ISNUMBER(I397),I397&lt;&gt;0),O397/I397,""),"")</f>
        <v/>
      </c>
      <c r="Q397" s="215">
        <f>IF(AND(ISNUMBER(I397),ISNUMBER(S397)),I397*IF(S397&lt;=1,S397,S397/100),IF(OR(I397&lt;&gt;"",S397&lt;&gt;""),"tbd",""))</f>
        <v/>
      </c>
      <c r="S397" s="217" t="n"/>
      <c r="Z397">
        <f>IF(AND(R397="WON",ISNUMBER(I397)),AA397,"")</f>
        <v/>
      </c>
      <c r="AA397">
        <f>IFERROR(I397*1,0)</f>
        <v>0</v>
      </c>
    </row>
    <row r="398" ht="15" customHeight="1">
      <c r="I398" s="215" t="n"/>
      <c r="J398" s="215" t="n"/>
      <c r="K398" s="215" t="n"/>
      <c r="L398" s="215" t="n"/>
      <c r="M398" s="215" t="n"/>
      <c r="N398" s="215">
        <f>IF(ISNUMBER(I398),ROUND(I398-I398/1.081,2),"")</f>
        <v/>
      </c>
      <c r="O398" s="215">
        <f>IF(ISNUMBER(I398),I398-SUM(J398:N398),"")</f>
        <v/>
      </c>
      <c r="P398" s="216">
        <f>IFERROR(IF(AND(ISNUMBER(O398),ISNUMBER(I398),I398&lt;&gt;0),O398/I398,""),"")</f>
        <v/>
      </c>
      <c r="Q398" s="215">
        <f>IF(AND(ISNUMBER(I398),ISNUMBER(S398)),I398*IF(S398&lt;=1,S398,S398/100),IF(OR(I398&lt;&gt;"",S398&lt;&gt;""),"tbd",""))</f>
        <v/>
      </c>
      <c r="S398" s="217" t="n"/>
      <c r="Z398">
        <f>IF(AND(R398="WON",ISNUMBER(I398)),AA398,"")</f>
        <v/>
      </c>
      <c r="AA398">
        <f>IFERROR(I398*1,0)</f>
        <v>0</v>
      </c>
    </row>
    <row r="399" ht="15" customHeight="1">
      <c r="I399" s="215" t="n"/>
      <c r="J399" s="215" t="n"/>
      <c r="K399" s="215" t="n"/>
      <c r="L399" s="215" t="n"/>
      <c r="M399" s="215" t="n"/>
      <c r="N399" s="215">
        <f>IF(ISNUMBER(I399),ROUND(I399-I399/1.081,2),"")</f>
        <v/>
      </c>
      <c r="O399" s="215">
        <f>IF(ISNUMBER(I399),I399-SUM(J399:N399),"")</f>
        <v/>
      </c>
      <c r="P399" s="216">
        <f>IFERROR(IF(AND(ISNUMBER(O399),ISNUMBER(I399),I399&lt;&gt;0),O399/I399,""),"")</f>
        <v/>
      </c>
      <c r="Q399" s="215">
        <f>IF(AND(ISNUMBER(I399),ISNUMBER(S399)),I399*IF(S399&lt;=1,S399,S399/100),IF(OR(I399&lt;&gt;"",S399&lt;&gt;""),"tbd",""))</f>
        <v/>
      </c>
      <c r="S399" s="217" t="n"/>
      <c r="Z399">
        <f>IF(AND(R399="WON",ISNUMBER(I399)),AA399,"")</f>
        <v/>
      </c>
      <c r="AA399">
        <f>IFERROR(I399*1,0)</f>
        <v>0</v>
      </c>
    </row>
    <row r="400" ht="15" customHeight="1">
      <c r="I400" s="215" t="n"/>
      <c r="J400" s="215" t="n"/>
      <c r="K400" s="215" t="n"/>
      <c r="L400" s="215" t="n"/>
      <c r="M400" s="215" t="n"/>
      <c r="N400" s="215">
        <f>IF(ISNUMBER(I400),ROUND(I400-I400/1.081,2),"")</f>
        <v/>
      </c>
      <c r="O400" s="215">
        <f>IF(ISNUMBER(I400),I400-SUM(J400:N400),"")</f>
        <v/>
      </c>
      <c r="P400" s="216">
        <f>IFERROR(IF(AND(ISNUMBER(O400),ISNUMBER(I400),I400&lt;&gt;0),O400/I400,""),"")</f>
        <v/>
      </c>
      <c r="Q400" s="215">
        <f>IF(AND(ISNUMBER(I400),ISNUMBER(S400)),I400*IF(S400&lt;=1,S400,S400/100),IF(OR(I400&lt;&gt;"",S400&lt;&gt;""),"tbd",""))</f>
        <v/>
      </c>
      <c r="S400" s="217" t="n"/>
      <c r="Z400">
        <f>IF(AND(R400="WON",ISNUMBER(I400)),AA400,"")</f>
        <v/>
      </c>
      <c r="AA400">
        <f>IFERROR(I400*1,0)</f>
        <v>0</v>
      </c>
    </row>
    <row r="401" ht="15" customHeight="1">
      <c r="I401" s="215" t="n"/>
      <c r="J401" s="215" t="n"/>
      <c r="K401" s="215" t="n"/>
      <c r="L401" s="215" t="n"/>
      <c r="M401" s="215" t="n"/>
      <c r="N401" s="215">
        <f>IF(ISNUMBER(I401),ROUND(I401-I401/1.081,2),"")</f>
        <v/>
      </c>
      <c r="O401" s="215">
        <f>IF(ISNUMBER(I401),I401-SUM(J401:N401),"")</f>
        <v/>
      </c>
      <c r="P401" s="216">
        <f>IFERROR(IF(AND(ISNUMBER(O401),ISNUMBER(I401),I401&lt;&gt;0),O401/I401,""),"")</f>
        <v/>
      </c>
      <c r="Q401" s="215">
        <f>IF(AND(ISNUMBER(I401),ISNUMBER(S401)),I401*IF(S401&lt;=1,S401,S401/100),IF(OR(I401&lt;&gt;"",S401&lt;&gt;""),"tbd",""))</f>
        <v/>
      </c>
      <c r="S401" s="217" t="n"/>
      <c r="Z401">
        <f>IF(AND(R401="WON",ISNUMBER(I401)),AA401,"")</f>
        <v/>
      </c>
      <c r="AA401">
        <f>IFERROR(I401*1,0)</f>
        <v>0</v>
      </c>
    </row>
    <row r="402" ht="15" customHeight="1">
      <c r="I402" s="215" t="n"/>
      <c r="J402" s="215" t="n"/>
      <c r="K402" s="215" t="n"/>
      <c r="L402" s="215" t="n"/>
      <c r="M402" s="215" t="n"/>
      <c r="N402" s="215">
        <f>IF(ISNUMBER(I402),ROUND(I402-I402/1.081,2),"")</f>
        <v/>
      </c>
      <c r="O402" s="215">
        <f>IF(ISNUMBER(I402),I402-SUM(J402:N402),"")</f>
        <v/>
      </c>
      <c r="P402" s="216">
        <f>IFERROR(IF(AND(ISNUMBER(O402),ISNUMBER(I402),I402&lt;&gt;0),O402/I402,""),"")</f>
        <v/>
      </c>
      <c r="Q402" s="215">
        <f>IF(AND(ISNUMBER(I402),ISNUMBER(S402)),I402*IF(S402&lt;=1,S402,S402/100),IF(OR(I402&lt;&gt;"",S402&lt;&gt;""),"tbd",""))</f>
        <v/>
      </c>
      <c r="S402" s="217" t="n"/>
      <c r="Z402">
        <f>IF(AND(R402="WON",ISNUMBER(I402)),AA402,"")</f>
        <v/>
      </c>
      <c r="AA402">
        <f>IFERROR(I402*1,0)</f>
        <v>0</v>
      </c>
    </row>
    <row r="403" ht="15" customHeight="1">
      <c r="I403" s="215" t="n"/>
      <c r="J403" s="215" t="n"/>
      <c r="K403" s="215" t="n"/>
      <c r="L403" s="215" t="n"/>
      <c r="M403" s="215" t="n"/>
      <c r="N403" s="215">
        <f>IF(ISNUMBER(I403),ROUND(I403-I403/1.081,2),"")</f>
        <v/>
      </c>
      <c r="O403" s="215">
        <f>IF(ISNUMBER(I403),I403-SUM(J403:N403),"")</f>
        <v/>
      </c>
      <c r="P403" s="216">
        <f>IFERROR(IF(AND(ISNUMBER(O403),ISNUMBER(I403),I403&lt;&gt;0),O403/I403,""),"")</f>
        <v/>
      </c>
      <c r="Q403" s="215">
        <f>IF(AND(ISNUMBER(I403),ISNUMBER(S403)),I403*IF(S403&lt;=1,S403,S403/100),IF(OR(I403&lt;&gt;"",S403&lt;&gt;""),"tbd",""))</f>
        <v/>
      </c>
      <c r="S403" s="217" t="n"/>
      <c r="Z403">
        <f>IF(AND(R403="WON",ISNUMBER(I403)),AA403,"")</f>
        <v/>
      </c>
      <c r="AA403">
        <f>IFERROR(I403*1,0)</f>
        <v>0</v>
      </c>
    </row>
    <row r="404" ht="15" customHeight="1">
      <c r="I404" s="215" t="n"/>
      <c r="J404" s="215" t="n"/>
      <c r="K404" s="215" t="n"/>
      <c r="L404" s="215" t="n"/>
      <c r="M404" s="215" t="n"/>
      <c r="N404" s="215">
        <f>IF(ISNUMBER(I404),ROUND(I404-I404/1.081,2),"")</f>
        <v/>
      </c>
      <c r="O404" s="215">
        <f>IF(ISNUMBER(I404),I404-SUM(J404:N404),"")</f>
        <v/>
      </c>
      <c r="P404" s="216">
        <f>IFERROR(IF(AND(ISNUMBER(O404),ISNUMBER(I404),I404&lt;&gt;0),O404/I404,""),"")</f>
        <v/>
      </c>
      <c r="Q404" s="215">
        <f>IF(AND(ISNUMBER(I404),ISNUMBER(S404)),I404*IF(S404&lt;=1,S404,S404/100),IF(OR(I404&lt;&gt;"",S404&lt;&gt;""),"tbd",""))</f>
        <v/>
      </c>
      <c r="S404" s="217" t="n"/>
      <c r="Z404">
        <f>IF(AND(R404="WON",ISNUMBER(I404)),AA404,"")</f>
        <v/>
      </c>
      <c r="AA404">
        <f>IFERROR(I404*1,0)</f>
        <v>0</v>
      </c>
    </row>
    <row r="405" ht="15" customHeight="1">
      <c r="I405" s="215" t="n"/>
      <c r="J405" s="215" t="n"/>
      <c r="K405" s="215" t="n"/>
      <c r="L405" s="215" t="n"/>
      <c r="M405" s="215" t="n"/>
      <c r="N405" s="215">
        <f>IF(ISNUMBER(I405),ROUND(I405-I405/1.081,2),"")</f>
        <v/>
      </c>
      <c r="O405" s="215">
        <f>IF(ISNUMBER(I405),I405-SUM(J405:N405),"")</f>
        <v/>
      </c>
      <c r="P405" s="216">
        <f>IFERROR(IF(AND(ISNUMBER(O405),ISNUMBER(I405),I405&lt;&gt;0),O405/I405,""),"")</f>
        <v/>
      </c>
      <c r="Q405" s="215">
        <f>IF(AND(ISNUMBER(I405),ISNUMBER(S405)),I405*IF(S405&lt;=1,S405,S405/100),IF(OR(I405&lt;&gt;"",S405&lt;&gt;""),"tbd",""))</f>
        <v/>
      </c>
      <c r="S405" s="217" t="n"/>
      <c r="Z405">
        <f>IF(AND(R405="WON",ISNUMBER(I405)),AA405,"")</f>
        <v/>
      </c>
      <c r="AA405">
        <f>IFERROR(I405*1,0)</f>
        <v>0</v>
      </c>
    </row>
    <row r="406" ht="15" customHeight="1">
      <c r="I406" s="215" t="n"/>
      <c r="J406" s="215" t="n"/>
      <c r="K406" s="215" t="n"/>
      <c r="L406" s="215" t="n"/>
      <c r="M406" s="215" t="n"/>
      <c r="N406" s="215">
        <f>IF(ISNUMBER(I406),ROUND(I406-I406/1.081,2),"")</f>
        <v/>
      </c>
      <c r="O406" s="215">
        <f>IF(ISNUMBER(I406),I406-SUM(J406:N406),"")</f>
        <v/>
      </c>
      <c r="P406" s="216">
        <f>IFERROR(IF(AND(ISNUMBER(O406),ISNUMBER(I406),I406&lt;&gt;0),O406/I406,""),"")</f>
        <v/>
      </c>
      <c r="Q406" s="215">
        <f>IF(AND(ISNUMBER(I406),ISNUMBER(S406)),I406*IF(S406&lt;=1,S406,S406/100),IF(OR(I406&lt;&gt;"",S406&lt;&gt;""),"tbd",""))</f>
        <v/>
      </c>
      <c r="S406" s="217" t="n"/>
      <c r="Z406">
        <f>IF(AND(R406="WON",ISNUMBER(I406)),AA406,"")</f>
        <v/>
      </c>
      <c r="AA406">
        <f>IFERROR(I406*1,0)</f>
        <v>0</v>
      </c>
    </row>
    <row r="407" ht="15" customHeight="1">
      <c r="I407" s="215" t="n"/>
      <c r="J407" s="215" t="n"/>
      <c r="K407" s="215" t="n"/>
      <c r="L407" s="215" t="n"/>
      <c r="M407" s="215" t="n"/>
      <c r="N407" s="215">
        <f>IF(ISNUMBER(I407),ROUND(I407-I407/1.081,2),"")</f>
        <v/>
      </c>
      <c r="O407" s="215">
        <f>IF(ISNUMBER(I407),I407-SUM(J407:N407),"")</f>
        <v/>
      </c>
      <c r="P407" s="216">
        <f>IFERROR(IF(AND(ISNUMBER(O407),ISNUMBER(I407),I407&lt;&gt;0),O407/I407,""),"")</f>
        <v/>
      </c>
      <c r="Q407" s="215">
        <f>IF(AND(ISNUMBER(I407),ISNUMBER(S407)),I407*IF(S407&lt;=1,S407,S407/100),IF(OR(I407&lt;&gt;"",S407&lt;&gt;""),"tbd",""))</f>
        <v/>
      </c>
      <c r="S407" s="217" t="n"/>
      <c r="Z407">
        <f>IF(AND(R407="WON",ISNUMBER(I407)),AA407,"")</f>
        <v/>
      </c>
      <c r="AA407">
        <f>IFERROR(I407*1,0)</f>
        <v>0</v>
      </c>
    </row>
    <row r="408" ht="15" customHeight="1">
      <c r="I408" s="215" t="n"/>
      <c r="J408" s="215" t="n"/>
      <c r="K408" s="215" t="n"/>
      <c r="L408" s="215" t="n"/>
      <c r="M408" s="215" t="n"/>
      <c r="N408" s="215">
        <f>IF(ISNUMBER(I408),ROUND(I408-I408/1.081,2),"")</f>
        <v/>
      </c>
      <c r="O408" s="215">
        <f>IF(ISNUMBER(I408),I408-SUM(J408:N408),"")</f>
        <v/>
      </c>
      <c r="P408" s="216">
        <f>IFERROR(IF(AND(ISNUMBER(O408),ISNUMBER(I408),I408&lt;&gt;0),O408/I408,""),"")</f>
        <v/>
      </c>
      <c r="Q408" s="215">
        <f>IF(AND(ISNUMBER(I408),ISNUMBER(S408)),I408*IF(S408&lt;=1,S408,S408/100),IF(OR(I408&lt;&gt;"",S408&lt;&gt;""),"tbd",""))</f>
        <v/>
      </c>
      <c r="S408" s="217" t="n"/>
      <c r="Z408">
        <f>IF(AND(R408="WON",ISNUMBER(I408)),AA408,"")</f>
        <v/>
      </c>
      <c r="AA408">
        <f>IFERROR(I408*1,0)</f>
        <v>0</v>
      </c>
    </row>
    <row r="409" ht="15" customHeight="1">
      <c r="I409" s="215" t="n"/>
      <c r="J409" s="215" t="n"/>
      <c r="K409" s="215" t="n"/>
      <c r="L409" s="215" t="n"/>
      <c r="M409" s="215" t="n"/>
      <c r="N409" s="215">
        <f>IF(ISNUMBER(I409),ROUND(I409-I409/1.081,2),"")</f>
        <v/>
      </c>
      <c r="O409" s="215">
        <f>IF(ISNUMBER(I409),I409-SUM(J409:N409),"")</f>
        <v/>
      </c>
      <c r="P409" s="216">
        <f>IFERROR(IF(AND(ISNUMBER(O409),ISNUMBER(I409),I409&lt;&gt;0),O409/I409,""),"")</f>
        <v/>
      </c>
      <c r="Q409" s="215">
        <f>IF(AND(ISNUMBER(I409),ISNUMBER(S409)),I409*IF(S409&lt;=1,S409,S409/100),IF(OR(I409&lt;&gt;"",S409&lt;&gt;""),"tbd",""))</f>
        <v/>
      </c>
      <c r="S409" s="217" t="n"/>
      <c r="Z409">
        <f>IF(AND(R409="WON",ISNUMBER(I409)),AA409,"")</f>
        <v/>
      </c>
      <c r="AA409">
        <f>IFERROR(I409*1,0)</f>
        <v>0</v>
      </c>
    </row>
    <row r="410" ht="15" customHeight="1">
      <c r="I410" s="215" t="n"/>
      <c r="J410" s="215" t="n"/>
      <c r="K410" s="215" t="n"/>
      <c r="L410" s="215" t="n"/>
      <c r="M410" s="215" t="n"/>
      <c r="N410" s="215">
        <f>IF(ISNUMBER(I410),ROUND(I410-I410/1.081,2),"")</f>
        <v/>
      </c>
      <c r="O410" s="215">
        <f>IF(ISNUMBER(I410),I410-SUM(J410:N410),"")</f>
        <v/>
      </c>
      <c r="P410" s="216">
        <f>IFERROR(IF(AND(ISNUMBER(O410),ISNUMBER(I410),I410&lt;&gt;0),O410/I410,""),"")</f>
        <v/>
      </c>
      <c r="Q410" s="215">
        <f>IF(AND(ISNUMBER(I410),ISNUMBER(S410)),I410*IF(S410&lt;=1,S410,S410/100),IF(OR(I410&lt;&gt;"",S410&lt;&gt;""),"tbd",""))</f>
        <v/>
      </c>
      <c r="S410" s="217" t="n"/>
      <c r="Z410">
        <f>IF(AND(R410="WON",ISNUMBER(I410)),AA410,"")</f>
        <v/>
      </c>
      <c r="AA410">
        <f>IFERROR(I410*1,0)</f>
        <v>0</v>
      </c>
    </row>
    <row r="411" ht="15" customHeight="1">
      <c r="I411" s="215" t="n"/>
      <c r="J411" s="215" t="n"/>
      <c r="K411" s="215" t="n"/>
      <c r="L411" s="215" t="n"/>
      <c r="M411" s="215" t="n"/>
      <c r="N411" s="215">
        <f>IF(ISNUMBER(I411),ROUND(I411-I411/1.081,2),"")</f>
        <v/>
      </c>
      <c r="O411" s="215">
        <f>IF(ISNUMBER(I411),I411-SUM(J411:N411),"")</f>
        <v/>
      </c>
      <c r="P411" s="216">
        <f>IFERROR(IF(AND(ISNUMBER(O411),ISNUMBER(I411),I411&lt;&gt;0),O411/I411,""),"")</f>
        <v/>
      </c>
      <c r="Q411" s="215">
        <f>IF(AND(ISNUMBER(I411),ISNUMBER(S411)),I411*IF(S411&lt;=1,S411,S411/100),IF(OR(I411&lt;&gt;"",S411&lt;&gt;""),"tbd",""))</f>
        <v/>
      </c>
      <c r="S411" s="217" t="n"/>
      <c r="Z411">
        <f>IF(AND(R411="WON",ISNUMBER(I411)),AA411,"")</f>
        <v/>
      </c>
      <c r="AA411">
        <f>IFERROR(I411*1,0)</f>
        <v>0</v>
      </c>
    </row>
    <row r="412" ht="15" customHeight="1">
      <c r="I412" s="215" t="n"/>
      <c r="J412" s="215" t="n"/>
      <c r="K412" s="215" t="n"/>
      <c r="L412" s="215" t="n"/>
      <c r="M412" s="215" t="n"/>
      <c r="N412" s="215">
        <f>IF(ISNUMBER(I412),ROUND(I412-I412/1.081,2),"")</f>
        <v/>
      </c>
      <c r="O412" s="215">
        <f>IF(ISNUMBER(I412),I412-SUM(J412:N412),"")</f>
        <v/>
      </c>
      <c r="P412" s="216">
        <f>IFERROR(IF(AND(ISNUMBER(O412),ISNUMBER(I412),I412&lt;&gt;0),O412/I412,""),"")</f>
        <v/>
      </c>
      <c r="Q412" s="215">
        <f>IF(AND(ISNUMBER(I412),ISNUMBER(S412)),I412*IF(S412&lt;=1,S412,S412/100),IF(OR(I412&lt;&gt;"",S412&lt;&gt;""),"tbd",""))</f>
        <v/>
      </c>
      <c r="S412" s="217" t="n"/>
      <c r="Z412">
        <f>IF(AND(R412="WON",ISNUMBER(I412)),AA412,"")</f>
        <v/>
      </c>
      <c r="AA412">
        <f>IFERROR(I412*1,0)</f>
        <v>0</v>
      </c>
    </row>
    <row r="413" ht="15" customHeight="1">
      <c r="I413" s="215" t="n"/>
      <c r="J413" s="215" t="n"/>
      <c r="K413" s="215" t="n"/>
      <c r="L413" s="215" t="n"/>
      <c r="M413" s="215" t="n"/>
      <c r="N413" s="215">
        <f>IF(ISNUMBER(I413),ROUND(I413-I413/1.081,2),"")</f>
        <v/>
      </c>
      <c r="O413" s="215">
        <f>IF(ISNUMBER(I413),I413-SUM(J413:N413),"")</f>
        <v/>
      </c>
      <c r="P413" s="216">
        <f>IFERROR(IF(AND(ISNUMBER(O413),ISNUMBER(I413),I413&lt;&gt;0),O413/I413,""),"")</f>
        <v/>
      </c>
      <c r="Q413" s="215">
        <f>IF(AND(ISNUMBER(I413),ISNUMBER(S413)),I413*IF(S413&lt;=1,S413,S413/100),IF(OR(I413&lt;&gt;"",S413&lt;&gt;""),"tbd",""))</f>
        <v/>
      </c>
      <c r="S413" s="217" t="n"/>
      <c r="Z413">
        <f>IF(AND(R413="WON",ISNUMBER(I413)),AA413,"")</f>
        <v/>
      </c>
      <c r="AA413">
        <f>IFERROR(I413*1,0)</f>
        <v>0</v>
      </c>
    </row>
    <row r="414" ht="15" customHeight="1">
      <c r="I414" s="215" t="n"/>
      <c r="J414" s="215" t="n"/>
      <c r="K414" s="215" t="n"/>
      <c r="L414" s="215" t="n"/>
      <c r="M414" s="215" t="n"/>
      <c r="N414" s="215">
        <f>IF(ISNUMBER(I414),ROUND(I414-I414/1.081,2),"")</f>
        <v/>
      </c>
      <c r="O414" s="215">
        <f>IF(ISNUMBER(I414),I414-SUM(J414:N414),"")</f>
        <v/>
      </c>
      <c r="P414" s="216">
        <f>IFERROR(IF(AND(ISNUMBER(O414),ISNUMBER(I414),I414&lt;&gt;0),O414/I414,""),"")</f>
        <v/>
      </c>
      <c r="Q414" s="215">
        <f>IF(AND(ISNUMBER(I414),ISNUMBER(S414)),I414*IF(S414&lt;=1,S414,S414/100),IF(OR(I414&lt;&gt;"",S414&lt;&gt;""),"tbd",""))</f>
        <v/>
      </c>
      <c r="S414" s="217" t="n"/>
      <c r="Z414">
        <f>IF(AND(R414="WON",ISNUMBER(I414)),AA414,"")</f>
        <v/>
      </c>
      <c r="AA414">
        <f>IFERROR(I414*1,0)</f>
        <v>0</v>
      </c>
    </row>
    <row r="415" ht="15" customHeight="1">
      <c r="I415" s="215" t="n"/>
      <c r="J415" s="215" t="n"/>
      <c r="K415" s="215" t="n"/>
      <c r="L415" s="215" t="n"/>
      <c r="M415" s="215" t="n"/>
      <c r="N415" s="215">
        <f>IF(ISNUMBER(I415),ROUND(I415-I415/1.081,2),"")</f>
        <v/>
      </c>
      <c r="O415" s="215">
        <f>IF(ISNUMBER(I415),I415-SUM(J415:N415),"")</f>
        <v/>
      </c>
      <c r="P415" s="216">
        <f>IFERROR(IF(AND(ISNUMBER(O415),ISNUMBER(I415),I415&lt;&gt;0),O415/I415,""),"")</f>
        <v/>
      </c>
      <c r="Q415" s="215">
        <f>IF(AND(ISNUMBER(I415),ISNUMBER(S415)),I415*IF(S415&lt;=1,S415,S415/100),IF(OR(I415&lt;&gt;"",S415&lt;&gt;""),"tbd",""))</f>
        <v/>
      </c>
      <c r="S415" s="217" t="n"/>
      <c r="Z415">
        <f>IF(AND(R415="WON",ISNUMBER(I415)),AA415,"")</f>
        <v/>
      </c>
      <c r="AA415">
        <f>IFERROR(I415*1,0)</f>
        <v>0</v>
      </c>
    </row>
    <row r="416" ht="15" customHeight="1">
      <c r="I416" s="215" t="n"/>
      <c r="J416" s="215" t="n"/>
      <c r="K416" s="215" t="n"/>
      <c r="L416" s="215" t="n"/>
      <c r="M416" s="215" t="n"/>
      <c r="N416" s="215">
        <f>IF(ISNUMBER(I416),ROUND(I416-I416/1.081,2),"")</f>
        <v/>
      </c>
      <c r="O416" s="215">
        <f>IF(ISNUMBER(I416),I416-SUM(J416:N416),"")</f>
        <v/>
      </c>
      <c r="P416" s="216">
        <f>IFERROR(IF(AND(ISNUMBER(O416),ISNUMBER(I416),I416&lt;&gt;0),O416/I416,""),"")</f>
        <v/>
      </c>
      <c r="Q416" s="215">
        <f>IF(AND(ISNUMBER(I416),ISNUMBER(S416)),I416*IF(S416&lt;=1,S416,S416/100),IF(OR(I416&lt;&gt;"",S416&lt;&gt;""),"tbd",""))</f>
        <v/>
      </c>
      <c r="S416" s="217" t="n"/>
      <c r="Z416">
        <f>IF(AND(R416="WON",ISNUMBER(I416)),AA416,"")</f>
        <v/>
      </c>
      <c r="AA416">
        <f>IFERROR(I416*1,0)</f>
        <v>0</v>
      </c>
    </row>
    <row r="417" ht="15" customHeight="1">
      <c r="I417" s="215" t="n"/>
      <c r="J417" s="215" t="n"/>
      <c r="K417" s="215" t="n"/>
      <c r="L417" s="215" t="n"/>
      <c r="M417" s="215" t="n"/>
      <c r="N417" s="215">
        <f>IF(ISNUMBER(I417),ROUND(I417-I417/1.081,2),"")</f>
        <v/>
      </c>
      <c r="O417" s="215">
        <f>IF(ISNUMBER(I417),I417-SUM(J417:N417),"")</f>
        <v/>
      </c>
      <c r="P417" s="216">
        <f>IFERROR(IF(AND(ISNUMBER(O417),ISNUMBER(I417),I417&lt;&gt;0),O417/I417,""),"")</f>
        <v/>
      </c>
      <c r="Q417" s="215">
        <f>IF(AND(ISNUMBER(I417),ISNUMBER(S417)),I417*IF(S417&lt;=1,S417,S417/100),IF(OR(I417&lt;&gt;"",S417&lt;&gt;""),"tbd",""))</f>
        <v/>
      </c>
      <c r="S417" s="217" t="n"/>
      <c r="Z417">
        <f>IF(AND(R417="WON",ISNUMBER(I417)),AA417,"")</f>
        <v/>
      </c>
      <c r="AA417">
        <f>IFERROR(I417*1,0)</f>
        <v>0</v>
      </c>
    </row>
    <row r="418" ht="15" customHeight="1">
      <c r="I418" s="215" t="n"/>
      <c r="J418" s="215" t="n"/>
      <c r="K418" s="215" t="n"/>
      <c r="L418" s="215" t="n"/>
      <c r="M418" s="215" t="n"/>
      <c r="N418" s="215">
        <f>IF(ISNUMBER(I418),ROUND(I418-I418/1.081,2),"")</f>
        <v/>
      </c>
      <c r="O418" s="215">
        <f>IF(ISNUMBER(I418),I418-SUM(J418:N418),"")</f>
        <v/>
      </c>
      <c r="P418" s="216">
        <f>IFERROR(IF(AND(ISNUMBER(O418),ISNUMBER(I418),I418&lt;&gt;0),O418/I418,""),"")</f>
        <v/>
      </c>
      <c r="Q418" s="215">
        <f>IF(AND(ISNUMBER(I418),ISNUMBER(S418)),I418*IF(S418&lt;=1,S418,S418/100),IF(OR(I418&lt;&gt;"",S418&lt;&gt;""),"tbd",""))</f>
        <v/>
      </c>
      <c r="S418" s="217" t="n"/>
      <c r="Z418">
        <f>IF(AND(R418="WON",ISNUMBER(I418)),AA418,"")</f>
        <v/>
      </c>
      <c r="AA418">
        <f>IFERROR(I418*1,0)</f>
        <v>0</v>
      </c>
    </row>
    <row r="419" ht="15" customHeight="1">
      <c r="I419" s="215" t="n"/>
      <c r="J419" s="215" t="n"/>
      <c r="K419" s="215" t="n"/>
      <c r="L419" s="215" t="n"/>
      <c r="M419" s="215" t="n"/>
      <c r="N419" s="215">
        <f>IF(ISNUMBER(I419),ROUND(I419-I419/1.081,2),"")</f>
        <v/>
      </c>
      <c r="O419" s="215">
        <f>IF(ISNUMBER(I419),I419-SUM(J419:N419),"")</f>
        <v/>
      </c>
      <c r="P419" s="216">
        <f>IFERROR(IF(AND(ISNUMBER(O419),ISNUMBER(I419),I419&lt;&gt;0),O419/I419,""),"")</f>
        <v/>
      </c>
      <c r="Q419" s="215">
        <f>IF(AND(ISNUMBER(I419),ISNUMBER(S419)),I419*IF(S419&lt;=1,S419,S419/100),IF(OR(I419&lt;&gt;"",S419&lt;&gt;""),"tbd",""))</f>
        <v/>
      </c>
      <c r="S419" s="217" t="n"/>
      <c r="Z419">
        <f>IF(AND(R419="WON",ISNUMBER(I419)),AA419,"")</f>
        <v/>
      </c>
      <c r="AA419">
        <f>IFERROR(I419*1,0)</f>
        <v>0</v>
      </c>
    </row>
    <row r="420" ht="15" customHeight="1">
      <c r="I420" s="215" t="n"/>
      <c r="J420" s="215" t="n"/>
      <c r="K420" s="215" t="n"/>
      <c r="L420" s="215" t="n"/>
      <c r="M420" s="215" t="n"/>
      <c r="N420" s="215">
        <f>IF(ISNUMBER(I420),ROUND(I420-I420/1.081,2),"")</f>
        <v/>
      </c>
      <c r="O420" s="215">
        <f>IF(ISNUMBER(I420),I420-SUM(J420:N420),"")</f>
        <v/>
      </c>
      <c r="P420" s="216">
        <f>IFERROR(IF(AND(ISNUMBER(O420),ISNUMBER(I420),I420&lt;&gt;0),O420/I420,""),"")</f>
        <v/>
      </c>
      <c r="Q420" s="215">
        <f>IF(AND(ISNUMBER(I420),ISNUMBER(S420)),I420*IF(S420&lt;=1,S420,S420/100),IF(OR(I420&lt;&gt;"",S420&lt;&gt;""),"tbd",""))</f>
        <v/>
      </c>
      <c r="S420" s="217" t="n"/>
      <c r="Z420">
        <f>IF(AND(R420="WON",ISNUMBER(I420)),AA420,"")</f>
        <v/>
      </c>
      <c r="AA420">
        <f>IFERROR(I420*1,0)</f>
        <v>0</v>
      </c>
    </row>
    <row r="421" ht="15" customHeight="1">
      <c r="I421" s="215" t="n"/>
      <c r="J421" s="215" t="n"/>
      <c r="K421" s="215" t="n"/>
      <c r="L421" s="215" t="n"/>
      <c r="M421" s="215" t="n"/>
      <c r="N421" s="215">
        <f>IF(ISNUMBER(I421),ROUND(I421-I421/1.081,2),"")</f>
        <v/>
      </c>
      <c r="O421" s="215">
        <f>IF(ISNUMBER(I421),I421-SUM(J421:N421),"")</f>
        <v/>
      </c>
      <c r="P421" s="216">
        <f>IFERROR(IF(AND(ISNUMBER(O421),ISNUMBER(I421),I421&lt;&gt;0),O421/I421,""),"")</f>
        <v/>
      </c>
      <c r="Q421" s="215">
        <f>IF(AND(ISNUMBER(I421),ISNUMBER(S421)),I421*IF(S421&lt;=1,S421,S421/100),IF(OR(I421&lt;&gt;"",S421&lt;&gt;""),"tbd",""))</f>
        <v/>
      </c>
      <c r="S421" s="217" t="n"/>
      <c r="Z421">
        <f>IF(AND(R421="WON",ISNUMBER(I421)),AA421,"")</f>
        <v/>
      </c>
      <c r="AA421">
        <f>IFERROR(I421*1,0)</f>
        <v>0</v>
      </c>
    </row>
    <row r="422" ht="15" customHeight="1">
      <c r="I422" s="215" t="n"/>
      <c r="J422" s="215" t="n"/>
      <c r="K422" s="215" t="n"/>
      <c r="L422" s="215" t="n"/>
      <c r="M422" s="215" t="n"/>
      <c r="N422" s="215">
        <f>IF(ISNUMBER(I422),ROUND(I422-I422/1.081,2),"")</f>
        <v/>
      </c>
      <c r="O422" s="215">
        <f>IF(ISNUMBER(I422),I422-SUM(J422:N422),"")</f>
        <v/>
      </c>
      <c r="P422" s="216">
        <f>IFERROR(IF(AND(ISNUMBER(O422),ISNUMBER(I422),I422&lt;&gt;0),O422/I422,""),"")</f>
        <v/>
      </c>
      <c r="Q422" s="215">
        <f>IF(AND(ISNUMBER(I422),ISNUMBER(S422)),I422*IF(S422&lt;=1,S422,S422/100),IF(OR(I422&lt;&gt;"",S422&lt;&gt;""),"tbd",""))</f>
        <v/>
      </c>
      <c r="S422" s="217" t="n"/>
      <c r="Z422">
        <f>IF(AND(R422="WON",ISNUMBER(I422)),AA422,"")</f>
        <v/>
      </c>
      <c r="AA422">
        <f>IFERROR(I422*1,0)</f>
        <v>0</v>
      </c>
    </row>
    <row r="423" ht="15" customHeight="1">
      <c r="I423" s="215" t="n"/>
      <c r="J423" s="215" t="n"/>
      <c r="K423" s="215" t="n"/>
      <c r="L423" s="215" t="n"/>
      <c r="M423" s="215" t="n"/>
      <c r="N423" s="215">
        <f>IF(ISNUMBER(I423),ROUND(I423-I423/1.081,2),"")</f>
        <v/>
      </c>
      <c r="O423" s="215">
        <f>IF(ISNUMBER(I423),I423-SUM(J423:N423),"")</f>
        <v/>
      </c>
      <c r="P423" s="216">
        <f>IFERROR(IF(AND(ISNUMBER(O423),ISNUMBER(I423),I423&lt;&gt;0),O423/I423,""),"")</f>
        <v/>
      </c>
      <c r="Q423" s="215">
        <f>IF(AND(ISNUMBER(I423),ISNUMBER(S423)),I423*IF(S423&lt;=1,S423,S423/100),IF(OR(I423&lt;&gt;"",S423&lt;&gt;""),"tbd",""))</f>
        <v/>
      </c>
      <c r="S423" s="217" t="n"/>
      <c r="Z423">
        <f>IF(AND(R423="WON",ISNUMBER(I423)),AA423,"")</f>
        <v/>
      </c>
      <c r="AA423">
        <f>IFERROR(I423*1,0)</f>
        <v>0</v>
      </c>
    </row>
    <row r="424" ht="15" customHeight="1">
      <c r="I424" s="215" t="n"/>
      <c r="J424" s="215" t="n"/>
      <c r="K424" s="215" t="n"/>
      <c r="L424" s="215" t="n"/>
      <c r="M424" s="215" t="n"/>
      <c r="N424" s="215">
        <f>IF(ISNUMBER(I424),ROUND(I424-I424/1.081,2),"")</f>
        <v/>
      </c>
      <c r="O424" s="215">
        <f>IF(ISNUMBER(I424),I424-SUM(J424:N424),"")</f>
        <v/>
      </c>
      <c r="P424" s="216">
        <f>IFERROR(IF(AND(ISNUMBER(O424),ISNUMBER(I424),I424&lt;&gt;0),O424/I424,""),"")</f>
        <v/>
      </c>
      <c r="Q424" s="215">
        <f>IF(AND(ISNUMBER(I424),ISNUMBER(S424)),I424*IF(S424&lt;=1,S424,S424/100),IF(OR(I424&lt;&gt;"",S424&lt;&gt;""),"tbd",""))</f>
        <v/>
      </c>
      <c r="S424" s="217" t="n"/>
      <c r="Z424">
        <f>IF(AND(R424="WON",ISNUMBER(I424)),AA424,"")</f>
        <v/>
      </c>
      <c r="AA424">
        <f>IFERROR(I424*1,0)</f>
        <v>0</v>
      </c>
    </row>
    <row r="425" ht="15" customHeight="1">
      <c r="I425" s="215" t="n"/>
      <c r="J425" s="215" t="n"/>
      <c r="K425" s="215" t="n"/>
      <c r="L425" s="215" t="n"/>
      <c r="M425" s="215" t="n"/>
      <c r="N425" s="215">
        <f>IF(ISNUMBER(I425),ROUND(I425-I425/1.081,2),"")</f>
        <v/>
      </c>
      <c r="O425" s="215">
        <f>IF(ISNUMBER(I425),I425-SUM(J425:N425),"")</f>
        <v/>
      </c>
      <c r="P425" s="216">
        <f>IFERROR(IF(AND(ISNUMBER(O425),ISNUMBER(I425),I425&lt;&gt;0),O425/I425,""),"")</f>
        <v/>
      </c>
      <c r="Q425" s="215">
        <f>IF(AND(ISNUMBER(I425),ISNUMBER(S425)),I425*IF(S425&lt;=1,S425,S425/100),IF(OR(I425&lt;&gt;"",S425&lt;&gt;""),"tbd",""))</f>
        <v/>
      </c>
      <c r="S425" s="217" t="n"/>
      <c r="Z425">
        <f>IF(AND(R425="WON",ISNUMBER(I425)),AA425,"")</f>
        <v/>
      </c>
      <c r="AA425">
        <f>IFERROR(I425*1,0)</f>
        <v>0</v>
      </c>
    </row>
    <row r="426" ht="15" customHeight="1">
      <c r="I426" s="215" t="n"/>
      <c r="J426" s="215" t="n"/>
      <c r="K426" s="215" t="n"/>
      <c r="L426" s="215" t="n"/>
      <c r="M426" s="215" t="n"/>
      <c r="N426" s="215">
        <f>IF(ISNUMBER(I426),ROUND(I426-I426/1.081,2),"")</f>
        <v/>
      </c>
      <c r="O426" s="215">
        <f>IF(ISNUMBER(I426),I426-SUM(J426:N426),"")</f>
        <v/>
      </c>
      <c r="P426" s="216">
        <f>IFERROR(IF(AND(ISNUMBER(O426),ISNUMBER(I426),I426&lt;&gt;0),O426/I426,""),"")</f>
        <v/>
      </c>
      <c r="Q426" s="215">
        <f>IF(AND(ISNUMBER(I426),ISNUMBER(S426)),I426*IF(S426&lt;=1,S426,S426/100),IF(OR(I426&lt;&gt;"",S426&lt;&gt;""),"tbd",""))</f>
        <v/>
      </c>
      <c r="S426" s="217" t="n"/>
      <c r="Z426">
        <f>IF(AND(R426="WON",ISNUMBER(I426)),AA426,"")</f>
        <v/>
      </c>
      <c r="AA426">
        <f>IFERROR(I426*1,0)</f>
        <v>0</v>
      </c>
    </row>
    <row r="427" ht="15" customHeight="1">
      <c r="I427" s="215" t="n"/>
      <c r="J427" s="215" t="n"/>
      <c r="K427" s="215" t="n"/>
      <c r="L427" s="215" t="n"/>
      <c r="M427" s="215" t="n"/>
      <c r="N427" s="215">
        <f>IF(ISNUMBER(I427),ROUND(I427-I427/1.081,2),"")</f>
        <v/>
      </c>
      <c r="O427" s="215">
        <f>IF(ISNUMBER(I427),I427-SUM(J427:N427),"")</f>
        <v/>
      </c>
      <c r="P427" s="216">
        <f>IFERROR(IF(AND(ISNUMBER(O427),ISNUMBER(I427),I427&lt;&gt;0),O427/I427,""),"")</f>
        <v/>
      </c>
      <c r="Q427" s="215">
        <f>IF(AND(ISNUMBER(I427),ISNUMBER(S427)),I427*IF(S427&lt;=1,S427,S427/100),IF(OR(I427&lt;&gt;"",S427&lt;&gt;""),"tbd",""))</f>
        <v/>
      </c>
      <c r="S427" s="217" t="n"/>
      <c r="Z427">
        <f>IF(AND(R427="WON",ISNUMBER(I427)),AA427,"")</f>
        <v/>
      </c>
      <c r="AA427">
        <f>IFERROR(I427*1,0)</f>
        <v>0</v>
      </c>
    </row>
    <row r="428" ht="15" customHeight="1">
      <c r="I428" s="215" t="n"/>
      <c r="J428" s="215" t="n"/>
      <c r="K428" s="215" t="n"/>
      <c r="L428" s="215" t="n"/>
      <c r="M428" s="215" t="n"/>
      <c r="N428" s="215">
        <f>IF(ISNUMBER(I428),ROUND(I428-I428/1.081,2),"")</f>
        <v/>
      </c>
      <c r="O428" s="215">
        <f>IF(ISNUMBER(I428),I428-SUM(J428:N428),"")</f>
        <v/>
      </c>
      <c r="P428" s="216">
        <f>IFERROR(IF(AND(ISNUMBER(O428),ISNUMBER(I428),I428&lt;&gt;0),O428/I428,""),"")</f>
        <v/>
      </c>
      <c r="Q428" s="215">
        <f>IF(AND(ISNUMBER(I428),ISNUMBER(S428)),I428*IF(S428&lt;=1,S428,S428/100),IF(OR(I428&lt;&gt;"",S428&lt;&gt;""),"tbd",""))</f>
        <v/>
      </c>
      <c r="S428" s="217" t="n"/>
      <c r="Z428">
        <f>IF(AND(R428="WON",ISNUMBER(I428)),AA428,"")</f>
        <v/>
      </c>
      <c r="AA428">
        <f>IFERROR(I428*1,0)</f>
        <v>0</v>
      </c>
    </row>
    <row r="429" ht="15" customHeight="1">
      <c r="I429" s="215" t="n"/>
      <c r="J429" s="215" t="n"/>
      <c r="K429" s="215" t="n"/>
      <c r="L429" s="215" t="n"/>
      <c r="M429" s="215" t="n"/>
      <c r="N429" s="215">
        <f>IF(ISNUMBER(I429),ROUND(I429-I429/1.081,2),"")</f>
        <v/>
      </c>
      <c r="O429" s="215">
        <f>IF(ISNUMBER(I429),I429-SUM(J429:N429),"")</f>
        <v/>
      </c>
      <c r="P429" s="216">
        <f>IFERROR(IF(AND(ISNUMBER(O429),ISNUMBER(I429),I429&lt;&gt;0),O429/I429,""),"")</f>
        <v/>
      </c>
      <c r="Q429" s="215">
        <f>IF(AND(ISNUMBER(I429),ISNUMBER(S429)),I429*IF(S429&lt;=1,S429,S429/100),IF(OR(I429&lt;&gt;"",S429&lt;&gt;""),"tbd",""))</f>
        <v/>
      </c>
      <c r="S429" s="217" t="n"/>
      <c r="Z429">
        <f>IF(AND(R429="WON",ISNUMBER(I429)),AA429,"")</f>
        <v/>
      </c>
      <c r="AA429">
        <f>IFERROR(I429*1,0)</f>
        <v>0</v>
      </c>
    </row>
    <row r="430" ht="15" customHeight="1">
      <c r="I430" s="215" t="n"/>
      <c r="J430" s="215" t="n"/>
      <c r="K430" s="215" t="n"/>
      <c r="L430" s="215" t="n"/>
      <c r="M430" s="215" t="n"/>
      <c r="N430" s="215">
        <f>IF(ISNUMBER(I430),ROUND(I430-I430/1.081,2),"")</f>
        <v/>
      </c>
      <c r="O430" s="215">
        <f>IF(ISNUMBER(I430),I430-SUM(J430:N430),"")</f>
        <v/>
      </c>
      <c r="P430" s="216">
        <f>IFERROR(IF(AND(ISNUMBER(O430),ISNUMBER(I430),I430&lt;&gt;0),O430/I430,""),"")</f>
        <v/>
      </c>
      <c r="Q430" s="215">
        <f>IF(AND(ISNUMBER(I430),ISNUMBER(S430)),I430*IF(S430&lt;=1,S430,S430/100),IF(OR(I430&lt;&gt;"",S430&lt;&gt;""),"tbd",""))</f>
        <v/>
      </c>
      <c r="S430" s="217" t="n"/>
      <c r="Z430">
        <f>IF(AND(R430="WON",ISNUMBER(I430)),AA430,"")</f>
        <v/>
      </c>
      <c r="AA430">
        <f>IFERROR(I430*1,0)</f>
        <v>0</v>
      </c>
    </row>
    <row r="431" ht="15" customHeight="1">
      <c r="I431" s="215" t="n"/>
      <c r="J431" s="215" t="n"/>
      <c r="K431" s="215" t="n"/>
      <c r="L431" s="215" t="n"/>
      <c r="M431" s="215" t="n"/>
      <c r="N431" s="215">
        <f>IF(ISNUMBER(I431),ROUND(I431-I431/1.081,2),"")</f>
        <v/>
      </c>
      <c r="O431" s="215">
        <f>IF(ISNUMBER(I431),I431-SUM(J431:N431),"")</f>
        <v/>
      </c>
      <c r="P431" s="216">
        <f>IFERROR(IF(AND(ISNUMBER(O431),ISNUMBER(I431),I431&lt;&gt;0),O431/I431,""),"")</f>
        <v/>
      </c>
      <c r="Q431" s="215">
        <f>IF(AND(ISNUMBER(I431),ISNUMBER(S431)),I431*IF(S431&lt;=1,S431,S431/100),IF(OR(I431&lt;&gt;"",S431&lt;&gt;""),"tbd",""))</f>
        <v/>
      </c>
      <c r="S431" s="217" t="n"/>
      <c r="Z431">
        <f>IF(AND(R431="WON",ISNUMBER(I431)),AA431,"")</f>
        <v/>
      </c>
      <c r="AA431">
        <f>IFERROR(I431*1,0)</f>
        <v>0</v>
      </c>
    </row>
    <row r="432" ht="15" customHeight="1">
      <c r="I432" s="215" t="n"/>
      <c r="J432" s="215" t="n"/>
      <c r="K432" s="215" t="n"/>
      <c r="L432" s="215" t="n"/>
      <c r="M432" s="215" t="n"/>
      <c r="N432" s="215">
        <f>IF(ISNUMBER(I432),ROUND(I432-I432/1.081,2),"")</f>
        <v/>
      </c>
      <c r="O432" s="215">
        <f>IF(ISNUMBER(I432),I432-SUM(J432:N432),"")</f>
        <v/>
      </c>
      <c r="P432" s="216">
        <f>IFERROR(IF(AND(ISNUMBER(O432),ISNUMBER(I432),I432&lt;&gt;0),O432/I432,""),"")</f>
        <v/>
      </c>
      <c r="Q432" s="215">
        <f>IF(AND(ISNUMBER(I432),ISNUMBER(S432)),I432*IF(S432&lt;=1,S432,S432/100),IF(OR(I432&lt;&gt;"",S432&lt;&gt;""),"tbd",""))</f>
        <v/>
      </c>
      <c r="S432" s="217" t="n"/>
      <c r="Z432">
        <f>IF(AND(R432="WON",ISNUMBER(I432)),AA432,"")</f>
        <v/>
      </c>
      <c r="AA432">
        <f>IFERROR(I432*1,0)</f>
        <v>0</v>
      </c>
    </row>
    <row r="433" ht="15" customHeight="1">
      <c r="I433" s="215" t="n"/>
      <c r="J433" s="215" t="n"/>
      <c r="K433" s="215" t="n"/>
      <c r="L433" s="215" t="n"/>
      <c r="M433" s="215" t="n"/>
      <c r="N433" s="215">
        <f>IF(ISNUMBER(I433),ROUND(I433-I433/1.081,2),"")</f>
        <v/>
      </c>
      <c r="O433" s="215">
        <f>IF(ISNUMBER(I433),I433-SUM(J433:N433),"")</f>
        <v/>
      </c>
      <c r="P433" s="216">
        <f>IFERROR(IF(AND(ISNUMBER(O433),ISNUMBER(I433),I433&lt;&gt;0),O433/I433,""),"")</f>
        <v/>
      </c>
      <c r="Q433" s="215">
        <f>IF(AND(ISNUMBER(I433),ISNUMBER(S433)),I433*IF(S433&lt;=1,S433,S433/100),IF(OR(I433&lt;&gt;"",S433&lt;&gt;""),"tbd",""))</f>
        <v/>
      </c>
      <c r="S433" s="217" t="n"/>
      <c r="Z433">
        <f>IF(AND(R433="WON",ISNUMBER(I433)),AA433,"")</f>
        <v/>
      </c>
      <c r="AA433">
        <f>IFERROR(I433*1,0)</f>
        <v>0</v>
      </c>
    </row>
    <row r="434" ht="15" customHeight="1">
      <c r="I434" s="215" t="n"/>
      <c r="J434" s="215" t="n"/>
      <c r="K434" s="215" t="n"/>
      <c r="L434" s="215" t="n"/>
      <c r="M434" s="215" t="n"/>
      <c r="N434" s="215">
        <f>IF(ISNUMBER(I434),ROUND(I434-I434/1.081,2),"")</f>
        <v/>
      </c>
      <c r="O434" s="215">
        <f>IF(ISNUMBER(I434),I434-SUM(J434:N434),"")</f>
        <v/>
      </c>
      <c r="P434" s="216">
        <f>IFERROR(IF(AND(ISNUMBER(O434),ISNUMBER(I434),I434&lt;&gt;0),O434/I434,""),"")</f>
        <v/>
      </c>
      <c r="Q434" s="215">
        <f>IF(AND(ISNUMBER(I434),ISNUMBER(S434)),I434*IF(S434&lt;=1,S434,S434/100),IF(OR(I434&lt;&gt;"",S434&lt;&gt;""),"tbd",""))</f>
        <v/>
      </c>
      <c r="S434" s="217" t="n"/>
      <c r="Z434">
        <f>IF(AND(R434="WON",ISNUMBER(I434)),AA434,"")</f>
        <v/>
      </c>
      <c r="AA434">
        <f>IFERROR(I434*1,0)</f>
        <v>0</v>
      </c>
    </row>
    <row r="435" ht="15" customHeight="1">
      <c r="I435" s="215" t="n"/>
      <c r="J435" s="215" t="n"/>
      <c r="K435" s="215" t="n"/>
      <c r="L435" s="215" t="n"/>
      <c r="M435" s="215" t="n"/>
      <c r="N435" s="215">
        <f>IF(ISNUMBER(I435),ROUND(I435-I435/1.081,2),"")</f>
        <v/>
      </c>
      <c r="O435" s="215">
        <f>IF(ISNUMBER(I435),I435-SUM(J435:N435),"")</f>
        <v/>
      </c>
      <c r="P435" s="216">
        <f>IFERROR(IF(AND(ISNUMBER(O435),ISNUMBER(I435),I435&lt;&gt;0),O435/I435,""),"")</f>
        <v/>
      </c>
      <c r="Q435" s="215">
        <f>IF(AND(ISNUMBER(I435),ISNUMBER(S435)),I435*IF(S435&lt;=1,S435,S435/100),IF(OR(I435&lt;&gt;"",S435&lt;&gt;""),"tbd",""))</f>
        <v/>
      </c>
      <c r="S435" s="217" t="n"/>
      <c r="Z435">
        <f>IF(AND(R435="WON",ISNUMBER(I435)),AA435,"")</f>
        <v/>
      </c>
      <c r="AA435">
        <f>IFERROR(I435*1,0)</f>
        <v>0</v>
      </c>
    </row>
    <row r="436" ht="15" customHeight="1">
      <c r="I436" s="215" t="n"/>
      <c r="J436" s="215" t="n"/>
      <c r="K436" s="215" t="n"/>
      <c r="L436" s="215" t="n"/>
      <c r="M436" s="215" t="n"/>
      <c r="N436" s="215">
        <f>IF(ISNUMBER(I436),ROUND(I436-I436/1.081,2),"")</f>
        <v/>
      </c>
      <c r="O436" s="215">
        <f>IF(ISNUMBER(I436),I436-SUM(J436:N436),"")</f>
        <v/>
      </c>
      <c r="P436" s="216">
        <f>IFERROR(IF(AND(ISNUMBER(O436),ISNUMBER(I436),I436&lt;&gt;0),O436/I436,""),"")</f>
        <v/>
      </c>
      <c r="Q436" s="215">
        <f>IF(AND(ISNUMBER(I436),ISNUMBER(S436)),I436*IF(S436&lt;=1,S436,S436/100),IF(OR(I436&lt;&gt;"",S436&lt;&gt;""),"tbd",""))</f>
        <v/>
      </c>
      <c r="S436" s="217" t="n"/>
      <c r="Z436">
        <f>IF(AND(R436="WON",ISNUMBER(I436)),AA436,"")</f>
        <v/>
      </c>
      <c r="AA436">
        <f>IFERROR(I436*1,0)</f>
        <v>0</v>
      </c>
    </row>
    <row r="437" ht="15" customHeight="1">
      <c r="I437" s="215" t="n"/>
      <c r="J437" s="215" t="n"/>
      <c r="K437" s="215" t="n"/>
      <c r="L437" s="215" t="n"/>
      <c r="M437" s="215" t="n"/>
      <c r="N437" s="215">
        <f>IF(ISNUMBER(I437),ROUND(I437-I437/1.081,2),"")</f>
        <v/>
      </c>
      <c r="O437" s="215">
        <f>IF(ISNUMBER(I437),I437-SUM(J437:N437),"")</f>
        <v/>
      </c>
      <c r="P437" s="216">
        <f>IFERROR(IF(AND(ISNUMBER(O437),ISNUMBER(I437),I437&lt;&gt;0),O437/I437,""),"")</f>
        <v/>
      </c>
      <c r="Q437" s="215">
        <f>IF(AND(ISNUMBER(I437),ISNUMBER(S437)),I437*IF(S437&lt;=1,S437,S437/100),IF(OR(I437&lt;&gt;"",S437&lt;&gt;""),"tbd",""))</f>
        <v/>
      </c>
      <c r="S437" s="217" t="n"/>
      <c r="Z437">
        <f>IF(AND(R437="WON",ISNUMBER(I437)),AA437,"")</f>
        <v/>
      </c>
      <c r="AA437">
        <f>IFERROR(I437*1,0)</f>
        <v>0</v>
      </c>
    </row>
    <row r="438" ht="15" customHeight="1">
      <c r="I438" s="215" t="n"/>
      <c r="J438" s="215" t="n"/>
      <c r="K438" s="215" t="n"/>
      <c r="L438" s="215" t="n"/>
      <c r="M438" s="215" t="n"/>
      <c r="N438" s="215">
        <f>IF(ISNUMBER(I438),ROUND(I438-I438/1.081,2),"")</f>
        <v/>
      </c>
      <c r="O438" s="215">
        <f>IF(ISNUMBER(I438),I438-SUM(J438:N438),"")</f>
        <v/>
      </c>
      <c r="P438" s="216">
        <f>IFERROR(IF(AND(ISNUMBER(O438),ISNUMBER(I438),I438&lt;&gt;0),O438/I438,""),"")</f>
        <v/>
      </c>
      <c r="Q438" s="215">
        <f>IF(AND(ISNUMBER(I438),ISNUMBER(S438)),I438*IF(S438&lt;=1,S438,S438/100),IF(OR(I438&lt;&gt;"",S438&lt;&gt;""),"tbd",""))</f>
        <v/>
      </c>
      <c r="S438" s="217" t="n"/>
      <c r="Z438">
        <f>IF(AND(R438="WON",ISNUMBER(I438)),AA438,"")</f>
        <v/>
      </c>
      <c r="AA438">
        <f>IFERROR(I438*1,0)</f>
        <v>0</v>
      </c>
    </row>
    <row r="439" ht="15" customHeight="1">
      <c r="I439" s="215" t="n"/>
      <c r="J439" s="215" t="n"/>
      <c r="K439" s="215" t="n"/>
      <c r="L439" s="215" t="n"/>
      <c r="M439" s="215" t="n"/>
      <c r="N439" s="215">
        <f>IF(ISNUMBER(I439),ROUND(I439-I439/1.081,2),"")</f>
        <v/>
      </c>
      <c r="O439" s="215">
        <f>IF(ISNUMBER(I439),I439-SUM(J439:N439),"")</f>
        <v/>
      </c>
      <c r="P439" s="216">
        <f>IFERROR(IF(AND(ISNUMBER(O439),ISNUMBER(I439),I439&lt;&gt;0),O439/I439,""),"")</f>
        <v/>
      </c>
      <c r="Q439" s="215">
        <f>IF(AND(ISNUMBER(I439),ISNUMBER(S439)),I439*IF(S439&lt;=1,S439,S439/100),IF(OR(I439&lt;&gt;"",S439&lt;&gt;""),"tbd",""))</f>
        <v/>
      </c>
      <c r="S439" s="217" t="n"/>
      <c r="Z439">
        <f>IF(AND(R439="WON",ISNUMBER(I439)),AA439,"")</f>
        <v/>
      </c>
      <c r="AA439">
        <f>IFERROR(I439*1,0)</f>
        <v>0</v>
      </c>
    </row>
    <row r="440" ht="15" customHeight="1">
      <c r="I440" s="215" t="n"/>
      <c r="J440" s="215" t="n"/>
      <c r="K440" s="215" t="n"/>
      <c r="L440" s="215" t="n"/>
      <c r="M440" s="215" t="n"/>
      <c r="N440" s="215">
        <f>IF(ISNUMBER(I440),ROUND(I440-I440/1.081,2),"")</f>
        <v/>
      </c>
      <c r="O440" s="215">
        <f>IF(ISNUMBER(I440),I440-SUM(J440:N440),"")</f>
        <v/>
      </c>
      <c r="P440" s="216">
        <f>IFERROR(IF(AND(ISNUMBER(O440),ISNUMBER(I440),I440&lt;&gt;0),O440/I440,""),"")</f>
        <v/>
      </c>
      <c r="Q440" s="215">
        <f>IF(AND(ISNUMBER(I440),ISNUMBER(S440)),I440*IF(S440&lt;=1,S440,S440/100),IF(OR(I440&lt;&gt;"",S440&lt;&gt;""),"tbd",""))</f>
        <v/>
      </c>
      <c r="S440" s="217" t="n"/>
      <c r="Z440">
        <f>IF(AND(R440="WON",ISNUMBER(I440)),AA440,"")</f>
        <v/>
      </c>
      <c r="AA440">
        <f>IFERROR(I440*1,0)</f>
        <v>0</v>
      </c>
    </row>
    <row r="441" ht="15" customHeight="1">
      <c r="I441" s="215" t="n"/>
      <c r="J441" s="215" t="n"/>
      <c r="K441" s="215" t="n"/>
      <c r="L441" s="215" t="n"/>
      <c r="M441" s="215" t="n"/>
      <c r="N441" s="215">
        <f>IF(ISNUMBER(I441),ROUND(I441-I441/1.081,2),"")</f>
        <v/>
      </c>
      <c r="O441" s="215">
        <f>IF(ISNUMBER(I441),I441-SUM(J441:N441),"")</f>
        <v/>
      </c>
      <c r="P441" s="216">
        <f>IFERROR(IF(AND(ISNUMBER(O441),ISNUMBER(I441),I441&lt;&gt;0),O441/I441,""),"")</f>
        <v/>
      </c>
      <c r="Q441" s="215">
        <f>IF(AND(ISNUMBER(I441),ISNUMBER(S441)),I441*IF(S441&lt;=1,S441,S441/100),IF(OR(I441&lt;&gt;"",S441&lt;&gt;""),"tbd",""))</f>
        <v/>
      </c>
      <c r="S441" s="217" t="n"/>
      <c r="Z441">
        <f>IF(AND(R441="WON",ISNUMBER(I441)),AA441,"")</f>
        <v/>
      </c>
      <c r="AA441">
        <f>IFERROR(I441*1,0)</f>
        <v>0</v>
      </c>
    </row>
    <row r="442" ht="15" customHeight="1">
      <c r="I442" s="215" t="n"/>
      <c r="J442" s="215" t="n"/>
      <c r="K442" s="215" t="n"/>
      <c r="L442" s="215" t="n"/>
      <c r="M442" s="215" t="n"/>
      <c r="N442" s="215">
        <f>IF(ISNUMBER(I442),ROUND(I442-I442/1.081,2),"")</f>
        <v/>
      </c>
      <c r="O442" s="215">
        <f>IF(ISNUMBER(I442),I442-SUM(J442:N442),"")</f>
        <v/>
      </c>
      <c r="P442" s="216">
        <f>IFERROR(IF(AND(ISNUMBER(O442),ISNUMBER(I442),I442&lt;&gt;0),O442/I442,""),"")</f>
        <v/>
      </c>
      <c r="Q442" s="215">
        <f>IF(AND(ISNUMBER(I442),ISNUMBER(S442)),I442*IF(S442&lt;=1,S442,S442/100),IF(OR(I442&lt;&gt;"",S442&lt;&gt;""),"tbd",""))</f>
        <v/>
      </c>
      <c r="S442" s="217" t="n"/>
      <c r="Z442">
        <f>IF(AND(R442="WON",ISNUMBER(I442)),AA442,"")</f>
        <v/>
      </c>
      <c r="AA442">
        <f>IFERROR(I442*1,0)</f>
        <v>0</v>
      </c>
    </row>
    <row r="443" ht="15" customHeight="1">
      <c r="I443" s="215" t="n"/>
      <c r="J443" s="215" t="n"/>
      <c r="K443" s="215" t="n"/>
      <c r="L443" s="215" t="n"/>
      <c r="M443" s="215" t="n"/>
      <c r="N443" s="215">
        <f>IF(ISNUMBER(I443),ROUND(I443-I443/1.081,2),"")</f>
        <v/>
      </c>
      <c r="O443" s="215">
        <f>IF(ISNUMBER(I443),I443-SUM(J443:N443),"")</f>
        <v/>
      </c>
      <c r="P443" s="216">
        <f>IFERROR(IF(AND(ISNUMBER(O443),ISNUMBER(I443),I443&lt;&gt;0),O443/I443,""),"")</f>
        <v/>
      </c>
      <c r="Q443" s="215">
        <f>IF(AND(ISNUMBER(I443),ISNUMBER(S443)),I443*IF(S443&lt;=1,S443,S443/100),IF(OR(I443&lt;&gt;"",S443&lt;&gt;""),"tbd",""))</f>
        <v/>
      </c>
      <c r="S443" s="217" t="n"/>
      <c r="Z443">
        <f>IF(AND(R443="WON",ISNUMBER(I443)),AA443,"")</f>
        <v/>
      </c>
      <c r="AA443">
        <f>IFERROR(I443*1,0)</f>
        <v>0</v>
      </c>
    </row>
    <row r="444" ht="15" customHeight="1">
      <c r="I444" s="215" t="n"/>
      <c r="J444" s="215" t="n"/>
      <c r="K444" s="215" t="n"/>
      <c r="L444" s="215" t="n"/>
      <c r="M444" s="215" t="n"/>
      <c r="N444" s="215">
        <f>IF(ISNUMBER(I444),ROUND(I444-I444/1.081,2),"")</f>
        <v/>
      </c>
      <c r="O444" s="215">
        <f>IF(ISNUMBER(I444),I444-SUM(J444:N444),"")</f>
        <v/>
      </c>
      <c r="P444" s="216">
        <f>IFERROR(IF(AND(ISNUMBER(O444),ISNUMBER(I444),I444&lt;&gt;0),O444/I444,""),"")</f>
        <v/>
      </c>
      <c r="Q444" s="215">
        <f>IF(AND(ISNUMBER(I444),ISNUMBER(S444)),I444*IF(S444&lt;=1,S444,S444/100),IF(OR(I444&lt;&gt;"",S444&lt;&gt;""),"tbd",""))</f>
        <v/>
      </c>
      <c r="S444" s="217" t="n"/>
      <c r="Z444">
        <f>IF(AND(R444="WON",ISNUMBER(I444)),AA444,"")</f>
        <v/>
      </c>
      <c r="AA444">
        <f>IFERROR(I444*1,0)</f>
        <v>0</v>
      </c>
    </row>
    <row r="445" ht="15" customHeight="1">
      <c r="I445" s="215" t="n"/>
      <c r="J445" s="215" t="n"/>
      <c r="K445" s="215" t="n"/>
      <c r="L445" s="215" t="n"/>
      <c r="M445" s="215" t="n"/>
      <c r="N445" s="215">
        <f>IF(ISNUMBER(I445),ROUND(I445-I445/1.081,2),"")</f>
        <v/>
      </c>
      <c r="O445" s="215">
        <f>IF(ISNUMBER(I445),I445-SUM(J445:N445),"")</f>
        <v/>
      </c>
      <c r="P445" s="216">
        <f>IFERROR(IF(AND(ISNUMBER(O445),ISNUMBER(I445),I445&lt;&gt;0),O445/I445,""),"")</f>
        <v/>
      </c>
      <c r="Q445" s="215">
        <f>IF(AND(ISNUMBER(I445),ISNUMBER(S445)),I445*IF(S445&lt;=1,S445,S445/100),IF(OR(I445&lt;&gt;"",S445&lt;&gt;""),"tbd",""))</f>
        <v/>
      </c>
      <c r="S445" s="217" t="n"/>
      <c r="Z445">
        <f>IF(AND(R445="WON",ISNUMBER(I445)),AA445,"")</f>
        <v/>
      </c>
      <c r="AA445">
        <f>IFERROR(I445*1,0)</f>
        <v>0</v>
      </c>
    </row>
    <row r="446" ht="15" customHeight="1">
      <c r="I446" s="215" t="n"/>
      <c r="J446" s="215" t="n"/>
      <c r="K446" s="215" t="n"/>
      <c r="L446" s="215" t="n"/>
      <c r="M446" s="215" t="n"/>
      <c r="N446" s="215">
        <f>IF(ISNUMBER(I446),ROUND(I446-I446/1.081,2),"")</f>
        <v/>
      </c>
      <c r="O446" s="215">
        <f>IF(ISNUMBER(I446),I446-SUM(J446:N446),"")</f>
        <v/>
      </c>
      <c r="P446" s="216">
        <f>IFERROR(IF(AND(ISNUMBER(O446),ISNUMBER(I446),I446&lt;&gt;0),O446/I446,""),"")</f>
        <v/>
      </c>
      <c r="Q446" s="215">
        <f>IF(AND(ISNUMBER(I446),ISNUMBER(S446)),I446*IF(S446&lt;=1,S446,S446/100),IF(OR(I446&lt;&gt;"",S446&lt;&gt;""),"tbd",""))</f>
        <v/>
      </c>
      <c r="S446" s="217" t="n"/>
      <c r="Z446">
        <f>IF(AND(R446="WON",ISNUMBER(I446)),AA446,"")</f>
        <v/>
      </c>
      <c r="AA446">
        <f>IFERROR(I446*1,0)</f>
        <v>0</v>
      </c>
    </row>
    <row r="447" ht="15" customHeight="1">
      <c r="I447" s="215" t="n"/>
      <c r="J447" s="215" t="n"/>
      <c r="K447" s="215" t="n"/>
      <c r="L447" s="215" t="n"/>
      <c r="M447" s="215" t="n"/>
      <c r="N447" s="215">
        <f>IF(ISNUMBER(I447),ROUND(I447-I447/1.081,2),"")</f>
        <v/>
      </c>
      <c r="O447" s="215">
        <f>IF(ISNUMBER(I447),I447-SUM(J447:N447),"")</f>
        <v/>
      </c>
      <c r="P447" s="216">
        <f>IFERROR(IF(AND(ISNUMBER(O447),ISNUMBER(I447),I447&lt;&gt;0),O447/I447,""),"")</f>
        <v/>
      </c>
      <c r="Q447" s="215">
        <f>IF(AND(ISNUMBER(I447),ISNUMBER(S447)),I447*IF(S447&lt;=1,S447,S447/100),IF(OR(I447&lt;&gt;"",S447&lt;&gt;""),"tbd",""))</f>
        <v/>
      </c>
      <c r="S447" s="217" t="n"/>
      <c r="Z447">
        <f>IF(AND(R447="WON",ISNUMBER(I447)),AA447,"")</f>
        <v/>
      </c>
      <c r="AA447">
        <f>IFERROR(I447*1,0)</f>
        <v>0</v>
      </c>
    </row>
    <row r="448" ht="15" customHeight="1">
      <c r="I448" s="215" t="n"/>
      <c r="J448" s="215" t="n"/>
      <c r="K448" s="215" t="n"/>
      <c r="L448" s="215" t="n"/>
      <c r="M448" s="215" t="n"/>
      <c r="N448" s="215">
        <f>IF(ISNUMBER(I448),ROUND(I448-I448/1.081,2),"")</f>
        <v/>
      </c>
      <c r="O448" s="215">
        <f>IF(ISNUMBER(I448),I448-SUM(J448:N448),"")</f>
        <v/>
      </c>
      <c r="P448" s="216">
        <f>IFERROR(IF(AND(ISNUMBER(O448),ISNUMBER(I448),I448&lt;&gt;0),O448/I448,""),"")</f>
        <v/>
      </c>
      <c r="Q448" s="215">
        <f>IF(AND(ISNUMBER(I448),ISNUMBER(S448)),I448*IF(S448&lt;=1,S448,S448/100),IF(OR(I448&lt;&gt;"",S448&lt;&gt;""),"tbd",""))</f>
        <v/>
      </c>
      <c r="S448" s="217" t="n"/>
      <c r="Z448">
        <f>IF(AND(R448="WON",ISNUMBER(I448)),AA448,"")</f>
        <v/>
      </c>
      <c r="AA448">
        <f>IFERROR(I448*1,0)</f>
        <v>0</v>
      </c>
    </row>
    <row r="449" ht="15" customHeight="1">
      <c r="I449" s="215" t="n"/>
      <c r="J449" s="215" t="n"/>
      <c r="K449" s="215" t="n"/>
      <c r="L449" s="215" t="n"/>
      <c r="M449" s="215" t="n"/>
      <c r="N449" s="215">
        <f>IF(ISNUMBER(I449),ROUND(I449-I449/1.081,2),"")</f>
        <v/>
      </c>
      <c r="O449" s="215">
        <f>IF(ISNUMBER(I449),I449-SUM(J449:N449),"")</f>
        <v/>
      </c>
      <c r="P449" s="216">
        <f>IFERROR(IF(AND(ISNUMBER(O449),ISNUMBER(I449),I449&lt;&gt;0),O449/I449,""),"")</f>
        <v/>
      </c>
      <c r="Q449" s="215">
        <f>IF(AND(ISNUMBER(I449),ISNUMBER(S449)),I449*IF(S449&lt;=1,S449,S449/100),IF(OR(I449&lt;&gt;"",S449&lt;&gt;""),"tbd",""))</f>
        <v/>
      </c>
      <c r="S449" s="217" t="n"/>
      <c r="Z449">
        <f>IF(AND(R449="WON",ISNUMBER(I449)),AA449,"")</f>
        <v/>
      </c>
      <c r="AA449">
        <f>IFERROR(I449*1,0)</f>
        <v>0</v>
      </c>
    </row>
    <row r="450" ht="15" customHeight="1">
      <c r="I450" s="215" t="n"/>
      <c r="J450" s="215" t="n"/>
      <c r="K450" s="215" t="n"/>
      <c r="L450" s="215" t="n"/>
      <c r="M450" s="215" t="n"/>
      <c r="N450" s="215">
        <f>IF(ISNUMBER(I450),ROUND(I450-I450/1.081,2),"")</f>
        <v/>
      </c>
      <c r="O450" s="215">
        <f>IF(ISNUMBER(I450),I450-SUM(J450:N450),"")</f>
        <v/>
      </c>
      <c r="P450" s="216">
        <f>IFERROR(IF(AND(ISNUMBER(O450),ISNUMBER(I450),I450&lt;&gt;0),O450/I450,""),"")</f>
        <v/>
      </c>
      <c r="Q450" s="215">
        <f>IF(AND(ISNUMBER(I450),ISNUMBER(S450)),I450*IF(S450&lt;=1,S450,S450/100),IF(OR(I450&lt;&gt;"",S450&lt;&gt;""),"tbd",""))</f>
        <v/>
      </c>
      <c r="S450" s="217" t="n"/>
      <c r="Z450">
        <f>IF(AND(R450="WON",ISNUMBER(I450)),AA450,"")</f>
        <v/>
      </c>
      <c r="AA450">
        <f>IFERROR(I450*1,0)</f>
        <v>0</v>
      </c>
    </row>
    <row r="451" ht="15" customHeight="1">
      <c r="I451" s="215" t="n"/>
      <c r="J451" s="215" t="n"/>
      <c r="K451" s="215" t="n"/>
      <c r="L451" s="215" t="n"/>
      <c r="M451" s="215" t="n"/>
      <c r="N451" s="215">
        <f>IF(ISNUMBER(I451),ROUND(I451-I451/1.081,2),"")</f>
        <v/>
      </c>
      <c r="O451" s="215">
        <f>IF(ISNUMBER(I451),I451-SUM(J451:N451),"")</f>
        <v/>
      </c>
      <c r="P451" s="216">
        <f>IFERROR(IF(AND(ISNUMBER(O451),ISNUMBER(I451),I451&lt;&gt;0),O451/I451,""),"")</f>
        <v/>
      </c>
      <c r="Q451" s="215">
        <f>IF(AND(ISNUMBER(I451),ISNUMBER(S451)),I451*IF(S451&lt;=1,S451,S451/100),IF(OR(I451&lt;&gt;"",S451&lt;&gt;""),"tbd",""))</f>
        <v/>
      </c>
      <c r="S451" s="217" t="n"/>
      <c r="Z451">
        <f>IF(AND(R451="WON",ISNUMBER(I451)),AA451,"")</f>
        <v/>
      </c>
      <c r="AA451">
        <f>IFERROR(I451*1,0)</f>
        <v>0</v>
      </c>
    </row>
    <row r="452" ht="15" customHeight="1">
      <c r="I452" s="215" t="n"/>
      <c r="J452" s="215" t="n"/>
      <c r="K452" s="215" t="n"/>
      <c r="L452" s="215" t="n"/>
      <c r="M452" s="215" t="n"/>
      <c r="N452" s="215">
        <f>IF(ISNUMBER(I452),ROUND(I452-I452/1.081,2),"")</f>
        <v/>
      </c>
      <c r="O452" s="215">
        <f>IF(ISNUMBER(I452),I452-SUM(J452:N452),"")</f>
        <v/>
      </c>
      <c r="P452" s="216">
        <f>IFERROR(IF(AND(ISNUMBER(O452),ISNUMBER(I452),I452&lt;&gt;0),O452/I452,""),"")</f>
        <v/>
      </c>
      <c r="Q452" s="215">
        <f>IF(AND(ISNUMBER(I452),ISNUMBER(S452)),I452*IF(S452&lt;=1,S452,S452/100),IF(OR(I452&lt;&gt;"",S452&lt;&gt;""),"tbd",""))</f>
        <v/>
      </c>
      <c r="S452" s="217" t="n"/>
      <c r="Z452">
        <f>IF(AND(R452="WON",ISNUMBER(I452)),AA452,"")</f>
        <v/>
      </c>
      <c r="AA452">
        <f>IFERROR(I452*1,0)</f>
        <v>0</v>
      </c>
    </row>
    <row r="453" ht="15" customHeight="1">
      <c r="I453" s="215" t="n"/>
      <c r="J453" s="215" t="n"/>
      <c r="K453" s="215" t="n"/>
      <c r="L453" s="215" t="n"/>
      <c r="M453" s="215" t="n"/>
      <c r="N453" s="215">
        <f>IF(ISNUMBER(I453),ROUND(I453-I453/1.081,2),"")</f>
        <v/>
      </c>
      <c r="O453" s="215">
        <f>IF(ISNUMBER(I453),I453-SUM(J453:N453),"")</f>
        <v/>
      </c>
      <c r="P453" s="216">
        <f>IFERROR(IF(AND(ISNUMBER(O453),ISNUMBER(I453),I453&lt;&gt;0),O453/I453,""),"")</f>
        <v/>
      </c>
      <c r="Q453" s="215">
        <f>IF(AND(ISNUMBER(I453),ISNUMBER(S453)),I453*IF(S453&lt;=1,S453,S453/100),IF(OR(I453&lt;&gt;"",S453&lt;&gt;""),"tbd",""))</f>
        <v/>
      </c>
      <c r="S453" s="217" t="n"/>
      <c r="Z453">
        <f>IF(AND(R453="WON",ISNUMBER(I453)),AA453,"")</f>
        <v/>
      </c>
      <c r="AA453">
        <f>IFERROR(I453*1,0)</f>
        <v>0</v>
      </c>
    </row>
    <row r="454" ht="15" customHeight="1">
      <c r="I454" s="215" t="n"/>
      <c r="J454" s="215" t="n"/>
      <c r="K454" s="215" t="n"/>
      <c r="L454" s="215" t="n"/>
      <c r="M454" s="215" t="n"/>
      <c r="N454" s="215">
        <f>IF(ISNUMBER(I454),ROUND(I454-I454/1.081,2),"")</f>
        <v/>
      </c>
      <c r="O454" s="215">
        <f>IF(ISNUMBER(I454),I454-SUM(J454:N454),"")</f>
        <v/>
      </c>
      <c r="P454" s="216">
        <f>IFERROR(IF(AND(ISNUMBER(O454),ISNUMBER(I454),I454&lt;&gt;0),O454/I454,""),"")</f>
        <v/>
      </c>
      <c r="Q454" s="215">
        <f>IF(AND(ISNUMBER(I454),ISNUMBER(S454)),I454*IF(S454&lt;=1,S454,S454/100),IF(OR(I454&lt;&gt;"",S454&lt;&gt;""),"tbd",""))</f>
        <v/>
      </c>
      <c r="S454" s="217" t="n"/>
      <c r="Z454">
        <f>IF(AND(R454="WON",ISNUMBER(I454)),AA454,"")</f>
        <v/>
      </c>
      <c r="AA454">
        <f>IFERROR(I454*1,0)</f>
        <v>0</v>
      </c>
    </row>
    <row r="455" ht="15" customHeight="1">
      <c r="I455" s="215" t="n"/>
      <c r="J455" s="215" t="n"/>
      <c r="K455" s="215" t="n"/>
      <c r="L455" s="215" t="n"/>
      <c r="M455" s="215" t="n"/>
      <c r="N455" s="215">
        <f>IF(ISNUMBER(I455),ROUND(I455-I455/1.081,2),"")</f>
        <v/>
      </c>
      <c r="O455" s="215">
        <f>IF(ISNUMBER(I455),I455-SUM(J455:N455),"")</f>
        <v/>
      </c>
      <c r="P455" s="216">
        <f>IFERROR(IF(AND(ISNUMBER(O455),ISNUMBER(I455),I455&lt;&gt;0),O455/I455,""),"")</f>
        <v/>
      </c>
      <c r="Q455" s="215">
        <f>IF(AND(ISNUMBER(I455),ISNUMBER(S455)),I455*IF(S455&lt;=1,S455,S455/100),IF(OR(I455&lt;&gt;"",S455&lt;&gt;""),"tbd",""))</f>
        <v/>
      </c>
      <c r="S455" s="217" t="n"/>
      <c r="Z455">
        <f>IF(AND(R455="WON",ISNUMBER(I455)),AA455,"")</f>
        <v/>
      </c>
      <c r="AA455">
        <f>IFERROR(I455*1,0)</f>
        <v>0</v>
      </c>
    </row>
    <row r="456" ht="15" customHeight="1">
      <c r="I456" s="215" t="n"/>
      <c r="J456" s="215" t="n"/>
      <c r="K456" s="215" t="n"/>
      <c r="L456" s="215" t="n"/>
      <c r="M456" s="215" t="n"/>
      <c r="N456" s="215">
        <f>IF(ISNUMBER(I456),ROUND(I456-I456/1.081,2),"")</f>
        <v/>
      </c>
      <c r="O456" s="215">
        <f>IF(ISNUMBER(I456),I456-SUM(J456:N456),"")</f>
        <v/>
      </c>
      <c r="P456" s="216">
        <f>IFERROR(IF(AND(ISNUMBER(O456),ISNUMBER(I456),I456&lt;&gt;0),O456/I456,""),"")</f>
        <v/>
      </c>
      <c r="Q456" s="215">
        <f>IF(AND(ISNUMBER(I456),ISNUMBER(S456)),I456*IF(S456&lt;=1,S456,S456/100),IF(OR(I456&lt;&gt;"",S456&lt;&gt;""),"tbd",""))</f>
        <v/>
      </c>
      <c r="S456" s="217" t="n"/>
      <c r="Z456">
        <f>IF(AND(R456="WON",ISNUMBER(I456)),AA456,"")</f>
        <v/>
      </c>
      <c r="AA456">
        <f>IFERROR(I456*1,0)</f>
        <v>0</v>
      </c>
    </row>
    <row r="457" ht="15" customHeight="1">
      <c r="I457" s="215" t="n"/>
      <c r="J457" s="215" t="n"/>
      <c r="K457" s="215" t="n"/>
      <c r="L457" s="215" t="n"/>
      <c r="M457" s="215" t="n"/>
      <c r="N457" s="215">
        <f>IF(ISNUMBER(I457),ROUND(I457-I457/1.081,2),"")</f>
        <v/>
      </c>
      <c r="O457" s="215">
        <f>IF(ISNUMBER(I457),I457-SUM(J457:N457),"")</f>
        <v/>
      </c>
      <c r="P457" s="216">
        <f>IFERROR(IF(AND(ISNUMBER(O457),ISNUMBER(I457),I457&lt;&gt;0),O457/I457,""),"")</f>
        <v/>
      </c>
      <c r="Q457" s="215">
        <f>IF(AND(ISNUMBER(I457),ISNUMBER(S457)),I457*IF(S457&lt;=1,S457,S457/100),IF(OR(I457&lt;&gt;"",S457&lt;&gt;""),"tbd",""))</f>
        <v/>
      </c>
      <c r="S457" s="217" t="n"/>
      <c r="Z457">
        <f>IF(AND(R457="WON",ISNUMBER(I457)),AA457,"")</f>
        <v/>
      </c>
      <c r="AA457">
        <f>IFERROR(I457*1,0)</f>
        <v>0</v>
      </c>
    </row>
    <row r="458" ht="15" customHeight="1">
      <c r="I458" s="215" t="n"/>
      <c r="J458" s="215" t="n"/>
      <c r="K458" s="215" t="n"/>
      <c r="L458" s="215" t="n"/>
      <c r="M458" s="215" t="n"/>
      <c r="N458" s="215">
        <f>IF(ISNUMBER(I458),ROUND(I458-I458/1.081,2),"")</f>
        <v/>
      </c>
      <c r="O458" s="215">
        <f>IF(ISNUMBER(I458),I458-SUM(J458:N458),"")</f>
        <v/>
      </c>
      <c r="P458" s="216">
        <f>IFERROR(IF(AND(ISNUMBER(O458),ISNUMBER(I458),I458&lt;&gt;0),O458/I458,""),"")</f>
        <v/>
      </c>
      <c r="Q458" s="215">
        <f>IF(AND(ISNUMBER(I458),ISNUMBER(S458)),I458*IF(S458&lt;=1,S458,S458/100),IF(OR(I458&lt;&gt;"",S458&lt;&gt;""),"tbd",""))</f>
        <v/>
      </c>
      <c r="S458" s="217" t="n"/>
      <c r="Z458">
        <f>IF(AND(R458="WON",ISNUMBER(I458)),AA458,"")</f>
        <v/>
      </c>
      <c r="AA458">
        <f>IFERROR(I458*1,0)</f>
        <v>0</v>
      </c>
    </row>
    <row r="459" ht="15" customHeight="1">
      <c r="I459" s="215" t="n"/>
      <c r="J459" s="215" t="n"/>
      <c r="K459" s="215" t="n"/>
      <c r="L459" s="215" t="n"/>
      <c r="M459" s="215" t="n"/>
      <c r="N459" s="215">
        <f>IF(ISNUMBER(I459),ROUND(I459-I459/1.081,2),"")</f>
        <v/>
      </c>
      <c r="O459" s="215">
        <f>IF(ISNUMBER(I459),I459-SUM(J459:N459),"")</f>
        <v/>
      </c>
      <c r="P459" s="216">
        <f>IFERROR(IF(AND(ISNUMBER(O459),ISNUMBER(I459),I459&lt;&gt;0),O459/I459,""),"")</f>
        <v/>
      </c>
      <c r="Q459" s="215">
        <f>IF(AND(ISNUMBER(I459),ISNUMBER(S459)),I459*IF(S459&lt;=1,S459,S459/100),IF(OR(I459&lt;&gt;"",S459&lt;&gt;""),"tbd",""))</f>
        <v/>
      </c>
      <c r="S459" s="217" t="n"/>
      <c r="Z459">
        <f>IF(AND(R459="WON",ISNUMBER(I459)),AA459,"")</f>
        <v/>
      </c>
      <c r="AA459">
        <f>IFERROR(I459*1,0)</f>
        <v>0</v>
      </c>
    </row>
    <row r="460" ht="15" customHeight="1">
      <c r="I460" s="215" t="n"/>
      <c r="J460" s="215" t="n"/>
      <c r="K460" s="215" t="n"/>
      <c r="L460" s="215" t="n"/>
      <c r="M460" s="215" t="n"/>
      <c r="N460" s="215">
        <f>IF(ISNUMBER(I460),ROUND(I460-I460/1.081,2),"")</f>
        <v/>
      </c>
      <c r="O460" s="215">
        <f>IF(ISNUMBER(I460),I460-SUM(J460:N460),"")</f>
        <v/>
      </c>
      <c r="P460" s="216">
        <f>IFERROR(IF(AND(ISNUMBER(O460),ISNUMBER(I460),I460&lt;&gt;0),O460/I460,""),"")</f>
        <v/>
      </c>
      <c r="Q460" s="215">
        <f>IF(AND(ISNUMBER(I460),ISNUMBER(S460)),I460*IF(S460&lt;=1,S460,S460/100),IF(OR(I460&lt;&gt;"",S460&lt;&gt;""),"tbd",""))</f>
        <v/>
      </c>
      <c r="S460" s="217" t="n"/>
      <c r="Z460">
        <f>IF(AND(R460="WON",ISNUMBER(I460)),AA460,"")</f>
        <v/>
      </c>
      <c r="AA460">
        <f>IFERROR(I460*1,0)</f>
        <v>0</v>
      </c>
    </row>
    <row r="461" ht="15" customHeight="1">
      <c r="I461" s="215" t="n"/>
      <c r="J461" s="215" t="n"/>
      <c r="K461" s="215" t="n"/>
      <c r="L461" s="215" t="n"/>
      <c r="M461" s="215" t="n"/>
      <c r="N461" s="215">
        <f>IF(ISNUMBER(I461),ROUND(I461-I461/1.081,2),"")</f>
        <v/>
      </c>
      <c r="O461" s="215">
        <f>IF(ISNUMBER(I461),I461-SUM(J461:N461),"")</f>
        <v/>
      </c>
      <c r="P461" s="216">
        <f>IFERROR(IF(AND(ISNUMBER(O461),ISNUMBER(I461),I461&lt;&gt;0),O461/I461,""),"")</f>
        <v/>
      </c>
      <c r="Q461" s="215">
        <f>IF(AND(ISNUMBER(I461),ISNUMBER(S461)),I461*IF(S461&lt;=1,S461,S461/100),IF(OR(I461&lt;&gt;"",S461&lt;&gt;""),"tbd",""))</f>
        <v/>
      </c>
      <c r="S461" s="217" t="n"/>
      <c r="Z461">
        <f>IF(AND(R461="WON",ISNUMBER(I461)),AA461,"")</f>
        <v/>
      </c>
      <c r="AA461">
        <f>IFERROR(I461*1,0)</f>
        <v>0</v>
      </c>
    </row>
    <row r="462" ht="15" customHeight="1">
      <c r="I462" s="215" t="n"/>
      <c r="J462" s="215" t="n"/>
      <c r="K462" s="215" t="n"/>
      <c r="L462" s="215" t="n"/>
      <c r="M462" s="215" t="n"/>
      <c r="N462" s="215">
        <f>IF(ISNUMBER(I462),ROUND(I462-I462/1.081,2),"")</f>
        <v/>
      </c>
      <c r="O462" s="215">
        <f>IF(ISNUMBER(I462),I462-SUM(J462:N462),"")</f>
        <v/>
      </c>
      <c r="P462" s="216">
        <f>IFERROR(IF(AND(ISNUMBER(O462),ISNUMBER(I462),I462&lt;&gt;0),O462/I462,""),"")</f>
        <v/>
      </c>
      <c r="Q462" s="215">
        <f>IF(AND(ISNUMBER(I462),ISNUMBER(S462)),I462*IF(S462&lt;=1,S462,S462/100),IF(OR(I462&lt;&gt;"",S462&lt;&gt;""),"tbd",""))</f>
        <v/>
      </c>
      <c r="S462" s="217" t="n"/>
      <c r="Z462">
        <f>IF(AND(R462="WON",ISNUMBER(I462)),AA462,"")</f>
        <v/>
      </c>
      <c r="AA462">
        <f>IFERROR(I462*1,0)</f>
        <v>0</v>
      </c>
    </row>
    <row r="463" ht="15" customHeight="1">
      <c r="I463" s="215" t="n"/>
      <c r="J463" s="215" t="n"/>
      <c r="K463" s="215" t="n"/>
      <c r="L463" s="215" t="n"/>
      <c r="M463" s="215" t="n"/>
      <c r="N463" s="215">
        <f>IF(ISNUMBER(I463),ROUND(I463-I463/1.081,2),"")</f>
        <v/>
      </c>
      <c r="O463" s="215">
        <f>IF(ISNUMBER(I463),I463-SUM(J463:N463),"")</f>
        <v/>
      </c>
      <c r="P463" s="216">
        <f>IFERROR(IF(AND(ISNUMBER(O463),ISNUMBER(I463),I463&lt;&gt;0),O463/I463,""),"")</f>
        <v/>
      </c>
      <c r="Q463" s="215">
        <f>IF(AND(ISNUMBER(I463),ISNUMBER(S463)),I463*IF(S463&lt;=1,S463,S463/100),IF(OR(I463&lt;&gt;"",S463&lt;&gt;""),"tbd",""))</f>
        <v/>
      </c>
      <c r="S463" s="217" t="n"/>
      <c r="Z463">
        <f>IF(AND(R463="WON",ISNUMBER(I463)),AA463,"")</f>
        <v/>
      </c>
      <c r="AA463">
        <f>IFERROR(I463*1,0)</f>
        <v>0</v>
      </c>
    </row>
    <row r="464" ht="15" customHeight="1">
      <c r="I464" s="215" t="n"/>
      <c r="J464" s="215" t="n"/>
      <c r="K464" s="215" t="n"/>
      <c r="L464" s="215" t="n"/>
      <c r="M464" s="215" t="n"/>
      <c r="N464" s="215">
        <f>IF(ISNUMBER(I464),ROUND(I464-I464/1.081,2),"")</f>
        <v/>
      </c>
      <c r="O464" s="215">
        <f>IF(ISNUMBER(I464),I464-SUM(J464:N464),"")</f>
        <v/>
      </c>
      <c r="P464" s="216">
        <f>IFERROR(IF(AND(ISNUMBER(O464),ISNUMBER(I464),I464&lt;&gt;0),O464/I464,""),"")</f>
        <v/>
      </c>
      <c r="Q464" s="215">
        <f>IF(AND(ISNUMBER(I464),ISNUMBER(S464)),I464*IF(S464&lt;=1,S464,S464/100),IF(OR(I464&lt;&gt;"",S464&lt;&gt;""),"tbd",""))</f>
        <v/>
      </c>
      <c r="S464" s="217" t="n"/>
      <c r="Z464">
        <f>IF(AND(R464="WON",ISNUMBER(I464)),AA464,"")</f>
        <v/>
      </c>
      <c r="AA464">
        <f>IFERROR(I464*1,0)</f>
        <v>0</v>
      </c>
    </row>
    <row r="465" ht="15" customHeight="1">
      <c r="I465" s="215" t="n"/>
      <c r="J465" s="215" t="n"/>
      <c r="K465" s="215" t="n"/>
      <c r="L465" s="215" t="n"/>
      <c r="M465" s="215" t="n"/>
      <c r="N465" s="215">
        <f>IF(ISNUMBER(I465),ROUND(I465-I465/1.081,2),"")</f>
        <v/>
      </c>
      <c r="O465" s="215">
        <f>IF(ISNUMBER(I465),I465-SUM(J465:N465),"")</f>
        <v/>
      </c>
      <c r="P465" s="216">
        <f>IFERROR(IF(AND(ISNUMBER(O465),ISNUMBER(I465),I465&lt;&gt;0),O465/I465,""),"")</f>
        <v/>
      </c>
      <c r="Q465" s="215">
        <f>IF(AND(ISNUMBER(I465),ISNUMBER(S465)),I465*IF(S465&lt;=1,S465,S465/100),IF(OR(I465&lt;&gt;"",S465&lt;&gt;""),"tbd",""))</f>
        <v/>
      </c>
      <c r="S465" s="217" t="n"/>
      <c r="Z465">
        <f>IF(AND(R465="WON",ISNUMBER(I465)),AA465,"")</f>
        <v/>
      </c>
      <c r="AA465">
        <f>IFERROR(I465*1,0)</f>
        <v>0</v>
      </c>
    </row>
    <row r="466" ht="15" customHeight="1">
      <c r="I466" s="215" t="n"/>
      <c r="J466" s="215" t="n"/>
      <c r="K466" s="215" t="n"/>
      <c r="L466" s="215" t="n"/>
      <c r="M466" s="215" t="n"/>
      <c r="N466" s="215">
        <f>IF(ISNUMBER(I466),ROUND(I466-I466/1.081,2),"")</f>
        <v/>
      </c>
      <c r="O466" s="215">
        <f>IF(ISNUMBER(I466),I466-SUM(J466:N466),"")</f>
        <v/>
      </c>
      <c r="P466" s="216">
        <f>IFERROR(IF(AND(ISNUMBER(O466),ISNUMBER(I466),I466&lt;&gt;0),O466/I466,""),"")</f>
        <v/>
      </c>
      <c r="Q466" s="215">
        <f>IF(AND(ISNUMBER(I466),ISNUMBER(S466)),I466*IF(S466&lt;=1,S466,S466/100),IF(OR(I466&lt;&gt;"",S466&lt;&gt;""),"tbd",""))</f>
        <v/>
      </c>
      <c r="S466" s="217" t="n"/>
      <c r="Z466">
        <f>IF(AND(R466="WON",ISNUMBER(I466)),AA466,"")</f>
        <v/>
      </c>
      <c r="AA466">
        <f>IFERROR(I466*1,0)</f>
        <v>0</v>
      </c>
    </row>
    <row r="467" ht="15" customHeight="1">
      <c r="I467" s="215" t="n"/>
      <c r="J467" s="215" t="n"/>
      <c r="K467" s="215" t="n"/>
      <c r="L467" s="215" t="n"/>
      <c r="M467" s="215" t="n"/>
      <c r="N467" s="215">
        <f>IF(ISNUMBER(I467),ROUND(I467-I467/1.081,2),"")</f>
        <v/>
      </c>
      <c r="O467" s="215">
        <f>IF(ISNUMBER(I467),I467-SUM(J467:N467),"")</f>
        <v/>
      </c>
      <c r="P467" s="216">
        <f>IFERROR(IF(AND(ISNUMBER(O467),ISNUMBER(I467),I467&lt;&gt;0),O467/I467,""),"")</f>
        <v/>
      </c>
      <c r="Q467" s="215">
        <f>IF(AND(ISNUMBER(I467),ISNUMBER(S467)),I467*IF(S467&lt;=1,S467,S467/100),IF(OR(I467&lt;&gt;"",S467&lt;&gt;""),"tbd",""))</f>
        <v/>
      </c>
      <c r="S467" s="217" t="n"/>
      <c r="Z467">
        <f>IF(AND(R467="WON",ISNUMBER(I467)),AA467,"")</f>
        <v/>
      </c>
      <c r="AA467">
        <f>IFERROR(I467*1,0)</f>
        <v>0</v>
      </c>
    </row>
    <row r="468" ht="15" customHeight="1">
      <c r="I468" s="215" t="n"/>
      <c r="J468" s="215" t="n"/>
      <c r="K468" s="215" t="n"/>
      <c r="L468" s="215" t="n"/>
      <c r="M468" s="215" t="n"/>
      <c r="N468" s="215">
        <f>IF(ISNUMBER(I468),ROUND(I468-I468/1.081,2),"")</f>
        <v/>
      </c>
      <c r="O468" s="215">
        <f>IF(ISNUMBER(I468),I468-SUM(J468:N468),"")</f>
        <v/>
      </c>
      <c r="P468" s="216">
        <f>IFERROR(IF(AND(ISNUMBER(O468),ISNUMBER(I468),I468&lt;&gt;0),O468/I468,""),"")</f>
        <v/>
      </c>
      <c r="Q468" s="215">
        <f>IF(AND(ISNUMBER(I468),ISNUMBER(S468)),I468*IF(S468&lt;=1,S468,S468/100),IF(OR(I468&lt;&gt;"",S468&lt;&gt;""),"tbd",""))</f>
        <v/>
      </c>
      <c r="S468" s="217" t="n"/>
      <c r="Z468">
        <f>IF(AND(R468="WON",ISNUMBER(I468)),AA468,"")</f>
        <v/>
      </c>
      <c r="AA468">
        <f>IFERROR(I468*1,0)</f>
        <v>0</v>
      </c>
    </row>
    <row r="469" ht="15" customHeight="1">
      <c r="I469" s="215" t="n"/>
      <c r="J469" s="215" t="n"/>
      <c r="K469" s="215" t="n"/>
      <c r="L469" s="215" t="n"/>
      <c r="M469" s="215" t="n"/>
      <c r="N469" s="215">
        <f>IF(ISNUMBER(I469),ROUND(I469-I469/1.081,2),"")</f>
        <v/>
      </c>
      <c r="O469" s="215">
        <f>IF(ISNUMBER(I469),I469-SUM(J469:N469),"")</f>
        <v/>
      </c>
      <c r="P469" s="216">
        <f>IFERROR(IF(AND(ISNUMBER(O469),ISNUMBER(I469),I469&lt;&gt;0),O469/I469,""),"")</f>
        <v/>
      </c>
      <c r="Q469" s="215">
        <f>IF(AND(ISNUMBER(I469),ISNUMBER(S469)),I469*IF(S469&lt;=1,S469,S469/100),IF(OR(I469&lt;&gt;"",S469&lt;&gt;""),"tbd",""))</f>
        <v/>
      </c>
      <c r="S469" s="217" t="n"/>
      <c r="Z469">
        <f>IF(AND(R469="WON",ISNUMBER(I469)),AA469,"")</f>
        <v/>
      </c>
      <c r="AA469">
        <f>IFERROR(I469*1,0)</f>
        <v>0</v>
      </c>
    </row>
    <row r="470" ht="15" customHeight="1">
      <c r="I470" s="215" t="n"/>
      <c r="J470" s="215" t="n"/>
      <c r="K470" s="215" t="n"/>
      <c r="L470" s="215" t="n"/>
      <c r="M470" s="215" t="n"/>
      <c r="N470" s="215">
        <f>IF(ISNUMBER(I470),ROUND(I470-I470/1.081,2),"")</f>
        <v/>
      </c>
      <c r="O470" s="215">
        <f>IF(ISNUMBER(I470),I470-SUM(J470:N470),"")</f>
        <v/>
      </c>
      <c r="P470" s="216">
        <f>IFERROR(IF(AND(ISNUMBER(O470),ISNUMBER(I470),I470&lt;&gt;0),O470/I470,""),"")</f>
        <v/>
      </c>
      <c r="Q470" s="215">
        <f>IF(AND(ISNUMBER(I470),ISNUMBER(S470)),I470*IF(S470&lt;=1,S470,S470/100),IF(OR(I470&lt;&gt;"",S470&lt;&gt;""),"tbd",""))</f>
        <v/>
      </c>
      <c r="S470" s="217" t="n"/>
      <c r="Z470">
        <f>IF(AND(R470="WON",ISNUMBER(I470)),AA470,"")</f>
        <v/>
      </c>
      <c r="AA470">
        <f>IFERROR(I470*1,0)</f>
        <v>0</v>
      </c>
    </row>
    <row r="471" ht="15" customHeight="1">
      <c r="I471" s="215" t="n"/>
      <c r="J471" s="215" t="n"/>
      <c r="K471" s="215" t="n"/>
      <c r="L471" s="215" t="n"/>
      <c r="M471" s="215" t="n"/>
      <c r="N471" s="215">
        <f>IF(ISNUMBER(I471),ROUND(I471-I471/1.081,2),"")</f>
        <v/>
      </c>
      <c r="O471" s="215">
        <f>IF(ISNUMBER(I471),I471-SUM(J471:N471),"")</f>
        <v/>
      </c>
      <c r="P471" s="216">
        <f>IFERROR(IF(AND(ISNUMBER(O471),ISNUMBER(I471),I471&lt;&gt;0),O471/I471,""),"")</f>
        <v/>
      </c>
      <c r="Q471" s="215">
        <f>IF(AND(ISNUMBER(I471),ISNUMBER(S471)),I471*IF(S471&lt;=1,S471,S471/100),IF(OR(I471&lt;&gt;"",S471&lt;&gt;""),"tbd",""))</f>
        <v/>
      </c>
      <c r="S471" s="217" t="n"/>
      <c r="Z471">
        <f>IF(AND(R471="WON",ISNUMBER(I471)),AA471,"")</f>
        <v/>
      </c>
      <c r="AA471">
        <f>IFERROR(I471*1,0)</f>
        <v>0</v>
      </c>
    </row>
    <row r="472" ht="15" customHeight="1">
      <c r="I472" s="215" t="n"/>
      <c r="J472" s="215" t="n"/>
      <c r="K472" s="215" t="n"/>
      <c r="L472" s="215" t="n"/>
      <c r="M472" s="215" t="n"/>
      <c r="N472" s="215">
        <f>IF(ISNUMBER(I472),ROUND(I472-I472/1.081,2),"")</f>
        <v/>
      </c>
      <c r="O472" s="215">
        <f>IF(ISNUMBER(I472),I472-SUM(J472:N472),"")</f>
        <v/>
      </c>
      <c r="P472" s="216">
        <f>IFERROR(IF(AND(ISNUMBER(O472),ISNUMBER(I472),I472&lt;&gt;0),O472/I472,""),"")</f>
        <v/>
      </c>
      <c r="Q472" s="215">
        <f>IF(AND(ISNUMBER(I472),ISNUMBER(S472)),I472*IF(S472&lt;=1,S472,S472/100),IF(OR(I472&lt;&gt;"",S472&lt;&gt;""),"tbd",""))</f>
        <v/>
      </c>
      <c r="S472" s="217" t="n"/>
      <c r="Z472">
        <f>IF(AND(R472="WON",ISNUMBER(I472)),AA472,"")</f>
        <v/>
      </c>
      <c r="AA472">
        <f>IFERROR(I472*1,0)</f>
        <v>0</v>
      </c>
    </row>
    <row r="473" ht="15" customHeight="1">
      <c r="I473" s="215" t="n"/>
      <c r="J473" s="215" t="n"/>
      <c r="K473" s="215" t="n"/>
      <c r="L473" s="215" t="n"/>
      <c r="M473" s="215" t="n"/>
      <c r="N473" s="215">
        <f>IF(ISNUMBER(I473),ROUND(I473-I473/1.081,2),"")</f>
        <v/>
      </c>
      <c r="O473" s="215">
        <f>IF(ISNUMBER(I473),I473-SUM(J473:N473),"")</f>
        <v/>
      </c>
      <c r="P473" s="216">
        <f>IFERROR(IF(AND(ISNUMBER(O473),ISNUMBER(I473),I473&lt;&gt;0),O473/I473,""),"")</f>
        <v/>
      </c>
      <c r="Q473" s="215">
        <f>IF(AND(ISNUMBER(I473),ISNUMBER(S473)),I473*IF(S473&lt;=1,S473,S473/100),IF(OR(I473&lt;&gt;"",S473&lt;&gt;""),"tbd",""))</f>
        <v/>
      </c>
      <c r="S473" s="217" t="n"/>
      <c r="Z473">
        <f>IF(AND(R473="WON",ISNUMBER(I473)),AA473,"")</f>
        <v/>
      </c>
      <c r="AA473">
        <f>IFERROR(I473*1,0)</f>
        <v>0</v>
      </c>
    </row>
    <row r="474" ht="15" customHeight="1">
      <c r="I474" s="215" t="n"/>
      <c r="J474" s="215" t="n"/>
      <c r="K474" s="215" t="n"/>
      <c r="L474" s="215" t="n"/>
      <c r="M474" s="215" t="n"/>
      <c r="N474" s="215">
        <f>IF(ISNUMBER(I474),ROUND(I474-I474/1.081,2),"")</f>
        <v/>
      </c>
      <c r="O474" s="215">
        <f>IF(ISNUMBER(I474),I474-SUM(J474:N474),"")</f>
        <v/>
      </c>
      <c r="P474" s="216">
        <f>IFERROR(IF(AND(ISNUMBER(O474),ISNUMBER(I474),I474&lt;&gt;0),O474/I474,""),"")</f>
        <v/>
      </c>
      <c r="Q474" s="215">
        <f>IF(AND(ISNUMBER(I474),ISNUMBER(S474)),I474*IF(S474&lt;=1,S474,S474/100),IF(OR(I474&lt;&gt;"",S474&lt;&gt;""),"tbd",""))</f>
        <v/>
      </c>
      <c r="S474" s="217" t="n"/>
      <c r="Z474">
        <f>IF(AND(R474="WON",ISNUMBER(I474)),AA474,"")</f>
        <v/>
      </c>
      <c r="AA474">
        <f>IFERROR(I474*1,0)</f>
        <v>0</v>
      </c>
    </row>
    <row r="475" ht="15" customHeight="1">
      <c r="I475" s="215" t="n"/>
      <c r="J475" s="215" t="n"/>
      <c r="K475" s="215" t="n"/>
      <c r="L475" s="215" t="n"/>
      <c r="M475" s="215" t="n"/>
      <c r="N475" s="215">
        <f>IF(ISNUMBER(I475),ROUND(I475-I475/1.081,2),"")</f>
        <v/>
      </c>
      <c r="O475" s="215">
        <f>IF(ISNUMBER(I475),I475-SUM(J475:N475),"")</f>
        <v/>
      </c>
      <c r="P475" s="216">
        <f>IFERROR(IF(AND(ISNUMBER(O475),ISNUMBER(I475),I475&lt;&gt;0),O475/I475,""),"")</f>
        <v/>
      </c>
      <c r="Q475" s="215">
        <f>IF(AND(ISNUMBER(I475),ISNUMBER(S475)),I475*IF(S475&lt;=1,S475,S475/100),IF(OR(I475&lt;&gt;"",S475&lt;&gt;""),"tbd",""))</f>
        <v/>
      </c>
      <c r="S475" s="217" t="n"/>
      <c r="Z475">
        <f>IF(AND(R475="WON",ISNUMBER(I475)),AA475,"")</f>
        <v/>
      </c>
      <c r="AA475">
        <f>IFERROR(I475*1,0)</f>
        <v>0</v>
      </c>
    </row>
    <row r="476" ht="15" customHeight="1">
      <c r="I476" s="215" t="n"/>
      <c r="J476" s="215" t="n"/>
      <c r="K476" s="215" t="n"/>
      <c r="L476" s="215" t="n"/>
      <c r="M476" s="215" t="n"/>
      <c r="N476" s="215">
        <f>IF(ISNUMBER(I476),ROUND(I476-I476/1.081,2),"")</f>
        <v/>
      </c>
      <c r="O476" s="215">
        <f>IF(ISNUMBER(I476),I476-SUM(J476:N476),"")</f>
        <v/>
      </c>
      <c r="P476" s="216">
        <f>IFERROR(IF(AND(ISNUMBER(O476),ISNUMBER(I476),I476&lt;&gt;0),O476/I476,""),"")</f>
        <v/>
      </c>
      <c r="Q476" s="215">
        <f>IF(AND(ISNUMBER(I476),ISNUMBER(S476)),I476*IF(S476&lt;=1,S476,S476/100),IF(OR(I476&lt;&gt;"",S476&lt;&gt;""),"tbd",""))</f>
        <v/>
      </c>
      <c r="S476" s="217" t="n"/>
      <c r="Z476">
        <f>IF(AND(R476="WON",ISNUMBER(I476)),AA476,"")</f>
        <v/>
      </c>
      <c r="AA476">
        <f>IFERROR(I476*1,0)</f>
        <v>0</v>
      </c>
    </row>
    <row r="477" ht="15" customHeight="1">
      <c r="I477" s="215" t="n"/>
      <c r="J477" s="215" t="n"/>
      <c r="K477" s="215" t="n"/>
      <c r="L477" s="215" t="n"/>
      <c r="M477" s="215" t="n"/>
      <c r="N477" s="215">
        <f>IF(ISNUMBER(I477),ROUND(I477-I477/1.081,2),"")</f>
        <v/>
      </c>
      <c r="O477" s="215">
        <f>IF(ISNUMBER(I477),I477-SUM(J477:N477),"")</f>
        <v/>
      </c>
      <c r="P477" s="216">
        <f>IFERROR(IF(AND(ISNUMBER(O477),ISNUMBER(I477),I477&lt;&gt;0),O477/I477,""),"")</f>
        <v/>
      </c>
      <c r="Q477" s="215">
        <f>IF(AND(ISNUMBER(I477),ISNUMBER(S477)),I477*IF(S477&lt;=1,S477,S477/100),IF(OR(I477&lt;&gt;"",S477&lt;&gt;""),"tbd",""))</f>
        <v/>
      </c>
      <c r="S477" s="217" t="n"/>
      <c r="Z477">
        <f>IF(AND(R477="WON",ISNUMBER(I477)),AA477,"")</f>
        <v/>
      </c>
      <c r="AA477">
        <f>IFERROR(I477*1,0)</f>
        <v>0</v>
      </c>
    </row>
    <row r="478" ht="15" customHeight="1">
      <c r="I478" s="215" t="n"/>
      <c r="J478" s="215" t="n"/>
      <c r="K478" s="215" t="n"/>
      <c r="L478" s="215" t="n"/>
      <c r="M478" s="215" t="n"/>
      <c r="N478" s="215">
        <f>IF(ISNUMBER(I478),ROUND(I478-I478/1.081,2),"")</f>
        <v/>
      </c>
      <c r="O478" s="215">
        <f>IF(ISNUMBER(I478),I478-SUM(J478:N478),"")</f>
        <v/>
      </c>
      <c r="P478" s="216">
        <f>IFERROR(IF(AND(ISNUMBER(O478),ISNUMBER(I478),I478&lt;&gt;0),O478/I478,""),"")</f>
        <v/>
      </c>
      <c r="Q478" s="215">
        <f>IF(AND(ISNUMBER(I478),ISNUMBER(S478)),I478*IF(S478&lt;=1,S478,S478/100),IF(OR(I478&lt;&gt;"",S478&lt;&gt;""),"tbd",""))</f>
        <v/>
      </c>
      <c r="S478" s="217" t="n"/>
      <c r="Z478">
        <f>IF(AND(R478="WON",ISNUMBER(I478)),AA478,"")</f>
        <v/>
      </c>
      <c r="AA478">
        <f>IFERROR(I478*1,0)</f>
        <v>0</v>
      </c>
    </row>
    <row r="479" ht="15" customHeight="1">
      <c r="I479" s="215" t="n"/>
      <c r="J479" s="215" t="n"/>
      <c r="K479" s="215" t="n"/>
      <c r="L479" s="215" t="n"/>
      <c r="M479" s="215" t="n"/>
      <c r="N479" s="215">
        <f>IF(ISNUMBER(I479),ROUND(I479-I479/1.081,2),"")</f>
        <v/>
      </c>
      <c r="O479" s="215">
        <f>IF(ISNUMBER(I479),I479-SUM(J479:N479),"")</f>
        <v/>
      </c>
      <c r="P479" s="216">
        <f>IFERROR(IF(AND(ISNUMBER(O479),ISNUMBER(I479),I479&lt;&gt;0),O479/I479,""),"")</f>
        <v/>
      </c>
      <c r="Q479" s="215">
        <f>IF(AND(ISNUMBER(I479),ISNUMBER(S479)),I479*IF(S479&lt;=1,S479,S479/100),IF(OR(I479&lt;&gt;"",S479&lt;&gt;""),"tbd",""))</f>
        <v/>
      </c>
      <c r="S479" s="217" t="n"/>
      <c r="Z479">
        <f>IF(AND(R479="WON",ISNUMBER(I479)),AA479,"")</f>
        <v/>
      </c>
      <c r="AA479">
        <f>IFERROR(I479*1,0)</f>
        <v>0</v>
      </c>
    </row>
    <row r="480" ht="15" customHeight="1">
      <c r="I480" s="215" t="n"/>
      <c r="J480" s="215" t="n"/>
      <c r="K480" s="215" t="n"/>
      <c r="L480" s="215" t="n"/>
      <c r="M480" s="215" t="n"/>
      <c r="N480" s="215">
        <f>IF(ISNUMBER(I480),ROUND(I480-I480/1.081,2),"")</f>
        <v/>
      </c>
      <c r="O480" s="215">
        <f>IF(ISNUMBER(I480),I480-SUM(J480:N480),"")</f>
        <v/>
      </c>
      <c r="P480" s="216">
        <f>IFERROR(IF(AND(ISNUMBER(O480),ISNUMBER(I480),I480&lt;&gt;0),O480/I480,""),"")</f>
        <v/>
      </c>
      <c r="Q480" s="215">
        <f>IF(AND(ISNUMBER(I480),ISNUMBER(S480)),I480*IF(S480&lt;=1,S480,S480/100),IF(OR(I480&lt;&gt;"",S480&lt;&gt;""),"tbd",""))</f>
        <v/>
      </c>
      <c r="S480" s="217" t="n"/>
      <c r="Z480">
        <f>IF(AND(R480="WON",ISNUMBER(I480)),AA480,"")</f>
        <v/>
      </c>
      <c r="AA480">
        <f>IFERROR(I480*1,0)</f>
        <v>0</v>
      </c>
    </row>
    <row r="481" ht="15" customHeight="1">
      <c r="I481" s="215" t="n"/>
      <c r="J481" s="215" t="n"/>
      <c r="K481" s="215" t="n"/>
      <c r="L481" s="215" t="n"/>
      <c r="M481" s="215" t="n"/>
      <c r="N481" s="215">
        <f>IF(ISNUMBER(I481),ROUND(I481-I481/1.081,2),"")</f>
        <v/>
      </c>
      <c r="O481" s="215">
        <f>IF(ISNUMBER(I481),I481-SUM(J481:N481),"")</f>
        <v/>
      </c>
      <c r="P481" s="216">
        <f>IFERROR(IF(AND(ISNUMBER(O481),ISNUMBER(I481),I481&lt;&gt;0),O481/I481,""),"")</f>
        <v/>
      </c>
      <c r="Q481" s="215">
        <f>IF(AND(ISNUMBER(I481),ISNUMBER(S481)),I481*IF(S481&lt;=1,S481,S481/100),IF(OR(I481&lt;&gt;"",S481&lt;&gt;""),"tbd",""))</f>
        <v/>
      </c>
      <c r="S481" s="217" t="n"/>
      <c r="Z481">
        <f>IF(AND(R481="WON",ISNUMBER(I481)),AA481,"")</f>
        <v/>
      </c>
      <c r="AA481">
        <f>IFERROR(I481*1,0)</f>
        <v>0</v>
      </c>
    </row>
    <row r="482" ht="15" customHeight="1">
      <c r="I482" s="215" t="n"/>
      <c r="J482" s="215" t="n"/>
      <c r="K482" s="215" t="n"/>
      <c r="L482" s="215" t="n"/>
      <c r="M482" s="215" t="n"/>
      <c r="N482" s="215">
        <f>IF(ISNUMBER(I482),ROUND(I482-I482/1.081,2),"")</f>
        <v/>
      </c>
      <c r="O482" s="215">
        <f>IF(ISNUMBER(I482),I482-SUM(J482:N482),"")</f>
        <v/>
      </c>
      <c r="P482" s="216">
        <f>IFERROR(IF(AND(ISNUMBER(O482),ISNUMBER(I482),I482&lt;&gt;0),O482/I482,""),"")</f>
        <v/>
      </c>
      <c r="Q482" s="215">
        <f>IF(AND(ISNUMBER(I482),ISNUMBER(S482)),I482*IF(S482&lt;=1,S482,S482/100),IF(OR(I482&lt;&gt;"",S482&lt;&gt;""),"tbd",""))</f>
        <v/>
      </c>
      <c r="S482" s="217" t="n"/>
      <c r="Z482">
        <f>IF(AND(R482="WON",ISNUMBER(I482)),AA482,"")</f>
        <v/>
      </c>
      <c r="AA482">
        <f>IFERROR(I482*1,0)</f>
        <v>0</v>
      </c>
    </row>
    <row r="483" ht="15" customHeight="1">
      <c r="I483" s="215" t="n"/>
      <c r="J483" s="215" t="n"/>
      <c r="K483" s="215" t="n"/>
      <c r="L483" s="215" t="n"/>
      <c r="M483" s="215" t="n"/>
      <c r="N483" s="215">
        <f>IF(ISNUMBER(I483),ROUND(I483-I483/1.081,2),"")</f>
        <v/>
      </c>
      <c r="O483" s="215">
        <f>IF(ISNUMBER(I483),I483-SUM(J483:N483),"")</f>
        <v/>
      </c>
      <c r="P483" s="216">
        <f>IFERROR(IF(AND(ISNUMBER(O483),ISNUMBER(I483),I483&lt;&gt;0),O483/I483,""),"")</f>
        <v/>
      </c>
      <c r="Q483" s="215">
        <f>IF(AND(ISNUMBER(I483),ISNUMBER(S483)),I483*IF(S483&lt;=1,S483,S483/100),IF(OR(I483&lt;&gt;"",S483&lt;&gt;""),"tbd",""))</f>
        <v/>
      </c>
      <c r="S483" s="217" t="n"/>
      <c r="Z483">
        <f>IF(AND(R483="WON",ISNUMBER(I483)),AA483,"")</f>
        <v/>
      </c>
      <c r="AA483">
        <f>IFERROR(I483*1,0)</f>
        <v>0</v>
      </c>
    </row>
    <row r="484" ht="15" customHeight="1">
      <c r="I484" s="215" t="n"/>
      <c r="J484" s="215" t="n"/>
      <c r="K484" s="215" t="n"/>
      <c r="L484" s="215" t="n"/>
      <c r="M484" s="215" t="n"/>
      <c r="N484" s="215">
        <f>IF(ISNUMBER(I484),ROUND(I484-I484/1.081,2),"")</f>
        <v/>
      </c>
      <c r="O484" s="215">
        <f>IF(ISNUMBER(I484),I484-SUM(J484:N484),"")</f>
        <v/>
      </c>
      <c r="P484" s="216">
        <f>IFERROR(IF(AND(ISNUMBER(O484),ISNUMBER(I484),I484&lt;&gt;0),O484/I484,""),"")</f>
        <v/>
      </c>
      <c r="Q484" s="215">
        <f>IF(AND(ISNUMBER(I484),ISNUMBER(S484)),I484*IF(S484&lt;=1,S484,S484/100),IF(OR(I484&lt;&gt;"",S484&lt;&gt;""),"tbd",""))</f>
        <v/>
      </c>
      <c r="S484" s="217" t="n"/>
      <c r="Z484">
        <f>IF(AND(R484="WON",ISNUMBER(I484)),AA484,"")</f>
        <v/>
      </c>
      <c r="AA484">
        <f>IFERROR(I484*1,0)</f>
        <v>0</v>
      </c>
    </row>
    <row r="485" ht="15" customHeight="1">
      <c r="I485" s="215" t="n"/>
      <c r="J485" s="215" t="n"/>
      <c r="K485" s="215" t="n"/>
      <c r="L485" s="215" t="n"/>
      <c r="M485" s="215" t="n"/>
      <c r="N485" s="215">
        <f>IF(ISNUMBER(I485),ROUND(I485-I485/1.081,2),"")</f>
        <v/>
      </c>
      <c r="O485" s="215">
        <f>IF(ISNUMBER(I485),I485-SUM(J485:N485),"")</f>
        <v/>
      </c>
      <c r="P485" s="216">
        <f>IFERROR(IF(AND(ISNUMBER(O485),ISNUMBER(I485),I485&lt;&gt;0),O485/I485,""),"")</f>
        <v/>
      </c>
      <c r="Q485" s="215">
        <f>IF(AND(ISNUMBER(I485),ISNUMBER(S485)),I485*IF(S485&lt;=1,S485,S485/100),IF(OR(I485&lt;&gt;"",S485&lt;&gt;""),"tbd",""))</f>
        <v/>
      </c>
      <c r="S485" s="217" t="n"/>
      <c r="Z485">
        <f>IF(AND(R485="WON",ISNUMBER(I485)),AA485,"")</f>
        <v/>
      </c>
      <c r="AA485">
        <f>IFERROR(I485*1,0)</f>
        <v>0</v>
      </c>
    </row>
    <row r="486" ht="15" customHeight="1">
      <c r="I486" s="215" t="n"/>
      <c r="J486" s="215" t="n"/>
      <c r="K486" s="215" t="n"/>
      <c r="L486" s="215" t="n"/>
      <c r="M486" s="215" t="n"/>
      <c r="N486" s="215">
        <f>IF(ISNUMBER(I486),ROUND(I486-I486/1.081,2),"")</f>
        <v/>
      </c>
      <c r="O486" s="215">
        <f>IF(ISNUMBER(I486),I486-SUM(J486:N486),"")</f>
        <v/>
      </c>
      <c r="P486" s="216">
        <f>IFERROR(IF(AND(ISNUMBER(O486),ISNUMBER(I486),I486&lt;&gt;0),O486/I486,""),"")</f>
        <v/>
      </c>
      <c r="Q486" s="215">
        <f>IF(AND(ISNUMBER(I486),ISNUMBER(S486)),I486*IF(S486&lt;=1,S486,S486/100),IF(OR(I486&lt;&gt;"",S486&lt;&gt;""),"tbd",""))</f>
        <v/>
      </c>
      <c r="S486" s="217" t="n"/>
      <c r="Z486">
        <f>IF(AND(R486="WON",ISNUMBER(I486)),AA486,"")</f>
        <v/>
      </c>
      <c r="AA486">
        <f>IFERROR(I486*1,0)</f>
        <v>0</v>
      </c>
    </row>
    <row r="487" ht="15" customHeight="1">
      <c r="I487" s="215" t="n"/>
      <c r="J487" s="215" t="n"/>
      <c r="K487" s="215" t="n"/>
      <c r="L487" s="215" t="n"/>
      <c r="M487" s="215" t="n"/>
      <c r="N487" s="215">
        <f>IF(ISNUMBER(I487),ROUND(I487-I487/1.081,2),"")</f>
        <v/>
      </c>
      <c r="O487" s="215">
        <f>IF(ISNUMBER(I487),I487-SUM(J487:N487),"")</f>
        <v/>
      </c>
      <c r="P487" s="216">
        <f>IFERROR(IF(AND(ISNUMBER(O487),ISNUMBER(I487),I487&lt;&gt;0),O487/I487,""),"")</f>
        <v/>
      </c>
      <c r="Q487" s="215">
        <f>IF(AND(ISNUMBER(I487),ISNUMBER(S487)),I487*IF(S487&lt;=1,S487,S487/100),IF(OR(I487&lt;&gt;"",S487&lt;&gt;""),"tbd",""))</f>
        <v/>
      </c>
      <c r="S487" s="217" t="n"/>
      <c r="Z487">
        <f>IF(AND(R487="WON",ISNUMBER(I487)),AA487,"")</f>
        <v/>
      </c>
      <c r="AA487">
        <f>IFERROR(I487*1,0)</f>
        <v>0</v>
      </c>
    </row>
    <row r="488" ht="15" customHeight="1">
      <c r="I488" s="215" t="n"/>
      <c r="J488" s="215" t="n"/>
      <c r="K488" s="215" t="n"/>
      <c r="L488" s="215" t="n"/>
      <c r="M488" s="215" t="n"/>
      <c r="N488" s="215">
        <f>IF(ISNUMBER(I488),ROUND(I488-I488/1.081,2),"")</f>
        <v/>
      </c>
      <c r="O488" s="215">
        <f>IF(ISNUMBER(I488),I488-SUM(J488:N488),"")</f>
        <v/>
      </c>
      <c r="P488" s="216">
        <f>IFERROR(IF(AND(ISNUMBER(O488),ISNUMBER(I488),I488&lt;&gt;0),O488/I488,""),"")</f>
        <v/>
      </c>
      <c r="Q488" s="215">
        <f>IF(AND(ISNUMBER(I488),ISNUMBER(S488)),I488*IF(S488&lt;=1,S488,S488/100),IF(OR(I488&lt;&gt;"",S488&lt;&gt;""),"tbd",""))</f>
        <v/>
      </c>
      <c r="S488" s="217" t="n"/>
      <c r="Z488">
        <f>IF(AND(R488="WON",ISNUMBER(I488)),AA488,"")</f>
        <v/>
      </c>
      <c r="AA488">
        <f>IFERROR(I488*1,0)</f>
        <v>0</v>
      </c>
    </row>
    <row r="489" ht="15" customHeight="1">
      <c r="I489" s="215" t="n"/>
      <c r="J489" s="215" t="n"/>
      <c r="K489" s="215" t="n"/>
      <c r="L489" s="215" t="n"/>
      <c r="M489" s="215" t="n"/>
      <c r="N489" s="215">
        <f>IF(ISNUMBER(I489),ROUND(I489-I489/1.081,2),"")</f>
        <v/>
      </c>
      <c r="O489" s="215">
        <f>IF(ISNUMBER(I489),I489-SUM(J489:N489),"")</f>
        <v/>
      </c>
      <c r="P489" s="216">
        <f>IFERROR(IF(AND(ISNUMBER(O489),ISNUMBER(I489),I489&lt;&gt;0),O489/I489,""),"")</f>
        <v/>
      </c>
      <c r="Q489" s="215">
        <f>IF(AND(ISNUMBER(I489),ISNUMBER(S489)),I489*IF(S489&lt;=1,S489,S489/100),IF(OR(I489&lt;&gt;"",S489&lt;&gt;""),"tbd",""))</f>
        <v/>
      </c>
      <c r="S489" s="217" t="n"/>
      <c r="Z489">
        <f>IF(AND(R489="WON",ISNUMBER(I489)),AA489,"")</f>
        <v/>
      </c>
      <c r="AA489">
        <f>IFERROR(I489*1,0)</f>
        <v>0</v>
      </c>
    </row>
    <row r="490" ht="15" customHeight="1">
      <c r="I490" s="215" t="n"/>
      <c r="J490" s="215" t="n"/>
      <c r="K490" s="215" t="n"/>
      <c r="L490" s="215" t="n"/>
      <c r="M490" s="215" t="n"/>
      <c r="N490" s="215">
        <f>IF(ISNUMBER(I490),ROUND(I490-I490/1.081,2),"")</f>
        <v/>
      </c>
      <c r="O490" s="215">
        <f>IF(ISNUMBER(I490),I490-SUM(J490:N490),"")</f>
        <v/>
      </c>
      <c r="P490" s="216">
        <f>IFERROR(IF(AND(ISNUMBER(O490),ISNUMBER(I490),I490&lt;&gt;0),O490/I490,""),"")</f>
        <v/>
      </c>
      <c r="Q490" s="215">
        <f>IF(AND(ISNUMBER(I490),ISNUMBER(S490)),I490*IF(S490&lt;=1,S490,S490/100),IF(OR(I490&lt;&gt;"",S490&lt;&gt;""),"tbd",""))</f>
        <v/>
      </c>
      <c r="S490" s="217" t="n"/>
      <c r="Z490">
        <f>IF(AND(R490="WON",ISNUMBER(I490)),AA490,"")</f>
        <v/>
      </c>
      <c r="AA490">
        <f>IFERROR(I490*1,0)</f>
        <v>0</v>
      </c>
    </row>
    <row r="491" ht="15" customHeight="1">
      <c r="I491" s="215" t="n"/>
      <c r="J491" s="215" t="n"/>
      <c r="K491" s="215" t="n"/>
      <c r="L491" s="215" t="n"/>
      <c r="M491" s="215" t="n"/>
      <c r="N491" s="215">
        <f>IF(ISNUMBER(I491),ROUND(I491-I491/1.081,2),"")</f>
        <v/>
      </c>
      <c r="O491" s="215">
        <f>IF(ISNUMBER(I491),I491-SUM(J491:N491),"")</f>
        <v/>
      </c>
      <c r="P491" s="216">
        <f>IFERROR(IF(AND(ISNUMBER(O491),ISNUMBER(I491),I491&lt;&gt;0),O491/I491,""),"")</f>
        <v/>
      </c>
      <c r="Q491" s="215">
        <f>IF(AND(ISNUMBER(I491),ISNUMBER(S491)),I491*IF(S491&lt;=1,S491,S491/100),IF(OR(I491&lt;&gt;"",S491&lt;&gt;""),"tbd",""))</f>
        <v/>
      </c>
      <c r="S491" s="217" t="n"/>
      <c r="Z491">
        <f>IF(AND(R491="WON",ISNUMBER(I491)),AA491,"")</f>
        <v/>
      </c>
      <c r="AA491">
        <f>IFERROR(I491*1,0)</f>
        <v>0</v>
      </c>
    </row>
    <row r="492" ht="15" customHeight="1">
      <c r="I492" s="215" t="n"/>
      <c r="J492" s="215" t="n"/>
      <c r="K492" s="215" t="n"/>
      <c r="L492" s="215" t="n"/>
      <c r="M492" s="215" t="n"/>
      <c r="N492" s="215">
        <f>IF(ISNUMBER(I492),ROUND(I492-I492/1.081,2),"")</f>
        <v/>
      </c>
      <c r="O492" s="215">
        <f>IF(ISNUMBER(I492),I492-SUM(J492:N492),"")</f>
        <v/>
      </c>
      <c r="P492" s="216">
        <f>IFERROR(IF(AND(ISNUMBER(O492),ISNUMBER(I492),I492&lt;&gt;0),O492/I492,""),"")</f>
        <v/>
      </c>
      <c r="Q492" s="215">
        <f>IF(AND(ISNUMBER(I492),ISNUMBER(S492)),I492*IF(S492&lt;=1,S492,S492/100),IF(OR(I492&lt;&gt;"",S492&lt;&gt;""),"tbd",""))</f>
        <v/>
      </c>
      <c r="S492" s="217" t="n"/>
      <c r="Z492">
        <f>IF(AND(R492="WON",ISNUMBER(I492)),AA492,"")</f>
        <v/>
      </c>
      <c r="AA492">
        <f>IFERROR(I492*1,0)</f>
        <v>0</v>
      </c>
    </row>
    <row r="493" ht="15" customHeight="1">
      <c r="I493" s="215" t="n"/>
      <c r="J493" s="215" t="n"/>
      <c r="K493" s="215" t="n"/>
      <c r="L493" s="215" t="n"/>
      <c r="M493" s="215" t="n"/>
      <c r="N493" s="215">
        <f>IF(ISNUMBER(I493),ROUND(I493-I493/1.081,2),"")</f>
        <v/>
      </c>
      <c r="O493" s="215">
        <f>IF(ISNUMBER(I493),I493-SUM(J493:N493),"")</f>
        <v/>
      </c>
      <c r="P493" s="216">
        <f>IFERROR(IF(AND(ISNUMBER(O493),ISNUMBER(I493),I493&lt;&gt;0),O493/I493,""),"")</f>
        <v/>
      </c>
      <c r="Q493" s="215">
        <f>IF(AND(ISNUMBER(I493),ISNUMBER(S493)),I493*IF(S493&lt;=1,S493,S493/100),IF(OR(I493&lt;&gt;"",S493&lt;&gt;""),"tbd",""))</f>
        <v/>
      </c>
      <c r="S493" s="217" t="n"/>
      <c r="Z493">
        <f>IF(AND(R493="WON",ISNUMBER(I493)),AA493,"")</f>
        <v/>
      </c>
      <c r="AA493">
        <f>IFERROR(I493*1,0)</f>
        <v>0</v>
      </c>
    </row>
    <row r="494" ht="15" customHeight="1">
      <c r="I494" s="215" t="n"/>
      <c r="J494" s="215" t="n"/>
      <c r="K494" s="215" t="n"/>
      <c r="L494" s="215" t="n"/>
      <c r="M494" s="215" t="n"/>
      <c r="N494" s="215">
        <f>IF(ISNUMBER(I494),ROUND(I494-I494/1.081,2),"")</f>
        <v/>
      </c>
      <c r="O494" s="215">
        <f>IF(ISNUMBER(I494),I494-SUM(J494:N494),"")</f>
        <v/>
      </c>
      <c r="P494" s="216">
        <f>IFERROR(IF(AND(ISNUMBER(O494),ISNUMBER(I494),I494&lt;&gt;0),O494/I494,""),"")</f>
        <v/>
      </c>
      <c r="Q494" s="215">
        <f>IF(AND(ISNUMBER(I494),ISNUMBER(S494)),I494*IF(S494&lt;=1,S494,S494/100),IF(OR(I494&lt;&gt;"",S494&lt;&gt;""),"tbd",""))</f>
        <v/>
      </c>
      <c r="S494" s="217" t="n"/>
      <c r="Z494">
        <f>IF(AND(R494="WON",ISNUMBER(I494)),AA494,"")</f>
        <v/>
      </c>
      <c r="AA494">
        <f>IFERROR(I494*1,0)</f>
        <v>0</v>
      </c>
    </row>
    <row r="495" ht="15" customHeight="1">
      <c r="I495" s="215" t="n"/>
      <c r="J495" s="215" t="n"/>
      <c r="K495" s="215" t="n"/>
      <c r="L495" s="215" t="n"/>
      <c r="M495" s="215" t="n"/>
      <c r="N495" s="215">
        <f>IF(ISNUMBER(I495),ROUND(I495-I495/1.081,2),"")</f>
        <v/>
      </c>
      <c r="O495" s="215">
        <f>IF(ISNUMBER(I495),I495-SUM(J495:N495),"")</f>
        <v/>
      </c>
      <c r="P495" s="216">
        <f>IFERROR(IF(AND(ISNUMBER(O495),ISNUMBER(I495),I495&lt;&gt;0),O495/I495,""),"")</f>
        <v/>
      </c>
      <c r="Q495" s="215">
        <f>IF(AND(ISNUMBER(I495),ISNUMBER(S495)),I495*IF(S495&lt;=1,S495,S495/100),IF(OR(I495&lt;&gt;"",S495&lt;&gt;""),"tbd",""))</f>
        <v/>
      </c>
      <c r="S495" s="217" t="n"/>
      <c r="Z495">
        <f>IF(AND(R495="WON",ISNUMBER(I495)),AA495,"")</f>
        <v/>
      </c>
      <c r="AA495">
        <f>IFERROR(I495*1,0)</f>
        <v>0</v>
      </c>
    </row>
    <row r="496" ht="15" customHeight="1">
      <c r="I496" s="215" t="n"/>
      <c r="J496" s="215" t="n"/>
      <c r="K496" s="215" t="n"/>
      <c r="L496" s="215" t="n"/>
      <c r="M496" s="215" t="n"/>
      <c r="N496" s="215">
        <f>IF(ISNUMBER(I496),ROUND(I496-I496/1.081,2),"")</f>
        <v/>
      </c>
      <c r="O496" s="215">
        <f>IF(ISNUMBER(I496),I496-SUM(J496:N496),"")</f>
        <v/>
      </c>
      <c r="P496" s="216">
        <f>IFERROR(IF(AND(ISNUMBER(O496),ISNUMBER(I496),I496&lt;&gt;0),O496/I496,""),"")</f>
        <v/>
      </c>
      <c r="Q496" s="215">
        <f>IF(AND(ISNUMBER(I496),ISNUMBER(S496)),I496*IF(S496&lt;=1,S496,S496/100),IF(OR(I496&lt;&gt;"",S496&lt;&gt;""),"tbd",""))</f>
        <v/>
      </c>
      <c r="S496" s="217" t="n"/>
      <c r="Z496">
        <f>IF(AND(R496="WON",ISNUMBER(I496)),AA496,"")</f>
        <v/>
      </c>
      <c r="AA496">
        <f>IFERROR(I496*1,0)</f>
        <v>0</v>
      </c>
    </row>
    <row r="497" ht="15" customHeight="1">
      <c r="I497" s="215" t="n"/>
      <c r="J497" s="215" t="n"/>
      <c r="K497" s="215" t="n"/>
      <c r="L497" s="215" t="n"/>
      <c r="M497" s="215" t="n"/>
      <c r="N497" s="215">
        <f>IF(ISNUMBER(I497),ROUND(I497-I497/1.081,2),"")</f>
        <v/>
      </c>
      <c r="O497" s="215">
        <f>IF(ISNUMBER(I497),I497-SUM(J497:N497),"")</f>
        <v/>
      </c>
      <c r="P497" s="216">
        <f>IFERROR(IF(AND(ISNUMBER(O497),ISNUMBER(I497),I497&lt;&gt;0),O497/I497,""),"")</f>
        <v/>
      </c>
      <c r="Q497" s="215">
        <f>IF(AND(ISNUMBER(I497),ISNUMBER(S497)),I497*IF(S497&lt;=1,S497,S497/100),IF(OR(I497&lt;&gt;"",S497&lt;&gt;""),"tbd",""))</f>
        <v/>
      </c>
      <c r="S497" s="217" t="n"/>
      <c r="Z497">
        <f>IF(AND(R497="WON",ISNUMBER(I497)),AA497,"")</f>
        <v/>
      </c>
      <c r="AA497">
        <f>IFERROR(I497*1,0)</f>
        <v>0</v>
      </c>
    </row>
    <row r="498" ht="15" customHeight="1">
      <c r="I498" s="215" t="n"/>
      <c r="J498" s="215" t="n"/>
      <c r="K498" s="215" t="n"/>
      <c r="L498" s="215" t="n"/>
      <c r="M498" s="215" t="n"/>
      <c r="N498" s="215">
        <f>IF(ISNUMBER(I498),ROUND(I498-I498/1.081,2),"")</f>
        <v/>
      </c>
      <c r="O498" s="215">
        <f>IF(ISNUMBER(I498),I498-SUM(J498:N498),"")</f>
        <v/>
      </c>
      <c r="P498" s="216">
        <f>IFERROR(IF(AND(ISNUMBER(O498),ISNUMBER(I498),I498&lt;&gt;0),O498/I498,""),"")</f>
        <v/>
      </c>
      <c r="Q498" s="215">
        <f>IF(AND(ISNUMBER(I498),ISNUMBER(S498)),I498*IF(S498&lt;=1,S498,S498/100),IF(OR(I498&lt;&gt;"",S498&lt;&gt;""),"tbd",""))</f>
        <v/>
      </c>
      <c r="S498" s="217" t="n"/>
      <c r="Z498">
        <f>IF(AND(R498="WON",ISNUMBER(I498)),AA498,"")</f>
        <v/>
      </c>
      <c r="AA498">
        <f>IFERROR(I498*1,0)</f>
        <v>0</v>
      </c>
    </row>
    <row r="499" ht="15" customHeight="1">
      <c r="I499" s="215" t="n"/>
      <c r="J499" s="215" t="n"/>
      <c r="K499" s="215" t="n"/>
      <c r="L499" s="215" t="n"/>
      <c r="M499" s="215" t="n"/>
      <c r="N499" s="215">
        <f>IF(ISNUMBER(I499),ROUND(I499-I499/1.081,2),"")</f>
        <v/>
      </c>
      <c r="O499" s="215">
        <f>IF(ISNUMBER(I499),I499-SUM(J499:N499),"")</f>
        <v/>
      </c>
      <c r="P499" s="216">
        <f>IFERROR(IF(AND(ISNUMBER(O499),ISNUMBER(I499),I499&lt;&gt;0),O499/I499,""),"")</f>
        <v/>
      </c>
      <c r="Q499" s="215">
        <f>IF(AND(ISNUMBER(I499),ISNUMBER(S499)),I499*IF(S499&lt;=1,S499,S499/100),IF(OR(I499&lt;&gt;"",S499&lt;&gt;""),"tbd",""))</f>
        <v/>
      </c>
      <c r="S499" s="217" t="n"/>
      <c r="Z499">
        <f>IF(AND(R499="WON",ISNUMBER(I499)),AA499,"")</f>
        <v/>
      </c>
      <c r="AA499">
        <f>IFERROR(I499*1,0)</f>
        <v>0</v>
      </c>
    </row>
    <row r="500" ht="15" customHeight="1">
      <c r="I500" s="215" t="n"/>
      <c r="J500" s="215" t="n"/>
      <c r="K500" s="215" t="n"/>
      <c r="L500" s="215" t="n"/>
      <c r="M500" s="215" t="n"/>
      <c r="N500" s="215">
        <f>IF(ISNUMBER(I500),ROUND(I500-I500/1.081,2),"")</f>
        <v/>
      </c>
      <c r="O500" s="215">
        <f>IF(ISNUMBER(I500),I500-SUM(J500:N500),"")</f>
        <v/>
      </c>
      <c r="P500" s="216">
        <f>IFERROR(IF(AND(ISNUMBER(O500),ISNUMBER(I500),I500&lt;&gt;0),O500/I500,""),"")</f>
        <v/>
      </c>
      <c r="Q500" s="215">
        <f>IF(AND(ISNUMBER(I500),ISNUMBER(S500)),I500*IF(S500&lt;=1,S500,S500/100),IF(OR(I500&lt;&gt;"",S500&lt;&gt;""),"tbd",""))</f>
        <v/>
      </c>
      <c r="S500" s="217" t="n"/>
      <c r="Z500">
        <f>IF(AND(R500="WON",ISNUMBER(I500)),AA500,"")</f>
        <v/>
      </c>
      <c r="AA500">
        <f>IFERROR(I500*1,0)</f>
        <v>0</v>
      </c>
    </row>
    <row r="501" ht="15" customHeight="1">
      <c r="I501" s="215" t="n"/>
      <c r="J501" s="215" t="n"/>
      <c r="K501" s="215" t="n"/>
      <c r="L501" s="215" t="n"/>
      <c r="M501" s="215" t="n"/>
      <c r="N501" s="215">
        <f>IF(ISNUMBER(I501),ROUND(I501-I501/1.081,2),"")</f>
        <v/>
      </c>
      <c r="O501" s="215">
        <f>IF(ISNUMBER(I501),I501-SUM(J501:N501),"")</f>
        <v/>
      </c>
      <c r="P501" s="216">
        <f>IFERROR(IF(AND(ISNUMBER(O501),ISNUMBER(I501),I501&lt;&gt;0),O501/I501,""),"")</f>
        <v/>
      </c>
      <c r="Q501" s="215">
        <f>IF(AND(ISNUMBER(I501),ISNUMBER(S501)),I501*IF(S501&lt;=1,S501,S501/100),IF(OR(I501&lt;&gt;"",S501&lt;&gt;""),"tbd",""))</f>
        <v/>
      </c>
      <c r="S501" s="217" t="n"/>
      <c r="Z501">
        <f>IF(AND(R501="WON",ISNUMBER(I501)),AA501,"")</f>
        <v/>
      </c>
      <c r="AA501">
        <f>IFERROR(I501*1,0)</f>
        <v>0</v>
      </c>
    </row>
    <row r="502" ht="15" customHeight="1">
      <c r="I502" s="215" t="n"/>
      <c r="J502" s="215" t="n"/>
      <c r="K502" s="215" t="n"/>
      <c r="L502" s="215" t="n"/>
      <c r="M502" s="215" t="n"/>
      <c r="N502" s="215">
        <f>IF(ISNUMBER(I502),ROUND(I502-I502/1.081,2),"")</f>
        <v/>
      </c>
      <c r="O502" s="215">
        <f>IF(ISNUMBER(I502),I502-SUM(J502:N502),"")</f>
        <v/>
      </c>
      <c r="P502" s="216">
        <f>IFERROR(IF(AND(ISNUMBER(O502),ISNUMBER(I502),I502&lt;&gt;0),O502/I502,""),"")</f>
        <v/>
      </c>
      <c r="Q502" s="215">
        <f>IF(AND(ISNUMBER(I502),ISNUMBER(S502)),I502*IF(S502&lt;=1,S502,S502/100),IF(OR(I502&lt;&gt;"",S502&lt;&gt;""),"tbd",""))</f>
        <v/>
      </c>
      <c r="S502" s="217" t="n"/>
      <c r="Z502">
        <f>IF(AND(R502="WON",ISNUMBER(I502)),AA502,"")</f>
        <v/>
      </c>
      <c r="AA502">
        <f>IFERROR(I502*1,0)</f>
        <v>0</v>
      </c>
    </row>
    <row r="503" ht="15" customHeight="1">
      <c r="I503" s="215" t="n"/>
      <c r="J503" s="215" t="n"/>
      <c r="K503" s="215" t="n"/>
      <c r="L503" s="215" t="n"/>
      <c r="M503" s="215" t="n"/>
      <c r="N503" s="215">
        <f>IF(ISNUMBER(I503),ROUND(I503-I503/1.081,2),"")</f>
        <v/>
      </c>
      <c r="O503" s="215">
        <f>IF(ISNUMBER(I503),I503-SUM(J503:N503),"")</f>
        <v/>
      </c>
      <c r="P503" s="216">
        <f>IFERROR(IF(AND(ISNUMBER(O503),ISNUMBER(I503),I503&lt;&gt;0),O503/I503,""),"")</f>
        <v/>
      </c>
      <c r="Q503" s="215">
        <f>IF(AND(ISNUMBER(I503),ISNUMBER(S503)),I503*IF(S503&lt;=1,S503,S503/100),IF(OR(I503&lt;&gt;"",S503&lt;&gt;""),"tbd",""))</f>
        <v/>
      </c>
      <c r="S503" s="217" t="n"/>
      <c r="Z503">
        <f>IF(AND(R503="WON",ISNUMBER(I503)),AA503,"")</f>
        <v/>
      </c>
      <c r="AA503">
        <f>IFERROR(I503*1,0)</f>
        <v>0</v>
      </c>
    </row>
    <row r="504" ht="15" customHeight="1">
      <c r="I504" s="215" t="n"/>
      <c r="J504" s="215" t="n"/>
      <c r="K504" s="215" t="n"/>
      <c r="L504" s="215" t="n"/>
      <c r="M504" s="215" t="n"/>
      <c r="N504" s="215">
        <f>IF(ISNUMBER(I504),ROUND(I504-I504/1.081,2),"")</f>
        <v/>
      </c>
      <c r="O504" s="215">
        <f>IF(ISNUMBER(I504),I504-SUM(J504:N504),"")</f>
        <v/>
      </c>
      <c r="P504" s="216">
        <f>IFERROR(IF(AND(ISNUMBER(O504),ISNUMBER(I504),I504&lt;&gt;0),O504/I504,""),"")</f>
        <v/>
      </c>
      <c r="Q504" s="215">
        <f>IF(AND(ISNUMBER(I504),ISNUMBER(S504)),I504*IF(S504&lt;=1,S504,S504/100),IF(OR(I504&lt;&gt;"",S504&lt;&gt;""),"tbd",""))</f>
        <v/>
      </c>
      <c r="S504" s="217" t="n"/>
      <c r="Z504">
        <f>IF(AND(R504="WON",ISNUMBER(I504)),AA504,"")</f>
        <v/>
      </c>
      <c r="AA504">
        <f>IFERROR(I504*1,0)</f>
        <v>0</v>
      </c>
    </row>
    <row r="505" ht="15" customHeight="1">
      <c r="I505" s="215" t="n"/>
      <c r="J505" s="215" t="n"/>
      <c r="K505" s="215" t="n"/>
      <c r="L505" s="215" t="n"/>
      <c r="M505" s="215" t="n"/>
      <c r="N505" s="215">
        <f>IF(ISNUMBER(I505),ROUND(I505-I505/1.081,2),"")</f>
        <v/>
      </c>
      <c r="O505" s="215">
        <f>IF(ISNUMBER(I505),I505-SUM(J505:N505),"")</f>
        <v/>
      </c>
      <c r="P505" s="216">
        <f>IFERROR(IF(AND(ISNUMBER(O505),ISNUMBER(I505),I505&lt;&gt;0),O505/I505,""),"")</f>
        <v/>
      </c>
      <c r="Q505" s="215">
        <f>IF(AND(ISNUMBER(I505),ISNUMBER(S505)),I505*IF(S505&lt;=1,S505,S505/100),IF(OR(I505&lt;&gt;"",S505&lt;&gt;""),"tbd",""))</f>
        <v/>
      </c>
      <c r="S505" s="217" t="n"/>
      <c r="Z505">
        <f>IF(AND(R505="WON",ISNUMBER(I505)),AA505,"")</f>
        <v/>
      </c>
      <c r="AA505">
        <f>IFERROR(I505*1,0)</f>
        <v>0</v>
      </c>
    </row>
    <row r="506" ht="15" customHeight="1">
      <c r="I506" s="215" t="n"/>
      <c r="J506" s="215" t="n"/>
      <c r="K506" s="215" t="n"/>
      <c r="L506" s="215" t="n"/>
      <c r="M506" s="215" t="n"/>
      <c r="N506" s="215">
        <f>IF(ISNUMBER(I506),ROUND(I506-I506/1.081,2),"")</f>
        <v/>
      </c>
      <c r="O506" s="215">
        <f>IF(ISNUMBER(I506),I506-SUM(J506:N506),"")</f>
        <v/>
      </c>
      <c r="P506" s="216">
        <f>IFERROR(IF(AND(ISNUMBER(O506),ISNUMBER(I506),I506&lt;&gt;0),O506/I506,""),"")</f>
        <v/>
      </c>
      <c r="Q506" s="215">
        <f>IF(AND(ISNUMBER(I506),ISNUMBER(S506)),I506*IF(S506&lt;=1,S506,S506/100),IF(OR(I506&lt;&gt;"",S506&lt;&gt;""),"tbd",""))</f>
        <v/>
      </c>
      <c r="S506" s="217" t="n"/>
      <c r="Z506">
        <f>IF(AND(R506="WON",ISNUMBER(I506)),AA506,"")</f>
        <v/>
      </c>
      <c r="AA506">
        <f>IFERROR(I506*1,0)</f>
        <v>0</v>
      </c>
    </row>
    <row r="507" ht="15" customHeight="1">
      <c r="I507" s="215" t="n"/>
      <c r="J507" s="215" t="n"/>
      <c r="K507" s="215" t="n"/>
      <c r="L507" s="215" t="n"/>
      <c r="M507" s="215" t="n"/>
      <c r="N507" s="215">
        <f>IF(ISNUMBER(I507),ROUND(I507-I507/1.081,2),"")</f>
        <v/>
      </c>
      <c r="O507" s="215">
        <f>IF(ISNUMBER(I507),I507-SUM(J507:N507),"")</f>
        <v/>
      </c>
      <c r="P507" s="216">
        <f>IFERROR(IF(AND(ISNUMBER(O507),ISNUMBER(I507),I507&lt;&gt;0),O507/I507,""),"")</f>
        <v/>
      </c>
      <c r="Q507" s="215">
        <f>IF(AND(ISNUMBER(I507),ISNUMBER(S507)),I507*IF(S507&lt;=1,S507,S507/100),IF(OR(I507&lt;&gt;"",S507&lt;&gt;""),"tbd",""))</f>
        <v/>
      </c>
      <c r="S507" s="217" t="n"/>
      <c r="Z507">
        <f>IF(AND(R507="WON",ISNUMBER(I507)),AA507,"")</f>
        <v/>
      </c>
      <c r="AA507">
        <f>IFERROR(I507*1,0)</f>
        <v>0</v>
      </c>
    </row>
    <row r="508" ht="15" customHeight="1">
      <c r="I508" s="215" t="n"/>
      <c r="J508" s="215" t="n"/>
      <c r="K508" s="215" t="n"/>
      <c r="L508" s="215" t="n"/>
      <c r="M508" s="215" t="n"/>
      <c r="N508" s="215">
        <f>IF(ISNUMBER(I508),ROUND(I508-I508/1.081,2),"")</f>
        <v/>
      </c>
      <c r="O508" s="215">
        <f>IF(ISNUMBER(I508),I508-SUM(J508:N508),"")</f>
        <v/>
      </c>
      <c r="P508" s="216">
        <f>IFERROR(IF(AND(ISNUMBER(O508),ISNUMBER(I508),I508&lt;&gt;0),O508/I508,""),"")</f>
        <v/>
      </c>
      <c r="Q508" s="215">
        <f>IF(AND(ISNUMBER(I508),ISNUMBER(S508)),I508*IF(S508&lt;=1,S508,S508/100),IF(OR(I508&lt;&gt;"",S508&lt;&gt;""),"tbd",""))</f>
        <v/>
      </c>
      <c r="S508" s="217" t="n"/>
      <c r="Z508">
        <f>IF(AND(R508="WON",ISNUMBER(I508)),AA508,"")</f>
        <v/>
      </c>
      <c r="AA508">
        <f>IFERROR(I508*1,0)</f>
        <v>0</v>
      </c>
    </row>
    <row r="509" ht="15" customHeight="1">
      <c r="I509" s="215" t="n"/>
      <c r="J509" s="215" t="n"/>
      <c r="K509" s="215" t="n"/>
      <c r="L509" s="215" t="n"/>
      <c r="M509" s="215" t="n"/>
      <c r="N509" s="215">
        <f>IF(ISNUMBER(I509),ROUND(I509-I509/1.081,2),"")</f>
        <v/>
      </c>
      <c r="O509" s="215">
        <f>IF(ISNUMBER(I509),I509-SUM(J509:N509),"")</f>
        <v/>
      </c>
      <c r="P509" s="216">
        <f>IFERROR(IF(AND(ISNUMBER(O509),ISNUMBER(I509),I509&lt;&gt;0),O509/I509,""),"")</f>
        <v/>
      </c>
      <c r="Q509" s="215">
        <f>IF(AND(ISNUMBER(I509),ISNUMBER(S509)),I509*IF(S509&lt;=1,S509,S509/100),IF(OR(I509&lt;&gt;"",S509&lt;&gt;""),"tbd",""))</f>
        <v/>
      </c>
      <c r="S509" s="217" t="n"/>
      <c r="Z509">
        <f>IF(AND(R509="WON",ISNUMBER(I509)),AA509,"")</f>
        <v/>
      </c>
      <c r="AA509">
        <f>IFERROR(I509*1,0)</f>
        <v>0</v>
      </c>
    </row>
    <row r="510" ht="15" customHeight="1">
      <c r="I510" s="215" t="n"/>
      <c r="J510" s="215" t="n"/>
      <c r="K510" s="215" t="n"/>
      <c r="L510" s="215" t="n"/>
      <c r="M510" s="215" t="n"/>
      <c r="N510" s="215">
        <f>IF(ISNUMBER(I510),ROUND(I510-I510/1.081,2),"")</f>
        <v/>
      </c>
      <c r="O510" s="215">
        <f>IF(ISNUMBER(I510),I510-SUM(J510:N510),"")</f>
        <v/>
      </c>
      <c r="P510" s="216">
        <f>IFERROR(IF(AND(ISNUMBER(O510),ISNUMBER(I510),I510&lt;&gt;0),O510/I510,""),"")</f>
        <v/>
      </c>
      <c r="Q510" s="215">
        <f>IF(AND(ISNUMBER(I510),ISNUMBER(S510)),I510*IF(S510&lt;=1,S510,S510/100),IF(OR(I510&lt;&gt;"",S510&lt;&gt;""),"tbd",""))</f>
        <v/>
      </c>
      <c r="S510" s="217" t="n"/>
      <c r="Z510">
        <f>IF(AND(R510="WON",ISNUMBER(I510)),AA510,"")</f>
        <v/>
      </c>
      <c r="AA510">
        <f>IFERROR(I510*1,0)</f>
        <v>0</v>
      </c>
    </row>
    <row r="511" ht="15" customHeight="1">
      <c r="I511" s="215" t="n"/>
      <c r="J511" s="215" t="n"/>
      <c r="K511" s="215" t="n"/>
      <c r="L511" s="215" t="n"/>
      <c r="M511" s="215" t="n"/>
      <c r="N511" s="215">
        <f>IF(ISNUMBER(I511),ROUND(I511-I511/1.081,2),"")</f>
        <v/>
      </c>
      <c r="O511" s="215">
        <f>IF(ISNUMBER(I511),I511-SUM(J511:N511),"")</f>
        <v/>
      </c>
      <c r="P511" s="216">
        <f>IFERROR(IF(AND(ISNUMBER(O511),ISNUMBER(I511),I511&lt;&gt;0),O511/I511,""),"")</f>
        <v/>
      </c>
      <c r="Q511" s="215">
        <f>IF(AND(ISNUMBER(I511),ISNUMBER(S511)),I511*IF(S511&lt;=1,S511,S511/100),IF(OR(I511&lt;&gt;"",S511&lt;&gt;""),"tbd",""))</f>
        <v/>
      </c>
      <c r="S511" s="217" t="n"/>
      <c r="Z511">
        <f>IF(AND(R511="WON",ISNUMBER(I511)),AA511,"")</f>
        <v/>
      </c>
      <c r="AA511">
        <f>IFERROR(I511*1,0)</f>
        <v>0</v>
      </c>
    </row>
    <row r="512" ht="15" customHeight="1">
      <c r="I512" s="215" t="n"/>
      <c r="J512" s="215" t="n"/>
      <c r="K512" s="215" t="n"/>
      <c r="L512" s="215" t="n"/>
      <c r="M512" s="215" t="n"/>
      <c r="N512" s="215">
        <f>IF(ISNUMBER(I512),ROUND(I512-I512/1.081,2),"")</f>
        <v/>
      </c>
      <c r="O512" s="215">
        <f>IF(ISNUMBER(I512),I512-SUM(J512:N512),"")</f>
        <v/>
      </c>
      <c r="P512" s="216">
        <f>IFERROR(IF(AND(ISNUMBER(O512),ISNUMBER(I512),I512&lt;&gt;0),O512/I512,""),"")</f>
        <v/>
      </c>
      <c r="Q512" s="215">
        <f>IF(AND(ISNUMBER(I512),ISNUMBER(S512)),I512*IF(S512&lt;=1,S512,S512/100),IF(OR(I512&lt;&gt;"",S512&lt;&gt;""),"tbd",""))</f>
        <v/>
      </c>
      <c r="S512" s="217" t="n"/>
      <c r="Z512">
        <f>IF(AND(R512="WON",ISNUMBER(I512)),AA512,"")</f>
        <v/>
      </c>
      <c r="AA512">
        <f>IFERROR(I512*1,0)</f>
        <v>0</v>
      </c>
    </row>
    <row r="513" ht="15" customHeight="1">
      <c r="I513" s="215" t="n"/>
      <c r="J513" s="215" t="n"/>
      <c r="K513" s="215" t="n"/>
      <c r="L513" s="215" t="n"/>
      <c r="M513" s="215" t="n"/>
      <c r="N513" s="215">
        <f>IF(ISNUMBER(I513),ROUND(I513-I513/1.081,2),"")</f>
        <v/>
      </c>
      <c r="O513" s="215">
        <f>IF(ISNUMBER(I513),I513-SUM(J513:N513),"")</f>
        <v/>
      </c>
      <c r="P513" s="216">
        <f>IFERROR(IF(AND(ISNUMBER(O513),ISNUMBER(I513),I513&lt;&gt;0),O513/I513,""),"")</f>
        <v/>
      </c>
      <c r="Q513" s="215">
        <f>IF(AND(ISNUMBER(I513),ISNUMBER(S513)),I513*IF(S513&lt;=1,S513,S513/100),IF(OR(I513&lt;&gt;"",S513&lt;&gt;""),"tbd",""))</f>
        <v/>
      </c>
      <c r="S513" s="217" t="n"/>
      <c r="Z513">
        <f>IF(AND(R513="WON",ISNUMBER(I513)),AA513,"")</f>
        <v/>
      </c>
      <c r="AA513">
        <f>IFERROR(I513*1,0)</f>
        <v>0</v>
      </c>
    </row>
    <row r="514" ht="15" customHeight="1">
      <c r="I514" s="215" t="n"/>
      <c r="J514" s="215" t="n"/>
      <c r="K514" s="215" t="n"/>
      <c r="L514" s="215" t="n"/>
      <c r="M514" s="215" t="n"/>
      <c r="N514" s="215">
        <f>IF(ISNUMBER(I514),ROUND(I514-I514/1.081,2),"")</f>
        <v/>
      </c>
      <c r="O514" s="215">
        <f>IF(ISNUMBER(I514),I514-SUM(J514:N514),"")</f>
        <v/>
      </c>
      <c r="P514" s="216">
        <f>IFERROR(IF(AND(ISNUMBER(O514),ISNUMBER(I514),I514&lt;&gt;0),O514/I514,""),"")</f>
        <v/>
      </c>
      <c r="Q514" s="215">
        <f>IF(AND(ISNUMBER(I514),ISNUMBER(S514)),I514*IF(S514&lt;=1,S514,S514/100),IF(OR(I514&lt;&gt;"",S514&lt;&gt;""),"tbd",""))</f>
        <v/>
      </c>
      <c r="S514" s="217" t="n"/>
      <c r="Z514">
        <f>IF(AND(R514="WON",ISNUMBER(I514)),AA514,"")</f>
        <v/>
      </c>
      <c r="AA514">
        <f>IFERROR(I514*1,0)</f>
        <v>0</v>
      </c>
    </row>
    <row r="515" ht="15" customHeight="1">
      <c r="I515" s="215" t="n"/>
      <c r="J515" s="215" t="n"/>
      <c r="K515" s="215" t="n"/>
      <c r="L515" s="215" t="n"/>
      <c r="M515" s="215" t="n"/>
      <c r="N515" s="215">
        <f>IF(ISNUMBER(I515),ROUND(I515-I515/1.081,2),"")</f>
        <v/>
      </c>
      <c r="O515" s="215">
        <f>IF(ISNUMBER(I515),I515-SUM(J515:N515),"")</f>
        <v/>
      </c>
      <c r="P515" s="216">
        <f>IFERROR(IF(AND(ISNUMBER(O515),ISNUMBER(I515),I515&lt;&gt;0),O515/I515,""),"")</f>
        <v/>
      </c>
      <c r="Q515" s="215">
        <f>IF(AND(ISNUMBER(I515),ISNUMBER(S515)),I515*IF(S515&lt;=1,S515,S515/100),IF(OR(I515&lt;&gt;"",S515&lt;&gt;""),"tbd",""))</f>
        <v/>
      </c>
      <c r="S515" s="217" t="n"/>
      <c r="Z515">
        <f>IF(AND(R515="WON",ISNUMBER(I515)),AA515,"")</f>
        <v/>
      </c>
      <c r="AA515">
        <f>IFERROR(I515*1,0)</f>
        <v>0</v>
      </c>
    </row>
    <row r="516" ht="15" customHeight="1">
      <c r="I516" s="215" t="n"/>
      <c r="J516" s="215" t="n"/>
      <c r="K516" s="215" t="n"/>
      <c r="L516" s="215" t="n"/>
      <c r="M516" s="215" t="n"/>
      <c r="N516" s="215">
        <f>IF(ISNUMBER(I516),ROUND(I516-I516/1.081,2),"")</f>
        <v/>
      </c>
      <c r="O516" s="215">
        <f>IF(ISNUMBER(I516),I516-SUM(J516:N516),"")</f>
        <v/>
      </c>
      <c r="P516" s="216">
        <f>IFERROR(IF(AND(ISNUMBER(O516),ISNUMBER(I516),I516&lt;&gt;0),O516/I516,""),"")</f>
        <v/>
      </c>
      <c r="Q516" s="215">
        <f>IF(AND(ISNUMBER(I516),ISNUMBER(S516)),I516*IF(S516&lt;=1,S516,S516/100),IF(OR(I516&lt;&gt;"",S516&lt;&gt;""),"tbd",""))</f>
        <v/>
      </c>
      <c r="S516" s="217" t="n"/>
      <c r="Z516">
        <f>IF(AND(R516="WON",ISNUMBER(I516)),AA516,"")</f>
        <v/>
      </c>
      <c r="AA516">
        <f>IFERROR(I516*1,0)</f>
        <v>0</v>
      </c>
    </row>
    <row r="517" ht="15" customHeight="1">
      <c r="I517" s="215" t="n"/>
      <c r="J517" s="215" t="n"/>
      <c r="K517" s="215" t="n"/>
      <c r="L517" s="215" t="n"/>
      <c r="M517" s="215" t="n"/>
      <c r="N517" s="215">
        <f>IF(ISNUMBER(I517),ROUND(I517-I517/1.081,2),"")</f>
        <v/>
      </c>
      <c r="O517" s="215">
        <f>IF(ISNUMBER(I517),I517-SUM(J517:N517),"")</f>
        <v/>
      </c>
      <c r="P517" s="216">
        <f>IFERROR(IF(AND(ISNUMBER(O517),ISNUMBER(I517),I517&lt;&gt;0),O517/I517,""),"")</f>
        <v/>
      </c>
      <c r="Q517" s="215">
        <f>IF(AND(ISNUMBER(I517),ISNUMBER(S517)),I517*IF(S517&lt;=1,S517,S517/100),IF(OR(I517&lt;&gt;"",S517&lt;&gt;""),"tbd",""))</f>
        <v/>
      </c>
      <c r="S517" s="217" t="n"/>
      <c r="Z517">
        <f>IF(AND(R517="WON",ISNUMBER(I517)),AA517,"")</f>
        <v/>
      </c>
      <c r="AA517">
        <f>IFERROR(I517*1,0)</f>
        <v>0</v>
      </c>
    </row>
    <row r="518" ht="15" customHeight="1">
      <c r="I518" s="215" t="n"/>
      <c r="J518" s="215" t="n"/>
      <c r="K518" s="215" t="n"/>
      <c r="L518" s="215" t="n"/>
      <c r="M518" s="215" t="n"/>
      <c r="N518" s="215">
        <f>IF(ISNUMBER(I518),ROUND(I518-I518/1.081,2),"")</f>
        <v/>
      </c>
      <c r="O518" s="215">
        <f>IF(ISNUMBER(I518),I518-SUM(J518:N518),"")</f>
        <v/>
      </c>
      <c r="P518" s="216">
        <f>IFERROR(IF(AND(ISNUMBER(O518),ISNUMBER(I518),I518&lt;&gt;0),O518/I518,""),"")</f>
        <v/>
      </c>
      <c r="Q518" s="215">
        <f>IF(AND(ISNUMBER(I518),ISNUMBER(S518)),I518*IF(S518&lt;=1,S518,S518/100),IF(OR(I518&lt;&gt;"",S518&lt;&gt;""),"tbd",""))</f>
        <v/>
      </c>
      <c r="S518" s="217" t="n"/>
      <c r="Z518">
        <f>IF(AND(R518="WON",ISNUMBER(I518)),AA518,"")</f>
        <v/>
      </c>
      <c r="AA518">
        <f>IFERROR(I518*1,0)</f>
        <v>0</v>
      </c>
    </row>
    <row r="519" ht="15" customHeight="1">
      <c r="I519" s="215" t="n"/>
      <c r="J519" s="215" t="n"/>
      <c r="K519" s="215" t="n"/>
      <c r="L519" s="215" t="n"/>
      <c r="M519" s="215" t="n"/>
      <c r="N519" s="215">
        <f>IF(ISNUMBER(I519),ROUND(I519-I519/1.081,2),"")</f>
        <v/>
      </c>
      <c r="O519" s="215">
        <f>IF(ISNUMBER(I519),I519-SUM(J519:N519),"")</f>
        <v/>
      </c>
      <c r="P519" s="216">
        <f>IFERROR(IF(AND(ISNUMBER(O519),ISNUMBER(I519),I519&lt;&gt;0),O519/I519,""),"")</f>
        <v/>
      </c>
      <c r="Q519" s="215">
        <f>IF(AND(ISNUMBER(I519),ISNUMBER(S519)),I519*IF(S519&lt;=1,S519,S519/100),IF(OR(I519&lt;&gt;"",S519&lt;&gt;""),"tbd",""))</f>
        <v/>
      </c>
      <c r="S519" s="217" t="n"/>
      <c r="Z519">
        <f>IF(AND(R519="WON",ISNUMBER(I519)),AA519,"")</f>
        <v/>
      </c>
      <c r="AA519">
        <f>IFERROR(I519*1,0)</f>
        <v>0</v>
      </c>
    </row>
    <row r="520" ht="15" customHeight="1">
      <c r="I520" s="215" t="n"/>
      <c r="J520" s="215" t="n"/>
      <c r="K520" s="215" t="n"/>
      <c r="L520" s="215" t="n"/>
      <c r="M520" s="215" t="n"/>
      <c r="N520" s="215">
        <f>IF(ISNUMBER(I520),ROUND(I520-I520/1.081,2),"")</f>
        <v/>
      </c>
      <c r="O520" s="215">
        <f>IF(ISNUMBER(I520),I520-SUM(J520:N520),"")</f>
        <v/>
      </c>
      <c r="P520" s="216">
        <f>IFERROR(IF(AND(ISNUMBER(O520),ISNUMBER(I520),I520&lt;&gt;0),O520/I520,""),"")</f>
        <v/>
      </c>
      <c r="Q520" s="215">
        <f>IF(AND(ISNUMBER(I520),ISNUMBER(S520)),I520*IF(S520&lt;=1,S520,S520/100),IF(OR(I520&lt;&gt;"",S520&lt;&gt;""),"tbd",""))</f>
        <v/>
      </c>
      <c r="S520" s="217" t="n"/>
      <c r="Z520">
        <f>IF(AND(R520="WON",ISNUMBER(I520)),AA520,"")</f>
        <v/>
      </c>
      <c r="AA520">
        <f>IFERROR(I520*1,0)</f>
        <v>0</v>
      </c>
    </row>
    <row r="521" ht="15" customHeight="1">
      <c r="I521" s="215" t="n"/>
      <c r="J521" s="215" t="n"/>
      <c r="K521" s="215" t="n"/>
      <c r="L521" s="215" t="n"/>
      <c r="M521" s="215" t="n"/>
      <c r="N521" s="215">
        <f>IF(ISNUMBER(I521),ROUND(I521-I521/1.081,2),"")</f>
        <v/>
      </c>
      <c r="O521" s="215">
        <f>IF(ISNUMBER(I521),I521-SUM(J521:N521),"")</f>
        <v/>
      </c>
      <c r="P521" s="216">
        <f>IFERROR(IF(AND(ISNUMBER(O521),ISNUMBER(I521),I521&lt;&gt;0),O521/I521,""),"")</f>
        <v/>
      </c>
      <c r="Q521" s="215">
        <f>IF(AND(ISNUMBER(I521),ISNUMBER(S521)),I521*IF(S521&lt;=1,S521,S521/100),IF(OR(I521&lt;&gt;"",S521&lt;&gt;""),"tbd",""))</f>
        <v/>
      </c>
      <c r="S521" s="217" t="n"/>
      <c r="Z521">
        <f>IF(AND(R521="WON",ISNUMBER(I521)),AA521,"")</f>
        <v/>
      </c>
      <c r="AA521">
        <f>IFERROR(I521*1,0)</f>
        <v>0</v>
      </c>
    </row>
    <row r="522" ht="15" customHeight="1">
      <c r="I522" s="215" t="n"/>
      <c r="J522" s="215" t="n"/>
      <c r="K522" s="215" t="n"/>
      <c r="L522" s="215" t="n"/>
      <c r="M522" s="215" t="n"/>
      <c r="N522" s="215">
        <f>IF(ISNUMBER(I522),ROUND(I522-I522/1.081,2),"")</f>
        <v/>
      </c>
      <c r="O522" s="215">
        <f>IF(ISNUMBER(I522),I522-SUM(J522:N522),"")</f>
        <v/>
      </c>
      <c r="P522" s="216">
        <f>IFERROR(IF(AND(ISNUMBER(O522),ISNUMBER(I522),I522&lt;&gt;0),O522/I522,""),"")</f>
        <v/>
      </c>
      <c r="Q522" s="215">
        <f>IF(AND(ISNUMBER(I522),ISNUMBER(S522)),I522*IF(S522&lt;=1,S522,S522/100),IF(OR(I522&lt;&gt;"",S522&lt;&gt;""),"tbd",""))</f>
        <v/>
      </c>
      <c r="S522" s="217" t="n"/>
      <c r="Z522">
        <f>IF(AND(R522="WON",ISNUMBER(I522)),AA522,"")</f>
        <v/>
      </c>
      <c r="AA522">
        <f>IFERROR(I522*1,0)</f>
        <v>0</v>
      </c>
    </row>
    <row r="523" ht="15" customHeight="1">
      <c r="I523" s="215" t="n"/>
      <c r="J523" s="215" t="n"/>
      <c r="K523" s="215" t="n"/>
      <c r="L523" s="215" t="n"/>
      <c r="M523" s="215" t="n"/>
      <c r="N523" s="215">
        <f>IF(ISNUMBER(I523),ROUND(I523-I523/1.081,2),"")</f>
        <v/>
      </c>
      <c r="O523" s="215">
        <f>IF(ISNUMBER(I523),I523-SUM(J523:N523),"")</f>
        <v/>
      </c>
      <c r="P523" s="216">
        <f>IFERROR(IF(AND(ISNUMBER(O523),ISNUMBER(I523),I523&lt;&gt;0),O523/I523,""),"")</f>
        <v/>
      </c>
      <c r="Q523" s="215">
        <f>IF(AND(ISNUMBER(I523),ISNUMBER(S523)),I523*IF(S523&lt;=1,S523,S523/100),IF(OR(I523&lt;&gt;"",S523&lt;&gt;""),"tbd",""))</f>
        <v/>
      </c>
      <c r="S523" s="217" t="n"/>
      <c r="Z523">
        <f>IF(AND(R523="WON",ISNUMBER(I523)),AA523,"")</f>
        <v/>
      </c>
      <c r="AA523">
        <f>IFERROR(I523*1,0)</f>
        <v>0</v>
      </c>
    </row>
    <row r="524" ht="15" customHeight="1">
      <c r="I524" s="215" t="n"/>
      <c r="J524" s="215" t="n"/>
      <c r="K524" s="215" t="n"/>
      <c r="L524" s="215" t="n"/>
      <c r="M524" s="215" t="n"/>
      <c r="N524" s="215">
        <f>IF(ISNUMBER(I524),ROUND(I524-I524/1.081,2),"")</f>
        <v/>
      </c>
      <c r="O524" s="215">
        <f>IF(ISNUMBER(I524),I524-SUM(J524:N524),"")</f>
        <v/>
      </c>
      <c r="P524" s="216">
        <f>IFERROR(IF(AND(ISNUMBER(O524),ISNUMBER(I524),I524&lt;&gt;0),O524/I524,""),"")</f>
        <v/>
      </c>
      <c r="Q524" s="215">
        <f>IF(AND(ISNUMBER(I524),ISNUMBER(S524)),I524*IF(S524&lt;=1,S524,S524/100),IF(OR(I524&lt;&gt;"",S524&lt;&gt;""),"tbd",""))</f>
        <v/>
      </c>
      <c r="S524" s="217" t="n"/>
      <c r="Z524">
        <f>IF(AND(R524="WON",ISNUMBER(I524)),AA524,"")</f>
        <v/>
      </c>
      <c r="AA524">
        <f>IFERROR(I524*1,0)</f>
        <v>0</v>
      </c>
    </row>
    <row r="525" ht="15" customHeight="1">
      <c r="I525" s="215" t="n"/>
      <c r="J525" s="215" t="n"/>
      <c r="K525" s="215" t="n"/>
      <c r="L525" s="215" t="n"/>
      <c r="M525" s="215" t="n"/>
      <c r="N525" s="215">
        <f>IF(ISNUMBER(I525),ROUND(I525-I525/1.081,2),"")</f>
        <v/>
      </c>
      <c r="O525" s="215">
        <f>IF(ISNUMBER(I525),I525-SUM(J525:N525),"")</f>
        <v/>
      </c>
      <c r="P525" s="216">
        <f>IFERROR(IF(AND(ISNUMBER(O525),ISNUMBER(I525),I525&lt;&gt;0),O525/I525,""),"")</f>
        <v/>
      </c>
      <c r="Q525" s="215">
        <f>IF(AND(ISNUMBER(I525),ISNUMBER(S525)),I525*IF(S525&lt;=1,S525,S525/100),IF(OR(I525&lt;&gt;"",S525&lt;&gt;""),"tbd",""))</f>
        <v/>
      </c>
      <c r="S525" s="217" t="n"/>
      <c r="Z525">
        <f>IF(AND(R525="WON",ISNUMBER(I525)),AA525,"")</f>
        <v/>
      </c>
      <c r="AA525">
        <f>IFERROR(I525*1,0)</f>
        <v>0</v>
      </c>
    </row>
    <row r="526" ht="15" customHeight="1">
      <c r="I526" s="215" t="n"/>
      <c r="J526" s="215" t="n"/>
      <c r="K526" s="215" t="n"/>
      <c r="L526" s="215" t="n"/>
      <c r="M526" s="215" t="n"/>
      <c r="N526" s="215">
        <f>IF(ISNUMBER(I526),ROUND(I526-I526/1.081,2),"")</f>
        <v/>
      </c>
      <c r="O526" s="215">
        <f>IF(ISNUMBER(I526),I526-SUM(J526:N526),"")</f>
        <v/>
      </c>
      <c r="P526" s="216">
        <f>IFERROR(IF(AND(ISNUMBER(O526),ISNUMBER(I526),I526&lt;&gt;0),O526/I526,""),"")</f>
        <v/>
      </c>
      <c r="Q526" s="215">
        <f>IF(AND(ISNUMBER(I526),ISNUMBER(S526)),I526*IF(S526&lt;=1,S526,S526/100),IF(OR(I526&lt;&gt;"",S526&lt;&gt;""),"tbd",""))</f>
        <v/>
      </c>
      <c r="S526" s="217" t="n"/>
      <c r="Z526">
        <f>IF(AND(R526="WON",ISNUMBER(I526)),AA526,"")</f>
        <v/>
      </c>
      <c r="AA526">
        <f>IFERROR(I526*1,0)</f>
        <v>0</v>
      </c>
    </row>
    <row r="527" ht="15" customHeight="1">
      <c r="I527" s="215" t="n"/>
      <c r="J527" s="215" t="n"/>
      <c r="K527" s="215" t="n"/>
      <c r="L527" s="215" t="n"/>
      <c r="M527" s="215" t="n"/>
      <c r="N527" s="215">
        <f>IF(ISNUMBER(I527),ROUND(I527-I527/1.081,2),"")</f>
        <v/>
      </c>
      <c r="O527" s="215">
        <f>IF(ISNUMBER(I527),I527-SUM(J527:N527),"")</f>
        <v/>
      </c>
      <c r="P527" s="216">
        <f>IFERROR(IF(AND(ISNUMBER(O527),ISNUMBER(I527),I527&lt;&gt;0),O527/I527,""),"")</f>
        <v/>
      </c>
      <c r="Q527" s="215">
        <f>IF(AND(ISNUMBER(I527),ISNUMBER(S527)),I527*IF(S527&lt;=1,S527,S527/100),IF(OR(I527&lt;&gt;"",S527&lt;&gt;""),"tbd",""))</f>
        <v/>
      </c>
      <c r="S527" s="217" t="n"/>
      <c r="Z527">
        <f>IF(AND(R527="WON",ISNUMBER(I527)),AA527,"")</f>
        <v/>
      </c>
      <c r="AA527">
        <f>IFERROR(I527*1,0)</f>
        <v>0</v>
      </c>
    </row>
    <row r="528" ht="15" customHeight="1">
      <c r="I528" s="215" t="n"/>
      <c r="J528" s="215" t="n"/>
      <c r="K528" s="215" t="n"/>
      <c r="L528" s="215" t="n"/>
      <c r="M528" s="215" t="n"/>
      <c r="N528" s="215">
        <f>IF(ISNUMBER(I528),ROUND(I528-I528/1.081,2),"")</f>
        <v/>
      </c>
      <c r="O528" s="215">
        <f>IF(ISNUMBER(I528),I528-SUM(J528:N528),"")</f>
        <v/>
      </c>
      <c r="P528" s="216">
        <f>IFERROR(IF(AND(ISNUMBER(O528),ISNUMBER(I528),I528&lt;&gt;0),O528/I528,""),"")</f>
        <v/>
      </c>
      <c r="Q528" s="215">
        <f>IF(AND(ISNUMBER(I528),ISNUMBER(S528)),I528*IF(S528&lt;=1,S528,S528/100),IF(OR(I528&lt;&gt;"",S528&lt;&gt;""),"tbd",""))</f>
        <v/>
      </c>
      <c r="S528" s="217" t="n"/>
      <c r="Z528">
        <f>IF(AND(R528="WON",ISNUMBER(I528)),AA528,"")</f>
        <v/>
      </c>
      <c r="AA528">
        <f>IFERROR(I528*1,0)</f>
        <v>0</v>
      </c>
    </row>
    <row r="529" ht="15" customHeight="1">
      <c r="I529" s="215" t="n"/>
      <c r="J529" s="215" t="n"/>
      <c r="K529" s="215" t="n"/>
      <c r="L529" s="215" t="n"/>
      <c r="M529" s="215" t="n"/>
      <c r="N529" s="215">
        <f>IF(ISNUMBER(I529),ROUND(I529-I529/1.081,2),"")</f>
        <v/>
      </c>
      <c r="O529" s="215">
        <f>IF(ISNUMBER(I529),I529-SUM(J529:N529),"")</f>
        <v/>
      </c>
      <c r="P529" s="216">
        <f>IFERROR(IF(AND(ISNUMBER(O529),ISNUMBER(I529),I529&lt;&gt;0),O529/I529,""),"")</f>
        <v/>
      </c>
      <c r="Q529" s="215">
        <f>IF(AND(ISNUMBER(I529),ISNUMBER(S529)),I529*IF(S529&lt;=1,S529,S529/100),IF(OR(I529&lt;&gt;"",S529&lt;&gt;""),"tbd",""))</f>
        <v/>
      </c>
      <c r="S529" s="217" t="n"/>
      <c r="Z529">
        <f>IF(AND(R529="WON",ISNUMBER(I529)),AA529,"")</f>
        <v/>
      </c>
      <c r="AA529">
        <f>IFERROR(I529*1,0)</f>
        <v>0</v>
      </c>
    </row>
    <row r="530" ht="15" customHeight="1">
      <c r="I530" s="215" t="n"/>
      <c r="J530" s="215" t="n"/>
      <c r="K530" s="215" t="n"/>
      <c r="L530" s="215" t="n"/>
      <c r="M530" s="215" t="n"/>
      <c r="N530" s="215">
        <f>IF(ISNUMBER(I530),ROUND(I530-I530/1.081,2),"")</f>
        <v/>
      </c>
      <c r="O530" s="215">
        <f>IF(ISNUMBER(I530),I530-SUM(J530:N530),"")</f>
        <v/>
      </c>
      <c r="P530" s="216">
        <f>IFERROR(IF(AND(ISNUMBER(O530),ISNUMBER(I530),I530&lt;&gt;0),O530/I530,""),"")</f>
        <v/>
      </c>
      <c r="Q530" s="215">
        <f>IF(AND(ISNUMBER(I530),ISNUMBER(S530)),I530*IF(S530&lt;=1,S530,S530/100),IF(OR(I530&lt;&gt;"",S530&lt;&gt;""),"tbd",""))</f>
        <v/>
      </c>
      <c r="S530" s="217" t="n"/>
      <c r="Z530">
        <f>IF(AND(R530="WON",ISNUMBER(I530)),AA530,"")</f>
        <v/>
      </c>
      <c r="AA530">
        <f>IFERROR(I530*1,0)</f>
        <v>0</v>
      </c>
    </row>
    <row r="531" ht="15" customHeight="1">
      <c r="I531" s="215" t="n"/>
      <c r="J531" s="215" t="n"/>
      <c r="K531" s="215" t="n"/>
      <c r="L531" s="215" t="n"/>
      <c r="M531" s="215" t="n"/>
      <c r="N531" s="215">
        <f>IF(ISNUMBER(I531),ROUND(I531-I531/1.081,2),"")</f>
        <v/>
      </c>
      <c r="O531" s="215">
        <f>IF(ISNUMBER(I531),I531-SUM(J531:N531),"")</f>
        <v/>
      </c>
      <c r="P531" s="216">
        <f>IFERROR(IF(AND(ISNUMBER(O531),ISNUMBER(I531),I531&lt;&gt;0),O531/I531,""),"")</f>
        <v/>
      </c>
      <c r="Q531" s="215">
        <f>IF(AND(ISNUMBER(I531),ISNUMBER(S531)),I531*IF(S531&lt;=1,S531,S531/100),IF(OR(I531&lt;&gt;"",S531&lt;&gt;""),"tbd",""))</f>
        <v/>
      </c>
      <c r="S531" s="217" t="n"/>
      <c r="Z531">
        <f>IF(AND(R531="WON",ISNUMBER(I531)),AA531,"")</f>
        <v/>
      </c>
      <c r="AA531">
        <f>IFERROR(I531*1,0)</f>
        <v>0</v>
      </c>
    </row>
    <row r="532" ht="15" customHeight="1">
      <c r="I532" s="215" t="n"/>
      <c r="J532" s="215" t="n"/>
      <c r="K532" s="215" t="n"/>
      <c r="L532" s="215" t="n"/>
      <c r="M532" s="215" t="n"/>
      <c r="N532" s="215">
        <f>IF(ISNUMBER(I532),ROUND(I532-I532/1.081,2),"")</f>
        <v/>
      </c>
      <c r="O532" s="215">
        <f>IF(ISNUMBER(I532),I532-SUM(J532:N532),"")</f>
        <v/>
      </c>
      <c r="P532" s="216">
        <f>IFERROR(IF(AND(ISNUMBER(O532),ISNUMBER(I532),I532&lt;&gt;0),O532/I532,""),"")</f>
        <v/>
      </c>
      <c r="Q532" s="215">
        <f>IF(AND(ISNUMBER(I532),ISNUMBER(S532)),I532*IF(S532&lt;=1,S532,S532/100),IF(OR(I532&lt;&gt;"",S532&lt;&gt;""),"tbd",""))</f>
        <v/>
      </c>
      <c r="S532" s="217" t="n"/>
      <c r="Z532">
        <f>IF(AND(R532="WON",ISNUMBER(I532)),AA532,"")</f>
        <v/>
      </c>
      <c r="AA532">
        <f>IFERROR(I532*1,0)</f>
        <v>0</v>
      </c>
    </row>
    <row r="533" ht="15" customHeight="1">
      <c r="I533" s="215" t="n"/>
      <c r="J533" s="215" t="n"/>
      <c r="K533" s="215" t="n"/>
      <c r="L533" s="215" t="n"/>
      <c r="M533" s="215" t="n"/>
      <c r="N533" s="215">
        <f>IF(ISNUMBER(I533),ROUND(I533-I533/1.081,2),"")</f>
        <v/>
      </c>
      <c r="O533" s="215">
        <f>IF(ISNUMBER(I533),I533-SUM(J533:N533),"")</f>
        <v/>
      </c>
      <c r="P533" s="216">
        <f>IFERROR(IF(AND(ISNUMBER(O533),ISNUMBER(I533),I533&lt;&gt;0),O533/I533,""),"")</f>
        <v/>
      </c>
      <c r="Q533" s="215">
        <f>IF(AND(ISNUMBER(I533),ISNUMBER(S533)),I533*IF(S533&lt;=1,S533,S533/100),IF(OR(I533&lt;&gt;"",S533&lt;&gt;""),"tbd",""))</f>
        <v/>
      </c>
      <c r="S533" s="217" t="n"/>
      <c r="Z533">
        <f>IF(AND(R533="WON",ISNUMBER(I533)),AA533,"")</f>
        <v/>
      </c>
      <c r="AA533">
        <f>IFERROR(I533*1,0)</f>
        <v>0</v>
      </c>
    </row>
    <row r="534" ht="15" customHeight="1">
      <c r="I534" s="215" t="n"/>
      <c r="J534" s="215" t="n"/>
      <c r="K534" s="215" t="n"/>
      <c r="L534" s="215" t="n"/>
      <c r="M534" s="215" t="n"/>
      <c r="N534" s="215">
        <f>IF(ISNUMBER(I534),ROUND(I534-I534/1.081,2),"")</f>
        <v/>
      </c>
      <c r="O534" s="215">
        <f>IF(ISNUMBER(I534),I534-SUM(J534:N534),"")</f>
        <v/>
      </c>
      <c r="P534" s="216">
        <f>IFERROR(IF(AND(ISNUMBER(O534),ISNUMBER(I534),I534&lt;&gt;0),O534/I534,""),"")</f>
        <v/>
      </c>
      <c r="Q534" s="215">
        <f>IF(AND(ISNUMBER(I534),ISNUMBER(S534)),I534*IF(S534&lt;=1,S534,S534/100),IF(OR(I534&lt;&gt;"",S534&lt;&gt;""),"tbd",""))</f>
        <v/>
      </c>
      <c r="S534" s="217" t="n"/>
      <c r="Z534">
        <f>IF(AND(R534="WON",ISNUMBER(I534)),AA534,"")</f>
        <v/>
      </c>
      <c r="AA534">
        <f>IFERROR(I534*1,0)</f>
        <v>0</v>
      </c>
    </row>
    <row r="535" ht="15" customHeight="1">
      <c r="I535" s="215" t="n"/>
      <c r="J535" s="215" t="n"/>
      <c r="K535" s="215" t="n"/>
      <c r="L535" s="215" t="n"/>
      <c r="M535" s="215" t="n"/>
      <c r="N535" s="215">
        <f>IF(ISNUMBER(I535),ROUND(I535-I535/1.081,2),"")</f>
        <v/>
      </c>
      <c r="O535" s="215">
        <f>IF(ISNUMBER(I535),I535-SUM(J535:N535),"")</f>
        <v/>
      </c>
      <c r="P535" s="216">
        <f>IFERROR(IF(AND(ISNUMBER(O535),ISNUMBER(I535),I535&lt;&gt;0),O535/I535,""),"")</f>
        <v/>
      </c>
      <c r="Q535" s="215">
        <f>IF(AND(ISNUMBER(I535),ISNUMBER(S535)),I535*IF(S535&lt;=1,S535,S535/100),IF(OR(I535&lt;&gt;"",S535&lt;&gt;""),"tbd",""))</f>
        <v/>
      </c>
      <c r="S535" s="217" t="n"/>
      <c r="Z535">
        <f>IF(AND(R535="WON",ISNUMBER(I535)),AA535,"")</f>
        <v/>
      </c>
      <c r="AA535">
        <f>IFERROR(I535*1,0)</f>
        <v>0</v>
      </c>
    </row>
    <row r="536" ht="15" customHeight="1">
      <c r="I536" s="215" t="n"/>
      <c r="J536" s="215" t="n"/>
      <c r="K536" s="215" t="n"/>
      <c r="L536" s="215" t="n"/>
      <c r="M536" s="215" t="n"/>
      <c r="N536" s="215">
        <f>IF(ISNUMBER(I536),ROUND(I536-I536/1.081,2),"")</f>
        <v/>
      </c>
      <c r="O536" s="215">
        <f>IF(ISNUMBER(I536),I536-SUM(J536:N536),"")</f>
        <v/>
      </c>
      <c r="P536" s="216">
        <f>IFERROR(IF(AND(ISNUMBER(O536),ISNUMBER(I536),I536&lt;&gt;0),O536/I536,""),"")</f>
        <v/>
      </c>
      <c r="Q536" s="215">
        <f>IF(AND(ISNUMBER(I536),ISNUMBER(S536)),I536*IF(S536&lt;=1,S536,S536/100),IF(OR(I536&lt;&gt;"",S536&lt;&gt;""),"tbd",""))</f>
        <v/>
      </c>
      <c r="S536" s="217" t="n"/>
      <c r="Z536">
        <f>IF(AND(R536="WON",ISNUMBER(I536)),AA536,"")</f>
        <v/>
      </c>
      <c r="AA536">
        <f>IFERROR(I536*1,0)</f>
        <v>0</v>
      </c>
    </row>
    <row r="537" ht="15" customHeight="1">
      <c r="I537" s="215" t="n"/>
      <c r="J537" s="215" t="n"/>
      <c r="K537" s="215" t="n"/>
      <c r="L537" s="215" t="n"/>
      <c r="M537" s="215" t="n"/>
      <c r="N537" s="215">
        <f>IF(ISNUMBER(I537),ROUND(I537-I537/1.081,2),"")</f>
        <v/>
      </c>
      <c r="O537" s="215">
        <f>IF(ISNUMBER(I537),I537-SUM(J537:N537),"")</f>
        <v/>
      </c>
      <c r="P537" s="216">
        <f>IFERROR(IF(AND(ISNUMBER(O537),ISNUMBER(I537),I537&lt;&gt;0),O537/I537,""),"")</f>
        <v/>
      </c>
      <c r="Q537" s="215">
        <f>IF(AND(ISNUMBER(I537),ISNUMBER(S537)),I537*IF(S537&lt;=1,S537,S537/100),IF(OR(I537&lt;&gt;"",S537&lt;&gt;""),"tbd",""))</f>
        <v/>
      </c>
      <c r="S537" s="217" t="n"/>
      <c r="Z537">
        <f>IF(AND(R537="WON",ISNUMBER(I537)),AA537,"")</f>
        <v/>
      </c>
      <c r="AA537">
        <f>IFERROR(I537*1,0)</f>
        <v>0</v>
      </c>
    </row>
    <row r="538" ht="15" customHeight="1">
      <c r="I538" s="215" t="n"/>
      <c r="J538" s="215" t="n"/>
      <c r="K538" s="215" t="n"/>
      <c r="L538" s="215" t="n"/>
      <c r="M538" s="215" t="n"/>
      <c r="N538" s="215">
        <f>IF(ISNUMBER(I538),ROUND(I538-I538/1.081,2),"")</f>
        <v/>
      </c>
      <c r="O538" s="215">
        <f>IF(ISNUMBER(I538),I538-SUM(J538:N538),"")</f>
        <v/>
      </c>
      <c r="P538" s="216">
        <f>IFERROR(IF(AND(ISNUMBER(O538),ISNUMBER(I538),I538&lt;&gt;0),O538/I538,""),"")</f>
        <v/>
      </c>
      <c r="Q538" s="215">
        <f>IF(AND(ISNUMBER(I538),ISNUMBER(S538)),I538*IF(S538&lt;=1,S538,S538/100),IF(OR(I538&lt;&gt;"",S538&lt;&gt;""),"tbd",""))</f>
        <v/>
      </c>
      <c r="S538" s="217" t="n"/>
      <c r="Z538">
        <f>IF(AND(R538="WON",ISNUMBER(I538)),AA538,"")</f>
        <v/>
      </c>
      <c r="AA538">
        <f>IFERROR(I538*1,0)</f>
        <v>0</v>
      </c>
    </row>
    <row r="539" ht="15" customHeight="1">
      <c r="I539" s="215" t="n"/>
      <c r="J539" s="215" t="n"/>
      <c r="K539" s="215" t="n"/>
      <c r="L539" s="215" t="n"/>
      <c r="M539" s="215" t="n"/>
      <c r="N539" s="215">
        <f>IF(ISNUMBER(I539),ROUND(I539-I539/1.081,2),"")</f>
        <v/>
      </c>
      <c r="O539" s="215">
        <f>IF(ISNUMBER(I539),I539-SUM(J539:N539),"")</f>
        <v/>
      </c>
      <c r="P539" s="216">
        <f>IFERROR(IF(AND(ISNUMBER(O539),ISNUMBER(I539),I539&lt;&gt;0),O539/I539,""),"")</f>
        <v/>
      </c>
      <c r="Q539" s="215">
        <f>IF(AND(ISNUMBER(I539),ISNUMBER(S539)),I539*IF(S539&lt;=1,S539,S539/100),IF(OR(I539&lt;&gt;"",S539&lt;&gt;""),"tbd",""))</f>
        <v/>
      </c>
      <c r="S539" s="217" t="n"/>
      <c r="Z539">
        <f>IF(AND(R539="WON",ISNUMBER(I539)),AA539,"")</f>
        <v/>
      </c>
      <c r="AA539">
        <f>IFERROR(I539*1,0)</f>
        <v>0</v>
      </c>
    </row>
    <row r="540" ht="15" customHeight="1">
      <c r="I540" s="215" t="n"/>
      <c r="J540" s="215" t="n"/>
      <c r="K540" s="215" t="n"/>
      <c r="L540" s="215" t="n"/>
      <c r="M540" s="215" t="n"/>
      <c r="N540" s="215">
        <f>IF(ISNUMBER(I540),ROUND(I540-I540/1.081,2),"")</f>
        <v/>
      </c>
      <c r="O540" s="215">
        <f>IF(ISNUMBER(I540),I540-SUM(J540:N540),"")</f>
        <v/>
      </c>
      <c r="P540" s="216">
        <f>IFERROR(IF(AND(ISNUMBER(O540),ISNUMBER(I540),I540&lt;&gt;0),O540/I540,""),"")</f>
        <v/>
      </c>
      <c r="Q540" s="215">
        <f>IF(AND(ISNUMBER(I540),ISNUMBER(S540)),I540*IF(S540&lt;=1,S540,S540/100),IF(OR(I540&lt;&gt;"",S540&lt;&gt;""),"tbd",""))</f>
        <v/>
      </c>
      <c r="S540" s="217" t="n"/>
      <c r="Z540">
        <f>IF(AND(R540="WON",ISNUMBER(I540)),AA540,"")</f>
        <v/>
      </c>
      <c r="AA540">
        <f>IFERROR(I540*1,0)</f>
        <v>0</v>
      </c>
    </row>
    <row r="541" ht="15" customHeight="1">
      <c r="I541" s="215" t="n"/>
      <c r="J541" s="215" t="n"/>
      <c r="K541" s="215" t="n"/>
      <c r="L541" s="215" t="n"/>
      <c r="M541" s="215" t="n"/>
      <c r="N541" s="215">
        <f>IF(ISNUMBER(I541),ROUND(I541-I541/1.081,2),"")</f>
        <v/>
      </c>
      <c r="O541" s="215">
        <f>IF(ISNUMBER(I541),I541-SUM(J541:N541),"")</f>
        <v/>
      </c>
      <c r="P541" s="216">
        <f>IFERROR(IF(AND(ISNUMBER(O541),ISNUMBER(I541),I541&lt;&gt;0),O541/I541,""),"")</f>
        <v/>
      </c>
      <c r="Q541" s="215">
        <f>IF(AND(ISNUMBER(I541),ISNUMBER(S541)),I541*IF(S541&lt;=1,S541,S541/100),IF(OR(I541&lt;&gt;"",S541&lt;&gt;""),"tbd",""))</f>
        <v/>
      </c>
      <c r="S541" s="217" t="n"/>
      <c r="Z541">
        <f>IF(AND(R541="WON",ISNUMBER(I541)),AA541,"")</f>
        <v/>
      </c>
      <c r="AA541">
        <f>IFERROR(I541*1,0)</f>
        <v>0</v>
      </c>
    </row>
    <row r="542" ht="15" customHeight="1">
      <c r="I542" s="215" t="n"/>
      <c r="J542" s="215" t="n"/>
      <c r="K542" s="215" t="n"/>
      <c r="L542" s="215" t="n"/>
      <c r="M542" s="215" t="n"/>
      <c r="N542" s="215">
        <f>IF(ISNUMBER(I542),ROUND(I542-I542/1.081,2),"")</f>
        <v/>
      </c>
      <c r="O542" s="215">
        <f>IF(ISNUMBER(I542),I542-SUM(J542:N542),"")</f>
        <v/>
      </c>
      <c r="P542" s="216">
        <f>IFERROR(IF(AND(ISNUMBER(O542),ISNUMBER(I542),I542&lt;&gt;0),O542/I542,""),"")</f>
        <v/>
      </c>
      <c r="Q542" s="215">
        <f>IF(AND(ISNUMBER(I542),ISNUMBER(S542)),I542*IF(S542&lt;=1,S542,S542/100),IF(OR(I542&lt;&gt;"",S542&lt;&gt;""),"tbd",""))</f>
        <v/>
      </c>
      <c r="S542" s="217" t="n"/>
      <c r="Z542">
        <f>IF(AND(R542="WON",ISNUMBER(I542)),AA542,"")</f>
        <v/>
      </c>
      <c r="AA542">
        <f>IFERROR(I542*1,0)</f>
        <v>0</v>
      </c>
    </row>
    <row r="543" ht="15" customHeight="1">
      <c r="I543" s="215" t="n"/>
      <c r="J543" s="215" t="n"/>
      <c r="K543" s="215" t="n"/>
      <c r="L543" s="215" t="n"/>
      <c r="M543" s="215" t="n"/>
      <c r="N543" s="215">
        <f>IF(ISNUMBER(I543),ROUND(I543-I543/1.081,2),"")</f>
        <v/>
      </c>
      <c r="O543" s="215">
        <f>IF(ISNUMBER(I543),I543-SUM(J543:N543),"")</f>
        <v/>
      </c>
      <c r="P543" s="216">
        <f>IFERROR(IF(AND(ISNUMBER(O543),ISNUMBER(I543),I543&lt;&gt;0),O543/I543,""),"")</f>
        <v/>
      </c>
      <c r="Q543" s="215">
        <f>IF(AND(ISNUMBER(I543),ISNUMBER(S543)),I543*IF(S543&lt;=1,S543,S543/100),IF(OR(I543&lt;&gt;"",S543&lt;&gt;""),"tbd",""))</f>
        <v/>
      </c>
      <c r="S543" s="217" t="n"/>
      <c r="Z543">
        <f>IF(AND(R543="WON",ISNUMBER(I543)),AA543,"")</f>
        <v/>
      </c>
      <c r="AA543">
        <f>IFERROR(I543*1,0)</f>
        <v>0</v>
      </c>
    </row>
    <row r="544" ht="15" customHeight="1">
      <c r="I544" s="215" t="n"/>
      <c r="J544" s="215" t="n"/>
      <c r="K544" s="215" t="n"/>
      <c r="L544" s="215" t="n"/>
      <c r="M544" s="215" t="n"/>
      <c r="N544" s="215">
        <f>IF(ISNUMBER(I544),ROUND(I544-I544/1.081,2),"")</f>
        <v/>
      </c>
      <c r="O544" s="215">
        <f>IF(ISNUMBER(I544),I544-SUM(J544:N544),"")</f>
        <v/>
      </c>
      <c r="P544" s="216">
        <f>IFERROR(IF(AND(ISNUMBER(O544),ISNUMBER(I544),I544&lt;&gt;0),O544/I544,""),"")</f>
        <v/>
      </c>
      <c r="Q544" s="215">
        <f>IF(AND(ISNUMBER(I544),ISNUMBER(S544)),I544*IF(S544&lt;=1,S544,S544/100),IF(OR(I544&lt;&gt;"",S544&lt;&gt;""),"tbd",""))</f>
        <v/>
      </c>
      <c r="S544" s="217" t="n"/>
      <c r="Z544">
        <f>IF(AND(R544="WON",ISNUMBER(I544)),AA544,"")</f>
        <v/>
      </c>
      <c r="AA544">
        <f>IFERROR(I544*1,0)</f>
        <v>0</v>
      </c>
    </row>
    <row r="545" ht="15" customHeight="1">
      <c r="I545" s="215" t="n"/>
      <c r="J545" s="215" t="n"/>
      <c r="K545" s="215" t="n"/>
      <c r="L545" s="215" t="n"/>
      <c r="M545" s="215" t="n"/>
      <c r="N545" s="215">
        <f>IF(ISNUMBER(I545),ROUND(I545-I545/1.081,2),"")</f>
        <v/>
      </c>
      <c r="O545" s="215">
        <f>IF(ISNUMBER(I545),I545-SUM(J545:N545),"")</f>
        <v/>
      </c>
      <c r="P545" s="216">
        <f>IFERROR(IF(AND(ISNUMBER(O545),ISNUMBER(I545),I545&lt;&gt;0),O545/I545,""),"")</f>
        <v/>
      </c>
      <c r="Q545" s="215">
        <f>IF(AND(ISNUMBER(I545),ISNUMBER(S545)),I545*IF(S545&lt;=1,S545,S545/100),IF(OR(I545&lt;&gt;"",S545&lt;&gt;""),"tbd",""))</f>
        <v/>
      </c>
      <c r="S545" s="217" t="n"/>
      <c r="Z545">
        <f>IF(AND(R545="WON",ISNUMBER(I545)),AA545,"")</f>
        <v/>
      </c>
      <c r="AA545">
        <f>IFERROR(I545*1,0)</f>
        <v>0</v>
      </c>
    </row>
    <row r="546" ht="15" customHeight="1">
      <c r="I546" s="215" t="n"/>
      <c r="J546" s="215" t="n"/>
      <c r="K546" s="215" t="n"/>
      <c r="L546" s="215" t="n"/>
      <c r="M546" s="215" t="n"/>
      <c r="N546" s="215">
        <f>IF(ISNUMBER(I546),ROUND(I546-I546/1.081,2),"")</f>
        <v/>
      </c>
      <c r="O546" s="215">
        <f>IF(ISNUMBER(I546),I546-SUM(J546:N546),"")</f>
        <v/>
      </c>
      <c r="P546" s="216">
        <f>IFERROR(IF(AND(ISNUMBER(O546),ISNUMBER(I546),I546&lt;&gt;0),O546/I546,""),"")</f>
        <v/>
      </c>
      <c r="Q546" s="215">
        <f>IF(AND(ISNUMBER(I546),ISNUMBER(S546)),I546*IF(S546&lt;=1,S546,S546/100),IF(OR(I546&lt;&gt;"",S546&lt;&gt;""),"tbd",""))</f>
        <v/>
      </c>
      <c r="S546" s="217" t="n"/>
      <c r="Z546">
        <f>IF(AND(R546="WON",ISNUMBER(I546)),AA546,"")</f>
        <v/>
      </c>
      <c r="AA546">
        <f>IFERROR(I546*1,0)</f>
        <v>0</v>
      </c>
    </row>
    <row r="547" ht="15" customHeight="1">
      <c r="I547" s="215" t="n"/>
      <c r="J547" s="215" t="n"/>
      <c r="K547" s="215" t="n"/>
      <c r="L547" s="215" t="n"/>
      <c r="M547" s="215" t="n"/>
      <c r="N547" s="215">
        <f>IF(ISNUMBER(I547),ROUND(I547-I547/1.081,2),"")</f>
        <v/>
      </c>
      <c r="O547" s="215">
        <f>IF(ISNUMBER(I547),I547-SUM(J547:N547),"")</f>
        <v/>
      </c>
      <c r="P547" s="216">
        <f>IFERROR(IF(AND(ISNUMBER(O547),ISNUMBER(I547),I547&lt;&gt;0),O547/I547,""),"")</f>
        <v/>
      </c>
      <c r="Q547" s="215">
        <f>IF(AND(ISNUMBER(I547),ISNUMBER(S547)),I547*IF(S547&lt;=1,S547,S547/100),IF(OR(I547&lt;&gt;"",S547&lt;&gt;""),"tbd",""))</f>
        <v/>
      </c>
      <c r="S547" s="217" t="n"/>
      <c r="Z547">
        <f>IF(AND(R547="WON",ISNUMBER(I547)),AA547,"")</f>
        <v/>
      </c>
      <c r="AA547">
        <f>IFERROR(I547*1,0)</f>
        <v>0</v>
      </c>
    </row>
    <row r="548" ht="15" customHeight="1">
      <c r="I548" s="215" t="n"/>
      <c r="J548" s="215" t="n"/>
      <c r="K548" s="215" t="n"/>
      <c r="L548" s="215" t="n"/>
      <c r="M548" s="215" t="n"/>
      <c r="N548" s="215">
        <f>IF(ISNUMBER(I548),ROUND(I548-I548/1.081,2),"")</f>
        <v/>
      </c>
      <c r="O548" s="215">
        <f>IF(ISNUMBER(I548),I548-SUM(J548:N548),"")</f>
        <v/>
      </c>
      <c r="P548" s="216">
        <f>IFERROR(IF(AND(ISNUMBER(O548),ISNUMBER(I548),I548&lt;&gt;0),O548/I548,""),"")</f>
        <v/>
      </c>
      <c r="Q548" s="215">
        <f>IF(AND(ISNUMBER(I548),ISNUMBER(S548)),I548*IF(S548&lt;=1,S548,S548/100),IF(OR(I548&lt;&gt;"",S548&lt;&gt;""),"tbd",""))</f>
        <v/>
      </c>
      <c r="S548" s="217" t="n"/>
      <c r="Z548">
        <f>IF(AND(R548="WON",ISNUMBER(I548)),AA548,"")</f>
        <v/>
      </c>
      <c r="AA548">
        <f>IFERROR(I548*1,0)</f>
        <v>0</v>
      </c>
    </row>
    <row r="549" ht="15" customHeight="1">
      <c r="I549" s="215" t="n"/>
      <c r="J549" s="215" t="n"/>
      <c r="K549" s="215" t="n"/>
      <c r="L549" s="215" t="n"/>
      <c r="M549" s="215" t="n"/>
      <c r="N549" s="215">
        <f>IF(ISNUMBER(I549),ROUND(I549-I549/1.081,2),"")</f>
        <v/>
      </c>
      <c r="O549" s="215">
        <f>IF(ISNUMBER(I549),I549-SUM(J549:N549),"")</f>
        <v/>
      </c>
      <c r="P549" s="216">
        <f>IFERROR(IF(AND(ISNUMBER(O549),ISNUMBER(I549),I549&lt;&gt;0),O549/I549,""),"")</f>
        <v/>
      </c>
      <c r="Q549" s="215">
        <f>IF(AND(ISNUMBER(I549),ISNUMBER(S549)),I549*IF(S549&lt;=1,S549,S549/100),IF(OR(I549&lt;&gt;"",S549&lt;&gt;""),"tbd",""))</f>
        <v/>
      </c>
      <c r="S549" s="217" t="n"/>
      <c r="Z549">
        <f>IF(AND(R549="WON",ISNUMBER(I549)),AA549,"")</f>
        <v/>
      </c>
      <c r="AA549">
        <f>IFERROR(I549*1,0)</f>
        <v>0</v>
      </c>
    </row>
    <row r="550" ht="15" customHeight="1">
      <c r="I550" s="215" t="n"/>
      <c r="J550" s="215" t="n"/>
      <c r="K550" s="215" t="n"/>
      <c r="L550" s="215" t="n"/>
      <c r="M550" s="215" t="n"/>
      <c r="N550" s="215">
        <f>IF(ISNUMBER(I550),ROUND(I550-I550/1.081,2),"")</f>
        <v/>
      </c>
      <c r="O550" s="215">
        <f>IF(ISNUMBER(I550),I550-SUM(J550:N550),"")</f>
        <v/>
      </c>
      <c r="P550" s="216">
        <f>IFERROR(IF(AND(ISNUMBER(O550),ISNUMBER(I550),I550&lt;&gt;0),O550/I550,""),"")</f>
        <v/>
      </c>
      <c r="Q550" s="215">
        <f>IF(AND(ISNUMBER(I550),ISNUMBER(S550)),I550*IF(S550&lt;=1,S550,S550/100),IF(OR(I550&lt;&gt;"",S550&lt;&gt;""),"tbd",""))</f>
        <v/>
      </c>
      <c r="S550" s="217" t="n"/>
      <c r="Z550">
        <f>IF(AND(R550="WON",ISNUMBER(I550)),AA550,"")</f>
        <v/>
      </c>
      <c r="AA550">
        <f>IFERROR(I550*1,0)</f>
        <v>0</v>
      </c>
    </row>
    <row r="551" ht="15" customHeight="1">
      <c r="I551" s="215" t="n"/>
      <c r="J551" s="215" t="n"/>
      <c r="K551" s="215" t="n"/>
      <c r="L551" s="215" t="n"/>
      <c r="M551" s="215" t="n"/>
      <c r="N551" s="215">
        <f>IF(ISNUMBER(I551),ROUND(I551-I551/1.081,2),"")</f>
        <v/>
      </c>
      <c r="O551" s="215">
        <f>IF(ISNUMBER(I551),I551-SUM(J551:N551),"")</f>
        <v/>
      </c>
      <c r="P551" s="216">
        <f>IFERROR(IF(AND(ISNUMBER(O551),ISNUMBER(I551),I551&lt;&gt;0),O551/I551,""),"")</f>
        <v/>
      </c>
      <c r="Q551" s="215">
        <f>IF(AND(ISNUMBER(I551),ISNUMBER(S551)),I551*IF(S551&lt;=1,S551,S551/100),IF(OR(I551&lt;&gt;"",S551&lt;&gt;""),"tbd",""))</f>
        <v/>
      </c>
      <c r="S551" s="217" t="n"/>
      <c r="Z551">
        <f>IF(AND(R551="WON",ISNUMBER(I551)),AA551,"")</f>
        <v/>
      </c>
      <c r="AA551">
        <f>IFERROR(I551*1,0)</f>
        <v>0</v>
      </c>
    </row>
    <row r="552" ht="15" customHeight="1">
      <c r="I552" s="215" t="n"/>
      <c r="J552" s="215" t="n"/>
      <c r="K552" s="215" t="n"/>
      <c r="L552" s="215" t="n"/>
      <c r="M552" s="215" t="n"/>
      <c r="N552" s="215">
        <f>IF(ISNUMBER(I552),ROUND(I552-I552/1.081,2),"")</f>
        <v/>
      </c>
      <c r="O552" s="215">
        <f>IF(ISNUMBER(I552),I552-SUM(J552:N552),"")</f>
        <v/>
      </c>
      <c r="P552" s="216">
        <f>IFERROR(IF(AND(ISNUMBER(O552),ISNUMBER(I552),I552&lt;&gt;0),O552/I552,""),"")</f>
        <v/>
      </c>
      <c r="Q552" s="215">
        <f>IF(AND(ISNUMBER(I552),ISNUMBER(S552)),I552*IF(S552&lt;=1,S552,S552/100),IF(OR(I552&lt;&gt;"",S552&lt;&gt;""),"tbd",""))</f>
        <v/>
      </c>
      <c r="S552" s="217" t="n"/>
      <c r="Z552">
        <f>IF(AND(R552="WON",ISNUMBER(I552)),AA552,"")</f>
        <v/>
      </c>
      <c r="AA552">
        <f>IFERROR(I552*1,0)</f>
        <v>0</v>
      </c>
    </row>
    <row r="553" ht="15" customHeight="1">
      <c r="I553" s="215" t="n"/>
      <c r="J553" s="215" t="n"/>
      <c r="K553" s="215" t="n"/>
      <c r="L553" s="215" t="n"/>
      <c r="M553" s="215" t="n"/>
      <c r="N553" s="215">
        <f>IF(ISNUMBER(I553),ROUND(I553-I553/1.081,2),"")</f>
        <v/>
      </c>
      <c r="O553" s="215">
        <f>IF(ISNUMBER(I553),I553-SUM(J553:N553),"")</f>
        <v/>
      </c>
      <c r="P553" s="216">
        <f>IFERROR(IF(AND(ISNUMBER(O553),ISNUMBER(I553),I553&lt;&gt;0),O553/I553,""),"")</f>
        <v/>
      </c>
      <c r="Q553" s="215">
        <f>IF(AND(ISNUMBER(I553),ISNUMBER(S553)),I553*IF(S553&lt;=1,S553,S553/100),IF(OR(I553&lt;&gt;"",S553&lt;&gt;""),"tbd",""))</f>
        <v/>
      </c>
      <c r="S553" s="217" t="n"/>
      <c r="Z553">
        <f>IF(AND(R553="WON",ISNUMBER(I553)),AA553,"")</f>
        <v/>
      </c>
      <c r="AA553">
        <f>IFERROR(I553*1,0)</f>
        <v>0</v>
      </c>
    </row>
    <row r="554" ht="15" customHeight="1">
      <c r="I554" s="215" t="n"/>
      <c r="J554" s="215" t="n"/>
      <c r="K554" s="215" t="n"/>
      <c r="L554" s="215" t="n"/>
      <c r="M554" s="215" t="n"/>
      <c r="N554" s="215">
        <f>IF(ISNUMBER(I554),ROUND(I554-I554/1.081,2),"")</f>
        <v/>
      </c>
      <c r="O554" s="215">
        <f>IF(ISNUMBER(I554),I554-SUM(J554:N554),"")</f>
        <v/>
      </c>
      <c r="P554" s="216">
        <f>IFERROR(IF(AND(ISNUMBER(O554),ISNUMBER(I554),I554&lt;&gt;0),O554/I554,""),"")</f>
        <v/>
      </c>
      <c r="Q554" s="215">
        <f>IF(AND(ISNUMBER(I554),ISNUMBER(S554)),I554*IF(S554&lt;=1,S554,S554/100),IF(OR(I554&lt;&gt;"",S554&lt;&gt;""),"tbd",""))</f>
        <v/>
      </c>
      <c r="S554" s="217" t="n"/>
      <c r="Z554">
        <f>IF(AND(R554="WON",ISNUMBER(I554)),AA554,"")</f>
        <v/>
      </c>
      <c r="AA554">
        <f>IFERROR(I554*1,0)</f>
        <v>0</v>
      </c>
    </row>
    <row r="555" ht="15" customHeight="1">
      <c r="I555" s="215" t="n"/>
      <c r="J555" s="215" t="n"/>
      <c r="K555" s="215" t="n"/>
      <c r="L555" s="215" t="n"/>
      <c r="M555" s="215" t="n"/>
      <c r="N555" s="215">
        <f>IF(ISNUMBER(I555),ROUND(I555-I555/1.081,2),"")</f>
        <v/>
      </c>
      <c r="O555" s="215">
        <f>IF(ISNUMBER(I555),I555-SUM(J555:N555),"")</f>
        <v/>
      </c>
      <c r="P555" s="216">
        <f>IFERROR(IF(AND(ISNUMBER(O555),ISNUMBER(I555),I555&lt;&gt;0),O555/I555,""),"")</f>
        <v/>
      </c>
      <c r="Q555" s="215">
        <f>IF(AND(ISNUMBER(I555),ISNUMBER(S555)),I555*IF(S555&lt;=1,S555,S555/100),IF(OR(I555&lt;&gt;"",S555&lt;&gt;""),"tbd",""))</f>
        <v/>
      </c>
      <c r="S555" s="217" t="n"/>
      <c r="Z555">
        <f>IF(AND(R555="WON",ISNUMBER(I555)),AA555,"")</f>
        <v/>
      </c>
      <c r="AA555">
        <f>IFERROR(I555*1,0)</f>
        <v>0</v>
      </c>
    </row>
    <row r="556" ht="15" customHeight="1">
      <c r="I556" s="215" t="n"/>
      <c r="J556" s="215" t="n"/>
      <c r="K556" s="215" t="n"/>
      <c r="L556" s="215" t="n"/>
      <c r="M556" s="215" t="n"/>
      <c r="N556" s="215">
        <f>IF(ISNUMBER(I556),ROUND(I556-I556/1.081,2),"")</f>
        <v/>
      </c>
      <c r="O556" s="215">
        <f>IF(ISNUMBER(I556),I556-SUM(J556:N556),"")</f>
        <v/>
      </c>
      <c r="P556" s="216">
        <f>IFERROR(IF(AND(ISNUMBER(O556),ISNUMBER(I556),I556&lt;&gt;0),O556/I556,""),"")</f>
        <v/>
      </c>
      <c r="Q556" s="215">
        <f>IF(AND(ISNUMBER(I556),ISNUMBER(S556)),I556*IF(S556&lt;=1,S556,S556/100),IF(OR(I556&lt;&gt;"",S556&lt;&gt;""),"tbd",""))</f>
        <v/>
      </c>
      <c r="S556" s="217" t="n"/>
      <c r="Z556">
        <f>IF(AND(R556="WON",ISNUMBER(I556)),AA556,"")</f>
        <v/>
      </c>
      <c r="AA556">
        <f>IFERROR(I556*1,0)</f>
        <v>0</v>
      </c>
    </row>
    <row r="557" ht="15" customHeight="1">
      <c r="I557" s="215" t="n"/>
      <c r="J557" s="215" t="n"/>
      <c r="K557" s="215" t="n"/>
      <c r="L557" s="215" t="n"/>
      <c r="M557" s="215" t="n"/>
      <c r="N557" s="215">
        <f>IF(ISNUMBER(I557),ROUND(I557-I557/1.081,2),"")</f>
        <v/>
      </c>
      <c r="O557" s="215">
        <f>IF(ISNUMBER(I557),I557-SUM(J557:N557),"")</f>
        <v/>
      </c>
      <c r="P557" s="216">
        <f>IFERROR(IF(AND(ISNUMBER(O557),ISNUMBER(I557),I557&lt;&gt;0),O557/I557,""),"")</f>
        <v/>
      </c>
      <c r="Q557" s="215">
        <f>IF(AND(ISNUMBER(I557),ISNUMBER(S557)),I557*IF(S557&lt;=1,S557,S557/100),IF(OR(I557&lt;&gt;"",S557&lt;&gt;""),"tbd",""))</f>
        <v/>
      </c>
      <c r="S557" s="217" t="n"/>
      <c r="Z557">
        <f>IF(AND(R557="WON",ISNUMBER(I557)),AA557,"")</f>
        <v/>
      </c>
      <c r="AA557">
        <f>IFERROR(I557*1,0)</f>
        <v>0</v>
      </c>
    </row>
    <row r="558" ht="15" customHeight="1">
      <c r="I558" s="215" t="n"/>
      <c r="J558" s="215" t="n"/>
      <c r="K558" s="215" t="n"/>
      <c r="L558" s="215" t="n"/>
      <c r="M558" s="215" t="n"/>
      <c r="N558" s="215">
        <f>IF(ISNUMBER(I558),ROUND(I558-I558/1.081,2),"")</f>
        <v/>
      </c>
      <c r="O558" s="215">
        <f>IF(ISNUMBER(I558),I558-SUM(J558:N558),"")</f>
        <v/>
      </c>
      <c r="P558" s="216">
        <f>IFERROR(IF(AND(ISNUMBER(O558),ISNUMBER(I558),I558&lt;&gt;0),O558/I558,""),"")</f>
        <v/>
      </c>
      <c r="Q558" s="215">
        <f>IF(AND(ISNUMBER(I558),ISNUMBER(S558)),I558*IF(S558&lt;=1,S558,S558/100),IF(OR(I558&lt;&gt;"",S558&lt;&gt;""),"tbd",""))</f>
        <v/>
      </c>
      <c r="S558" s="217" t="n"/>
      <c r="Z558">
        <f>IF(AND(R558="WON",ISNUMBER(I558)),AA558,"")</f>
        <v/>
      </c>
      <c r="AA558">
        <f>IFERROR(I558*1,0)</f>
        <v>0</v>
      </c>
    </row>
    <row r="559" ht="15" customHeight="1">
      <c r="I559" s="215" t="n"/>
      <c r="J559" s="215" t="n"/>
      <c r="K559" s="215" t="n"/>
      <c r="L559" s="215" t="n"/>
      <c r="M559" s="215" t="n"/>
      <c r="N559" s="215">
        <f>IF(ISNUMBER(I559),ROUND(I559-I559/1.081,2),"")</f>
        <v/>
      </c>
      <c r="O559" s="215">
        <f>IF(ISNUMBER(I559),I559-SUM(J559:N559),"")</f>
        <v/>
      </c>
      <c r="P559" s="216">
        <f>IFERROR(IF(AND(ISNUMBER(O559),ISNUMBER(I559),I559&lt;&gt;0),O559/I559,""),"")</f>
        <v/>
      </c>
      <c r="Q559" s="215">
        <f>IF(AND(ISNUMBER(I559),ISNUMBER(S559)),I559*IF(S559&lt;=1,S559,S559/100),IF(OR(I559&lt;&gt;"",S559&lt;&gt;""),"tbd",""))</f>
        <v/>
      </c>
      <c r="S559" s="217" t="n"/>
      <c r="Z559">
        <f>IF(AND(R559="WON",ISNUMBER(I559)),AA559,"")</f>
        <v/>
      </c>
      <c r="AA559">
        <f>IFERROR(I559*1,0)</f>
        <v>0</v>
      </c>
    </row>
    <row r="560" ht="15" customHeight="1">
      <c r="I560" s="215" t="n"/>
      <c r="J560" s="215" t="n"/>
      <c r="K560" s="215" t="n"/>
      <c r="L560" s="215" t="n"/>
      <c r="M560" s="215" t="n"/>
      <c r="N560" s="215">
        <f>IF(ISNUMBER(I560),ROUND(I560-I560/1.081,2),"")</f>
        <v/>
      </c>
      <c r="O560" s="215">
        <f>IF(ISNUMBER(I560),I560-SUM(J560:N560),"")</f>
        <v/>
      </c>
      <c r="P560" s="216">
        <f>IFERROR(IF(AND(ISNUMBER(O560),ISNUMBER(I560),I560&lt;&gt;0),O560/I560,""),"")</f>
        <v/>
      </c>
      <c r="Q560" s="215">
        <f>IF(AND(ISNUMBER(I560),ISNUMBER(S560)),I560*IF(S560&lt;=1,S560,S560/100),IF(OR(I560&lt;&gt;"",S560&lt;&gt;""),"tbd",""))</f>
        <v/>
      </c>
      <c r="S560" s="217" t="n"/>
      <c r="Z560">
        <f>IF(AND(R560="WON",ISNUMBER(I560)),AA560,"")</f>
        <v/>
      </c>
      <c r="AA560">
        <f>IFERROR(I560*1,0)</f>
        <v>0</v>
      </c>
    </row>
    <row r="561" ht="15" customHeight="1">
      <c r="I561" s="215" t="n"/>
      <c r="J561" s="215" t="n"/>
      <c r="K561" s="215" t="n"/>
      <c r="L561" s="215" t="n"/>
      <c r="M561" s="215" t="n"/>
      <c r="N561" s="215">
        <f>IF(ISNUMBER(I561),ROUND(I561-I561/1.081,2),"")</f>
        <v/>
      </c>
      <c r="O561" s="215">
        <f>IF(ISNUMBER(I561),I561-SUM(J561:N561),"")</f>
        <v/>
      </c>
      <c r="P561" s="216">
        <f>IFERROR(IF(AND(ISNUMBER(O561),ISNUMBER(I561),I561&lt;&gt;0),O561/I561,""),"")</f>
        <v/>
      </c>
      <c r="Q561" s="215">
        <f>IF(AND(ISNUMBER(I561),ISNUMBER(S561)),I561*IF(S561&lt;=1,S561,S561/100),IF(OR(I561&lt;&gt;"",S561&lt;&gt;""),"tbd",""))</f>
        <v/>
      </c>
      <c r="S561" s="217" t="n"/>
      <c r="Z561">
        <f>IF(AND(R561="WON",ISNUMBER(I561)),AA561,"")</f>
        <v/>
      </c>
      <c r="AA561">
        <f>IFERROR(I561*1,0)</f>
        <v>0</v>
      </c>
    </row>
    <row r="562" ht="15" customHeight="1">
      <c r="I562" s="215" t="n"/>
      <c r="J562" s="215" t="n"/>
      <c r="K562" s="215" t="n"/>
      <c r="L562" s="215" t="n"/>
      <c r="M562" s="215" t="n"/>
      <c r="N562" s="215">
        <f>IF(ISNUMBER(I562),ROUND(I562-I562/1.081,2),"")</f>
        <v/>
      </c>
      <c r="O562" s="215">
        <f>IF(ISNUMBER(I562),I562-SUM(J562:N562),"")</f>
        <v/>
      </c>
      <c r="P562" s="216">
        <f>IFERROR(IF(AND(ISNUMBER(O562),ISNUMBER(I562),I562&lt;&gt;0),O562/I562,""),"")</f>
        <v/>
      </c>
      <c r="Q562" s="215">
        <f>IF(AND(ISNUMBER(I562),ISNUMBER(S562)),I562*IF(S562&lt;=1,S562,S562/100),IF(OR(I562&lt;&gt;"",S562&lt;&gt;""),"tbd",""))</f>
        <v/>
      </c>
      <c r="S562" s="217" t="n"/>
      <c r="Z562">
        <f>IF(AND(R562="WON",ISNUMBER(I562)),AA562,"")</f>
        <v/>
      </c>
      <c r="AA562">
        <f>IFERROR(I562*1,0)</f>
        <v>0</v>
      </c>
    </row>
    <row r="563" ht="15" customHeight="1">
      <c r="I563" s="215" t="n"/>
      <c r="J563" s="215" t="n"/>
      <c r="K563" s="215" t="n"/>
      <c r="L563" s="215" t="n"/>
      <c r="M563" s="215" t="n"/>
      <c r="N563" s="215">
        <f>IF(ISNUMBER(I563),ROUND(I563-I563/1.081,2),"")</f>
        <v/>
      </c>
      <c r="O563" s="215">
        <f>IF(ISNUMBER(I563),I563-SUM(J563:N563),"")</f>
        <v/>
      </c>
      <c r="P563" s="216">
        <f>IFERROR(IF(AND(ISNUMBER(O563),ISNUMBER(I563),I563&lt;&gt;0),O563/I563,""),"")</f>
        <v/>
      </c>
      <c r="Q563" s="215">
        <f>IF(AND(ISNUMBER(I563),ISNUMBER(S563)),I563*IF(S563&lt;=1,S563,S563/100),IF(OR(I563&lt;&gt;"",S563&lt;&gt;""),"tbd",""))</f>
        <v/>
      </c>
      <c r="S563" s="217" t="n"/>
      <c r="Z563">
        <f>IF(AND(R563="WON",ISNUMBER(I563)),AA563,"")</f>
        <v/>
      </c>
      <c r="AA563">
        <f>IFERROR(I563*1,0)</f>
        <v>0</v>
      </c>
    </row>
    <row r="564" ht="15" customHeight="1">
      <c r="I564" s="215" t="n"/>
      <c r="J564" s="215" t="n"/>
      <c r="K564" s="215" t="n"/>
      <c r="L564" s="215" t="n"/>
      <c r="M564" s="215" t="n"/>
      <c r="N564" s="215">
        <f>IF(ISNUMBER(I564),ROUND(I564-I564/1.081,2),"")</f>
        <v/>
      </c>
      <c r="O564" s="215">
        <f>IF(ISNUMBER(I564),I564-SUM(J564:N564),"")</f>
        <v/>
      </c>
      <c r="P564" s="216">
        <f>IFERROR(IF(AND(ISNUMBER(O564),ISNUMBER(I564),I564&lt;&gt;0),O564/I564,""),"")</f>
        <v/>
      </c>
      <c r="Q564" s="215">
        <f>IF(AND(ISNUMBER(I564),ISNUMBER(S564)),I564*IF(S564&lt;=1,S564,S564/100),IF(OR(I564&lt;&gt;"",S564&lt;&gt;""),"tbd",""))</f>
        <v/>
      </c>
      <c r="S564" s="217" t="n"/>
      <c r="Z564">
        <f>IF(AND(R564="WON",ISNUMBER(I564)),AA564,"")</f>
        <v/>
      </c>
      <c r="AA564">
        <f>IFERROR(I564*1,0)</f>
        <v>0</v>
      </c>
    </row>
    <row r="565" ht="15" customHeight="1">
      <c r="I565" s="215" t="n"/>
      <c r="J565" s="215" t="n"/>
      <c r="K565" s="215" t="n"/>
      <c r="L565" s="215" t="n"/>
      <c r="M565" s="215" t="n"/>
      <c r="N565" s="215">
        <f>IF(ISNUMBER(I565),ROUND(I565-I565/1.081,2),"")</f>
        <v/>
      </c>
      <c r="O565" s="215">
        <f>IF(ISNUMBER(I565),I565-SUM(J565:N565),"")</f>
        <v/>
      </c>
      <c r="P565" s="216">
        <f>IFERROR(IF(AND(ISNUMBER(O565),ISNUMBER(I565),I565&lt;&gt;0),O565/I565,""),"")</f>
        <v/>
      </c>
      <c r="Q565" s="215">
        <f>IF(AND(ISNUMBER(I565),ISNUMBER(S565)),I565*IF(S565&lt;=1,S565,S565/100),IF(OR(I565&lt;&gt;"",S565&lt;&gt;""),"tbd",""))</f>
        <v/>
      </c>
      <c r="S565" s="217" t="n"/>
      <c r="Z565">
        <f>IF(AND(R565="WON",ISNUMBER(I565)),AA565,"")</f>
        <v/>
      </c>
      <c r="AA565">
        <f>IFERROR(I565*1,0)</f>
        <v>0</v>
      </c>
    </row>
    <row r="566" ht="15" customHeight="1">
      <c r="I566" s="215" t="n"/>
      <c r="J566" s="215" t="n"/>
      <c r="K566" s="215" t="n"/>
      <c r="L566" s="215" t="n"/>
      <c r="M566" s="215" t="n"/>
      <c r="N566" s="215">
        <f>IF(ISNUMBER(I566),ROUND(I566-I566/1.081,2),"")</f>
        <v/>
      </c>
      <c r="O566" s="215">
        <f>IF(ISNUMBER(I566),I566-SUM(J566:N566),"")</f>
        <v/>
      </c>
      <c r="P566" s="216">
        <f>IFERROR(IF(AND(ISNUMBER(O566),ISNUMBER(I566),I566&lt;&gt;0),O566/I566,""),"")</f>
        <v/>
      </c>
      <c r="Q566" s="215">
        <f>IF(AND(ISNUMBER(I566),ISNUMBER(S566)),I566*IF(S566&lt;=1,S566,S566/100),IF(OR(I566&lt;&gt;"",S566&lt;&gt;""),"tbd",""))</f>
        <v/>
      </c>
      <c r="S566" s="217" t="n"/>
      <c r="Z566">
        <f>IF(AND(R566="WON",ISNUMBER(I566)),AA566,"")</f>
        <v/>
      </c>
      <c r="AA566">
        <f>IFERROR(I566*1,0)</f>
        <v>0</v>
      </c>
    </row>
    <row r="567" ht="15" customHeight="1">
      <c r="I567" s="215" t="n"/>
      <c r="J567" s="215" t="n"/>
      <c r="K567" s="215" t="n"/>
      <c r="L567" s="215" t="n"/>
      <c r="M567" s="215" t="n"/>
      <c r="N567" s="215">
        <f>IF(ISNUMBER(I567),ROUND(I567-I567/1.081,2),"")</f>
        <v/>
      </c>
      <c r="O567" s="215">
        <f>IF(ISNUMBER(I567),I567-SUM(J567:N567),"")</f>
        <v/>
      </c>
      <c r="P567" s="216">
        <f>IFERROR(IF(AND(ISNUMBER(O567),ISNUMBER(I567),I567&lt;&gt;0),O567/I567,""),"")</f>
        <v/>
      </c>
      <c r="Q567" s="215">
        <f>IF(AND(ISNUMBER(I567),ISNUMBER(S567)),I567*IF(S567&lt;=1,S567,S567/100),IF(OR(I567&lt;&gt;"",S567&lt;&gt;""),"tbd",""))</f>
        <v/>
      </c>
      <c r="S567" s="217" t="n"/>
      <c r="Z567">
        <f>IF(AND(R567="WON",ISNUMBER(I567)),AA567,"")</f>
        <v/>
      </c>
      <c r="AA567">
        <f>IFERROR(I567*1,0)</f>
        <v>0</v>
      </c>
    </row>
    <row r="568" ht="15" customHeight="1">
      <c r="I568" s="215" t="n"/>
      <c r="J568" s="215" t="n"/>
      <c r="K568" s="215" t="n"/>
      <c r="L568" s="215" t="n"/>
      <c r="M568" s="215" t="n"/>
      <c r="N568" s="215">
        <f>IF(ISNUMBER(I568),ROUND(I568-I568/1.081,2),"")</f>
        <v/>
      </c>
      <c r="O568" s="215">
        <f>IF(ISNUMBER(I568),I568-SUM(J568:N568),"")</f>
        <v/>
      </c>
      <c r="P568" s="216">
        <f>IFERROR(IF(AND(ISNUMBER(O568),ISNUMBER(I568),I568&lt;&gt;0),O568/I568,""),"")</f>
        <v/>
      </c>
      <c r="Q568" s="215">
        <f>IF(AND(ISNUMBER(I568),ISNUMBER(S568)),I568*IF(S568&lt;=1,S568,S568/100),IF(OR(I568&lt;&gt;"",S568&lt;&gt;""),"tbd",""))</f>
        <v/>
      </c>
      <c r="S568" s="217" t="n"/>
      <c r="Z568">
        <f>IF(AND(R568="WON",ISNUMBER(I568)),AA568,"")</f>
        <v/>
      </c>
      <c r="AA568">
        <f>IFERROR(I568*1,0)</f>
        <v>0</v>
      </c>
    </row>
    <row r="569" ht="15" customHeight="1">
      <c r="I569" s="215" t="n"/>
      <c r="J569" s="215" t="n"/>
      <c r="K569" s="215" t="n"/>
      <c r="L569" s="215" t="n"/>
      <c r="M569" s="215" t="n"/>
      <c r="N569" s="215">
        <f>IF(ISNUMBER(I569),ROUND(I569-I569/1.081,2),"")</f>
        <v/>
      </c>
      <c r="O569" s="215">
        <f>IF(ISNUMBER(I569),I569-SUM(J569:N569),"")</f>
        <v/>
      </c>
      <c r="P569" s="216">
        <f>IFERROR(IF(AND(ISNUMBER(O569),ISNUMBER(I569),I569&lt;&gt;0),O569/I569,""),"")</f>
        <v/>
      </c>
      <c r="Q569" s="215">
        <f>IF(AND(ISNUMBER(I569),ISNUMBER(S569)),I569*IF(S569&lt;=1,S569,S569/100),IF(OR(I569&lt;&gt;"",S569&lt;&gt;""),"tbd",""))</f>
        <v/>
      </c>
      <c r="S569" s="217" t="n"/>
      <c r="Z569">
        <f>IF(AND(R569="WON",ISNUMBER(I569)),AA569,"")</f>
        <v/>
      </c>
      <c r="AA569">
        <f>IFERROR(I569*1,0)</f>
        <v>0</v>
      </c>
    </row>
    <row r="570" ht="15" customHeight="1">
      <c r="I570" s="215" t="n"/>
      <c r="J570" s="215" t="n"/>
      <c r="K570" s="215" t="n"/>
      <c r="L570" s="215" t="n"/>
      <c r="M570" s="215" t="n"/>
      <c r="N570" s="215">
        <f>IF(ISNUMBER(I570),ROUND(I570-I570/1.081,2),"")</f>
        <v/>
      </c>
      <c r="O570" s="215">
        <f>IF(ISNUMBER(I570),I570-SUM(J570:N570),"")</f>
        <v/>
      </c>
      <c r="P570" s="216">
        <f>IFERROR(IF(AND(ISNUMBER(O570),ISNUMBER(I570),I570&lt;&gt;0),O570/I570,""),"")</f>
        <v/>
      </c>
      <c r="Q570" s="215">
        <f>IF(AND(ISNUMBER(I570),ISNUMBER(S570)),I570*IF(S570&lt;=1,S570,S570/100),IF(OR(I570&lt;&gt;"",S570&lt;&gt;""),"tbd",""))</f>
        <v/>
      </c>
      <c r="S570" s="217" t="n"/>
      <c r="Z570">
        <f>IF(AND(R570="WON",ISNUMBER(I570)),AA570,"")</f>
        <v/>
      </c>
      <c r="AA570">
        <f>IFERROR(I570*1,0)</f>
        <v>0</v>
      </c>
    </row>
    <row r="571" ht="15" customHeight="1">
      <c r="I571" s="215" t="n"/>
      <c r="J571" s="215" t="n"/>
      <c r="K571" s="215" t="n"/>
      <c r="L571" s="215" t="n"/>
      <c r="M571" s="215" t="n"/>
      <c r="N571" s="215">
        <f>IF(ISNUMBER(I571),ROUND(I571-I571/1.081,2),"")</f>
        <v/>
      </c>
      <c r="O571" s="215">
        <f>IF(ISNUMBER(I571),I571-SUM(J571:N571),"")</f>
        <v/>
      </c>
      <c r="P571" s="216">
        <f>IFERROR(IF(AND(ISNUMBER(O571),ISNUMBER(I571),I571&lt;&gt;0),O571/I571,""),"")</f>
        <v/>
      </c>
      <c r="Q571" s="215">
        <f>IF(AND(ISNUMBER(I571),ISNUMBER(S571)),I571*IF(S571&lt;=1,S571,S571/100),IF(OR(I571&lt;&gt;"",S571&lt;&gt;""),"tbd",""))</f>
        <v/>
      </c>
      <c r="S571" s="217" t="n"/>
      <c r="Z571">
        <f>IF(AND(R571="WON",ISNUMBER(I571)),AA571,"")</f>
        <v/>
      </c>
      <c r="AA571">
        <f>IFERROR(I571*1,0)</f>
        <v>0</v>
      </c>
    </row>
    <row r="572" ht="15" customHeight="1">
      <c r="I572" s="215" t="n"/>
      <c r="J572" s="215" t="n"/>
      <c r="K572" s="215" t="n"/>
      <c r="L572" s="215" t="n"/>
      <c r="M572" s="215" t="n"/>
      <c r="N572" s="215">
        <f>IF(ISNUMBER(I572),ROUND(I572-I572/1.081,2),"")</f>
        <v/>
      </c>
      <c r="O572" s="215">
        <f>IF(ISNUMBER(I572),I572-SUM(J572:N572),"")</f>
        <v/>
      </c>
      <c r="P572" s="216">
        <f>IFERROR(IF(AND(ISNUMBER(O572),ISNUMBER(I572),I572&lt;&gt;0),O572/I572,""),"")</f>
        <v/>
      </c>
      <c r="Q572" s="215">
        <f>IF(AND(ISNUMBER(I572),ISNUMBER(S572)),I572*IF(S572&lt;=1,S572,S572/100),IF(OR(I572&lt;&gt;"",S572&lt;&gt;""),"tbd",""))</f>
        <v/>
      </c>
      <c r="S572" s="217" t="n"/>
      <c r="Z572">
        <f>IF(AND(R572="WON",ISNUMBER(I572)),AA572,"")</f>
        <v/>
      </c>
      <c r="AA572">
        <f>IFERROR(I572*1,0)</f>
        <v>0</v>
      </c>
    </row>
    <row r="573" ht="15" customHeight="1">
      <c r="I573" s="215" t="n"/>
      <c r="J573" s="215" t="n"/>
      <c r="K573" s="215" t="n"/>
      <c r="L573" s="215" t="n"/>
      <c r="M573" s="215" t="n"/>
      <c r="N573" s="215">
        <f>IF(ISNUMBER(I573),ROUND(I573-I573/1.081,2),"")</f>
        <v/>
      </c>
      <c r="O573" s="215">
        <f>IF(ISNUMBER(I573),I573-SUM(J573:N573),"")</f>
        <v/>
      </c>
      <c r="P573" s="216">
        <f>IFERROR(IF(AND(ISNUMBER(O573),ISNUMBER(I573),I573&lt;&gt;0),O573/I573,""),"")</f>
        <v/>
      </c>
      <c r="Q573" s="215">
        <f>IF(AND(ISNUMBER(I573),ISNUMBER(S573)),I573*IF(S573&lt;=1,S573,S573/100),IF(OR(I573&lt;&gt;"",S573&lt;&gt;""),"tbd",""))</f>
        <v/>
      </c>
      <c r="S573" s="217" t="n"/>
      <c r="Z573">
        <f>IF(AND(R573="WON",ISNUMBER(I573)),AA573,"")</f>
        <v/>
      </c>
      <c r="AA573">
        <f>IFERROR(I573*1,0)</f>
        <v>0</v>
      </c>
    </row>
    <row r="574" ht="15" customHeight="1">
      <c r="I574" s="215" t="n"/>
      <c r="J574" s="215" t="n"/>
      <c r="K574" s="215" t="n"/>
      <c r="L574" s="215" t="n"/>
      <c r="M574" s="215" t="n"/>
      <c r="N574" s="215">
        <f>IF(ISNUMBER(I574),ROUND(I574-I574/1.081,2),"")</f>
        <v/>
      </c>
      <c r="O574" s="215">
        <f>IF(ISNUMBER(I574),I574-SUM(J574:N574),"")</f>
        <v/>
      </c>
      <c r="P574" s="216">
        <f>IFERROR(IF(AND(ISNUMBER(O574),ISNUMBER(I574),I574&lt;&gt;0),O574/I574,""),"")</f>
        <v/>
      </c>
      <c r="Q574" s="215">
        <f>IF(AND(ISNUMBER(I574),ISNUMBER(S574)),I574*IF(S574&lt;=1,S574,S574/100),IF(OR(I574&lt;&gt;"",S574&lt;&gt;""),"tbd",""))</f>
        <v/>
      </c>
      <c r="S574" s="217" t="n"/>
      <c r="Z574">
        <f>IF(AND(R574="WON",ISNUMBER(I574)),AA574,"")</f>
        <v/>
      </c>
      <c r="AA574">
        <f>IFERROR(I574*1,0)</f>
        <v>0</v>
      </c>
    </row>
    <row r="575" ht="15" customHeight="1">
      <c r="I575" s="215" t="n"/>
      <c r="J575" s="215" t="n"/>
      <c r="K575" s="215" t="n"/>
      <c r="L575" s="215" t="n"/>
      <c r="M575" s="215" t="n"/>
      <c r="N575" s="215">
        <f>IF(ISNUMBER(I575),ROUND(I575-I575/1.081,2),"")</f>
        <v/>
      </c>
      <c r="O575" s="215">
        <f>IF(ISNUMBER(I575),I575-SUM(J575:N575),"")</f>
        <v/>
      </c>
      <c r="P575" s="216">
        <f>IFERROR(IF(AND(ISNUMBER(O575),ISNUMBER(I575),I575&lt;&gt;0),O575/I575,""),"")</f>
        <v/>
      </c>
      <c r="Q575" s="215">
        <f>IF(AND(ISNUMBER(I575),ISNUMBER(S575)),I575*IF(S575&lt;=1,S575,S575/100),IF(OR(I575&lt;&gt;"",S575&lt;&gt;""),"tbd",""))</f>
        <v/>
      </c>
      <c r="S575" s="217" t="n"/>
      <c r="Z575">
        <f>IF(AND(R575="WON",ISNUMBER(I575)),AA575,"")</f>
        <v/>
      </c>
      <c r="AA575">
        <f>IFERROR(I575*1,0)</f>
        <v>0</v>
      </c>
    </row>
    <row r="576" ht="15" customHeight="1">
      <c r="I576" s="215" t="n"/>
      <c r="J576" s="215" t="n"/>
      <c r="K576" s="215" t="n"/>
      <c r="L576" s="215" t="n"/>
      <c r="M576" s="215" t="n"/>
      <c r="N576" s="215">
        <f>IF(ISNUMBER(I576),ROUND(I576-I576/1.081,2),"")</f>
        <v/>
      </c>
      <c r="O576" s="215">
        <f>IF(ISNUMBER(I576),I576-SUM(J576:N576),"")</f>
        <v/>
      </c>
      <c r="P576" s="216">
        <f>IFERROR(IF(AND(ISNUMBER(O576),ISNUMBER(I576),I576&lt;&gt;0),O576/I576,""),"")</f>
        <v/>
      </c>
      <c r="Q576" s="215">
        <f>IF(AND(ISNUMBER(I576),ISNUMBER(S576)),I576*IF(S576&lt;=1,S576,S576/100),IF(OR(I576&lt;&gt;"",S576&lt;&gt;""),"tbd",""))</f>
        <v/>
      </c>
      <c r="S576" s="217" t="n"/>
      <c r="Z576">
        <f>IF(AND(R576="WON",ISNUMBER(I576)),AA576,"")</f>
        <v/>
      </c>
      <c r="AA576">
        <f>IFERROR(I576*1,0)</f>
        <v>0</v>
      </c>
    </row>
    <row r="577" ht="15" customHeight="1">
      <c r="I577" s="215" t="n"/>
      <c r="J577" s="215" t="n"/>
      <c r="K577" s="215" t="n"/>
      <c r="L577" s="215" t="n"/>
      <c r="M577" s="215" t="n"/>
      <c r="N577" s="215">
        <f>IF(ISNUMBER(I577),ROUND(I577-I577/1.081,2),"")</f>
        <v/>
      </c>
      <c r="O577" s="215">
        <f>IF(ISNUMBER(I577),I577-SUM(J577:N577),"")</f>
        <v/>
      </c>
      <c r="P577" s="216">
        <f>IFERROR(IF(AND(ISNUMBER(O577),ISNUMBER(I577),I577&lt;&gt;0),O577/I577,""),"")</f>
        <v/>
      </c>
      <c r="Q577" s="215">
        <f>IF(AND(ISNUMBER(I577),ISNUMBER(S577)),I577*IF(S577&lt;=1,S577,S577/100),IF(OR(I577&lt;&gt;"",S577&lt;&gt;""),"tbd",""))</f>
        <v/>
      </c>
      <c r="S577" s="217" t="n"/>
      <c r="Z577">
        <f>IF(AND(R577="WON",ISNUMBER(I577)),AA577,"")</f>
        <v/>
      </c>
      <c r="AA577">
        <f>IFERROR(I577*1,0)</f>
        <v>0</v>
      </c>
    </row>
    <row r="578" ht="15" customHeight="1">
      <c r="I578" s="215" t="n"/>
      <c r="J578" s="215" t="n"/>
      <c r="K578" s="215" t="n"/>
      <c r="L578" s="215" t="n"/>
      <c r="M578" s="215" t="n"/>
      <c r="N578" s="215">
        <f>IF(ISNUMBER(I578),ROUND(I578-I578/1.081,2),"")</f>
        <v/>
      </c>
      <c r="O578" s="215">
        <f>IF(ISNUMBER(I578),I578-SUM(J578:N578),"")</f>
        <v/>
      </c>
      <c r="P578" s="216">
        <f>IFERROR(IF(AND(ISNUMBER(O578),ISNUMBER(I578),I578&lt;&gt;0),O578/I578,""),"")</f>
        <v/>
      </c>
      <c r="Q578" s="215">
        <f>IF(AND(ISNUMBER(I578),ISNUMBER(S578)),I578*IF(S578&lt;=1,S578,S578/100),IF(OR(I578&lt;&gt;"",S578&lt;&gt;""),"tbd",""))</f>
        <v/>
      </c>
      <c r="S578" s="217" t="n"/>
      <c r="Z578">
        <f>IF(AND(R578="WON",ISNUMBER(I578)),AA578,"")</f>
        <v/>
      </c>
      <c r="AA578">
        <f>IFERROR(I578*1,0)</f>
        <v>0</v>
      </c>
    </row>
    <row r="579" ht="15" customHeight="1">
      <c r="I579" s="215" t="n"/>
      <c r="J579" s="215" t="n"/>
      <c r="K579" s="215" t="n"/>
      <c r="L579" s="215" t="n"/>
      <c r="M579" s="215" t="n"/>
      <c r="N579" s="215">
        <f>IF(ISNUMBER(I579),ROUND(I579-I579/1.081,2),"")</f>
        <v/>
      </c>
      <c r="O579" s="215">
        <f>IF(ISNUMBER(I579),I579-SUM(J579:N579),"")</f>
        <v/>
      </c>
      <c r="P579" s="216">
        <f>IFERROR(IF(AND(ISNUMBER(O579),ISNUMBER(I579),I579&lt;&gt;0),O579/I579,""),"")</f>
        <v/>
      </c>
      <c r="Q579" s="215">
        <f>IF(AND(ISNUMBER(I579),ISNUMBER(S579)),I579*IF(S579&lt;=1,S579,S579/100),IF(OR(I579&lt;&gt;"",S579&lt;&gt;""),"tbd",""))</f>
        <v/>
      </c>
      <c r="S579" s="217" t="n"/>
      <c r="Z579">
        <f>IF(AND(R579="WON",ISNUMBER(I579)),AA579,"")</f>
        <v/>
      </c>
      <c r="AA579">
        <f>IFERROR(I579*1,0)</f>
        <v>0</v>
      </c>
    </row>
    <row r="580" ht="15" customHeight="1">
      <c r="I580" s="215" t="n"/>
      <c r="J580" s="215" t="n"/>
      <c r="K580" s="215" t="n"/>
      <c r="L580" s="215" t="n"/>
      <c r="M580" s="215" t="n"/>
      <c r="N580" s="215">
        <f>IF(ISNUMBER(I580),ROUND(I580-I580/1.081,2),"")</f>
        <v/>
      </c>
      <c r="O580" s="215">
        <f>IF(ISNUMBER(I580),I580-SUM(J580:N580),"")</f>
        <v/>
      </c>
      <c r="P580" s="216">
        <f>IFERROR(IF(AND(ISNUMBER(O580),ISNUMBER(I580),I580&lt;&gt;0),O580/I580,""),"")</f>
        <v/>
      </c>
      <c r="Q580" s="215">
        <f>IF(AND(ISNUMBER(I580),ISNUMBER(S580)),I580*IF(S580&lt;=1,S580,S580/100),IF(OR(I580&lt;&gt;"",S580&lt;&gt;""),"tbd",""))</f>
        <v/>
      </c>
      <c r="S580" s="217" t="n"/>
      <c r="Z580">
        <f>IF(AND(R580="WON",ISNUMBER(I580)),AA580,"")</f>
        <v/>
      </c>
      <c r="AA580">
        <f>IFERROR(I580*1,0)</f>
        <v>0</v>
      </c>
    </row>
    <row r="581" ht="15" customHeight="1">
      <c r="I581" s="215" t="n"/>
      <c r="J581" s="215" t="n"/>
      <c r="K581" s="215" t="n"/>
      <c r="L581" s="215" t="n"/>
      <c r="M581" s="215" t="n"/>
      <c r="N581" s="215">
        <f>IF(ISNUMBER(I581),ROUND(I581-I581/1.081,2),"")</f>
        <v/>
      </c>
      <c r="O581" s="215">
        <f>IF(ISNUMBER(I581),I581-SUM(J581:N581),"")</f>
        <v/>
      </c>
      <c r="P581" s="216">
        <f>IFERROR(IF(AND(ISNUMBER(O581),ISNUMBER(I581),I581&lt;&gt;0),O581/I581,""),"")</f>
        <v/>
      </c>
      <c r="Q581" s="215">
        <f>IF(AND(ISNUMBER(I581),ISNUMBER(S581)),I581*IF(S581&lt;=1,S581,S581/100),IF(OR(I581&lt;&gt;"",S581&lt;&gt;""),"tbd",""))</f>
        <v/>
      </c>
      <c r="S581" s="217" t="n"/>
      <c r="Z581">
        <f>IF(AND(R581="WON",ISNUMBER(I581)),AA581,"")</f>
        <v/>
      </c>
      <c r="AA581">
        <f>IFERROR(I581*1,0)</f>
        <v>0</v>
      </c>
    </row>
    <row r="582" ht="15" customHeight="1">
      <c r="I582" s="215" t="n"/>
      <c r="J582" s="215" t="n"/>
      <c r="K582" s="215" t="n"/>
      <c r="L582" s="215" t="n"/>
      <c r="M582" s="215" t="n"/>
      <c r="N582" s="215">
        <f>IF(ISNUMBER(I582),ROUND(I582-I582/1.081,2),"")</f>
        <v/>
      </c>
      <c r="O582" s="215">
        <f>IF(ISNUMBER(I582),I582-SUM(J582:N582),"")</f>
        <v/>
      </c>
      <c r="P582" s="216">
        <f>IFERROR(IF(AND(ISNUMBER(O582),ISNUMBER(I582),I582&lt;&gt;0),O582/I582,""),"")</f>
        <v/>
      </c>
      <c r="Q582" s="215">
        <f>IF(AND(ISNUMBER(I582),ISNUMBER(S582)),I582*IF(S582&lt;=1,S582,S582/100),IF(OR(I582&lt;&gt;"",S582&lt;&gt;""),"tbd",""))</f>
        <v/>
      </c>
      <c r="S582" s="217" t="n"/>
      <c r="Z582">
        <f>IF(AND(R582="WON",ISNUMBER(I582)),AA582,"")</f>
        <v/>
      </c>
      <c r="AA582">
        <f>IFERROR(I582*1,0)</f>
        <v>0</v>
      </c>
    </row>
    <row r="583" ht="15" customHeight="1">
      <c r="I583" s="215" t="n"/>
      <c r="J583" s="215" t="n"/>
      <c r="K583" s="215" t="n"/>
      <c r="L583" s="215" t="n"/>
      <c r="M583" s="215" t="n"/>
      <c r="N583" s="215">
        <f>IF(ISNUMBER(I583),ROUND(I583-I583/1.081,2),"")</f>
        <v/>
      </c>
      <c r="O583" s="215">
        <f>IF(ISNUMBER(I583),I583-SUM(J583:N583),"")</f>
        <v/>
      </c>
      <c r="P583" s="216">
        <f>IFERROR(IF(AND(ISNUMBER(O583),ISNUMBER(I583),I583&lt;&gt;0),O583/I583,""),"")</f>
        <v/>
      </c>
      <c r="Q583" s="215">
        <f>IF(AND(ISNUMBER(I583),ISNUMBER(S583)),I583*IF(S583&lt;=1,S583,S583/100),IF(OR(I583&lt;&gt;"",S583&lt;&gt;""),"tbd",""))</f>
        <v/>
      </c>
      <c r="S583" s="217" t="n"/>
      <c r="Z583">
        <f>IF(AND(R583="WON",ISNUMBER(I583)),AA583,"")</f>
        <v/>
      </c>
      <c r="AA583">
        <f>IFERROR(I583*1,0)</f>
        <v>0</v>
      </c>
    </row>
    <row r="584" ht="15" customHeight="1">
      <c r="I584" s="215" t="n"/>
      <c r="J584" s="215" t="n"/>
      <c r="K584" s="215" t="n"/>
      <c r="L584" s="215" t="n"/>
      <c r="M584" s="215" t="n"/>
      <c r="N584" s="215">
        <f>IF(ISNUMBER(I584),ROUND(I584-I584/1.081,2),"")</f>
        <v/>
      </c>
      <c r="O584" s="215">
        <f>IF(ISNUMBER(I584),I584-SUM(J584:N584),"")</f>
        <v/>
      </c>
      <c r="P584" s="216">
        <f>IFERROR(IF(AND(ISNUMBER(O584),ISNUMBER(I584),I584&lt;&gt;0),O584/I584,""),"")</f>
        <v/>
      </c>
      <c r="Q584" s="215">
        <f>IF(AND(ISNUMBER(I584),ISNUMBER(S584)),I584*IF(S584&lt;=1,S584,S584/100),IF(OR(I584&lt;&gt;"",S584&lt;&gt;""),"tbd",""))</f>
        <v/>
      </c>
      <c r="S584" s="217" t="n"/>
      <c r="Z584">
        <f>IF(AND(R584="WON",ISNUMBER(I584)),AA584,"")</f>
        <v/>
      </c>
      <c r="AA584">
        <f>IFERROR(I584*1,0)</f>
        <v>0</v>
      </c>
    </row>
    <row r="585" ht="15" customHeight="1">
      <c r="I585" s="215" t="n"/>
      <c r="J585" s="215" t="n"/>
      <c r="K585" s="215" t="n"/>
      <c r="L585" s="215" t="n"/>
      <c r="M585" s="215" t="n"/>
      <c r="N585" s="215">
        <f>IF(ISNUMBER(I585),ROUND(I585-I585/1.081,2),"")</f>
        <v/>
      </c>
      <c r="O585" s="215">
        <f>IF(ISNUMBER(I585),I585-SUM(J585:N585),"")</f>
        <v/>
      </c>
      <c r="P585" s="216">
        <f>IFERROR(IF(AND(ISNUMBER(O585),ISNUMBER(I585),I585&lt;&gt;0),O585/I585,""),"")</f>
        <v/>
      </c>
      <c r="Q585" s="215">
        <f>IF(AND(ISNUMBER(I585),ISNUMBER(S585)),I585*IF(S585&lt;=1,S585,S585/100),IF(OR(I585&lt;&gt;"",S585&lt;&gt;""),"tbd",""))</f>
        <v/>
      </c>
      <c r="S585" s="217" t="n"/>
      <c r="Z585">
        <f>IF(AND(R585="WON",ISNUMBER(I585)),AA585,"")</f>
        <v/>
      </c>
      <c r="AA585">
        <f>IFERROR(I585*1,0)</f>
        <v>0</v>
      </c>
    </row>
    <row r="586" ht="15" customHeight="1">
      <c r="I586" s="215" t="n"/>
      <c r="J586" s="215" t="n"/>
      <c r="K586" s="215" t="n"/>
      <c r="L586" s="215" t="n"/>
      <c r="M586" s="215" t="n"/>
      <c r="N586" s="215">
        <f>IF(ISNUMBER(I586),ROUND(I586-I586/1.081,2),"")</f>
        <v/>
      </c>
      <c r="O586" s="215">
        <f>IF(ISNUMBER(I586),I586-SUM(J586:N586),"")</f>
        <v/>
      </c>
      <c r="P586" s="216">
        <f>IFERROR(IF(AND(ISNUMBER(O586),ISNUMBER(I586),I586&lt;&gt;0),O586/I586,""),"")</f>
        <v/>
      </c>
      <c r="Q586" s="215">
        <f>IF(AND(ISNUMBER(I586),ISNUMBER(S586)),I586*IF(S586&lt;=1,S586,S586/100),IF(OR(I586&lt;&gt;"",S586&lt;&gt;""),"tbd",""))</f>
        <v/>
      </c>
      <c r="S586" s="217" t="n"/>
      <c r="Z586">
        <f>IF(AND(R586="WON",ISNUMBER(I586)),AA586,"")</f>
        <v/>
      </c>
      <c r="AA586">
        <f>IFERROR(I586*1,0)</f>
        <v>0</v>
      </c>
    </row>
    <row r="587" ht="15" customHeight="1">
      <c r="I587" s="215" t="n"/>
      <c r="J587" s="215" t="n"/>
      <c r="K587" s="215" t="n"/>
      <c r="L587" s="215" t="n"/>
      <c r="M587" s="215" t="n"/>
      <c r="N587" s="215">
        <f>IF(ISNUMBER(I587),ROUND(I587-I587/1.081,2),"")</f>
        <v/>
      </c>
      <c r="O587" s="215">
        <f>IF(ISNUMBER(I587),I587-SUM(J587:N587),"")</f>
        <v/>
      </c>
      <c r="P587" s="216">
        <f>IFERROR(IF(AND(ISNUMBER(O587),ISNUMBER(I587),I587&lt;&gt;0),O587/I587,""),"")</f>
        <v/>
      </c>
      <c r="Q587" s="215">
        <f>IF(AND(ISNUMBER(I587),ISNUMBER(S587)),I587*IF(S587&lt;=1,S587,S587/100),IF(OR(I587&lt;&gt;"",S587&lt;&gt;""),"tbd",""))</f>
        <v/>
      </c>
      <c r="S587" s="217" t="n"/>
      <c r="Z587">
        <f>IF(AND(R587="WON",ISNUMBER(I587)),AA587,"")</f>
        <v/>
      </c>
      <c r="AA587">
        <f>IFERROR(I587*1,0)</f>
        <v>0</v>
      </c>
    </row>
    <row r="588" ht="15" customHeight="1">
      <c r="I588" s="215" t="n"/>
      <c r="J588" s="215" t="n"/>
      <c r="K588" s="215" t="n"/>
      <c r="L588" s="215" t="n"/>
      <c r="M588" s="215" t="n"/>
      <c r="N588" s="215">
        <f>IF(ISNUMBER(I588),ROUND(I588-I588/1.081,2),"")</f>
        <v/>
      </c>
      <c r="O588" s="215">
        <f>IF(ISNUMBER(I588),I588-SUM(J588:N588),"")</f>
        <v/>
      </c>
      <c r="P588" s="216">
        <f>IFERROR(IF(AND(ISNUMBER(O588),ISNUMBER(I588),I588&lt;&gt;0),O588/I588,""),"")</f>
        <v/>
      </c>
      <c r="Q588" s="215">
        <f>IF(AND(ISNUMBER(I588),ISNUMBER(S588)),I588*IF(S588&lt;=1,S588,S588/100),IF(OR(I588&lt;&gt;"",S588&lt;&gt;""),"tbd",""))</f>
        <v/>
      </c>
      <c r="S588" s="217" t="n"/>
      <c r="Z588">
        <f>IF(AND(R588="WON",ISNUMBER(I588)),AA588,"")</f>
        <v/>
      </c>
      <c r="AA588">
        <f>IFERROR(I588*1,0)</f>
        <v>0</v>
      </c>
    </row>
    <row r="589" ht="15" customHeight="1">
      <c r="I589" s="215" t="n"/>
      <c r="J589" s="215" t="n"/>
      <c r="K589" s="215" t="n"/>
      <c r="L589" s="215" t="n"/>
      <c r="M589" s="215" t="n"/>
      <c r="N589" s="215">
        <f>IF(ISNUMBER(I589),ROUND(I589-I589/1.081,2),"")</f>
        <v/>
      </c>
      <c r="O589" s="215">
        <f>IF(ISNUMBER(I589),I589-SUM(J589:N589),"")</f>
        <v/>
      </c>
      <c r="P589" s="216">
        <f>IFERROR(IF(AND(ISNUMBER(O589),ISNUMBER(I589),I589&lt;&gt;0),O589/I589,""),"")</f>
        <v/>
      </c>
      <c r="Q589" s="215">
        <f>IF(AND(ISNUMBER(I589),ISNUMBER(S589)),I589*IF(S589&lt;=1,S589,S589/100),IF(OR(I589&lt;&gt;"",S589&lt;&gt;""),"tbd",""))</f>
        <v/>
      </c>
      <c r="S589" s="217" t="n"/>
      <c r="Z589">
        <f>IF(AND(R589="WON",ISNUMBER(I589)),AA589,"")</f>
        <v/>
      </c>
      <c r="AA589">
        <f>IFERROR(I589*1,0)</f>
        <v>0</v>
      </c>
    </row>
    <row r="590" ht="15" customHeight="1">
      <c r="I590" s="215" t="n"/>
      <c r="J590" s="215" t="n"/>
      <c r="K590" s="215" t="n"/>
      <c r="L590" s="215" t="n"/>
      <c r="M590" s="215" t="n"/>
      <c r="N590" s="215">
        <f>IF(ISNUMBER(I590),ROUND(I590-I590/1.081,2),"")</f>
        <v/>
      </c>
      <c r="O590" s="215">
        <f>IF(ISNUMBER(I590),I590-SUM(J590:N590),"")</f>
        <v/>
      </c>
      <c r="P590" s="216">
        <f>IFERROR(IF(AND(ISNUMBER(O590),ISNUMBER(I590),I590&lt;&gt;0),O590/I590,""),"")</f>
        <v/>
      </c>
      <c r="Q590" s="215">
        <f>IF(AND(ISNUMBER(I590),ISNUMBER(S590)),I590*IF(S590&lt;=1,S590,S590/100),IF(OR(I590&lt;&gt;"",S590&lt;&gt;""),"tbd",""))</f>
        <v/>
      </c>
      <c r="S590" s="217" t="n"/>
      <c r="Z590">
        <f>IF(AND(R590="WON",ISNUMBER(I590)),AA590,"")</f>
        <v/>
      </c>
      <c r="AA590">
        <f>IFERROR(I590*1,0)</f>
        <v>0</v>
      </c>
    </row>
    <row r="591" ht="15" customHeight="1">
      <c r="I591" s="215" t="n"/>
      <c r="J591" s="215" t="n"/>
      <c r="K591" s="215" t="n"/>
      <c r="L591" s="215" t="n"/>
      <c r="M591" s="215" t="n"/>
      <c r="N591" s="215">
        <f>IF(ISNUMBER(I591),ROUND(I591-I591/1.081,2),"")</f>
        <v/>
      </c>
      <c r="O591" s="215">
        <f>IF(ISNUMBER(I591),I591-SUM(J591:N591),"")</f>
        <v/>
      </c>
      <c r="P591" s="216">
        <f>IFERROR(IF(AND(ISNUMBER(O591),ISNUMBER(I591),I591&lt;&gt;0),O591/I591,""),"")</f>
        <v/>
      </c>
      <c r="Q591" s="215">
        <f>IF(AND(ISNUMBER(I591),ISNUMBER(S591)),I591*IF(S591&lt;=1,S591,S591/100),IF(OR(I591&lt;&gt;"",S591&lt;&gt;""),"tbd",""))</f>
        <v/>
      </c>
      <c r="S591" s="217" t="n"/>
      <c r="Z591">
        <f>IF(AND(R591="WON",ISNUMBER(I591)),AA591,"")</f>
        <v/>
      </c>
      <c r="AA591">
        <f>IFERROR(I591*1,0)</f>
        <v>0</v>
      </c>
    </row>
    <row r="592" ht="15" customHeight="1">
      <c r="I592" s="215" t="n"/>
      <c r="J592" s="215" t="n"/>
      <c r="K592" s="215" t="n"/>
      <c r="L592" s="215" t="n"/>
      <c r="M592" s="215" t="n"/>
      <c r="N592" s="215">
        <f>IF(ISNUMBER(I592),ROUND(I592-I592/1.081,2),"")</f>
        <v/>
      </c>
      <c r="O592" s="215">
        <f>IF(ISNUMBER(I592),I592-SUM(J592:N592),"")</f>
        <v/>
      </c>
      <c r="P592" s="216">
        <f>IFERROR(IF(AND(ISNUMBER(O592),ISNUMBER(I592),I592&lt;&gt;0),O592/I592,""),"")</f>
        <v/>
      </c>
      <c r="Q592" s="215">
        <f>IF(AND(ISNUMBER(I592),ISNUMBER(S592)),I592*IF(S592&lt;=1,S592,S592/100),IF(OR(I592&lt;&gt;"",S592&lt;&gt;""),"tbd",""))</f>
        <v/>
      </c>
      <c r="S592" s="217" t="n"/>
      <c r="Z592">
        <f>IF(AND(R592="WON",ISNUMBER(I592)),AA592,"")</f>
        <v/>
      </c>
      <c r="AA592">
        <f>IFERROR(I592*1,0)</f>
        <v>0</v>
      </c>
    </row>
    <row r="593" ht="15" customHeight="1">
      <c r="I593" s="215" t="n"/>
      <c r="J593" s="215" t="n"/>
      <c r="K593" s="215" t="n"/>
      <c r="L593" s="215" t="n"/>
      <c r="M593" s="215" t="n"/>
      <c r="N593" s="215">
        <f>IF(ISNUMBER(I593),ROUND(I593-I593/1.081,2),"")</f>
        <v/>
      </c>
      <c r="O593" s="215">
        <f>IF(ISNUMBER(I593),I593-SUM(J593:N593),"")</f>
        <v/>
      </c>
      <c r="P593" s="216">
        <f>IFERROR(IF(AND(ISNUMBER(O593),ISNUMBER(I593),I593&lt;&gt;0),O593/I593,""),"")</f>
        <v/>
      </c>
      <c r="Q593" s="215">
        <f>IF(AND(ISNUMBER(I593),ISNUMBER(S593)),I593*IF(S593&lt;=1,S593,S593/100),IF(OR(I593&lt;&gt;"",S593&lt;&gt;""),"tbd",""))</f>
        <v/>
      </c>
      <c r="S593" s="217" t="n"/>
      <c r="Z593">
        <f>IF(AND(R593="WON",ISNUMBER(I593)),AA593,"")</f>
        <v/>
      </c>
      <c r="AA593">
        <f>IFERROR(I593*1,0)</f>
        <v>0</v>
      </c>
    </row>
    <row r="594" ht="15" customHeight="1">
      <c r="I594" s="215" t="n"/>
      <c r="J594" s="215" t="n"/>
      <c r="K594" s="215" t="n"/>
      <c r="L594" s="215" t="n"/>
      <c r="M594" s="215" t="n"/>
      <c r="N594" s="215">
        <f>IF(ISNUMBER(I594),ROUND(I594-I594/1.081,2),"")</f>
        <v/>
      </c>
      <c r="O594" s="215">
        <f>IF(ISNUMBER(I594),I594-SUM(J594:N594),"")</f>
        <v/>
      </c>
      <c r="P594" s="216">
        <f>IFERROR(IF(AND(ISNUMBER(O594),ISNUMBER(I594),I594&lt;&gt;0),O594/I594,""),"")</f>
        <v/>
      </c>
      <c r="Q594" s="215">
        <f>IF(AND(ISNUMBER(I594),ISNUMBER(S594)),I594*IF(S594&lt;=1,S594,S594/100),IF(OR(I594&lt;&gt;"",S594&lt;&gt;""),"tbd",""))</f>
        <v/>
      </c>
      <c r="S594" s="217" t="n"/>
      <c r="Z594">
        <f>IF(AND(R594="WON",ISNUMBER(I594)),AA594,"")</f>
        <v/>
      </c>
      <c r="AA594">
        <f>IFERROR(I594*1,0)</f>
        <v>0</v>
      </c>
    </row>
    <row r="595" ht="15" customHeight="1">
      <c r="I595" s="215" t="n"/>
      <c r="J595" s="215" t="n"/>
      <c r="K595" s="215" t="n"/>
      <c r="L595" s="215" t="n"/>
      <c r="M595" s="215" t="n"/>
      <c r="N595" s="215">
        <f>IF(ISNUMBER(I595),ROUND(I595-I595/1.081,2),"")</f>
        <v/>
      </c>
      <c r="O595" s="215">
        <f>IF(ISNUMBER(I595),I595-SUM(J595:N595),"")</f>
        <v/>
      </c>
      <c r="P595" s="216">
        <f>IFERROR(IF(AND(ISNUMBER(O595),ISNUMBER(I595),I595&lt;&gt;0),O595/I595,""),"")</f>
        <v/>
      </c>
      <c r="Q595" s="215">
        <f>IF(AND(ISNUMBER(I595),ISNUMBER(S595)),I595*IF(S595&lt;=1,S595,S595/100),IF(OR(I595&lt;&gt;"",S595&lt;&gt;""),"tbd",""))</f>
        <v/>
      </c>
      <c r="S595" s="217" t="n"/>
      <c r="Z595">
        <f>IF(AND(R595="WON",ISNUMBER(I595)),AA595,"")</f>
        <v/>
      </c>
      <c r="AA595">
        <f>IFERROR(I595*1,0)</f>
        <v>0</v>
      </c>
    </row>
    <row r="596" ht="15" customHeight="1">
      <c r="I596" s="215" t="n"/>
      <c r="J596" s="215" t="n"/>
      <c r="K596" s="215" t="n"/>
      <c r="L596" s="215" t="n"/>
      <c r="M596" s="215" t="n"/>
      <c r="N596" s="215">
        <f>IF(ISNUMBER(I596),ROUND(I596-I596/1.081,2),"")</f>
        <v/>
      </c>
      <c r="O596" s="215">
        <f>IF(ISNUMBER(I596),I596-SUM(J596:N596),"")</f>
        <v/>
      </c>
      <c r="P596" s="216">
        <f>IFERROR(IF(AND(ISNUMBER(O596),ISNUMBER(I596),I596&lt;&gt;0),O596/I596,""),"")</f>
        <v/>
      </c>
      <c r="Q596" s="215">
        <f>IF(AND(ISNUMBER(I596),ISNUMBER(S596)),I596*IF(S596&lt;=1,S596,S596/100),IF(OR(I596&lt;&gt;"",S596&lt;&gt;""),"tbd",""))</f>
        <v/>
      </c>
      <c r="S596" s="217" t="n"/>
      <c r="Z596">
        <f>IF(AND(R596="WON",ISNUMBER(I596)),AA596,"")</f>
        <v/>
      </c>
      <c r="AA596">
        <f>IFERROR(I596*1,0)</f>
        <v>0</v>
      </c>
    </row>
    <row r="597" ht="15" customHeight="1">
      <c r="I597" s="215" t="n"/>
      <c r="J597" s="215" t="n"/>
      <c r="K597" s="215" t="n"/>
      <c r="L597" s="215" t="n"/>
      <c r="M597" s="215" t="n"/>
      <c r="N597" s="215">
        <f>IF(ISNUMBER(I597),ROUND(I597-I597/1.081,2),"")</f>
        <v/>
      </c>
      <c r="O597" s="215">
        <f>IF(ISNUMBER(I597),I597-SUM(J597:N597),"")</f>
        <v/>
      </c>
      <c r="P597" s="216">
        <f>IFERROR(IF(AND(ISNUMBER(O597),ISNUMBER(I597),I597&lt;&gt;0),O597/I597,""),"")</f>
        <v/>
      </c>
      <c r="Q597" s="215">
        <f>IF(AND(ISNUMBER(I597),ISNUMBER(S597)),I597*IF(S597&lt;=1,S597,S597/100),IF(OR(I597&lt;&gt;"",S597&lt;&gt;""),"tbd",""))</f>
        <v/>
      </c>
      <c r="S597" s="217" t="n"/>
      <c r="Z597">
        <f>IF(AND(R597="WON",ISNUMBER(I597)),AA597,"")</f>
        <v/>
      </c>
      <c r="AA597">
        <f>IFERROR(I597*1,0)</f>
        <v>0</v>
      </c>
    </row>
    <row r="598" ht="15" customHeight="1">
      <c r="I598" s="215" t="n"/>
      <c r="J598" s="215" t="n"/>
      <c r="K598" s="215" t="n"/>
      <c r="L598" s="215" t="n"/>
      <c r="M598" s="215" t="n"/>
      <c r="N598" s="215">
        <f>IF(ISNUMBER(I598),ROUND(I598-I598/1.081,2),"")</f>
        <v/>
      </c>
      <c r="O598" s="215">
        <f>IF(ISNUMBER(I598),I598-SUM(J598:N598),"")</f>
        <v/>
      </c>
      <c r="P598" s="216">
        <f>IFERROR(IF(AND(ISNUMBER(O598),ISNUMBER(I598),I598&lt;&gt;0),O598/I598,""),"")</f>
        <v/>
      </c>
      <c r="Q598" s="215">
        <f>IF(AND(ISNUMBER(I598),ISNUMBER(S598)),I598*IF(S598&lt;=1,S598,S598/100),IF(OR(I598&lt;&gt;"",S598&lt;&gt;""),"tbd",""))</f>
        <v/>
      </c>
      <c r="S598" s="217" t="n"/>
      <c r="Z598">
        <f>IF(AND(R598="WON",ISNUMBER(I598)),AA598,"")</f>
        <v/>
      </c>
      <c r="AA598">
        <f>IFERROR(I598*1,0)</f>
        <v>0</v>
      </c>
    </row>
    <row r="599" ht="15" customHeight="1">
      <c r="I599" s="215" t="n"/>
      <c r="J599" s="215" t="n"/>
      <c r="K599" s="215" t="n"/>
      <c r="L599" s="215" t="n"/>
      <c r="M599" s="215" t="n"/>
      <c r="N599" s="215">
        <f>IF(ISNUMBER(I599),ROUND(I599-I599/1.081,2),"")</f>
        <v/>
      </c>
      <c r="O599" s="215">
        <f>IF(ISNUMBER(I599),I599-SUM(J599:N599),"")</f>
        <v/>
      </c>
      <c r="P599" s="216">
        <f>IFERROR(IF(AND(ISNUMBER(O599),ISNUMBER(I599),I599&lt;&gt;0),O599/I599,""),"")</f>
        <v/>
      </c>
      <c r="Q599" s="215">
        <f>IF(AND(ISNUMBER(I599),ISNUMBER(S599)),I599*IF(S599&lt;=1,S599,S599/100),IF(OR(I599&lt;&gt;"",S599&lt;&gt;""),"tbd",""))</f>
        <v/>
      </c>
      <c r="S599" s="217" t="n"/>
      <c r="Z599">
        <f>IF(AND(R599="WON",ISNUMBER(I599)),AA599,"")</f>
        <v/>
      </c>
      <c r="AA599">
        <f>IFERROR(I599*1,0)</f>
        <v>0</v>
      </c>
    </row>
    <row r="600" ht="15" customHeight="1">
      <c r="I600" s="215" t="n"/>
      <c r="J600" s="215" t="n"/>
      <c r="K600" s="215" t="n"/>
      <c r="L600" s="215" t="n"/>
      <c r="M600" s="215" t="n"/>
      <c r="N600" s="215">
        <f>IF(ISNUMBER(I600),ROUND(I600-I600/1.081,2),"")</f>
        <v/>
      </c>
      <c r="O600" s="215">
        <f>IF(ISNUMBER(I600),I600-SUM(J600:N600),"")</f>
        <v/>
      </c>
      <c r="P600" s="216">
        <f>IFERROR(IF(AND(ISNUMBER(O600),ISNUMBER(I600),I600&lt;&gt;0),O600/I600,""),"")</f>
        <v/>
      </c>
      <c r="Q600" s="215">
        <f>IF(AND(ISNUMBER(I600),ISNUMBER(S600)),I600*IF(S600&lt;=1,S600,S600/100),IF(OR(I600&lt;&gt;"",S600&lt;&gt;""),"tbd",""))</f>
        <v/>
      </c>
      <c r="S600" s="217" t="n"/>
      <c r="Z600">
        <f>IF(AND(R600="WON",ISNUMBER(I600)),AA600,"")</f>
        <v/>
      </c>
      <c r="AA600">
        <f>IFERROR(I600*1,0)</f>
        <v>0</v>
      </c>
    </row>
    <row r="601" ht="15" customHeight="1">
      <c r="I601" s="215" t="n"/>
      <c r="J601" s="215" t="n"/>
      <c r="K601" s="215" t="n"/>
      <c r="L601" s="215" t="n"/>
      <c r="M601" s="215" t="n"/>
      <c r="N601" s="215">
        <f>IF(ISNUMBER(I601),ROUND(I601-I601/1.081,2),"")</f>
        <v/>
      </c>
      <c r="O601" s="215">
        <f>IF(ISNUMBER(I601),I601-SUM(J601:N601),"")</f>
        <v/>
      </c>
      <c r="P601" s="216">
        <f>IFERROR(IF(AND(ISNUMBER(O601),ISNUMBER(I601),I601&lt;&gt;0),O601/I601,""),"")</f>
        <v/>
      </c>
      <c r="Q601" s="215">
        <f>IF(AND(ISNUMBER(I601),ISNUMBER(S601)),I601*IF(S601&lt;=1,S601,S601/100),IF(OR(I601&lt;&gt;"",S601&lt;&gt;""),"tbd",""))</f>
        <v/>
      </c>
      <c r="S601" s="217" t="n"/>
      <c r="Z601">
        <f>IF(AND(R601="WON",ISNUMBER(I601)),AA601,"")</f>
        <v/>
      </c>
      <c r="AA601">
        <f>IFERROR(I601*1,0)</f>
        <v>0</v>
      </c>
    </row>
    <row r="602" ht="15" customHeight="1">
      <c r="I602" s="215" t="n"/>
      <c r="J602" s="215" t="n"/>
      <c r="K602" s="215" t="n"/>
      <c r="L602" s="215" t="n"/>
      <c r="M602" s="215" t="n"/>
      <c r="N602" s="215">
        <f>IF(ISNUMBER(I602),ROUND(I602-I602/1.081,2),"")</f>
        <v/>
      </c>
      <c r="O602" s="215">
        <f>IF(ISNUMBER(I602),I602-SUM(J602:N602),"")</f>
        <v/>
      </c>
      <c r="P602" s="216">
        <f>IFERROR(IF(AND(ISNUMBER(O602),ISNUMBER(I602),I602&lt;&gt;0),O602/I602,""),"")</f>
        <v/>
      </c>
      <c r="Q602" s="215">
        <f>IF(AND(ISNUMBER(I602),ISNUMBER(S602)),I602*IF(S602&lt;=1,S602,S602/100),IF(OR(I602&lt;&gt;"",S602&lt;&gt;""),"tbd",""))</f>
        <v/>
      </c>
      <c r="S602" s="217" t="n"/>
      <c r="Z602">
        <f>IF(AND(R602="WON",ISNUMBER(I602)),AA602,"")</f>
        <v/>
      </c>
      <c r="AA602">
        <f>IFERROR(I602*1,0)</f>
        <v>0</v>
      </c>
    </row>
    <row r="603" ht="15" customHeight="1">
      <c r="I603" s="215" t="n"/>
      <c r="J603" s="215" t="n"/>
      <c r="K603" s="215" t="n"/>
      <c r="L603" s="215" t="n"/>
      <c r="M603" s="215" t="n"/>
      <c r="N603" s="215">
        <f>IF(ISNUMBER(I603),ROUND(I603-I603/1.081,2),"")</f>
        <v/>
      </c>
      <c r="O603" s="215">
        <f>IF(ISNUMBER(I603),I603-SUM(J603:N603),"")</f>
        <v/>
      </c>
      <c r="P603" s="216">
        <f>IFERROR(IF(AND(ISNUMBER(O603),ISNUMBER(I603),I603&lt;&gt;0),O603/I603,""),"")</f>
        <v/>
      </c>
      <c r="Q603" s="215">
        <f>IF(AND(ISNUMBER(I603),ISNUMBER(S603)),I603*IF(S603&lt;=1,S603,S603/100),IF(OR(I603&lt;&gt;"",S603&lt;&gt;""),"tbd",""))</f>
        <v/>
      </c>
      <c r="S603" s="217" t="n"/>
      <c r="Z603">
        <f>IF(AND(R603="WON",ISNUMBER(I603)),AA603,"")</f>
        <v/>
      </c>
      <c r="AA603">
        <f>IFERROR(I603*1,0)</f>
        <v>0</v>
      </c>
    </row>
    <row r="604" ht="15" customHeight="1">
      <c r="I604" s="215" t="n"/>
      <c r="J604" s="215" t="n"/>
      <c r="K604" s="215" t="n"/>
      <c r="L604" s="215" t="n"/>
      <c r="M604" s="215" t="n"/>
      <c r="N604" s="215">
        <f>IF(ISNUMBER(I604),ROUND(I604-I604/1.081,2),"")</f>
        <v/>
      </c>
      <c r="O604" s="215">
        <f>IF(ISNUMBER(I604),I604-SUM(J604:N604),"")</f>
        <v/>
      </c>
      <c r="P604" s="216">
        <f>IFERROR(IF(AND(ISNUMBER(O604),ISNUMBER(I604),I604&lt;&gt;0),O604/I604,""),"")</f>
        <v/>
      </c>
      <c r="Q604" s="215">
        <f>IF(AND(ISNUMBER(I604),ISNUMBER(S604)),I604*IF(S604&lt;=1,S604,S604/100),IF(OR(I604&lt;&gt;"",S604&lt;&gt;""),"tbd",""))</f>
        <v/>
      </c>
      <c r="S604" s="217" t="n"/>
      <c r="Z604">
        <f>IF(AND(R604="WON",ISNUMBER(I604)),AA604,"")</f>
        <v/>
      </c>
      <c r="AA604">
        <f>IFERROR(I604*1,0)</f>
        <v>0</v>
      </c>
    </row>
    <row r="605" ht="15" customHeight="1">
      <c r="I605" s="215" t="n"/>
      <c r="J605" s="215" t="n"/>
      <c r="K605" s="215" t="n"/>
      <c r="L605" s="215" t="n"/>
      <c r="M605" s="215" t="n"/>
      <c r="N605" s="215">
        <f>IF(ISNUMBER(I605),ROUND(I605-I605/1.081,2),"")</f>
        <v/>
      </c>
      <c r="O605" s="215">
        <f>IF(ISNUMBER(I605),I605-SUM(J605:N605),"")</f>
        <v/>
      </c>
      <c r="P605" s="216">
        <f>IFERROR(IF(AND(ISNUMBER(O605),ISNUMBER(I605),I605&lt;&gt;0),O605/I605,""),"")</f>
        <v/>
      </c>
      <c r="Q605" s="215">
        <f>IF(AND(ISNUMBER(I605),ISNUMBER(S605)),I605*IF(S605&lt;=1,S605,S605/100),IF(OR(I605&lt;&gt;"",S605&lt;&gt;""),"tbd",""))</f>
        <v/>
      </c>
      <c r="S605" s="217" t="n"/>
      <c r="Z605">
        <f>IF(AND(R605="WON",ISNUMBER(I605)),AA605,"")</f>
        <v/>
      </c>
      <c r="AA605">
        <f>IFERROR(I605*1,0)</f>
        <v>0</v>
      </c>
    </row>
    <row r="606" ht="15" customHeight="1">
      <c r="I606" s="215" t="n"/>
      <c r="J606" s="215" t="n"/>
      <c r="K606" s="215" t="n"/>
      <c r="L606" s="215" t="n"/>
      <c r="M606" s="215" t="n"/>
      <c r="N606" s="215">
        <f>IF(ISNUMBER(I606),ROUND(I606-I606/1.081,2),"")</f>
        <v/>
      </c>
      <c r="O606" s="215">
        <f>IF(ISNUMBER(I606),I606-SUM(J606:N606),"")</f>
        <v/>
      </c>
      <c r="P606" s="216">
        <f>IFERROR(IF(AND(ISNUMBER(O606),ISNUMBER(I606),I606&lt;&gt;0),O606/I606,""),"")</f>
        <v/>
      </c>
      <c r="Q606" s="215">
        <f>IF(AND(ISNUMBER(I606),ISNUMBER(S606)),I606*IF(S606&lt;=1,S606,S606/100),IF(OR(I606&lt;&gt;"",S606&lt;&gt;""),"tbd",""))</f>
        <v/>
      </c>
      <c r="S606" s="217" t="n"/>
      <c r="Z606">
        <f>IF(AND(R606="WON",ISNUMBER(I606)),AA606,"")</f>
        <v/>
      </c>
      <c r="AA606">
        <f>IFERROR(I606*1,0)</f>
        <v>0</v>
      </c>
    </row>
    <row r="607" ht="15" customHeight="1">
      <c r="I607" s="215" t="n"/>
      <c r="J607" s="215" t="n"/>
      <c r="K607" s="215" t="n"/>
      <c r="L607" s="215" t="n"/>
      <c r="M607" s="215" t="n"/>
      <c r="N607" s="215">
        <f>IF(ISNUMBER(I607),ROUND(I607-I607/1.081,2),"")</f>
        <v/>
      </c>
      <c r="O607" s="215">
        <f>IF(ISNUMBER(I607),I607-SUM(J607:N607),"")</f>
        <v/>
      </c>
      <c r="P607" s="216">
        <f>IFERROR(IF(AND(ISNUMBER(O607),ISNUMBER(I607),I607&lt;&gt;0),O607/I607,""),"")</f>
        <v/>
      </c>
      <c r="Q607" s="215">
        <f>IF(AND(ISNUMBER(I607),ISNUMBER(S607)),I607*IF(S607&lt;=1,S607,S607/100),IF(OR(I607&lt;&gt;"",S607&lt;&gt;""),"tbd",""))</f>
        <v/>
      </c>
      <c r="S607" s="217" t="n"/>
      <c r="Z607">
        <f>IF(AND(R607="WON",ISNUMBER(I607)),AA607,"")</f>
        <v/>
      </c>
      <c r="AA607">
        <f>IFERROR(I607*1,0)</f>
        <v>0</v>
      </c>
    </row>
    <row r="608" ht="15" customHeight="1">
      <c r="I608" s="215" t="n"/>
      <c r="J608" s="215" t="n"/>
      <c r="K608" s="215" t="n"/>
      <c r="L608" s="215" t="n"/>
      <c r="M608" s="215" t="n"/>
      <c r="N608" s="215">
        <f>IF(ISNUMBER(I608),ROUND(I608-I608/1.081,2),"")</f>
        <v/>
      </c>
      <c r="O608" s="215">
        <f>IF(ISNUMBER(I608),I608-SUM(J608:N608),"")</f>
        <v/>
      </c>
      <c r="P608" s="216">
        <f>IFERROR(IF(AND(ISNUMBER(O608),ISNUMBER(I608),I608&lt;&gt;0),O608/I608,""),"")</f>
        <v/>
      </c>
      <c r="Q608" s="215">
        <f>IF(AND(ISNUMBER(I608),ISNUMBER(S608)),I608*IF(S608&lt;=1,S608,S608/100),IF(OR(I608&lt;&gt;"",S608&lt;&gt;""),"tbd",""))</f>
        <v/>
      </c>
      <c r="S608" s="217" t="n"/>
      <c r="Z608">
        <f>IF(AND(R608="WON",ISNUMBER(I608)),AA608,"")</f>
        <v/>
      </c>
      <c r="AA608">
        <f>IFERROR(I608*1,0)</f>
        <v>0</v>
      </c>
    </row>
    <row r="609" ht="15" customHeight="1">
      <c r="I609" s="215" t="n"/>
      <c r="J609" s="215" t="n"/>
      <c r="K609" s="215" t="n"/>
      <c r="L609" s="215" t="n"/>
      <c r="M609" s="215" t="n"/>
      <c r="N609" s="215">
        <f>IF(ISNUMBER(I609),ROUND(I609-I609/1.081,2),"")</f>
        <v/>
      </c>
      <c r="O609" s="215">
        <f>IF(ISNUMBER(I609),I609-SUM(J609:N609),"")</f>
        <v/>
      </c>
      <c r="P609" s="216">
        <f>IFERROR(IF(AND(ISNUMBER(O609),ISNUMBER(I609),I609&lt;&gt;0),O609/I609,""),"")</f>
        <v/>
      </c>
      <c r="Q609" s="215">
        <f>IF(AND(ISNUMBER(I609),ISNUMBER(S609)),I609*IF(S609&lt;=1,S609,S609/100),IF(OR(I609&lt;&gt;"",S609&lt;&gt;""),"tbd",""))</f>
        <v/>
      </c>
      <c r="S609" s="217" t="n"/>
      <c r="Z609">
        <f>IF(AND(R609="WON",ISNUMBER(I609)),AA609,"")</f>
        <v/>
      </c>
      <c r="AA609">
        <f>IFERROR(I609*1,0)</f>
        <v>0</v>
      </c>
    </row>
    <row r="610" ht="15" customHeight="1">
      <c r="I610" s="215" t="n"/>
      <c r="J610" s="215" t="n"/>
      <c r="K610" s="215" t="n"/>
      <c r="L610" s="215" t="n"/>
      <c r="M610" s="215" t="n"/>
      <c r="N610" s="215">
        <f>IF(ISNUMBER(I610),ROUND(I610-I610/1.081,2),"")</f>
        <v/>
      </c>
      <c r="O610" s="215">
        <f>IF(ISNUMBER(I610),I610-SUM(J610:N610),"")</f>
        <v/>
      </c>
      <c r="P610" s="216">
        <f>IFERROR(IF(AND(ISNUMBER(O610),ISNUMBER(I610),I610&lt;&gt;0),O610/I610,""),"")</f>
        <v/>
      </c>
      <c r="Q610" s="215">
        <f>IF(AND(ISNUMBER(I610),ISNUMBER(S610)),I610*IF(S610&lt;=1,S610,S610/100),IF(OR(I610&lt;&gt;"",S610&lt;&gt;""),"tbd",""))</f>
        <v/>
      </c>
      <c r="S610" s="217" t="n"/>
      <c r="Z610">
        <f>IF(AND(R610="WON",ISNUMBER(I610)),AA610,"")</f>
        <v/>
      </c>
      <c r="AA610">
        <f>IFERROR(I610*1,0)</f>
        <v>0</v>
      </c>
    </row>
    <row r="611" ht="15" customHeight="1">
      <c r="I611" s="215" t="n"/>
      <c r="J611" s="215" t="n"/>
      <c r="K611" s="215" t="n"/>
      <c r="L611" s="215" t="n"/>
      <c r="M611" s="215" t="n"/>
      <c r="N611" s="215">
        <f>IF(ISNUMBER(I611),ROUND(I611-I611/1.081,2),"")</f>
        <v/>
      </c>
      <c r="O611" s="215">
        <f>IF(ISNUMBER(I611),I611-SUM(J611:N611),"")</f>
        <v/>
      </c>
      <c r="P611" s="216">
        <f>IFERROR(IF(AND(ISNUMBER(O611),ISNUMBER(I611),I611&lt;&gt;0),O611/I611,""),"")</f>
        <v/>
      </c>
      <c r="Q611" s="215">
        <f>IF(AND(ISNUMBER(I611),ISNUMBER(S611)),I611*IF(S611&lt;=1,S611,S611/100),IF(OR(I611&lt;&gt;"",S611&lt;&gt;""),"tbd",""))</f>
        <v/>
      </c>
      <c r="S611" s="217" t="n"/>
      <c r="Z611">
        <f>IF(AND(R611="WON",ISNUMBER(I611)),AA611,"")</f>
        <v/>
      </c>
      <c r="AA611">
        <f>IFERROR(I611*1,0)</f>
        <v>0</v>
      </c>
    </row>
    <row r="612" ht="15" customHeight="1">
      <c r="I612" s="215" t="n"/>
      <c r="J612" s="215" t="n"/>
      <c r="K612" s="215" t="n"/>
      <c r="L612" s="215" t="n"/>
      <c r="M612" s="215" t="n"/>
      <c r="N612" s="215">
        <f>IF(ISNUMBER(I612),ROUND(I612-I612/1.081,2),"")</f>
        <v/>
      </c>
      <c r="O612" s="215">
        <f>IF(ISNUMBER(I612),I612-SUM(J612:N612),"")</f>
        <v/>
      </c>
      <c r="P612" s="216">
        <f>IFERROR(IF(AND(ISNUMBER(O612),ISNUMBER(I612),I612&lt;&gt;0),O612/I612,""),"")</f>
        <v/>
      </c>
      <c r="Q612" s="215">
        <f>IF(AND(ISNUMBER(I612),ISNUMBER(S612)),I612*IF(S612&lt;=1,S612,S612/100),IF(OR(I612&lt;&gt;"",S612&lt;&gt;""),"tbd",""))</f>
        <v/>
      </c>
      <c r="S612" s="217" t="n"/>
      <c r="Z612">
        <f>IF(AND(R612="WON",ISNUMBER(I612)),AA612,"")</f>
        <v/>
      </c>
      <c r="AA612">
        <f>IFERROR(I612*1,0)</f>
        <v>0</v>
      </c>
    </row>
    <row r="613" ht="15" customHeight="1">
      <c r="I613" s="215" t="n"/>
      <c r="J613" s="215" t="n"/>
      <c r="K613" s="215" t="n"/>
      <c r="L613" s="215" t="n"/>
      <c r="M613" s="215" t="n"/>
      <c r="N613" s="215">
        <f>IF(ISNUMBER(I613),ROUND(I613-I613/1.081,2),"")</f>
        <v/>
      </c>
      <c r="O613" s="215">
        <f>IF(ISNUMBER(I613),I613-SUM(J613:N613),"")</f>
        <v/>
      </c>
      <c r="P613" s="216">
        <f>IFERROR(IF(AND(ISNUMBER(O613),ISNUMBER(I613),I613&lt;&gt;0),O613/I613,""),"")</f>
        <v/>
      </c>
      <c r="Q613" s="215">
        <f>IF(AND(ISNUMBER(I613),ISNUMBER(S613)),I613*IF(S613&lt;=1,S613,S613/100),IF(OR(I613&lt;&gt;"",S613&lt;&gt;""),"tbd",""))</f>
        <v/>
      </c>
      <c r="S613" s="217" t="n"/>
      <c r="Z613">
        <f>IF(AND(R613="WON",ISNUMBER(I613)),AA613,"")</f>
        <v/>
      </c>
      <c r="AA613">
        <f>IFERROR(I613*1,0)</f>
        <v>0</v>
      </c>
    </row>
    <row r="614" ht="15" customHeight="1">
      <c r="I614" s="215" t="n"/>
      <c r="J614" s="215" t="n"/>
      <c r="K614" s="215" t="n"/>
      <c r="L614" s="215" t="n"/>
      <c r="M614" s="215" t="n"/>
      <c r="N614" s="215">
        <f>IF(ISNUMBER(I614),ROUND(I614-I614/1.081,2),"")</f>
        <v/>
      </c>
      <c r="O614" s="215">
        <f>IF(ISNUMBER(I614),I614-SUM(J614:N614),"")</f>
        <v/>
      </c>
      <c r="P614" s="216">
        <f>IFERROR(IF(AND(ISNUMBER(O614),ISNUMBER(I614),I614&lt;&gt;0),O614/I614,""),"")</f>
        <v/>
      </c>
      <c r="Q614" s="215">
        <f>IF(AND(ISNUMBER(I614),ISNUMBER(S614)),I614*IF(S614&lt;=1,S614,S614/100),IF(OR(I614&lt;&gt;"",S614&lt;&gt;""),"tbd",""))</f>
        <v/>
      </c>
      <c r="S614" s="217" t="n"/>
      <c r="Z614">
        <f>IF(AND(R614="WON",ISNUMBER(I614)),AA614,"")</f>
        <v/>
      </c>
      <c r="AA614">
        <f>IFERROR(I614*1,0)</f>
        <v>0</v>
      </c>
    </row>
    <row r="615" ht="15" customHeight="1">
      <c r="I615" s="215" t="n"/>
      <c r="J615" s="215" t="n"/>
      <c r="K615" s="215" t="n"/>
      <c r="L615" s="215" t="n"/>
      <c r="M615" s="215" t="n"/>
      <c r="N615" s="215">
        <f>IF(ISNUMBER(I615),ROUND(I615-I615/1.081,2),"")</f>
        <v/>
      </c>
      <c r="O615" s="215">
        <f>IF(ISNUMBER(I615),I615-SUM(J615:N615),"")</f>
        <v/>
      </c>
      <c r="P615" s="216">
        <f>IFERROR(IF(AND(ISNUMBER(O615),ISNUMBER(I615),I615&lt;&gt;0),O615/I615,""),"")</f>
        <v/>
      </c>
      <c r="Q615" s="215">
        <f>IF(AND(ISNUMBER(I615),ISNUMBER(S615)),I615*IF(S615&lt;=1,S615,S615/100),IF(OR(I615&lt;&gt;"",S615&lt;&gt;""),"tbd",""))</f>
        <v/>
      </c>
      <c r="S615" s="217" t="n"/>
      <c r="Z615">
        <f>IF(AND(R615="WON",ISNUMBER(I615)),AA615,"")</f>
        <v/>
      </c>
      <c r="AA615">
        <f>IFERROR(I615*1,0)</f>
        <v>0</v>
      </c>
    </row>
    <row r="616" ht="15" customHeight="1">
      <c r="I616" s="215" t="n"/>
      <c r="J616" s="215" t="n"/>
      <c r="K616" s="215" t="n"/>
      <c r="L616" s="215" t="n"/>
      <c r="M616" s="215" t="n"/>
      <c r="N616" s="215">
        <f>IF(ISNUMBER(I616),ROUND(I616-I616/1.081,2),"")</f>
        <v/>
      </c>
      <c r="O616" s="215">
        <f>IF(ISNUMBER(I616),I616-SUM(J616:N616),"")</f>
        <v/>
      </c>
      <c r="P616" s="216">
        <f>IFERROR(IF(AND(ISNUMBER(O616),ISNUMBER(I616),I616&lt;&gt;0),O616/I616,""),"")</f>
        <v/>
      </c>
      <c r="Q616" s="215">
        <f>IF(AND(ISNUMBER(I616),ISNUMBER(S616)),I616*IF(S616&lt;=1,S616,S616/100),IF(OR(I616&lt;&gt;"",S616&lt;&gt;""),"tbd",""))</f>
        <v/>
      </c>
      <c r="S616" s="217" t="n"/>
      <c r="Z616">
        <f>IF(AND(R616="WON",ISNUMBER(I616)),AA616,"")</f>
        <v/>
      </c>
      <c r="AA616">
        <f>IFERROR(I616*1,0)</f>
        <v>0</v>
      </c>
    </row>
    <row r="617" ht="15" customHeight="1">
      <c r="I617" s="215" t="n"/>
      <c r="J617" s="215" t="n"/>
      <c r="K617" s="215" t="n"/>
      <c r="L617" s="215" t="n"/>
      <c r="M617" s="215" t="n"/>
      <c r="N617" s="215">
        <f>IF(ISNUMBER(I617),ROUND(I617-I617/1.081,2),"")</f>
        <v/>
      </c>
      <c r="O617" s="215">
        <f>IF(ISNUMBER(I617),I617-SUM(J617:N617),"")</f>
        <v/>
      </c>
      <c r="P617" s="216">
        <f>IFERROR(IF(AND(ISNUMBER(O617),ISNUMBER(I617),I617&lt;&gt;0),O617/I617,""),"")</f>
        <v/>
      </c>
      <c r="Q617" s="215">
        <f>IF(AND(ISNUMBER(I617),ISNUMBER(S617)),I617*IF(S617&lt;=1,S617,S617/100),IF(OR(I617&lt;&gt;"",S617&lt;&gt;""),"tbd",""))</f>
        <v/>
      </c>
      <c r="S617" s="217" t="n"/>
      <c r="Z617">
        <f>IF(AND(R617="WON",ISNUMBER(I617)),AA617,"")</f>
        <v/>
      </c>
      <c r="AA617">
        <f>IFERROR(I617*1,0)</f>
        <v>0</v>
      </c>
    </row>
    <row r="618" ht="15" customHeight="1">
      <c r="I618" s="215" t="n"/>
      <c r="J618" s="215" t="n"/>
      <c r="K618" s="215" t="n"/>
      <c r="L618" s="215" t="n"/>
      <c r="M618" s="215" t="n"/>
      <c r="N618" s="215">
        <f>IF(ISNUMBER(I618),ROUND(I618-I618/1.081,2),"")</f>
        <v/>
      </c>
      <c r="O618" s="215">
        <f>IF(ISNUMBER(I618),I618-SUM(J618:N618),"")</f>
        <v/>
      </c>
      <c r="P618" s="216">
        <f>IFERROR(IF(AND(ISNUMBER(O618),ISNUMBER(I618),I618&lt;&gt;0),O618/I618,""),"")</f>
        <v/>
      </c>
      <c r="Q618" s="215">
        <f>IF(AND(ISNUMBER(I618),ISNUMBER(S618)),I618*IF(S618&lt;=1,S618,S618/100),IF(OR(I618&lt;&gt;"",S618&lt;&gt;""),"tbd",""))</f>
        <v/>
      </c>
      <c r="S618" s="217" t="n"/>
      <c r="Z618">
        <f>IF(AND(R618="WON",ISNUMBER(I618)),AA618,"")</f>
        <v/>
      </c>
      <c r="AA618">
        <f>IFERROR(I618*1,0)</f>
        <v>0</v>
      </c>
    </row>
    <row r="619" ht="15" customHeight="1">
      <c r="I619" s="215" t="n"/>
      <c r="J619" s="215" t="n"/>
      <c r="K619" s="215" t="n"/>
      <c r="L619" s="215" t="n"/>
      <c r="M619" s="215" t="n"/>
      <c r="N619" s="215">
        <f>IF(ISNUMBER(I619),ROUND(I619-I619/1.081,2),"")</f>
        <v/>
      </c>
      <c r="O619" s="215">
        <f>IF(ISNUMBER(I619),I619-SUM(J619:N619),"")</f>
        <v/>
      </c>
      <c r="P619" s="216">
        <f>IFERROR(IF(AND(ISNUMBER(O619),ISNUMBER(I619),I619&lt;&gt;0),O619/I619,""),"")</f>
        <v/>
      </c>
      <c r="Q619" s="215">
        <f>IF(AND(ISNUMBER(I619),ISNUMBER(S619)),I619*IF(S619&lt;=1,S619,S619/100),IF(OR(I619&lt;&gt;"",S619&lt;&gt;""),"tbd",""))</f>
        <v/>
      </c>
      <c r="S619" s="217" t="n"/>
      <c r="Z619">
        <f>IF(AND(R619="WON",ISNUMBER(I619)),AA619,"")</f>
        <v/>
      </c>
      <c r="AA619">
        <f>IFERROR(I619*1,0)</f>
        <v>0</v>
      </c>
    </row>
    <row r="620" ht="15" customHeight="1">
      <c r="I620" s="215" t="n"/>
      <c r="J620" s="215" t="n"/>
      <c r="K620" s="215" t="n"/>
      <c r="L620" s="215" t="n"/>
      <c r="M620" s="215" t="n"/>
      <c r="N620" s="215">
        <f>IF(ISNUMBER(I620),ROUND(I620-I620/1.081,2),"")</f>
        <v/>
      </c>
      <c r="O620" s="215">
        <f>IF(ISNUMBER(I620),I620-SUM(J620:N620),"")</f>
        <v/>
      </c>
      <c r="P620" s="216">
        <f>IFERROR(IF(AND(ISNUMBER(O620),ISNUMBER(I620),I620&lt;&gt;0),O620/I620,""),"")</f>
        <v/>
      </c>
      <c r="Q620" s="215">
        <f>IF(AND(ISNUMBER(I620),ISNUMBER(S620)),I620*IF(S620&lt;=1,S620,S620/100),IF(OR(I620&lt;&gt;"",S620&lt;&gt;""),"tbd",""))</f>
        <v/>
      </c>
      <c r="S620" s="217" t="n"/>
      <c r="Z620">
        <f>IF(AND(R620="WON",ISNUMBER(I620)),AA620,"")</f>
        <v/>
      </c>
      <c r="AA620">
        <f>IFERROR(I620*1,0)</f>
        <v>0</v>
      </c>
    </row>
    <row r="621" ht="15" customHeight="1">
      <c r="I621" s="215" t="n"/>
      <c r="J621" s="215" t="n"/>
      <c r="K621" s="215" t="n"/>
      <c r="L621" s="215" t="n"/>
      <c r="M621" s="215" t="n"/>
      <c r="N621" s="215">
        <f>IF(ISNUMBER(I621),ROUND(I621-I621/1.081,2),"")</f>
        <v/>
      </c>
      <c r="O621" s="215">
        <f>IF(ISNUMBER(I621),I621-SUM(J621:N621),"")</f>
        <v/>
      </c>
      <c r="P621" s="216">
        <f>IFERROR(IF(AND(ISNUMBER(O621),ISNUMBER(I621),I621&lt;&gt;0),O621/I621,""),"")</f>
        <v/>
      </c>
      <c r="Q621" s="215">
        <f>IF(AND(ISNUMBER(I621),ISNUMBER(S621)),I621*IF(S621&lt;=1,S621,S621/100),IF(OR(I621&lt;&gt;"",S621&lt;&gt;""),"tbd",""))</f>
        <v/>
      </c>
      <c r="S621" s="217" t="n"/>
      <c r="Z621">
        <f>IF(AND(R621="WON",ISNUMBER(I621)),AA621,"")</f>
        <v/>
      </c>
      <c r="AA621">
        <f>IFERROR(I621*1,0)</f>
        <v>0</v>
      </c>
    </row>
    <row r="622" ht="15" customHeight="1">
      <c r="I622" s="215" t="n"/>
      <c r="J622" s="215" t="n"/>
      <c r="K622" s="215" t="n"/>
      <c r="L622" s="215" t="n"/>
      <c r="M622" s="215" t="n"/>
      <c r="N622" s="215">
        <f>IF(ISNUMBER(I622),ROUND(I622-I622/1.081,2),"")</f>
        <v/>
      </c>
      <c r="O622" s="215">
        <f>IF(ISNUMBER(I622),I622-SUM(J622:N622),"")</f>
        <v/>
      </c>
      <c r="P622" s="216">
        <f>IFERROR(IF(AND(ISNUMBER(O622),ISNUMBER(I622),I622&lt;&gt;0),O622/I622,""),"")</f>
        <v/>
      </c>
      <c r="Q622" s="215">
        <f>IF(AND(ISNUMBER(I622),ISNUMBER(S622)),I622*IF(S622&lt;=1,S622,S622/100),IF(OR(I622&lt;&gt;"",S622&lt;&gt;""),"tbd",""))</f>
        <v/>
      </c>
      <c r="S622" s="217" t="n"/>
      <c r="Z622">
        <f>IF(AND(R622="WON",ISNUMBER(I622)),AA622,"")</f>
        <v/>
      </c>
      <c r="AA622">
        <f>IFERROR(I622*1,0)</f>
        <v>0</v>
      </c>
    </row>
    <row r="623" ht="15" customHeight="1">
      <c r="I623" s="215" t="n"/>
      <c r="J623" s="215" t="n"/>
      <c r="K623" s="215" t="n"/>
      <c r="L623" s="215" t="n"/>
      <c r="M623" s="215" t="n"/>
      <c r="N623" s="215">
        <f>IF(ISNUMBER(I623),ROUND(I623-I623/1.081,2),"")</f>
        <v/>
      </c>
      <c r="O623" s="215">
        <f>IF(ISNUMBER(I623),I623-SUM(J623:N623),"")</f>
        <v/>
      </c>
      <c r="P623" s="216">
        <f>IFERROR(IF(AND(ISNUMBER(O623),ISNUMBER(I623),I623&lt;&gt;0),O623/I623,""),"")</f>
        <v/>
      </c>
      <c r="Q623" s="215">
        <f>IF(AND(ISNUMBER(I623),ISNUMBER(S623)),I623*IF(S623&lt;=1,S623,S623/100),IF(OR(I623&lt;&gt;"",S623&lt;&gt;""),"tbd",""))</f>
        <v/>
      </c>
      <c r="S623" s="217" t="n"/>
      <c r="Z623">
        <f>IF(AND(R623="WON",ISNUMBER(I623)),AA623,"")</f>
        <v/>
      </c>
      <c r="AA623">
        <f>IFERROR(I623*1,0)</f>
        <v>0</v>
      </c>
    </row>
    <row r="624" ht="15" customHeight="1">
      <c r="I624" s="215" t="n"/>
      <c r="J624" s="215" t="n"/>
      <c r="K624" s="215" t="n"/>
      <c r="L624" s="215" t="n"/>
      <c r="M624" s="215" t="n"/>
      <c r="N624" s="215">
        <f>IF(ISNUMBER(I624),ROUND(I624-I624/1.081,2),"")</f>
        <v/>
      </c>
      <c r="O624" s="215">
        <f>IF(ISNUMBER(I624),I624-SUM(J624:N624),"")</f>
        <v/>
      </c>
      <c r="P624" s="216">
        <f>IFERROR(IF(AND(ISNUMBER(O624),ISNUMBER(I624),I624&lt;&gt;0),O624/I624,""),"")</f>
        <v/>
      </c>
      <c r="Q624" s="215">
        <f>IF(AND(ISNUMBER(I624),ISNUMBER(S624)),I624*IF(S624&lt;=1,S624,S624/100),IF(OR(I624&lt;&gt;"",S624&lt;&gt;""),"tbd",""))</f>
        <v/>
      </c>
      <c r="S624" s="217" t="n"/>
      <c r="Z624">
        <f>IF(AND(R624="WON",ISNUMBER(I624)),AA624,"")</f>
        <v/>
      </c>
      <c r="AA624">
        <f>IFERROR(I624*1,0)</f>
        <v>0</v>
      </c>
    </row>
    <row r="625" ht="15" customHeight="1">
      <c r="I625" s="215" t="n"/>
      <c r="J625" s="215" t="n"/>
      <c r="K625" s="215" t="n"/>
      <c r="L625" s="215" t="n"/>
      <c r="M625" s="215" t="n"/>
      <c r="N625" s="215">
        <f>IF(ISNUMBER(I625),ROUND(I625-I625/1.081,2),"")</f>
        <v/>
      </c>
      <c r="O625" s="215">
        <f>IF(ISNUMBER(I625),I625-SUM(J625:N625),"")</f>
        <v/>
      </c>
      <c r="P625" s="216">
        <f>IFERROR(IF(AND(ISNUMBER(O625),ISNUMBER(I625),I625&lt;&gt;0),O625/I625,""),"")</f>
        <v/>
      </c>
      <c r="Q625" s="215">
        <f>IF(AND(ISNUMBER(I625),ISNUMBER(S625)),I625*IF(S625&lt;=1,S625,S625/100),IF(OR(I625&lt;&gt;"",S625&lt;&gt;""),"tbd",""))</f>
        <v/>
      </c>
      <c r="S625" s="217" t="n"/>
      <c r="Z625">
        <f>IF(AND(R625="WON",ISNUMBER(I625)),AA625,"")</f>
        <v/>
      </c>
      <c r="AA625">
        <f>IFERROR(I625*1,0)</f>
        <v>0</v>
      </c>
    </row>
    <row r="626" ht="15" customHeight="1">
      <c r="I626" s="215" t="n"/>
      <c r="J626" s="215" t="n"/>
      <c r="K626" s="215" t="n"/>
      <c r="L626" s="215" t="n"/>
      <c r="M626" s="215" t="n"/>
      <c r="N626" s="215">
        <f>IF(ISNUMBER(I626),ROUND(I626-I626/1.081,2),"")</f>
        <v/>
      </c>
      <c r="O626" s="215">
        <f>IF(ISNUMBER(I626),I626-SUM(J626:N626),"")</f>
        <v/>
      </c>
      <c r="P626" s="216">
        <f>IFERROR(IF(AND(ISNUMBER(O626),ISNUMBER(I626),I626&lt;&gt;0),O626/I626,""),"")</f>
        <v/>
      </c>
      <c r="Q626" s="215">
        <f>IF(AND(ISNUMBER(I626),ISNUMBER(S626)),I626*IF(S626&lt;=1,S626,S626/100),IF(OR(I626&lt;&gt;"",S626&lt;&gt;""),"tbd",""))</f>
        <v/>
      </c>
      <c r="S626" s="217" t="n"/>
      <c r="Z626">
        <f>IF(AND(R626="WON",ISNUMBER(I626)),AA626,"")</f>
        <v/>
      </c>
      <c r="AA626">
        <f>IFERROR(I626*1,0)</f>
        <v>0</v>
      </c>
    </row>
    <row r="627" ht="15" customHeight="1">
      <c r="I627" s="215" t="n"/>
      <c r="J627" s="215" t="n"/>
      <c r="K627" s="215" t="n"/>
      <c r="L627" s="215" t="n"/>
      <c r="M627" s="215" t="n"/>
      <c r="N627" s="215">
        <f>IF(ISNUMBER(I627),ROUND(I627-I627/1.081,2),"")</f>
        <v/>
      </c>
      <c r="O627" s="215">
        <f>IF(ISNUMBER(I627),I627-SUM(J627:N627),"")</f>
        <v/>
      </c>
      <c r="P627" s="216">
        <f>IFERROR(IF(AND(ISNUMBER(O627),ISNUMBER(I627),I627&lt;&gt;0),O627/I627,""),"")</f>
        <v/>
      </c>
      <c r="Q627" s="215">
        <f>IF(AND(ISNUMBER(I627),ISNUMBER(S627)),I627*IF(S627&lt;=1,S627,S627/100),IF(OR(I627&lt;&gt;"",S627&lt;&gt;""),"tbd",""))</f>
        <v/>
      </c>
      <c r="S627" s="217" t="n"/>
      <c r="Z627">
        <f>IF(AND(R627="WON",ISNUMBER(I627)),AA627,"")</f>
        <v/>
      </c>
      <c r="AA627">
        <f>IFERROR(I627*1,0)</f>
        <v>0</v>
      </c>
    </row>
    <row r="628" ht="15" customHeight="1">
      <c r="I628" s="215" t="n"/>
      <c r="J628" s="215" t="n"/>
      <c r="K628" s="215" t="n"/>
      <c r="L628" s="215" t="n"/>
      <c r="M628" s="215" t="n"/>
      <c r="N628" s="215">
        <f>IF(ISNUMBER(I628),ROUND(I628-I628/1.081,2),"")</f>
        <v/>
      </c>
      <c r="O628" s="215">
        <f>IF(ISNUMBER(I628),I628-SUM(J628:N628),"")</f>
        <v/>
      </c>
      <c r="P628" s="216">
        <f>IFERROR(IF(AND(ISNUMBER(O628),ISNUMBER(I628),I628&lt;&gt;0),O628/I628,""),"")</f>
        <v/>
      </c>
      <c r="Q628" s="215">
        <f>IF(AND(ISNUMBER(I628),ISNUMBER(S628)),I628*IF(S628&lt;=1,S628,S628/100),IF(OR(I628&lt;&gt;"",S628&lt;&gt;""),"tbd",""))</f>
        <v/>
      </c>
      <c r="S628" s="217" t="n"/>
      <c r="Z628">
        <f>IF(AND(R628="WON",ISNUMBER(I628)),AA628,"")</f>
        <v/>
      </c>
      <c r="AA628">
        <f>IFERROR(I628*1,0)</f>
        <v>0</v>
      </c>
    </row>
    <row r="629" ht="15" customHeight="1">
      <c r="I629" s="215" t="n"/>
      <c r="J629" s="215" t="n"/>
      <c r="K629" s="215" t="n"/>
      <c r="L629" s="215" t="n"/>
      <c r="M629" s="215" t="n"/>
      <c r="N629" s="215">
        <f>IF(ISNUMBER(I629),ROUND(I629-I629/1.081,2),"")</f>
        <v/>
      </c>
      <c r="O629" s="215">
        <f>IF(ISNUMBER(I629),I629-SUM(J629:N629),"")</f>
        <v/>
      </c>
      <c r="P629" s="216">
        <f>IFERROR(IF(AND(ISNUMBER(O629),ISNUMBER(I629),I629&lt;&gt;0),O629/I629,""),"")</f>
        <v/>
      </c>
      <c r="Q629" s="215">
        <f>IF(AND(ISNUMBER(I629),ISNUMBER(S629)),I629*IF(S629&lt;=1,S629,S629/100),IF(OR(I629&lt;&gt;"",S629&lt;&gt;""),"tbd",""))</f>
        <v/>
      </c>
      <c r="S629" s="217" t="n"/>
      <c r="Z629">
        <f>IF(AND(R629="WON",ISNUMBER(I629)),AA629,"")</f>
        <v/>
      </c>
      <c r="AA629">
        <f>IFERROR(I629*1,0)</f>
        <v>0</v>
      </c>
    </row>
    <row r="630" ht="15" customHeight="1">
      <c r="I630" s="215" t="n"/>
      <c r="J630" s="215" t="n"/>
      <c r="K630" s="215" t="n"/>
      <c r="L630" s="215" t="n"/>
      <c r="M630" s="215" t="n"/>
      <c r="N630" s="215">
        <f>IF(ISNUMBER(I630),ROUND(I630-I630/1.081,2),"")</f>
        <v/>
      </c>
      <c r="O630" s="215">
        <f>IF(ISNUMBER(I630),I630-SUM(J630:N630),"")</f>
        <v/>
      </c>
      <c r="P630" s="216">
        <f>IFERROR(IF(AND(ISNUMBER(O630),ISNUMBER(I630),I630&lt;&gt;0),O630/I630,""),"")</f>
        <v/>
      </c>
      <c r="Q630" s="215">
        <f>IF(AND(ISNUMBER(I630),ISNUMBER(S630)),I630*IF(S630&lt;=1,S630,S630/100),IF(OR(I630&lt;&gt;"",S630&lt;&gt;""),"tbd",""))</f>
        <v/>
      </c>
      <c r="S630" s="217" t="n"/>
      <c r="Z630">
        <f>IF(AND(R630="WON",ISNUMBER(I630)),AA630,"")</f>
        <v/>
      </c>
      <c r="AA630">
        <f>IFERROR(I630*1,0)</f>
        <v>0</v>
      </c>
    </row>
    <row r="631" ht="15" customHeight="1">
      <c r="I631" s="215" t="n"/>
      <c r="J631" s="215" t="n"/>
      <c r="K631" s="215" t="n"/>
      <c r="L631" s="215" t="n"/>
      <c r="M631" s="215" t="n"/>
      <c r="N631" s="215">
        <f>IF(ISNUMBER(I631),ROUND(I631-I631/1.081,2),"")</f>
        <v/>
      </c>
      <c r="O631" s="215">
        <f>IF(ISNUMBER(I631),I631-SUM(J631:N631),"")</f>
        <v/>
      </c>
      <c r="P631" s="216">
        <f>IFERROR(IF(AND(ISNUMBER(O631),ISNUMBER(I631),I631&lt;&gt;0),O631/I631,""),"")</f>
        <v/>
      </c>
      <c r="Q631" s="215">
        <f>IF(AND(ISNUMBER(I631),ISNUMBER(S631)),I631*IF(S631&lt;=1,S631,S631/100),IF(OR(I631&lt;&gt;"",S631&lt;&gt;""),"tbd",""))</f>
        <v/>
      </c>
      <c r="S631" s="217" t="n"/>
      <c r="Z631">
        <f>IF(AND(R631="WON",ISNUMBER(I631)),AA631,"")</f>
        <v/>
      </c>
      <c r="AA631">
        <f>IFERROR(I631*1,0)</f>
        <v>0</v>
      </c>
    </row>
    <row r="632" ht="15" customHeight="1">
      <c r="I632" s="215" t="n"/>
      <c r="J632" s="215" t="n"/>
      <c r="K632" s="215" t="n"/>
      <c r="L632" s="215" t="n"/>
      <c r="M632" s="215" t="n"/>
      <c r="N632" s="215">
        <f>IF(ISNUMBER(I632),ROUND(I632-I632/1.081,2),"")</f>
        <v/>
      </c>
      <c r="O632" s="215">
        <f>IF(ISNUMBER(I632),I632-SUM(J632:N632),"")</f>
        <v/>
      </c>
      <c r="P632" s="216">
        <f>IFERROR(IF(AND(ISNUMBER(O632),ISNUMBER(I632),I632&lt;&gt;0),O632/I632,""),"")</f>
        <v/>
      </c>
      <c r="Q632" s="215">
        <f>IF(AND(ISNUMBER(I632),ISNUMBER(S632)),I632*IF(S632&lt;=1,S632,S632/100),IF(OR(I632&lt;&gt;"",S632&lt;&gt;""),"tbd",""))</f>
        <v/>
      </c>
      <c r="S632" s="217" t="n"/>
      <c r="Z632">
        <f>IF(AND(R632="WON",ISNUMBER(I632)),AA632,"")</f>
        <v/>
      </c>
      <c r="AA632">
        <f>IFERROR(I632*1,0)</f>
        <v>0</v>
      </c>
    </row>
    <row r="633" ht="15" customHeight="1">
      <c r="I633" s="215" t="n"/>
      <c r="J633" s="215" t="n"/>
      <c r="K633" s="215" t="n"/>
      <c r="L633" s="215" t="n"/>
      <c r="M633" s="215" t="n"/>
      <c r="N633" s="215">
        <f>IF(ISNUMBER(I633),ROUND(I633-I633/1.081,2),"")</f>
        <v/>
      </c>
      <c r="O633" s="215">
        <f>IF(ISNUMBER(I633),I633-SUM(J633:N633),"")</f>
        <v/>
      </c>
      <c r="P633" s="216">
        <f>IFERROR(IF(AND(ISNUMBER(O633),ISNUMBER(I633),I633&lt;&gt;0),O633/I633,""),"")</f>
        <v/>
      </c>
      <c r="Q633" s="215">
        <f>IF(AND(ISNUMBER(I633),ISNUMBER(S633)),I633*IF(S633&lt;=1,S633,S633/100),IF(OR(I633&lt;&gt;"",S633&lt;&gt;""),"tbd",""))</f>
        <v/>
      </c>
      <c r="S633" s="217" t="n"/>
      <c r="Z633">
        <f>IF(AND(R633="WON",ISNUMBER(I633)),AA633,"")</f>
        <v/>
      </c>
      <c r="AA633">
        <f>IFERROR(I633*1,0)</f>
        <v>0</v>
      </c>
    </row>
    <row r="634" ht="15" customHeight="1">
      <c r="I634" s="215" t="n"/>
      <c r="J634" s="215" t="n"/>
      <c r="K634" s="215" t="n"/>
      <c r="L634" s="215" t="n"/>
      <c r="M634" s="215" t="n"/>
      <c r="N634" s="215">
        <f>IF(ISNUMBER(I634),ROUND(I634-I634/1.081,2),"")</f>
        <v/>
      </c>
      <c r="O634" s="215">
        <f>IF(ISNUMBER(I634),I634-SUM(J634:N634),"")</f>
        <v/>
      </c>
      <c r="P634" s="216">
        <f>IFERROR(IF(AND(ISNUMBER(O634),ISNUMBER(I634),I634&lt;&gt;0),O634/I634,""),"")</f>
        <v/>
      </c>
      <c r="Q634" s="215">
        <f>IF(AND(ISNUMBER(I634),ISNUMBER(S634)),I634*IF(S634&lt;=1,S634,S634/100),IF(OR(I634&lt;&gt;"",S634&lt;&gt;""),"tbd",""))</f>
        <v/>
      </c>
      <c r="S634" s="217" t="n"/>
      <c r="Z634">
        <f>IF(AND(R634="WON",ISNUMBER(I634)),AA634,"")</f>
        <v/>
      </c>
      <c r="AA634">
        <f>IFERROR(I634*1,0)</f>
        <v>0</v>
      </c>
    </row>
    <row r="635" ht="15" customHeight="1">
      <c r="I635" s="215" t="n"/>
      <c r="J635" s="215" t="n"/>
      <c r="K635" s="215" t="n"/>
      <c r="L635" s="215" t="n"/>
      <c r="M635" s="215" t="n"/>
      <c r="N635" s="215">
        <f>IF(ISNUMBER(I635),ROUND(I635-I635/1.081,2),"")</f>
        <v/>
      </c>
      <c r="O635" s="215">
        <f>IF(ISNUMBER(I635),I635-SUM(J635:N635),"")</f>
        <v/>
      </c>
      <c r="P635" s="216">
        <f>IFERROR(IF(AND(ISNUMBER(O635),ISNUMBER(I635),I635&lt;&gt;0),O635/I635,""),"")</f>
        <v/>
      </c>
      <c r="Q635" s="215">
        <f>IF(AND(ISNUMBER(I635),ISNUMBER(S635)),I635*IF(S635&lt;=1,S635,S635/100),IF(OR(I635&lt;&gt;"",S635&lt;&gt;""),"tbd",""))</f>
        <v/>
      </c>
      <c r="S635" s="217" t="n"/>
      <c r="Z635">
        <f>IF(AND(R635="WON",ISNUMBER(I635)),AA635,"")</f>
        <v/>
      </c>
      <c r="AA635">
        <f>IFERROR(I635*1,0)</f>
        <v>0</v>
      </c>
    </row>
    <row r="636" ht="15" customHeight="1">
      <c r="I636" s="215" t="n"/>
      <c r="J636" s="215" t="n"/>
      <c r="K636" s="215" t="n"/>
      <c r="L636" s="215" t="n"/>
      <c r="M636" s="215" t="n"/>
      <c r="N636" s="215">
        <f>IF(ISNUMBER(I636),ROUND(I636-I636/1.081,2),"")</f>
        <v/>
      </c>
      <c r="O636" s="215">
        <f>IF(ISNUMBER(I636),I636-SUM(J636:N636),"")</f>
        <v/>
      </c>
      <c r="P636" s="216">
        <f>IFERROR(IF(AND(ISNUMBER(O636),ISNUMBER(I636),I636&lt;&gt;0),O636/I636,""),"")</f>
        <v/>
      </c>
      <c r="Q636" s="215">
        <f>IF(AND(ISNUMBER(I636),ISNUMBER(S636)),I636*IF(S636&lt;=1,S636,S636/100),IF(OR(I636&lt;&gt;"",S636&lt;&gt;""),"tbd",""))</f>
        <v/>
      </c>
      <c r="S636" s="217" t="n"/>
      <c r="Z636">
        <f>IF(AND(R636="WON",ISNUMBER(I636)),AA636,"")</f>
        <v/>
      </c>
      <c r="AA636">
        <f>IFERROR(I636*1,0)</f>
        <v>0</v>
      </c>
    </row>
    <row r="637" ht="15" customHeight="1">
      <c r="I637" s="215" t="n"/>
      <c r="J637" s="215" t="n"/>
      <c r="K637" s="215" t="n"/>
      <c r="L637" s="215" t="n"/>
      <c r="M637" s="215" t="n"/>
      <c r="N637" s="215">
        <f>IF(ISNUMBER(I637),ROUND(I637-I637/1.081,2),"")</f>
        <v/>
      </c>
      <c r="O637" s="215">
        <f>IF(ISNUMBER(I637),I637-SUM(J637:N637),"")</f>
        <v/>
      </c>
      <c r="P637" s="216">
        <f>IFERROR(IF(AND(ISNUMBER(O637),ISNUMBER(I637),I637&lt;&gt;0),O637/I637,""),"")</f>
        <v/>
      </c>
      <c r="Q637" s="215">
        <f>IF(AND(ISNUMBER(I637),ISNUMBER(S637)),I637*IF(S637&lt;=1,S637,S637/100),IF(OR(I637&lt;&gt;"",S637&lt;&gt;""),"tbd",""))</f>
        <v/>
      </c>
      <c r="S637" s="217" t="n"/>
      <c r="Z637">
        <f>IF(AND(R637="WON",ISNUMBER(I637)),AA637,"")</f>
        <v/>
      </c>
      <c r="AA637">
        <f>IFERROR(I637*1,0)</f>
        <v>0</v>
      </c>
    </row>
    <row r="638" ht="15" customHeight="1">
      <c r="I638" s="215" t="n"/>
      <c r="J638" s="215" t="n"/>
      <c r="K638" s="215" t="n"/>
      <c r="L638" s="215" t="n"/>
      <c r="M638" s="215" t="n"/>
      <c r="N638" s="215">
        <f>IF(ISNUMBER(I638),ROUND(I638-I638/1.081,2),"")</f>
        <v/>
      </c>
      <c r="O638" s="215">
        <f>IF(ISNUMBER(I638),I638-SUM(J638:N638),"")</f>
        <v/>
      </c>
      <c r="P638" s="216">
        <f>IFERROR(IF(AND(ISNUMBER(O638),ISNUMBER(I638),I638&lt;&gt;0),O638/I638,""),"")</f>
        <v/>
      </c>
      <c r="Q638" s="215">
        <f>IF(AND(ISNUMBER(I638),ISNUMBER(S638)),I638*IF(S638&lt;=1,S638,S638/100),IF(OR(I638&lt;&gt;"",S638&lt;&gt;""),"tbd",""))</f>
        <v/>
      </c>
      <c r="S638" s="217" t="n"/>
      <c r="Z638">
        <f>IF(AND(R638="WON",ISNUMBER(I638)),AA638,"")</f>
        <v/>
      </c>
      <c r="AA638">
        <f>IFERROR(I638*1,0)</f>
        <v>0</v>
      </c>
    </row>
    <row r="639" ht="15" customHeight="1">
      <c r="I639" s="215" t="n"/>
      <c r="J639" s="215" t="n"/>
      <c r="K639" s="215" t="n"/>
      <c r="L639" s="215" t="n"/>
      <c r="M639" s="215" t="n"/>
      <c r="N639" s="215">
        <f>IF(ISNUMBER(I639),ROUND(I639-I639/1.081,2),"")</f>
        <v/>
      </c>
      <c r="O639" s="215">
        <f>IF(ISNUMBER(I639),I639-SUM(J639:N639),"")</f>
        <v/>
      </c>
      <c r="P639" s="216">
        <f>IFERROR(IF(AND(ISNUMBER(O639),ISNUMBER(I639),I639&lt;&gt;0),O639/I639,""),"")</f>
        <v/>
      </c>
      <c r="Q639" s="215">
        <f>IF(AND(ISNUMBER(I639),ISNUMBER(S639)),I639*IF(S639&lt;=1,S639,S639/100),IF(OR(I639&lt;&gt;"",S639&lt;&gt;""),"tbd",""))</f>
        <v/>
      </c>
      <c r="S639" s="217" t="n"/>
      <c r="Z639">
        <f>IF(AND(R639="WON",ISNUMBER(I639)),AA639,"")</f>
        <v/>
      </c>
      <c r="AA639">
        <f>IFERROR(I639*1,0)</f>
        <v>0</v>
      </c>
    </row>
    <row r="640" ht="15" customHeight="1">
      <c r="I640" s="215" t="n"/>
      <c r="J640" s="215" t="n"/>
      <c r="K640" s="215" t="n"/>
      <c r="L640" s="215" t="n"/>
      <c r="M640" s="215" t="n"/>
      <c r="N640" s="215">
        <f>IF(ISNUMBER(I640),ROUND(I640-I640/1.081,2),"")</f>
        <v/>
      </c>
      <c r="O640" s="215">
        <f>IF(ISNUMBER(I640),I640-SUM(J640:N640),"")</f>
        <v/>
      </c>
      <c r="P640" s="216">
        <f>IFERROR(IF(AND(ISNUMBER(O640),ISNUMBER(I640),I640&lt;&gt;0),O640/I640,""),"")</f>
        <v/>
      </c>
      <c r="Q640" s="215">
        <f>IF(AND(ISNUMBER(I640),ISNUMBER(S640)),I640*IF(S640&lt;=1,S640,S640/100),IF(OR(I640&lt;&gt;"",S640&lt;&gt;""),"tbd",""))</f>
        <v/>
      </c>
      <c r="S640" s="217" t="n"/>
      <c r="Z640">
        <f>IF(AND(R640="WON",ISNUMBER(I640)),AA640,"")</f>
        <v/>
      </c>
      <c r="AA640">
        <f>IFERROR(I640*1,0)</f>
        <v>0</v>
      </c>
    </row>
    <row r="641" ht="15" customHeight="1">
      <c r="I641" s="215" t="n"/>
      <c r="J641" s="215" t="n"/>
      <c r="K641" s="215" t="n"/>
      <c r="L641" s="215" t="n"/>
      <c r="M641" s="215" t="n"/>
      <c r="N641" s="215">
        <f>IF(ISNUMBER(I641),ROUND(I641-I641/1.081,2),"")</f>
        <v/>
      </c>
      <c r="O641" s="215">
        <f>IF(ISNUMBER(I641),I641-SUM(J641:N641),"")</f>
        <v/>
      </c>
      <c r="P641" s="216">
        <f>IFERROR(IF(AND(ISNUMBER(O641),ISNUMBER(I641),I641&lt;&gt;0),O641/I641,""),"")</f>
        <v/>
      </c>
      <c r="Q641" s="215">
        <f>IF(AND(ISNUMBER(I641),ISNUMBER(S641)),I641*IF(S641&lt;=1,S641,S641/100),IF(OR(I641&lt;&gt;"",S641&lt;&gt;""),"tbd",""))</f>
        <v/>
      </c>
      <c r="S641" s="217" t="n"/>
      <c r="Z641">
        <f>IF(AND(R641="WON",ISNUMBER(I641)),AA641,"")</f>
        <v/>
      </c>
      <c r="AA641">
        <f>IFERROR(I641*1,0)</f>
        <v>0</v>
      </c>
    </row>
    <row r="642" ht="15" customHeight="1">
      <c r="I642" s="215" t="n"/>
      <c r="J642" s="215" t="n"/>
      <c r="K642" s="215" t="n"/>
      <c r="L642" s="215" t="n"/>
      <c r="M642" s="215" t="n"/>
      <c r="N642" s="215">
        <f>IF(ISNUMBER(I642),ROUND(I642-I642/1.081,2),"")</f>
        <v/>
      </c>
      <c r="O642" s="215">
        <f>IF(ISNUMBER(I642),I642-SUM(J642:N642),"")</f>
        <v/>
      </c>
      <c r="P642" s="216">
        <f>IFERROR(IF(AND(ISNUMBER(O642),ISNUMBER(I642),I642&lt;&gt;0),O642/I642,""),"")</f>
        <v/>
      </c>
      <c r="Q642" s="215">
        <f>IF(AND(ISNUMBER(I642),ISNUMBER(S642)),I642*IF(S642&lt;=1,S642,S642/100),IF(OR(I642&lt;&gt;"",S642&lt;&gt;""),"tbd",""))</f>
        <v/>
      </c>
      <c r="S642" s="217" t="n"/>
      <c r="Z642">
        <f>IF(AND(R642="WON",ISNUMBER(I642)),AA642,"")</f>
        <v/>
      </c>
      <c r="AA642">
        <f>IFERROR(I642*1,0)</f>
        <v>0</v>
      </c>
    </row>
    <row r="643" ht="15" customHeight="1">
      <c r="I643" s="215" t="n"/>
      <c r="J643" s="215" t="n"/>
      <c r="K643" s="215" t="n"/>
      <c r="L643" s="215" t="n"/>
      <c r="M643" s="215" t="n"/>
      <c r="N643" s="215">
        <f>IF(ISNUMBER(I643),ROUND(I643-I643/1.081,2),"")</f>
        <v/>
      </c>
      <c r="O643" s="215">
        <f>IF(ISNUMBER(I643),I643-SUM(J643:N643),"")</f>
        <v/>
      </c>
      <c r="P643" s="216">
        <f>IFERROR(IF(AND(ISNUMBER(O643),ISNUMBER(I643),I643&lt;&gt;0),O643/I643,""),"")</f>
        <v/>
      </c>
      <c r="Q643" s="215">
        <f>IF(AND(ISNUMBER(I643),ISNUMBER(S643)),I643*IF(S643&lt;=1,S643,S643/100),IF(OR(I643&lt;&gt;"",S643&lt;&gt;""),"tbd",""))</f>
        <v/>
      </c>
      <c r="S643" s="217" t="n"/>
      <c r="Z643">
        <f>IF(AND(R643="WON",ISNUMBER(I643)),AA643,"")</f>
        <v/>
      </c>
      <c r="AA643">
        <f>IFERROR(I643*1,0)</f>
        <v>0</v>
      </c>
    </row>
    <row r="644" ht="15" customHeight="1">
      <c r="I644" s="215" t="n"/>
      <c r="J644" s="215" t="n"/>
      <c r="K644" s="215" t="n"/>
      <c r="L644" s="215" t="n"/>
      <c r="M644" s="215" t="n"/>
      <c r="N644" s="215">
        <f>IF(ISNUMBER(I644),ROUND(I644-I644/1.081,2),"")</f>
        <v/>
      </c>
      <c r="O644" s="215">
        <f>IF(ISNUMBER(I644),I644-SUM(J644:N644),"")</f>
        <v/>
      </c>
      <c r="P644" s="216">
        <f>IFERROR(IF(AND(ISNUMBER(O644),ISNUMBER(I644),I644&lt;&gt;0),O644/I644,""),"")</f>
        <v/>
      </c>
      <c r="Q644" s="215">
        <f>IF(AND(ISNUMBER(I644),ISNUMBER(S644)),I644*IF(S644&lt;=1,S644,S644/100),IF(OR(I644&lt;&gt;"",S644&lt;&gt;""),"tbd",""))</f>
        <v/>
      </c>
      <c r="S644" s="217" t="n"/>
      <c r="Z644">
        <f>IF(AND(R644="WON",ISNUMBER(I644)),AA644,"")</f>
        <v/>
      </c>
      <c r="AA644">
        <f>IFERROR(I644*1,0)</f>
        <v>0</v>
      </c>
    </row>
    <row r="645" ht="15" customHeight="1">
      <c r="I645" s="215" t="n"/>
      <c r="J645" s="215" t="n"/>
      <c r="K645" s="215" t="n"/>
      <c r="L645" s="215" t="n"/>
      <c r="M645" s="215" t="n"/>
      <c r="N645" s="215">
        <f>IF(ISNUMBER(I645),ROUND(I645-I645/1.081,2),"")</f>
        <v/>
      </c>
      <c r="O645" s="215">
        <f>IF(ISNUMBER(I645),I645-SUM(J645:N645),"")</f>
        <v/>
      </c>
      <c r="P645" s="216">
        <f>IFERROR(IF(AND(ISNUMBER(O645),ISNUMBER(I645),I645&lt;&gt;0),O645/I645,""),"")</f>
        <v/>
      </c>
      <c r="Q645" s="215">
        <f>IF(AND(ISNUMBER(I645),ISNUMBER(S645)),I645*IF(S645&lt;=1,S645,S645/100),IF(OR(I645&lt;&gt;"",S645&lt;&gt;""),"tbd",""))</f>
        <v/>
      </c>
      <c r="S645" s="217" t="n"/>
      <c r="Z645">
        <f>IF(AND(R645="WON",ISNUMBER(I645)),AA645,"")</f>
        <v/>
      </c>
      <c r="AA645">
        <f>IFERROR(I645*1,0)</f>
        <v>0</v>
      </c>
    </row>
    <row r="646" ht="15" customHeight="1">
      <c r="I646" s="215" t="n"/>
      <c r="J646" s="215" t="n"/>
      <c r="K646" s="215" t="n"/>
      <c r="L646" s="215" t="n"/>
      <c r="M646" s="215" t="n"/>
      <c r="N646" s="215">
        <f>IF(ISNUMBER(I646),ROUND(I646-I646/1.081,2),"")</f>
        <v/>
      </c>
      <c r="O646" s="215">
        <f>IF(ISNUMBER(I646),I646-SUM(J646:N646),"")</f>
        <v/>
      </c>
      <c r="P646" s="216">
        <f>IFERROR(IF(AND(ISNUMBER(O646),ISNUMBER(I646),I646&lt;&gt;0),O646/I646,""),"")</f>
        <v/>
      </c>
      <c r="Q646" s="215">
        <f>IF(AND(ISNUMBER(I646),ISNUMBER(S646)),I646*IF(S646&lt;=1,S646,S646/100),IF(OR(I646&lt;&gt;"",S646&lt;&gt;""),"tbd",""))</f>
        <v/>
      </c>
      <c r="S646" s="217" t="n"/>
      <c r="Z646">
        <f>IF(AND(R646="WON",ISNUMBER(I646)),AA646,"")</f>
        <v/>
      </c>
      <c r="AA646">
        <f>IFERROR(I646*1,0)</f>
        <v>0</v>
      </c>
    </row>
    <row r="647" ht="15" customHeight="1">
      <c r="I647" s="215" t="n"/>
      <c r="J647" s="215" t="n"/>
      <c r="K647" s="215" t="n"/>
      <c r="L647" s="215" t="n"/>
      <c r="M647" s="215" t="n"/>
      <c r="N647" s="215">
        <f>IF(ISNUMBER(I647),ROUND(I647-I647/1.081,2),"")</f>
        <v/>
      </c>
      <c r="O647" s="215">
        <f>IF(ISNUMBER(I647),I647-SUM(J647:N647),"")</f>
        <v/>
      </c>
      <c r="P647" s="216">
        <f>IFERROR(IF(AND(ISNUMBER(O647),ISNUMBER(I647),I647&lt;&gt;0),O647/I647,""),"")</f>
        <v/>
      </c>
      <c r="Q647" s="215">
        <f>IF(AND(ISNUMBER(I647),ISNUMBER(S647)),I647*IF(S647&lt;=1,S647,S647/100),IF(OR(I647&lt;&gt;"",S647&lt;&gt;""),"tbd",""))</f>
        <v/>
      </c>
      <c r="S647" s="217" t="n"/>
      <c r="Z647">
        <f>IF(AND(R647="WON",ISNUMBER(I647)),AA647,"")</f>
        <v/>
      </c>
      <c r="AA647">
        <f>IFERROR(I647*1,0)</f>
        <v>0</v>
      </c>
    </row>
    <row r="648" ht="15" customHeight="1">
      <c r="I648" s="215" t="n"/>
      <c r="J648" s="215" t="n"/>
      <c r="K648" s="215" t="n"/>
      <c r="L648" s="215" t="n"/>
      <c r="M648" s="215" t="n"/>
      <c r="N648" s="215">
        <f>IF(ISNUMBER(I648),ROUND(I648-I648/1.081,2),"")</f>
        <v/>
      </c>
      <c r="O648" s="215">
        <f>IF(ISNUMBER(I648),I648-SUM(J648:N648),"")</f>
        <v/>
      </c>
      <c r="P648" s="216">
        <f>IFERROR(IF(AND(ISNUMBER(O648),ISNUMBER(I648),I648&lt;&gt;0),O648/I648,""),"")</f>
        <v/>
      </c>
      <c r="Q648" s="215">
        <f>IF(AND(ISNUMBER(I648),ISNUMBER(S648)),I648*IF(S648&lt;=1,S648,S648/100),IF(OR(I648&lt;&gt;"",S648&lt;&gt;""),"tbd",""))</f>
        <v/>
      </c>
      <c r="S648" s="217" t="n"/>
      <c r="Z648">
        <f>IF(AND(R648="WON",ISNUMBER(I648)),AA648,"")</f>
        <v/>
      </c>
      <c r="AA648">
        <f>IFERROR(I648*1,0)</f>
        <v>0</v>
      </c>
    </row>
    <row r="649" ht="15" customHeight="1">
      <c r="I649" s="215" t="n"/>
      <c r="J649" s="215" t="n"/>
      <c r="K649" s="215" t="n"/>
      <c r="L649" s="215" t="n"/>
      <c r="M649" s="215" t="n"/>
      <c r="N649" s="215">
        <f>IF(ISNUMBER(I649),ROUND(I649-I649/1.081,2),"")</f>
        <v/>
      </c>
      <c r="O649" s="215">
        <f>IF(ISNUMBER(I649),I649-SUM(J649:N649),"")</f>
        <v/>
      </c>
      <c r="P649" s="216">
        <f>IFERROR(IF(AND(ISNUMBER(O649),ISNUMBER(I649),I649&lt;&gt;0),O649/I649,""),"")</f>
        <v/>
      </c>
      <c r="Q649" s="215">
        <f>IF(AND(ISNUMBER(I649),ISNUMBER(S649)),I649*IF(S649&lt;=1,S649,S649/100),IF(OR(I649&lt;&gt;"",S649&lt;&gt;""),"tbd",""))</f>
        <v/>
      </c>
      <c r="S649" s="217" t="n"/>
      <c r="Z649">
        <f>IF(AND(R649="WON",ISNUMBER(I649)),AA649,"")</f>
        <v/>
      </c>
      <c r="AA649">
        <f>IFERROR(I649*1,0)</f>
        <v>0</v>
      </c>
    </row>
    <row r="650" ht="15" customHeight="1">
      <c r="I650" s="215" t="n"/>
      <c r="J650" s="215" t="n"/>
      <c r="K650" s="215" t="n"/>
      <c r="L650" s="215" t="n"/>
      <c r="M650" s="215" t="n"/>
      <c r="N650" s="215">
        <f>IF(ISNUMBER(I650),ROUND(I650-I650/1.081,2),"")</f>
        <v/>
      </c>
      <c r="O650" s="215">
        <f>IF(ISNUMBER(I650),I650-SUM(J650:N650),"")</f>
        <v/>
      </c>
      <c r="P650" s="216">
        <f>IFERROR(IF(AND(ISNUMBER(O650),ISNUMBER(I650),I650&lt;&gt;0),O650/I650,""),"")</f>
        <v/>
      </c>
      <c r="Q650" s="215">
        <f>IF(AND(ISNUMBER(I650),ISNUMBER(S650)),I650*IF(S650&lt;=1,S650,S650/100),IF(OR(I650&lt;&gt;"",S650&lt;&gt;""),"tbd",""))</f>
        <v/>
      </c>
      <c r="S650" s="217" t="n"/>
      <c r="Z650">
        <f>IF(AND(R650="WON",ISNUMBER(I650)),AA650,"")</f>
        <v/>
      </c>
      <c r="AA650">
        <f>IFERROR(I650*1,0)</f>
        <v>0</v>
      </c>
    </row>
    <row r="651" ht="15" customHeight="1">
      <c r="I651" s="215" t="n"/>
      <c r="J651" s="215" t="n"/>
      <c r="K651" s="215" t="n"/>
      <c r="L651" s="215" t="n"/>
      <c r="M651" s="215" t="n"/>
      <c r="N651" s="215">
        <f>IF(ISNUMBER(I651),ROUND(I651-I651/1.081,2),"")</f>
        <v/>
      </c>
      <c r="O651" s="215">
        <f>IF(ISNUMBER(I651),I651-SUM(J651:N651),"")</f>
        <v/>
      </c>
      <c r="P651" s="216">
        <f>IFERROR(IF(AND(ISNUMBER(O651),ISNUMBER(I651),I651&lt;&gt;0),O651/I651,""),"")</f>
        <v/>
      </c>
      <c r="Q651" s="215">
        <f>IF(AND(ISNUMBER(I651),ISNUMBER(S651)),I651*IF(S651&lt;=1,S651,S651/100),IF(OR(I651&lt;&gt;"",S651&lt;&gt;""),"tbd",""))</f>
        <v/>
      </c>
      <c r="S651" s="217" t="n"/>
      <c r="Z651">
        <f>IF(AND(R651="WON",ISNUMBER(I651)),AA651,"")</f>
        <v/>
      </c>
      <c r="AA651">
        <f>IFERROR(I651*1,0)</f>
        <v>0</v>
      </c>
    </row>
    <row r="652" ht="15" customHeight="1">
      <c r="I652" s="215" t="n"/>
      <c r="J652" s="215" t="n"/>
      <c r="K652" s="215" t="n"/>
      <c r="L652" s="215" t="n"/>
      <c r="M652" s="215" t="n"/>
      <c r="N652" s="215">
        <f>IF(ISNUMBER(I652),ROUND(I652-I652/1.081,2),"")</f>
        <v/>
      </c>
      <c r="O652" s="215">
        <f>IF(ISNUMBER(I652),I652-SUM(J652:N652),"")</f>
        <v/>
      </c>
      <c r="P652" s="216">
        <f>IFERROR(IF(AND(ISNUMBER(O652),ISNUMBER(I652),I652&lt;&gt;0),O652/I652,""),"")</f>
        <v/>
      </c>
      <c r="Q652" s="215">
        <f>IF(AND(ISNUMBER(I652),ISNUMBER(S652)),I652*IF(S652&lt;=1,S652,S652/100),IF(OR(I652&lt;&gt;"",S652&lt;&gt;""),"tbd",""))</f>
        <v/>
      </c>
      <c r="S652" s="217" t="n"/>
      <c r="Z652">
        <f>IF(AND(R652="WON",ISNUMBER(I652)),AA652,"")</f>
        <v/>
      </c>
      <c r="AA652">
        <f>IFERROR(I652*1,0)</f>
        <v>0</v>
      </c>
    </row>
    <row r="653" ht="15" customHeight="1">
      <c r="I653" s="215" t="n"/>
      <c r="J653" s="215" t="n"/>
      <c r="K653" s="215" t="n"/>
      <c r="L653" s="215" t="n"/>
      <c r="M653" s="215" t="n"/>
      <c r="N653" s="215">
        <f>IF(ISNUMBER(I653),ROUND(I653-I653/1.081,2),"")</f>
        <v/>
      </c>
      <c r="O653" s="215">
        <f>IF(ISNUMBER(I653),I653-SUM(J653:N653),"")</f>
        <v/>
      </c>
      <c r="P653" s="216">
        <f>IFERROR(IF(AND(ISNUMBER(O653),ISNUMBER(I653),I653&lt;&gt;0),O653/I653,""),"")</f>
        <v/>
      </c>
      <c r="Q653" s="215">
        <f>IF(AND(ISNUMBER(I653),ISNUMBER(S653)),I653*IF(S653&lt;=1,S653,S653/100),IF(OR(I653&lt;&gt;"",S653&lt;&gt;""),"tbd",""))</f>
        <v/>
      </c>
      <c r="S653" s="217" t="n"/>
      <c r="Z653">
        <f>IF(AND(R653="WON",ISNUMBER(I653)),AA653,"")</f>
        <v/>
      </c>
      <c r="AA653">
        <f>IFERROR(I653*1,0)</f>
        <v>0</v>
      </c>
    </row>
    <row r="654" ht="15" customHeight="1">
      <c r="I654" s="215" t="n"/>
      <c r="J654" s="215" t="n"/>
      <c r="K654" s="215" t="n"/>
      <c r="L654" s="215" t="n"/>
      <c r="M654" s="215" t="n"/>
      <c r="N654" s="215">
        <f>IF(ISNUMBER(I654),ROUND(I654-I654/1.081,2),"")</f>
        <v/>
      </c>
      <c r="O654" s="215">
        <f>IF(ISNUMBER(I654),I654-SUM(J654:N654),"")</f>
        <v/>
      </c>
      <c r="P654" s="216">
        <f>IFERROR(IF(AND(ISNUMBER(O654),ISNUMBER(I654),I654&lt;&gt;0),O654/I654,""),"")</f>
        <v/>
      </c>
      <c r="Q654" s="215">
        <f>IF(AND(ISNUMBER(I654),ISNUMBER(S654)),I654*IF(S654&lt;=1,S654,S654/100),IF(OR(I654&lt;&gt;"",S654&lt;&gt;""),"tbd",""))</f>
        <v/>
      </c>
      <c r="S654" s="217" t="n"/>
      <c r="Z654">
        <f>IF(AND(R654="WON",ISNUMBER(I654)),AA654,"")</f>
        <v/>
      </c>
      <c r="AA654">
        <f>IFERROR(I654*1,0)</f>
        <v>0</v>
      </c>
    </row>
    <row r="655" ht="15" customHeight="1">
      <c r="I655" s="215" t="n"/>
      <c r="J655" s="215" t="n"/>
      <c r="K655" s="215" t="n"/>
      <c r="L655" s="215" t="n"/>
      <c r="M655" s="215" t="n"/>
      <c r="N655" s="215">
        <f>IF(ISNUMBER(I655),ROUND(I655-I655/1.081,2),"")</f>
        <v/>
      </c>
      <c r="O655" s="215">
        <f>IF(ISNUMBER(I655),I655-SUM(J655:N655),"")</f>
        <v/>
      </c>
      <c r="P655" s="216">
        <f>IFERROR(IF(AND(ISNUMBER(O655),ISNUMBER(I655),I655&lt;&gt;0),O655/I655,""),"")</f>
        <v/>
      </c>
      <c r="Q655" s="215">
        <f>IF(AND(ISNUMBER(I655),ISNUMBER(S655)),I655*IF(S655&lt;=1,S655,S655/100),IF(OR(I655&lt;&gt;"",S655&lt;&gt;""),"tbd",""))</f>
        <v/>
      </c>
      <c r="S655" s="217" t="n"/>
      <c r="Z655">
        <f>IF(AND(R655="WON",ISNUMBER(I655)),AA655,"")</f>
        <v/>
      </c>
      <c r="AA655">
        <f>IFERROR(I655*1,0)</f>
        <v>0</v>
      </c>
    </row>
    <row r="656" ht="15" customHeight="1">
      <c r="I656" s="215" t="n"/>
      <c r="J656" s="215" t="n"/>
      <c r="K656" s="215" t="n"/>
      <c r="L656" s="215" t="n"/>
      <c r="M656" s="215" t="n"/>
      <c r="N656" s="215">
        <f>IF(ISNUMBER(I656),ROUND(I656-I656/1.081,2),"")</f>
        <v/>
      </c>
      <c r="O656" s="215">
        <f>IF(ISNUMBER(I656),I656-SUM(J656:N656),"")</f>
        <v/>
      </c>
      <c r="P656" s="216">
        <f>IFERROR(IF(AND(ISNUMBER(O656),ISNUMBER(I656),I656&lt;&gt;0),O656/I656,""),"")</f>
        <v/>
      </c>
      <c r="Q656" s="215">
        <f>IF(AND(ISNUMBER(I656),ISNUMBER(S656)),I656*IF(S656&lt;=1,S656,S656/100),IF(OR(I656&lt;&gt;"",S656&lt;&gt;""),"tbd",""))</f>
        <v/>
      </c>
      <c r="S656" s="217" t="n"/>
      <c r="Z656">
        <f>IF(AND(R656="WON",ISNUMBER(I656)),AA656,"")</f>
        <v/>
      </c>
      <c r="AA656">
        <f>IFERROR(I656*1,0)</f>
        <v>0</v>
      </c>
    </row>
    <row r="657" ht="15" customHeight="1">
      <c r="I657" s="215" t="n"/>
      <c r="J657" s="215" t="n"/>
      <c r="K657" s="215" t="n"/>
      <c r="L657" s="215" t="n"/>
      <c r="M657" s="215" t="n"/>
      <c r="N657" s="215">
        <f>IF(ISNUMBER(I657),ROUND(I657-I657/1.081,2),"")</f>
        <v/>
      </c>
      <c r="O657" s="215">
        <f>IF(ISNUMBER(I657),I657-SUM(J657:N657),"")</f>
        <v/>
      </c>
      <c r="P657" s="216">
        <f>IFERROR(IF(AND(ISNUMBER(O657),ISNUMBER(I657),I657&lt;&gt;0),O657/I657,""),"")</f>
        <v/>
      </c>
      <c r="Q657" s="215">
        <f>IF(AND(ISNUMBER(I657),ISNUMBER(S657)),I657*IF(S657&lt;=1,S657,S657/100),IF(OR(I657&lt;&gt;"",S657&lt;&gt;""),"tbd",""))</f>
        <v/>
      </c>
      <c r="S657" s="217" t="n"/>
      <c r="Z657">
        <f>IF(AND(R657="WON",ISNUMBER(I657)),AA657,"")</f>
        <v/>
      </c>
      <c r="AA657">
        <f>IFERROR(I657*1,0)</f>
        <v>0</v>
      </c>
    </row>
    <row r="658" ht="15" customHeight="1">
      <c r="I658" s="215" t="n"/>
      <c r="J658" s="215" t="n"/>
      <c r="K658" s="215" t="n"/>
      <c r="L658" s="215" t="n"/>
      <c r="M658" s="215" t="n"/>
      <c r="N658" s="215">
        <f>IF(ISNUMBER(I658),ROUND(I658-I658/1.081,2),"")</f>
        <v/>
      </c>
      <c r="O658" s="215">
        <f>IF(ISNUMBER(I658),I658-SUM(J658:N658),"")</f>
        <v/>
      </c>
      <c r="P658" s="216">
        <f>IFERROR(IF(AND(ISNUMBER(O658),ISNUMBER(I658),I658&lt;&gt;0),O658/I658,""),"")</f>
        <v/>
      </c>
      <c r="Q658" s="215">
        <f>IF(AND(ISNUMBER(I658),ISNUMBER(S658)),I658*IF(S658&lt;=1,S658,S658/100),IF(OR(I658&lt;&gt;"",S658&lt;&gt;""),"tbd",""))</f>
        <v/>
      </c>
      <c r="S658" s="217" t="n"/>
      <c r="Z658">
        <f>IF(AND(R658="WON",ISNUMBER(I658)),AA658,"")</f>
        <v/>
      </c>
      <c r="AA658">
        <f>IFERROR(I658*1,0)</f>
        <v>0</v>
      </c>
    </row>
    <row r="659" ht="15" customHeight="1">
      <c r="I659" s="215" t="n"/>
      <c r="J659" s="215" t="n"/>
      <c r="K659" s="215" t="n"/>
      <c r="L659" s="215" t="n"/>
      <c r="M659" s="215" t="n"/>
      <c r="N659" s="215">
        <f>IF(ISNUMBER(I659),ROUND(I659-I659/1.081,2),"")</f>
        <v/>
      </c>
      <c r="O659" s="215">
        <f>IF(ISNUMBER(I659),I659-SUM(J659:N659),"")</f>
        <v/>
      </c>
      <c r="P659" s="216">
        <f>IFERROR(IF(AND(ISNUMBER(O659),ISNUMBER(I659),I659&lt;&gt;0),O659/I659,""),"")</f>
        <v/>
      </c>
      <c r="Q659" s="215">
        <f>IF(AND(ISNUMBER(I659),ISNUMBER(S659)),I659*IF(S659&lt;=1,S659,S659/100),IF(OR(I659&lt;&gt;"",S659&lt;&gt;""),"tbd",""))</f>
        <v/>
      </c>
      <c r="S659" s="217" t="n"/>
      <c r="Z659">
        <f>IF(AND(R659="WON",ISNUMBER(I659)),AA659,"")</f>
        <v/>
      </c>
      <c r="AA659">
        <f>IFERROR(I659*1,0)</f>
        <v>0</v>
      </c>
    </row>
    <row r="660" ht="15" customHeight="1">
      <c r="I660" s="215" t="n"/>
      <c r="J660" s="215" t="n"/>
      <c r="K660" s="215" t="n"/>
      <c r="L660" s="215" t="n"/>
      <c r="M660" s="215" t="n"/>
      <c r="N660" s="215">
        <f>IF(ISNUMBER(I660),ROUND(I660-I660/1.081,2),"")</f>
        <v/>
      </c>
      <c r="O660" s="215">
        <f>IF(ISNUMBER(I660),I660-SUM(J660:N660),"")</f>
        <v/>
      </c>
      <c r="P660" s="216">
        <f>IFERROR(IF(AND(ISNUMBER(O660),ISNUMBER(I660),I660&lt;&gt;0),O660/I660,""),"")</f>
        <v/>
      </c>
      <c r="Q660" s="215">
        <f>IF(AND(ISNUMBER(I660),ISNUMBER(S660)),I660*IF(S660&lt;=1,S660,S660/100),IF(OR(I660&lt;&gt;"",S660&lt;&gt;""),"tbd",""))</f>
        <v/>
      </c>
      <c r="S660" s="217" t="n"/>
      <c r="Z660">
        <f>IF(AND(R660="WON",ISNUMBER(I660)),AA660,"")</f>
        <v/>
      </c>
      <c r="AA660">
        <f>IFERROR(I660*1,0)</f>
        <v>0</v>
      </c>
    </row>
    <row r="661" ht="15" customHeight="1">
      <c r="I661" s="215" t="n"/>
      <c r="J661" s="215" t="n"/>
      <c r="K661" s="215" t="n"/>
      <c r="L661" s="215" t="n"/>
      <c r="M661" s="215" t="n"/>
      <c r="N661" s="215">
        <f>IF(ISNUMBER(I661),ROUND(I661-I661/1.081,2),"")</f>
        <v/>
      </c>
      <c r="O661" s="215">
        <f>IF(ISNUMBER(I661),I661-SUM(J661:N661),"")</f>
        <v/>
      </c>
      <c r="P661" s="216">
        <f>IFERROR(IF(AND(ISNUMBER(O661),ISNUMBER(I661),I661&lt;&gt;0),O661/I661,""),"")</f>
        <v/>
      </c>
      <c r="Q661" s="215">
        <f>IF(AND(ISNUMBER(I661),ISNUMBER(S661)),I661*IF(S661&lt;=1,S661,S661/100),IF(OR(I661&lt;&gt;"",S661&lt;&gt;""),"tbd",""))</f>
        <v/>
      </c>
      <c r="S661" s="217" t="n"/>
      <c r="Z661">
        <f>IF(AND(R661="WON",ISNUMBER(I661)),AA661,"")</f>
        <v/>
      </c>
      <c r="AA661">
        <f>IFERROR(I661*1,0)</f>
        <v>0</v>
      </c>
    </row>
    <row r="662" ht="15" customHeight="1">
      <c r="I662" s="215" t="n"/>
      <c r="J662" s="215" t="n"/>
      <c r="K662" s="215" t="n"/>
      <c r="L662" s="215" t="n"/>
      <c r="M662" s="215" t="n"/>
      <c r="N662" s="215">
        <f>IF(ISNUMBER(I662),ROUND(I662-I662/1.081,2),"")</f>
        <v/>
      </c>
      <c r="O662" s="215">
        <f>IF(ISNUMBER(I662),I662-SUM(J662:N662),"")</f>
        <v/>
      </c>
      <c r="P662" s="216">
        <f>IFERROR(IF(AND(ISNUMBER(O662),ISNUMBER(I662),I662&lt;&gt;0),O662/I662,""),"")</f>
        <v/>
      </c>
      <c r="Q662" s="215">
        <f>IF(AND(ISNUMBER(I662),ISNUMBER(S662)),I662*IF(S662&lt;=1,S662,S662/100),IF(OR(I662&lt;&gt;"",S662&lt;&gt;""),"tbd",""))</f>
        <v/>
      </c>
      <c r="S662" s="217" t="n"/>
      <c r="Z662">
        <f>IF(AND(R662="WON",ISNUMBER(I662)),AA662,"")</f>
        <v/>
      </c>
      <c r="AA662">
        <f>IFERROR(I662*1,0)</f>
        <v>0</v>
      </c>
    </row>
    <row r="663" ht="15" customHeight="1">
      <c r="I663" s="215" t="n"/>
      <c r="J663" s="215" t="n"/>
      <c r="K663" s="215" t="n"/>
      <c r="L663" s="215" t="n"/>
      <c r="M663" s="215" t="n"/>
      <c r="N663" s="215">
        <f>IF(ISNUMBER(I663),ROUND(I663-I663/1.081,2),"")</f>
        <v/>
      </c>
      <c r="O663" s="215">
        <f>IF(ISNUMBER(I663),I663-SUM(J663:N663),"")</f>
        <v/>
      </c>
      <c r="P663" s="216">
        <f>IFERROR(IF(AND(ISNUMBER(O663),ISNUMBER(I663),I663&lt;&gt;0),O663/I663,""),"")</f>
        <v/>
      </c>
      <c r="Q663" s="215">
        <f>IF(AND(ISNUMBER(I663),ISNUMBER(S663)),I663*IF(S663&lt;=1,S663,S663/100),IF(OR(I663&lt;&gt;"",S663&lt;&gt;""),"tbd",""))</f>
        <v/>
      </c>
      <c r="S663" s="217" t="n"/>
      <c r="Z663">
        <f>IF(AND(R663="WON",ISNUMBER(I663)),AA663,"")</f>
        <v/>
      </c>
      <c r="AA663">
        <f>IFERROR(I663*1,0)</f>
        <v>0</v>
      </c>
    </row>
    <row r="664" ht="15" customHeight="1">
      <c r="I664" s="215" t="n"/>
      <c r="J664" s="215" t="n"/>
      <c r="K664" s="215" t="n"/>
      <c r="L664" s="215" t="n"/>
      <c r="M664" s="215" t="n"/>
      <c r="N664" s="215">
        <f>IF(ISNUMBER(I664),ROUND(I664-I664/1.081,2),"")</f>
        <v/>
      </c>
      <c r="O664" s="215">
        <f>IF(ISNUMBER(I664),I664-SUM(J664:N664),"")</f>
        <v/>
      </c>
      <c r="P664" s="216">
        <f>IFERROR(IF(AND(ISNUMBER(O664),ISNUMBER(I664),I664&lt;&gt;0),O664/I664,""),"")</f>
        <v/>
      </c>
      <c r="Q664" s="215">
        <f>IF(AND(ISNUMBER(I664),ISNUMBER(S664)),I664*IF(S664&lt;=1,S664,S664/100),IF(OR(I664&lt;&gt;"",S664&lt;&gt;""),"tbd",""))</f>
        <v/>
      </c>
      <c r="S664" s="217" t="n"/>
      <c r="Z664">
        <f>IF(AND(R664="WON",ISNUMBER(I664)),AA664,"")</f>
        <v/>
      </c>
      <c r="AA664">
        <f>IFERROR(I664*1,0)</f>
        <v>0</v>
      </c>
    </row>
    <row r="665" ht="15" customHeight="1">
      <c r="I665" s="215" t="n"/>
      <c r="J665" s="215" t="n"/>
      <c r="K665" s="215" t="n"/>
      <c r="L665" s="215" t="n"/>
      <c r="M665" s="215" t="n"/>
      <c r="N665" s="215">
        <f>IF(ISNUMBER(I665),ROUND(I665-I665/1.081,2),"")</f>
        <v/>
      </c>
      <c r="O665" s="215">
        <f>IF(ISNUMBER(I665),I665-SUM(J665:N665),"")</f>
        <v/>
      </c>
      <c r="P665" s="216">
        <f>IFERROR(IF(AND(ISNUMBER(O665),ISNUMBER(I665),I665&lt;&gt;0),O665/I665,""),"")</f>
        <v/>
      </c>
      <c r="Q665" s="215">
        <f>IF(AND(ISNUMBER(I665),ISNUMBER(S665)),I665*IF(S665&lt;=1,S665,S665/100),IF(OR(I665&lt;&gt;"",S665&lt;&gt;""),"tbd",""))</f>
        <v/>
      </c>
      <c r="S665" s="217" t="n"/>
      <c r="Z665">
        <f>IF(AND(R665="WON",ISNUMBER(I665)),AA665,"")</f>
        <v/>
      </c>
      <c r="AA665">
        <f>IFERROR(I665*1,0)</f>
        <v>0</v>
      </c>
    </row>
    <row r="666" ht="15" customHeight="1">
      <c r="I666" s="215" t="n"/>
      <c r="J666" s="215" t="n"/>
      <c r="K666" s="215" t="n"/>
      <c r="L666" s="215" t="n"/>
      <c r="M666" s="215" t="n"/>
      <c r="N666" s="215">
        <f>IF(ISNUMBER(I666),ROUND(I666-I666/1.081,2),"")</f>
        <v/>
      </c>
      <c r="O666" s="215">
        <f>IF(ISNUMBER(I666),I666-SUM(J666:N666),"")</f>
        <v/>
      </c>
      <c r="P666" s="216">
        <f>IFERROR(IF(AND(ISNUMBER(O666),ISNUMBER(I666),I666&lt;&gt;0),O666/I666,""),"")</f>
        <v/>
      </c>
      <c r="Q666" s="215">
        <f>IF(AND(ISNUMBER(I666),ISNUMBER(S666)),I666*IF(S666&lt;=1,S666,S666/100),IF(OR(I666&lt;&gt;"",S666&lt;&gt;""),"tbd",""))</f>
        <v/>
      </c>
      <c r="S666" s="217" t="n"/>
      <c r="Z666">
        <f>IF(AND(R666="WON",ISNUMBER(I666)),AA666,"")</f>
        <v/>
      </c>
      <c r="AA666">
        <f>IFERROR(I666*1,0)</f>
        <v>0</v>
      </c>
    </row>
    <row r="667" ht="15" customHeight="1">
      <c r="I667" s="215" t="n"/>
      <c r="J667" s="215" t="n"/>
      <c r="K667" s="215" t="n"/>
      <c r="L667" s="215" t="n"/>
      <c r="M667" s="215" t="n"/>
      <c r="N667" s="215">
        <f>IF(ISNUMBER(I667),ROUND(I667-I667/1.081,2),"")</f>
        <v/>
      </c>
      <c r="O667" s="215">
        <f>IF(ISNUMBER(I667),I667-SUM(J667:N667),"")</f>
        <v/>
      </c>
      <c r="P667" s="216">
        <f>IFERROR(IF(AND(ISNUMBER(O667),ISNUMBER(I667),I667&lt;&gt;0),O667/I667,""),"")</f>
        <v/>
      </c>
      <c r="Q667" s="215">
        <f>IF(AND(ISNUMBER(I667),ISNUMBER(S667)),I667*IF(S667&lt;=1,S667,S667/100),IF(OR(I667&lt;&gt;"",S667&lt;&gt;""),"tbd",""))</f>
        <v/>
      </c>
      <c r="S667" s="217" t="n"/>
      <c r="Z667">
        <f>IF(AND(R667="WON",ISNUMBER(I667)),AA667,"")</f>
        <v/>
      </c>
      <c r="AA667">
        <f>IFERROR(I667*1,0)</f>
        <v>0</v>
      </c>
    </row>
    <row r="668" ht="15" customHeight="1">
      <c r="I668" s="215" t="n"/>
      <c r="J668" s="215" t="n"/>
      <c r="K668" s="215" t="n"/>
      <c r="L668" s="215" t="n"/>
      <c r="M668" s="215" t="n"/>
      <c r="N668" s="215">
        <f>IF(ISNUMBER(I668),ROUND(I668-I668/1.081,2),"")</f>
        <v/>
      </c>
      <c r="O668" s="215">
        <f>IF(ISNUMBER(I668),I668-SUM(J668:N668),"")</f>
        <v/>
      </c>
      <c r="P668" s="216">
        <f>IFERROR(IF(AND(ISNUMBER(O668),ISNUMBER(I668),I668&lt;&gt;0),O668/I668,""),"")</f>
        <v/>
      </c>
      <c r="Q668" s="215">
        <f>IF(AND(ISNUMBER(I668),ISNUMBER(S668)),I668*IF(S668&lt;=1,S668,S668/100),IF(OR(I668&lt;&gt;"",S668&lt;&gt;""),"tbd",""))</f>
        <v/>
      </c>
      <c r="S668" s="217" t="n"/>
      <c r="Z668">
        <f>IF(AND(R668="WON",ISNUMBER(I668)),AA668,"")</f>
        <v/>
      </c>
      <c r="AA668">
        <f>IFERROR(I668*1,0)</f>
        <v>0</v>
      </c>
    </row>
    <row r="669" ht="15" customHeight="1">
      <c r="I669" s="215" t="n"/>
      <c r="J669" s="215" t="n"/>
      <c r="K669" s="215" t="n"/>
      <c r="L669" s="215" t="n"/>
      <c r="M669" s="215" t="n"/>
      <c r="N669" s="215">
        <f>IF(ISNUMBER(I669),ROUND(I669-I669/1.081,2),"")</f>
        <v/>
      </c>
      <c r="O669" s="215">
        <f>IF(ISNUMBER(I669),I669-SUM(J669:N669),"")</f>
        <v/>
      </c>
      <c r="P669" s="216">
        <f>IFERROR(IF(AND(ISNUMBER(O669),ISNUMBER(I669),I669&lt;&gt;0),O669/I669,""),"")</f>
        <v/>
      </c>
      <c r="Q669" s="215">
        <f>IF(AND(ISNUMBER(I669),ISNUMBER(S669)),I669*IF(S669&lt;=1,S669,S669/100),IF(OR(I669&lt;&gt;"",S669&lt;&gt;""),"tbd",""))</f>
        <v/>
      </c>
      <c r="S669" s="217" t="n"/>
      <c r="Z669">
        <f>IF(AND(R669="WON",ISNUMBER(I669)),AA669,"")</f>
        <v/>
      </c>
      <c r="AA669">
        <f>IFERROR(I669*1,0)</f>
        <v>0</v>
      </c>
    </row>
    <row r="670" ht="15" customHeight="1">
      <c r="I670" s="215" t="n"/>
      <c r="J670" s="215" t="n"/>
      <c r="K670" s="215" t="n"/>
      <c r="L670" s="215" t="n"/>
      <c r="M670" s="215" t="n"/>
      <c r="N670" s="215">
        <f>IF(ISNUMBER(I670),ROUND(I670-I670/1.081,2),"")</f>
        <v/>
      </c>
      <c r="O670" s="215">
        <f>IF(ISNUMBER(I670),I670-SUM(J670:N670),"")</f>
        <v/>
      </c>
      <c r="P670" s="216">
        <f>IFERROR(IF(AND(ISNUMBER(O670),ISNUMBER(I670),I670&lt;&gt;0),O670/I670,""),"")</f>
        <v/>
      </c>
      <c r="Q670" s="215">
        <f>IF(AND(ISNUMBER(I670),ISNUMBER(S670)),I670*IF(S670&lt;=1,S670,S670/100),IF(OR(I670&lt;&gt;"",S670&lt;&gt;""),"tbd",""))</f>
        <v/>
      </c>
      <c r="S670" s="217" t="n"/>
      <c r="Z670">
        <f>IF(AND(R670="WON",ISNUMBER(I670)),AA670,"")</f>
        <v/>
      </c>
      <c r="AA670">
        <f>IFERROR(I670*1,0)</f>
        <v>0</v>
      </c>
    </row>
    <row r="671" ht="15" customHeight="1">
      <c r="I671" s="215" t="n"/>
      <c r="J671" s="215" t="n"/>
      <c r="K671" s="215" t="n"/>
      <c r="L671" s="215" t="n"/>
      <c r="M671" s="215" t="n"/>
      <c r="N671" s="215">
        <f>IF(ISNUMBER(I671),ROUND(I671-I671/1.081,2),"")</f>
        <v/>
      </c>
      <c r="O671" s="215">
        <f>IF(ISNUMBER(I671),I671-SUM(J671:N671),"")</f>
        <v/>
      </c>
      <c r="P671" s="216">
        <f>IFERROR(IF(AND(ISNUMBER(O671),ISNUMBER(I671),I671&lt;&gt;0),O671/I671,""),"")</f>
        <v/>
      </c>
      <c r="Q671" s="215">
        <f>IF(AND(ISNUMBER(I671),ISNUMBER(S671)),I671*IF(S671&lt;=1,S671,S671/100),IF(OR(I671&lt;&gt;"",S671&lt;&gt;""),"tbd",""))</f>
        <v/>
      </c>
      <c r="S671" s="217" t="n"/>
      <c r="Z671">
        <f>IF(AND(R671="WON",ISNUMBER(I671)),AA671,"")</f>
        <v/>
      </c>
      <c r="AA671">
        <f>IFERROR(I671*1,0)</f>
        <v>0</v>
      </c>
    </row>
    <row r="672" ht="15" customHeight="1">
      <c r="I672" s="215" t="n"/>
      <c r="J672" s="215" t="n"/>
      <c r="K672" s="215" t="n"/>
      <c r="L672" s="215" t="n"/>
      <c r="M672" s="215" t="n"/>
      <c r="N672" s="215">
        <f>IF(ISNUMBER(I672),ROUND(I672-I672/1.081,2),"")</f>
        <v/>
      </c>
      <c r="O672" s="215">
        <f>IF(ISNUMBER(I672),I672-SUM(J672:N672),"")</f>
        <v/>
      </c>
      <c r="P672" s="216">
        <f>IFERROR(IF(AND(ISNUMBER(O672),ISNUMBER(I672),I672&lt;&gt;0),O672/I672,""),"")</f>
        <v/>
      </c>
      <c r="Q672" s="215">
        <f>IF(AND(ISNUMBER(I672),ISNUMBER(S672)),I672*IF(S672&lt;=1,S672,S672/100),IF(OR(I672&lt;&gt;"",S672&lt;&gt;""),"tbd",""))</f>
        <v/>
      </c>
      <c r="S672" s="217" t="n"/>
      <c r="Z672">
        <f>IF(AND(R672="WON",ISNUMBER(I672)),AA672,"")</f>
        <v/>
      </c>
      <c r="AA672">
        <f>IFERROR(I672*1,0)</f>
        <v>0</v>
      </c>
    </row>
    <row r="673" ht="15" customHeight="1">
      <c r="I673" s="215" t="n"/>
      <c r="J673" s="215" t="n"/>
      <c r="K673" s="215" t="n"/>
      <c r="L673" s="215" t="n"/>
      <c r="M673" s="215" t="n"/>
      <c r="N673" s="215">
        <f>IF(ISNUMBER(I673),ROUND(I673-I673/1.081,2),"")</f>
        <v/>
      </c>
      <c r="O673" s="215">
        <f>IF(ISNUMBER(I673),I673-SUM(J673:N673),"")</f>
        <v/>
      </c>
      <c r="P673" s="216">
        <f>IFERROR(IF(AND(ISNUMBER(O673),ISNUMBER(I673),I673&lt;&gt;0),O673/I673,""),"")</f>
        <v/>
      </c>
      <c r="Q673" s="215">
        <f>IF(AND(ISNUMBER(I673),ISNUMBER(S673)),I673*IF(S673&lt;=1,S673,S673/100),IF(OR(I673&lt;&gt;"",S673&lt;&gt;""),"tbd",""))</f>
        <v/>
      </c>
      <c r="S673" s="217" t="n"/>
      <c r="Z673">
        <f>IF(AND(R673="WON",ISNUMBER(I673)),AA673,"")</f>
        <v/>
      </c>
      <c r="AA673">
        <f>IFERROR(I673*1,0)</f>
        <v>0</v>
      </c>
    </row>
    <row r="674" ht="15" customHeight="1">
      <c r="I674" s="215" t="n"/>
      <c r="J674" s="215" t="n"/>
      <c r="K674" s="215" t="n"/>
      <c r="L674" s="215" t="n"/>
      <c r="M674" s="215" t="n"/>
      <c r="N674" s="215">
        <f>IF(ISNUMBER(I674),ROUND(I674-I674/1.081,2),"")</f>
        <v/>
      </c>
      <c r="O674" s="215">
        <f>IF(ISNUMBER(I674),I674-SUM(J674:N674),"")</f>
        <v/>
      </c>
      <c r="P674" s="216">
        <f>IFERROR(IF(AND(ISNUMBER(O674),ISNUMBER(I674),I674&lt;&gt;0),O674/I674,""),"")</f>
        <v/>
      </c>
      <c r="Q674" s="215">
        <f>IF(AND(ISNUMBER(I674),ISNUMBER(S674)),I674*IF(S674&lt;=1,S674,S674/100),IF(OR(I674&lt;&gt;"",S674&lt;&gt;""),"tbd",""))</f>
        <v/>
      </c>
      <c r="S674" s="217" t="n"/>
      <c r="Z674">
        <f>IF(AND(R674="WON",ISNUMBER(I674)),AA674,"")</f>
        <v/>
      </c>
      <c r="AA674">
        <f>IFERROR(I674*1,0)</f>
        <v>0</v>
      </c>
    </row>
    <row r="675" ht="15" customHeight="1">
      <c r="I675" s="215" t="n"/>
      <c r="J675" s="215" t="n"/>
      <c r="K675" s="215" t="n"/>
      <c r="L675" s="215" t="n"/>
      <c r="M675" s="215" t="n"/>
      <c r="N675" s="215">
        <f>IF(ISNUMBER(I675),ROUND(I675-I675/1.081,2),"")</f>
        <v/>
      </c>
      <c r="O675" s="215">
        <f>IF(ISNUMBER(I675),I675-SUM(J675:N675),"")</f>
        <v/>
      </c>
      <c r="P675" s="216">
        <f>IFERROR(IF(AND(ISNUMBER(O675),ISNUMBER(I675),I675&lt;&gt;0),O675/I675,""),"")</f>
        <v/>
      </c>
      <c r="Q675" s="215">
        <f>IF(AND(ISNUMBER(I675),ISNUMBER(S675)),I675*IF(S675&lt;=1,S675,S675/100),IF(OR(I675&lt;&gt;"",S675&lt;&gt;""),"tbd",""))</f>
        <v/>
      </c>
      <c r="S675" s="217" t="n"/>
      <c r="Z675">
        <f>IF(AND(R675="WON",ISNUMBER(I675)),AA675,"")</f>
        <v/>
      </c>
      <c r="AA675">
        <f>IFERROR(I675*1,0)</f>
        <v>0</v>
      </c>
    </row>
    <row r="676" ht="15" customHeight="1">
      <c r="I676" s="215" t="n"/>
      <c r="J676" s="215" t="n"/>
      <c r="K676" s="215" t="n"/>
      <c r="L676" s="215" t="n"/>
      <c r="M676" s="215" t="n"/>
      <c r="N676" s="215">
        <f>IF(ISNUMBER(I676),ROUND(I676-I676/1.081,2),"")</f>
        <v/>
      </c>
      <c r="O676" s="215">
        <f>IF(ISNUMBER(I676),I676-SUM(J676:N676),"")</f>
        <v/>
      </c>
      <c r="P676" s="216">
        <f>IFERROR(IF(AND(ISNUMBER(O676),ISNUMBER(I676),I676&lt;&gt;0),O676/I676,""),"")</f>
        <v/>
      </c>
      <c r="Q676" s="215">
        <f>IF(AND(ISNUMBER(I676),ISNUMBER(S676)),I676*IF(S676&lt;=1,S676,S676/100),IF(OR(I676&lt;&gt;"",S676&lt;&gt;""),"tbd",""))</f>
        <v/>
      </c>
      <c r="S676" s="217" t="n"/>
      <c r="Z676">
        <f>IF(AND(R676="WON",ISNUMBER(I676)),AA676,"")</f>
        <v/>
      </c>
      <c r="AA676">
        <f>IFERROR(I676*1,0)</f>
        <v>0</v>
      </c>
    </row>
    <row r="677" ht="15" customHeight="1">
      <c r="I677" s="215" t="n"/>
      <c r="J677" s="215" t="n"/>
      <c r="K677" s="215" t="n"/>
      <c r="L677" s="215" t="n"/>
      <c r="M677" s="215" t="n"/>
      <c r="N677" s="215">
        <f>IF(ISNUMBER(I677),ROUND(I677-I677/1.081,2),"")</f>
        <v/>
      </c>
      <c r="O677" s="215">
        <f>IF(ISNUMBER(I677),I677-SUM(J677:N677),"")</f>
        <v/>
      </c>
      <c r="P677" s="216">
        <f>IFERROR(IF(AND(ISNUMBER(O677),ISNUMBER(I677),I677&lt;&gt;0),O677/I677,""),"")</f>
        <v/>
      </c>
      <c r="Q677" s="215">
        <f>IF(AND(ISNUMBER(I677),ISNUMBER(S677)),I677*IF(S677&lt;=1,S677,S677/100),IF(OR(I677&lt;&gt;"",S677&lt;&gt;""),"tbd",""))</f>
        <v/>
      </c>
      <c r="S677" s="217" t="n"/>
      <c r="Z677">
        <f>IF(AND(R677="WON",ISNUMBER(I677)),AA677,"")</f>
        <v/>
      </c>
      <c r="AA677">
        <f>IFERROR(I677*1,0)</f>
        <v>0</v>
      </c>
    </row>
    <row r="678" ht="15" customHeight="1">
      <c r="I678" s="215" t="n"/>
      <c r="J678" s="215" t="n"/>
      <c r="K678" s="215" t="n"/>
      <c r="L678" s="215" t="n"/>
      <c r="M678" s="215" t="n"/>
      <c r="N678" s="215">
        <f>IF(ISNUMBER(I678),ROUND(I678-I678/1.081,2),"")</f>
        <v/>
      </c>
      <c r="O678" s="215">
        <f>IF(ISNUMBER(I678),I678-SUM(J678:N678),"")</f>
        <v/>
      </c>
      <c r="P678" s="216">
        <f>IFERROR(IF(AND(ISNUMBER(O678),ISNUMBER(I678),I678&lt;&gt;0),O678/I678,""),"")</f>
        <v/>
      </c>
      <c r="Q678" s="215">
        <f>IF(AND(ISNUMBER(I678),ISNUMBER(S678)),I678*IF(S678&lt;=1,S678,S678/100),IF(OR(I678&lt;&gt;"",S678&lt;&gt;""),"tbd",""))</f>
        <v/>
      </c>
      <c r="S678" s="217" t="n"/>
      <c r="Z678">
        <f>IF(AND(R678="WON",ISNUMBER(I678)),AA678,"")</f>
        <v/>
      </c>
      <c r="AA678">
        <f>IFERROR(I678*1,0)</f>
        <v>0</v>
      </c>
    </row>
    <row r="679" ht="15" customHeight="1">
      <c r="I679" s="215" t="n"/>
      <c r="J679" s="215" t="n"/>
      <c r="K679" s="215" t="n"/>
      <c r="L679" s="215" t="n"/>
      <c r="M679" s="215" t="n"/>
      <c r="N679" s="215">
        <f>IF(ISNUMBER(I679),ROUND(I679-I679/1.081,2),"")</f>
        <v/>
      </c>
      <c r="O679" s="215">
        <f>IF(ISNUMBER(I679),I679-SUM(J679:N679),"")</f>
        <v/>
      </c>
      <c r="P679" s="216">
        <f>IFERROR(IF(AND(ISNUMBER(O679),ISNUMBER(I679),I679&lt;&gt;0),O679/I679,""),"")</f>
        <v/>
      </c>
      <c r="Q679" s="215">
        <f>IF(AND(ISNUMBER(I679),ISNUMBER(S679)),I679*IF(S679&lt;=1,S679,S679/100),IF(OR(I679&lt;&gt;"",S679&lt;&gt;""),"tbd",""))</f>
        <v/>
      </c>
      <c r="S679" s="217" t="n"/>
      <c r="Z679">
        <f>IF(AND(R679="WON",ISNUMBER(I679)),AA679,"")</f>
        <v/>
      </c>
      <c r="AA679">
        <f>IFERROR(I679*1,0)</f>
        <v>0</v>
      </c>
    </row>
    <row r="680" ht="15" customHeight="1">
      <c r="I680" s="215" t="n"/>
      <c r="J680" s="215" t="n"/>
      <c r="K680" s="215" t="n"/>
      <c r="L680" s="215" t="n"/>
      <c r="M680" s="215" t="n"/>
      <c r="N680" s="215">
        <f>IF(ISNUMBER(I680),ROUND(I680-I680/1.081,2),"")</f>
        <v/>
      </c>
      <c r="O680" s="215">
        <f>IF(ISNUMBER(I680),I680-SUM(J680:N680),"")</f>
        <v/>
      </c>
      <c r="P680" s="216">
        <f>IFERROR(IF(AND(ISNUMBER(O680),ISNUMBER(I680),I680&lt;&gt;0),O680/I680,""),"")</f>
        <v/>
      </c>
      <c r="Q680" s="215">
        <f>IF(AND(ISNUMBER(I680),ISNUMBER(S680)),I680*IF(S680&lt;=1,S680,S680/100),IF(OR(I680&lt;&gt;"",S680&lt;&gt;""),"tbd",""))</f>
        <v/>
      </c>
      <c r="S680" s="217" t="n"/>
      <c r="Z680">
        <f>IF(AND(R680="WON",ISNUMBER(I680)),AA680,"")</f>
        <v/>
      </c>
      <c r="AA680">
        <f>IFERROR(I680*1,0)</f>
        <v>0</v>
      </c>
    </row>
    <row r="681" ht="15" customHeight="1">
      <c r="I681" s="215" t="n"/>
      <c r="J681" s="215" t="n"/>
      <c r="K681" s="215" t="n"/>
      <c r="L681" s="215" t="n"/>
      <c r="M681" s="215" t="n"/>
      <c r="N681" s="215">
        <f>IF(ISNUMBER(I681),ROUND(I681-I681/1.081,2),"")</f>
        <v/>
      </c>
      <c r="O681" s="215">
        <f>IF(ISNUMBER(I681),I681-SUM(J681:N681),"")</f>
        <v/>
      </c>
      <c r="P681" s="216">
        <f>IFERROR(IF(AND(ISNUMBER(O681),ISNUMBER(I681),I681&lt;&gt;0),O681/I681,""),"")</f>
        <v/>
      </c>
      <c r="Q681" s="215">
        <f>IF(AND(ISNUMBER(I681),ISNUMBER(S681)),I681*IF(S681&lt;=1,S681,S681/100),IF(OR(I681&lt;&gt;"",S681&lt;&gt;""),"tbd",""))</f>
        <v/>
      </c>
      <c r="S681" s="217" t="n"/>
      <c r="Z681">
        <f>IF(AND(R681="WON",ISNUMBER(I681)),AA681,"")</f>
        <v/>
      </c>
      <c r="AA681">
        <f>IFERROR(I681*1,0)</f>
        <v>0</v>
      </c>
    </row>
    <row r="682" ht="15" customHeight="1">
      <c r="I682" s="215" t="n"/>
      <c r="J682" s="215" t="n"/>
      <c r="K682" s="215" t="n"/>
      <c r="L682" s="215" t="n"/>
      <c r="M682" s="215" t="n"/>
      <c r="N682" s="215">
        <f>IF(ISNUMBER(I682),ROUND(I682-I682/1.081,2),"")</f>
        <v/>
      </c>
      <c r="O682" s="215">
        <f>IF(ISNUMBER(I682),I682-SUM(J682:N682),"")</f>
        <v/>
      </c>
      <c r="P682" s="216">
        <f>IFERROR(IF(AND(ISNUMBER(O682),ISNUMBER(I682),I682&lt;&gt;0),O682/I682,""),"")</f>
        <v/>
      </c>
      <c r="Q682" s="215">
        <f>IF(AND(ISNUMBER(I682),ISNUMBER(S682)),I682*IF(S682&lt;=1,S682,S682/100),IF(OR(I682&lt;&gt;"",S682&lt;&gt;""),"tbd",""))</f>
        <v/>
      </c>
      <c r="S682" s="217" t="n"/>
      <c r="Z682">
        <f>IF(AND(R682="WON",ISNUMBER(I682)),AA682,"")</f>
        <v/>
      </c>
      <c r="AA682">
        <f>IFERROR(I682*1,0)</f>
        <v>0</v>
      </c>
    </row>
    <row r="683" ht="15" customHeight="1">
      <c r="I683" s="215" t="n"/>
      <c r="J683" s="215" t="n"/>
      <c r="K683" s="215" t="n"/>
      <c r="L683" s="215" t="n"/>
      <c r="M683" s="215" t="n"/>
      <c r="N683" s="215">
        <f>IF(ISNUMBER(I683),ROUND(I683-I683/1.081,2),"")</f>
        <v/>
      </c>
      <c r="O683" s="215">
        <f>IF(ISNUMBER(I683),I683-SUM(J683:N683),"")</f>
        <v/>
      </c>
      <c r="P683" s="216">
        <f>IFERROR(IF(AND(ISNUMBER(O683),ISNUMBER(I683),I683&lt;&gt;0),O683/I683,""),"")</f>
        <v/>
      </c>
      <c r="Q683" s="215">
        <f>IF(AND(ISNUMBER(I683),ISNUMBER(S683)),I683*IF(S683&lt;=1,S683,S683/100),IF(OR(I683&lt;&gt;"",S683&lt;&gt;""),"tbd",""))</f>
        <v/>
      </c>
      <c r="S683" s="217" t="n"/>
      <c r="Z683">
        <f>IF(AND(R683="WON",ISNUMBER(I683)),AA683,"")</f>
        <v/>
      </c>
      <c r="AA683">
        <f>IFERROR(I683*1,0)</f>
        <v>0</v>
      </c>
    </row>
    <row r="684" ht="15" customHeight="1">
      <c r="I684" s="215" t="n"/>
      <c r="J684" s="215" t="n"/>
      <c r="K684" s="215" t="n"/>
      <c r="L684" s="215" t="n"/>
      <c r="M684" s="215" t="n"/>
      <c r="N684" s="215">
        <f>IF(ISNUMBER(I684),ROUND(I684-I684/1.081,2),"")</f>
        <v/>
      </c>
      <c r="O684" s="215">
        <f>IF(ISNUMBER(I684),I684-SUM(J684:N684),"")</f>
        <v/>
      </c>
      <c r="P684" s="216">
        <f>IFERROR(IF(AND(ISNUMBER(O684),ISNUMBER(I684),I684&lt;&gt;0),O684/I684,""),"")</f>
        <v/>
      </c>
      <c r="Q684" s="215">
        <f>IF(AND(ISNUMBER(I684),ISNUMBER(S684)),I684*IF(S684&lt;=1,S684,S684/100),IF(OR(I684&lt;&gt;"",S684&lt;&gt;""),"tbd",""))</f>
        <v/>
      </c>
      <c r="S684" s="217" t="n"/>
      <c r="Z684">
        <f>IF(AND(R684="WON",ISNUMBER(I684)),AA684,"")</f>
        <v/>
      </c>
      <c r="AA684">
        <f>IFERROR(I684*1,0)</f>
        <v>0</v>
      </c>
    </row>
    <row r="685" ht="15" customHeight="1">
      <c r="I685" s="215" t="n"/>
      <c r="J685" s="215" t="n"/>
      <c r="K685" s="215" t="n"/>
      <c r="L685" s="215" t="n"/>
      <c r="M685" s="215" t="n"/>
      <c r="N685" s="215">
        <f>IF(ISNUMBER(I685),ROUND(I685-I685/1.081,2),"")</f>
        <v/>
      </c>
      <c r="O685" s="215">
        <f>IF(ISNUMBER(I685),I685-SUM(J685:N685),"")</f>
        <v/>
      </c>
      <c r="P685" s="216">
        <f>IFERROR(IF(AND(ISNUMBER(O685),ISNUMBER(I685),I685&lt;&gt;0),O685/I685,""),"")</f>
        <v/>
      </c>
      <c r="Q685" s="215">
        <f>IF(AND(ISNUMBER(I685),ISNUMBER(S685)),I685*IF(S685&lt;=1,S685,S685/100),IF(OR(I685&lt;&gt;"",S685&lt;&gt;""),"tbd",""))</f>
        <v/>
      </c>
      <c r="S685" s="217" t="n"/>
      <c r="Z685">
        <f>IF(AND(R685="WON",ISNUMBER(I685)),AA685,"")</f>
        <v/>
      </c>
      <c r="AA685">
        <f>IFERROR(I685*1,0)</f>
        <v>0</v>
      </c>
    </row>
    <row r="686" ht="15" customHeight="1">
      <c r="I686" s="215" t="n"/>
      <c r="J686" s="215" t="n"/>
      <c r="K686" s="215" t="n"/>
      <c r="L686" s="215" t="n"/>
      <c r="M686" s="215" t="n"/>
      <c r="N686" s="215">
        <f>IF(ISNUMBER(I686),ROUND(I686-I686/1.081,2),"")</f>
        <v/>
      </c>
      <c r="O686" s="215">
        <f>IF(ISNUMBER(I686),I686-SUM(J686:N686),"")</f>
        <v/>
      </c>
      <c r="P686" s="216">
        <f>IFERROR(IF(AND(ISNUMBER(O686),ISNUMBER(I686),I686&lt;&gt;0),O686/I686,""),"")</f>
        <v/>
      </c>
      <c r="Q686" s="215">
        <f>IF(AND(ISNUMBER(I686),ISNUMBER(S686)),I686*IF(S686&lt;=1,S686,S686/100),IF(OR(I686&lt;&gt;"",S686&lt;&gt;""),"tbd",""))</f>
        <v/>
      </c>
      <c r="S686" s="217" t="n"/>
      <c r="Z686">
        <f>IF(AND(R686="WON",ISNUMBER(I686)),AA686,"")</f>
        <v/>
      </c>
      <c r="AA686">
        <f>IFERROR(I686*1,0)</f>
        <v>0</v>
      </c>
    </row>
    <row r="687" ht="15" customHeight="1">
      <c r="I687" s="215" t="n"/>
      <c r="J687" s="215" t="n"/>
      <c r="K687" s="215" t="n"/>
      <c r="L687" s="215" t="n"/>
      <c r="M687" s="215" t="n"/>
      <c r="N687" s="215">
        <f>IF(ISNUMBER(I687),ROUND(I687-I687/1.081,2),"")</f>
        <v/>
      </c>
      <c r="O687" s="215">
        <f>IF(ISNUMBER(I687),I687-SUM(J687:N687),"")</f>
        <v/>
      </c>
      <c r="P687" s="216">
        <f>IFERROR(IF(AND(ISNUMBER(O687),ISNUMBER(I687),I687&lt;&gt;0),O687/I687,""),"")</f>
        <v/>
      </c>
      <c r="Q687" s="215">
        <f>IF(AND(ISNUMBER(I687),ISNUMBER(S687)),I687*IF(S687&lt;=1,S687,S687/100),IF(OR(I687&lt;&gt;"",S687&lt;&gt;""),"tbd",""))</f>
        <v/>
      </c>
      <c r="S687" s="217" t="n"/>
      <c r="Z687">
        <f>IF(AND(R687="WON",ISNUMBER(I687)),AA687,"")</f>
        <v/>
      </c>
      <c r="AA687">
        <f>IFERROR(I687*1,0)</f>
        <v>0</v>
      </c>
    </row>
    <row r="688" ht="15" customHeight="1">
      <c r="I688" s="215" t="n"/>
      <c r="J688" s="215" t="n"/>
      <c r="K688" s="215" t="n"/>
      <c r="L688" s="215" t="n"/>
      <c r="M688" s="215" t="n"/>
      <c r="N688" s="215">
        <f>IF(ISNUMBER(I688),ROUND(I688-I688/1.081,2),"")</f>
        <v/>
      </c>
      <c r="O688" s="215">
        <f>IF(ISNUMBER(I688),I688-SUM(J688:N688),"")</f>
        <v/>
      </c>
      <c r="P688" s="216">
        <f>IFERROR(IF(AND(ISNUMBER(O688),ISNUMBER(I688),I688&lt;&gt;0),O688/I688,""),"")</f>
        <v/>
      </c>
      <c r="Q688" s="215">
        <f>IF(AND(ISNUMBER(I688),ISNUMBER(S688)),I688*IF(S688&lt;=1,S688,S688/100),IF(OR(I688&lt;&gt;"",S688&lt;&gt;""),"tbd",""))</f>
        <v/>
      </c>
      <c r="S688" s="217" t="n"/>
      <c r="Z688">
        <f>IF(AND(R688="WON",ISNUMBER(I688)),AA688,"")</f>
        <v/>
      </c>
      <c r="AA688">
        <f>IFERROR(I688*1,0)</f>
        <v>0</v>
      </c>
    </row>
    <row r="689" ht="15" customHeight="1">
      <c r="I689" s="215" t="n"/>
      <c r="J689" s="215" t="n"/>
      <c r="K689" s="215" t="n"/>
      <c r="L689" s="215" t="n"/>
      <c r="M689" s="215" t="n"/>
      <c r="N689" s="215">
        <f>IF(ISNUMBER(I689),ROUND(I689-I689/1.081,2),"")</f>
        <v/>
      </c>
      <c r="O689" s="215">
        <f>IF(ISNUMBER(I689),I689-SUM(J689:N689),"")</f>
        <v/>
      </c>
      <c r="P689" s="216">
        <f>IFERROR(IF(AND(ISNUMBER(O689),ISNUMBER(I689),I689&lt;&gt;0),O689/I689,""),"")</f>
        <v/>
      </c>
      <c r="Q689" s="215">
        <f>IF(AND(ISNUMBER(I689),ISNUMBER(S689)),I689*IF(S689&lt;=1,S689,S689/100),IF(OR(I689&lt;&gt;"",S689&lt;&gt;""),"tbd",""))</f>
        <v/>
      </c>
      <c r="S689" s="217" t="n"/>
      <c r="Z689">
        <f>IF(AND(R689="WON",ISNUMBER(I689)),AA689,"")</f>
        <v/>
      </c>
      <c r="AA689">
        <f>IFERROR(I689*1,0)</f>
        <v>0</v>
      </c>
    </row>
    <row r="690" ht="15" customHeight="1">
      <c r="I690" s="215" t="n"/>
      <c r="J690" s="215" t="n"/>
      <c r="K690" s="215" t="n"/>
      <c r="L690" s="215" t="n"/>
      <c r="M690" s="215" t="n"/>
      <c r="N690" s="215">
        <f>IF(ISNUMBER(I690),ROUND(I690-I690/1.081,2),"")</f>
        <v/>
      </c>
      <c r="O690" s="215">
        <f>IF(ISNUMBER(I690),I690-SUM(J690:N690),"")</f>
        <v/>
      </c>
      <c r="P690" s="216">
        <f>IFERROR(IF(AND(ISNUMBER(O690),ISNUMBER(I690),I690&lt;&gt;0),O690/I690,""),"")</f>
        <v/>
      </c>
      <c r="Q690" s="215">
        <f>IF(AND(ISNUMBER(I690),ISNUMBER(S690)),I690*IF(S690&lt;=1,S690,S690/100),IF(OR(I690&lt;&gt;"",S690&lt;&gt;""),"tbd",""))</f>
        <v/>
      </c>
      <c r="S690" s="217" t="n"/>
      <c r="Z690">
        <f>IF(AND(R690="WON",ISNUMBER(I690)),AA690,"")</f>
        <v/>
      </c>
      <c r="AA690">
        <f>IFERROR(I690*1,0)</f>
        <v>0</v>
      </c>
    </row>
    <row r="691" ht="15" customHeight="1">
      <c r="I691" s="215" t="n"/>
      <c r="J691" s="215" t="n"/>
      <c r="K691" s="215" t="n"/>
      <c r="L691" s="215" t="n"/>
      <c r="M691" s="215" t="n"/>
      <c r="N691" s="215">
        <f>IF(ISNUMBER(I691),ROUND(I691-I691/1.081,2),"")</f>
        <v/>
      </c>
      <c r="O691" s="215">
        <f>IF(ISNUMBER(I691),I691-SUM(J691:N691),"")</f>
        <v/>
      </c>
      <c r="P691" s="216">
        <f>IFERROR(IF(AND(ISNUMBER(O691),ISNUMBER(I691),I691&lt;&gt;0),O691/I691,""),"")</f>
        <v/>
      </c>
      <c r="Q691" s="215">
        <f>IF(AND(ISNUMBER(I691),ISNUMBER(S691)),I691*IF(S691&lt;=1,S691,S691/100),IF(OR(I691&lt;&gt;"",S691&lt;&gt;""),"tbd",""))</f>
        <v/>
      </c>
      <c r="S691" s="217" t="n"/>
      <c r="Z691">
        <f>IF(AND(R691="WON",ISNUMBER(I691)),AA691,"")</f>
        <v/>
      </c>
      <c r="AA691">
        <f>IFERROR(I691*1,0)</f>
        <v>0</v>
      </c>
    </row>
    <row r="692" ht="15" customHeight="1">
      <c r="I692" s="215" t="n"/>
      <c r="J692" s="215" t="n"/>
      <c r="K692" s="215" t="n"/>
      <c r="L692" s="215" t="n"/>
      <c r="M692" s="215" t="n"/>
      <c r="N692" s="215">
        <f>IF(ISNUMBER(I692),ROUND(I692-I692/1.081,2),"")</f>
        <v/>
      </c>
      <c r="O692" s="215">
        <f>IF(ISNUMBER(I692),I692-SUM(J692:N692),"")</f>
        <v/>
      </c>
      <c r="P692" s="216">
        <f>IFERROR(IF(AND(ISNUMBER(O692),ISNUMBER(I692),I692&lt;&gt;0),O692/I692,""),"")</f>
        <v/>
      </c>
      <c r="Q692" s="215">
        <f>IF(AND(ISNUMBER(I692),ISNUMBER(S692)),I692*IF(S692&lt;=1,S692,S692/100),IF(OR(I692&lt;&gt;"",S692&lt;&gt;""),"tbd",""))</f>
        <v/>
      </c>
      <c r="S692" s="217" t="n"/>
      <c r="Z692">
        <f>IF(AND(R692="WON",ISNUMBER(I692)),AA692,"")</f>
        <v/>
      </c>
      <c r="AA692">
        <f>IFERROR(I692*1,0)</f>
        <v>0</v>
      </c>
    </row>
    <row r="693" ht="15" customHeight="1">
      <c r="I693" s="215" t="n"/>
      <c r="J693" s="215" t="n"/>
      <c r="K693" s="215" t="n"/>
      <c r="L693" s="215" t="n"/>
      <c r="M693" s="215" t="n"/>
      <c r="N693" s="215">
        <f>IF(ISNUMBER(I693),ROUND(I693-I693/1.081,2),"")</f>
        <v/>
      </c>
      <c r="O693" s="215">
        <f>IF(ISNUMBER(I693),I693-SUM(J693:N693),"")</f>
        <v/>
      </c>
      <c r="P693" s="216">
        <f>IFERROR(IF(AND(ISNUMBER(O693),ISNUMBER(I693),I693&lt;&gt;0),O693/I693,""),"")</f>
        <v/>
      </c>
      <c r="Q693" s="215">
        <f>IF(AND(ISNUMBER(I693),ISNUMBER(S693)),I693*IF(S693&lt;=1,S693,S693/100),IF(OR(I693&lt;&gt;"",S693&lt;&gt;""),"tbd",""))</f>
        <v/>
      </c>
      <c r="S693" s="217" t="n"/>
      <c r="Z693">
        <f>IF(AND(R693="WON",ISNUMBER(I693)),AA693,"")</f>
        <v/>
      </c>
      <c r="AA693">
        <f>IFERROR(I693*1,0)</f>
        <v>0</v>
      </c>
    </row>
    <row r="694" ht="15" customHeight="1">
      <c r="I694" s="215" t="n"/>
      <c r="J694" s="215" t="n"/>
      <c r="K694" s="215" t="n"/>
      <c r="L694" s="215" t="n"/>
      <c r="M694" s="215" t="n"/>
      <c r="N694" s="215">
        <f>IF(ISNUMBER(I694),ROUND(I694-I694/1.081,2),"")</f>
        <v/>
      </c>
      <c r="O694" s="215">
        <f>IF(ISNUMBER(I694),I694-SUM(J694:N694),"")</f>
        <v/>
      </c>
      <c r="P694" s="216">
        <f>IFERROR(IF(AND(ISNUMBER(O694),ISNUMBER(I694),I694&lt;&gt;0),O694/I694,""),"")</f>
        <v/>
      </c>
      <c r="Q694" s="215">
        <f>IF(AND(ISNUMBER(I694),ISNUMBER(S694)),I694*IF(S694&lt;=1,S694,S694/100),IF(OR(I694&lt;&gt;"",S694&lt;&gt;""),"tbd",""))</f>
        <v/>
      </c>
      <c r="S694" s="217" t="n"/>
      <c r="Z694">
        <f>IF(AND(R694="WON",ISNUMBER(I694)),AA694,"")</f>
        <v/>
      </c>
      <c r="AA694">
        <f>IFERROR(I694*1,0)</f>
        <v>0</v>
      </c>
    </row>
    <row r="695" ht="15" customHeight="1">
      <c r="I695" s="215" t="n"/>
      <c r="J695" s="215" t="n"/>
      <c r="K695" s="215" t="n"/>
      <c r="L695" s="215" t="n"/>
      <c r="M695" s="215" t="n"/>
      <c r="N695" s="215">
        <f>IF(ISNUMBER(I695),ROUND(I695-I695/1.081,2),"")</f>
        <v/>
      </c>
      <c r="O695" s="215">
        <f>IF(ISNUMBER(I695),I695-SUM(J695:N695),"")</f>
        <v/>
      </c>
      <c r="P695" s="216">
        <f>IFERROR(IF(AND(ISNUMBER(O695),ISNUMBER(I695),I695&lt;&gt;0),O695/I695,""),"")</f>
        <v/>
      </c>
      <c r="Q695" s="215">
        <f>IF(AND(ISNUMBER(I695),ISNUMBER(S695)),I695*IF(S695&lt;=1,S695,S695/100),IF(OR(I695&lt;&gt;"",S695&lt;&gt;""),"tbd",""))</f>
        <v/>
      </c>
      <c r="S695" s="217" t="n"/>
      <c r="Z695">
        <f>IF(AND(R695="WON",ISNUMBER(I695)),AA695,"")</f>
        <v/>
      </c>
      <c r="AA695">
        <f>IFERROR(I695*1,0)</f>
        <v>0</v>
      </c>
    </row>
    <row r="696" ht="15" customHeight="1">
      <c r="I696" s="215" t="n"/>
      <c r="J696" s="215" t="n"/>
      <c r="K696" s="215" t="n"/>
      <c r="L696" s="215" t="n"/>
      <c r="M696" s="215" t="n"/>
      <c r="N696" s="215">
        <f>IF(ISNUMBER(I696),ROUND(I696-I696/1.081,2),"")</f>
        <v/>
      </c>
      <c r="O696" s="215">
        <f>IF(ISNUMBER(I696),I696-SUM(J696:N696),"")</f>
        <v/>
      </c>
      <c r="P696" s="216">
        <f>IFERROR(IF(AND(ISNUMBER(O696),ISNUMBER(I696),I696&lt;&gt;0),O696/I696,""),"")</f>
        <v/>
      </c>
      <c r="Q696" s="215">
        <f>IF(AND(ISNUMBER(I696),ISNUMBER(S696)),I696*IF(S696&lt;=1,S696,S696/100),IF(OR(I696&lt;&gt;"",S696&lt;&gt;""),"tbd",""))</f>
        <v/>
      </c>
      <c r="S696" s="217" t="n"/>
      <c r="Z696">
        <f>IF(AND(R696="WON",ISNUMBER(I696)),AA696,"")</f>
        <v/>
      </c>
      <c r="AA696">
        <f>IFERROR(I696*1,0)</f>
        <v>0</v>
      </c>
    </row>
    <row r="697" ht="15" customHeight="1">
      <c r="I697" s="215" t="n"/>
      <c r="J697" s="215" t="n"/>
      <c r="K697" s="215" t="n"/>
      <c r="L697" s="215" t="n"/>
      <c r="M697" s="215" t="n"/>
      <c r="N697" s="215">
        <f>IF(ISNUMBER(I697),ROUND(I697-I697/1.081,2),"")</f>
        <v/>
      </c>
      <c r="O697" s="215">
        <f>IF(ISNUMBER(I697),I697-SUM(J697:N697),"")</f>
        <v/>
      </c>
      <c r="P697" s="216">
        <f>IFERROR(IF(AND(ISNUMBER(O697),ISNUMBER(I697),I697&lt;&gt;0),O697/I697,""),"")</f>
        <v/>
      </c>
      <c r="Q697" s="215">
        <f>IF(AND(ISNUMBER(I697),ISNUMBER(S697)),I697*IF(S697&lt;=1,S697,S697/100),IF(OR(I697&lt;&gt;"",S697&lt;&gt;""),"tbd",""))</f>
        <v/>
      </c>
      <c r="S697" s="217" t="n"/>
      <c r="Z697">
        <f>IF(AND(R697="WON",ISNUMBER(I697)),AA697,"")</f>
        <v/>
      </c>
      <c r="AA697">
        <f>IFERROR(I697*1,0)</f>
        <v>0</v>
      </c>
    </row>
    <row r="698" ht="15" customHeight="1">
      <c r="I698" s="215" t="n"/>
      <c r="J698" s="215" t="n"/>
      <c r="K698" s="215" t="n"/>
      <c r="L698" s="215" t="n"/>
      <c r="M698" s="215" t="n"/>
      <c r="N698" s="215">
        <f>IF(ISNUMBER(I698),ROUND(I698-I698/1.081,2),"")</f>
        <v/>
      </c>
      <c r="O698" s="215">
        <f>IF(ISNUMBER(I698),I698-SUM(J698:N698),"")</f>
        <v/>
      </c>
      <c r="P698" s="216">
        <f>IFERROR(IF(AND(ISNUMBER(O698),ISNUMBER(I698),I698&lt;&gt;0),O698/I698,""),"")</f>
        <v/>
      </c>
      <c r="Q698" s="215">
        <f>IF(AND(ISNUMBER(I698),ISNUMBER(S698)),I698*IF(S698&lt;=1,S698,S698/100),IF(OR(I698&lt;&gt;"",S698&lt;&gt;""),"tbd",""))</f>
        <v/>
      </c>
      <c r="S698" s="217" t="n"/>
      <c r="Z698">
        <f>IF(AND(R698="WON",ISNUMBER(I698)),AA698,"")</f>
        <v/>
      </c>
      <c r="AA698">
        <f>IFERROR(I698*1,0)</f>
        <v>0</v>
      </c>
    </row>
    <row r="699" ht="15" customHeight="1">
      <c r="I699" s="215" t="n"/>
      <c r="J699" s="215" t="n"/>
      <c r="K699" s="215" t="n"/>
      <c r="L699" s="215" t="n"/>
      <c r="M699" s="215" t="n"/>
      <c r="N699" s="215">
        <f>IF(ISNUMBER(I699),ROUND(I699-I699/1.081,2),"")</f>
        <v/>
      </c>
      <c r="O699" s="215">
        <f>IF(ISNUMBER(I699),I699-SUM(J699:N699),"")</f>
        <v/>
      </c>
      <c r="P699" s="216">
        <f>IFERROR(IF(AND(ISNUMBER(O699),ISNUMBER(I699),I699&lt;&gt;0),O699/I699,""),"")</f>
        <v/>
      </c>
      <c r="Q699" s="215">
        <f>IF(AND(ISNUMBER(I699),ISNUMBER(S699)),I699*IF(S699&lt;=1,S699,S699/100),IF(OR(I699&lt;&gt;"",S699&lt;&gt;""),"tbd",""))</f>
        <v/>
      </c>
      <c r="S699" s="217" t="n"/>
      <c r="Z699">
        <f>IF(AND(R699="WON",ISNUMBER(I699)),AA699,"")</f>
        <v/>
      </c>
      <c r="AA699">
        <f>IFERROR(I699*1,0)</f>
        <v>0</v>
      </c>
    </row>
    <row r="700" ht="15" customHeight="1">
      <c r="I700" s="215" t="n"/>
      <c r="J700" s="215" t="n"/>
      <c r="K700" s="215" t="n"/>
      <c r="L700" s="215" t="n"/>
      <c r="M700" s="215" t="n"/>
      <c r="N700" s="215">
        <f>IF(ISNUMBER(I700),ROUND(I700-I700/1.081,2),"")</f>
        <v/>
      </c>
      <c r="O700" s="215">
        <f>IF(ISNUMBER(I700),I700-SUM(J700:N700),"")</f>
        <v/>
      </c>
      <c r="P700" s="216">
        <f>IFERROR(IF(AND(ISNUMBER(O700),ISNUMBER(I700),I700&lt;&gt;0),O700/I700,""),"")</f>
        <v/>
      </c>
      <c r="Q700" s="215">
        <f>IF(AND(ISNUMBER(I700),ISNUMBER(S700)),I700*IF(S700&lt;=1,S700,S700/100),IF(OR(I700&lt;&gt;"",S700&lt;&gt;""),"tbd",""))</f>
        <v/>
      </c>
      <c r="S700" s="217" t="n"/>
      <c r="Z700">
        <f>IF(AND(R700="WON",ISNUMBER(I700)),AA700,"")</f>
        <v/>
      </c>
      <c r="AA700">
        <f>IFERROR(I700*1,0)</f>
        <v>0</v>
      </c>
    </row>
    <row r="701" ht="15" customHeight="1">
      <c r="I701" s="215" t="n"/>
      <c r="J701" s="215" t="n"/>
      <c r="K701" s="215" t="n"/>
      <c r="L701" s="215" t="n"/>
      <c r="M701" s="215" t="n"/>
      <c r="N701" s="215">
        <f>IF(ISNUMBER(I701),ROUND(I701-I701/1.081,2),"")</f>
        <v/>
      </c>
      <c r="O701" s="215">
        <f>IF(ISNUMBER(I701),I701-SUM(J701:N701),"")</f>
        <v/>
      </c>
      <c r="P701" s="216">
        <f>IFERROR(IF(AND(ISNUMBER(O701),ISNUMBER(I701),I701&lt;&gt;0),O701/I701,""),"")</f>
        <v/>
      </c>
      <c r="Q701" s="215">
        <f>IF(AND(ISNUMBER(I701),ISNUMBER(S701)),I701*IF(S701&lt;=1,S701,S701/100),IF(OR(I701&lt;&gt;"",S701&lt;&gt;""),"tbd",""))</f>
        <v/>
      </c>
      <c r="S701" s="217" t="n"/>
      <c r="Z701">
        <f>IF(AND(R701="WON",ISNUMBER(I701)),AA701,"")</f>
        <v/>
      </c>
      <c r="AA701">
        <f>IFERROR(I701*1,0)</f>
        <v>0</v>
      </c>
    </row>
    <row r="702" ht="15" customHeight="1">
      <c r="I702" s="215" t="n"/>
      <c r="J702" s="215" t="n"/>
      <c r="K702" s="215" t="n"/>
      <c r="L702" s="215" t="n"/>
      <c r="M702" s="215" t="n"/>
      <c r="N702" s="215">
        <f>IF(ISNUMBER(I702),ROUND(I702-I702/1.081,2),"")</f>
        <v/>
      </c>
      <c r="O702" s="215">
        <f>IF(ISNUMBER(I702),I702-SUM(J702:N702),"")</f>
        <v/>
      </c>
      <c r="P702" s="216">
        <f>IFERROR(IF(AND(ISNUMBER(O702),ISNUMBER(I702),I702&lt;&gt;0),O702/I702,""),"")</f>
        <v/>
      </c>
      <c r="Q702" s="215">
        <f>IF(AND(ISNUMBER(I702),ISNUMBER(S702)),I702*IF(S702&lt;=1,S702,S702/100),IF(OR(I702&lt;&gt;"",S702&lt;&gt;""),"tbd",""))</f>
        <v/>
      </c>
      <c r="S702" s="217" t="n"/>
      <c r="Z702">
        <f>IF(AND(R702="WON",ISNUMBER(I702)),AA702,"")</f>
        <v/>
      </c>
      <c r="AA702">
        <f>IFERROR(I702*1,0)</f>
        <v>0</v>
      </c>
    </row>
    <row r="703" ht="15" customHeight="1">
      <c r="I703" s="215" t="n"/>
      <c r="J703" s="215" t="n"/>
      <c r="K703" s="215" t="n"/>
      <c r="L703" s="215" t="n"/>
      <c r="M703" s="215" t="n"/>
      <c r="N703" s="215">
        <f>IF(ISNUMBER(I703),ROUND(I703-I703/1.081,2),"")</f>
        <v/>
      </c>
      <c r="O703" s="215">
        <f>IF(ISNUMBER(I703),I703-SUM(J703:N703),"")</f>
        <v/>
      </c>
      <c r="P703" s="216">
        <f>IFERROR(IF(AND(ISNUMBER(O703),ISNUMBER(I703),I703&lt;&gt;0),O703/I703,""),"")</f>
        <v/>
      </c>
      <c r="Q703" s="215">
        <f>IF(AND(ISNUMBER(I703),ISNUMBER(S703)),I703*IF(S703&lt;=1,S703,S703/100),IF(OR(I703&lt;&gt;"",S703&lt;&gt;""),"tbd",""))</f>
        <v/>
      </c>
      <c r="S703" s="217" t="n"/>
      <c r="Z703">
        <f>IF(AND(R703="WON",ISNUMBER(I703)),AA703,"")</f>
        <v/>
      </c>
      <c r="AA703">
        <f>IFERROR(I703*1,0)</f>
        <v>0</v>
      </c>
    </row>
    <row r="704" ht="15" customHeight="1">
      <c r="I704" s="215" t="n"/>
      <c r="J704" s="215" t="n"/>
      <c r="K704" s="215" t="n"/>
      <c r="L704" s="215" t="n"/>
      <c r="M704" s="215" t="n"/>
      <c r="N704" s="215">
        <f>IF(ISNUMBER(I704),ROUND(I704-I704/1.081,2),"")</f>
        <v/>
      </c>
      <c r="O704" s="215">
        <f>IF(ISNUMBER(I704),I704-SUM(J704:N704),"")</f>
        <v/>
      </c>
      <c r="P704" s="216">
        <f>IFERROR(IF(AND(ISNUMBER(O704),ISNUMBER(I704),I704&lt;&gt;0),O704/I704,""),"")</f>
        <v/>
      </c>
      <c r="Q704" s="215">
        <f>IF(AND(ISNUMBER(I704),ISNUMBER(S704)),I704*IF(S704&lt;=1,S704,S704/100),IF(OR(I704&lt;&gt;"",S704&lt;&gt;""),"tbd",""))</f>
        <v/>
      </c>
      <c r="S704" s="217" t="n"/>
      <c r="Z704">
        <f>IF(AND(R704="WON",ISNUMBER(I704)),AA704,"")</f>
        <v/>
      </c>
      <c r="AA704">
        <f>IFERROR(I704*1,0)</f>
        <v>0</v>
      </c>
    </row>
    <row r="705" ht="15" customHeight="1">
      <c r="I705" s="215" t="n"/>
      <c r="J705" s="215" t="n"/>
      <c r="K705" s="215" t="n"/>
      <c r="L705" s="215" t="n"/>
      <c r="M705" s="215" t="n"/>
      <c r="N705" s="215">
        <f>IF(ISNUMBER(I705),ROUND(I705-I705/1.081,2),"")</f>
        <v/>
      </c>
      <c r="O705" s="215">
        <f>IF(ISNUMBER(I705),I705-SUM(J705:N705),"")</f>
        <v/>
      </c>
      <c r="P705" s="216">
        <f>IFERROR(IF(AND(ISNUMBER(O705),ISNUMBER(I705),I705&lt;&gt;0),O705/I705,""),"")</f>
        <v/>
      </c>
      <c r="Q705" s="215">
        <f>IF(AND(ISNUMBER(I705),ISNUMBER(S705)),I705*IF(S705&lt;=1,S705,S705/100),IF(OR(I705&lt;&gt;"",S705&lt;&gt;""),"tbd",""))</f>
        <v/>
      </c>
      <c r="S705" s="217" t="n"/>
      <c r="Z705">
        <f>IF(AND(R705="WON",ISNUMBER(I705)),AA705,"")</f>
        <v/>
      </c>
      <c r="AA705">
        <f>IFERROR(I705*1,0)</f>
        <v>0</v>
      </c>
    </row>
    <row r="706" ht="15" customHeight="1">
      <c r="I706" s="215" t="n"/>
      <c r="J706" s="215" t="n"/>
      <c r="K706" s="215" t="n"/>
      <c r="L706" s="215" t="n"/>
      <c r="M706" s="215" t="n"/>
      <c r="N706" s="215">
        <f>IF(ISNUMBER(I706),ROUND(I706-I706/1.081,2),"")</f>
        <v/>
      </c>
      <c r="O706" s="215">
        <f>IF(ISNUMBER(I706),I706-SUM(J706:N706),"")</f>
        <v/>
      </c>
      <c r="P706" s="216">
        <f>IFERROR(IF(AND(ISNUMBER(O706),ISNUMBER(I706),I706&lt;&gt;0),O706/I706,""),"")</f>
        <v/>
      </c>
      <c r="Q706" s="215">
        <f>IF(AND(ISNUMBER(I706),ISNUMBER(S706)),I706*IF(S706&lt;=1,S706,S706/100),IF(OR(I706&lt;&gt;"",S706&lt;&gt;""),"tbd",""))</f>
        <v/>
      </c>
      <c r="S706" s="217" t="n"/>
      <c r="Z706">
        <f>IF(AND(R706="WON",ISNUMBER(I706)),AA706,"")</f>
        <v/>
      </c>
      <c r="AA706">
        <f>IFERROR(I706*1,0)</f>
        <v>0</v>
      </c>
    </row>
    <row r="707" ht="15" customHeight="1">
      <c r="I707" s="215" t="n"/>
      <c r="J707" s="215" t="n"/>
      <c r="K707" s="215" t="n"/>
      <c r="L707" s="215" t="n"/>
      <c r="M707" s="215" t="n"/>
      <c r="N707" s="215">
        <f>IF(ISNUMBER(I707),ROUND(I707-I707/1.081,2),"")</f>
        <v/>
      </c>
      <c r="O707" s="215">
        <f>IF(ISNUMBER(I707),I707-SUM(J707:N707),"")</f>
        <v/>
      </c>
      <c r="P707" s="216">
        <f>IFERROR(IF(AND(ISNUMBER(O707),ISNUMBER(I707),I707&lt;&gt;0),O707/I707,""),"")</f>
        <v/>
      </c>
      <c r="Q707" s="215">
        <f>IF(AND(ISNUMBER(I707),ISNUMBER(S707)),I707*IF(S707&lt;=1,S707,S707/100),IF(OR(I707&lt;&gt;"",S707&lt;&gt;""),"tbd",""))</f>
        <v/>
      </c>
      <c r="S707" s="217" t="n"/>
      <c r="Z707">
        <f>IF(AND(R707="WON",ISNUMBER(I707)),AA707,"")</f>
        <v/>
      </c>
      <c r="AA707">
        <f>IFERROR(I707*1,0)</f>
        <v>0</v>
      </c>
    </row>
    <row r="708" ht="15" customHeight="1">
      <c r="I708" s="215" t="n"/>
      <c r="J708" s="215" t="n"/>
      <c r="K708" s="215" t="n"/>
      <c r="L708" s="215" t="n"/>
      <c r="M708" s="215" t="n"/>
      <c r="N708" s="215">
        <f>IF(ISNUMBER(I708),ROUND(I708-I708/1.081,2),"")</f>
        <v/>
      </c>
      <c r="O708" s="215">
        <f>IF(ISNUMBER(I708),I708-SUM(J708:N708),"")</f>
        <v/>
      </c>
      <c r="P708" s="216">
        <f>IFERROR(IF(AND(ISNUMBER(O708),ISNUMBER(I708),I708&lt;&gt;0),O708/I708,""),"")</f>
        <v/>
      </c>
      <c r="Q708" s="215">
        <f>IF(AND(ISNUMBER(I708),ISNUMBER(S708)),I708*IF(S708&lt;=1,S708,S708/100),IF(OR(I708&lt;&gt;"",S708&lt;&gt;""),"tbd",""))</f>
        <v/>
      </c>
      <c r="S708" s="217" t="n"/>
      <c r="Z708">
        <f>IF(AND(R708="WON",ISNUMBER(I708)),AA708,"")</f>
        <v/>
      </c>
      <c r="AA708">
        <f>IFERROR(I708*1,0)</f>
        <v>0</v>
      </c>
    </row>
    <row r="709" ht="15" customHeight="1">
      <c r="I709" s="215" t="n"/>
      <c r="J709" s="215" t="n"/>
      <c r="K709" s="215" t="n"/>
      <c r="L709" s="215" t="n"/>
      <c r="M709" s="215" t="n"/>
      <c r="N709" s="215">
        <f>IF(ISNUMBER(I709),ROUND(I709-I709/1.081,2),"")</f>
        <v/>
      </c>
      <c r="O709" s="215">
        <f>IF(ISNUMBER(I709),I709-SUM(J709:N709),"")</f>
        <v/>
      </c>
      <c r="P709" s="216">
        <f>IFERROR(IF(AND(ISNUMBER(O709),ISNUMBER(I709),I709&lt;&gt;0),O709/I709,""),"")</f>
        <v/>
      </c>
      <c r="Q709" s="215">
        <f>IF(AND(ISNUMBER(I709),ISNUMBER(S709)),I709*IF(S709&lt;=1,S709,S709/100),IF(OR(I709&lt;&gt;"",S709&lt;&gt;""),"tbd",""))</f>
        <v/>
      </c>
      <c r="S709" s="217" t="n"/>
      <c r="Z709">
        <f>IF(AND(R709="WON",ISNUMBER(I709)),AA709,"")</f>
        <v/>
      </c>
      <c r="AA709">
        <f>IFERROR(I709*1,0)</f>
        <v>0</v>
      </c>
    </row>
    <row r="710" ht="15" customHeight="1">
      <c r="I710" s="215" t="n"/>
      <c r="J710" s="215" t="n"/>
      <c r="K710" s="215" t="n"/>
      <c r="L710" s="215" t="n"/>
      <c r="M710" s="215" t="n"/>
      <c r="N710" s="215">
        <f>IF(ISNUMBER(I710),ROUND(I710-I710/1.081,2),"")</f>
        <v/>
      </c>
      <c r="O710" s="215">
        <f>IF(ISNUMBER(I710),I710-SUM(J710:N710),"")</f>
        <v/>
      </c>
      <c r="P710" s="216">
        <f>IFERROR(IF(AND(ISNUMBER(O710),ISNUMBER(I710),I710&lt;&gt;0),O710/I710,""),"")</f>
        <v/>
      </c>
      <c r="Q710" s="215">
        <f>IF(AND(ISNUMBER(I710),ISNUMBER(S710)),I710*IF(S710&lt;=1,S710,S710/100),IF(OR(I710&lt;&gt;"",S710&lt;&gt;""),"tbd",""))</f>
        <v/>
      </c>
      <c r="S710" s="217" t="n"/>
      <c r="Z710">
        <f>IF(AND(R710="WON",ISNUMBER(I710)),AA710,"")</f>
        <v/>
      </c>
      <c r="AA710">
        <f>IFERROR(I710*1,0)</f>
        <v>0</v>
      </c>
    </row>
    <row r="711" ht="15" customHeight="1">
      <c r="I711" s="215" t="n"/>
      <c r="J711" s="215" t="n"/>
      <c r="K711" s="215" t="n"/>
      <c r="L711" s="215" t="n"/>
      <c r="M711" s="215" t="n"/>
      <c r="N711" s="215">
        <f>IF(ISNUMBER(I711),ROUND(I711-I711/1.081,2),"")</f>
        <v/>
      </c>
      <c r="O711" s="215">
        <f>IF(ISNUMBER(I711),I711-SUM(J711:N711),"")</f>
        <v/>
      </c>
      <c r="P711" s="216">
        <f>IFERROR(IF(AND(ISNUMBER(O711),ISNUMBER(I711),I711&lt;&gt;0),O711/I711,""),"")</f>
        <v/>
      </c>
      <c r="Q711" s="215">
        <f>IF(AND(ISNUMBER(I711),ISNUMBER(S711)),I711*IF(S711&lt;=1,S711,S711/100),IF(OR(I711&lt;&gt;"",S711&lt;&gt;""),"tbd",""))</f>
        <v/>
      </c>
      <c r="S711" s="217" t="n"/>
      <c r="Z711">
        <f>IF(AND(R711="WON",ISNUMBER(I711)),AA711,"")</f>
        <v/>
      </c>
      <c r="AA711">
        <f>IFERROR(I711*1,0)</f>
        <v>0</v>
      </c>
    </row>
    <row r="712" ht="15" customHeight="1">
      <c r="I712" s="215" t="n"/>
      <c r="J712" s="215" t="n"/>
      <c r="K712" s="215" t="n"/>
      <c r="L712" s="215" t="n"/>
      <c r="M712" s="215" t="n"/>
      <c r="N712" s="215">
        <f>IF(ISNUMBER(I712),ROUND(I712-I712/1.081,2),"")</f>
        <v/>
      </c>
      <c r="O712" s="215">
        <f>IF(ISNUMBER(I712),I712-SUM(J712:N712),"")</f>
        <v/>
      </c>
      <c r="P712" s="216">
        <f>IFERROR(IF(AND(ISNUMBER(O712),ISNUMBER(I712),I712&lt;&gt;0),O712/I712,""),"")</f>
        <v/>
      </c>
      <c r="Q712" s="215">
        <f>IF(AND(ISNUMBER(I712),ISNUMBER(S712)),I712*IF(S712&lt;=1,S712,S712/100),IF(OR(I712&lt;&gt;"",S712&lt;&gt;""),"tbd",""))</f>
        <v/>
      </c>
      <c r="S712" s="217" t="n"/>
      <c r="Z712">
        <f>IF(AND(R712="WON",ISNUMBER(I712)),AA712,"")</f>
        <v/>
      </c>
      <c r="AA712">
        <f>IFERROR(I712*1,0)</f>
        <v>0</v>
      </c>
    </row>
    <row r="713" ht="15" customHeight="1">
      <c r="I713" s="215" t="n"/>
      <c r="J713" s="215" t="n"/>
      <c r="K713" s="215" t="n"/>
      <c r="L713" s="215" t="n"/>
      <c r="M713" s="215" t="n"/>
      <c r="N713" s="215">
        <f>IF(ISNUMBER(I713),ROUND(I713-I713/1.081,2),"")</f>
        <v/>
      </c>
      <c r="O713" s="215">
        <f>IF(ISNUMBER(I713),I713-SUM(J713:N713),"")</f>
        <v/>
      </c>
      <c r="P713" s="216">
        <f>IFERROR(IF(AND(ISNUMBER(O713),ISNUMBER(I713),I713&lt;&gt;0),O713/I713,""),"")</f>
        <v/>
      </c>
      <c r="Q713" s="215">
        <f>IF(AND(ISNUMBER(I713),ISNUMBER(S713)),I713*IF(S713&lt;=1,S713,S713/100),IF(OR(I713&lt;&gt;"",S713&lt;&gt;""),"tbd",""))</f>
        <v/>
      </c>
      <c r="S713" s="217" t="n"/>
      <c r="Z713">
        <f>IF(AND(R713="WON",ISNUMBER(I713)),AA713,"")</f>
        <v/>
      </c>
      <c r="AA713">
        <f>IFERROR(I713*1,0)</f>
        <v>0</v>
      </c>
    </row>
    <row r="714" ht="15" customHeight="1">
      <c r="I714" s="215" t="n"/>
      <c r="J714" s="215" t="n"/>
      <c r="K714" s="215" t="n"/>
      <c r="L714" s="215" t="n"/>
      <c r="M714" s="215" t="n"/>
      <c r="N714" s="215">
        <f>IF(ISNUMBER(I714),ROUND(I714-I714/1.081,2),"")</f>
        <v/>
      </c>
      <c r="O714" s="215">
        <f>IF(ISNUMBER(I714),I714-SUM(J714:N714),"")</f>
        <v/>
      </c>
      <c r="P714" s="216">
        <f>IFERROR(IF(AND(ISNUMBER(O714),ISNUMBER(I714),I714&lt;&gt;0),O714/I714,""),"")</f>
        <v/>
      </c>
      <c r="Q714" s="215">
        <f>IF(AND(ISNUMBER(I714),ISNUMBER(S714)),I714*IF(S714&lt;=1,S714,S714/100),IF(OR(I714&lt;&gt;"",S714&lt;&gt;""),"tbd",""))</f>
        <v/>
      </c>
      <c r="S714" s="217" t="n"/>
      <c r="Z714">
        <f>IF(AND(R714="WON",ISNUMBER(I714)),AA714,"")</f>
        <v/>
      </c>
      <c r="AA714">
        <f>IFERROR(I714*1,0)</f>
        <v>0</v>
      </c>
    </row>
    <row r="715" ht="15" customHeight="1">
      <c r="I715" s="215" t="n"/>
      <c r="J715" s="215" t="n"/>
      <c r="K715" s="215" t="n"/>
      <c r="L715" s="215" t="n"/>
      <c r="M715" s="215" t="n"/>
      <c r="N715" s="215">
        <f>IF(ISNUMBER(I715),ROUND(I715-I715/1.081,2),"")</f>
        <v/>
      </c>
      <c r="O715" s="215">
        <f>IF(ISNUMBER(I715),I715-SUM(J715:N715),"")</f>
        <v/>
      </c>
      <c r="P715" s="216">
        <f>IFERROR(IF(AND(ISNUMBER(O715),ISNUMBER(I715),I715&lt;&gt;0),O715/I715,""),"")</f>
        <v/>
      </c>
      <c r="Q715" s="215">
        <f>IF(AND(ISNUMBER(I715),ISNUMBER(S715)),I715*IF(S715&lt;=1,S715,S715/100),IF(OR(I715&lt;&gt;"",S715&lt;&gt;""),"tbd",""))</f>
        <v/>
      </c>
      <c r="S715" s="217" t="n"/>
      <c r="Z715">
        <f>IF(AND(R715="WON",ISNUMBER(I715)),AA715,"")</f>
        <v/>
      </c>
      <c r="AA715">
        <f>IFERROR(I715*1,0)</f>
        <v>0</v>
      </c>
    </row>
    <row r="716" ht="15" customHeight="1">
      <c r="I716" s="215" t="n"/>
      <c r="J716" s="215" t="n"/>
      <c r="K716" s="215" t="n"/>
      <c r="L716" s="215" t="n"/>
      <c r="M716" s="215" t="n"/>
      <c r="N716" s="215">
        <f>IF(ISNUMBER(I716),ROUND(I716-I716/1.081,2),"")</f>
        <v/>
      </c>
      <c r="O716" s="215">
        <f>IF(ISNUMBER(I716),I716-SUM(J716:N716),"")</f>
        <v/>
      </c>
      <c r="P716" s="216">
        <f>IFERROR(IF(AND(ISNUMBER(O716),ISNUMBER(I716),I716&lt;&gt;0),O716/I716,""),"")</f>
        <v/>
      </c>
      <c r="Q716" s="215">
        <f>IF(AND(ISNUMBER(I716),ISNUMBER(S716)),I716*IF(S716&lt;=1,S716,S716/100),IF(OR(I716&lt;&gt;"",S716&lt;&gt;""),"tbd",""))</f>
        <v/>
      </c>
      <c r="S716" s="217" t="n"/>
      <c r="Z716">
        <f>IF(AND(R716="WON",ISNUMBER(I716)),AA716,"")</f>
        <v/>
      </c>
      <c r="AA716">
        <f>IFERROR(I716*1,0)</f>
        <v>0</v>
      </c>
    </row>
    <row r="717" ht="15" customHeight="1">
      <c r="I717" s="215" t="n"/>
      <c r="J717" s="215" t="n"/>
      <c r="K717" s="215" t="n"/>
      <c r="L717" s="215" t="n"/>
      <c r="M717" s="215" t="n"/>
      <c r="N717" s="215">
        <f>IF(ISNUMBER(I717),ROUND(I717-I717/1.081,2),"")</f>
        <v/>
      </c>
      <c r="O717" s="215">
        <f>IF(ISNUMBER(I717),I717-SUM(J717:N717),"")</f>
        <v/>
      </c>
      <c r="P717" s="216">
        <f>IFERROR(IF(AND(ISNUMBER(O717),ISNUMBER(I717),I717&lt;&gt;0),O717/I717,""),"")</f>
        <v/>
      </c>
      <c r="Q717" s="215">
        <f>IF(AND(ISNUMBER(I717),ISNUMBER(S717)),I717*IF(S717&lt;=1,S717,S717/100),IF(OR(I717&lt;&gt;"",S717&lt;&gt;""),"tbd",""))</f>
        <v/>
      </c>
      <c r="S717" s="217" t="n"/>
      <c r="Z717">
        <f>IF(AND(R717="WON",ISNUMBER(I717)),AA717,"")</f>
        <v/>
      </c>
      <c r="AA717">
        <f>IFERROR(I717*1,0)</f>
        <v>0</v>
      </c>
    </row>
    <row r="718" ht="15" customHeight="1">
      <c r="I718" s="215" t="n"/>
      <c r="J718" s="215" t="n"/>
      <c r="K718" s="215" t="n"/>
      <c r="L718" s="215" t="n"/>
      <c r="M718" s="215" t="n"/>
      <c r="N718" s="215">
        <f>IF(ISNUMBER(I718),ROUND(I718-I718/1.081,2),"")</f>
        <v/>
      </c>
      <c r="O718" s="215">
        <f>IF(ISNUMBER(I718),I718-SUM(J718:N718),"")</f>
        <v/>
      </c>
      <c r="P718" s="216">
        <f>IFERROR(IF(AND(ISNUMBER(O718),ISNUMBER(I718),I718&lt;&gt;0),O718/I718,""),"")</f>
        <v/>
      </c>
      <c r="Q718" s="215">
        <f>IF(AND(ISNUMBER(I718),ISNUMBER(S718)),I718*IF(S718&lt;=1,S718,S718/100),IF(OR(I718&lt;&gt;"",S718&lt;&gt;""),"tbd",""))</f>
        <v/>
      </c>
      <c r="S718" s="217" t="n"/>
      <c r="Z718">
        <f>IF(AND(R718="WON",ISNUMBER(I718)),AA718,"")</f>
        <v/>
      </c>
      <c r="AA718">
        <f>IFERROR(I718*1,0)</f>
        <v>0</v>
      </c>
    </row>
    <row r="719" ht="15" customHeight="1">
      <c r="I719" s="215" t="n"/>
      <c r="J719" s="215" t="n"/>
      <c r="K719" s="215" t="n"/>
      <c r="L719" s="215" t="n"/>
      <c r="M719" s="215" t="n"/>
      <c r="N719" s="215">
        <f>IF(ISNUMBER(I719),ROUND(I719-I719/1.081,2),"")</f>
        <v/>
      </c>
      <c r="O719" s="215">
        <f>IF(ISNUMBER(I719),I719-SUM(J719:N719),"")</f>
        <v/>
      </c>
      <c r="P719" s="216">
        <f>IFERROR(IF(AND(ISNUMBER(O719),ISNUMBER(I719),I719&lt;&gt;0),O719/I719,""),"")</f>
        <v/>
      </c>
      <c r="Q719" s="215">
        <f>IF(AND(ISNUMBER(I719),ISNUMBER(S719)),I719*IF(S719&lt;=1,S719,S719/100),IF(OR(I719&lt;&gt;"",S719&lt;&gt;""),"tbd",""))</f>
        <v/>
      </c>
      <c r="S719" s="217" t="n"/>
      <c r="Z719">
        <f>IF(AND(R719="WON",ISNUMBER(I719)),AA719,"")</f>
        <v/>
      </c>
      <c r="AA719">
        <f>IFERROR(I719*1,0)</f>
        <v>0</v>
      </c>
    </row>
    <row r="720" ht="15" customHeight="1">
      <c r="I720" s="215" t="n"/>
      <c r="J720" s="215" t="n"/>
      <c r="K720" s="215" t="n"/>
      <c r="L720" s="215" t="n"/>
      <c r="M720" s="215" t="n"/>
      <c r="N720" s="215">
        <f>IF(ISNUMBER(I720),ROUND(I720-I720/1.081,2),"")</f>
        <v/>
      </c>
      <c r="O720" s="215">
        <f>IF(ISNUMBER(I720),I720-SUM(J720:N720),"")</f>
        <v/>
      </c>
      <c r="P720" s="216">
        <f>IFERROR(IF(AND(ISNUMBER(O720),ISNUMBER(I720),I720&lt;&gt;0),O720/I720,""),"")</f>
        <v/>
      </c>
      <c r="Q720" s="215">
        <f>IF(AND(ISNUMBER(I720),ISNUMBER(S720)),I720*IF(S720&lt;=1,S720,S720/100),IF(OR(I720&lt;&gt;"",S720&lt;&gt;""),"tbd",""))</f>
        <v/>
      </c>
      <c r="S720" s="217" t="n"/>
      <c r="Z720">
        <f>IF(AND(R720="WON",ISNUMBER(I720)),AA720,"")</f>
        <v/>
      </c>
      <c r="AA720">
        <f>IFERROR(I720*1,0)</f>
        <v>0</v>
      </c>
    </row>
    <row r="721" ht="15" customHeight="1">
      <c r="I721" s="215" t="n"/>
      <c r="J721" s="215" t="n"/>
      <c r="K721" s="215" t="n"/>
      <c r="L721" s="215" t="n"/>
      <c r="M721" s="215" t="n"/>
      <c r="N721" s="215">
        <f>IF(ISNUMBER(I721),ROUND(I721-I721/1.081,2),"")</f>
        <v/>
      </c>
      <c r="O721" s="215">
        <f>IF(ISNUMBER(I721),I721-SUM(J721:N721),"")</f>
        <v/>
      </c>
      <c r="P721" s="216">
        <f>IFERROR(IF(AND(ISNUMBER(O721),ISNUMBER(I721),I721&lt;&gt;0),O721/I721,""),"")</f>
        <v/>
      </c>
      <c r="Q721" s="215">
        <f>IF(AND(ISNUMBER(I721),ISNUMBER(S721)),I721*IF(S721&lt;=1,S721,S721/100),IF(OR(I721&lt;&gt;"",S721&lt;&gt;""),"tbd",""))</f>
        <v/>
      </c>
      <c r="S721" s="217" t="n"/>
      <c r="Z721">
        <f>IF(AND(R721="WON",ISNUMBER(I721)),AA721,"")</f>
        <v/>
      </c>
      <c r="AA721">
        <f>IFERROR(I721*1,0)</f>
        <v>0</v>
      </c>
    </row>
    <row r="722" ht="15" customHeight="1">
      <c r="I722" s="215" t="n"/>
      <c r="J722" s="215" t="n"/>
      <c r="K722" s="215" t="n"/>
      <c r="L722" s="215" t="n"/>
      <c r="M722" s="215" t="n"/>
      <c r="N722" s="215">
        <f>IF(ISNUMBER(I722),ROUND(I722-I722/1.081,2),"")</f>
        <v/>
      </c>
      <c r="O722" s="215">
        <f>IF(ISNUMBER(I722),I722-SUM(J722:N722),"")</f>
        <v/>
      </c>
      <c r="P722" s="216">
        <f>IFERROR(IF(AND(ISNUMBER(O722),ISNUMBER(I722),I722&lt;&gt;0),O722/I722,""),"")</f>
        <v/>
      </c>
      <c r="Q722" s="215">
        <f>IF(AND(ISNUMBER(I722),ISNUMBER(S722)),I722*IF(S722&lt;=1,S722,S722/100),IF(OR(I722&lt;&gt;"",S722&lt;&gt;""),"tbd",""))</f>
        <v/>
      </c>
      <c r="S722" s="217" t="n"/>
      <c r="Z722">
        <f>IF(AND(R722="WON",ISNUMBER(I722)),AA722,"")</f>
        <v/>
      </c>
      <c r="AA722">
        <f>IFERROR(I722*1,0)</f>
        <v>0</v>
      </c>
    </row>
    <row r="723" ht="15" customHeight="1">
      <c r="I723" s="215" t="n"/>
      <c r="J723" s="215" t="n"/>
      <c r="K723" s="215" t="n"/>
      <c r="L723" s="215" t="n"/>
      <c r="M723" s="215" t="n"/>
      <c r="N723" s="215">
        <f>IF(ISNUMBER(I723),ROUND(I723-I723/1.081,2),"")</f>
        <v/>
      </c>
      <c r="O723" s="215">
        <f>IF(ISNUMBER(I723),I723-SUM(J723:N723),"")</f>
        <v/>
      </c>
      <c r="P723" s="216">
        <f>IFERROR(IF(AND(ISNUMBER(O723),ISNUMBER(I723),I723&lt;&gt;0),O723/I723,""),"")</f>
        <v/>
      </c>
      <c r="Q723" s="215">
        <f>IF(AND(ISNUMBER(I723),ISNUMBER(S723)),I723*IF(S723&lt;=1,S723,S723/100),IF(OR(I723&lt;&gt;"",S723&lt;&gt;""),"tbd",""))</f>
        <v/>
      </c>
      <c r="S723" s="217" t="n"/>
      <c r="Z723">
        <f>IF(AND(R723="WON",ISNUMBER(I723)),AA723,"")</f>
        <v/>
      </c>
      <c r="AA723">
        <f>IFERROR(I723*1,0)</f>
        <v>0</v>
      </c>
    </row>
    <row r="724" ht="15" customHeight="1">
      <c r="I724" s="215" t="n"/>
      <c r="J724" s="215" t="n"/>
      <c r="K724" s="215" t="n"/>
      <c r="L724" s="215" t="n"/>
      <c r="M724" s="215" t="n"/>
      <c r="N724" s="215">
        <f>IF(ISNUMBER(I724),ROUND(I724-I724/1.081,2),"")</f>
        <v/>
      </c>
      <c r="O724" s="215">
        <f>IF(ISNUMBER(I724),I724-SUM(J724:N724),"")</f>
        <v/>
      </c>
      <c r="P724" s="216">
        <f>IFERROR(IF(AND(ISNUMBER(O724),ISNUMBER(I724),I724&lt;&gt;0),O724/I724,""),"")</f>
        <v/>
      </c>
      <c r="Q724" s="215">
        <f>IF(AND(ISNUMBER(I724),ISNUMBER(S724)),I724*IF(S724&lt;=1,S724,S724/100),IF(OR(I724&lt;&gt;"",S724&lt;&gt;""),"tbd",""))</f>
        <v/>
      </c>
      <c r="S724" s="217" t="n"/>
      <c r="Z724">
        <f>IF(AND(R724="WON",ISNUMBER(I724)),AA724,"")</f>
        <v/>
      </c>
      <c r="AA724">
        <f>IFERROR(I724*1,0)</f>
        <v>0</v>
      </c>
    </row>
    <row r="725" ht="15" customHeight="1">
      <c r="I725" s="215" t="n"/>
      <c r="J725" s="215" t="n"/>
      <c r="K725" s="215" t="n"/>
      <c r="L725" s="215" t="n"/>
      <c r="M725" s="215" t="n"/>
      <c r="N725" s="215">
        <f>IF(ISNUMBER(I725),ROUND(I725-I725/1.081,2),"")</f>
        <v/>
      </c>
      <c r="O725" s="215">
        <f>IF(ISNUMBER(I725),I725-SUM(J725:N725),"")</f>
        <v/>
      </c>
      <c r="P725" s="216">
        <f>IFERROR(IF(AND(ISNUMBER(O725),ISNUMBER(I725),I725&lt;&gt;0),O725/I725,""),"")</f>
        <v/>
      </c>
      <c r="Q725" s="215">
        <f>IF(AND(ISNUMBER(I725),ISNUMBER(S725)),I725*IF(S725&lt;=1,S725,S725/100),IF(OR(I725&lt;&gt;"",S725&lt;&gt;""),"tbd",""))</f>
        <v/>
      </c>
      <c r="S725" s="217" t="n"/>
      <c r="Z725">
        <f>IF(AND(R725="WON",ISNUMBER(I725)),AA725,"")</f>
        <v/>
      </c>
      <c r="AA725">
        <f>IFERROR(I725*1,0)</f>
        <v>0</v>
      </c>
    </row>
    <row r="726" ht="15" customHeight="1">
      <c r="I726" s="215" t="n"/>
      <c r="J726" s="215" t="n"/>
      <c r="K726" s="215" t="n"/>
      <c r="L726" s="215" t="n"/>
      <c r="M726" s="215" t="n"/>
      <c r="N726" s="215">
        <f>IF(ISNUMBER(I726),ROUND(I726-I726/1.081,2),"")</f>
        <v/>
      </c>
      <c r="O726" s="215">
        <f>IF(ISNUMBER(I726),I726-SUM(J726:N726),"")</f>
        <v/>
      </c>
      <c r="P726" s="216">
        <f>IFERROR(IF(AND(ISNUMBER(O726),ISNUMBER(I726),I726&lt;&gt;0),O726/I726,""),"")</f>
        <v/>
      </c>
      <c r="Q726" s="215">
        <f>IF(AND(ISNUMBER(I726),ISNUMBER(S726)),I726*IF(S726&lt;=1,S726,S726/100),IF(OR(I726&lt;&gt;"",S726&lt;&gt;""),"tbd",""))</f>
        <v/>
      </c>
      <c r="S726" s="217" t="n"/>
      <c r="Z726">
        <f>IF(AND(R726="WON",ISNUMBER(I726)),AA726,"")</f>
        <v/>
      </c>
      <c r="AA726">
        <f>IFERROR(I726*1,0)</f>
        <v>0</v>
      </c>
    </row>
    <row r="727" ht="15" customHeight="1">
      <c r="I727" s="215" t="n"/>
      <c r="J727" s="215" t="n"/>
      <c r="K727" s="215" t="n"/>
      <c r="L727" s="215" t="n"/>
      <c r="M727" s="215" t="n"/>
      <c r="N727" s="215">
        <f>IF(ISNUMBER(I727),ROUND(I727-I727/1.081,2),"")</f>
        <v/>
      </c>
      <c r="O727" s="215">
        <f>IF(ISNUMBER(I727),I727-SUM(J727:N727),"")</f>
        <v/>
      </c>
      <c r="P727" s="216">
        <f>IFERROR(IF(AND(ISNUMBER(O727),ISNUMBER(I727),I727&lt;&gt;0),O727/I727,""),"")</f>
        <v/>
      </c>
      <c r="Q727" s="215">
        <f>IF(AND(ISNUMBER(I727),ISNUMBER(S727)),I727*IF(S727&lt;=1,S727,S727/100),IF(OR(I727&lt;&gt;"",S727&lt;&gt;""),"tbd",""))</f>
        <v/>
      </c>
      <c r="S727" s="217" t="n"/>
      <c r="Z727">
        <f>IF(AND(R727="WON",ISNUMBER(I727)),AA727,"")</f>
        <v/>
      </c>
      <c r="AA727">
        <f>IFERROR(I727*1,0)</f>
        <v>0</v>
      </c>
    </row>
    <row r="728" ht="15" customHeight="1">
      <c r="I728" s="215" t="n"/>
      <c r="J728" s="215" t="n"/>
      <c r="K728" s="215" t="n"/>
      <c r="L728" s="215" t="n"/>
      <c r="M728" s="215" t="n"/>
      <c r="N728" s="215">
        <f>IF(ISNUMBER(I728),ROUND(I728-I728/1.081,2),"")</f>
        <v/>
      </c>
      <c r="O728" s="215">
        <f>IF(ISNUMBER(I728),I728-SUM(J728:N728),"")</f>
        <v/>
      </c>
      <c r="P728" s="216">
        <f>IFERROR(IF(AND(ISNUMBER(O728),ISNUMBER(I728),I728&lt;&gt;0),O728/I728,""),"")</f>
        <v/>
      </c>
      <c r="Q728" s="215">
        <f>IF(AND(ISNUMBER(I728),ISNUMBER(S728)),I728*IF(S728&lt;=1,S728,S728/100),IF(OR(I728&lt;&gt;"",S728&lt;&gt;""),"tbd",""))</f>
        <v/>
      </c>
      <c r="S728" s="217" t="n"/>
      <c r="Z728">
        <f>IF(AND(R728="WON",ISNUMBER(I728)),AA728,"")</f>
        <v/>
      </c>
      <c r="AA728">
        <f>IFERROR(I728*1,0)</f>
        <v>0</v>
      </c>
    </row>
    <row r="729" ht="15" customHeight="1">
      <c r="I729" s="215" t="n"/>
      <c r="J729" s="215" t="n"/>
      <c r="K729" s="215" t="n"/>
      <c r="L729" s="215" t="n"/>
      <c r="M729" s="215" t="n"/>
      <c r="N729" s="215">
        <f>IF(ISNUMBER(I729),ROUND(I729-I729/1.081,2),"")</f>
        <v/>
      </c>
      <c r="O729" s="215">
        <f>IF(ISNUMBER(I729),I729-SUM(J729:N729),"")</f>
        <v/>
      </c>
      <c r="P729" s="216">
        <f>IFERROR(IF(AND(ISNUMBER(O729),ISNUMBER(I729),I729&lt;&gt;0),O729/I729,""),"")</f>
        <v/>
      </c>
      <c r="Q729" s="215">
        <f>IF(AND(ISNUMBER(I729),ISNUMBER(S729)),I729*IF(S729&lt;=1,S729,S729/100),IF(OR(I729&lt;&gt;"",S729&lt;&gt;""),"tbd",""))</f>
        <v/>
      </c>
      <c r="S729" s="217" t="n"/>
      <c r="Z729">
        <f>IF(AND(R729="WON",ISNUMBER(I729)),AA729,"")</f>
        <v/>
      </c>
      <c r="AA729">
        <f>IFERROR(I729*1,0)</f>
        <v>0</v>
      </c>
    </row>
    <row r="730" ht="15" customHeight="1">
      <c r="I730" s="215" t="n"/>
      <c r="J730" s="215" t="n"/>
      <c r="K730" s="215" t="n"/>
      <c r="L730" s="215" t="n"/>
      <c r="M730" s="215" t="n"/>
      <c r="N730" s="215">
        <f>IF(ISNUMBER(I730),ROUND(I730-I730/1.081,2),"")</f>
        <v/>
      </c>
      <c r="O730" s="215">
        <f>IF(ISNUMBER(I730),I730-SUM(J730:N730),"")</f>
        <v/>
      </c>
      <c r="P730" s="216">
        <f>IFERROR(IF(AND(ISNUMBER(O730),ISNUMBER(I730),I730&lt;&gt;0),O730/I730,""),"")</f>
        <v/>
      </c>
      <c r="Q730" s="215">
        <f>IF(AND(ISNUMBER(I730),ISNUMBER(S730)),I730*IF(S730&lt;=1,S730,S730/100),IF(OR(I730&lt;&gt;"",S730&lt;&gt;""),"tbd",""))</f>
        <v/>
      </c>
      <c r="S730" s="217" t="n"/>
      <c r="Z730">
        <f>IF(AND(R730="WON",ISNUMBER(I730)),AA730,"")</f>
        <v/>
      </c>
      <c r="AA730">
        <f>IFERROR(I730*1,0)</f>
        <v>0</v>
      </c>
    </row>
    <row r="731" ht="15" customHeight="1">
      <c r="I731" s="215" t="n"/>
      <c r="J731" s="215" t="n"/>
      <c r="K731" s="215" t="n"/>
      <c r="L731" s="215" t="n"/>
      <c r="M731" s="215" t="n"/>
      <c r="N731" s="215">
        <f>IF(ISNUMBER(I731),ROUND(I731-I731/1.081,2),"")</f>
        <v/>
      </c>
      <c r="O731" s="215">
        <f>IF(ISNUMBER(I731),I731-SUM(J731:N731),"")</f>
        <v/>
      </c>
      <c r="P731" s="216">
        <f>IFERROR(IF(AND(ISNUMBER(O731),ISNUMBER(I731),I731&lt;&gt;0),O731/I731,""),"")</f>
        <v/>
      </c>
      <c r="Q731" s="215">
        <f>IF(AND(ISNUMBER(I731),ISNUMBER(S731)),I731*IF(S731&lt;=1,S731,S731/100),IF(OR(I731&lt;&gt;"",S731&lt;&gt;""),"tbd",""))</f>
        <v/>
      </c>
      <c r="S731" s="217" t="n"/>
      <c r="Z731">
        <f>IF(AND(R731="WON",ISNUMBER(I731)),AA731,"")</f>
        <v/>
      </c>
      <c r="AA731">
        <f>IFERROR(I731*1,0)</f>
        <v>0</v>
      </c>
    </row>
    <row r="732" ht="15" customHeight="1">
      <c r="I732" s="215" t="n"/>
      <c r="J732" s="215" t="n"/>
      <c r="K732" s="215" t="n"/>
      <c r="L732" s="215" t="n"/>
      <c r="M732" s="215" t="n"/>
      <c r="N732" s="215">
        <f>IF(ISNUMBER(I732),ROUND(I732-I732/1.081,2),"")</f>
        <v/>
      </c>
      <c r="O732" s="215">
        <f>IF(ISNUMBER(I732),I732-SUM(J732:N732),"")</f>
        <v/>
      </c>
      <c r="P732" s="216">
        <f>IFERROR(IF(AND(ISNUMBER(O732),ISNUMBER(I732),I732&lt;&gt;0),O732/I732,""),"")</f>
        <v/>
      </c>
      <c r="Q732" s="215">
        <f>IF(AND(ISNUMBER(I732),ISNUMBER(S732)),I732*IF(S732&lt;=1,S732,S732/100),IF(OR(I732&lt;&gt;"",S732&lt;&gt;""),"tbd",""))</f>
        <v/>
      </c>
      <c r="S732" s="217" t="n"/>
      <c r="Z732">
        <f>IF(AND(R732="WON",ISNUMBER(I732)),AA732,"")</f>
        <v/>
      </c>
      <c r="AA732">
        <f>IFERROR(I732*1,0)</f>
        <v>0</v>
      </c>
    </row>
    <row r="733" ht="15" customHeight="1">
      <c r="I733" s="215" t="n"/>
      <c r="J733" s="215" t="n"/>
      <c r="K733" s="215" t="n"/>
      <c r="L733" s="215" t="n"/>
      <c r="M733" s="215" t="n"/>
      <c r="N733" s="215">
        <f>IF(ISNUMBER(I733),ROUND(I733-I733/1.081,2),"")</f>
        <v/>
      </c>
      <c r="O733" s="215">
        <f>IF(ISNUMBER(I733),I733-SUM(J733:N733),"")</f>
        <v/>
      </c>
      <c r="P733" s="216">
        <f>IFERROR(IF(AND(ISNUMBER(O733),ISNUMBER(I733),I733&lt;&gt;0),O733/I733,""),"")</f>
        <v/>
      </c>
      <c r="Q733" s="215">
        <f>IF(AND(ISNUMBER(I733),ISNUMBER(S733)),I733*IF(S733&lt;=1,S733,S733/100),IF(OR(I733&lt;&gt;"",S733&lt;&gt;""),"tbd",""))</f>
        <v/>
      </c>
      <c r="S733" s="217" t="n"/>
      <c r="Z733">
        <f>IF(AND(R733="WON",ISNUMBER(I733)),AA733,"")</f>
        <v/>
      </c>
      <c r="AA733">
        <f>IFERROR(I733*1,0)</f>
        <v>0</v>
      </c>
    </row>
    <row r="734" ht="15" customHeight="1">
      <c r="I734" s="215" t="n"/>
      <c r="J734" s="215" t="n"/>
      <c r="K734" s="215" t="n"/>
      <c r="L734" s="215" t="n"/>
      <c r="M734" s="215" t="n"/>
      <c r="N734" s="215">
        <f>IF(ISNUMBER(I734),ROUND(I734-I734/1.081,2),"")</f>
        <v/>
      </c>
      <c r="O734" s="215">
        <f>IF(ISNUMBER(I734),I734-SUM(J734:N734),"")</f>
        <v/>
      </c>
      <c r="P734" s="216">
        <f>IFERROR(IF(AND(ISNUMBER(O734),ISNUMBER(I734),I734&lt;&gt;0),O734/I734,""),"")</f>
        <v/>
      </c>
      <c r="Q734" s="215">
        <f>IF(AND(ISNUMBER(I734),ISNUMBER(S734)),I734*IF(S734&lt;=1,S734,S734/100),IF(OR(I734&lt;&gt;"",S734&lt;&gt;""),"tbd",""))</f>
        <v/>
      </c>
      <c r="S734" s="217" t="n"/>
      <c r="Z734">
        <f>IF(AND(R734="WON",ISNUMBER(I734)),AA734,"")</f>
        <v/>
      </c>
      <c r="AA734">
        <f>IFERROR(I734*1,0)</f>
        <v>0</v>
      </c>
    </row>
    <row r="735" ht="15" customHeight="1">
      <c r="I735" s="215" t="n"/>
      <c r="J735" s="215" t="n"/>
      <c r="K735" s="215" t="n"/>
      <c r="L735" s="215" t="n"/>
      <c r="M735" s="215" t="n"/>
      <c r="N735" s="215">
        <f>IF(ISNUMBER(I735),ROUND(I735-I735/1.081,2),"")</f>
        <v/>
      </c>
      <c r="O735" s="215">
        <f>IF(ISNUMBER(I735),I735-SUM(J735:N735),"")</f>
        <v/>
      </c>
      <c r="P735" s="216">
        <f>IFERROR(IF(AND(ISNUMBER(O735),ISNUMBER(I735),I735&lt;&gt;0),O735/I735,""),"")</f>
        <v/>
      </c>
      <c r="Q735" s="215">
        <f>IF(AND(ISNUMBER(I735),ISNUMBER(S735)),I735*IF(S735&lt;=1,S735,S735/100),IF(OR(I735&lt;&gt;"",S735&lt;&gt;""),"tbd",""))</f>
        <v/>
      </c>
      <c r="S735" s="217" t="n"/>
      <c r="Z735">
        <f>IF(AND(R735="WON",ISNUMBER(I735)),AA735,"")</f>
        <v/>
      </c>
      <c r="AA735">
        <f>IFERROR(I735*1,0)</f>
        <v>0</v>
      </c>
    </row>
    <row r="736" ht="15" customHeight="1">
      <c r="I736" s="215" t="n"/>
      <c r="J736" s="215" t="n"/>
      <c r="K736" s="215" t="n"/>
      <c r="L736" s="215" t="n"/>
      <c r="M736" s="215" t="n"/>
      <c r="N736" s="215">
        <f>IF(ISNUMBER(I736),ROUND(I736-I736/1.081,2),"")</f>
        <v/>
      </c>
      <c r="O736" s="215">
        <f>IF(ISNUMBER(I736),I736-SUM(J736:N736),"")</f>
        <v/>
      </c>
      <c r="P736" s="216">
        <f>IFERROR(IF(AND(ISNUMBER(O736),ISNUMBER(I736),I736&lt;&gt;0),O736/I736,""),"")</f>
        <v/>
      </c>
      <c r="Q736" s="215">
        <f>IF(AND(ISNUMBER(I736),ISNUMBER(S736)),I736*IF(S736&lt;=1,S736,S736/100),IF(OR(I736&lt;&gt;"",S736&lt;&gt;""),"tbd",""))</f>
        <v/>
      </c>
      <c r="S736" s="217" t="n"/>
      <c r="Z736">
        <f>IF(AND(R736="WON",ISNUMBER(I736)),AA736,"")</f>
        <v/>
      </c>
      <c r="AA736">
        <f>IFERROR(I736*1,0)</f>
        <v>0</v>
      </c>
    </row>
    <row r="737" ht="15" customHeight="1">
      <c r="I737" s="215" t="n"/>
      <c r="J737" s="215" t="n"/>
      <c r="K737" s="215" t="n"/>
      <c r="L737" s="215" t="n"/>
      <c r="M737" s="215" t="n"/>
      <c r="N737" s="215">
        <f>IF(ISNUMBER(I737),ROUND(I737-I737/1.081,2),"")</f>
        <v/>
      </c>
      <c r="O737" s="215">
        <f>IF(ISNUMBER(I737),I737-SUM(J737:N737),"")</f>
        <v/>
      </c>
      <c r="P737" s="216">
        <f>IFERROR(IF(AND(ISNUMBER(O737),ISNUMBER(I737),I737&lt;&gt;0),O737/I737,""),"")</f>
        <v/>
      </c>
      <c r="Q737" s="215">
        <f>IF(AND(ISNUMBER(I737),ISNUMBER(S737)),I737*IF(S737&lt;=1,S737,S737/100),IF(OR(I737&lt;&gt;"",S737&lt;&gt;""),"tbd",""))</f>
        <v/>
      </c>
      <c r="S737" s="217" t="n"/>
      <c r="Z737">
        <f>IF(AND(R737="WON",ISNUMBER(I737)),AA737,"")</f>
        <v/>
      </c>
      <c r="AA737">
        <f>IFERROR(I737*1,0)</f>
        <v>0</v>
      </c>
    </row>
    <row r="738" ht="15" customHeight="1">
      <c r="I738" s="215" t="n"/>
      <c r="J738" s="215" t="n"/>
      <c r="K738" s="215" t="n"/>
      <c r="L738" s="215" t="n"/>
      <c r="M738" s="215" t="n"/>
      <c r="N738" s="215">
        <f>IF(ISNUMBER(I738),ROUND(I738-I738/1.081,2),"")</f>
        <v/>
      </c>
      <c r="O738" s="215">
        <f>IF(ISNUMBER(I738),I738-SUM(J738:N738),"")</f>
        <v/>
      </c>
      <c r="P738" s="216">
        <f>IFERROR(IF(AND(ISNUMBER(O738),ISNUMBER(I738),I738&lt;&gt;0),O738/I738,""),"")</f>
        <v/>
      </c>
      <c r="Q738" s="215">
        <f>IF(AND(ISNUMBER(I738),ISNUMBER(S738)),I738*IF(S738&lt;=1,S738,S738/100),IF(OR(I738&lt;&gt;"",S738&lt;&gt;""),"tbd",""))</f>
        <v/>
      </c>
      <c r="S738" s="217" t="n"/>
      <c r="Z738">
        <f>IF(AND(R738="WON",ISNUMBER(I738)),AA738,"")</f>
        <v/>
      </c>
      <c r="AA738">
        <f>IFERROR(I738*1,0)</f>
        <v>0</v>
      </c>
    </row>
    <row r="739" ht="15" customHeight="1">
      <c r="I739" s="215" t="n"/>
      <c r="J739" s="215" t="n"/>
      <c r="K739" s="215" t="n"/>
      <c r="L739" s="215" t="n"/>
      <c r="M739" s="215" t="n"/>
      <c r="N739" s="215">
        <f>IF(ISNUMBER(I739),ROUND(I739-I739/1.081,2),"")</f>
        <v/>
      </c>
      <c r="O739" s="215">
        <f>IF(ISNUMBER(I739),I739-SUM(J739:N739),"")</f>
        <v/>
      </c>
      <c r="P739" s="216">
        <f>IFERROR(IF(AND(ISNUMBER(O739),ISNUMBER(I739),I739&lt;&gt;0),O739/I739,""),"")</f>
        <v/>
      </c>
      <c r="Q739" s="215">
        <f>IF(AND(ISNUMBER(I739),ISNUMBER(S739)),I739*IF(S739&lt;=1,S739,S739/100),IF(OR(I739&lt;&gt;"",S739&lt;&gt;""),"tbd",""))</f>
        <v/>
      </c>
      <c r="S739" s="217" t="n"/>
      <c r="Z739">
        <f>IF(AND(R739="WON",ISNUMBER(I739)),AA739,"")</f>
        <v/>
      </c>
      <c r="AA739">
        <f>IFERROR(I739*1,0)</f>
        <v>0</v>
      </c>
    </row>
    <row r="740" ht="15" customHeight="1">
      <c r="I740" s="215" t="n"/>
      <c r="J740" s="215" t="n"/>
      <c r="K740" s="215" t="n"/>
      <c r="L740" s="215" t="n"/>
      <c r="M740" s="215" t="n"/>
      <c r="N740" s="215">
        <f>IF(ISNUMBER(I740),ROUND(I740-I740/1.081,2),"")</f>
        <v/>
      </c>
      <c r="O740" s="215">
        <f>IF(ISNUMBER(I740),I740-SUM(J740:N740),"")</f>
        <v/>
      </c>
      <c r="P740" s="216">
        <f>IFERROR(IF(AND(ISNUMBER(O740),ISNUMBER(I740),I740&lt;&gt;0),O740/I740,""),"")</f>
        <v/>
      </c>
      <c r="Q740" s="215">
        <f>IF(AND(ISNUMBER(I740),ISNUMBER(S740)),I740*IF(S740&lt;=1,S740,S740/100),IF(OR(I740&lt;&gt;"",S740&lt;&gt;""),"tbd",""))</f>
        <v/>
      </c>
      <c r="S740" s="217" t="n"/>
      <c r="Z740">
        <f>IF(AND(R740="WON",ISNUMBER(I740)),AA740,"")</f>
        <v/>
      </c>
      <c r="AA740">
        <f>IFERROR(I740*1,0)</f>
        <v>0</v>
      </c>
    </row>
    <row r="741" ht="15" customHeight="1">
      <c r="I741" s="215" t="n"/>
      <c r="J741" s="215" t="n"/>
      <c r="K741" s="215" t="n"/>
      <c r="L741" s="215" t="n"/>
      <c r="M741" s="215" t="n"/>
      <c r="N741" s="215">
        <f>IF(ISNUMBER(I741),ROUND(I741-I741/1.081,2),"")</f>
        <v/>
      </c>
      <c r="O741" s="215">
        <f>IF(ISNUMBER(I741),I741-SUM(J741:N741),"")</f>
        <v/>
      </c>
      <c r="P741" s="216">
        <f>IFERROR(IF(AND(ISNUMBER(O741),ISNUMBER(I741),I741&lt;&gt;0),O741/I741,""),"")</f>
        <v/>
      </c>
      <c r="Q741" s="215">
        <f>IF(AND(ISNUMBER(I741),ISNUMBER(S741)),I741*IF(S741&lt;=1,S741,S741/100),IF(OR(I741&lt;&gt;"",S741&lt;&gt;""),"tbd",""))</f>
        <v/>
      </c>
      <c r="S741" s="217" t="n"/>
      <c r="Z741">
        <f>IF(AND(R741="WON",ISNUMBER(I741)),AA741,"")</f>
        <v/>
      </c>
      <c r="AA741">
        <f>IFERROR(I741*1,0)</f>
        <v>0</v>
      </c>
    </row>
    <row r="742" ht="15" customHeight="1">
      <c r="I742" s="215" t="n"/>
      <c r="J742" s="215" t="n"/>
      <c r="K742" s="215" t="n"/>
      <c r="L742" s="215" t="n"/>
      <c r="M742" s="215" t="n"/>
      <c r="N742" s="215">
        <f>IF(ISNUMBER(I742),ROUND(I742-I742/1.081,2),"")</f>
        <v/>
      </c>
      <c r="O742" s="215">
        <f>IF(ISNUMBER(I742),I742-SUM(J742:N742),"")</f>
        <v/>
      </c>
      <c r="P742" s="216">
        <f>IFERROR(IF(AND(ISNUMBER(O742),ISNUMBER(I742),I742&lt;&gt;0),O742/I742,""),"")</f>
        <v/>
      </c>
      <c r="Q742" s="215">
        <f>IF(AND(ISNUMBER(I742),ISNUMBER(S742)),I742*IF(S742&lt;=1,S742,S742/100),IF(OR(I742&lt;&gt;"",S742&lt;&gt;""),"tbd",""))</f>
        <v/>
      </c>
      <c r="S742" s="217" t="n"/>
      <c r="Z742">
        <f>IF(AND(R742="WON",ISNUMBER(I742)),AA742,"")</f>
        <v/>
      </c>
      <c r="AA742">
        <f>IFERROR(I742*1,0)</f>
        <v>0</v>
      </c>
    </row>
    <row r="743" ht="15" customHeight="1">
      <c r="I743" s="215" t="n"/>
      <c r="J743" s="215" t="n"/>
      <c r="K743" s="215" t="n"/>
      <c r="L743" s="215" t="n"/>
      <c r="M743" s="215" t="n"/>
      <c r="N743" s="215">
        <f>IF(ISNUMBER(I743),ROUND(I743-I743/1.081,2),"")</f>
        <v/>
      </c>
      <c r="O743" s="215">
        <f>IF(ISNUMBER(I743),I743-SUM(J743:N743),"")</f>
        <v/>
      </c>
      <c r="P743" s="216">
        <f>IFERROR(IF(AND(ISNUMBER(O743),ISNUMBER(I743),I743&lt;&gt;0),O743/I743,""),"")</f>
        <v/>
      </c>
      <c r="Q743" s="215">
        <f>IF(AND(ISNUMBER(I743),ISNUMBER(S743)),I743*IF(S743&lt;=1,S743,S743/100),IF(OR(I743&lt;&gt;"",S743&lt;&gt;""),"tbd",""))</f>
        <v/>
      </c>
      <c r="S743" s="217" t="n"/>
      <c r="Z743">
        <f>IF(AND(R743="WON",ISNUMBER(I743)),AA743,"")</f>
        <v/>
      </c>
      <c r="AA743">
        <f>IFERROR(I743*1,0)</f>
        <v>0</v>
      </c>
    </row>
    <row r="744" ht="15" customHeight="1">
      <c r="I744" s="215" t="n"/>
      <c r="J744" s="215" t="n"/>
      <c r="K744" s="215" t="n"/>
      <c r="L744" s="215" t="n"/>
      <c r="M744" s="215" t="n"/>
      <c r="N744" s="215">
        <f>IF(ISNUMBER(I744),ROUND(I744-I744/1.081,2),"")</f>
        <v/>
      </c>
      <c r="O744" s="215">
        <f>IF(ISNUMBER(I744),I744-SUM(J744:N744),"")</f>
        <v/>
      </c>
      <c r="P744" s="216">
        <f>IFERROR(IF(AND(ISNUMBER(O744),ISNUMBER(I744),I744&lt;&gt;0),O744/I744,""),"")</f>
        <v/>
      </c>
      <c r="Q744" s="215">
        <f>IF(AND(ISNUMBER(I744),ISNUMBER(S744)),I744*IF(S744&lt;=1,S744,S744/100),IF(OR(I744&lt;&gt;"",S744&lt;&gt;""),"tbd",""))</f>
        <v/>
      </c>
      <c r="S744" s="217" t="n"/>
      <c r="Z744">
        <f>IF(AND(R744="WON",ISNUMBER(I744)),AA744,"")</f>
        <v/>
      </c>
      <c r="AA744">
        <f>IFERROR(I744*1,0)</f>
        <v>0</v>
      </c>
    </row>
    <row r="745" ht="15" customHeight="1">
      <c r="I745" s="215" t="n"/>
      <c r="J745" s="215" t="n"/>
      <c r="K745" s="215" t="n"/>
      <c r="L745" s="215" t="n"/>
      <c r="M745" s="215" t="n"/>
      <c r="N745" s="215">
        <f>IF(ISNUMBER(I745),ROUND(I745-I745/1.081,2),"")</f>
        <v/>
      </c>
      <c r="O745" s="215">
        <f>IF(ISNUMBER(I745),I745-SUM(J745:N745),"")</f>
        <v/>
      </c>
      <c r="P745" s="216">
        <f>IFERROR(IF(AND(ISNUMBER(O745),ISNUMBER(I745),I745&lt;&gt;0),O745/I745,""),"")</f>
        <v/>
      </c>
      <c r="Q745" s="215">
        <f>IF(AND(ISNUMBER(I745),ISNUMBER(S745)),I745*IF(S745&lt;=1,S745,S745/100),IF(OR(I745&lt;&gt;"",S745&lt;&gt;""),"tbd",""))</f>
        <v/>
      </c>
      <c r="S745" s="217" t="n"/>
      <c r="Z745">
        <f>IF(AND(R745="WON",ISNUMBER(I745)),AA745,"")</f>
        <v/>
      </c>
      <c r="AA745">
        <f>IFERROR(I745*1,0)</f>
        <v>0</v>
      </c>
    </row>
    <row r="746" ht="15" customHeight="1">
      <c r="I746" s="215" t="n"/>
      <c r="J746" s="215" t="n"/>
      <c r="K746" s="215" t="n"/>
      <c r="L746" s="215" t="n"/>
      <c r="M746" s="215" t="n"/>
      <c r="N746" s="215">
        <f>IF(ISNUMBER(I746),ROUND(I746-I746/1.081,2),"")</f>
        <v/>
      </c>
      <c r="O746" s="215">
        <f>IF(ISNUMBER(I746),I746-SUM(J746:N746),"")</f>
        <v/>
      </c>
      <c r="P746" s="216">
        <f>IFERROR(IF(AND(ISNUMBER(O746),ISNUMBER(I746),I746&lt;&gt;0),O746/I746,""),"")</f>
        <v/>
      </c>
      <c r="Q746" s="215">
        <f>IF(AND(ISNUMBER(I746),ISNUMBER(S746)),I746*IF(S746&lt;=1,S746,S746/100),IF(OR(I746&lt;&gt;"",S746&lt;&gt;""),"tbd",""))</f>
        <v/>
      </c>
      <c r="S746" s="217" t="n"/>
      <c r="Z746">
        <f>IF(AND(R746="WON",ISNUMBER(I746)),AA746,"")</f>
        <v/>
      </c>
      <c r="AA746">
        <f>IFERROR(I746*1,0)</f>
        <v>0</v>
      </c>
    </row>
    <row r="747" ht="15" customHeight="1">
      <c r="I747" s="215" t="n"/>
      <c r="J747" s="215" t="n"/>
      <c r="K747" s="215" t="n"/>
      <c r="L747" s="215" t="n"/>
      <c r="M747" s="215" t="n"/>
      <c r="N747" s="215">
        <f>IF(ISNUMBER(I747),ROUND(I747-I747/1.081,2),"")</f>
        <v/>
      </c>
      <c r="O747" s="215">
        <f>IF(ISNUMBER(I747),I747-SUM(J747:N747),"")</f>
        <v/>
      </c>
      <c r="P747" s="216">
        <f>IFERROR(IF(AND(ISNUMBER(O747),ISNUMBER(I747),I747&lt;&gt;0),O747/I747,""),"")</f>
        <v/>
      </c>
      <c r="Q747" s="215">
        <f>IF(AND(ISNUMBER(I747),ISNUMBER(S747)),I747*IF(S747&lt;=1,S747,S747/100),IF(OR(I747&lt;&gt;"",S747&lt;&gt;""),"tbd",""))</f>
        <v/>
      </c>
      <c r="S747" s="217" t="n"/>
      <c r="Z747">
        <f>IF(AND(R747="WON",ISNUMBER(I747)),AA747,"")</f>
        <v/>
      </c>
      <c r="AA747">
        <f>IFERROR(I747*1,0)</f>
        <v>0</v>
      </c>
    </row>
    <row r="748" ht="15" customHeight="1">
      <c r="I748" s="215" t="n"/>
      <c r="J748" s="215" t="n"/>
      <c r="K748" s="215" t="n"/>
      <c r="L748" s="215" t="n"/>
      <c r="M748" s="215" t="n"/>
      <c r="N748" s="215">
        <f>IF(ISNUMBER(I748),ROUND(I748-I748/1.081,2),"")</f>
        <v/>
      </c>
      <c r="O748" s="215">
        <f>IF(ISNUMBER(I748),I748-SUM(J748:N748),"")</f>
        <v/>
      </c>
      <c r="P748" s="216">
        <f>IFERROR(IF(AND(ISNUMBER(O748),ISNUMBER(I748),I748&lt;&gt;0),O748/I748,""),"")</f>
        <v/>
      </c>
      <c r="Q748" s="215">
        <f>IF(AND(ISNUMBER(I748),ISNUMBER(S748)),I748*IF(S748&lt;=1,S748,S748/100),IF(OR(I748&lt;&gt;"",S748&lt;&gt;""),"tbd",""))</f>
        <v/>
      </c>
      <c r="S748" s="217" t="n"/>
      <c r="Z748">
        <f>IF(AND(R748="WON",ISNUMBER(I748)),AA748,"")</f>
        <v/>
      </c>
      <c r="AA748">
        <f>IFERROR(I748*1,0)</f>
        <v>0</v>
      </c>
    </row>
    <row r="749" ht="15" customHeight="1">
      <c r="I749" s="215" t="n"/>
      <c r="J749" s="215" t="n"/>
      <c r="K749" s="215" t="n"/>
      <c r="L749" s="215" t="n"/>
      <c r="M749" s="215" t="n"/>
      <c r="N749" s="215">
        <f>IF(ISNUMBER(I749),ROUND(I749-I749/1.081,2),"")</f>
        <v/>
      </c>
      <c r="O749" s="215">
        <f>IF(ISNUMBER(I749),I749-SUM(J749:N749),"")</f>
        <v/>
      </c>
      <c r="P749" s="216">
        <f>IFERROR(IF(AND(ISNUMBER(O749),ISNUMBER(I749),I749&lt;&gt;0),O749/I749,""),"")</f>
        <v/>
      </c>
      <c r="Q749" s="215">
        <f>IF(AND(ISNUMBER(I749),ISNUMBER(S749)),I749*IF(S749&lt;=1,S749,S749/100),IF(OR(I749&lt;&gt;"",S749&lt;&gt;""),"tbd",""))</f>
        <v/>
      </c>
      <c r="S749" s="217" t="n"/>
      <c r="Z749">
        <f>IF(AND(R749="WON",ISNUMBER(I749)),AA749,"")</f>
        <v/>
      </c>
      <c r="AA749">
        <f>IFERROR(I749*1,0)</f>
        <v>0</v>
      </c>
    </row>
    <row r="750" ht="15" customHeight="1">
      <c r="I750" s="215" t="n"/>
      <c r="J750" s="215" t="n"/>
      <c r="K750" s="215" t="n"/>
      <c r="L750" s="215" t="n"/>
      <c r="M750" s="215" t="n"/>
      <c r="N750" s="215">
        <f>IF(ISNUMBER(I750),ROUND(I750-I750/1.081,2),"")</f>
        <v/>
      </c>
      <c r="O750" s="215">
        <f>IF(ISNUMBER(I750),I750-SUM(J750:N750),"")</f>
        <v/>
      </c>
      <c r="P750" s="216">
        <f>IFERROR(IF(AND(ISNUMBER(O750),ISNUMBER(I750),I750&lt;&gt;0),O750/I750,""),"")</f>
        <v/>
      </c>
      <c r="Q750" s="215">
        <f>IF(AND(ISNUMBER(I750),ISNUMBER(S750)),I750*IF(S750&lt;=1,S750,S750/100),IF(OR(I750&lt;&gt;"",S750&lt;&gt;""),"tbd",""))</f>
        <v/>
      </c>
      <c r="S750" s="217" t="n"/>
      <c r="Z750">
        <f>IF(AND(R750="WON",ISNUMBER(I750)),AA750,"")</f>
        <v/>
      </c>
      <c r="AA750">
        <f>IFERROR(I750*1,0)</f>
        <v>0</v>
      </c>
    </row>
    <row r="751" ht="15" customHeight="1">
      <c r="I751" s="215" t="n"/>
      <c r="J751" s="215" t="n"/>
      <c r="K751" s="215" t="n"/>
      <c r="L751" s="215" t="n"/>
      <c r="M751" s="215" t="n"/>
      <c r="N751" s="215">
        <f>IF(ISNUMBER(I751),ROUND(I751-I751/1.081,2),"")</f>
        <v/>
      </c>
      <c r="O751" s="215">
        <f>IF(ISNUMBER(I751),I751-SUM(J751:N751),"")</f>
        <v/>
      </c>
      <c r="P751" s="216">
        <f>IFERROR(IF(AND(ISNUMBER(O751),ISNUMBER(I751),I751&lt;&gt;0),O751/I751,""),"")</f>
        <v/>
      </c>
      <c r="Q751" s="215">
        <f>IF(AND(ISNUMBER(I751),ISNUMBER(S751)),I751*IF(S751&lt;=1,S751,S751/100),IF(OR(I751&lt;&gt;"",S751&lt;&gt;""),"tbd",""))</f>
        <v/>
      </c>
      <c r="S751" s="217" t="n"/>
      <c r="Z751">
        <f>IF(AND(R751="WON",ISNUMBER(I751)),AA751,"")</f>
        <v/>
      </c>
      <c r="AA751">
        <f>IFERROR(I751*1,0)</f>
        <v>0</v>
      </c>
    </row>
    <row r="752" ht="15" customHeight="1">
      <c r="I752" s="215" t="n"/>
      <c r="J752" s="215" t="n"/>
      <c r="K752" s="215" t="n"/>
      <c r="L752" s="215" t="n"/>
      <c r="M752" s="215" t="n"/>
      <c r="N752" s="215">
        <f>IF(ISNUMBER(I752),ROUND(I752-I752/1.081,2),"")</f>
        <v/>
      </c>
      <c r="O752" s="215">
        <f>IF(ISNUMBER(I752),I752-SUM(J752:N752),"")</f>
        <v/>
      </c>
      <c r="P752" s="216">
        <f>IFERROR(IF(AND(ISNUMBER(O752),ISNUMBER(I752),I752&lt;&gt;0),O752/I752,""),"")</f>
        <v/>
      </c>
      <c r="Q752" s="215">
        <f>IF(AND(ISNUMBER(I752),ISNUMBER(S752)),I752*IF(S752&lt;=1,S752,S752/100),IF(OR(I752&lt;&gt;"",S752&lt;&gt;""),"tbd",""))</f>
        <v/>
      </c>
      <c r="S752" s="217" t="n"/>
      <c r="Z752">
        <f>IF(AND(R752="WON",ISNUMBER(I752)),AA752,"")</f>
        <v/>
      </c>
      <c r="AA752">
        <f>IFERROR(I752*1,0)</f>
        <v>0</v>
      </c>
    </row>
    <row r="753" ht="15" customHeight="1">
      <c r="I753" s="215" t="n"/>
      <c r="J753" s="215" t="n"/>
      <c r="K753" s="215" t="n"/>
      <c r="L753" s="215" t="n"/>
      <c r="M753" s="215" t="n"/>
      <c r="N753" s="215">
        <f>IF(ISNUMBER(I753),ROUND(I753-I753/1.081,2),"")</f>
        <v/>
      </c>
      <c r="O753" s="215">
        <f>IF(ISNUMBER(I753),I753-SUM(J753:N753),"")</f>
        <v/>
      </c>
      <c r="P753" s="216">
        <f>IFERROR(IF(AND(ISNUMBER(O753),ISNUMBER(I753),I753&lt;&gt;0),O753/I753,""),"")</f>
        <v/>
      </c>
      <c r="Q753" s="215">
        <f>IF(AND(ISNUMBER(I753),ISNUMBER(S753)),I753*IF(S753&lt;=1,S753,S753/100),IF(OR(I753&lt;&gt;"",S753&lt;&gt;""),"tbd",""))</f>
        <v/>
      </c>
      <c r="S753" s="217" t="n"/>
      <c r="Z753">
        <f>IF(AND(R753="WON",ISNUMBER(I753)),AA753,"")</f>
        <v/>
      </c>
      <c r="AA753">
        <f>IFERROR(I753*1,0)</f>
        <v>0</v>
      </c>
    </row>
    <row r="754" ht="15" customHeight="1">
      <c r="I754" s="215" t="n"/>
      <c r="J754" s="215" t="n"/>
      <c r="K754" s="215" t="n"/>
      <c r="L754" s="215" t="n"/>
      <c r="M754" s="215" t="n"/>
      <c r="N754" s="215">
        <f>IF(ISNUMBER(I754),ROUND(I754-I754/1.081,2),"")</f>
        <v/>
      </c>
      <c r="O754" s="215">
        <f>IF(ISNUMBER(I754),I754-SUM(J754:N754),"")</f>
        <v/>
      </c>
      <c r="P754" s="216">
        <f>IFERROR(IF(AND(ISNUMBER(O754),ISNUMBER(I754),I754&lt;&gt;0),O754/I754,""),"")</f>
        <v/>
      </c>
      <c r="Q754" s="215">
        <f>IF(AND(ISNUMBER(I754),ISNUMBER(S754)),I754*IF(S754&lt;=1,S754,S754/100),IF(OR(I754&lt;&gt;"",S754&lt;&gt;""),"tbd",""))</f>
        <v/>
      </c>
      <c r="S754" s="217" t="n"/>
      <c r="Z754">
        <f>IF(AND(R754="WON",ISNUMBER(I754)),AA754,"")</f>
        <v/>
      </c>
      <c r="AA754">
        <f>IFERROR(I754*1,0)</f>
        <v>0</v>
      </c>
    </row>
    <row r="755" ht="15" customHeight="1">
      <c r="I755" s="215" t="n"/>
      <c r="J755" s="215" t="n"/>
      <c r="K755" s="215" t="n"/>
      <c r="L755" s="215" t="n"/>
      <c r="M755" s="215" t="n"/>
      <c r="N755" s="215">
        <f>IF(ISNUMBER(I755),ROUND(I755-I755/1.081,2),"")</f>
        <v/>
      </c>
      <c r="O755" s="215">
        <f>IF(ISNUMBER(I755),I755-SUM(J755:N755),"")</f>
        <v/>
      </c>
      <c r="P755" s="216">
        <f>IFERROR(IF(AND(ISNUMBER(O755),ISNUMBER(I755),I755&lt;&gt;0),O755/I755,""),"")</f>
        <v/>
      </c>
      <c r="Q755" s="215">
        <f>IF(AND(ISNUMBER(I755),ISNUMBER(S755)),I755*IF(S755&lt;=1,S755,S755/100),IF(OR(I755&lt;&gt;"",S755&lt;&gt;""),"tbd",""))</f>
        <v/>
      </c>
      <c r="S755" s="217" t="n"/>
      <c r="Z755">
        <f>IF(AND(R755="WON",ISNUMBER(I755)),AA755,"")</f>
        <v/>
      </c>
      <c r="AA755">
        <f>IFERROR(I755*1,0)</f>
        <v>0</v>
      </c>
    </row>
    <row r="756" ht="15" customHeight="1">
      <c r="I756" s="215" t="n"/>
      <c r="J756" s="215" t="n"/>
      <c r="K756" s="215" t="n"/>
      <c r="L756" s="215" t="n"/>
      <c r="M756" s="215" t="n"/>
      <c r="N756" s="215">
        <f>IF(ISNUMBER(I756),ROUND(I756-I756/1.081,2),"")</f>
        <v/>
      </c>
      <c r="O756" s="215">
        <f>IF(ISNUMBER(I756),I756-SUM(J756:N756),"")</f>
        <v/>
      </c>
      <c r="P756" s="216">
        <f>IFERROR(IF(AND(ISNUMBER(O756),ISNUMBER(I756),I756&lt;&gt;0),O756/I756,""),"")</f>
        <v/>
      </c>
      <c r="Q756" s="215">
        <f>IF(AND(ISNUMBER(I756),ISNUMBER(S756)),I756*IF(S756&lt;=1,S756,S756/100),IF(OR(I756&lt;&gt;"",S756&lt;&gt;""),"tbd",""))</f>
        <v/>
      </c>
      <c r="S756" s="217" t="n"/>
      <c r="Z756">
        <f>IF(AND(R756="WON",ISNUMBER(I756)),AA756,"")</f>
        <v/>
      </c>
      <c r="AA756">
        <f>IFERROR(I756*1,0)</f>
        <v>0</v>
      </c>
    </row>
    <row r="757" ht="15" customHeight="1">
      <c r="I757" s="215" t="n"/>
      <c r="J757" s="215" t="n"/>
      <c r="K757" s="215" t="n"/>
      <c r="L757" s="215" t="n"/>
      <c r="M757" s="215" t="n"/>
      <c r="N757" s="215">
        <f>IF(ISNUMBER(I757),ROUND(I757-I757/1.081,2),"")</f>
        <v/>
      </c>
      <c r="O757" s="215">
        <f>IF(ISNUMBER(I757),I757-SUM(J757:N757),"")</f>
        <v/>
      </c>
      <c r="P757" s="216">
        <f>IFERROR(IF(AND(ISNUMBER(O757),ISNUMBER(I757),I757&lt;&gt;0),O757/I757,""),"")</f>
        <v/>
      </c>
      <c r="Q757" s="215">
        <f>IF(AND(ISNUMBER(I757),ISNUMBER(S757)),I757*IF(S757&lt;=1,S757,S757/100),IF(OR(I757&lt;&gt;"",S757&lt;&gt;""),"tbd",""))</f>
        <v/>
      </c>
      <c r="S757" s="217" t="n"/>
      <c r="Z757">
        <f>IF(AND(R757="WON",ISNUMBER(I757)),AA757,"")</f>
        <v/>
      </c>
      <c r="AA757">
        <f>IFERROR(I757*1,0)</f>
        <v>0</v>
      </c>
    </row>
    <row r="758" ht="15" customHeight="1">
      <c r="I758" s="215" t="n"/>
      <c r="J758" s="215" t="n"/>
      <c r="K758" s="215" t="n"/>
      <c r="L758" s="215" t="n"/>
      <c r="M758" s="215" t="n"/>
      <c r="N758" s="215">
        <f>IF(ISNUMBER(I758),ROUND(I758-I758/1.081,2),"")</f>
        <v/>
      </c>
      <c r="O758" s="215">
        <f>IF(ISNUMBER(I758),I758-SUM(J758:N758),"")</f>
        <v/>
      </c>
      <c r="P758" s="216">
        <f>IFERROR(IF(AND(ISNUMBER(O758),ISNUMBER(I758),I758&lt;&gt;0),O758/I758,""),"")</f>
        <v/>
      </c>
      <c r="Q758" s="215">
        <f>IF(AND(ISNUMBER(I758),ISNUMBER(S758)),I758*IF(S758&lt;=1,S758,S758/100),IF(OR(I758&lt;&gt;"",S758&lt;&gt;""),"tbd",""))</f>
        <v/>
      </c>
      <c r="S758" s="217" t="n"/>
      <c r="Z758">
        <f>IF(AND(R758="WON",ISNUMBER(I758)),AA758,"")</f>
        <v/>
      </c>
      <c r="AA758">
        <f>IFERROR(I758*1,0)</f>
        <v>0</v>
      </c>
    </row>
    <row r="759" ht="15" customHeight="1">
      <c r="I759" s="215" t="n"/>
      <c r="J759" s="215" t="n"/>
      <c r="K759" s="215" t="n"/>
      <c r="L759" s="215" t="n"/>
      <c r="M759" s="215" t="n"/>
      <c r="N759" s="215">
        <f>IF(ISNUMBER(I759),ROUND(I759-I759/1.081,2),"")</f>
        <v/>
      </c>
      <c r="O759" s="215">
        <f>IF(ISNUMBER(I759),I759-SUM(J759:N759),"")</f>
        <v/>
      </c>
      <c r="P759" s="216">
        <f>IFERROR(IF(AND(ISNUMBER(O759),ISNUMBER(I759),I759&lt;&gt;0),O759/I759,""),"")</f>
        <v/>
      </c>
      <c r="Q759" s="215">
        <f>IF(AND(ISNUMBER(I759),ISNUMBER(S759)),I759*IF(S759&lt;=1,S759,S759/100),IF(OR(I759&lt;&gt;"",S759&lt;&gt;""),"tbd",""))</f>
        <v/>
      </c>
      <c r="S759" s="217" t="n"/>
      <c r="Z759">
        <f>IF(AND(R759="WON",ISNUMBER(I759)),AA759,"")</f>
        <v/>
      </c>
      <c r="AA759">
        <f>IFERROR(I759*1,0)</f>
        <v>0</v>
      </c>
    </row>
    <row r="760" ht="15" customHeight="1">
      <c r="I760" s="215" t="n"/>
      <c r="J760" s="215" t="n"/>
      <c r="K760" s="215" t="n"/>
      <c r="L760" s="215" t="n"/>
      <c r="M760" s="215" t="n"/>
      <c r="N760" s="215">
        <f>IF(ISNUMBER(I760),ROUND(I760-I760/1.081,2),"")</f>
        <v/>
      </c>
      <c r="O760" s="215">
        <f>IF(ISNUMBER(I760),I760-SUM(J760:N760),"")</f>
        <v/>
      </c>
      <c r="P760" s="216">
        <f>IFERROR(IF(AND(ISNUMBER(O760),ISNUMBER(I760),I760&lt;&gt;0),O760/I760,""),"")</f>
        <v/>
      </c>
      <c r="Q760" s="215">
        <f>IF(AND(ISNUMBER(I760),ISNUMBER(S760)),I760*IF(S760&lt;=1,S760,S760/100),IF(OR(I760&lt;&gt;"",S760&lt;&gt;""),"tbd",""))</f>
        <v/>
      </c>
      <c r="S760" s="217" t="n"/>
      <c r="Z760">
        <f>IF(AND(R760="WON",ISNUMBER(I760)),AA760,"")</f>
        <v/>
      </c>
      <c r="AA760">
        <f>IFERROR(I760*1,0)</f>
        <v>0</v>
      </c>
    </row>
    <row r="761" ht="15" customHeight="1">
      <c r="I761" s="215" t="n"/>
      <c r="J761" s="215" t="n"/>
      <c r="K761" s="215" t="n"/>
      <c r="L761" s="215" t="n"/>
      <c r="M761" s="215" t="n"/>
      <c r="N761" s="215">
        <f>IF(ISNUMBER(I761),ROUND(I761-I761/1.081,2),"")</f>
        <v/>
      </c>
      <c r="O761" s="215">
        <f>IF(ISNUMBER(I761),I761-SUM(J761:N761),"")</f>
        <v/>
      </c>
      <c r="P761" s="216">
        <f>IFERROR(IF(AND(ISNUMBER(O761),ISNUMBER(I761),I761&lt;&gt;0),O761/I761,""),"")</f>
        <v/>
      </c>
      <c r="Q761" s="215">
        <f>IF(AND(ISNUMBER(I761),ISNUMBER(S761)),I761*IF(S761&lt;=1,S761,S761/100),IF(OR(I761&lt;&gt;"",S761&lt;&gt;""),"tbd",""))</f>
        <v/>
      </c>
      <c r="S761" s="217" t="n"/>
      <c r="Z761">
        <f>IF(AND(R761="WON",ISNUMBER(I761)),AA761,"")</f>
        <v/>
      </c>
      <c r="AA761">
        <f>IFERROR(I761*1,0)</f>
        <v>0</v>
      </c>
    </row>
    <row r="762" ht="15" customHeight="1">
      <c r="I762" s="215" t="n"/>
      <c r="J762" s="215" t="n"/>
      <c r="K762" s="215" t="n"/>
      <c r="L762" s="215" t="n"/>
      <c r="M762" s="215" t="n"/>
      <c r="N762" s="215">
        <f>IF(ISNUMBER(I762),ROUND(I762-I762/1.081,2),"")</f>
        <v/>
      </c>
      <c r="O762" s="215">
        <f>IF(ISNUMBER(I762),I762-SUM(J762:N762),"")</f>
        <v/>
      </c>
      <c r="P762" s="216">
        <f>IFERROR(IF(AND(ISNUMBER(O762),ISNUMBER(I762),I762&lt;&gt;0),O762/I762,""),"")</f>
        <v/>
      </c>
      <c r="Q762" s="215">
        <f>IF(AND(ISNUMBER(I762),ISNUMBER(S762)),I762*IF(S762&lt;=1,S762,S762/100),IF(OR(I762&lt;&gt;"",S762&lt;&gt;""),"tbd",""))</f>
        <v/>
      </c>
      <c r="S762" s="217" t="n"/>
      <c r="Z762">
        <f>IF(AND(R762="WON",ISNUMBER(I762)),AA762,"")</f>
        <v/>
      </c>
      <c r="AA762">
        <f>IFERROR(I762*1,0)</f>
        <v>0</v>
      </c>
    </row>
    <row r="763" ht="15" customHeight="1">
      <c r="I763" s="215" t="n"/>
      <c r="J763" s="215" t="n"/>
      <c r="K763" s="215" t="n"/>
      <c r="L763" s="215" t="n"/>
      <c r="M763" s="215" t="n"/>
      <c r="N763" s="215">
        <f>IF(ISNUMBER(I763),ROUND(I763-I763/1.081,2),"")</f>
        <v/>
      </c>
      <c r="O763" s="215">
        <f>IF(ISNUMBER(I763),I763-SUM(J763:N763),"")</f>
        <v/>
      </c>
      <c r="P763" s="216">
        <f>IFERROR(IF(AND(ISNUMBER(O763),ISNUMBER(I763),I763&lt;&gt;0),O763/I763,""),"")</f>
        <v/>
      </c>
      <c r="Q763" s="215">
        <f>IF(AND(ISNUMBER(I763),ISNUMBER(S763)),I763*IF(S763&lt;=1,S763,S763/100),IF(OR(I763&lt;&gt;"",S763&lt;&gt;""),"tbd",""))</f>
        <v/>
      </c>
      <c r="S763" s="217" t="n"/>
      <c r="Z763">
        <f>IF(AND(R763="WON",ISNUMBER(I763)),AA763,"")</f>
        <v/>
      </c>
      <c r="AA763">
        <f>IFERROR(I763*1,0)</f>
        <v>0</v>
      </c>
    </row>
    <row r="764" ht="15" customHeight="1">
      <c r="I764" s="215" t="n"/>
      <c r="J764" s="215" t="n"/>
      <c r="K764" s="215" t="n"/>
      <c r="L764" s="215" t="n"/>
      <c r="M764" s="215" t="n"/>
      <c r="N764" s="215">
        <f>IF(ISNUMBER(I764),ROUND(I764-I764/1.081,2),"")</f>
        <v/>
      </c>
      <c r="O764" s="215">
        <f>IF(ISNUMBER(I764),I764-SUM(J764:N764),"")</f>
        <v/>
      </c>
      <c r="P764" s="216">
        <f>IFERROR(IF(AND(ISNUMBER(O764),ISNUMBER(I764),I764&lt;&gt;0),O764/I764,""),"")</f>
        <v/>
      </c>
      <c r="Q764" s="215">
        <f>IF(AND(ISNUMBER(I764),ISNUMBER(S764)),I764*IF(S764&lt;=1,S764,S764/100),IF(OR(I764&lt;&gt;"",S764&lt;&gt;""),"tbd",""))</f>
        <v/>
      </c>
      <c r="S764" s="217" t="n"/>
      <c r="Z764">
        <f>IF(AND(R764="WON",ISNUMBER(I764)),AA764,"")</f>
        <v/>
      </c>
      <c r="AA764">
        <f>IFERROR(I764*1,0)</f>
        <v>0</v>
      </c>
    </row>
    <row r="765" ht="15" customHeight="1">
      <c r="I765" s="215" t="n"/>
      <c r="J765" s="215" t="n"/>
      <c r="K765" s="215" t="n"/>
      <c r="L765" s="215" t="n"/>
      <c r="M765" s="215" t="n"/>
      <c r="N765" s="215">
        <f>IF(ISNUMBER(I765),ROUND(I765-I765/1.081,2),"")</f>
        <v/>
      </c>
      <c r="O765" s="215">
        <f>IF(ISNUMBER(I765),I765-SUM(J765:N765),"")</f>
        <v/>
      </c>
      <c r="P765" s="216">
        <f>IFERROR(IF(AND(ISNUMBER(O765),ISNUMBER(I765),I765&lt;&gt;0),O765/I765,""),"")</f>
        <v/>
      </c>
      <c r="Q765" s="215">
        <f>IF(AND(ISNUMBER(I765),ISNUMBER(S765)),I765*IF(S765&lt;=1,S765,S765/100),IF(OR(I765&lt;&gt;"",S765&lt;&gt;""),"tbd",""))</f>
        <v/>
      </c>
      <c r="S765" s="217" t="n"/>
      <c r="Z765">
        <f>IF(AND(R765="WON",ISNUMBER(I765)),AA765,"")</f>
        <v/>
      </c>
      <c r="AA765">
        <f>IFERROR(I765*1,0)</f>
        <v>0</v>
      </c>
    </row>
    <row r="766" ht="15" customHeight="1">
      <c r="I766" s="215" t="n"/>
      <c r="J766" s="215" t="n"/>
      <c r="K766" s="215" t="n"/>
      <c r="L766" s="215" t="n"/>
      <c r="M766" s="215" t="n"/>
      <c r="N766" s="215">
        <f>IF(ISNUMBER(I766),ROUND(I766-I766/1.081,2),"")</f>
        <v/>
      </c>
      <c r="O766" s="215">
        <f>IF(ISNUMBER(I766),I766-SUM(J766:N766),"")</f>
        <v/>
      </c>
      <c r="P766" s="216">
        <f>IFERROR(IF(AND(ISNUMBER(O766),ISNUMBER(I766),I766&lt;&gt;0),O766/I766,""),"")</f>
        <v/>
      </c>
      <c r="Q766" s="215">
        <f>IF(AND(ISNUMBER(I766),ISNUMBER(S766)),I766*IF(S766&lt;=1,S766,S766/100),IF(OR(I766&lt;&gt;"",S766&lt;&gt;""),"tbd",""))</f>
        <v/>
      </c>
      <c r="S766" s="217" t="n"/>
      <c r="Z766">
        <f>IF(AND(R766="WON",ISNUMBER(I766)),AA766,"")</f>
        <v/>
      </c>
      <c r="AA766">
        <f>IFERROR(I766*1,0)</f>
        <v>0</v>
      </c>
    </row>
    <row r="767" ht="15" customHeight="1">
      <c r="I767" s="215" t="n"/>
      <c r="J767" s="215" t="n"/>
      <c r="K767" s="215" t="n"/>
      <c r="L767" s="215" t="n"/>
      <c r="M767" s="215" t="n"/>
      <c r="N767" s="215">
        <f>IF(ISNUMBER(I767),ROUND(I767-I767/1.081,2),"")</f>
        <v/>
      </c>
      <c r="O767" s="215">
        <f>IF(ISNUMBER(I767),I767-SUM(J767:N767),"")</f>
        <v/>
      </c>
      <c r="P767" s="216">
        <f>IFERROR(IF(AND(ISNUMBER(O767),ISNUMBER(I767),I767&lt;&gt;0),O767/I767,""),"")</f>
        <v/>
      </c>
      <c r="Q767" s="215">
        <f>IF(AND(ISNUMBER(I767),ISNUMBER(S767)),I767*IF(S767&lt;=1,S767,S767/100),IF(OR(I767&lt;&gt;"",S767&lt;&gt;""),"tbd",""))</f>
        <v/>
      </c>
      <c r="S767" s="217" t="n"/>
      <c r="Z767">
        <f>IF(AND(R767="WON",ISNUMBER(I767)),AA767,"")</f>
        <v/>
      </c>
      <c r="AA767">
        <f>IFERROR(I767*1,0)</f>
        <v>0</v>
      </c>
    </row>
    <row r="768" ht="15" customHeight="1">
      <c r="I768" s="215" t="n"/>
      <c r="J768" s="215" t="n"/>
      <c r="K768" s="215" t="n"/>
      <c r="L768" s="215" t="n"/>
      <c r="M768" s="215" t="n"/>
      <c r="N768" s="215">
        <f>IF(ISNUMBER(I768),ROUND(I768-I768/1.081,2),"")</f>
        <v/>
      </c>
      <c r="O768" s="215">
        <f>IF(ISNUMBER(I768),I768-SUM(J768:N768),"")</f>
        <v/>
      </c>
      <c r="P768" s="216">
        <f>IFERROR(IF(AND(ISNUMBER(O768),ISNUMBER(I768),I768&lt;&gt;0),O768/I768,""),"")</f>
        <v/>
      </c>
      <c r="Q768" s="215">
        <f>IF(AND(ISNUMBER(I768),ISNUMBER(S768)),I768*IF(S768&lt;=1,S768,S768/100),IF(OR(I768&lt;&gt;"",S768&lt;&gt;""),"tbd",""))</f>
        <v/>
      </c>
      <c r="S768" s="217" t="n"/>
      <c r="Z768">
        <f>IF(AND(R768="WON",ISNUMBER(I768)),AA768,"")</f>
        <v/>
      </c>
      <c r="AA768">
        <f>IFERROR(I768*1,0)</f>
        <v>0</v>
      </c>
    </row>
    <row r="769" ht="15" customHeight="1">
      <c r="I769" s="215" t="n"/>
      <c r="J769" s="215" t="n"/>
      <c r="K769" s="215" t="n"/>
      <c r="L769" s="215" t="n"/>
      <c r="M769" s="215" t="n"/>
      <c r="N769" s="215">
        <f>IF(ISNUMBER(I769),ROUND(I769-I769/1.081,2),"")</f>
        <v/>
      </c>
      <c r="O769" s="215">
        <f>IF(ISNUMBER(I769),I769-SUM(J769:N769),"")</f>
        <v/>
      </c>
      <c r="P769" s="216">
        <f>IFERROR(IF(AND(ISNUMBER(O769),ISNUMBER(I769),I769&lt;&gt;0),O769/I769,""),"")</f>
        <v/>
      </c>
      <c r="Q769" s="215">
        <f>IF(AND(ISNUMBER(I769),ISNUMBER(S769)),I769*IF(S769&lt;=1,S769,S769/100),IF(OR(I769&lt;&gt;"",S769&lt;&gt;""),"tbd",""))</f>
        <v/>
      </c>
      <c r="S769" s="217" t="n"/>
      <c r="Z769">
        <f>IF(AND(R769="WON",ISNUMBER(I769)),AA769,"")</f>
        <v/>
      </c>
      <c r="AA769">
        <f>IFERROR(I769*1,0)</f>
        <v>0</v>
      </c>
    </row>
    <row r="770" ht="15" customHeight="1">
      <c r="I770" s="215" t="n"/>
      <c r="J770" s="215" t="n"/>
      <c r="K770" s="215" t="n"/>
      <c r="L770" s="215" t="n"/>
      <c r="M770" s="215" t="n"/>
      <c r="N770" s="215">
        <f>IF(ISNUMBER(I770),ROUND(I770-I770/1.081,2),"")</f>
        <v/>
      </c>
      <c r="O770" s="215">
        <f>IF(ISNUMBER(I770),I770-SUM(J770:N770),"")</f>
        <v/>
      </c>
      <c r="P770" s="216">
        <f>IFERROR(IF(AND(ISNUMBER(O770),ISNUMBER(I770),I770&lt;&gt;0),O770/I770,""),"")</f>
        <v/>
      </c>
      <c r="Q770" s="215">
        <f>IF(AND(ISNUMBER(I770),ISNUMBER(S770)),I770*IF(S770&lt;=1,S770,S770/100),IF(OR(I770&lt;&gt;"",S770&lt;&gt;""),"tbd",""))</f>
        <v/>
      </c>
      <c r="S770" s="217" t="n"/>
      <c r="Z770">
        <f>IF(AND(R770="WON",ISNUMBER(I770)),AA770,"")</f>
        <v/>
      </c>
      <c r="AA770">
        <f>IFERROR(I770*1,0)</f>
        <v>0</v>
      </c>
    </row>
    <row r="771" ht="15" customHeight="1">
      <c r="I771" s="215" t="n"/>
      <c r="J771" s="215" t="n"/>
      <c r="K771" s="215" t="n"/>
      <c r="L771" s="215" t="n"/>
      <c r="M771" s="215" t="n"/>
      <c r="N771" s="215">
        <f>IF(ISNUMBER(I771),ROUND(I771-I771/1.081,2),"")</f>
        <v/>
      </c>
      <c r="O771" s="215">
        <f>IF(ISNUMBER(I771),I771-SUM(J771:N771),"")</f>
        <v/>
      </c>
      <c r="P771" s="216">
        <f>IFERROR(IF(AND(ISNUMBER(O771),ISNUMBER(I771),I771&lt;&gt;0),O771/I771,""),"")</f>
        <v/>
      </c>
      <c r="Q771" s="215">
        <f>IF(AND(ISNUMBER(I771),ISNUMBER(S771)),I771*IF(S771&lt;=1,S771,S771/100),IF(OR(I771&lt;&gt;"",S771&lt;&gt;""),"tbd",""))</f>
        <v/>
      </c>
      <c r="S771" s="217" t="n"/>
      <c r="Z771">
        <f>IF(AND(R771="WON",ISNUMBER(I771)),AA771,"")</f>
        <v/>
      </c>
      <c r="AA771">
        <f>IFERROR(I771*1,0)</f>
        <v>0</v>
      </c>
    </row>
    <row r="772" ht="15" customHeight="1">
      <c r="I772" s="215" t="n"/>
      <c r="J772" s="215" t="n"/>
      <c r="K772" s="215" t="n"/>
      <c r="L772" s="215" t="n"/>
      <c r="M772" s="215" t="n"/>
      <c r="N772" s="215">
        <f>IF(ISNUMBER(I772),ROUND(I772-I772/1.081,2),"")</f>
        <v/>
      </c>
      <c r="O772" s="215">
        <f>IF(ISNUMBER(I772),I772-SUM(J772:N772),"")</f>
        <v/>
      </c>
      <c r="P772" s="216">
        <f>IFERROR(IF(AND(ISNUMBER(O772),ISNUMBER(I772),I772&lt;&gt;0),O772/I772,""),"")</f>
        <v/>
      </c>
      <c r="Q772" s="215">
        <f>IF(AND(ISNUMBER(I772),ISNUMBER(S772)),I772*IF(S772&lt;=1,S772,S772/100),IF(OR(I772&lt;&gt;"",S772&lt;&gt;""),"tbd",""))</f>
        <v/>
      </c>
      <c r="S772" s="217" t="n"/>
      <c r="Z772">
        <f>IF(AND(R772="WON",ISNUMBER(I772)),AA772,"")</f>
        <v/>
      </c>
      <c r="AA772">
        <f>IFERROR(I772*1,0)</f>
        <v>0</v>
      </c>
    </row>
    <row r="773" ht="15" customHeight="1">
      <c r="I773" s="215" t="n"/>
      <c r="J773" s="215" t="n"/>
      <c r="K773" s="215" t="n"/>
      <c r="L773" s="215" t="n"/>
      <c r="M773" s="215" t="n"/>
      <c r="N773" s="215">
        <f>IF(ISNUMBER(I773),ROUND(I773-I773/1.081,2),"")</f>
        <v/>
      </c>
      <c r="O773" s="215">
        <f>IF(ISNUMBER(I773),I773-SUM(J773:N773),"")</f>
        <v/>
      </c>
      <c r="P773" s="216">
        <f>IFERROR(IF(AND(ISNUMBER(O773),ISNUMBER(I773),I773&lt;&gt;0),O773/I773,""),"")</f>
        <v/>
      </c>
      <c r="Q773" s="215">
        <f>IF(AND(ISNUMBER(I773),ISNUMBER(S773)),I773*IF(S773&lt;=1,S773,S773/100),IF(OR(I773&lt;&gt;"",S773&lt;&gt;""),"tbd",""))</f>
        <v/>
      </c>
      <c r="S773" s="217" t="n"/>
      <c r="Z773">
        <f>IF(AND(R773="WON",ISNUMBER(I773)),AA773,"")</f>
        <v/>
      </c>
      <c r="AA773">
        <f>IFERROR(I773*1,0)</f>
        <v>0</v>
      </c>
    </row>
    <row r="774" ht="15" customHeight="1">
      <c r="I774" s="215" t="n"/>
      <c r="J774" s="215" t="n"/>
      <c r="K774" s="215" t="n"/>
      <c r="L774" s="215" t="n"/>
      <c r="M774" s="215" t="n"/>
      <c r="N774" s="215">
        <f>IF(ISNUMBER(I774),ROUND(I774-I774/1.081,2),"")</f>
        <v/>
      </c>
      <c r="O774" s="215">
        <f>IF(ISNUMBER(I774),I774-SUM(J774:N774),"")</f>
        <v/>
      </c>
      <c r="P774" s="216">
        <f>IFERROR(IF(AND(ISNUMBER(O774),ISNUMBER(I774),I774&lt;&gt;0),O774/I774,""),"")</f>
        <v/>
      </c>
      <c r="Q774" s="215">
        <f>IF(AND(ISNUMBER(I774),ISNUMBER(S774)),I774*IF(S774&lt;=1,S774,S774/100),IF(OR(I774&lt;&gt;"",S774&lt;&gt;""),"tbd",""))</f>
        <v/>
      </c>
      <c r="S774" s="217" t="n"/>
      <c r="Z774">
        <f>IF(AND(R774="WON",ISNUMBER(I774)),AA774,"")</f>
        <v/>
      </c>
      <c r="AA774">
        <f>IFERROR(I774*1,0)</f>
        <v>0</v>
      </c>
    </row>
    <row r="775" ht="15" customHeight="1">
      <c r="I775" s="215" t="n"/>
      <c r="J775" s="215" t="n"/>
      <c r="K775" s="215" t="n"/>
      <c r="L775" s="215" t="n"/>
      <c r="M775" s="215" t="n"/>
      <c r="N775" s="215">
        <f>IF(ISNUMBER(I775),ROUND(I775-I775/1.081,2),"")</f>
        <v/>
      </c>
      <c r="O775" s="215">
        <f>IF(ISNUMBER(I775),I775-SUM(J775:N775),"")</f>
        <v/>
      </c>
      <c r="P775" s="216">
        <f>IFERROR(IF(AND(ISNUMBER(O775),ISNUMBER(I775),I775&lt;&gt;0),O775/I775,""),"")</f>
        <v/>
      </c>
      <c r="Q775" s="215">
        <f>IF(AND(ISNUMBER(I775),ISNUMBER(S775)),I775*IF(S775&lt;=1,S775,S775/100),IF(OR(I775&lt;&gt;"",S775&lt;&gt;""),"tbd",""))</f>
        <v/>
      </c>
      <c r="S775" s="217" t="n"/>
      <c r="Z775">
        <f>IF(AND(R775="WON",ISNUMBER(I775)),AA775,"")</f>
        <v/>
      </c>
      <c r="AA775">
        <f>IFERROR(I775*1,0)</f>
        <v>0</v>
      </c>
    </row>
    <row r="776" ht="15" customHeight="1">
      <c r="I776" s="215" t="n"/>
      <c r="J776" s="215" t="n"/>
      <c r="K776" s="215" t="n"/>
      <c r="L776" s="215" t="n"/>
      <c r="M776" s="215" t="n"/>
      <c r="N776" s="215">
        <f>IF(ISNUMBER(I776),ROUND(I776-I776/1.081,2),"")</f>
        <v/>
      </c>
      <c r="O776" s="215">
        <f>IF(ISNUMBER(I776),I776-SUM(J776:N776),"")</f>
        <v/>
      </c>
      <c r="P776" s="216">
        <f>IFERROR(IF(AND(ISNUMBER(O776),ISNUMBER(I776),I776&lt;&gt;0),O776/I776,""),"")</f>
        <v/>
      </c>
      <c r="Q776" s="215">
        <f>IF(AND(ISNUMBER(I776),ISNUMBER(S776)),I776*IF(S776&lt;=1,S776,S776/100),IF(OR(I776&lt;&gt;"",S776&lt;&gt;""),"tbd",""))</f>
        <v/>
      </c>
      <c r="S776" s="217" t="n"/>
      <c r="Z776">
        <f>IF(AND(R776="WON",ISNUMBER(I776)),AA776,"")</f>
        <v/>
      </c>
      <c r="AA776">
        <f>IFERROR(I776*1,0)</f>
        <v>0</v>
      </c>
    </row>
    <row r="777" ht="15" customHeight="1">
      <c r="I777" s="215" t="n"/>
      <c r="J777" s="215" t="n"/>
      <c r="K777" s="215" t="n"/>
      <c r="L777" s="215" t="n"/>
      <c r="M777" s="215" t="n"/>
      <c r="N777" s="215">
        <f>IF(ISNUMBER(I777),ROUND(I777-I777/1.081,2),"")</f>
        <v/>
      </c>
      <c r="O777" s="215">
        <f>IF(ISNUMBER(I777),I777-SUM(J777:N777),"")</f>
        <v/>
      </c>
      <c r="P777" s="216">
        <f>IFERROR(IF(AND(ISNUMBER(O777),ISNUMBER(I777),I777&lt;&gt;0),O777/I777,""),"")</f>
        <v/>
      </c>
      <c r="Q777" s="215">
        <f>IF(AND(ISNUMBER(I777),ISNUMBER(S777)),I777*IF(S777&lt;=1,S777,S777/100),IF(OR(I777&lt;&gt;"",S777&lt;&gt;""),"tbd",""))</f>
        <v/>
      </c>
      <c r="S777" s="217" t="n"/>
      <c r="Z777">
        <f>IF(AND(R777="WON",ISNUMBER(I777)),AA777,"")</f>
        <v/>
      </c>
      <c r="AA777">
        <f>IFERROR(I777*1,0)</f>
        <v>0</v>
      </c>
    </row>
    <row r="778" ht="15" customHeight="1">
      <c r="I778" s="215" t="n"/>
      <c r="J778" s="215" t="n"/>
      <c r="K778" s="215" t="n"/>
      <c r="L778" s="215" t="n"/>
      <c r="M778" s="215" t="n"/>
      <c r="N778" s="215">
        <f>IF(ISNUMBER(I778),ROUND(I778-I778/1.081,2),"")</f>
        <v/>
      </c>
      <c r="O778" s="215">
        <f>IF(ISNUMBER(I778),I778-SUM(J778:N778),"")</f>
        <v/>
      </c>
      <c r="P778" s="216">
        <f>IFERROR(IF(AND(ISNUMBER(O778),ISNUMBER(I778),I778&lt;&gt;0),O778/I778,""),"")</f>
        <v/>
      </c>
      <c r="Q778" s="215">
        <f>IF(AND(ISNUMBER(I778),ISNUMBER(S778)),I778*IF(S778&lt;=1,S778,S778/100),IF(OR(I778&lt;&gt;"",S778&lt;&gt;""),"tbd",""))</f>
        <v/>
      </c>
      <c r="S778" s="217" t="n"/>
      <c r="Z778">
        <f>IF(AND(R778="WON",ISNUMBER(I778)),AA778,"")</f>
        <v/>
      </c>
      <c r="AA778">
        <f>IFERROR(I778*1,0)</f>
        <v>0</v>
      </c>
    </row>
    <row r="779" ht="15" customHeight="1">
      <c r="I779" s="215" t="n"/>
      <c r="J779" s="215" t="n"/>
      <c r="K779" s="215" t="n"/>
      <c r="L779" s="215" t="n"/>
      <c r="M779" s="215" t="n"/>
      <c r="N779" s="215">
        <f>IF(ISNUMBER(I779),ROUND(I779-I779/1.081,2),"")</f>
        <v/>
      </c>
      <c r="O779" s="215">
        <f>IF(ISNUMBER(I779),I779-SUM(J779:N779),"")</f>
        <v/>
      </c>
      <c r="P779" s="216">
        <f>IFERROR(IF(AND(ISNUMBER(O779),ISNUMBER(I779),I779&lt;&gt;0),O779/I779,""),"")</f>
        <v/>
      </c>
      <c r="Q779" s="215">
        <f>IF(AND(ISNUMBER(I779),ISNUMBER(S779)),I779*IF(S779&lt;=1,S779,S779/100),IF(OR(I779&lt;&gt;"",S779&lt;&gt;""),"tbd",""))</f>
        <v/>
      </c>
      <c r="S779" s="217" t="n"/>
      <c r="Z779">
        <f>IF(AND(R779="WON",ISNUMBER(I779)),AA779,"")</f>
        <v/>
      </c>
      <c r="AA779">
        <f>IFERROR(I779*1,0)</f>
        <v>0</v>
      </c>
    </row>
    <row r="780" ht="15" customHeight="1">
      <c r="I780" s="215" t="n"/>
      <c r="J780" s="215" t="n"/>
      <c r="K780" s="215" t="n"/>
      <c r="L780" s="215" t="n"/>
      <c r="M780" s="215" t="n"/>
      <c r="N780" s="215">
        <f>IF(ISNUMBER(I780),ROUND(I780-I780/1.081,2),"")</f>
        <v/>
      </c>
      <c r="O780" s="215">
        <f>IF(ISNUMBER(I780),I780-SUM(J780:N780),"")</f>
        <v/>
      </c>
      <c r="P780" s="216">
        <f>IFERROR(IF(AND(ISNUMBER(O780),ISNUMBER(I780),I780&lt;&gt;0),O780/I780,""),"")</f>
        <v/>
      </c>
      <c r="Q780" s="215">
        <f>IF(AND(ISNUMBER(I780),ISNUMBER(S780)),I780*IF(S780&lt;=1,S780,S780/100),IF(OR(I780&lt;&gt;"",S780&lt;&gt;""),"tbd",""))</f>
        <v/>
      </c>
      <c r="S780" s="217" t="n"/>
      <c r="Z780">
        <f>IF(AND(R780="WON",ISNUMBER(I780)),AA780,"")</f>
        <v/>
      </c>
      <c r="AA780">
        <f>IFERROR(I780*1,0)</f>
        <v>0</v>
      </c>
    </row>
    <row r="781" ht="15" customHeight="1">
      <c r="I781" s="215" t="n"/>
      <c r="J781" s="215" t="n"/>
      <c r="K781" s="215" t="n"/>
      <c r="L781" s="215" t="n"/>
      <c r="M781" s="215" t="n"/>
      <c r="N781" s="215">
        <f>IF(ISNUMBER(I781),ROUND(I781-I781/1.081,2),"")</f>
        <v/>
      </c>
      <c r="O781" s="215">
        <f>IF(ISNUMBER(I781),I781-SUM(J781:N781),"")</f>
        <v/>
      </c>
      <c r="P781" s="216">
        <f>IFERROR(IF(AND(ISNUMBER(O781),ISNUMBER(I781),I781&lt;&gt;0),O781/I781,""),"")</f>
        <v/>
      </c>
      <c r="Q781" s="215">
        <f>IF(AND(ISNUMBER(I781),ISNUMBER(S781)),I781*IF(S781&lt;=1,S781,S781/100),IF(OR(I781&lt;&gt;"",S781&lt;&gt;""),"tbd",""))</f>
        <v/>
      </c>
      <c r="S781" s="217" t="n"/>
      <c r="Z781">
        <f>IF(AND(R781="WON",ISNUMBER(I781)),AA781,"")</f>
        <v/>
      </c>
      <c r="AA781">
        <f>IFERROR(I781*1,0)</f>
        <v>0</v>
      </c>
    </row>
    <row r="782" ht="15" customHeight="1">
      <c r="I782" s="215" t="n"/>
      <c r="J782" s="215" t="n"/>
      <c r="K782" s="215" t="n"/>
      <c r="L782" s="215" t="n"/>
      <c r="M782" s="215" t="n"/>
      <c r="N782" s="215">
        <f>IF(ISNUMBER(I782),ROUND(I782-I782/1.081,2),"")</f>
        <v/>
      </c>
      <c r="O782" s="215">
        <f>IF(ISNUMBER(I782),I782-SUM(J782:N782),"")</f>
        <v/>
      </c>
      <c r="P782" s="216">
        <f>IFERROR(IF(AND(ISNUMBER(O782),ISNUMBER(I782),I782&lt;&gt;0),O782/I782,""),"")</f>
        <v/>
      </c>
      <c r="Q782" s="215">
        <f>IF(AND(ISNUMBER(I782),ISNUMBER(S782)),I782*IF(S782&lt;=1,S782,S782/100),IF(OR(I782&lt;&gt;"",S782&lt;&gt;""),"tbd",""))</f>
        <v/>
      </c>
      <c r="S782" s="217" t="n"/>
      <c r="Z782">
        <f>IF(AND(R782="WON",ISNUMBER(I782)),AA782,"")</f>
        <v/>
      </c>
      <c r="AA782">
        <f>IFERROR(I782*1,0)</f>
        <v>0</v>
      </c>
    </row>
    <row r="783" ht="15" customHeight="1">
      <c r="I783" s="215" t="n"/>
      <c r="J783" s="215" t="n"/>
      <c r="K783" s="215" t="n"/>
      <c r="L783" s="215" t="n"/>
      <c r="M783" s="215" t="n"/>
      <c r="N783" s="215">
        <f>IF(ISNUMBER(I783),ROUND(I783-I783/1.081,2),"")</f>
        <v/>
      </c>
      <c r="O783" s="215">
        <f>IF(ISNUMBER(I783),I783-SUM(J783:N783),"")</f>
        <v/>
      </c>
      <c r="P783" s="216">
        <f>IFERROR(IF(AND(ISNUMBER(O783),ISNUMBER(I783),I783&lt;&gt;0),O783/I783,""),"")</f>
        <v/>
      </c>
      <c r="Q783" s="215">
        <f>IF(AND(ISNUMBER(I783),ISNUMBER(S783)),I783*IF(S783&lt;=1,S783,S783/100),IF(OR(I783&lt;&gt;"",S783&lt;&gt;""),"tbd",""))</f>
        <v/>
      </c>
      <c r="S783" s="217" t="n"/>
      <c r="Z783">
        <f>IF(AND(R783="WON",ISNUMBER(I783)),AA783,"")</f>
        <v/>
      </c>
      <c r="AA783">
        <f>IFERROR(I783*1,0)</f>
        <v>0</v>
      </c>
    </row>
    <row r="784" ht="15" customHeight="1">
      <c r="I784" s="215" t="n"/>
      <c r="J784" s="215" t="n"/>
      <c r="K784" s="215" t="n"/>
      <c r="L784" s="215" t="n"/>
      <c r="M784" s="215" t="n"/>
      <c r="N784" s="215">
        <f>IF(ISNUMBER(I784),ROUND(I784-I784/1.081,2),"")</f>
        <v/>
      </c>
      <c r="O784" s="215">
        <f>IF(ISNUMBER(I784),I784-SUM(J784:N784),"")</f>
        <v/>
      </c>
      <c r="P784" s="216">
        <f>IFERROR(IF(AND(ISNUMBER(O784),ISNUMBER(I784),I784&lt;&gt;0),O784/I784,""),"")</f>
        <v/>
      </c>
      <c r="Q784" s="215">
        <f>IF(AND(ISNUMBER(I784),ISNUMBER(S784)),I784*IF(S784&lt;=1,S784,S784/100),IF(OR(I784&lt;&gt;"",S784&lt;&gt;""),"tbd",""))</f>
        <v/>
      </c>
      <c r="S784" s="217" t="n"/>
      <c r="Z784">
        <f>IF(AND(R784="WON",ISNUMBER(I784)),AA784,"")</f>
        <v/>
      </c>
      <c r="AA784">
        <f>IFERROR(I784*1,0)</f>
        <v>0</v>
      </c>
    </row>
    <row r="785" ht="15" customHeight="1">
      <c r="I785" s="215" t="n"/>
      <c r="J785" s="215" t="n"/>
      <c r="K785" s="215" t="n"/>
      <c r="L785" s="215" t="n"/>
      <c r="M785" s="215" t="n"/>
      <c r="N785" s="215">
        <f>IF(ISNUMBER(I785),ROUND(I785-I785/1.081,2),"")</f>
        <v/>
      </c>
      <c r="O785" s="215">
        <f>IF(ISNUMBER(I785),I785-SUM(J785:N785),"")</f>
        <v/>
      </c>
      <c r="P785" s="216">
        <f>IFERROR(IF(AND(ISNUMBER(O785),ISNUMBER(I785),I785&lt;&gt;0),O785/I785,""),"")</f>
        <v/>
      </c>
      <c r="Q785" s="215">
        <f>IF(AND(ISNUMBER(I785),ISNUMBER(S785)),I785*IF(S785&lt;=1,S785,S785/100),IF(OR(I785&lt;&gt;"",S785&lt;&gt;""),"tbd",""))</f>
        <v/>
      </c>
      <c r="S785" s="217" t="n"/>
      <c r="Z785">
        <f>IF(AND(R785="WON",ISNUMBER(I785)),AA785,"")</f>
        <v/>
      </c>
      <c r="AA785">
        <f>IFERROR(I785*1,0)</f>
        <v>0</v>
      </c>
    </row>
    <row r="786" ht="15" customHeight="1">
      <c r="I786" s="215" t="n"/>
      <c r="J786" s="215" t="n"/>
      <c r="K786" s="215" t="n"/>
      <c r="L786" s="215" t="n"/>
      <c r="M786" s="215" t="n"/>
      <c r="N786" s="215">
        <f>IF(ISNUMBER(I786),ROUND(I786-I786/1.081,2),"")</f>
        <v/>
      </c>
      <c r="O786" s="215">
        <f>IF(ISNUMBER(I786),I786-SUM(J786:N786),"")</f>
        <v/>
      </c>
      <c r="P786" s="216">
        <f>IFERROR(IF(AND(ISNUMBER(O786),ISNUMBER(I786),I786&lt;&gt;0),O786/I786,""),"")</f>
        <v/>
      </c>
      <c r="Q786" s="215">
        <f>IF(AND(ISNUMBER(I786),ISNUMBER(S786)),I786*IF(S786&lt;=1,S786,S786/100),IF(OR(I786&lt;&gt;"",S786&lt;&gt;""),"tbd",""))</f>
        <v/>
      </c>
      <c r="S786" s="217" t="n"/>
      <c r="Z786">
        <f>IF(AND(R786="WON",ISNUMBER(I786)),AA786,"")</f>
        <v/>
      </c>
      <c r="AA786">
        <f>IFERROR(I786*1,0)</f>
        <v>0</v>
      </c>
    </row>
    <row r="787" ht="15" customHeight="1">
      <c r="I787" s="215" t="n"/>
      <c r="J787" s="215" t="n"/>
      <c r="K787" s="215" t="n"/>
      <c r="L787" s="215" t="n"/>
      <c r="M787" s="215" t="n"/>
      <c r="N787" s="215">
        <f>IF(ISNUMBER(I787),ROUND(I787-I787/1.081,2),"")</f>
        <v/>
      </c>
      <c r="O787" s="215">
        <f>IF(ISNUMBER(I787),I787-SUM(J787:N787),"")</f>
        <v/>
      </c>
      <c r="P787" s="216">
        <f>IFERROR(IF(AND(ISNUMBER(O787),ISNUMBER(I787),I787&lt;&gt;0),O787/I787,""),"")</f>
        <v/>
      </c>
      <c r="Q787" s="215">
        <f>IF(AND(ISNUMBER(I787),ISNUMBER(S787)),I787*IF(S787&lt;=1,S787,S787/100),IF(OR(I787&lt;&gt;"",S787&lt;&gt;""),"tbd",""))</f>
        <v/>
      </c>
      <c r="S787" s="217" t="n"/>
      <c r="Z787">
        <f>IF(AND(R787="WON",ISNUMBER(I787)),AA787,"")</f>
        <v/>
      </c>
      <c r="AA787">
        <f>IFERROR(I787*1,0)</f>
        <v>0</v>
      </c>
    </row>
    <row r="788" ht="15" customHeight="1">
      <c r="I788" s="215" t="n"/>
      <c r="J788" s="215" t="n"/>
      <c r="K788" s="215" t="n"/>
      <c r="L788" s="215" t="n"/>
      <c r="M788" s="215" t="n"/>
      <c r="N788" s="215">
        <f>IF(ISNUMBER(I788),ROUND(I788-I788/1.081,2),"")</f>
        <v/>
      </c>
      <c r="O788" s="215">
        <f>IF(ISNUMBER(I788),I788-SUM(J788:N788),"")</f>
        <v/>
      </c>
      <c r="P788" s="216">
        <f>IFERROR(IF(AND(ISNUMBER(O788),ISNUMBER(I788),I788&lt;&gt;0),O788/I788,""),"")</f>
        <v/>
      </c>
      <c r="Q788" s="215">
        <f>IF(AND(ISNUMBER(I788),ISNUMBER(S788)),I788*IF(S788&lt;=1,S788,S788/100),IF(OR(I788&lt;&gt;"",S788&lt;&gt;""),"tbd",""))</f>
        <v/>
      </c>
      <c r="S788" s="217" t="n"/>
      <c r="Z788">
        <f>IF(AND(R788="WON",ISNUMBER(I788)),AA788,"")</f>
        <v/>
      </c>
      <c r="AA788">
        <f>IFERROR(I788*1,0)</f>
        <v>0</v>
      </c>
    </row>
    <row r="789" ht="15" customHeight="1">
      <c r="I789" s="215" t="n"/>
      <c r="J789" s="215" t="n"/>
      <c r="K789" s="215" t="n"/>
      <c r="L789" s="215" t="n"/>
      <c r="M789" s="215" t="n"/>
      <c r="N789" s="215">
        <f>IF(ISNUMBER(I789),ROUND(I789-I789/1.081,2),"")</f>
        <v/>
      </c>
      <c r="O789" s="215">
        <f>IF(ISNUMBER(I789),I789-SUM(J789:N789),"")</f>
        <v/>
      </c>
      <c r="P789" s="216">
        <f>IFERROR(IF(AND(ISNUMBER(O789),ISNUMBER(I789),I789&lt;&gt;0),O789/I789,""),"")</f>
        <v/>
      </c>
      <c r="Q789" s="215">
        <f>IF(AND(ISNUMBER(I789),ISNUMBER(S789)),I789*IF(S789&lt;=1,S789,S789/100),IF(OR(I789&lt;&gt;"",S789&lt;&gt;""),"tbd",""))</f>
        <v/>
      </c>
      <c r="S789" s="217" t="n"/>
      <c r="Z789">
        <f>IF(AND(R789="WON",ISNUMBER(I789)),AA789,"")</f>
        <v/>
      </c>
      <c r="AA789">
        <f>IFERROR(I789*1,0)</f>
        <v>0</v>
      </c>
    </row>
    <row r="790" ht="15" customHeight="1">
      <c r="I790" s="215" t="n"/>
      <c r="J790" s="215" t="n"/>
      <c r="K790" s="215" t="n"/>
      <c r="L790" s="215" t="n"/>
      <c r="M790" s="215" t="n"/>
      <c r="N790" s="215">
        <f>IF(ISNUMBER(I790),ROUND(I790-I790/1.081,2),"")</f>
        <v/>
      </c>
      <c r="O790" s="215">
        <f>IF(ISNUMBER(I790),I790-SUM(J790:N790),"")</f>
        <v/>
      </c>
      <c r="P790" s="216">
        <f>IFERROR(IF(AND(ISNUMBER(O790),ISNUMBER(I790),I790&lt;&gt;0),O790/I790,""),"")</f>
        <v/>
      </c>
      <c r="Q790" s="215">
        <f>IF(AND(ISNUMBER(I790),ISNUMBER(S790)),I790*IF(S790&lt;=1,S790,S790/100),IF(OR(I790&lt;&gt;"",S790&lt;&gt;""),"tbd",""))</f>
        <v/>
      </c>
      <c r="S790" s="217" t="n"/>
      <c r="Z790">
        <f>IF(AND(R790="WON",ISNUMBER(I790)),AA790,"")</f>
        <v/>
      </c>
      <c r="AA790">
        <f>IFERROR(I790*1,0)</f>
        <v>0</v>
      </c>
    </row>
    <row r="791" ht="15" customHeight="1">
      <c r="I791" s="215" t="n"/>
      <c r="J791" s="215" t="n"/>
      <c r="K791" s="215" t="n"/>
      <c r="L791" s="215" t="n"/>
      <c r="M791" s="215" t="n"/>
      <c r="N791" s="215">
        <f>IF(ISNUMBER(I791),ROUND(I791-I791/1.081,2),"")</f>
        <v/>
      </c>
      <c r="O791" s="215">
        <f>IF(ISNUMBER(I791),I791-SUM(J791:N791),"")</f>
        <v/>
      </c>
      <c r="P791" s="216">
        <f>IFERROR(IF(AND(ISNUMBER(O791),ISNUMBER(I791),I791&lt;&gt;0),O791/I791,""),"")</f>
        <v/>
      </c>
      <c r="Q791" s="215">
        <f>IF(AND(ISNUMBER(I791),ISNUMBER(S791)),I791*IF(S791&lt;=1,S791,S791/100),IF(OR(I791&lt;&gt;"",S791&lt;&gt;""),"tbd",""))</f>
        <v/>
      </c>
      <c r="S791" s="217" t="n"/>
      <c r="Z791">
        <f>IF(AND(R791="WON",ISNUMBER(I791)),AA791,"")</f>
        <v/>
      </c>
      <c r="AA791">
        <f>IFERROR(I791*1,0)</f>
        <v>0</v>
      </c>
    </row>
    <row r="792" ht="15" customHeight="1">
      <c r="I792" s="215" t="n"/>
      <c r="J792" s="215" t="n"/>
      <c r="K792" s="215" t="n"/>
      <c r="L792" s="215" t="n"/>
      <c r="M792" s="215" t="n"/>
      <c r="N792" s="215">
        <f>IF(ISNUMBER(I792),ROUND(I792-I792/1.081,2),"")</f>
        <v/>
      </c>
      <c r="O792" s="215">
        <f>IF(ISNUMBER(I792),I792-SUM(J792:N792),"")</f>
        <v/>
      </c>
      <c r="P792" s="216">
        <f>IFERROR(IF(AND(ISNUMBER(O792),ISNUMBER(I792),I792&lt;&gt;0),O792/I792,""),"")</f>
        <v/>
      </c>
      <c r="Q792" s="215">
        <f>IF(AND(ISNUMBER(I792),ISNUMBER(S792)),I792*IF(S792&lt;=1,S792,S792/100),IF(OR(I792&lt;&gt;"",S792&lt;&gt;""),"tbd",""))</f>
        <v/>
      </c>
      <c r="S792" s="217" t="n"/>
      <c r="Z792">
        <f>IF(AND(R792="WON",ISNUMBER(I792)),AA792,"")</f>
        <v/>
      </c>
      <c r="AA792">
        <f>IFERROR(I792*1,0)</f>
        <v>0</v>
      </c>
    </row>
    <row r="793" ht="15" customHeight="1">
      <c r="I793" s="215" t="n"/>
      <c r="J793" s="215" t="n"/>
      <c r="K793" s="215" t="n"/>
      <c r="L793" s="215" t="n"/>
      <c r="M793" s="215" t="n"/>
      <c r="N793" s="215">
        <f>IF(ISNUMBER(I793),ROUND(I793-I793/1.081,2),"")</f>
        <v/>
      </c>
      <c r="O793" s="215">
        <f>IF(ISNUMBER(I793),I793-SUM(J793:N793),"")</f>
        <v/>
      </c>
      <c r="P793" s="216">
        <f>IFERROR(IF(AND(ISNUMBER(O793),ISNUMBER(I793),I793&lt;&gt;0),O793/I793,""),"")</f>
        <v/>
      </c>
      <c r="Q793" s="215">
        <f>IF(AND(ISNUMBER(I793),ISNUMBER(S793)),I793*IF(S793&lt;=1,S793,S793/100),IF(OR(I793&lt;&gt;"",S793&lt;&gt;""),"tbd",""))</f>
        <v/>
      </c>
      <c r="S793" s="217" t="n"/>
      <c r="Z793">
        <f>IF(AND(R793="WON",ISNUMBER(I793)),AA793,"")</f>
        <v/>
      </c>
      <c r="AA793">
        <f>IFERROR(I793*1,0)</f>
        <v>0</v>
      </c>
    </row>
    <row r="794" ht="15" customHeight="1">
      <c r="I794" s="215" t="n"/>
      <c r="J794" s="215" t="n"/>
      <c r="K794" s="215" t="n"/>
      <c r="L794" s="215" t="n"/>
      <c r="M794" s="215" t="n"/>
      <c r="N794" s="215">
        <f>IF(ISNUMBER(I794),ROUND(I794-I794/1.081,2),"")</f>
        <v/>
      </c>
      <c r="O794" s="215">
        <f>IF(ISNUMBER(I794),I794-SUM(J794:N794),"")</f>
        <v/>
      </c>
      <c r="P794" s="216">
        <f>IFERROR(IF(AND(ISNUMBER(O794),ISNUMBER(I794),I794&lt;&gt;0),O794/I794,""),"")</f>
        <v/>
      </c>
      <c r="Q794" s="215">
        <f>IF(AND(ISNUMBER(I794),ISNUMBER(S794)),I794*IF(S794&lt;=1,S794,S794/100),IF(OR(I794&lt;&gt;"",S794&lt;&gt;""),"tbd",""))</f>
        <v/>
      </c>
      <c r="S794" s="217" t="n"/>
      <c r="Z794">
        <f>IF(AND(R794="WON",ISNUMBER(I794)),AA794,"")</f>
        <v/>
      </c>
      <c r="AA794">
        <f>IFERROR(I794*1,0)</f>
        <v>0</v>
      </c>
    </row>
    <row r="795" ht="15" customHeight="1">
      <c r="I795" s="215" t="n"/>
      <c r="J795" s="215" t="n"/>
      <c r="K795" s="215" t="n"/>
      <c r="L795" s="215" t="n"/>
      <c r="M795" s="215" t="n"/>
      <c r="N795" s="215">
        <f>IF(ISNUMBER(I795),ROUND(I795-I795/1.081,2),"")</f>
        <v/>
      </c>
      <c r="O795" s="215">
        <f>IF(ISNUMBER(I795),I795-SUM(J795:N795),"")</f>
        <v/>
      </c>
      <c r="P795" s="216">
        <f>IFERROR(IF(AND(ISNUMBER(O795),ISNUMBER(I795),I795&lt;&gt;0),O795/I795,""),"")</f>
        <v/>
      </c>
      <c r="Q795" s="215">
        <f>IF(AND(ISNUMBER(I795),ISNUMBER(S795)),I795*IF(S795&lt;=1,S795,S795/100),IF(OR(I795&lt;&gt;"",S795&lt;&gt;""),"tbd",""))</f>
        <v/>
      </c>
      <c r="S795" s="217" t="n"/>
      <c r="Z795">
        <f>IF(AND(R795="WON",ISNUMBER(I795)),AA795,"")</f>
        <v/>
      </c>
      <c r="AA795">
        <f>IFERROR(I795*1,0)</f>
        <v>0</v>
      </c>
    </row>
    <row r="796" ht="15" customHeight="1">
      <c r="I796" s="215" t="n"/>
      <c r="J796" s="215" t="n"/>
      <c r="K796" s="215" t="n"/>
      <c r="L796" s="215" t="n"/>
      <c r="M796" s="215" t="n"/>
      <c r="N796" s="215">
        <f>IF(ISNUMBER(I796),ROUND(I796-I796/1.081,2),"")</f>
        <v/>
      </c>
      <c r="O796" s="215">
        <f>IF(ISNUMBER(I796),I796-SUM(J796:N796),"")</f>
        <v/>
      </c>
      <c r="P796" s="216">
        <f>IFERROR(IF(AND(ISNUMBER(O796),ISNUMBER(I796),I796&lt;&gt;0),O796/I796,""),"")</f>
        <v/>
      </c>
      <c r="Q796" s="215">
        <f>IF(AND(ISNUMBER(I796),ISNUMBER(S796)),I796*IF(S796&lt;=1,S796,S796/100),IF(OR(I796&lt;&gt;"",S796&lt;&gt;""),"tbd",""))</f>
        <v/>
      </c>
      <c r="S796" s="217" t="n"/>
      <c r="Z796">
        <f>IF(AND(R796="WON",ISNUMBER(I796)),AA796,"")</f>
        <v/>
      </c>
      <c r="AA796">
        <f>IFERROR(I796*1,0)</f>
        <v>0</v>
      </c>
    </row>
    <row r="797" ht="15" customHeight="1">
      <c r="I797" s="215" t="n"/>
      <c r="J797" s="215" t="n"/>
      <c r="K797" s="215" t="n"/>
      <c r="L797" s="215" t="n"/>
      <c r="M797" s="215" t="n"/>
      <c r="N797" s="215">
        <f>IF(ISNUMBER(I797),ROUND(I797-I797/1.081,2),"")</f>
        <v/>
      </c>
      <c r="O797" s="215">
        <f>IF(ISNUMBER(I797),I797-SUM(J797:N797),"")</f>
        <v/>
      </c>
      <c r="P797" s="216">
        <f>IFERROR(IF(AND(ISNUMBER(O797),ISNUMBER(I797),I797&lt;&gt;0),O797/I797,""),"")</f>
        <v/>
      </c>
      <c r="Q797" s="215">
        <f>IF(AND(ISNUMBER(I797),ISNUMBER(S797)),I797*IF(S797&lt;=1,S797,S797/100),IF(OR(I797&lt;&gt;"",S797&lt;&gt;""),"tbd",""))</f>
        <v/>
      </c>
      <c r="S797" s="217" t="n"/>
      <c r="Z797">
        <f>IF(AND(R797="WON",ISNUMBER(I797)),AA797,"")</f>
        <v/>
      </c>
      <c r="AA797">
        <f>IFERROR(I797*1,0)</f>
        <v>0</v>
      </c>
    </row>
    <row r="798" ht="15" customHeight="1">
      <c r="I798" s="215" t="n"/>
      <c r="J798" s="215" t="n"/>
      <c r="K798" s="215" t="n"/>
      <c r="L798" s="215" t="n"/>
      <c r="M798" s="215" t="n"/>
      <c r="N798" s="215">
        <f>IF(ISNUMBER(I798),ROUND(I798-I798/1.081,2),"")</f>
        <v/>
      </c>
      <c r="O798" s="215">
        <f>IF(ISNUMBER(I798),I798-SUM(J798:N798),"")</f>
        <v/>
      </c>
      <c r="P798" s="216">
        <f>IFERROR(IF(AND(ISNUMBER(O798),ISNUMBER(I798),I798&lt;&gt;0),O798/I798,""),"")</f>
        <v/>
      </c>
      <c r="Q798" s="215">
        <f>IF(AND(ISNUMBER(I798),ISNUMBER(S798)),I798*IF(S798&lt;=1,S798,S798/100),IF(OR(I798&lt;&gt;"",S798&lt;&gt;""),"tbd",""))</f>
        <v/>
      </c>
      <c r="S798" s="217" t="n"/>
      <c r="Z798">
        <f>IF(AND(R798="WON",ISNUMBER(I798)),AA798,"")</f>
        <v/>
      </c>
      <c r="AA798">
        <f>IFERROR(I798*1,0)</f>
        <v>0</v>
      </c>
    </row>
    <row r="799" ht="15" customHeight="1">
      <c r="I799" s="215" t="n"/>
      <c r="J799" s="215" t="n"/>
      <c r="K799" s="215" t="n"/>
      <c r="L799" s="215" t="n"/>
      <c r="M799" s="215" t="n"/>
      <c r="N799" s="215">
        <f>IF(ISNUMBER(I799),ROUND(I799-I799/1.081,2),"")</f>
        <v/>
      </c>
      <c r="O799" s="215">
        <f>IF(ISNUMBER(I799),I799-SUM(J799:N799),"")</f>
        <v/>
      </c>
      <c r="P799" s="216">
        <f>IFERROR(IF(AND(ISNUMBER(O799),ISNUMBER(I799),I799&lt;&gt;0),O799/I799,""),"")</f>
        <v/>
      </c>
      <c r="Q799" s="215">
        <f>IF(AND(ISNUMBER(I799),ISNUMBER(S799)),I799*IF(S799&lt;=1,S799,S799/100),IF(OR(I799&lt;&gt;"",S799&lt;&gt;""),"tbd",""))</f>
        <v/>
      </c>
      <c r="S799" s="217" t="n"/>
      <c r="Z799">
        <f>IF(AND(R799="WON",ISNUMBER(I799)),AA799,"")</f>
        <v/>
      </c>
      <c r="AA799">
        <f>IFERROR(I799*1,0)</f>
        <v>0</v>
      </c>
    </row>
    <row r="800" ht="15" customHeight="1">
      <c r="I800" s="215" t="n"/>
      <c r="J800" s="215" t="n"/>
      <c r="K800" s="215" t="n"/>
      <c r="L800" s="215" t="n"/>
      <c r="M800" s="215" t="n"/>
      <c r="N800" s="215">
        <f>IF(ISNUMBER(I800),ROUND(I800-I800/1.081,2),"")</f>
        <v/>
      </c>
      <c r="O800" s="215">
        <f>IF(ISNUMBER(I800),I800-SUM(J800:N800),"")</f>
        <v/>
      </c>
      <c r="P800" s="216">
        <f>IFERROR(IF(AND(ISNUMBER(O800),ISNUMBER(I800),I800&lt;&gt;0),O800/I800,""),"")</f>
        <v/>
      </c>
      <c r="Q800" s="215">
        <f>IF(AND(ISNUMBER(I800),ISNUMBER(S800)),I800*IF(S800&lt;=1,S800,S800/100),IF(OR(I800&lt;&gt;"",S800&lt;&gt;""),"tbd",""))</f>
        <v/>
      </c>
      <c r="S800" s="217" t="n"/>
      <c r="Z800">
        <f>IF(AND(R800="WON",ISNUMBER(I800)),AA800,"")</f>
        <v/>
      </c>
      <c r="AA800">
        <f>IFERROR(I800*1,0)</f>
        <v>0</v>
      </c>
    </row>
    <row r="801" ht="15" customHeight="1">
      <c r="I801" s="215" t="n"/>
      <c r="J801" s="215" t="n"/>
      <c r="K801" s="215" t="n"/>
      <c r="L801" s="215" t="n"/>
      <c r="M801" s="215" t="n"/>
      <c r="N801" s="215">
        <f>IF(ISNUMBER(I801),ROUND(I801-I801/1.081,2),"")</f>
        <v/>
      </c>
      <c r="O801" s="215">
        <f>IF(ISNUMBER(I801),I801-SUM(J801:N801),"")</f>
        <v/>
      </c>
      <c r="P801" s="216">
        <f>IFERROR(IF(AND(ISNUMBER(O801),ISNUMBER(I801),I801&lt;&gt;0),O801/I801,""),"")</f>
        <v/>
      </c>
      <c r="Q801" s="215">
        <f>IF(AND(ISNUMBER(I801),ISNUMBER(S801)),I801*IF(S801&lt;=1,S801,S801/100),IF(OR(I801&lt;&gt;"",S801&lt;&gt;""),"tbd",""))</f>
        <v/>
      </c>
      <c r="S801" s="217" t="n"/>
      <c r="Z801">
        <f>IF(AND(R801="WON",ISNUMBER(I801)),AA801,"")</f>
        <v/>
      </c>
      <c r="AA801">
        <f>IFERROR(I801*1,0)</f>
        <v>0</v>
      </c>
    </row>
    <row r="802" ht="15" customHeight="1">
      <c r="I802" s="215" t="n"/>
      <c r="J802" s="215" t="n"/>
      <c r="K802" s="215" t="n"/>
      <c r="L802" s="215" t="n"/>
      <c r="M802" s="215" t="n"/>
      <c r="N802" s="215">
        <f>IF(ISNUMBER(I802),ROUND(I802-I802/1.081,2),"")</f>
        <v/>
      </c>
      <c r="O802" s="215">
        <f>IF(ISNUMBER(I802),I802-SUM(J802:N802),"")</f>
        <v/>
      </c>
      <c r="P802" s="216">
        <f>IFERROR(IF(AND(ISNUMBER(O802),ISNUMBER(I802),I802&lt;&gt;0),O802/I802,""),"")</f>
        <v/>
      </c>
      <c r="Q802" s="215">
        <f>IF(AND(ISNUMBER(I802),ISNUMBER(S802)),I802*IF(S802&lt;=1,S802,S802/100),IF(OR(I802&lt;&gt;"",S802&lt;&gt;""),"tbd",""))</f>
        <v/>
      </c>
      <c r="S802" s="217" t="n"/>
      <c r="Z802">
        <f>IF(AND(R802="WON",ISNUMBER(I802)),AA802,"")</f>
        <v/>
      </c>
      <c r="AA802">
        <f>IFERROR(I802*1,0)</f>
        <v>0</v>
      </c>
    </row>
    <row r="803" ht="15" customHeight="1">
      <c r="I803" s="215" t="n"/>
      <c r="J803" s="215" t="n"/>
      <c r="K803" s="215" t="n"/>
      <c r="L803" s="215" t="n"/>
      <c r="M803" s="215" t="n"/>
      <c r="N803" s="215">
        <f>IF(ISNUMBER(I803),ROUND(I803-I803/1.081,2),"")</f>
        <v/>
      </c>
      <c r="O803" s="215">
        <f>IF(ISNUMBER(I803),I803-SUM(J803:N803),"")</f>
        <v/>
      </c>
      <c r="P803" s="216">
        <f>IFERROR(IF(AND(ISNUMBER(O803),ISNUMBER(I803),I803&lt;&gt;0),O803/I803,""),"")</f>
        <v/>
      </c>
      <c r="Q803" s="215">
        <f>IF(AND(ISNUMBER(I803),ISNUMBER(S803)),I803*IF(S803&lt;=1,S803,S803/100),IF(OR(I803&lt;&gt;"",S803&lt;&gt;""),"tbd",""))</f>
        <v/>
      </c>
      <c r="S803" s="217" t="n"/>
      <c r="Z803">
        <f>IF(AND(R803="WON",ISNUMBER(I803)),AA803,"")</f>
        <v/>
      </c>
      <c r="AA803">
        <f>IFERROR(I803*1,0)</f>
        <v>0</v>
      </c>
    </row>
    <row r="804" ht="15" customHeight="1">
      <c r="I804" s="215" t="n"/>
      <c r="J804" s="215" t="n"/>
      <c r="K804" s="215" t="n"/>
      <c r="L804" s="215" t="n"/>
      <c r="M804" s="215" t="n"/>
      <c r="N804" s="215">
        <f>IF(ISNUMBER(I804),ROUND(I804-I804/1.081,2),"")</f>
        <v/>
      </c>
      <c r="O804" s="215">
        <f>IF(ISNUMBER(I804),I804-SUM(J804:N804),"")</f>
        <v/>
      </c>
      <c r="P804" s="216">
        <f>IFERROR(IF(AND(ISNUMBER(O804),ISNUMBER(I804),I804&lt;&gt;0),O804/I804,""),"")</f>
        <v/>
      </c>
      <c r="Q804" s="215">
        <f>IF(AND(ISNUMBER(I804),ISNUMBER(S804)),I804*IF(S804&lt;=1,S804,S804/100),IF(OR(I804&lt;&gt;"",S804&lt;&gt;""),"tbd",""))</f>
        <v/>
      </c>
      <c r="S804" s="217" t="n"/>
      <c r="Z804">
        <f>IF(AND(R804="WON",ISNUMBER(I804)),AA804,"")</f>
        <v/>
      </c>
      <c r="AA804">
        <f>IFERROR(I804*1,0)</f>
        <v>0</v>
      </c>
    </row>
    <row r="805" ht="15" customHeight="1">
      <c r="I805" s="215" t="n"/>
      <c r="J805" s="215" t="n"/>
      <c r="K805" s="215" t="n"/>
      <c r="L805" s="215" t="n"/>
      <c r="M805" s="215" t="n"/>
      <c r="N805" s="215">
        <f>IF(ISNUMBER(I805),ROUND(I805-I805/1.081,2),"")</f>
        <v/>
      </c>
      <c r="O805" s="215">
        <f>IF(ISNUMBER(I805),I805-SUM(J805:N805),"")</f>
        <v/>
      </c>
      <c r="P805" s="216">
        <f>IFERROR(IF(AND(ISNUMBER(O805),ISNUMBER(I805),I805&lt;&gt;0),O805/I805,""),"")</f>
        <v/>
      </c>
      <c r="Q805" s="215">
        <f>IF(AND(ISNUMBER(I805),ISNUMBER(S805)),I805*IF(S805&lt;=1,S805,S805/100),IF(OR(I805&lt;&gt;"",S805&lt;&gt;""),"tbd",""))</f>
        <v/>
      </c>
      <c r="S805" s="217" t="n"/>
      <c r="Z805">
        <f>IF(AND(R805="WON",ISNUMBER(I805)),AA805,"")</f>
        <v/>
      </c>
      <c r="AA805">
        <f>IFERROR(I805*1,0)</f>
        <v>0</v>
      </c>
    </row>
    <row r="806" ht="15" customHeight="1">
      <c r="I806" s="215" t="n"/>
      <c r="J806" s="215" t="n"/>
      <c r="K806" s="215" t="n"/>
      <c r="L806" s="215" t="n"/>
      <c r="M806" s="215" t="n"/>
      <c r="N806" s="215">
        <f>IF(ISNUMBER(I806),ROUND(I806-I806/1.081,2),"")</f>
        <v/>
      </c>
      <c r="O806" s="215">
        <f>IF(ISNUMBER(I806),I806-SUM(J806:N806),"")</f>
        <v/>
      </c>
      <c r="P806" s="216">
        <f>IFERROR(IF(AND(ISNUMBER(O806),ISNUMBER(I806),I806&lt;&gt;0),O806/I806,""),"")</f>
        <v/>
      </c>
      <c r="Q806" s="215">
        <f>IF(AND(ISNUMBER(I806),ISNUMBER(S806)),I806*IF(S806&lt;=1,S806,S806/100),IF(OR(I806&lt;&gt;"",S806&lt;&gt;""),"tbd",""))</f>
        <v/>
      </c>
      <c r="S806" s="217" t="n"/>
      <c r="Z806">
        <f>IF(AND(R806="WON",ISNUMBER(I806)),AA806,"")</f>
        <v/>
      </c>
      <c r="AA806">
        <f>IFERROR(I806*1,0)</f>
        <v>0</v>
      </c>
    </row>
    <row r="807" ht="15" customHeight="1">
      <c r="I807" s="215" t="n"/>
      <c r="J807" s="215" t="n"/>
      <c r="K807" s="215" t="n"/>
      <c r="L807" s="215" t="n"/>
      <c r="M807" s="215" t="n"/>
      <c r="N807" s="215">
        <f>IF(ISNUMBER(I807),ROUND(I807-I807/1.081,2),"")</f>
        <v/>
      </c>
      <c r="O807" s="215">
        <f>IF(ISNUMBER(I807),I807-SUM(J807:N807),"")</f>
        <v/>
      </c>
      <c r="P807" s="216">
        <f>IFERROR(IF(AND(ISNUMBER(O807),ISNUMBER(I807),I807&lt;&gt;0),O807/I807,""),"")</f>
        <v/>
      </c>
      <c r="Q807" s="215">
        <f>IF(AND(ISNUMBER(I807),ISNUMBER(S807)),I807*IF(S807&lt;=1,S807,S807/100),IF(OR(I807&lt;&gt;"",S807&lt;&gt;""),"tbd",""))</f>
        <v/>
      </c>
      <c r="S807" s="217" t="n"/>
      <c r="Z807">
        <f>IF(AND(R807="WON",ISNUMBER(I807)),AA807,"")</f>
        <v/>
      </c>
      <c r="AA807">
        <f>IFERROR(I807*1,0)</f>
        <v>0</v>
      </c>
    </row>
    <row r="808" ht="15" customHeight="1">
      <c r="I808" s="215" t="n"/>
      <c r="J808" s="215" t="n"/>
      <c r="K808" s="215" t="n"/>
      <c r="L808" s="215" t="n"/>
      <c r="M808" s="215" t="n"/>
      <c r="N808" s="215">
        <f>IF(ISNUMBER(I808),ROUND(I808-I808/1.081,2),"")</f>
        <v/>
      </c>
      <c r="O808" s="215">
        <f>IF(ISNUMBER(I808),I808-SUM(J808:N808),"")</f>
        <v/>
      </c>
      <c r="P808" s="216">
        <f>IFERROR(IF(AND(ISNUMBER(O808),ISNUMBER(I808),I808&lt;&gt;0),O808/I808,""),"")</f>
        <v/>
      </c>
      <c r="Q808" s="215">
        <f>IF(AND(ISNUMBER(I808),ISNUMBER(S808)),I808*IF(S808&lt;=1,S808,S808/100),IF(OR(I808&lt;&gt;"",S808&lt;&gt;""),"tbd",""))</f>
        <v/>
      </c>
      <c r="S808" s="217" t="n"/>
      <c r="Z808">
        <f>IF(AND(R808="WON",ISNUMBER(I808)),AA808,"")</f>
        <v/>
      </c>
      <c r="AA808">
        <f>IFERROR(I808*1,0)</f>
        <v>0</v>
      </c>
    </row>
    <row r="809" ht="15" customHeight="1">
      <c r="I809" s="215" t="n"/>
      <c r="J809" s="215" t="n"/>
      <c r="K809" s="215" t="n"/>
      <c r="L809" s="215" t="n"/>
      <c r="M809" s="215" t="n"/>
      <c r="N809" s="215">
        <f>IF(ISNUMBER(I809),ROUND(I809-I809/1.081,2),"")</f>
        <v/>
      </c>
      <c r="O809" s="215">
        <f>IF(ISNUMBER(I809),I809-SUM(J809:N809),"")</f>
        <v/>
      </c>
      <c r="P809" s="216">
        <f>IFERROR(IF(AND(ISNUMBER(O809),ISNUMBER(I809),I809&lt;&gt;0),O809/I809,""),"")</f>
        <v/>
      </c>
      <c r="Q809" s="215">
        <f>IF(AND(ISNUMBER(I809),ISNUMBER(S809)),I809*IF(S809&lt;=1,S809,S809/100),IF(OR(I809&lt;&gt;"",S809&lt;&gt;""),"tbd",""))</f>
        <v/>
      </c>
      <c r="S809" s="217" t="n"/>
      <c r="Z809">
        <f>IF(AND(R809="WON",ISNUMBER(I809)),AA809,"")</f>
        <v/>
      </c>
      <c r="AA809">
        <f>IFERROR(I809*1,0)</f>
        <v>0</v>
      </c>
    </row>
    <row r="810" ht="15" customHeight="1">
      <c r="I810" s="215" t="n"/>
      <c r="J810" s="215" t="n"/>
      <c r="K810" s="215" t="n"/>
      <c r="L810" s="215" t="n"/>
      <c r="M810" s="215" t="n"/>
      <c r="N810" s="215">
        <f>IF(ISNUMBER(I810),ROUND(I810-I810/1.081,2),"")</f>
        <v/>
      </c>
      <c r="O810" s="215">
        <f>IF(ISNUMBER(I810),I810-SUM(J810:N810),"")</f>
        <v/>
      </c>
      <c r="P810" s="216">
        <f>IFERROR(IF(AND(ISNUMBER(O810),ISNUMBER(I810),I810&lt;&gt;0),O810/I810,""),"")</f>
        <v/>
      </c>
      <c r="Q810" s="215">
        <f>IF(AND(ISNUMBER(I810),ISNUMBER(S810)),I810*IF(S810&lt;=1,S810,S810/100),IF(OR(I810&lt;&gt;"",S810&lt;&gt;""),"tbd",""))</f>
        <v/>
      </c>
      <c r="S810" s="217" t="n"/>
      <c r="Z810">
        <f>IF(AND(R810="WON",ISNUMBER(I810)),AA810,"")</f>
        <v/>
      </c>
      <c r="AA810">
        <f>IFERROR(I810*1,0)</f>
        <v>0</v>
      </c>
    </row>
    <row r="811" ht="15" customHeight="1">
      <c r="I811" s="215" t="n"/>
      <c r="J811" s="215" t="n"/>
      <c r="K811" s="215" t="n"/>
      <c r="L811" s="215" t="n"/>
      <c r="M811" s="215" t="n"/>
      <c r="N811" s="215">
        <f>IF(ISNUMBER(I811),ROUND(I811-I811/1.081,2),"")</f>
        <v/>
      </c>
      <c r="O811" s="215">
        <f>IF(ISNUMBER(I811),I811-SUM(J811:N811),"")</f>
        <v/>
      </c>
      <c r="P811" s="216">
        <f>IFERROR(IF(AND(ISNUMBER(O811),ISNUMBER(I811),I811&lt;&gt;0),O811/I811,""),"")</f>
        <v/>
      </c>
      <c r="Q811" s="215">
        <f>IF(AND(ISNUMBER(I811),ISNUMBER(S811)),I811*IF(S811&lt;=1,S811,S811/100),IF(OR(I811&lt;&gt;"",S811&lt;&gt;""),"tbd",""))</f>
        <v/>
      </c>
      <c r="S811" s="217" t="n"/>
      <c r="Z811">
        <f>IF(AND(R811="WON",ISNUMBER(I811)),AA811,"")</f>
        <v/>
      </c>
      <c r="AA811">
        <f>IFERROR(I811*1,0)</f>
        <v>0</v>
      </c>
    </row>
    <row r="812" ht="15" customHeight="1">
      <c r="I812" s="215" t="n"/>
      <c r="J812" s="215" t="n"/>
      <c r="K812" s="215" t="n"/>
      <c r="L812" s="215" t="n"/>
      <c r="M812" s="215" t="n"/>
      <c r="N812" s="215">
        <f>IF(ISNUMBER(I812),ROUND(I812-I812/1.081,2),"")</f>
        <v/>
      </c>
      <c r="O812" s="215">
        <f>IF(ISNUMBER(I812),I812-SUM(J812:N812),"")</f>
        <v/>
      </c>
      <c r="P812" s="216">
        <f>IFERROR(IF(AND(ISNUMBER(O812),ISNUMBER(I812),I812&lt;&gt;0),O812/I812,""),"")</f>
        <v/>
      </c>
      <c r="Q812" s="215">
        <f>IF(AND(ISNUMBER(I812),ISNUMBER(S812)),I812*IF(S812&lt;=1,S812,S812/100),IF(OR(I812&lt;&gt;"",S812&lt;&gt;""),"tbd",""))</f>
        <v/>
      </c>
      <c r="S812" s="217" t="n"/>
      <c r="Z812">
        <f>IF(AND(R812="WON",ISNUMBER(I812)),AA812,"")</f>
        <v/>
      </c>
      <c r="AA812">
        <f>IFERROR(I812*1,0)</f>
        <v>0</v>
      </c>
    </row>
    <row r="813" ht="15" customHeight="1">
      <c r="I813" s="215" t="n"/>
      <c r="J813" s="215" t="n"/>
      <c r="K813" s="215" t="n"/>
      <c r="L813" s="215" t="n"/>
      <c r="M813" s="215" t="n"/>
      <c r="N813" s="215">
        <f>IF(ISNUMBER(I813),ROUND(I813-I813/1.081,2),"")</f>
        <v/>
      </c>
      <c r="O813" s="215">
        <f>IF(ISNUMBER(I813),I813-SUM(J813:N813),"")</f>
        <v/>
      </c>
      <c r="P813" s="216">
        <f>IFERROR(IF(AND(ISNUMBER(O813),ISNUMBER(I813),I813&lt;&gt;0),O813/I813,""),"")</f>
        <v/>
      </c>
      <c r="Q813" s="215">
        <f>IF(AND(ISNUMBER(I813),ISNUMBER(S813)),I813*IF(S813&lt;=1,S813,S813/100),IF(OR(I813&lt;&gt;"",S813&lt;&gt;""),"tbd",""))</f>
        <v/>
      </c>
      <c r="S813" s="217" t="n"/>
      <c r="Z813">
        <f>IF(AND(R813="WON",ISNUMBER(I813)),AA813,"")</f>
        <v/>
      </c>
      <c r="AA813">
        <f>IFERROR(I813*1,0)</f>
        <v>0</v>
      </c>
    </row>
    <row r="814" ht="15" customHeight="1">
      <c r="I814" s="215" t="n"/>
      <c r="J814" s="215" t="n"/>
      <c r="K814" s="215" t="n"/>
      <c r="L814" s="215" t="n"/>
      <c r="M814" s="215" t="n"/>
      <c r="N814" s="215">
        <f>IF(ISNUMBER(I814),ROUND(I814-I814/1.081,2),"")</f>
        <v/>
      </c>
      <c r="O814" s="215">
        <f>IF(ISNUMBER(I814),I814-SUM(J814:N814),"")</f>
        <v/>
      </c>
      <c r="P814" s="216">
        <f>IFERROR(IF(AND(ISNUMBER(O814),ISNUMBER(I814),I814&lt;&gt;0),O814/I814,""),"")</f>
        <v/>
      </c>
      <c r="Q814" s="215">
        <f>IF(AND(ISNUMBER(I814),ISNUMBER(S814)),I814*IF(S814&lt;=1,S814,S814/100),IF(OR(I814&lt;&gt;"",S814&lt;&gt;""),"tbd",""))</f>
        <v/>
      </c>
      <c r="S814" s="217" t="n"/>
      <c r="Z814">
        <f>IF(AND(R814="WON",ISNUMBER(I814)),AA814,"")</f>
        <v/>
      </c>
      <c r="AA814">
        <f>IFERROR(I814*1,0)</f>
        <v>0</v>
      </c>
    </row>
    <row r="815" ht="15" customHeight="1">
      <c r="I815" s="215" t="n"/>
      <c r="J815" s="215" t="n"/>
      <c r="K815" s="215" t="n"/>
      <c r="L815" s="215" t="n"/>
      <c r="M815" s="215" t="n"/>
      <c r="N815" s="215">
        <f>IF(ISNUMBER(I815),ROUND(I815-I815/1.081,2),"")</f>
        <v/>
      </c>
      <c r="O815" s="215">
        <f>IF(ISNUMBER(I815),I815-SUM(J815:N815),"")</f>
        <v/>
      </c>
      <c r="P815" s="216">
        <f>IFERROR(IF(AND(ISNUMBER(O815),ISNUMBER(I815),I815&lt;&gt;0),O815/I815,""),"")</f>
        <v/>
      </c>
      <c r="Q815" s="215">
        <f>IF(AND(ISNUMBER(I815),ISNUMBER(S815)),I815*IF(S815&lt;=1,S815,S815/100),IF(OR(I815&lt;&gt;"",S815&lt;&gt;""),"tbd",""))</f>
        <v/>
      </c>
      <c r="S815" s="217" t="n"/>
      <c r="Z815">
        <f>IF(AND(R815="WON",ISNUMBER(I815)),AA815,"")</f>
        <v/>
      </c>
      <c r="AA815">
        <f>IFERROR(I815*1,0)</f>
        <v>0</v>
      </c>
    </row>
    <row r="816" ht="15" customHeight="1">
      <c r="I816" s="215" t="n"/>
      <c r="J816" s="215" t="n"/>
      <c r="K816" s="215" t="n"/>
      <c r="L816" s="215" t="n"/>
      <c r="M816" s="215" t="n"/>
      <c r="N816" s="215">
        <f>IF(ISNUMBER(I816),ROUND(I816-I816/1.081,2),"")</f>
        <v/>
      </c>
      <c r="O816" s="215">
        <f>IF(ISNUMBER(I816),I816-SUM(J816:N816),"")</f>
        <v/>
      </c>
      <c r="P816" s="216">
        <f>IFERROR(IF(AND(ISNUMBER(O816),ISNUMBER(I816),I816&lt;&gt;0),O816/I816,""),"")</f>
        <v/>
      </c>
      <c r="Q816" s="215">
        <f>IF(AND(ISNUMBER(I816),ISNUMBER(S816)),I816*IF(S816&lt;=1,S816,S816/100),IF(OR(I816&lt;&gt;"",S816&lt;&gt;""),"tbd",""))</f>
        <v/>
      </c>
      <c r="S816" s="217" t="n"/>
      <c r="Z816">
        <f>IF(AND(R816="WON",ISNUMBER(I816)),AA816,"")</f>
        <v/>
      </c>
      <c r="AA816">
        <f>IFERROR(I816*1,0)</f>
        <v>0</v>
      </c>
    </row>
    <row r="817" ht="15" customHeight="1">
      <c r="I817" s="215" t="n"/>
      <c r="J817" s="215" t="n"/>
      <c r="K817" s="215" t="n"/>
      <c r="L817" s="215" t="n"/>
      <c r="M817" s="215" t="n"/>
      <c r="N817" s="215">
        <f>IF(ISNUMBER(I817),ROUND(I817-I817/1.081,2),"")</f>
        <v/>
      </c>
      <c r="O817" s="215">
        <f>IF(ISNUMBER(I817),I817-SUM(J817:N817),"")</f>
        <v/>
      </c>
      <c r="P817" s="216">
        <f>IFERROR(IF(AND(ISNUMBER(O817),ISNUMBER(I817),I817&lt;&gt;0),O817/I817,""),"")</f>
        <v/>
      </c>
      <c r="Q817" s="215">
        <f>IF(AND(ISNUMBER(I817),ISNUMBER(S817)),I817*IF(S817&lt;=1,S817,S817/100),IF(OR(I817&lt;&gt;"",S817&lt;&gt;""),"tbd",""))</f>
        <v/>
      </c>
      <c r="S817" s="217" t="n"/>
      <c r="Z817">
        <f>IF(AND(R817="WON",ISNUMBER(I817)),AA817,"")</f>
        <v/>
      </c>
      <c r="AA817">
        <f>IFERROR(I817*1,0)</f>
        <v>0</v>
      </c>
    </row>
    <row r="818" ht="15" customHeight="1">
      <c r="I818" s="215" t="n"/>
      <c r="J818" s="215" t="n"/>
      <c r="K818" s="215" t="n"/>
      <c r="L818" s="215" t="n"/>
      <c r="M818" s="215" t="n"/>
      <c r="N818" s="215">
        <f>IF(ISNUMBER(I818),ROUND(I818-I818/1.081,2),"")</f>
        <v/>
      </c>
      <c r="O818" s="215">
        <f>IF(ISNUMBER(I818),I818-SUM(J818:N818),"")</f>
        <v/>
      </c>
      <c r="P818" s="216">
        <f>IFERROR(IF(AND(ISNUMBER(O818),ISNUMBER(I818),I818&lt;&gt;0),O818/I818,""),"")</f>
        <v/>
      </c>
      <c r="Q818" s="215">
        <f>IF(AND(ISNUMBER(I818),ISNUMBER(S818)),I818*IF(S818&lt;=1,S818,S818/100),IF(OR(I818&lt;&gt;"",S818&lt;&gt;""),"tbd",""))</f>
        <v/>
      </c>
      <c r="S818" s="217" t="n"/>
      <c r="Z818">
        <f>IF(AND(R818="WON",ISNUMBER(I818)),AA818,"")</f>
        <v/>
      </c>
      <c r="AA818">
        <f>IFERROR(I818*1,0)</f>
        <v>0</v>
      </c>
    </row>
    <row r="819" ht="15" customHeight="1">
      <c r="I819" s="215" t="n"/>
      <c r="J819" s="215" t="n"/>
      <c r="K819" s="215" t="n"/>
      <c r="L819" s="215" t="n"/>
      <c r="M819" s="215" t="n"/>
      <c r="N819" s="215">
        <f>IF(ISNUMBER(I819),ROUND(I819-I819/1.081,2),"")</f>
        <v/>
      </c>
      <c r="O819" s="215">
        <f>IF(ISNUMBER(I819),I819-SUM(J819:N819),"")</f>
        <v/>
      </c>
      <c r="P819" s="216">
        <f>IFERROR(IF(AND(ISNUMBER(O819),ISNUMBER(I819),I819&lt;&gt;0),O819/I819,""),"")</f>
        <v/>
      </c>
      <c r="Q819" s="215">
        <f>IF(AND(ISNUMBER(I819),ISNUMBER(S819)),I819*IF(S819&lt;=1,S819,S819/100),IF(OR(I819&lt;&gt;"",S819&lt;&gt;""),"tbd",""))</f>
        <v/>
      </c>
      <c r="S819" s="217" t="n"/>
      <c r="Z819">
        <f>IF(AND(R819="WON",ISNUMBER(I819)),AA819,"")</f>
        <v/>
      </c>
      <c r="AA819">
        <f>IFERROR(I819*1,0)</f>
        <v>0</v>
      </c>
    </row>
    <row r="820" ht="15" customHeight="1">
      <c r="I820" s="215" t="n"/>
      <c r="J820" s="215" t="n"/>
      <c r="K820" s="215" t="n"/>
      <c r="L820" s="215" t="n"/>
      <c r="M820" s="215" t="n"/>
      <c r="N820" s="215">
        <f>IF(ISNUMBER(I820),ROUND(I820-I820/1.081,2),"")</f>
        <v/>
      </c>
      <c r="O820" s="215">
        <f>IF(ISNUMBER(I820),I820-SUM(J820:N820),"")</f>
        <v/>
      </c>
      <c r="P820" s="216">
        <f>IFERROR(IF(AND(ISNUMBER(O820),ISNUMBER(I820),I820&lt;&gt;0),O820/I820,""),"")</f>
        <v/>
      </c>
      <c r="Q820" s="215">
        <f>IF(AND(ISNUMBER(I820),ISNUMBER(S820)),I820*IF(S820&lt;=1,S820,S820/100),IF(OR(I820&lt;&gt;"",S820&lt;&gt;""),"tbd",""))</f>
        <v/>
      </c>
      <c r="S820" s="217" t="n"/>
      <c r="Z820">
        <f>IF(AND(R820="WON",ISNUMBER(I820)),AA820,"")</f>
        <v/>
      </c>
      <c r="AA820">
        <f>IFERROR(I820*1,0)</f>
        <v>0</v>
      </c>
    </row>
    <row r="821" ht="15" customHeight="1">
      <c r="I821" s="215" t="n"/>
      <c r="J821" s="215" t="n"/>
      <c r="K821" s="215" t="n"/>
      <c r="L821" s="215" t="n"/>
      <c r="M821" s="215" t="n"/>
      <c r="N821" s="215">
        <f>IF(ISNUMBER(I821),ROUND(I821-I821/1.081,2),"")</f>
        <v/>
      </c>
      <c r="O821" s="215">
        <f>IF(ISNUMBER(I821),I821-SUM(J821:N821),"")</f>
        <v/>
      </c>
      <c r="P821" s="216">
        <f>IFERROR(IF(AND(ISNUMBER(O821),ISNUMBER(I821),I821&lt;&gt;0),O821/I821,""),"")</f>
        <v/>
      </c>
      <c r="Q821" s="215">
        <f>IF(AND(ISNUMBER(I821),ISNUMBER(S821)),I821*IF(S821&lt;=1,S821,S821/100),IF(OR(I821&lt;&gt;"",S821&lt;&gt;""),"tbd",""))</f>
        <v/>
      </c>
      <c r="S821" s="217" t="n"/>
      <c r="Z821">
        <f>IF(AND(R821="WON",ISNUMBER(I821)),AA821,"")</f>
        <v/>
      </c>
      <c r="AA821">
        <f>IFERROR(I821*1,0)</f>
        <v>0</v>
      </c>
    </row>
    <row r="822" ht="15" customHeight="1">
      <c r="I822" s="215" t="n"/>
      <c r="J822" s="215" t="n"/>
      <c r="K822" s="215" t="n"/>
      <c r="L822" s="215" t="n"/>
      <c r="M822" s="215" t="n"/>
      <c r="N822" s="215">
        <f>IF(ISNUMBER(I822),ROUND(I822-I822/1.081,2),"")</f>
        <v/>
      </c>
      <c r="O822" s="215">
        <f>IF(ISNUMBER(I822),I822-SUM(J822:N822),"")</f>
        <v/>
      </c>
      <c r="P822" s="216">
        <f>IFERROR(IF(AND(ISNUMBER(O822),ISNUMBER(I822),I822&lt;&gt;0),O822/I822,""),"")</f>
        <v/>
      </c>
      <c r="Q822" s="215">
        <f>IF(AND(ISNUMBER(I822),ISNUMBER(S822)),I822*IF(S822&lt;=1,S822,S822/100),IF(OR(I822&lt;&gt;"",S822&lt;&gt;""),"tbd",""))</f>
        <v/>
      </c>
      <c r="S822" s="217" t="n"/>
      <c r="Z822">
        <f>IF(AND(R822="WON",ISNUMBER(I822)),AA822,"")</f>
        <v/>
      </c>
      <c r="AA822">
        <f>IFERROR(I822*1,0)</f>
        <v>0</v>
      </c>
    </row>
    <row r="823" ht="15" customHeight="1">
      <c r="I823" s="215" t="n"/>
      <c r="J823" s="215" t="n"/>
      <c r="K823" s="215" t="n"/>
      <c r="L823" s="215" t="n"/>
      <c r="M823" s="215" t="n"/>
      <c r="N823" s="215">
        <f>IF(ISNUMBER(I823),ROUND(I823-I823/1.081,2),"")</f>
        <v/>
      </c>
      <c r="O823" s="215">
        <f>IF(ISNUMBER(I823),I823-SUM(J823:N823),"")</f>
        <v/>
      </c>
      <c r="P823" s="216">
        <f>IFERROR(IF(AND(ISNUMBER(O823),ISNUMBER(I823),I823&lt;&gt;0),O823/I823,""),"")</f>
        <v/>
      </c>
      <c r="Q823" s="215">
        <f>IF(AND(ISNUMBER(I823),ISNUMBER(S823)),I823*IF(S823&lt;=1,S823,S823/100),IF(OR(I823&lt;&gt;"",S823&lt;&gt;""),"tbd",""))</f>
        <v/>
      </c>
      <c r="S823" s="217" t="n"/>
      <c r="Z823">
        <f>IF(AND(R823="WON",ISNUMBER(I823)),AA823,"")</f>
        <v/>
      </c>
      <c r="AA823">
        <f>IFERROR(I823*1,0)</f>
        <v>0</v>
      </c>
    </row>
    <row r="824" ht="15" customHeight="1">
      <c r="I824" s="215" t="n"/>
      <c r="J824" s="215" t="n"/>
      <c r="K824" s="215" t="n"/>
      <c r="L824" s="215" t="n"/>
      <c r="M824" s="215" t="n"/>
      <c r="N824" s="215">
        <f>IF(ISNUMBER(I824),ROUND(I824-I824/1.081,2),"")</f>
        <v/>
      </c>
      <c r="O824" s="215">
        <f>IF(ISNUMBER(I824),I824-SUM(J824:N824),"")</f>
        <v/>
      </c>
      <c r="P824" s="216">
        <f>IFERROR(IF(AND(ISNUMBER(O824),ISNUMBER(I824),I824&lt;&gt;0),O824/I824,""),"")</f>
        <v/>
      </c>
      <c r="Q824" s="215">
        <f>IF(AND(ISNUMBER(I824),ISNUMBER(S824)),I824*IF(S824&lt;=1,S824,S824/100),IF(OR(I824&lt;&gt;"",S824&lt;&gt;""),"tbd",""))</f>
        <v/>
      </c>
      <c r="S824" s="217" t="n"/>
      <c r="Z824">
        <f>IF(AND(R824="WON",ISNUMBER(I824)),AA824,"")</f>
        <v/>
      </c>
      <c r="AA824">
        <f>IFERROR(I824*1,0)</f>
        <v>0</v>
      </c>
    </row>
    <row r="825" ht="15" customHeight="1">
      <c r="I825" s="215" t="n"/>
      <c r="J825" s="215" t="n"/>
      <c r="K825" s="215" t="n"/>
      <c r="L825" s="215" t="n"/>
      <c r="M825" s="215" t="n"/>
      <c r="N825" s="215">
        <f>IF(ISNUMBER(I825),ROUND(I825-I825/1.081,2),"")</f>
        <v/>
      </c>
      <c r="O825" s="215">
        <f>IF(ISNUMBER(I825),I825-SUM(J825:N825),"")</f>
        <v/>
      </c>
      <c r="P825" s="216">
        <f>IFERROR(IF(AND(ISNUMBER(O825),ISNUMBER(I825),I825&lt;&gt;0),O825/I825,""),"")</f>
        <v/>
      </c>
      <c r="Q825" s="215">
        <f>IF(AND(ISNUMBER(I825),ISNUMBER(S825)),I825*IF(S825&lt;=1,S825,S825/100),IF(OR(I825&lt;&gt;"",S825&lt;&gt;""),"tbd",""))</f>
        <v/>
      </c>
      <c r="S825" s="217" t="n"/>
      <c r="Z825">
        <f>IF(AND(R825="WON",ISNUMBER(I825)),AA825,"")</f>
        <v/>
      </c>
      <c r="AA825">
        <f>IFERROR(I825*1,0)</f>
        <v>0</v>
      </c>
    </row>
    <row r="826" ht="15" customHeight="1">
      <c r="I826" s="215" t="n"/>
      <c r="J826" s="215" t="n"/>
      <c r="K826" s="215" t="n"/>
      <c r="L826" s="215" t="n"/>
      <c r="M826" s="215" t="n"/>
      <c r="N826" s="215">
        <f>IF(ISNUMBER(I826),ROUND(I826-I826/1.081,2),"")</f>
        <v/>
      </c>
      <c r="O826" s="215">
        <f>IF(ISNUMBER(I826),I826-SUM(J826:N826),"")</f>
        <v/>
      </c>
      <c r="P826" s="216">
        <f>IFERROR(IF(AND(ISNUMBER(O826),ISNUMBER(I826),I826&lt;&gt;0),O826/I826,""),"")</f>
        <v/>
      </c>
      <c r="Q826" s="215">
        <f>IF(AND(ISNUMBER(I826),ISNUMBER(S826)),I826*IF(S826&lt;=1,S826,S826/100),IF(OR(I826&lt;&gt;"",S826&lt;&gt;""),"tbd",""))</f>
        <v/>
      </c>
      <c r="S826" s="217" t="n"/>
      <c r="Z826">
        <f>IF(AND(R826="WON",ISNUMBER(I826)),AA826,"")</f>
        <v/>
      </c>
      <c r="AA826">
        <f>IFERROR(I826*1,0)</f>
        <v>0</v>
      </c>
    </row>
    <row r="827" ht="15" customHeight="1">
      <c r="I827" s="215" t="n"/>
      <c r="J827" s="215" t="n"/>
      <c r="K827" s="215" t="n"/>
      <c r="L827" s="215" t="n"/>
      <c r="M827" s="215" t="n"/>
      <c r="N827" s="215">
        <f>IF(ISNUMBER(I827),ROUND(I827-I827/1.081,2),"")</f>
        <v/>
      </c>
      <c r="O827" s="215">
        <f>IF(ISNUMBER(I827),I827-SUM(J827:N827),"")</f>
        <v/>
      </c>
      <c r="P827" s="216">
        <f>IFERROR(IF(AND(ISNUMBER(O827),ISNUMBER(I827),I827&lt;&gt;0),O827/I827,""),"")</f>
        <v/>
      </c>
      <c r="Q827" s="215">
        <f>IF(AND(ISNUMBER(I827),ISNUMBER(S827)),I827*IF(S827&lt;=1,S827,S827/100),IF(OR(I827&lt;&gt;"",S827&lt;&gt;""),"tbd",""))</f>
        <v/>
      </c>
      <c r="S827" s="217" t="n"/>
      <c r="Z827">
        <f>IF(AND(R827="WON",ISNUMBER(I827)),AA827,"")</f>
        <v/>
      </c>
      <c r="AA827">
        <f>IFERROR(I827*1,0)</f>
        <v>0</v>
      </c>
    </row>
    <row r="828" ht="15" customHeight="1">
      <c r="I828" s="215" t="n"/>
      <c r="J828" s="215" t="n"/>
      <c r="K828" s="215" t="n"/>
      <c r="L828" s="215" t="n"/>
      <c r="M828" s="215" t="n"/>
      <c r="N828" s="215">
        <f>IF(ISNUMBER(I828),ROUND(I828-I828/1.081,2),"")</f>
        <v/>
      </c>
      <c r="O828" s="215">
        <f>IF(ISNUMBER(I828),I828-SUM(J828:N828),"")</f>
        <v/>
      </c>
      <c r="P828" s="216">
        <f>IFERROR(IF(AND(ISNUMBER(O828),ISNUMBER(I828),I828&lt;&gt;0),O828/I828,""),"")</f>
        <v/>
      </c>
      <c r="Q828" s="215">
        <f>IF(AND(ISNUMBER(I828),ISNUMBER(S828)),I828*IF(S828&lt;=1,S828,S828/100),IF(OR(I828&lt;&gt;"",S828&lt;&gt;""),"tbd",""))</f>
        <v/>
      </c>
      <c r="S828" s="217" t="n"/>
      <c r="Z828">
        <f>IF(AND(R828="WON",ISNUMBER(I828)),AA828,"")</f>
        <v/>
      </c>
      <c r="AA828">
        <f>IFERROR(I828*1,0)</f>
        <v>0</v>
      </c>
    </row>
    <row r="829" ht="15" customHeight="1">
      <c r="I829" s="215" t="n"/>
      <c r="J829" s="215" t="n"/>
      <c r="K829" s="215" t="n"/>
      <c r="L829" s="215" t="n"/>
      <c r="M829" s="215" t="n"/>
      <c r="N829" s="215">
        <f>IF(ISNUMBER(I829),ROUND(I829-I829/1.081,2),"")</f>
        <v/>
      </c>
      <c r="O829" s="215">
        <f>IF(ISNUMBER(I829),I829-SUM(J829:N829),"")</f>
        <v/>
      </c>
      <c r="P829" s="216">
        <f>IFERROR(IF(AND(ISNUMBER(O829),ISNUMBER(I829),I829&lt;&gt;0),O829/I829,""),"")</f>
        <v/>
      </c>
      <c r="Q829" s="215">
        <f>IF(AND(ISNUMBER(I829),ISNUMBER(S829)),I829*IF(S829&lt;=1,S829,S829/100),IF(OR(I829&lt;&gt;"",S829&lt;&gt;""),"tbd",""))</f>
        <v/>
      </c>
      <c r="S829" s="217" t="n"/>
      <c r="Z829">
        <f>IF(AND(R829="WON",ISNUMBER(I829)),AA829,"")</f>
        <v/>
      </c>
      <c r="AA829">
        <f>IFERROR(I829*1,0)</f>
        <v>0</v>
      </c>
    </row>
    <row r="830" ht="15" customHeight="1">
      <c r="I830" s="215" t="n"/>
      <c r="J830" s="215" t="n"/>
      <c r="K830" s="215" t="n"/>
      <c r="L830" s="215" t="n"/>
      <c r="M830" s="215" t="n"/>
      <c r="N830" s="215">
        <f>IF(ISNUMBER(I830),ROUND(I830-I830/1.081,2),"")</f>
        <v/>
      </c>
      <c r="O830" s="215">
        <f>IF(ISNUMBER(I830),I830-SUM(J830:N830),"")</f>
        <v/>
      </c>
      <c r="P830" s="216">
        <f>IFERROR(IF(AND(ISNUMBER(O830),ISNUMBER(I830),I830&lt;&gt;0),O830/I830,""),"")</f>
        <v/>
      </c>
      <c r="Q830" s="215">
        <f>IF(AND(ISNUMBER(I830),ISNUMBER(S830)),I830*IF(S830&lt;=1,S830,S830/100),IF(OR(I830&lt;&gt;"",S830&lt;&gt;""),"tbd",""))</f>
        <v/>
      </c>
      <c r="S830" s="217" t="n"/>
      <c r="Z830">
        <f>IF(AND(R830="WON",ISNUMBER(I830)),AA830,"")</f>
        <v/>
      </c>
      <c r="AA830">
        <f>IFERROR(I830*1,0)</f>
        <v>0</v>
      </c>
    </row>
    <row r="831" ht="15" customHeight="1">
      <c r="I831" s="215" t="n"/>
      <c r="J831" s="215" t="n"/>
      <c r="K831" s="215" t="n"/>
      <c r="L831" s="215" t="n"/>
      <c r="M831" s="215" t="n"/>
      <c r="N831" s="215">
        <f>IF(ISNUMBER(I831),ROUND(I831-I831/1.081,2),"")</f>
        <v/>
      </c>
      <c r="O831" s="215">
        <f>IF(ISNUMBER(I831),I831-SUM(J831:N831),"")</f>
        <v/>
      </c>
      <c r="P831" s="216">
        <f>IFERROR(IF(AND(ISNUMBER(O831),ISNUMBER(I831),I831&lt;&gt;0),O831/I831,""),"")</f>
        <v/>
      </c>
      <c r="Q831" s="215">
        <f>IF(AND(ISNUMBER(I831),ISNUMBER(S831)),I831*IF(S831&lt;=1,S831,S831/100),IF(OR(I831&lt;&gt;"",S831&lt;&gt;""),"tbd",""))</f>
        <v/>
      </c>
      <c r="S831" s="217" t="n"/>
      <c r="Z831">
        <f>IF(AND(R831="WON",ISNUMBER(I831)),AA831,"")</f>
        <v/>
      </c>
      <c r="AA831">
        <f>IFERROR(I831*1,0)</f>
        <v>0</v>
      </c>
    </row>
    <row r="832" ht="15" customHeight="1">
      <c r="I832" s="215" t="n"/>
      <c r="J832" s="215" t="n"/>
      <c r="K832" s="215" t="n"/>
      <c r="L832" s="215" t="n"/>
      <c r="M832" s="215" t="n"/>
      <c r="N832" s="215">
        <f>IF(ISNUMBER(I832),ROUND(I832-I832/1.081,2),"")</f>
        <v/>
      </c>
      <c r="O832" s="215">
        <f>IF(ISNUMBER(I832),I832-SUM(J832:N832),"")</f>
        <v/>
      </c>
      <c r="P832" s="216">
        <f>IFERROR(IF(AND(ISNUMBER(O832),ISNUMBER(I832),I832&lt;&gt;0),O832/I832,""),"")</f>
        <v/>
      </c>
      <c r="Q832" s="215">
        <f>IF(AND(ISNUMBER(I832),ISNUMBER(S832)),I832*IF(S832&lt;=1,S832,S832/100),IF(OR(I832&lt;&gt;"",S832&lt;&gt;""),"tbd",""))</f>
        <v/>
      </c>
      <c r="S832" s="217" t="n"/>
      <c r="Z832">
        <f>IF(AND(R832="WON",ISNUMBER(I832)),AA832,"")</f>
        <v/>
      </c>
      <c r="AA832">
        <f>IFERROR(I832*1,0)</f>
        <v>0</v>
      </c>
    </row>
    <row r="833" ht="15" customHeight="1">
      <c r="I833" s="215" t="n"/>
      <c r="J833" s="215" t="n"/>
      <c r="K833" s="215" t="n"/>
      <c r="L833" s="215" t="n"/>
      <c r="M833" s="215" t="n"/>
      <c r="N833" s="215">
        <f>IF(ISNUMBER(I833),ROUND(I833-I833/1.081,2),"")</f>
        <v/>
      </c>
      <c r="O833" s="215">
        <f>IF(ISNUMBER(I833),I833-SUM(J833:N833),"")</f>
        <v/>
      </c>
      <c r="P833" s="216">
        <f>IFERROR(IF(AND(ISNUMBER(O833),ISNUMBER(I833),I833&lt;&gt;0),O833/I833,""),"")</f>
        <v/>
      </c>
      <c r="Q833" s="215">
        <f>IF(AND(ISNUMBER(I833),ISNUMBER(S833)),I833*IF(S833&lt;=1,S833,S833/100),IF(OR(I833&lt;&gt;"",S833&lt;&gt;""),"tbd",""))</f>
        <v/>
      </c>
      <c r="S833" s="217" t="n"/>
      <c r="Z833">
        <f>IF(AND(R833="WON",ISNUMBER(I833)),AA833,"")</f>
        <v/>
      </c>
      <c r="AA833">
        <f>IFERROR(I833*1,0)</f>
        <v>0</v>
      </c>
    </row>
    <row r="834" ht="15" customHeight="1">
      <c r="I834" s="215" t="n"/>
      <c r="J834" s="215" t="n"/>
      <c r="K834" s="215" t="n"/>
      <c r="L834" s="215" t="n"/>
      <c r="M834" s="215" t="n"/>
      <c r="N834" s="215">
        <f>IF(ISNUMBER(I834),ROUND(I834-I834/1.081,2),"")</f>
        <v/>
      </c>
      <c r="O834" s="215">
        <f>IF(ISNUMBER(I834),I834-SUM(J834:N834),"")</f>
        <v/>
      </c>
      <c r="P834" s="216">
        <f>IFERROR(IF(AND(ISNUMBER(O834),ISNUMBER(I834),I834&lt;&gt;0),O834/I834,""),"")</f>
        <v/>
      </c>
      <c r="Q834" s="215">
        <f>IF(AND(ISNUMBER(I834),ISNUMBER(S834)),I834*IF(S834&lt;=1,S834,S834/100),IF(OR(I834&lt;&gt;"",S834&lt;&gt;""),"tbd",""))</f>
        <v/>
      </c>
      <c r="S834" s="217" t="n"/>
      <c r="Z834">
        <f>IF(AND(R834="WON",ISNUMBER(I834)),AA834,"")</f>
        <v/>
      </c>
      <c r="AA834">
        <f>IFERROR(I834*1,0)</f>
        <v>0</v>
      </c>
    </row>
    <row r="835" ht="15" customHeight="1">
      <c r="I835" s="215" t="n"/>
      <c r="J835" s="215" t="n"/>
      <c r="K835" s="215" t="n"/>
      <c r="L835" s="215" t="n"/>
      <c r="M835" s="215" t="n"/>
      <c r="N835" s="215">
        <f>IF(ISNUMBER(I835),ROUND(I835-I835/1.081,2),"")</f>
        <v/>
      </c>
      <c r="O835" s="215">
        <f>IF(ISNUMBER(I835),I835-SUM(J835:N835),"")</f>
        <v/>
      </c>
      <c r="P835" s="216">
        <f>IFERROR(IF(AND(ISNUMBER(O835),ISNUMBER(I835),I835&lt;&gt;0),O835/I835,""),"")</f>
        <v/>
      </c>
      <c r="Q835" s="215">
        <f>IF(AND(ISNUMBER(I835),ISNUMBER(S835)),I835*IF(S835&lt;=1,S835,S835/100),IF(OR(I835&lt;&gt;"",S835&lt;&gt;""),"tbd",""))</f>
        <v/>
      </c>
      <c r="S835" s="217" t="n"/>
      <c r="Z835">
        <f>IF(AND(R835="WON",ISNUMBER(I835)),AA835,"")</f>
        <v/>
      </c>
      <c r="AA835">
        <f>IFERROR(I835*1,0)</f>
        <v>0</v>
      </c>
    </row>
    <row r="836" ht="15" customHeight="1">
      <c r="I836" s="215" t="n"/>
      <c r="J836" s="215" t="n"/>
      <c r="K836" s="215" t="n"/>
      <c r="L836" s="215" t="n"/>
      <c r="M836" s="215" t="n"/>
      <c r="N836" s="215">
        <f>IF(ISNUMBER(I836),ROUND(I836-I836/1.081,2),"")</f>
        <v/>
      </c>
      <c r="O836" s="215">
        <f>IF(ISNUMBER(I836),I836-SUM(J836:N836),"")</f>
        <v/>
      </c>
      <c r="P836" s="216">
        <f>IFERROR(IF(AND(ISNUMBER(O836),ISNUMBER(I836),I836&lt;&gt;0),O836/I836,""),"")</f>
        <v/>
      </c>
      <c r="Q836" s="215">
        <f>IF(AND(ISNUMBER(I836),ISNUMBER(S836)),I836*IF(S836&lt;=1,S836,S836/100),IF(OR(I836&lt;&gt;"",S836&lt;&gt;""),"tbd",""))</f>
        <v/>
      </c>
      <c r="S836" s="217" t="n"/>
      <c r="Z836">
        <f>IF(AND(R836="WON",ISNUMBER(I836)),AA836,"")</f>
        <v/>
      </c>
      <c r="AA836">
        <f>IFERROR(I836*1,0)</f>
        <v>0</v>
      </c>
    </row>
    <row r="837" ht="15" customHeight="1">
      <c r="I837" s="215" t="n"/>
      <c r="J837" s="215" t="n"/>
      <c r="K837" s="215" t="n"/>
      <c r="L837" s="215" t="n"/>
      <c r="M837" s="215" t="n"/>
      <c r="N837" s="215">
        <f>IF(ISNUMBER(I837),ROUND(I837-I837/1.081,2),"")</f>
        <v/>
      </c>
      <c r="O837" s="215">
        <f>IF(ISNUMBER(I837),I837-SUM(J837:N837),"")</f>
        <v/>
      </c>
      <c r="P837" s="216">
        <f>IFERROR(IF(AND(ISNUMBER(O837),ISNUMBER(I837),I837&lt;&gt;0),O837/I837,""),"")</f>
        <v/>
      </c>
      <c r="Q837" s="215">
        <f>IF(AND(ISNUMBER(I837),ISNUMBER(S837)),I837*IF(S837&lt;=1,S837,S837/100),IF(OR(I837&lt;&gt;"",S837&lt;&gt;""),"tbd",""))</f>
        <v/>
      </c>
      <c r="S837" s="217" t="n"/>
      <c r="Z837">
        <f>IF(AND(R837="WON",ISNUMBER(I837)),AA837,"")</f>
        <v/>
      </c>
      <c r="AA837">
        <f>IFERROR(I837*1,0)</f>
        <v>0</v>
      </c>
    </row>
    <row r="838" ht="15" customHeight="1">
      <c r="I838" s="215" t="n"/>
      <c r="J838" s="215" t="n"/>
      <c r="K838" s="215" t="n"/>
      <c r="L838" s="215" t="n"/>
      <c r="M838" s="215" t="n"/>
      <c r="N838" s="215">
        <f>IF(ISNUMBER(I838),ROUND(I838-I838/1.081,2),"")</f>
        <v/>
      </c>
      <c r="O838" s="215">
        <f>IF(ISNUMBER(I838),I838-SUM(J838:N838),"")</f>
        <v/>
      </c>
      <c r="P838" s="216">
        <f>IFERROR(IF(AND(ISNUMBER(O838),ISNUMBER(I838),I838&lt;&gt;0),O838/I838,""),"")</f>
        <v/>
      </c>
      <c r="Q838" s="215">
        <f>IF(AND(ISNUMBER(I838),ISNUMBER(S838)),I838*IF(S838&lt;=1,S838,S838/100),IF(OR(I838&lt;&gt;"",S838&lt;&gt;""),"tbd",""))</f>
        <v/>
      </c>
      <c r="S838" s="217" t="n"/>
      <c r="Z838">
        <f>IF(AND(R838="WON",ISNUMBER(I838)),AA838,"")</f>
        <v/>
      </c>
      <c r="AA838">
        <f>IFERROR(I838*1,0)</f>
        <v>0</v>
      </c>
    </row>
    <row r="839" ht="15" customHeight="1">
      <c r="I839" s="215" t="n"/>
      <c r="J839" s="215" t="n"/>
      <c r="K839" s="215" t="n"/>
      <c r="L839" s="215" t="n"/>
      <c r="M839" s="215" t="n"/>
      <c r="N839" s="215">
        <f>IF(ISNUMBER(I839),ROUND(I839-I839/1.081,2),"")</f>
        <v/>
      </c>
      <c r="O839" s="215">
        <f>IF(ISNUMBER(I839),I839-SUM(J839:N839),"")</f>
        <v/>
      </c>
      <c r="P839" s="216">
        <f>IFERROR(IF(AND(ISNUMBER(O839),ISNUMBER(I839),I839&lt;&gt;0),O839/I839,""),"")</f>
        <v/>
      </c>
      <c r="Q839" s="215">
        <f>IF(AND(ISNUMBER(I839),ISNUMBER(S839)),I839*IF(S839&lt;=1,S839,S839/100),IF(OR(I839&lt;&gt;"",S839&lt;&gt;""),"tbd",""))</f>
        <v/>
      </c>
      <c r="S839" s="217" t="n"/>
      <c r="Z839">
        <f>IF(AND(R839="WON",ISNUMBER(I839)),AA839,"")</f>
        <v/>
      </c>
      <c r="AA839">
        <f>IFERROR(I839*1,0)</f>
        <v>0</v>
      </c>
    </row>
    <row r="840" ht="15" customHeight="1">
      <c r="I840" s="215" t="n"/>
      <c r="J840" s="215" t="n"/>
      <c r="K840" s="215" t="n"/>
      <c r="L840" s="215" t="n"/>
      <c r="M840" s="215" t="n"/>
      <c r="N840" s="215">
        <f>IF(ISNUMBER(I840),ROUND(I840-I840/1.081,2),"")</f>
        <v/>
      </c>
      <c r="O840" s="215">
        <f>IF(ISNUMBER(I840),I840-SUM(J840:N840),"")</f>
        <v/>
      </c>
      <c r="P840" s="216">
        <f>IFERROR(IF(AND(ISNUMBER(O840),ISNUMBER(I840),I840&lt;&gt;0),O840/I840,""),"")</f>
        <v/>
      </c>
      <c r="Q840" s="215">
        <f>IF(AND(ISNUMBER(I840),ISNUMBER(S840)),I840*IF(S840&lt;=1,S840,S840/100),IF(OR(I840&lt;&gt;"",S840&lt;&gt;""),"tbd",""))</f>
        <v/>
      </c>
      <c r="S840" s="217" t="n"/>
      <c r="Z840">
        <f>IF(AND(R840="WON",ISNUMBER(I840)),AA840,"")</f>
        <v/>
      </c>
      <c r="AA840">
        <f>IFERROR(I840*1,0)</f>
        <v>0</v>
      </c>
    </row>
    <row r="841" ht="15" customHeight="1">
      <c r="I841" s="215" t="n"/>
      <c r="J841" s="215" t="n"/>
      <c r="K841" s="215" t="n"/>
      <c r="L841" s="215" t="n"/>
      <c r="M841" s="215" t="n"/>
      <c r="N841" s="215">
        <f>IF(ISNUMBER(I841),ROUND(I841-I841/1.081,2),"")</f>
        <v/>
      </c>
      <c r="O841" s="215">
        <f>IF(ISNUMBER(I841),I841-SUM(J841:N841),"")</f>
        <v/>
      </c>
      <c r="P841" s="216">
        <f>IFERROR(IF(AND(ISNUMBER(O841),ISNUMBER(I841),I841&lt;&gt;0),O841/I841,""),"")</f>
        <v/>
      </c>
      <c r="Q841" s="215">
        <f>IF(AND(ISNUMBER(I841),ISNUMBER(S841)),I841*IF(S841&lt;=1,S841,S841/100),IF(OR(I841&lt;&gt;"",S841&lt;&gt;""),"tbd",""))</f>
        <v/>
      </c>
      <c r="S841" s="217" t="n"/>
      <c r="Z841">
        <f>IF(AND(R841="WON",ISNUMBER(I841)),AA841,"")</f>
        <v/>
      </c>
      <c r="AA841">
        <f>IFERROR(I841*1,0)</f>
        <v>0</v>
      </c>
    </row>
    <row r="842" ht="15" customHeight="1">
      <c r="I842" s="215" t="n"/>
      <c r="J842" s="215" t="n"/>
      <c r="K842" s="215" t="n"/>
      <c r="L842" s="215" t="n"/>
      <c r="M842" s="215" t="n"/>
      <c r="N842" s="215">
        <f>IF(ISNUMBER(I842),ROUND(I842-I842/1.081,2),"")</f>
        <v/>
      </c>
      <c r="O842" s="215">
        <f>IF(ISNUMBER(I842),I842-SUM(J842:N842),"")</f>
        <v/>
      </c>
      <c r="P842" s="216">
        <f>IFERROR(IF(AND(ISNUMBER(O842),ISNUMBER(I842),I842&lt;&gt;0),O842/I842,""),"")</f>
        <v/>
      </c>
      <c r="Q842" s="215">
        <f>IF(AND(ISNUMBER(I842),ISNUMBER(S842)),I842*IF(S842&lt;=1,S842,S842/100),IF(OR(I842&lt;&gt;"",S842&lt;&gt;""),"tbd",""))</f>
        <v/>
      </c>
      <c r="S842" s="217" t="n"/>
      <c r="Z842">
        <f>IF(AND(R842="WON",ISNUMBER(I842)),AA842,"")</f>
        <v/>
      </c>
      <c r="AA842">
        <f>IFERROR(I842*1,0)</f>
        <v>0</v>
      </c>
    </row>
    <row r="843" ht="15" customHeight="1">
      <c r="I843" s="215" t="n"/>
      <c r="J843" s="215" t="n"/>
      <c r="K843" s="215" t="n"/>
      <c r="L843" s="215" t="n"/>
      <c r="M843" s="215" t="n"/>
      <c r="N843" s="215">
        <f>IF(ISNUMBER(I843),ROUND(I843-I843/1.081,2),"")</f>
        <v/>
      </c>
      <c r="O843" s="215">
        <f>IF(ISNUMBER(I843),I843-SUM(J843:N843),"")</f>
        <v/>
      </c>
      <c r="P843" s="216">
        <f>IFERROR(IF(AND(ISNUMBER(O843),ISNUMBER(I843),I843&lt;&gt;0),O843/I843,""),"")</f>
        <v/>
      </c>
      <c r="Q843" s="215">
        <f>IF(AND(ISNUMBER(I843),ISNUMBER(S843)),I843*IF(S843&lt;=1,S843,S843/100),IF(OR(I843&lt;&gt;"",S843&lt;&gt;""),"tbd",""))</f>
        <v/>
      </c>
      <c r="S843" s="217" t="n"/>
      <c r="Z843">
        <f>IF(AND(R843="WON",ISNUMBER(I843)),AA843,"")</f>
        <v/>
      </c>
      <c r="AA843">
        <f>IFERROR(I843*1,0)</f>
        <v>0</v>
      </c>
    </row>
    <row r="844" ht="15" customHeight="1">
      <c r="I844" s="215" t="n"/>
      <c r="J844" s="215" t="n"/>
      <c r="K844" s="215" t="n"/>
      <c r="L844" s="215" t="n"/>
      <c r="M844" s="215" t="n"/>
      <c r="N844" s="215">
        <f>IF(ISNUMBER(I844),ROUND(I844-I844/1.081,2),"")</f>
        <v/>
      </c>
      <c r="O844" s="215">
        <f>IF(ISNUMBER(I844),I844-SUM(J844:N844),"")</f>
        <v/>
      </c>
      <c r="P844" s="216">
        <f>IFERROR(IF(AND(ISNUMBER(O844),ISNUMBER(I844),I844&lt;&gt;0),O844/I844,""),"")</f>
        <v/>
      </c>
      <c r="Q844" s="215">
        <f>IF(AND(ISNUMBER(I844),ISNUMBER(S844)),I844*IF(S844&lt;=1,S844,S844/100),IF(OR(I844&lt;&gt;"",S844&lt;&gt;""),"tbd",""))</f>
        <v/>
      </c>
      <c r="S844" s="217" t="n"/>
      <c r="Z844">
        <f>IF(AND(R844="WON",ISNUMBER(I844)),AA844,"")</f>
        <v/>
      </c>
      <c r="AA844">
        <f>IFERROR(I844*1,0)</f>
        <v>0</v>
      </c>
    </row>
    <row r="845" ht="15" customHeight="1">
      <c r="I845" s="215" t="n"/>
      <c r="J845" s="215" t="n"/>
      <c r="K845" s="215" t="n"/>
      <c r="L845" s="215" t="n"/>
      <c r="M845" s="215" t="n"/>
      <c r="N845" s="215">
        <f>IF(ISNUMBER(I845),ROUND(I845-I845/1.081,2),"")</f>
        <v/>
      </c>
      <c r="O845" s="215">
        <f>IF(ISNUMBER(I845),I845-SUM(J845:N845),"")</f>
        <v/>
      </c>
      <c r="P845" s="216">
        <f>IFERROR(IF(AND(ISNUMBER(O845),ISNUMBER(I845),I845&lt;&gt;0),O845/I845,""),"")</f>
        <v/>
      </c>
      <c r="Q845" s="215">
        <f>IF(AND(ISNUMBER(I845),ISNUMBER(S845)),I845*IF(S845&lt;=1,S845,S845/100),IF(OR(I845&lt;&gt;"",S845&lt;&gt;""),"tbd",""))</f>
        <v/>
      </c>
      <c r="S845" s="217" t="n"/>
      <c r="Z845">
        <f>IF(AND(R845="WON",ISNUMBER(I845)),AA845,"")</f>
        <v/>
      </c>
      <c r="AA845">
        <f>IFERROR(I845*1,0)</f>
        <v>0</v>
      </c>
    </row>
    <row r="846" ht="15" customHeight="1">
      <c r="I846" s="215" t="n"/>
      <c r="J846" s="215" t="n"/>
      <c r="K846" s="215" t="n"/>
      <c r="L846" s="215" t="n"/>
      <c r="M846" s="215" t="n"/>
      <c r="N846" s="215">
        <f>IF(ISNUMBER(I846),ROUND(I846-I846/1.081,2),"")</f>
        <v/>
      </c>
      <c r="O846" s="215">
        <f>IF(ISNUMBER(I846),I846-SUM(J846:N846),"")</f>
        <v/>
      </c>
      <c r="P846" s="216">
        <f>IFERROR(IF(AND(ISNUMBER(O846),ISNUMBER(I846),I846&lt;&gt;0),O846/I846,""),"")</f>
        <v/>
      </c>
      <c r="Q846" s="215">
        <f>IF(AND(ISNUMBER(I846),ISNUMBER(S846)),I846*IF(S846&lt;=1,S846,S846/100),IF(OR(I846&lt;&gt;"",S846&lt;&gt;""),"tbd",""))</f>
        <v/>
      </c>
      <c r="S846" s="217" t="n"/>
      <c r="Z846">
        <f>IF(AND(R846="WON",ISNUMBER(I846)),AA846,"")</f>
        <v/>
      </c>
      <c r="AA846">
        <f>IFERROR(I846*1,0)</f>
        <v>0</v>
      </c>
    </row>
    <row r="847" ht="15" customHeight="1">
      <c r="I847" s="215" t="n"/>
      <c r="J847" s="215" t="n"/>
      <c r="K847" s="215" t="n"/>
      <c r="L847" s="215" t="n"/>
      <c r="M847" s="215" t="n"/>
      <c r="N847" s="215">
        <f>IF(ISNUMBER(I847),ROUND(I847-I847/1.081,2),"")</f>
        <v/>
      </c>
      <c r="O847" s="215">
        <f>IF(ISNUMBER(I847),I847-SUM(J847:N847),"")</f>
        <v/>
      </c>
      <c r="P847" s="216">
        <f>IFERROR(IF(AND(ISNUMBER(O847),ISNUMBER(I847),I847&lt;&gt;0),O847/I847,""),"")</f>
        <v/>
      </c>
      <c r="Q847" s="215">
        <f>IF(AND(ISNUMBER(I847),ISNUMBER(S847)),I847*IF(S847&lt;=1,S847,S847/100),IF(OR(I847&lt;&gt;"",S847&lt;&gt;""),"tbd",""))</f>
        <v/>
      </c>
      <c r="S847" s="217" t="n"/>
      <c r="Z847">
        <f>IF(AND(R847="WON",ISNUMBER(I847)),AA847,"")</f>
        <v/>
      </c>
      <c r="AA847">
        <f>IFERROR(I847*1,0)</f>
        <v>0</v>
      </c>
    </row>
    <row r="848" ht="15" customHeight="1">
      <c r="I848" s="215" t="n"/>
      <c r="J848" s="215" t="n"/>
      <c r="K848" s="215" t="n"/>
      <c r="L848" s="215" t="n"/>
      <c r="M848" s="215" t="n"/>
      <c r="N848" s="215">
        <f>IF(ISNUMBER(I848),ROUND(I848-I848/1.081,2),"")</f>
        <v/>
      </c>
      <c r="O848" s="215">
        <f>IF(ISNUMBER(I848),I848-SUM(J848:N848),"")</f>
        <v/>
      </c>
      <c r="P848" s="216">
        <f>IFERROR(IF(AND(ISNUMBER(O848),ISNUMBER(I848),I848&lt;&gt;0),O848/I848,""),"")</f>
        <v/>
      </c>
      <c r="Q848" s="215">
        <f>IF(AND(ISNUMBER(I848),ISNUMBER(S848)),I848*IF(S848&lt;=1,S848,S848/100),IF(OR(I848&lt;&gt;"",S848&lt;&gt;""),"tbd",""))</f>
        <v/>
      </c>
      <c r="S848" s="217" t="n"/>
      <c r="Z848">
        <f>IF(AND(R848="WON",ISNUMBER(I848)),AA848,"")</f>
        <v/>
      </c>
      <c r="AA848">
        <f>IFERROR(I848*1,0)</f>
        <v>0</v>
      </c>
    </row>
    <row r="849" ht="15" customHeight="1">
      <c r="I849" s="215" t="n"/>
      <c r="J849" s="215" t="n"/>
      <c r="K849" s="215" t="n"/>
      <c r="L849" s="215" t="n"/>
      <c r="M849" s="215" t="n"/>
      <c r="N849" s="215">
        <f>IF(ISNUMBER(I849),ROUND(I849-I849/1.081,2),"")</f>
        <v/>
      </c>
      <c r="O849" s="215">
        <f>IF(ISNUMBER(I849),I849-SUM(J849:N849),"")</f>
        <v/>
      </c>
      <c r="P849" s="216">
        <f>IFERROR(IF(AND(ISNUMBER(O849),ISNUMBER(I849),I849&lt;&gt;0),O849/I849,""),"")</f>
        <v/>
      </c>
      <c r="Q849" s="215">
        <f>IF(AND(ISNUMBER(I849),ISNUMBER(S849)),I849*IF(S849&lt;=1,S849,S849/100),IF(OR(I849&lt;&gt;"",S849&lt;&gt;""),"tbd",""))</f>
        <v/>
      </c>
      <c r="S849" s="217" t="n"/>
      <c r="Z849">
        <f>IF(AND(R849="WON",ISNUMBER(I849)),AA849,"")</f>
        <v/>
      </c>
      <c r="AA849">
        <f>IFERROR(I849*1,0)</f>
        <v>0</v>
      </c>
    </row>
    <row r="850" ht="15" customHeight="1">
      <c r="I850" s="215" t="n"/>
      <c r="J850" s="215" t="n"/>
      <c r="K850" s="215" t="n"/>
      <c r="L850" s="215" t="n"/>
      <c r="M850" s="215" t="n"/>
      <c r="N850" s="215">
        <f>IF(ISNUMBER(I850),ROUND(I850-I850/1.081,2),"")</f>
        <v/>
      </c>
      <c r="O850" s="215">
        <f>IF(ISNUMBER(I850),I850-SUM(J850:N850),"")</f>
        <v/>
      </c>
      <c r="P850" s="216">
        <f>IFERROR(IF(AND(ISNUMBER(O850),ISNUMBER(I850),I850&lt;&gt;0),O850/I850,""),"")</f>
        <v/>
      </c>
      <c r="Q850" s="215">
        <f>IF(AND(ISNUMBER(I850),ISNUMBER(S850)),I850*IF(S850&lt;=1,S850,S850/100),IF(OR(I850&lt;&gt;"",S850&lt;&gt;""),"tbd",""))</f>
        <v/>
      </c>
      <c r="S850" s="217" t="n"/>
      <c r="Z850">
        <f>IF(AND(R850="WON",ISNUMBER(I850)),AA850,"")</f>
        <v/>
      </c>
      <c r="AA850">
        <f>IFERROR(I850*1,0)</f>
        <v>0</v>
      </c>
    </row>
    <row r="851" ht="15" customHeight="1">
      <c r="I851" s="215" t="n"/>
      <c r="J851" s="215" t="n"/>
      <c r="K851" s="215" t="n"/>
      <c r="L851" s="215" t="n"/>
      <c r="M851" s="215" t="n"/>
      <c r="N851" s="215">
        <f>IF(ISNUMBER(I851),ROUND(I851-I851/1.081,2),"")</f>
        <v/>
      </c>
      <c r="O851" s="215">
        <f>IF(ISNUMBER(I851),I851-SUM(J851:N851),"")</f>
        <v/>
      </c>
      <c r="P851" s="216">
        <f>IFERROR(IF(AND(ISNUMBER(O851),ISNUMBER(I851),I851&lt;&gt;0),O851/I851,""),"")</f>
        <v/>
      </c>
      <c r="Q851" s="215">
        <f>IF(AND(ISNUMBER(I851),ISNUMBER(S851)),I851*IF(S851&lt;=1,S851,S851/100),IF(OR(I851&lt;&gt;"",S851&lt;&gt;""),"tbd",""))</f>
        <v/>
      </c>
      <c r="S851" s="217" t="n"/>
      <c r="Z851">
        <f>IF(AND(R851="WON",ISNUMBER(I851)),AA851,"")</f>
        <v/>
      </c>
      <c r="AA851">
        <f>IFERROR(I851*1,0)</f>
        <v>0</v>
      </c>
    </row>
    <row r="852" ht="15" customHeight="1">
      <c r="I852" s="215" t="n"/>
      <c r="J852" s="215" t="n"/>
      <c r="K852" s="215" t="n"/>
      <c r="L852" s="215" t="n"/>
      <c r="M852" s="215" t="n"/>
      <c r="N852" s="215">
        <f>IF(ISNUMBER(I852),ROUND(I852-I852/1.081,2),"")</f>
        <v/>
      </c>
      <c r="O852" s="215">
        <f>IF(ISNUMBER(I852),I852-SUM(J852:N852),"")</f>
        <v/>
      </c>
      <c r="P852" s="216">
        <f>IFERROR(IF(AND(ISNUMBER(O852),ISNUMBER(I852),I852&lt;&gt;0),O852/I852,""),"")</f>
        <v/>
      </c>
      <c r="Q852" s="215">
        <f>IF(AND(ISNUMBER(I852),ISNUMBER(S852)),I852*IF(S852&lt;=1,S852,S852/100),IF(OR(I852&lt;&gt;"",S852&lt;&gt;""),"tbd",""))</f>
        <v/>
      </c>
      <c r="S852" s="217" t="n"/>
      <c r="Z852">
        <f>IF(AND(R852="WON",ISNUMBER(I852)),AA852,"")</f>
        <v/>
      </c>
      <c r="AA852">
        <f>IFERROR(I852*1,0)</f>
        <v>0</v>
      </c>
    </row>
    <row r="853" ht="15" customHeight="1">
      <c r="I853" s="215" t="n"/>
      <c r="J853" s="215" t="n"/>
      <c r="K853" s="215" t="n"/>
      <c r="L853" s="215" t="n"/>
      <c r="M853" s="215" t="n"/>
      <c r="N853" s="215">
        <f>IF(ISNUMBER(I853),ROUND(I853-I853/1.081,2),"")</f>
        <v/>
      </c>
      <c r="O853" s="215">
        <f>IF(ISNUMBER(I853),I853-SUM(J853:N853),"")</f>
        <v/>
      </c>
      <c r="P853" s="216">
        <f>IFERROR(IF(AND(ISNUMBER(O853),ISNUMBER(I853),I853&lt;&gt;0),O853/I853,""),"")</f>
        <v/>
      </c>
      <c r="Q853" s="215">
        <f>IF(AND(ISNUMBER(I853),ISNUMBER(S853)),I853*IF(S853&lt;=1,S853,S853/100),IF(OR(I853&lt;&gt;"",S853&lt;&gt;""),"tbd",""))</f>
        <v/>
      </c>
      <c r="S853" s="217" t="n"/>
      <c r="Z853">
        <f>IF(AND(R853="WON",ISNUMBER(I853)),AA853,"")</f>
        <v/>
      </c>
      <c r="AA853">
        <f>IFERROR(I853*1,0)</f>
        <v>0</v>
      </c>
    </row>
    <row r="854" ht="15" customHeight="1">
      <c r="I854" s="215" t="n"/>
      <c r="J854" s="215" t="n"/>
      <c r="K854" s="215" t="n"/>
      <c r="L854" s="215" t="n"/>
      <c r="M854" s="215" t="n"/>
      <c r="N854" s="215">
        <f>IF(ISNUMBER(I854),ROUND(I854-I854/1.081,2),"")</f>
        <v/>
      </c>
      <c r="O854" s="215">
        <f>IF(ISNUMBER(I854),I854-SUM(J854:N854),"")</f>
        <v/>
      </c>
      <c r="P854" s="216">
        <f>IFERROR(IF(AND(ISNUMBER(O854),ISNUMBER(I854),I854&lt;&gt;0),O854/I854,""),"")</f>
        <v/>
      </c>
      <c r="Q854" s="215">
        <f>IF(AND(ISNUMBER(I854),ISNUMBER(S854)),I854*IF(S854&lt;=1,S854,S854/100),IF(OR(I854&lt;&gt;"",S854&lt;&gt;""),"tbd",""))</f>
        <v/>
      </c>
      <c r="S854" s="217" t="n"/>
      <c r="Z854">
        <f>IF(AND(R854="WON",ISNUMBER(I854)),AA854,"")</f>
        <v/>
      </c>
      <c r="AA854">
        <f>IFERROR(I854*1,0)</f>
        <v>0</v>
      </c>
    </row>
    <row r="855" ht="15" customHeight="1">
      <c r="I855" s="215" t="n"/>
      <c r="J855" s="215" t="n"/>
      <c r="K855" s="215" t="n"/>
      <c r="L855" s="215" t="n"/>
      <c r="M855" s="215" t="n"/>
      <c r="N855" s="215">
        <f>IF(ISNUMBER(I855),ROUND(I855-I855/1.081,2),"")</f>
        <v/>
      </c>
      <c r="O855" s="215">
        <f>IF(ISNUMBER(I855),I855-SUM(J855:N855),"")</f>
        <v/>
      </c>
      <c r="P855" s="216">
        <f>IFERROR(IF(AND(ISNUMBER(O855),ISNUMBER(I855),I855&lt;&gt;0),O855/I855,""),"")</f>
        <v/>
      </c>
      <c r="Q855" s="215">
        <f>IF(AND(ISNUMBER(I855),ISNUMBER(S855)),I855*IF(S855&lt;=1,S855,S855/100),IF(OR(I855&lt;&gt;"",S855&lt;&gt;""),"tbd",""))</f>
        <v/>
      </c>
      <c r="S855" s="217" t="n"/>
      <c r="Z855">
        <f>IF(AND(R855="WON",ISNUMBER(I855)),AA855,"")</f>
        <v/>
      </c>
      <c r="AA855">
        <f>IFERROR(I855*1,0)</f>
        <v>0</v>
      </c>
    </row>
    <row r="856" ht="15" customHeight="1">
      <c r="I856" s="215" t="n"/>
      <c r="J856" s="215" t="n"/>
      <c r="K856" s="215" t="n"/>
      <c r="L856" s="215" t="n"/>
      <c r="M856" s="215" t="n"/>
      <c r="N856" s="215">
        <f>IF(ISNUMBER(I856),ROUND(I856-I856/1.081,2),"")</f>
        <v/>
      </c>
      <c r="O856" s="215">
        <f>IF(ISNUMBER(I856),I856-SUM(J856:N856),"")</f>
        <v/>
      </c>
      <c r="P856" s="216">
        <f>IFERROR(IF(AND(ISNUMBER(O856),ISNUMBER(I856),I856&lt;&gt;0),O856/I856,""),"")</f>
        <v/>
      </c>
      <c r="Q856" s="215">
        <f>IF(AND(ISNUMBER(I856),ISNUMBER(S856)),I856*IF(S856&lt;=1,S856,S856/100),IF(OR(I856&lt;&gt;"",S856&lt;&gt;""),"tbd",""))</f>
        <v/>
      </c>
      <c r="S856" s="217" t="n"/>
      <c r="Z856">
        <f>IF(AND(R856="WON",ISNUMBER(I856)),AA856,"")</f>
        <v/>
      </c>
      <c r="AA856">
        <f>IFERROR(I856*1,0)</f>
        <v>0</v>
      </c>
    </row>
    <row r="857" ht="15" customHeight="1">
      <c r="I857" s="215" t="n"/>
      <c r="J857" s="215" t="n"/>
      <c r="K857" s="215" t="n"/>
      <c r="L857" s="215" t="n"/>
      <c r="M857" s="215" t="n"/>
      <c r="N857" s="215">
        <f>IF(ISNUMBER(I857),ROUND(I857-I857/1.081,2),"")</f>
        <v/>
      </c>
      <c r="O857" s="215">
        <f>IF(ISNUMBER(I857),I857-SUM(J857:N857),"")</f>
        <v/>
      </c>
      <c r="P857" s="216">
        <f>IFERROR(IF(AND(ISNUMBER(O857),ISNUMBER(I857),I857&lt;&gt;0),O857/I857,""),"")</f>
        <v/>
      </c>
      <c r="Q857" s="215">
        <f>IF(AND(ISNUMBER(I857),ISNUMBER(S857)),I857*IF(S857&lt;=1,S857,S857/100),IF(OR(I857&lt;&gt;"",S857&lt;&gt;""),"tbd",""))</f>
        <v/>
      </c>
      <c r="S857" s="217" t="n"/>
      <c r="Z857">
        <f>IF(AND(R857="WON",ISNUMBER(I857)),AA857,"")</f>
        <v/>
      </c>
      <c r="AA857">
        <f>IFERROR(I857*1,0)</f>
        <v>0</v>
      </c>
    </row>
    <row r="858" ht="15" customHeight="1">
      <c r="I858" s="215" t="n"/>
      <c r="J858" s="215" t="n"/>
      <c r="K858" s="215" t="n"/>
      <c r="L858" s="215" t="n"/>
      <c r="M858" s="215" t="n"/>
      <c r="N858" s="215">
        <f>IF(ISNUMBER(I858),ROUND(I858-I858/1.081,2),"")</f>
        <v/>
      </c>
      <c r="O858" s="215">
        <f>IF(ISNUMBER(I858),I858-SUM(J858:N858),"")</f>
        <v/>
      </c>
      <c r="P858" s="216">
        <f>IFERROR(IF(AND(ISNUMBER(O858),ISNUMBER(I858),I858&lt;&gt;0),O858/I858,""),"")</f>
        <v/>
      </c>
      <c r="Q858" s="215">
        <f>IF(AND(ISNUMBER(I858),ISNUMBER(S858)),I858*IF(S858&lt;=1,S858,S858/100),IF(OR(I858&lt;&gt;"",S858&lt;&gt;""),"tbd",""))</f>
        <v/>
      </c>
      <c r="S858" s="217" t="n"/>
      <c r="Z858">
        <f>IF(AND(R858="WON",ISNUMBER(I858)),AA858,"")</f>
        <v/>
      </c>
      <c r="AA858">
        <f>IFERROR(I858*1,0)</f>
        <v>0</v>
      </c>
    </row>
    <row r="859" ht="15" customHeight="1">
      <c r="I859" s="215" t="n"/>
      <c r="J859" s="215" t="n"/>
      <c r="K859" s="215" t="n"/>
      <c r="L859" s="215" t="n"/>
      <c r="M859" s="215" t="n"/>
      <c r="N859" s="215">
        <f>IF(ISNUMBER(I859),ROUND(I859-I859/1.081,2),"")</f>
        <v/>
      </c>
      <c r="O859" s="215">
        <f>IF(ISNUMBER(I859),I859-SUM(J859:N859),"")</f>
        <v/>
      </c>
      <c r="P859" s="216">
        <f>IFERROR(IF(AND(ISNUMBER(O859),ISNUMBER(I859),I859&lt;&gt;0),O859/I859,""),"")</f>
        <v/>
      </c>
      <c r="Q859" s="215">
        <f>IF(AND(ISNUMBER(I859),ISNUMBER(S859)),I859*IF(S859&lt;=1,S859,S859/100),IF(OR(I859&lt;&gt;"",S859&lt;&gt;""),"tbd",""))</f>
        <v/>
      </c>
      <c r="S859" s="217" t="n"/>
      <c r="Z859">
        <f>IF(AND(R859="WON",ISNUMBER(I859)),AA859,"")</f>
        <v/>
      </c>
      <c r="AA859">
        <f>IFERROR(I859*1,0)</f>
        <v>0</v>
      </c>
    </row>
    <row r="860" ht="15" customHeight="1">
      <c r="I860" s="215" t="n"/>
      <c r="J860" s="215" t="n"/>
      <c r="K860" s="215" t="n"/>
      <c r="L860" s="215" t="n"/>
      <c r="M860" s="215" t="n"/>
      <c r="N860" s="215">
        <f>IF(ISNUMBER(I860),ROUND(I860-I860/1.081,2),"")</f>
        <v/>
      </c>
      <c r="O860" s="215">
        <f>IF(ISNUMBER(I860),I860-SUM(J860:N860),"")</f>
        <v/>
      </c>
      <c r="P860" s="216">
        <f>IFERROR(IF(AND(ISNUMBER(O860),ISNUMBER(I860),I860&lt;&gt;0),O860/I860,""),"")</f>
        <v/>
      </c>
      <c r="Q860" s="215">
        <f>IF(AND(ISNUMBER(I860),ISNUMBER(S860)),I860*IF(S860&lt;=1,S860,S860/100),IF(OR(I860&lt;&gt;"",S860&lt;&gt;""),"tbd",""))</f>
        <v/>
      </c>
      <c r="S860" s="217" t="n"/>
      <c r="Z860">
        <f>IF(AND(R860="WON",ISNUMBER(I860)),AA860,"")</f>
        <v/>
      </c>
      <c r="AA860">
        <f>IFERROR(I860*1,0)</f>
        <v>0</v>
      </c>
    </row>
    <row r="861" ht="15" customHeight="1"/>
  </sheetData>
  <autoFilter ref="A5:X860">
    <sortState ref="A6:Y63">
      <sortCondition descending="1" ref="T5:T63"/>
    </sortState>
  </autoFilter>
  <mergeCells count="11">
    <mergeCell ref="G4:H4"/>
    <mergeCell ref="A4:B4"/>
    <mergeCell ref="A3:X3"/>
    <mergeCell ref="O4:R4"/>
    <mergeCell ref="C4:F4"/>
    <mergeCell ref="A2:X2"/>
    <mergeCell ref="U4:X4"/>
    <mergeCell ref="I4:L4"/>
    <mergeCell ref="A1:X1"/>
    <mergeCell ref="M4:N4"/>
    <mergeCell ref="S4:T4"/>
  </mergeCells>
  <conditionalFormatting sqref="R6:R860">
    <cfRule type="cellIs" priority="1" operator="equal" dxfId="9" stopIfTrue="1">
      <formula>"WON"</formula>
    </cfRule>
    <cfRule type="cellIs" priority="2" operator="equal" dxfId="8" stopIfTrue="1">
      <formula>"offered"</formula>
    </cfRule>
    <cfRule type="cellIs" priority="3" operator="equal" dxfId="7" stopIfTrue="1">
      <formula>"to be offered"</formula>
    </cfRule>
    <cfRule type="cellIs" priority="4" operator="equal" dxfId="6" stopIfTrue="1">
      <formula>"follow-up"</formula>
    </cfRule>
    <cfRule type="cellIs" priority="5" operator="equal" dxfId="4" stopIfTrue="1">
      <formula>"Evaluation"</formula>
    </cfRule>
    <cfRule type="cellIs" priority="6" operator="equal" dxfId="4" stopIfTrue="1">
      <formula>"In evaluation"</formula>
    </cfRule>
    <cfRule type="cellIs" priority="7" operator="equal" dxfId="3" stopIfTrue="1">
      <formula>"on hold"</formula>
    </cfRule>
    <cfRule type="cellIs" priority="8" operator="equal" dxfId="2" stopIfTrue="1">
      <formula>"tbd"</formula>
    </cfRule>
    <cfRule type="cellIs" priority="9" operator="equal" dxfId="1" stopIfTrue="1">
      <formula>"LOST"</formula>
    </cfRule>
    <cfRule type="cellIs" priority="10" operator="equal" dxfId="0" stopIfTrue="1">
      <formula>"Declined"</formula>
    </cfRule>
  </conditionalFormatting>
  <conditionalFormatting sqref="P6:P860">
    <cfRule type="colorScale" priority="11">
      <colorScale>
        <cfvo type="num" val="0"/>
        <cfvo type="num" val="0.3"/>
        <cfvo type="num" val="0.7"/>
        <color rgb="FFF8696B"/>
        <color rgb="FFFFEB84"/>
        <color rgb="FF63BE7B"/>
      </colorScale>
    </cfRule>
  </conditionalFormatting>
  <conditionalFormatting sqref="I6:I860">
    <cfRule type="dataBar" priority="12">
      <dataBar>
        <cfvo type="min"/>
        <cfvo type="max"/>
        <color rgb="FF63A6FF"/>
      </dataBar>
    </cfRule>
  </conditionalFormatting>
  <dataValidations count="3">
    <dataValidation sqref="R6:R860" showDropDown="0" showInputMessage="0" showErrorMessage="0" allowBlank="1" type="list">
      <formula1>"WON,offered,to be offered,follow-up,Evaluation,In evaluation,on hold,tbd,LOST,Declined"</formula1>
    </dataValidation>
    <dataValidation sqref="C6:C860" showDropDown="0" showInputMessage="0" showErrorMessage="0" allowBlank="1" type="list">
      <formula1>"AG,AI,AR,BE,BL,BS,FR,GE,GL,GR,JU,LU,NE,NW,OW,SG,SH,SO,SZ,TG,TI,UR,VD,VS,ZG,ZH,tbd"</formula1>
    </dataValidation>
    <dataValidation sqref="T6:T860" showDropDown="0" showInputMessage="0" showErrorMessage="0" allowBlank="1" type="list">
      <formula1>"Kalt,Kalt (Burak),Kalt (Mauro),Warm,Warm – Aggreko,Warm – CBM,Warm – Netzwerk,Inbound"</formula1>
    </dataValidation>
  </dataValidations>
  <printOptions horizontalCentered="1"/>
  <pageMargins left="0.3" right="0.3" top="0.5" bottom="0.5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9"/>
  <sheetViews>
    <sheetView zoomScaleNormal="100" workbookViewId="0">
      <selection activeCell="A1" sqref="A1"/>
    </sheetView>
  </sheetViews>
  <sheetFormatPr baseColWidth="8" defaultColWidth="8.5703125" defaultRowHeight="15"/>
  <sheetData>
    <row r="1" ht="15" customHeight="1">
      <c r="A1" t="inlineStr">
        <is>
          <t>Status_Key</t>
        </is>
      </c>
      <c r="B1" t="inlineStr">
        <is>
          <t>Status</t>
        </is>
      </c>
      <c r="C1" t="inlineStr">
        <is>
          <t>Anzahl</t>
        </is>
      </c>
      <c r="D1" t="inlineStr">
        <is>
          <t>Volumen</t>
        </is>
      </c>
      <c r="G1" t="inlineStr">
        <is>
          <t>Segment</t>
        </is>
      </c>
      <c r="H1" t="inlineStr">
        <is>
          <t>Volumen</t>
        </is>
      </c>
      <c r="I1" t="inlineStr">
        <is>
          <t>Deals</t>
        </is>
      </c>
    </row>
    <row r="2" ht="15" customHeight="1">
      <c r="A2" t="inlineStr">
        <is>
          <t>WON</t>
        </is>
      </c>
      <c r="B2" t="inlineStr">
        <is>
          <t>✅ WON</t>
        </is>
      </c>
      <c r="C2">
        <f>COUNTIF('MiT Strom Pipeline'!R$6:R$860,A2)</f>
        <v>7</v>
      </c>
      <c r="D2">
        <f>SUMIFS('MiT Strom Pipeline'!I$6:I$860,'MiT Strom Pipeline'!R$6:R$860,A2)</f>
        <v>694803.69</v>
      </c>
      <c r="G2" t="inlineStr">
        <is>
          <t>Events &amp; Sport</t>
        </is>
      </c>
      <c r="H2">
        <f>SUMIF('MiT Strom Pipeline'!$D$6:$D$860,G2,'MiT Strom Pipeline'!$I$6:$I$860)</f>
        <v>310000</v>
      </c>
      <c r="I2">
        <f>COUNTIF('MiT Strom Pipeline'!$D$6:$D$860,G2)</f>
        <v>1</v>
      </c>
    </row>
    <row r="3" ht="15" customHeight="1">
      <c r="A3" t="inlineStr">
        <is>
          <t>offered</t>
        </is>
      </c>
      <c r="B3" t="inlineStr">
        <is>
          <t>📄 Offerte</t>
        </is>
      </c>
      <c r="C3">
        <f>COUNTIF('MiT Strom Pipeline'!R$6:R$860,A3)</f>
        <v>18</v>
      </c>
      <c r="D3">
        <f>SUMIFS('MiT Strom Pipeline'!I$6:I$860,'MiT Strom Pipeline'!R$6:R$860,A3)</f>
        <v>3559557.95</v>
      </c>
      <c r="G3" t="inlineStr">
        <is>
          <t>Industrie / Oberfläche</t>
        </is>
      </c>
      <c r="H3">
        <f>SUMIF('MiT Strom Pipeline'!$D$6:$D$860,G3,'MiT Strom Pipeline'!$I$6:$I$860)</f>
        <v>13100</v>
      </c>
      <c r="I3">
        <f>COUNTIF('MiT Strom Pipeline'!$D$6:$D$860,G3)</f>
        <v>1</v>
      </c>
    </row>
    <row r="4" ht="15" customHeight="1">
      <c r="A4" t="inlineStr">
        <is>
          <t>to be offered</t>
        </is>
      </c>
      <c r="B4" t="inlineStr">
        <is>
          <t>📝 To Offer</t>
        </is>
      </c>
      <c r="C4">
        <f>COUNTIF('MiT Strom Pipeline'!R$6:R$860,A4)</f>
        <v>0</v>
      </c>
      <c r="D4">
        <f>SUMIFS('MiT Strom Pipeline'!I$6:I$860,'MiT Strom Pipeline'!R$6:R$860,A4)</f>
        <v>0</v>
      </c>
      <c r="G4" t="inlineStr">
        <is>
          <t>Industrie / Elektro</t>
        </is>
      </c>
      <c r="H4">
        <f>SUMIF('MiT Strom Pipeline'!$D$6:$D$860,G4,'MiT Strom Pipeline'!$I$6:$I$860)</f>
        <v>10000</v>
      </c>
      <c r="I4">
        <f>COUNTIF('MiT Strom Pipeline'!$D$6:$D$860,G4)</f>
        <v>1</v>
      </c>
    </row>
    <row r="5" ht="15" customHeight="1">
      <c r="A5" t="inlineStr">
        <is>
          <t>follow-up</t>
        </is>
      </c>
      <c r="B5" t="inlineStr">
        <is>
          <t>🎯 Follow-Up</t>
        </is>
      </c>
      <c r="C5">
        <f>COUNTIF('MiT Strom Pipeline'!R$6:R$860,A5)</f>
        <v>4</v>
      </c>
      <c r="D5">
        <f>SUMIFS('MiT Strom Pipeline'!I$6:I$860,'MiT Strom Pipeline'!R$6:R$860,A5)</f>
        <v>1293888</v>
      </c>
      <c r="G5" t="inlineStr">
        <is>
          <t>Events &amp; Kultur</t>
        </is>
      </c>
      <c r="H5">
        <f>SUMIF('MiT Strom Pipeline'!$D$6:$D$860,G5,'MiT Strom Pipeline'!$I$6:$I$860)</f>
        <v>150000</v>
      </c>
      <c r="I5">
        <f>COUNTIF('MiT Strom Pipeline'!$D$6:$D$860,G5)</f>
        <v>1</v>
      </c>
    </row>
    <row r="6" ht="15" customHeight="1">
      <c r="A6" t="inlineStr">
        <is>
          <t>Evaluation</t>
        </is>
      </c>
      <c r="B6" t="inlineStr">
        <is>
          <t>🔍 Evaluation</t>
        </is>
      </c>
      <c r="C6">
        <f>COUNTIF('MiT Strom Pipeline'!R$6:R$860,A6)</f>
        <v>3</v>
      </c>
      <c r="D6">
        <f>SUMIFS('MiT Strom Pipeline'!I$6:I$860,'MiT Strom Pipeline'!R$6:R$860,A6)</f>
        <v>79686.52</v>
      </c>
      <c r="G6" t="inlineStr">
        <is>
          <t>Immobilien / FM</t>
        </is>
      </c>
      <c r="H6">
        <f>SUMIF('MiT Strom Pipeline'!$D$6:$D$860,G6,'MiT Strom Pipeline'!$I$6:$I$860)</f>
        <v>390000</v>
      </c>
      <c r="I6">
        <f>COUNTIF('MiT Strom Pipeline'!$D$6:$D$860,G6)</f>
        <v>1</v>
      </c>
    </row>
    <row r="7" ht="15" customHeight="1">
      <c r="A7" t="inlineStr">
        <is>
          <t>In evaluation</t>
        </is>
      </c>
      <c r="B7" t="inlineStr">
        <is>
          <t>🔍 In Eval</t>
        </is>
      </c>
      <c r="C7">
        <f>COUNTIF('MiT Strom Pipeline'!R$6:R$860,A7)</f>
        <v>1</v>
      </c>
      <c r="D7">
        <f>SUMIFS('MiT Strom Pipeline'!I$6:I$860,'MiT Strom Pipeline'!R$6:R$860,A7)</f>
        <v>3760.04</v>
      </c>
      <c r="G7" t="inlineStr">
        <is>
          <t>EVU / Energie</t>
        </is>
      </c>
      <c r="H7">
        <f>SUMIF('MiT Strom Pipeline'!$D$6:$D$860,G7,'MiT Strom Pipeline'!$I$6:$I$860)</f>
        <v>137658.69</v>
      </c>
      <c r="I7">
        <f>COUNTIF('MiT Strom Pipeline'!$D$6:$D$860,G7)</f>
        <v>2</v>
      </c>
    </row>
    <row r="8" ht="15" customHeight="1">
      <c r="A8" t="inlineStr">
        <is>
          <t>on hold</t>
        </is>
      </c>
      <c r="B8" t="inlineStr">
        <is>
          <t>⏸ On Hold</t>
        </is>
      </c>
      <c r="C8">
        <f>COUNTIF('MiT Strom Pipeline'!R$6:R$860,A8)</f>
        <v>1</v>
      </c>
      <c r="D8">
        <f>SUMIFS('MiT Strom Pipeline'!I$6:I$860,'MiT Strom Pipeline'!R$6:R$860,A8)</f>
        <v>0</v>
      </c>
      <c r="G8" t="inlineStr">
        <is>
          <t>Infrastruktur / Bau</t>
        </is>
      </c>
      <c r="H8">
        <f>SUMIF('MiT Strom Pipeline'!$D$6:$D$860,G8,'MiT Strom Pipeline'!$I$6:$I$860)</f>
        <v>57897.12</v>
      </c>
      <c r="I8">
        <f>COUNTIF('MiT Strom Pipeline'!$D$6:$D$860,G8)</f>
        <v>4</v>
      </c>
    </row>
    <row r="9" ht="15" customHeight="1">
      <c r="A9" t="inlineStr">
        <is>
          <t>tbd</t>
        </is>
      </c>
      <c r="B9" t="inlineStr">
        <is>
          <t>❓ TBD</t>
        </is>
      </c>
      <c r="C9">
        <f>COUNTIF('MiT Strom Pipeline'!R$6:R$860,A9)</f>
        <v>1</v>
      </c>
      <c r="D9">
        <f>SUMIFS('MiT Strom Pipeline'!I$6:I$860,'MiT Strom Pipeline'!R$6:R$860,A9)</f>
        <v>0</v>
      </c>
      <c r="G9" t="inlineStr">
        <is>
          <t>Industrie / Metall</t>
        </is>
      </c>
      <c r="H9">
        <f>SUMIF('MiT Strom Pipeline'!$D$6:$D$860,G9,'MiT Strom Pipeline'!$I$6:$I$860)</f>
        <v>500000</v>
      </c>
      <c r="I9">
        <f>COUNTIF('MiT Strom Pipeline'!$D$6:$D$860,G9)</f>
        <v>1</v>
      </c>
    </row>
    <row r="10" ht="15" customHeight="1">
      <c r="A10" t="inlineStr">
        <is>
          <t>LOST</t>
        </is>
      </c>
      <c r="B10" t="inlineStr">
        <is>
          <t>❌ LOST</t>
        </is>
      </c>
      <c r="C10">
        <f>COUNTIF('MiT Strom Pipeline'!R$6:R$860,A10)</f>
        <v>7</v>
      </c>
      <c r="D10">
        <f>SUMIFS('MiT Strom Pipeline'!I$6:I$860,'MiT Strom Pipeline'!R$6:R$860,A10)</f>
        <v>78251.62</v>
      </c>
      <c r="G10" t="inlineStr">
        <is>
          <t>Elektroinstallation</t>
        </is>
      </c>
      <c r="H10">
        <f>SUMIF('MiT Strom Pipeline'!$D$6:$D$860,G10,'MiT Strom Pipeline'!$I$6:$I$860)</f>
        <v>97679.21</v>
      </c>
      <c r="I10">
        <f>COUNTIF('MiT Strom Pipeline'!$D$6:$D$860,G10)</f>
        <v>8</v>
      </c>
    </row>
    <row r="11" ht="15" customHeight="1">
      <c r="A11" t="inlineStr">
        <is>
          <t>Declined</t>
        </is>
      </c>
      <c r="B11" t="inlineStr">
        <is>
          <t>🚫 Declined</t>
        </is>
      </c>
      <c r="C11">
        <f>COUNTIF('MiT Strom Pipeline'!R$6:R$860,A11)</f>
        <v>13</v>
      </c>
      <c r="D11">
        <f>SUMIFS('MiT Strom Pipeline'!I$6:I$860,'MiT Strom Pipeline'!R$6:R$860,A11)</f>
        <v>96029.01</v>
      </c>
      <c r="G11" t="inlineStr">
        <is>
          <t>Events / Medien</t>
        </is>
      </c>
      <c r="H11">
        <f>SUMIF('MiT Strom Pipeline'!$D$6:$D$860,G11,'MiT Strom Pipeline'!$I$6:$I$860)</f>
        <v>0</v>
      </c>
      <c r="I11">
        <f>COUNTIF('MiT Strom Pipeline'!$D$6:$D$860,G11)</f>
        <v>2</v>
      </c>
    </row>
    <row r="12" ht="15" customHeight="1">
      <c r="G12" t="inlineStr">
        <is>
          <t>Forschung / Hightech</t>
        </is>
      </c>
      <c r="H12">
        <f>SUMIF('MiT Strom Pipeline'!$D$6:$D$860,G12,'MiT Strom Pipeline'!$I$6:$I$860)</f>
        <v>365003</v>
      </c>
      <c r="I12">
        <f>COUNTIF('MiT Strom Pipeline'!$D$6:$D$860,G12)</f>
        <v>1</v>
      </c>
    </row>
    <row r="13" ht="15" customHeight="1">
      <c r="A13" t="inlineStr">
        <is>
          <t>Kanton</t>
        </is>
      </c>
      <c r="B13" t="inlineStr">
        <is>
          <t>Volumen</t>
        </is>
      </c>
      <c r="C13" t="inlineStr">
        <is>
          <t>Deals</t>
        </is>
      </c>
      <c r="D13" t="inlineStr">
        <is>
          <t>WON</t>
        </is>
      </c>
      <c r="E13" t="inlineStr">
        <is>
          <t>RankKey</t>
        </is>
      </c>
      <c r="G13" t="inlineStr">
        <is>
          <t>Industrie / Messtechnik</t>
        </is>
      </c>
      <c r="H13">
        <f>SUMIF('MiT Strom Pipeline'!$D$6:$D$860,G13,'MiT Strom Pipeline'!$I$6:$I$860)</f>
        <v>75769</v>
      </c>
      <c r="I13">
        <f>COUNTIF('MiT Strom Pipeline'!$D$6:$D$860,G13)</f>
        <v>3</v>
      </c>
    </row>
    <row r="14" ht="15" customHeight="1">
      <c r="A14" t="inlineStr">
        <is>
          <t>AG</t>
        </is>
      </c>
      <c r="B14">
        <f>SUMIF('MiT Strom Pipeline'!$C$6:$C$860,A14,'MiT Strom Pipeline'!$I$6:$I$860)</f>
        <v>403463.95</v>
      </c>
      <c r="C14">
        <f>COUNTIF('MiT Strom Pipeline'!$C$6:$C$860,A14)</f>
        <v>6</v>
      </c>
      <c r="D14">
        <f>COUNTIFS('MiT Strom Pipeline'!$C$6:$C$860,A14,'MiT Strom Pipeline'!$R$6:$R$860,"WON")</f>
        <v>1</v>
      </c>
      <c r="E14">
        <f>B14+(26-ROW())*0.0001</f>
        <v>403463.9512</v>
      </c>
      <c r="G14" t="inlineStr">
        <is>
          <t>Infrastruktur / Bahn</t>
        </is>
      </c>
      <c r="H14">
        <f>SUMIF('MiT Strom Pipeline'!$D$6:$D$860,G14,'MiT Strom Pipeline'!$I$6:$I$860)</f>
        <v>0</v>
      </c>
      <c r="I14">
        <f>COUNTIF('MiT Strom Pipeline'!$D$6:$D$860,G14)</f>
        <v>1</v>
      </c>
    </row>
    <row r="15" ht="15" customHeight="1">
      <c r="A15" t="inlineStr">
        <is>
          <t>AI</t>
        </is>
      </c>
      <c r="B15">
        <f>SUMIF('MiT Strom Pipeline'!$C$6:$C$860,A15,'MiT Strom Pipeline'!$I$6:$I$860)</f>
        <v>0</v>
      </c>
      <c r="C15">
        <f>COUNTIF('MiT Strom Pipeline'!$C$6:$C$860,A15)</f>
        <v>0</v>
      </c>
      <c r="D15">
        <f>COUNTIFS('MiT Strom Pipeline'!$C$6:$C$860,A15,'MiT Strom Pipeline'!$R$6:$R$860,"WON")</f>
        <v>0</v>
      </c>
      <c r="E15">
        <f>B15+(26-ROW())*0.0001</f>
        <v>0.0011</v>
      </c>
      <c r="G15" t="inlineStr">
        <is>
          <t>Bildung / Forschung</t>
        </is>
      </c>
      <c r="H15">
        <f>SUMIF('MiT Strom Pipeline'!$D$6:$D$860,G15,'MiT Strom Pipeline'!$I$6:$I$860)</f>
        <v>0</v>
      </c>
      <c r="I15">
        <f>COUNTIF('MiT Strom Pipeline'!$D$6:$D$860,G15)</f>
        <v>1</v>
      </c>
    </row>
    <row r="16" ht="15" customHeight="1">
      <c r="A16" t="inlineStr">
        <is>
          <t>AR</t>
        </is>
      </c>
      <c r="B16">
        <f>SUMIF('MiT Strom Pipeline'!$C$6:$C$860,A16,'MiT Strom Pipeline'!$I$6:$I$860)</f>
        <v>0</v>
      </c>
      <c r="C16">
        <f>COUNTIF('MiT Strom Pipeline'!$C$6:$C$860,A16)</f>
        <v>0</v>
      </c>
      <c r="D16">
        <f>COUNTIFS('MiT Strom Pipeline'!$C$6:$C$860,A16,'MiT Strom Pipeline'!$R$6:$R$860,"WON")</f>
        <v>0</v>
      </c>
      <c r="E16">
        <f>B16+(26-ROW())*0.0001</f>
        <v>0.001</v>
      </c>
      <c r="G16" t="inlineStr">
        <is>
          <t>tbd</t>
        </is>
      </c>
      <c r="H16">
        <f>SUMIF('MiT Strom Pipeline'!$D$6:$D$860,G16,'MiT Strom Pipeline'!$I$6:$I$860)</f>
        <v>0</v>
      </c>
      <c r="I16">
        <f>COUNTIF('MiT Strom Pipeline'!$D$6:$D$860,G16)</f>
        <v>1</v>
      </c>
    </row>
    <row r="17" ht="15" customHeight="1">
      <c r="A17" t="inlineStr">
        <is>
          <t>BE</t>
        </is>
      </c>
      <c r="B17">
        <f>SUMIF('MiT Strom Pipeline'!$C$6:$C$860,A17,'MiT Strom Pipeline'!$I$6:$I$860)</f>
        <v>58012.12</v>
      </c>
      <c r="C17">
        <f>COUNTIF('MiT Strom Pipeline'!$C$6:$C$860,A17)</f>
        <v>5</v>
      </c>
      <c r="D17">
        <f>COUNTIFS('MiT Strom Pipeline'!$C$6:$C$860,A17,'MiT Strom Pipeline'!$R$6:$R$860,"WON")</f>
        <v>0</v>
      </c>
      <c r="E17">
        <f>B17+(26-ROW())*0.0001</f>
        <v>58012.1209</v>
      </c>
      <c r="G17" t="inlineStr">
        <is>
          <t>Industrie / Generatoren</t>
        </is>
      </c>
      <c r="H17">
        <f>SUMIF('MiT Strom Pipeline'!$D$6:$D$860,G17,'MiT Strom Pipeline'!$I$6:$I$860)</f>
        <v>48950</v>
      </c>
      <c r="I17">
        <f>COUNTIF('MiT Strom Pipeline'!$D$6:$D$860,G17)</f>
        <v>1</v>
      </c>
    </row>
    <row r="18" ht="15" customHeight="1">
      <c r="A18" t="inlineStr">
        <is>
          <t>BL</t>
        </is>
      </c>
      <c r="B18">
        <f>SUMIF('MiT Strom Pipeline'!$C$6:$C$860,A18,'MiT Strom Pipeline'!$I$6:$I$860)</f>
        <v>0</v>
      </c>
      <c r="C18">
        <f>COUNTIF('MiT Strom Pipeline'!$C$6:$C$860,A18)</f>
        <v>0</v>
      </c>
      <c r="D18">
        <f>COUNTIFS('MiT Strom Pipeline'!$C$6:$C$860,A18,'MiT Strom Pipeline'!$R$6:$R$860,"WON")</f>
        <v>0</v>
      </c>
      <c r="E18">
        <f>B18+(26-ROW())*0.0001</f>
        <v>0.0008</v>
      </c>
      <c r="G18" t="inlineStr">
        <is>
          <t>Ingenieure / Planung</t>
        </is>
      </c>
      <c r="H18">
        <f>SUMIF('MiT Strom Pipeline'!$D$6:$D$860,G18,'MiT Strom Pipeline'!$I$6:$I$860)</f>
        <v>39000</v>
      </c>
      <c r="I18">
        <f>COUNTIF('MiT Strom Pipeline'!$D$6:$D$860,G18)</f>
        <v>1</v>
      </c>
    </row>
    <row r="19" ht="15" customHeight="1">
      <c r="A19" t="inlineStr">
        <is>
          <t>BS</t>
        </is>
      </c>
      <c r="B19">
        <f>SUMIF('MiT Strom Pipeline'!$C$6:$C$860,A19,'MiT Strom Pipeline'!$I$6:$I$860)</f>
        <v>13866.21</v>
      </c>
      <c r="C19">
        <f>COUNTIF('MiT Strom Pipeline'!$C$6:$C$860,A19)</f>
        <v>1</v>
      </c>
      <c r="D19">
        <f>COUNTIFS('MiT Strom Pipeline'!$C$6:$C$860,A19,'MiT Strom Pipeline'!$R$6:$R$860,"WON")</f>
        <v>0</v>
      </c>
      <c r="E19">
        <f>B19+(26-ROW())*0.0001</f>
        <v>13866.2107</v>
      </c>
      <c r="G19" t="inlineStr">
        <is>
          <t>Kühlung / Konkurrenz</t>
        </is>
      </c>
      <c r="H19">
        <f>SUMIF('MiT Strom Pipeline'!$D$6:$D$860,G19,'MiT Strom Pipeline'!$I$6:$I$860)</f>
        <v>12572.63</v>
      </c>
      <c r="I19">
        <f>COUNTIF('MiT Strom Pipeline'!$D$6:$D$860,G19)</f>
        <v>1</v>
      </c>
    </row>
    <row r="20" ht="15" customHeight="1">
      <c r="A20" t="inlineStr">
        <is>
          <t>FR</t>
        </is>
      </c>
      <c r="B20">
        <f>SUMIF('MiT Strom Pipeline'!$C$6:$C$860,A20,'MiT Strom Pipeline'!$I$6:$I$860)</f>
        <v>0</v>
      </c>
      <c r="C20">
        <f>COUNTIF('MiT Strom Pipeline'!$C$6:$C$860,A20)</f>
        <v>0</v>
      </c>
      <c r="D20">
        <f>COUNTIFS('MiT Strom Pipeline'!$C$6:$C$860,A20,'MiT Strom Pipeline'!$R$6:$R$860,"WON")</f>
        <v>0</v>
      </c>
      <c r="E20">
        <f>B20+(26-ROW())*0.0001</f>
        <v>0.0006</v>
      </c>
      <c r="G20" t="inlineStr">
        <is>
          <t>Gemeinde</t>
        </is>
      </c>
      <c r="H20">
        <f>SUMIF('MiT Strom Pipeline'!$D$6:$D$860,G20,'MiT Strom Pipeline'!$I$6:$I$860)</f>
        <v>0</v>
      </c>
      <c r="I20">
        <f>COUNTIF('MiT Strom Pipeline'!$D$6:$D$860,G20)</f>
        <v>1</v>
      </c>
    </row>
    <row r="21" ht="15" customHeight="1">
      <c r="A21" t="inlineStr">
        <is>
          <t>GE</t>
        </is>
      </c>
      <c r="B21">
        <f>SUMIF('MiT Strom Pipeline'!$C$6:$C$860,A21,'MiT Strom Pipeline'!$I$6:$I$860)</f>
        <v>38885</v>
      </c>
      <c r="C21">
        <f>COUNTIF('MiT Strom Pipeline'!$C$6:$C$860,A21)</f>
        <v>1</v>
      </c>
      <c r="D21">
        <f>COUNTIFS('MiT Strom Pipeline'!$C$6:$C$860,A21,'MiT Strom Pipeline'!$R$6:$R$860,"WON")</f>
        <v>0</v>
      </c>
      <c r="E21">
        <f>B21+(26-ROW())*0.0001</f>
        <v>38885.0005</v>
      </c>
      <c r="G21" t="inlineStr">
        <is>
          <t>Hochschule</t>
        </is>
      </c>
      <c r="H21">
        <f>SUMIF('MiT Strom Pipeline'!$D$6:$D$860,G21,'MiT Strom Pipeline'!$I$6:$I$860)</f>
        <v>0</v>
      </c>
      <c r="I21">
        <f>COUNTIF('MiT Strom Pipeline'!$D$6:$D$860,G21)</f>
        <v>1</v>
      </c>
    </row>
    <row r="22" ht="15" customHeight="1">
      <c r="A22" t="inlineStr">
        <is>
          <t>GL</t>
        </is>
      </c>
      <c r="B22">
        <f>SUMIF('MiT Strom Pipeline'!$C$6:$C$860,A22,'MiT Strom Pipeline'!$I$6:$I$860)</f>
        <v>0</v>
      </c>
      <c r="C22">
        <f>COUNTIF('MiT Strom Pipeline'!$C$6:$C$860,A22)</f>
        <v>0</v>
      </c>
      <c r="D22">
        <f>COUNTIFS('MiT Strom Pipeline'!$C$6:$C$860,A22,'MiT Strom Pipeline'!$R$6:$R$860,"WON")</f>
        <v>0</v>
      </c>
      <c r="E22">
        <f>B22+(26-ROW())*0.0001</f>
        <v>0.0004</v>
      </c>
      <c r="G22" t="inlineStr">
        <is>
          <t>Industrie</t>
        </is>
      </c>
      <c r="H22">
        <f>SUMIF('MiT Strom Pipeline'!$D$6:$D$860,G22,'MiT Strom Pipeline'!$I$6:$I$860)</f>
        <v>3167711.08</v>
      </c>
      <c r="I22">
        <f>COUNTIF('MiT Strom Pipeline'!$D$6:$D$860,G22)</f>
        <v>13</v>
      </c>
    </row>
    <row r="23" ht="15" customHeight="1">
      <c r="A23" t="inlineStr">
        <is>
          <t>GR</t>
        </is>
      </c>
      <c r="B23">
        <f>SUMIF('MiT Strom Pipeline'!$C$6:$C$860,A23,'MiT Strom Pipeline'!$I$6:$I$860)</f>
        <v>77325.62</v>
      </c>
      <c r="C23">
        <f>COUNTIF('MiT Strom Pipeline'!$C$6:$C$860,A23)</f>
        <v>2</v>
      </c>
      <c r="D23">
        <f>COUNTIFS('MiT Strom Pipeline'!$C$6:$C$860,A23,'MiT Strom Pipeline'!$R$6:$R$860,"WON")</f>
        <v>0</v>
      </c>
      <c r="E23">
        <f>B23+(26-ROW())*0.0001</f>
        <v>77325.6203</v>
      </c>
      <c r="G23" t="inlineStr">
        <is>
          <t>Event</t>
        </is>
      </c>
      <c r="H23">
        <f>SUMIF('MiT Strom Pipeline'!$D$6:$D$860,G23,'MiT Strom Pipeline'!$I$6:$I$860)</f>
        <v>196130.66</v>
      </c>
      <c r="I23">
        <f>COUNTIF('MiT Strom Pipeline'!$D$6:$D$860,G23)</f>
        <v>3</v>
      </c>
    </row>
    <row r="24" ht="15" customHeight="1">
      <c r="A24" t="inlineStr">
        <is>
          <t>JU</t>
        </is>
      </c>
      <c r="B24">
        <f>SUMIF('MiT Strom Pipeline'!$C$6:$C$860,A24,'MiT Strom Pipeline'!$I$6:$I$860)</f>
        <v>0</v>
      </c>
      <c r="C24">
        <f>COUNTIF('MiT Strom Pipeline'!$C$6:$C$860,A24)</f>
        <v>0</v>
      </c>
      <c r="D24">
        <f>COUNTIFS('MiT Strom Pipeline'!$C$6:$C$860,A24,'MiT Strom Pipeline'!$R$6:$R$860,"WON")</f>
        <v>0</v>
      </c>
      <c r="E24">
        <f>B24+(26-ROW())*0.0001</f>
        <v>0.0002</v>
      </c>
      <c r="G24" t="inlineStr">
        <is>
          <t>Festival</t>
        </is>
      </c>
      <c r="H24">
        <f>SUMIF('MiT Strom Pipeline'!$D$6:$D$860,G24,'MiT Strom Pipeline'!$I$6:$I$860)</f>
        <v>750.65</v>
      </c>
      <c r="I24">
        <f>COUNTIF('MiT Strom Pipeline'!$D$6:$D$860,G24)</f>
        <v>1</v>
      </c>
    </row>
    <row r="25" ht="15" customHeight="1">
      <c r="A25" t="inlineStr">
        <is>
          <t>LU</t>
        </is>
      </c>
      <c r="B25">
        <f>SUMIF('MiT Strom Pipeline'!$C$6:$C$860,A25,'MiT Strom Pipeline'!$I$6:$I$860)</f>
        <v>12409.01</v>
      </c>
      <c r="C25">
        <f>COUNTIF('MiT Strom Pipeline'!$C$6:$C$860,A25)</f>
        <v>2</v>
      </c>
      <c r="D25">
        <f>COUNTIFS('MiT Strom Pipeline'!$C$6:$C$860,A25,'MiT Strom Pipeline'!$R$6:$R$860,"WON")</f>
        <v>0</v>
      </c>
      <c r="E25">
        <f>B25+(26-ROW())*0.0001</f>
        <v>12409.0101</v>
      </c>
      <c r="G25" t="inlineStr">
        <is>
          <t>Veranstaltung</t>
        </is>
      </c>
      <c r="H25">
        <f>SUMIF('MiT Strom Pipeline'!$D$6:$D$860,G25,'MiT Strom Pipeline'!$I$6:$I$860)</f>
        <v>5328.36</v>
      </c>
      <c r="I25">
        <f>COUNTIF('MiT Strom Pipeline'!$D$6:$D$860,G25)</f>
        <v>1</v>
      </c>
    </row>
    <row r="26" ht="15" customHeight="1">
      <c r="A26" t="inlineStr">
        <is>
          <t>NE</t>
        </is>
      </c>
      <c r="B26">
        <f>SUMIF('MiT Strom Pipeline'!$C$6:$C$860,A26,'MiT Strom Pipeline'!$I$6:$I$860)</f>
        <v>0</v>
      </c>
      <c r="C26">
        <f>COUNTIF('MiT Strom Pipeline'!$C$6:$C$860,A26)</f>
        <v>0</v>
      </c>
      <c r="D26">
        <f>COUNTIFS('MiT Strom Pipeline'!$C$6:$C$860,A26,'MiT Strom Pipeline'!$R$6:$R$860,"WON")</f>
        <v>0</v>
      </c>
      <c r="E26">
        <f>B26+(26-ROW())*0.0001</f>
        <v>0</v>
      </c>
      <c r="G26" t="inlineStr">
        <is>
          <t>EVU</t>
        </is>
      </c>
      <c r="H26">
        <f>SUMIF('MiT Strom Pipeline'!$D$6:$D$860,G26,'MiT Strom Pipeline'!$I$6:$I$860)</f>
        <v>223168.99</v>
      </c>
      <c r="I26">
        <f>COUNTIF('MiT Strom Pipeline'!$D$6:$D$860,G26)</f>
        <v>2</v>
      </c>
    </row>
    <row r="27" ht="15" customHeight="1">
      <c r="A27" t="inlineStr">
        <is>
          <t>NW</t>
        </is>
      </c>
      <c r="B27">
        <f>SUMIF('MiT Strom Pipeline'!$C$6:$C$860,A27,'MiT Strom Pipeline'!$I$6:$I$860)</f>
        <v>0</v>
      </c>
      <c r="C27">
        <f>COUNTIF('MiT Strom Pipeline'!$C$6:$C$860,A27)</f>
        <v>0</v>
      </c>
      <c r="D27">
        <f>COUNTIFS('MiT Strom Pipeline'!$C$6:$C$860,A27,'MiT Strom Pipeline'!$R$6:$R$860,"WON")</f>
        <v>0</v>
      </c>
      <c r="E27">
        <f>B27+(26-ROW())*0.0001</f>
        <v>-0.0001</v>
      </c>
      <c r="G27" t="inlineStr">
        <is>
          <t>Forschung</t>
        </is>
      </c>
      <c r="H27">
        <f>SUMIF('MiT Strom Pipeline'!$D$6:$D$860,G27,'MiT Strom Pipeline'!$I$6:$I$860)</f>
        <v>5257.44</v>
      </c>
      <c r="I27">
        <f>COUNTIF('MiT Strom Pipeline'!$D$6:$D$860,G27)</f>
        <v>1</v>
      </c>
    </row>
    <row r="28" ht="15" customHeight="1">
      <c r="A28" t="inlineStr">
        <is>
          <t>OW</t>
        </is>
      </c>
      <c r="B28">
        <f>SUMIF('MiT Strom Pipeline'!$C$6:$C$860,A28,'MiT Strom Pipeline'!$I$6:$I$860)</f>
        <v>0</v>
      </c>
      <c r="C28">
        <f>COUNTIF('MiT Strom Pipeline'!$C$6:$C$860,A28)</f>
        <v>0</v>
      </c>
      <c r="D28">
        <f>COUNTIFS('MiT Strom Pipeline'!$C$6:$C$860,A28,'MiT Strom Pipeline'!$R$6:$R$860,"WON")</f>
        <v>0</v>
      </c>
      <c r="E28">
        <f>B28+(26-ROW())*0.0001</f>
        <v>-0.0002</v>
      </c>
    </row>
    <row r="29" ht="15" customHeight="1">
      <c r="A29" t="inlineStr">
        <is>
          <t>SG</t>
        </is>
      </c>
      <c r="B29">
        <f>SUMIF('MiT Strom Pipeline'!$C$6:$C$860,A29,'MiT Strom Pipeline'!$I$6:$I$860)</f>
        <v>101192.62</v>
      </c>
      <c r="C29">
        <f>COUNTIF('MiT Strom Pipeline'!$C$6:$C$860,A29)</f>
        <v>3</v>
      </c>
      <c r="D29">
        <f>COUNTIFS('MiT Strom Pipeline'!$C$6:$C$860,A29,'MiT Strom Pipeline'!$R$6:$R$860,"WON")</f>
        <v>1</v>
      </c>
      <c r="E29">
        <f>B29+(26-ROW())*0.0001</f>
        <v>101192.6197</v>
      </c>
    </row>
    <row r="30" ht="15" customHeight="1">
      <c r="A30" t="inlineStr">
        <is>
          <t>SH</t>
        </is>
      </c>
      <c r="B30">
        <f>SUMIF('MiT Strom Pipeline'!$C$6:$C$860,A30,'MiT Strom Pipeline'!$I$6:$I$860)</f>
        <v>2637287.63</v>
      </c>
      <c r="C30">
        <f>COUNTIF('MiT Strom Pipeline'!$C$6:$C$860,A30)</f>
        <v>5</v>
      </c>
      <c r="D30">
        <f>COUNTIFS('MiT Strom Pipeline'!$C$6:$C$860,A30,'MiT Strom Pipeline'!$R$6:$R$860,"WON")</f>
        <v>1</v>
      </c>
      <c r="E30">
        <f>B30+(26-ROW())*0.0001</f>
        <v>2637287.6296</v>
      </c>
    </row>
    <row r="31" ht="15" customHeight="1">
      <c r="A31" t="inlineStr">
        <is>
          <t>SO</t>
        </is>
      </c>
      <c r="B31">
        <f>SUMIF('MiT Strom Pipeline'!$C$6:$C$860,A31,'MiT Strom Pipeline'!$I$6:$I$860)</f>
        <v>390750.65</v>
      </c>
      <c r="C31">
        <f>COUNTIF('MiT Strom Pipeline'!$C$6:$C$860,A31)</f>
        <v>2</v>
      </c>
      <c r="D31">
        <f>COUNTIFS('MiT Strom Pipeline'!$C$6:$C$860,A31,'MiT Strom Pipeline'!$R$6:$R$860,"WON")</f>
        <v>0</v>
      </c>
      <c r="E31">
        <f>B31+(26-ROW())*0.0001</f>
        <v>390750.6495</v>
      </c>
    </row>
    <row r="32" ht="15" customHeight="1">
      <c r="A32" t="inlineStr">
        <is>
          <t>SZ</t>
        </is>
      </c>
      <c r="B32">
        <f>SUMIF('MiT Strom Pipeline'!$C$6:$C$860,A32,'MiT Strom Pipeline'!$I$6:$I$860)</f>
        <v>0</v>
      </c>
      <c r="C32">
        <f>COUNTIF('MiT Strom Pipeline'!$C$6:$C$860,A32)</f>
        <v>0</v>
      </c>
      <c r="D32">
        <f>COUNTIFS('MiT Strom Pipeline'!$C$6:$C$860,A32,'MiT Strom Pipeline'!$R$6:$R$860,"WON")</f>
        <v>0</v>
      </c>
      <c r="E32">
        <f>B32+(26-ROW())*0.0001</f>
        <v>-0.0006</v>
      </c>
    </row>
    <row r="33" ht="15" customHeight="1">
      <c r="A33" t="inlineStr">
        <is>
          <t>TG</t>
        </is>
      </c>
      <c r="B33">
        <f>SUMIF('MiT Strom Pipeline'!$C$6:$C$860,A33,'MiT Strom Pipeline'!$I$6:$I$860)</f>
        <v>155328.36</v>
      </c>
      <c r="C33">
        <f>COUNTIF('MiT Strom Pipeline'!$C$6:$C$860,A33)</f>
        <v>2</v>
      </c>
      <c r="D33">
        <f>COUNTIFS('MiT Strom Pipeline'!$C$6:$C$860,A33,'MiT Strom Pipeline'!$R$6:$R$860,"WON")</f>
        <v>1</v>
      </c>
      <c r="E33">
        <f>B33+(26-ROW())*0.0001</f>
        <v>155328.3593</v>
      </c>
    </row>
    <row r="34" ht="15" customHeight="1">
      <c r="A34" t="inlineStr">
        <is>
          <t>TI</t>
        </is>
      </c>
      <c r="B34">
        <f>SUMIF('MiT Strom Pipeline'!$C$6:$C$860,A34,'MiT Strom Pipeline'!$I$6:$I$860)</f>
        <v>0</v>
      </c>
      <c r="C34">
        <f>COUNTIF('MiT Strom Pipeline'!$C$6:$C$860,A34)</f>
        <v>0</v>
      </c>
      <c r="D34">
        <f>COUNTIFS('MiT Strom Pipeline'!$C$6:$C$860,A34,'MiT Strom Pipeline'!$R$6:$R$860,"WON")</f>
        <v>0</v>
      </c>
      <c r="E34">
        <f>B34+(26-ROW())*0.0001</f>
        <v>-0.0008</v>
      </c>
    </row>
    <row r="35" ht="15" customHeight="1">
      <c r="A35" t="inlineStr">
        <is>
          <t>UR</t>
        </is>
      </c>
      <c r="B35">
        <f>SUMIF('MiT Strom Pipeline'!$C$6:$C$860,A35,'MiT Strom Pipeline'!$I$6:$I$860)</f>
        <v>0</v>
      </c>
      <c r="C35">
        <f>COUNTIF('MiT Strom Pipeline'!$C$6:$C$860,A35)</f>
        <v>1</v>
      </c>
      <c r="D35">
        <f>COUNTIFS('MiT Strom Pipeline'!$C$6:$C$860,A35,'MiT Strom Pipeline'!$R$6:$R$860,"WON")</f>
        <v>0</v>
      </c>
      <c r="E35">
        <f>B35+(26-ROW())*0.0001</f>
        <v>-0.0009</v>
      </c>
    </row>
    <row r="36" ht="15" customHeight="1">
      <c r="A36" t="inlineStr">
        <is>
          <t>VD</t>
        </is>
      </c>
      <c r="B36">
        <f>SUMIF('MiT Strom Pipeline'!$C$6:$C$860,A36,'MiT Strom Pipeline'!$I$6:$I$860)</f>
        <v>0</v>
      </c>
      <c r="C36">
        <f>COUNTIF('MiT Strom Pipeline'!$C$6:$C$860,A36)</f>
        <v>2</v>
      </c>
      <c r="D36">
        <f>COUNTIFS('MiT Strom Pipeline'!$C$6:$C$860,A36,'MiT Strom Pipeline'!$R$6:$R$860,"WON")</f>
        <v>0</v>
      </c>
      <c r="E36">
        <f>B36+(26-ROW())*0.0001</f>
        <v>-0.001</v>
      </c>
    </row>
    <row r="37" ht="15" customHeight="1">
      <c r="A37" t="inlineStr">
        <is>
          <t>VS</t>
        </is>
      </c>
      <c r="B37">
        <f>SUMIF('MiT Strom Pipeline'!$C$6:$C$860,A37,'MiT Strom Pipeline'!$I$6:$I$860)</f>
        <v>338213.99</v>
      </c>
      <c r="C37">
        <f>COUNTIF('MiT Strom Pipeline'!$C$6:$C$860,A37)</f>
        <v>3</v>
      </c>
      <c r="D37">
        <f>COUNTIFS('MiT Strom Pipeline'!$C$6:$C$860,A37,'MiT Strom Pipeline'!$R$6:$R$860,"WON")</f>
        <v>1</v>
      </c>
      <c r="E37">
        <f>B37+(26-ROW())*0.0001</f>
        <v>338213.9889</v>
      </c>
    </row>
    <row r="38" ht="15" customHeight="1">
      <c r="A38" t="inlineStr">
        <is>
          <t>ZG</t>
        </is>
      </c>
      <c r="B38">
        <f>SUMIF('MiT Strom Pipeline'!$C$6:$C$860,A38,'MiT Strom Pipeline'!$I$6:$I$860)</f>
        <v>0</v>
      </c>
      <c r="C38">
        <f>COUNTIF('MiT Strom Pipeline'!$C$6:$C$860,A38)</f>
        <v>0</v>
      </c>
      <c r="D38">
        <f>COUNTIFS('MiT Strom Pipeline'!$C$6:$C$860,A38,'MiT Strom Pipeline'!$R$6:$R$860,"WON")</f>
        <v>0</v>
      </c>
      <c r="E38">
        <f>B38+(26-ROW())*0.0001</f>
        <v>-0.0012</v>
      </c>
    </row>
    <row r="39" ht="15" customHeight="1">
      <c r="A39" t="inlineStr">
        <is>
          <t>ZH</t>
        </is>
      </c>
      <c r="B39">
        <f>SUMIF('MiT Strom Pipeline'!$C$6:$C$860,A39,'MiT Strom Pipeline'!$I$6:$I$860)</f>
        <v>1579241.67</v>
      </c>
      <c r="C39">
        <f>COUNTIF('MiT Strom Pipeline'!$C$6:$C$860,A39)</f>
        <v>19</v>
      </c>
      <c r="D39">
        <f>COUNTIFS('MiT Strom Pipeline'!$C$6:$C$860,A39,'MiT Strom Pipeline'!$R$6:$R$860,"WON")</f>
        <v>2</v>
      </c>
      <c r="E39">
        <f>B39+(26-ROW())*0.0001</f>
        <v>1579241.6687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2026-06-05T08:48:06Z</dcterms:created>
  <dcterms:modified xmlns:dcterms="http://purl.org/dc/terms/" xmlns:xsi="http://www.w3.org/2001/XMLSchema-instance" xsi:type="dcterms:W3CDTF">2026-07-13T14:17:53Z</dcterms:modified>
</cp:coreProperties>
</file>